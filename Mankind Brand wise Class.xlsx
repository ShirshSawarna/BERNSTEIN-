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4924421dc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d Classification" sheetId="1" r:id="R0991e7360eff4043"/>
    <x:sheet xmlns:r="http://schemas.openxmlformats.org/officeDocument/2006/relationships" name="Validation &amp; Sources" sheetId="2" r:id="R27fbc08ae40146ad"/>
    <x:sheet xmlns:r="http://schemas.openxmlformats.org/officeDocument/2006/relationships" name="Category Summary" sheetId="3" r:id="R9a2a5360e9ce4f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6">
    <x:border/>
    <x:border/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bottom style="thin">
        <x:color rgb="FFE7E6E6"/>
      </x:bottom>
    </x:border>
    <x:border>
      <x:bottom style="thin">
        <x:color rgb="FFE7E6E6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f8be046ef4051" /><Relationship Type="http://schemas.openxmlformats.org/officeDocument/2006/relationships/theme" Target="/xl/theme/theme1.xml" Id="R8098181e77c74e2b" /><Relationship Type="http://schemas.openxmlformats.org/officeDocument/2006/relationships/sharedStrings" Target="/xl/sharedStrings.xml" Id="Rd8a2738f72d94406" /><Relationship Type="http://schemas.openxmlformats.org/officeDocument/2006/relationships/worksheet" Target="/xl/worksheets/sheet1.xml" Id="R0991e7360eff4043" /><Relationship Type="http://schemas.openxmlformats.org/officeDocument/2006/relationships/worksheet" Target="/xl/worksheets/sheet2.xml" Id="R27fbc08ae40146ad" /><Relationship Type="http://schemas.openxmlformats.org/officeDocument/2006/relationships/worksheet" Target="/xl/worksheets/sheet3.xml" Id="R9a2a5360e9ce4f29" /></Relationships>
</file>

<file path=xl/tables/table1.xml><?xml version="1.0" encoding="utf-8"?>
<x:table xmlns:x="http://schemas.openxmlformats.org/spreadsheetml/2006/main" id="1" name="BrandTherapyTable" displayName="BrandTherapyTable" ref="A3:B84" headerRowCount="1">
  <x:tableColumns count="2">
    <x:tableColumn id="1" name="Brand name"/>
    <x:tableColumn id="2" name="Therapy category"/>
  </x:tableColumns>
  <x:tableStyleInfo name="TableStyleMedium2" showRowStripes="1"/>
</x:table>
</file>

<file path=xl/tables/table2.xml><?xml version="1.0" encoding="utf-8"?>
<x:table xmlns:x="http://schemas.openxmlformats.org/spreadsheetml/2006/main" id="2" name="ValidationTable" displayName="ValidationTable" ref="A1:F82" headerRowCount="1">
  <x:tableColumns count="6">
    <x:tableColumn id="1" name="Brand name"/>
    <x:tableColumn id="2" name="Generic / composition"/>
    <x:tableColumn id="3" name="Assigned category"/>
    <x:tableColumn id="4" name="Confidence"/>
    <x:tableColumn id="5" name="Classification note"/>
    <x:tableColumn id="6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289143380c48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9b4205239747c0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9" hidden="0" customWidth="1"/>
  </x:cols>
  <x:sheetData>
    <x:row r="1" ht="28" customHeight="1">
      <x:c r="A1" s="5" t="str">
        <x:v>Mankind Brand Therapy Classification</x:v>
      </x:c>
      <x:c r="B1" s="5"/>
    </x:row>
    <x:row r="2" ht="34" customHeight="1">
      <x:c r="A2" s="13" t="str">
        <x:v>81 brands transcribed in the exact order shown in the uploaded images</x:v>
      </x:c>
      <x:c r="B2" s="13" t="str">
        <x:v>Therapy category</x:v>
      </x:c>
    </x:row>
    <x:row r="3">
      <x:c r="A3" s="50" t="str">
        <x:v>Brand name</x:v>
      </x:c>
      <x:c r="B3" s="50" t="str">
        <x:v>Therapy category</x:v>
      </x:c>
    </x:row>
    <x:row r="4">
      <x:c r="A4" s="51" t="str">
        <x:v>MOXIKIND-CV</x:v>
      </x:c>
      <x:c r="B4" s="52" t="str">
        <x:v>Anti-infectives</x:v>
      </x:c>
    </x:row>
    <x:row r="5">
      <x:c r="A5" s="53" t="str">
        <x:v>VOMIKIND</x:v>
      </x:c>
      <x:c r="B5" s="54" t="str">
        <x:v>Gastrointestinal</x:v>
      </x:c>
    </x:row>
    <x:row r="6">
      <x:c r="A6" s="53" t="str">
        <x:v>BANDY-PLUS</x:v>
      </x:c>
      <x:c r="B6" s="54" t="str">
        <x:v>Anti-infectives</x:v>
      </x:c>
    </x:row>
    <x:row r="7">
      <x:c r="A7" s="53" t="str">
        <x:v>GUDCEF</x:v>
      </x:c>
      <x:c r="B7" s="54" t="str">
        <x:v>Anti-infectives</x:v>
      </x:c>
    </x:row>
    <x:row r="8">
      <x:c r="A8" s="53" t="str">
        <x:v>MAHACEF</x:v>
      </x:c>
      <x:c r="B8" s="54" t="str">
        <x:v>Anti-infectives</x:v>
      </x:c>
    </x:row>
    <x:row r="9">
      <x:c r="A9" s="53" t="str">
        <x:v>MONTICOPE</x:v>
      </x:c>
      <x:c r="B9" s="54" t="str">
        <x:v>Respiratory</x:v>
      </x:c>
    </x:row>
    <x:row r="10">
      <x:c r="A10" s="53" t="str">
        <x:v>ZADY</x:v>
      </x:c>
      <x:c r="B10" s="54" t="str">
        <x:v>Anti-infectives</x:v>
      </x:c>
    </x:row>
    <x:row r="11">
      <x:c r="A11" s="53" t="str">
        <x:v>PANTAKIND-DSR</x:v>
      </x:c>
      <x:c r="B11" s="54" t="str">
        <x:v>Gastrointestinal</x:v>
      </x:c>
    </x:row>
    <x:row r="12">
      <x:c r="A12" s="53" t="str">
        <x:v>ZENFLOX-OZ</x:v>
      </x:c>
      <x:c r="B12" s="54" t="str">
        <x:v>Anti-infectives</x:v>
      </x:c>
    </x:row>
    <x:row r="13">
      <x:c r="A13" s="53" t="str">
        <x:v>NUROKIND-LC</x:v>
      </x:c>
      <x:c r="B13" s="54" t="str">
        <x:v>Vitamins/minerals/nutrients</x:v>
      </x:c>
    </x:row>
    <x:row r="14">
      <x:c r="A14" s="53" t="str">
        <x:v>FLORA-BC</x:v>
      </x:c>
      <x:c r="B14" s="54" t="str">
        <x:v>Gastrointestinal</x:v>
      </x:c>
    </x:row>
    <x:row r="15">
      <x:c r="A15" s="53" t="str">
        <x:v>ASTHAKIND-DX</x:v>
      </x:c>
      <x:c r="B15" s="54" t="str">
        <x:v>Respiratory</x:v>
      </x:c>
    </x:row>
    <x:row r="16">
      <x:c r="A16" s="53" t="str">
        <x:v>PANTAKIND</x:v>
      </x:c>
      <x:c r="B16" s="54" t="str">
        <x:v>Gastrointestinal</x:v>
      </x:c>
    </x:row>
    <x:row r="17">
      <x:c r="A17" s="53" t="str">
        <x:v>MOXIFORCE-CV</x:v>
      </x:c>
      <x:c r="B17" s="54" t="str">
        <x:v>Anti-infectives</x:v>
      </x:c>
    </x:row>
    <x:row r="18">
      <x:c r="A18" s="53" t="str">
        <x:v>RABEKIND-DSR</x:v>
      </x:c>
      <x:c r="B18" s="54" t="str">
        <x:v>Gastrointestinal</x:v>
      </x:c>
    </x:row>
    <x:row r="19">
      <x:c r="A19" s="53" t="str">
        <x:v>DOLOKIND PLUS</x:v>
      </x:c>
      <x:c r="B19" s="54" t="str">
        <x:v>Pain / analgesics</x:v>
      </x:c>
    </x:row>
    <x:row r="20">
      <x:c r="A20" s="53" t="str">
        <x:v>NUROKIND-GOLD</x:v>
      </x:c>
      <x:c r="B20" s="54" t="str">
        <x:v>Vitamins/minerals/nutrients</x:v>
      </x:c>
    </x:row>
    <x:row r="21">
      <x:c r="A21" s="53" t="str">
        <x:v>GUDCEF-CV</x:v>
      </x:c>
      <x:c r="B21" s="54" t="str">
        <x:v>Anti-infectives</x:v>
      </x:c>
    </x:row>
    <x:row r="22">
      <x:c r="A22" s="53" t="str">
        <x:v>CEFAKIND</x:v>
      </x:c>
      <x:c r="B22" s="54" t="str">
        <x:v>Anti-infectives</x:v>
      </x:c>
    </x:row>
    <x:row r="23">
      <x:c r="A23" s="53" t="str">
        <x:v>D3 MUST</x:v>
      </x:c>
      <x:c r="B23" s="54" t="str">
        <x:v>Vitamins/minerals/nutrients</x:v>
      </x:c>
    </x:row>
    <x:row r="24">
      <x:c r="A24" s="53" t="str">
        <x:v>PLACIDA</x:v>
      </x:c>
      <x:c r="B24" s="54" t="str">
        <x:v>Neuro / CNS</x:v>
      </x:c>
    </x:row>
    <x:row r="25">
      <x:c r="A25" s="53" t="str">
        <x:v>ZENFLOX</x:v>
      </x:c>
      <x:c r="B25" s="54" t="str">
        <x:v>Anti-infectives</x:v>
      </x:c>
    </x:row>
    <x:row r="26">
      <x:c r="A26" s="53" t="str">
        <x:v>HEALTH OK</x:v>
      </x:c>
      <x:c r="B26" s="54" t="str">
        <x:v>Vitamins/minerals/nutrients</x:v>
      </x:c>
    </x:row>
    <x:row r="27">
      <x:c r="A27" s="53" t="str">
        <x:v>MONTICOPE-A</x:v>
      </x:c>
      <x:c r="B27" s="54" t="str">
        <x:v>Respiratory</x:v>
      </x:c>
    </x:row>
    <x:row r="28">
      <x:c r="A28" s="53" t="str">
        <x:v>FLOZEN-AA</x:v>
      </x:c>
      <x:c r="B28" s="54" t="str">
        <x:v>Pain / analgesics</x:v>
      </x:c>
    </x:row>
    <x:row r="29">
      <x:c r="A29" s="53" t="str">
        <x:v>NOBEL</x:v>
      </x:c>
      <x:c r="B29" s="54" t="str">
        <x:v>Pain / analgesics</x:v>
      </x:c>
    </x:row>
    <x:row r="30">
      <x:c r="A30" s="53" t="str">
        <x:v>BANDY</x:v>
      </x:c>
      <x:c r="B30" s="54" t="str">
        <x:v>Anti-infectives</x:v>
      </x:c>
    </x:row>
    <x:row r="31">
      <x:c r="A31" s="53" t="str">
        <x:v>MAHAFLOX</x:v>
      </x:c>
      <x:c r="B31" s="54" t="str">
        <x:v>Anti-infectives</x:v>
      </x:c>
    </x:row>
    <x:row r="32">
      <x:c r="A32" s="53" t="str">
        <x:v>T-98</x:v>
      </x:c>
      <x:c r="B32" s="54" t="str">
        <x:v>Pain / analgesics</x:v>
      </x:c>
    </x:row>
    <x:row r="33">
      <x:c r="A33" s="53" t="str">
        <x:v>ASTHAKIND</x:v>
      </x:c>
      <x:c r="B33" s="54" t="str">
        <x:v>Respiratory</x:v>
      </x:c>
    </x:row>
    <x:row r="34">
      <x:c r="A34" s="53" t="str">
        <x:v>NUROKIND PLUS-RF</x:v>
      </x:c>
      <x:c r="B34" s="54" t="str">
        <x:v>Vitamins/minerals/nutrients</x:v>
      </x:c>
    </x:row>
    <x:row r="35">
      <x:c r="A35" s="53" t="str">
        <x:v>HISTAFREE</x:v>
      </x:c>
      <x:c r="B35" s="54" t="str">
        <x:v>Respiratory</x:v>
      </x:c>
    </x:row>
    <x:row r="36">
      <x:c r="A36" s="53" t="str">
        <x:v>RABEKIND</x:v>
      </x:c>
      <x:c r="B36" s="54" t="str">
        <x:v>Gastrointestinal</x:v>
      </x:c>
    </x:row>
    <x:row r="37">
      <x:c r="A37" s="53" t="str">
        <x:v>MEFKIND</x:v>
      </x:c>
      <x:c r="B37" s="54" t="str">
        <x:v>Pain / analgesics</x:v>
      </x:c>
    </x:row>
    <x:row r="38">
      <x:c r="A38" s="53" t="str">
        <x:v>NUROKIND</x:v>
      </x:c>
      <x:c r="B38" s="54" t="str">
        <x:v>Vitamins/minerals/nutrients</x:v>
      </x:c>
    </x:row>
    <x:row r="39">
      <x:c r="A39" s="53" t="str">
        <x:v>HICOPE</x:v>
      </x:c>
      <x:c r="B39" s="54" t="str">
        <x:v>Respiratory</x:v>
      </x:c>
    </x:row>
    <x:row r="40">
      <x:c r="A40" s="53" t="str">
        <x:v>VERTISTAR</x:v>
      </x:c>
      <x:c r="B40" s="54" t="str">
        <x:v>Neuro / CNS</x:v>
      </x:c>
    </x:row>
    <x:row r="41">
      <x:c r="A41" s="53" t="str">
        <x:v>NIMULID</x:v>
      </x:c>
      <x:c r="B41" s="54" t="str">
        <x:v>Pain / analgesics</x:v>
      </x:c>
    </x:row>
    <x:row r="42">
      <x:c r="A42" s="53" t="str">
        <x:v>RANIDOM-O R.F.</x:v>
      </x:c>
      <x:c r="B42" s="54" t="str">
        <x:v>Gastrointestinal</x:v>
      </x:c>
    </x:row>
    <x:row r="43">
      <x:c r="A43" s="53" t="str">
        <x:v>CLONAFIT</x:v>
      </x:c>
      <x:c r="B43" s="54" t="str">
        <x:v>Neuro / CNS</x:v>
      </x:c>
    </x:row>
    <x:row r="44">
      <x:c r="A44" s="53" t="str">
        <x:v>TELMIKIND</x:v>
      </x:c>
      <x:c r="B44" s="54" t="str">
        <x:v>Cardiac</x:v>
      </x:c>
    </x:row>
    <x:row r="45">
      <x:c r="A45" s="53" t="str">
        <x:v>LECOPE-M</x:v>
      </x:c>
      <x:c r="B45" s="54" t="str">
        <x:v>Respiratory</x:v>
      </x:c>
    </x:row>
    <x:row r="46">
      <x:c r="A46" s="53" t="str">
        <x:v>CANDIFORCE</x:v>
      </x:c>
      <x:c r="B46" s="54" t="str">
        <x:v>Derma</x:v>
      </x:c>
    </x:row>
    <x:row r="47">
      <x:c r="A47" s="53" t="str">
        <x:v>NUCORT-M</x:v>
      </x:c>
      <x:c r="B47" s="54" t="str">
        <x:v>Respiratory</x:v>
      </x:c>
    </x:row>
    <x:row r="48">
      <x:c r="A48" s="53" t="str">
        <x:v>ASTHAKIND-LS</x:v>
      </x:c>
      <x:c r="B48" s="54" t="str">
        <x:v>Respiratory</x:v>
      </x:c>
    </x:row>
    <x:row r="49">
      <x:c r="A49" s="53" t="str">
        <x:v>CALDIKIND PLUS</x:v>
      </x:c>
      <x:c r="B49" s="54" t="str">
        <x:v>Vitamins/minerals/nutrients</x:v>
      </x:c>
    </x:row>
    <x:row r="50">
      <x:c r="A50" s="53" t="str">
        <x:v>LECOPE</x:v>
      </x:c>
      <x:c r="B50" s="54" t="str">
        <x:v>Respiratory</x:v>
      </x:c>
    </x:row>
    <x:row r="51">
      <x:c r="A51" s="53" t="str">
        <x:v>HISTAFREE-M</x:v>
      </x:c>
      <x:c r="B51" s="54" t="str">
        <x:v>Respiratory</x:v>
      </x:c>
    </x:row>
    <x:row r="52">
      <x:c r="A52" s="53" t="str">
        <x:v>VENTIDOX-M</x:v>
      </x:c>
      <x:c r="B52" s="54" t="str">
        <x:v>Respiratory</x:v>
      </x:c>
    </x:row>
    <x:row r="53">
      <x:c r="A53" s="53" t="str">
        <x:v>CLARINOVA</x:v>
      </x:c>
      <x:c r="B53" s="54" t="str">
        <x:v>Anti-infectives</x:v>
      </x:c>
    </x:row>
    <x:row r="54">
      <x:c r="A54" s="53" t="str">
        <x:v>CEFAKIND-CV</x:v>
      </x:c>
      <x:c r="B54" s="54" t="str">
        <x:v>Anti-infectives</x:v>
      </x:c>
    </x:row>
    <x:row r="55">
      <x:c r="A55" s="53" t="str">
        <x:v>VONALONG</x:v>
      </x:c>
      <x:c r="B55" s="54" t="str">
        <x:v>Gastrointestinal</x:v>
      </x:c>
    </x:row>
    <x:row r="56">
      <x:c r="A56" s="53" t="str">
        <x:v>RANIDOM-RD</x:v>
      </x:c>
      <x:c r="B56" s="54" t="str">
        <x:v>Gastrointestinal</x:v>
      </x:c>
    </x:row>
    <x:row r="57">
      <x:c r="A57" s="53" t="str">
        <x:v>DYDROBOON</x:v>
      </x:c>
      <x:c r="B57" s="54" t="str">
        <x:v>Gynaec</x:v>
      </x:c>
    </x:row>
    <x:row r="58">
      <x:c r="A58" s="53" t="str">
        <x:v>MAHACEF-XL NEW</x:v>
      </x:c>
      <x:c r="B58" s="54" t="str">
        <x:v>Anti-infectives</x:v>
      </x:c>
    </x:row>
    <x:row r="59">
      <x:c r="A59" s="53" t="str">
        <x:v>RANIDOM</x:v>
      </x:c>
      <x:c r="B59" s="54" t="str">
        <x:v>Gastrointestinal</x:v>
      </x:c>
    </x:row>
    <x:row r="60">
      <x:c r="A60" s="53" t="str">
        <x:v>GUDLAX-PLUS</x:v>
      </x:c>
      <x:c r="B60" s="54" t="str">
        <x:v>Gastrointestinal</x:v>
      </x:c>
    </x:row>
    <x:row r="61">
      <x:c r="A61" s="53" t="str">
        <x:v>FYNAL</x:v>
      </x:c>
      <x:c r="B61" s="54" t="str">
        <x:v>Anti-infectives</x:v>
      </x:c>
    </x:row>
    <x:row r="62">
      <x:c r="A62" s="53" t="str">
        <x:v>GLIMESTAR-M</x:v>
      </x:c>
      <x:c r="B62" s="54" t="str">
        <x:v>Anti-diabetic</x:v>
      </x:c>
    </x:row>
    <x:row r="63">
      <x:c r="A63" s="53" t="str">
        <x:v>MAHACEF-PLUS</x:v>
      </x:c>
      <x:c r="B63" s="54" t="str">
        <x:v>Anti-infectives</x:v>
      </x:c>
    </x:row>
    <x:row r="64">
      <x:c r="A64" s="53" t="str">
        <x:v>TELMIKIND-AM</x:v>
      </x:c>
      <x:c r="B64" s="54" t="str">
        <x:v>Cardiac</x:v>
      </x:c>
    </x:row>
    <x:row r="65">
      <x:c r="A65" s="53" t="str">
        <x:v>DROTIKIND-M</x:v>
      </x:c>
      <x:c r="B65" s="54" t="str">
        <x:v>Gastrointestinal</x:v>
      </x:c>
    </x:row>
    <x:row r="66">
      <x:c r="A66" s="53" t="str">
        <x:v>CODISTAR-DX</x:v>
      </x:c>
      <x:c r="B66" s="54" t="str">
        <x:v>Respiratory</x:v>
      </x:c>
    </x:row>
    <x:row r="67">
      <x:c r="A67" s="53" t="str">
        <x:v>MAHACEF CV</x:v>
      </x:c>
      <x:c r="B67" s="54" t="str">
        <x:v>Anti-infectives</x:v>
      </x:c>
    </x:row>
    <x:row r="68">
      <x:c r="A68" s="53" t="str">
        <x:v>TERBINAFORCE</x:v>
      </x:c>
      <x:c r="B68" s="54" t="str">
        <x:v>Derma</x:v>
      </x:c>
    </x:row>
    <x:row r="69">
      <x:c r="A69" s="53" t="str">
        <x:v>NUROKIND FORTE Z</x:v>
      </x:c>
      <x:c r="B69" s="54" t="str">
        <x:v>Vitamins/minerals/nutrients</x:v>
      </x:c>
    </x:row>
    <x:row r="70">
      <x:c r="A70" s="53" t="str">
        <x:v>GUDCEF-XL NEW</x:v>
      </x:c>
      <x:c r="B70" s="54" t="str">
        <x:v>Anti-infectives</x:v>
      </x:c>
    </x:row>
    <x:row r="71">
      <x:c r="A71" s="53" t="str">
        <x:v>ZENFLOX-PLUS</x:v>
      </x:c>
      <x:c r="B71" s="54" t="str">
        <x:v>Anti-infectives</x:v>
      </x:c>
    </x:row>
    <x:row r="72">
      <x:c r="A72" s="53" t="str">
        <x:v>TOBASTAR</x:v>
      </x:c>
      <x:c r="B72" s="54" t="str">
        <x:v>Anti-infectives</x:v>
      </x:c>
    </x:row>
    <x:row r="73">
      <x:c r="A73" s="53" t="str">
        <x:v>URIKIND</x:v>
      </x:c>
      <x:c r="B73" s="54" t="str">
        <x:v>Gastrointestinal</x:v>
      </x:c>
    </x:row>
    <x:row r="74">
      <x:c r="A74" s="53" t="str">
        <x:v>AMLOKIND</x:v>
      </x:c>
      <x:c r="B74" s="54" t="str">
        <x:v>Cardiac</x:v>
      </x:c>
    </x:row>
    <x:row r="75">
      <x:c r="A75" s="53" t="str">
        <x:v>BRUTACEF</x:v>
      </x:c>
      <x:c r="B75" s="54" t="str">
        <x:v>Anti-infectives</x:v>
      </x:c>
    </x:row>
    <x:row r="76">
      <x:c r="A76" s="53" t="str">
        <x:v>AMLOKIND-AT</x:v>
      </x:c>
      <x:c r="B76" s="54" t="str">
        <x:v>Cardiac</x:v>
      </x:c>
    </x:row>
    <x:row r="77">
      <x:c r="A77" s="53" t="str">
        <x:v>DOLOKIND-AA</x:v>
      </x:c>
      <x:c r="B77" s="54" t="str">
        <x:v>Pain / analgesics</x:v>
      </x:c>
    </x:row>
    <x:row r="78">
      <x:c r="A78" s="53" t="str">
        <x:v>GUT OK</x:v>
      </x:c>
      <x:c r="B78" s="54" t="str">
        <x:v>Gastrointestinal</x:v>
      </x:c>
    </x:row>
    <x:row r="79">
      <x:c r="A79" s="53" t="str">
        <x:v>NOBEL-PLUS</x:v>
      </x:c>
      <x:c r="B79" s="54" t="str">
        <x:v>Pain / analgesics</x:v>
      </x:c>
    </x:row>
    <x:row r="80">
      <x:c r="A80" s="53" t="str">
        <x:v>BRUTAFLAM-MR</x:v>
      </x:c>
      <x:c r="B80" s="54" t="str">
        <x:v>Pain / analgesics</x:v>
      </x:c>
    </x:row>
    <x:row r="81">
      <x:c r="A81" s="53" t="str">
        <x:v>CALDIKIND</x:v>
      </x:c>
      <x:c r="B81" s="54" t="str">
        <x:v>Vitamins/minerals/nutrients</x:v>
      </x:c>
    </x:row>
    <x:row r="82">
      <x:c r="A82" s="53" t="str">
        <x:v>NUFORCE</x:v>
      </x:c>
      <x:c r="B82" s="54" t="str">
        <x:v>Derma</x:v>
      </x:c>
    </x:row>
    <x:row r="83">
      <x:c r="A83" s="53" t="str">
        <x:v>NOBEL PLUS ORAL</x:v>
      </x:c>
      <x:c r="B83" s="54" t="str">
        <x:v>Pain / analgesics</x:v>
      </x:c>
    </x:row>
    <x:row r="84">
      <x:c r="A84" s="55" t="str">
        <x:v>DOLOKIND-AQUA</x:v>
      </x:c>
      <x:c r="B84" s="56" t="str">
        <x:v>Pain / analgesics</x:v>
      </x:c>
    </x:row>
  </x:sheetData>
  <x:mergeCells>
    <x:mergeCell ref="A1:B1"/>
  </x:mergeCells>
  <x:dataValidations count="1">
    <x:dataValidation type="list" sqref="B4:B84">
      <x:formula1>"Cardiac,Anti-infectives,Gynaec,Gastrointestinal,Anti-diabetic,Vitamins/minerals/nutrients,Respiratory,Derma,Pain / analgesics,Neuro / CNS"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289143380c48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5" hidden="0" customWidth="1"/>
    <x:col min="3" max="3" width="27" hidden="0" customWidth="1"/>
    <x:col min="4" max="4" width="12" hidden="0" customWidth="1"/>
    <x:col min="5" max="5" width="48" hidden="0" customWidth="1"/>
    <x:col min="6" max="6" width="65" hidden="0" customWidth="1"/>
  </x:cols>
  <x:sheetData>
    <x:row r="1">
      <x:c r="A1" s="66" t="str">
        <x:v>Brand name</x:v>
      </x:c>
      <x:c r="B1" s="66" t="str">
        <x:v>Generic / composition</x:v>
      </x:c>
      <x:c r="C1" s="66" t="str">
        <x:v>Assigned category</x:v>
      </x:c>
      <x:c r="D1" s="66" t="str">
        <x:v>Confidence</x:v>
      </x:c>
      <x:c r="E1" s="66" t="str">
        <x:v>Classification note</x:v>
      </x:c>
      <x:c r="F1" s="66" t="str">
        <x:v>Source URL</x:v>
      </x:c>
    </x:row>
    <x:row r="2">
      <x:c r="A2" s="74" t="str">
        <x:v>MOXIKIND-CV</x:v>
      </x:c>
      <x:c r="B2" s="74" t="str">
        <x:v>Amoxicillin + clavulanic acid</x:v>
      </x:c>
      <x:c r="C2" s="74" t="str">
        <x:v>Anti-infectives</x:v>
      </x:c>
      <x:c r="D2" s="74" t="str">
        <x:v>High</x:v>
      </x:c>
      <x:c r="E2" s="74" t="str"/>
      <x:c r="F2" s="74" t="str">
        <x:v>https://www.mankindpharma.com/products/all-products/</x:v>
      </x:c>
    </x:row>
    <x:row r="3">
      <x:c r="A3" s="74" t="str">
        <x:v>VOMIKIND</x:v>
      </x:c>
      <x:c r="B3" s="74" t="str">
        <x:v>Ondansetron</x:v>
      </x:c>
      <x:c r="C3" s="74" t="str">
        <x:v>Gastrointestinal</x:v>
      </x:c>
      <x:c r="D3" s="74" t="str">
        <x:v>High</x:v>
      </x:c>
      <x:c r="E3" s="74" t="str">
        <x:v>Antiemetic</x:v>
      </x:c>
      <x:c r="F3" s="74" t="str">
        <x:v>https://www.mankindpharma.com/products/all-products/</x:v>
      </x:c>
    </x:row>
    <x:row r="4">
      <x:c r="A4" s="74" t="str">
        <x:v>BANDY-PLUS</x:v>
      </x:c>
      <x:c r="B4" s="74" t="str">
        <x:v>Albendazole + ivermectin</x:v>
      </x:c>
      <x:c r="C4" s="74" t="str">
        <x:v>Anti-infectives</x:v>
      </x:c>
      <x:c r="D4" s="74" t="str">
        <x:v>High</x:v>
      </x:c>
      <x:c r="E4" s="74" t="str">
        <x:v>Anthelmintic</x:v>
      </x:c>
      <x:c r="F4" s="74" t="str">
        <x:v>https://www.mankindpharma.com/products/all-products/</x:v>
      </x:c>
    </x:row>
    <x:row r="5">
      <x:c r="A5" s="74" t="str">
        <x:v>GUDCEF</x:v>
      </x:c>
      <x:c r="B5" s="74" t="str">
        <x:v>Cefpodoxime proxetil</x:v>
      </x:c>
      <x:c r="C5" s="74" t="str">
        <x:v>Anti-infectives</x:v>
      </x:c>
      <x:c r="D5" s="74" t="str">
        <x:v>High</x:v>
      </x:c>
      <x:c r="E5" s="74" t="str"/>
      <x:c r="F5" s="74" t="str">
        <x:v>https://www.mankindpharma.com/products/all-products/</x:v>
      </x:c>
    </x:row>
    <x:row r="6">
      <x:c r="A6" s="74" t="str">
        <x:v>MAHACEF</x:v>
      </x:c>
      <x:c r="B6" s="74" t="str">
        <x:v>Cefixime</x:v>
      </x:c>
      <x:c r="C6" s="74" t="str">
        <x:v>Anti-infectives</x:v>
      </x:c>
      <x:c r="D6" s="74" t="str">
        <x:v>High</x:v>
      </x:c>
      <x:c r="E6" s="74" t="str"/>
      <x:c r="F6" s="74" t="str">
        <x:v>https://www.mankindpharma.com/products/all-products/</x:v>
      </x:c>
    </x:row>
    <x:row r="7">
      <x:c r="A7" s="74" t="str">
        <x:v>MONTICOPE</x:v>
      </x:c>
      <x:c r="B7" s="74" t="str">
        <x:v>Levocetirizine + montelukast</x:v>
      </x:c>
      <x:c r="C7" s="74" t="str">
        <x:v>Respiratory</x:v>
      </x:c>
      <x:c r="D7" s="74" t="str">
        <x:v>High</x:v>
      </x:c>
      <x:c r="E7" s="74" t="str">
        <x:v>Allergy/asthma</x:v>
      </x:c>
      <x:c r="F7" s="74" t="str">
        <x:v>https://www.mankindpharma.com/products/all-products/</x:v>
      </x:c>
    </x:row>
    <x:row r="8">
      <x:c r="A8" s="74" t="str">
        <x:v>ZADY</x:v>
      </x:c>
      <x:c r="B8" s="74" t="str">
        <x:v>Azithromycin</x:v>
      </x:c>
      <x:c r="C8" s="74" t="str">
        <x:v>Anti-infectives</x:v>
      </x:c>
      <x:c r="D8" s="74" t="str">
        <x:v>High</x:v>
      </x:c>
      <x:c r="E8" s="74" t="str"/>
      <x:c r="F8" s="74" t="str">
        <x:v>https://www.mankindpharma.com/products/all-products/</x:v>
      </x:c>
    </x:row>
    <x:row r="9">
      <x:c r="A9" s="74" t="str">
        <x:v>PANTAKIND-DSR</x:v>
      </x:c>
      <x:c r="B9" s="74" t="str">
        <x:v>Domperidone + pantoprazole</x:v>
      </x:c>
      <x:c r="C9" s="74" t="str">
        <x:v>Gastrointestinal</x:v>
      </x:c>
      <x:c r="D9" s="74" t="str">
        <x:v>High</x:v>
      </x:c>
      <x:c r="E9" s="74" t="str"/>
      <x:c r="F9" s="74" t="str">
        <x:v>https://www.mankindpharma.com/products/all-products/</x:v>
      </x:c>
    </x:row>
    <x:row r="10">
      <x:c r="A10" s="74" t="str">
        <x:v>ZENFLOX-OZ</x:v>
      </x:c>
      <x:c r="B10" s="74" t="str">
        <x:v>Ofloxacin + ornidazole</x:v>
      </x:c>
      <x:c r="C10" s="74" t="str">
        <x:v>Anti-infectives</x:v>
      </x:c>
      <x:c r="D10" s="74" t="str">
        <x:v>High</x:v>
      </x:c>
      <x:c r="E10" s="74" t="str"/>
      <x:c r="F10" s="74" t="str">
        <x:v>https://www.mankindpharma.com/products/all-products/</x:v>
      </x:c>
    </x:row>
    <x:row r="11">
      <x:c r="A11" s="74" t="str">
        <x:v>NUROKIND-LC</x:v>
      </x:c>
      <x:c r="B11" s="74" t="str">
        <x:v>Folic acid + levocarnitine + mecobalamin</x:v>
      </x:c>
      <x:c r="C11" s="74" t="str">
        <x:v>Vitamins/minerals/nutrients</x:v>
      </x:c>
      <x:c r="D11" s="74" t="str">
        <x:v>High</x:v>
      </x:c>
      <x:c r="E11" s="74" t="str">
        <x:v>Nutritional/nerve-health supplement</x:v>
      </x:c>
      <x:c r="F11" s="74" t="str">
        <x:v>https://www.mankindpharma.com/products/all-products/</x:v>
      </x:c>
    </x:row>
    <x:row r="12">
      <x:c r="A12" s="74" t="str">
        <x:v>FLORA-BC</x:v>
      </x:c>
      <x:c r="B12" s="74" t="str">
        <x:v>Probiotic with B-vitamins/folic acid</x:v>
      </x:c>
      <x:c r="C12" s="74" t="str">
        <x:v>Gastrointestinal</x:v>
      </x:c>
      <x:c r="D12" s="74" t="str">
        <x:v>High</x:v>
      </x:c>
      <x:c r="E12" s="74" t="str">
        <x:v>Gut flora/probiotic</x:v>
      </x:c>
      <x:c r="F12" s="74" t="str">
        <x:v>https://www.1mg.com/otc/flora-bc-capsule-otc64536</x:v>
      </x:c>
    </x:row>
    <x:row r="13">
      <x:c r="A13" s="74" t="str">
        <x:v>ASTHAKIND-DX</x:v>
      </x:c>
      <x:c r="B13" s="74" t="str">
        <x:v>Chlorpheniramine + dextromethorphan + phenylephrine</x:v>
      </x:c>
      <x:c r="C13" s="74" t="str">
        <x:v>Respiratory</x:v>
      </x:c>
      <x:c r="D13" s="74" t="str">
        <x:v>High</x:v>
      </x:c>
      <x:c r="E13" s="74" t="str"/>
      <x:c r="F13" s="74" t="str">
        <x:v>https://www.mankindpharma.com/products/all-products/</x:v>
      </x:c>
    </x:row>
    <x:row r="14">
      <x:c r="A14" s="74" t="str">
        <x:v>PANTAKIND</x:v>
      </x:c>
      <x:c r="B14" s="74" t="str">
        <x:v>Pantoprazole</x:v>
      </x:c>
      <x:c r="C14" s="74" t="str">
        <x:v>Gastrointestinal</x:v>
      </x:c>
      <x:c r="D14" s="74" t="str">
        <x:v>High</x:v>
      </x:c>
      <x:c r="E14" s="74" t="str"/>
      <x:c r="F14" s="74" t="str">
        <x:v>https://www.mankindpharma.com/products/all-products/</x:v>
      </x:c>
    </x:row>
    <x:row r="15">
      <x:c r="A15" s="74" t="str">
        <x:v>MOXIFORCE-CV</x:v>
      </x:c>
      <x:c r="B15" s="74" t="str">
        <x:v>Amoxicillin + clavulanic acid</x:v>
      </x:c>
      <x:c r="C15" s="74" t="str">
        <x:v>Anti-infectives</x:v>
      </x:c>
      <x:c r="D15" s="74" t="str">
        <x:v>High</x:v>
      </x:c>
      <x:c r="E15" s="74" t="str"/>
      <x:c r="F15" s="74" t="str">
        <x:v>https://www.mankindpharma.com/products/all-products/</x:v>
      </x:c>
    </x:row>
    <x:row r="16">
      <x:c r="A16" s="74" t="str">
        <x:v>RABEKIND-DSR</x:v>
      </x:c>
      <x:c r="B16" s="74" t="str">
        <x:v>Domperidone + rabeprazole</x:v>
      </x:c>
      <x:c r="C16" s="74" t="str">
        <x:v>Gastrointestinal</x:v>
      </x:c>
      <x:c r="D16" s="74" t="str">
        <x:v>High</x:v>
      </x:c>
      <x:c r="E16" s="74" t="str"/>
      <x:c r="F16" s="74" t="str">
        <x:v>https://www.mankindpharma.com/products/all-products/</x:v>
      </x:c>
    </x:row>
    <x:row r="17">
      <x:c r="A17" s="74" t="str">
        <x:v>DOLOKIND PLUS</x:v>
      </x:c>
      <x:c r="B17" s="74" t="str">
        <x:v>Aceclofenac + paracetamol</x:v>
      </x:c>
      <x:c r="C17" s="74" t="str">
        <x:v>Pain / analgesics</x:v>
      </x:c>
      <x:c r="D17" s="74" t="str">
        <x:v>High</x:v>
      </x:c>
      <x:c r="E17" s="74" t="str"/>
      <x:c r="F17" s="74" t="str">
        <x:v>https://www.mankindpharma.com/products/all-products/</x:v>
      </x:c>
    </x:row>
    <x:row r="18">
      <x:c r="A18" s="74" t="str">
        <x:v>NUROKIND-GOLD</x:v>
      </x:c>
      <x:c r="B18" s="74" t="str">
        <x:v>Multivitamins and minerals</x:v>
      </x:c>
      <x:c r="C18" s="74" t="str">
        <x:v>Vitamins/minerals/nutrients</x:v>
      </x:c>
      <x:c r="D18" s="74" t="str">
        <x:v>High</x:v>
      </x:c>
      <x:c r="E18" s="74" t="str"/>
      <x:c r="F18" s="74" t="str">
        <x:v>https://www.mankindpharma.com/products/all-products/</x:v>
      </x:c>
    </x:row>
    <x:row r="19">
      <x:c r="A19" s="74" t="str">
        <x:v>GUDCEF-CV</x:v>
      </x:c>
      <x:c r="B19" s="74" t="str">
        <x:v>Cefpodoxime + clavulanic acid</x:v>
      </x:c>
      <x:c r="C19" s="74" t="str">
        <x:v>Anti-infectives</x:v>
      </x:c>
      <x:c r="D19" s="74" t="str">
        <x:v>High</x:v>
      </x:c>
      <x:c r="E19" s="74" t="str"/>
      <x:c r="F19" s="74" t="str">
        <x:v>https://www.mankindpharma.com/products/all-products/</x:v>
      </x:c>
    </x:row>
    <x:row r="20">
      <x:c r="A20" s="74" t="str">
        <x:v>CEFAKIND</x:v>
      </x:c>
      <x:c r="B20" s="74" t="str">
        <x:v>Cefuroxime axetil</x:v>
      </x:c>
      <x:c r="C20" s="74" t="str">
        <x:v>Anti-infectives</x:v>
      </x:c>
      <x:c r="D20" s="74" t="str">
        <x:v>High</x:v>
      </x:c>
      <x:c r="E20" s="74" t="str"/>
      <x:c r="F20" s="74" t="str">
        <x:v>https://www.mankindpharma.com/products/all-products/</x:v>
      </x:c>
    </x:row>
    <x:row r="21">
      <x:c r="A21" s="74" t="str">
        <x:v>D3 MUST</x:v>
      </x:c>
      <x:c r="B21" s="74" t="str">
        <x:v>Colecalciferol (vitamin D3)</x:v>
      </x:c>
      <x:c r="C21" s="74" t="str">
        <x:v>Vitamins/minerals/nutrients</x:v>
      </x:c>
      <x:c r="D21" s="74" t="str">
        <x:v>High</x:v>
      </x:c>
      <x:c r="E21" s="74" t="str"/>
      <x:c r="F21" s="74" t="str">
        <x:v>https://www.mankindpharma.com/products/all-products/</x:v>
      </x:c>
    </x:row>
    <x:row r="22">
      <x:c r="A22" s="74" t="str">
        <x:v>PLACIDA</x:v>
      </x:c>
      <x:c r="B22" s="74" t="str">
        <x:v>Flupentixol + melitracen</x:v>
      </x:c>
      <x:c r="C22" s="74" t="str">
        <x:v>Neuro / CNS</x:v>
      </x:c>
      <x:c r="D22" s="74" t="str">
        <x:v>High</x:v>
      </x:c>
      <x:c r="E22" s="74" t="str"/>
      <x:c r="F22" s="74" t="str">
        <x:v>https://www.mankindpharma.com/products/all-products/</x:v>
      </x:c>
    </x:row>
    <x:row r="23">
      <x:c r="A23" s="74" t="str">
        <x:v>ZENFLOX</x:v>
      </x:c>
      <x:c r="B23" s="74" t="str">
        <x:v>Ofloxacin</x:v>
      </x:c>
      <x:c r="C23" s="74" t="str">
        <x:v>Anti-infectives</x:v>
      </x:c>
      <x:c r="D23" s="74" t="str">
        <x:v>High</x:v>
      </x:c>
      <x:c r="E23" s="74" t="str"/>
      <x:c r="F23" s="74" t="str">
        <x:v>https://www.mankindpharma.com/products/all-products/</x:v>
      </x:c>
    </x:row>
    <x:row r="24">
      <x:c r="A24" s="74" t="str">
        <x:v>HEALTH OK</x:v>
      </x:c>
      <x:c r="B24" s="74" t="str">
        <x:v>Amino acids + multivitamins/minerals + ginseng</x:v>
      </x:c>
      <x:c r="C24" s="74" t="str">
        <x:v>Vitamins/minerals/nutrients</x:v>
      </x:c>
      <x:c r="D24" s="74" t="str">
        <x:v>High</x:v>
      </x:c>
      <x:c r="E24" s="74" t="str"/>
      <x:c r="F24" s="74" t="str">
        <x:v>https://www.mankindpharma.com/products/all-products/</x:v>
      </x:c>
    </x:row>
    <x:row r="25">
      <x:c r="A25" s="74" t="str">
        <x:v>MONTICOPE-A</x:v>
      </x:c>
      <x:c r="B25" s="74" t="str">
        <x:v>Ambroxol + levocetirizine + montelukast</x:v>
      </x:c>
      <x:c r="C25" s="74" t="str">
        <x:v>Respiratory</x:v>
      </x:c>
      <x:c r="D25" s="74" t="str">
        <x:v>High</x:v>
      </x:c>
      <x:c r="E25" s="74" t="str"/>
      <x:c r="F25" s="74" t="str">
        <x:v>https://www.mankindpharma.com/products/all-products/</x:v>
      </x:c>
    </x:row>
    <x:row r="26">
      <x:c r="A26" s="74" t="str">
        <x:v>FLOZEN-AA</x:v>
      </x:c>
      <x:c r="B26" s="74" t="str">
        <x:v>Aceclofenac + paracetamol + serrapeptase</x:v>
      </x:c>
      <x:c r="C26" s="74" t="str">
        <x:v>Pain / analgesics</x:v>
      </x:c>
      <x:c r="D26" s="74" t="str">
        <x:v>High</x:v>
      </x:c>
      <x:c r="E26" s="74" t="str"/>
      <x:c r="F26" s="74" t="str">
        <x:v>https://www.mankindpharma.com/products/all-products/</x:v>
      </x:c>
    </x:row>
    <x:row r="27">
      <x:c r="A27" s="74" t="str">
        <x:v>NOBEL</x:v>
      </x:c>
      <x:c r="B27" s="74" t="str">
        <x:v>Nimesulide / topical analgesic variants</x:v>
      </x:c>
      <x:c r="C27" s="74" t="str">
        <x:v>Pain / analgesics</x:v>
      </x:c>
      <x:c r="D27" s="74" t="str">
        <x:v>High</x:v>
      </x:c>
      <x:c r="E27" s="74" t="str"/>
      <x:c r="F27" s="74" t="str">
        <x:v>https://www.mankindpharma.com/products/all-products/</x:v>
      </x:c>
    </x:row>
    <x:row r="28">
      <x:c r="A28" s="74" t="str">
        <x:v>BANDY</x:v>
      </x:c>
      <x:c r="B28" s="74" t="str">
        <x:v>Albendazole</x:v>
      </x:c>
      <x:c r="C28" s="74" t="str">
        <x:v>Anti-infectives</x:v>
      </x:c>
      <x:c r="D28" s="74" t="str">
        <x:v>High</x:v>
      </x:c>
      <x:c r="E28" s="74" t="str">
        <x:v>Anthelmintic</x:v>
      </x:c>
      <x:c r="F28" s="74" t="str">
        <x:v>https://www.mankindpharma.com/products/all-products/</x:v>
      </x:c>
    </x:row>
    <x:row r="29">
      <x:c r="A29" s="74" t="str">
        <x:v>MAHAFLOX</x:v>
      </x:c>
      <x:c r="B29" s="74" t="str">
        <x:v>Moxifloxacin ophthalmic</x:v>
      </x:c>
      <x:c r="C29" s="74" t="str">
        <x:v>Anti-infectives</x:v>
      </x:c>
      <x:c r="D29" s="74" t="str">
        <x:v>Medium</x:v>
      </x:c>
      <x:c r="E29" s="74" t="str">
        <x:v>Ophthalmology product mapped by anti-infective mechanism</x:v>
      </x:c>
      <x:c r="F29" s="74" t="str">
        <x:v>https://www.mankindpharma.com/products/all-products/</x:v>
      </x:c>
    </x:row>
    <x:row r="30">
      <x:c r="A30" s="74" t="str">
        <x:v>T-98</x:v>
      </x:c>
      <x:c r="B30" s="74" t="str">
        <x:v>Paracetamol</x:v>
      </x:c>
      <x:c r="C30" s="74" t="str">
        <x:v>Pain / analgesics</x:v>
      </x:c>
      <x:c r="D30" s="74" t="str">
        <x:v>High</x:v>
      </x:c>
      <x:c r="E30" s="74" t="str"/>
      <x:c r="F30" s="74" t="str">
        <x:v>https://www.mankindpharma.com/products/all-products/</x:v>
      </x:c>
    </x:row>
    <x:row r="31">
      <x:c r="A31" s="74" t="str">
        <x:v>ASTHAKIND</x:v>
      </x:c>
      <x:c r="B31" s="74" t="str">
        <x:v>Bromhexine + guaifenesin + menthol + terbutaline</x:v>
      </x:c>
      <x:c r="C31" s="74" t="str">
        <x:v>Respiratory</x:v>
      </x:c>
      <x:c r="D31" s="74" t="str">
        <x:v>High</x:v>
      </x:c>
      <x:c r="E31" s="74" t="str"/>
      <x:c r="F31" s="74" t="str">
        <x:v>https://www.mankindpharma.com/products/all-products/</x:v>
      </x:c>
    </x:row>
    <x:row r="32">
      <x:c r="A32" s="74" t="str">
        <x:v>NUROKIND PLUS-RF</x:v>
      </x:c>
      <x:c r="B32" s="74" t="str">
        <x:v>Mecobalamin + nicotinamide + pyridoxine</x:v>
      </x:c>
      <x:c r="C32" s="74" t="str">
        <x:v>Vitamins/minerals/nutrients</x:v>
      </x:c>
      <x:c r="D32" s="74" t="str">
        <x:v>High</x:v>
      </x:c>
      <x:c r="E32" s="74" t="str"/>
      <x:c r="F32" s="74" t="str">
        <x:v>https://www.mankindpharma.com/products/all-products/</x:v>
      </x:c>
    </x:row>
    <x:row r="33">
      <x:c r="A33" s="74" t="str">
        <x:v>HISTAFREE</x:v>
      </x:c>
      <x:c r="B33" s="74" t="str">
        <x:v>Fexofenadine / olopatadine variants</x:v>
      </x:c>
      <x:c r="C33" s="74" t="str">
        <x:v>Respiratory</x:v>
      </x:c>
      <x:c r="D33" s="74" t="str">
        <x:v>Medium</x:v>
      </x:c>
      <x:c r="E33" s="74" t="str">
        <x:v>Mapped to respiratory based on the oral anti-allergy franchise</x:v>
      </x:c>
      <x:c r="F33" s="74" t="str">
        <x:v>https://www.mankindpharma.com/products/all-products/</x:v>
      </x:c>
    </x:row>
    <x:row r="34">
      <x:c r="A34" s="74" t="str">
        <x:v>RABEKIND</x:v>
      </x:c>
      <x:c r="B34" s="74" t="str">
        <x:v>Rabeprazole</x:v>
      </x:c>
      <x:c r="C34" s="74" t="str">
        <x:v>Gastrointestinal</x:v>
      </x:c>
      <x:c r="D34" s="74" t="str">
        <x:v>High</x:v>
      </x:c>
      <x:c r="E34" s="74" t="str"/>
      <x:c r="F34" s="74" t="str">
        <x:v>https://www.mankindpharma.com/products/all-products/</x:v>
      </x:c>
    </x:row>
    <x:row r="35">
      <x:c r="A35" s="74" t="str">
        <x:v>MEFKIND</x:v>
      </x:c>
      <x:c r="B35" s="74" t="str">
        <x:v>Mefenamic acid + paracetamol</x:v>
      </x:c>
      <x:c r="C35" s="74" t="str">
        <x:v>Pain / analgesics</x:v>
      </x:c>
      <x:c r="D35" s="74" t="str">
        <x:v>High</x:v>
      </x:c>
      <x:c r="E35" s="74" t="str"/>
      <x:c r="F35" s="74" t="str">
        <x:v>https://www.mankindpharma.com/products/all-products/</x:v>
      </x:c>
    </x:row>
    <x:row r="36">
      <x:c r="A36" s="74" t="str">
        <x:v>NUROKIND</x:v>
      </x:c>
      <x:c r="B36" s="74" t="str">
        <x:v>Mecobalamin / multivitamin-mineral variants</x:v>
      </x:c>
      <x:c r="C36" s="74" t="str">
        <x:v>Vitamins/minerals/nutrients</x:v>
      </x:c>
      <x:c r="D36" s="74" t="str">
        <x:v>High</x:v>
      </x:c>
      <x:c r="E36" s="74" t="str"/>
      <x:c r="F36" s="74" t="str">
        <x:v>https://www.mankindpharma.com/products/all-products/</x:v>
      </x:c>
    </x:row>
    <x:row r="37">
      <x:c r="A37" s="74" t="str">
        <x:v>HICOPE</x:v>
      </x:c>
      <x:c r="B37" s="74" t="str">
        <x:v>Hydroxyzine; topical calamine/pramocaine variant also exists</x:v>
      </x:c>
      <x:c r="C37" s="74" t="str">
        <x:v>Respiratory</x:v>
      </x:c>
      <x:c r="D37" s="74" t="str">
        <x:v>Medium</x:v>
      </x:c>
      <x:c r="E37" s="74" t="str">
        <x:v>Oral product is classified as respiratory/anti-allergic</x:v>
      </x:c>
      <x:c r="F37" s="74" t="str">
        <x:v>https://www.mankindpharma.com/products/all-products/ | https://www.1mg.com/drugs/hicope-syrup-75683</x:v>
      </x:c>
    </x:row>
    <x:row r="38">
      <x:c r="A38" s="74" t="str">
        <x:v>VERTISTAR</x:v>
      </x:c>
      <x:c r="B38" s="74" t="str">
        <x:v>Betahistine</x:v>
      </x:c>
      <x:c r="C38" s="74" t="str">
        <x:v>Neuro / CNS</x:v>
      </x:c>
      <x:c r="D38" s="74" t="str">
        <x:v>Medium</x:v>
      </x:c>
      <x:c r="E38" s="74" t="str">
        <x:v>Anti-vertigo/inner-ear therapy mapped to Neuro / CNS</x:v>
      </x:c>
      <x:c r="F38" s="74" t="str">
        <x:v>https://www.mankindpharma.com/products/all-products/</x:v>
      </x:c>
    </x:row>
    <x:row r="39">
      <x:c r="A39" s="74" t="str">
        <x:v>NIMULID</x:v>
      </x:c>
      <x:c r="B39" s="74" t="str">
        <x:v>Nimesulide</x:v>
      </x:c>
      <x:c r="C39" s="74" t="str">
        <x:v>Pain / analgesics</x:v>
      </x:c>
      <x:c r="D39" s="74" t="str">
        <x:v>High</x:v>
      </x:c>
      <x:c r="E39" s="74" t="str"/>
      <x:c r="F39" s="74" t="str">
        <x:v>https://www.mankindpharma.com/products/all-products/</x:v>
      </x:c>
    </x:row>
    <x:row r="40">
      <x:c r="A40" s="74" t="str">
        <x:v>RANIDOM-O R.F.</x:v>
      </x:c>
      <x:c r="B40" s="74" t="str">
        <x:v>Domperidone + esomeprazole or antacid/oxetacaine variant</x:v>
      </x:c>
      <x:c r="C40" s="74" t="str">
        <x:v>Gastrointestinal</x:v>
      </x:c>
      <x:c r="D40" s="74" t="str">
        <x:v>High</x:v>
      </x:c>
      <x:c r="E40" s="74" t="str"/>
      <x:c r="F40" s="74" t="str">
        <x:v>https://www.mankindpharma.com/products/all-products/</x:v>
      </x:c>
    </x:row>
    <x:row r="41">
      <x:c r="A41" s="74" t="str">
        <x:v>CLONAFIT</x:v>
      </x:c>
      <x:c r="B41" s="74" t="str">
        <x:v>Clonazepam</x:v>
      </x:c>
      <x:c r="C41" s="74" t="str">
        <x:v>Neuro / CNS</x:v>
      </x:c>
      <x:c r="D41" s="74" t="str">
        <x:v>High</x:v>
      </x:c>
      <x:c r="E41" s="74" t="str"/>
      <x:c r="F41" s="74" t="str">
        <x:v>https://www.mankindpharma.com/products/all-products/</x:v>
      </x:c>
    </x:row>
    <x:row r="42">
      <x:c r="A42" s="74" t="str">
        <x:v>TELMIKIND</x:v>
      </x:c>
      <x:c r="B42" s="74" t="str">
        <x:v>Telmisartan</x:v>
      </x:c>
      <x:c r="C42" s="74" t="str">
        <x:v>Cardiac</x:v>
      </x:c>
      <x:c r="D42" s="74" t="str">
        <x:v>High</x:v>
      </x:c>
      <x:c r="E42" s="74" t="str"/>
      <x:c r="F42" s="74" t="str">
        <x:v>https://www.mankindpharma.com/products/all-products/</x:v>
      </x:c>
    </x:row>
    <x:row r="43">
      <x:c r="A43" s="74" t="str">
        <x:v>LECOPE-M</x:v>
      </x:c>
      <x:c r="B43" s="74" t="str">
        <x:v>Levocetirizine + montelukast</x:v>
      </x:c>
      <x:c r="C43" s="74" t="str">
        <x:v>Respiratory</x:v>
      </x:c>
      <x:c r="D43" s="74" t="str">
        <x:v>High</x:v>
      </x:c>
      <x:c r="E43" s="74" t="str"/>
      <x:c r="F43" s="74" t="str">
        <x:v>https://www.1mg.com/drugs/lecope-m-tablet-899116</x:v>
      </x:c>
    </x:row>
    <x:row r="44">
      <x:c r="A44" s="74" t="str">
        <x:v>CANDIFORCE</x:v>
      </x:c>
      <x:c r="B44" s="74" t="str">
        <x:v>Itraconazole</x:v>
      </x:c>
      <x:c r="C44" s="74" t="str">
        <x:v>Derma</x:v>
      </x:c>
      <x:c r="D44" s="74" t="str">
        <x:v>High</x:v>
      </x:c>
      <x:c r="E44" s="74" t="str">
        <x:v>Systemic antifungal primarily used in dermatology</x:v>
      </x:c>
      <x:c r="F44" s="74" t="str">
        <x:v>https://www.mankindpharma.com/products/all-products/</x:v>
      </x:c>
    </x:row>
    <x:row r="45">
      <x:c r="A45" s="74" t="str">
        <x:v>NUCORT-M</x:v>
      </x:c>
      <x:c r="B45" s="74" t="str">
        <x:v>Methylprednisolone</x:v>
      </x:c>
      <x:c r="C45" s="74" t="str">
        <x:v>Respiratory</x:v>
      </x:c>
      <x:c r="D45" s="74" t="str">
        <x:v>Low</x:v>
      </x:c>
      <x:c r="E45" s="74" t="str">
        <x:v>True pharmacologic class is corticosteroid/hormones; mapped to respiratory as the closest supplied bucket</x:v>
      </x:c>
      <x:c r="F45" s="74" t="str">
        <x:v>https://www.mankindpharma.com/products/all-products/ | https://www.1mg.com/drugs/nucort-m4-tablet-dt-13027</x:v>
      </x:c>
    </x:row>
    <x:row r="46">
      <x:c r="A46" s="74" t="str">
        <x:v>ASTHAKIND-LS</x:v>
      </x:c>
      <x:c r="B46" s="74" t="str">
        <x:v>Ambroxol + guaifenesin + levosalbutamol</x:v>
      </x:c>
      <x:c r="C46" s="74" t="str">
        <x:v>Respiratory</x:v>
      </x:c>
      <x:c r="D46" s="74" t="str">
        <x:v>High</x:v>
      </x:c>
      <x:c r="E46" s="74" t="str"/>
      <x:c r="F46" s="74" t="str">
        <x:v>https://www.mankindpharma.com/products/all-products/</x:v>
      </x:c>
    </x:row>
    <x:row r="47">
      <x:c r="A47" s="74" t="str">
        <x:v>CALDIKIND PLUS</x:v>
      </x:c>
      <x:c r="B47" s="74" t="str">
        <x:v>Calcium/vitamin D and micronutrient combination</x:v>
      </x:c>
      <x:c r="C47" s="74" t="str">
        <x:v>Vitamins/minerals/nutrients</x:v>
      </x:c>
      <x:c r="D47" s="74" t="str">
        <x:v>High</x:v>
      </x:c>
      <x:c r="E47" s="74" t="str"/>
      <x:c r="F47" s="74" t="str">
        <x:v>https://www.mankindpharma.com/products/all-products/</x:v>
      </x:c>
    </x:row>
    <x:row r="48">
      <x:c r="A48" s="74" t="str">
        <x:v>LECOPE</x:v>
      </x:c>
      <x:c r="B48" s="74" t="str">
        <x:v>Levocetirizine</x:v>
      </x:c>
      <x:c r="C48" s="74" t="str">
        <x:v>Respiratory</x:v>
      </x:c>
      <x:c r="D48" s="74" t="str">
        <x:v>High</x:v>
      </x:c>
      <x:c r="E48" s="74" t="str"/>
      <x:c r="F48" s="74" t="str">
        <x:v>https://www.mankindpharma.com/products/all-products/</x:v>
      </x:c>
    </x:row>
    <x:row r="49">
      <x:c r="A49" s="74" t="str">
        <x:v>HISTAFREE-M</x:v>
      </x:c>
      <x:c r="B49" s="74" t="str">
        <x:v>Fexofenadine + montelukast</x:v>
      </x:c>
      <x:c r="C49" s="74" t="str">
        <x:v>Respiratory</x:v>
      </x:c>
      <x:c r="D49" s="74" t="str">
        <x:v>High</x:v>
      </x:c>
      <x:c r="E49" s="74" t="str"/>
      <x:c r="F49" s="74" t="str">
        <x:v>https://www.mankindpharma.com/products/all-products/</x:v>
      </x:c>
    </x:row>
    <x:row r="50">
      <x:c r="A50" s="74" t="str">
        <x:v>VENTIDOX-M</x:v>
      </x:c>
      <x:c r="B50" s="74" t="str">
        <x:v>Doxofylline + montelukast</x:v>
      </x:c>
      <x:c r="C50" s="74" t="str">
        <x:v>Respiratory</x:v>
      </x:c>
      <x:c r="D50" s="74" t="str">
        <x:v>High</x:v>
      </x:c>
      <x:c r="E50" s="74" t="str"/>
      <x:c r="F50" s="74" t="str">
        <x:v>https://www.mankindpharma.com/products/all-products/</x:v>
      </x:c>
    </x:row>
    <x:row r="51">
      <x:c r="A51" s="74" t="str">
        <x:v>CLARINOVA</x:v>
      </x:c>
      <x:c r="B51" s="74" t="str">
        <x:v>Clarithromycin</x:v>
      </x:c>
      <x:c r="C51" s="74" t="str">
        <x:v>Anti-infectives</x:v>
      </x:c>
      <x:c r="D51" s="74" t="str">
        <x:v>High</x:v>
      </x:c>
      <x:c r="E51" s="74" t="str"/>
      <x:c r="F51" s="74" t="str">
        <x:v>https://www.mankindpharma.com/products/all-products/</x:v>
      </x:c>
    </x:row>
    <x:row r="52">
      <x:c r="A52" s="74" t="str">
        <x:v>CEFAKIND-CV</x:v>
      </x:c>
      <x:c r="B52" s="74" t="str">
        <x:v>Cefuroxime + clavulanic acid</x:v>
      </x:c>
      <x:c r="C52" s="74" t="str">
        <x:v>Anti-infectives</x:v>
      </x:c>
      <x:c r="D52" s="74" t="str">
        <x:v>High</x:v>
      </x:c>
      <x:c r="E52" s="74" t="str"/>
      <x:c r="F52" s="74" t="str">
        <x:v>https://www.mankindpharma.com/products/all-products/</x:v>
      </x:c>
    </x:row>
    <x:row r="53">
      <x:c r="A53" s="74" t="str">
        <x:v>VONALONG</x:v>
      </x:c>
      <x:c r="B53" s="74" t="str">
        <x:v>Vonoprazan</x:v>
      </x:c>
      <x:c r="C53" s="74" t="str">
        <x:v>Gastrointestinal</x:v>
      </x:c>
      <x:c r="D53" s="74" t="str">
        <x:v>High</x:v>
      </x:c>
      <x:c r="E53" s="74" t="str"/>
      <x:c r="F53" s="74" t="str">
        <x:v>https://www.1mg.com/drugs/vonalong-10-tablet-1036429</x:v>
      </x:c>
    </x:row>
    <x:row r="54">
      <x:c r="A54" s="74" t="str">
        <x:v>RANIDOM-RD</x:v>
      </x:c>
      <x:c r="B54" s="74" t="str">
        <x:v>Domperidone + esomeprazole</x:v>
      </x:c>
      <x:c r="C54" s="74" t="str">
        <x:v>Gastrointestinal</x:v>
      </x:c>
      <x:c r="D54" s="74" t="str">
        <x:v>High</x:v>
      </x:c>
      <x:c r="E54" s="74" t="str"/>
      <x:c r="F54" s="74" t="str">
        <x:v>https://www.mankindpharma.com/products/all-products/</x:v>
      </x:c>
    </x:row>
    <x:row r="55">
      <x:c r="A55" s="74" t="str">
        <x:v>DYDROBOON</x:v>
      </x:c>
      <x:c r="B55" s="74" t="str">
        <x:v>Dydrogesterone</x:v>
      </x:c>
      <x:c r="C55" s="74" t="str">
        <x:v>Gynaec</x:v>
      </x:c>
      <x:c r="D55" s="74" t="str">
        <x:v>High</x:v>
      </x:c>
      <x:c r="E55" s="74" t="str"/>
      <x:c r="F55" s="74" t="str">
        <x:v>https://www.mankindpharma.com/products/all-products/</x:v>
      </x:c>
    </x:row>
    <x:row r="56">
      <x:c r="A56" s="74" t="str">
        <x:v>MAHACEF-XL NEW</x:v>
      </x:c>
      <x:c r="B56" s="74" t="str">
        <x:v>Cefixime + dicloxacillin</x:v>
      </x:c>
      <x:c r="C56" s="74" t="str">
        <x:v>Anti-infectives</x:v>
      </x:c>
      <x:c r="D56" s="74" t="str">
        <x:v>High</x:v>
      </x:c>
      <x:c r="E56" s="74" t="str"/>
      <x:c r="F56" s="74" t="str">
        <x:v>https://www.mankindpharma.com/products/all-products/</x:v>
      </x:c>
    </x:row>
    <x:row r="57">
      <x:c r="A57" s="74" t="str">
        <x:v>RANIDOM</x:v>
      </x:c>
      <x:c r="B57" s="74" t="str">
        <x:v>Domperidone + omeprazole / antacid variants</x:v>
      </x:c>
      <x:c r="C57" s="74" t="str">
        <x:v>Gastrointestinal</x:v>
      </x:c>
      <x:c r="D57" s="74" t="str">
        <x:v>High</x:v>
      </x:c>
      <x:c r="E57" s="74" t="str"/>
      <x:c r="F57" s="74" t="str">
        <x:v>https://www.mankindpharma.com/products/all-products/</x:v>
      </x:c>
    </x:row>
    <x:row r="58">
      <x:c r="A58" s="74" t="str">
        <x:v>GUDLAX-PLUS</x:v>
      </x:c>
      <x:c r="B58" s="74" t="str">
        <x:v>Magnesium hydroxide + liquid paraffin + sodium picosulfate</x:v>
      </x:c>
      <x:c r="C58" s="74" t="str">
        <x:v>Gastrointestinal</x:v>
      </x:c>
      <x:c r="D58" s="74" t="str">
        <x:v>High</x:v>
      </x:c>
      <x:c r="E58" s="74" t="str"/>
      <x:c r="F58" s="74" t="str">
        <x:v>https://www.mankindpharma.com/products/all-products/</x:v>
      </x:c>
    </x:row>
    <x:row r="59">
      <x:c r="A59" s="74" t="str">
        <x:v>FYNAL</x:v>
      </x:c>
      <x:c r="B59" s="74" t="str">
        <x:v>Levofloxacin</x:v>
      </x:c>
      <x:c r="C59" s="74" t="str">
        <x:v>Anti-infectives</x:v>
      </x:c>
      <x:c r="D59" s="74" t="str">
        <x:v>High</x:v>
      </x:c>
      <x:c r="E59" s="74" t="str"/>
      <x:c r="F59" s="74" t="str">
        <x:v>https://www.mankindpharma.com/products/all-products/</x:v>
      </x:c>
    </x:row>
    <x:row r="60">
      <x:c r="A60" s="74" t="str">
        <x:v>GLIMESTAR-M</x:v>
      </x:c>
      <x:c r="B60" s="74" t="str">
        <x:v>Glimepiride + metformin</x:v>
      </x:c>
      <x:c r="C60" s="74" t="str">
        <x:v>Anti-diabetic</x:v>
      </x:c>
      <x:c r="D60" s="74" t="str">
        <x:v>High</x:v>
      </x:c>
      <x:c r="E60" s="74" t="str"/>
      <x:c r="F60" s="74" t="str">
        <x:v>https://www.mankindpharma.com/products/all-products/</x:v>
      </x:c>
    </x:row>
    <x:row r="61">
      <x:c r="A61" s="74" t="str">
        <x:v>MAHACEF-PLUS</x:v>
      </x:c>
      <x:c r="B61" s="74" t="str">
        <x:v>Cefixime + ofloxacin</x:v>
      </x:c>
      <x:c r="C61" s="74" t="str">
        <x:v>Anti-infectives</x:v>
      </x:c>
      <x:c r="D61" s="74" t="str">
        <x:v>High</x:v>
      </x:c>
      <x:c r="E61" s="74" t="str"/>
      <x:c r="F61" s="74" t="str">
        <x:v>https://www.mankindpharma.com/products/all-products/</x:v>
      </x:c>
    </x:row>
    <x:row r="62">
      <x:c r="A62" s="74" t="str">
        <x:v>TELMIKIND-AM</x:v>
      </x:c>
      <x:c r="B62" s="74" t="str">
        <x:v>Amlodipine + telmisartan</x:v>
      </x:c>
      <x:c r="C62" s="74" t="str">
        <x:v>Cardiac</x:v>
      </x:c>
      <x:c r="D62" s="74" t="str">
        <x:v>High</x:v>
      </x:c>
      <x:c r="E62" s="74" t="str"/>
      <x:c r="F62" s="74" t="str">
        <x:v>https://www.mankindpharma.com/products/all-products/</x:v>
      </x:c>
    </x:row>
    <x:row r="63">
      <x:c r="A63" s="74" t="str">
        <x:v>DROTIKIND-M</x:v>
      </x:c>
      <x:c r="B63" s="74" t="str">
        <x:v>Drotaverine + mefenamic acid</x:v>
      </x:c>
      <x:c r="C63" s="74" t="str">
        <x:v>Gastrointestinal</x:v>
      </x:c>
      <x:c r="D63" s="74" t="str">
        <x:v>High</x:v>
      </x:c>
      <x:c r="E63" s="74" t="str">
        <x:v>Therapeutic class listed as gastrointestinal</x:v>
      </x:c>
      <x:c r="F63" s="74" t="str">
        <x:v>https://www.mankindpharma.com/products/all-products/ | https://www.1mg.com/drugs/drotikind-m-tablet-152723</x:v>
      </x:c>
    </x:row>
    <x:row r="64">
      <x:c r="A64" s="74" t="str">
        <x:v>CODISTAR-DX</x:v>
      </x:c>
      <x:c r="B64" s="74" t="str">
        <x:v>Chlorpheniramine + dextromethorphan</x:v>
      </x:c>
      <x:c r="C64" s="74" t="str">
        <x:v>Respiratory</x:v>
      </x:c>
      <x:c r="D64" s="74" t="str">
        <x:v>High</x:v>
      </x:c>
      <x:c r="E64" s="74" t="str"/>
      <x:c r="F64" s="74" t="str">
        <x:v>https://www.mankindpharma.com/products/all-products/</x:v>
      </x:c>
    </x:row>
    <x:row r="65">
      <x:c r="A65" s="74" t="str">
        <x:v>MAHACEF CV</x:v>
      </x:c>
      <x:c r="B65" s="74" t="str">
        <x:v>Cefixime + clavulanic acid</x:v>
      </x:c>
      <x:c r="C65" s="74" t="str">
        <x:v>Anti-infectives</x:v>
      </x:c>
      <x:c r="D65" s="74" t="str">
        <x:v>High</x:v>
      </x:c>
      <x:c r="E65" s="74" t="str"/>
      <x:c r="F65" s="74" t="str">
        <x:v>https://www.mankindpharma.com/products/all-products/</x:v>
      </x:c>
    </x:row>
    <x:row r="66">
      <x:c r="A66" s="74" t="str">
        <x:v>TERBINAFORCE</x:v>
      </x:c>
      <x:c r="B66" s="74" t="str">
        <x:v>Terbinafine</x:v>
      </x:c>
      <x:c r="C66" s="74" t="str">
        <x:v>Derma</x:v>
      </x:c>
      <x:c r="D66" s="74" t="str">
        <x:v>High</x:v>
      </x:c>
      <x:c r="E66" s="74" t="str"/>
      <x:c r="F66" s="74" t="str">
        <x:v>https://www.mankindpharma.com/products/all-products/</x:v>
      </x:c>
    </x:row>
    <x:row r="67">
      <x:c r="A67" s="74" t="str">
        <x:v>NUROKIND FORTE Z</x:v>
      </x:c>
      <x:c r="B67" s="74" t="str">
        <x:v>Mecobalamin + B-vitamins + chromium + zinc</x:v>
      </x:c>
      <x:c r="C67" s="74" t="str">
        <x:v>Vitamins/minerals/nutrients</x:v>
      </x:c>
      <x:c r="D67" s="74" t="str">
        <x:v>High</x:v>
      </x:c>
      <x:c r="E67" s="74" t="str"/>
      <x:c r="F67" s="74" t="str">
        <x:v>https://www.mankindpharma.com/products/all-products/</x:v>
      </x:c>
    </x:row>
    <x:row r="68">
      <x:c r="A68" s="74" t="str">
        <x:v>GUDCEF-XL NEW</x:v>
      </x:c>
      <x:c r="B68" s="74" t="str">
        <x:v>Cefpodoxime + dicloxacillin</x:v>
      </x:c>
      <x:c r="C68" s="74" t="str">
        <x:v>Anti-infectives</x:v>
      </x:c>
      <x:c r="D68" s="74" t="str">
        <x:v>High</x:v>
      </x:c>
      <x:c r="E68" s="74" t="str"/>
      <x:c r="F68" s="74" t="str">
        <x:v>https://www.mankindpharma.com/products/all-products/</x:v>
      </x:c>
    </x:row>
    <x:row r="69">
      <x:c r="A69" s="74" t="str">
        <x:v>ZENFLOX-PLUS</x:v>
      </x:c>
      <x:c r="B69" s="74" t="str">
        <x:v>Cefixime + ofloxacin</x:v>
      </x:c>
      <x:c r="C69" s="74" t="str">
        <x:v>Anti-infectives</x:v>
      </x:c>
      <x:c r="D69" s="74" t="str">
        <x:v>High</x:v>
      </x:c>
      <x:c r="E69" s="74" t="str"/>
      <x:c r="F69" s="74" t="str">
        <x:v>https://www.mankindpharma.com/products/all-products/</x:v>
      </x:c>
    </x:row>
    <x:row r="70">
      <x:c r="A70" s="74" t="str">
        <x:v>TOBASTAR</x:v>
      </x:c>
      <x:c r="B70" s="74" t="str">
        <x:v>Tobramycin ophthalmic</x:v>
      </x:c>
      <x:c r="C70" s="74" t="str">
        <x:v>Anti-infectives</x:v>
      </x:c>
      <x:c r="D70" s="74" t="str">
        <x:v>Medium</x:v>
      </x:c>
      <x:c r="E70" s="74" t="str">
        <x:v>Ophthalmology product mapped by anti-infective mechanism</x:v>
      </x:c>
      <x:c r="F70" s="74" t="str">
        <x:v>https://www.mankindpharma.com/products/all-products/</x:v>
      </x:c>
    </x:row>
    <x:row r="71">
      <x:c r="A71" s="74" t="str">
        <x:v>URIKIND</x:v>
      </x:c>
      <x:c r="B71" s="74" t="str">
        <x:v>Flavoxate (older Urikind tablet)</x:v>
      </x:c>
      <x:c r="C71" s="74" t="str">
        <x:v>Gastrointestinal</x:v>
      </x:c>
      <x:c r="D71" s="74" t="str">
        <x:v>Low</x:v>
      </x:c>
      <x:c r="E71" s="74" t="str">
        <x:v>True therapeutic class is Urology; mapped to gastrointestinal as the closest of the 10 supplied buckets</x:v>
      </x:c>
      <x:c r="F71" s="74" t="str">
        <x:v>https://www.1mg.com/drugs/urikind-tablet-9252</x:v>
      </x:c>
    </x:row>
    <x:row r="72">
      <x:c r="A72" s="74" t="str">
        <x:v>AMLOKIND</x:v>
      </x:c>
      <x:c r="B72" s="74" t="str">
        <x:v>Amlodipine</x:v>
      </x:c>
      <x:c r="C72" s="74" t="str">
        <x:v>Cardiac</x:v>
      </x:c>
      <x:c r="D72" s="74" t="str">
        <x:v>High</x:v>
      </x:c>
      <x:c r="E72" s="74" t="str"/>
      <x:c r="F72" s="74" t="str">
        <x:v>https://www.mankindpharma.com/products/all-products/</x:v>
      </x:c>
    </x:row>
    <x:row r="73">
      <x:c r="A73" s="74" t="str">
        <x:v>BRUTACEF</x:v>
      </x:c>
      <x:c r="B73" s="74" t="str">
        <x:v>Cefixime</x:v>
      </x:c>
      <x:c r="C73" s="74" t="str">
        <x:v>Anti-infectives</x:v>
      </x:c>
      <x:c r="D73" s="74" t="str">
        <x:v>High</x:v>
      </x:c>
      <x:c r="E73" s="74" t="str"/>
      <x:c r="F73" s="74" t="str">
        <x:v>https://www.mankindpharma.com/products/all-products/</x:v>
      </x:c>
    </x:row>
    <x:row r="74">
      <x:c r="A74" s="74" t="str">
        <x:v>AMLOKIND-AT</x:v>
      </x:c>
      <x:c r="B74" s="74" t="str">
        <x:v>Amlodipine + atenolol</x:v>
      </x:c>
      <x:c r="C74" s="74" t="str">
        <x:v>Cardiac</x:v>
      </x:c>
      <x:c r="D74" s="74" t="str">
        <x:v>High</x:v>
      </x:c>
      <x:c r="E74" s="74" t="str"/>
      <x:c r="F74" s="74" t="str">
        <x:v>https://www.mankindpharma.com/products/all-products/</x:v>
      </x:c>
    </x:row>
    <x:row r="75">
      <x:c r="A75" s="74" t="str">
        <x:v>DOLOKIND-AA</x:v>
      </x:c>
      <x:c r="B75" s="74" t="str">
        <x:v>Aceclofenac + paracetamol + serrapeptase</x:v>
      </x:c>
      <x:c r="C75" s="74" t="str">
        <x:v>Pain / analgesics</x:v>
      </x:c>
      <x:c r="D75" s="74" t="str">
        <x:v>High</x:v>
      </x:c>
      <x:c r="E75" s="74" t="str"/>
      <x:c r="F75" s="74" t="str">
        <x:v>https://www.mankindpharma.com/products/all-products/</x:v>
      </x:c>
    </x:row>
    <x:row r="76">
      <x:c r="A76" s="74" t="str">
        <x:v>GUT OK</x:v>
      </x:c>
      <x:c r="B76" s="74" t="str">
        <x:v>Multi-strain probiotic</x:v>
      </x:c>
      <x:c r="C76" s="74" t="str">
        <x:v>Gastrointestinal</x:v>
      </x:c>
      <x:c r="D76" s="74" t="str">
        <x:v>High</x:v>
      </x:c>
      <x:c r="E76" s="74" t="str"/>
      <x:c r="F76" s="74" t="str">
        <x:v>https://www.mankindpharma.com/products/all-products/</x:v>
      </x:c>
    </x:row>
    <x:row r="77">
      <x:c r="A77" s="74" t="str">
        <x:v>NOBEL-PLUS</x:v>
      </x:c>
      <x:c r="B77" s="74" t="str">
        <x:v>Nimesulide + paracetamol</x:v>
      </x:c>
      <x:c r="C77" s="74" t="str">
        <x:v>Pain / analgesics</x:v>
      </x:c>
      <x:c r="D77" s="74" t="str">
        <x:v>High</x:v>
      </x:c>
      <x:c r="E77" s="74" t="str"/>
      <x:c r="F77" s="74" t="str">
        <x:v>https://www.mankindpharma.com/products/all-products/</x:v>
      </x:c>
    </x:row>
    <x:row r="78">
      <x:c r="A78" s="74" t="str">
        <x:v>BRUTAFLAM-MR</x:v>
      </x:c>
      <x:c r="B78" s="74" t="str">
        <x:v>Etoricoxib + thiocolchicoside</x:v>
      </x:c>
      <x:c r="C78" s="74" t="str">
        <x:v>Pain / analgesics</x:v>
      </x:c>
      <x:c r="D78" s="74" t="str">
        <x:v>High</x:v>
      </x:c>
      <x:c r="E78" s="74" t="str"/>
      <x:c r="F78" s="74" t="str">
        <x:v>https://www.mankindpharma.com/products/all-products/</x:v>
      </x:c>
    </x:row>
    <x:row r="79">
      <x:c r="A79" s="74" t="str">
        <x:v>CALDIKIND</x:v>
      </x:c>
      <x:c r="B79" s="74" t="str">
        <x:v>Colecalciferol / calcium-vitamin D variants</x:v>
      </x:c>
      <x:c r="C79" s="74" t="str">
        <x:v>Vitamins/minerals/nutrients</x:v>
      </x:c>
      <x:c r="D79" s="74" t="str">
        <x:v>High</x:v>
      </x:c>
      <x:c r="E79" s="74" t="str"/>
      <x:c r="F79" s="74" t="str">
        <x:v>https://www.mankindpharma.com/products/all-products/</x:v>
      </x:c>
    </x:row>
    <x:row r="80">
      <x:c r="A80" s="74" t="str">
        <x:v>NUFORCE</x:v>
      </x:c>
      <x:c r="B80" s="74" t="str">
        <x:v>Clotrimazole / fluconazole variants</x:v>
      </x:c>
      <x:c r="C80" s="74" t="str">
        <x:v>Derma</x:v>
      </x:c>
      <x:c r="D80" s="74" t="str">
        <x:v>High</x:v>
      </x:c>
      <x:c r="E80" s="74" t="str">
        <x:v>Antifungal franchise</x:v>
      </x:c>
      <x:c r="F80" s="74" t="str">
        <x:v>https://www.mankindpharma.com/products/all-products/</x:v>
      </x:c>
    </x:row>
    <x:row r="81">
      <x:c r="A81" s="74" t="str">
        <x:v>NOBEL PLUS ORAL</x:v>
      </x:c>
      <x:c r="B81" s="74" t="str">
        <x:v>Mefenamic acid + paracetamol</x:v>
      </x:c>
      <x:c r="C81" s="74" t="str">
        <x:v>Pain / analgesics</x:v>
      </x:c>
      <x:c r="D81" s="74" t="str">
        <x:v>High</x:v>
      </x:c>
      <x:c r="E81" s="74" t="str"/>
      <x:c r="F81" s="74" t="str">
        <x:v>https://www.mankindpharma.com/products/all-products/</x:v>
      </x:c>
    </x:row>
    <x:row r="82">
      <x:c r="A82" s="75" t="str">
        <x:v>DOLOKIND-AQUA</x:v>
      </x:c>
      <x:c r="B82" s="75" t="str">
        <x:v>Diclofenac sodium</x:v>
      </x:c>
      <x:c r="C82" s="75" t="str">
        <x:v>Pain / analgesics</x:v>
      </x:c>
      <x:c r="D82" s="75" t="str">
        <x:v>High</x:v>
      </x:c>
      <x:c r="E82" s="75" t="str"/>
      <x:c r="F82" s="75" t="str">
        <x:v>https://www.mankindpharma.com/products/all-products/</x:v>
      </x:c>
    </x:row>
  </x:sheetData>
  <x:conditionalFormatting sqref="D2:D82">
    <x:cfRule type="expression" dxfId="0" priority="1">
      <x:formula>D2="Low"</x:formula>
    </x:cfRule>
    <x:cfRule type="expression" dxfId="1" priority="2">
      <x:formula>D2="Medium"</x:formula>
    </x:cfRule>
    <x:cfRule type="expression" dxfId="2" priority="3">
      <x:formula>D2="High"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9b4205239747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</x:cols>
  <x:sheetData>
    <x:row r="1">
      <x:c r="A1" s="65" t="str">
        <x:v>Therapy category</x:v>
      </x:c>
      <x:c r="B1" s="65" t="str">
        <x:v>Number of brands</x:v>
      </x:c>
    </x:row>
    <x:row r="2">
      <x:c r="A2" s="26" t="str">
        <x:v>Cardiac</x:v>
      </x:c>
      <x:c r="B2" s="27" t="n">
        <x:f>COUNTIF('Brand Classification'!$B$4:$B$84,A2)</x:f>
        <x:v>4</x:v>
      </x:c>
    </x:row>
    <x:row r="3">
      <x:c r="A3" s="28" t="str">
        <x:v>Anti-infectives</x:v>
      </x:c>
      <x:c r="B3" s="29" t="n">
        <x:f>COUNTIF('Brand Classification'!$B$4:$B$84,A3)</x:f>
        <x:v>22</x:v>
      </x:c>
    </x:row>
    <x:row r="4">
      <x:c r="A4" s="28" t="str">
        <x:v>Gynaec</x:v>
      </x:c>
      <x:c r="B4" s="29" t="n">
        <x:f>COUNTIF('Brand Classification'!$B$4:$B$84,A4)</x:f>
        <x:v>1</x:v>
      </x:c>
    </x:row>
    <x:row r="5">
      <x:c r="A5" s="28" t="str">
        <x:v>Gastrointestinal</x:v>
      </x:c>
      <x:c r="B5" s="29" t="n">
        <x:f>COUNTIF('Brand Classification'!$B$4:$B$84,A5)</x:f>
        <x:v>14</x:v>
      </x:c>
    </x:row>
    <x:row r="6">
      <x:c r="A6" s="28" t="str">
        <x:v>Anti-diabetic</x:v>
      </x:c>
      <x:c r="B6" s="29" t="n">
        <x:f>COUNTIF('Brand Classification'!$B$4:$B$84,A6)</x:f>
        <x:v>1</x:v>
      </x:c>
    </x:row>
    <x:row r="7">
      <x:c r="A7" s="28" t="str">
        <x:v>Vitamins/minerals/nutrients</x:v>
      </x:c>
      <x:c r="B7" s="29" t="n">
        <x:f>COUNTIF('Brand Classification'!$B$4:$B$84,A7)</x:f>
        <x:v>9</x:v>
      </x:c>
    </x:row>
    <x:row r="8">
      <x:c r="A8" s="28" t="str">
        <x:v>Respiratory</x:v>
      </x:c>
      <x:c r="B8" s="29" t="n">
        <x:f>COUNTIF('Brand Classification'!$B$4:$B$84,A8)</x:f>
        <x:v>13</x:v>
      </x:c>
    </x:row>
    <x:row r="9">
      <x:c r="A9" s="28" t="str">
        <x:v>Derma</x:v>
      </x:c>
      <x:c r="B9" s="29" t="n">
        <x:f>COUNTIF('Brand Classification'!$B$4:$B$84,A9)</x:f>
        <x:v>3</x:v>
      </x:c>
    </x:row>
    <x:row r="10">
      <x:c r="A10" s="28" t="str">
        <x:v>Pain / analgesics</x:v>
      </x:c>
      <x:c r="B10" s="29" t="n">
        <x:f>COUNTIF('Brand Classification'!$B$4:$B$84,A10)</x:f>
        <x:v>11</x:v>
      </x:c>
    </x:row>
    <x:row r="11">
      <x:c r="A11" s="30" t="str">
        <x:v>Neuro / CNS</x:v>
      </x:c>
      <x:c r="B11" s="31" t="n">
        <x:f>COUNTIF('Brand Classification'!$B$4:$B$84,A11)</x:f>
        <x:v>3</x:v>
      </x:c>
    </x:row>
  </x:sheetData>
  <x:pageMargins left="0.7" right="0.7" top="0.75" bottom="0.75" header="0.3" footer="0.3"/>
</x:worksheet>
</file>