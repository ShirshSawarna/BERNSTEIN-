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2d1c4e10d74d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lide exhibits" sheetId="1" r:id="R7d05ccd3194c400d"/>
    <x:sheet xmlns:r="http://schemas.openxmlformats.org/officeDocument/2006/relationships" name="Partnership evidence" sheetId="2" r:id="R02fe477dfa9f44ba"/>
    <x:sheet xmlns:r="http://schemas.openxmlformats.org/officeDocument/2006/relationships" name="Sources" sheetId="3" r:id="Rd5db1ad22a724c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"/>
    <x:numFmt numFmtId="202" formatCode="&quot;&lt;&quot;0.000%"/>
  </x:numFmts>
  <x:fonts count="9">
    <x:font>
      <x:sz val="11"/>
      <x:name val="Carlito"/>
    </x:font>
    <x:font>
      <x:sz val="10"/>
      <x:color rgb="FF000000"/>
      <x:name val="Arial"/>
    </x:font>
    <x:font>
      <x:sz val="16"/>
      <x:color rgb="FF000000"/>
      <x:name val="Arial"/>
    </x:font>
    <x:font>
      <x:b/>
      <x:sz val="16"/>
      <x:color rgb="FF000000"/>
      <x:name val="Arial"/>
    </x:font>
    <x:font>
      <x:sz val="13"/>
      <x:color rgb="FF000000"/>
      <x:name val="Arial"/>
    </x:font>
    <x:font>
      <x:b/>
      <x:sz val="10"/>
      <x:color rgb="FF000000"/>
      <x:name val="Arial"/>
    </x:font>
    <x:font>
      <x:sz val="12"/>
      <x:color rgb="FF000000"/>
      <x:name val="Arial"/>
    </x:font>
    <x:font>
      <x:b/>
      <x:sz val="12"/>
      <x:color rgb="FF000000"/>
      <x:name val="Arial"/>
    </x:font>
    <x:font>
      <x:sz val="14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EEEEE"/>
      </x:patternFill>
    </x:fill>
    <x:fill>
      <x:patternFill patternType="solid">
        <x:fgColor rgb="FFF3F3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451bce0a174e2a" /><Relationship Type="http://schemas.openxmlformats.org/officeDocument/2006/relationships/theme" Target="/xl/theme/theme1.xml" Id="R944d1e9d1cfe4543" /><Relationship Type="http://schemas.openxmlformats.org/officeDocument/2006/relationships/sharedStrings" Target="/xl/sharedStrings.xml" Id="Rdbe237695380496a" /><Relationship Type="http://schemas.openxmlformats.org/officeDocument/2006/relationships/worksheet" Target="/xl/worksheets/sheet1.xml" Id="R7d05ccd3194c400d" /><Relationship Type="http://schemas.openxmlformats.org/officeDocument/2006/relationships/worksheet" Target="/xl/worksheets/sheet2.xml" Id="R02fe477dfa9f44ba" /><Relationship Type="http://schemas.openxmlformats.org/officeDocument/2006/relationships/worksheet" Target="/xl/worksheets/sheet3.xml" Id="Rd5db1ad22a724c2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f5c9a1389e54df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India GCC staff — OPPI 2025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Staff used for bar</c:v>
          </c:tx>
          <c:spPr>
            <a:solidFill xmlns:a="http://schemas.openxmlformats.org/drawingml/2006/main">
              <a:srgbClr val="777777"/>
            </a:solidFill>
          </c:spPr>
          <c:invertIfNegative val="0"/>
          <c:cat>
            <c:strRef>
              <c:f>'Slide exhibits'!$B$21:$B$24</c:f>
              <c:strCache>
                <c:ptCount val="0"/>
              </c:strCache>
            </c:strRef>
          </c:cat>
          <c:val>
            <c:numRef>
              <c:f>'Slide exhibits'!$C$21:$C$24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19</xdr:row>
      <xdr:rowOff>0</xdr:rowOff>
    </xdr:from>
    <xdr:to>
      <xdr:col>15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5c9a1389e54df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d612fa5474941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9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2" customHeight="1">
      <x:c r="A2" s="2"/>
      <x:c r="B2" s="4" t="str">
        <x:v>MNCs are building specialist talent pipelines in India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2" customHeight="1">
      <x:c r="A3" s="2"/>
      <x:c r="B3" s="2" t="str">
        <x:v>Evidence through 19 October 2026 | Programmes span recent announcements and ongoing collaborations.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2" customHeight="1">
      <x:c r="A5" s="2"/>
      <x:c r="B5" s="5" t="str">
        <x:v>Exhibit 1 | Partnerships address different talent bottlenecks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34" customHeight="1">
      <x:c r="A6" s="2"/>
      <x:c r="B6" s="8" t="str">
        <x:v>Company</x:v>
      </x:c>
      <x:c r="C6" s="8" t="str">
        <x:v>Research specialisation</x:v>
      </x:c>
      <x:c r="D6" s="8" t="str">
        <x:v>Applied curriculum</x:v>
      </x:c>
      <x:c r="E6" s="8" t="str">
        <x:v>Early talent access</x:v>
      </x:c>
      <x:c r="F6" s="8" t="str">
        <x:v>Leadership</x:v>
      </x:c>
      <x:c r="G6" s="2"/>
      <x:c r="H6" s="2"/>
      <x:c r="I6" s="2"/>
      <x:c r="J6" s="2"/>
      <x:c r="K6" s="2"/>
      <x:c r="L6" s="2"/>
      <x:c r="M6" s="2"/>
      <x:c r="N6" s="2"/>
      <x:c r="O6" s="2"/>
    </x:row>
    <x:row r="7" ht="66" customHeight="1">
      <x:c r="A7" s="2"/>
      <x:c r="B7" s="10" t="str">
        <x:v>GSK</x:v>
      </x:c>
      <x:c r="C7" s="11" t="str">
        <x:v>RCB PhD
Biostatistics / bioinformatics
Ongoing [S1]</x:v>
      </x:c>
      <x:c r="D7" s="9" t="str"/>
      <x:c r="E7" s="9" t="str"/>
      <x:c r="F7" s="9" t="str"/>
      <x:c r="G7" s="2"/>
      <x:c r="H7" s="2"/>
      <x:c r="I7" s="2"/>
      <x:c r="J7" s="2"/>
      <x:c r="K7" s="2"/>
      <x:c r="L7" s="2"/>
      <x:c r="M7" s="2"/>
      <x:c r="N7" s="2"/>
      <x:c r="O7" s="2"/>
    </x:row>
    <x:row r="8" ht="66" customHeight="1">
      <x:c r="A8" s="2"/>
      <x:c r="B8" s="10" t="str">
        <x:v>Pfizer</x:v>
      </x:c>
      <x:c r="C8" s="11" t="str">
        <x:v>IIT Madras
PhDs / concept studies
Reported 2025 [S8]</x:v>
      </x:c>
      <x:c r="D8" s="11" t="str">
        <x:v>GITAM: 3-year PAT
270 inducted by Oct-2023
[S2]</x:v>
      </x:c>
      <x:c r="E8" s="9" t="str"/>
      <x:c r="F8" s="9" t="str"/>
      <x:c r="G8" s="2"/>
      <x:c r="H8" s="2"/>
      <x:c r="I8" s="2"/>
      <x:c r="J8" s="2"/>
      <x:c r="K8" s="2"/>
      <x:c r="L8" s="2"/>
      <x:c r="M8" s="2"/>
      <x:c r="N8" s="2"/>
      <x:c r="O8" s="2"/>
    </x:row>
    <x:row r="9" ht="66" customHeight="1">
      <x:c r="A9" s="2"/>
      <x:c r="B9" s="10" t="str">
        <x:v>Abbott</x:v>
      </x:c>
      <x:c r="C9" s="9" t="str"/>
      <x:c r="D9" s="9" t="str"/>
      <x:c r="E9" s="9" t="str"/>
      <x:c r="F9" s="11" t="str">
        <x:v>12-month In-Stride
Academic campus immersion*
Undated [S5]</x:v>
      </x:c>
      <x:c r="G9" s="2"/>
      <x:c r="H9" s="2"/>
      <x:c r="I9" s="2"/>
      <x:c r="J9" s="2"/>
      <x:c r="K9" s="2"/>
      <x:c r="L9" s="2"/>
      <x:c r="M9" s="2"/>
      <x:c r="N9" s="2"/>
      <x:c r="O9" s="2"/>
    </x:row>
    <x:row r="10" ht="66" customHeight="1">
      <x:c r="A10" s="2"/>
      <x:c r="B10" s="10" t="str">
        <x:v>AstraZeneca</x:v>
      </x:c>
      <x:c r="C10" s="9" t="str"/>
      <x:c r="D10" s="11" t="str">
        <x:v>SASTRA: 6-month
Clinical R&amp;D elective
Jul-2023 [S3]</x:v>
      </x:c>
      <x:c r="E10" s="9" t="str"/>
      <x:c r="F10" s="11" t="str">
        <x:v>IIM Bangalore: 5 days
GITC leaders
Apr-2026 [S4]</x:v>
      </x:c>
      <x:c r="G10" s="2"/>
      <x:c r="H10" s="2"/>
      <x:c r="I10" s="2"/>
      <x:c r="J10" s="2"/>
      <x:c r="K10" s="2"/>
      <x:c r="L10" s="2"/>
      <x:c r="M10" s="2"/>
      <x:c r="N10" s="2"/>
      <x:c r="O10" s="2"/>
    </x:row>
    <x:row r="11" ht="66" customHeight="1">
      <x:c r="A11" s="2"/>
      <x:c r="B11" s="10" t="str">
        <x:v>Sanofi</x:v>
      </x:c>
      <x:c r="C11" s="9" t="str"/>
      <x:c r="D11" s="9" t="str"/>
      <x:c r="E11" s="11" t="str">
        <x:v>5 named campuses**
Hyderabad hub engagement
2024 [S6]</x:v>
      </x:c>
      <x:c r="F11" s="9" t="str"/>
      <x:c r="G11" s="2"/>
      <x:c r="H11" s="2"/>
      <x:c r="I11" s="2"/>
      <x:c r="J11" s="2"/>
      <x:c r="K11" s="2"/>
      <x:c r="L11" s="2"/>
      <x:c r="M11" s="2"/>
      <x:c r="N11" s="2"/>
      <x:c r="O11" s="2"/>
    </x:row>
    <x:row r="12" ht="66" customHeight="1">
      <x:c r="A12" s="2"/>
      <x:c r="B12" s="10" t="str">
        <x:v>Novartis</x:v>
      </x:c>
      <x:c r="C12" s="11" t="str">
        <x:v>NIPER Mohali grant
1 recipient / 42 proposals
Apr-2026 [S7]</x:v>
      </x:c>
      <x:c r="D12" s="9" t="str"/>
      <x:c r="E12" s="11" t="str">
        <x:v>NEST: &gt;26,000 teams
Registered, not hired
2025 report [S8]</x:v>
      </x:c>
      <x:c r="F12" s="9" t="str"/>
      <x:c r="G12" s="2"/>
      <x:c r="H12" s="2"/>
      <x:c r="I12" s="2"/>
      <x:c r="J12" s="2"/>
      <x:c r="K12" s="2"/>
      <x:c r="L12" s="2"/>
      <x:c r="M12" s="2"/>
      <x:c r="N12" s="2"/>
      <x:c r="O12" s="2"/>
    </x:row>
    <x:row r="13" ht="22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</x:row>
    <x:row r="14" ht="22" customHeight="1">
      <x:c r="A14" s="2"/>
      <x:c r="B14" s="2" t="str">
        <x:v>Blank = not verified in this research, not zero activity. Categories are analyst classifications.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</x:row>
    <x:row r="15" ht="22" customHeight="1">
      <x:c r="A15" s="2"/>
      <x:c r="B15" s="2" t="str">
        <x:v>*Abbott: academic institutions unnamed, date undisclosed. **Sanofi: campus engagement, not signed MoUs.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</x:row>
    <x:row r="16" ht="22" customHeight="1">
      <x:c r="A16" s="2"/>
      <x:c r="B16" s="2" t="str">
        <x:v>Mechanism: industry-shaped skills → more relevant candidate pool; effect on hiring or sales remains unquantified.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</x:row>
    <x:row r="18" ht="22" customHeight="1">
      <x:c r="A18" s="2"/>
      <x:c r="B18" s="5" t="str">
        <x:v>Exhibit 2 | Academic pipelines connect to sizeable India talent platforms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 ht="34" customHeight="1">
      <x:c r="A20" s="2"/>
      <x:c r="B20" s="8" t="str">
        <x:v>Company</x:v>
      </x:c>
      <x:c r="C20" s="8" t="str">
        <x:v>Staff used for bar</x:v>
      </x:c>
      <x:c r="D20" s="8" t="str">
        <x:v>Disclosed qualifier</x:v>
      </x:c>
      <x:c r="E20" s="8" t="str">
        <x:v>Platform scope</x:v>
      </x:c>
      <x:c r="F20" s="8" t="str">
        <x:v>Source</x:v>
      </x:c>
      <x:c r="G20" s="2"/>
      <x:c r="H20" s="2"/>
      <x:c r="I20" s="2"/>
      <x:c r="J20" s="2"/>
      <x:c r="K20" s="2"/>
      <x:c r="L20" s="2"/>
      <x:c r="M20" s="2"/>
      <x:c r="N20" s="2"/>
      <x:c r="O20" s="2"/>
    </x:row>
    <x:row r="21" ht="40" customHeight="1">
      <x:c r="A21" s="2"/>
      <x:c r="B21" s="9" t="str">
        <x:v>Novartis</x:v>
      </x:c>
      <x:c r="C21" s="12" t="n">
        <x:v>8000</x:v>
      </x:c>
      <x:c r="D21" s="9" t="str">
        <x:v>~8,000</x:v>
      </x:c>
      <x:c r="E21" s="9" t="str">
        <x:v>Hyderabad GCC</x:v>
      </x:c>
      <x:c r="F21" s="9" t="str">
        <x:v>S8, printed p27 / PDF p31</x:v>
      </x:c>
      <x:c r="G21" s="2"/>
      <x:c r="H21" s="2"/>
      <x:c r="I21" s="2"/>
      <x:c r="J21" s="2"/>
      <x:c r="K21" s="2"/>
      <x:c r="L21" s="2"/>
      <x:c r="M21" s="2"/>
      <x:c r="N21" s="2"/>
      <x:c r="O21" s="2"/>
    </x:row>
    <x:row r="22" ht="40" customHeight="1">
      <x:c r="A22" s="2"/>
      <x:c r="B22" s="9" t="str">
        <x:v>AstraZeneca</x:v>
      </x:c>
      <x:c r="C22" s="12" t="n">
        <x:v>4000</x:v>
      </x:c>
      <x:c r="D22" s="9" t="str">
        <x:v>~4,000</x:v>
      </x:c>
      <x:c r="E22" s="9" t="str">
        <x:v>Chennai and Bengaluru GCCs</x:v>
      </x:c>
      <x:c r="F22" s="9" t="str">
        <x:v>S8, printed p3 / PDF p7</x:v>
      </x:c>
      <x:c r="G22" s="2"/>
      <x:c r="H22" s="2"/>
      <x:c r="I22" s="2"/>
      <x:c r="J22" s="2"/>
      <x:c r="K22" s="2"/>
      <x:c r="L22" s="2"/>
      <x:c r="M22" s="2"/>
      <x:c r="N22" s="2"/>
      <x:c r="O22" s="2"/>
    </x:row>
    <x:row r="23" ht="40" customHeight="1">
      <x:c r="A23" s="2"/>
      <x:c r="B23" s="9" t="str">
        <x:v>GSK</x:v>
      </x:c>
      <x:c r="C23" s="12" t="n">
        <x:v>2500</x:v>
      </x:c>
      <x:c r="D23" s="9" t="str">
        <x:v>&gt;2,500</x:v>
      </x:c>
      <x:c r="E23" s="9" t="str">
        <x:v>Bengaluru GCC; satellite R&amp;D teams</x:v>
      </x:c>
      <x:c r="F23" s="9" t="str">
        <x:v>S8, printed p15 / PDF p19</x:v>
      </x:c>
      <x:c r="G23" s="2"/>
      <x:c r="H23" s="2"/>
      <x:c r="I23" s="2"/>
      <x:c r="J23" s="2"/>
      <x:c r="K23" s="2"/>
      <x:c r="L23" s="2"/>
      <x:c r="M23" s="2"/>
      <x:c r="N23" s="2"/>
      <x:c r="O23" s="2"/>
    </x:row>
    <x:row r="24" ht="40" customHeight="1">
      <x:c r="A24" s="2"/>
      <x:c r="B24" s="9" t="str">
        <x:v>Sanofi</x:v>
      </x:c>
      <x:c r="C24" s="12" t="n">
        <x:v>2200</x:v>
      </x:c>
      <x:c r="D24" s="9" t="str">
        <x:v>~2,200</x:v>
      </x:c>
      <x:c r="E24" s="9" t="str">
        <x:v>Hyderabad GCC; excludes Goa MSAT</x:v>
      </x:c>
      <x:c r="F24" s="9" t="str">
        <x:v>S8, printed p41 / PDF p45</x:v>
      </x:c>
      <x:c r="G24" s="2"/>
      <x:c r="H24" s="2"/>
      <x:c r="I24" s="2"/>
      <x:c r="J24" s="2"/>
      <x:c r="K24" s="2"/>
      <x:c r="L24" s="2"/>
      <x:c r="M24" s="2"/>
      <x:c r="N24" s="2"/>
      <x:c r="O24" s="2"/>
    </x:row>
    <x:row r="25" ht="22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</x:row>
    <x:row r="26" ht="22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 ht="22" customHeight="1">
      <x:c r="A27" s="2"/>
      <x:c r="B27" s="2" t="str">
        <x:v>Scope: all reported GCC functions, not solely R&amp;D or academic recruits. Four selected disclosed platforms.</x:v>
      </x:c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 ht="22" customHeight="1">
      <x:c r="A28" s="2"/>
      <x:c r="B28" s="2" t="str">
        <x:v>Bar values use rounded disclosed levels. GSK is &gt;2,500; the other figures are approximate.</x:v>
      </x:c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 ht="22" customHeight="1">
      <x:c r="A29" s="2"/>
      <x:c r="B29" s="2" t="str">
        <x:v>These are group/private-entity platforms; they are not the listed India companies’ sales forces.</x:v>
      </x:c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 ht="22" customHeight="1">
      <x:c r="A31" s="2"/>
      <x:c r="B31" s="14" t="str">
        <x:v>What the slide supports</x:v>
      </x:c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 ht="22" customHeight="1">
      <x:c r="A32" s="2"/>
      <x:c r="B32" s="2" t="str">
        <x:v>MNCs combine university access, specialist training and global roles to develop talent in India.</x:v>
      </x:c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 ht="22" customHeight="1">
      <x:c r="A34" s="2"/>
      <x:c r="B34" s="14" t="str">
        <x:v>What the comparison does not establish</x:v>
      </x:c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 ht="22" customHeight="1">
      <x:c r="A35" s="2"/>
      <x:c r="B35" s="2" t="str">
        <x:v>Domestic peers also invest: Cipla–Cornell; Lupin–IIMs/BITS/PhDs; Sun–Chitkara (see evidence tab).</x:v>
      </x:c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 ht="22" customHeight="1">
      <x:c r="A36" s="2"/>
      <x:c r="B36" s="2" t="str">
        <x:v>No comparable conversion, retention or MR-output dataset supports a quantified MNC productivity lead.</x:v>
      </x:c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 ht="22" customHeight="1">
      <x:c r="A38" s="2"/>
      <x:c r="B38" s="13" t="str">
        <x:v>Additional programme arithmetic (distinct units; do not sum into a talent score)</x:v>
      </x:c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  <x:row r="40" ht="34" customHeight="1">
      <x:c r="A40" s="2"/>
      <x:c r="B40" s="8" t="str">
        <x:v>Programme</x:v>
      </x:c>
      <x:c r="C40" s="8" t="str">
        <x:v>Calculation / result</x:v>
      </x:c>
      <x:c r="D40" s="8" t="str">
        <x:v>Unit</x:v>
      </x:c>
      <x:c r="E40" s="8" t="str">
        <x:v>Interpretation</x:v>
      </x:c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  <x:row r="41" ht="34" customHeight="1">
      <x:c r="A41" s="2"/>
      <x:c r="B41" s="9" t="str">
        <x:v>Pfizer PAT total</x:v>
      </x:c>
      <x:c r="C41" s="9" t="n">
        <x:f>SUM('Partnership evidence'!I6:I8)</x:f>
        <x:v>270</x:v>
      </x:c>
      <x:c r="D41" s="9" t="str">
        <x:v>students inducted</x:v>
      </x:c>
      <x:c r="E41" s="9" t="str">
        <x:v>47 + 120 + 103; by Oct-2023</x:v>
      </x:c>
      <x:c r="F41" s="2"/>
      <x:c r="G41" s="2"/>
      <x:c r="H41" s="2"/>
      <x:c r="I41" s="2"/>
      <x:c r="J41" s="2"/>
      <x:c r="K41" s="2"/>
      <x:c r="L41" s="2"/>
      <x:c r="M41" s="2"/>
      <x:c r="N41" s="2"/>
      <x:c r="O41" s="2"/>
    </x:row>
    <x:row r="42" ht="34" customHeight="1">
      <x:c r="A42" s="2"/>
      <x:c r="B42" s="9" t="str">
        <x:v>GSK fellowship</x:v>
      </x:c>
      <x:c r="C42" s="17" t="n">
        <x:f>('Partnership evidence'!I4*24+'Partnership evidence'!I5*36)/100000</x:f>
        <x:v>28.8</x:v>
      </x:c>
      <x:c r="D42" s="9" t="str">
        <x:v>INR lakh / 5 years</x:v>
      </x:c>
      <x:c r="E42" s="9" t="str">
        <x:v>Funding schedule; not hires</x:v>
      </x:c>
      <x:c r="F42" s="2"/>
      <x:c r="G42" s="2"/>
      <x:c r="H42" s="2"/>
      <x:c r="I42" s="2"/>
      <x:c r="J42" s="2"/>
      <x:c r="K42" s="2"/>
      <x:c r="L42" s="2"/>
      <x:c r="M42" s="2"/>
      <x:c r="N42" s="2"/>
      <x:c r="O42" s="2"/>
    </x:row>
    <x:row r="43" ht="34" customHeight="1">
      <x:c r="A43" s="2"/>
      <x:c r="B43" s="9" t="str">
        <x:v>NEST finalist share</x:v>
      </x:c>
      <x:c r="C43" s="18" t="n">
        <x:f>12/26000</x:f>
        <x:v>0.00046153846153846153</x:v>
      </x:c>
      <x:c r="D43" s="9" t="str">
        <x:v>% of registered teams</x:v>
      </x:c>
      <x:c r="E43" s="9" t="str">
        <x:v>Upper bound because registrations &gt;26,000</x:v>
      </x:c>
      <x:c r="F43" s="2"/>
      <x:c r="G43" s="2"/>
      <x:c r="H43" s="2"/>
      <x:c r="I43" s="2"/>
      <x:c r="J43" s="2"/>
      <x:c r="K43" s="2"/>
      <x:c r="L43" s="2"/>
      <x:c r="M43" s="2"/>
      <x:c r="N43" s="2"/>
      <x:c r="O43" s="2"/>
    </x:row>
    <x:row r="44" ht="22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</x:row>
    <x:row r="45" ht="22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</x:row>
    <x:row r="46" ht="22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</x:row>
    <x:row r="47" ht="22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</x:row>
    <x:row r="48" ht="22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</x:row>
  </x:sheetData>
  <x:pageMargins left="0.7" right="0.7" top="0.75" bottom="0.75" header="0.3" footer="0.3"/>
  <x:drawing xmlns:r="http://schemas.openxmlformats.org/officeDocument/2006/relationships" r:id="R1d612fa547494120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9" hidden="0" customWidth="1"/>
    <x:col min="4" max="4" width="29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15" hidden="0" customWidth="1"/>
    <x:col min="10" max="10" width="28" hidden="0" customWidth="1"/>
    <x:col min="11" max="11" width="9" hidden="0" customWidth="1"/>
    <x:col min="12" max="12" width="6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19" t="str">
        <x:v>Programme evidence | each row is a disclosed observation, not a comparable hiring KPI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34" customHeight="1">
      <x:c r="A3" s="8" t="str">
        <x:v>Company</x:v>
      </x:c>
      <x:c r="B3" s="8" t="str">
        <x:v>Group</x:v>
      </x:c>
      <x:c r="C3" s="8" t="str">
        <x:v>Programme</x:v>
      </x:c>
      <x:c r="D3" s="8" t="str">
        <x:v>Date / period</x:v>
      </x:c>
      <x:c r="E3" s="8" t="str">
        <x:v>Evidence type</x:v>
      </x:c>
      <x:c r="F3" s="8" t="str">
        <x:v>Capability</x:v>
      </x:c>
      <x:c r="G3" s="8" t="str">
        <x:v>Entity / scope</x:v>
      </x:c>
      <x:c r="H3" s="8" t="str">
        <x:v>Metric</x:v>
      </x:c>
      <x:c r="I3" s="8" t="str">
        <x:v>Value</x:v>
      </x:c>
      <x:c r="J3" s="8" t="str">
        <x:v>Unit / qualifier</x:v>
      </x:c>
      <x:c r="K3" s="8" t="str">
        <x:v>Source ID</x:v>
      </x:c>
      <x:c r="L3" s="8" t="str">
        <x:v>Interpretation / limitation</x:v>
      </x:c>
    </x:row>
    <x:row r="4" ht="66" customHeight="1">
      <x:c r="A4" s="9" t="str">
        <x:v>GSK</x:v>
      </x:c>
      <x:c r="B4" s="9" t="str">
        <x:v>MNC</x:v>
      </x:c>
      <x:c r="C4" s="9" t="str">
        <x:v>RCB doctoral programme</x:v>
      </x:c>
      <x:c r="D4" s="9" t="str">
        <x:v>Ongoing; predates recent window</x:v>
      </x:c>
      <x:c r="E4" s="9" t="str">
        <x:v>Named academic collaboration</x:v>
      </x:c>
      <x:c r="F4" s="9" t="str">
        <x:v>Research specialisation</x:v>
      </x:c>
      <x:c r="G4" s="9" t="str">
        <x:v>Partner named by RCB as GSK Pharmaceuticals India Private Ltd</x:v>
      </x:c>
      <x:c r="H4" s="9" t="str">
        <x:v>Fellowship first 24 months</x:v>
      </x:c>
      <x:c r="I4" s="12" t="n">
        <x:v>45000</x:v>
      </x:c>
      <x:c r="J4" s="9" t="str">
        <x:v>INR/month</x:v>
      </x:c>
      <x:c r="K4" s="9" t="str">
        <x:v>S1</x:v>
      </x:c>
      <x:c r="L4" s="9" t="str">
        <x:v>No disclosed hiring conversion; do not count MBBS CSR scholarships as recruits.</x:v>
      </x:c>
    </x:row>
    <x:row r="5" ht="66" customHeight="1">
      <x:c r="A5" s="9" t="str">
        <x:v>GSK</x:v>
      </x:c>
      <x:c r="B5" s="9" t="str">
        <x:v>MNC</x:v>
      </x:c>
      <x:c r="C5" s="9" t="str">
        <x:v>RCB doctoral programme</x:v>
      </x:c>
      <x:c r="D5" s="9" t="str">
        <x:v>Ongoing</x:v>
      </x:c>
      <x:c r="E5" s="9" t="str">
        <x:v>Named academic collaboration</x:v>
      </x:c>
      <x:c r="F5" s="9" t="str">
        <x:v>Research specialisation</x:v>
      </x:c>
      <x:c r="G5" s="9" t="str">
        <x:v>Same programme</x:v>
      </x:c>
      <x:c r="H5" s="9" t="str">
        <x:v>Fellowship next 36 months</x:v>
      </x:c>
      <x:c r="I5" s="12" t="n">
        <x:v>50000</x:v>
      </x:c>
      <x:c r="J5" s="9" t="str">
        <x:v>INR/month</x:v>
      </x:c>
      <x:c r="K5" s="9" t="str">
        <x:v>S1</x:v>
      </x:c>
      <x:c r="L5" s="9" t="str">
        <x:v>Five-year stipend commitment, not a completion or placement rate.</x:v>
      </x:c>
    </x:row>
    <x:row r="6" ht="66" customHeight="1">
      <x:c r="A6" s="9" t="str">
        <x:v>Pfizer</x:v>
      </x:c>
      <x:c r="B6" s="9" t="str">
        <x:v>MNC</x:v>
      </x:c>
      <x:c r="C6" s="9" t="str">
        <x:v>PAT with GITAM</x:v>
      </x:c>
      <x:c r="D6" s="9" t="str">
        <x:v>11-Oct-2023</x:v>
      </x:c>
      <x:c r="E6" s="9" t="str">
        <x:v>Named academic collaboration</x:v>
      </x:c>
      <x:c r="F6" s="9" t="str">
        <x:v>Applied curriculum / manufacturing</x:v>
      </x:c>
      <x:c r="G6" s="9" t="str">
        <x:v>Pfizer Healthcare India Private Ltd</x:v>
      </x:c>
      <x:c r="H6" s="9" t="str">
        <x:v>First cohort</x:v>
      </x:c>
      <x:c r="I6" s="12" t="n">
        <x:v>47</x:v>
      </x:c>
      <x:c r="J6" s="9" t="str">
        <x:v>students inducted</x:v>
      </x:c>
      <x:c r="K6" s="9" t="str">
        <x:v>S2</x:v>
      </x:c>
      <x:c r="L6" s="9" t="str">
        <x:v>2022 cohort; manufacturing, not MR training.</x:v>
      </x:c>
    </x:row>
    <x:row r="7" ht="66" customHeight="1">
      <x:c r="A7" s="9" t="str">
        <x:v>Pfizer</x:v>
      </x:c>
      <x:c r="B7" s="9" t="str">
        <x:v>MNC</x:v>
      </x:c>
      <x:c r="C7" s="9" t="str">
        <x:v>PAT with GITAM</x:v>
      </x:c>
      <x:c r="D7" s="9" t="str">
        <x:v>11-Oct-2023</x:v>
      </x:c>
      <x:c r="E7" s="9" t="str">
        <x:v>Named academic collaboration</x:v>
      </x:c>
      <x:c r="F7" s="9" t="str">
        <x:v>Applied curriculum / manufacturing</x:v>
      </x:c>
      <x:c r="G7" s="9" t="str">
        <x:v>Pfizer Healthcare India Private Ltd</x:v>
      </x:c>
      <x:c r="H7" s="9" t="str">
        <x:v>Second cohort</x:v>
      </x:c>
      <x:c r="I7" s="12" t="n">
        <x:v>120</x:v>
      </x:c>
      <x:c r="J7" s="9" t="str">
        <x:v>students inducted</x:v>
      </x:c>
      <x:c r="K7" s="9" t="str">
        <x:v>S2</x:v>
      </x:c>
      <x:c r="L7" s="9" t="str">
        <x:v>Earlier 2023 cohort.</x:v>
      </x:c>
    </x:row>
    <x:row r="8" ht="66" customHeight="1">
      <x:c r="A8" s="9" t="str">
        <x:v>Pfizer</x:v>
      </x:c>
      <x:c r="B8" s="9" t="str">
        <x:v>MNC</x:v>
      </x:c>
      <x:c r="C8" s="9" t="str">
        <x:v>PAT with GITAM</x:v>
      </x:c>
      <x:c r="D8" s="9" t="str">
        <x:v>11-Oct-2023</x:v>
      </x:c>
      <x:c r="E8" s="9" t="str">
        <x:v>Named academic collaboration</x:v>
      </x:c>
      <x:c r="F8" s="9" t="str">
        <x:v>Applied curriculum / manufacturing</x:v>
      </x:c>
      <x:c r="G8" s="9" t="str">
        <x:v>Pfizer Healthcare India Private Ltd</x:v>
      </x:c>
      <x:c r="H8" s="9" t="str">
        <x:v>Third cohort</x:v>
      </x:c>
      <x:c r="I8" s="12" t="n">
        <x:v>103</x:v>
      </x:c>
      <x:c r="J8" s="9" t="str">
        <x:v>students inducted</x:v>
      </x:c>
      <x:c r="K8" s="9" t="str">
        <x:v>S2</x:v>
      </x:c>
      <x:c r="L8" s="9" t="str">
        <x:v>October 2023 cohort; total calculated on the exhibits tab.</x:v>
      </x:c>
    </x:row>
    <x:row r="9" ht="66" customHeight="1">
      <x:c r="A9" s="9" t="str">
        <x:v>Pfizer</x:v>
      </x:c>
      <x:c r="B9" s="9" t="str">
        <x:v>MNC</x:v>
      </x:c>
      <x:c r="C9" s="9" t="str">
        <x:v>IIT Madras collaboration</x:v>
      </x:c>
      <x:c r="D9" s="9" t="str">
        <x:v>Reported 2025</x:v>
      </x:c>
      <x:c r="E9" s="9" t="str">
        <x:v>Named academic collaboration</x:v>
      </x:c>
      <x:c r="F9" s="9" t="str">
        <x:v>Research specialisation</x:v>
      </x:c>
      <x:c r="G9" s="9" t="str">
        <x:v>Global drug-development centre at IITM Research Park</x:v>
      </x:c>
      <x:c r="H9" s="9" t="str">
        <x:v>Workforce at centre</x:v>
      </x:c>
      <x:c r="I9" s="12" t="n">
        <x:v>250</x:v>
      </x:c>
      <x:c r="J9" s="9" t="str">
        <x:v>staff; disclosed 250+</x:v>
      </x:c>
      <x:c r="K9" s="9" t="str">
        <x:v>S8</x:v>
      </x:c>
      <x:c r="L9" s="9" t="str">
        <x:v>Concept studies, employee PhDs and placements. Do not sum with other Pfizer centres without overlap checks.</x:v>
      </x:c>
    </x:row>
    <x:row r="10" ht="66" customHeight="1">
      <x:c r="A10" s="9" t="str">
        <x:v>AstraZeneca</x:v>
      </x:c>
      <x:c r="B10" s="9" t="str">
        <x:v>MNC</x:v>
      </x:c>
      <x:c r="C10" s="9" t="str">
        <x:v>SASTRA clinical R&amp;D elective</x:v>
      </x:c>
      <x:c r="D10" s="9" t="str">
        <x:v>27-Jul-2023</x:v>
      </x:c>
      <x:c r="E10" s="9" t="str">
        <x:v>Named academic collaboration</x:v>
      </x:c>
      <x:c r="F10" s="9" t="str">
        <x:v>Applied curriculum</x:v>
      </x:c>
      <x:c r="G10" s="9" t="str">
        <x:v>AZ India Private Ltd GCC</x:v>
      </x:c>
      <x:c r="H10" s="9" t="str">
        <x:v>Course duration</x:v>
      </x:c>
      <x:c r="I10" s="12" t="n">
        <x:v>6</x:v>
      </x:c>
      <x:c r="J10" s="9" t="str">
        <x:v>months</x:v>
      </x:c>
      <x:c r="K10" s="9" t="str">
        <x:v>S3</x:v>
      </x:c>
      <x:c r="L10" s="9" t="str">
        <x:v>Original three-year MoU; student count and placement not disclosed.</x:v>
      </x:c>
    </x:row>
    <x:row r="11" ht="66" customHeight="1">
      <x:c r="A11" s="9" t="str">
        <x:v>AstraZeneca</x:v>
      </x:c>
      <x:c r="B11" s="9" t="str">
        <x:v>MNC</x:v>
      </x:c>
      <x:c r="C11" s="9" t="str">
        <x:v>IIM Bangalore leadership</x:v>
      </x:c>
      <x:c r="D11" s="9" t="str">
        <x:v>Apr-2026</x:v>
      </x:c>
      <x:c r="E11" s="9" t="str">
        <x:v>Named academic collaboration</x:v>
      </x:c>
      <x:c r="F11" s="9" t="str">
        <x:v>Leadership</x:v>
      </x:c>
      <x:c r="G11" s="9" t="str">
        <x:v>GITC Chennai leaders</x:v>
      </x:c>
      <x:c r="H11" s="9" t="str">
        <x:v>On-campus duration</x:v>
      </x:c>
      <x:c r="I11" s="12" t="n">
        <x:v>5</x:v>
      </x:c>
      <x:c r="J11" s="9" t="str">
        <x:v>days</x:v>
      </x:c>
      <x:c r="K11" s="9" t="str">
        <x:v>S4</x:v>
      </x:c>
      <x:c r="L11" s="9" t="str">
        <x:v>GCC leadership, not verified as India sales training.</x:v>
      </x:c>
    </x:row>
    <x:row r="12" ht="66" customHeight="1">
      <x:c r="A12" s="9" t="str">
        <x:v>Abbott</x:v>
      </x:c>
      <x:c r="B12" s="9" t="str">
        <x:v>MNC</x:v>
      </x:c>
      <x:c r="C12" s="9" t="str">
        <x:v>In-Stride</x:v>
      </x:c>
      <x:c r="D12" s="9" t="str">
        <x:v>Undated current page</x:v>
      </x:c>
      <x:c r="E12" s="9" t="str">
        <x:v>Academic link; institution unnamed</x:v>
      </x:c>
      <x:c r="F12" s="9" t="str">
        <x:v>Leadership / commercial</x:v>
      </x:c>
      <x:c r="G12" s="9" t="str">
        <x:v>Abbott India group careers page; division not specified</x:v>
      </x:c>
      <x:c r="H12" s="9" t="str">
        <x:v>Programme duration</x:v>
      </x:c>
      <x:c r="I12" s="12" t="n">
        <x:v>12</x:v>
      </x:c>
      <x:c r="J12" s="9" t="str">
        <x:v>months</x:v>
      </x:c>
      <x:c r="K12" s="9" t="str">
        <x:v>S5</x:v>
      </x:c>
      <x:c r="L12" s="9" t="str">
        <x:v>Cannot label as a newly signed partnership. LEAP and sales certification are internal programmes.</x:v>
      </x:c>
    </x:row>
    <x:row r="13" ht="66" customHeight="1">
      <x:c r="A13" s="9" t="str">
        <x:v>Sanofi</x:v>
      </x:c>
      <x:c r="B13" s="9" t="str">
        <x:v>MNC</x:v>
      </x:c>
      <x:c r="C13" s="9" t="str">
        <x:v>Hyderabad early-talent engagement</x:v>
      </x:c>
      <x:c r="D13" s="9" t="str">
        <x:v>2024</x:v>
      </x:c>
      <x:c r="E13" s="9" t="str">
        <x:v>Campus engagement</x:v>
      </x:c>
      <x:c r="F13" s="9" t="str">
        <x:v>Early talent access</x:v>
      </x:c>
      <x:c r="G13" s="9" t="str">
        <x:v>Sanofi Hyderabad hub</x:v>
      </x:c>
      <x:c r="H13" s="9" t="str">
        <x:v>Named campuses</x:v>
      </x:c>
      <x:c r="I13" s="12" t="n">
        <x:v>5</x:v>
      </x:c>
      <x:c r="J13" s="9" t="str">
        <x:v>institutions visiting</x:v>
      </x:c>
      <x:c r="K13" s="9" t="str">
        <x:v>S6</x:v>
      </x:c>
      <x:c r="L13" s="9" t="str">
        <x:v>IIT Hyderabad, VIT, BITS Hyderabad, Great Lakes, Vasavi; visits are not signed MoUs.</x:v>
      </x:c>
    </x:row>
    <x:row r="14" ht="66" customHeight="1">
      <x:c r="A14" s="9" t="str">
        <x:v>Novartis</x:v>
      </x:c>
      <x:c r="B14" s="9" t="str">
        <x:v>MNC</x:v>
      </x:c>
      <x:c r="C14" s="9" t="str">
        <x:v>Development Pioneer Grant</x:v>
      </x:c>
      <x:c r="D14" s="9" t="str">
        <x:v>15-Apr-2026</x:v>
      </x:c>
      <x:c r="E14" s="9" t="str">
        <x:v>Signed faculty grant agreement</x:v>
      </x:c>
      <x:c r="F14" s="9" t="str">
        <x:v>Research specialisation</x:v>
      </x:c>
      <x:c r="G14" s="9" t="str">
        <x:v>Novartis Healthcare Private Ltd</x:v>
      </x:c>
      <x:c r="H14" s="9" t="str">
        <x:v>Proposals received</x:v>
      </x:c>
      <x:c r="I14" s="12" t="n">
        <x:v>42</x:v>
      </x:c>
      <x:c r="J14" s="9" t="str">
        <x:v>faculty proposals</x:v>
      </x:c>
      <x:c r="K14" s="9" t="str">
        <x:v>S7</x:v>
      </x:c>
      <x:c r="L14" s="9" t="str">
        <x:v>One recipient; seven NIPERs eligible. Not 42 recruits or seven signed agreements.</x:v>
      </x:c>
    </x:row>
    <x:row r="15" ht="66" customHeight="1">
      <x:c r="A15" s="9" t="str">
        <x:v>Novartis</x:v>
      </x:c>
      <x:c r="B15" s="9" t="str">
        <x:v>MNC</x:v>
      </x:c>
      <x:c r="C15" s="9" t="str">
        <x:v>NEST</x:v>
      </x:c>
      <x:c r="D15" s="9" t="str">
        <x:v>2025 report</x:v>
      </x:c>
      <x:c r="E15" s="9" t="str">
        <x:v>Talent competition</x:v>
      </x:c>
      <x:c r="F15" s="9" t="str">
        <x:v>Early talent access</x:v>
      </x:c>
      <x:c r="G15" s="9" t="str">
        <x:v>Novartis Development India hub</x:v>
      </x:c>
      <x:c r="H15" s="9" t="str">
        <x:v>Registered teams</x:v>
      </x:c>
      <x:c r="I15" s="12" t="n">
        <x:v>26000</x:v>
      </x:c>
      <x:c r="J15" s="9" t="str">
        <x:v>teams; disclosed &gt;26,000</x:v>
      </x:c>
      <x:c r="K15" s="9" t="str">
        <x:v>S8</x:v>
      </x:c>
      <x:c r="L15" s="9" t="str">
        <x:v>Over 5,500 institutes; 12 finalist teams; four winning teams got interview opportunities. No hiring conversion disclosed.</x:v>
      </x:c>
    </x:row>
    <x:row r="16" ht="66" customHeight="1">
      <x:c r="A16" s="9" t="str">
        <x:v>Novartis</x:v>
      </x:c>
      <x:c r="B16" s="9" t="str">
        <x:v>MNC</x:v>
      </x:c>
      <x:c r="C16" s="9" t="str">
        <x:v>NEST 2.0</x:v>
      </x:c>
      <x:c r="D16" s="9" t="str">
        <x:v>Dec-2025 / Jan-2026</x:v>
      </x:c>
      <x:c r="E16" s="9" t="str">
        <x:v>Talent competition</x:v>
      </x:c>
      <x:c r="F16" s="9" t="str">
        <x:v>Early talent access</x:v>
      </x:c>
      <x:c r="G16" s="9" t="str">
        <x:v>Novartis Development India hub</x:v>
      </x:c>
      <x:c r="H16" s="9" t="str">
        <x:v>Prize pool</x:v>
      </x:c>
      <x:c r="I16" s="12" t="n">
        <x:v>750000</x:v>
      </x:c>
      <x:c r="J16" s="9" t="str">
        <x:v>INR</x:v>
      </x:c>
      <x:c r="K16" s="9" t="str">
        <x:v>S9</x:v>
      </x:c>
      <x:c r="L16" s="9" t="str">
        <x:v>Forward programme terms; do not mix with completed NEST round.</x:v>
      </x:c>
    </x:row>
    <x:row r="17" ht="66" customHeight="1">
      <x:c r="A17" s="9" t="str">
        <x:v>Cipla</x:v>
      </x:c>
      <x:c r="B17" s="9" t="str">
        <x:v>Domestic</x:v>
      </x:c>
      <x:c r="C17" s="9" t="str">
        <x:v>Leadership Ascent / Cornell</x:v>
      </x:c>
      <x:c r="D17" s="9" t="str">
        <x:v>FY2025</x:v>
      </x:c>
      <x:c r="E17" s="9" t="str">
        <x:v>Named academic collaboration</x:v>
      </x:c>
      <x:c r="F17" s="9" t="str">
        <x:v>Leadership</x:v>
      </x:c>
      <x:c r="G17" s="9" t="str">
        <x:v>Cipla employees</x:v>
      </x:c>
      <x:c r="H17" s="9" t="str">
        <x:v>Programme duration</x:v>
      </x:c>
      <x:c r="I17" s="12" t="n">
        <x:v>10</x:v>
      </x:c>
      <x:c r="J17" s="9" t="str">
        <x:v>months</x:v>
      </x:c>
      <x:c r="K17" s="9" t="str">
        <x:v>S10</x:v>
      </x:c>
      <x:c r="L17" s="9" t="str">
        <x:v>Counterexample to the claim that domestic firms lack academic partnerships.</x:v>
      </x:c>
    </x:row>
    <x:row r="18" ht="66" customHeight="1">
      <x:c r="A18" s="9" t="str">
        <x:v>Lupin</x:v>
      </x:c>
      <x:c r="B18" s="9" t="str">
        <x:v>Domestic</x:v>
      </x:c>
      <x:c r="C18" s="9" t="str">
        <x:v>ASCENT</x:v>
      </x:c>
      <x:c r="D18" s="9" t="str">
        <x:v>FY2026</x:v>
      </x:c>
      <x:c r="E18" s="9" t="str">
        <x:v>Sponsored doctoral development</x:v>
      </x:c>
      <x:c r="F18" s="9" t="str">
        <x:v>Research specialisation</x:v>
      </x:c>
      <x:c r="G18" s="9" t="str">
        <x:v>Lupin research scholars</x:v>
      </x:c>
      <x:c r="H18" s="9" t="str">
        <x:v>Research scholars</x:v>
      </x:c>
      <x:c r="I18" s="12" t="n">
        <x:v>27</x:v>
      </x:c>
      <x:c r="J18" s="9" t="str">
        <x:v>scholars</x:v>
      </x:c>
      <x:c r="K18" s="9" t="str">
        <x:v>S11</x:v>
      </x:c>
      <x:c r="L18" s="9" t="str">
        <x:v>Also 43 employees enrolled in BITS Pilani MTech.</x:v>
      </x:c>
    </x:row>
    <x:row r="19" ht="66" customHeight="1">
      <x:c r="A19" s="9" t="str">
        <x:v>Lupin</x:v>
      </x:c>
      <x:c r="B19" s="9" t="str">
        <x:v>Domestic</x:v>
      </x:c>
      <x:c r="C19" s="9" t="str">
        <x:v>BITS Pilani MTech</x:v>
      </x:c>
      <x:c r="D19" s="9" t="str">
        <x:v>FY2026</x:v>
      </x:c>
      <x:c r="E19" s="9" t="str">
        <x:v>Named academic collaboration</x:v>
      </x:c>
      <x:c r="F19" s="9" t="str">
        <x:v>Applied curriculum</x:v>
      </x:c>
      <x:c r="G19" s="9" t="str">
        <x:v>Lupin employees</x:v>
      </x:c>
      <x:c r="H19" s="9" t="str">
        <x:v>Enrolments</x:v>
      </x:c>
      <x:c r="I19" s="12" t="n">
        <x:v>43</x:v>
      </x:c>
      <x:c r="J19" s="9" t="str">
        <x:v>employees</x:v>
      </x:c>
      <x:c r="K19" s="9" t="str">
        <x:v>S11</x:v>
      </x:c>
      <x:c r="L19" s="9" t="str">
        <x:v>Distinct programme, not comparable to MNC total GCC headcount.</x:v>
      </x:c>
    </x:row>
    <x:row r="20" ht="66" customHeight="1">
      <x:c r="A20" s="9" t="str">
        <x:v>Lupin</x:v>
      </x:c>
      <x:c r="B20" s="9" t="str">
        <x:v>Domestic</x:v>
      </x:c>
      <x:c r="C20" s="9" t="str">
        <x:v>RISE / ENHANCE</x:v>
      </x:c>
      <x:c r="D20" s="9" t="str">
        <x:v>FY2026</x:v>
      </x:c>
      <x:c r="E20" s="9" t="str">
        <x:v>Named academic collaboration</x:v>
      </x:c>
      <x:c r="F20" s="9" t="str">
        <x:v>Leadership</x:v>
      </x:c>
      <x:c r="G20" s="9" t="str">
        <x:v>IIM Nagpur / IIM Indore</x:v>
      </x:c>
      <x:c r="H20" s="9" t="str">
        <x:v>ENHANCE programme duration</x:v>
      </x:c>
      <x:c r="I20" s="12" t="n">
        <x:v>24</x:v>
      </x:c>
      <x:c r="J20" s="9" t="str">
        <x:v>months</x:v>
      </x:c>
      <x:c r="K20" s="9" t="str">
        <x:v>S11</x:v>
      </x:c>
      <x:c r="L20" s="9" t="str">
        <x:v>Leadership capability building is present among domestic peers too.</x:v>
      </x:c>
    </x:row>
    <x:row r="21" ht="66" customHeight="1">
      <x:c r="A21" s="9" t="str">
        <x:v>Sun Pharma</x:v>
      </x:c>
      <x:c r="B21" s="9" t="str">
        <x:v>Domestic</x:v>
      </x:c>
      <x:c r="C21" s="9" t="str">
        <x:v>Chitkara University MoU</x:v>
      </x:c>
      <x:c r="D21" s="9" t="str">
        <x:v>22-Dec-2025</x:v>
      </x:c>
      <x:c r="E21" s="9" t="str">
        <x:v>Named academic collaboration</x:v>
      </x:c>
      <x:c r="F21" s="9" t="str">
        <x:v>Curriculum / internships</x:v>
      </x:c>
      <x:c r="G21" s="9" t="str">
        <x:v>Sun Pharmaceutical Industries Ltd</x:v>
      </x:c>
      <x:c r="H21" s="9" t="str">
        <x:v>Agreement year</x:v>
      </x:c>
      <x:c r="I21" s="12" t="n">
        <x:v>2025</x:v>
      </x:c>
      <x:c r="J21" s="9" t="str">
        <x:v>calendar year</x:v>
      </x:c>
      <x:c r="K21" s="9" t="str">
        <x:v>S12</x:v>
      </x:c>
      <x:c r="L21" s="9" t="str">
        <x:v>Technical Training Academy and Baddi plant; no cohort size reported.</x:v>
      </x:c>
    </x:row>
    <x:row r="22" ht="66" customHeight="1">
      <x:c r="A22" s="9" t="str">
        <x:v>Cipla</x:v>
      </x:c>
      <x:c r="B22" s="9" t="str">
        <x:v>Domestic</x:v>
      </x:c>
      <x:c r="C22" s="9" t="str">
        <x:v>Campus competition</x:v>
      </x:c>
      <x:c r="D22" s="9" t="str">
        <x:v>Current page</x:v>
      </x:c>
      <x:c r="E22" s="9" t="str">
        <x:v>Campus talent competition</x:v>
      </x:c>
      <x:c r="F22" s="9" t="str">
        <x:v>Early talent access</x:v>
      </x:c>
      <x:c r="G22" s="9" t="str">
        <x:v>Cipla campus programmes</x:v>
      </x:c>
      <x:c r="H22" s="9" t="str">
        <x:v>Registrations</x:v>
      </x:c>
      <x:c r="I22" s="12" t="n">
        <x:v>5000</x:v>
      </x:c>
      <x:c r="J22" s="9" t="str">
        <x:v>registrations; disclosed &gt;5,000</x:v>
      </x:c>
      <x:c r="K22" s="9" t="str">
        <x:v>S14</x:v>
      </x:c>
      <x:c r="L22" s="9" t="str">
        <x:v>&gt;1,200 submissions and 16 B-schools; no hiring conversion.</x:v>
      </x:c>
    </x:row>
    <x:row r="23" ht="22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2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9" hidden="0" customWidth="1"/>
    <x:col min="2" max="2" width="42" hidden="0" customWidth="1"/>
    <x:col min="3" max="3" width="37" hidden="0" customWidth="1"/>
    <x:col min="4" max="4" width="90" hidden="0" customWidth="1"/>
    <x:col min="5" max="5" width="76" hidden="0" customWidth="1"/>
  </x:cols>
  <x:sheetData>
    <x:row r="1" ht="22" customHeight="1">
      <x:c r="A1" s="2"/>
      <x:c r="B1" s="2"/>
      <x:c r="C1" s="2"/>
      <x:c r="D1" s="2"/>
      <x:c r="E1" s="2"/>
    </x:row>
    <x:row r="2" ht="22" customHeight="1">
      <x:c r="A2" s="19" t="str">
        <x:v>Primary source register | accessed 19 October 2026</x:v>
      </x:c>
      <x:c r="B2" s="2"/>
      <x:c r="C2" s="2"/>
      <x:c r="D2" s="2"/>
      <x:c r="E2" s="2"/>
    </x:row>
    <x:row r="3" ht="34" customHeight="1">
      <x:c r="A3" s="8" t="str">
        <x:v>ID</x:v>
      </x:c>
      <x:c r="B3" s="8" t="str">
        <x:v>Source</x:v>
      </x:c>
      <x:c r="C3" s="8" t="str">
        <x:v>Date / period</x:v>
      </x:c>
      <x:c r="D3" s="8" t="str">
        <x:v>URL</x:v>
      </x:c>
      <x:c r="E3" s="8" t="str">
        <x:v>Locator / scope</x:v>
      </x:c>
    </x:row>
    <x:row r="4" ht="62" customHeight="1">
      <x:c r="A4" s="9" t="str">
        <x:v>S1</x:v>
      </x:c>
      <x:c r="B4" s="9" t="str">
        <x:v>RCB: GSK doctoral programme</x:v>
      </x:c>
      <x:c r="C4" s="9" t="str">
        <x:v>Current programme page; checked 19-Oct-2026</x:v>
      </x:c>
      <x:c r="D4" s="9" t="str">
        <x:v>https://rcb.res.in/rcb-gsk-phd-biostatistics-bioinformatics</x:v>
      </x:c>
      <x:c r="E4" s="9" t="str">
        <x:v>Programme, partner and fellowship terms; ongoing, not a new 2026 launch.</x:v>
      </x:c>
    </x:row>
    <x:row r="5" ht="62" customHeight="1">
      <x:c r="A5" s="9" t="str">
        <x:v>S2</x:v>
      </x:c>
      <x:c r="B5" s="9" t="str">
        <x:v>Pfizer / GITAM PAT release</x:v>
      </x:c>
      <x:c r="C5" s="9" t="str">
        <x:v>11-Oct-2023</x:v>
      </x:c>
      <x:c r="D5" s="9" t="str">
        <x:v>https://www.pfizer.co.in/files/Pfizer-PATs-Onboarding-_Press-Release.pdf</x:v>
      </x:c>
      <x:c r="E5" s="9" t="str">
        <x:v>PDF p1: 47 + 120 + 103 students; three-year manufacturing work experience.</x:v>
      </x:c>
    </x:row>
    <x:row r="6" ht="62" customHeight="1">
      <x:c r="A6" s="9" t="str">
        <x:v>S3</x:v>
      </x:c>
      <x:c r="B6" s="9" t="str">
        <x:v>AstraZeneca / SASTRA release</x:v>
      </x:c>
      <x:c r="C6" s="9" t="str">
        <x:v>27-Jul-2023</x:v>
      </x:c>
      <x:c r="D6" s="9" t="str">
        <x:v>https://www.astrazeneca.in/media/press-releases/2023/AstraZeneca-tieup-with-SASTRA-University.html</x:v>
      </x:c>
      <x:c r="E6" s="9" t="str">
        <x:v>Six-month elective under three-year MoU.</x:v>
      </x:c>
    </x:row>
    <x:row r="7" ht="62" customHeight="1">
      <x:c r="A7" s="9" t="str">
        <x:v>S4</x:v>
      </x:c>
      <x:c r="B7" s="9" t="str">
        <x:v>IIM Bangalore / AstraZeneca leadership programme</x:v>
      </x:c>
      <x:c r="C7" s="9" t="str">
        <x:v>Apr-2026</x:v>
      </x:c>
      <x:c r="D7" s="9" t="str">
        <x:v>https://digest.iimb.ac.in/2026/04/iimb-launches-leadership-development-programme-for-astrazeneca-pharma-india-ltd/</x:v>
      </x:c>
      <x:c r="E7" s="9" t="str">
        <x:v>Body identifies GITC Chennai leaders; five-day campus programme.</x:v>
      </x:c>
    </x:row>
    <x:row r="8" ht="62" customHeight="1">
      <x:c r="A8" s="9" t="str">
        <x:v>S5</x:v>
      </x:c>
      <x:c r="B8" s="9" t="str">
        <x:v>Abbott India professionals</x:v>
      </x:c>
      <x:c r="C8" s="9" t="str">
        <x:v>Undated current page; checked 19-Oct-2026</x:v>
      </x:c>
      <x:c r="D8" s="9" t="str">
        <x:v>https://www.abbott.in/careers/professionals.html</x:v>
      </x:c>
      <x:c r="E8" s="9" t="str">
        <x:v>In-Stride 12 months, academic campus immersion; institutes unnamed. Sales certification and LEAP are internal.</x:v>
      </x:c>
    </x:row>
    <x:row r="9" ht="62" customHeight="1">
      <x:c r="A9" s="9" t="str">
        <x:v>S6</x:v>
      </x:c>
      <x:c r="B9" s="9" t="str">
        <x:v>Sanofi official early talent post</x:v>
      </x:c>
      <x:c r="C9" s="9" t="str">
        <x:v>2024; post displays relative date</x:v>
      </x:c>
      <x:c r="D9" s="9" t="str">
        <x:v>https://www.linkedin.com/posts/sanofi_early-talent-at-sanofis-hyderabad-hub-activity-7231902944491659266-_G4s</x:v>
      </x:c>
      <x:c r="E9" s="9" t="str">
        <x:v>Five named campuses visited Hyderabad hub; engagement, not five signed partnerships.</x:v>
      </x:c>
    </x:row>
    <x:row r="10" ht="62" customHeight="1">
      <x:c r="A10" s="9" t="str">
        <x:v>S7</x:v>
      </x:c>
      <x:c r="B10" s="9" t="str">
        <x:v>PIB: Novartis / NIPER grant</x:v>
      </x:c>
      <x:c r="C10" s="9" t="str">
        <x:v>15-Apr-2026</x:v>
      </x:c>
      <x:c r="D10" s="9" t="str">
        <x:v>https://www.pib.gov.in/PressReleasePage.aspx?PRID=2252190&amp;lang=2&amp;reg=48</x:v>
      </x:c>
      <x:c r="E10" s="9" t="str">
        <x:v>42 proposals; seven eligible NIPERs; one selected faculty recipient at Mohali.</x:v>
      </x:c>
    </x:row>
    <x:row r="11" ht="62" customHeight="1">
      <x:c r="A11" s="9" t="str">
        <x:v>S8</x:v>
      </x:c>
      <x:c r="B11" s="9" t="str">
        <x:v>OPPI Global Capability Centres 2025</x:v>
      </x:c>
      <x:c r="C11" s="9" t="str">
        <x:v>2025 report; uploaded Dec-2025</x:v>
      </x:c>
      <x:c r="D11" s="9" t="str">
        <x:v>https://www.indiaoppi.com/wp-content/uploads/2025/12/GlobalCapabilitiesCentres2025.pdf</x:v>
      </x:c>
      <x:c r="E11" s="9" t="str">
        <x:v>Printed pp3,15,27,41: headcounts; p30: NEST results; p33: Pfizer academic collaboration. PDF page = printed page + 4.</x:v>
      </x:c>
    </x:row>
    <x:row r="12" ht="62" customHeight="1">
      <x:c r="A12" s="9" t="str">
        <x:v>S9</x:v>
      </x:c>
      <x:c r="B12" s="9" t="str">
        <x:v>Novartis NEST 2.0</x:v>
      </x:c>
      <x:c r="C12" s="9" t="str">
        <x:v>Dec-2025 to Jan-2026 entry window</x:v>
      </x:c>
      <x:c r="D12" s="9" t="str">
        <x:v>https://www.novartis.com/in-en/nest-20-nurturing-excellence-strengthening-talent</x:v>
      </x:c>
      <x:c r="E12" s="9" t="str">
        <x:v>Successor programme; pre-placement interviews are opportunities, not job offers.</x:v>
      </x:c>
    </x:row>
    <x:row r="13" ht="62" customHeight="1">
      <x:c r="A13" s="9" t="str">
        <x:v>S10</x:v>
      </x:c>
      <x:c r="B13" s="9" t="str">
        <x:v>Cipla annual report FY2024-25</x:v>
      </x:c>
      <x:c r="C13" s="9" t="str">
        <x:v>FY2025</x:v>
      </x:c>
      <x:c r="D13" s="9" t="str">
        <x:v>https://www.cipla.com/sites/default/files/Cipla-AR-2024-25.pdf</x:v>
      </x:c>
      <x:c r="E13" s="9" t="str">
        <x:v>Human capital / Leadership Ascent: 10-month Cornell programme.</x:v>
      </x:c>
    </x:row>
    <x:row r="14" ht="62" customHeight="1">
      <x:c r="A14" s="9" t="str">
        <x:v>S11</x:v>
      </x:c>
      <x:c r="B14" s="9" t="str">
        <x:v>Lupin human capital FY2025-26</x:v>
      </x:c>
      <x:c r="C14" s="9" t="str">
        <x:v>FY2026</x:v>
      </x:c>
      <x:c r="D14" s="9" t="str">
        <x:v>https://lupin.com/integrated-report-2026/human-capital.html</x:v>
      </x:c>
      <x:c r="E14" s="9" t="str">
        <x:v>RISE with IIM Nagpur; ENHANCE with IIM Indore; ASCENT 27 scholars; BITS MTech 43 enrolled.</x:v>
      </x:c>
    </x:row>
    <x:row r="15" ht="62" customHeight="1">
      <x:c r="A15" s="9" t="str">
        <x:v>S12</x:v>
      </x:c>
      <x:c r="B15" s="9" t="str">
        <x:v>Chitkara University / Sun Pharma</x:v>
      </x:c>
      <x:c r="C15" s="9" t="str">
        <x:v>22-Dec-2025</x:v>
      </x:c>
      <x:c r="D15" s="9" t="str">
        <x:v>https://www.chitkarauniversity.edu.in/news/chitkara-university-himachal-pradesh-partners-with-sun-pharmaceutical-industries-limited/</x:v>
      </x:c>
      <x:c r="E15" s="9" t="str">
        <x:v>MoU covers internships, curriculum and technical training.</x:v>
      </x:c>
    </x:row>
    <x:row r="16" ht="62" customHeight="1">
      <x:c r="A16" s="9" t="str">
        <x:v>S13</x:v>
      </x:c>
      <x:c r="B16" s="9" t="str">
        <x:v>Sanofi Hyderabad expansion release</x:v>
      </x:c>
      <x:c r="C16" s="9" t="str">
        <x:v>16-Feb-2026</x:v>
      </x:c>
      <x:c r="D16" s="9" t="str">
        <x:v>https://www.sanofi.com/assets/countries/india/docs/Media/press-releases/2026/press-release-sanofi-expands-its-Hyderabad-GCC-to-grow-capabilities-and-drive-innovation.pdf</x:v>
      </x:c>
      <x:c r="E16" s="9" t="str">
        <x:v>Capacity about 4,500, versus earlier projected about 2,600. Not actual headcount growth.</x:v>
      </x:c>
    </x:row>
    <x:row r="17" ht="62" customHeight="1">
      <x:c r="A17" s="9" t="str">
        <x:v>S14</x:v>
      </x:c>
      <x:c r="B17" s="9" t="str">
        <x:v>Cipla campus programmes</x:v>
      </x:c>
      <x:c r="C17" s="9" t="str">
        <x:v>Current page; checked 19-Oct-2026</x:v>
      </x:c>
      <x:c r="D17" s="9" t="str">
        <x:v>https://www.cipla.com/careers/campus</x:v>
      </x:c>
      <x:c r="E17" s="9" t="str">
        <x:v>Campus competition: &gt;5,000 registrations, &gt;1,200 submissions, 16 B-schools.</x:v>
      </x:c>
    </x:row>
    <x:row r="18" ht="22" customHeight="1">
      <x:c r="A18" s="2"/>
      <x:c r="B18" s="2"/>
      <x:c r="C18" s="2"/>
      <x:c r="D18" s="2"/>
      <x:c r="E18" s="2"/>
    </x:row>
  </x:sheetData>
  <x:pageMargins left="0.7" right="0.7" top="0.75" bottom="0.75" header="0.3" footer="0.3"/>
</x:worksheet>
</file>