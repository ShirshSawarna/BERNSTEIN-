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29d769ccd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KPIs" sheetId="1" r:id="R33726ca4cc7246aa"/>
    <x:sheet xmlns:r="http://schemas.openxmlformats.org/officeDocument/2006/relationships" name="P&amp;L-QoQ(A)" sheetId="2" r:id="Rca048fcb24514136"/>
    <x:sheet xmlns:r="http://schemas.openxmlformats.org/officeDocument/2006/relationships" name="KPI Reconciliation" sheetId="3" r:id="R01ec355e94494ca0"/>
    <x:sheet xmlns:r="http://schemas.openxmlformats.org/officeDocument/2006/relationships" name="Forecast KPIs" sheetId="4" r:id="Re530c19e4e314e1a"/>
    <x:sheet xmlns:r="http://schemas.openxmlformats.org/officeDocument/2006/relationships" name="Forecast Assumptions" sheetId="5" r:id="R223e1666cd5b4f1b"/>
    <x:sheet xmlns:r="http://schemas.openxmlformats.org/officeDocument/2006/relationships" name="Debt Schedule" sheetId="6" r:id="Rff927d2d112f4f06"/>
    <x:sheet xmlns:r="http://schemas.openxmlformats.org/officeDocument/2006/relationships" name="Debt Assumptions" sheetId="7" r:id="R87b7f7d76eca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;[Red](#,##0);-"/>
    <x:numFmt numFmtId="201" formatCode="0.0%;[Red](0.0%);-"/>
    <x:numFmt numFmtId="202" formatCode="0%;[Red](0%);-"/>
    <x:numFmt numFmtId="203" formatCode="0.0;[Red](0.0);-"/>
    <x:numFmt numFmtId="204" formatCode="0.00;[Red](0.00);-"/>
    <x:numFmt numFmtId="205" formatCode="0.0%"/>
    <x:numFmt numFmtId="206" formatCode="0.00"/>
    <x:numFmt numFmtId="207" formatCode="#,##0"/>
    <x:numFmt numFmtId="208" formatCode="#,##0.0;[Red](#,##0.0);-"/>
  </x:numFmts>
  <x:fonts count="20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2B8FA3"/>
      <x:name val="Arial"/>
    </x:font>
    <x:font>
      <x:sz val="10"/>
      <x:color rgb="FF0000FF"/>
      <x:name val="Arial"/>
    </x:font>
    <x:font>
      <x:sz val="10"/>
      <x:color rgb="FF000000"/>
      <x:name val="Carlito"/>
    </x:font>
    <x:font>
      <x:b/>
      <x:sz val="10"/>
      <x:color rgb="FF000000"/>
      <x:name val="Carlito"/>
    </x:font>
    <x:font>
      <x:sz val="10"/>
      <x:color rgb="FF0000FF"/>
      <x:name val="Carlito"/>
    </x:font>
    <x:font>
      <x:sz val="10"/>
      <x:color rgb="FF000000"/>
      <x:name val="Carlito"/>
    </x:font>
    <x:font>
      <x:b/>
      <x:sz val="12"/>
      <x:color rgb="FFFFFFFF"/>
      <x:name val="Carlito"/>
    </x:font>
    <x:font>
      <x:sz val="10"/>
      <x:color rgb="FF008000"/>
      <x:name val="Carlito"/>
    </x:font>
    <x:font>
      <x:i/>
      <x:sz val="9"/>
      <x:color rgb="FF0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9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00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A8DA8"/>
      </x:patternFill>
    </x:fill>
    <x:fill>
      <x:patternFill patternType="solid">
        <x:fgColor rgb="FFA6A6A6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  <x:fill>
      <x:patternFill patternType="solid">
        <x:fgColor rgb="FF0B5C6B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  <x:fill>
      <x:patternFill patternType="solid">
        <x:fgColor rgb="FFFFF2CC"/>
      </x:patternFill>
    </x:fill>
    <x:fill>
      <x:patternFill patternType="solid">
        <x:fgColor rgb="FF0B5C6B"/>
      </x:patternFill>
    </x:fill>
    <x:fill>
      <x:patternFill patternType="solid">
        <x:fgColor rgb="FF1592AA"/>
      </x:patternFill>
    </x:fill>
    <x:fill>
      <x:patternFill patternType="solid">
        <x:fgColor rgb="FFB7B7B7"/>
      </x:patternFill>
    </x:fill>
    <x:fill>
      <x:patternFill patternType="solid">
        <x:fgColor rgb="FFFFF2CC"/>
      </x:patternFill>
    </x:fill>
    <x:fill>
      <x:patternFill patternType="solid">
        <x:fgColor rgb="FF0B5C6B"/>
      </x:patternFill>
    </x:fill>
    <x:fill>
      <x:patternFill patternType="solid">
        <x:fgColor rgb="FFB7DEE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4F6"/>
      </x:patternFill>
    </x:fill>
  </x:fills>
  <x:borders count="3">
    <x:border/>
    <x:border/>
    <x:border>
      <x:top style="thin">
        <x:color rgb="FF000000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3" fontId="4" fillId="0" borderId="1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204" fontId="4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right"/>
    </x:xf>
    <x:xf numFmtId="0" fontId="6" fillId="8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right"/>
    </x:xf>
    <x:xf numFmtId="200" fontId="10" fillId="0" borderId="0" xfId="0" applyNumberFormat="1" applyFont="1" applyFill="1" applyBorder="1" applyAlignment="1">
      <x:alignment horizontal="right"/>
    </x:xf>
    <x:xf numFmtId="201" fontId="10" fillId="0" borderId="0" xfId="0" applyNumberFormat="1" applyFont="1" applyFill="1" applyBorder="1" applyAlignment="1">
      <x:alignment horizontal="right"/>
    </x:xf>
    <x:xf numFmtId="203" fontId="10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right"/>
    </x:xf>
    <x:xf numFmtId="0" fontId="6" fillId="5" borderId="0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0" fontId="6" fillId="11" borderId="0" xfId="0" applyNumberFormat="1" applyFont="1" applyFill="1" applyBorder="1"/>
    <x:xf numFmtId="0" fontId="6" fillId="1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12" fillId="10" borderId="0" xfId="0" applyNumberFormat="1" applyFont="1" applyFill="1" applyBorder="1"/>
    <x:xf numFmtId="205" fontId="7" fillId="0" borderId="0" xfId="0" applyNumberFormat="1" applyFont="1" applyFill="1" applyBorder="1"/>
    <x:xf numFmtId="205" fontId="5" fillId="0" borderId="0" xfId="0" applyNumberFormat="1" applyFont="1" applyFill="1" applyBorder="1"/>
    <x:xf numFmtId="200" fontId="7" fillId="0" borderId="0" xfId="0" applyNumberFormat="1" applyFont="1" applyFill="1" applyBorder="1"/>
    <x:xf numFmtId="206" fontId="7" fillId="0" borderId="0" xfId="0" applyNumberFormat="1" applyFont="1" applyFill="1" applyBorder="1"/>
    <x:xf numFmtId="207" fontId="7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205" fontId="10" fillId="0" borderId="0" xfId="0" applyNumberFormat="1" applyFont="1" applyFill="1" applyBorder="1"/>
    <x:xf numFmtId="207" fontId="5" fillId="0" borderId="0" xfId="0" applyNumberFormat="1" applyFont="1" applyFill="1" applyBorder="1"/>
    <x:xf numFmtId="206" fontId="10" fillId="0" borderId="0" xfId="0" applyNumberFormat="1" applyFont="1" applyFill="1" applyBorder="1"/>
    <x:xf numFmtId="206" fontId="5" fillId="0" borderId="0" xfId="0" applyNumberFormat="1" applyFont="1" applyFill="1" applyBorder="1"/>
    <x:xf numFmtId="207" fontId="10" fillId="0" borderId="0" xfId="0" applyNumberFormat="1" applyFont="1" applyFill="1" applyBorder="1"/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5" fontId="10" fillId="0" borderId="2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12" fillId="6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right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6" fillId="0" borderId="0" xfId="0" applyNumberFormat="1" applyFont="1" applyFill="1" applyBorder="1"/>
    <x:xf numFmtId="0" fontId="16" fillId="17" borderId="0" xfId="0" applyNumberFormat="1" applyFont="1" applyFill="1" applyBorder="1"/>
    <x:xf numFmtId="208" fontId="16" fillId="0" borderId="0" xfId="0" applyNumberFormat="1" applyFont="1" applyFill="1" applyBorder="1"/>
    <x:xf numFmtId="208" fontId="0" fillId="0" borderId="0" xfId="0" applyNumberFormat="1" applyFont="1" applyFill="1" applyBorder="1"/>
    <x:xf numFmtId="208" fontId="12" fillId="16" borderId="0" xfId="0" applyNumberFormat="1" applyFont="1" applyFill="1" applyBorder="1"/>
    <x:xf numFmtId="208" fontId="16" fillId="17" borderId="0" xfId="0" applyNumberFormat="1" applyFont="1" applyFill="1" applyBorder="1"/>
    <x:xf numFmtId="205" fontId="16" fillId="0" borderId="0" xfId="0" applyNumberFormat="1" applyFont="1" applyFill="1" applyBorder="1"/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208" fontId="13" fillId="18" borderId="0" xfId="0" applyNumberFormat="1" applyFont="1" applyFill="1" applyBorder="1"/>
    <x:xf numFmtId="205" fontId="0" fillId="0" borderId="0" xfId="0" applyNumberFormat="1" applyFont="1" applyFill="1" applyBorder="1"/>
    <x:xf numFmtId="208" fontId="17" fillId="0" borderId="0" xfId="0" applyNumberFormat="1" applyFont="1" applyFill="1" applyBorder="1"/>
    <x:xf numFmtId="205" fontId="17" fillId="0" borderId="0" xfId="0" applyNumberFormat="1" applyFont="1" applyFill="1" applyBorder="1"/>
    <x:xf numFmtId="208" fontId="15" fillId="16" borderId="0" xfId="0" applyNumberFormat="1" applyFont="1" applyFill="1" applyBorder="1"/>
    <x:xf numFmtId="208" fontId="18" fillId="0" borderId="0" xfId="0" applyNumberFormat="1" applyFont="1" applyFill="1" applyBorder="1"/>
    <x:xf numFmtId="205" fontId="18" fillId="0" borderId="0" xfId="0" applyNumberFormat="1" applyFont="1" applyFill="1" applyBorder="1"/>
    <x:xf numFmtId="208" fontId="19" fillId="18" borderId="0" xfId="0" applyNumberFormat="1" applyFont="1" applyFill="1" applyBorder="1"/>
    <x:xf numFmtId="0" fontId="13" fillId="18" borderId="2" xfId="0" applyNumberFormat="1" applyFont="1" applyFill="1" applyBorder="1"/>
    <x:xf numFmtId="208" fontId="19" fillId="18" borderId="2" xfId="0" applyNumberFormat="1" applyFont="1" applyFill="1" applyBorder="1"/>
    <x:xf numFmtId="208" fontId="13" fillId="18" borderId="2" xfId="0" applyNumberFormat="1" applyFont="1" applyFill="1" applyBorder="1"/>
    <x:xf numFmtId="208" fontId="16" fillId="0" borderId="2" xfId="0" applyNumberFormat="1" applyFont="1" applyFill="1" applyBorder="1"/>
    <x:xf numFmtId="208" fontId="17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5b48ec13e4d69" /><Relationship Type="http://schemas.openxmlformats.org/officeDocument/2006/relationships/theme" Target="/xl/theme/theme1.xml" Id="R8c0e96ee232a45d9" /><Relationship Type="http://schemas.openxmlformats.org/officeDocument/2006/relationships/sharedStrings" Target="/xl/sharedStrings.xml" Id="R915a8f649d1440f8" /><Relationship Type="http://schemas.openxmlformats.org/officeDocument/2006/relationships/worksheet" Target="/xl/worksheets/sheet1.xml" Id="R33726ca4cc7246aa" /><Relationship Type="http://schemas.openxmlformats.org/officeDocument/2006/relationships/worksheet" Target="/xl/worksheets/sheet2.xml" Id="Rca048fcb24514136" /><Relationship Type="http://schemas.openxmlformats.org/officeDocument/2006/relationships/worksheet" Target="/xl/worksheets/sheet3.xml" Id="R01ec355e94494ca0" /><Relationship Type="http://schemas.openxmlformats.org/officeDocument/2006/relationships/worksheet" Target="/xl/worksheets/sheet4.xml" Id="Re530c19e4e314e1a" /><Relationship Type="http://schemas.openxmlformats.org/officeDocument/2006/relationships/worksheet" Target="/xl/worksheets/sheet5.xml" Id="R223e1666cd5b4f1b" /><Relationship Type="http://schemas.openxmlformats.org/officeDocument/2006/relationships/worksheet" Target="/xl/worksheets/sheet6.xml" Id="Rff927d2d112f4f06" /><Relationship Type="http://schemas.openxmlformats.org/officeDocument/2006/relationships/worksheet" Target="/xl/worksheets/sheet7.xml" Id="R87b7f7d76eca48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d9c26e8f474e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Debt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FY27E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Schedule'!$D$5:$D$8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FY28E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Schedule'!$E$5:$E$8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FY29E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Schedule'!$F$5:$F$8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FY30E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Schedule'!$G$5:$G$8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FY31E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Schedule'!$H$5:$H$8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FY32E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Schedule'!$I$5:$I$8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6"/>
          <c:order val="6"/>
          <c:tx>
            <c:v>FY33E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Schedule'!$J$5:$J$8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7"/>
          <c:order val="7"/>
          <c:tx>
            <c:v>FY34E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Schedule'!$K$5:$K$8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8"/>
          <c:order val="8"/>
          <c:tx>
            <c:v>FY35E</c:v>
          </c:tx>
          <c:cat>
            <c:strRef>
              <c:f>'Debt Schedule'!$C$5:$C$8</c:f>
              <c:strCache>
                <c:ptCount val="0"/>
              </c:strCache>
            </c:strRef>
          </c:cat>
          <c:val>
            <c:numRef>
              <c:f>'Debt Schedule'!$L$5:$L$8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60</xdr:row>
      <xdr:rowOff>0</xdr:rowOff>
    </xdr:from>
    <xdr:to>
      <xdr:col>12</xdr:col>
      <xdr:colOff>0</xdr:colOff>
      <xdr:row>78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d9c26e8f474e1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fd55307f579459d" /></Relationships>
</file>

<file path=xl/worksheets/sheet1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3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18" customHeight="1">
      <x:c r="A1" s="3"/>
      <x:c r="B1" s="2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20" customHeight="1">
      <x:c r="A2" s="3"/>
      <x:c r="B2" s="7" t="str">
        <x:v>Key KPIs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12" customHeight="1">
      <x:c r="A3" s="3"/>
      <x:c r="B3" s="2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21" customHeight="1">
      <x:c r="A4" s="3"/>
      <x:c r="B4" s="12" t="str">
        <x:v>Line Item</x:v>
      </x:c>
      <x:c r="C4" s="16" t="str">
        <x:v>FY23A</x:v>
      </x:c>
      <x:c r="D4" s="16" t="str">
        <x:v>FY24A</x:v>
      </x:c>
      <x:c r="E4" s="20" t="str">
        <x:v>FY25 Q1</x:v>
      </x:c>
      <x:c r="F4" s="20" t="str">
        <x:v>FY25 Q2</x:v>
      </x:c>
      <x:c r="G4" s="20" t="str">
        <x:v>FY25 Q3</x:v>
      </x:c>
      <x:c r="H4" s="20" t="str">
        <x:v>FY25 Q4</x:v>
      </x:c>
      <x:c r="I4" s="16" t="str">
        <x:v>FY25A</x:v>
      </x:c>
      <x:c r="J4" s="20" t="str">
        <x:v>FY26 Q1</x:v>
      </x:c>
      <x:c r="K4" s="20" t="str">
        <x:v>FY26 Q2</x:v>
      </x:c>
      <x:c r="L4" s="20" t="str">
        <x:v>FY26 Q3</x:v>
      </x:c>
      <x:c r="M4" s="20" t="str">
        <x:v>FY26 Q4</x:v>
      </x:c>
      <x:c r="N4" s="16" t="str">
        <x:v>FY26A</x:v>
      </x:c>
    </x:row>
    <x:row r="5" ht="18" customHeight="1">
      <x:c r="A5" s="3"/>
      <x:c r="B5" s="24" t="str">
        <x:v>Avg Operational Beds (ex-O&amp;M, implied)</x:v>
      </x:c>
      <x:c r="C5" s="65" t="n">
        <x:f>ROUND(C9/C8,0)</x:f>
        <x:v>3972</x:v>
      </x:c>
      <x:c r="D5" s="65" t="n">
        <x:f>ROUND(D9/D8,0)</x:f>
        <x:v>4173</x:v>
      </x:c>
      <x:c r="E5" s="65" t="n">
        <x:f>ROUND(E9/E8,0)</x:f>
        <x:v>4052</x:v>
      </x:c>
      <x:c r="F5" s="65" t="n">
        <x:f>ROUND(F9/F8,0)</x:f>
        <x:v>4082</x:v>
      </x:c>
      <x:c r="G5" s="65" t="n">
        <x:f>ROUND(G9/G8,0)</x:f>
        <x:v>4164</x:v>
      </x:c>
      <x:c r="H5" s="65" t="n">
        <x:f>ROUND(H9/H8,0)</x:f>
        <x:v>4138</x:v>
      </x:c>
      <x:c r="I5" s="65" t="n">
        <x:f>ROUND(I9/I8,0)</x:f>
        <x:v>4113</x:v>
      </x:c>
      <x:c r="J5" s="65" t="n">
        <x:f>ROUND(J9/J8,0)</x:f>
        <x:v>4243</x:v>
      </x:c>
      <x:c r="K5" s="65" t="n">
        <x:f>ROUND(K9/K8,0)</x:f>
        <x:v>4673</x:v>
      </x:c>
      <x:c r="L5" s="65" t="n">
        <x:f>ROUND(L9/L8,0)</x:f>
        <x:v>4760</x:v>
      </x:c>
      <x:c r="M5" s="65" t="n">
        <x:f>ROUND(M9/M8,0)</x:f>
        <x:v>4910</x:v>
      </x:c>
      <x:c r="N5" s="65" t="n">
        <x:f>ROUND(N9/N8,0)</x:f>
        <x:v>4809</x:v>
      </x:c>
    </x:row>
    <x:row r="6" ht="18" customHeight="1">
      <x:c r="A6" s="3"/>
      <x:c r="B6" s="24" t="str">
        <x:v>Growth in Number Beds</x:v>
      </x:c>
      <x:c r="C6" s="36"/>
      <x:c r="D6" s="36" t="n">
        <x:f>D5/C5-1</x:f>
        <x:v>0.05060422960725086</x:v>
      </x:c>
      <x:c r="E6" s="36" t="n">
        <x:f>E5/D5-1</x:f>
        <x:v>-0.028995926192187826</x:v>
      </x:c>
      <x:c r="F6" s="36" t="n">
        <x:f>F5/E5-1</x:f>
        <x:v>0.007403751233958644</x:v>
      </x:c>
      <x:c r="G6" s="36" t="n">
        <x:f>G5/F5-1</x:f>
        <x:v>0.020088192062714283</x:v>
      </x:c>
      <x:c r="H6" s="36" t="n">
        <x:f>H5/G5-1</x:f>
        <x:v>-0.006243996157540788</x:v>
      </x:c>
      <x:c r="I6" s="36" t="n">
        <x:f>I5/D5-1</x:f>
        <x:v>-0.014378145219266725</x:v>
      </x:c>
      <x:c r="J6" s="36" t="n">
        <x:f>J5/E5-1</x:f>
        <x:v>0.047137216189536035</x:v>
      </x:c>
      <x:c r="K6" s="36" t="n">
        <x:f>K5/F5-1</x:f>
        <x:v>0.14478196962273393</x:v>
      </x:c>
      <x:c r="L6" s="36" t="n">
        <x:f>L5/G5-1</x:f>
        <x:v>0.143131604226705</x:v>
      </x:c>
      <x:c r="M6" s="36" t="n">
        <x:f>M5/H5-1</x:f>
        <x:v>0.1865635572740454</x:v>
      </x:c>
      <x:c r="N6" s="36" t="n">
        <x:f>N5/I5-1</x:f>
        <x:v>0.16921954777534642</x:v>
      </x:c>
    </x:row>
    <x:row r="7" ht="12" customHeight="1">
      <x:c r="A7" s="3"/>
      <x:c r="B7" s="2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 ht="18" customHeight="1">
      <x:c r="A8" s="3"/>
      <x:c r="B8" s="24" t="str">
        <x:v>Occupancy %</x:v>
      </x:c>
      <x:c r="C8" s="38" t="n">
        <x:v>0.671</x:v>
      </x:c>
      <x:c r="D8" s="38" t="n">
        <x:v>0.647</x:v>
      </x:c>
      <x:c r="E8" s="38" t="n">
        <x:v>0.67</x:v>
      </x:c>
      <x:c r="F8" s="38" t="n">
        <x:v>0.72</x:v>
      </x:c>
      <x:c r="G8" s="38" t="n">
        <x:v>0.67</x:v>
      </x:c>
      <x:c r="H8" s="38" t="n">
        <x:v>0.69</x:v>
      </x:c>
      <x:c r="I8" s="38" t="n">
        <x:v>0.69</x:v>
      </x:c>
      <x:c r="J8" s="38" t="n">
        <x:v>0.69</x:v>
      </x:c>
      <x:c r="K8" s="38" t="n">
        <x:v>0.71</x:v>
      </x:c>
      <x:c r="L8" s="38" t="n">
        <x:v>0.67</x:v>
      </x:c>
      <x:c r="M8" s="38" t="n">
        <x:v>0.68</x:v>
      </x:c>
      <x:c r="N8" s="38" t="n">
        <x:v>0.68</x:v>
      </x:c>
    </x:row>
    <x:row r="9" ht="18" customHeight="1">
      <x:c r="A9" s="3"/>
      <x:c r="B9" s="24" t="str">
        <x:v>Average Occupied Beds</x:v>
      </x:c>
      <x:c r="C9" s="32" t="n">
        <x:v>2665</x:v>
      </x:c>
      <x:c r="D9" s="32" t="n">
        <x:v>2700</x:v>
      </x:c>
      <x:c r="E9" s="32" t="n">
        <x:v>2715</x:v>
      </x:c>
      <x:c r="F9" s="32" t="n">
        <x:v>2939</x:v>
      </x:c>
      <x:c r="G9" s="32" t="n">
        <x:v>2790</x:v>
      </x:c>
      <x:c r="H9" s="32" t="n">
        <x:v>2855</x:v>
      </x:c>
      <x:c r="I9" s="32" t="n">
        <x:v>2838</x:v>
      </x:c>
      <x:c r="J9" s="32" t="n">
        <x:v>2928</x:v>
      </x:c>
      <x:c r="K9" s="32" t="n">
        <x:v>3318</x:v>
      </x:c>
      <x:c r="L9" s="32" t="n">
        <x:v>3189</x:v>
      </x:c>
      <x:c r="M9" s="32" t="n">
        <x:v>3339</x:v>
      </x:c>
      <x:c r="N9" s="32" t="n">
        <x:v>3270</x:v>
      </x:c>
    </x:row>
    <x:row r="10" ht="12" customHeight="1">
      <x:c r="A10" s="3"/>
      <x:c r="B10" s="2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</x:row>
    <x:row r="11" ht="18" customHeight="1">
      <x:c r="A11" s="3"/>
      <x:c r="B11" s="24" t="str">
        <x:v>ARPOB (INR Mn)</x:v>
      </x:c>
      <x:c r="C11" s="40" t="n">
        <x:v>20.1</x:v>
      </x:c>
      <x:c r="D11" s="40" t="n">
        <x:v>22.2</x:v>
      </x:c>
      <x:c r="E11" s="40" t="n">
        <x:v>24.1</x:v>
      </x:c>
      <x:c r="F11" s="40" t="n">
        <x:v>23.7</x:v>
      </x:c>
      <x:c r="G11" s="40" t="n">
        <x:v>24.5</x:v>
      </x:c>
      <x:c r="H11" s="40" t="n">
        <x:v>25.1</x:v>
      </x:c>
      <x:c r="I11" s="40" t="n">
        <x:v>24.2</x:v>
      </x:c>
      <x:c r="J11" s="40" t="n">
        <x:v>26.5</x:v>
      </x:c>
      <x:c r="K11" s="40" t="n">
        <x:v>25.1</x:v>
      </x:c>
      <x:c r="L11" s="40" t="n">
        <x:v>25.6</x:v>
      </x:c>
      <x:c r="M11" s="40" t="n">
        <x:v>25.6</x:v>
      </x:c>
      <x:c r="N11" s="40" t="n">
        <x:v>25.1</x:v>
      </x:c>
    </x:row>
    <x:row r="12" ht="18" customHeight="1">
      <x:c r="A12" s="3"/>
      <x:c r="B12" s="26" t="str">
        <x:v>yoy growth %</x:v>
      </x:c>
      <x:c r="C12" s="42"/>
      <x:c r="D12" s="42" t="n">
        <x:v>0.108</x:v>
      </x:c>
      <x:c r="E12" s="42" t="n">
        <x:v>0.097</x:v>
      </x:c>
      <x:c r="F12" s="42" t="n">
        <x:v>0.076</x:v>
      </x:c>
      <x:c r="G12" s="42" t="n">
        <x:v>0.099</x:v>
      </x:c>
      <x:c r="H12" s="42" t="n">
        <x:v>0.084</x:v>
      </x:c>
      <x:c r="I12" s="42" t="n">
        <x:v>0.09</x:v>
      </x:c>
      <x:c r="J12" s="42" t="n">
        <x:v>0.102</x:v>
      </x:c>
      <x:c r="K12" s="42" t="n">
        <x:v>0.058</x:v>
      </x:c>
      <x:c r="L12" s="42" t="n">
        <x:v>0.045</x:v>
      </x:c>
      <x:c r="M12" s="42" t="n">
        <x:v>0.02</x:v>
      </x:c>
      <x:c r="N12" s="42" t="n">
        <x:v>0.034</x:v>
      </x:c>
    </x:row>
    <x:row r="13" ht="12" customHeight="1">
      <x:c r="A13" s="3"/>
      <x:c r="B13" s="2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</x:row>
    <x:row r="14" ht="18" customHeight="1">
      <x:c r="A14" s="3"/>
      <x:c r="B14" s="24" t="str">
        <x:v>ALOS (Days)</x:v>
      </x:c>
      <x:c r="C14" s="44" t="n">
        <x:v>4.38</x:v>
      </x:c>
      <x:c r="D14" s="44" t="n">
        <x:v>4.28</x:v>
      </x:c>
      <x:c r="E14" s="44" t="n">
        <x:v>4.16</x:v>
      </x:c>
      <x:c r="F14" s="44" t="n">
        <x:v>4.2</x:v>
      </x:c>
      <x:c r="G14" s="44" t="n">
        <x:v>4.2</x:v>
      </x:c>
      <x:c r="H14" s="44" t="n">
        <x:v>4.22</x:v>
      </x:c>
      <x:c r="I14" s="44" t="n">
        <x:v>4.19</x:v>
      </x:c>
      <x:c r="J14" s="44" t="n">
        <x:v>4.09</x:v>
      </x:c>
      <x:c r="K14" s="44" t="n">
        <x:v>4.18</x:v>
      </x:c>
      <x:c r="L14" s="44" t="n">
        <x:v>4.29</x:v>
      </x:c>
      <x:c r="M14" s="44" t="n">
        <x:v>4.26</x:v>
      </x:c>
      <x:c r="N14" s="44" t="n">
        <x:v>4.21</x:v>
      </x:c>
    </x:row>
    <x:row r="15" ht="12" customHeight="1">
      <x:c r="A15" s="3"/>
      <x:c r="B15" s="2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</x:row>
    <x:row r="16" ht="18" customHeight="1">
      <x:c r="A16" s="3"/>
      <x:c r="B16" s="24" t="str">
        <x:v>Agilus Number of Patients</x:v>
      </x:c>
      <x:c r="C16" s="44" t="n">
        <x:v>16.6</x:v>
      </x:c>
      <x:c r="D16" s="44" t="n">
        <x:v>16.4</x:v>
      </x:c>
      <x:c r="E16" s="44" t="n">
        <x:v>4</x:v>
      </x:c>
      <x:c r="F16" s="44" t="n">
        <x:v>4.39</x:v>
      </x:c>
      <x:c r="G16" s="44" t="n">
        <x:v>4.01</x:v>
      </x:c>
      <x:c r="H16" s="44" t="n">
        <x:v>3.9</x:v>
      </x:c>
      <x:c r="I16" s="44" t="n">
        <x:v>16.3</x:v>
      </x:c>
      <x:c r="J16" s="44" t="n">
        <x:v>4.2</x:v>
      </x:c>
      <x:c r="K16" s="44" t="n">
        <x:v>4.4</x:v>
      </x:c>
      <x:c r="L16" s="44" t="n">
        <x:v>4.1</x:v>
      </x:c>
      <x:c r="M16" s="44" t="n">
        <x:v>4.1</x:v>
      </x:c>
      <x:c r="N16" s="44" t="n">
        <x:v>16.8</x:v>
      </x:c>
    </x:row>
    <x:row r="17" ht="18" customHeight="1">
      <x:c r="A17" s="3"/>
      <x:c r="B17" s="26" t="str">
        <x:v>yoy growth %</x:v>
      </x:c>
      <x:c r="C17" s="42"/>
      <x:c r="D17" s="42" t="n">
        <x:v>-0.012048192771084487</x:v>
      </x:c>
      <x:c r="E17" s="42" t="n">
        <x:v>-0.031</x:v>
      </x:c>
      <x:c r="F17" s="42" t="n">
        <x:v>0.007</x:v>
      </x:c>
      <x:c r="G17" s="42" t="n">
        <x:v>0.003</x:v>
      </x:c>
      <x:c r="H17" s="42" t="n">
        <x:v>0.003</x:v>
      </x:c>
      <x:c r="I17" s="42" t="n">
        <x:v>-0.0060975609756096505</x:v>
      </x:c>
      <x:c r="J17" s="36" t="n">
        <x:f>J16/E16-1</x:f>
        <x:v>0.050000000000000044</x:v>
      </x:c>
      <x:c r="K17" s="36" t="n">
        <x:f>K16/F16-1</x:f>
        <x:v>0.002277904328018332</x:v>
      </x:c>
      <x:c r="L17" s="36" t="n">
        <x:f>L16/G16-1</x:f>
        <x:v>0.02244389027431426</x:v>
      </x:c>
      <x:c r="M17" s="36" t="n">
        <x:f>M16/H16-1</x:f>
        <x:v>0.05128205128205132</x:v>
      </x:c>
      <x:c r="N17" s="42" t="n">
        <x:v>0.030674846625766916</x:v>
      </x:c>
    </x:row>
    <x:row r="18" ht="18" customHeight="1">
      <x:c r="A18" s="3"/>
      <x:c r="B18" s="24" t="str">
        <x:v>Agilus # of Tests</x:v>
      </x:c>
      <x:c r="C18" s="44" t="n">
        <x:v>39</x:v>
      </x:c>
      <x:c r="D18" s="44" t="n">
        <x:v>38.8</x:v>
      </x:c>
      <x:c r="E18" s="44" t="n">
        <x:v>9.92</x:v>
      </x:c>
      <x:c r="F18" s="44" t="n">
        <x:v>11.11</x:v>
      </x:c>
      <x:c r="G18" s="44" t="n">
        <x:v>10.29</x:v>
      </x:c>
      <x:c r="H18" s="44" t="n">
        <x:v>9.59</x:v>
      </x:c>
      <x:c r="I18" s="44" t="n">
        <x:v>39.2</x:v>
      </x:c>
      <x:c r="J18" s="44" t="n">
        <x:v>10.1</x:v>
      </x:c>
      <x:c r="K18" s="44" t="n">
        <x:v>10.62</x:v>
      </x:c>
      <x:c r="L18" s="44" t="n">
        <x:v>9.94</x:v>
      </x:c>
      <x:c r="M18" s="44" t="n">
        <x:v>10.06</x:v>
      </x:c>
      <x:c r="N18" s="44" t="n">
        <x:v>40.8</x:v>
      </x:c>
    </x:row>
    <x:row r="19" ht="18" customHeight="1">
      <x:c r="A19" s="3"/>
      <x:c r="B19" s="26" t="str">
        <x:v>yoy growth %</x:v>
      </x:c>
      <x:c r="C19" s="42"/>
      <x:c r="D19" s="42" t="n">
        <x:v>-0.005128205128205221</x:v>
      </x:c>
      <x:c r="E19" s="42" t="n">
        <x:v>-0.0030150753768843908</x:v>
      </x:c>
      <x:c r="F19" s="42" t="n">
        <x:v>0.04910292728989618</x:v>
      </x:c>
      <x:c r="G19" s="42" t="n">
        <x:v>0.044670050761421276</x:v>
      </x:c>
      <x:c r="H19" s="42" t="n">
        <x:v>0.043525571273123065</x:v>
      </x:c>
      <x:c r="I19" s="42" t="n">
        <x:v>0.01030927835051565</x:v>
      </x:c>
      <x:c r="J19" s="36" t="n">
        <x:f>J18/9.60-1</x:f>
        <x:v>0.05208333333333326</x:v>
      </x:c>
      <x:c r="K19" s="36" t="n">
        <x:f>K18/10.40-1</x:f>
        <x:v>0.02115384615384608</x:v>
      </x:c>
      <x:c r="L19" s="36" t="n">
        <x:f>L18/9.59-1</x:f>
        <x:v>0.03649635036496357</x:v>
      </x:c>
      <x:c r="M19" s="36" t="n">
        <x:f>M18/9.59-1</x:f>
        <x:v>0.049009384775808185</x:v>
      </x:c>
      <x:c r="N19" s="42" t="n">
        <x:v>0.04081632653061207</x:v>
      </x:c>
    </x:row>
    <x:row r="20" ht="18" customHeight="1">
      <x:c r="A20" s="3"/>
      <x:c r="B20" s="24" t="str">
        <x:v>Agilus Average Realization</x:v>
      </x:c>
      <x:c r="C20" s="32" t="n">
        <x:v>345</x:v>
      </x:c>
      <x:c r="D20" s="32" t="n">
        <x:v>353</x:v>
      </x:c>
      <x:c r="E20" s="32" t="n">
        <x:v>341</x:v>
      </x:c>
      <x:c r="F20" s="32" t="n">
        <x:v>335</x:v>
      </x:c>
      <x:c r="G20" s="32" t="n">
        <x:v>333</x:v>
      </x:c>
      <x:c r="H20" s="32" t="n">
        <x:v>365</x:v>
      </x:c>
      <x:c r="I20" s="32" t="n">
        <x:v>358</x:v>
      </x:c>
      <x:c r="J20" s="32" t="n">
        <x:v>363</x:v>
      </x:c>
      <x:c r="K20" s="32" t="n">
        <x:v>375</x:v>
      </x:c>
      <x:c r="L20" s="32" t="n">
        <x:v>369</x:v>
      </x:c>
      <x:c r="M20" s="32" t="n">
        <x:v>375</x:v>
      </x:c>
      <x:c r="N20" s="32" t="n">
        <x:v>370</x:v>
      </x:c>
    </x:row>
    <x:row r="21" ht="18" customHeight="1">
      <x:c r="A21" s="3"/>
      <x:c r="B21" s="26" t="str">
        <x:v>yoy growth %</x:v>
      </x:c>
      <x:c r="C21" s="42"/>
      <x:c r="D21" s="42" t="n">
        <x:v>0.023188405797101463</x:v>
      </x:c>
      <x:c r="E21" s="42" t="n">
        <x:v>-0.008720930232558155</x:v>
      </x:c>
      <x:c r="F21" s="42" t="n">
        <x:v>-0.014705882352941124</x:v>
      </x:c>
      <x:c r="G21" s="42" t="n">
        <x:v>-0.0029940119760478723</x:v>
      </x:c>
      <x:c r="H21" s="42" t="n">
        <x:v>-0.008152173913043459</x:v>
      </x:c>
      <x:c r="I21" s="42" t="n">
        <x:v>0.014164305949008416</x:v>
      </x:c>
      <x:c r="J21" s="36" t="n">
        <x:f>J20/353-1</x:f>
        <x:v>0.028328611898017053</x:v>
      </x:c>
      <x:c r="K21" s="36" t="n">
        <x:f>K20/357-1</x:f>
        <x:v>0.050420168067226934</x:v>
      </x:c>
      <x:c r="L21" s="36" t="n">
        <x:f>L20/357-1</x:f>
        <x:v>0.03361344537815136</x:v>
      </x:c>
      <x:c r="M21" s="36" t="n">
        <x:f>M20/H20-1</x:f>
        <x:v>0.027397260273972712</x:v>
      </x:c>
      <x:c r="N21" s="42" t="n">
        <x:v>0.033519553072625774</x:v>
      </x:c>
    </x:row>
    <x:row r="22" ht="12" customHeight="1">
      <x:c r="A22" s="3"/>
      <x:c r="B22" s="2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</x:row>
    <x:row r="23" ht="20" customHeight="1">
      <x:c r="A23" s="3"/>
      <x:c r="B23" s="7" t="str">
        <x:v>Top Ten Hospitals: Revenue</x:v>
      </x:c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</x:row>
    <x:row r="24" ht="12" customHeight="1">
      <x:c r="A24" s="3"/>
      <x:c r="B24" s="2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</x:row>
    <x:row r="25" ht="21" customHeight="1">
      <x:c r="A25" s="3"/>
      <x:c r="B25" s="12" t="str">
        <x:v>Hospital Name</x:v>
      </x:c>
      <x:c r="C25" s="16" t="str">
        <x:v>FY23A</x:v>
      </x:c>
      <x:c r="D25" s="16" t="str">
        <x:v>FY24A</x:v>
      </x:c>
      <x:c r="E25" s="20" t="str">
        <x:v>FY25 Q1</x:v>
      </x:c>
      <x:c r="F25" s="20" t="str">
        <x:v>FY25 Q2</x:v>
      </x:c>
      <x:c r="G25" s="20" t="str">
        <x:v>FY25 Q3</x:v>
      </x:c>
      <x:c r="H25" s="20" t="str">
        <x:v>FY25 Q4</x:v>
      </x:c>
      <x:c r="I25" s="16" t="str">
        <x:v>FY25A</x:v>
      </x:c>
      <x:c r="J25" s="20" t="str">
        <x:v>FY26 Q1</x:v>
      </x:c>
      <x:c r="K25" s="20" t="str">
        <x:v>FY26 Q2</x:v>
      </x:c>
      <x:c r="L25" s="20" t="str">
        <x:v>FY26 Q3</x:v>
      </x:c>
      <x:c r="M25" s="20" t="str">
        <x:v>FY26 Q4</x:v>
      </x:c>
      <x:c r="N25" s="16" t="str">
        <x:v>FY26A</x:v>
      </x:c>
    </x:row>
    <x:row r="26" ht="18" customHeight="1">
      <x:c r="A26" s="3"/>
      <x:c r="B26" s="24" t="str">
        <x:v>FMRI</x:v>
      </x:c>
      <x:c r="C26" s="32" t="n">
        <x:v>7540</x:v>
      </x:c>
      <x:c r="D26" s="32" t="n">
        <x:v>8250</x:v>
      </x:c>
      <x:c r="E26" s="32" t="n">
        <x:v>2330</x:v>
      </x:c>
      <x:c r="F26" s="32" t="n">
        <x:v>2510</x:v>
      </x:c>
      <x:c r="G26" s="32" t="n">
        <x:v>2450</x:v>
      </x:c>
      <x:c r="H26" s="32" t="n">
        <x:v>2620</x:v>
      </x:c>
      <x:c r="I26" s="32" t="n">
        <x:v>9910</x:v>
      </x:c>
      <x:c r="J26" s="32" t="n">
        <x:v>2860</x:v>
      </x:c>
      <x:c r="K26" s="32" t="n">
        <x:v>2900</x:v>
      </x:c>
      <x:c r="L26" s="32" t="n">
        <x:v>2750</x:v>
      </x:c>
      <x:c r="M26" s="32" t="n">
        <x:v>2860</x:v>
      </x:c>
      <x:c r="N26" s="32" t="n">
        <x:v>11370</x:v>
      </x:c>
    </x:row>
    <x:row r="27" ht="18" customHeight="1">
      <x:c r="A27" s="3"/>
      <x:c r="B27" s="26" t="str">
        <x:v>yoy growth%</x:v>
      </x:c>
      <x:c r="C27" s="42"/>
      <x:c r="D27" s="42" t="n">
        <x:v>0.09416445623342184</x:v>
      </x:c>
      <x:c r="E27" s="42" t="n">
        <x:v>0.14778325123152714</x:v>
      </x:c>
      <x:c r="F27" s="42" t="n">
        <x:v>0.1357466063348416</x:v>
      </x:c>
      <x:c r="G27" s="42" t="n">
        <x:v>0.2564102564102564</x:v>
      </x:c>
      <x:c r="H27" s="42" t="n">
        <x:v>0.2657004830917875</x:v>
      </x:c>
      <x:c r="I27" s="42" t="n">
        <x:v>0.20121212121212118</x:v>
      </x:c>
      <x:c r="J27" s="36" t="n">
        <x:f>J26/E26-1</x:f>
        <x:v>0.22746781115879822</x:v>
      </x:c>
      <x:c r="K27" s="36" t="n">
        <x:f>K26/F26-1</x:f>
        <x:v>0.15537848605577698</x:v>
      </x:c>
      <x:c r="L27" s="36" t="n">
        <x:f>L26/G26-1</x:f>
        <x:v>0.12244897959183665</x:v>
      </x:c>
      <x:c r="M27" s="36" t="n">
        <x:f>M26/H26-1</x:f>
        <x:v>0.09160305343511443</x:v>
      </x:c>
      <x:c r="N27" s="42" t="n">
        <x:v>0.1473259334006054</x:v>
      </x:c>
    </x:row>
    <x:row r="28" ht="18" customHeight="1">
      <x:c r="A28" s="3"/>
      <x:c r="B28" s="24" t="str">
        <x:v>Mohali</x:v>
      </x:c>
      <x:c r="C28" s="32" t="n">
        <x:v>5750</x:v>
      </x:c>
      <x:c r="D28" s="32" t="n">
        <x:v>6870</x:v>
      </x:c>
      <x:c r="E28" s="32" t="n">
        <x:v>1980</x:v>
      </x:c>
      <x:c r="F28" s="32" t="n">
        <x:v>2070</x:v>
      </x:c>
      <x:c r="G28" s="32" t="n">
        <x:v>2030</x:v>
      </x:c>
      <x:c r="H28" s="32" t="n">
        <x:v>2030</x:v>
      </x:c>
      <x:c r="I28" s="32" t="n">
        <x:v>8120</x:v>
      </x:c>
      <x:c r="J28" s="32" t="n">
        <x:v>2330</x:v>
      </x:c>
      <x:c r="K28" s="32" t="n">
        <x:v>2340</x:v>
      </x:c>
      <x:c r="L28" s="32" t="n">
        <x:v>2180</x:v>
      </x:c>
      <x:c r="M28" s="32" t="n">
        <x:v>2170</x:v>
      </x:c>
      <x:c r="N28" s="32" t="n">
        <x:v>9020</x:v>
      </x:c>
    </x:row>
    <x:row r="29" ht="18" customHeight="1">
      <x:c r="A29" s="3"/>
      <x:c r="B29" s="26" t="str">
        <x:v>yoy growth%</x:v>
      </x:c>
      <x:c r="C29" s="42"/>
      <x:c r="D29" s="42" t="n">
        <x:v>0.19478260869565212</x:v>
      </x:c>
      <x:c r="E29" s="42" t="n">
        <x:v>0.19277108433734935</x:v>
      </x:c>
      <x:c r="F29" s="42" t="n">
        <x:v>0.20348837209302317</x:v>
      </x:c>
      <x:c r="G29" s="42" t="n">
        <x:v>0.1871345029239766</x:v>
      </x:c>
      <x:c r="H29" s="42" t="n">
        <x:v>0.1404494382022472</x:v>
      </x:c>
      <x:c r="I29" s="42" t="n">
        <x:v>0.18195050946142644</x:v>
      </x:c>
      <x:c r="J29" s="36" t="n">
        <x:f>J28/E28-1</x:f>
        <x:v>0.17676767676767668</x:v>
      </x:c>
      <x:c r="K29" s="36" t="n">
        <x:f>K28/F28-1</x:f>
        <x:v>0.13043478260869557</x:v>
      </x:c>
      <x:c r="L29" s="36" t="n">
        <x:f>L28/G28-1</x:f>
        <x:v>0.07389162561576357</x:v>
      </x:c>
      <x:c r="M29" s="36" t="n">
        <x:f>M28/H28-1</x:f>
        <x:v>0.06896551724137923</x:v>
      </x:c>
      <x:c r="N29" s="42" t="n">
        <x:v>0.11083743842364524</x:v>
      </x:c>
    </x:row>
    <x:row r="30" ht="18" customHeight="1">
      <x:c r="A30" s="3"/>
      <x:c r="B30" s="24" t="str">
        <x:v>Shalimar Bagh</x:v>
      </x:c>
      <x:c r="C30" s="32" t="n">
        <x:v>4300</x:v>
      </x:c>
      <x:c r="D30" s="32" t="n">
        <x:v>4970</x:v>
      </x:c>
      <x:c r="E30" s="32" t="n">
        <x:v>1410</x:v>
      </x:c>
      <x:c r="F30" s="32" t="n">
        <x:v>1560</x:v>
      </x:c>
      <x:c r="G30" s="32" t="n">
        <x:v>1630</x:v>
      </x:c>
      <x:c r="H30" s="32" t="n">
        <x:v>1720</x:v>
      </x:c>
      <x:c r="I30" s="32" t="n">
        <x:v>6330</x:v>
      </x:c>
      <x:c r="J30" s="32" t="n">
        <x:v>1770</x:v>
      </x:c>
      <x:c r="K30" s="32" t="n">
        <x:v>1850</x:v>
      </x:c>
      <x:c r="L30" s="32" t="n">
        <x:v>1810</x:v>
      </x:c>
      <x:c r="M30" s="32" t="n">
        <x:v>1810</x:v>
      </x:c>
      <x:c r="N30" s="32" t="n">
        <x:v>7230</x:v>
      </x:c>
    </x:row>
    <x:row r="31" ht="18" customHeight="1">
      <x:c r="A31" s="3"/>
      <x:c r="B31" s="26" t="str">
        <x:v>yoy growth%</x:v>
      </x:c>
      <x:c r="C31" s="42"/>
      <x:c r="D31" s="42" t="n">
        <x:v>0.15581395348837201</x:v>
      </x:c>
      <x:c r="E31" s="42" t="n">
        <x:v>0.22608695652173916</x:v>
      </x:c>
      <x:c r="F31" s="42" t="n">
        <x:v>0.248</x:v>
      </x:c>
      <x:c r="G31" s="42" t="n">
        <x:v>0.314516129032258</x:v>
      </x:c>
      <x:c r="H31" s="42" t="n">
        <x:v>0.29323308270676685</x:v>
      </x:c>
      <x:c r="I31" s="42" t="n">
        <x:v>0.27364185110663986</x:v>
      </x:c>
      <x:c r="J31" s="36" t="n">
        <x:f>J30/E30-1</x:f>
        <x:v>0.25531914893617014</x:v>
      </x:c>
      <x:c r="K31" s="36" t="n">
        <x:f>K30/F30-1</x:f>
        <x:v>0.1858974358974359</x:v>
      </x:c>
      <x:c r="L31" s="36" t="n">
        <x:f>L30/G30-1</x:f>
        <x:v>0.11042944785276076</x:v>
      </x:c>
      <x:c r="M31" s="36" t="n">
        <x:f>M30/H30-1</x:f>
        <x:v>0.05232558139534893</x:v>
      </x:c>
      <x:c r="N31" s="42" t="n">
        <x:v>0.14218009478672977</x:v>
      </x:c>
    </x:row>
    <x:row r="32" ht="18" customHeight="1">
      <x:c r="A32" s="3"/>
      <x:c r="B32" s="24" t="str">
        <x:v>Noida</x:v>
      </x:c>
      <x:c r="C32" s="32" t="n">
        <x:v>4210</x:v>
      </x:c>
      <x:c r="D32" s="32" t="n">
        <x:v>4900</x:v>
      </x:c>
      <x:c r="E32" s="32" t="n">
        <x:v>1340</x:v>
      </x:c>
      <x:c r="F32" s="32" t="n">
        <x:v>1360</x:v>
      </x:c>
      <x:c r="G32" s="32" t="n">
        <x:v>1310</x:v>
      </x:c>
      <x:c r="H32" s="32" t="n">
        <x:v>1400</x:v>
      </x:c>
      <x:c r="I32" s="32" t="n">
        <x:v>5400</x:v>
      </x:c>
      <x:c r="J32" s="32" t="n">
        <x:v>1570</x:v>
      </x:c>
      <x:c r="K32" s="32" t="n">
        <x:v>1640</x:v>
      </x:c>
      <x:c r="L32" s="32" t="n">
        <x:v>1580</x:v>
      </x:c>
      <x:c r="M32" s="32" t="n">
        <x:v>1630</x:v>
      </x:c>
      <x:c r="N32" s="32" t="n">
        <x:v>6420</x:v>
      </x:c>
    </x:row>
    <x:row r="33" ht="18" customHeight="1">
      <x:c r="A33" s="3"/>
      <x:c r="B33" s="26" t="str">
        <x:v>yoy growth%</x:v>
      </x:c>
      <x:c r="C33" s="42"/>
      <x:c r="D33" s="42" t="n">
        <x:v>0.16389548693586709</x:v>
      </x:c>
      <x:c r="E33" s="42" t="n">
        <x:v>0.14529914529914523</x:v>
      </x:c>
      <x:c r="F33" s="42" t="n">
        <x:v>0.09677419354838701</x:v>
      </x:c>
      <x:c r="G33" s="42" t="n">
        <x:v>0.09166666666666656</x:v>
      </x:c>
      <x:c r="H33" s="42" t="n">
        <x:v>0.0852713178294573</x:v>
      </x:c>
      <x:c r="I33" s="42" t="n">
        <x:v>0.1020408163265305</x:v>
      </x:c>
      <x:c r="J33" s="36" t="n">
        <x:f>J32/E32-1</x:f>
        <x:v>0.17164179104477606</x:v>
      </x:c>
      <x:c r="K33" s="36" t="n">
        <x:f>K32/F32-1</x:f>
        <x:v>0.2058823529411764</x:v>
      </x:c>
      <x:c r="L33" s="36" t="n">
        <x:f>L32/G32-1</x:f>
        <x:v>0.20610687022900764</x:v>
      </x:c>
      <x:c r="M33" s="36" t="n">
        <x:f>M32/H32-1</x:f>
        <x:v>0.16428571428571437</x:v>
      </x:c>
      <x:c r="N33" s="42" t="n">
        <x:v>0.18888888888888888</x:v>
      </x:c>
    </x:row>
    <x:row r="34" ht="18" customHeight="1">
      <x:c r="A34" s="3"/>
      <x:c r="B34" s="24" t="str">
        <x:v>BG Road</x:v>
      </x:c>
      <x:c r="C34" s="32" t="n">
        <x:v>4620</x:v>
      </x:c>
      <x:c r="D34" s="32" t="n">
        <x:v>5100</x:v>
      </x:c>
      <x:c r="E34" s="32" t="n">
        <x:v>1450</x:v>
      </x:c>
      <x:c r="F34" s="32" t="n">
        <x:v>1480</x:v>
      </x:c>
      <x:c r="G34" s="32" t="n">
        <x:v>1320</x:v>
      </x:c>
      <x:c r="H34" s="32" t="n">
        <x:v>1460</x:v>
      </x:c>
      <x:c r="I34" s="32" t="n">
        <x:v>5710</x:v>
      </x:c>
      <x:c r="J34" s="32" t="n">
        <x:v>1530</x:v>
      </x:c>
      <x:c r="K34" s="32" t="n">
        <x:v>1570</x:v>
      </x:c>
      <x:c r="L34" s="32" t="n">
        <x:v>1420</x:v>
      </x:c>
      <x:c r="M34" s="32" t="n">
        <x:v>1520</x:v>
      </x:c>
      <x:c r="N34" s="32" t="n">
        <x:v>6050</x:v>
      </x:c>
    </x:row>
    <x:row r="35" ht="18" customHeight="1">
      <x:c r="A35" s="3"/>
      <x:c r="B35" s="26" t="str">
        <x:v>yoy growth%</x:v>
      </x:c>
      <x:c r="C35" s="42"/>
      <x:c r="D35" s="42" t="n">
        <x:v>0.10389610389610393</x:v>
      </x:c>
      <x:c r="E35" s="42" t="n">
        <x:v>0.22881355932203395</x:v>
      </x:c>
      <x:c r="F35" s="42" t="n">
        <x:v>0.12977099236641232</x:v>
      </x:c>
      <x:c r="G35" s="42" t="n">
        <x:v>0.03937007874015741</x:v>
      </x:c>
      <x:c r="H35" s="42" t="n">
        <x:v>0.08148148148148149</x:v>
      </x:c>
      <x:c r="I35" s="42" t="n">
        <x:v>0.11960784313725492</x:v>
      </x:c>
      <x:c r="J35" s="36" t="n">
        <x:f>J34/E34-1</x:f>
        <x:v>0.05517241379310356</x:v>
      </x:c>
      <x:c r="K35" s="36" t="n">
        <x:f>K34/F34-1</x:f>
        <x:v>0.060810810810810745</x:v>
      </x:c>
      <x:c r="L35" s="36" t="n">
        <x:f>L34/G34-1</x:f>
        <x:v>0.07575757575757569</x:v>
      </x:c>
      <x:c r="M35" s="36" t="n">
        <x:f>M34/H34-1</x:f>
        <x:v>0.041095890410958846</x:v>
      </x:c>
      <x:c r="N35" s="42" t="n">
        <x:v>0.05954465849387036</x:v>
      </x:c>
    </x:row>
    <x:row r="36" ht="18" customHeight="1">
      <x:c r="A36" s="3"/>
      <x:c r="B36" s="24" t="str">
        <x:v>FEHI</x:v>
      </x:c>
      <x:c r="C36" s="32" t="n">
        <x:v>4070</x:v>
      </x:c>
      <x:c r="D36" s="32" t="n">
        <x:v>4330</x:v>
      </x:c>
      <x:c r="E36" s="32" t="n">
        <x:v>1160</x:v>
      </x:c>
      <x:c r="F36" s="32" t="n">
        <x:v>1200</x:v>
      </x:c>
      <x:c r="G36" s="32" t="n">
        <x:v>1220</x:v>
      </x:c>
      <x:c r="H36" s="32" t="n">
        <x:v>1350</x:v>
      </x:c>
      <x:c r="I36" s="32" t="n">
        <x:v>4920</x:v>
      </x:c>
      <x:c r="J36" s="32" t="n">
        <x:v>1440</x:v>
      </x:c>
      <x:c r="K36" s="32" t="n">
        <x:v>1500</x:v>
      </x:c>
      <x:c r="L36" s="32" t="n">
        <x:v>1390</x:v>
      </x:c>
      <x:c r="M36" s="32" t="n">
        <x:v>1570</x:v>
      </x:c>
      <x:c r="N36" s="32" t="n">
        <x:v>5900</x:v>
      </x:c>
    </x:row>
    <x:row r="37" ht="18" customHeight="1">
      <x:c r="A37" s="3"/>
      <x:c r="B37" s="26" t="str">
        <x:v>yoy growth%</x:v>
      </x:c>
      <x:c r="C37" s="42"/>
      <x:c r="D37" s="42" t="n">
        <x:v>0.06388206388206386</x:v>
      </x:c>
      <x:c r="E37" s="42" t="n">
        <x:v>0.09433962264150941</x:v>
      </x:c>
      <x:c r="F37" s="42" t="n">
        <x:v>0.11111111111111116</x:v>
      </x:c>
      <x:c r="G37" s="42" t="n">
        <x:v>0.20792079207920788</x:v>
      </x:c>
      <x:c r="H37" s="42" t="n">
        <x:v>0.15384615384615374</x:v>
      </x:c>
      <x:c r="I37" s="42" t="n">
        <x:v>0.1362586605080831</x:v>
      </x:c>
      <x:c r="J37" s="36" t="n">
        <x:f>J36/E36-1</x:f>
        <x:v>0.24137931034482762</x:v>
      </x:c>
      <x:c r="K37" s="36" t="n">
        <x:f>K36/F36-1</x:f>
        <x:v>0.25</x:v>
      </x:c>
      <x:c r="L37" s="36" t="n">
        <x:f>L36/G36-1</x:f>
        <x:v>0.139344262295082</x:v>
      </x:c>
      <x:c r="M37" s="36" t="n">
        <x:f>M36/H36-1</x:f>
        <x:v>0.16296296296296298</x:v>
      </x:c>
      <x:c r="N37" s="42" t="n">
        <x:v>0.19918699186991873</x:v>
      </x:c>
    </x:row>
    <x:row r="38" ht="18" customHeight="1">
      <x:c r="A38" s="3"/>
      <x:c r="B38" s="24" t="str">
        <x:v>Mulund</x:v>
      </x:c>
      <x:c r="C38" s="32" t="n">
        <x:v>3950</x:v>
      </x:c>
      <x:c r="D38" s="32" t="n">
        <x:v>4260</x:v>
      </x:c>
      <x:c r="E38" s="32" t="n">
        <x:v>1200</x:v>
      </x:c>
      <x:c r="F38" s="32" t="n">
        <x:v>1280</x:v>
      </x:c>
      <x:c r="G38" s="32" t="n">
        <x:v>1280</x:v>
      </x:c>
      <x:c r="H38" s="32" t="n">
        <x:v>1250</x:v>
      </x:c>
      <x:c r="I38" s="32" t="n">
        <x:v>5010</x:v>
      </x:c>
      <x:c r="J38" s="32" t="n">
        <x:v>1280</x:v>
      </x:c>
      <x:c r="K38" s="32" t="n">
        <x:v>1490</x:v>
      </x:c>
      <x:c r="L38" s="32" t="n">
        <x:v>1460</x:v>
      </x:c>
      <x:c r="M38" s="32" t="n">
        <x:v>1540</x:v>
      </x:c>
      <x:c r="N38" s="32" t="n">
        <x:v>5770</x:v>
      </x:c>
    </x:row>
    <x:row r="39" ht="18" customHeight="1">
      <x:c r="A39" s="3"/>
      <x:c r="B39" s="26" t="str">
        <x:v>yoy growth%</x:v>
      </x:c>
      <x:c r="C39" s="42"/>
      <x:c r="D39" s="42" t="n">
        <x:v>0.07848101265822782</x:v>
      </x:c>
      <x:c r="E39" s="42" t="n">
        <x:v>0.23711340206185572</x:v>
      </x:c>
      <x:c r="F39" s="42" t="n">
        <x:v>0.18518518518518512</x:v>
      </x:c>
      <x:c r="G39" s="42" t="n">
        <x:v>0.2075471698113207</x:v>
      </x:c>
      <x:c r="H39" s="42" t="n">
        <x:v>0.08695652173913038</x:v>
      </x:c>
      <x:c r="I39" s="42" t="n">
        <x:v>0.176056338028169</x:v>
      </x:c>
      <x:c r="J39" s="36" t="n">
        <x:f>J38/E38-1</x:f>
        <x:v>0.06666666666666665</x:v>
      </x:c>
      <x:c r="K39" s="36" t="n">
        <x:f>K38/F38-1</x:f>
        <x:v>0.1640625</x:v>
      </x:c>
      <x:c r="L39" s="36" t="n">
        <x:f>L38/G38-1</x:f>
        <x:v>0.140625</x:v>
      </x:c>
      <x:c r="M39" s="36" t="n">
        <x:f>M38/H38-1</x:f>
        <x:v>0.23199999999999998</x:v>
      </x:c>
      <x:c r="N39" s="42" t="n">
        <x:v>0.15169660678642716</x:v>
      </x:c>
    </x:row>
    <x:row r="40" ht="18" customHeight="1">
      <x:c r="A40" s="3"/>
      <x:c r="B40" s="24" t="str">
        <x:v>Anandpur</x:v>
      </x:c>
      <x:c r="C40" s="32" t="n">
        <x:v>2620</x:v>
      </x:c>
      <x:c r="D40" s="32" t="n">
        <x:v>3020</x:v>
      </x:c>
      <x:c r="E40" s="32" t="n">
        <x:v>820</x:v>
      </x:c>
      <x:c r="F40" s="32" t="n">
        <x:v>900</x:v>
      </x:c>
      <x:c r="G40" s="32" t="n">
        <x:v>850</x:v>
      </x:c>
      <x:c r="H40" s="32" t="n">
        <x:v>950</x:v>
      </x:c>
      <x:c r="I40" s="32" t="n">
        <x:v>3520</x:v>
      </x:c>
      <x:c r="J40" s="32" t="n">
        <x:v>960</x:v>
      </x:c>
      <x:c r="K40" s="32" t="n">
        <x:v>1010</x:v>
      </x:c>
      <x:c r="L40" s="32" t="n">
        <x:v>1030</x:v>
      </x:c>
      <x:c r="M40" s="32" t="n">
        <x:v>1070</x:v>
      </x:c>
      <x:c r="N40" s="32" t="n">
        <x:v>4060</x:v>
      </x:c>
    </x:row>
    <x:row r="41" ht="18" customHeight="1">
      <x:c r="A41" s="3"/>
      <x:c r="B41" s="26" t="str">
        <x:v>yoy growth%</x:v>
      </x:c>
      <x:c r="C41" s="42"/>
      <x:c r="D41" s="42" t="n">
        <x:v>0.15267175572519087</x:v>
      </x:c>
      <x:c r="E41" s="42" t="n">
        <x:v>0.22388059701492535</x:v>
      </x:c>
      <x:c r="F41" s="42" t="n">
        <x:v>0.15384615384615374</x:v>
      </x:c>
      <x:c r="G41" s="42" t="n">
        <x:v>0.1333333333333333</x:v>
      </x:c>
      <x:c r="H41" s="42" t="n">
        <x:v>0.14457831325301207</x:v>
      </x:c>
      <x:c r="I41" s="42" t="n">
        <x:v>0.16556291390728473</x:v>
      </x:c>
      <x:c r="J41" s="36" t="n">
        <x:f>J40/E40-1</x:f>
        <x:v>0.1707317073170731</x:v>
      </x:c>
      <x:c r="K41" s="36" t="n">
        <x:f>K40/F40-1</x:f>
        <x:v>0.12222222222222223</x:v>
      </x:c>
      <x:c r="L41" s="36" t="n">
        <x:f>L40/G40-1</x:f>
        <x:v>0.21176470588235285</x:v>
      </x:c>
      <x:c r="M41" s="36" t="n">
        <x:f>M40/H40-1</x:f>
        <x:v>0.12631578947368416</x:v>
      </x:c>
      <x:c r="N41" s="42" t="n">
        <x:v>0.15340909090909083</x:v>
      </x:c>
    </x:row>
    <x:row r="42" ht="18" customHeight="1">
      <x:c r="A42" s="3"/>
      <x:c r="B42" s="24" t="str">
        <x:v>Faridabad</x:v>
      </x:c>
      <x:c r="C42" s="32" t="n">
        <x:v>1820</x:v>
      </x:c>
      <x:c r="D42" s="32" t="n">
        <x:v>1980</x:v>
      </x:c>
      <x:c r="E42" s="32" t="n">
        <x:v>550</x:v>
      </x:c>
      <x:c r="F42" s="32" t="n">
        <x:v>590</x:v>
      </x:c>
      <x:c r="G42" s="32" t="n">
        <x:v>600</x:v>
      </x:c>
      <x:c r="H42" s="32" t="n">
        <x:v>600</x:v>
      </x:c>
      <x:c r="I42" s="32" t="n">
        <x:v>2350</x:v>
      </x:c>
      <x:c r="J42" s="32" t="n">
        <x:v>660</x:v>
      </x:c>
      <x:c r="K42" s="32" t="n">
        <x:v>740</x:v>
      </x:c>
      <x:c r="L42" s="32" t="n">
        <x:v>700</x:v>
      </x:c>
      <x:c r="M42" s="32" t="n">
        <x:v>750</x:v>
      </x:c>
      <x:c r="N42" s="32" t="n">
        <x:v>2850</x:v>
      </x:c>
    </x:row>
    <x:row r="43" ht="18" customHeight="1">
      <x:c r="A43" s="3"/>
      <x:c r="B43" s="26" t="str">
        <x:v>yoy growth%</x:v>
      </x:c>
      <x:c r="C43" s="42"/>
      <x:c r="D43" s="42" t="n">
        <x:v>0.08791208791208782</x:v>
      </x:c>
      <x:c r="E43" s="42" t="n">
        <x:v>0.17021276595744683</x:v>
      </x:c>
      <x:c r="F43" s="42" t="n">
        <x:v>0.13461538461538458</x:v>
      </x:c>
      <x:c r="G43" s="42" t="n">
        <x:v>0.25</x:v>
      </x:c>
      <x:c r="H43" s="42" t="n">
        <x:v>0.15384615384615374</x:v>
      </x:c>
      <x:c r="I43" s="42" t="n">
        <x:v>0.18686868686868685</x:v>
      </x:c>
      <x:c r="J43" s="36" t="n">
        <x:f>J42/E42-1</x:f>
        <x:v>0.19999999999999996</x:v>
      </x:c>
      <x:c r="K43" s="36" t="n">
        <x:f>K42/F42-1</x:f>
        <x:v>0.2542372881355932</x:v>
      </x:c>
      <x:c r="L43" s="36" t="n">
        <x:f>L42/G42-1</x:f>
        <x:v>0.16666666666666674</x:v>
      </x:c>
      <x:c r="M43" s="36" t="n">
        <x:f>M42/H42-1</x:f>
        <x:v>0.25</x:v>
      </x:c>
      <x:c r="N43" s="42" t="n">
        <x:v>0.2127659574468086</x:v>
      </x:c>
    </x:row>
    <x:row r="44" ht="18" customHeight="1">
      <x:c r="A44" s="3"/>
      <x:c r="B44" s="24" t="str">
        <x:v>Jaipur</x:v>
      </x:c>
      <x:c r="C44" s="32" t="n">
        <x:v>2110</x:v>
      </x:c>
      <x:c r="D44" s="32" t="n">
        <x:v>2450</x:v>
      </x:c>
      <x:c r="E44" s="32" t="n">
        <x:v>580</x:v>
      </x:c>
      <x:c r="F44" s="32" t="n">
        <x:v>590</x:v>
      </x:c>
      <x:c r="G44" s="32" t="n">
        <x:v>600</x:v>
      </x:c>
      <x:c r="H44" s="32" t="n">
        <x:v>530</x:v>
      </x:c>
      <x:c r="I44" s="32" t="n">
        <x:v>2310</x:v>
      </x:c>
      <x:c r="J44" s="32" t="n">
        <x:v>720</x:v>
      </x:c>
      <x:c r="K44" s="32" t="n">
        <x:v>670</x:v>
      </x:c>
      <x:c r="L44" s="32" t="n">
        <x:v>700</x:v>
      </x:c>
      <x:c r="M44" s="32" t="n">
        <x:v>700</x:v>
      </x:c>
      <x:c r="N44" s="32" t="n">
        <x:v>2790</x:v>
      </x:c>
    </x:row>
    <x:row r="45" ht="18" customHeight="1">
      <x:c r="A45" s="3"/>
      <x:c r="B45" s="26" t="str">
        <x:v>yoy growth%</x:v>
      </x:c>
      <x:c r="C45" s="42"/>
      <x:c r="D45" s="42" t="n">
        <x:v>0.16113744075829395</x:v>
      </x:c>
      <x:c r="E45" s="42" t="n">
        <x:v>-0.049180327868852514</x:v>
      </x:c>
      <x:c r="F45" s="42" t="n">
        <x:v>-0.032786885245901676</x:v>
      </x:c>
      <x:c r="G45" s="42" t="n">
        <x:v>0.0714285714285714</x:v>
      </x:c>
      <x:c r="H45" s="42" t="n">
        <x:v>-0.19696969696969702</x:v>
      </x:c>
      <x:c r="I45" s="42" t="n">
        <x:v>-0.05714285714285716</x:v>
      </x:c>
      <x:c r="J45" s="36" t="n">
        <x:f>J44/E44-1</x:f>
        <x:v>0.24137931034482762</x:v>
      </x:c>
      <x:c r="K45" s="36" t="n">
        <x:f>K44/F44-1</x:f>
        <x:v>0.13559322033898313</x:v>
      </x:c>
      <x:c r="L45" s="36" t="n">
        <x:f>L44/G44-1</x:f>
        <x:v>0.16666666666666674</x:v>
      </x:c>
      <x:c r="M45" s="36" t="n">
        <x:f>M44/H44-1</x:f>
        <x:v>0.320754716981132</x:v>
      </x:c>
      <x:c r="N45" s="42" t="n">
        <x:v>0.20779220779220786</x:v>
      </x:c>
    </x:row>
    <x:row r="46" ht="12" customHeight="1">
      <x:c r="A46" s="3"/>
      <x:c r="B46" s="2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</x:row>
    <x:row r="47" ht="20" customHeight="1">
      <x:c r="A47" s="3"/>
      <x:c r="B47" s="7" t="str">
        <x:v>Top Ten Hospitals: ARPOB (INR Mn)</x:v>
      </x:c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</x:row>
    <x:row r="48" ht="12" customHeight="1">
      <x:c r="A48" s="3"/>
      <x:c r="B48" s="2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</x:row>
    <x:row r="49" ht="21" customHeight="1">
      <x:c r="A49" s="3"/>
      <x:c r="B49" s="12" t="str">
        <x:v>Hospital Name</x:v>
      </x:c>
      <x:c r="C49" s="16" t="str">
        <x:v>FY23A</x:v>
      </x:c>
      <x:c r="D49" s="16" t="str">
        <x:v>FY24A</x:v>
      </x:c>
      <x:c r="E49" s="16" t="str">
        <x:v>FY25A</x:v>
      </x:c>
      <x:c r="F49" s="16" t="str">
        <x:v>FY26A</x:v>
      </x:c>
      <x:c r="G49" s="34"/>
      <x:c r="H49" s="34"/>
      <x:c r="I49" s="34"/>
      <x:c r="J49" s="34"/>
      <x:c r="K49" s="34"/>
      <x:c r="L49" s="34"/>
      <x:c r="M49" s="34"/>
      <x:c r="N49" s="34"/>
    </x:row>
    <x:row r="50" ht="18" customHeight="1">
      <x:c r="A50" s="3"/>
      <x:c r="B50" s="24" t="str">
        <x:v>FMRI</x:v>
      </x:c>
      <x:c r="C50" s="40" t="n">
        <x:v>34.9</x:v>
      </x:c>
      <x:c r="D50" s="40" t="n">
        <x:v>38.1</x:v>
      </x:c>
      <x:c r="E50" s="40" t="n">
        <x:v>42.1</x:v>
      </x:c>
      <x:c r="F50" s="40" t="n">
        <x:v>47.4</x:v>
      </x:c>
      <x:c r="G50" s="34"/>
      <x:c r="H50" s="34"/>
      <x:c r="I50" s="34"/>
      <x:c r="J50" s="34"/>
      <x:c r="K50" s="34"/>
      <x:c r="L50" s="34"/>
      <x:c r="M50" s="34"/>
      <x:c r="N50" s="34"/>
    </x:row>
    <x:row r="51" ht="18" customHeight="1">
      <x:c r="A51" s="3"/>
      <x:c r="B51" s="24" t="str">
        <x:v>Mohali</x:v>
      </x:c>
      <x:c r="C51" s="40" t="n">
        <x:v>24.6</x:v>
      </x:c>
      <x:c r="D51" s="40" t="n">
        <x:v>28.6</x:v>
      </x:c>
      <x:c r="E51" s="40" t="n">
        <x:v>31.2</x:v>
      </x:c>
      <x:c r="F51" s="40" t="n">
        <x:v>34.1</x:v>
      </x:c>
      <x:c r="G51" s="34"/>
      <x:c r="H51" s="34"/>
      <x:c r="I51" s="34"/>
      <x:c r="J51" s="34"/>
      <x:c r="K51" s="34"/>
      <x:c r="L51" s="34"/>
      <x:c r="M51" s="34"/>
      <x:c r="N51" s="34"/>
    </x:row>
    <x:row r="52" ht="18" customHeight="1">
      <x:c r="A52" s="3"/>
      <x:c r="B52" s="24" t="str">
        <x:v>Shalimar Bagh</x:v>
      </x:c>
      <x:c r="C52" s="40" t="n">
        <x:v>19.6</x:v>
      </x:c>
      <x:c r="D52" s="40" t="n">
        <x:v>21.6</x:v>
      </x:c>
      <x:c r="E52" s="40" t="n">
        <x:v>24.2</x:v>
      </x:c>
      <x:c r="F52" s="40" t="n">
        <x:v>26</x:v>
      </x:c>
      <x:c r="G52" s="34"/>
      <x:c r="H52" s="34"/>
      <x:c r="I52" s="34"/>
      <x:c r="J52" s="34"/>
      <x:c r="K52" s="34"/>
      <x:c r="L52" s="34"/>
      <x:c r="M52" s="34"/>
      <x:c r="N52" s="34"/>
    </x:row>
    <x:row r="53" ht="18" customHeight="1">
      <x:c r="A53" s="3"/>
      <x:c r="B53" s="24" t="str">
        <x:v>Noida</x:v>
      </x:c>
      <x:c r="C53" s="40" t="n">
        <x:v>24.1</x:v>
      </x:c>
      <x:c r="D53" s="40" t="n">
        <x:v>28</x:v>
      </x:c>
      <x:c r="E53" s="40" t="n">
        <x:v>30.1</x:v>
      </x:c>
      <x:c r="F53" s="40" t="n">
        <x:v>30.2</x:v>
      </x:c>
      <x:c r="G53" s="34"/>
      <x:c r="H53" s="34"/>
      <x:c r="I53" s="34"/>
      <x:c r="J53" s="34"/>
      <x:c r="K53" s="34"/>
      <x:c r="L53" s="34"/>
      <x:c r="M53" s="34"/>
      <x:c r="N53" s="34"/>
    </x:row>
    <x:row r="54" ht="18" customHeight="1">
      <x:c r="A54" s="3"/>
      <x:c r="B54" s="24" t="str">
        <x:v>BG Road</x:v>
      </x:c>
      <x:c r="C54" s="40" t="n">
        <x:v>27.2</x:v>
      </x:c>
      <x:c r="D54" s="40" t="n">
        <x:v>30.1</x:v>
      </x:c>
      <x:c r="E54" s="40" t="n">
        <x:v>31.8</x:v>
      </x:c>
      <x:c r="F54" s="40" t="n">
        <x:v>34.5</x:v>
      </x:c>
      <x:c r="G54" s="34"/>
      <x:c r="H54" s="34"/>
      <x:c r="I54" s="34"/>
      <x:c r="J54" s="34"/>
      <x:c r="K54" s="34"/>
      <x:c r="L54" s="34"/>
      <x:c r="M54" s="34"/>
      <x:c r="N54" s="34"/>
    </x:row>
    <x:row r="55" ht="18" customHeight="1">
      <x:c r="A55" s="3"/>
      <x:c r="B55" s="24" t="str">
        <x:v>FEHI</x:v>
      </x:c>
      <x:c r="C55" s="40" t="n">
        <x:v>20</x:v>
      </x:c>
      <x:c r="D55" s="40" t="n">
        <x:v>21.4</x:v>
      </x:c>
      <x:c r="E55" s="40" t="n">
        <x:v>23.8</x:v>
      </x:c>
      <x:c r="F55" s="40" t="n">
        <x:v>29.6</x:v>
      </x:c>
      <x:c r="G55" s="34"/>
      <x:c r="H55" s="34"/>
      <x:c r="I55" s="34"/>
      <x:c r="J55" s="34"/>
      <x:c r="K55" s="34"/>
      <x:c r="L55" s="34"/>
      <x:c r="M55" s="34"/>
      <x:c r="N55" s="34"/>
    </x:row>
    <x:row r="56" ht="18" customHeight="1">
      <x:c r="A56" s="3"/>
      <x:c r="B56" s="24" t="str">
        <x:v>Mulund</x:v>
      </x:c>
      <x:c r="C56" s="40" t="n">
        <x:v>19.2</x:v>
      </x:c>
      <x:c r="D56" s="40" t="n">
        <x:v>20.4</x:v>
      </x:c>
      <x:c r="E56" s="40" t="n">
        <x:v>22</x:v>
      </x:c>
      <x:c r="F56" s="40" t="n">
        <x:v>23.5</x:v>
      </x:c>
      <x:c r="G56" s="34"/>
      <x:c r="H56" s="34"/>
      <x:c r="I56" s="34"/>
      <x:c r="J56" s="34"/>
      <x:c r="K56" s="34"/>
      <x:c r="L56" s="34"/>
      <x:c r="M56" s="34"/>
      <x:c r="N56" s="34"/>
    </x:row>
    <x:row r="57" ht="18" customHeight="1">
      <x:c r="A57" s="3"/>
      <x:c r="B57" s="24" t="str">
        <x:v>Anandpur</x:v>
      </x:c>
      <x:c r="C57" s="40" t="n">
        <x:v>15.4</x:v>
      </x:c>
      <x:c r="D57" s="40" t="n">
        <x:v>16.7</x:v>
      </x:c>
      <x:c r="E57" s="40" t="n">
        <x:v>16.7</x:v>
      </x:c>
      <x:c r="F57" s="40" t="n">
        <x:v>18</x:v>
      </x:c>
      <x:c r="G57" s="34"/>
      <x:c r="H57" s="34"/>
      <x:c r="I57" s="34"/>
      <x:c r="J57" s="34"/>
      <x:c r="K57" s="34"/>
      <x:c r="L57" s="34"/>
      <x:c r="M57" s="34"/>
      <x:c r="N57" s="34"/>
    </x:row>
    <x:row r="58" ht="18" customHeight="1">
      <x:c r="A58" s="3"/>
      <x:c r="B58" s="24" t="str">
        <x:v>Faridabad</x:v>
      </x:c>
      <x:c r="C58" s="40" t="n">
        <x:v>12.3</x:v>
      </x:c>
      <x:c r="D58" s="40" t="n">
        <x:v>13.3</x:v>
      </x:c>
      <x:c r="E58" s="40" t="n">
        <x:v>14.6</x:v>
      </x:c>
      <x:c r="F58" s="40" t="n">
        <x:v>16.3</x:v>
      </x:c>
      <x:c r="G58" s="34"/>
      <x:c r="H58" s="34"/>
      <x:c r="I58" s="34"/>
      <x:c r="J58" s="34"/>
      <x:c r="K58" s="34"/>
      <x:c r="L58" s="34"/>
      <x:c r="M58" s="34"/>
      <x:c r="N58" s="34"/>
    </x:row>
    <x:row r="59" ht="18" customHeight="1">
      <x:c r="A59" s="3"/>
      <x:c r="B59" s="24" t="str">
        <x:v>Jaipur</x:v>
      </x:c>
      <x:c r="C59" s="40" t="n">
        <x:v>12.1</x:v>
      </x:c>
      <x:c r="D59" s="40" t="n">
        <x:v>15.5</x:v>
      </x:c>
      <x:c r="E59" s="40" t="n">
        <x:v>16.4</x:v>
      </x:c>
      <x:c r="F59" s="40" t="n">
        <x:v>17.1</x:v>
      </x:c>
      <x:c r="G59" s="34"/>
      <x:c r="H59" s="34"/>
      <x:c r="I59" s="34"/>
      <x:c r="J59" s="34"/>
      <x:c r="K59" s="34"/>
      <x:c r="L59" s="34"/>
      <x:c r="M59" s="34"/>
      <x:c r="N59" s="34"/>
    </x:row>
    <x:row r="60" ht="12" customHeight="1">
      <x:c r="A60" s="3"/>
      <x:c r="B60" s="2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1" ht="20" customHeight="1">
      <x:c r="A61" s="3"/>
      <x:c r="B61" s="7" t="str">
        <x:v>Top Ten Hospitals: Occupancy %</x:v>
      </x:c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</x:row>
    <x:row r="62" ht="12" customHeight="1">
      <x:c r="A62" s="3"/>
      <x:c r="B62" s="2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</x:row>
    <x:row r="63" ht="21" customHeight="1">
      <x:c r="A63" s="3"/>
      <x:c r="B63" s="12" t="str">
        <x:v>Hospital Name</x:v>
      </x:c>
      <x:c r="C63" s="16" t="str">
        <x:v>FY23A</x:v>
      </x:c>
      <x:c r="D63" s="16" t="str">
        <x:v>FY24A</x:v>
      </x:c>
      <x:c r="E63" s="16" t="str">
        <x:v>FY25A</x:v>
      </x:c>
      <x:c r="F63" s="16" t="str">
        <x:v>FY26A</x:v>
      </x:c>
      <x:c r="G63" s="34"/>
      <x:c r="H63" s="34"/>
      <x:c r="I63" s="34"/>
      <x:c r="J63" s="34"/>
      <x:c r="K63" s="34"/>
      <x:c r="L63" s="34"/>
      <x:c r="M63" s="34"/>
      <x:c r="N63" s="34"/>
    </x:row>
    <x:row r="64" ht="18" customHeight="1">
      <x:c r="A64" s="3"/>
      <x:c r="B64" s="24" t="str">
        <x:v>FMRI</x:v>
      </x:c>
      <x:c r="C64" s="38" t="n">
        <x:v>0.73</x:v>
      </x:c>
      <x:c r="D64" s="38" t="n">
        <x:v>0.74</x:v>
      </x:c>
      <x:c r="E64" s="38" t="n">
        <x:v>0.81</x:v>
      </x:c>
      <x:c r="F64" s="38" t="n">
        <x:v>0.77</x:v>
      </x:c>
      <x:c r="G64" s="34"/>
      <x:c r="H64" s="34"/>
      <x:c r="I64" s="34"/>
      <x:c r="J64" s="34"/>
      <x:c r="K64" s="34"/>
      <x:c r="L64" s="34"/>
      <x:c r="M64" s="34"/>
      <x:c r="N64" s="34"/>
    </x:row>
    <x:row r="65" ht="18" customHeight="1">
      <x:c r="A65" s="3"/>
      <x:c r="B65" s="24" t="str">
        <x:v>Mohali</x:v>
      </x:c>
      <x:c r="C65" s="38" t="n">
        <x:v>0.72</x:v>
      </x:c>
      <x:c r="D65" s="38" t="n">
        <x:v>0.69</x:v>
      </x:c>
      <x:c r="E65" s="38" t="n">
        <x:v>0.73</x:v>
      </x:c>
      <x:c r="F65" s="38" t="n">
        <x:v>0.74</x:v>
      </x:c>
      <x:c r="G65" s="34"/>
      <x:c r="H65" s="34"/>
      <x:c r="I65" s="34"/>
      <x:c r="J65" s="34"/>
      <x:c r="K65" s="34"/>
      <x:c r="L65" s="34"/>
      <x:c r="M65" s="34"/>
      <x:c r="N65" s="34"/>
    </x:row>
    <x:row r="66" ht="18" customHeight="1">
      <x:c r="A66" s="3"/>
      <x:c r="B66" s="24" t="str">
        <x:v>Shalimar Bagh</x:v>
      </x:c>
      <x:c r="C66" s="38" t="n">
        <x:v>0.75</x:v>
      </x:c>
      <x:c r="D66" s="38" t="n">
        <x:v>0.78</x:v>
      </x:c>
      <x:c r="E66" s="38" t="n">
        <x:v>0.78</x:v>
      </x:c>
      <x:c r="F66" s="38" t="n">
        <x:v>0.78</x:v>
      </x:c>
      <x:c r="G66" s="34"/>
      <x:c r="H66" s="34"/>
      <x:c r="I66" s="34"/>
      <x:c r="J66" s="34"/>
      <x:c r="K66" s="34"/>
      <x:c r="L66" s="34"/>
      <x:c r="M66" s="34"/>
      <x:c r="N66" s="34"/>
    </x:row>
    <x:row r="67" ht="18" customHeight="1">
      <x:c r="A67" s="3"/>
      <x:c r="B67" s="24" t="str">
        <x:v>Noida</x:v>
      </x:c>
      <x:c r="C67" s="38" t="n">
        <x:v>0.77</x:v>
      </x:c>
      <x:c r="D67" s="38" t="n">
        <x:v>0.78</x:v>
      </x:c>
      <x:c r="E67" s="38" t="n">
        <x:v>0.82</x:v>
      </x:c>
      <x:c r="F67" s="38" t="n">
        <x:v>0.76</x:v>
      </x:c>
      <x:c r="G67" s="34"/>
      <x:c r="H67" s="34"/>
      <x:c r="I67" s="34"/>
      <x:c r="J67" s="34"/>
      <x:c r="K67" s="34"/>
      <x:c r="L67" s="34"/>
      <x:c r="M67" s="34"/>
      <x:c r="N67" s="34"/>
    </x:row>
    <x:row r="68" ht="18" customHeight="1">
      <x:c r="A68" s="3"/>
      <x:c r="B68" s="24" t="str">
        <x:v>BG Road</x:v>
      </x:c>
      <x:c r="C68" s="38" t="n">
        <x:v>0.64</x:v>
      </x:c>
      <x:c r="D68" s="38" t="n">
        <x:v>0.6</x:v>
      </x:c>
      <x:c r="E68" s="38" t="n">
        <x:v>0.58</x:v>
      </x:c>
      <x:c r="F68" s="38" t="n">
        <x:v>0.55</x:v>
      </x:c>
      <x:c r="G68" s="34"/>
      <x:c r="H68" s="34"/>
      <x:c r="I68" s="34"/>
      <x:c r="J68" s="34"/>
      <x:c r="K68" s="34"/>
      <x:c r="L68" s="34"/>
      <x:c r="M68" s="34"/>
      <x:c r="N68" s="34"/>
    </x:row>
    <x:row r="69" ht="18" customHeight="1">
      <x:c r="A69" s="3"/>
      <x:c r="B69" s="24" t="str">
        <x:v>FEHI</x:v>
      </x:c>
      <x:c r="C69" s="38" t="n">
        <x:v>0.71</x:v>
      </x:c>
      <x:c r="D69" s="38" t="n">
        <x:v>0.72</x:v>
      </x:c>
      <x:c r="E69" s="38" t="n">
        <x:v>0.73</x:v>
      </x:c>
      <x:c r="F69" s="38" t="n">
        <x:v>0.7</x:v>
      </x:c>
      <x:c r="G69" s="34"/>
      <x:c r="H69" s="34"/>
      <x:c r="I69" s="34"/>
      <x:c r="J69" s="34"/>
      <x:c r="K69" s="34"/>
      <x:c r="L69" s="34"/>
      <x:c r="M69" s="34"/>
      <x:c r="N69" s="34"/>
    </x:row>
    <x:row r="70" ht="18" customHeight="1">
      <x:c r="A70" s="3"/>
      <x:c r="B70" s="24" t="str">
        <x:v>Mulund</x:v>
      </x:c>
      <x:c r="C70" s="38" t="n">
        <x:v>0.67</x:v>
      </x:c>
      <x:c r="D70" s="38" t="n">
        <x:v>0.57</x:v>
      </x:c>
      <x:c r="E70" s="38" t="n">
        <x:v>0.6</x:v>
      </x:c>
      <x:c r="F70" s="38" t="n">
        <x:v>0.65</x:v>
      </x:c>
      <x:c r="G70" s="34"/>
      <x:c r="H70" s="34"/>
      <x:c r="I70" s="34"/>
      <x:c r="J70" s="34"/>
      <x:c r="K70" s="34"/>
      <x:c r="L70" s="34"/>
      <x:c r="M70" s="34"/>
      <x:c r="N70" s="34"/>
    </x:row>
    <x:row r="71" ht="18" customHeight="1">
      <x:c r="A71" s="3"/>
      <x:c r="B71" s="24" t="str">
        <x:v>Anandpur</x:v>
      </x:c>
      <x:c r="C71" s="38" t="n">
        <x:v>0.74</x:v>
      </x:c>
      <x:c r="D71" s="38" t="n">
        <x:v>0.74</x:v>
      </x:c>
      <x:c r="E71" s="38" t="n">
        <x:v>0.73</x:v>
      </x:c>
      <x:c r="F71" s="38" t="n">
        <x:v>0.73</x:v>
      </x:c>
      <x:c r="G71" s="34"/>
      <x:c r="H71" s="34"/>
      <x:c r="I71" s="34"/>
      <x:c r="J71" s="34"/>
      <x:c r="K71" s="34"/>
      <x:c r="L71" s="34"/>
      <x:c r="M71" s="34"/>
      <x:c r="N71" s="34"/>
    </x:row>
    <x:row r="72" ht="18" customHeight="1">
      <x:c r="A72" s="3"/>
      <x:c r="B72" s="24" t="str">
        <x:v>Faridabad</x:v>
      </x:c>
      <x:c r="C72" s="38" t="n">
        <x:v>0.75</x:v>
      </x:c>
      <x:c r="D72" s="38" t="n">
        <x:v>0.75</x:v>
      </x:c>
      <x:c r="E72" s="38" t="n">
        <x:v>0.82</x:v>
      </x:c>
      <x:c r="F72" s="38" t="n">
        <x:v>0.74</x:v>
      </x:c>
      <x:c r="G72" s="34"/>
      <x:c r="H72" s="34"/>
      <x:c r="I72" s="34"/>
      <x:c r="J72" s="34"/>
      <x:c r="K72" s="34"/>
      <x:c r="L72" s="34"/>
      <x:c r="M72" s="34"/>
      <x:c r="N72" s="34"/>
    </x:row>
    <x:row r="73" ht="18" customHeight="1">
      <x:c r="A73" s="3"/>
      <x:c r="B73" s="24" t="str">
        <x:v>Jaipur</x:v>
      </x:c>
      <x:c r="C73" s="38" t="n">
        <x:v>0.65</x:v>
      </x:c>
      <x:c r="D73" s="38" t="n">
        <x:v>0.59</x:v>
      </x:c>
      <x:c r="E73" s="38" t="n">
        <x:v>0.53</x:v>
      </x:c>
      <x:c r="F73" s="38" t="n">
        <x:v>0.62</x:v>
      </x:c>
      <x:c r="G73" s="34"/>
      <x:c r="H73" s="34"/>
      <x:c r="I73" s="34"/>
      <x:c r="J73" s="34"/>
      <x:c r="K73" s="34"/>
      <x:c r="L73" s="34"/>
      <x:c r="M73" s="34"/>
      <x:c r="N73" s="34"/>
    </x:row>
    <x:row r="74" ht="12" customHeight="1">
      <x:c r="A74" s="3"/>
      <x:c r="B74" s="2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</x:row>
    <x:row r="75" ht="20" customHeight="1">
      <x:c r="A75" s="3"/>
      <x:c r="B75" s="7" t="str">
        <x:v>Specialty Mix:</x:v>
      </x:c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</x:row>
    <x:row r="76" ht="12" customHeight="1">
      <x:c r="A76" s="3"/>
      <x:c r="B76" s="2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</x:row>
    <x:row r="77" ht="21" customHeight="1">
      <x:c r="A77" s="3"/>
      <x:c r="B77" s="12" t="str">
        <x:v>Specialty Name</x:v>
      </x:c>
      <x:c r="C77" s="16" t="str">
        <x:v>FY23A</x:v>
      </x:c>
      <x:c r="D77" s="16" t="str">
        <x:v>FY24A</x:v>
      </x:c>
      <x:c r="E77" s="20" t="str">
        <x:v>FY25 Q1</x:v>
      </x:c>
      <x:c r="F77" s="20" t="str">
        <x:v>FY25 Q2</x:v>
      </x:c>
      <x:c r="G77" s="20" t="str">
        <x:v>FY25 Q3</x:v>
      </x:c>
      <x:c r="H77" s="20" t="str">
        <x:v>FY25 Q4</x:v>
      </x:c>
      <x:c r="I77" s="16" t="str">
        <x:v>FY25A</x:v>
      </x:c>
      <x:c r="J77" s="20" t="str">
        <x:v>FY26 Q1</x:v>
      </x:c>
      <x:c r="K77" s="20" t="str">
        <x:v>FY26 Q2</x:v>
      </x:c>
      <x:c r="L77" s="20" t="str">
        <x:v>FY26 Q3</x:v>
      </x:c>
      <x:c r="M77" s="20" t="str">
        <x:v>FY26 Q4</x:v>
      </x:c>
      <x:c r="N77" s="16" t="str">
        <x:v>FY26A</x:v>
      </x:c>
    </x:row>
    <x:row r="78" ht="18" customHeight="1">
      <x:c r="A78" s="3"/>
      <x:c r="B78" s="24" t="str">
        <x:v>Oncology</x:v>
      </x:c>
      <x:c r="C78" s="42" t="n">
        <x:v>0.132</x:v>
      </x:c>
      <x:c r="D78" s="42" t="n">
        <x:v>0.143</x:v>
      </x:c>
      <x:c r="E78" s="42" t="n">
        <x:v>0.151</x:v>
      </x:c>
      <x:c r="F78" s="42" t="n">
        <x:v>0.15</x:v>
      </x:c>
      <x:c r="G78" s="42" t="n">
        <x:v>0.158</x:v>
      </x:c>
      <x:c r="H78" s="42"/>
      <x:c r="I78" s="42" t="n">
        <x:v>0.155</x:v>
      </x:c>
      <x:c r="J78" s="42" t="n">
        <x:v>0.164</x:v>
      </x:c>
      <x:c r="K78" s="42" t="n">
        <x:v>0.162</x:v>
      </x:c>
      <x:c r="L78" s="42" t="n">
        <x:v>0.154</x:v>
      </x:c>
      <x:c r="M78" s="42"/>
      <x:c r="N78" s="42" t="n">
        <x:v>0.155</x:v>
      </x:c>
    </x:row>
    <x:row r="79" ht="18" customHeight="1">
      <x:c r="A79" s="3"/>
      <x:c r="B79" s="24" t="str">
        <x:v>OPD</x:v>
      </x:c>
      <x:c r="C79" s="42" t="n">
        <x:v>0.12</x:v>
      </x:c>
      <x:c r="D79" s="42" t="n">
        <x:v>0.138</x:v>
      </x:c>
      <x:c r="E79" s="42" t="n">
        <x:v>0.136</x:v>
      </x:c>
      <x:c r="F79" s="42" t="n">
        <x:v>0.137</x:v>
      </x:c>
      <x:c r="G79" s="42" t="n">
        <x:v>0.131</x:v>
      </x:c>
      <x:c r="H79" s="42"/>
      <x:c r="I79" s="42" t="n">
        <x:v>0.134</x:v>
      </x:c>
      <x:c r="J79" s="42" t="n">
        <x:v>0.139</x:v>
      </x:c>
      <x:c r="K79" s="42" t="n">
        <x:v>0.138</x:v>
      </x:c>
      <x:c r="L79" s="42" t="n">
        <x:v>0.14</x:v>
      </x:c>
      <x:c r="M79" s="42"/>
      <x:c r="N79" s="42" t="n">
        <x:v>0.14</x:v>
      </x:c>
    </x:row>
    <x:row r="80" ht="18" customHeight="1">
      <x:c r="A80" s="3"/>
      <x:c r="B80" s="24" t="str">
        <x:v>Other IPD</x:v>
      </x:c>
      <x:c r="C80" s="42" t="n">
        <x:v>0.165</x:v>
      </x:c>
      <x:c r="D80" s="42" t="n">
        <x:v>0.164</x:v>
      </x:c>
      <x:c r="E80" s="42" t="n">
        <x:v>0.156</x:v>
      </x:c>
      <x:c r="F80" s="42" t="n">
        <x:v>0.174</x:v>
      </x:c>
      <x:c r="G80" s="42" t="n">
        <x:v>0.173</x:v>
      </x:c>
      <x:c r="H80" s="42"/>
      <x:c r="I80" s="42" t="n">
        <x:v>0.166</x:v>
      </x:c>
      <x:c r="J80" s="42" t="n">
        <x:v>0.154</x:v>
      </x:c>
      <x:c r="K80" s="42" t="n">
        <x:v>0.169</x:v>
      </x:c>
      <x:c r="L80" s="42" t="n">
        <x:v>0.167</x:v>
      </x:c>
      <x:c r="M80" s="42"/>
      <x:c r="N80" s="42" t="n">
        <x:v>0.162</x:v>
      </x:c>
    </x:row>
    <x:row r="81" ht="18" customHeight="1">
      <x:c r="A81" s="3"/>
      <x:c r="B81" s="24" t="str">
        <x:v>Cardiac</x:v>
      </x:c>
      <x:c r="C81" s="42" t="n">
        <x:v>0.186</x:v>
      </x:c>
      <x:c r="D81" s="42" t="n">
        <x:v>0.178</x:v>
      </x:c>
      <x:c r="E81" s="42" t="n">
        <x:v>0.173</x:v>
      </x:c>
      <x:c r="F81" s="42" t="n">
        <x:v>0.168</x:v>
      </x:c>
      <x:c r="G81" s="42" t="n">
        <x:v>0.172</x:v>
      </x:c>
      <x:c r="H81" s="42"/>
      <x:c r="I81" s="42" t="n">
        <x:v>0.173</x:v>
      </x:c>
      <x:c r="J81" s="42" t="n">
        <x:v>0.169</x:v>
      </x:c>
      <x:c r="K81" s="42" t="n">
        <x:v>0.168</x:v>
      </x:c>
      <x:c r="L81" s="42" t="n">
        <x:v>0.171</x:v>
      </x:c>
      <x:c r="M81" s="42"/>
      <x:c r="N81" s="42" t="n">
        <x:v>0.172</x:v>
      </x:c>
    </x:row>
    <x:row r="82" ht="18" customHeight="1">
      <x:c r="A82" s="3"/>
      <x:c r="B82" s="24" t="str">
        <x:v>Neuro</x:v>
      </x:c>
      <x:c r="C82" s="42" t="n">
        <x:v>0.083</x:v>
      </x:c>
      <x:c r="D82" s="42" t="n">
        <x:v>0.085</x:v>
      </x:c>
      <x:c r="E82" s="42" t="n">
        <x:v>0.088</x:v>
      </x:c>
      <x:c r="F82" s="42" t="n">
        <x:v>0.085</x:v>
      </x:c>
      <x:c r="G82" s="42" t="n">
        <x:v>0.088</x:v>
      </x:c>
      <x:c r="H82" s="42"/>
      <x:c r="I82" s="42" t="n">
        <x:v>0.088</x:v>
      </x:c>
      <x:c r="J82" s="42" t="n">
        <x:v>0.081</x:v>
      </x:c>
      <x:c r="K82" s="42" t="n">
        <x:v>0.082</x:v>
      </x:c>
      <x:c r="L82" s="42" t="n">
        <x:v>0.089</x:v>
      </x:c>
      <x:c r="M82" s="42"/>
      <x:c r="N82" s="42" t="n">
        <x:v>0.085</x:v>
      </x:c>
    </x:row>
    <x:row r="83" ht="18" customHeight="1">
      <x:c r="A83" s="3"/>
      <x:c r="B83" s="24" t="str">
        <x:v>Renal</x:v>
      </x:c>
      <x:c r="C83" s="42" t="n">
        <x:v>0.071</x:v>
      </x:c>
      <x:c r="D83" s="42" t="n">
        <x:v>0.073</x:v>
      </x:c>
      <x:c r="E83" s="42" t="n">
        <x:v>0.07</x:v>
      </x:c>
      <x:c r="F83" s="42" t="n">
        <x:v>0.069</x:v>
      </x:c>
      <x:c r="G83" s="42" t="n">
        <x:v>0.067</x:v>
      </x:c>
      <x:c r="H83" s="42"/>
      <x:c r="I83" s="42" t="n">
        <x:v>0.069</x:v>
      </x:c>
      <x:c r="J83" s="42" t="n">
        <x:v>0.069</x:v>
      </x:c>
      <x:c r="K83" s="42" t="n">
        <x:v>0.071</x:v>
      </x:c>
      <x:c r="L83" s="42" t="n">
        <x:v>0.071</x:v>
      </x:c>
      <x:c r="M83" s="42"/>
      <x:c r="N83" s="42" t="n">
        <x:v>0.071</x:v>
      </x:c>
    </x:row>
    <x:row r="84" ht="18" customHeight="1">
      <x:c r="A84" s="3"/>
      <x:c r="B84" s="24" t="str">
        <x:v>Ortho</x:v>
      </x:c>
      <x:c r="C84" s="42" t="n">
        <x:v>0.089</x:v>
      </x:c>
      <x:c r="D84" s="42" t="n">
        <x:v>0.087</x:v>
      </x:c>
      <x:c r="E84" s="42" t="n">
        <x:v>0.099</x:v>
      </x:c>
      <x:c r="F84" s="42" t="n">
        <x:v>0.086</x:v>
      </x:c>
      <x:c r="G84" s="42" t="n">
        <x:v>0.081</x:v>
      </x:c>
      <x:c r="H84" s="42"/>
      <x:c r="I84" s="42" t="n">
        <x:v>0.086</x:v>
      </x:c>
      <x:c r="J84" s="42" t="n">
        <x:v>0.099</x:v>
      </x:c>
      <x:c r="K84" s="42" t="n">
        <x:v>0.083</x:v>
      </x:c>
      <x:c r="L84" s="42" t="n">
        <x:v>0.081</x:v>
      </x:c>
      <x:c r="M84" s="42"/>
      <x:c r="N84" s="42" t="n">
        <x:v>0.088</x:v>
      </x:c>
    </x:row>
    <x:row r="85" ht="18" customHeight="1">
      <x:c r="A85" s="3"/>
      <x:c r="B85" s="24" t="str">
        <x:v>Gynae</x:v>
      </x:c>
      <x:c r="C85" s="42" t="n">
        <x:v>0.04</x:v>
      </x:c>
      <x:c r="D85" s="42" t="n">
        <x:v>0.036</x:v>
      </x:c>
      <x:c r="E85" s="42" t="n">
        <x:v>0.033</x:v>
      </x:c>
      <x:c r="F85" s="42" t="n">
        <x:v>0.034</x:v>
      </x:c>
      <x:c r="G85" s="42" t="n">
        <x:v>0.033</x:v>
      </x:c>
      <x:c r="H85" s="42"/>
      <x:c r="I85" s="42" t="n">
        <x:v>0.033</x:v>
      </x:c>
      <x:c r="J85" s="42" t="n">
        <x:v>0.031</x:v>
      </x:c>
      <x:c r="K85" s="42" t="n">
        <x:v>0.033</x:v>
      </x:c>
      <x:c r="L85" s="42" t="n">
        <x:v>0.033</x:v>
      </x:c>
      <x:c r="M85" s="42"/>
      <x:c r="N85" s="42" t="n">
        <x:v>0.032</x:v>
      </x:c>
    </x:row>
    <x:row r="86" ht="18" customHeight="1">
      <x:c r="A86" s="3"/>
      <x:c r="B86" s="24" t="str">
        <x:v>Pulmo</x:v>
      </x:c>
      <x:c r="C86" s="42" t="n">
        <x:v>0.029</x:v>
      </x:c>
      <x:c r="D86" s="42" t="n">
        <x:v>0.029</x:v>
      </x:c>
      <x:c r="E86" s="42" t="n">
        <x:v>0.025</x:v>
      </x:c>
      <x:c r="F86" s="42" t="n">
        <x:v>0.026</x:v>
      </x:c>
      <x:c r="G86" s="42" t="n">
        <x:v>0.03</x:v>
      </x:c>
      <x:c r="H86" s="42"/>
      <x:c r="I86" s="42" t="n">
        <x:v>0.029</x:v>
      </x:c>
      <x:c r="J86" s="42" t="n">
        <x:v>0.025</x:v>
      </x:c>
      <x:c r="K86" s="42" t="n">
        <x:v>0.028</x:v>
      </x:c>
      <x:c r="L86" s="42" t="n">
        <x:v>0.032</x:v>
      </x:c>
      <x:c r="M86" s="42"/>
      <x:c r="N86" s="42" t="n">
        <x:v>0.03</x:v>
      </x:c>
    </x:row>
    <x:row r="87" ht="18" customHeight="1">
      <x:c r="A87" s="3"/>
      <x:c r="B87" s="24" t="str">
        <x:v>Others</x:v>
      </x:c>
      <x:c r="C87" s="42" t="n">
        <x:v>0.084</x:v>
      </x:c>
      <x:c r="D87" s="42" t="n">
        <x:v>0.069</x:v>
      </x:c>
      <x:c r="E87" s="42" t="n">
        <x:v>0.069</x:v>
      </x:c>
      <x:c r="F87" s="42" t="n">
        <x:v>0.07</x:v>
      </x:c>
      <x:c r="G87" s="42" t="n">
        <x:v>0.067</x:v>
      </x:c>
      <x:c r="H87" s="42"/>
      <x:c r="I87" s="42" t="n">
        <x:v>0.069</x:v>
      </x:c>
      <x:c r="J87" s="42" t="n">
        <x:v>0.07</x:v>
      </x:c>
      <x:c r="K87" s="42" t="n">
        <x:v>0.065</x:v>
      </x:c>
      <x:c r="L87" s="42" t="n">
        <x:v>0.064</x:v>
      </x:c>
      <x:c r="M87" s="42"/>
      <x:c r="N87" s="42" t="n">
        <x:v>0.066</x:v>
      </x:c>
    </x:row>
    <x:row r="88" ht="12" customHeight="1">
      <x:c r="A88" s="3"/>
      <x:c r="B88" s="2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</x:row>
    <x:row r="89" ht="20" customHeight="1">
      <x:c r="A89" s="3"/>
      <x:c r="B89" s="7" t="str">
        <x:v>Payor Mix:</x:v>
      </x:c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</x:row>
    <x:row r="90" ht="12" customHeight="1">
      <x:c r="A90" s="3"/>
      <x:c r="B90" s="2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</x:row>
    <x:row r="91" ht="21" customHeight="1">
      <x:c r="A91" s="3"/>
      <x:c r="B91" s="12" t="str">
        <x:v>Payor Type</x:v>
      </x:c>
      <x:c r="C91" s="16" t="str">
        <x:v>FY23A</x:v>
      </x:c>
      <x:c r="D91" s="16" t="str">
        <x:v>FY24A</x:v>
      </x:c>
      <x:c r="E91" s="20" t="str">
        <x:v>FY25 Q1</x:v>
      </x:c>
      <x:c r="F91" s="20" t="str">
        <x:v>FY25 Q2</x:v>
      </x:c>
      <x:c r="G91" s="20" t="str">
        <x:v>FY25 Q3</x:v>
      </x:c>
      <x:c r="H91" s="20" t="str">
        <x:v>FY25 Q4</x:v>
      </x:c>
      <x:c r="I91" s="16" t="str">
        <x:v>FY25A</x:v>
      </x:c>
      <x:c r="J91" s="20" t="str">
        <x:v>FY26 Q1</x:v>
      </x:c>
      <x:c r="K91" s="20" t="str">
        <x:v>FY26 Q2</x:v>
      </x:c>
      <x:c r="L91" s="20" t="str">
        <x:v>FY26 Q3</x:v>
      </x:c>
      <x:c r="M91" s="20" t="str">
        <x:v>FY26 Q4</x:v>
      </x:c>
      <x:c r="N91" s="16" t="str">
        <x:v>FY26A</x:v>
      </x:c>
    </x:row>
    <x:row r="92" ht="18" customHeight="1">
      <x:c r="A92" s="3"/>
      <x:c r="B92" s="24" t="str">
        <x:v>Cash/Domestic</x:v>
      </x:c>
      <x:c r="C92" s="42" t="n">
        <x:v>0.361</x:v>
      </x:c>
      <x:c r="D92" s="42" t="n">
        <x:v>0.369</x:v>
      </x:c>
      <x:c r="E92" s="42" t="n">
        <x:v>0.343</x:v>
      </x:c>
      <x:c r="F92" s="42" t="n">
        <x:v>0.35</x:v>
      </x:c>
      <x:c r="G92" s="42" t="n">
        <x:v>0.339</x:v>
      </x:c>
      <x:c r="H92" s="42"/>
      <x:c r="I92" s="42" t="n">
        <x:v>0.343</x:v>
      </x:c>
      <x:c r="J92" s="42" t="n">
        <x:v>0.336</x:v>
      </x:c>
      <x:c r="K92" s="42" t="n">
        <x:v>0.342</x:v>
      </x:c>
      <x:c r="L92" s="42" t="n">
        <x:v>0.333</x:v>
      </x:c>
      <x:c r="M92" s="42"/>
      <x:c r="N92" s="42" t="n">
        <x:v>0.34</x:v>
      </x:c>
    </x:row>
    <x:row r="93" ht="20" customHeight="1">
      <x:c r="A93" s="3"/>
      <x:c r="B93" s="24" t="str">
        <x:v>TPA (Third Party Assiste ie Insurance)</x:v>
      </x:c>
      <x:c r="C93" s="42" t="n">
        <x:v>0.353</x:v>
      </x:c>
      <x:c r="D93" s="42" t="n">
        <x:v>0.353</x:v>
      </x:c>
      <x:c r="E93" s="42" t="n">
        <x:v>0.361</x:v>
      </x:c>
      <x:c r="F93" s="42" t="n">
        <x:v>0.361</x:v>
      </x:c>
      <x:c r="G93" s="42" t="n">
        <x:v>0.363</x:v>
      </x:c>
      <x:c r="H93" s="42"/>
      <x:c r="I93" s="42" t="n">
        <x:v>0.362</x:v>
      </x:c>
      <x:c r="J93" s="42" t="n">
        <x:v>0.371</x:v>
      </x:c>
      <x:c r="K93" s="42" t="n">
        <x:v>0.363</x:v>
      </x:c>
      <x:c r="L93" s="42" t="n">
        <x:v>0.36</x:v>
      </x:c>
      <x:c r="M93" s="42"/>
      <x:c r="N93" s="42" t="n">
        <x:v>0.363</x:v>
      </x:c>
    </x:row>
    <x:row r="94" ht="18" customHeight="1">
      <x:c r="A94" s="3"/>
      <x:c r="B94" s="24" t="str">
        <x:v>Govt/PSU</x:v>
      </x:c>
      <x:c r="C94" s="42" t="n">
        <x:v>0.087</x:v>
      </x:c>
      <x:c r="D94" s="42" t="n">
        <x:v>0.094</x:v>
      </x:c>
      <x:c r="E94" s="42" t="n">
        <x:v>0.085</x:v>
      </x:c>
      <x:c r="F94" s="42" t="n">
        <x:v>0.084</x:v>
      </x:c>
      <x:c r="G94" s="42" t="n">
        <x:v>0.088</x:v>
      </x:c>
      <x:c r="H94" s="42"/>
      <x:c r="I94" s="42" t="n">
        <x:v>0.087</x:v>
      </x:c>
      <x:c r="J94" s="42" t="n">
        <x:v>0.087</x:v>
      </x:c>
      <x:c r="K94" s="42" t="n">
        <x:v>0.084</x:v>
      </x:c>
      <x:c r="L94" s="42" t="n">
        <x:v>0.089</x:v>
      </x:c>
      <x:c r="M94" s="42"/>
      <x:c r="N94" s="42" t="n">
        <x:v>0.087</x:v>
      </x:c>
    </x:row>
    <x:row r="95" ht="18" customHeight="1">
      <x:c r="A95" s="3"/>
      <x:c r="B95" s="24" t="str">
        <x:v>International</x:v>
      </x:c>
      <x:c r="C95" s="42" t="n">
        <x:v>0.08</x:v>
      </x:c>
      <x:c r="D95" s="42" t="n">
        <x:v>0.08</x:v>
      </x:c>
      <x:c r="E95" s="42" t="n">
        <x:v>0.078</x:v>
      </x:c>
      <x:c r="F95" s="42" t="n">
        <x:v>0.077</x:v>
      </x:c>
      <x:c r="G95" s="42" t="n">
        <x:v>0.077</x:v>
      </x:c>
      <x:c r="H95" s="42"/>
      <x:c r="I95" s="42" t="n">
        <x:v>0.078</x:v>
      </x:c>
      <x:c r="J95" s="42" t="n">
        <x:v>0.079</x:v>
      </x:c>
      <x:c r="K95" s="42" t="n">
        <x:v>0.081</x:v>
      </x:c>
      <x:c r="L95" s="42" t="n">
        <x:v>0.077</x:v>
      </x:c>
      <x:c r="M95" s="42"/>
      <x:c r="N95" s="42" t="n">
        <x:v>0.078</x:v>
      </x:c>
    </x:row>
    <x:row r="96" ht="18" customHeight="1">
      <x:c r="A96" s="3"/>
      <x:c r="B96" s="24" t="str">
        <x:v>CGHS</x:v>
      </x:c>
      <x:c r="C96" s="42" t="n">
        <x:v>0.041</x:v>
      </x:c>
      <x:c r="D96" s="42" t="n">
        <x:v>0.034</x:v>
      </x:c>
      <x:c r="E96" s="42" t="n">
        <x:v>0.047</x:v>
      </x:c>
      <x:c r="F96" s="42" t="n">
        <x:v>0.043</x:v>
      </x:c>
      <x:c r="G96" s="42" t="n">
        <x:v>0.046</x:v>
      </x:c>
      <x:c r="H96" s="42"/>
      <x:c r="I96" s="42" t="n">
        <x:v>0.045</x:v>
      </x:c>
      <x:c r="J96" s="42" t="n">
        <x:v>0.043</x:v>
      </x:c>
      <x:c r="K96" s="42" t="n">
        <x:v>0.043</x:v>
      </x:c>
      <x:c r="L96" s="42" t="n">
        <x:v>0.051</x:v>
      </x:c>
      <x:c r="M96" s="42"/>
      <x:c r="N96" s="42" t="n">
        <x:v>0.047</x:v>
      </x:c>
    </x:row>
    <x:row r="97" ht="18" customHeight="1">
      <x:c r="A97" s="3"/>
      <x:c r="B97" s="24" t="str">
        <x:v>ECHS</x:v>
      </x:c>
      <x:c r="C97" s="42" t="n">
        <x:v>0.07</x:v>
      </x:c>
      <x:c r="D97" s="42" t="n">
        <x:v>0.061</x:v>
      </x:c>
      <x:c r="E97" s="42" t="n">
        <x:v>0.077</x:v>
      </x:c>
      <x:c r="F97" s="42" t="n">
        <x:v>0.073</x:v>
      </x:c>
      <x:c r="G97" s="42" t="n">
        <x:v>0.077</x:v>
      </x:c>
      <x:c r="H97" s="42"/>
      <x:c r="I97" s="42" t="n">
        <x:v>0.074</x:v>
      </x:c>
      <x:c r="J97" s="42" t="n">
        <x:v>0.073</x:v>
      </x:c>
      <x:c r="K97" s="42" t="n">
        <x:v>0.075</x:v>
      </x:c>
      <x:c r="L97" s="42" t="n">
        <x:v>0.078</x:v>
      </x:c>
      <x:c r="M97" s="42"/>
      <x:c r="N97" s="42" t="n">
        <x:v>0.073</x:v>
      </x:c>
    </x:row>
    <x:row r="98" ht="18" customHeight="1">
      <x:c r="A98" s="3"/>
      <x:c r="B98" s="24" t="str">
        <x:v>Other</x:v>
      </x:c>
      <x:c r="C98" s="42" t="n">
        <x:v>0.008</x:v>
      </x:c>
      <x:c r="D98" s="42" t="n">
        <x:v>0.009</x:v>
      </x:c>
      <x:c r="E98" s="42" t="n">
        <x:v>0.01</x:v>
      </x:c>
      <x:c r="F98" s="42" t="n">
        <x:v>0.011</x:v>
      </x:c>
      <x:c r="G98" s="42" t="n">
        <x:v>0.01</x:v>
      </x:c>
      <x:c r="H98" s="42"/>
      <x:c r="I98" s="42" t="n">
        <x:v>0.01</x:v>
      </x:c>
      <x:c r="J98" s="42" t="n">
        <x:v>0.011</x:v>
      </x:c>
      <x:c r="K98" s="42" t="n">
        <x:v>0.011</x:v>
      </x:c>
      <x:c r="L98" s="42" t="n">
        <x:v>0.012</x:v>
      </x:c>
      <x:c r="M98" s="42"/>
      <x:c r="N98" s="42" t="n">
        <x:v>0.012</x:v>
      </x:c>
    </x:row>
    <x:row r="99" ht="12" customHeight="1">
      <x:c r="A99" s="3"/>
      <x:c r="B99" s="2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</x:row>
    <x:row r="100" ht="12" customHeight="1">
      <x:c r="A100" s="3"/>
      <x:c r="B100" s="2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1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1" ht="22" customHeight="1">
      <x:c r="B1" s="57" t="str">
        <x:v>Line Item (INR Mn)</x:v>
      </x:c>
      <x:c r="C1" s="58" t="str">
        <x:v>FY23A</x:v>
      </x:c>
      <x:c r="D1" s="58" t="str">
        <x:v>FY24A</x:v>
      </x:c>
      <x:c r="E1" s="59" t="str">
        <x:v>FY25 Q1</x:v>
      </x:c>
      <x:c r="F1" s="59" t="str">
        <x:v>FY25 Q2</x:v>
      </x:c>
      <x:c r="G1" s="59" t="str">
        <x:v>FY25 Q3</x:v>
      </x:c>
      <x:c r="H1" s="59" t="str">
        <x:v>FY25 Q4</x:v>
      </x:c>
      <x:c r="I1" s="58" t="str">
        <x:v>FY25A</x:v>
      </x:c>
      <x:c r="J1" s="59" t="str">
        <x:v>FY26 Q1</x:v>
      </x:c>
      <x:c r="K1" s="59" t="str">
        <x:v>FY26 Q2</x:v>
      </x:c>
      <x:c r="L1" s="59" t="str">
        <x:v>FY26 Q3</x:v>
      </x:c>
      <x:c r="M1" s="59" t="str">
        <x:v>FY26 Q4</x:v>
      </x:c>
      <x:c r="N1" s="58" t="str">
        <x:v>FY26A</x:v>
      </x:c>
    </x:row>
    <x:row r="2" ht="19" customHeight="1">
      <x:c r="B2" s="52" t="str">
        <x:v>Total Revenue</x:v>
      </x:c>
      <x:c r="C2" s="61" t="n">
        <x:v>62970</x:v>
      </x:c>
      <x:c r="D2" s="61" t="n">
        <x:v>68930</x:v>
      </x:c>
      <x:c r="E2" s="61" t="n">
        <x:v>18589</x:v>
      </x:c>
      <x:c r="F2" s="61" t="n">
        <x:v>19884</x:v>
      </x:c>
      <x:c r="G2" s="61" t="n">
        <x:v>19283</x:v>
      </x:c>
      <x:c r="H2" s="61" t="n">
        <x:v>20072</x:v>
      </x:c>
      <x:c r="I2" s="61" t="n">
        <x:v>77828</x:v>
      </x:c>
      <x:c r="J2" s="61" t="n">
        <x:v>21667</x:v>
      </x:c>
      <x:c r="K2" s="61" t="n">
        <x:v>23314</x:v>
      </x:c>
      <x:c r="L2" s="61" t="n">
        <x:v>22650</x:v>
      </x:c>
      <x:c r="M2" s="61" t="n">
        <x:v>23647</x:v>
      </x:c>
      <x:c r="N2" s="61" t="n">
        <x:v>91278</x:v>
      </x:c>
    </x:row>
    <x:row r="3" ht="19" customHeight="1">
      <x:c r="B3" s="52" t="str">
        <x:v>Hospital Business Revenue</x:v>
      </x:c>
      <x:c r="C3" s="61" t="n">
        <x:v>51070</x:v>
      </x:c>
      <x:c r="D3" s="61" t="n">
        <x:v>56860</x:v>
      </x:c>
      <x:c r="E3" s="61" t="n">
        <x:v>15494</x:v>
      </x:c>
      <x:c r="F3" s="61" t="n">
        <x:v>16547</x:v>
      </x:c>
      <x:c r="G3" s="61" t="n">
        <x:v>16231</x:v>
      </x:c>
      <x:c r="H3" s="61" t="n">
        <x:v>17008</x:v>
      </x:c>
      <x:c r="I3" s="61" t="n">
        <x:v>65280</x:v>
      </x:c>
      <x:c r="J3" s="61" t="n">
        <x:v>18380</x:v>
      </x:c>
      <x:c r="K3" s="61" t="n">
        <x:v>19740</x:v>
      </x:c>
      <x:c r="L3" s="61" t="n">
        <x:v>19380</x:v>
      </x:c>
      <x:c r="M3" s="61" t="n">
        <x:v>20230</x:v>
      </x:c>
      <x:c r="N3" s="61" t="n">
        <x:v>77730</x:v>
      </x:c>
    </x:row>
    <x:row r="4" ht="19" customHeight="1">
      <x:c r="B4" s="5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</x:row>
    <x:row r="5" ht="19" customHeight="1">
      <x:c r="B5" s="52" t="str">
        <x:v>Diagnostics Business Revenue</x:v>
      </x:c>
      <x:c r="C5" s="61" t="n">
        <x:v>11900</x:v>
      </x:c>
      <x:c r="D5" s="61" t="n">
        <x:v>12070</x:v>
      </x:c>
      <x:c r="E5" s="61" t="n">
        <x:v>3095</x:v>
      </x:c>
      <x:c r="F5" s="61" t="n">
        <x:v>3337</x:v>
      </x:c>
      <x:c r="G5" s="61" t="n">
        <x:v>3052</x:v>
      </x:c>
      <x:c r="H5" s="61" t="n">
        <x:v>3064</x:v>
      </x:c>
      <x:c r="I5" s="61" t="n">
        <x:v>12548</x:v>
      </x:c>
      <x:c r="J5" s="61" t="n">
        <x:v>3287</x:v>
      </x:c>
      <x:c r="K5" s="61" t="n">
        <x:v>3574</x:v>
      </x:c>
      <x:c r="L5" s="61" t="n">
        <x:v>3270</x:v>
      </x:c>
      <x:c r="M5" s="61" t="n">
        <x:v>3417</x:v>
      </x:c>
      <x:c r="N5" s="61" t="n">
        <x:v>13548</x:v>
      </x:c>
    </x:row>
    <x:row r="6" ht="19" customHeight="1">
      <x:c r="B6" s="5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</x:row>
    <x:row r="7" ht="19" customHeight="1">
      <x:c r="B7" s="52" t="str">
        <x:v>Consol EBITDA</x:v>
      </x:c>
      <x:c r="C7" s="61" t="n">
        <x:v>11010</x:v>
      </x:c>
      <x:c r="D7" s="61" t="n">
        <x:v>12680</x:v>
      </x:c>
      <x:c r="E7" s="61" t="n">
        <x:v>3430</x:v>
      </x:c>
      <x:c r="F7" s="61" t="n">
        <x:v>4350</x:v>
      </x:c>
      <x:c r="G7" s="61" t="n">
        <x:v>3750</x:v>
      </x:c>
      <x:c r="H7" s="61" t="n">
        <x:v>4350</x:v>
      </x:c>
      <x:c r="I7" s="61" t="n">
        <x:v>15880</x:v>
      </x:c>
      <x:c r="J7" s="61" t="n">
        <x:v>4910</x:v>
      </x:c>
      <x:c r="K7" s="61" t="n">
        <x:v>5560</x:v>
      </x:c>
      <x:c r="L7" s="61" t="n">
        <x:v>5050</x:v>
      </x:c>
      <x:c r="M7" s="61" t="n">
        <x:v>5310</x:v>
      </x:c>
      <x:c r="N7" s="61" t="n">
        <x:v>20850</x:v>
      </x:c>
    </x:row>
    <x:row r="8" ht="19" customHeight="1">
      <x:c r="B8" s="52" t="str">
        <x:v>Hospital Biz EBITDA</x:v>
      </x:c>
      <x:c r="C8" s="61" t="n">
        <x:v>8620</x:v>
      </x:c>
      <x:c r="D8" s="61" t="n">
        <x:v>10580</x:v>
      </x:c>
      <x:c r="E8" s="61" t="n">
        <x:v>2870</x:v>
      </x:c>
      <x:c r="F8" s="61" t="n">
        <x:v>3550</x:v>
      </x:c>
      <x:c r="G8" s="61" t="n">
        <x:v>3250</x:v>
      </x:c>
      <x:c r="H8" s="61" t="n">
        <x:v>3720</x:v>
      </x:c>
      <x:c r="I8" s="61" t="n">
        <x:v>13390</x:v>
      </x:c>
      <x:c r="J8" s="61" t="n">
        <x:v>4060</x:v>
      </x:c>
      <x:c r="K8" s="61" t="n">
        <x:v>4520</x:v>
      </x:c>
      <x:c r="L8" s="61" t="n">
        <x:v>4200</x:v>
      </x:c>
      <x:c r="M8" s="61" t="n">
        <x:v>4460</x:v>
      </x:c>
      <x:c r="N8" s="61" t="n">
        <x:v>17240</x:v>
      </x:c>
    </x:row>
    <x:row r="9" ht="19" customHeight="1">
      <x:c r="B9" s="52" t="str">
        <x:v>Diagnostics Biz EBITDA</x:v>
      </x:c>
      <x:c r="C9" s="61" t="n">
        <x:v>2390</x:v>
      </x:c>
      <x:c r="D9" s="61" t="n">
        <x:v>2090</x:v>
      </x:c>
      <x:c r="E9" s="61" t="n">
        <x:v>554</x:v>
      </x:c>
      <x:c r="F9" s="61" t="n">
        <x:v>800</x:v>
      </x:c>
      <x:c r="G9" s="61" t="n">
        <x:v>493</x:v>
      </x:c>
      <x:c r="H9" s="61" t="n">
        <x:v>625</x:v>
      </x:c>
      <x:c r="I9" s="61" t="n">
        <x:v>2490</x:v>
      </x:c>
      <x:c r="J9" s="61" t="n">
        <x:v>847</x:v>
      </x:c>
      <x:c r="K9" s="61" t="n">
        <x:v>1040</x:v>
      </x:c>
      <x:c r="L9" s="61" t="n">
        <x:v>860</x:v>
      </x:c>
      <x:c r="M9" s="61" t="n">
        <x:v>850</x:v>
      </x:c>
      <x:c r="N9" s="61" t="n">
        <x:v>3600</x:v>
      </x:c>
    </x:row>
    <x:row r="10" ht="19" customHeight="1">
      <x:c r="B10" s="52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</x:row>
    <x:row r="11" ht="19" customHeight="1">
      <x:c r="B11" s="64" t="str">
        <x:v>Consol EBITDA Margin</x:v>
      </x:c>
      <x:c r="C11" s="63" t="n">
        <x:f>C7/C2</x:f>
        <x:v>0.17484516436398284</x:v>
      </x:c>
      <x:c r="D11" s="63" t="n">
        <x:f>D7/D2</x:f>
        <x:v>0.18395473668939505</x:v>
      </x:c>
      <x:c r="E11" s="63" t="n">
        <x:f>E7/E2</x:f>
        <x:v>0.18451772553660767</x:v>
      </x:c>
      <x:c r="F11" s="63" t="n">
        <x:f>F7/F2</x:f>
        <x:v>0.2187688593844297</x:v>
      </x:c>
      <x:c r="G11" s="63" t="n">
        <x:f>G7/G2</x:f>
        <x:v>0.19447181455167764</x:v>
      </x:c>
      <x:c r="H11" s="63" t="n">
        <x:f>H7/H2</x:f>
        <x:v>0.2167198086887206</x:v>
      </x:c>
      <x:c r="I11" s="63" t="n">
        <x:f>I7/I2</x:f>
        <x:v>0.20403967723698413</x:v>
      </x:c>
      <x:c r="J11" s="63" t="n">
        <x:f>J7/J2</x:f>
        <x:v>0.22661189827848802</x:v>
      </x:c>
      <x:c r="K11" s="63" t="n">
        <x:f>K7/K2</x:f>
        <x:v>0.23848331474650425</x:v>
      </x:c>
      <x:c r="L11" s="63" t="n">
        <x:f>L7/L2</x:f>
        <x:v>0.2229580573951435</x:v>
      </x:c>
      <x:c r="M11" s="63" t="n">
        <x:f>M7/M2</x:f>
        <x:v>0.2245527973950184</x:v>
      </x:c>
      <x:c r="N11" s="63" t="n">
        <x:f>N7/N2</x:f>
        <x:v>0.22842305922566225</x:v>
      </x:c>
    </x:row>
    <x:row r="12" ht="19" customHeight="1">
      <x:c r="B12" s="64" t="str">
        <x:v>Hospital Biz EBITDA Margin</x:v>
      </x:c>
      <x:c r="C12" s="63" t="n">
        <x:f>C8/C3</x:f>
        <x:v>0.16878793812414333</x:v>
      </x:c>
      <x:c r="D12" s="63" t="n">
        <x:f>D8/D3</x:f>
        <x:v>0.18607105170594443</x:v>
      </x:c>
      <x:c r="E12" s="63" t="n">
        <x:f>E8/E3</x:f>
        <x:v>0.18523299341680652</x:v>
      </x:c>
      <x:c r="F12" s="63" t="n">
        <x:f>F8/F3</x:f>
        <x:v>0.2145404000725207</x:v>
      </x:c>
      <x:c r="G12" s="63" t="n">
        <x:f>G8/G3</x:f>
        <x:v>0.20023411989402995</x:v>
      </x:c>
      <x:c r="H12" s="63" t="n">
        <x:f>H8/H3</x:f>
        <x:v>0.2187206020696143</x:v>
      </x:c>
      <x:c r="I12" s="63" t="n">
        <x:f>I8/I3</x:f>
        <x:v>0.20511642156862744</x:v>
      </x:c>
      <x:c r="J12" s="63" t="n">
        <x:f>J8/J3</x:f>
        <x:v>0.22089227421109903</x:v>
      </x:c>
      <x:c r="K12" s="63" t="n">
        <x:f>K8/K3</x:f>
        <x:v>0.22897669706180346</x:v>
      </x:c>
      <x:c r="L12" s="63" t="n">
        <x:f>L8/L3</x:f>
        <x:v>0.21671826625386997</x:v>
      </x:c>
      <x:c r="M12" s="63" t="n">
        <x:f>M8/M3</x:f>
        <x:v>0.22046465645081562</x:v>
      </x:c>
      <x:c r="N12" s="63" t="n">
        <x:f>N8/N3</x:f>
        <x:v>0.22179338736652515</x:v>
      </x:c>
    </x:row>
    <x:row r="13" ht="19" customHeight="1">
      <x:c r="B13" s="64" t="str">
        <x:v>Diagnostics Biz EBITDA Margin</x:v>
      </x:c>
      <x:c r="C13" s="63" t="n">
        <x:f>C9/C5</x:f>
        <x:v>0.2008403361344538</x:v>
      </x:c>
      <x:c r="D13" s="63" t="n">
        <x:f>D9/D5</x:f>
        <x:v>0.17315658657829328</x:v>
      </x:c>
      <x:c r="E13" s="63" t="n">
        <x:f>E9/E5</x:f>
        <x:v>0.17899838449111471</x:v>
      </x:c>
      <x:c r="F13" s="63" t="n">
        <x:f>F9/F5</x:f>
        <x:v>0.239736290080911</x:v>
      </x:c>
      <x:c r="G13" s="63" t="n">
        <x:f>G9/G5</x:f>
        <x:v>0.16153342070773263</x:v>
      </x:c>
      <x:c r="H13" s="63" t="n">
        <x:f>H9/H5</x:f>
        <x:v>0.20398172323759792</x:v>
      </x:c>
      <x:c r="I13" s="63" t="n">
        <x:f>I9/I5</x:f>
        <x:v>0.1984379980873446</x:v>
      </x:c>
      <x:c r="J13" s="63" t="n">
        <x:f>J9/J5</x:f>
        <x:v>0.25768177669607545</x:v>
      </x:c>
      <x:c r="K13" s="63" t="n">
        <x:f>K9/K5</x:f>
        <x:v>0.2909904868494684</x:v>
      </x:c>
      <x:c r="L13" s="63" t="n">
        <x:f>L9/L5</x:f>
        <x:v>0.26299694189602446</x:v>
      </x:c>
      <x:c r="M13" s="63" t="n">
        <x:f>M9/M5</x:f>
        <x:v>0.24875621890547264</x:v>
      </x:c>
      <x:c r="N13" s="63" t="n">
        <x:f>N9/N5</x:f>
        <x:v>0.2657218777679362</x:v>
      </x:c>
    </x:row>
    <x:row r="14" ht="19" customHeight="1">
      <x:c r="B14" s="52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</x:row>
    <x:row r="15" ht="19" customHeight="1">
      <x:c r="B15" s="52" t="str">
        <x:v>Depreciation and Amortization</x:v>
      </x:c>
      <x:c r="C15" s="61" t="n">
        <x:v>3157</x:v>
      </x:c>
      <x:c r="D15" s="61" t="n">
        <x:v>3425</x:v>
      </x:c>
      <x:c r="E15" s="61" t="n">
        <x:v>910</x:v>
      </x:c>
      <x:c r="F15" s="61" t="n">
        <x:v>951</x:v>
      </x:c>
      <x:c r="G15" s="61" t="n">
        <x:v>973</x:v>
      </x:c>
      <x:c r="H15" s="61" t="n">
        <x:v>1022</x:v>
      </x:c>
      <x:c r="I15" s="61" t="n">
        <x:v>3856</x:v>
      </x:c>
      <x:c r="J15" s="61" t="n">
        <x:v>1015</x:v>
      </x:c>
      <x:c r="K15" s="61" t="n">
        <x:v>1059</x:v>
      </x:c>
      <x:c r="L15" s="61" t="n">
        <x:v>1201</x:v>
      </x:c>
      <x:c r="M15" s="61" t="n">
        <x:v>1220</x:v>
      </x:c>
      <x:c r="N15" s="61" t="n">
        <x:v>4494</x:v>
      </x:c>
    </x:row>
    <x:row r="16" ht="19" customHeight="1">
      <x:c r="B16" s="64" t="str">
        <x:v>D&amp;A as a % of Sales</x:v>
      </x:c>
      <x:c r="C16" s="63" t="n">
        <x:f>C15/C2</x:f>
        <x:v>0.05013498491345085</x:v>
      </x:c>
      <x:c r="D16" s="63" t="n">
        <x:f>D15/D2</x:f>
        <x:v>0.0496880893660235</x:v>
      </x:c>
      <x:c r="E16" s="63" t="n">
        <x:f>E15/E2</x:f>
        <x:v>0.04895368228522244</x:v>
      </x:c>
      <x:c r="F16" s="63" t="n">
        <x:f>F15/F2</x:f>
        <x:v>0.047827398913699457</x:v>
      </x:c>
      <x:c r="G16" s="63" t="n">
        <x:f>G15/G2</x:f>
        <x:v>0.05045895348234196</x:v>
      </x:c>
      <x:c r="H16" s="63" t="n">
        <x:f>H15/H2</x:f>
        <x:v>0.050916699880430454</x:v>
      </x:c>
      <x:c r="I16" s="63" t="n">
        <x:f>I15/I2</x:f>
        <x:v>0.04954515084545408</x:v>
      </x:c>
      <x:c r="J16" s="63" t="n">
        <x:f>J15/J2</x:f>
        <x:v>0.04684543314718235</x:v>
      </x:c>
      <x:c r="K16" s="63" t="n">
        <x:f>K15/K2</x:f>
        <x:v>0.045423350776357556</x:v>
      </x:c>
      <x:c r="L16" s="63" t="n">
        <x:f>L15/L2</x:f>
        <x:v>0.053024282560706404</x:v>
      </x:c>
      <x:c r="M16" s="63" t="n">
        <x:f>M15/M2</x:f>
        <x:v>0.05159216813972174</x:v>
      </x:c>
      <x:c r="N16" s="63" t="n">
        <x:f>N15/N2</x:f>
        <x:v>0.04923420758561756</x:v>
      </x:c>
    </x:row>
    <x:row r="17" ht="19" customHeight="1">
      <x:c r="B17" s="52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</x:row>
    <x:row r="18" ht="19" customHeight="1">
      <x:c r="B18" s="52" t="str">
        <x:v>Interest Expense</x:v>
      </x:c>
      <x:c r="C18" s="61" t="n">
        <x:v>1291</x:v>
      </x:c>
      <x:c r="D18" s="61" t="n">
        <x:v>1310</x:v>
      </x:c>
      <x:c r="E18" s="61" t="n">
        <x:v>353</x:v>
      </x:c>
      <x:c r="F18" s="61" t="n">
        <x:v>364</x:v>
      </x:c>
      <x:c r="G18" s="61" t="n">
        <x:v>452</x:v>
      </x:c>
      <x:c r="H18" s="61" t="n">
        <x:v>676</x:v>
      </x:c>
      <x:c r="I18" s="61" t="n">
        <x:v>1844</x:v>
      </x:c>
      <x:c r="J18" s="61" t="n">
        <x:v>696</x:v>
      </x:c>
      <x:c r="K18" s="61" t="n">
        <x:v>749</x:v>
      </x:c>
      <x:c r="L18" s="61" t="n">
        <x:v>857</x:v>
      </x:c>
      <x:c r="M18" s="61" t="n">
        <x:v>843</x:v>
      </x:c>
      <x:c r="N18" s="61" t="n">
        <x:v>3145</x:v>
      </x:c>
    </x:row>
    <x:row r="19" ht="19" customHeight="1">
      <x:c r="B19" s="52" t="str">
        <x:v>Other Income</x:v>
      </x:c>
      <x:c r="C19" s="61" t="n">
        <x:v>617</x:v>
      </x:c>
      <x:c r="D19" s="61" t="n">
        <x:v>383</x:v>
      </x:c>
      <x:c r="E19" s="61" t="n">
        <x:v>130</x:v>
      </x:c>
      <x:c r="F19" s="61" t="n">
        <x:v>132</x:v>
      </x:c>
      <x:c r="G19" s="61" t="n">
        <x:v>209</x:v>
      </x:c>
      <x:c r="H19" s="61" t="n">
        <x:v>198</x:v>
      </x:c>
      <x:c r="I19" s="61" t="n">
        <x:v>669</x:v>
      </x:c>
      <x:c r="J19" s="61" t="n">
        <x:v>154</x:v>
      </x:c>
      <x:c r="K19" s="61" t="n">
        <x:v>226</x:v>
      </x:c>
      <x:c r="L19" s="61" t="n">
        <x:v>83</x:v>
      </x:c>
      <x:c r="M19" s="61" t="n">
        <x:v>44</x:v>
      </x:c>
      <x:c r="N19" s="61" t="n">
        <x:v>507</x:v>
      </x:c>
    </x:row>
    <x:row r="20" ht="19" customHeight="1">
      <x:c r="B20" s="52" t="str">
        <x:v>PBT</x:v>
      </x:c>
      <x:c r="C20" s="61" t="n">
        <x:v>8137</x:v>
      </x:c>
      <x:c r="D20" s="61" t="n">
        <x:v>8580</x:v>
      </x:c>
      <x:c r="E20" s="61" t="n">
        <x:v>2301</x:v>
      </x:c>
      <x:c r="F20" s="61" t="n">
        <x:v>2611</x:v>
      </x:c>
      <x:c r="G20" s="61" t="n">
        <x:v>2794</x:v>
      </x:c>
      <x:c r="H20" s="61" t="n">
        <x:v>2366</x:v>
      </x:c>
      <x:c r="I20" s="61" t="n">
        <x:v>10071</x:v>
      </x:c>
      <x:c r="J20" s="61" t="n">
        <x:v>3506</x:v>
      </x:c>
      <x:c r="K20" s="61" t="n">
        <x:v>4254</x:v>
      </x:c>
      <x:c r="L20" s="61" t="n">
        <x:v>2657</x:v>
      </x:c>
      <x:c r="M20" s="61" t="n">
        <x:v>3242</x:v>
      </x:c>
      <x:c r="N20" s="61" t="n">
        <x:v>13659</x:v>
      </x:c>
    </x:row>
    <x:row r="21" ht="19" customHeight="1">
      <x:c r="B21" s="52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</x:row>
    <x:row r="22" ht="19" customHeight="1">
      <x:c r="B22" s="52" t="str">
        <x:v>Tax Expense</x:v>
      </x:c>
      <x:c r="C22" s="61" t="n">
        <x:v>1807</x:v>
      </x:c>
      <x:c r="D22" s="61" t="n">
        <x:v>2128</x:v>
      </x:c>
      <x:c r="E22" s="61" t="n">
        <x:v>561</x:v>
      </x:c>
      <x:c r="F22" s="61" t="n">
        <x:v>680</x:v>
      </x:c>
      <x:c r="G22" s="61" t="n">
        <x:v>251</x:v>
      </x:c>
      <x:c r="H22" s="61" t="n">
        <x:v>485</x:v>
      </x:c>
      <x:c r="I22" s="61" t="n">
        <x:v>1977</x:v>
      </x:c>
      <x:c r="J22" s="61" t="n">
        <x:v>838</x:v>
      </x:c>
      <x:c r="K22" s="61" t="n">
        <x:v>966</x:v>
      </x:c>
      <x:c r="L22" s="61" t="n">
        <x:v>683</x:v>
      </x:c>
      <x:c r="M22" s="61" t="n">
        <x:v>530</x:v>
      </x:c>
      <x:c r="N22" s="61" t="n">
        <x:v>3017</x:v>
      </x:c>
    </x:row>
    <x:row r="23" ht="19" customHeight="1">
      <x:c r="B23" s="64" t="str">
        <x:v>Tax Rate</x:v>
      </x:c>
      <x:c r="C23" s="63" t="n">
        <x:f>C22/C20</x:f>
        <x:v>0.22207201671377658</x:v>
      </x:c>
      <x:c r="D23" s="63" t="n">
        <x:f>D22/D20</x:f>
        <x:v>0.248018648018648</x:v>
      </x:c>
      <x:c r="E23" s="63" t="n">
        <x:f>E22/E20</x:f>
        <x:v>0.2438070404172099</x:v>
      </x:c>
      <x:c r="F23" s="63" t="n">
        <x:f>F22/F20</x:f>
        <x:v>0.26043661432401377</x:v>
      </x:c>
      <x:c r="G23" s="63" t="n">
        <x:f>G22/G20</x:f>
        <x:v>0.0898353614889048</x:v>
      </x:c>
      <x:c r="H23" s="63" t="n">
        <x:f>H22/H20</x:f>
        <x:v>0.20498732037193576</x:v>
      </x:c>
      <x:c r="I23" s="63" t="n">
        <x:f>I22/I20</x:f>
        <x:v>0.19630622579684243</x:v>
      </x:c>
      <x:c r="J23" s="63" t="n">
        <x:f>J22/J20</x:f>
        <x:v>0.2390188248716486</x:v>
      </x:c>
      <x:c r="K23" s="63" t="n">
        <x:f>K22/K20</x:f>
        <x:v>0.22708039492242596</x:v>
      </x:c>
      <x:c r="L23" s="63" t="n">
        <x:f>L22/L20</x:f>
        <x:v>0.25705683101242</x:v>
      </x:c>
      <x:c r="M23" s="63" t="n">
        <x:f>M22/M20</x:f>
        <x:v>0.1634793337446021</x:v>
      </x:c>
      <x:c r="N23" s="63" t="n">
        <x:f>N22/N20</x:f>
        <x:v>0.22088000585694414</x:v>
      </x:c>
    </x:row>
    <x:row r="24" ht="19" customHeight="1">
      <x:c r="B24" s="52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</x:row>
    <x:row r="25" ht="19" customHeight="1">
      <x:c r="B25" s="52" t="str">
        <x:v>PAT</x:v>
      </x:c>
      <x:c r="C25" s="61" t="n">
        <x:v>6330</x:v>
      </x:c>
      <x:c r="D25" s="61" t="n">
        <x:v>6452</x:v>
      </x:c>
      <x:c r="E25" s="61" t="n">
        <x:v>1740</x:v>
      </x:c>
      <x:c r="F25" s="61" t="n">
        <x:v>1931</x:v>
      </x:c>
      <x:c r="G25" s="61" t="n">
        <x:v>2543</x:v>
      </x:c>
      <x:c r="H25" s="61" t="n">
        <x:v>1880</x:v>
      </x:c>
      <x:c r="I25" s="61" t="n">
        <x:v>8094</x:v>
      </x:c>
      <x:c r="J25" s="61" t="n">
        <x:v>2668</x:v>
      </x:c>
      <x:c r="K25" s="61" t="n">
        <x:v>3288</x:v>
      </x:c>
      <x:c r="L25" s="61" t="n">
        <x:v>1974</x:v>
      </x:c>
      <x:c r="M25" s="61" t="n">
        <x:v>2712</x:v>
      </x:c>
      <x:c r="N25" s="61" t="n">
        <x:v>10642</x:v>
      </x:c>
    </x:row>
    <x:row r="26" ht="19" customHeight="1">
      <x:c r="B26" s="64" t="str">
        <x:v>PAT Margin</x:v>
      </x:c>
      <x:c r="C26" s="63" t="n">
        <x:f>C25/C2</x:f>
        <x:v>0.10052405907575036</x:v>
      </x:c>
      <x:c r="D26" s="63" t="n">
        <x:f>D25/D2</x:f>
        <x:v>0.09360220513564485</x:v>
      </x:c>
      <x:c r="E26" s="63" t="n">
        <x:f>E25/E2</x:f>
        <x:v>0.093603744149766</x:v>
      </x:c>
      <x:c r="F26" s="63" t="n">
        <x:f>F25/F2</x:f>
        <x:v>0.09711325688996178</x:v>
      </x:c>
      <x:c r="G26" s="63" t="n">
        <x:f>G25/G2</x:f>
        <x:v>0.131877819841311</x:v>
      </x:c>
      <x:c r="H26" s="63" t="n">
        <x:f>H25/H2</x:f>
        <x:v>0.09366281387006775</x:v>
      </x:c>
      <x:c r="I26" s="63" t="n">
        <x:f>I25/I2</x:f>
        <x:v>0.10399856092922856</x:v>
      </x:c>
      <x:c r="J26" s="63" t="n">
        <x:f>J25/J2</x:f>
        <x:v>0.12313656712973646</x:v>
      </x:c>
      <x:c r="K26" s="63" t="n">
        <x:f>K25/K2</x:f>
        <x:v>0.14103114008750106</x:v>
      </x:c>
      <x:c r="L26" s="63" t="n">
        <x:f>L25/L2</x:f>
        <x:v>0.08715231788079471</x:v>
      </x:c>
      <x:c r="M26" s="63" t="n">
        <x:f>M25/M2</x:f>
        <x:v>0.11468685245485685</x:v>
      </x:c>
      <x:c r="N26" s="63" t="n">
        <x:f>N25/N2</x:f>
        <x:v>0.11658888231556344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42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</x:cols>
  <x:sheetData>
    <x:row r="2">
      <x:c r="B2" s="67" t="str">
        <x:v>Hospital Revenue Reconciliation</x:v>
      </x:c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</x:row>
    <x:row r="4">
      <x:c r="B4" s="72" t="str">
        <x:v>Line Item</x:v>
      </x:c>
      <x:c r="C4" s="74" t="str">
        <x:v>FY23A</x:v>
      </x:c>
      <x:c r="D4" s="74" t="str">
        <x:v>FY24A</x:v>
      </x:c>
      <x:c r="E4" s="75" t="str">
        <x:v>FY25 Q1</x:v>
      </x:c>
      <x:c r="F4" s="75" t="str">
        <x:v>FY25 Q2</x:v>
      </x:c>
      <x:c r="G4" s="75" t="str">
        <x:v>FY25 Q3</x:v>
      </x:c>
      <x:c r="H4" s="75" t="str">
        <x:v>FY25 Q4</x:v>
      </x:c>
      <x:c r="I4" s="74" t="str">
        <x:v>FY25A</x:v>
      </x:c>
      <x:c r="J4" s="75" t="str">
        <x:v>FY26 Q1</x:v>
      </x:c>
      <x:c r="K4" s="75" t="str">
        <x:v>FY26 Q2</x:v>
      </x:c>
      <x:c r="L4" s="75" t="str">
        <x:v>FY26 Q3</x:v>
      </x:c>
      <x:c r="M4" s="75" t="str">
        <x:v>FY26 Q4</x:v>
      </x:c>
      <x:c r="N4" s="74" t="str">
        <x:v>FY26A</x:v>
      </x:c>
    </x:row>
    <x:row r="5">
      <x:c r="B5" s="73" t="str">
        <x:v>Avg Operational Beds (ex-O&amp;M, implied)</x:v>
      </x:c>
      <x:c r="C5" s="79" t="n">
        <x:f>'Key KPIs'!C5</x:f>
        <x:v>3972</x:v>
      </x:c>
      <x:c r="D5" s="79" t="n">
        <x:f>'Key KPIs'!D5</x:f>
        <x:v>4173</x:v>
      </x:c>
      <x:c r="E5" s="79" t="n">
        <x:f>'Key KPIs'!E5</x:f>
        <x:v>4052</x:v>
      </x:c>
      <x:c r="F5" s="79" t="n">
        <x:f>'Key KPIs'!F5</x:f>
        <x:v>4082</x:v>
      </x:c>
      <x:c r="G5" s="79" t="n">
        <x:f>'Key KPIs'!G5</x:f>
        <x:v>4164</x:v>
      </x:c>
      <x:c r="H5" s="79" t="n">
        <x:f>'Key KPIs'!H5</x:f>
        <x:v>4138</x:v>
      </x:c>
      <x:c r="I5" s="79" t="n">
        <x:f>'Key KPIs'!I5</x:f>
        <x:v>4113</x:v>
      </x:c>
      <x:c r="J5" s="79" t="n">
        <x:f>'Key KPIs'!J5</x:f>
        <x:v>4243</x:v>
      </x:c>
      <x:c r="K5" s="79" t="n">
        <x:f>'Key KPIs'!K5</x:f>
        <x:v>4673</x:v>
      </x:c>
      <x:c r="L5" s="79" t="n">
        <x:f>'Key KPIs'!L5</x:f>
        <x:v>4760</x:v>
      </x:c>
      <x:c r="M5" s="79" t="n">
        <x:f>'Key KPIs'!M5</x:f>
        <x:v>4910</x:v>
      </x:c>
      <x:c r="N5" s="79" t="n">
        <x:f>'Key KPIs'!N5</x:f>
        <x:v>4809</x:v>
      </x:c>
    </x:row>
    <x:row r="6">
      <x:c r="B6" s="73" t="str">
        <x:v>Occupancy</x:v>
      </x:c>
      <x:c r="C6" s="80" t="n">
        <x:f>'Key KPIs'!C8</x:f>
        <x:v>0.671</x:v>
      </x:c>
      <x:c r="D6" s="80" t="n">
        <x:f>'Key KPIs'!D8</x:f>
        <x:v>0.647</x:v>
      </x:c>
      <x:c r="E6" s="80" t="n">
        <x:f>'Key KPIs'!E8</x:f>
        <x:v>0.67</x:v>
      </x:c>
      <x:c r="F6" s="80" t="n">
        <x:f>'Key KPIs'!F8</x:f>
        <x:v>0.72</x:v>
      </x:c>
      <x:c r="G6" s="80" t="n">
        <x:f>'Key KPIs'!G8</x:f>
        <x:v>0.67</x:v>
      </x:c>
      <x:c r="H6" s="80" t="n">
        <x:f>'Key KPIs'!H8</x:f>
        <x:v>0.69</x:v>
      </x:c>
      <x:c r="I6" s="80" t="n">
        <x:f>'Key KPIs'!I8</x:f>
        <x:v>0.69</x:v>
      </x:c>
      <x:c r="J6" s="80" t="n">
        <x:f>'Key KPIs'!J8</x:f>
        <x:v>0.69</x:v>
      </x:c>
      <x:c r="K6" s="80" t="n">
        <x:f>'Key KPIs'!K8</x:f>
        <x:v>0.71</x:v>
      </x:c>
      <x:c r="L6" s="80" t="n">
        <x:f>'Key KPIs'!L8</x:f>
        <x:v>0.67</x:v>
      </x:c>
      <x:c r="M6" s="80" t="n">
        <x:f>'Key KPIs'!M8</x:f>
        <x:v>0.68</x:v>
      </x:c>
      <x:c r="N6" s="80" t="n">
        <x:f>'Key KPIs'!N8</x:f>
        <x:v>0.68</x:v>
      </x:c>
    </x:row>
    <x:row r="7">
      <x:c r="B7" s="73" t="str">
        <x:v>Average Occupied Beds</x:v>
      </x:c>
      <x:c r="C7" s="79" t="n">
        <x:f>'Key KPIs'!C9</x:f>
        <x:v>2665</x:v>
      </x:c>
      <x:c r="D7" s="79" t="n">
        <x:f>'Key KPIs'!D9</x:f>
        <x:v>2700</x:v>
      </x:c>
      <x:c r="E7" s="79" t="n">
        <x:f>'Key KPIs'!E9</x:f>
        <x:v>2715</x:v>
      </x:c>
      <x:c r="F7" s="79" t="n">
        <x:f>'Key KPIs'!F9</x:f>
        <x:v>2939</x:v>
      </x:c>
      <x:c r="G7" s="79" t="n">
        <x:f>'Key KPIs'!G9</x:f>
        <x:v>2790</x:v>
      </x:c>
      <x:c r="H7" s="79" t="n">
        <x:f>'Key KPIs'!H9</x:f>
        <x:v>2855</x:v>
      </x:c>
      <x:c r="I7" s="79" t="n">
        <x:f>'Key KPIs'!I9</x:f>
        <x:v>2838</x:v>
      </x:c>
      <x:c r="J7" s="79" t="n">
        <x:f>'Key KPIs'!J9</x:f>
        <x:v>2928</x:v>
      </x:c>
      <x:c r="K7" s="79" t="n">
        <x:f>'Key KPIs'!K9</x:f>
        <x:v>3318</x:v>
      </x:c>
      <x:c r="L7" s="79" t="n">
        <x:f>'Key KPIs'!L9</x:f>
        <x:v>3189</x:v>
      </x:c>
      <x:c r="M7" s="79" t="n">
        <x:f>'Key KPIs'!M9</x:f>
        <x:v>3339</x:v>
      </x:c>
      <x:c r="N7" s="79" t="n">
        <x:f>'Key KPIs'!N9</x:f>
        <x:v>3270</x:v>
      </x:c>
    </x:row>
    <x:row r="8">
      <x:c r="B8" s="73" t="str">
        <x:v>ARPOB (INR Mn p.a.)</x:v>
      </x:c>
      <x:c r="C8" s="81" t="n">
        <x:f>'Key KPIs'!C11</x:f>
        <x:v>20.1</x:v>
      </x:c>
      <x:c r="D8" s="81" t="n">
        <x:f>'Key KPIs'!D11</x:f>
        <x:v>22.2</x:v>
      </x:c>
      <x:c r="E8" s="81" t="n">
        <x:f>'Key KPIs'!E11</x:f>
        <x:v>24.1</x:v>
      </x:c>
      <x:c r="F8" s="81" t="n">
        <x:f>'Key KPIs'!F11</x:f>
        <x:v>23.7</x:v>
      </x:c>
      <x:c r="G8" s="81" t="n">
        <x:f>'Key KPIs'!G11</x:f>
        <x:v>24.5</x:v>
      </x:c>
      <x:c r="H8" s="81" t="n">
        <x:f>'Key KPIs'!H11</x:f>
        <x:v>25.1</x:v>
      </x:c>
      <x:c r="I8" s="81" t="n">
        <x:f>'Key KPIs'!I11</x:f>
        <x:v>24.2</x:v>
      </x:c>
      <x:c r="J8" s="81" t="n">
        <x:f>'Key KPIs'!J11</x:f>
        <x:v>26.5</x:v>
      </x:c>
      <x:c r="K8" s="81" t="n">
        <x:f>'Key KPIs'!K11</x:f>
        <x:v>25.1</x:v>
      </x:c>
      <x:c r="L8" s="81" t="n">
        <x:f>'Key KPIs'!L11</x:f>
        <x:v>25.6</x:v>
      </x:c>
      <x:c r="M8" s="81" t="n">
        <x:f>'Key KPIs'!M11</x:f>
        <x:v>25.6</x:v>
      </x:c>
      <x:c r="N8" s="81" t="n">
        <x:f>'Key KPIs'!N11</x:f>
        <x:v>25.1</x:v>
      </x:c>
    </x:row>
    <x:row r="9">
      <x:c r="B9" s="73" t="str">
        <x:v>Days in Period</x:v>
      </x:c>
      <x:c r="C9" s="82" t="n">
        <x:v>365</x:v>
      </x:c>
      <x:c r="D9" s="82" t="n">
        <x:v>365</x:v>
      </x:c>
      <x:c r="E9" s="82" t="n">
        <x:v>91</x:v>
      </x:c>
      <x:c r="F9" s="82" t="n">
        <x:v>92</x:v>
      </x:c>
      <x:c r="G9" s="82" t="n">
        <x:v>92</x:v>
      </x:c>
      <x:c r="H9" s="82" t="n">
        <x:v>90</x:v>
      </x:c>
      <x:c r="I9" s="82" t="n">
        <x:v>365</x:v>
      </x:c>
      <x:c r="J9" s="82" t="n">
        <x:v>91</x:v>
      </x:c>
      <x:c r="K9" s="82" t="n">
        <x:v>92</x:v>
      </x:c>
      <x:c r="L9" s="82" t="n">
        <x:v>92</x:v>
      </x:c>
      <x:c r="M9" s="82" t="n">
        <x:v>90</x:v>
      </x:c>
      <x:c r="N9" s="82" t="n">
        <x:v>365</x:v>
      </x:c>
    </x:row>
    <x:row r="10">
      <x:c r="B10" s="73" t="str">
        <x:v>ARPOB-Implied Hospital Revenue (INR Mn)</x:v>
      </x:c>
      <x:c r="C10" s="83" t="n">
        <x:f>C7*C8*C9/365</x:f>
        <x:v>53566.50000000001</x:v>
      </x:c>
      <x:c r="D10" s="83" t="n">
        <x:f>D7*D8*D9/365</x:f>
        <x:v>59940</x:v>
      </x:c>
      <x:c r="E10" s="83" t="n">
        <x:f>E7*E8*E9/365</x:f>
        <x:v>16313.058904109592</x:v>
      </x:c>
      <x:c r="F10" s="83" t="n">
        <x:f>F7*F8*F9/365</x:f>
        <x:v>17556.700273972605</x:v>
      </x:c>
      <x:c r="G10" s="83" t="n">
        <x:f>G7*G8*G9/365</x:f>
        <x:v>17229.205479452055</x:v>
      </x:c>
      <x:c r="H10" s="83" t="n">
        <x:f>H7*H8*H9/365</x:f>
        <x:v>17669.712328767124</x:v>
      </x:c>
      <x:c r="I10" s="83" t="n">
        <x:f>I7*I8*I9/365</x:f>
        <x:v>68679.59999999999</x:v>
      </x:c>
      <x:c r="J10" s="83" t="n">
        <x:f>J7*J8*J9/365</x:f>
        <x:v>19344.854794520546</x:v>
      </x:c>
      <x:c r="K10" s="83" t="n">
        <x:f>K7*K8*K9/365</x:f>
        <x:v>20991.57698630137</x:v>
      </x:c>
      <x:c r="L10" s="83" t="n">
        <x:f>L7*L8*L9/365</x:f>
        <x:v>20577.350136986304</x:v>
      </x:c>
      <x:c r="M10" s="83" t="n">
        <x:f>M7*M8*M9/365</x:f>
        <x:v>21076.86575342466</x:v>
      </x:c>
      <x:c r="N10" s="83" t="n">
        <x:f>N7*N8*N9/365</x:f>
        <x:v>82077</x:v>
      </x:c>
    </x:row>
    <x:row r="11">
      <x:c r="B11" s="73" t="str">
        <x:v>Reported Hospital Revenue (INR Mn)</x:v>
      </x:c>
      <x:c r="C11" s="83" t="n">
        <x:f>'P&amp;L-QoQ(A)'!C3</x:f>
        <x:v>51070</x:v>
      </x:c>
      <x:c r="D11" s="83" t="n">
        <x:f>'P&amp;L-QoQ(A)'!D3</x:f>
        <x:v>56860</x:v>
      </x:c>
      <x:c r="E11" s="83" t="n">
        <x:f>'P&amp;L-QoQ(A)'!E3</x:f>
        <x:v>15494</x:v>
      </x:c>
      <x:c r="F11" s="83" t="n">
        <x:f>'P&amp;L-QoQ(A)'!F3</x:f>
        <x:v>16547</x:v>
      </x:c>
      <x:c r="G11" s="83" t="n">
        <x:f>'P&amp;L-QoQ(A)'!G3</x:f>
        <x:v>16231</x:v>
      </x:c>
      <x:c r="H11" s="83" t="n">
        <x:f>'P&amp;L-QoQ(A)'!H3</x:f>
        <x:v>17008</x:v>
      </x:c>
      <x:c r="I11" s="83" t="n">
        <x:f>'P&amp;L-QoQ(A)'!I3</x:f>
        <x:v>65280</x:v>
      </x:c>
      <x:c r="J11" s="83" t="n">
        <x:f>'P&amp;L-QoQ(A)'!J3</x:f>
        <x:v>18380</x:v>
      </x:c>
      <x:c r="K11" s="83" t="n">
        <x:f>'P&amp;L-QoQ(A)'!K3</x:f>
        <x:v>19740</x:v>
      </x:c>
      <x:c r="L11" s="83" t="n">
        <x:f>'P&amp;L-QoQ(A)'!L3</x:f>
        <x:v>19380</x:v>
      </x:c>
      <x:c r="M11" s="83" t="n">
        <x:f>'P&amp;L-QoQ(A)'!M3</x:f>
        <x:v>20230</x:v>
      </x:c>
      <x:c r="N11" s="83" t="n">
        <x:f>'P&amp;L-QoQ(A)'!N3</x:f>
        <x:v>77730</x:v>
      </x:c>
    </x:row>
    <x:row r="12">
      <x:c r="B12" s="73" t="str">
        <x:v>Reported / ARPOB-Implied Factor</x:v>
      </x:c>
      <x:c r="C12" s="84" t="n">
        <x:f>C11/C10</x:f>
        <x:v>0.9533943789495299</x:v>
      </x:c>
      <x:c r="D12" s="84" t="n">
        <x:f>D11/D10</x:f>
        <x:v>0.9486152819486153</x:v>
      </x:c>
      <x:c r="E12" s="84" t="n">
        <x:f>E11/E10</x:f>
        <x:v>0.9497912127379584</x:v>
      </x:c>
      <x:c r="F12" s="84" t="n">
        <x:f>F11/F10</x:f>
        <x:v>0.9424891774526981</x:v>
      </x:c>
      <x:c r="G12" s="84" t="n">
        <x:f>G11/G10</x:f>
        <x:v>0.9420631740307156</x:v>
      </x:c>
      <x:c r="H12" s="84" t="n">
        <x:f>H11/H10</x:f>
        <x:v>0.9625510412136238</x:v>
      </x:c>
      <x:c r="I12" s="84" t="n">
        <x:f>I11/I10</x:f>
        <x:v>0.9505005853266474</x:v>
      </x:c>
      <x:c r="J12" s="84" t="n">
        <x:f>J11/J10</x:f>
        <x:v>0.9501234408441338</x:v>
      </x:c>
      <x:c r="K12" s="84" t="n">
        <x:f>K11/K10</x:f>
        <x:v>0.9403771814229049</x:v>
      </x:c>
      <x:c r="L12" s="84" t="n">
        <x:f>L11/L10</x:f>
        <x:v>0.941812229027772</x:v>
      </x:c>
      <x:c r="M12" s="84" t="n">
        <x:f>M11/M10</x:f>
        <x:v>0.9598201286978801</x:v>
      </x:c>
      <x:c r="N12" s="84" t="n">
        <x:f>N11/N10</x:f>
        <x:v>0.9470375379217076</x:v>
      </x:c>
    </x:row>
    <x:row r="13">
      <x:c r="B13" s="73" t="str">
        <x:v>Difference (INR Mn)</x:v>
      </x:c>
      <x:c r="C13" s="83" t="n">
        <x:f>C11-C10</x:f>
        <x:v>-2496.5000000000073</x:v>
      </x:c>
      <x:c r="D13" s="83" t="n">
        <x:f>D11-D10</x:f>
        <x:v>-3080</x:v>
      </x:c>
      <x:c r="E13" s="83" t="n">
        <x:f>E11-E10</x:f>
        <x:v>-819.0589041095918</x:v>
      </x:c>
      <x:c r="F13" s="83" t="n">
        <x:f>F11-F10</x:f>
        <x:v>-1009.7002739726049</x:v>
      </x:c>
      <x:c r="G13" s="83" t="n">
        <x:f>G11-G10</x:f>
        <x:v>-998.2054794520554</x:v>
      </x:c>
      <x:c r="H13" s="83" t="n">
        <x:f>H11-H10</x:f>
        <x:v>-661.7123287671238</x:v>
      </x:c>
      <x:c r="I13" s="83" t="n">
        <x:f>I11-I10</x:f>
        <x:v>-3399.5999999999913</x:v>
      </x:c>
      <x:c r="J13" s="83" t="n">
        <x:f>J11-J10</x:f>
        <x:v>-964.8547945205464</x:v>
      </x:c>
      <x:c r="K13" s="83" t="n">
        <x:f>K11-K10</x:f>
        <x:v>-1251.5769863013702</x:v>
      </x:c>
      <x:c r="L13" s="83" t="n">
        <x:f>L11-L10</x:f>
        <x:v>-1197.3501369863043</x:v>
      </x:c>
      <x:c r="M13" s="83" t="n">
        <x:f>M11-M10</x:f>
        <x:v>-846.8657534246595</x:v>
      </x:c>
      <x:c r="N13" s="83" t="n">
        <x:f>N11-N10</x:f>
        <x:v>-4347</x:v>
      </x:c>
    </x:row>
    <x:row r="15" ht="25" customHeight="1">
      <x:c r="B15" s="87" t="str">
        <x:v>Important: Fortis' headline network bed count includes O&amp;M beds. Those beds are not the denominator for disclosed occupancy/ARPOB. The main KPI sheet now uses an average revenue-generating bed base implied from occupied beds ÷ occupancy. ARPOB is an operating KPI and does not exactly equal reported healthcare segment revenue; the factor above is the historical reconciliation between the two reported datasets.</x:v>
      </x:c>
      <x:c r="C15" s="87"/>
      <x:c r="D15" s="87"/>
      <x:c r="E15" s="87"/>
      <x:c r="F15" s="87"/>
      <x:c r="G15" s="87"/>
      <x:c r="H15" s="87"/>
      <x:c r="I15" s="87"/>
      <x:c r="J15" s="87"/>
      <x:c r="K15" s="87"/>
      <x:c r="L15" s="87"/>
      <x:c r="M15" s="87"/>
      <x:c r="N15" s="87"/>
    </x:row>
    <x:row r="16" ht="25" customHeight="1">
      <x:c r="B16" s="87"/>
      <x:c r="C16" s="87"/>
      <x:c r="D16" s="87"/>
      <x:c r="E16" s="87"/>
      <x:c r="F16" s="87"/>
      <x:c r="G16" s="87"/>
      <x:c r="H16" s="87"/>
      <x:c r="I16" s="87"/>
      <x:c r="J16" s="87"/>
      <x:c r="K16" s="87"/>
      <x:c r="L16" s="87"/>
      <x:c r="M16" s="87"/>
      <x:c r="N16" s="87"/>
    </x:row>
    <x:row r="17" ht="25" customHeight="1">
      <x:c r="B17" s="87"/>
      <x:c r="C17" s="87"/>
      <x:c r="D17" s="87"/>
      <x:c r="E17" s="87"/>
      <x:c r="F17" s="87"/>
      <x:c r="G17" s="87"/>
      <x:c r="H17" s="87"/>
      <x:c r="I17" s="87"/>
      <x:c r="J17" s="87"/>
      <x:c r="K17" s="87"/>
      <x:c r="L17" s="87"/>
      <x:c r="M17" s="87"/>
      <x:c r="N17" s="87"/>
    </x:row>
  </x:sheetData>
  <x:mergeCells>
    <x:mergeCell ref="B15:N17"/>
    <x:mergeCell ref="B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</x:row>
    <x:row r="2">
      <x:c r="B2" s="97" t="str">
        <x:v>Fortis Operating KPI Forecast</x:v>
      </x:c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</x:row>
    <x:row r="4">
      <x:c r="B4" s="99" t="str">
        <x:v>Line Item</x:v>
      </x:c>
      <x:c r="C4" s="99" t="str">
        <x:v>FY26A</x:v>
      </x:c>
      <x:c r="D4" s="100" t="str">
        <x:v>FY27 Q1</x:v>
      </x:c>
      <x:c r="E4" s="100" t="str">
        <x:v>FY27 Q2</x:v>
      </x:c>
      <x:c r="F4" s="100" t="str">
        <x:v>FY27 Q3</x:v>
      </x:c>
      <x:c r="G4" s="100" t="str">
        <x:v>FY27 Q4</x:v>
      </x:c>
      <x:c r="H4" s="100" t="str">
        <x:v>FY28 Q1</x:v>
      </x:c>
      <x:c r="I4" s="100" t="str">
        <x:v>FY28 Q2</x:v>
      </x:c>
      <x:c r="J4" s="100" t="str">
        <x:v>FY28 Q3</x:v>
      </x:c>
      <x:c r="K4" s="100" t="str">
        <x:v>FY28 Q4</x:v>
      </x:c>
      <x:c r="L4" s="99" t="str">
        <x:v>FY29A</x:v>
      </x:c>
      <x:c r="M4" s="99" t="str">
        <x:v>FY30A</x:v>
      </x:c>
      <x:c r="N4" s="99" t="str">
        <x:v>FY31A</x:v>
      </x:c>
      <x:c r="O4" s="99" t="str">
        <x:v>FY32A</x:v>
      </x:c>
      <x:c r="P4" s="99" t="str">
        <x:v>FY33A</x:v>
      </x:c>
      <x:c r="Q4" s="99" t="str">
        <x:v>FY34A</x:v>
      </x:c>
      <x:c r="R4" s="99" t="str">
        <x:v>FY35A</x:v>
      </x:c>
    </x:row>
    <x:row r="5">
      <x:c r="B5" t="str">
        <x:v>Revenue-generating operational beds, ending (ex-O&amp;M)</x:v>
      </x:c>
      <x:c r="C5" s="111" t="n">
        <x:f>'Forecast Assumptions'!C5</x:f>
        <x:v>4968</x:v>
      </x:c>
      <x:c r="D5" s="111" t="n">
        <x:f>'Forecast Assumptions'!D5</x:f>
        <x:v>5168</x:v>
      </x:c>
      <x:c r="E5" s="111" t="n">
        <x:f>'Forecast Assumptions'!E5</x:f>
        <x:v>5268</x:v>
      </x:c>
      <x:c r="F5" s="111" t="n">
        <x:f>'Forecast Assumptions'!F5</x:f>
        <x:v>5368</x:v>
      </x:c>
      <x:c r="G5" s="111" t="n">
        <x:f>'Forecast Assumptions'!G5</x:f>
        <x:v>5440</x:v>
      </x:c>
      <x:c r="H5" s="111" t="n">
        <x:f>'Forecast Assumptions'!H5</x:f>
        <x:v>5480</x:v>
      </x:c>
      <x:c r="I5" s="111" t="n">
        <x:f>'Forecast Assumptions'!I5</x:f>
        <x:v>5525</x:v>
      </x:c>
      <x:c r="J5" s="111" t="n">
        <x:f>'Forecast Assumptions'!J5</x:f>
        <x:v>5565</x:v>
      </x:c>
      <x:c r="K5" s="111" t="n">
        <x:f>'Forecast Assumptions'!K5</x:f>
        <x:v>5613</x:v>
      </x:c>
      <x:c r="L5" s="111" t="n">
        <x:f>'Forecast Assumptions'!L5</x:f>
        <x:v>6315</x:v>
      </x:c>
      <x:c r="M5" s="111" t="n">
        <x:f>'Forecast Assumptions'!M5</x:f>
        <x:v>6774</x:v>
      </x:c>
      <x:c r="N5" s="111" t="n">
        <x:f>'Forecast Assumptions'!N5</x:f>
        <x:v>6920</x:v>
      </x:c>
      <x:c r="O5" s="111" t="n">
        <x:f>'Forecast Assumptions'!O5</x:f>
        <x:v>7064</x:v>
      </x:c>
      <x:c r="P5" s="111" t="n">
        <x:f>'Forecast Assumptions'!P5</x:f>
        <x:v>7240</x:v>
      </x:c>
      <x:c r="Q5" s="111" t="n">
        <x:f>'Forecast Assumptions'!Q5</x:f>
        <x:v>7420</x:v>
      </x:c>
      <x:c r="R5" s="111" t="n">
        <x:f>'Forecast Assumptions'!R5</x:f>
        <x:v>7605</x:v>
      </x:c>
    </x:row>
    <x:row r="6">
      <x:c r="B6" t="str">
        <x:v>Occupancy %</x:v>
      </x:c>
      <x:c r="C6" s="112" t="n">
        <x:f>'Forecast Assumptions'!C6</x:f>
        <x:v>0.68</x:v>
      </x:c>
      <x:c r="D6" s="112" t="n">
        <x:f>'Forecast Assumptions'!D6</x:f>
        <x:v>0.69</x:v>
      </x:c>
      <x:c r="E6" s="112" t="n">
        <x:f>'Forecast Assumptions'!E6</x:f>
        <x:v>0.715</x:v>
      </x:c>
      <x:c r="F6" s="112" t="n">
        <x:f>'Forecast Assumptions'!F6</x:f>
        <x:v>0.675</x:v>
      </x:c>
      <x:c r="G6" s="112" t="n">
        <x:f>'Forecast Assumptions'!G6</x:f>
        <x:v>0.695</x:v>
      </x:c>
      <x:c r="H6" s="112" t="n">
        <x:f>'Forecast Assumptions'!H6</x:f>
        <x:v>0.7</x:v>
      </x:c>
      <x:c r="I6" s="112" t="n">
        <x:f>'Forecast Assumptions'!I6</x:f>
        <x:v>0.72</x:v>
      </x:c>
      <x:c r="J6" s="112" t="n">
        <x:f>'Forecast Assumptions'!J6</x:f>
        <x:v>0.685</x:v>
      </x:c>
      <x:c r="K6" s="112" t="n">
        <x:f>'Forecast Assumptions'!K6</x:f>
        <x:v>0.7</x:v>
      </x:c>
      <x:c r="L6" s="112" t="n">
        <x:f>'Forecast Assumptions'!L6</x:f>
        <x:v>0.7</x:v>
      </x:c>
      <x:c r="M6" s="112" t="n">
        <x:f>'Forecast Assumptions'!M6</x:f>
        <x:v>0.695</x:v>
      </x:c>
      <x:c r="N6" s="112" t="n">
        <x:f>'Forecast Assumptions'!N6</x:f>
        <x:v>0.7</x:v>
      </x:c>
      <x:c r="O6" s="112" t="n">
        <x:f>'Forecast Assumptions'!O6</x:f>
        <x:v>0.705</x:v>
      </x:c>
      <x:c r="P6" s="112" t="n">
        <x:f>'Forecast Assumptions'!P6</x:f>
        <x:v>0.71</x:v>
      </x:c>
      <x:c r="Q6" s="112" t="n">
        <x:f>'Forecast Assumptions'!Q6</x:f>
        <x:v>0.715</x:v>
      </x:c>
      <x:c r="R6" s="112" t="n">
        <x:f>'Forecast Assumptions'!R6</x:f>
        <x:v>0.72</x:v>
      </x:c>
    </x:row>
    <x:row r="7">
      <x:c r="B7" t="str">
        <x:v>Average operational beds</x:v>
      </x:c>
      <x:c r="C7" s="113" t="n">
        <x:v>4809</x:v>
      </x:c>
      <x:c r="D7" s="113" t="n">
        <x:f>(C5+D5)/2</x:f>
        <x:v>5068</x:v>
      </x:c>
      <x:c r="E7" s="113" t="n">
        <x:f>(D5+E5)/2</x:f>
        <x:v>5218</x:v>
      </x:c>
      <x:c r="F7" s="113" t="n">
        <x:f>(E5+F5)/2</x:f>
        <x:v>5318</x:v>
      </x:c>
      <x:c r="G7" s="113" t="n">
        <x:f>(F5+G5)/2</x:f>
        <x:v>5404</x:v>
      </x:c>
      <x:c r="H7" s="113" t="n">
        <x:f>(G5+H5)/2</x:f>
        <x:v>5460</x:v>
      </x:c>
      <x:c r="I7" s="113" t="n">
        <x:f>(H5+I5)/2</x:f>
        <x:v>5502.5</x:v>
      </x:c>
      <x:c r="J7" s="113" t="n">
        <x:f>(I5+J5)/2</x:f>
        <x:v>5545</x:v>
      </x:c>
      <x:c r="K7" s="113" t="n">
        <x:f>(J5+K5)/2</x:f>
        <x:v>5589</x:v>
      </x:c>
      <x:c r="L7" s="113" t="n">
        <x:f>(K5+L5)/2</x:f>
        <x:v>5964</x:v>
      </x:c>
      <x:c r="M7" s="113" t="n">
        <x:f>(L5+M5)/2</x:f>
        <x:v>6544.5</x:v>
      </x:c>
      <x:c r="N7" s="113" t="n">
        <x:f>(M5+N5)/2</x:f>
        <x:v>6847</x:v>
      </x:c>
      <x:c r="O7" s="113" t="n">
        <x:f>(N5+O5)/2</x:f>
        <x:v>6992</x:v>
      </x:c>
      <x:c r="P7" s="113" t="n">
        <x:f>(O5+P5)/2</x:f>
        <x:v>7152</x:v>
      </x:c>
      <x:c r="Q7" s="113" t="n">
        <x:f>(P5+Q5)/2</x:f>
        <x:v>7330</x:v>
      </x:c>
      <x:c r="R7" s="113" t="n">
        <x:f>(Q5+R5)/2</x:f>
        <x:v>7512.5</x:v>
      </x:c>
    </x:row>
    <x:row r="8">
      <x:c r="B8" t="str">
        <x:v>Average occupied beds</x:v>
      </x:c>
      <x:c r="C8" s="113" t="n">
        <x:f>C7*C6</x:f>
        <x:v>3270.1200000000003</x:v>
      </x:c>
      <x:c r="D8" s="113" t="n">
        <x:f>D7*D6</x:f>
        <x:v>3496.9199999999996</x:v>
      </x:c>
      <x:c r="E8" s="113" t="n">
        <x:f>E7*E6</x:f>
        <x:v>3730.87</x:v>
      </x:c>
      <x:c r="F8" s="113" t="n">
        <x:f>F7*F6</x:f>
        <x:v>3589.65</x:v>
      </x:c>
      <x:c r="G8" s="113" t="n">
        <x:f>G7*G6</x:f>
        <x:v>3755.7799999999997</x:v>
      </x:c>
      <x:c r="H8" s="113" t="n">
        <x:f>H7*H6</x:f>
        <x:v>3821.9999999999995</x:v>
      </x:c>
      <x:c r="I8" s="113" t="n">
        <x:f>I7*I6</x:f>
        <x:v>3961.7999999999997</x:v>
      </x:c>
      <x:c r="J8" s="113" t="n">
        <x:f>J7*J6</x:f>
        <x:v>3798.3250000000003</x:v>
      </x:c>
      <x:c r="K8" s="113" t="n">
        <x:f>K7*K6</x:f>
        <x:v>3912.2999999999997</x:v>
      </x:c>
      <x:c r="L8" s="113" t="n">
        <x:f>L7*L6</x:f>
        <x:v>4174.8</x:v>
      </x:c>
      <x:c r="M8" s="113" t="n">
        <x:f>M7*M6</x:f>
        <x:v>4548.4275</x:v>
      </x:c>
      <x:c r="N8" s="113" t="n">
        <x:f>N7*N6</x:f>
        <x:v>4792.9</x:v>
      </x:c>
      <x:c r="O8" s="113" t="n">
        <x:f>O7*O6</x:f>
        <x:v>4929.36</x:v>
      </x:c>
      <x:c r="P8" s="113" t="n">
        <x:f>P7*P6</x:f>
        <x:v>5077.92</x:v>
      </x:c>
      <x:c r="Q8" s="113" t="n">
        <x:f>Q7*Q6</x:f>
        <x:v>5240.95</x:v>
      </x:c>
      <x:c r="R8" s="113" t="n">
        <x:f>R7*R6</x:f>
        <x:v>5409</x:v>
      </x:c>
    </x:row>
    <x:row r="9">
      <x:c r="B9" t="str">
        <x:v>ARPOB (INR Mn p.a.)</x:v>
      </x:c>
      <x:c r="C9" s="114" t="n">
        <x:f>'Forecast Assumptions'!C7</x:f>
        <x:v>25.1</x:v>
      </x:c>
      <x:c r="D9" s="114" t="n">
        <x:f>'Forecast Assumptions'!D7</x:f>
        <x:v>27.5</x:v>
      </x:c>
      <x:c r="E9" s="114" t="n">
        <x:f>'Forecast Assumptions'!E7</x:f>
        <x:v>26.1</x:v>
      </x:c>
      <x:c r="F9" s="114" t="n">
        <x:f>'Forecast Assumptions'!F7</x:f>
        <x:v>26.6</x:v>
      </x:c>
      <x:c r="G9" s="114" t="n">
        <x:f>'Forecast Assumptions'!G7</x:f>
        <x:v>26.6</x:v>
      </x:c>
      <x:c r="H9" s="114" t="n">
        <x:f>'Forecast Assumptions'!H7</x:f>
        <x:v>28.6</x:v>
      </x:c>
      <x:c r="I9" s="114" t="n">
        <x:f>'Forecast Assumptions'!I7</x:f>
        <x:v>27.2</x:v>
      </x:c>
      <x:c r="J9" s="114" t="n">
        <x:f>'Forecast Assumptions'!J7</x:f>
        <x:v>27.7</x:v>
      </x:c>
      <x:c r="K9" s="114" t="n">
        <x:f>'Forecast Assumptions'!K7</x:f>
        <x:v>27.7</x:v>
      </x:c>
      <x:c r="L9" s="114" t="n">
        <x:f>'Forecast Assumptions'!L7</x:f>
        <x:v>28.8</x:v>
      </x:c>
      <x:c r="M9" s="114" t="n">
        <x:f>'Forecast Assumptions'!M7</x:f>
        <x:v>29.9</x:v>
      </x:c>
      <x:c r="N9" s="114" t="n">
        <x:f>'Forecast Assumptions'!N7</x:f>
        <x:v>31</x:v>
      </x:c>
      <x:c r="O9" s="114" t="n">
        <x:f>'Forecast Assumptions'!O7</x:f>
        <x:v>32.1</x:v>
      </x:c>
      <x:c r="P9" s="114" t="n">
        <x:f>'Forecast Assumptions'!P7</x:f>
        <x:v>33.2</x:v>
      </x:c>
      <x:c r="Q9" s="114" t="n">
        <x:f>'Forecast Assumptions'!Q7</x:f>
        <x:v>34.3</x:v>
      </x:c>
      <x:c r="R9" s="114" t="n">
        <x:f>'Forecast Assumptions'!R7</x:f>
        <x:v>35.4</x:v>
      </x:c>
    </x:row>
    <x:row r="10">
      <x:c r="B10" t="str">
        <x:v>ALOS (days)</x:v>
      </x:c>
      <x:c r="C10" s="114" t="n">
        <x:f>'Forecast Assumptions'!C8</x:f>
        <x:v>4.21</x:v>
      </x:c>
      <x:c r="D10" s="114" t="n">
        <x:f>'Forecast Assumptions'!D8</x:f>
        <x:v>4.07</x:v>
      </x:c>
      <x:c r="E10" s="114" t="n">
        <x:f>'Forecast Assumptions'!E8</x:f>
        <x:v>4.15</x:v>
      </x:c>
      <x:c r="F10" s="114" t="n">
        <x:f>'Forecast Assumptions'!F8</x:f>
        <x:v>4.25</x:v>
      </x:c>
      <x:c r="G10" s="114" t="n">
        <x:f>'Forecast Assumptions'!G8</x:f>
        <x:v>4.22</x:v>
      </x:c>
      <x:c r="H10" s="114" t="n">
        <x:f>'Forecast Assumptions'!H8</x:f>
        <x:v>4.04</x:v>
      </x:c>
      <x:c r="I10" s="114" t="n">
        <x:f>'Forecast Assumptions'!I8</x:f>
        <x:v>4.12</x:v>
      </x:c>
      <x:c r="J10" s="114" t="n">
        <x:f>'Forecast Assumptions'!J8</x:f>
        <x:v>4.22</x:v>
      </x:c>
      <x:c r="K10" s="114" t="n">
        <x:f>'Forecast Assumptions'!K8</x:f>
        <x:v>4.18</x:v>
      </x:c>
      <x:c r="L10" s="114" t="n">
        <x:f>'Forecast Assumptions'!L8</x:f>
        <x:v>4.12</x:v>
      </x:c>
      <x:c r="M10" s="114" t="n">
        <x:f>'Forecast Assumptions'!M8</x:f>
        <x:v>4.1</x:v>
      </x:c>
      <x:c r="N10" s="114" t="n">
        <x:f>'Forecast Assumptions'!N8</x:f>
        <x:v>4.08</x:v>
      </x:c>
      <x:c r="O10" s="114" t="n">
        <x:f>'Forecast Assumptions'!O8</x:f>
        <x:v>4.06</x:v>
      </x:c>
      <x:c r="P10" s="114" t="n">
        <x:f>'Forecast Assumptions'!P8</x:f>
        <x:v>4.05</x:v>
      </x:c>
      <x:c r="Q10" s="114" t="n">
        <x:f>'Forecast Assumptions'!Q8</x:f>
        <x:v>4.04</x:v>
      </x:c>
      <x:c r="R10" s="114" t="n">
        <x:f>'Forecast Assumptions'!R8</x:f>
        <x:v>4.03</x:v>
      </x:c>
    </x:row>
    <x:row r="11"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</x:row>
    <x:row r="12">
      <x:c r="B12" t="str">
        <x:v>Agilus patients (mn)</x:v>
      </x:c>
      <x:c r="C12" s="114" t="n">
        <x:f>'Forecast Assumptions'!C9</x:f>
        <x:v>16.8</x:v>
      </x:c>
      <x:c r="D12" s="114" t="n">
        <x:f>'Forecast Assumptions'!D9</x:f>
        <x:v>4.4</x:v>
      </x:c>
      <x:c r="E12" s="114" t="n">
        <x:f>'Forecast Assumptions'!E9</x:f>
        <x:v>4.62</x:v>
      </x:c>
      <x:c r="F12" s="114" t="n">
        <x:f>'Forecast Assumptions'!F9</x:f>
        <x:v>4.3</x:v>
      </x:c>
      <x:c r="G12" s="114" t="n">
        <x:f>'Forecast Assumptions'!G9</x:f>
        <x:v>4.32</x:v>
      </x:c>
      <x:c r="H12" s="114" t="n">
        <x:f>'Forecast Assumptions'!H9</x:f>
        <x:v>4.62</x:v>
      </x:c>
      <x:c r="I12" s="114" t="n">
        <x:f>'Forecast Assumptions'!I9</x:f>
        <x:v>4.85</x:v>
      </x:c>
      <x:c r="J12" s="114" t="n">
        <x:f>'Forecast Assumptions'!J9</x:f>
        <x:v>4.52</x:v>
      </x:c>
      <x:c r="K12" s="114" t="n">
        <x:f>'Forecast Assumptions'!K9</x:f>
        <x:v>4.54</x:v>
      </x:c>
      <x:c r="L12" s="114" t="n">
        <x:f>'Forecast Assumptions'!L9</x:f>
        <x:v>19.45</x:v>
      </x:c>
      <x:c r="M12" s="114" t="n">
        <x:f>'Forecast Assumptions'!M9</x:f>
        <x:v>20.38</x:v>
      </x:c>
      <x:c r="N12" s="114" t="n">
        <x:f>'Forecast Assumptions'!N9</x:f>
        <x:v>21.3</x:v>
      </x:c>
      <x:c r="O12" s="114" t="n">
        <x:f>'Forecast Assumptions'!O9</x:f>
        <x:v>22.2</x:v>
      </x:c>
      <x:c r="P12" s="114" t="n">
        <x:f>'Forecast Assumptions'!P9</x:f>
        <x:v>23.09</x:v>
      </x:c>
      <x:c r="Q12" s="114" t="n">
        <x:f>'Forecast Assumptions'!Q9</x:f>
        <x:v>24.01</x:v>
      </x:c>
      <x:c r="R12" s="114" t="n">
        <x:f>'Forecast Assumptions'!R9</x:f>
        <x:v>24.97</x:v>
      </x:c>
    </x:row>
    <x:row r="13">
      <x:c r="B13" t="str">
        <x:v>Agilus tests (mn)</x:v>
      </x:c>
      <x:c r="C13" s="114" t="n">
        <x:f>'Forecast Assumptions'!C10</x:f>
        <x:v>40.8</x:v>
      </x:c>
      <x:c r="D13" s="114" t="n">
        <x:f>'Forecast Assumptions'!D10</x:f>
        <x:v>10.7</x:v>
      </x:c>
      <x:c r="E13" s="114" t="n">
        <x:f>'Forecast Assumptions'!E10</x:f>
        <x:v>11.25</x:v>
      </x:c>
      <x:c r="F13" s="114" t="n">
        <x:f>'Forecast Assumptions'!F10</x:f>
        <x:v>10.5</x:v>
      </x:c>
      <x:c r="G13" s="114" t="n">
        <x:f>'Forecast Assumptions'!G10</x:f>
        <x:v>10.65</x:v>
      </x:c>
      <x:c r="H13" s="114" t="n">
        <x:f>'Forecast Assumptions'!H10</x:f>
        <x:v>11.32</x:v>
      </x:c>
      <x:c r="I13" s="114" t="n">
        <x:f>'Forecast Assumptions'!I10</x:f>
        <x:v>11.9</x:v>
      </x:c>
      <x:c r="J13" s="114" t="n">
        <x:f>'Forecast Assumptions'!J10</x:f>
        <x:v>11.11</x:v>
      </x:c>
      <x:c r="K13" s="114" t="n">
        <x:f>'Forecast Assumptions'!K10</x:f>
        <x:v>11.27</x:v>
      </x:c>
      <x:c r="L13" s="114" t="n">
        <x:f>'Forecast Assumptions'!L10</x:f>
        <x:v>48.3</x:v>
      </x:c>
      <x:c r="M13" s="114" t="n">
        <x:f>'Forecast Assumptions'!M10</x:f>
        <x:v>50.9</x:v>
      </x:c>
      <x:c r="N13" s="114" t="n">
        <x:f>'Forecast Assumptions'!N10</x:f>
        <x:v>53.5</x:v>
      </x:c>
      <x:c r="O13" s="114" t="n">
        <x:f>'Forecast Assumptions'!O10</x:f>
        <x:v>56</x:v>
      </x:c>
      <x:c r="P13" s="114" t="n">
        <x:f>'Forecast Assumptions'!P10</x:f>
        <x:v>58.5</x:v>
      </x:c>
      <x:c r="Q13" s="114" t="n">
        <x:f>'Forecast Assumptions'!Q10</x:f>
        <x:v>61.1</x:v>
      </x:c>
      <x:c r="R13" s="114" t="n">
        <x:f>'Forecast Assumptions'!R10</x:f>
        <x:v>63.8</x:v>
      </x:c>
    </x:row>
    <x:row r="14">
      <x:c r="B14" t="str">
        <x:v>Tests per patient (x)</x:v>
      </x:c>
      <x:c r="C14" s="115" t="n">
        <x:f>C13/C12</x:f>
        <x:v>2.4285714285714284</x:v>
      </x:c>
      <x:c r="D14" s="115" t="n">
        <x:f>D13/D12</x:f>
        <x:v>2.4318181818181817</x:v>
      </x:c>
      <x:c r="E14" s="115" t="n">
        <x:f>E13/E12</x:f>
        <x:v>2.435064935064935</x:v>
      </x:c>
      <x:c r="F14" s="115" t="n">
        <x:f>F13/F12</x:f>
        <x:v>2.441860465116279</x:v>
      </x:c>
      <x:c r="G14" s="115" t="n">
        <x:f>G13/G12</x:f>
        <x:v>2.4652777777777777</x:v>
      </x:c>
      <x:c r="H14" s="115" t="n">
        <x:f>H13/H12</x:f>
        <x:v>2.45021645021645</x:v>
      </x:c>
      <x:c r="I14" s="115" t="n">
        <x:f>I13/I12</x:f>
        <x:v>2.4536082474226806</x:v>
      </x:c>
      <x:c r="J14" s="115" t="n">
        <x:f>J13/J12</x:f>
        <x:v>2.4579646017699117</x:v>
      </x:c>
      <x:c r="K14" s="115" t="n">
        <x:f>K13/K12</x:f>
        <x:v>2.4823788546255505</x:v>
      </x:c>
      <x:c r="L14" s="115" t="n">
        <x:f>L13/L12</x:f>
        <x:v>2.4832904884318765</x:v>
      </x:c>
      <x:c r="M14" s="115" t="n">
        <x:f>M13/M12</x:f>
        <x:v>2.4975466143277725</x:v>
      </x:c>
      <x:c r="N14" s="115" t="n">
        <x:f>N13/N12</x:f>
        <x:v>2.511737089201878</x:v>
      </x:c>
      <x:c r="O14" s="115" t="n">
        <x:f>O13/O12</x:f>
        <x:v>2.5225225225225225</x:v>
      </x:c>
      <x:c r="P14" s="115" t="n">
        <x:f>P13/P12</x:f>
        <x:v>2.533564313555652</x:v>
      </x:c>
      <x:c r="Q14" s="115" t="n">
        <x:f>Q13/Q12</x:f>
        <x:v>2.544773011245314</x:v>
      </x:c>
      <x:c r="R14" s="115" t="n">
        <x:f>R13/R12</x:f>
        <x:v>2.555066079295154</x:v>
      </x:c>
    </x:row>
    <x:row r="15">
      <x:c r="B15" t="str">
        <x:v>Agilus average revenue per patient (INR)</x:v>
      </x:c>
      <x:c r="C15" s="116" t="n">
        <x:f>'Forecast Assumptions'!C11</x:f>
        <x:v>900</x:v>
      </x:c>
      <x:c r="D15" s="116" t="n">
        <x:f>'Forecast Assumptions'!D11</x:f>
        <x:v>930</x:v>
      </x:c>
      <x:c r="E15" s="116" t="n">
        <x:f>'Forecast Assumptions'!E11</x:f>
        <x:v>952</x:v>
      </x:c>
      <x:c r="F15" s="116" t="n">
        <x:f>'Forecast Assumptions'!F11</x:f>
        <x:v>954</x:v>
      </x:c>
      <x:c r="G15" s="116" t="n">
        <x:f>'Forecast Assumptions'!G11</x:f>
        <x:v>972</x:v>
      </x:c>
      <x:c r="H15" s="116" t="n">
        <x:f>'Forecast Assumptions'!H11</x:f>
        <x:v>976</x:v>
      </x:c>
      <x:c r="I15" s="116" t="n">
        <x:f>'Forecast Assumptions'!I11</x:f>
        <x:v>999</x:v>
      </x:c>
      <x:c r="J15" s="116" t="n">
        <x:f>'Forecast Assumptions'!J11</x:f>
        <x:v>1001</x:v>
      </x:c>
      <x:c r="K15" s="116" t="n">
        <x:f>'Forecast Assumptions'!K11</x:f>
        <x:v>1020</x:v>
      </x:c>
      <x:c r="L15" s="116" t="n">
        <x:f>'Forecast Assumptions'!L11</x:f>
        <x:v>1066</x:v>
      </x:c>
      <x:c r="M15" s="116" t="n">
        <x:f>'Forecast Assumptions'!M11</x:f>
        <x:v>1115</x:v>
      </x:c>
      <x:c r="N15" s="116" t="n">
        <x:f>'Forecast Assumptions'!N11</x:f>
        <x:v>1164</x:v>
      </x:c>
      <x:c r="O15" s="116" t="n">
        <x:f>'Forecast Assumptions'!O11</x:f>
        <x:v>1213</x:v>
      </x:c>
      <x:c r="P15" s="116" t="n">
        <x:f>'Forecast Assumptions'!P11</x:f>
        <x:v>1262</x:v>
      </x:c>
      <x:c r="Q15" s="116" t="n">
        <x:f>'Forecast Assumptions'!Q11</x:f>
        <x:v>1312</x:v>
      </x:c>
      <x:c r="R15" s="116" t="n">
        <x:f>'Forecast Assumptions'!R11</x:f>
        <x:v>1364</x:v>
      </x:c>
    </x:row>
    <x:row r="16">
      <x:c r="B16" t="str">
        <x:v>Implied Agilus gross revenue (INR Mn)</x:v>
      </x:c>
      <x:c r="C16" s="113" t="n">
        <x:f>C12*C15</x:f>
        <x:v>15120</x:v>
      </x:c>
      <x:c r="D16" s="113" t="n">
        <x:f>D12*D15</x:f>
        <x:v>4092.0000000000005</x:v>
      </x:c>
      <x:c r="E16" s="113" t="n">
        <x:f>E12*E15</x:f>
        <x:v>4398.24</x:v>
      </x:c>
      <x:c r="F16" s="113" t="n">
        <x:f>F12*F15</x:f>
        <x:v>4102.2</x:v>
      </x:c>
      <x:c r="G16" s="113" t="n">
        <x:f>G12*G15</x:f>
        <x:v>4199.04</x:v>
      </x:c>
      <x:c r="H16" s="113" t="n">
        <x:f>H12*H15</x:f>
        <x:v>4509.12</x:v>
      </x:c>
      <x:c r="I16" s="113" t="n">
        <x:f>I12*I15</x:f>
        <x:v>4845.15</x:v>
      </x:c>
      <x:c r="J16" s="113" t="n">
        <x:f>J12*J15</x:f>
        <x:v>4524.5199999999995</x:v>
      </x:c>
      <x:c r="K16" s="113" t="n">
        <x:f>K12*K15</x:f>
        <x:v>4630.8</x:v>
      </x:c>
      <x:c r="L16" s="113" t="n">
        <x:f>L12*L15</x:f>
        <x:v>20733.7</x:v>
      </x:c>
      <x:c r="M16" s="113" t="n">
        <x:f>M12*M15</x:f>
        <x:v>22723.699999999997</x:v>
      </x:c>
      <x:c r="N16" s="113" t="n">
        <x:f>N12*N15</x:f>
        <x:v>24793.2</x:v>
      </x:c>
      <x:c r="O16" s="113" t="n">
        <x:f>O12*O15</x:f>
        <x:v>26928.6</x:v>
      </x:c>
      <x:c r="P16" s="113" t="n">
        <x:f>P12*P15</x:f>
        <x:v>29139.579999999998</x:v>
      </x:c>
      <x:c r="Q16" s="113" t="n">
        <x:f>Q12*Q15</x:f>
        <x:v>31501.120000000003</x:v>
      </x:c>
      <x:c r="R16" s="113" t="n">
        <x:f>R12*R15</x:f>
        <x:v>34059.08</x:v>
      </x:c>
    </x:row>
    <x:row r="17">
      <x:c r="B17" t="str">
        <x:v>Average revenue per test (INR)</x:v>
      </x:c>
      <x:c r="C17" s="113" t="n">
        <x:f>C16/C13</x:f>
        <x:v>370.5882352941177</x:v>
      </x:c>
      <x:c r="D17" s="113" t="n">
        <x:f>D16/D13</x:f>
        <x:v>382.42990654205613</x:v>
      </x:c>
      <x:c r="E17" s="113" t="n">
        <x:f>E16/E13</x:f>
        <x:v>390.95466666666664</x:v>
      </x:c>
      <x:c r="F17" s="113" t="n">
        <x:f>F16/F13</x:f>
        <x:v>390.68571428571425</x:v>
      </x:c>
      <x:c r="G17" s="113" t="n">
        <x:f>G16/G13</x:f>
        <x:v>394.2760563380281</x:v>
      </x:c>
      <x:c r="H17" s="113" t="n">
        <x:f>H16/H13</x:f>
        <x:v>398.3321554770318</x:v>
      </x:c>
      <x:c r="I17" s="113" t="n">
        <x:f>I16/I13</x:f>
        <x:v>407.1554621848739</x:v>
      </x:c>
      <x:c r="J17" s="113" t="n">
        <x:f>J16/J13</x:f>
        <x:v>407.2475247524752</x:v>
      </x:c>
      <x:c r="K17" s="113" t="n">
        <x:f>K16/K13</x:f>
        <x:v>410.89618456078085</x:v>
      </x:c>
      <x:c r="L17" s="113" t="n">
        <x:f>L16/L13</x:f>
        <x:v>429.2691511387164</x:v>
      </x:c>
      <x:c r="M17" s="113" t="n">
        <x:f>M16/M13</x:f>
        <x:v>446.4381139489194</x:v>
      </x:c>
      <x:c r="N17" s="113" t="n">
        <x:f>N16/N13</x:f>
        <x:v>463.4242990654206</x:v>
      </x:c>
      <x:c r="O17" s="113" t="n">
        <x:f>O16/O13</x:f>
        <x:v>480.86785714285713</x:v>
      </x:c>
      <x:c r="P17" s="113" t="n">
        <x:f>P16/P13</x:f>
        <x:v>498.1124786324786</x:v>
      </x:c>
      <x:c r="Q17" s="113" t="n">
        <x:f>Q16/Q13</x:f>
        <x:v>515.566612111293</x:v>
      </x:c>
      <x:c r="R17" s="113" t="n">
        <x:f>R16/R13</x:f>
        <x:v>533.8413793103449</x:v>
      </x:c>
    </x:row>
    <x:row r="18"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</x:row>
    <x:row r="19">
      <x:c r="B19" s="120" t="str">
        <x:v>Hospital EBITDA margin</x:v>
      </x:c>
      <x:c r="C19" s="121" t="n">
        <x:f>'Forecast Assumptions'!C12</x:f>
        <x:v>0.222</x:v>
      </x:c>
      <x:c r="D19" s="121" t="n">
        <x:f>'Forecast Assumptions'!D12</x:f>
        <x:v>0.226</x:v>
      </x:c>
      <x:c r="E19" s="121" t="n">
        <x:f>'Forecast Assumptions'!E12</x:f>
        <x:v>0.234</x:v>
      </x:c>
      <x:c r="F19" s="121" t="n">
        <x:f>'Forecast Assumptions'!F12</x:f>
        <x:v>0.22</x:v>
      </x:c>
      <x:c r="G19" s="121" t="n">
        <x:f>'Forecast Assumptions'!G12</x:f>
        <x:v>0.228</x:v>
      </x:c>
      <x:c r="H19" s="121" t="n">
        <x:f>'Forecast Assumptions'!H12</x:f>
        <x:v>0.231</x:v>
      </x:c>
      <x:c r="I19" s="121" t="n">
        <x:f>'Forecast Assumptions'!I12</x:f>
        <x:v>0.239</x:v>
      </x:c>
      <x:c r="J19" s="121" t="n">
        <x:f>'Forecast Assumptions'!J12</x:f>
        <x:v>0.226</x:v>
      </x:c>
      <x:c r="K19" s="121" t="n">
        <x:f>'Forecast Assumptions'!K12</x:f>
        <x:v>0.234</x:v>
      </x:c>
      <x:c r="L19" s="121" t="n">
        <x:f>'Forecast Assumptions'!L12</x:f>
        <x:v>0.239</x:v>
      </x:c>
      <x:c r="M19" s="121" t="n">
        <x:f>'Forecast Assumptions'!M12</x:f>
        <x:v>0.243</x:v>
      </x:c>
      <x:c r="N19" s="121" t="n">
        <x:f>'Forecast Assumptions'!N12</x:f>
        <x:v>0.247</x:v>
      </x:c>
      <x:c r="O19" s="121" t="n">
        <x:f>'Forecast Assumptions'!O12</x:f>
        <x:v>0.25</x:v>
      </x:c>
      <x:c r="P19" s="121" t="n">
        <x:f>'Forecast Assumptions'!P12</x:f>
        <x:v>0.252</x:v>
      </x:c>
      <x:c r="Q19" s="121" t="n">
        <x:f>'Forecast Assumptions'!Q12</x:f>
        <x:v>0.253</x:v>
      </x:c>
      <x:c r="R19" s="121" t="n">
        <x:f>'Forecast Assumptions'!R12</x:f>
        <x:v>0.254</x:v>
      </x:c>
    </x:row>
    <x:row r="20">
      <x:c r="B20" t="str">
        <x:v>Agilus EBITDA margin (normalised)</x:v>
      </x:c>
      <x:c r="C20" s="112" t="n">
        <x:f>'Forecast Assumptions'!C13</x:f>
        <x:v>0.232</x:v>
      </x:c>
      <x:c r="D20" s="112" t="n">
        <x:f>'Forecast Assumptions'!D13</x:f>
        <x:v>0.235</x:v>
      </x:c>
      <x:c r="E20" s="112" t="n">
        <x:f>'Forecast Assumptions'!E13</x:f>
        <x:v>0.25</x:v>
      </x:c>
      <x:c r="F20" s="112" t="n">
        <x:f>'Forecast Assumptions'!F13</x:f>
        <x:v>0.235</x:v>
      </x:c>
      <x:c r="G20" s="112" t="n">
        <x:f>'Forecast Assumptions'!G13</x:f>
        <x:v>0.23</x:v>
      </x:c>
      <x:c r="H20" s="112" t="n">
        <x:f>'Forecast Assumptions'!H13</x:f>
        <x:v>0.24</x:v>
      </x:c>
      <x:c r="I20" s="112" t="n">
        <x:f>'Forecast Assumptions'!I13</x:f>
        <x:v>0.254</x:v>
      </x:c>
      <x:c r="J20" s="112" t="n">
        <x:f>'Forecast Assumptions'!J13</x:f>
        <x:v>0.24</x:v>
      </x:c>
      <x:c r="K20" s="112" t="n">
        <x:f>'Forecast Assumptions'!K13</x:f>
        <x:v>0.237</x:v>
      </x:c>
      <x:c r="L20" s="112" t="n">
        <x:f>'Forecast Assumptions'!L13</x:f>
        <x:v>0.247</x:v>
      </x:c>
      <x:c r="M20" s="112" t="n">
        <x:f>'Forecast Assumptions'!M13</x:f>
        <x:v>0.25</x:v>
      </x:c>
      <x:c r="N20" s="112" t="n">
        <x:f>'Forecast Assumptions'!N13</x:f>
        <x:v>0.252</x:v>
      </x:c>
      <x:c r="O20" s="112" t="n">
        <x:f>'Forecast Assumptions'!O13</x:f>
        <x:v>0.253</x:v>
      </x:c>
      <x:c r="P20" s="112" t="n">
        <x:f>'Forecast Assumptions'!P13</x:f>
        <x:v>0.254</x:v>
      </x:c>
      <x:c r="Q20" s="112" t="n">
        <x:f>'Forecast Assumptions'!Q13</x:f>
        <x:v>0.254</x:v>
      </x:c>
      <x:c r="R20" s="112" t="n">
        <x:f>'Forecast Assumptions'!R13</x:f>
        <x:v>0.254</x:v>
      </x:c>
    </x:row>
    <x:row r="23">
      <x:c r="B23" s="119" t="str">
        <x:v>Revenue modelling rule: use average operational beds, not year-end beds. Average occupied beds = average operational beds × occupancy. Forecast reported hospital revenue from the prior reported revenue base using occupied-bed growth and ARPOB growth. The bed line excludes O&amp;M beds; O&amp;M arrangements contribute only management-fee revenue unless converted into an owned or leased facility.</x:v>
      </x:c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  <x:c r="R23" s="119"/>
    </x:row>
    <x:row r="24"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119"/>
      <x:c r="M24" s="119"/>
      <x:c r="N24" s="119"/>
      <x:c r="O24" s="119"/>
      <x:c r="P24" s="119"/>
      <x:c r="Q24" s="119"/>
      <x:c r="R24" s="119"/>
    </x:row>
    <x:row r="25"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  <x:c r="R25" s="119"/>
    </x:row>
  </x:sheetData>
  <x:mergeCells>
    <x:mergeCell ref="B2:R2"/>
    <x:mergeCell ref="B23:R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60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</x:row>
    <x:row r="2">
      <x:c r="B2" s="97" t="str">
        <x:v>Fortis KPI Forecast Assumptions</x:v>
      </x:c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  <x:c r="O2" s="97"/>
      <x:c r="P2" s="97"/>
      <x:c r="Q2" s="97"/>
      <x:c r="R2" s="97"/>
    </x:row>
    <x:row r="4">
      <x:c r="B4" s="99" t="str">
        <x:v>Metric</x:v>
      </x:c>
      <x:c r="C4" s="99" t="str">
        <x:v>FY26A</x:v>
      </x:c>
      <x:c r="D4" s="100" t="str">
        <x:v>FY27 Q1</x:v>
      </x:c>
      <x:c r="E4" s="100" t="str">
        <x:v>FY27 Q2</x:v>
      </x:c>
      <x:c r="F4" s="100" t="str">
        <x:v>FY27 Q3</x:v>
      </x:c>
      <x:c r="G4" s="100" t="str">
        <x:v>FY27 Q4</x:v>
      </x:c>
      <x:c r="H4" s="100" t="str">
        <x:v>FY28 Q1</x:v>
      </x:c>
      <x:c r="I4" s="100" t="str">
        <x:v>FY28 Q2</x:v>
      </x:c>
      <x:c r="J4" s="100" t="str">
        <x:v>FY28 Q3</x:v>
      </x:c>
      <x:c r="K4" s="100" t="str">
        <x:v>FY28 Q4</x:v>
      </x:c>
      <x:c r="L4" s="99" t="str">
        <x:v>FY29A</x:v>
      </x:c>
      <x:c r="M4" s="99" t="str">
        <x:v>FY30A</x:v>
      </x:c>
      <x:c r="N4" s="99" t="str">
        <x:v>FY31A</x:v>
      </x:c>
      <x:c r="O4" s="99" t="str">
        <x:v>FY32A</x:v>
      </x:c>
      <x:c r="P4" s="99" t="str">
        <x:v>FY33A</x:v>
      </x:c>
      <x:c r="Q4" s="99" t="str">
        <x:v>FY34A</x:v>
      </x:c>
      <x:c r="R4" s="99" t="str">
        <x:v>FY35A</x:v>
      </x:c>
    </x:row>
    <x:row r="5">
      <x:c r="B5" t="str">
        <x:v>Revenue-generating operational beds, ending (ex-O&amp;M)</x:v>
      </x:c>
      <x:c r="C5" s="106" t="n">
        <x:v>4968</x:v>
      </x:c>
      <x:c r="D5" s="106" t="n">
        <x:v>5168</x:v>
      </x:c>
      <x:c r="E5" s="106" t="n">
        <x:v>5268</x:v>
      </x:c>
      <x:c r="F5" s="106" t="n">
        <x:v>5368</x:v>
      </x:c>
      <x:c r="G5" s="106" t="n">
        <x:v>5440</x:v>
      </x:c>
      <x:c r="H5" s="106" t="n">
        <x:v>5480</x:v>
      </x:c>
      <x:c r="I5" s="106" t="n">
        <x:v>5525</x:v>
      </x:c>
      <x:c r="J5" s="106" t="n">
        <x:v>5565</x:v>
      </x:c>
      <x:c r="K5" s="106" t="n">
        <x:v>5613</x:v>
      </x:c>
      <x:c r="L5" s="106" t="n">
        <x:v>6315</x:v>
      </x:c>
      <x:c r="M5" s="106" t="n">
        <x:v>6774</x:v>
      </x:c>
      <x:c r="N5" s="106" t="n">
        <x:v>6920</x:v>
      </x:c>
      <x:c r="O5" s="106" t="n">
        <x:v>7064</x:v>
      </x:c>
      <x:c r="P5" s="106" t="n">
        <x:v>7240</x:v>
      </x:c>
      <x:c r="Q5" s="106" t="n">
        <x:v>7420</x:v>
      </x:c>
      <x:c r="R5" s="106" t="n">
        <x:v>7605</x:v>
      </x:c>
    </x:row>
    <x:row r="6">
      <x:c r="B6" t="str">
        <x:v>Occupancy</x:v>
      </x:c>
      <x:c r="C6" s="104" t="n">
        <x:v>0.68</x:v>
      </x:c>
      <x:c r="D6" s="104" t="n">
        <x:v>0.69</x:v>
      </x:c>
      <x:c r="E6" s="104" t="n">
        <x:v>0.715</x:v>
      </x:c>
      <x:c r="F6" s="104" t="n">
        <x:v>0.675</x:v>
      </x:c>
      <x:c r="G6" s="104" t="n">
        <x:v>0.695</x:v>
      </x:c>
      <x:c r="H6" s="104" t="n">
        <x:v>0.7</x:v>
      </x:c>
      <x:c r="I6" s="104" t="n">
        <x:v>0.72</x:v>
      </x:c>
      <x:c r="J6" s="104" t="n">
        <x:v>0.685</x:v>
      </x:c>
      <x:c r="K6" s="104" t="n">
        <x:v>0.7</x:v>
      </x:c>
      <x:c r="L6" s="104" t="n">
        <x:v>0.7</x:v>
      </x:c>
      <x:c r="M6" s="104" t="n">
        <x:v>0.695</x:v>
      </x:c>
      <x:c r="N6" s="104" t="n">
        <x:v>0.7</x:v>
      </x:c>
      <x:c r="O6" s="104" t="n">
        <x:v>0.705</x:v>
      </x:c>
      <x:c r="P6" s="104" t="n">
        <x:v>0.71</x:v>
      </x:c>
      <x:c r="Q6" s="104" t="n">
        <x:v>0.715</x:v>
      </x:c>
      <x:c r="R6" s="104" t="n">
        <x:v>0.72</x:v>
      </x:c>
    </x:row>
    <x:row r="7">
      <x:c r="B7" t="str">
        <x:v>ARPOB (INR Mn p.a.)</x:v>
      </x:c>
      <x:c r="C7" s="107" t="n">
        <x:v>25.1</x:v>
      </x:c>
      <x:c r="D7" s="107" t="n">
        <x:v>27.5</x:v>
      </x:c>
      <x:c r="E7" s="107" t="n">
        <x:v>26.1</x:v>
      </x:c>
      <x:c r="F7" s="107" t="n">
        <x:v>26.6</x:v>
      </x:c>
      <x:c r="G7" s="107" t="n">
        <x:v>26.6</x:v>
      </x:c>
      <x:c r="H7" s="107" t="n">
        <x:v>28.6</x:v>
      </x:c>
      <x:c r="I7" s="107" t="n">
        <x:v>27.2</x:v>
      </x:c>
      <x:c r="J7" s="107" t="n">
        <x:v>27.7</x:v>
      </x:c>
      <x:c r="K7" s="107" t="n">
        <x:v>27.7</x:v>
      </x:c>
      <x:c r="L7" s="107" t="n">
        <x:v>28.8</x:v>
      </x:c>
      <x:c r="M7" s="107" t="n">
        <x:v>29.9</x:v>
      </x:c>
      <x:c r="N7" s="107" t="n">
        <x:v>31</x:v>
      </x:c>
      <x:c r="O7" s="107" t="n">
        <x:v>32.1</x:v>
      </x:c>
      <x:c r="P7" s="107" t="n">
        <x:v>33.2</x:v>
      </x:c>
      <x:c r="Q7" s="107" t="n">
        <x:v>34.3</x:v>
      </x:c>
      <x:c r="R7" s="107" t="n">
        <x:v>35.4</x:v>
      </x:c>
    </x:row>
    <x:row r="8">
      <x:c r="B8" t="str">
        <x:v>ALOS (days)</x:v>
      </x:c>
      <x:c r="C8" s="107" t="n">
        <x:v>4.21</x:v>
      </x:c>
      <x:c r="D8" s="107" t="n">
        <x:v>4.07</x:v>
      </x:c>
      <x:c r="E8" s="107" t="n">
        <x:v>4.15</x:v>
      </x:c>
      <x:c r="F8" s="107" t="n">
        <x:v>4.25</x:v>
      </x:c>
      <x:c r="G8" s="107" t="n">
        <x:v>4.22</x:v>
      </x:c>
      <x:c r="H8" s="107" t="n">
        <x:v>4.04</x:v>
      </x:c>
      <x:c r="I8" s="107" t="n">
        <x:v>4.12</x:v>
      </x:c>
      <x:c r="J8" s="107" t="n">
        <x:v>4.22</x:v>
      </x:c>
      <x:c r="K8" s="107" t="n">
        <x:v>4.18</x:v>
      </x:c>
      <x:c r="L8" s="107" t="n">
        <x:v>4.12</x:v>
      </x:c>
      <x:c r="M8" s="107" t="n">
        <x:v>4.1</x:v>
      </x:c>
      <x:c r="N8" s="107" t="n">
        <x:v>4.08</x:v>
      </x:c>
      <x:c r="O8" s="107" t="n">
        <x:v>4.06</x:v>
      </x:c>
      <x:c r="P8" s="107" t="n">
        <x:v>4.05</x:v>
      </x:c>
      <x:c r="Q8" s="107" t="n">
        <x:v>4.04</x:v>
      </x:c>
      <x:c r="R8" s="107" t="n">
        <x:v>4.03</x:v>
      </x:c>
    </x:row>
    <x:row r="9">
      <x:c r="B9" t="str">
        <x:v>Agilus patients (mn)</x:v>
      </x:c>
      <x:c r="C9" s="107" t="n">
        <x:v>16.8</x:v>
      </x:c>
      <x:c r="D9" s="107" t="n">
        <x:v>4.4</x:v>
      </x:c>
      <x:c r="E9" s="107" t="n">
        <x:v>4.62</x:v>
      </x:c>
      <x:c r="F9" s="107" t="n">
        <x:v>4.3</x:v>
      </x:c>
      <x:c r="G9" s="107" t="n">
        <x:v>4.32</x:v>
      </x:c>
      <x:c r="H9" s="107" t="n">
        <x:v>4.62</x:v>
      </x:c>
      <x:c r="I9" s="107" t="n">
        <x:v>4.85</x:v>
      </x:c>
      <x:c r="J9" s="107" t="n">
        <x:v>4.52</x:v>
      </x:c>
      <x:c r="K9" s="107" t="n">
        <x:v>4.54</x:v>
      </x:c>
      <x:c r="L9" s="107" t="n">
        <x:v>19.45</x:v>
      </x:c>
      <x:c r="M9" s="107" t="n">
        <x:v>20.38</x:v>
      </x:c>
      <x:c r="N9" s="107" t="n">
        <x:v>21.3</x:v>
      </x:c>
      <x:c r="O9" s="107" t="n">
        <x:v>22.2</x:v>
      </x:c>
      <x:c r="P9" s="107" t="n">
        <x:v>23.09</x:v>
      </x:c>
      <x:c r="Q9" s="107" t="n">
        <x:v>24.01</x:v>
      </x:c>
      <x:c r="R9" s="107" t="n">
        <x:v>24.97</x:v>
      </x:c>
    </x:row>
    <x:row r="10">
      <x:c r="B10" t="str">
        <x:v>Agilus tests (mn)</x:v>
      </x:c>
      <x:c r="C10" s="107" t="n">
        <x:v>40.8</x:v>
      </x:c>
      <x:c r="D10" s="107" t="n">
        <x:v>10.7</x:v>
      </x:c>
      <x:c r="E10" s="107" t="n">
        <x:v>11.25</x:v>
      </x:c>
      <x:c r="F10" s="107" t="n">
        <x:v>10.5</x:v>
      </x:c>
      <x:c r="G10" s="107" t="n">
        <x:v>10.65</x:v>
      </x:c>
      <x:c r="H10" s="107" t="n">
        <x:v>11.32</x:v>
      </x:c>
      <x:c r="I10" s="107" t="n">
        <x:v>11.9</x:v>
      </x:c>
      <x:c r="J10" s="107" t="n">
        <x:v>11.11</x:v>
      </x:c>
      <x:c r="K10" s="107" t="n">
        <x:v>11.27</x:v>
      </x:c>
      <x:c r="L10" s="107" t="n">
        <x:v>48.3</x:v>
      </x:c>
      <x:c r="M10" s="107" t="n">
        <x:v>50.9</x:v>
      </x:c>
      <x:c r="N10" s="107" t="n">
        <x:v>53.5</x:v>
      </x:c>
      <x:c r="O10" s="107" t="n">
        <x:v>56</x:v>
      </x:c>
      <x:c r="P10" s="107" t="n">
        <x:v>58.5</x:v>
      </x:c>
      <x:c r="Q10" s="107" t="n">
        <x:v>61.1</x:v>
      </x:c>
      <x:c r="R10" s="107" t="n">
        <x:v>63.8</x:v>
      </x:c>
    </x:row>
    <x:row r="11">
      <x:c r="B11" t="str">
        <x:v>Agilus average revenue per patient (INR)</x:v>
      </x:c>
      <x:c r="C11" s="108" t="n">
        <x:v>900</x:v>
      </x:c>
      <x:c r="D11" s="108" t="n">
        <x:v>930</x:v>
      </x:c>
      <x:c r="E11" s="108" t="n">
        <x:v>952</x:v>
      </x:c>
      <x:c r="F11" s="108" t="n">
        <x:v>954</x:v>
      </x:c>
      <x:c r="G11" s="108" t="n">
        <x:v>972</x:v>
      </x:c>
      <x:c r="H11" s="108" t="n">
        <x:v>976</x:v>
      </x:c>
      <x:c r="I11" s="108" t="n">
        <x:v>999</x:v>
      </x:c>
      <x:c r="J11" s="108" t="n">
        <x:v>1001</x:v>
      </x:c>
      <x:c r="K11" s="108" t="n">
        <x:v>1020</x:v>
      </x:c>
      <x:c r="L11" s="108" t="n">
        <x:v>1066</x:v>
      </x:c>
      <x:c r="M11" s="108" t="n">
        <x:v>1115</x:v>
      </x:c>
      <x:c r="N11" s="108" t="n">
        <x:v>1164</x:v>
      </x:c>
      <x:c r="O11" s="108" t="n">
        <x:v>1213</x:v>
      </x:c>
      <x:c r="P11" s="108" t="n">
        <x:v>1262</x:v>
      </x:c>
      <x:c r="Q11" s="108" t="n">
        <x:v>1312</x:v>
      </x:c>
      <x:c r="R11" s="108" t="n">
        <x:v>1364</x:v>
      </x:c>
    </x:row>
    <x:row r="12">
      <x:c r="B12" t="str">
        <x:v>Hospital EBITDA margin</x:v>
      </x:c>
      <x:c r="C12" s="104" t="n">
        <x:v>0.222</x:v>
      </x:c>
      <x:c r="D12" s="104" t="n">
        <x:v>0.226</x:v>
      </x:c>
      <x:c r="E12" s="104" t="n">
        <x:v>0.234</x:v>
      </x:c>
      <x:c r="F12" s="104" t="n">
        <x:v>0.22</x:v>
      </x:c>
      <x:c r="G12" s="104" t="n">
        <x:v>0.228</x:v>
      </x:c>
      <x:c r="H12" s="104" t="n">
        <x:v>0.231</x:v>
      </x:c>
      <x:c r="I12" s="104" t="n">
        <x:v>0.239</x:v>
      </x:c>
      <x:c r="J12" s="104" t="n">
        <x:v>0.226</x:v>
      </x:c>
      <x:c r="K12" s="104" t="n">
        <x:v>0.234</x:v>
      </x:c>
      <x:c r="L12" s="104" t="n">
        <x:v>0.239</x:v>
      </x:c>
      <x:c r="M12" s="104" t="n">
        <x:v>0.243</x:v>
      </x:c>
      <x:c r="N12" s="104" t="n">
        <x:v>0.247</x:v>
      </x:c>
      <x:c r="O12" s="104" t="n">
        <x:v>0.25</x:v>
      </x:c>
      <x:c r="P12" s="104" t="n">
        <x:v>0.252</x:v>
      </x:c>
      <x:c r="Q12" s="104" t="n">
        <x:v>0.253</x:v>
      </x:c>
      <x:c r="R12" s="104" t="n">
        <x:v>0.254</x:v>
      </x:c>
    </x:row>
    <x:row r="13">
      <x:c r="B13" t="str">
        <x:v>Agilus EBITDA margin (normalised)</x:v>
      </x:c>
      <x:c r="C13" s="104" t="n">
        <x:v>0.232</x:v>
      </x:c>
      <x:c r="D13" s="104" t="n">
        <x:v>0.235</x:v>
      </x:c>
      <x:c r="E13" s="104" t="n">
        <x:v>0.25</x:v>
      </x:c>
      <x:c r="F13" s="104" t="n">
        <x:v>0.235</x:v>
      </x:c>
      <x:c r="G13" s="104" t="n">
        <x:v>0.23</x:v>
      </x:c>
      <x:c r="H13" s="104" t="n">
        <x:v>0.24</x:v>
      </x:c>
      <x:c r="I13" s="104" t="n">
        <x:v>0.254</x:v>
      </x:c>
      <x:c r="J13" s="104" t="n">
        <x:v>0.24</x:v>
      </x:c>
      <x:c r="K13" s="104" t="n">
        <x:v>0.237</x:v>
      </x:c>
      <x:c r="L13" s="104" t="n">
        <x:v>0.247</x:v>
      </x:c>
      <x:c r="M13" s="104" t="n">
        <x:v>0.25</x:v>
      </x:c>
      <x:c r="N13" s="104" t="n">
        <x:v>0.252</x:v>
      </x:c>
      <x:c r="O13" s="104" t="n">
        <x:v>0.253</x:v>
      </x:c>
      <x:c r="P13" s="104" t="n">
        <x:v>0.254</x:v>
      </x:c>
      <x:c r="Q13" s="104" t="n">
        <x:v>0.254</x:v>
      </x:c>
      <x:c r="R13" s="104" t="n">
        <x:v>0.254</x:v>
      </x:c>
    </x:row>
    <x:row r="17">
      <x:c r="B17" s="103" t="str">
        <x:v>ARPOB Growth Bridge (annual base case)</x:v>
      </x:c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 s="103"/>
      <x:c r="P17" s="103"/>
      <x:c r="Q17" s="103"/>
      <x:c r="R17" s="103"/>
    </x:row>
    <x:row r="19">
      <x:c r="B19" t="str">
        <x:v>Driver</x:v>
      </x:c>
      <x:c r="C19" t="str">
        <x:v>FY27A</x:v>
      </x:c>
      <x:c r="D19" t="str">
        <x:v>FY28A</x:v>
      </x:c>
      <x:c r="E19" t="str">
        <x:v>FY29A</x:v>
      </x:c>
      <x:c r="F19" t="str">
        <x:v>FY30A</x:v>
      </x:c>
      <x:c r="G19" t="str">
        <x:v>FY31A</x:v>
      </x:c>
      <x:c r="H19" t="str">
        <x:v>FY32A</x:v>
      </x:c>
      <x:c r="I19" t="str">
        <x:v>FY33A</x:v>
      </x:c>
      <x:c r="J19" t="str">
        <x:v>FY34A</x:v>
      </x:c>
      <x:c r="K19" t="str">
        <x:v>FY35A</x:v>
      </x:c>
      <x:c r="M19" t="str">
        <x:v>Primary source / rationale</x:v>
      </x:c>
    </x:row>
    <x:row r="20">
      <x:c r="B20" t="str">
        <x:v>Tariff / contract price</x:v>
      </x:c>
      <x:c r="C20" s="104" t="n">
        <x:v>0.02</x:v>
      </x:c>
      <x:c r="D20" s="104" t="n">
        <x:v>0.022</x:v>
      </x:c>
      <x:c r="E20" s="104" t="n">
        <x:v>0.024</x:v>
      </x:c>
      <x:c r="F20" s="104" t="n">
        <x:v>0.025</x:v>
      </x:c>
      <x:c r="G20" s="104" t="n">
        <x:v>0.025</x:v>
      </x:c>
      <x:c r="H20" s="104" t="n">
        <x:v>0.025</x:v>
      </x:c>
      <x:c r="I20" s="104" t="n">
        <x:v>0.025</x:v>
      </x:c>
      <x:c r="J20" s="104" t="n">
        <x:v>0.025</x:v>
      </x:c>
      <x:c r="K20" s="104" t="n">
        <x:v>0.025</x:v>
      </x:c>
      <x:c r="M20" s="109" t="str">
        <x:v>Bed plan</x:v>
      </x:c>
      <x:c r="N20" s="85" t="str">
        <x:v>FY26 Q4 presentation, slide 29: 4,968 beds in FY26; 6,774 by FY30; 7,064 grand total, excluding future inorganic deals.</x:v>
      </x:c>
    </x:row>
    <x:row r="21">
      <x:c r="B21" t="str">
        <x:v>Specialty and case mix</x:v>
      </x:c>
      <x:c r="C21" s="104" t="n">
        <x:v>0.015</x:v>
      </x:c>
      <x:c r="D21" s="104" t="n">
        <x:v>0.014</x:v>
      </x:c>
      <x:c r="E21" s="104" t="n">
        <x:v>0.013</x:v>
      </x:c>
      <x:c r="F21" s="104" t="n">
        <x:v>0.012</x:v>
      </x:c>
      <x:c r="G21" s="104" t="n">
        <x:v>0.011</x:v>
      </x:c>
      <x:c r="H21" s="104" t="n">
        <x:v>0.01</x:v>
      </x:c>
      <x:c r="I21" s="104" t="n">
        <x:v>0.009</x:v>
      </x:c>
      <x:c r="J21" s="104" t="n">
        <x:v>0.008</x:v>
      </x:c>
      <x:c r="K21" s="104" t="n">
        <x:v>0.008</x:v>
      </x:c>
      <x:c r="M21" s="109" t="str">
        <x:v>O&amp;M</x:v>
      </x:c>
      <x:c r="N21" s="85" t="str">
        <x:v>Gleneagles: 3% of net revenue as service fee; Greater Noida moved from O&amp;M to lease and is therefore consolidated.</x:v>
      </x:c>
    </x:row>
    <x:row r="22">
      <x:c r="B22" t="str">
        <x:v>Complex procedures / international</x:v>
      </x:c>
      <x:c r="C22" s="104" t="n">
        <x:v>0.008</x:v>
      </x:c>
      <x:c r="D22" s="104" t="n">
        <x:v>0.007</x:v>
      </x:c>
      <x:c r="E22" s="104" t="n">
        <x:v>0.006</x:v>
      </x:c>
      <x:c r="F22" s="104" t="n">
        <x:v>0.006</x:v>
      </x:c>
      <x:c r="G22" s="104" t="n">
        <x:v>0.005</x:v>
      </x:c>
      <x:c r="H22" s="104" t="n">
        <x:v>0.005</x:v>
      </x:c>
      <x:c r="I22" s="104" t="n">
        <x:v>0.004</x:v>
      </x:c>
      <x:c r="J22" s="104" t="n">
        <x:v>0.004</x:v>
      </x:c>
      <x:c r="K22" s="104" t="n">
        <x:v>0.004</x:v>
      </x:c>
      <x:c r="M22" s="109" t="str">
        <x:v>Occupancy</x:v>
      </x:c>
      <x:c r="N22" s="85" t="str">
        <x:v>FY26 quarterly actuals were 69%, 71%, 67%, 68%; forecast retains seasonality and gradual mature-asset improvement.</x:v>
      </x:c>
    </x:row>
    <x:row r="23">
      <x:c r="B23" t="str">
        <x:v>New-asset and payer-mix dilution</x:v>
      </x:c>
      <x:c r="C23" s="104" t="n">
        <x:v>-0.006</x:v>
      </x:c>
      <x:c r="D23" s="104" t="n">
        <x:v>-0.005</x:v>
      </x:c>
      <x:c r="E23" s="104" t="n">
        <x:v>-0.004</x:v>
      </x:c>
      <x:c r="F23" s="104" t="n">
        <x:v>-0.004</x:v>
      </x:c>
      <x:c r="G23" s="104" t="n">
        <x:v>-0.004</x:v>
      </x:c>
      <x:c r="H23" s="104" t="n">
        <x:v>-0.004</x:v>
      </x:c>
      <x:c r="I23" s="104" t="n">
        <x:v>-0.004</x:v>
      </x:c>
      <x:c r="J23" s="104" t="n">
        <x:v>-0.004</x:v>
      </x:c>
      <x:c r="K23" s="104" t="n">
        <x:v>-0.005</x:v>
      </x:c>
      <x:c r="M23" s="109" t="str">
        <x:v>ARPOB</x:v>
      </x:c>
      <x:c r="N23" s="85" t="str">
        <x:v>Management indicated volume-led growth and 4-5% medium-term ARPOB growth; model uses tariff + specialty mix + complex care less dilution.</x:v>
      </x:c>
    </x:row>
    <x:row r="24">
      <x:c r="B24" t="str">
        <x:v>Net ARPOB growth</x:v>
      </x:c>
      <x:c r="C24" s="105" t="n">
        <x:f>SUM(C20:C23)</x:f>
        <x:v>0.037000000000000005</x:v>
      </x:c>
      <x:c r="D24" s="105" t="n">
        <x:f>SUM(D20:D23)</x:f>
        <x:v>0.038</x:v>
      </x:c>
      <x:c r="E24" s="105" t="n">
        <x:f>SUM(E20:E23)</x:f>
        <x:v>0.03899999999999999</x:v>
      </x:c>
      <x:c r="F24" s="105" t="n">
        <x:f>SUM(F20:F23)</x:f>
        <x:v>0.03900000000000001</x:v>
      </x:c>
      <x:c r="G24" s="105" t="n">
        <x:f>SUM(G20:G23)</x:f>
        <x:v>0.037000000000000005</x:v>
      </x:c>
      <x:c r="H24" s="105" t="n">
        <x:f>SUM(H20:H23)</x:f>
        <x:v>0.036000000000000004</x:v>
      </x:c>
      <x:c r="I24" s="105" t="n">
        <x:f>SUM(I20:I23)</x:f>
        <x:v>0.034</x:v>
      </x:c>
      <x:c r="J24" s="105" t="n">
        <x:f>SUM(J20:J23)</x:f>
        <x:v>0.033</x:v>
      </x:c>
      <x:c r="K24" s="105" t="n">
        <x:f>SUM(K20:K23)</x:f>
        <x:v>0.03200000000000001</x:v>
      </x:c>
      <x:c r="M24" s="109" t="str">
        <x:v>Agilus</x:v>
      </x:c>
      <x:c r="N24" s="85" t="str">
        <x:v>FY26: 16.8mn patients, 40.8mn tests, INR900 revenue/patient; management targets double-digit revenue and 23-25% margin.</x:v>
      </x:c>
    </x:row>
    <x:row r="25">
      <x:c r="M25" s="109" t="str">
        <x:v>Margins</x:v>
      </x:c>
      <x:c r="N25" s="85" t="str">
        <x:v>Hospital margin expansion is moderated for new-asset dilution; Agilus forecast uses normalised FY26 margin of 23.2%, not reported 23.6%.</x:v>
      </x:c>
    </x:row>
    <x:row r="27">
      <x:c r="B27" s="103" t="str">
        <x:v>Bed Build: Base-case phasing and modelling treatment</x:v>
      </x:c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3"/>
      <x:c r="P27" s="103"/>
      <x:c r="Q27" s="103"/>
      <x:c r="R27" s="103"/>
    </x:row>
    <x:row r="29">
      <x:c r="B29" s="109" t="str">
        <x:v>FY26 base</x:v>
      </x:c>
      <x:c r="C29" s="85" t="str">
        <x:v>4,968 revenue-generating operational beds, excluding 1,184 O&amp;M beds.</x:v>
      </x:c>
    </x:row>
    <x:row r="30">
      <x:c r="B30" s="109" t="str">
        <x:v>FY27</x:v>
      </x:c>
      <x:c r="C30" s="85" t="str">
        <x:v>472 planned additions; model phases 200 beds in Q1 for FMRI and the balance through Q2-Q4.</x:v>
      </x:c>
    </x:row>
    <x:row r="31">
      <x:c r="B31" s="109" t="str">
        <x:v>FY28</x:v>
      </x:c>
      <x:c r="C31" s="85" t="str">
        <x:v>173 planned additions, phased relatively evenly because project-level commissioning dates are not fully disclosed.</x:v>
      </x:c>
    </x:row>
    <x:row r="32">
      <x:c r="B32" s="109" t="str">
        <x:v>FY29-FY30</x:v>
      </x:c>
      <x:c r="C32" s="85" t="str">
        <x:v>Uses management's disclosed capacity plan and reconciles to 6,774 revenue-generating beds by FY30.</x:v>
      </x:c>
    </x:row>
    <x:row r="33">
      <x:c r="B33" s="109" t="str">
        <x:v>FY31-FY32</x:v>
      </x:c>
      <x:c r="C33" s="85" t="str">
        <x:v>Spreads the disclosed 'FY31 and beyond' pipeline to reach 7,064 beds; excludes unannounced M&amp;A.</x:v>
      </x:c>
    </x:row>
    <x:row r="34">
      <x:c r="B34" s="109" t="str">
        <x:v>FY33-FY35</x:v>
      </x:c>
      <x:c r="C34" s="85" t="str">
        <x:v>Assumes 2.5% annual capacity growth from ordinary brownfield additions; no large acquisitions included.</x:v>
      </x:c>
    </x:row>
    <x:row r="35">
      <x:c r="B35" s="109" t="str">
        <x:v>O&amp;M treatment</x:v>
      </x:c>
      <x:c r="C35" s="85" t="str">
        <x:v>O&amp;M beds are excluded from this bed line and hospital revenue model; only management-fee revenue is recognised.</x:v>
      </x:c>
    </x:row>
  </x:sheetData>
  <x:mergeCells>
    <x:mergeCell ref="B2:R2"/>
    <x:mergeCell ref="B17:R17"/>
    <x:mergeCell ref="B27:R27"/>
    <x:mergeCell ref="M19:R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2">
      <x:c r="B2" s="127" t="str">
        <x:v>Fortis Consolidated Debt Schedule</x:v>
      </x:c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4">
      <x:c r="B4" s="129" t="str">
        <x:v>INR crore</x:v>
      </x:c>
      <x:c r="C4" s="130" t="str">
        <x:v>FY26A</x:v>
      </x:c>
      <x:c r="D4" s="130" t="str">
        <x:v>FY27E</x:v>
      </x:c>
      <x:c r="E4" s="130" t="str">
        <x:v>FY28E</x:v>
      </x:c>
      <x:c r="F4" s="130" t="str">
        <x:v>FY29E</x:v>
      </x:c>
      <x:c r="G4" s="130" t="str">
        <x:v>FY30E</x:v>
      </x:c>
      <x:c r="H4" s="130" t="str">
        <x:v>FY31E</x:v>
      </x:c>
      <x:c r="I4" s="130" t="str">
        <x:v>FY32E</x:v>
      </x:c>
      <x:c r="J4" s="130" t="str">
        <x:v>FY33E</x:v>
      </x:c>
      <x:c r="K4" s="130" t="str">
        <x:v>FY34E</x:v>
      </x:c>
      <x:c r="L4" s="130" t="str">
        <x:v>FY35E</x:v>
      </x:c>
    </x:row>
    <x:row r="5">
      <x:c r="D5"/>
      <x:c r="E5"/>
      <x:c r="F5"/>
      <x:c r="G5"/>
      <x:c r="H5"/>
      <x:c r="I5"/>
      <x:c r="J5"/>
      <x:c r="K5"/>
      <x:c r="L5"/>
    </x:row>
    <x:row r="6">
      <x:c r="B6" s="141" t="str">
        <x:v>End long-term debt</x:v>
      </x:c>
      <x:c r="C6" s="149" t="n">
        <x:f>C49</x:f>
        <x:v>2401.16</x:v>
      </x:c>
      <x:c r="D6" s="142" t="n">
        <x:f>D49</x:f>
        <x:v>1828.6300000000003</x:v>
      </x:c>
      <x:c r="E6" s="142" t="n">
        <x:f>E49</x:f>
        <x:v>1185.2600000000002</x:v>
      </x:c>
      <x:c r="F6" s="142" t="n">
        <x:f>F49</x:f>
        <x:v>312.7800000000002</x:v>
      </x:c>
      <x:c r="G6" s="142" t="n">
        <x:f>G49</x:f>
        <x:v>50.61000000000007</x:v>
      </x:c>
      <x:c r="H6" s="142" t="n">
        <x:f>H49</x:f>
        <x:v>10.120000000000068</x:v>
      </x:c>
      <x:c r="I6" s="142" t="n">
        <x:f>I49</x:f>
        <x:v>6.927791673660977e-14</x:v>
      </x:c>
      <x:c r="J6" s="142" t="n">
        <x:f>J49</x:f>
        <x:v>6.927791673660977e-14</x:v>
      </x:c>
      <x:c r="K6" s="142" t="n">
        <x:f>K49</x:f>
        <x:v>6.927791673660977e-14</x:v>
      </x:c>
      <x:c r="L6" s="142" t="n">
        <x:f>L49</x:f>
        <x:v>6.927791673660977e-14</x:v>
      </x:c>
    </x:row>
    <x:row r="7">
      <x:c r="B7" s="141" t="str">
        <x:v>End short-term debt</x:v>
      </x:c>
      <x:c r="C7" s="149" t="n">
        <x:f>C51</x:f>
        <x:v>471.49</x:v>
      </x:c>
      <x:c r="D7" s="142" t="n">
        <x:f>D51</x:f>
        <x:v>653.99</x:v>
      </x:c>
      <x:c r="E7" s="142" t="n">
        <x:f>E51</x:f>
        <x:v>724.83</x:v>
      </x:c>
      <x:c r="F7" s="142" t="n">
        <x:f>F51</x:f>
        <x:v>953.94</x:v>
      </x:c>
      <x:c r="G7" s="142" t="n">
        <x:f>G51</x:f>
        <x:v>343.63</x:v>
      </x:c>
      <x:c r="H7" s="142" t="n">
        <x:f>H51</x:f>
        <x:v>121.94999999999999</x:v>
      </x:c>
      <x:c r="I7" s="142" t="n">
        <x:f>I51</x:f>
        <x:v>91.58</x:v>
      </x:c>
      <x:c r="J7" s="142" t="n">
        <x:f>J51</x:f>
        <x:v>81.46</x:v>
      </x:c>
      <x:c r="K7" s="142" t="n">
        <x:f>K51</x:f>
        <x:v>81.46</x:v>
      </x:c>
      <x:c r="L7" s="142" t="n">
        <x:f>L51</x:f>
        <x:v>81.46</x:v>
      </x:c>
    </x:row>
    <x:row r="8">
      <x:c r="B8" s="150" t="str">
        <x:v>End gross borrowings</x:v>
      </x:c>
      <x:c r="C8" s="151" t="n">
        <x:f>C52</x:f>
        <x:v>2872.65</x:v>
      </x:c>
      <x:c r="D8" s="152" t="n">
        <x:f>D52</x:f>
        <x:v>2482.6200000000003</x:v>
      </x:c>
      <x:c r="E8" s="152" t="n">
        <x:f>E52</x:f>
        <x:v>1910.0900000000001</x:v>
      </x:c>
      <x:c r="F8" s="152" t="n">
        <x:f>F52</x:f>
        <x:v>1266.7200000000003</x:v>
      </x:c>
      <x:c r="G8" s="152" t="n">
        <x:f>G52</x:f>
        <x:v>394.24000000000007</x:v>
      </x:c>
      <x:c r="H8" s="152" t="n">
        <x:f>H52</x:f>
        <x:v>132.07000000000005</x:v>
      </x:c>
      <x:c r="I8" s="152" t="n">
        <x:f>I52</x:f>
        <x:v>91.58000000000007</x:v>
      </x:c>
      <x:c r="J8" s="152" t="n">
        <x:f>J52</x:f>
        <x:v>81.46000000000006</x:v>
      </x:c>
      <x:c r="K8" s="152" t="n">
        <x:f>K52</x:f>
        <x:v>81.46000000000006</x:v>
      </x:c>
      <x:c r="L8" s="152" t="n">
        <x:f>L52</x:f>
        <x:v>81.46000000000006</x:v>
      </x:c>
    </x:row>
    <x:row r="9">
      <x:c r="B9" s="141" t="str">
        <x:v>Cash interest on borrowings</x:v>
      </x:c>
      <x:c r="C9" s="149" t="n">
        <x:f>C54</x:f>
        <x:v>229.53</x:v>
      </x:c>
      <x:c r="D9" s="142" t="n">
        <x:f>D54</x:f>
        <x:v>225.23898999999997</x:v>
      </x:c>
      <x:c r="E9" s="142" t="n">
        <x:f>E54</x:f>
        <x:v>180.62733500000002</x:v>
      </x:c>
      <x:c r="F9" s="142" t="n">
        <x:f>F54</x:f>
        <x:v>127.489205</x:v>
      </x:c>
      <x:c r="G9" s="142" t="n">
        <x:f>G54</x:f>
        <x:v>63.800805000000004</x:v>
      </x:c>
      <x:c r="H9" s="142" t="n">
        <x:f>H54</x:f>
        <x:v>18.909610000000008</x:v>
      </x:c>
      <x:c r="I9" s="142" t="n">
        <x:f>I54</x:f>
        <x:v>8.235050000000005</x:v>
      </x:c>
      <x:c r="J9" s="142" t="n">
        <x:f>J54</x:f>
        <x:v>6.463700000000005</x:v>
      </x:c>
      <x:c r="K9" s="142" t="n">
        <x:f>K54</x:f>
        <x:v>6.109500000000004</x:v>
      </x:c>
      <x:c r="L9" s="142" t="n">
        <x:f>L54</x:f>
        <x:v>6.109500000000004</x:v>
      </x:c>
    </x:row>
    <x:row r="10">
      <x:c r="B10" s="150" t="str">
        <x:v>Total P&amp;L finance cost</x:v>
      </x:c>
      <x:c r="C10" s="151" t="n">
        <x:f>C58</x:f>
        <x:v>314.47</x:v>
      </x:c>
      <x:c r="D10" s="152" t="n">
        <x:f>D58</x:f>
        <x:v>308.23898999999994</x:v>
      </x:c>
      <x:c r="E10" s="152" t="n">
        <x:f>E58</x:f>
        <x:v>261.627335</x:v>
      </x:c>
      <x:c r="F10" s="152" t="n">
        <x:f>F58</x:f>
        <x:v>206.489205</x:v>
      </x:c>
      <x:c r="G10" s="152" t="n">
        <x:f>G58</x:f>
        <x:v>139.800805</x:v>
      </x:c>
      <x:c r="H10" s="152" t="n">
        <x:f>H58</x:f>
        <x:v>94.90961000000001</x:v>
      </x:c>
      <x:c r="I10" s="152" t="n">
        <x:f>I58</x:f>
        <x:v>86.23505</x:v>
      </x:c>
      <x:c r="J10" s="152" t="n">
        <x:f>J58</x:f>
        <x:v>86.4637</x:v>
      </x:c>
      <x:c r="K10" s="152" t="n">
        <x:f>K58</x:f>
        <x:v>88.1095</x:v>
      </x:c>
      <x:c r="L10" s="152" t="n">
        <x:f>L58</x:f>
        <x:v>90.1095</x:v>
      </x:c>
    </x:row>
    <x:row r="11"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</x:row>
    <x:row r="12"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</x:row>
    <x:row r="13">
      <x:c r="B13" s="132" t="str">
        <x:v>Term Loans</x:v>
      </x:c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</x:row>
    <x:row r="14">
      <x:c r="B14" t="str">
        <x:v>Opening balance</x:v>
      </x:c>
      <x:c r="C14" s="136"/>
      <x:c r="D14" s="144" t="n">
        <x:f>C17</x:f>
        <x:v>1229.99</x:v>
      </x:c>
      <x:c r="E14" s="144" t="n">
        <x:f>D17</x:f>
        <x:v>1076.89</x:v>
      </x:c>
      <x:c r="F14" s="144" t="n">
        <x:f>E17</x:f>
        <x:v>817.3600000000001</x:v>
      </x:c>
      <x:c r="G14" s="144" t="n">
        <x:f>F17</x:f>
        <x:v>563.4900000000001</x:v>
      </x:c>
      <x:c r="H14" s="144" t="n">
        <x:f>G17</x:f>
        <x:v>312.7800000000001</x:v>
      </x:c>
      <x:c r="I14" s="144" t="n">
        <x:f>H17</x:f>
        <x:v>50.61000000000007</x:v>
      </x:c>
      <x:c r="J14" s="144" t="n">
        <x:f>I17</x:f>
        <x:v>10.120000000000068</x:v>
      </x:c>
      <x:c r="K14" s="144" t="n">
        <x:f>J17</x:f>
        <x:v>6.927791673660977e-14</x:v>
      </x:c>
      <x:c r="L14" s="144" t="n">
        <x:f>K17</x:f>
        <x:v>6.927791673660977e-14</x:v>
      </x:c>
    </x:row>
    <x:row r="15">
      <x:c r="B15" t="str">
        <x:v>New drawdown</x:v>
      </x:c>
      <x:c r="C15" s="136"/>
      <x:c r="D15" s="147" t="n">
        <x:f>'Debt Assumptions'!D20</x:f>
        <x:v>0</x:v>
      </x:c>
      <x:c r="E15" s="147" t="n">
        <x:f>'Debt Assumptions'!E20</x:f>
        <x:v>0</x:v>
      </x:c>
      <x:c r="F15" s="147" t="n">
        <x:f>'Debt Assumptions'!F20</x:f>
        <x:v>0</x:v>
      </x:c>
      <x:c r="G15" s="147" t="n">
        <x:f>'Debt Assumptions'!G20</x:f>
        <x:v>0</x:v>
      </x:c>
      <x:c r="H15" s="147" t="n">
        <x:f>'Debt Assumptions'!H20</x:f>
        <x:v>0</x:v>
      </x:c>
      <x:c r="I15" s="147" t="n">
        <x:f>'Debt Assumptions'!I20</x:f>
        <x:v>0</x:v>
      </x:c>
      <x:c r="J15" s="147" t="n">
        <x:f>'Debt Assumptions'!J20</x:f>
        <x:v>0</x:v>
      </x:c>
      <x:c r="K15" s="147" t="n">
        <x:f>'Debt Assumptions'!K20</x:f>
        <x:v>0</x:v>
      </x:c>
      <x:c r="L15" s="147" t="n">
        <x:f>'Debt Assumptions'!L20</x:f>
        <x:v>0</x:v>
      </x:c>
    </x:row>
    <x:row r="16">
      <x:c r="B16" t="str">
        <x:v>Principal repayment</x:v>
      </x:c>
      <x:c r="C16" s="136"/>
      <x:c r="D16" s="147" t="n">
        <x:f>'Debt Assumptions'!D14</x:f>
        <x:v>153.1</x:v>
      </x:c>
      <x:c r="E16" s="147" t="n">
        <x:f>'Debt Assumptions'!E14</x:f>
        <x:v>259.53</x:v>
      </x:c>
      <x:c r="F16" s="147" t="n">
        <x:f>'Debt Assumptions'!F14</x:f>
        <x:v>253.87</x:v>
      </x:c>
      <x:c r="G16" s="147" t="n">
        <x:f>'Debt Assumptions'!G14</x:f>
        <x:v>250.71</x:v>
      </x:c>
      <x:c r="H16" s="147" t="n">
        <x:f>'Debt Assumptions'!H14</x:f>
        <x:v>262.17</x:v>
      </x:c>
      <x:c r="I16" s="147" t="n">
        <x:f>'Debt Assumptions'!I14</x:f>
        <x:v>40.49</x:v>
      </x:c>
      <x:c r="J16" s="147" t="n">
        <x:f>'Debt Assumptions'!J14</x:f>
        <x:v>10.12</x:v>
      </x:c>
      <x:c r="K16" s="147" t="n">
        <x:f>'Debt Assumptions'!K14</x:f>
        <x:v>0</x:v>
      </x:c>
      <x:c r="L16" s="147" t="n">
        <x:f>'Debt Assumptions'!L14</x:f>
        <x:v>0</x:v>
      </x:c>
    </x:row>
    <x:row r="17">
      <x:c r="B17" s="120" t="str">
        <x:v>Closing balance</x:v>
      </x:c>
      <x:c r="C17" s="153" t="n">
        <x:v>1229.99</x:v>
      </x:c>
      <x:c r="D17" s="154" t="n">
        <x:f>MAX(0,D14+D15-D16)</x:f>
        <x:v>1076.89</x:v>
      </x:c>
      <x:c r="E17" s="154" t="n">
        <x:f>MAX(0,E14+E15-E16)</x:f>
        <x:v>817.3600000000001</x:v>
      </x:c>
      <x:c r="F17" s="154" t="n">
        <x:f>MAX(0,F14+F15-F16)</x:f>
        <x:v>563.4900000000001</x:v>
      </x:c>
      <x:c r="G17" s="154" t="n">
        <x:f>MAX(0,G14+G15-G16)</x:f>
        <x:v>312.7800000000001</x:v>
      </x:c>
      <x:c r="H17" s="154" t="n">
        <x:f>MAX(0,H14+H15-H16)</x:f>
        <x:v>50.61000000000007</x:v>
      </x:c>
      <x:c r="I17" s="154" t="n">
        <x:f>MAX(0,I14+I15-I16)</x:f>
        <x:v>10.120000000000068</x:v>
      </x:c>
      <x:c r="J17" s="154" t="n">
        <x:f>MAX(0,J14+J15-J16)</x:f>
        <x:v>6.927791673660977e-14</x:v>
      </x:c>
      <x:c r="K17" s="154" t="n">
        <x:f>MAX(0,K14+K15-K16)</x:f>
        <x:v>6.927791673660977e-14</x:v>
      </x:c>
      <x:c r="L17" s="154" t="n">
        <x:f>MAX(0,L14+L15-L16)</x:f>
        <x:v>6.927791673660977e-14</x:v>
      </x:c>
    </x:row>
    <x:row r="18">
      <x:c r="B18" t="str">
        <x:v>Interest rate</x:v>
      </x:c>
      <x:c r="C18" s="139"/>
      <x:c r="D18" s="148" t="n">
        <x:f>'Debt Assumptions'!D27</x:f>
        <x:v>0.074</x:v>
      </x:c>
      <x:c r="E18" s="148" t="n">
        <x:f>'Debt Assumptions'!E27</x:f>
        <x:v>0.073</x:v>
      </x:c>
      <x:c r="F18" s="148" t="n">
        <x:f>'Debt Assumptions'!F27</x:f>
        <x:v>0.072</x:v>
      </x:c>
      <x:c r="G18" s="148" t="n">
        <x:f>'Debt Assumptions'!G27</x:f>
        <x:v>0.071</x:v>
      </x:c>
      <x:c r="H18" s="148" t="n">
        <x:f>'Debt Assumptions'!H27</x:f>
        <x:v>0.07</x:v>
      </x:c>
      <x:c r="I18" s="148" t="n">
        <x:f>'Debt Assumptions'!I27</x:f>
        <x:v>0.07</x:v>
      </x:c>
      <x:c r="J18" s="148" t="n">
        <x:f>'Debt Assumptions'!J27</x:f>
        <x:v>0.07</x:v>
      </x:c>
      <x:c r="K18" s="148" t="n">
        <x:f>'Debt Assumptions'!K27</x:f>
        <x:v>0.07</x:v>
      </x:c>
      <x:c r="L18" s="148" t="n">
        <x:f>'Debt Assumptions'!L27</x:f>
        <x:v>0.07</x:v>
      </x:c>
    </x:row>
    <x:row r="19">
      <x:c r="B19" s="120" t="str">
        <x:v>Interest expense</x:v>
      </x:c>
      <x:c r="C19" s="153" t="n">
        <x:v>74.01</x:v>
      </x:c>
      <x:c r="D19" s="154" t="n">
        <x:f>AVERAGE(D14,D17)*D18</x:f>
        <x:v>85.35456</x:v>
      </x:c>
      <x:c r="E19" s="154" t="n">
        <x:f>AVERAGE(E14,E17)*E18</x:f>
        <x:v>69.140125</x:v>
      </x:c>
      <x:c r="F19" s="154" t="n">
        <x:f>AVERAGE(F14,F17)*F18</x:f>
        <x:v>49.71060000000001</x:v>
      </x:c>
      <x:c r="G19" s="154" t="n">
        <x:f>AVERAGE(G14,G17)*G18</x:f>
        <x:v>31.107585000000004</x:v>
      </x:c>
      <x:c r="H19" s="154" t="n">
        <x:f>AVERAGE(H14,H17)*H18</x:f>
        <x:v>12.718650000000007</x:v>
      </x:c>
      <x:c r="I19" s="154" t="n">
        <x:f>AVERAGE(I14,I17)*I18</x:f>
        <x:v>2.125550000000005</x:v>
      </x:c>
      <x:c r="J19" s="154" t="n">
        <x:f>AVERAGE(J14,J17)*J18</x:f>
        <x:v>0.35420000000000484</x:v>
      </x:c>
      <x:c r="K19" s="154" t="n">
        <x:f>AVERAGE(K14,K17)*K18</x:f>
        <x:v>4.8494541715626845e-15</x:v>
      </x:c>
      <x:c r="L19" s="154" t="n">
        <x:f>AVERAGE(L14,L17)*L18</x:f>
        <x:v>4.8494541715626845e-15</x:v>
      </x:c>
    </x:row>
    <x:row r="20">
      <x:c r="C20" s="136"/>
      <x:c r="D20" s="144"/>
      <x:c r="E20" s="144"/>
      <x:c r="F20" s="144"/>
      <x:c r="G20" s="144"/>
      <x:c r="H20" s="144"/>
      <x:c r="I20" s="144"/>
      <x:c r="J20" s="144"/>
      <x:c r="K20" s="144"/>
      <x:c r="L20" s="144"/>
    </x:row>
    <x:row r="21">
      <x:c r="C21" s="136"/>
      <x:c r="D21" s="144"/>
      <x:c r="E21" s="144"/>
      <x:c r="F21" s="144"/>
      <x:c r="G21" s="144"/>
      <x:c r="H21" s="144"/>
      <x:c r="I21" s="144"/>
      <x:c r="J21" s="144"/>
      <x:c r="K21" s="144"/>
      <x:c r="L21" s="144"/>
    </x:row>
    <x:row r="22">
      <x:c r="B22" s="132" t="str">
        <x:v>Non-Convertible Debentures</x:v>
      </x:c>
      <x:c r="C22" s="137"/>
      <x:c r="D22" s="146"/>
      <x:c r="E22" s="146"/>
      <x:c r="F22" s="146"/>
      <x:c r="G22" s="146"/>
      <x:c r="H22" s="146"/>
      <x:c r="I22" s="146"/>
      <x:c r="J22" s="146"/>
      <x:c r="K22" s="146"/>
      <x:c r="L22" s="146"/>
    </x:row>
    <x:row r="23">
      <x:c r="B23" t="str">
        <x:v>Opening balance</x:v>
      </x:c>
      <x:c r="C23" s="136"/>
      <x:c r="D23" s="144" t="n">
        <x:f>C26</x:f>
        <x:v>1550</x:v>
      </x:c>
      <x:c r="E23" s="144" t="n">
        <x:f>D26</x:f>
        <x:v>1317.5</x:v>
      </x:c>
      <x:c r="F23" s="144" t="n">
        <x:f>E26</x:f>
        <x:v>1007.5</x:v>
      </x:c>
      <x:c r="G23" s="144" t="n">
        <x:f>F26</x:f>
        <x:v>620</x:v>
      </x:c>
      <x:c r="H23" s="144" t="n">
        <x:f>G26</x:f>
        <x:v>0</x:v>
      </x:c>
      <x:c r="I23" s="144" t="n">
        <x:f>H26</x:f>
        <x:v>0</x:v>
      </x:c>
      <x:c r="J23" s="144" t="n">
        <x:f>I26</x:f>
        <x:v>0</x:v>
      </x:c>
      <x:c r="K23" s="144" t="n">
        <x:f>J26</x:f>
        <x:v>0</x:v>
      </x:c>
      <x:c r="L23" s="144" t="n">
        <x:f>K26</x:f>
        <x:v>0</x:v>
      </x:c>
    </x:row>
    <x:row r="24">
      <x:c r="B24" t="str">
        <x:v>New drawdown</x:v>
      </x:c>
      <x:c r="C24" s="136"/>
      <x:c r="D24" s="147" t="n">
        <x:f>'Debt Assumptions'!D21</x:f>
        <x:v>0</x:v>
      </x:c>
      <x:c r="E24" s="147" t="n">
        <x:f>'Debt Assumptions'!E21</x:f>
        <x:v>0</x:v>
      </x:c>
      <x:c r="F24" s="147" t="n">
        <x:f>'Debt Assumptions'!F21</x:f>
        <x:v>0</x:v>
      </x:c>
      <x:c r="G24" s="147" t="n">
        <x:f>'Debt Assumptions'!G21</x:f>
        <x:v>0</x:v>
      </x:c>
      <x:c r="H24" s="147" t="n">
        <x:f>'Debt Assumptions'!H21</x:f>
        <x:v>0</x:v>
      </x:c>
      <x:c r="I24" s="147" t="n">
        <x:f>'Debt Assumptions'!I21</x:f>
        <x:v>0</x:v>
      </x:c>
      <x:c r="J24" s="147" t="n">
        <x:f>'Debt Assumptions'!J21</x:f>
        <x:v>0</x:v>
      </x:c>
      <x:c r="K24" s="147" t="n">
        <x:f>'Debt Assumptions'!K21</x:f>
        <x:v>0</x:v>
      </x:c>
      <x:c r="L24" s="147" t="n">
        <x:f>'Debt Assumptions'!L21</x:f>
        <x:v>0</x:v>
      </x:c>
    </x:row>
    <x:row r="25">
      <x:c r="B25" t="str">
        <x:v>Principal repayment</x:v>
      </x:c>
      <x:c r="C25" s="136"/>
      <x:c r="D25" s="147" t="n">
        <x:f>'Debt Assumptions'!D15</x:f>
        <x:v>232.5</x:v>
      </x:c>
      <x:c r="E25" s="147" t="n">
        <x:f>'Debt Assumptions'!E15</x:f>
        <x:v>310</x:v>
      </x:c>
      <x:c r="F25" s="147" t="n">
        <x:f>'Debt Assumptions'!F15</x:f>
        <x:v>387.5</x:v>
      </x:c>
      <x:c r="G25" s="147" t="n">
        <x:f>'Debt Assumptions'!G15</x:f>
        <x:v>620</x:v>
      </x:c>
      <x:c r="H25" s="147" t="n">
        <x:f>'Debt Assumptions'!H15</x:f>
        <x:v>0</x:v>
      </x:c>
      <x:c r="I25" s="147" t="n">
        <x:f>'Debt Assumptions'!I15</x:f>
        <x:v>0</x:v>
      </x:c>
      <x:c r="J25" s="147" t="n">
        <x:f>'Debt Assumptions'!J15</x:f>
        <x:v>0</x:v>
      </x:c>
      <x:c r="K25" s="147" t="n">
        <x:f>'Debt Assumptions'!K15</x:f>
        <x:v>0</x:v>
      </x:c>
      <x:c r="L25" s="147" t="n">
        <x:f>'Debt Assumptions'!L15</x:f>
        <x:v>0</x:v>
      </x:c>
    </x:row>
    <x:row r="26">
      <x:c r="B26" s="120" t="str">
        <x:v>Closing balance</x:v>
      </x:c>
      <x:c r="C26" s="153" t="n">
        <x:v>1550</x:v>
      </x:c>
      <x:c r="D26" s="154" t="n">
        <x:f>MAX(0,D23+D24-D25)</x:f>
        <x:v>1317.5</x:v>
      </x:c>
      <x:c r="E26" s="154" t="n">
        <x:f>MAX(0,E23+E24-E25)</x:f>
        <x:v>1007.5</x:v>
      </x:c>
      <x:c r="F26" s="154" t="n">
        <x:f>MAX(0,F23+F24-F25)</x:f>
        <x:v>620</x:v>
      </x:c>
      <x:c r="G26" s="154" t="n">
        <x:f>MAX(0,G23+G24-G25)</x:f>
        <x:v>0</x:v>
      </x:c>
      <x:c r="H26" s="154" t="n">
        <x:f>MAX(0,H23+H24-H25)</x:f>
        <x:v>0</x:v>
      </x:c>
      <x:c r="I26" s="154" t="n">
        <x:f>MAX(0,I23+I24-I25)</x:f>
        <x:v>0</x:v>
      </x:c>
      <x:c r="J26" s="154" t="n">
        <x:f>MAX(0,J23+J24-J25)</x:f>
        <x:v>0</x:v>
      </x:c>
      <x:c r="K26" s="154" t="n">
        <x:f>MAX(0,K23+K24-K25)</x:f>
        <x:v>0</x:v>
      </x:c>
      <x:c r="L26" s="154" t="n">
        <x:f>MAX(0,L23+L24-L25)</x:f>
        <x:v>0</x:v>
      </x:c>
    </x:row>
    <x:row r="27">
      <x:c r="B27" t="str">
        <x:v>Interest rate</x:v>
      </x:c>
      <x:c r="C27" s="139"/>
      <x:c r="D27" s="148" t="n">
        <x:f>'Debt Assumptions'!D28</x:f>
        <x:v>0.0925</x:v>
      </x:c>
      <x:c r="E27" s="148" t="n">
        <x:f>'Debt Assumptions'!E28</x:f>
        <x:v>0.09</x:v>
      </x:c>
      <x:c r="F27" s="148" t="n">
        <x:f>'Debt Assumptions'!F28</x:f>
        <x:v>0.0875</x:v>
      </x:c>
      <x:c r="G27" s="148" t="n">
        <x:f>'Debt Assumptions'!G28</x:f>
        <x:v>0.085</x:v>
      </x:c>
      <x:c r="H27" s="148" t="n">
        <x:f>'Debt Assumptions'!H28</x:f>
        <x:v>0</x:v>
      </x:c>
      <x:c r="I27" s="148" t="n">
        <x:f>'Debt Assumptions'!I28</x:f>
        <x:v>0</x:v>
      </x:c>
      <x:c r="J27" s="148" t="n">
        <x:f>'Debt Assumptions'!J28</x:f>
        <x:v>0</x:v>
      </x:c>
      <x:c r="K27" s="148" t="n">
        <x:f>'Debt Assumptions'!K28</x:f>
        <x:v>0</x:v>
      </x:c>
      <x:c r="L27" s="148" t="n">
        <x:f>'Debt Assumptions'!L28</x:f>
        <x:v>0</x:v>
      </x:c>
    </x:row>
    <x:row r="28">
      <x:c r="B28" s="120" t="str">
        <x:v>Interest expense</x:v>
      </x:c>
      <x:c r="C28" s="153" t="n">
        <x:v>144.64</x:v>
      </x:c>
      <x:c r="D28" s="154" t="n">
        <x:f>AVERAGE(D23,D26)*D27</x:f>
        <x:v>132.621875</x:v>
      </x:c>
      <x:c r="E28" s="154" t="n">
        <x:f>AVERAGE(E23,E26)*E27</x:f>
        <x:v>104.625</x:v>
      </x:c>
      <x:c r="F28" s="154" t="n">
        <x:f>AVERAGE(F23,F26)*F27</x:f>
        <x:v>71.203125</x:v>
      </x:c>
      <x:c r="G28" s="154" t="n">
        <x:f>AVERAGE(G23,G26)*G27</x:f>
        <x:v>26.35</x:v>
      </x:c>
      <x:c r="H28" s="154" t="n">
        <x:f>AVERAGE(H23,H26)*H27</x:f>
        <x:v>0</x:v>
      </x:c>
      <x:c r="I28" s="154" t="n">
        <x:f>AVERAGE(I23,I26)*I27</x:f>
        <x:v>0</x:v>
      </x:c>
      <x:c r="J28" s="154" t="n">
        <x:f>AVERAGE(J23,J26)*J27</x:f>
        <x:v>0</x:v>
      </x:c>
      <x:c r="K28" s="154" t="n">
        <x:f>AVERAGE(K23,K26)*K27</x:f>
        <x:v>0</x:v>
      </x:c>
      <x:c r="L28" s="154" t="n">
        <x:f>AVERAGE(L23,L26)*L27</x:f>
        <x:v>0</x:v>
      </x:c>
    </x:row>
    <x:row r="29">
      <x:c r="C29" s="136"/>
      <x:c r="D29" s="144"/>
      <x:c r="E29" s="144"/>
      <x:c r="F29" s="144"/>
      <x:c r="G29" s="144"/>
      <x:c r="H29" s="144"/>
      <x:c r="I29" s="144"/>
      <x:c r="J29" s="144"/>
      <x:c r="K29" s="144"/>
      <x:c r="L29" s="144"/>
    </x:row>
    <x:row r="30">
      <x:c r="C30" s="136"/>
      <x:c r="D30" s="144"/>
      <x:c r="E30" s="144"/>
      <x:c r="F30" s="144"/>
      <x:c r="G30" s="144"/>
      <x:c r="H30" s="144"/>
      <x:c r="I30" s="144"/>
      <x:c r="J30" s="144"/>
      <x:c r="K30" s="144"/>
      <x:c r="L30" s="144"/>
    </x:row>
    <x:row r="31">
      <x:c r="B31" s="132" t="str">
        <x:v>Vehicle / Other Fixed Debt</x:v>
      </x:c>
      <x:c r="C31" s="137"/>
      <x:c r="D31" s="146"/>
      <x:c r="E31" s="146"/>
      <x:c r="F31" s="146"/>
      <x:c r="G31" s="146"/>
      <x:c r="H31" s="146"/>
      <x:c r="I31" s="146"/>
      <x:c r="J31" s="146"/>
      <x:c r="K31" s="146"/>
      <x:c r="L31" s="146"/>
    </x:row>
    <x:row r="32">
      <x:c r="B32" t="str">
        <x:v>Opening balance</x:v>
      </x:c>
      <x:c r="C32" s="136"/>
      <x:c r="D32" s="144" t="n">
        <x:f>C35</x:f>
        <x:v>11.2</x:v>
      </x:c>
      <x:c r="E32" s="144" t="n">
        <x:f>D35</x:f>
        <x:v>6.77</x:v>
      </x:c>
      <x:c r="F32" s="144" t="n">
        <x:f>E35</x:f>
        <x:v>3.7699999999999996</x:v>
      </x:c>
      <x:c r="G32" s="144" t="n">
        <x:f>F35</x:f>
        <x:v>1.7699999999999996</x:v>
      </x:c>
      <x:c r="H32" s="144" t="n">
        <x:f>G35</x:f>
        <x:v>0</x:v>
      </x:c>
      <x:c r="I32" s="144" t="n">
        <x:f>H35</x:f>
        <x:v>0</x:v>
      </x:c>
      <x:c r="J32" s="144" t="n">
        <x:f>I35</x:f>
        <x:v>0</x:v>
      </x:c>
      <x:c r="K32" s="144" t="n">
        <x:f>J35</x:f>
        <x:v>0</x:v>
      </x:c>
      <x:c r="L32" s="144" t="n">
        <x:f>K35</x:f>
        <x:v>0</x:v>
      </x:c>
    </x:row>
    <x:row r="33">
      <x:c r="B33" t="str">
        <x:v>New drawdown</x:v>
      </x:c>
      <x:c r="C33" s="136"/>
      <x:c r="D33" s="147" t="n">
        <x:f>'Debt Assumptions'!D22</x:f>
        <x:v>0</x:v>
      </x:c>
      <x:c r="E33" s="147" t="n">
        <x:f>'Debt Assumptions'!E22</x:f>
        <x:v>0</x:v>
      </x:c>
      <x:c r="F33" s="147" t="n">
        <x:f>'Debt Assumptions'!F22</x:f>
        <x:v>0</x:v>
      </x:c>
      <x:c r="G33" s="147" t="n">
        <x:f>'Debt Assumptions'!G22</x:f>
        <x:v>0</x:v>
      </x:c>
      <x:c r="H33" s="147" t="n">
        <x:f>'Debt Assumptions'!H22</x:f>
        <x:v>0</x:v>
      </x:c>
      <x:c r="I33" s="147" t="n">
        <x:f>'Debt Assumptions'!I22</x:f>
        <x:v>0</x:v>
      </x:c>
      <x:c r="J33" s="147" t="n">
        <x:f>'Debt Assumptions'!J22</x:f>
        <x:v>0</x:v>
      </x:c>
      <x:c r="K33" s="147" t="n">
        <x:f>'Debt Assumptions'!K22</x:f>
        <x:v>0</x:v>
      </x:c>
      <x:c r="L33" s="147" t="n">
        <x:f>'Debt Assumptions'!L22</x:f>
        <x:v>0</x:v>
      </x:c>
    </x:row>
    <x:row r="34">
      <x:c r="B34" t="str">
        <x:v>Principal repayment</x:v>
      </x:c>
      <x:c r="C34" s="136"/>
      <x:c r="D34" s="147" t="n">
        <x:f>'Debt Assumptions'!D16</x:f>
        <x:v>4.43</x:v>
      </x:c>
      <x:c r="E34" s="147" t="n">
        <x:f>'Debt Assumptions'!E16</x:f>
        <x:v>3</x:v>
      </x:c>
      <x:c r="F34" s="147" t="n">
        <x:f>'Debt Assumptions'!F16</x:f>
        <x:v>2</x:v>
      </x:c>
      <x:c r="G34" s="147" t="n">
        <x:f>'Debt Assumptions'!G16</x:f>
        <x:v>1.77</x:v>
      </x:c>
      <x:c r="H34" s="147" t="n">
        <x:f>'Debt Assumptions'!H16</x:f>
        <x:v>0</x:v>
      </x:c>
      <x:c r="I34" s="147" t="n">
        <x:f>'Debt Assumptions'!I16</x:f>
        <x:v>0</x:v>
      </x:c>
      <x:c r="J34" s="147" t="n">
        <x:f>'Debt Assumptions'!J16</x:f>
        <x:v>0</x:v>
      </x:c>
      <x:c r="K34" s="147" t="n">
        <x:f>'Debt Assumptions'!K16</x:f>
        <x:v>0</x:v>
      </x:c>
      <x:c r="L34" s="147" t="n">
        <x:f>'Debt Assumptions'!L16</x:f>
        <x:v>0</x:v>
      </x:c>
    </x:row>
    <x:row r="35">
      <x:c r="B35" s="120" t="str">
        <x:v>Closing balance</x:v>
      </x:c>
      <x:c r="C35" s="153" t="n">
        <x:v>11.2</x:v>
      </x:c>
      <x:c r="D35" s="154" t="n">
        <x:f>MAX(0,D32+D33-D34)</x:f>
        <x:v>6.77</x:v>
      </x:c>
      <x:c r="E35" s="154" t="n">
        <x:f>MAX(0,E32+E33-E34)</x:f>
        <x:v>3.7699999999999996</x:v>
      </x:c>
      <x:c r="F35" s="154" t="n">
        <x:f>MAX(0,F32+F33-F34)</x:f>
        <x:v>1.7699999999999996</x:v>
      </x:c>
      <x:c r="G35" s="154" t="n">
        <x:f>MAX(0,G32+G33-G34)</x:f>
        <x:v>0</x:v>
      </x:c>
      <x:c r="H35" s="154" t="n">
        <x:f>MAX(0,H32+H33-H34)</x:f>
        <x:v>0</x:v>
      </x:c>
      <x:c r="I35" s="154" t="n">
        <x:f>MAX(0,I32+I33-I34)</x:f>
        <x:v>0</x:v>
      </x:c>
      <x:c r="J35" s="154" t="n">
        <x:f>MAX(0,J32+J33-J34)</x:f>
        <x:v>0</x:v>
      </x:c>
      <x:c r="K35" s="154" t="n">
        <x:f>MAX(0,K32+K33-K34)</x:f>
        <x:v>0</x:v>
      </x:c>
      <x:c r="L35" s="154" t="n">
        <x:f>MAX(0,L32+L33-L34)</x:f>
        <x:v>0</x:v>
      </x:c>
    </x:row>
    <x:row r="36">
      <x:c r="B36" t="str">
        <x:v>Interest rate</x:v>
      </x:c>
      <x:c r="C36" s="139"/>
      <x:c r="D36" s="148" t="n">
        <x:f>'Debt Assumptions'!D29</x:f>
        <x:v>0.083</x:v>
      </x:c>
      <x:c r="E36" s="148" t="n">
        <x:f>'Debt Assumptions'!E29</x:f>
        <x:v>0.081</x:v>
      </x:c>
      <x:c r="F36" s="148" t="n">
        <x:f>'Debt Assumptions'!F29</x:f>
        <x:v>0.08</x:v>
      </x:c>
      <x:c r="G36" s="148" t="n">
        <x:f>'Debt Assumptions'!G29</x:f>
        <x:v>0.08</x:v>
      </x:c>
      <x:c r="H36" s="148" t="n">
        <x:f>'Debt Assumptions'!H29</x:f>
        <x:v>0</x:v>
      </x:c>
      <x:c r="I36" s="148" t="n">
        <x:f>'Debt Assumptions'!I29</x:f>
        <x:v>0</x:v>
      </x:c>
      <x:c r="J36" s="148" t="n">
        <x:f>'Debt Assumptions'!J29</x:f>
        <x:v>0</x:v>
      </x:c>
      <x:c r="K36" s="148" t="n">
        <x:f>'Debt Assumptions'!K29</x:f>
        <x:v>0</x:v>
      </x:c>
      <x:c r="L36" s="148" t="n">
        <x:f>'Debt Assumptions'!L29</x:f>
        <x:v>0</x:v>
      </x:c>
    </x:row>
    <x:row r="37">
      <x:c r="B37" s="120" t="str">
        <x:v>Interest expense</x:v>
      </x:c>
      <x:c r="C37" s="153" t="n">
        <x:v>4.53</x:v>
      </x:c>
      <x:c r="D37" s="154" t="n">
        <x:f>AVERAGE(D32,D35)*D36</x:f>
        <x:v>0.745755</x:v>
      </x:c>
      <x:c r="E37" s="154" t="n">
        <x:f>AVERAGE(E32,E35)*E36</x:f>
        <x:v>0.42686999999999997</x:v>
      </x:c>
      <x:c r="F37" s="154" t="n">
        <x:f>AVERAGE(F32,F35)*F36</x:f>
        <x:v>0.22159999999999996</x:v>
      </x:c>
      <x:c r="G37" s="154" t="n">
        <x:f>AVERAGE(G32,G35)*G36</x:f>
        <x:v>0.07079999999999999</x:v>
      </x:c>
      <x:c r="H37" s="154" t="n">
        <x:f>AVERAGE(H32,H35)*H36</x:f>
        <x:v>0</x:v>
      </x:c>
      <x:c r="I37" s="154" t="n">
        <x:f>AVERAGE(I32,I35)*I36</x:f>
        <x:v>0</x:v>
      </x:c>
      <x:c r="J37" s="154" t="n">
        <x:f>AVERAGE(J32,J35)*J36</x:f>
        <x:v>0</x:v>
      </x:c>
      <x:c r="K37" s="154" t="n">
        <x:f>AVERAGE(K32,K35)*K36</x:f>
        <x:v>0</x:v>
      </x:c>
      <x:c r="L37" s="154" t="n">
        <x:f>AVERAGE(L32,L35)*L36</x:f>
        <x:v>0</x:v>
      </x:c>
    </x:row>
    <x:row r="38">
      <x:c r="C38" s="136"/>
      <x:c r="D38" s="144"/>
      <x:c r="E38" s="144"/>
      <x:c r="F38" s="144"/>
      <x:c r="G38" s="144"/>
      <x:c r="H38" s="144"/>
      <x:c r="I38" s="144"/>
      <x:c r="J38" s="144"/>
      <x:c r="K38" s="144"/>
      <x:c r="L38" s="144"/>
    </x:row>
    <x:row r="39">
      <x:c r="C39" s="136"/>
      <x:c r="D39" s="144"/>
      <x:c r="E39" s="144"/>
      <x:c r="F39" s="144"/>
      <x:c r="G39" s="144"/>
      <x:c r="H39" s="144"/>
      <x:c r="I39" s="144"/>
      <x:c r="J39" s="144"/>
      <x:c r="K39" s="144"/>
      <x:c r="L39" s="144"/>
    </x:row>
    <x:row r="40">
      <x:c r="B40" s="132" t="str">
        <x:v>Overdraft / Other Current Debt</x:v>
      </x:c>
      <x:c r="C40" s="137"/>
      <x:c r="D40" s="146"/>
      <x:c r="E40" s="146"/>
      <x:c r="F40" s="146"/>
      <x:c r="G40" s="146"/>
      <x:c r="H40" s="146"/>
      <x:c r="I40" s="146"/>
      <x:c r="J40" s="146"/>
      <x:c r="K40" s="146"/>
      <x:c r="L40" s="146"/>
    </x:row>
    <x:row r="41">
      <x:c r="B41" t="str">
        <x:v>Closing balance</x:v>
      </x:c>
      <x:c r="C41" s="135" t="n">
        <x:v>81.46</x:v>
      </x:c>
      <x:c r="D41" s="147" t="n">
        <x:f>'Debt Assumptions'!D23</x:f>
        <x:v>81.46</x:v>
      </x:c>
      <x:c r="E41" s="147" t="n">
        <x:f>'Debt Assumptions'!E23</x:f>
        <x:v>81.46</x:v>
      </x:c>
      <x:c r="F41" s="147" t="n">
        <x:f>'Debt Assumptions'!F23</x:f>
        <x:v>81.46</x:v>
      </x:c>
      <x:c r="G41" s="147" t="n">
        <x:f>'Debt Assumptions'!G23</x:f>
        <x:v>81.46</x:v>
      </x:c>
      <x:c r="H41" s="147" t="n">
        <x:f>'Debt Assumptions'!H23</x:f>
        <x:v>81.46</x:v>
      </x:c>
      <x:c r="I41" s="147" t="n">
        <x:f>'Debt Assumptions'!I23</x:f>
        <x:v>81.46</x:v>
      </x:c>
      <x:c r="J41" s="147" t="n">
        <x:f>'Debt Assumptions'!J23</x:f>
        <x:v>81.46</x:v>
      </x:c>
      <x:c r="K41" s="147" t="n">
        <x:f>'Debt Assumptions'!K23</x:f>
        <x:v>81.46</x:v>
      </x:c>
      <x:c r="L41" s="147" t="n">
        <x:f>'Debt Assumptions'!L23</x:f>
        <x:v>81.46</x:v>
      </x:c>
    </x:row>
    <x:row r="42">
      <x:c r="B42" t="str">
        <x:v>Interest rate</x:v>
      </x:c>
      <x:c r="C42" s="139"/>
      <x:c r="D42" s="148" t="n">
        <x:f>'Debt Assumptions'!D30</x:f>
        <x:v>0.08</x:v>
      </x:c>
      <x:c r="E42" s="148" t="n">
        <x:f>'Debt Assumptions'!E30</x:f>
        <x:v>0.079</x:v>
      </x:c>
      <x:c r="F42" s="148" t="n">
        <x:f>'Debt Assumptions'!F30</x:f>
        <x:v>0.078</x:v>
      </x:c>
      <x:c r="G42" s="148" t="n">
        <x:f>'Debt Assumptions'!G30</x:f>
        <x:v>0.077</x:v>
      </x:c>
      <x:c r="H42" s="148" t="n">
        <x:f>'Debt Assumptions'!H30</x:f>
        <x:v>0.076</x:v>
      </x:c>
      <x:c r="I42" s="148" t="n">
        <x:f>'Debt Assumptions'!I30</x:f>
        <x:v>0.075</x:v>
      </x:c>
      <x:c r="J42" s="148" t="n">
        <x:f>'Debt Assumptions'!J30</x:f>
        <x:v>0.075</x:v>
      </x:c>
      <x:c r="K42" s="148" t="n">
        <x:f>'Debt Assumptions'!K30</x:f>
        <x:v>0.075</x:v>
      </x:c>
      <x:c r="L42" s="148" t="n">
        <x:f>'Debt Assumptions'!L30</x:f>
        <x:v>0.075</x:v>
      </x:c>
    </x:row>
    <x:row r="43">
      <x:c r="B43" t="str">
        <x:v>Interest expense</x:v>
      </x:c>
      <x:c r="C43" s="135" t="n">
        <x:v>6.35</x:v>
      </x:c>
      <x:c r="D43" s="144" t="n">
        <x:f>D41*D42</x:f>
        <x:v>6.5168</x:v>
      </x:c>
      <x:c r="E43" s="144" t="n">
        <x:f>E41*E42</x:f>
        <x:v>6.435339999999999</x:v>
      </x:c>
      <x:c r="F43" s="144" t="n">
        <x:f>F41*F42</x:f>
        <x:v>6.353879999999999</x:v>
      </x:c>
      <x:c r="G43" s="144" t="n">
        <x:f>G41*G42</x:f>
        <x:v>6.272419999999999</x:v>
      </x:c>
      <x:c r="H43" s="144" t="n">
        <x:f>H41*H42</x:f>
        <x:v>6.19096</x:v>
      </x:c>
      <x:c r="I43" s="144" t="n">
        <x:f>I41*I42</x:f>
        <x:v>6.1095</x:v>
      </x:c>
      <x:c r="J43" s="144" t="n">
        <x:f>J41*J42</x:f>
        <x:v>6.1095</x:v>
      </x:c>
      <x:c r="K43" s="144" t="n">
        <x:f>K41*K42</x:f>
        <x:v>6.1095</x:v>
      </x:c>
      <x:c r="L43" s="144" t="n">
        <x:f>L41*L42</x:f>
        <x:v>6.1095</x:v>
      </x:c>
    </x:row>
    <x:row r="44">
      <x:c r="C44" s="136"/>
      <x:c r="D44" s="144"/>
      <x:c r="E44" s="144"/>
      <x:c r="F44" s="144"/>
      <x:c r="G44" s="144"/>
      <x:c r="H44" s="144"/>
      <x:c r="I44" s="144"/>
      <x:c r="J44" s="144"/>
      <x:c r="K44" s="144"/>
      <x:c r="L44" s="144"/>
    </x:row>
    <x:row r="45">
      <x:c r="C45" s="136"/>
      <x:c r="D45" s="144"/>
      <x:c r="E45" s="144"/>
      <x:c r="F45" s="144"/>
      <x:c r="G45" s="144"/>
      <x:c r="H45" s="144"/>
      <x:c r="I45" s="144"/>
      <x:c r="J45" s="144"/>
      <x:c r="K45" s="144"/>
      <x:c r="L45" s="144"/>
    </x:row>
    <x:row r="46">
      <x:c r="B46" s="132" t="str">
        <x:v>Debt Classification and Finance Cost</x:v>
      </x:c>
      <x:c r="C46" s="137"/>
      <x:c r="D46" s="146"/>
      <x:c r="E46" s="146"/>
      <x:c r="F46" s="146"/>
      <x:c r="G46" s="146"/>
      <x:c r="H46" s="146"/>
      <x:c r="I46" s="146"/>
      <x:c r="J46" s="146"/>
      <x:c r="K46" s="146"/>
      <x:c r="L46" s="146"/>
    </x:row>
    <x:row r="47">
      <x:c r="B47" s="120" t="str">
        <x:v>Fixed-term debt</x:v>
      </x:c>
      <x:c r="C47" s="153" t="n">
        <x:v>2791.19</x:v>
      </x:c>
      <x:c r="D47" s="154" t="n">
        <x:f>D17+D26+D35</x:f>
        <x:v>2401.1600000000003</x:v>
      </x:c>
      <x:c r="E47" s="154" t="n">
        <x:f>E17+E26+E35</x:f>
        <x:v>1828.63</x:v>
      </x:c>
      <x:c r="F47" s="154" t="n">
        <x:f>F17+F26+F35</x:f>
        <x:v>1185.2600000000002</x:v>
      </x:c>
      <x:c r="G47" s="154" t="n">
        <x:f>G17+G26+G35</x:f>
        <x:v>312.7800000000001</x:v>
      </x:c>
      <x:c r="H47" s="154" t="n">
        <x:f>H17+H26+H35</x:f>
        <x:v>50.61000000000007</x:v>
      </x:c>
      <x:c r="I47" s="154" t="n">
        <x:f>I17+I26+I35</x:f>
        <x:v>10.120000000000068</x:v>
      </x:c>
      <x:c r="J47" s="154" t="n">
        <x:f>J17+J26+J35</x:f>
        <x:v>6.927791673660977e-14</x:v>
      </x:c>
      <x:c r="K47" s="154" t="n">
        <x:f>K17+K26+K35</x:f>
        <x:v>6.927791673660977e-14</x:v>
      </x:c>
      <x:c r="L47" s="154" t="n">
        <x:f>L17+L26+L35</x:f>
        <x:v>6.927791673660977e-14</x:v>
      </x:c>
    </x:row>
    <x:row r="48">
      <x:c r="B48" t="str">
        <x:v>Current maturities</x:v>
      </x:c>
      <x:c r="C48" s="135" t="n">
        <x:v>390.03</x:v>
      </x:c>
      <x:c r="D48" s="144" t="n">
        <x:f>E16+E25+E34</x:f>
        <x:v>572.53</x:v>
      </x:c>
      <x:c r="E48" s="144" t="n">
        <x:f>F16+F25+F34</x:f>
        <x:v>643.37</x:v>
      </x:c>
      <x:c r="F48" s="144" t="n">
        <x:f>G16+G25+G34</x:f>
        <x:v>872.48</x:v>
      </x:c>
      <x:c r="G48" s="144" t="n">
        <x:f>H16+H25+H34</x:f>
        <x:v>262.17</x:v>
      </x:c>
      <x:c r="H48" s="144" t="n">
        <x:f>I16+I25+I34</x:f>
        <x:v>40.49</x:v>
      </x:c>
      <x:c r="I48" s="144" t="n">
        <x:f>J16+J25+J34</x:f>
        <x:v>10.12</x:v>
      </x:c>
      <x:c r="J48" s="144" t="n">
        <x:f>K16+K25+K34</x:f>
        <x:v>0</x:v>
      </x:c>
      <x:c r="K48" s="144" t="n">
        <x:f>L16+L25+L34</x:f>
        <x:v>0</x:v>
      </x:c>
      <x:c r="L48" s="144" t="n">
        <x:v>0</x:v>
      </x:c>
    </x:row>
    <x:row r="49">
      <x:c r="B49" s="120" t="str">
        <x:v>Long-term debt</x:v>
      </x:c>
      <x:c r="C49" s="153" t="n">
        <x:v>2401.16</x:v>
      </x:c>
      <x:c r="D49" s="154" t="n">
        <x:f>MAX(0,D47-D48)</x:f>
        <x:v>1828.6300000000003</x:v>
      </x:c>
      <x:c r="E49" s="154" t="n">
        <x:f>MAX(0,E47-E48)</x:f>
        <x:v>1185.2600000000002</x:v>
      </x:c>
      <x:c r="F49" s="154" t="n">
        <x:f>MAX(0,F47-F48)</x:f>
        <x:v>312.7800000000002</x:v>
      </x:c>
      <x:c r="G49" s="154" t="n">
        <x:f>MAX(0,G47-G48)</x:f>
        <x:v>50.61000000000007</x:v>
      </x:c>
      <x:c r="H49" s="154" t="n">
        <x:f>MAX(0,H47-H48)</x:f>
        <x:v>10.120000000000068</x:v>
      </x:c>
      <x:c r="I49" s="154" t="n">
        <x:f>MAX(0,I47-I48)</x:f>
        <x:v>6.927791673660977e-14</x:v>
      </x:c>
      <x:c r="J49" s="154" t="n">
        <x:f>MAX(0,J47-J48)</x:f>
        <x:v>6.927791673660977e-14</x:v>
      </x:c>
      <x:c r="K49" s="154" t="n">
        <x:f>MAX(0,K47-K48)</x:f>
        <x:v>6.927791673660977e-14</x:v>
      </x:c>
      <x:c r="L49" s="154" t="n">
        <x:f>MAX(0,L47-L48)</x:f>
        <x:v>6.927791673660977e-14</x:v>
      </x:c>
    </x:row>
    <x:row r="50">
      <x:c r="B50" t="str">
        <x:v>Overdraft / other current debt</x:v>
      </x:c>
      <x:c r="C50" s="135" t="n">
        <x:v>81.46</x:v>
      </x:c>
      <x:c r="D50" s="144" t="n">
        <x:f>D41</x:f>
        <x:v>81.46</x:v>
      </x:c>
      <x:c r="E50" s="144" t="n">
        <x:f>E41</x:f>
        <x:v>81.46</x:v>
      </x:c>
      <x:c r="F50" s="144" t="n">
        <x:f>F41</x:f>
        <x:v>81.46</x:v>
      </x:c>
      <x:c r="G50" s="144" t="n">
        <x:f>G41</x:f>
        <x:v>81.46</x:v>
      </x:c>
      <x:c r="H50" s="144" t="n">
        <x:f>H41</x:f>
        <x:v>81.46</x:v>
      </x:c>
      <x:c r="I50" s="144" t="n">
        <x:f>I41</x:f>
        <x:v>81.46</x:v>
      </x:c>
      <x:c r="J50" s="144" t="n">
        <x:f>J41</x:f>
        <x:v>81.46</x:v>
      </x:c>
      <x:c r="K50" s="144" t="n">
        <x:f>K41</x:f>
        <x:v>81.46</x:v>
      </x:c>
      <x:c r="L50" s="144" t="n">
        <x:f>L41</x:f>
        <x:v>81.46</x:v>
      </x:c>
    </x:row>
    <x:row r="51">
      <x:c r="B51" s="120" t="str">
        <x:v>Short-term debt</x:v>
      </x:c>
      <x:c r="C51" s="153" t="n">
        <x:v>471.49</x:v>
      </x:c>
      <x:c r="D51" s="154" t="n">
        <x:f>D48+D50</x:f>
        <x:v>653.99</x:v>
      </x:c>
      <x:c r="E51" s="154" t="n">
        <x:f>E48+E50</x:f>
        <x:v>724.83</x:v>
      </x:c>
      <x:c r="F51" s="154" t="n">
        <x:f>F48+F50</x:f>
        <x:v>953.94</x:v>
      </x:c>
      <x:c r="G51" s="154" t="n">
        <x:f>G48+G50</x:f>
        <x:v>343.63</x:v>
      </x:c>
      <x:c r="H51" s="154" t="n">
        <x:f>H48+H50</x:f>
        <x:v>121.94999999999999</x:v>
      </x:c>
      <x:c r="I51" s="154" t="n">
        <x:f>I48+I50</x:f>
        <x:v>91.58</x:v>
      </x:c>
      <x:c r="J51" s="154" t="n">
        <x:f>J48+J50</x:f>
        <x:v>81.46</x:v>
      </x:c>
      <x:c r="K51" s="154" t="n">
        <x:f>K48+K50</x:f>
        <x:v>81.46</x:v>
      </x:c>
      <x:c r="L51" s="154" t="n">
        <x:f>L48+L50</x:f>
        <x:v>81.46</x:v>
      </x:c>
    </x:row>
    <x:row r="52">
      <x:c r="B52" s="120" t="str">
        <x:v>Gross borrowings</x:v>
      </x:c>
      <x:c r="C52" s="153" t="n">
        <x:v>2872.65</x:v>
      </x:c>
      <x:c r="D52" s="154" t="n">
        <x:f>D49+D51</x:f>
        <x:v>2482.6200000000003</x:v>
      </x:c>
      <x:c r="E52" s="154" t="n">
        <x:f>E49+E51</x:f>
        <x:v>1910.0900000000001</x:v>
      </x:c>
      <x:c r="F52" s="154" t="n">
        <x:f>F49+F51</x:f>
        <x:v>1266.7200000000003</x:v>
      </x:c>
      <x:c r="G52" s="154" t="n">
        <x:f>G49+G51</x:f>
        <x:v>394.24000000000007</x:v>
      </x:c>
      <x:c r="H52" s="154" t="n">
        <x:f>H49+H51</x:f>
        <x:v>132.07000000000005</x:v>
      </x:c>
      <x:c r="I52" s="154" t="n">
        <x:f>I49+I51</x:f>
        <x:v>91.58000000000007</x:v>
      </x:c>
      <x:c r="J52" s="154" t="n">
        <x:f>J49+J51</x:f>
        <x:v>81.46000000000006</x:v>
      </x:c>
      <x:c r="K52" s="154" t="n">
        <x:f>K49+K51</x:f>
        <x:v>81.46000000000006</x:v>
      </x:c>
      <x:c r="L52" s="154" t="n">
        <x:f>L49+L51</x:f>
        <x:v>81.46000000000006</x:v>
      </x:c>
    </x:row>
    <x:row r="53">
      <x:c r="B53" t="str"/>
      <x:c r="C53" s="135"/>
      <x:c r="D53" s="144"/>
      <x:c r="E53" s="144"/>
      <x:c r="F53" s="144"/>
      <x:c r="G53" s="144"/>
      <x:c r="H53" s="144"/>
      <x:c r="I53" s="144"/>
      <x:c r="J53" s="144"/>
      <x:c r="K53" s="144"/>
      <x:c r="L53" s="144"/>
    </x:row>
    <x:row r="54">
      <x:c r="B54" s="120" t="str">
        <x:v>Cash interest on borrowings</x:v>
      </x:c>
      <x:c r="C54" s="153" t="n">
        <x:v>229.53</x:v>
      </x:c>
      <x:c r="D54" s="154" t="n">
        <x:f>D19+D28+D37+D43</x:f>
        <x:v>225.23898999999997</x:v>
      </x:c>
      <x:c r="E54" s="154" t="n">
        <x:f>E19+E28+E37+E43</x:f>
        <x:v>180.62733500000002</x:v>
      </x:c>
      <x:c r="F54" s="154" t="n">
        <x:f>F19+F28+F37+F43</x:f>
        <x:v>127.489205</x:v>
      </x:c>
      <x:c r="G54" s="154" t="n">
        <x:f>G19+G28+G37+G43</x:f>
        <x:v>63.800805000000004</x:v>
      </x:c>
      <x:c r="H54" s="154" t="n">
        <x:f>H19+H28+H37+H43</x:f>
        <x:v>18.909610000000008</x:v>
      </x:c>
      <x:c r="I54" s="154" t="n">
        <x:f>I19+I28+I37+I43</x:f>
        <x:v>8.235050000000005</x:v>
      </x:c>
      <x:c r="J54" s="154" t="n">
        <x:f>J19+J28+J37+J43</x:f>
        <x:v>6.463700000000005</x:v>
      </x:c>
      <x:c r="K54" s="154" t="n">
        <x:f>K19+K28+K37+K43</x:f>
        <x:v>6.109500000000004</x:v>
      </x:c>
      <x:c r="L54" s="154" t="n">
        <x:f>L19+L28+L37+L43</x:f>
        <x:v>6.109500000000004</x:v>
      </x:c>
    </x:row>
    <x:row r="55">
      <x:c r="B55" t="str">
        <x:v>Lease-liability interest</x:v>
      </x:c>
      <x:c r="C55" s="135" t="n">
        <x:v>40.86</x:v>
      </x:c>
      <x:c r="D55" s="147" t="n">
        <x:f>'Debt Assumptions'!D34</x:f>
        <x:v>45</x:v>
      </x:c>
      <x:c r="E55" s="147" t="n">
        <x:f>'Debt Assumptions'!E34</x:f>
        <x:v>47</x:v>
      </x:c>
      <x:c r="F55" s="147" t="n">
        <x:f>'Debt Assumptions'!F34</x:f>
        <x:v>49</x:v>
      </x:c>
      <x:c r="G55" s="147" t="n">
        <x:f>'Debt Assumptions'!G34</x:f>
        <x:v>50</x:v>
      </x:c>
      <x:c r="H55" s="147" t="n">
        <x:f>'Debt Assumptions'!H34</x:f>
        <x:v>51</x:v>
      </x:c>
      <x:c r="I55" s="147" t="n">
        <x:f>'Debt Assumptions'!I34</x:f>
        <x:v>52</x:v>
      </x:c>
      <x:c r="J55" s="147" t="n">
        <x:f>'Debt Assumptions'!J34</x:f>
        <x:v>53</x:v>
      </x:c>
      <x:c r="K55" s="147" t="n">
        <x:f>'Debt Assumptions'!K34</x:f>
        <x:v>54</x:v>
      </x:c>
      <x:c r="L55" s="147" t="n">
        <x:f>'Debt Assumptions'!L34</x:f>
        <x:v>55</x:v>
      </x:c>
    </x:row>
    <x:row r="56">
      <x:c r="B56" t="str">
        <x:v>Defined-benefit / long-term obligation interest</x:v>
      </x:c>
      <x:c r="C56" s="135" t="n">
        <x:v>12.19</x:v>
      </x:c>
      <x:c r="D56" s="147" t="n">
        <x:f>'Debt Assumptions'!D35</x:f>
        <x:v>13</x:v>
      </x:c>
      <x:c r="E56" s="147" t="n">
        <x:f>'Debt Assumptions'!E35</x:f>
        <x:v>14</x:v>
      </x:c>
      <x:c r="F56" s="147" t="n">
        <x:f>'Debt Assumptions'!F35</x:f>
        <x:v>15</x:v>
      </x:c>
      <x:c r="G56" s="147" t="n">
        <x:f>'Debt Assumptions'!G35</x:f>
        <x:v>16</x:v>
      </x:c>
      <x:c r="H56" s="147" t="n">
        <x:f>'Debt Assumptions'!H35</x:f>
        <x:v>17</x:v>
      </x:c>
      <x:c r="I56" s="147" t="n">
        <x:f>'Debt Assumptions'!I35</x:f>
        <x:v>18</x:v>
      </x:c>
      <x:c r="J56" s="147" t="n">
        <x:f>'Debt Assumptions'!J35</x:f>
        <x:v>19</x:v>
      </x:c>
      <x:c r="K56" s="147" t="n">
        <x:f>'Debt Assumptions'!K35</x:f>
        <x:v>20</x:v>
      </x:c>
      <x:c r="L56" s="147" t="n">
        <x:f>'Debt Assumptions'!L35</x:f>
        <x:v>21</x:v>
      </x:c>
    </x:row>
    <x:row r="57">
      <x:c r="B57" t="str">
        <x:v>Other borrowing costs</x:v>
      </x:c>
      <x:c r="C57" s="135" t="n">
        <x:v>31.89</x:v>
      </x:c>
      <x:c r="D57" s="147" t="n">
        <x:f>'Debt Assumptions'!D36</x:f>
        <x:v>25</x:v>
      </x:c>
      <x:c r="E57" s="147" t="n">
        <x:f>'Debt Assumptions'!E36</x:f>
        <x:v>20</x:v>
      </x:c>
      <x:c r="F57" s="147" t="n">
        <x:f>'Debt Assumptions'!F36</x:f>
        <x:v>15</x:v>
      </x:c>
      <x:c r="G57" s="147" t="n">
        <x:f>'Debt Assumptions'!G36</x:f>
        <x:v>10</x:v>
      </x:c>
      <x:c r="H57" s="147" t="n">
        <x:f>'Debt Assumptions'!H36</x:f>
        <x:v>8</x:v>
      </x:c>
      <x:c r="I57" s="147" t="n">
        <x:f>'Debt Assumptions'!I36</x:f>
        <x:v>8</x:v>
      </x:c>
      <x:c r="J57" s="147" t="n">
        <x:f>'Debt Assumptions'!J36</x:f>
        <x:v>8</x:v>
      </x:c>
      <x:c r="K57" s="147" t="n">
        <x:f>'Debt Assumptions'!K36</x:f>
        <x:v>8</x:v>
      </x:c>
      <x:c r="L57" s="147" t="n">
        <x:f>'Debt Assumptions'!L36</x:f>
        <x:v>8</x:v>
      </x:c>
    </x:row>
    <x:row r="58">
      <x:c r="B58" s="120" t="str">
        <x:v>Total P&amp;L finance cost</x:v>
      </x:c>
      <x:c r="C58" s="153" t="n">
        <x:v>314.47</x:v>
      </x:c>
      <x:c r="D58" s="154" t="n">
        <x:f>SUM(D54:D57)</x:f>
        <x:v>308.23898999999994</x:v>
      </x:c>
      <x:c r="E58" s="154" t="n">
        <x:f>SUM(E54:E57)</x:f>
        <x:v>261.627335</x:v>
      </x:c>
      <x:c r="F58" s="154" t="n">
        <x:f>SUM(F54:F57)</x:f>
        <x:v>206.489205</x:v>
      </x:c>
      <x:c r="G58" s="154" t="n">
        <x:f>SUM(G54:G57)</x:f>
        <x:v>139.800805</x:v>
      </x:c>
      <x:c r="H58" s="154" t="n">
        <x:f>SUM(H54:H57)</x:f>
        <x:v>94.90961000000001</x:v>
      </x:c>
      <x:c r="I58" s="154" t="n">
        <x:f>SUM(I54:I57)</x:f>
        <x:v>86.23505</x:v>
      </x:c>
      <x:c r="J58" s="154" t="n">
        <x:f>SUM(J54:J57)</x:f>
        <x:v>86.4637</x:v>
      </x:c>
      <x:c r="K58" s="154" t="n">
        <x:f>SUM(K54:K57)</x:f>
        <x:v>88.1095</x:v>
      </x:c>
      <x:c r="L58" s="154" t="n">
        <x:f>SUM(L54:L57)</x:f>
        <x:v>90.1095</x:v>
      </x:c>
    </x:row>
  </x:sheetData>
  <x:mergeCells>
    <x:mergeCell ref="B2:L2"/>
    <x:mergeCell ref="B13:L13"/>
    <x:mergeCell ref="B22:L22"/>
    <x:mergeCell ref="B31:L31"/>
    <x:mergeCell ref="B40:L40"/>
    <x:mergeCell ref="B46:L46"/>
  </x:mergeCells>
  <x:pageMargins left="0.7" right="0.7" top="0.75" bottom="0.75" header="0.3" footer="0.3"/>
  <x:drawing xmlns:r="http://schemas.openxmlformats.org/officeDocument/2006/relationships" r:id="Rcfd55307f579459d"/>
</x:worksheet>
</file>

<file path=xl/worksheets/sheet7.xml><?xml version="1.0" encoding="utf-8"?>
<x:worksheet xmlns:x="http://schemas.openxmlformats.org/spreadsheetml/2006/main">
  <x:sheetFormatPr defaultRowHeight="15"/>
  <x:cols>
    <x:col min="2" max="2" width="44" hidden="0" customWidth="1"/>
    <x:col min="3" max="3" width="8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2">
      <x:c r="B2" s="127" t="str">
        <x:v>Fortis Debt Schedule Assumptions</x:v>
      </x:c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4">
      <x:c r="B4" s="129" t="str">
        <x:v>INR crore</x:v>
      </x:c>
      <x:c r="C4" s="130" t="str">
        <x:v>FY26A</x:v>
      </x:c>
      <x:c r="D4" s="130" t="str">
        <x:v>FY27E</x:v>
      </x:c>
      <x:c r="E4" s="130" t="str">
        <x:v>FY28E</x:v>
      </x:c>
      <x:c r="F4" s="130" t="str">
        <x:v>FY29E</x:v>
      </x:c>
      <x:c r="G4" s="130" t="str">
        <x:v>FY30E</x:v>
      </x:c>
      <x:c r="H4" s="130" t="str">
        <x:v>FY31E</x:v>
      </x:c>
      <x:c r="I4" s="130" t="str">
        <x:v>FY32E</x:v>
      </x:c>
      <x:c r="J4" s="130" t="str">
        <x:v>FY33E</x:v>
      </x:c>
      <x:c r="K4" s="130" t="str">
        <x:v>FY34E</x:v>
      </x:c>
      <x:c r="L4" s="130" t="str">
        <x:v>FY35E</x:v>
      </x:c>
    </x:row>
    <x:row r="6">
      <x:c r="B6" s="132" t="str">
        <x:v>FY26 closing debt by instrument</x:v>
      </x:c>
      <x:c r="C6" s="132"/>
      <x:c r="D6" s="132"/>
      <x:c r="E6" s="132"/>
      <x:c r="F6" s="132"/>
      <x:c r="G6" s="132"/>
      <x:c r="H6" s="132"/>
      <x:c r="I6" s="132"/>
      <x:c r="J6" s="132"/>
      <x:c r="K6" s="132"/>
      <x:c r="L6" s="132"/>
    </x:row>
    <x:row r="7">
      <x:c r="B7" t="str">
        <x:v>Term loans</x:v>
      </x:c>
      <x:c r="C7" s="135" t="n">
        <x:v>1229.99</x:v>
      </x:c>
      <x:c r="D7" s="136"/>
      <x:c r="E7" s="136"/>
      <x:c r="F7" s="136"/>
      <x:c r="G7" s="136"/>
      <x:c r="H7" s="136"/>
      <x:c r="I7" s="136"/>
      <x:c r="J7" s="136"/>
      <x:c r="K7" s="136"/>
      <x:c r="L7" s="136"/>
    </x:row>
    <x:row r="8">
      <x:c r="B8" t="str">
        <x:v>Non-convertible debentures</x:v>
      </x:c>
      <x:c r="C8" s="135" t="n">
        <x:v>1550</x:v>
      </x:c>
      <x:c r="D8" s="136"/>
      <x:c r="E8" s="136"/>
      <x:c r="F8" s="136"/>
      <x:c r="G8" s="136"/>
      <x:c r="H8" s="136"/>
      <x:c r="I8" s="136"/>
      <x:c r="J8" s="136"/>
      <x:c r="K8" s="136"/>
      <x:c r="L8" s="136"/>
    </x:row>
    <x:row r="9">
      <x:c r="B9" t="str">
        <x:v>Vehicle loans</x:v>
      </x:c>
      <x:c r="C9" s="135" t="n">
        <x:v>11.2</x:v>
      </x:c>
      <x:c r="D9" s="136"/>
      <x:c r="E9" s="136"/>
      <x:c r="F9" s="136"/>
      <x:c r="G9" s="136"/>
      <x:c r="H9" s="136"/>
      <x:c r="I9" s="136"/>
      <x:c r="J9" s="136"/>
      <x:c r="K9" s="136"/>
      <x:c r="L9" s="136"/>
    </x:row>
    <x:row r="10">
      <x:c r="B10" t="str">
        <x:v>Overdraft / other current debt</x:v>
      </x:c>
      <x:c r="C10" s="135" t="n">
        <x:v>81.46</x:v>
      </x:c>
      <x:c r="D10" s="136"/>
      <x:c r="E10" s="136"/>
      <x:c r="F10" s="136"/>
      <x:c r="G10" s="136"/>
      <x:c r="H10" s="136"/>
      <x:c r="I10" s="136"/>
      <x:c r="J10" s="136"/>
      <x:c r="K10" s="136"/>
      <x:c r="L10" s="136"/>
    </x:row>
    <x:row r="11"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</x:row>
    <x:row r="12"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</x:row>
    <x:row r="13">
      <x:c r="B13" s="132" t="str">
        <x:v>Scheduled principal repayments</x:v>
      </x:c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</x:row>
    <x:row r="14">
      <x:c r="B14" t="str">
        <x:v>Term loans</x:v>
      </x:c>
      <x:c r="C14" s="135" t="n">
        <x:v>0</x:v>
      </x:c>
      <x:c r="D14" s="135" t="n">
        <x:v>153.1</x:v>
      </x:c>
      <x:c r="E14" s="135" t="n">
        <x:v>259.53</x:v>
      </x:c>
      <x:c r="F14" s="135" t="n">
        <x:v>253.87</x:v>
      </x:c>
      <x:c r="G14" s="135" t="n">
        <x:v>250.71</x:v>
      </x:c>
      <x:c r="H14" s="135" t="n">
        <x:v>262.17</x:v>
      </x:c>
      <x:c r="I14" s="135" t="n">
        <x:v>40.49</x:v>
      </x:c>
      <x:c r="J14" s="135" t="n">
        <x:v>10.12</x:v>
      </x:c>
      <x:c r="K14" s="135" t="n">
        <x:v>0</x:v>
      </x:c>
      <x:c r="L14" s="135" t="n">
        <x:v>0</x:v>
      </x:c>
    </x:row>
    <x:row r="15">
      <x:c r="B15" t="str">
        <x:v>Non-convertible debentures</x:v>
      </x:c>
      <x:c r="C15" s="135" t="n">
        <x:v>0</x:v>
      </x:c>
      <x:c r="D15" s="138" t="n">
        <x:v>232.5</x:v>
      </x:c>
      <x:c r="E15" s="138" t="n">
        <x:v>310</x:v>
      </x:c>
      <x:c r="F15" s="138" t="n">
        <x:v>387.5</x:v>
      </x:c>
      <x:c r="G15" s="138" t="n">
        <x:v>620</x:v>
      </x:c>
      <x:c r="H15" s="135" t="n">
        <x:v>0</x:v>
      </x:c>
      <x:c r="I15" s="135" t="n">
        <x:v>0</x:v>
      </x:c>
      <x:c r="J15" s="135" t="n">
        <x:v>0</x:v>
      </x:c>
      <x:c r="K15" s="135" t="n">
        <x:v>0</x:v>
      </x:c>
      <x:c r="L15" s="135" t="n">
        <x:v>0</x:v>
      </x:c>
    </x:row>
    <x:row r="16">
      <x:c r="B16" t="str">
        <x:v>Vehicle loans</x:v>
      </x:c>
      <x:c r="C16" s="135" t="n">
        <x:v>0</x:v>
      </x:c>
      <x:c r="D16" s="135" t="n">
        <x:v>4.43</x:v>
      </x:c>
      <x:c r="E16" s="135" t="n">
        <x:v>3</x:v>
      </x:c>
      <x:c r="F16" s="135" t="n">
        <x:v>2</x:v>
      </x:c>
      <x:c r="G16" s="135" t="n">
        <x:v>1.77</x:v>
      </x:c>
      <x:c r="H16" s="135" t="n">
        <x:v>0</x:v>
      </x:c>
      <x:c r="I16" s="135" t="n">
        <x:v>0</x:v>
      </x:c>
      <x:c r="J16" s="135" t="n">
        <x:v>0</x:v>
      </x:c>
      <x:c r="K16" s="135" t="n">
        <x:v>0</x:v>
      </x:c>
      <x:c r="L16" s="135" t="n">
        <x:v>0</x:v>
      </x:c>
    </x:row>
    <x:row r="17"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</x:row>
    <x:row r="18"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</x:row>
    <x:row r="19">
      <x:c r="B19" s="132" t="str">
        <x:v>Funding assumptions</x:v>
      </x:c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</x:row>
    <x:row r="20">
      <x:c r="B20" t="str">
        <x:v>New term-loan drawdown</x:v>
      </x:c>
      <x:c r="C20" s="135" t="n">
        <x:v>0</x:v>
      </x:c>
      <x:c r="D20" s="135" t="n">
        <x:v>0</x:v>
      </x:c>
      <x:c r="E20" s="135" t="n">
        <x:v>0</x:v>
      </x:c>
      <x:c r="F20" s="135" t="n">
        <x:v>0</x:v>
      </x:c>
      <x:c r="G20" s="135" t="n">
        <x:v>0</x:v>
      </x:c>
      <x:c r="H20" s="135" t="n">
        <x:v>0</x:v>
      </x:c>
      <x:c r="I20" s="135" t="n">
        <x:v>0</x:v>
      </x:c>
      <x:c r="J20" s="135" t="n">
        <x:v>0</x:v>
      </x:c>
      <x:c r="K20" s="135" t="n">
        <x:v>0</x:v>
      </x:c>
      <x:c r="L20" s="135" t="n">
        <x:v>0</x:v>
      </x:c>
    </x:row>
    <x:row r="21">
      <x:c r="B21" t="str">
        <x:v>New NCD drawdown</x:v>
      </x:c>
      <x:c r="C21" s="135" t="n">
        <x:v>0</x:v>
      </x:c>
      <x:c r="D21" s="135" t="n">
        <x:v>0</x:v>
      </x:c>
      <x:c r="E21" s="135" t="n">
        <x:v>0</x:v>
      </x:c>
      <x:c r="F21" s="135" t="n">
        <x:v>0</x:v>
      </x:c>
      <x:c r="G21" s="135" t="n">
        <x:v>0</x:v>
      </x:c>
      <x:c r="H21" s="135" t="n">
        <x:v>0</x:v>
      </x:c>
      <x:c r="I21" s="135" t="n">
        <x:v>0</x:v>
      </x:c>
      <x:c r="J21" s="135" t="n">
        <x:v>0</x:v>
      </x:c>
      <x:c r="K21" s="135" t="n">
        <x:v>0</x:v>
      </x:c>
      <x:c r="L21" s="135" t="n">
        <x:v>0</x:v>
      </x:c>
    </x:row>
    <x:row r="22">
      <x:c r="B22" t="str">
        <x:v>New vehicle-loan drawdown</x:v>
      </x:c>
      <x:c r="C22" s="135" t="n">
        <x:v>0</x:v>
      </x:c>
      <x:c r="D22" s="135" t="n">
        <x:v>0</x:v>
      </x:c>
      <x:c r="E22" s="135" t="n">
        <x:v>0</x:v>
      </x:c>
      <x:c r="F22" s="135" t="n">
        <x:v>0</x:v>
      </x:c>
      <x:c r="G22" s="135" t="n">
        <x:v>0</x:v>
      </x:c>
      <x:c r="H22" s="135" t="n">
        <x:v>0</x:v>
      </x:c>
      <x:c r="I22" s="135" t="n">
        <x:v>0</x:v>
      </x:c>
      <x:c r="J22" s="135" t="n">
        <x:v>0</x:v>
      </x:c>
      <x:c r="K22" s="135" t="n">
        <x:v>0</x:v>
      </x:c>
      <x:c r="L22" s="135" t="n">
        <x:v>0</x:v>
      </x:c>
    </x:row>
    <x:row r="23">
      <x:c r="B23" t="str">
        <x:v>Closing overdraft / other current debt</x:v>
      </x:c>
      <x:c r="C23" s="135" t="n">
        <x:v>81.46</x:v>
      </x:c>
      <x:c r="D23" s="135" t="n">
        <x:v>81.46</x:v>
      </x:c>
      <x:c r="E23" s="135" t="n">
        <x:v>81.46</x:v>
      </x:c>
      <x:c r="F23" s="135" t="n">
        <x:v>81.46</x:v>
      </x:c>
      <x:c r="G23" s="135" t="n">
        <x:v>81.46</x:v>
      </x:c>
      <x:c r="H23" s="135" t="n">
        <x:v>81.46</x:v>
      </x:c>
      <x:c r="I23" s="135" t="n">
        <x:v>81.46</x:v>
      </x:c>
      <x:c r="J23" s="135" t="n">
        <x:v>81.46</x:v>
      </x:c>
      <x:c r="K23" s="135" t="n">
        <x:v>81.46</x:v>
      </x:c>
      <x:c r="L23" s="135" t="n">
        <x:v>81.46</x:v>
      </x:c>
    </x:row>
    <x:row r="26">
      <x:c r="B26" s="132" t="str">
        <x:v>Interest-rate assumptions</x:v>
      </x:c>
      <x:c r="C26" s="132"/>
      <x:c r="D26" s="132"/>
      <x:c r="E26" s="132"/>
      <x:c r="F26" s="132"/>
      <x:c r="G26" s="132"/>
      <x:c r="H26" s="132"/>
      <x:c r="I26" s="132"/>
      <x:c r="J26" s="132"/>
      <x:c r="K26" s="132"/>
      <x:c r="L26" s="132"/>
    </x:row>
    <x:row r="27">
      <x:c r="B27" t="str">
        <x:v>Term-loan rate</x:v>
      </x:c>
      <x:c r="C27" s="139"/>
      <x:c r="D27" s="139" t="n">
        <x:v>0.074</x:v>
      </x:c>
      <x:c r="E27" s="139" t="n">
        <x:v>0.073</x:v>
      </x:c>
      <x:c r="F27" s="139" t="n">
        <x:v>0.072</x:v>
      </x:c>
      <x:c r="G27" s="139" t="n">
        <x:v>0.071</x:v>
      </x:c>
      <x:c r="H27" s="139" t="n">
        <x:v>0.07</x:v>
      </x:c>
      <x:c r="I27" s="139" t="n">
        <x:v>0.07</x:v>
      </x:c>
      <x:c r="J27" s="139" t="n">
        <x:v>0.07</x:v>
      </x:c>
      <x:c r="K27" s="139" t="n">
        <x:v>0.07</x:v>
      </x:c>
      <x:c r="L27" s="139" t="n">
        <x:v>0.07</x:v>
      </x:c>
    </x:row>
    <x:row r="28">
      <x:c r="B28" t="str">
        <x:v>NCD rate</x:v>
      </x:c>
      <x:c r="C28" s="139"/>
      <x:c r="D28" s="139" t="n">
        <x:v>0.0925</x:v>
      </x:c>
      <x:c r="E28" s="139" t="n">
        <x:v>0.09</x:v>
      </x:c>
      <x:c r="F28" s="139" t="n">
        <x:v>0.0875</x:v>
      </x:c>
      <x:c r="G28" s="139" t="n">
        <x:v>0.085</x:v>
      </x:c>
      <x:c r="H28" s="139" t="n">
        <x:v>0</x:v>
      </x:c>
      <x:c r="I28" s="139" t="n">
        <x:v>0</x:v>
      </x:c>
      <x:c r="J28" s="139" t="n">
        <x:v>0</x:v>
      </x:c>
      <x:c r="K28" s="139" t="n">
        <x:v>0</x:v>
      </x:c>
      <x:c r="L28" s="139" t="n">
        <x:v>0</x:v>
      </x:c>
    </x:row>
    <x:row r="29">
      <x:c r="B29" t="str">
        <x:v>Vehicle / other debt rate</x:v>
      </x:c>
      <x:c r="C29" s="139"/>
      <x:c r="D29" s="139" t="n">
        <x:v>0.083</x:v>
      </x:c>
      <x:c r="E29" s="139" t="n">
        <x:v>0.081</x:v>
      </x:c>
      <x:c r="F29" s="139" t="n">
        <x:v>0.08</x:v>
      </x:c>
      <x:c r="G29" s="139" t="n">
        <x:v>0.08</x:v>
      </x:c>
      <x:c r="H29" s="139" t="n">
        <x:v>0</x:v>
      </x:c>
      <x:c r="I29" s="139" t="n">
        <x:v>0</x:v>
      </x:c>
      <x:c r="J29" s="139" t="n">
        <x:v>0</x:v>
      </x:c>
      <x:c r="K29" s="139" t="n">
        <x:v>0</x:v>
      </x:c>
      <x:c r="L29" s="139" t="n">
        <x:v>0</x:v>
      </x:c>
    </x:row>
    <x:row r="30">
      <x:c r="B30" t="str">
        <x:v>Overdraft rate</x:v>
      </x:c>
      <x:c r="C30" s="139"/>
      <x:c r="D30" s="139" t="n">
        <x:v>0.08</x:v>
      </x:c>
      <x:c r="E30" s="139" t="n">
        <x:v>0.079</x:v>
      </x:c>
      <x:c r="F30" s="139" t="n">
        <x:v>0.078</x:v>
      </x:c>
      <x:c r="G30" s="139" t="n">
        <x:v>0.077</x:v>
      </x:c>
      <x:c r="H30" s="139" t="n">
        <x:v>0.076</x:v>
      </x:c>
      <x:c r="I30" s="139" t="n">
        <x:v>0.075</x:v>
      </x:c>
      <x:c r="J30" s="139" t="n">
        <x:v>0.075</x:v>
      </x:c>
      <x:c r="K30" s="139" t="n">
        <x:v>0.075</x:v>
      </x:c>
      <x:c r="L30" s="139" t="n">
        <x:v>0.075</x:v>
      </x:c>
    </x:row>
    <x:row r="33">
      <x:c r="B33" s="132" t="str">
        <x:v>Other finance-cost assumptions</x:v>
      </x:c>
      <x:c r="C33" s="132"/>
      <x:c r="D33" s="132"/>
      <x:c r="E33" s="132"/>
      <x:c r="F33" s="132"/>
      <x:c r="G33" s="132"/>
      <x:c r="H33" s="132"/>
      <x:c r="I33" s="132"/>
      <x:c r="J33" s="132"/>
      <x:c r="K33" s="132"/>
      <x:c r="L33" s="132"/>
    </x:row>
    <x:row r="34">
      <x:c r="B34" t="str">
        <x:v>Lease-liability interest</x:v>
      </x:c>
      <x:c r="C34" s="135" t="n">
        <x:v>40.86</x:v>
      </x:c>
      <x:c r="D34" s="135" t="n">
        <x:v>45</x:v>
      </x:c>
      <x:c r="E34" s="135" t="n">
        <x:v>47</x:v>
      </x:c>
      <x:c r="F34" s="135" t="n">
        <x:v>49</x:v>
      </x:c>
      <x:c r="G34" s="135" t="n">
        <x:v>50</x:v>
      </x:c>
      <x:c r="H34" s="135" t="n">
        <x:v>51</x:v>
      </x:c>
      <x:c r="I34" s="135" t="n">
        <x:v>52</x:v>
      </x:c>
      <x:c r="J34" s="135" t="n">
        <x:v>53</x:v>
      </x:c>
      <x:c r="K34" s="135" t="n">
        <x:v>54</x:v>
      </x:c>
      <x:c r="L34" s="135" t="n">
        <x:v>55</x:v>
      </x:c>
    </x:row>
    <x:row r="35">
      <x:c r="B35" t="str">
        <x:v>Defined-benefit / long-term obligation interest</x:v>
      </x:c>
      <x:c r="C35" s="135" t="n">
        <x:v>12.19</x:v>
      </x:c>
      <x:c r="D35" s="135" t="n">
        <x:v>13</x:v>
      </x:c>
      <x:c r="E35" s="135" t="n">
        <x:v>14</x:v>
      </x:c>
      <x:c r="F35" s="135" t="n">
        <x:v>15</x:v>
      </x:c>
      <x:c r="G35" s="135" t="n">
        <x:v>16</x:v>
      </x:c>
      <x:c r="H35" s="135" t="n">
        <x:v>17</x:v>
      </x:c>
      <x:c r="I35" s="135" t="n">
        <x:v>18</x:v>
      </x:c>
      <x:c r="J35" s="135" t="n">
        <x:v>19</x:v>
      </x:c>
      <x:c r="K35" s="135" t="n">
        <x:v>20</x:v>
      </x:c>
      <x:c r="L35" s="135" t="n">
        <x:v>21</x:v>
      </x:c>
    </x:row>
    <x:row r="36">
      <x:c r="B36" t="str">
        <x:v>Other borrowing costs</x:v>
      </x:c>
      <x:c r="C36" s="135" t="n">
        <x:v>31.89</x:v>
      </x:c>
      <x:c r="D36" s="135" t="n">
        <x:v>25</x:v>
      </x:c>
      <x:c r="E36" s="135" t="n">
        <x:v>20</x:v>
      </x:c>
      <x:c r="F36" s="135" t="n">
        <x:v>15</x:v>
      </x:c>
      <x:c r="G36" s="135" t="n">
        <x:v>10</x:v>
      </x:c>
      <x:c r="H36" s="135" t="n">
        <x:v>8</x:v>
      </x:c>
      <x:c r="I36" s="135" t="n">
        <x:v>8</x:v>
      </x:c>
      <x:c r="J36" s="135" t="n">
        <x:v>8</x:v>
      </x:c>
      <x:c r="K36" s="135" t="n">
        <x:v>8</x:v>
      </x:c>
      <x:c r="L36" s="135" t="n">
        <x:v>8</x:v>
      </x:c>
    </x:row>
    <x:row r="39">
      <x:c r="B39" s="132" t="str">
        <x:v>Key modelling notes</x:v>
      </x:c>
      <x:c r="C39" s="132"/>
      <x:c r="D39" s="132"/>
      <x:c r="E39" s="132"/>
      <x:c r="F39" s="132"/>
      <x:c r="G39" s="132"/>
      <x:c r="H39" s="132"/>
      <x:c r="I39" s="132"/>
      <x:c r="J39" s="132"/>
      <x:c r="K39" s="132"/>
      <x:c r="L39" s="132"/>
    </x:row>
    <x:row r="41">
      <x:c r="B41" s="109" t="str">
        <x:v>Base case</x:v>
      </x:c>
      <x:c r="C41" s="85" t="str">
        <x:v>No unannounced M&amp;A, refinancing or equity-funded acquisition. Contractual debt is repaid from internal cash generation.</x:v>
      </x:c>
    </x:row>
    <x:row r="42">
      <x:c r="B42" s="109" t="str">
        <x:v>Term loans</x:v>
      </x:c>
      <x:c r="C42" s="85" t="str">
        <x:v>Repayment ladder is aggregated from facility-level maturity terms disclosed in the FY26 annual report.</x:v>
      </x:c>
    </x:row>
    <x:row r="43">
      <x:c r="B43" s="109" t="str">
        <x:v>NCDs</x:v>
      </x:c>
      <x:c r="C43" s="85" t="str">
        <x:v>FY27 current maturity of INR232.5cr is disclosed. FY28-FY30 uses a 20% / 25% / 40% step-up principal assumption after the disclosed 15% FY27 tranche; exact later tranches are not separately disclosed.</x:v>
      </x:c>
    </x:row>
    <x:row r="44">
      <x:c r="B44" s="109" t="str">
        <x:v>Short-term debt</x:v>
      </x:c>
      <x:c r="C44" s="85" t="str">
        <x:v>Includes next 12-month current maturities plus overdraft / other current debt. A rise can reflect reclassification, not fresh borrowing.</x:v>
      </x:c>
    </x:row>
    <x:row r="45">
      <x:c r="B45" s="109" t="str">
        <x:v>Interest</x:v>
      </x:c>
      <x:c r="C45" s="85" t="str">
        <x:v>Forecast on average opening and closing balances. Total finance cost also includes lease interest, benefit-obligation interest and other borrowing costs.</x:v>
      </x:c>
    </x:row>
    <x:row r="46">
      <x:c r="B46" s="109" t="str">
        <x:v>Source 1</x:v>
      </x:c>
      <x:c r="C46" s="85" t="str">
        <x:v>https://www.fortishealthcare.com/drupal-data/2026-07/FHL%20Annual%20Report%20FY%2025-26.pdf</x:v>
      </x:c>
    </x:row>
    <x:row r="47">
      <x:c r="B47" s="109" t="str">
        <x:v>Source 2</x:v>
      </x:c>
      <x:c r="C47" s="85" t="str">
        <x:v>https://www.fortishealthcare.com/investor/disclosure%20under%20reg.%2030%20of%20sebi%20%28lodr%29/fhl%20se%20intimation%20regarding%20%20change%20in%20terms%20of%20debentures-december%2004%2C%202025</x:v>
      </x:c>
    </x:row>
  </x:sheetData>
  <x:mergeCells>
    <x:mergeCell ref="B2:L2"/>
    <x:mergeCell ref="B39:L39"/>
  </x:mergeCells>
  <x:pageMargins left="0.7" right="0.7" top="0.75" bottom="0.75" header="0.3" footer="0.3"/>
</x:worksheet>
</file>