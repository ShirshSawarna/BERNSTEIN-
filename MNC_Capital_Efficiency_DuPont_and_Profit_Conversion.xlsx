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403fce30bf4e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s" sheetId="1" r:id="R7743eaddc68c4a35"/>
    <x:sheet xmlns:r="http://schemas.openxmlformats.org/officeDocument/2006/relationships" name="DuPont" sheetId="2" r:id="Re9c9f1d18e004520"/>
    <x:sheet xmlns:r="http://schemas.openxmlformats.org/officeDocument/2006/relationships" name="Earnings bridge" sheetId="3" r:id="R7228a69654944266"/>
    <x:sheet xmlns:r="http://schemas.openxmlformats.org/officeDocument/2006/relationships" name="Inputs and sources" sheetId="4" r:id="Rb4c8db7aff6c4e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(#,##0.00);&quot;-&quot;"/>
    <x:numFmt numFmtId="201" formatCode="#,##0.00"/>
    <x:numFmt numFmtId="202" formatCode="0.0%"/>
    <x:numFmt numFmtId="203" formatCode="0.00&quot;x&quot;"/>
    <x:numFmt numFmtId="204" formatCode="0.000000"/>
  </x:numFmts>
  <x:fonts count="5">
    <x:font>
      <x:sz val="11"/>
      <x:name val="Carlito"/>
    </x:font>
    <x:font>
      <x:sz val="11"/>
      <x:color rgb="FF000000"/>
      <x:name val="Arial"/>
    </x:font>
    <x:font>
      <x:b/>
      <x:sz val="15"/>
      <x:color rgb="FF000000"/>
      <x:name val="Arial"/>
    </x:font>
    <x:font>
      <x:b/>
      <x:sz val="11"/>
      <x:color rgb="FF000000"/>
      <x:name val="Arial"/>
    </x:font>
    <x:font>
      <x:sz val="11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9E9E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4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5b175d0d54491c" /><Relationship Type="http://schemas.openxmlformats.org/officeDocument/2006/relationships/theme" Target="/xl/theme/theme1.xml" Id="Rb022f0c780b24b85" /><Relationship Type="http://schemas.openxmlformats.org/officeDocument/2006/relationships/sharedStrings" Target="/xl/sharedStrings.xml" Id="Rba211c047cf24f91" /><Relationship Type="http://schemas.openxmlformats.org/officeDocument/2006/relationships/worksheet" Target="/xl/worksheets/sheet1.xml" Id="R7743eaddc68c4a35" /><Relationship Type="http://schemas.openxmlformats.org/officeDocument/2006/relationships/worksheet" Target="/xl/worksheets/sheet2.xml" Id="Re9c9f1d18e004520" /><Relationship Type="http://schemas.openxmlformats.org/officeDocument/2006/relationships/worksheet" Target="/xl/worksheets/sheet3.xml" Id="R7228a69654944266" /><Relationship Type="http://schemas.openxmlformats.org/officeDocument/2006/relationships/worksheet" Target="/xl/worksheets/sheet4.xml" Id="Rb4c8db7aff6c4e3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434605a879e4eea" /><Relationship Type="http://schemas.openxmlformats.org/officeDocument/2006/relationships/chart" Target="/xl/drawings/charts/chart2.xml" Id="R6236ce27a5aa40f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DuPont: return on assets versus return on equity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ROA</c:v>
          </c:tx>
          <c:spPr>
            <a:solidFill xmlns:a="http://schemas.openxmlformats.org/drawingml/2006/main">
              <a:srgbClr val="AFC4D5"/>
            </a:solidFill>
          </c:spPr>
          <c:invertIfNegative val="0"/>
          <c:cat>
            <c:strRef>
              <c:f>'Charts'!$A$6:$A$8</c:f>
              <c:strCache>
                <c:ptCount val="0"/>
              </c:strCache>
            </c:strRef>
          </c:cat>
          <c:val>
            <c:numRef>
              <c:f>'Charts'!$E$6:$E$8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ROE</c:v>
          </c:tx>
          <c:spPr>
            <a:solidFill xmlns:a="http://schemas.openxmlformats.org/drawingml/2006/main">
              <a:srgbClr val="00589C"/>
            </a:solidFill>
          </c:spPr>
          <c:invertIfNegative val="0"/>
          <c:cat>
            <c:strRef>
              <c:f>'Charts'!$A$6:$A$8</c:f>
              <c:strCache>
                <c:ptCount val="0"/>
              </c:strCache>
            </c:strRef>
          </c:cat>
          <c:val>
            <c:numRef>
              <c:f>'Charts'!$F$6:$F$8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Where 100% of operating EBITDA goes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stacked"/>
        <c:varyColors val="0"/>
        <c:ser>
          <c:idx val="0"/>
          <c:order val="0"/>
          <c:tx>
            <c:v>Operating-only PAT estimate</c:v>
          </c:tx>
          <c:spPr>
            <a:solidFill xmlns:a="http://schemas.openxmlformats.org/drawingml/2006/main">
              <a:srgbClr val="00589C"/>
            </a:solidFill>
          </c:spPr>
          <c:invertIfNegative val="0"/>
          <c:cat>
            <c:strRef>
              <c:f>'Charts'!$A$14:$A$16</c:f>
              <c:strCache>
                <c:ptCount val="0"/>
              </c:strCache>
            </c:strRef>
          </c:cat>
          <c:val>
            <c:numRef>
              <c:f>'Charts'!$B$14:$B$16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Tax on operating earnings estimate</c:v>
          </c:tx>
          <c:spPr>
            <a:solidFill xmlns:a="http://schemas.openxmlformats.org/drawingml/2006/main">
              <a:srgbClr val="D8DDE1"/>
            </a:solidFill>
          </c:spPr>
          <c:invertIfNegative val="0"/>
          <c:cat>
            <c:strRef>
              <c:f>'Charts'!$A$14:$A$16</c:f>
              <c:strCache>
                <c:ptCount val="0"/>
              </c:strCache>
            </c:strRef>
          </c:cat>
          <c:val>
            <c:numRef>
              <c:f>'Charts'!$C$14:$C$16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D&amp;A</c:v>
          </c:tx>
          <c:spPr>
            <a:solidFill xmlns:a="http://schemas.openxmlformats.org/drawingml/2006/main">
              <a:srgbClr val="8C9CA7"/>
            </a:solidFill>
          </c:spPr>
          <c:invertIfNegative val="0"/>
          <c:cat>
            <c:strRef>
              <c:f>'Charts'!$A$14:$A$16</c:f>
              <c:strCache>
                <c:ptCount val="0"/>
              </c:strCache>
            </c:strRef>
          </c:cat>
          <c:val>
            <c:numRef>
              <c:f>'Charts'!$D$14:$D$16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Finance costs</c:v>
          </c:tx>
          <c:spPr>
            <a:solidFill xmlns:a="http://schemas.openxmlformats.org/drawingml/2006/main">
              <a:srgbClr val="003F6B"/>
            </a:solidFill>
          </c:spPr>
          <c:invertIfNegative val="0"/>
          <c:cat>
            <c:strRef>
              <c:f>'Charts'!$A$14:$A$16</c:f>
              <c:strCache>
                <c:ptCount val="0"/>
              </c:strCache>
            </c:strRef>
          </c:cat>
          <c:val>
            <c:numRef>
              <c:f>'Charts'!$E$14:$E$16</c:f>
              <c:numCache>
                <c:formatCode>0.0%</c:formatCode>
                <c:ptCount val="0"/>
              </c:numCache>
            </c:numRef>
          </c:val>
        </c:ser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4</xdr:row>
      <xdr:rowOff>0</xdr:rowOff>
    </xdr:from>
    <xdr:to>
      <xdr:col>21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34605a879e4eea"/>
        </a:graphicData>
      </a:graphic>
    </xdr:graphicFrame>
    <xdr:clientData/>
  </xdr:twoCellAnchor>
  <xdr:twoCellAnchor>
    <xdr:from>
      <xdr:col>8</xdr:col>
      <xdr:colOff>0</xdr:colOff>
      <xdr:row>24</xdr:row>
      <xdr:rowOff>0</xdr:rowOff>
    </xdr:from>
    <xdr:to>
      <xdr:col>21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36ce27a5aa40f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3d4e065cd59446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1" hidden="0" customWidth="1"/>
    <x:col min="2" max="2" width="17" hidden="0" customWidth="1"/>
    <x:col min="3" max="3" width="17" hidden="0" customWidth="1"/>
    <x:col min="4" max="4" width="17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</x:cols>
  <x:sheetData>
    <x:row r="1" ht="28" customHeight="1">
      <x:c r="A1" s="2" t="str">
        <x:v>High operating returns and low below-EBITDA costs support earnings quality</x:v>
      </x:c>
      <x:c r="B1" s="2"/>
      <x:c r="C1" s="2"/>
      <x:c r="D1" s="2"/>
      <x:c r="E1" s="2"/>
      <x:c r="F1" s="2"/>
      <x:c r="G1" s="2"/>
      <x:c r="H1" s="2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 ht="34" customHeight="1">
      <x:c r="A2" s="3" t="str">
        <x:v>FY26A common audited basis | GSK, Pfizer, Abbott | DuPont uses average balances. Charts are editable and linked to the calculations.</x:v>
      </x:c>
      <x:c r="B2" s="3"/>
      <x:c r="C2" s="3"/>
      <x:c r="D2" s="3"/>
      <x:c r="E2" s="3"/>
      <x:c r="F2" s="3"/>
      <x:c r="G2" s="3"/>
      <x:c r="H2" s="3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 ht="42" customHeight="1">
      <x:c r="A5" s="6" t="str">
        <x:v>Company</x:v>
      </x:c>
      <x:c r="B5" s="6" t="str">
        <x:v>Net margin</x:v>
      </x:c>
      <x:c r="C5" s="6" t="str">
        <x:v>Asset turnover</x:v>
      </x:c>
      <x:c r="D5" s="6" t="str">
        <x:v>Equity multiplier</x:v>
      </x:c>
      <x:c r="E5" s="6" t="str">
        <x:v>ROA</x:v>
      </x:c>
      <x:c r="F5" s="6" t="str">
        <x:v>ROE</x:v>
      </x:c>
      <x:c r="G5" s="6" t="str">
        <x:v>Debt+leases / assets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</x:row>
    <x:row r="6" ht="25" customHeight="1">
      <x:c r="A6" s="1" t="str">
        <x:v>GSK India</x:v>
      </x:c>
      <x:c r="B6" s="10" t="n">
        <x:f>DuPont!B8</x:f>
        <x:v>0.27108073850450953</x:v>
      </x:c>
      <x:c r="C6" s="11" t="n">
        <x:f>DuPont!B9</x:f>
        <x:v>0.9064766521655614</x:v>
      </x:c>
      <x:c r="D6" s="11" t="n">
        <x:f>DuPont!B10</x:f>
        <x:v>1.9986906716285415</x:v>
      </x:c>
      <x:c r="E6" s="10" t="n">
        <x:f>DuPont!B11</x:f>
        <x:v>0.24572836030613582</x:v>
      </x:c>
      <x:c r="F6" s="10" t="n">
        <x:f>DuPont!B12</x:f>
        <x:v>0.4911349814984508</x:v>
      </x:c>
      <x:c r="G6" s="10" t="n">
        <x:f>DuPont!B15</x:f>
        <x:v>0.007695011113201832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</x:row>
    <x:row r="7" ht="25" customHeight="1">
      <x:c r="A7" s="1" t="str">
        <x:v>Pfizer India</x:v>
      </x:c>
      <x:c r="B7" s="10" t="n">
        <x:f>DuPont!C8</x:f>
        <x:v>0.2867183934276586</x:v>
      </x:c>
      <x:c r="C7" s="11" t="n">
        <x:f>DuPont!C9</x:f>
        <x:v>0.5124890801272045</x:v>
      </x:c>
      <x:c r="D7" s="11" t="n">
        <x:f>DuPont!C10</x:f>
        <x:v>1.1677705452649605</x:v>
      </x:c>
      <x:c r="E7" s="10" t="n">
        <x:f>DuPont!C11</x:f>
        <x:v>0.14694004570329067</x:v>
      </x:c>
      <x:c r="F7" s="10" t="n">
        <x:f>DuPont!C12</x:f>
        <x:v>0.17159225729218994</x:v>
      </x:c>
      <x:c r="G7" s="10" t="n">
        <x:f>DuPont!C15</x:f>
        <x:v>0.014268937885523416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</x:row>
    <x:row r="8" ht="25" customHeight="1">
      <x:c r="A8" s="1" t="str">
        <x:v>Abbott India</x:v>
      </x:c>
      <x:c r="B8" s="10" t="n">
        <x:f>DuPont!D8</x:f>
        <x:v>0.22398741530224203</x:v>
      </x:c>
      <x:c r="C8" s="11" t="n">
        <x:f>DuPont!D9</x:f>
        <x:v>1.1158573310444118</x:v>
      </x:c>
      <x:c r="D8" s="11" t="n">
        <x:f>DuPont!D10</x:f>
        <x:v>1.3787910748345238</x:v>
      </x:c>
      <x:c r="E8" s="10" t="n">
        <x:f>DuPont!D11</x:f>
        <x:v>0.24993799942669603</x:v>
      </x:c>
      <x:c r="F8" s="10" t="n">
        <x:f>DuPont!D12</x:f>
        <x:v>0.34461228287152484</x:v>
      </x:c>
      <x:c r="G8" s="10" t="n">
        <x:f>DuPont!D15</x:f>
        <x:v>0.02645214574749344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</x:row>
    <x:row r="9" ht="2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</x:row>
    <x:row r="10" ht="36" customHeight="1">
      <x:c r="A10" s="3" t="str">
        <x:v>DuPont: net margin x asset turnover = ROA; ROA x equity multiplier = ROE. GSK has the highest ROE, while GSK and Abbott both earn approximately25% on total assets.</x:v>
      </x:c>
      <x:c r="B10" s="3"/>
      <x:c r="C10" s="3"/>
      <x:c r="D10" s="3"/>
      <x:c r="E10" s="3"/>
      <x:c r="F10" s="3"/>
      <x:c r="G10" s="3"/>
      <x:c r="H10" s="3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</x:row>
    <x:row r="11" ht="2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</x:row>
    <x:row r="12" ht="2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</x:row>
    <x:row r="13" ht="52" customHeight="1">
      <x:c r="A13" s="6" t="str">
        <x:v>Company</x:v>
      </x:c>
      <x:c r="B13" s="6" t="str">
        <x:v>Operating-only PAT estimate</x:v>
      </x:c>
      <x:c r="C13" s="6" t="str">
        <x:v>Tax on operating earnings estimate</x:v>
      </x:c>
      <x:c r="D13" s="6" t="str">
        <x:v>D&amp;A</x:v>
      </x:c>
      <x:c r="E13" s="6" t="str">
        <x:v>Finance costs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</x:row>
    <x:row r="14" ht="25" customHeight="1">
      <x:c r="A14" s="1" t="str">
        <x:v>GSK India</x:v>
      </x:c>
      <x:c r="B14" s="10" t="n">
        <x:f>'Earnings bridge'!B26</x:f>
        <x:v>0.6978901567592934</x:v>
      </x:c>
      <x:c r="C14" s="10" t="n">
        <x:f>'Earnings bridge'!B25</x:f>
        <x:v>0.2492713326401447</x:v>
      </x:c>
      <x:c r="D14" s="10" t="n">
        <x:f>'Earnings bridge'!B21</x:f>
        <x:v>0.05075151760130315</x:v>
      </x:c>
      <x:c r="E14" s="10" t="n">
        <x:f>'Earnings bridge'!B22</x:f>
        <x:v>0.002086992999258634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</x:row>
    <x:row r="15" ht="25" customHeight="1">
      <x:c r="A15" s="1" t="str">
        <x:v>Pfizer India</x:v>
      </x:c>
      <x:c r="B15" s="10" t="n">
        <x:f>'Earnings bridge'!C26</x:f>
        <x:v>0.6854003856148854</x:v>
      </x:c>
      <x:c r="C15" s="10" t="n">
        <x:f>'Earnings bridge'!C25</x:f>
        <x:v>0.24025967035299414</x:v>
      </x:c>
      <x:c r="D15" s="10" t="n">
        <x:f>'Earnings bridge'!C21</x:f>
        <x:v>0.06385426229689521</x:v>
      </x:c>
      <x:c r="E15" s="10" t="n">
        <x:f>'Earnings bridge'!C22</x:f>
        <x:v>0.010485681735225476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</x:row>
    <x:row r="16" ht="25" customHeight="1">
      <x:c r="A16" s="1" t="str">
        <x:v>Abbott India</x:v>
      </x:c>
      <x:c r="B16" s="10" t="n">
        <x:f>'Earnings bridge'!D26</x:f>
        <x:v>0.7066006601895254</x:v>
      </x:c>
      <x:c r="C16" s="10" t="n">
        <x:f>'Earnings bridge'!D25</x:f>
        <x:v>0.24004535900628032</x:v>
      </x:c>
      <x:c r="D16" s="10" t="n">
        <x:f>'Earnings bridge'!D21</x:f>
        <x:v>0.0401462940256226</x:v>
      </x:c>
      <x:c r="E16" s="10" t="n">
        <x:f>'Earnings bridge'!D22</x:f>
        <x:v>0.013207686778571731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</x:row>
    <x:row r="18" ht="36" customHeight="1">
      <x:c r="A18" s="3" t="str">
        <x:v>Chart2 bars sum to100% of operating EBITDA. Other income and exceptional items are excluded from this split; reported PAT conversion is shown separately below.</x:v>
      </x:c>
      <x:c r="B18" s="3"/>
      <x:c r="C18" s="3"/>
      <x:c r="D18" s="3"/>
      <x:c r="E18" s="3"/>
      <x:c r="F18" s="3"/>
      <x:c r="G18" s="3"/>
      <x:c r="H18" s="3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</x:row>
    <x:row r="19" ht="2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</x:row>
    <x:row r="20" ht="2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</x:row>
    <x:row r="21" ht="52" customHeight="1">
      <x:c r="A21" s="6" t="str">
        <x:v>Company</x:v>
      </x:c>
      <x:c r="B21" s="6" t="str">
        <x:v>EBITDA margin</x:v>
      </x:c>
      <x:c r="C21" s="6" t="str">
        <x:v>PAT margin</x:v>
      </x:c>
      <x:c r="D21" s="6" t="str">
        <x:v>Reported PAT / EBITDA</x:v>
      </x:c>
      <x:c r="E21" s="6" t="str">
        <x:v>D&amp;A+finance / sales</x:v>
      </x:c>
      <x:c r="F21" s="6" t="str">
        <x:v>Other income / sales</x:v>
      </x:c>
      <x:c r="G21" s="6" t="str">
        <x:v>Audited CFO / PAT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</x:row>
    <x:row r="22" ht="25" customHeight="1">
      <x:c r="A22" s="1" t="str">
        <x:v>GSK India</x:v>
      </x:c>
      <x:c r="B22" s="10" t="n">
        <x:f>'Earnings bridge'!B34</x:f>
        <x:v>0.3425734272987703</x:v>
      </x:c>
      <x:c r="C22" s="10" t="n">
        <x:f>'Earnings bridge'!B35</x:f>
        <x:v>0.27108073850450953</x:v>
      </x:c>
      <x:c r="D22" s="10" t="n">
        <x:f>'Earnings bridge'!B28</x:f>
        <x:v>0.7913069634209852</x:v>
      </x:c>
      <x:c r="E22" s="10" t="n">
        <x:f>'Earnings bridge'!B33</x:f>
        <x:v>0.018101069669796854</x:v>
      </x:c>
      <x:c r="F22" s="10" t="n">
        <x:f>'Earnings bridge'!B36</x:f>
        <x:v>0.03803570722542136</x:v>
      </x:c>
      <x:c r="G22" s="10" t="n">
        <x:f>'Earnings bridge'!B37</x:f>
        <x:v>0.8719256234468847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</x:row>
    <x:row r="23" ht="25" customHeight="1">
      <x:c r="A23" s="1" t="str">
        <x:v>Pfizer India</x:v>
      </x:c>
      <x:c r="B23" s="10" t="n">
        <x:f>'Earnings bridge'!C34</x:f>
        <x:v>0.35881570853094674</x:v>
      </x:c>
      <x:c r="C23" s="10" t="n">
        <x:f>'Earnings bridge'!C35</x:f>
        <x:v>0.2867183934276586</x:v>
      </x:c>
      <x:c r="D23" s="10" t="n">
        <x:f>'Earnings bridge'!C28</x:f>
        <x:v>0.7990686767910274</x:v>
      </x:c>
      <x:c r="E23" s="10" t="n">
        <x:f>'Earnings bridge'!C33</x:f>
        <x:v>0.02667433969003631</x:v>
      </x:c>
      <x:c r="F23" s="10" t="n">
        <x:f>'Earnings bridge'!C36</x:f>
        <x:v>0.07459369356855118</x:v>
      </x:c>
      <x:c r="G23" s="10" t="n">
        <x:f>'Earnings bridge'!C37</x:f>
        <x:v>1.339326993618759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</x:row>
    <x:row r="24" ht="25" customHeight="1">
      <x:c r="A24" s="1" t="str">
        <x:v>Abbott India</x:v>
      </x:c>
      <x:c r="B24" s="10" t="n">
        <x:f>'Earnings bridge'!D34</x:f>
        <x:v>0.2730648501598343</x:v>
      </x:c>
      <x:c r="C24" s="10" t="n">
        <x:f>'Earnings bridge'!D35</x:f>
        <x:v>0.22398741530224203</x:v>
      </x:c>
      <x:c r="D24" s="10" t="n">
        <x:f>'Earnings bridge'!D28</x:f>
        <x:v>0.8202718701112004</x:v>
      </x:c>
      <x:c r="E24" s="10" t="n">
        <x:f>'Earnings bridge'!D33</x:f>
        <x:v>0.014569096773728</x:v>
      </x:c>
      <x:c r="F24" s="10" t="n">
        <x:f>'Earnings bridge'!D36</x:f>
        <x:v>0.04158434417416529</x:v>
      </x:c>
      <x:c r="G24" s="10" t="n">
        <x:f>'Earnings bridge'!D37</x:f>
        <x:v>0.8500148193966572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</x:row>
    <x:row r="25" ht="2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</x:row>
    <x:row r="26" ht="2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</x:row>
    <x:row r="27" ht="36" customHeight="1">
      <x:c r="A27" s="3" t="str">
        <x:v>Recommended title: Low depreciation and finance costs support ~80% EBITDA-to-PAT conversion, while DuPont separates operating returns from equity-base effects.</x:v>
      </x:c>
      <x:c r="B27" s="3"/>
      <x:c r="C27" s="3"/>
      <x:c r="D27" s="3"/>
      <x:c r="E27" s="3"/>
      <x:c r="F27" s="3"/>
      <x:c r="G27" s="3"/>
      <x:c r="H27" s="3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</x:row>
    <x:row r="28" ht="2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</x:row>
    <x:row r="29" ht="36" customHeight="1">
      <x:c r="A29" s="3" t="str">
        <x:v>Bullet1: GSK and Abbott generate approximately25% ROA; financial debt plus leases remain below3% of assets across all three companies.</x:v>
      </x:c>
      <x:c r="B29" s="3"/>
      <x:c r="C29" s="3"/>
      <x:c r="D29" s="3"/>
      <x:c r="E29" s="3"/>
      <x:c r="F29" s="3"/>
      <x:c r="G29" s="3"/>
      <x:c r="H29" s="3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</x:row>
    <x:row r="30" ht="2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</x:row>
    <x:row r="31" ht="36" customHeight="1">
      <x:c r="A31" s="3" t="str">
        <x:v>Bullet2: D&amp;A and finance costs absorb only5-7% of EBITDA; reported EBITDA-to-PAT conversion is79-82%, with other income providing an additional contribution.</x:v>
      </x:c>
      <x:c r="B31" s="3"/>
      <x:c r="C31" s="3"/>
      <x:c r="D31" s="3"/>
      <x:c r="E31" s="3"/>
      <x:c r="F31" s="3"/>
      <x:c r="G31" s="3"/>
      <x:c r="H31" s="3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</x:row>
    <x:row r="32" ht="2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</x:row>
    <x:row r="33" ht="36" customHeight="1">
      <x:c r="A33" s="3" t="str">
        <x:v>Bullet3: Pfizer cash-flow conversion benefited from a net tax refund. GSK equity-base effects lift ROE above ROA, so neither cash conversion nor ROE should be presented without the denominator context.</x:v>
      </x:c>
      <x:c r="B33" s="3"/>
      <x:c r="C33" s="3"/>
      <x:c r="D33" s="3"/>
      <x:c r="E33" s="3"/>
      <x:c r="F33" s="3"/>
      <x:c r="G33" s="3"/>
      <x:c r="H33" s="3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</x:row>
    <x:row r="34" ht="2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</x:row>
    <x:row r="35" ht="2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</x:row>
    <x:row r="36" ht="2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</x:row>
    <x:row r="37" ht="2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</x:row>
    <x:row r="38" ht="2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</x:row>
    <x:row r="39" ht="2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</x:row>
    <x:row r="40" ht="2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</x:row>
    <x:row r="41" ht="2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</x:row>
    <x:row r="42" ht="2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</x:row>
  </x:sheetData>
  <x:mergeCells>
    <x:mergeCell ref="A1:H1"/>
    <x:mergeCell ref="A2:H2"/>
    <x:mergeCell ref="A10:H10"/>
    <x:mergeCell ref="A18:H18"/>
    <x:mergeCell ref="A27:H27"/>
    <x:mergeCell ref="A29:H29"/>
    <x:mergeCell ref="A31:H31"/>
    <x:mergeCell ref="A33:H33"/>
  </x:mergeCells>
  <x:pageMargins left="0.7" right="0.7" top="0.75" bottom="0.75" header="0.3" footer="0.3"/>
  <x:drawing xmlns:r="http://schemas.openxmlformats.org/officeDocument/2006/relationships" r:id="R33d4e065cd594461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1" hidden="0" customWidth="1"/>
    <x:col min="2" max="2" width="17" hidden="0" customWidth="1"/>
    <x:col min="3" max="3" width="17" hidden="0" customWidth="1"/>
    <x:col min="4" max="4" width="17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</x:cols>
  <x:sheetData>
    <x:row r="1" ht="28" customHeight="1">
      <x:c r="A1" s="2" t="str">
        <x:v>Three-factor DuPont and return quality</x:v>
      </x:c>
      <x:c r="B1" s="2"/>
      <x:c r="C1" s="2"/>
      <x:c r="D1" s="2"/>
      <x:c r="E1" s="2"/>
      <x:c r="F1" s="2"/>
      <x:c r="G1" s="2"/>
      <x:c r="H1" s="2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 ht="25" customHeight="1">
      <x:c r="A5" s="6" t="str">
        <x:v>Metric</x:v>
      </x:c>
      <x:c r="B5" s="6" t="str">
        <x:v>GSK India</x:v>
      </x:c>
      <x:c r="C5" s="6" t="str">
        <x:v>Pfizer India</x:v>
      </x:c>
      <x:c r="D5" s="6" t="str">
        <x:v>Abbott India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</x:row>
    <x:row r="6" ht="25" customHeight="1">
      <x:c r="A6" s="1" t="str">
        <x:v>Average total assets</x:v>
      </x:c>
      <x:c r="B6" s="9" t="n">
        <x:f>AVERAGE('Inputs and sources'!B14:B15)</x:f>
        <x:v>42159.659499999994</x:v>
      </x:c>
      <x:c r="C6" s="9" t="n">
        <x:f>AVERAGE('Inputs and sources'!C14:C15)</x:f>
        <x:v>49164.95</x:v>
      </x:c>
      <x:c r="D6" s="9" t="n">
        <x:f>AVERAGE('Inputs and sources'!D14:D15)</x:f>
        <x:v>62096.2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</x:row>
    <x:row r="7" ht="25" customHeight="1">
      <x:c r="A7" s="1" t="str">
        <x:v>Average equity</x:v>
      </x:c>
      <x:c r="B7" s="9" t="n">
        <x:f>AVERAGE('Inputs and sources'!B16:B17)</x:f>
        <x:v>21093.639</x:v>
      </x:c>
      <x:c r="C7" s="9" t="n">
        <x:f>AVERAGE('Inputs and sources'!C16:C17)</x:f>
        <x:v>42101.55</x:v>
      </x:c>
      <x:c r="D7" s="9" t="n">
        <x:f>AVERAGE('Inputs and sources'!D16:D17)</x:f>
        <x:v>45036.7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</x:row>
    <x:row r="8" ht="25" customHeight="1">
      <x:c r="A8" s="1" t="str">
        <x:v>Net profit margin</x:v>
      </x:c>
      <x:c r="B8" s="10" t="n">
        <x:f>'Inputs and sources'!B13/'Inputs and sources'!B6</x:f>
        <x:v>0.27108073850450953</x:v>
      </x:c>
      <x:c r="C8" s="10" t="n">
        <x:f>'Inputs and sources'!C13/'Inputs and sources'!C6</x:f>
        <x:v>0.2867183934276586</x:v>
      </x:c>
      <x:c r="D8" s="10" t="n">
        <x:f>'Inputs and sources'!D13/'Inputs and sources'!D6</x:f>
        <x:v>0.22398741530224203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</x:row>
    <x:row r="9" ht="25" customHeight="1">
      <x:c r="A9" s="1" t="str">
        <x:v>Asset turnover</x:v>
      </x:c>
      <x:c r="B9" s="11" t="n">
        <x:f>'Inputs and sources'!B6/B6</x:f>
        <x:v>0.9064766521655614</x:v>
      </x:c>
      <x:c r="C9" s="11" t="n">
        <x:f>'Inputs and sources'!C6/C6</x:f>
        <x:v>0.5124890801272045</x:v>
      </x:c>
      <x:c r="D9" s="11" t="n">
        <x:f>'Inputs and sources'!D6/D6</x:f>
        <x:v>1.1158573310444118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</x:row>
    <x:row r="10" ht="25" customHeight="1">
      <x:c r="A10" s="1" t="str">
        <x:v>Equity multiplier</x:v>
      </x:c>
      <x:c r="B10" s="11" t="n">
        <x:f>B6/B7</x:f>
        <x:v>1.9986906716285415</x:v>
      </x:c>
      <x:c r="C10" s="11" t="n">
        <x:f>C6/C7</x:f>
        <x:v>1.1677705452649605</x:v>
      </x:c>
      <x:c r="D10" s="11" t="n">
        <x:f>D6/D7</x:f>
        <x:v>1.3787910748345238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</x:row>
    <x:row r="11" ht="25" customHeight="1">
      <x:c r="A11" s="1" t="str">
        <x:v>Reported ROA</x:v>
      </x:c>
      <x:c r="B11" s="10" t="n">
        <x:f>'Inputs and sources'!B13/B6</x:f>
        <x:v>0.24572836030613582</x:v>
      </x:c>
      <x:c r="C11" s="10" t="n">
        <x:f>'Inputs and sources'!C13/C6</x:f>
        <x:v>0.14694004570329067</x:v>
      </x:c>
      <x:c r="D11" s="10" t="n">
        <x:f>'Inputs and sources'!D13/D6</x:f>
        <x:v>0.24993799942669603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</x:row>
    <x:row r="12" ht="25" customHeight="1">
      <x:c r="A12" s="1" t="str">
        <x:v>Reported ROE</x:v>
      </x:c>
      <x:c r="B12" s="10" t="n">
        <x:f>'Inputs and sources'!B13/B7</x:f>
        <x:v>0.4911349814984508</x:v>
      </x:c>
      <x:c r="C12" s="10" t="n">
        <x:f>'Inputs and sources'!C13/C7</x:f>
        <x:v>0.17159225729218994</x:v>
      </x:c>
      <x:c r="D12" s="10" t="n">
        <x:f>'Inputs and sources'!D13/D7</x:f>
        <x:v>0.34461228287152484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</x:row>
    <x:row r="13" ht="25" customHeight="1">
      <x:c r="A13" s="1" t="str">
        <x:v>DuPont identity difference</x:v>
      </x:c>
      <x:c r="B13" s="12" t="n">
        <x:f>B12-B8*B9*B10</x:f>
        <x:v>0</x:v>
      </x:c>
      <x:c r="C13" s="12" t="n">
        <x:f>C12-C8*C9*C10</x:f>
        <x:v>-2.7755575615628914e-17</x:v>
      </x:c>
      <x:c r="D13" s="12" t="n">
        <x:f>D12-D8*D9*D10</x:f>
        <x:v>5.551115123125783e-17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</x:row>
    <x:row r="14" ht="25" customHeight="1">
      <x:c r="A14" s="1" t="str">
        <x:v>EBITDA</x:v>
      </x:c>
      <x:c r="B14" s="9" t="n">
        <x:f>'Inputs and sources'!B11+'Inputs and sources'!B8+'Inputs and sources'!B9-'Inputs and sources'!B7-'Inputs and sources'!B10</x:f>
        <x:v>13092.042</x:v>
      </x:c>
      <x:c r="C14" s="9" t="n">
        <x:f>'Inputs and sources'!C11+'Inputs and sources'!C8+'Inputs and sources'!C9-'Inputs and sources'!C7-'Inputs and sources'!C10</x:f>
        <x:v>9040.9</x:v>
      </x:c>
      <x:c r="D14" s="9" t="n">
        <x:f>'Inputs and sources'!D11+'Inputs and sources'!D8+'Inputs and sources'!D9-'Inputs and sources'!D7-'Inputs and sources'!D10</x:f>
        <x:v>18920.8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</x:row>
    <x:row r="15" ht="25" customHeight="1">
      <x:c r="A15" s="1" t="str">
        <x:v>Debt plus leases / closing assets</x:v>
      </x:c>
      <x:c r="B15" s="10" t="n">
        <x:f>('Inputs and sources'!B18+'Inputs and sources'!B19)/'Inputs and sources'!B15</x:f>
        <x:v>0.007695011113201832</x:v>
      </x:c>
      <x:c r="C15" s="10" t="n">
        <x:f>('Inputs and sources'!C18+'Inputs and sources'!C19)/'Inputs and sources'!C15</x:f>
        <x:v>0.014268937885523416</x:v>
      </x:c>
      <x:c r="D15" s="10" t="n">
        <x:f>('Inputs and sources'!D18+'Inputs and sources'!D19)/'Inputs and sources'!D15</x:f>
        <x:v>0.02645214574749344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</x:row>
    <x:row r="16" ht="25" customHeight="1">
      <x:c r="A16" s="1" t="str">
        <x:v>Effective tax rate</x:v>
      </x:c>
      <x:c r="B16" s="10" t="n">
        <x:f>'Inputs and sources'!B12/'Inputs and sources'!B11</x:f>
        <x:v>0.2631772252461393</x:v>
      </x:c>
      <x:c r="C16" s="10" t="n">
        <x:f>'Inputs and sources'!C12/'Inputs and sources'!C11</x:f>
        <x:v>0.25955497248044934</x:v>
      </x:c>
      <x:c r="D16" s="10" t="n">
        <x:f>'Inputs and sources'!D12/'Inputs and sources'!D11</x:f>
        <x:v>0.2535745718449263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</x:row>
    <x:row r="17" ht="25" customHeight="1">
      <x:c r="A17" s="1" t="str">
        <x:v>Audited CFO / PAT</x:v>
      </x:c>
      <x:c r="B17" s="10" t="n">
        <x:f>'Inputs and sources'!B20/'Inputs and sources'!B13</x:f>
        <x:v>0.8719256234468847</x:v>
      </x:c>
      <x:c r="C17" s="10" t="n">
        <x:f>'Inputs and sources'!C20/'Inputs and sources'!C13</x:f>
        <x:v>1.339326993618759</x:v>
      </x:c>
      <x:c r="D17" s="10" t="n">
        <x:f>'Inputs and sources'!D20/'Inputs and sources'!D13</x:f>
        <x:v>0.8500148193966572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</x:row>
    <x:row r="18" ht="25" customHeight="1">
      <x:c r="A18" s="1" t="str">
        <x:v>Operating EBT excluding other income</x:v>
      </x:c>
      <x:c r="B18" s="9" t="n">
        <x:f>B14-'Inputs and sources'!B8-'Inputs and sources'!B9</x:f>
        <x:v>12400.277999999998</x:v>
      </x:c>
      <x:c r="C18" s="9" t="n">
        <x:f>C14-'Inputs and sources'!C8-'Inputs and sources'!C9</x:f>
        <x:v>8368.800000000001</x:v>
      </x:c>
      <x:c r="D18" s="9" t="n">
        <x:f>D14-'Inputs and sources'!D8-'Inputs and sources'!D9</x:f>
        <x:v>17911.3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</x:row>
    <x:row r="19" ht="25" customHeight="1">
      <x:c r="A19" s="1" t="str">
        <x:v>Estimated tax on operating EBT</x:v>
      </x:c>
      <x:c r="B19" s="9" t="n">
        <x:f>B18*B16</x:f>
        <x:v>3263.4707563207453</x:v>
      </x:c>
      <x:c r="C19" s="9" t="n">
        <x:f>C18*C16</x:f>
        <x:v>2172.1636536943847</x:v>
      </x:c>
      <x:c r="D19" s="9" t="n">
        <x:f>D18*D16</x:f>
        <x:v>4541.8502286860285</x:v>
      </x:c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</x:row>
    <x:row r="20" ht="25" customHeight="1">
      <x:c r="A20" s="1" t="str">
        <x:v>Estimated operating-only PAT</x:v>
      </x:c>
      <x:c r="B20" s="9" t="n">
        <x:f>B18-B19</x:f>
        <x:v>9136.807243679254</x:v>
      </x:c>
      <x:c r="C20" s="9" t="n">
        <x:f>C18-C19</x:f>
        <x:v>6196.636346305617</x:v>
      </x:c>
      <x:c r="D20" s="9" t="n">
        <x:f>D18-D19</x:f>
        <x:v>13369.449771313972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</x:row>
    <x:row r="21" ht="25" customHeight="1">
      <x:c r="A21" s="1" t="str">
        <x:v>Operating-only ROA estimate</x:v>
      </x:c>
      <x:c r="B21" s="10" t="n">
        <x:f>B20/B6</x:f>
        <x:v>0.21671918967180592</x:v>
      </x:c>
      <x:c r="C21" s="10" t="n">
        <x:f>C20/C6</x:f>
        <x:v>0.12603768225749476</x:v>
      </x:c>
      <x:c r="D21" s="10" t="n">
        <x:f>D20/D6</x:f>
        <x:v>0.21530222093000814</x:v>
      </x:c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</x:row>
    <x:row r="22" ht="25" customHeight="1">
      <x:c r="A22" s="1" t="str">
        <x:v>Operating-only ROE estimate</x:v>
      </x:c>
      <x:c r="B22" s="10" t="n">
        <x:f>B20/B7</x:f>
        <x:v>0.43315462275993505</x:v>
      </x:c>
      <x:c r="C22" s="10" t="n">
        <x:f>C20/C7</x:f>
        <x:v>0.1471830929337665</x:v>
      </x:c>
      <x:c r="D22" s="10" t="n">
        <x:f>D20/D7</x:f>
        <x:v>0.29685678061034604</x:v>
      </x:c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</x:row>
    <x:row r="23" ht="25" customHeight="1">
      <x:c r="A23" s="1" t="str">
        <x:v>Operating-only PAT / reported PAT</x:v>
      </x:c>
      <x:c r="B23" s="10" t="n">
        <x:f>B20/'Inputs and sources'!B13</x:f>
        <x:v>0.8819461839968761</x:v>
      </x:c>
      <x:c r="C23" s="10" t="n">
        <x:f>C20/'Inputs and sources'!C13</x:f>
        <x:v>0.8577490339971509</x:v>
      </x:c>
      <x:c r="D23" s="10" t="n">
        <x:f>D20/'Inputs and sources'!D13</x:f>
        <x:v>0.8614225184800435</x:v>
      </x:c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</x:row>
    <x:row r="24" ht="25" customHeight="1">
      <x:c r="A24" s="1" t="str">
        <x:v>Non-operating PAT contribution estimate</x:v>
      </x:c>
      <x:c r="B24" s="9" t="n">
        <x:f>('Inputs and sources'!B7+'Inputs and sources'!B10)*(1-B16)</x:f>
        <x:v>1223.0167563207453</x:v>
      </x:c>
      <x:c r="C24" s="9" t="n">
        <x:f>('Inputs and sources'!C7+'Inputs and sources'!C10)*(1-C16)</x:f>
        <x:v>1027.6636536943845</x:v>
      </x:c>
      <x:c r="D24" s="9" t="n">
        <x:f>('Inputs and sources'!D7+'Inputs and sources'!D10)*(1-D16)</x:f>
        <x:v>2150.7502286860295</x:v>
      </x:c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</x:row>
    <x:row r="25" ht="25" customHeight="1">
      <x:c r="A25" s="1" t="str">
        <x:v>PAT decomposition difference</x:v>
      </x:c>
      <x:c r="B25" s="12" t="n">
        <x:f>'Inputs and sources'!B13-B20-B24</x:f>
        <x:v>1.5916157281026244e-12</x:v>
      </x:c>
      <x:c r="C25" s="12" t="n">
        <x:f>'Inputs and sources'!C13-C20-C24</x:f>
        <x:v>-1.1368683772161603e-12</x:v>
      </x:c>
      <x:c r="D25" s="12" t="n">
        <x:f>'Inputs and sources'!D13-D20-D24</x:f>
        <x:v>-4.547473508864641e-13</x:v>
      </x:c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</x:row>
    <x:row r="26" ht="25" customHeight="1">
      <x:c r="A26" s="1" t="str">
        <x:v>Dividends paid / PAT</x:v>
      </x:c>
      <x:c r="B26" s="10" t="n">
        <x:f>'Inputs and sources'!B24/'Inputs and sources'!B13</x:f>
        <x:v>0.6891738701352456</x:v>
      </x:c>
      <x:c r="C26" s="10" t="n">
        <x:f>'Inputs and sources'!C24/'Inputs and sources'!C13</x:f>
        <x:v>1.0404329831263928</x:v>
      </x:c>
      <x:c r="D26" s="10" t="n">
        <x:f>'Inputs and sources'!D24/'Inputs and sources'!D13</x:f>
        <x:v>0.6503395574799293</x:v>
      </x:c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</x:row>
    <x:row r="27" ht="25" customHeight="1">
      <x:c r="A27" s="1" t="str">
        <x:v>Closing equity growth</x:v>
      </x:c>
      <x:c r="B27" s="10" t="n">
        <x:f>'Inputs and sources'!B17/'Inputs and sources'!B16-1</x:f>
        <x:v>0.16199695927460445</x:v>
      </x:c>
      <x:c r="C27" s="10" t="n">
        <x:f>'Inputs and sources'!C17/'Inputs and sources'!C16-1</x:f>
        <x:v>-0.003440500212215536</x:v>
      </x:c>
      <x:c r="D27" s="10" t="n">
        <x:f>'Inputs and sources'!D17/'Inputs and sources'!D16-1</x:f>
        <x:v>0.12781025949942726</x:v>
      </x:c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</x:row>
    <x:row r="28" ht="25" customHeight="1">
      <x:c r="A28" s="1" t="str">
        <x:v>Equity-base uplift: ROE less ROA</x:v>
      </x:c>
      <x:c r="B28" s="10" t="n">
        <x:f>B12-B11</x:f>
        <x:v>0.245406621192315</x:v>
      </x:c>
      <x:c r="C28" s="10" t="n">
        <x:f>C12-C11</x:f>
        <x:v>0.02465221158889927</x:v>
      </x:c>
      <x:c r="D28" s="10" t="n">
        <x:f>D12-D11</x:f>
        <x:v>0.09467428344482881</x:v>
      </x:c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</x:row>
    <x:row r="29" ht="2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</x:row>
    <x:row r="30" ht="2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</x:row>
    <x:row r="31" ht="25" customHeight="1">
      <x:c r="A31" s="1" t="str">
        <x:v>Tax retention: PAT / PBT</x:v>
      </x:c>
      <x:c r="B31" s="10" t="n">
        <x:f>'Inputs and sources'!B13/'Inputs and sources'!B11</x:f>
        <x:v>0.7368227747538608</x:v>
      </x:c>
      <x:c r="C31" s="10" t="n">
        <x:f>'Inputs and sources'!C13/'Inputs and sources'!C11</x:f>
        <x:v>0.7404450275195507</x:v>
      </x:c>
      <x:c r="D31" s="10" t="n">
        <x:f>'Inputs and sources'!D13/'Inputs and sources'!D11</x:f>
        <x:v>0.7464254281550736</x:v>
      </x:c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</x:row>
    <x:row r="32" ht="25" customHeight="1">
      <x:c r="A32" s="1" t="str">
        <x:v>Pre-tax / EBIT multiplier</x:v>
      </x:c>
      <x:c r="B32" s="11" t="n">
        <x:f>'Inputs and sources'!B11/(B14-'Inputs and sources'!B8)</x:f>
        <x:v>1.1313631649422926</x:v>
      </x:c>
      <x:c r="C32" s="11" t="n">
        <x:f>'Inputs and sources'!C11/(C14-'Inputs and sources'!C8)</x:f>
        <x:v>1.152783685429368</x:v>
      </x:c>
      <x:c r="D32" s="11" t="n">
        <x:f>'Inputs and sources'!D11/(D14-'Inputs and sources'!D8)</x:f>
        <x:v>1.144896812985926</x:v>
      </x:c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</x:row>
    <x:row r="33" ht="25" customHeight="1">
      <x:c r="A33" s="1" t="str">
        <x:v>EBIT margin</x:v>
      </x:c>
      <x:c r="B33" s="10" t="n">
        <x:f>(B14-'Inputs and sources'!B8)/'Inputs and sources'!B6</x:f>
        <x:v>0.325187305973478</x:v>
      </x:c>
      <x:c r="C33" s="10" t="n">
        <x:f>(C14-'Inputs and sources'!C8)/'Inputs and sources'!C6</x:f>
        <x:v>0.33590379616216537</x:v>
      </x:c>
      <x:c r="D33" s="10" t="n">
        <x:f>(D14-'Inputs and sources'!D8)/'Inputs and sources'!D6</x:f>
        <x:v>0.26210230839725507</x:v>
      </x:c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</x:row>
    <x:row r="34" ht="25" customHeight="1">
      <x:c r="A34" s="1" t="str">
        <x:v>Five-factor product</x:v>
      </x:c>
      <x:c r="B34" s="10" t="n">
        <x:f>B31*B32*B33*B9*B10</x:f>
        <x:v>0.4911349814984508</x:v>
      </x:c>
      <x:c r="C34" s="10" t="n">
        <x:f>C31*C32*C33*C9*C10</x:f>
        <x:v>0.17159225729218996</x:v>
      </x:c>
      <x:c r="D34" s="10" t="n">
        <x:f>D31*D32*D33*D9*D10</x:f>
        <x:v>0.3446122828715248</x:v>
      </x:c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</x:row>
    <x:row r="35" ht="25" customHeight="1">
      <x:c r="A35" s="1" t="str">
        <x:v>Five-factor identity difference</x:v>
      </x:c>
      <x:c r="B35" s="12" t="n">
        <x:f>B34-B12</x:f>
        <x:v>0</x:v>
      </x:c>
      <x:c r="C35" s="12" t="n">
        <x:f>C34-C12</x:f>
        <x:v>2.7755575615628914e-17</x:v>
      </x:c>
      <x:c r="D35" s="12" t="n">
        <x:f>D34-D12</x:f>
        <x:v>-5.551115123125783e-17</x:v>
      </x:c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</x:row>
    <x:row r="36" ht="2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</x:row>
    <x:row r="37" ht="2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</x:row>
    <x:row r="38" ht="25" customHeight="1">
      <x:c r="A38" s="3" t="str">
        <x:v>Five-factor DuPont is also reconciled. PBT / EBIT is labelled a pre-tax/non-operating multiplier because interest income and exceptional items can lift it above1; it is not solely an interest burden.</x:v>
      </x:c>
      <x:c r="B38" s="3"/>
      <x:c r="C38" s="3"/>
      <x:c r="D38" s="3"/>
      <x:c r="E38" s="3"/>
      <x:c r="F38" s="3"/>
      <x:c r="G38" s="3"/>
      <x:c r="H38" s="3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</x:row>
    <x:row r="39" ht="25" customHeight="1">
      <x:c r="A39" s="3" t="str">
        <x:v>GSK ROE exceeds ROA because of its equity base and operating liabilities. Low financial debt does not mean the equity multiplier equals1. ROA provides a denominator check.</x:v>
      </x:c>
      <x:c r="B39" s="3"/>
      <x:c r="C39" s="3"/>
      <x:c r="D39" s="3"/>
      <x:c r="E39" s="3"/>
      <x:c r="F39" s="3"/>
      <x:c r="G39" s="3"/>
      <x:c r="H39" s="3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</x:row>
    <x:row r="40" ht="2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</x:row>
    <x:row r="41" ht="2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</x:row>
    <x:row r="42" ht="2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</x:row>
  </x:sheetData>
  <x:mergeCells>
    <x:mergeCell ref="A1:H1"/>
    <x:mergeCell ref="A38:H38"/>
    <x:mergeCell ref="A39:H3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1" hidden="0" customWidth="1"/>
    <x:col min="2" max="2" width="17" hidden="0" customWidth="1"/>
    <x:col min="3" max="3" width="17" hidden="0" customWidth="1"/>
    <x:col min="4" max="4" width="17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</x:cols>
  <x:sheetData>
    <x:row r="1" ht="28" customHeight="1">
      <x:c r="A1" s="2" t="str">
        <x:v>EBITDA to PAT and cash conversion</x:v>
      </x:c>
      <x:c r="B1" s="2"/>
      <x:c r="C1" s="2"/>
      <x:c r="D1" s="2"/>
      <x:c r="E1" s="2"/>
      <x:c r="F1" s="2"/>
      <x:c r="G1" s="2"/>
      <x:c r="H1" s="2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 ht="25" customHeight="1">
      <x:c r="A5" s="6" t="str">
        <x:v>Metric</x:v>
      </x:c>
      <x:c r="B5" s="6" t="str">
        <x:v>GSK India</x:v>
      </x:c>
      <x:c r="C5" s="6" t="str">
        <x:v>Pfizer India</x:v>
      </x:c>
      <x:c r="D5" s="6" t="str">
        <x:v>Abbott India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</x:row>
    <x:row r="6" ht="25" customHeight="1">
      <x:c r="A6" s="1" t="str">
        <x:v>Revenue</x:v>
      </x:c>
      <x:c r="B6" s="7" t="n">
        <x:f>'Inputs and sources'!B6</x:f>
        <x:v>38216.747</x:v>
      </x:c>
      <x:c r="C6" s="7" t="n">
        <x:f>'Inputs and sources'!C6</x:f>
        <x:v>25196.5</x:v>
      </x:c>
      <x:c r="D6" s="7" t="n">
        <x:f>'Inputs and sources'!D6</x:f>
        <x:v>69290.5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</x:row>
    <x:row r="7" ht="25" customHeight="1">
      <x:c r="A7" s="1" t="str">
        <x:v>Operating EBITDA</x:v>
      </x:c>
      <x:c r="B7" s="7" t="n">
        <x:f>DuPont!B14</x:f>
        <x:v>13092.042</x:v>
      </x:c>
      <x:c r="C7" s="7" t="n">
        <x:f>DuPont!C14</x:f>
        <x:v>9040.9</x:v>
      </x:c>
      <x:c r="D7" s="7" t="n">
        <x:f>DuPont!D14</x:f>
        <x:v>18920.8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</x:row>
    <x:row r="8" ht="25" customHeight="1">
      <x:c r="A8" s="1" t="str">
        <x:v>D&amp;A</x:v>
      </x:c>
      <x:c r="B8" s="7" t="n">
        <x:f>'Inputs and sources'!B8</x:f>
        <x:v>664.441</x:v>
      </x:c>
      <x:c r="C8" s="7" t="n">
        <x:f>'Inputs and sources'!C8</x:f>
        <x:v>577.3</x:v>
      </x:c>
      <x:c r="D8" s="7" t="n">
        <x:f>'Inputs and sources'!D8</x:f>
        <x:v>759.6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</x:row>
    <x:row r="9" ht="25" customHeight="1">
      <x:c r="A9" s="1" t="str">
        <x:v>Finance costs</x:v>
      </x:c>
      <x:c r="B9" s="7" t="n">
        <x:f>'Inputs and sources'!B9</x:f>
        <x:v>27.323</x:v>
      </x:c>
      <x:c r="C9" s="7" t="n">
        <x:f>'Inputs and sources'!C9</x:f>
        <x:v>94.8</x:v>
      </x:c>
      <x:c r="D9" s="7" t="n">
        <x:f>'Inputs and sources'!D9</x:f>
        <x:v>249.9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</x:row>
    <x:row r="10" ht="25" customHeight="1">
      <x:c r="A10" s="1" t="str">
        <x:v>EBIT</x:v>
      </x:c>
      <x:c r="B10" s="7" t="n">
        <x:f>B7-B8</x:f>
        <x:v>12427.600999999999</x:v>
      </x:c>
      <x:c r="C10" s="7" t="n">
        <x:f>C7-C8</x:f>
        <x:v>8463.6</x:v>
      </x:c>
      <x:c r="D10" s="7" t="n">
        <x:f>D7-D8</x:f>
        <x:v>18161.2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</x:row>
    <x:row r="11" ht="25" customHeight="1">
      <x:c r="A11" s="1" t="str">
        <x:v>Operating EBT after finance</x:v>
      </x:c>
      <x:c r="B11" s="7" t="n">
        <x:f>B10-B9</x:f>
        <x:v>12400.277999999998</x:v>
      </x:c>
      <x:c r="C11" s="7" t="n">
        <x:f>C10-C9</x:f>
        <x:v>8368.800000000001</x:v>
      </x:c>
      <x:c r="D11" s="7" t="n">
        <x:f>D10-D9</x:f>
        <x:v>17911.3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</x:row>
    <x:row r="12" ht="25" customHeight="1">
      <x:c r="A12" s="1" t="str">
        <x:v>Other income</x:v>
      </x:c>
      <x:c r="B12" s="7" t="n">
        <x:f>'Inputs and sources'!B7</x:f>
        <x:v>1453.601</x:v>
      </x:c>
      <x:c r="C12" s="7" t="n">
        <x:f>'Inputs and sources'!C7</x:f>
        <x:v>1879.5</x:v>
      </x:c>
      <x:c r="D12" s="7" t="n">
        <x:f>'Inputs and sources'!D7</x:f>
        <x:v>2881.4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</x:row>
    <x:row r="13" ht="25" customHeight="1">
      <x:c r="A13" s="1" t="str">
        <x:v>Exceptional gain / (cost)</x:v>
      </x:c>
      <x:c r="B13" s="7" t="n">
        <x:f>'Inputs and sources'!B10</x:f>
        <x:v>206.251</x:v>
      </x:c>
      <x:c r="C13" s="7" t="n">
        <x:f>'Inputs and sources'!C10</x:f>
        <x:v>-491.6</x:v>
      </x:c>
      <x:c r="D13" s="7" t="n">
        <x:f>'Inputs and sources'!D10</x:f>
        <x:v>0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</x:row>
    <x:row r="14" ht="25" customHeight="1">
      <x:c r="A14" s="1" t="str">
        <x:v>PBT</x:v>
      </x:c>
      <x:c r="B14" s="7" t="n">
        <x:f>'Inputs and sources'!B11</x:f>
        <x:v>14060.13</x:v>
      </x:c>
      <x:c r="C14" s="7" t="n">
        <x:f>'Inputs and sources'!C11</x:f>
        <x:v>9756.7</x:v>
      </x:c>
      <x:c r="D14" s="7" t="n">
        <x:f>'Inputs and sources'!D11</x:f>
        <x:v>20792.7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</x:row>
    <x:row r="15" ht="25" customHeight="1">
      <x:c r="A15" s="1" t="str">
        <x:v>Tax expense</x:v>
      </x:c>
      <x:c r="B15" s="7" t="n">
        <x:f>'Inputs and sources'!B12</x:f>
        <x:v>3700.306</x:v>
      </x:c>
      <x:c r="C15" s="7" t="n">
        <x:f>'Inputs and sources'!C12</x:f>
        <x:v>2532.4</x:v>
      </x:c>
      <x:c r="D15" s="7" t="n">
        <x:f>'Inputs and sources'!D12</x:f>
        <x:v>5272.5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</x:row>
    <x:row r="16" ht="25" customHeight="1">
      <x:c r="A16" s="1" t="str">
        <x:v>Reported PAT</x:v>
      </x:c>
      <x:c r="B16" s="7" t="n">
        <x:f>'Inputs and sources'!B13</x:f>
        <x:v>10359.824</x:v>
      </x:c>
      <x:c r="C16" s="7" t="n">
        <x:f>'Inputs and sources'!C13</x:f>
        <x:v>7224.3</x:v>
      </x:c>
      <x:c r="D16" s="7" t="n">
        <x:f>'Inputs and sources'!D13</x:f>
        <x:v>15520.2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</x:row>
    <x:row r="17" ht="25" customHeight="1">
      <x:c r="A17" s="1" t="str">
        <x:v>P&amp;L bridge difference</x:v>
      </x:c>
      <x:c r="B17" s="12" t="n">
        <x:f>B7-B8-B9+B12+B13-B15-B16</x:f>
        <x:v>-1.8189894035458565e-12</x:v>
      </x:c>
      <x:c r="C17" s="12" t="n">
        <x:f>C7-C8-C9+C12+C13-C15-C16</x:f>
        <x:v>9.094947017729282e-13</x:v>
      </x:c>
      <x:c r="D17" s="12" t="n">
        <x:f>D7-D8-D9+D12+D13-D15-D16</x:f>
        <x:v>0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</x:row>
    <x:row r="18" ht="2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</x:row>
    <x:row r="19" ht="2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</x:row>
    <x:row r="20" ht="25" customHeight="1">
      <x:c r="A20" s="1" t="str">
        <x:v>EBITDA base</x:v>
      </x:c>
      <x:c r="B20" s="10" t="n">
        <x:f>1</x:f>
        <x:v>1</x:v>
      </x:c>
      <x:c r="C20" s="10" t="n">
        <x:f>1</x:f>
        <x:v>1</x:v>
      </x:c>
      <x:c r="D20" s="10" t="n">
        <x:f>1</x:f>
        <x:v>1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</x:row>
    <x:row r="21" ht="25" customHeight="1">
      <x:c r="A21" s="1" t="str">
        <x:v>D&amp;A / EBITDA</x:v>
      </x:c>
      <x:c r="B21" s="10" t="n">
        <x:f>B8/B7</x:f>
        <x:v>0.05075151760130315</x:v>
      </x:c>
      <x:c r="C21" s="10" t="n">
        <x:f>C8/C7</x:f>
        <x:v>0.06385426229689521</x:v>
      </x:c>
      <x:c r="D21" s="10" t="n">
        <x:f>D8/D7</x:f>
        <x:v>0.0401462940256226</x:v>
      </x:c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</x:row>
    <x:row r="22" ht="25" customHeight="1">
      <x:c r="A22" s="1" t="str">
        <x:v>Finance costs / EBITDA</x:v>
      </x:c>
      <x:c r="B22" s="10" t="n">
        <x:f>B9/B7</x:f>
        <x:v>0.002086992999258634</x:v>
      </x:c>
      <x:c r="C22" s="10" t="n">
        <x:f>C9/C7</x:f>
        <x:v>0.010485681735225476</x:v>
      </x:c>
      <x:c r="D22" s="10" t="n">
        <x:f>D9/D7</x:f>
        <x:v>0.013207686778571731</x:v>
      </x:c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</x:row>
    <x:row r="23" ht="25" customHeight="1">
      <x:c r="A23" s="1" t="str">
        <x:v>Operating EBT / EBITDA</x:v>
      </x:c>
      <x:c r="B23" s="10" t="n">
        <x:f>B11/B7</x:f>
        <x:v>0.9471614893994381</x:v>
      </x:c>
      <x:c r="C23" s="10" t="n">
        <x:f>C11/C7</x:f>
        <x:v>0.9256600559678795</x:v>
      </x:c>
      <x:c r="D23" s="10" t="n">
        <x:f>D11/D7</x:f>
        <x:v>0.9466460191958057</x:v>
      </x:c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</x:row>
    <x:row r="24" ht="25" customHeight="1">
      <x:c r="A24" s="1" t="str">
        <x:v>Reported effective tax rate</x:v>
      </x:c>
      <x:c r="B24" s="10" t="n">
        <x:f>B15/B14</x:f>
        <x:v>0.2631772252461393</x:v>
      </x:c>
      <x:c r="C24" s="10" t="n">
        <x:f>C15/C14</x:f>
        <x:v>0.25955497248044934</x:v>
      </x:c>
      <x:c r="D24" s="10" t="n">
        <x:f>D15/D14</x:f>
        <x:v>0.2535745718449263</x:v>
      </x:c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</x:row>
    <x:row r="25" ht="25" customHeight="1">
      <x:c r="A25" s="1" t="str">
        <x:v>Estimated operating tax / EBITDA</x:v>
      </x:c>
      <x:c r="B25" s="10" t="n">
        <x:f>B23*B24</x:f>
        <x:v>0.2492713326401447</x:v>
      </x:c>
      <x:c r="C25" s="10" t="n">
        <x:f>C23*C24</x:f>
        <x:v>0.24025967035299414</x:v>
      </x:c>
      <x:c r="D25" s="10" t="n">
        <x:f>D23*D24</x:f>
        <x:v>0.24004535900628032</x:v>
      </x:c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</x:row>
    <x:row r="26" ht="25" customHeight="1">
      <x:c r="A26" s="1" t="str">
        <x:v>Estimated operating-only PAT / EBITDA</x:v>
      </x:c>
      <x:c r="B26" s="10" t="n">
        <x:f>B23-B25</x:f>
        <x:v>0.6978901567592934</x:v>
      </x:c>
      <x:c r="C26" s="10" t="n">
        <x:f>C23-C25</x:f>
        <x:v>0.6854003856148854</x:v>
      </x:c>
      <x:c r="D26" s="10" t="n">
        <x:f>D23-D25</x:f>
        <x:v>0.7066006601895254</x:v>
      </x:c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</x:row>
    <x:row r="27" ht="25" customHeight="1">
      <x:c r="A27" s="1" t="str">
        <x:v>Operating split check less100%</x:v>
      </x:c>
      <x:c r="B27" s="12" t="n">
        <x:f>SUM(B21:B22)+B25+B26-1</x:f>
        <x:v>0</x:v>
      </x:c>
      <x:c r="C27" s="12" t="n">
        <x:f>SUM(C21:C22)+C25+C26-1</x:f>
        <x:v>2.220446049250313e-16</x:v>
      </x:c>
      <x:c r="D27" s="12" t="n">
        <x:f>SUM(D21:D22)+D25+D26-1</x:f>
        <x:v>0</x:v>
      </x:c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</x:row>
    <x:row r="28" ht="25" customHeight="1">
      <x:c r="A28" s="1" t="str">
        <x:v>Reported PAT / EBITDA</x:v>
      </x:c>
      <x:c r="B28" s="10" t="n">
        <x:f>B16/B7</x:f>
        <x:v>0.7913069634209852</x:v>
      </x:c>
      <x:c r="C28" s="10" t="n">
        <x:f>C16/C7</x:f>
        <x:v>0.7990686767910274</x:v>
      </x:c>
      <x:c r="D28" s="10" t="n">
        <x:f>D16/D7</x:f>
        <x:v>0.8202718701112004</x:v>
      </x:c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</x:row>
    <x:row r="29" ht="25" customHeight="1">
      <x:c r="A29" s="1" t="str">
        <x:v>Other income / EBITDA</x:v>
      </x:c>
      <x:c r="B29" s="10" t="n">
        <x:f>B12/B7</x:f>
        <x:v>0.11102935661220764</x:v>
      </x:c>
      <x:c r="C29" s="10" t="n">
        <x:f>C12/C7</x:f>
        <x:v>0.2078885951619861</x:v>
      </x:c>
      <x:c r="D29" s="10" t="n">
        <x:f>D12/D7</x:f>
        <x:v>0.15228742970698914</x:v>
      </x:c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</x:row>
    <x:row r="30" ht="25" customHeight="1">
      <x:c r="A30" s="1" t="str">
        <x:v>Exceptional gain / (cost) / EBITDA</x:v>
      </x:c>
      <x:c r="B30" s="10" t="n">
        <x:f>B13/B7</x:f>
        <x:v>0.01575392135161192</x:v>
      </x:c>
      <x:c r="C30" s="10" t="n">
        <x:f>C13/C7</x:f>
        <x:v>-0.054375117521485695</x:v>
      </x:c>
      <x:c r="D30" s="10" t="n">
        <x:f>D13/D7</x:f>
        <x:v>0</x:v>
      </x:c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</x:row>
    <x:row r="31" ht="25" customHeight="1">
      <x:c r="A31" s="1" t="str">
        <x:v>Reported tax / EBITDA</x:v>
      </x:c>
      <x:c r="B31" s="10" t="n">
        <x:f>B15/B7</x:f>
        <x:v>0.2826378039422727</x:v>
      </x:c>
      <x:c r="C31" s="10" t="n">
        <x:f>C15/C7</x:f>
        <x:v>0.28010485681735225</x:v>
      </x:c>
      <x:c r="D31" s="10" t="n">
        <x:f>D15/D7</x:f>
        <x:v>0.2786615787915944</x:v>
      </x:c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</x:row>
    <x:row r="32" ht="25" customHeight="1">
      <x:c r="A32" s="1" t="str">
        <x:v>Reported PAT conversion check</x:v>
      </x:c>
      <x:c r="B32" s="12" t="n">
        <x:f>B28-(1-B21-B22+B29+B30-B31)</x:f>
        <x:v>1.1102230246251565e-16</x:v>
      </x:c>
      <x:c r="C32" s="12" t="n">
        <x:f>C28-(1-C21-C22+C29+C30-C31)</x:f>
        <x:v>1.1102230246251565e-16</x:v>
      </x:c>
      <x:c r="D32" s="12" t="n">
        <x:f>D28-(1-D21-D22+D29+D30-D31)</x:f>
        <x:v>2.220446049250313e-16</x:v>
      </x:c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</x:row>
    <x:row r="33" ht="25" customHeight="1">
      <x:c r="A33" s="1" t="str">
        <x:v>D&amp;A plus finance / sales</x:v>
      </x:c>
      <x:c r="B33" s="10" t="n">
        <x:f>(B8+B9)/B6</x:f>
        <x:v>0.018101069669796854</x:v>
      </x:c>
      <x:c r="C33" s="10" t="n">
        <x:f>(C8+C9)/C6</x:f>
        <x:v>0.02667433969003631</x:v>
      </x:c>
      <x:c r="D33" s="10" t="n">
        <x:f>(D8+D9)/D6</x:f>
        <x:v>0.014569096773728</x:v>
      </x:c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</x:row>
    <x:row r="34" ht="25" customHeight="1">
      <x:c r="A34" s="1" t="str">
        <x:v>EBITDA margin</x:v>
      </x:c>
      <x:c r="B34" s="10" t="n">
        <x:f>B7/B6</x:f>
        <x:v>0.3425734272987703</x:v>
      </x:c>
      <x:c r="C34" s="10" t="n">
        <x:f>C7/C6</x:f>
        <x:v>0.35881570853094674</x:v>
      </x:c>
      <x:c r="D34" s="10" t="n">
        <x:f>D7/D6</x:f>
        <x:v>0.2730648501598343</x:v>
      </x:c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</x:row>
    <x:row r="35" ht="25" customHeight="1">
      <x:c r="A35" s="1" t="str">
        <x:v>Reported PAT margin</x:v>
      </x:c>
      <x:c r="B35" s="10" t="n">
        <x:f>B16/B6</x:f>
        <x:v>0.27108073850450953</x:v>
      </x:c>
      <x:c r="C35" s="10" t="n">
        <x:f>C16/C6</x:f>
        <x:v>0.2867183934276586</x:v>
      </x:c>
      <x:c r="D35" s="10" t="n">
        <x:f>D16/D6</x:f>
        <x:v>0.22398741530224203</x:v>
      </x:c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</x:row>
    <x:row r="36" ht="25" customHeight="1">
      <x:c r="A36" s="1" t="str">
        <x:v>Other income / sales</x:v>
      </x:c>
      <x:c r="B36" s="10" t="n">
        <x:f>B12/B6</x:f>
        <x:v>0.03803570722542136</x:v>
      </x:c>
      <x:c r="C36" s="10" t="n">
        <x:f>C12/C6</x:f>
        <x:v>0.07459369356855118</x:v>
      </x:c>
      <x:c r="D36" s="10" t="n">
        <x:f>D12/D6</x:f>
        <x:v>0.04158434417416529</x:v>
      </x:c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</x:row>
    <x:row r="37" ht="25" customHeight="1">
      <x:c r="A37" s="1" t="str">
        <x:v>Audited CFO / PAT</x:v>
      </x:c>
      <x:c r="B37" s="10" t="n">
        <x:f>'Inputs and sources'!B20/B16</x:f>
        <x:v>0.8719256234468847</x:v>
      </x:c>
      <x:c r="C37" s="10" t="n">
        <x:f>'Inputs and sources'!C20/C16</x:f>
        <x:v>1.339326993618759</x:v>
      </x:c>
      <x:c r="D37" s="10" t="n">
        <x:f>'Inputs and sources'!D20/D16</x:f>
        <x:v>0.8500148193966572</x:v>
      </x:c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</x:row>
    <x:row r="38" ht="25" customHeight="1">
      <x:c r="A38" s="1" t="str">
        <x:v>(CFO less cash capex) / PAT</x:v>
      </x:c>
      <x:c r="B38" s="10" t="n">
        <x:f>('Inputs and sources'!B20-'Inputs and sources'!B23)/B16</x:f>
        <x:v>0.8185664158001139</x:v>
      </x:c>
      <x:c r="C38" s="10" t="n">
        <x:f>('Inputs and sources'!C20-'Inputs and sources'!C23)/C16</x:f>
        <x:v>1.3044031947731962</x:v>
      </x:c>
      <x:c r="D38" s="10" t="n">
        <x:f>('Inputs and sources'!D20-'Inputs and sources'!D23)/D16</x:f>
        <x:v>0.823649179778611</x:v>
      </x:c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</x:row>
    <x:row r="39" ht="25" customHeight="1">
      <x:c r="A39" s="1" t="str">
        <x:v>Audited CFO</x:v>
      </x:c>
      <x:c r="B39" s="7" t="n">
        <x:f>'Inputs and sources'!B20</x:f>
        <x:v>9032.996</x:v>
      </x:c>
      <x:c r="C39" s="7" t="n">
        <x:f>'Inputs and sources'!C20</x:f>
        <x:v>9675.7</x:v>
      </x:c>
      <x:c r="D39" s="7" t="n">
        <x:f>'Inputs and sources'!D20</x:f>
        <x:v>13192.4</x:v>
      </x:c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</x:row>
    <x:row r="40" ht="25" customHeight="1">
      <x:c r="A40" s="1" t="str">
        <x:v>Cash generated before cash tax</x:v>
      </x:c>
      <x:c r="B40" s="7" t="n">
        <x:f>'Inputs and sources'!B21</x:f>
        <x:v>12219.709</x:v>
      </x:c>
      <x:c r="C40" s="7" t="n">
        <x:f>'Inputs and sources'!C21</x:f>
        <x:v>9530.4</x:v>
      </x:c>
      <x:c r="D40" s="7" t="n">
        <x:f>'Inputs and sources'!D21</x:f>
        <x:v>18589.3</x:v>
      </x:c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</x:row>
    <x:row r="41" ht="25" customHeight="1">
      <x:c r="A41" s="1" t="str">
        <x:v>Cash tax paid / (refund)</x:v>
      </x:c>
      <x:c r="B41" s="7" t="n">
        <x:f>'Inputs and sources'!B22</x:f>
        <x:v>3186.713</x:v>
      </x:c>
      <x:c r="C41" s="7" t="n">
        <x:f>'Inputs and sources'!C22</x:f>
        <x:v>-145.3</x:v>
      </x:c>
      <x:c r="D41" s="7" t="n">
        <x:f>'Inputs and sources'!D22</x:f>
        <x:v>5396.9</x:v>
      </x:c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</x:row>
    <x:row r="42" ht="25" customHeight="1">
      <x:c r="A42" s="1" t="str">
        <x:v>CFO reconciliation difference</x:v>
      </x:c>
      <x:c r="B42" s="12" t="n">
        <x:f>B40-B41-B39</x:f>
        <x:v>1.8189894035458565e-12</x:v>
      </x:c>
      <x:c r="C42" s="12" t="n">
        <x:f>C40-C41-C39</x:f>
        <x:v>-1.8189894035458565e-12</x:v>
      </x:c>
      <x:c r="D42" s="12" t="n">
        <x:f>D40-D41-D39</x:f>
        <x:v>0</x:v>
      </x:c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</x:row>
    <x:row r="45" ht="34" customHeight="1">
      <x:c r="A45" s="3" t="str">
        <x:v>Operating EBITDA = PBT + D&amp;A + finance costs - other income - exceptional gain/(cost). It excludes non-operating income and exceptional items. Tax is shown separately rather than called ancillary leakage.</x:v>
      </x:c>
      <x:c r="B45" s="3"/>
      <x:c r="C45" s="3"/>
      <x:c r="D45" s="3"/>
      <x:c r="E45" s="3"/>
      <x:c r="F45" s="3"/>
      <x:c r="G45" s="3"/>
      <x:c r="H45" s="3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</x:row>
    <x:row r="46" ht="34" customHeight="1">
      <x:c r="A46" s="3" t="str">
        <x:v>The100% operating earnings split is an analyst calculation applying the reported effective tax rate uniformly. It is not company-disclosed adjusted PAT and is not a cash-flow measure.</x:v>
      </x:c>
      <x:c r="B46" s="3"/>
      <x:c r="C46" s="3"/>
      <x:c r="D46" s="3"/>
      <x:c r="E46" s="3"/>
      <x:c r="F46" s="3"/>
      <x:c r="G46" s="3"/>
      <x:c r="H46" s="3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</x:row>
  </x:sheetData>
  <x:mergeCells>
    <x:mergeCell ref="A1:H1"/>
    <x:mergeCell ref="A45:H45"/>
    <x:mergeCell ref="A46:H4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1" hidden="0" customWidth="1"/>
    <x:col min="2" max="2" width="17" hidden="0" customWidth="1"/>
    <x:col min="3" max="3" width="17" hidden="0" customWidth="1"/>
    <x:col min="4" max="4" width="65" hidden="0" customWidth="1"/>
    <x:col min="5" max="5" width="8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</x:cols>
  <x:sheetData>
    <x:row r="1" ht="28" customHeight="1">
      <x:c r="A1" s="2" t="str">
        <x:v>FY26 audited financial inputs and sources</x:v>
      </x:c>
      <x:c r="B1" s="2"/>
      <x:c r="C1" s="2"/>
      <x:c r="D1" s="2"/>
      <x:c r="E1" s="2"/>
      <x:c r="F1" s="2"/>
      <x:c r="G1" s="2"/>
      <x:c r="H1" s="2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 ht="34" customHeight="1">
      <x:c r="A2" s="3" t="str">
        <x:v>All amounts INR million. GSK consolidated; Pfizer and Abbott standalone. Sources are audited annual reports, with model figures checked against filings. Average balances use opening and closing year-end amounts.</x:v>
      </x:c>
      <x:c r="B2" s="3"/>
      <x:c r="C2" s="3"/>
      <x:c r="D2" s="3"/>
      <x:c r="E2" s="3"/>
      <x:c r="F2" s="3"/>
      <x:c r="G2" s="3"/>
      <x:c r="H2" s="3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 ht="30" customHeight="1">
      <x:c r="A5" s="6" t="str">
        <x:v>Metric</x:v>
      </x:c>
      <x:c r="B5" s="6" t="str">
        <x:v>GSK India</x:v>
      </x:c>
      <x:c r="C5" s="6" t="str">
        <x:v>Pfizer India</x:v>
      </x:c>
      <x:c r="D5" s="6" t="str">
        <x:v>Abbott India</x:v>
      </x:c>
      <x:c r="E5" s="6" t="str">
        <x:v>Source / definition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</x:row>
    <x:row r="6" ht="45" customHeight="1">
      <x:c r="A6" s="1" t="str">
        <x:v>Revenue</x:v>
      </x:c>
      <x:c r="B6" s="8" t="n">
        <x:v>38216.747</x:v>
      </x:c>
      <x:c r="C6" s="8" t="n">
        <x:v>25196.5</x:v>
      </x:c>
      <x:c r="D6" s="8" t="n">
        <x:v>69290.5</x:v>
      </x:c>
      <x:c r="E6" s="3" t="str">
        <x:v>GSK AR26 p179; Pfizer AR26 p171; Abbott AR26 p177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</x:row>
    <x:row r="7" ht="45" customHeight="1">
      <x:c r="A7" s="1" t="str">
        <x:v>Other income</x:v>
      </x:c>
      <x:c r="B7" s="8" t="n">
        <x:v>1453.601</x:v>
      </x:c>
      <x:c r="C7" s="8" t="n">
        <x:v>1879.5</x:v>
      </x:c>
      <x:c r="D7" s="8" t="n">
        <x:v>2881.4</x:v>
      </x:c>
      <x:c r="E7" s="3" t="str">
        <x:v>Same statements; includes investment/interest and other non-operating income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</x:row>
    <x:row r="8" ht="45" customHeight="1">
      <x:c r="A8" s="1" t="str">
        <x:v>D&amp;A</x:v>
      </x:c>
      <x:c r="B8" s="8" t="n">
        <x:v>664.441</x:v>
      </x:c>
      <x:c r="C8" s="8" t="n">
        <x:v>577.3</x:v>
      </x:c>
      <x:c r="D8" s="8" t="n">
        <x:v>759.6</x:v>
      </x:c>
      <x:c r="E8" s="3" t="str">
        <x:v>Same statements; D&amp;A includes right-of-use asset depreciation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</x:row>
    <x:row r="9" ht="45" customHeight="1">
      <x:c r="A9" s="1" t="str">
        <x:v>Finance costs</x:v>
      </x:c>
      <x:c r="B9" s="8" t="n">
        <x:v>27.323</x:v>
      </x:c>
      <x:c r="C9" s="8" t="n">
        <x:v>94.8</x:v>
      </x:c>
      <x:c r="D9" s="8" t="n">
        <x:v>249.9</x:v>
      </x:c>
      <x:c r="E9" s="3" t="str">
        <x:v>Same statements; finance costs are not only bank-debt interest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</x:row>
    <x:row r="10" ht="45" customHeight="1">
      <x:c r="A10" s="1" t="str">
        <x:v>Exceptional gain / (cost)</x:v>
      </x:c>
      <x:c r="B10" s="8" t="n">
        <x:v>206.251</x:v>
      </x:c>
      <x:c r="C10" s="8" t="n">
        <x:v>-491.6</x:v>
      </x:c>
      <x:c r="D10" s="8" t="n">
        <x:v>0</x:v>
      </x:c>
      <x:c r="E10" s="3" t="str">
        <x:v>GSK property gain; Pfizer personnel/labour-code charges; Abbott no separate exceptional line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</x:row>
    <x:row r="11" ht="45" customHeight="1">
      <x:c r="A11" s="1" t="str">
        <x:v>PBT</x:v>
      </x:c>
      <x:c r="B11" s="8" t="n">
        <x:v>14060.13</x:v>
      </x:c>
      <x:c r="C11" s="8" t="n">
        <x:v>9756.7</x:v>
      </x:c>
      <x:c r="D11" s="8" t="n">
        <x:v>20792.7</x:v>
      </x:c>
      <x:c r="E11" s="3" t="str">
        <x:v>Same statements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</x:row>
    <x:row r="12" ht="45" customHeight="1">
      <x:c r="A12" s="1" t="str">
        <x:v>Tax</x:v>
      </x:c>
      <x:c r="B12" s="8" t="n">
        <x:v>3700.306</x:v>
      </x:c>
      <x:c r="C12" s="8" t="n">
        <x:v>2532.4</x:v>
      </x:c>
      <x:c r="D12" s="8" t="n">
        <x:v>5272.5</x:v>
      </x:c>
      <x:c r="E12" s="3" t="str">
        <x:v>Same statements; total current plus deferred tax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</x:row>
    <x:row r="13" ht="45" customHeight="1">
      <x:c r="A13" s="1" t="str">
        <x:v>PAT</x:v>
      </x:c>
      <x:c r="B13" s="8" t="n">
        <x:v>10359.824</x:v>
      </x:c>
      <x:c r="C13" s="8" t="n">
        <x:v>7224.3</x:v>
      </x:c>
      <x:c r="D13" s="8" t="n">
        <x:v>15520.2</x:v>
      </x:c>
      <x:c r="E13" s="3" t="str">
        <x:v>Same statements; PAT is used rather than comprehensive income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</x:row>
    <x:row r="14" ht="45" customHeight="1">
      <x:c r="A14" s="1" t="str">
        <x:v>Opening total assets</x:v>
      </x:c>
      <x:c r="B14" s="8" t="n">
        <x:v>41080.655</x:v>
      </x:c>
      <x:c r="C14" s="8" t="n">
        <x:v>49111.1</x:v>
      </x:c>
      <x:c r="D14" s="8" t="n">
        <x:v>59173.1</x:v>
      </x:c>
      <x:c r="E14" s="3" t="str">
        <x:v>GSK AR26 p178; Pfizer AR26 p170; Abbott AR26 p176; 31-Mar-2025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</x:row>
    <x:row r="15" ht="45" customHeight="1">
      <x:c r="A15" s="1" t="str">
        <x:v>Closing total assets</x:v>
      </x:c>
      <x:c r="B15" s="8" t="n">
        <x:v>43238.664</x:v>
      </x:c>
      <x:c r="C15" s="8" t="n">
        <x:v>49218.8</x:v>
      </x:c>
      <x:c r="D15" s="8" t="n">
        <x:v>65019.3</x:v>
      </x:c>
      <x:c r="E15" s="3" t="str">
        <x:v>Same balance sheets; 31-Mar-2026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</x:row>
    <x:row r="16" ht="45" customHeight="1">
      <x:c r="A16" s="1" t="str">
        <x:v>Opening equity</x:v>
      </x:c>
      <x:c r="B16" s="8" t="n">
        <x:v>19513.107</x:v>
      </x:c>
      <x:c r="C16" s="8" t="n">
        <x:v>42174.1</x:v>
      </x:c>
      <x:c r="D16" s="8" t="n">
        <x:v>42331.5</x:v>
      </x:c>
      <x:c r="E16" s="3" t="str">
        <x:v>Same balance sheets; 31-Mar-2025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</x:row>
    <x:row r="17" ht="45" customHeight="1">
      <x:c r="A17" s="1" t="str">
        <x:v>Closing equity</x:v>
      </x:c>
      <x:c r="B17" s="8" t="n">
        <x:v>22674.171</x:v>
      </x:c>
      <x:c r="C17" s="8" t="n">
        <x:v>42029</x:v>
      </x:c>
      <x:c r="D17" s="8" t="n">
        <x:v>47741.9</x:v>
      </x:c>
      <x:c r="E17" s="3" t="str">
        <x:v>Same balance sheets; 31-Mar-2026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</x:row>
    <x:row r="18" ht="45" customHeight="1">
      <x:c r="A18" s="1" t="str">
        <x:v>Closing borrowings excluding leases</x:v>
      </x:c>
      <x:c r="B18" s="8" t="n">
        <x:v>0</x:v>
      </x:c>
      <x:c r="C18" s="8" t="n">
        <x:v>25</x:v>
      </x:c>
      <x:c r="D18" s="8" t="n">
        <x:v>0</x:v>
      </x:c>
      <x:c r="E18" s="3" t="str">
        <x:v>GSK and Abbott no borrowing line; Pfizer AR26 note17 sales-tax deferral loan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</x:row>
    <x:row r="19" ht="45" customHeight="1">
      <x:c r="A19" s="1" t="str">
        <x:v>Closing lease liabilities</x:v>
      </x:c>
      <x:c r="B19" s="8" t="n">
        <x:v>332.722</x:v>
      </x:c>
      <x:c r="C19" s="8" t="n">
        <x:v>677.3</x:v>
      </x:c>
      <x:c r="D19" s="8" t="n">
        <x:v>1719.9</x:v>
      </x:c>
      <x:c r="E19" s="3" t="str">
        <x:v>GSK17.2732+15.9990crore; Pfizer36.08+31.65crore; Abbott133.66+38.33crore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</x:row>
    <x:row r="20" ht="45" customHeight="1">
      <x:c r="A20" s="1" t="str">
        <x:v>Audited CFO</x:v>
      </x:c>
      <x:c r="B20" s="8" t="n">
        <x:v>9032.996</x:v>
      </x:c>
      <x:c r="C20" s="8" t="n">
        <x:v>9675.7</x:v>
      </x:c>
      <x:c r="D20" s="8" t="n">
        <x:v>13192.4</x:v>
      </x:c>
      <x:c r="E20" s="3" t="str">
        <x:v>GSK AR26 p180; Pfizer AR26 p172; Abbott AR26 p178; after cash tax</x:v>
      </x:c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</x:row>
    <x:row r="21" ht="45" customHeight="1">
      <x:c r="A21" s="1" t="str">
        <x:v>Cash generated before cash tax</x:v>
      </x:c>
      <x:c r="B21" s="8" t="n">
        <x:v>12219.709</x:v>
      </x:c>
      <x:c r="C21" s="8" t="n">
        <x:v>9530.4</x:v>
      </x:c>
      <x:c r="D21" s="8" t="n">
        <x:v>18589.3</x:v>
      </x:c>
      <x:c r="E21" s="3" t="str">
        <x:v>Same cash flow statements, before income taxes paid/refunded</x:v>
      </x:c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</x:row>
    <x:row r="22" ht="45" customHeight="1">
      <x:c r="A22" s="1" t="str">
        <x:v>Cash tax paid / (refund)</x:v>
      </x:c>
      <x:c r="B22" s="8" t="n">
        <x:v>3186.713</x:v>
      </x:c>
      <x:c r="C22" s="8" t="n">
        <x:v>-145.3</x:v>
      </x:c>
      <x:c r="D22" s="8" t="n">
        <x:v>5396.9</x:v>
      </x:c>
      <x:c r="E22" s="3" t="str">
        <x:v>Pfizer cash flow contains net tax refund14.53crore; GSK exceptional cash tax29.52mn classified investing separately</x:v>
      </x:c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</x:row>
    <x:row r="23" ht="45" customHeight="1">
      <x:c r="A23" s="1" t="str">
        <x:v>Cash capex</x:v>
      </x:c>
      <x:c r="B23" s="8" t="n">
        <x:v>552.792</x:v>
      </x:c>
      <x:c r="C23" s="8" t="n">
        <x:v>252.3</x:v>
      </x:c>
      <x:c r="D23" s="8" t="n">
        <x:v>409.2</x:v>
      </x:c>
      <x:c r="E23" s="3" t="str">
        <x:v>GSK AR26 p180; Pfizer AR26 p172; Abbott AR26 p178; gross cash capex, not net disposals</x:v>
      </x:c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</x:row>
    <x:row r="24" ht="45" customHeight="1">
      <x:c r="A24" s="1" t="str">
        <x:v>Dividends paid</x:v>
      </x:c>
      <x:c r="B24" s="8" t="n">
        <x:v>7139.72</x:v>
      </x:c>
      <x:c r="C24" s="8" t="n">
        <x:v>7516.4</x:v>
      </x:c>
      <x:c r="D24" s="8" t="n">
        <x:v>10093.4</x:v>
      </x:c>
      <x:c r="E24" s="3" t="str">
        <x:v>Audited financing cash flow; paid, not dividend declared for FY26</x:v>
      </x:c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</x:row>
    <x:row r="27" ht="34" customHeight="1">
      <x:c r="A27" s="3" t="str">
        <x:v>Method: ROE = PAT / average equity; ROA = PAT / average total assets. ROE = net profit margin x asset turnover x equity multiplier. The equity multiplier reflects all non-equity funding, not only financial debt.</x:v>
      </x:c>
      <x:c r="B27" s="3"/>
      <x:c r="C27" s="3"/>
      <x:c r="D27" s="3"/>
      <x:c r="E27" s="3"/>
      <x:c r="F27" s="3"/>
      <x:c r="G27" s="3"/>
      <x:c r="H27" s="3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</x:row>
    <x:row r="28" ht="34" customHeight="1">
      <x:c r="A28" s="3" t="str">
        <x:v>Chart 2 is an analytical operating-earnings split: operating EBT = EBITDA - D&amp;A - finance costs; estimated tax = operating EBT x reported effective tax rate. It excludes other income and exceptional items. It is not company-disclosed adjusted PAT.</x:v>
      </x:c>
      <x:c r="B28" s="3"/>
      <x:c r="C28" s="3"/>
      <x:c r="D28" s="3"/>
      <x:c r="E28" s="3"/>
      <x:c r="F28" s="3"/>
      <x:c r="G28" s="3"/>
      <x:c r="H28" s="3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</x:row>
    <x:row r="29" ht="34" customHeight="1">
      <x:c r="A29" s="3" t="str">
        <x:v>Reported PAT conversion is shown separately. It includes other income and exceptional gains/costs; it is not a measure of cash conversion.</x:v>
      </x:c>
      <x:c r="B29" s="3"/>
      <x:c r="C29" s="3"/>
      <x:c r="D29" s="3"/>
      <x:c r="E29" s="3"/>
      <x:c r="F29" s="3"/>
      <x:c r="G29" s="3"/>
      <x:c r="H29" s="3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</x:row>
    <x:row r="32" ht="30" customHeight="1">
      <x:c r="A32" s="6" t="str">
        <x:v>Company</x:v>
      </x:c>
      <x:c r="B32" s="6" t="str">
        <x:v>Scope</x:v>
      </x:c>
      <x:c r="C32" s="6" t="str">
        <x:v>Document</x:v>
      </x:c>
      <x:c r="D32" s="6" t="str">
        <x:v>URL</x:v>
      </x:c>
      <x:c r="E32" s="6" t="str">
        <x:v>Pages and units</x:v>
      </x:c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</x:row>
    <x:row r="33" ht="75" customHeight="1">
      <x:c r="A33" s="1" t="str">
        <x:v>GSK India</x:v>
      </x:c>
      <x:c r="B33" s="3" t="str">
        <x:v>Consolidated</x:v>
      </x:c>
      <x:c r="C33" s="3" t="str">
        <x:v>Annual Report2025-26</x:v>
      </x:c>
      <x:c r="D33" s="3" t="str">
        <x:v>https://india-pharma.gsk.com/media/scfg3eux/annual-report-2025-26.pdf</x:v>
      </x:c>
      <x:c r="E33" s="3" t="str">
        <x:v>Printed pp178-181: BS,PL,CFS; PDF pages180-183. Amounts in lakhs divided by10 to INRmn.</x:v>
      </x:c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</x:row>
    <x:row r="34" ht="75" customHeight="1">
      <x:c r="A34" s="1" t="str">
        <x:v>Pfizer India</x:v>
      </x:c>
      <x:c r="B34" s="3" t="str">
        <x:v>Standalone</x:v>
      </x:c>
      <x:c r="C34" s="3" t="str">
        <x:v>Annual Report2025-26</x:v>
      </x:c>
      <x:c r="D34" s="3" t="str">
        <x:v>https://www.pfizerltd.co.in/files/Pfizer_Limited_-_Annual_Report_FY_2026.pdf</x:v>
      </x:c>
      <x:c r="E34" s="3" t="str">
        <x:v>Printed pp170-173: BS,PL,CFS; PDF pages87-88 contain two printed pages each. Crore x10 to INRmn.</x:v>
      </x:c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</x:row>
    <x:row r="35" ht="75" customHeight="1">
      <x:c r="A35" s="1" t="str">
        <x:v>Abbott India</x:v>
      </x:c>
      <x:c r="B35" s="3" t="str">
        <x:v>Standalone</x:v>
      </x:c>
      <x:c r="C35" s="3" t="str">
        <x:v>Annual Report2025-26</x:v>
      </x:c>
      <x:c r="D35" s="3" t="str">
        <x:v>https://www.abbott.co.in/content/dam/corp/abbott/en-ind/pdf/financials/2025-26-Annual-Report.pdf</x:v>
      </x:c>
      <x:c r="E35" s="3" t="str">
        <x:v>Printed pp176-179: BS,PL,CFS; PDF pages178-181. Crore x10 to INRmn.</x:v>
      </x:c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</x:row>
    <x:row r="38" ht="34" customHeight="1">
      <x:c r="A38" s="3" t="str">
        <x:v>GSK audited CFO is INR9,032.996mn, versus INR10,397.657mn in the simplified model cash-flow sheet. The chart workbook uses audited CFO; the original model is unchanged.</x:v>
      </x:c>
      <x:c r="B38" s="3"/>
      <x:c r="C38" s="3"/>
      <x:c r="D38" s="3"/>
      <x:c r="E38" s="3"/>
      <x:c r="F38" s="3"/>
      <x:c r="G38" s="3"/>
      <x:c r="H38" s="3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</x:row>
    <x:row r="39" ht="34" customHeight="1">
      <x:c r="A39" s="3" t="str">
        <x:v>Pfizer FY26 CFO includes a net cash tax refund of INR145.3mn. Do not extrapolate its 133.9% CFO/PAT conversion as a recurring run rate.</x:v>
      </x:c>
      <x:c r="B39" s="3"/>
      <x:c r="C39" s="3"/>
      <x:c r="D39" s="3"/>
      <x:c r="E39" s="3"/>
      <x:c r="F39" s="3"/>
      <x:c r="G39" s="3"/>
      <x:c r="H39" s="3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</x:row>
    <x:row r="40" ht="34" customHeight="1">
      <x:c r="A40" s="3" t="str">
        <x:v>PFIZER source is Pfizer Limited India, not Pfizer Inc. GSK scope is the listed Indian group, not global GSK. Abbott scope is Abbott India Limited, excluding unlisted healthcare/diagnostics/medtech entities.</x:v>
      </x:c>
      <x:c r="B40" s="3"/>
      <x:c r="C40" s="3"/>
      <x:c r="D40" s="3"/>
      <x:c r="E40" s="3"/>
      <x:c r="F40" s="3"/>
      <x:c r="G40" s="3"/>
      <x:c r="H40" s="3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</x:row>
    <x:row r="41" ht="34" customHeight="1">
      <x:c r="A41" s="3" t="str">
        <x:v>No forecast ROE is invented for Pfizer: the accessible uploaded Pfizer workbook contains revenue forecasts but no balance-sheet forecast. FY26 is the common audited comparison.</x:v>
      </x:c>
      <x:c r="B41" s="3"/>
      <x:c r="C41" s="3"/>
      <x:c r="D41" s="3"/>
      <x:c r="E41" s="3"/>
      <x:c r="F41" s="3"/>
      <x:c r="G41" s="3"/>
      <x:c r="H41" s="3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</x:row>
  </x:sheetData>
  <x:mergeCells>
    <x:mergeCell ref="A1:H1"/>
    <x:mergeCell ref="A2:H2"/>
    <x:mergeCell ref="A27:H27"/>
    <x:mergeCell ref="A28:H28"/>
    <x:mergeCell ref="A29:H29"/>
    <x:mergeCell ref="A38:H38"/>
    <x:mergeCell ref="A39:H39"/>
    <x:mergeCell ref="A40:H40"/>
    <x:mergeCell ref="A41:H41"/>
  </x:mergeCells>
  <x:pageMargins left="0.7" right="0.7" top="0.75" bottom="0.75" header="0.3" footer="0.3"/>
</x:worksheet>
</file>