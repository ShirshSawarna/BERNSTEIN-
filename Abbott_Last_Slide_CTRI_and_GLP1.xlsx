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11109e3cba4cc5" /></Relationships>
</file>

<file path=xl/workbook.xml><?xml version="1.0" encoding="utf-8"?>
<x:workbook xmlns:x="http://schemas.openxmlformats.org/spreadsheetml/2006/main">
  <x:sheets>
    <x:sheet xmlns:r="http://schemas.openxmlformats.org/officeDocument/2006/relationships" name="Chart data" sheetId="1" r:id="R82348a962b7c441f"/>
    <x:sheet xmlns:r="http://schemas.openxmlformats.org/officeDocument/2006/relationships" name="Study register" sheetId="2" r:id="R4d1ebab43935400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
    <x:numFmt numFmtId="203" formatCode="0.00%"/>
    <x:numFmt numFmtId="204" formatCode="0.0"/>
  </x:numFmts>
  <x:fonts count="6">
    <x:font>
      <x:sz val="11"/>
      <x:name val="Carlito"/>
    </x:font>
    <x:font>
      <x:sz val="10"/>
      <x:color rgb="FF202020"/>
      <x:name val="Arial"/>
    </x:font>
    <x:font>
      <x:b/>
      <x:sz val="14"/>
      <x:color rgb="FF202020"/>
      <x:name val="Arial"/>
    </x:font>
    <x:font>
      <x:b/>
      <x:sz val="10"/>
      <x:color rgb="FF202020"/>
      <x:name val="Arial"/>
    </x:font>
    <x:font>
      <x:b/>
      <x:sz val="13"/>
      <x:color rgb="FF202020"/>
      <x:name val="Arial"/>
    </x:font>
    <x:font>
      <x:b/>
      <x:sz val="11"/>
      <x:color rgb="FF202020"/>
      <x:name val="Arial"/>
    </x:font>
  </x:fonts>
  <x:fills count="2">
    <x:fill>
      <x:patternFill patternType="none"/>
    </x:fill>
    <x:fill>
      <x:patternFill patternType="gray125"/>
    </x:fill>
  </x:fills>
  <x:borders count="2">
    <x:border>
      <x:left/>
      <x:right/>
      <x:top/>
      <x:bottom/>
      <x:diagonal/>
    </x:border>
    <x:border>
      <x:left/>
      <x:right/>
      <x:top/>
      <x:bottom style="thin">
        <x:color rgb="FF888888"/>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4b80ca75b24840" /><Relationship Type="http://schemas.openxmlformats.org/officeDocument/2006/relationships/theme" Target="/xl/theme/theme1.xml" Id="R644d98e347394e1a" /><Relationship Type="http://schemas.openxmlformats.org/officeDocument/2006/relationships/sharedStrings" Target="/xl/sharedStrings.xml" Id="R6a89a37cb8a74d36" /><Relationship Type="http://schemas.openxmlformats.org/officeDocument/2006/relationships/worksheet" Target="/xl/worksheets/sheet1.xml" Id="R82348a962b7c441f" /><Relationship Type="http://schemas.openxmlformats.org/officeDocument/2006/relationships/worksheet" Target="/xl/worksheets/sheet2.xml" Id="R4d1ebab4393540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s>
  <x:sheetData>
    <x:row r="1" ht="23" customHeight="1">
      <x:c r="A1" s="2"/>
      <x:c r="B1" s="2"/>
      <x:c r="C1" s="2"/>
      <x:c r="D1" s="2"/>
      <x:c r="E1" s="2"/>
      <x:c r="F1" s="2"/>
      <x:c r="G1" s="2"/>
    </x:row>
    <x:row r="2" ht="23" customHeight="1">
      <x:c r="A2" s="3" t="str">
        <x:v>India study registrations and Abbott India GLP-1 launch contribution</x:v>
      </x:c>
      <x:c r="B2" s="2"/>
      <x:c r="C2" s="2"/>
      <x:c r="D2" s="2"/>
      <x:c r="E2" s="2"/>
      <x:c r="F2" s="2"/>
      <x:c r="G2" s="2"/>
    </x:row>
    <x:row r="3" ht="33" customHeight="1">
      <x:c r="A3" s="4" t="str">
        <x:v>CTRI registrations retrieved by primary sponsor name; CY2026 YTD to 27 October 2026. Counts are analyst-derived.</x:v>
      </x:c>
      <x:c r="B3" s="4"/>
      <x:c r="C3" s="4"/>
      <x:c r="D3" s="4"/>
      <x:c r="E3" s="4"/>
      <x:c r="F3" s="4"/>
      <x:c r="G3" s="4"/>
    </x:row>
    <x:row r="4" ht="23" customHeight="1">
      <x:c r="A4" s="2"/>
      <x:c r="B4" s="2"/>
      <x:c r="C4" s="2"/>
      <x:c r="D4" s="2"/>
      <x:c r="E4" s="2"/>
      <x:c r="F4" s="2"/>
      <x:c r="G4" s="2"/>
    </x:row>
    <x:row r="5" ht="40" customHeight="1">
      <x:c r="A5" s="7" t="str">
        <x:v>Company group</x:v>
      </x:c>
      <x:c r="B5" s="7" t="str">
        <x:v>CY2024</x:v>
      </x:c>
      <x:c r="C5" s="7" t="str">
        <x:v>CY2025</x:v>
      </x:c>
      <x:c r="D5" s="7" t="str">
        <x:v>CY2026 YTD</x:v>
      </x:c>
      <x:c r="E5" s="7" t="str">
        <x:v>Total identified</x:v>
      </x:c>
      <x:c r="F5" s="7" t="str">
        <x:v>Phase I–III studies</x:v>
      </x:c>
      <x:c r="G5" s="7" t="str">
        <x:v>Phase I–III share</x:v>
      </x:c>
    </x:row>
    <x:row r="6" ht="23" customHeight="1">
      <x:c r="A6" s="2" t="str">
        <x:v>Abbott</x:v>
      </x:c>
      <x:c r="B6" s="11" t="n">
        <x:f>COUNTIFS('Study register'!$A$5:$A$80,A6,'Study register'!$B$5:$B$80,2024,'Study register'!$H$5:$H$80,1)</x:f>
        <x:v>15</x:v>
      </x:c>
      <x:c r="C6" s="11" t="n">
        <x:f>COUNTIFS('Study register'!$A$5:$A$80,A6,'Study register'!$B$5:$B$80,2025,'Study register'!$H$5:$H$80,1)</x:f>
        <x:v>10</x:v>
      </x:c>
      <x:c r="D6" s="11" t="n">
        <x:f>COUNTIFS('Study register'!$A$5:$A$80,A6,'Study register'!$B$5:$B$80,2026,'Study register'!$H$5:$H$80,1)</x:f>
        <x:v>5</x:v>
      </x:c>
      <x:c r="E6" s="11" t="n">
        <x:f>SUM(B6:D6)</x:f>
        <x:v>30</x:v>
      </x:c>
      <x:c r="F6" s="11" t="n">
        <x:f>SUMIFS('Study register'!$K$5:$K$80,'Study register'!$A$5:$A$80,A6,'Study register'!$H$5:$H$80,1)</x:f>
        <x:v>4</x:v>
      </x:c>
      <x:c r="G6" s="12" t="n">
        <x:f>F6/E6</x:f>
        <x:v>0.13333333333333333</x:v>
      </x:c>
    </x:row>
    <x:row r="7" ht="23" customHeight="1">
      <x:c r="A7" s="2" t="str">
        <x:v>GSK</x:v>
      </x:c>
      <x:c r="B7" s="11" t="n">
        <x:f>COUNTIFS('Study register'!$A$5:$A$80,A7,'Study register'!$B$5:$B$80,2024,'Study register'!$H$5:$H$80,1)</x:f>
        <x:v>5</x:v>
      </x:c>
      <x:c r="C7" s="11" t="n">
        <x:f>COUNTIFS('Study register'!$A$5:$A$80,A7,'Study register'!$B$5:$B$80,2025,'Study register'!$H$5:$H$80,1)</x:f>
        <x:v>5</x:v>
      </x:c>
      <x:c r="D7" s="11" t="n">
        <x:f>COUNTIFS('Study register'!$A$5:$A$80,A7,'Study register'!$B$5:$B$80,2026,'Study register'!$H$5:$H$80,1)</x:f>
        <x:v>2</x:v>
      </x:c>
      <x:c r="E7" s="11" t="n">
        <x:f>SUM(B7:D7)</x:f>
        <x:v>12</x:v>
      </x:c>
      <x:c r="F7" s="11" t="n">
        <x:f>SUMIFS('Study register'!$K$5:$K$80,'Study register'!$A$5:$A$80,A7,'Study register'!$H$5:$H$80,1)</x:f>
        <x:v>9</x:v>
      </x:c>
      <x:c r="G7" s="12" t="n">
        <x:f>F7/E7</x:f>
        <x:v>0.75</x:v>
      </x:c>
    </x:row>
    <x:row r="8" ht="23" customHeight="1">
      <x:c r="A8" s="2" t="str">
        <x:v>Pfizer</x:v>
      </x:c>
      <x:c r="B8" s="11" t="n">
        <x:f>COUNTIFS('Study register'!$A$5:$A$80,A8,'Study register'!$B$5:$B$80,2024,'Study register'!$H$5:$H$80,1)</x:f>
        <x:v>16</x:v>
      </x:c>
      <x:c r="C8" s="11" t="n">
        <x:f>COUNTIFS('Study register'!$A$5:$A$80,A8,'Study register'!$B$5:$B$80,2025,'Study register'!$H$5:$H$80,1)</x:f>
        <x:v>9</x:v>
      </x:c>
      <x:c r="D8" s="11" t="n">
        <x:f>COUNTIFS('Study register'!$A$5:$A$80,A8,'Study register'!$B$5:$B$80,2026,'Study register'!$H$5:$H$80,1)</x:f>
        <x:v>8</x:v>
      </x:c>
      <x:c r="E8" s="11" t="n">
        <x:f>SUM(B8:D8)</x:f>
        <x:v>33</x:v>
      </x:c>
      <x:c r="F8" s="11" t="n">
        <x:f>SUMIFS('Study register'!$K$5:$K$80,'Study register'!$A$5:$A$80,A8,'Study register'!$H$5:$H$80,1)</x:f>
        <x:v>21</x:v>
      </x:c>
      <x:c r="G8" s="12" t="n">
        <x:f>F8/E8</x:f>
        <x:v>0.6363636363636364</x:v>
      </x:c>
    </x:row>
    <x:row r="9" ht="23" customHeight="1">
      <x:c r="A9" s="2"/>
      <x:c r="B9" s="2"/>
      <x:c r="C9" s="2"/>
      <x:c r="D9" s="2"/>
      <x:c r="E9" s="2"/>
      <x:c r="F9" s="2"/>
      <x:c r="G9" s="2"/>
    </x:row>
    <x:row r="10" ht="33" customHeight="1">
      <x:c r="A10" s="4" t="str">
        <x:v>Scope: Abbott group sponsor names incl. pharma, devices and diagnostics; GlaxoSmithKline/GSK and Pfizer group names.</x:v>
      </x:c>
      <x:c r="B10" s="4"/>
      <x:c r="C10" s="4"/>
      <x:c r="D10" s="4"/>
      <x:c r="E10" s="4"/>
      <x:c r="F10" s="4"/>
      <x:c r="G10" s="4"/>
    </x:row>
    <x:row r="11" ht="33" customHeight="1">
      <x:c r="A11" s="4" t="str">
        <x:v>Unique CTRI IDs, grouped by registration year, not active-study stocks or publications. An academic GSK Jahnavi match is excluded.</x:v>
      </x:c>
      <x:c r="B11" s="4"/>
      <x:c r="C11" s="4"/>
      <x:c r="D11" s="4"/>
      <x:c r="E11" s="4"/>
      <x:c r="F11" s="4"/>
      <x:c r="G11" s="4"/>
    </x:row>
    <x:row r="12" ht="33" customHeight="1">
      <x:c r="A12" s="4" t="str">
        <x:v>Use “identified registrations”: mirror updates / unsearched legacy aliases can affect completeness. Phase I–III does not equal new molecules.</x:v>
      </x:c>
      <x:c r="B12" s="4"/>
      <x:c r="C12" s="4"/>
      <x:c r="D12" s="4"/>
      <x:c r="E12" s="4"/>
      <x:c r="F12" s="4"/>
      <x:c r="G12" s="4"/>
    </x:row>
    <x:row r="13" ht="23" customHeight="1">
      <x:c r="A13" s="2"/>
      <x:c r="B13" s="2"/>
      <x:c r="C13" s="2"/>
      <x:c r="D13" s="2"/>
      <x:c r="E13" s="2"/>
      <x:c r="F13" s="2"/>
      <x:c r="G13" s="2"/>
    </x:row>
    <x:row r="14" ht="40" customHeight="1">
      <x:c r="A14" s="7" t="str">
        <x:v>Quarter</x:v>
      </x:c>
      <x:c r="B14" s="7" t="str">
        <x:v>Reported revenue (INR mn)</x:v>
      </x:c>
      <x:c r="C14" s="7" t="str">
        <x:v>Extensior estimate (INR mn)</x:v>
      </x:c>
      <x:c r="D14" s="7" t="str">
        <x:v>Revenue ex-Extensior (INR mn)</x:v>
      </x:c>
      <x:c r="E14" s="7" t="str">
        <x:v>Est. Extensior share</x:v>
      </x:c>
      <x:c r="F14" s="7" t="str">
        <x:v>Revenue source / status</x:v>
      </x:c>
      <x:c r="G14" s="2"/>
    </x:row>
    <x:row r="15" ht="34" customHeight="1">
      <x:c r="A15" s="2" t="str">
        <x:v>FY26 Q2</x:v>
      </x:c>
      <x:c r="B15" s="13" t="n">
        <x:v>17571.5</x:v>
      </x:c>
      <x:c r="C15" s="13" t="n">
        <x:v>0</x:v>
      </x:c>
      <x:c r="D15" s="13" t="n">
        <x:f>B15-C15</x:f>
        <x:v>17571.5</x:v>
      </x:c>
      <x:c r="E15" s="14" t="n">
        <x:f>C15/B15</x:f>
        <x:v>0</x:v>
      </x:c>
      <x:c r="F15" s="4" t="str">
        <x:v>Abbott Sep-2025 results</x:v>
      </x:c>
      <x:c r="G15" s="2"/>
    </x:row>
    <x:row r="16" ht="34" customHeight="1">
      <x:c r="A16" s="2" t="str">
        <x:v>FY26 Q3</x:v>
      </x:c>
      <x:c r="B16" s="13" t="n">
        <x:v>17240.4</x:v>
      </x:c>
      <x:c r="C16" s="13" t="n">
        <x:v>0</x:v>
      </x:c>
      <x:c r="D16" s="13" t="n">
        <x:f>B16-C16</x:f>
        <x:v>17240.4</x:v>
      </x:c>
      <x:c r="E16" s="14" t="n">
        <x:f>C16/B16</x:f>
        <x:v>0</x:v>
      </x:c>
      <x:c r="F16" s="4" t="str">
        <x:v>Abbott Mar-2026 audited comparison</x:v>
      </x:c>
      <x:c r="G16" s="2"/>
    </x:row>
    <x:row r="17" ht="34" customHeight="1">
      <x:c r="A17" s="2" t="str">
        <x:v>FY26 Q4</x:v>
      </x:c>
      <x:c r="B17" s="13" t="n">
        <x:v>17095.1</x:v>
      </x:c>
      <x:c r="C17" s="13" t="n">
        <x:f>B31</x:f>
        <x:v>5</x:v>
      </x:c>
      <x:c r="D17" s="13" t="n">
        <x:f>B17-C17</x:f>
        <x:v>17090.1</x:v>
      </x:c>
      <x:c r="E17" s="14" t="n">
        <x:f>C17/B17</x:f>
        <x:v>0.00029248147129879327</x:v>
      </x:c>
      <x:c r="F17" s="4" t="str">
        <x:v>Abbott Mar-2026 audited results</x:v>
      </x:c>
      <x:c r="G17" s="2"/>
    </x:row>
    <x:row r="18" ht="34" customHeight="1">
      <x:c r="A18" s="2" t="str">
        <x:v>FY27 Q1</x:v>
      </x:c>
      <x:c r="B18" s="13" t="n">
        <x:v>18136.8</x:v>
      </x:c>
      <x:c r="C18" s="13" t="n">
        <x:f>C31</x:f>
        <x:v>25</x:v>
      </x:c>
      <x:c r="D18" s="13" t="n">
        <x:f>B18-C18</x:f>
        <x:v>18111.8</x:v>
      </x:c>
      <x:c r="E18" s="14" t="n">
        <x:f>C18/B18</x:f>
        <x:v>0.0013784129504653523</x:v>
      </x:c>
      <x:c r="F18" s="4" t="str">
        <x:v>Abbott Jun-2026 results</x:v>
      </x:c>
      <x:c r="G18" s="2"/>
    </x:row>
    <x:row r="19" ht="23" customHeight="1">
      <x:c r="A19" s="2"/>
      <x:c r="B19" s="2"/>
      <x:c r="C19" s="2"/>
      <x:c r="D19" s="2"/>
      <x:c r="E19" s="2"/>
      <x:c r="F19" s="2"/>
      <x:c r="G19" s="2"/>
    </x:row>
    <x:row r="20" ht="33" customHeight="1">
      <x:c r="A20" s="4" t="str">
        <x:v>Revenue from operations, listed Abbott India Ltd only. Other income is excluded. Latest four reported quarters as of 27 October 2026.</x:v>
      </x:c>
      <x:c r="B20" s="4"/>
      <x:c r="C20" s="4"/>
      <x:c r="D20" s="4"/>
      <x:c r="E20" s="4"/>
      <x:c r="F20" s="4"/>
      <x:c r="G20" s="4"/>
    </x:row>
    <x:row r="21" ht="33" customHeight="1">
      <x:c r="A21" s="4" t="str">
        <x:v>Extensior numbers are illustrative gross sell-in estimates, not disclosed company brand revenue. Earlier zeros reflect the pre-launch period.</x:v>
      </x:c>
      <x:c r="B21" s="4"/>
      <x:c r="C21" s="4"/>
      <x:c r="D21" s="4"/>
      <x:c r="E21" s="4"/>
      <x:c r="F21" s="4"/>
      <x:c r="G21" s="4"/>
    </x:row>
    <x:row r="22" ht="33" customHeight="1">
      <x:c r="A22" s="4" t="str">
        <x:v>Launch announced 27 February 2026. Do not attribute Novo Nordisk’s Rybelsus, Wegovy or Ozempic sales to listed Abbott India.</x:v>
      </x:c>
      <x:c r="B22" s="4"/>
      <x:c r="C22" s="4"/>
      <x:c r="D22" s="4"/>
      <x:c r="E22" s="4"/>
      <x:c r="F22" s="4"/>
      <x:c r="G22" s="4"/>
    </x:row>
    <x:row r="23" ht="23" customHeight="1">
      <x:c r="A23" s="2"/>
      <x:c r="B23" s="2"/>
      <x:c r="C23" s="2"/>
      <x:c r="D23" s="2"/>
      <x:c r="E23" s="2"/>
      <x:c r="F23" s="2"/>
      <x:c r="G23" s="2"/>
    </x:row>
    <x:row r="24" ht="33" customHeight="1">
      <x:c r="A24" s="4" t="str">
        <x:v>For chart 1: plot Phase I–III share (G6:G8) to compare study mix. Raw registration counts alone do not show Abbott lagging GSK.</x:v>
      </x:c>
      <x:c r="B24" s="4"/>
      <x:c r="C24" s="4"/>
      <x:c r="D24" s="4"/>
      <x:c r="E24" s="4"/>
      <x:c r="F24" s="4"/>
      <x:c r="G24" s="4"/>
    </x:row>
    <x:row r="25" ht="33" customHeight="1">
      <x:c r="A25" s="4" t="str">
        <x:v>For chart 2: reported revenue as columns, estimated Extensior share as a secondary-axis line; clearly label the line “Estimate”.</x:v>
      </x:c>
      <x:c r="B25" s="4"/>
      <x:c r="C25" s="4"/>
      <x:c r="D25" s="4"/>
      <x:c r="E25" s="4"/>
      <x:c r="F25" s="4"/>
      <x:c r="G25" s="4"/>
    </x:row>
    <x:row r="26" ht="33" customHeight="1">
      <x:c r="A26" s="4" t="str">
        <x:v>Extensior model: editable working assumptions. Distribution economics, invoicing and stock build are not publicly disclosed.</x:v>
      </x:c>
      <x:c r="B26" s="4"/>
      <x:c r="C26" s="4"/>
      <x:c r="D26" s="4"/>
      <x:c r="E26" s="4"/>
      <x:c r="F26" s="4"/>
      <x:c r="G26" s="4"/>
    </x:row>
    <x:row r="27" ht="23" customHeight="1">
      <x:c r="A27" s="2"/>
      <x:c r="B27" s="2"/>
      <x:c r="C27" s="2"/>
      <x:c r="D27" s="2"/>
      <x:c r="E27" s="2"/>
      <x:c r="F27" s="2"/>
      <x:c r="G27" s="2"/>
    </x:row>
    <x:row r="28" ht="40" customHeight="1">
      <x:c r="A28" s="7" t="str">
        <x:v>Driver</x:v>
      </x:c>
      <x:c r="B28" s="7" t="str">
        <x:v>FY26 Q4 estimate</x:v>
      </x:c>
      <x:c r="C28" s="7" t="str">
        <x:v>FY27 Q1 estimate</x:v>
      </x:c>
      <x:c r="D28" s="2"/>
      <x:c r="E28" s="2"/>
      <x:c r="F28" s="2"/>
      <x:c r="G28" s="2"/>
    </x:row>
    <x:row r="29" ht="23" customHeight="1">
      <x:c r="A29" s="2" t="str">
        <x:v>Invoiced pens (assumed)</x:v>
      </x:c>
      <x:c r="B29" s="2" t="n">
        <x:v>1250</x:v>
      </x:c>
      <x:c r="C29" s="2" t="n">
        <x:v>6250</x:v>
      </x:c>
      <x:c r="D29" s="2"/>
      <x:c r="E29" s="2"/>
      <x:c r="F29" s="2"/>
      <x:c r="G29" s="2"/>
    </x:row>
    <x:row r="30" ht="23" customHeight="1">
      <x:c r="A30" s="2" t="str">
        <x:v>Net realization (INR / pen)</x:v>
      </x:c>
      <x:c r="B30" s="2" t="n">
        <x:v>4000</x:v>
      </x:c>
      <x:c r="C30" s="2" t="n">
        <x:v>4000</x:v>
      </x:c>
      <x:c r="D30" s="2"/>
      <x:c r="E30" s="2"/>
      <x:c r="F30" s="2"/>
      <x:c r="G30" s="2"/>
    </x:row>
    <x:row r="31" ht="23" customHeight="1">
      <x:c r="A31" s="2" t="str">
        <x:v>Revenue estimate (INR mn)</x:v>
      </x:c>
      <x:c r="B31" s="15" t="n">
        <x:f>B29*B30/1000000</x:f>
        <x:v>5</x:v>
      </x:c>
      <x:c r="C31" s="15" t="n">
        <x:f>C29*C30/1000000</x:f>
        <x:v>25</x:v>
      </x:c>
      <x:c r="D31" s="2"/>
      <x:c r="E31" s="2"/>
      <x:c r="F31" s="2"/>
      <x:c r="G31" s="2"/>
    </x:row>
    <x:row r="32" ht="23" customHeight="1">
      <x:c r="A32" s="2"/>
      <x:c r="B32" s="2"/>
      <x:c r="C32" s="2"/>
      <x:c r="D32" s="2"/>
      <x:c r="E32" s="2"/>
      <x:c r="F32" s="2"/>
      <x:c r="G32" s="2"/>
    </x:row>
    <x:row r="33" ht="33" customHeight="1">
      <x:c r="A33" s="4" t="str">
        <x:v>Calibration: published March-2026 Extensior market sales ≈ INR 1mn; July-2026 units ≈ 2,600 pens. Market sales differ from company sell-in.</x:v>
      </x:c>
      <x:c r="B33" s="4"/>
      <x:c r="C33" s="4"/>
      <x:c r="D33" s="4"/>
      <x:c r="E33" s="4"/>
      <x:c r="F33" s="4"/>
      <x:c r="G33" s="4"/>
    </x:row>
    <x:row r="34" ht="33" customHeight="1">
      <x:c r="A34" s="4" t="str">
        <x:v>Working net realization: INR 4,000/pen, allowing for mix and deductions versus listed MRPs. Invoiced pens include initial channel inventory.</x:v>
      </x:c>
      <x:c r="B34" s="4"/>
      <x:c r="C34" s="4"/>
      <x:c r="D34" s="4"/>
      <x:c r="E34" s="4"/>
      <x:c r="F34" s="4"/>
      <x:c r="G34" s="4"/>
    </x:row>
    <x:row r="35" ht="33" customHeight="1">
      <x:c r="A35" s="4" t="str">
        <x:v>The quarterly working estimates (INR 5mn / 25mn) are deliberately separated from sourced financial results and sourced market-sales anchors.</x:v>
      </x:c>
      <x:c r="B35" s="4"/>
      <x:c r="C35" s="4"/>
      <x:c r="D35" s="4"/>
      <x:c r="E35" s="4"/>
      <x:c r="F35" s="4"/>
      <x:c r="G35" s="4"/>
    </x:row>
    <x:row r="36" ht="23" customHeight="1">
      <x:c r="A36" s="2"/>
      <x:c r="B36" s="2"/>
      <x:c r="C36" s="2"/>
      <x:c r="D36" s="2"/>
      <x:c r="E36" s="2"/>
      <x:c r="F36" s="2"/>
      <x:c r="G36" s="2"/>
    </x:row>
    <x:row r="37" ht="33" customHeight="1">
      <x:c r="A37" s="16" t="str">
        <x:v>Sources</x:v>
      </x:c>
      <x:c r="B37" s="4"/>
      <x:c r="C37" s="4"/>
      <x:c r="D37" s="4"/>
      <x:c r="E37" s="4"/>
      <x:c r="F37" s="4"/>
      <x:c r="G37" s="4"/>
    </x:row>
    <x:row r="38" ht="33" customHeight="1">
      <x:c r="A38" s="4" t="str">
        <x:v>CTRI mirror and source records: https://trialsearch.who.int/AdvSearch.aspx ; each included record URL is in Study register.</x:v>
      </x:c>
      <x:c r="B38" s="4"/>
      <x:c r="C38" s="4"/>
      <x:c r="D38" s="4"/>
      <x:c r="E38" s="4"/>
      <x:c r="F38" s="4"/>
      <x:c r="G38" s="4"/>
    </x:row>
    <x:row r="39" ht="33" customHeight="1">
      <x:c r="A39" s="4" t="str">
        <x:v>Q2 FY26: https://www.abbott.co.in/content/dam/corp/abbott/en-ind/pdf/financials/Quarter-ended-September-30-2025.pdf</x:v>
      </x:c>
      <x:c r="B39" s="4"/>
      <x:c r="C39" s="4"/>
      <x:c r="D39" s="4"/>
      <x:c r="E39" s="4"/>
      <x:c r="F39" s="4"/>
      <x:c r="G39" s="4"/>
    </x:row>
    <x:row r="40" ht="33" customHeight="1">
      <x:c r="A40" s="4" t="str">
        <x:v>Q3 / Q4 FY26: https://www.abbott.co.in/content/dam/corp/abbott/en-ind/pdf/financials/Quarter-ended-March-31-2026.pdf</x:v>
      </x:c>
      <x:c r="B40" s="4"/>
      <x:c r="C40" s="4"/>
      <x:c r="D40" s="4"/>
      <x:c r="E40" s="4"/>
      <x:c r="F40" s="4"/>
      <x:c r="G40" s="4"/>
    </x:row>
    <x:row r="41" ht="33" customHeight="1">
      <x:c r="A41" s="4" t="str">
        <x:v>Q1 FY27: https://www.abbott.co.in/content/dam/corp/abbott/en-ind/pdf/financials/Quarter-ended-June-30-2026.pdf</x:v>
      </x:c>
      <x:c r="B41" s="4"/>
      <x:c r="C41" s="4"/>
      <x:c r="D41" s="4"/>
      <x:c r="E41" s="4"/>
      <x:c r="F41" s="4"/>
      <x:c r="G41" s="4"/>
    </x:row>
    <x:row r="42" ht="33" customHeight="1">
      <x:c r="A42" s="4" t="str">
        <x:v>Launch: https://www.abbott.co.in/content/dam/corp/abbott/en-ind/pdf/other-info/press-release/BSE-Intimation-Press-Release-on-Semaglutide-February-27-2026.pdf</x:v>
      </x:c>
      <x:c r="B42" s="4"/>
      <x:c r="C42" s="4"/>
      <x:c r="D42" s="4"/>
      <x:c r="E42" s="4"/>
      <x:c r="F42" s="4"/>
      <x:c r="G42" s="4"/>
    </x:row>
    <x:row r="43" ht="33" customHeight="1">
      <x:c r="A43" s="4" t="str">
        <x:v>March market anchor: HDFC Securities Pharma Sector Update, 15 April 2026, Exhibit 9 (IQVIA): Extensior INR 1mn, not Abbott’s booked revenue.</x:v>
      </x:c>
      <x:c r="B43" s="4"/>
      <x:c r="C43" s="4"/>
      <x:c r="D43" s="4"/>
      <x:c r="E43" s="4"/>
      <x:c r="F43" s="4"/>
      <x:c r="G43" s="4"/>
    </x:row>
    <x:row r="44" ht="33" customHeight="1">
      <x:c r="A44" s="4" t="str">
        <x:v>July volume anchor: https://www.biospectrumindia.com/public/news/73/28274/glp-1-agonist-market-rebounds-in-july-reaches-rs-2215-crore-mat-sales-sheetal-sapale.html</x:v>
      </x:c>
      <x:c r="B44" s="4"/>
      <x:c r="C44" s="4"/>
      <x:c r="D44" s="4"/>
      <x:c r="E44" s="4"/>
      <x:c r="F44" s="4"/>
      <x:c r="G44" s="4"/>
    </x:row>
    <x:row r="45" ht="33" customHeight="1">
      <x:c r="A45" s="4" t="str">
        <x:v>MRP context (not invoice price): https://pharmeasy.in/online-medicine-order/extensior-0-25mg-pre-filled-pen-of-1-5ml-solution-for-injection-4732936</x:v>
      </x:c>
      <x:c r="B45" s="4"/>
      <x:c r="C45" s="4"/>
      <x:c r="D45" s="4"/>
      <x:c r="E45" s="4"/>
      <x:c r="F45" s="4"/>
      <x:c r="G45" s="4"/>
    </x:row>
    <x:row r="46" ht="23" customHeight="1">
      <x:c r="A46" s="2"/>
      <x:c r="B46" s="2"/>
      <x:c r="C46" s="2"/>
      <x:c r="D46" s="2"/>
      <x:c r="E46" s="2"/>
      <x:c r="F46" s="2"/>
      <x:c r="G46" s="2"/>
    </x:row>
    <x:row r="47" ht="23" customHeight="1">
      <x:c r="A47" s="2"/>
      <x:c r="B47" s="2"/>
      <x:c r="C47" s="2"/>
      <x:c r="D47" s="2"/>
      <x:c r="E47" s="2"/>
      <x:c r="F47" s="2"/>
      <x:c r="G47" s="2"/>
    </x:row>
    <x:row r="48" ht="23" customHeight="1">
      <x:c r="A48" s="2"/>
      <x:c r="B48" s="2"/>
      <x:c r="C48" s="2"/>
      <x:c r="D48" s="2"/>
      <x:c r="E48" s="2"/>
      <x:c r="F48" s="2"/>
      <x:c r="G48" s="2"/>
    </x:row>
  </x:sheetData>
  <x:mergeCells>
    <x:mergeCell ref="A3:G3"/>
    <x:mergeCell ref="A10:G10"/>
    <x:mergeCell ref="A11:G11"/>
    <x:mergeCell ref="A12:G12"/>
    <x:mergeCell ref="A20:G20"/>
    <x:mergeCell ref="A21:G21"/>
    <x:mergeCell ref="A22:G22"/>
    <x:mergeCell ref="A24:G24"/>
    <x:mergeCell ref="A25:G25"/>
    <x:mergeCell ref="A26:G26"/>
    <x:mergeCell ref="A33:G33"/>
    <x:mergeCell ref="A34:G34"/>
    <x:mergeCell ref="A35:G35"/>
    <x:mergeCell ref="A37:G37"/>
    <x:mergeCell ref="A38:G38"/>
    <x:mergeCell ref="A39:G39"/>
    <x:mergeCell ref="A40:G40"/>
    <x:mergeCell ref="A41:G41"/>
    <x:mergeCell ref="A42:G42"/>
    <x:mergeCell ref="A43:G43"/>
    <x:mergeCell ref="A44:G44"/>
    <x:mergeCell ref="A45:G4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5" hidden="0" customWidth="1"/>
    <x:col min="3" max="3" width="27" hidden="0" customWidth="1"/>
    <x:col min="4" max="4" width="45" hidden="0" customWidth="1"/>
    <x:col min="5" max="5" width="84" hidden="0" customWidth="1"/>
    <x:col min="6" max="6" width="24" hidden="0" customWidth="1"/>
    <x:col min="7" max="7" width="24" hidden="0" customWidth="1"/>
    <x:col min="8" max="8" width="15" hidden="0" customWidth="1"/>
    <x:col min="9" max="9" width="72" hidden="0" customWidth="1"/>
    <x:col min="10" max="10" width="34" hidden="0" customWidth="1"/>
    <x:col min="11" max="11" width="20" hidden="0" customWidth="1"/>
  </x:cols>
  <x:sheetData>
    <x:row r="1" ht="23" customHeight="1">
      <x:c r="A1" s="2"/>
      <x:c r="B1" s="2"/>
      <x:c r="C1" s="2"/>
      <x:c r="D1" s="2"/>
      <x:c r="E1" s="2"/>
      <x:c r="F1" s="2"/>
      <x:c r="G1" s="2"/>
      <x:c r="H1" s="2"/>
      <x:c r="I1" s="2"/>
      <x:c r="J1" s="2"/>
      <x:c r="K1" s="2"/>
    </x:row>
    <x:row r="2" ht="23" customHeight="1">
      <x:c r="A2" s="8" t="str">
        <x:v>Record-level source register: 75 included CTRI registrations and one excluded academic name match</x:v>
      </x:c>
      <x:c r="B2" s="2"/>
      <x:c r="C2" s="2"/>
      <x:c r="D2" s="2"/>
      <x:c r="E2" s="2"/>
      <x:c r="F2" s="2"/>
      <x:c r="G2" s="2"/>
      <x:c r="H2" s="2"/>
      <x:c r="I2" s="2"/>
      <x:c r="J2" s="2"/>
      <x:c r="K2" s="2"/>
    </x:row>
    <x:row r="3" ht="23" customHeight="1">
      <x:c r="A3" s="2"/>
      <x:c r="B3" s="2"/>
      <x:c r="C3" s="2"/>
      <x:c r="D3" s="2"/>
      <x:c r="E3" s="2"/>
      <x:c r="F3" s="2"/>
      <x:c r="G3" s="2"/>
      <x:c r="H3" s="2"/>
      <x:c r="I3" s="2"/>
      <x:c r="J3" s="2"/>
      <x:c r="K3" s="2"/>
    </x:row>
    <x:row r="4" ht="40" customHeight="1">
      <x:c r="A4" s="7" t="str">
        <x:v>Company group</x:v>
      </x:c>
      <x:c r="B4" s="7" t="str">
        <x:v>Registration year</x:v>
      </x:c>
      <x:c r="C4" s="7" t="str">
        <x:v>CTRI ID</x:v>
      </x:c>
      <x:c r="D4" s="7" t="str">
        <x:v>Primary sponsor</x:v>
      </x:c>
      <x:c r="E4" s="7" t="str">
        <x:v>Public title</x:v>
      </x:c>
      <x:c r="F4" s="7" t="str">
        <x:v>Study type (source)</x:v>
      </x:c>
      <x:c r="G4" s="7" t="str">
        <x:v>Phase (source)</x:v>
      </x:c>
      <x:c r="H4" s="7" t="str">
        <x:v>Included (1/0)</x:v>
      </x:c>
      <x:c r="I4" s="7" t="str">
        <x:v>WHO record / source</x:v>
      </x:c>
      <x:c r="J4" s="7" t="str">
        <x:v>Exclusion reason</x:v>
      </x:c>
      <x:c r="K4" s="7" t="str">
        <x:v>Phase I–III (derived)</x:v>
      </x:c>
    </x:row>
    <x:row r="5" ht="62" customHeight="1">
      <x:c r="A5" s="9" t="str">
        <x:v>Abbott</x:v>
      </x:c>
      <x:c r="B5" s="9" t="n">
        <x:v>2024</x:v>
      </x:c>
      <x:c r="C5" s="9" t="str">
        <x:v>CTRI/2024/01/061405</x:v>
      </x:c>
      <x:c r="D5" s="10" t="str">
        <x:v>Abbott Healthcare Pvt Ltd</x:v>
      </x:c>
      <x:c r="E5" s="10" t="str">
        <x:v>Study to find out the effect of Camylofin 50 mg and Paracetamol 325mg drug in patients with acute colicky abdominal pain</x:v>
      </x:c>
      <x:c r="F5" s="10" t="str">
        <x:v>Observational</x:v>
      </x:c>
      <x:c r="G5" s="10" t="str">
        <x:v>N/A</x:v>
      </x:c>
      <x:c r="H5" s="9" t="n">
        <x:v>1</x:v>
      </x:c>
      <x:c r="I5" s="10" t="str">
        <x:v>https://trialsearch.who.int/Trial2.aspx?TrialID=CTRI/2024/01/061405</x:v>
      </x:c>
      <x:c r="J5" s="10" t="str"/>
      <x:c r="K5" s="9" t="n">
        <x:f>IF(OR(G5="Phase 1",G5="Phase 2",G5="Phase 3",G5="Phase 2/ Phase 3"),1,0)</x:f>
        <x:v>0</x:v>
      </x:c>
    </x:row>
    <x:row r="6" ht="62" customHeight="1">
      <x:c r="A6" s="9" t="str">
        <x:v>Abbott</x:v>
      </x:c>
      <x:c r="B6" s="9" t="n">
        <x:v>2024</x:v>
      </x:c>
      <x:c r="C6" s="9" t="str">
        <x:v>CTRI/2024/03/064730</x:v>
      </x:c>
      <x:c r="D6" s="10" t="str">
        <x:v>Abbott Diagnostics Medical Pvt Ltd</x:v>
      </x:c>
      <x:c r="E6" s="10" t="str">
        <x:v>Performance Evaluation of Abbott TB Rapid Test</x:v>
      </x:c>
      <x:c r="F6" s="10" t="str">
        <x:v>Interventional</x:v>
      </x:c>
      <x:c r="G6" s="10" t="str">
        <x:v>N/A</x:v>
      </x:c>
      <x:c r="H6" s="9" t="n">
        <x:v>1</x:v>
      </x:c>
      <x:c r="I6" s="10" t="str">
        <x:v>https://trialsearch.who.int/Trial2.aspx?TrialID=CTRI/2024/03/064730</x:v>
      </x:c>
      <x:c r="J6" s="10" t="str"/>
      <x:c r="K6" s="9" t="n">
        <x:f>IF(OR(G6="Phase 1",G6="Phase 2",G6="Phase 3",G6="Phase 2/ Phase 3"),1,0)</x:f>
        <x:v>0</x:v>
      </x:c>
    </x:row>
    <x:row r="7" ht="62" customHeight="1">
      <x:c r="A7" s="9" t="str">
        <x:v>Abbott</x:v>
      </x:c>
      <x:c r="B7" s="9" t="n">
        <x:v>2024</x:v>
      </x:c>
      <x:c r="C7" s="9" t="str">
        <x:v>CTRI/2024/04/065082</x:v>
      </x:c>
      <x:c r="D7" s="10" t="str">
        <x:v>Ms Abbott India Limited</x:v>
      </x:c>
      <x:c r="E7" s="10" t="str">
        <x:v>Clinical study to evaluate efficacy and safety of Dydrogesterone 20 mg Tablets Compared to Dydrogesterone 10 mg tablet in the Management Of Endometriosis</x:v>
      </x:c>
      <x:c r="F7" s="10" t="str">
        <x:v>Interventional</x:v>
      </x:c>
      <x:c r="G7" s="10" t="str">
        <x:v>Phase 3</x:v>
      </x:c>
      <x:c r="H7" s="9" t="n">
        <x:v>1</x:v>
      </x:c>
      <x:c r="I7" s="10" t="str">
        <x:v>https://trialsearch.who.int/Trial2.aspx?TrialID=CTRI/2024/04/065082</x:v>
      </x:c>
      <x:c r="J7" s="10" t="str"/>
      <x:c r="K7" s="9" t="n">
        <x:f>IF(OR(G7="Phase 1",G7="Phase 2",G7="Phase 3",G7="Phase 2/ Phase 3"),1,0)</x:f>
        <x:v>1</x:v>
      </x:c>
    </x:row>
    <x:row r="8" ht="62" customHeight="1">
      <x:c r="A8" s="9" t="str">
        <x:v>Abbott</x:v>
      </x:c>
      <x:c r="B8" s="9" t="n">
        <x:v>2024</x:v>
      </x:c>
      <x:c r="C8" s="9" t="str">
        <x:v>CTRI/2024/06/069427</x:v>
      </x:c>
      <x:c r="D8" s="10" t="str">
        <x:v>Abbott Healthcare Private Limited</x:v>
      </x:c>
      <x:c r="E8" s="10" t="str">
        <x:v>Evaluation of Effectiveness And Safety Of Clarithromycin In Upper Respiratory Tract Infection</x:v>
      </x:c>
      <x:c r="F8" s="10" t="str">
        <x:v>PMS</x:v>
      </x:c>
      <x:c r="G8" s="10" t="str">
        <x:v>Post Marketing Surveillance</x:v>
      </x:c>
      <x:c r="H8" s="9" t="n">
        <x:v>1</x:v>
      </x:c>
      <x:c r="I8" s="10" t="str">
        <x:v>https://trialsearch.who.int/Trial2.aspx?TrialID=CTRI/2024/06/069427</x:v>
      </x:c>
      <x:c r="J8" s="10" t="str"/>
      <x:c r="K8" s="9" t="n">
        <x:f>IF(OR(G8="Phase 1",G8="Phase 2",G8="Phase 3",G8="Phase 2/ Phase 3"),1,0)</x:f>
        <x:v>0</x:v>
      </x:c>
    </x:row>
    <x:row r="9" ht="62" customHeight="1">
      <x:c r="A9" s="9" t="str">
        <x:v>Abbott</x:v>
      </x:c>
      <x:c r="B9" s="9" t="n">
        <x:v>2024</x:v>
      </x:c>
      <x:c r="C9" s="9" t="str">
        <x:v>CTRI/2024/06/069581</x:v>
      </x:c>
      <x:c r="D9" s="10" t="str">
        <x:v>Abbott Healthcare Private Limited</x:v>
      </x:c>
      <x:c r="E9" s="10" t="str">
        <x:v>Effectiveness And Safety Of Polmacoxib Capsule In The Management of Hip/Knee Osteoarthritis.</x:v>
      </x:c>
      <x:c r="F9" s="10" t="str">
        <x:v>PMS</x:v>
      </x:c>
      <x:c r="G9" s="10" t="str">
        <x:v>Post Marketing Surveillance</x:v>
      </x:c>
      <x:c r="H9" s="9" t="n">
        <x:v>1</x:v>
      </x:c>
      <x:c r="I9" s="10" t="str">
        <x:v>https://trialsearch.who.int/Trial2.aspx?TrialID=CTRI/2024/06/069581</x:v>
      </x:c>
      <x:c r="J9" s="10" t="str"/>
      <x:c r="K9" s="9" t="n">
        <x:f>IF(OR(G9="Phase 1",G9="Phase 2",G9="Phase 3",G9="Phase 2/ Phase 3"),1,0)</x:f>
        <x:v>0</x:v>
      </x:c>
    </x:row>
    <x:row r="10" ht="62" customHeight="1">
      <x:c r="A10" s="9" t="str">
        <x:v>Abbott</x:v>
      </x:c>
      <x:c r="B10" s="9" t="n">
        <x:v>2024</x:v>
      </x:c>
      <x:c r="C10" s="9" t="str">
        <x:v>CTRI/2024/06/069688</x:v>
      </x:c>
      <x:c r="D10" s="10" t="str">
        <x:v>Abbott India Limited</x:v>
      </x:c>
      <x:c r="E10" s="10" t="str">
        <x:v>Study to evaluate safety and effectiveness of injection for patients seeking treatment for Frozen Shoulder</x:v>
      </x:c>
      <x:c r="F10" s="10" t="str">
        <x:v>PMS</x:v>
      </x:c>
      <x:c r="G10" s="10" t="str">
        <x:v>Post Marketing Surveillance</x:v>
      </x:c>
      <x:c r="H10" s="9" t="n">
        <x:v>1</x:v>
      </x:c>
      <x:c r="I10" s="10" t="str">
        <x:v>https://trialsearch.who.int/Trial2.aspx?TrialID=CTRI/2024/06/069688</x:v>
      </x:c>
      <x:c r="J10" s="10" t="str"/>
      <x:c r="K10" s="9" t="n">
        <x:f>IF(OR(G10="Phase 1",G10="Phase 2",G10="Phase 3",G10="Phase 2/ Phase 3"),1,0)</x:f>
        <x:v>0</x:v>
      </x:c>
    </x:row>
    <x:row r="11" ht="62" customHeight="1">
      <x:c r="A11" s="9" t="str">
        <x:v>Abbott</x:v>
      </x:c>
      <x:c r="B11" s="9" t="n">
        <x:v>2024</x:v>
      </x:c>
      <x:c r="C11" s="9" t="str">
        <x:v>CTRI/2024/07/069720</x:v>
      </x:c>
      <x:c r="D11" s="10" t="str">
        <x:v>Abbott Healthcare Private Limited</x:v>
      </x:c>
      <x:c r="E11" s="10" t="str">
        <x:v>Evaluation of Anti-Anginal Effectiveness of Trimetazidine 60 mg Once Daily in Stable Angina Patients</x:v>
      </x:c>
      <x:c r="F11" s="10" t="str">
        <x:v>PMS</x:v>
      </x:c>
      <x:c r="G11" s="10" t="str">
        <x:v>Post Marketing Surveillance</x:v>
      </x:c>
      <x:c r="H11" s="9" t="n">
        <x:v>1</x:v>
      </x:c>
      <x:c r="I11" s="10" t="str">
        <x:v>https://trialsearch.who.int/Trial2.aspx?TrialID=CTRI/2024/07/069720</x:v>
      </x:c>
      <x:c r="J11" s="10" t="str"/>
      <x:c r="K11" s="9" t="n">
        <x:f>IF(OR(G11="Phase 1",G11="Phase 2",G11="Phase 3",G11="Phase 2/ Phase 3"),1,0)</x:f>
        <x:v>0</x:v>
      </x:c>
    </x:row>
    <x:row r="12" ht="62" customHeight="1">
      <x:c r="A12" s="9" t="str">
        <x:v>Abbott</x:v>
      </x:c>
      <x:c r="B12" s="9" t="n">
        <x:v>2024</x:v>
      </x:c>
      <x:c r="C12" s="9" t="str">
        <x:v>CTRI/2024/07/070510</x:v>
      </x:c>
      <x:c r="D12" s="10" t="str">
        <x:v>Abbott India Ltd</x:v>
      </x:c>
      <x:c r="E12" s="10" t="str">
        <x:v>Observational study to find out efficacy and safety of Bifidobacterium longum W11 plus Fructooligosaccharide combination in patients with irritable bowel syndrome</x:v>
      </x:c>
      <x:c r="F12" s="10" t="str">
        <x:v>Interventional</x:v>
      </x:c>
      <x:c r="G12" s="10" t="str">
        <x:v>N/A</x:v>
      </x:c>
      <x:c r="H12" s="9" t="n">
        <x:v>1</x:v>
      </x:c>
      <x:c r="I12" s="10" t="str">
        <x:v>https://trialsearch.who.int/Trial2.aspx?TrialID=CTRI/2024/07/070510</x:v>
      </x:c>
      <x:c r="J12" s="10" t="str"/>
      <x:c r="K12" s="9" t="n">
        <x:f>IF(OR(G12="Phase 1",G12="Phase 2",G12="Phase 3",G12="Phase 2/ Phase 3"),1,0)</x:f>
        <x:v>0</x:v>
      </x:c>
    </x:row>
    <x:row r="13" ht="62" customHeight="1">
      <x:c r="A13" s="9" t="str">
        <x:v>Abbott</x:v>
      </x:c>
      <x:c r="B13" s="9" t="n">
        <x:v>2024</x:v>
      </x:c>
      <x:c r="C13" s="9" t="str">
        <x:v>CTRI/2024/07/070750</x:v>
      </x:c>
      <x:c r="D13" s="10" t="str">
        <x:v>Abbott India Limited</x:v>
      </x:c>
      <x:c r="E13" s="10" t="str">
        <x:v>Milk Of Magnesia+Liquid Paraffin+Sodium Picosulfate In The Management Of Constipation Post Ano-Rectal Surgery Patients</x:v>
      </x:c>
      <x:c r="F13" s="10" t="str">
        <x:v>PMS</x:v>
      </x:c>
      <x:c r="G13" s="10" t="str">
        <x:v>Post Marketing Surveillance</x:v>
      </x:c>
      <x:c r="H13" s="9" t="n">
        <x:v>1</x:v>
      </x:c>
      <x:c r="I13" s="10" t="str">
        <x:v>https://trialsearch.who.int/Trial2.aspx?TrialID=CTRI/2024/07/070750</x:v>
      </x:c>
      <x:c r="J13" s="10" t="str"/>
      <x:c r="K13" s="9" t="n">
        <x:f>IF(OR(G13="Phase 1",G13="Phase 2",G13="Phase 3",G13="Phase 2/ Phase 3"),1,0)</x:f>
        <x:v>0</x:v>
      </x:c>
    </x:row>
    <x:row r="14" ht="62" customHeight="1">
      <x:c r="A14" s="9" t="str">
        <x:v>Abbott</x:v>
      </x:c>
      <x:c r="B14" s="9" t="n">
        <x:v>2024</x:v>
      </x:c>
      <x:c r="C14" s="9" t="str">
        <x:v>CTRI/2024/08/072002</x:v>
      </x:c>
      <x:c r="D14" s="10" t="str">
        <x:v>Abbott India Limited</x:v>
      </x:c>
      <x:c r="E14" s="10" t="str">
        <x:v>Comparison study to evaluate the efficacy and safety of a topical gel</x:v>
      </x:c>
      <x:c r="F14" s="10" t="str">
        <x:v>Interventional</x:v>
      </x:c>
      <x:c r="G14" s="10" t="str">
        <x:v>N/A</x:v>
      </x:c>
      <x:c r="H14" s="9" t="n">
        <x:v>1</x:v>
      </x:c>
      <x:c r="I14" s="10" t="str">
        <x:v>https://trialsearch.who.int/Trial2.aspx?TrialID=CTRI/2024/08/072002</x:v>
      </x:c>
      <x:c r="J14" s="10" t="str"/>
      <x:c r="K14" s="9" t="n">
        <x:f>IF(OR(G14="Phase 1",G14="Phase 2",G14="Phase 3",G14="Phase 2/ Phase 3"),1,0)</x:f>
        <x:v>0</x:v>
      </x:c>
    </x:row>
    <x:row r="15" ht="62" customHeight="1">
      <x:c r="A15" s="9" t="str">
        <x:v>Abbott</x:v>
      </x:c>
      <x:c r="B15" s="9" t="n">
        <x:v>2024</x:v>
      </x:c>
      <x:c r="C15" s="9" t="str">
        <x:v>CTRI/2024/09/073830</x:v>
      </x:c>
      <x:c r="D15" s="10" t="str">
        <x:v>Abbott India Limited</x:v>
      </x:c>
      <x:c r="E15" s="10" t="str">
        <x:v>Study on the Safety and Effectiveness of Nifedipine and Lidocaine cream for Treating Anal Fissures.</x:v>
      </x:c>
      <x:c r="F15" s="10" t="str">
        <x:v>PMS</x:v>
      </x:c>
      <x:c r="G15" s="10" t="str">
        <x:v>Post Marketing Surveillance</x:v>
      </x:c>
      <x:c r="H15" s="9" t="n">
        <x:v>1</x:v>
      </x:c>
      <x:c r="I15" s="10" t="str">
        <x:v>https://trialsearch.who.int/Trial2.aspx?TrialID=CTRI/2024/09/073830</x:v>
      </x:c>
      <x:c r="J15" s="10" t="str"/>
      <x:c r="K15" s="9" t="n">
        <x:f>IF(OR(G15="Phase 1",G15="Phase 2",G15="Phase 3",G15="Phase 2/ Phase 3"),1,0)</x:f>
        <x:v>0</x:v>
      </x:c>
    </x:row>
    <x:row r="16" ht="62" customHeight="1">
      <x:c r="A16" s="9" t="str">
        <x:v>Abbott</x:v>
      </x:c>
      <x:c r="B16" s="9" t="n">
        <x:v>2024</x:v>
      </x:c>
      <x:c r="C16" s="9" t="str">
        <x:v>CTRI/2024/09/074113</x:v>
      </x:c>
      <x:c r="D16" s="10" t="str">
        <x:v>Abbott India Ltd</x:v>
      </x:c>
      <x:c r="E16" s="10" t="str">
        <x:v>A observational study of enzyme replacement therapy in people with diabetes and pancreas problems</x:v>
      </x:c>
      <x:c r="F16" s="10" t="str">
        <x:v>PMS</x:v>
      </x:c>
      <x:c r="G16" s="10" t="str">
        <x:v>Post Marketing Surveillance</x:v>
      </x:c>
      <x:c r="H16" s="9" t="n">
        <x:v>1</x:v>
      </x:c>
      <x:c r="I16" s="10" t="str">
        <x:v>https://trialsearch.who.int/Trial2.aspx?TrialID=CTRI/2024/09/074113</x:v>
      </x:c>
      <x:c r="J16" s="10" t="str"/>
      <x:c r="K16" s="9" t="n">
        <x:f>IF(OR(G16="Phase 1",G16="Phase 2",G16="Phase 3",G16="Phase 2/ Phase 3"),1,0)</x:f>
        <x:v>0</x:v>
      </x:c>
    </x:row>
    <x:row r="17" ht="62" customHeight="1">
      <x:c r="A17" s="9" t="str">
        <x:v>Abbott</x:v>
      </x:c>
      <x:c r="B17" s="9" t="n">
        <x:v>2024</x:v>
      </x:c>
      <x:c r="C17" s="9" t="str">
        <x:v>CTRI/2024/10/075430</x:v>
      </x:c>
      <x:c r="D17" s="10" t="str">
        <x:v>Abbott Healthcare Private Limited</x:v>
      </x:c>
      <x:c r="E17" s="10" t="str">
        <x:v>Evaluation of safety and Effectiveness Oral Prochlorperazine in patients diagnosed with acute phase of Benign Paroxysmal Positional Vertigo (BPPV)</x:v>
      </x:c>
      <x:c r="F17" s="10" t="str">
        <x:v>PMS</x:v>
      </x:c>
      <x:c r="G17" s="10" t="str">
        <x:v>Post Marketing Surveillance</x:v>
      </x:c>
      <x:c r="H17" s="9" t="n">
        <x:v>1</x:v>
      </x:c>
      <x:c r="I17" s="10" t="str">
        <x:v>https://trialsearch.who.int/Trial2.aspx?TrialID=CTRI/2024/10/075430</x:v>
      </x:c>
      <x:c r="J17" s="10" t="str"/>
      <x:c r="K17" s="9" t="n">
        <x:f>IF(OR(G17="Phase 1",G17="Phase 2",G17="Phase 3",G17="Phase 2/ Phase 3"),1,0)</x:f>
        <x:v>0</x:v>
      </x:c>
    </x:row>
    <x:row r="18" ht="62" customHeight="1">
      <x:c r="A18" s="9" t="str">
        <x:v>Abbott</x:v>
      </x:c>
      <x:c r="B18" s="9" t="n">
        <x:v>2024</x:v>
      </x:c>
      <x:c r="C18" s="9" t="str">
        <x:v>CTRI/2024/12/077720</x:v>
      </x:c>
      <x:c r="D18" s="10" t="str">
        <x:v>Abbott Healthcare Products B.V.</x:v>
      </x:c>
      <x:c r="E18" s="10" t="str">
        <x:v>Study for Developing an AI Mobile Tool to Measure and Analyze Fatigue in Healthy Individuals and Chronic Liver Disease Patients for Establishing a Mobile tool that can be utilized in the future for assessing Fatigue if succeeds in this study.</x:v>
      </x:c>
      <x:c r="F18" s="10" t="str">
        <x:v>Interventional</x:v>
      </x:c>
      <x:c r="G18" s="10" t="str">
        <x:v>N/A</x:v>
      </x:c>
      <x:c r="H18" s="9" t="n">
        <x:v>1</x:v>
      </x:c>
      <x:c r="I18" s="10" t="str">
        <x:v>https://trialsearch.who.int/Trial2.aspx?TrialID=CTRI/2024/12/077720</x:v>
      </x:c>
      <x:c r="J18" s="10" t="str"/>
      <x:c r="K18" s="9" t="n">
        <x:f>IF(OR(G18="Phase 1",G18="Phase 2",G18="Phase 3",G18="Phase 2/ Phase 3"),1,0)</x:f>
        <x:v>0</x:v>
      </x:c>
    </x:row>
    <x:row r="19" ht="62" customHeight="1">
      <x:c r="A19" s="9" t="str">
        <x:v>Abbott</x:v>
      </x:c>
      <x:c r="B19" s="9" t="n">
        <x:v>2024</x:v>
      </x:c>
      <x:c r="C19" s="9" t="str">
        <x:v>CTRI/2024/12/078427</x:v>
      </x:c>
      <x:c r="D19" s="10" t="str">
        <x:v>Abbott Healthcare Private Limited</x:v>
      </x:c>
      <x:c r="E19" s="10" t="str">
        <x:v>Assessment of Clinico-Epidemiological Profile and Effectiveness Of Codeine Phosphate 10 Mg + Triprolidine Hcl 1.25 Mg, Syrup In Patients With Dry Cough</x:v>
      </x:c>
      <x:c r="F19" s="10" t="str">
        <x:v>PMS</x:v>
      </x:c>
      <x:c r="G19" s="10" t="str">
        <x:v>Post Marketing Surveillance</x:v>
      </x:c>
      <x:c r="H19" s="9" t="n">
        <x:v>1</x:v>
      </x:c>
      <x:c r="I19" s="10" t="str">
        <x:v>https://trialsearch.who.int/Trial2.aspx?TrialID=CTRI/2024/12/078427</x:v>
      </x:c>
      <x:c r="J19" s="10" t="str"/>
      <x:c r="K19" s="9" t="n">
        <x:f>IF(OR(G19="Phase 1",G19="Phase 2",G19="Phase 3",G19="Phase 2/ Phase 3"),1,0)</x:f>
        <x:v>0</x:v>
      </x:c>
    </x:row>
    <x:row r="20" ht="62" customHeight="1">
      <x:c r="A20" s="9" t="str">
        <x:v>Abbott</x:v>
      </x:c>
      <x:c r="B20" s="9" t="n">
        <x:v>2025</x:v>
      </x:c>
      <x:c r="C20" s="9" t="str">
        <x:v>CTRI/2025/01/078960</x:v>
      </x:c>
      <x:c r="D20" s="10" t="str">
        <x:v>Abbott Healthcare Private Limited</x:v>
      </x:c>
      <x:c r="E20" s="10" t="str">
        <x:v>To determine clinicoepidemiological characteristics and to evaluate the safety and effectiveness of Polygeline in patients with Hypovolemia</x:v>
      </x:c>
      <x:c r="F20" s="10" t="str">
        <x:v>PMS</x:v>
      </x:c>
      <x:c r="G20" s="10" t="str">
        <x:v>Post Marketing Surveillance</x:v>
      </x:c>
      <x:c r="H20" s="9" t="n">
        <x:v>1</x:v>
      </x:c>
      <x:c r="I20" s="10" t="str">
        <x:v>https://trialsearch.who.int/Trial2.aspx?TrialID=CTRI/2025/01/078960</x:v>
      </x:c>
      <x:c r="J20" s="10" t="str"/>
      <x:c r="K20" s="9" t="n">
        <x:f>IF(OR(G20="Phase 1",G20="Phase 2",G20="Phase 3",G20="Phase 2/ Phase 3"),1,0)</x:f>
        <x:v>0</x:v>
      </x:c>
    </x:row>
    <x:row r="21" ht="62" customHeight="1">
      <x:c r="A21" s="9" t="str">
        <x:v>Abbott</x:v>
      </x:c>
      <x:c r="B21" s="9" t="n">
        <x:v>2025</x:v>
      </x:c>
      <x:c r="C21" s="9" t="str">
        <x:v>CTRI/2025/03/083238</x:v>
      </x:c>
      <x:c r="D21" s="10" t="str">
        <x:v>Abbott Healthcare Pvt.Ltd.</x:v>
      </x:c>
      <x:c r="E21" s="10" t="str">
        <x:v>Free style Libre for diabetes 2 management</x:v>
      </x:c>
      <x:c r="F21" s="10" t="str">
        <x:v>Observational</x:v>
      </x:c>
      <x:c r="G21" s="10" t="str">
        <x:v>N/A</x:v>
      </x:c>
      <x:c r="H21" s="9" t="n">
        <x:v>1</x:v>
      </x:c>
      <x:c r="I21" s="10" t="str">
        <x:v>https://trialsearch.who.int/Trial2.aspx?TrialID=CTRI/2025/03/083238</x:v>
      </x:c>
      <x:c r="J21" s="10" t="str"/>
      <x:c r="K21" s="9" t="n">
        <x:f>IF(OR(G21="Phase 1",G21="Phase 2",G21="Phase 3",G21="Phase 2/ Phase 3"),1,0)</x:f>
        <x:v>0</x:v>
      </x:c>
    </x:row>
    <x:row r="22" ht="62" customHeight="1">
      <x:c r="A22" s="9" t="str">
        <x:v>Abbott</x:v>
      </x:c>
      <x:c r="B22" s="9" t="n">
        <x:v>2025</x:v>
      </x:c>
      <x:c r="C22" s="9" t="str">
        <x:v>CTRI/2025/04/084464</x:v>
      </x:c>
      <x:c r="D22" s="10" t="str">
        <x:v>Ms Abbott India Limited</x:v>
      </x:c>
      <x:c r="E22" s="10" t="str">
        <x:v>Clinical study to evaluate efficacy and safety of Ursodeoxycholic acid tablet in patients with non-alcoholic fatty liver disease (NAFLD) with transaminitis.</x:v>
      </x:c>
      <x:c r="F22" s="10" t="str">
        <x:v>Interventional</x:v>
      </x:c>
      <x:c r="G22" s="10" t="str">
        <x:v>Phase 3</x:v>
      </x:c>
      <x:c r="H22" s="9" t="n">
        <x:v>1</x:v>
      </x:c>
      <x:c r="I22" s="10" t="str">
        <x:v>https://trialsearch.who.int/Trial2.aspx?TrialID=CTRI/2025/04/084464</x:v>
      </x:c>
      <x:c r="J22" s="10" t="str"/>
      <x:c r="K22" s="9" t="n">
        <x:f>IF(OR(G22="Phase 1",G22="Phase 2",G22="Phase 3",G22="Phase 2/ Phase 3"),1,0)</x:f>
        <x:v>1</x:v>
      </x:c>
    </x:row>
    <x:row r="23" ht="62" customHeight="1">
      <x:c r="A23" s="9" t="str">
        <x:v>Abbott</x:v>
      </x:c>
      <x:c r="B23" s="9" t="n">
        <x:v>2025</x:v>
      </x:c>
      <x:c r="C23" s="9" t="str">
        <x:v>CTRI/2025/06/089415</x:v>
      </x:c>
      <x:c r="D23" s="10" t="str">
        <x:v>Abbott Healthcare Pvt Ltd</x:v>
      </x:c>
      <x:c r="E23" s="10" t="str">
        <x:v>To find out the safety and effectiveness of Chlordiazepoxide in Alcohol withdrawl syndrome patients</x:v>
      </x:c>
      <x:c r="F23" s="10" t="str">
        <x:v>Interventional</x:v>
      </x:c>
      <x:c r="G23" s="10" t="str">
        <x:v>N/A</x:v>
      </x:c>
      <x:c r="H23" s="9" t="n">
        <x:v>1</x:v>
      </x:c>
      <x:c r="I23" s="10" t="str">
        <x:v>https://trialsearch.who.int/Trial2.aspx?TrialID=CTRI/2025/06/089415</x:v>
      </x:c>
      <x:c r="J23" s="10" t="str"/>
      <x:c r="K23" s="9" t="n">
        <x:f>IF(OR(G23="Phase 1",G23="Phase 2",G23="Phase 3",G23="Phase 2/ Phase 3"),1,0)</x:f>
        <x:v>0</x:v>
      </x:c>
    </x:row>
    <x:row r="24" ht="62" customHeight="1">
      <x:c r="A24" s="9" t="str">
        <x:v>Abbott</x:v>
      </x:c>
      <x:c r="B24" s="9" t="n">
        <x:v>2025</x:v>
      </x:c>
      <x:c r="C24" s="9" t="str">
        <x:v>CTRI/2025/07/090144</x:v>
      </x:c>
      <x:c r="D24" s="10" t="str">
        <x:v>Abbott India Pvt. Ltd.</x:v>
      </x:c>
      <x:c r="E24" s="10" t="str">
        <x:v>To evaluate the safety and effectiveness of the CSP ICD Lead in participants implanted with ICD or CRT-D therapy</x:v>
      </x:c>
      <x:c r="F24" s="10" t="str">
        <x:v>Interventional</x:v>
      </x:c>
      <x:c r="G24" s="10" t="str">
        <x:v>Phase 3</x:v>
      </x:c>
      <x:c r="H24" s="9" t="n">
        <x:v>1</x:v>
      </x:c>
      <x:c r="I24" s="10" t="str">
        <x:v>https://trialsearch.who.int/Trial2.aspx?TrialID=CTRI/2025/07/090144</x:v>
      </x:c>
      <x:c r="J24" s="10" t="str"/>
      <x:c r="K24" s="9" t="n">
        <x:f>IF(OR(G24="Phase 1",G24="Phase 2",G24="Phase 3",G24="Phase 2/ Phase 3"),1,0)</x:f>
        <x:v>1</x:v>
      </x:c>
    </x:row>
    <x:row r="25" ht="62" customHeight="1">
      <x:c r="A25" s="9" t="str">
        <x:v>Abbott</x:v>
      </x:c>
      <x:c r="B25" s="9" t="n">
        <x:v>2025</x:v>
      </x:c>
      <x:c r="C25" s="9" t="str">
        <x:v>CTRI/2025/07/090206</x:v>
      </x:c>
      <x:c r="D25" s="10" t="str">
        <x:v>Abbott</x:v>
      </x:c>
      <x:c r="E25" s="10" t="str">
        <x:v>To check how safe and effective it is to use Left Bundle Branch area pacing or sensing in patients who have had either the Tendril STS 2088TC or UltiPace LPA1231 lead implanted, over a period of 6 months after the procedure.</x:v>
      </x:c>
      <x:c r="F25" s="10" t="str">
        <x:v>PMS</x:v>
      </x:c>
      <x:c r="G25" s="10" t="str">
        <x:v>Post Marketing Surveillance</x:v>
      </x:c>
      <x:c r="H25" s="9" t="n">
        <x:v>1</x:v>
      </x:c>
      <x:c r="I25" s="10" t="str">
        <x:v>https://trialsearch.who.int/Trial2.aspx?TrialID=CTRI/2025/07/090206</x:v>
      </x:c>
      <x:c r="J25" s="10" t="str"/>
      <x:c r="K25" s="9" t="n">
        <x:f>IF(OR(G25="Phase 1",G25="Phase 2",G25="Phase 3",G25="Phase 2/ Phase 3"),1,0)</x:f>
        <x:v>0</x:v>
      </x:c>
    </x:row>
    <x:row r="26" ht="62" customHeight="1">
      <x:c r="A26" s="9" t="str">
        <x:v>Abbott</x:v>
      </x:c>
      <x:c r="B26" s="9" t="n">
        <x:v>2025</x:v>
      </x:c>
      <x:c r="C26" s="9" t="str">
        <x:v>CTRI/2025/08/093017</x:v>
      </x:c>
      <x:c r="D26" s="10" t="str">
        <x:v>Abbott Healthcare Pvt Ltd</x:v>
      </x:c>
      <x:c r="E26" s="10" t="str">
        <x:v>A study to find out if adding the medicine Pioglitazone can help control blood sugar better in Indian people with type 2 diabetes who are already taking Glimepiride and Metformin</x:v>
      </x:c>
      <x:c r="F26" s="10" t="str">
        <x:v>Interventional</x:v>
      </x:c>
      <x:c r="G26" s="10" t="str">
        <x:v>N/A</x:v>
      </x:c>
      <x:c r="H26" s="9" t="n">
        <x:v>1</x:v>
      </x:c>
      <x:c r="I26" s="10" t="str">
        <x:v>https://trialsearch.who.int/Trial2.aspx?TrialID=CTRI/2025/08/093017</x:v>
      </x:c>
      <x:c r="J26" s="10" t="str"/>
      <x:c r="K26" s="9" t="n">
        <x:f>IF(OR(G26="Phase 1",G26="Phase 2",G26="Phase 3",G26="Phase 2/ Phase 3"),1,0)</x:f>
        <x:v>0</x:v>
      </x:c>
    </x:row>
    <x:row r="27" ht="62" customHeight="1">
      <x:c r="A27" s="9" t="str">
        <x:v>Abbott</x:v>
      </x:c>
      <x:c r="B27" s="9" t="n">
        <x:v>2025</x:v>
      </x:c>
      <x:c r="C27" s="9" t="str">
        <x:v>CTRI/2025/10/095753</x:v>
      </x:c>
      <x:c r="D27" s="10" t="str">
        <x:v>Abbott Healthcare Private Limited</x:v>
      </x:c>
      <x:c r="E27" s="10" t="str">
        <x:v>A Post Marketing Observational Study to Evaluate the Effectiveness of an oral multivitamin and multimineral supplement without any inventions in participants which can prevents hair loss</x:v>
      </x:c>
      <x:c r="F27" s="10" t="str">
        <x:v>PMS</x:v>
      </x:c>
      <x:c r="G27" s="10" t="str">
        <x:v>Phase 4</x:v>
      </x:c>
      <x:c r="H27" s="9" t="n">
        <x:v>1</x:v>
      </x:c>
      <x:c r="I27" s="10" t="str">
        <x:v>https://trialsearch.who.int/Trial2.aspx?TrialID=CTRI/2025/10/095753</x:v>
      </x:c>
      <x:c r="J27" s="10" t="str"/>
      <x:c r="K27" s="9" t="n">
        <x:f>IF(OR(G27="Phase 1",G27="Phase 2",G27="Phase 3",G27="Phase 2/ Phase 3"),1,0)</x:f>
        <x:v>0</x:v>
      </x:c>
    </x:row>
    <x:row r="28" ht="62" customHeight="1">
      <x:c r="A28" s="9" t="str">
        <x:v>Abbott</x:v>
      </x:c>
      <x:c r="B28" s="9" t="n">
        <x:v>2025</x:v>
      </x:c>
      <x:c r="C28" s="9" t="str">
        <x:v>CTRI/2025/10/096159</x:v>
      </x:c>
      <x:c r="D28" s="10" t="str">
        <x:v>Abbott India Limited</x:v>
      </x:c>
      <x:c r="E28" s="10" t="str">
        <x:v>Observational study on Invasive Pneumococcal Disease (IPD) in Indian Children participants</x:v>
      </x:c>
      <x:c r="F28" s="10" t="str">
        <x:v>Observational</x:v>
      </x:c>
      <x:c r="G28" s="10" t="str">
        <x:v>N/A</x:v>
      </x:c>
      <x:c r="H28" s="9" t="n">
        <x:v>1</x:v>
      </x:c>
      <x:c r="I28" s="10" t="str">
        <x:v>https://trialsearch.who.int/Trial2.aspx?TrialID=CTRI/2025/10/096159</x:v>
      </x:c>
      <x:c r="J28" s="10" t="str"/>
      <x:c r="K28" s="9" t="n">
        <x:f>IF(OR(G28="Phase 1",G28="Phase 2",G28="Phase 3",G28="Phase 2/ Phase 3"),1,0)</x:f>
        <x:v>0</x:v>
      </x:c>
    </x:row>
    <x:row r="29" ht="62" customHeight="1">
      <x:c r="A29" s="9" t="str">
        <x:v>Abbott</x:v>
      </x:c>
      <x:c r="B29" s="9" t="n">
        <x:v>2025</x:v>
      </x:c>
      <x:c r="C29" s="9" t="str">
        <x:v>CTRI/2025/10/096431</x:v>
      </x:c>
      <x:c r="D29" s="10" t="str">
        <x:v>Ms Abbott India Limited</x:v>
      </x:c>
      <x:c r="E29" s="10" t="str">
        <x:v>Evaluate the Safety and Effectiveness of Oral Suspension of Sodium Alginate IP 1000 mg and Potassium hydrogen carbonate Ph EUR 200 mg in 320 Patients with Gastroesophageal Reflux Disease (GERD) or acidity.</x:v>
      </x:c>
      <x:c r="F29" s="10" t="str">
        <x:v>PMS</x:v>
      </x:c>
      <x:c r="G29" s="10" t="str">
        <x:v>Post Marketing Surveillance</x:v>
      </x:c>
      <x:c r="H29" s="9" t="n">
        <x:v>1</x:v>
      </x:c>
      <x:c r="I29" s="10" t="str">
        <x:v>https://trialsearch.who.int/Trial2.aspx?TrialID=CTRI/2025/10/096431</x:v>
      </x:c>
      <x:c r="J29" s="10" t="str"/>
      <x:c r="K29" s="9" t="n">
        <x:f>IF(OR(G29="Phase 1",G29="Phase 2",G29="Phase 3",G29="Phase 2/ Phase 3"),1,0)</x:f>
        <x:v>0</x:v>
      </x:c>
    </x:row>
    <x:row r="30" ht="62" customHeight="1">
      <x:c r="A30" s="9" t="str">
        <x:v>Abbott</x:v>
      </x:c>
      <x:c r="B30" s="9" t="n">
        <x:v>2026</x:v>
      </x:c>
      <x:c r="C30" s="9" t="str">
        <x:v>CTRI/2026/06/111871</x:v>
      </x:c>
      <x:c r="D30" s="10" t="str">
        <x:v>Abbott Healthcare Pvt Ltd</x:v>
      </x:c>
      <x:c r="E30" s="10" t="str">
        <x:v>A clinical trial to study a sensor system in patients with heart failure</x:v>
      </x:c>
      <x:c r="F30" s="10" t="str">
        <x:v>Interventional</x:v>
      </x:c>
      <x:c r="G30" s="10" t="str">
        <x:v>Phase 3</x:v>
      </x:c>
      <x:c r="H30" s="9" t="n">
        <x:v>1</x:v>
      </x:c>
      <x:c r="I30" s="10" t="str">
        <x:v>https://trialsearch.who.int/Trial2.aspx?TrialID=CTRI/2026/06/111871</x:v>
      </x:c>
      <x:c r="J30" s="10" t="str"/>
      <x:c r="K30" s="9" t="n">
        <x:f>IF(OR(G30="Phase 1",G30="Phase 2",G30="Phase 3",G30="Phase 2/ Phase 3"),1,0)</x:f>
        <x:v>1</x:v>
      </x:c>
    </x:row>
    <x:row r="31" ht="62" customHeight="1">
      <x:c r="A31" s="9" t="str">
        <x:v>Abbott</x:v>
      </x:c>
      <x:c r="B31" s="9" t="n">
        <x:v>2026</x:v>
      </x:c>
      <x:c r="C31" s="9" t="str">
        <x:v>CTRI/2026/06/113145</x:v>
      </x:c>
      <x:c r="D31" s="10" t="str">
        <x:v>Abbott Healthcare Ltd</x:v>
      </x:c>
      <x:c r="E31" s="10" t="str">
        <x:v>A study to check and compare the efficacy and effectiveness of fluvoxamine versus fluoxetine in 110 patients with obsessive compulsive disorder at a single centre</x:v>
      </x:c>
      <x:c r="F31" s="10" t="str">
        <x:v>Interventional</x:v>
      </x:c>
      <x:c r="G31" s="10" t="str">
        <x:v>N/A</x:v>
      </x:c>
      <x:c r="H31" s="9" t="n">
        <x:v>1</x:v>
      </x:c>
      <x:c r="I31" s="10" t="str">
        <x:v>https://trialsearch.who.int/Trial2.aspx?TrialID=CTRI/2026/06/113145</x:v>
      </x:c>
      <x:c r="J31" s="10" t="str"/>
      <x:c r="K31" s="9" t="n">
        <x:f>IF(OR(G31="Phase 1",G31="Phase 2",G31="Phase 3",G31="Phase 2/ Phase 3"),1,0)</x:f>
        <x:v>0</x:v>
      </x:c>
    </x:row>
    <x:row r="32" ht="62" customHeight="1">
      <x:c r="A32" s="9" t="str">
        <x:v>Abbott</x:v>
      </x:c>
      <x:c r="B32" s="9" t="n">
        <x:v>2026</x:v>
      </x:c>
      <x:c r="C32" s="9" t="str">
        <x:v>CTRI/2026/07/113277</x:v>
      </x:c>
      <x:c r="D32" s="10" t="str">
        <x:v>Abbott Healthcare Private Limited</x:v>
      </x:c>
      <x:c r="E32" s="10" t="str">
        <x:v>A Clinical Study to Generate Real World Evidence on the Use of Vitamin K Antagonists in Valvular Heart Disease</x:v>
      </x:c>
      <x:c r="F32" s="10" t="str">
        <x:v>Observational</x:v>
      </x:c>
      <x:c r="G32" s="10" t="str">
        <x:v>N/A</x:v>
      </x:c>
      <x:c r="H32" s="9" t="n">
        <x:v>1</x:v>
      </x:c>
      <x:c r="I32" s="10" t="str">
        <x:v>https://trialsearch.who.int/Trial2.aspx?TrialID=CTRI/2026/07/113277</x:v>
      </x:c>
      <x:c r="J32" s="10" t="str"/>
      <x:c r="K32" s="9" t="n">
        <x:f>IF(OR(G32="Phase 1",G32="Phase 2",G32="Phase 3",G32="Phase 2/ Phase 3"),1,0)</x:f>
        <x:v>0</x:v>
      </x:c>
    </x:row>
    <x:row r="33" ht="62" customHeight="1">
      <x:c r="A33" s="9" t="str">
        <x:v>Abbott</x:v>
      </x:c>
      <x:c r="B33" s="9" t="n">
        <x:v>2026</x:v>
      </x:c>
      <x:c r="C33" s="9" t="str">
        <x:v>CTRI/2026/07/113725</x:v>
      </x:c>
      <x:c r="D33" s="10" t="str">
        <x:v>Abbott Healthcare Private Limited</x:v>
      </x:c>
      <x:c r="E33" s="10" t="str">
        <x:v>A study to understand treatment patterns and health outcomes in patients with chronic stable angina and Type 2 diabetes.</x:v>
      </x:c>
      <x:c r="F33" s="10" t="str">
        <x:v>Observational</x:v>
      </x:c>
      <x:c r="G33" s="10" t="str">
        <x:v>N/A</x:v>
      </x:c>
      <x:c r="H33" s="9" t="n">
        <x:v>1</x:v>
      </x:c>
      <x:c r="I33" s="10" t="str">
        <x:v>https://trialsearch.who.int/Trial2.aspx?TrialID=CTRI/2026/07/113725</x:v>
      </x:c>
      <x:c r="J33" s="10" t="str"/>
      <x:c r="K33" s="9" t="n">
        <x:f>IF(OR(G33="Phase 1",G33="Phase 2",G33="Phase 3",G33="Phase 2/ Phase 3"),1,0)</x:f>
        <x:v>0</x:v>
      </x:c>
    </x:row>
    <x:row r="34" ht="62" customHeight="1">
      <x:c r="A34" s="9" t="str">
        <x:v>Abbott</x:v>
      </x:c>
      <x:c r="B34" s="9" t="n">
        <x:v>2026</x:v>
      </x:c>
      <x:c r="C34" s="9" t="str">
        <x:v>CTRI/2026/08/116501</x:v>
      </x:c>
      <x:c r="D34" s="10" t="str">
        <x:v>Abbott India Limited</x:v>
      </x:c>
      <x:c r="E34" s="10" t="str">
        <x:v>Recovery after anorectal surgery in adults with constipation using a combination of milk of magnesia sodium picosulfate and liquid paraffin</x:v>
      </x:c>
      <x:c r="F34" s="10" t="str">
        <x:v>Observational</x:v>
      </x:c>
      <x:c r="G34" s="10" t="str">
        <x:v>N/A</x:v>
      </x:c>
      <x:c r="H34" s="9" t="n">
        <x:v>1</x:v>
      </x:c>
      <x:c r="I34" s="10" t="str">
        <x:v>https://trialsearch.who.int/Trial2.aspx?TrialID=CTRI/2026/08/116501</x:v>
      </x:c>
      <x:c r="J34" s="10" t="str"/>
      <x:c r="K34" s="9" t="n">
        <x:f>IF(OR(G34="Phase 1",G34="Phase 2",G34="Phase 3",G34="Phase 2/ Phase 3"),1,0)</x:f>
        <x:v>0</x:v>
      </x:c>
    </x:row>
    <x:row r="35" ht="62" customHeight="1">
      <x:c r="A35" s="9" t="str">
        <x:v>GSK</x:v>
      </x:c>
      <x:c r="B35" s="9" t="n">
        <x:v>2024</x:v>
      </x:c>
      <x:c r="C35" s="9" t="str">
        <x:v>CTRI/2024/03/064587</x:v>
      </x:c>
      <x:c r="D35" s="10" t="str">
        <x:v>GlaxoSmithKline Research Development Limited</x:v>
      </x:c>
      <x:c r="E35" s="10" t="str">
        <x:v>DREAMM-9: Phase 1 Study of Belantamab Mafodotin Plus Standard of care in Newly Diagnosed Multiple Myeloma patients</x:v>
      </x:c>
      <x:c r="F35" s="10" t="str">
        <x:v>Interventional</x:v>
      </x:c>
      <x:c r="G35" s="10" t="str">
        <x:v>Phase 1</x:v>
      </x:c>
      <x:c r="H35" s="9" t="n">
        <x:v>1</x:v>
      </x:c>
      <x:c r="I35" s="10" t="str">
        <x:v>https://trialsearch.who.int/Trial2.aspx?TrialID=CTRI/2024/03/064587</x:v>
      </x:c>
      <x:c r="J35" s="10" t="str"/>
      <x:c r="K35" s="9" t="n">
        <x:f>IF(OR(G35="Phase 1",G35="Phase 2",G35="Phase 3",G35="Phase 2/ Phase 3"),1,0)</x:f>
        <x:v>1</x:v>
      </x:c>
    </x:row>
    <x:row r="36" ht="62" customHeight="1">
      <x:c r="A36" s="9" t="str">
        <x:v>GSK</x:v>
      </x:c>
      <x:c r="B36" s="9" t="n">
        <x:v>2024</x:v>
      </x:c>
      <x:c r="C36" s="9" t="str">
        <x:v>CTRI/2024/06/068865</x:v>
      </x:c>
      <x:c r="D36" s="10" t="str">
        <x:v>GlaxoSmithKline Research &amp; Development Limited</x:v>
      </x:c>
      <x:c r="E36" s="10" t="str">
        <x:v>A Study of Dostarlimab vs Placebo After Chemoradiation in Adult Participants With Locally Advanced Unresected Head and Neck Squamous Cell Carcinoma</x:v>
      </x:c>
      <x:c r="F36" s="10" t="str">
        <x:v>Interventional</x:v>
      </x:c>
      <x:c r="G36" s="10" t="str">
        <x:v>Phase 3</x:v>
      </x:c>
      <x:c r="H36" s="9" t="n">
        <x:v>1</x:v>
      </x:c>
      <x:c r="I36" s="10" t="str">
        <x:v>https://trialsearch.who.int/Trial2.aspx?TrialID=CTRI/2024/06/068865</x:v>
      </x:c>
      <x:c r="J36" s="10" t="str"/>
      <x:c r="K36" s="9" t="n">
        <x:f>IF(OR(G36="Phase 1",G36="Phase 2",G36="Phase 3",G36="Phase 2/ Phase 3"),1,0)</x:f>
        <x:v>1</x:v>
      </x:c>
    </x:row>
    <x:row r="37" ht="62" customHeight="1">
      <x:c r="A37" s="9" t="str">
        <x:v>GSK</x:v>
      </x:c>
      <x:c r="B37" s="9" t="n">
        <x:v>2024</x:v>
      </x:c>
      <x:c r="C37" s="9" t="str">
        <x:v>CTRI/2024/07/071492</x:v>
      </x:c>
      <x:c r="D37" s="10" t="str">
        <x:v>GlaxoSmithKline Research &amp; Development Limited</x:v>
      </x:c>
      <x:c r="E37" s="10" t="str">
        <x:v>A study to compare the efficacy and safety of tafenoquine and primaquine when either are taken together with chloroquine for the treatment of P. vivax malaria in Indian participants aged 2 years and older</x:v>
      </x:c>
      <x:c r="F37" s="10" t="str">
        <x:v>Interventional</x:v>
      </x:c>
      <x:c r="G37" s="10" t="str">
        <x:v>Phase 3</x:v>
      </x:c>
      <x:c r="H37" s="9" t="n">
        <x:v>1</x:v>
      </x:c>
      <x:c r="I37" s="10" t="str">
        <x:v>https://trialsearch.who.int/Trial2.aspx?TrialID=CTRI/2024/07/071492</x:v>
      </x:c>
      <x:c r="J37" s="10" t="str"/>
      <x:c r="K37" s="9" t="n">
        <x:f>IF(OR(G37="Phase 1",G37="Phase 2",G37="Phase 3",G37="Phase 2/ Phase 3"),1,0)</x:f>
        <x:v>1</x:v>
      </x:c>
    </x:row>
    <x:row r="38" ht="62" customHeight="1">
      <x:c r="A38" s="9" t="str">
        <x:v>GSK</x:v>
      </x:c>
      <x:c r="B38" s="9" t="n">
        <x:v>2024</x:v>
      </x:c>
      <x:c r="C38" s="9" t="str">
        <x:v>CTRI/2024/09/073941</x:v>
      </x:c>
      <x:c r="D38" s="10" t="str">
        <x:v>GlaxoSmithKline Biologicals SA</x:v>
      </x:c>
      <x:c r="E38" s="10" t="str">
        <x:v>A study on the immune response and safety of an RSV OA vaccine in India when given to older adults 60 years of age and above and adults 50-59 years of age at increased risk of respiratory syncytial virus lower respiratory tract disease.</x:v>
      </x:c>
      <x:c r="F38" s="10" t="str">
        <x:v>Interventional</x:v>
      </x:c>
      <x:c r="G38" s="10" t="str">
        <x:v>Phase 3</x:v>
      </x:c>
      <x:c r="H38" s="9" t="n">
        <x:v>1</x:v>
      </x:c>
      <x:c r="I38" s="10" t="str">
        <x:v>https://trialsearch.who.int/Trial2.aspx?TrialID=CTRI/2024/09/073941</x:v>
      </x:c>
      <x:c r="J38" s="10" t="str"/>
      <x:c r="K38" s="9" t="n">
        <x:f>IF(OR(G38="Phase 1",G38="Phase 2",G38="Phase 3",G38="Phase 2/ Phase 3"),1,0)</x:f>
        <x:v>1</x:v>
      </x:c>
    </x:row>
    <x:row r="39" ht="62" customHeight="1">
      <x:c r="A39" s="9" t="str">
        <x:v>GSK</x:v>
      </x:c>
      <x:c r="B39" s="9" t="n">
        <x:v>2024</x:v>
      </x:c>
      <x:c r="C39" s="9" t="str">
        <x:v>CTRI/2024/10/075244</x:v>
      </x:c>
      <x:c r="D39" s="10" t="str">
        <x:v>GlaxoSmithKline</x:v>
      </x:c>
      <x:c r="E39" s="10" t="str">
        <x:v>Randomized, multicenter, double-blind, Phase 3 study investigating the safety and efficacy of dostarlimab plus belrestotug compared with pembrolizumab plus placebo in participants with previously untreated, unresectable, locally advanced or metastatic Non-small-cell lung cancer</x:v>
      </x:c>
      <x:c r="F39" s="10" t="str">
        <x:v>Interventional</x:v>
      </x:c>
      <x:c r="G39" s="10" t="str">
        <x:v>Phase 3</x:v>
      </x:c>
      <x:c r="H39" s="9" t="n">
        <x:v>1</x:v>
      </x:c>
      <x:c r="I39" s="10" t="str">
        <x:v>https://trialsearch.who.int/Trial2.aspx?TrialID=CTRI/2024/10/075244</x:v>
      </x:c>
      <x:c r="J39" s="10" t="str"/>
      <x:c r="K39" s="9" t="n">
        <x:f>IF(OR(G39="Phase 1",G39="Phase 2",G39="Phase 3",G39="Phase 2/ Phase 3"),1,0)</x:f>
        <x:v>1</x:v>
      </x:c>
    </x:row>
    <x:row r="40" ht="62" customHeight="1">
      <x:c r="A40" s="9" t="str">
        <x:v>GSK</x:v>
      </x:c>
      <x:c r="B40" s="9" t="n">
        <x:v>2025</x:v>
      </x:c>
      <x:c r="C40" s="9" t="str">
        <x:v>CTRI/2025/03/082191</x:v>
      </x:c>
      <x:c r="D40" s="10" t="str">
        <x:v>GSK Jahnavi</x:v>
      </x:c>
      <x:c r="E40" s="10" t="str">
        <x:v>Study on how teeth alignment changes after braces in people with a specific type of bite issue, using a digital tool to measure the changes.</x:v>
      </x:c>
      <x:c r="F40" s="10" t="str">
        <x:v>Observational</x:v>
      </x:c>
      <x:c r="G40" s="10" t="str">
        <x:v>N/A</x:v>
      </x:c>
      <x:c r="H40" s="9" t="n">
        <x:v>0</x:v>
      </x:c>
      <x:c r="I40" s="10" t="str">
        <x:v>https://trialsearch.who.int/Trial2.aspx?TrialID=CTRI/2025/03/082191</x:v>
      </x:c>
      <x:c r="J40" s="10" t="str">
        <x:v>Academic sponsor GSK Jahnavi; excluded</x:v>
      </x:c>
      <x:c r="K40" s="9" t="n">
        <x:f>IF(OR(G40="Phase 1",G40="Phase 2",G40="Phase 3",G40="Phase 2/ Phase 3"),1,0)</x:f>
        <x:v>0</x:v>
      </x:c>
    </x:row>
    <x:row r="41" ht="62" customHeight="1">
      <x:c r="A41" s="9" t="str">
        <x:v>GSK</x:v>
      </x:c>
      <x:c r="B41" s="9" t="n">
        <x:v>2025</x:v>
      </x:c>
      <x:c r="C41" s="9" t="str">
        <x:v>CTRI/2025/03/083590</x:v>
      </x:c>
      <x:c r="D41" s="10" t="str">
        <x:v>GlaxoSmithKline Research &amp; Development Limited</x:v>
      </x:c>
      <x:c r="E41" s="10" t="str">
        <x:v>Long-term follow-up study to evaluate response in previous bepirovirsen study participants.</x:v>
      </x:c>
      <x:c r="F41" s="10" t="str">
        <x:v>Observational</x:v>
      </x:c>
      <x:c r="G41" s="10" t="str">
        <x:v>N/A</x:v>
      </x:c>
      <x:c r="H41" s="9" t="n">
        <x:v>1</x:v>
      </x:c>
      <x:c r="I41" s="10" t="str">
        <x:v>https://trialsearch.who.int/Trial2.aspx?TrialID=CTRI/2025/03/083590</x:v>
      </x:c>
      <x:c r="J41" s="10" t="str"/>
      <x:c r="K41" s="9" t="n">
        <x:f>IF(OR(G41="Phase 1",G41="Phase 2",G41="Phase 3",G41="Phase 2/ Phase 3"),1,0)</x:f>
        <x:v>0</x:v>
      </x:c>
    </x:row>
    <x:row r="42" ht="62" customHeight="1">
      <x:c r="A42" s="9" t="str">
        <x:v>GSK</x:v>
      </x:c>
      <x:c r="B42" s="9" t="n">
        <x:v>2025</x:v>
      </x:c>
      <x:c r="C42" s="9" t="str">
        <x:v>CTRI/2025/04/085112</x:v>
      </x:c>
      <x:c r="D42" s="10" t="str">
        <x:v>GlaxosmithKline -</x:v>
      </x:c>
      <x:c r="E42" s="10" t="str">
        <x:v>A study to evaluate the safety of Niraparib tablets in adult female subjects with ovarian cancer.</x:v>
      </x:c>
      <x:c r="F42" s="10" t="str">
        <x:v>Interventional</x:v>
      </x:c>
      <x:c r="G42" s="10" t="str">
        <x:v>Phase 4</x:v>
      </x:c>
      <x:c r="H42" s="9" t="n">
        <x:v>1</x:v>
      </x:c>
      <x:c r="I42" s="10" t="str">
        <x:v>https://trialsearch.who.int/Trial2.aspx?TrialID=CTRI/2025/04/085112</x:v>
      </x:c>
      <x:c r="J42" s="10" t="str"/>
      <x:c r="K42" s="9" t="n">
        <x:f>IF(OR(G42="Phase 1",G42="Phase 2",G42="Phase 3",G42="Phase 2/ Phase 3"),1,0)</x:f>
        <x:v>0</x:v>
      </x:c>
    </x:row>
    <x:row r="43" ht="62" customHeight="1">
      <x:c r="A43" s="9" t="str">
        <x:v>GSK</x:v>
      </x:c>
      <x:c r="B43" s="9" t="n">
        <x:v>2025</x:v>
      </x:c>
      <x:c r="C43" s="9" t="str">
        <x:v>CTRI/2025/04/085913</x:v>
      </x:c>
      <x:c r="D43" s="10" t="str">
        <x:v>GlaxosmithKline</x:v>
      </x:c>
      <x:c r="E43" s="10" t="str">
        <x:v>A study to evaluate the safety of dostarlimab in adult patients in India with recurrent or advanced endometrial cancer.</x:v>
      </x:c>
      <x:c r="F43" s="10" t="str">
        <x:v>Interventional</x:v>
      </x:c>
      <x:c r="G43" s="10" t="str">
        <x:v>Phase 4</x:v>
      </x:c>
      <x:c r="H43" s="9" t="n">
        <x:v>1</x:v>
      </x:c>
      <x:c r="I43" s="10" t="str">
        <x:v>https://trialsearch.who.int/Trial2.aspx?TrialID=CTRI/2025/04/085913</x:v>
      </x:c>
      <x:c r="J43" s="10" t="str"/>
      <x:c r="K43" s="9" t="n">
        <x:f>IF(OR(G43="Phase 1",G43="Phase 2",G43="Phase 3",G43="Phase 2/ Phase 3"),1,0)</x:f>
        <x:v>0</x:v>
      </x:c>
    </x:row>
    <x:row r="44" ht="62" customHeight="1">
      <x:c r="A44" s="9" t="str">
        <x:v>GSK</x:v>
      </x:c>
      <x:c r="B44" s="9" t="n">
        <x:v>2025</x:v>
      </x:c>
      <x:c r="C44" s="9" t="str">
        <x:v>CTRI/2025/07/092011</x:v>
      </x:c>
      <x:c r="D44" s="10" t="str">
        <x:v>GlaxoSmithKline Research &amp; Development Limited</x:v>
      </x:c>
      <x:c r="E44" s="10" t="str">
        <x:v>Phase 3 Study of Perioperative Dostarlimab in Participants with Untreated T4N0 or Stage III dMMR/MSI-H Resectable Colon Cancer</x:v>
      </x:c>
      <x:c r="F44" s="10" t="str">
        <x:v>Interventional</x:v>
      </x:c>
      <x:c r="G44" s="10" t="str">
        <x:v>Phase 3</x:v>
      </x:c>
      <x:c r="H44" s="9" t="n">
        <x:v>1</x:v>
      </x:c>
      <x:c r="I44" s="10" t="str">
        <x:v>https://trialsearch.who.int/Trial2.aspx?TrialID=CTRI/2025/07/092011</x:v>
      </x:c>
      <x:c r="J44" s="10" t="str"/>
      <x:c r="K44" s="9" t="n">
        <x:f>IF(OR(G44="Phase 1",G44="Phase 2",G44="Phase 3",G44="Phase 2/ Phase 3"),1,0)</x:f>
        <x:v>1</x:v>
      </x:c>
    </x:row>
    <x:row r="45" ht="62" customHeight="1">
      <x:c r="A45" s="9" t="str">
        <x:v>GSK</x:v>
      </x:c>
      <x:c r="B45" s="9" t="n">
        <x:v>2025</x:v>
      </x:c>
      <x:c r="C45" s="9" t="str">
        <x:v>CTRI/2025/10/096631</x:v>
      </x:c>
      <x:c r="D45" s="10" t="str">
        <x:v>GlaxoSmithKline Research &amp; Development Limited</x:v>
      </x:c>
      <x:c r="E45" s="10" t="str">
        <x:v>Phase 3 study of belantamab mafodotin, lenalidomide, and dexamethasone (BRd) versus daratumumab, lenalidomide, and dexamethasone (DRd) in participants with newly diagnosed multiple myeloma and who cannot undergo a stem cell transplant using their own cells.</x:v>
      </x:c>
      <x:c r="F45" s="10" t="str">
        <x:v>Interventional</x:v>
      </x:c>
      <x:c r="G45" s="10" t="str">
        <x:v>Phase 3</x:v>
      </x:c>
      <x:c r="H45" s="9" t="n">
        <x:v>1</x:v>
      </x:c>
      <x:c r="I45" s="10" t="str">
        <x:v>https://trialsearch.who.int/Trial2.aspx?TrialID=CTRI/2025/10/096631</x:v>
      </x:c>
      <x:c r="J45" s="10" t="str"/>
      <x:c r="K45" s="9" t="n">
        <x:f>IF(OR(G45="Phase 1",G45="Phase 2",G45="Phase 3",G45="Phase 2/ Phase 3"),1,0)</x:f>
        <x:v>1</x:v>
      </x:c>
    </x:row>
    <x:row r="46" ht="62" customHeight="1">
      <x:c r="A46" s="9" t="str">
        <x:v>GSK</x:v>
      </x:c>
      <x:c r="B46" s="9" t="n">
        <x:v>2026</x:v>
      </x:c>
      <x:c r="C46" s="9" t="str">
        <x:v>CTRI/2026/07/113575</x:v>
      </x:c>
      <x:c r="D46" s="10" t="str">
        <x:v>GSK Research &amp; Development Limited</x:v>
      </x:c>
      <x:c r="E46" s="10" t="str">
        <x:v>A clinical study to evaluate if efimosfermin alfa injection is helpful in treating participants with Metabolic Dysfunction-Associated Steatohepatitis(MASH).</x:v>
      </x:c>
      <x:c r="F46" s="10" t="str">
        <x:v>Interventional</x:v>
      </x:c>
      <x:c r="G46" s="10" t="str">
        <x:v>Phase 3</x:v>
      </x:c>
      <x:c r="H46" s="9" t="n">
        <x:v>1</x:v>
      </x:c>
      <x:c r="I46" s="10" t="str">
        <x:v>https://trialsearch.who.int/Trial2.aspx?TrialID=CTRI/2026/07/113575</x:v>
      </x:c>
      <x:c r="J46" s="10" t="str"/>
      <x:c r="K46" s="9" t="n">
        <x:f>IF(OR(G46="Phase 1",G46="Phase 2",G46="Phase 3",G46="Phase 2/ Phase 3"),1,0)</x:f>
        <x:v>1</x:v>
      </x:c>
    </x:row>
    <x:row r="47" ht="62" customHeight="1">
      <x:c r="A47" s="9" t="str">
        <x:v>GSK</x:v>
      </x:c>
      <x:c r="B47" s="9" t="n">
        <x:v>2026</x:v>
      </x:c>
      <x:c r="C47" s="9" t="str">
        <x:v>CTRI/2026/07/113704</x:v>
      </x:c>
      <x:c r="D47" s="10" t="str">
        <x:v>GSK Research &amp; Development Limited</x:v>
      </x:c>
      <x:c r="E47" s="10" t="str">
        <x:v>A clinical study to evaluate if efimosfermin alfa injection is helpful in treating participants with F2- or F3-stage Metabolic Dysfunction-Associated Steatohepatitis(MASH).</x:v>
      </x:c>
      <x:c r="F47" s="10" t="str">
        <x:v>Interventional</x:v>
      </x:c>
      <x:c r="G47" s="10" t="str">
        <x:v>Phase 3</x:v>
      </x:c>
      <x:c r="H47" s="9" t="n">
        <x:v>1</x:v>
      </x:c>
      <x:c r="I47" s="10" t="str">
        <x:v>https://trialsearch.who.int/Trial2.aspx?TrialID=CTRI/2026/07/113704</x:v>
      </x:c>
      <x:c r="J47" s="10" t="str"/>
      <x:c r="K47" s="9" t="n">
        <x:f>IF(OR(G47="Phase 1",G47="Phase 2",G47="Phase 3",G47="Phase 2/ Phase 3"),1,0)</x:f>
        <x:v>1</x:v>
      </x:c>
    </x:row>
    <x:row r="48" ht="62" customHeight="1">
      <x:c r="A48" s="9" t="str">
        <x:v>Pfizer</x:v>
      </x:c>
      <x:c r="B48" s="9" t="n">
        <x:v>2024</x:v>
      </x:c>
      <x:c r="C48" s="9" t="str">
        <x:v>CTRI/2024/01/061439</x:v>
      </x:c>
      <x:c r="D48" s="10" t="str">
        <x:v>Pfizer Inc.</x:v>
      </x:c>
      <x:c r="E48" s="10" t="str">
        <x:v>A Study to Understand How the Study Medicine (PF-06823859) Works in People With Active Idiopathic Inflammatory Myopathies [Dermatomyositis (DM) and Polymyositis (PM)]</x:v>
      </x:c>
      <x:c r="F48" s="10" t="str">
        <x:v>Interventional</x:v>
      </x:c>
      <x:c r="G48" s="10" t="str">
        <x:v>Phase 3</x:v>
      </x:c>
      <x:c r="H48" s="9" t="n">
        <x:v>1</x:v>
      </x:c>
      <x:c r="I48" s="10" t="str">
        <x:v>https://trialsearch.who.int/Trial2.aspx?TrialID=CTRI/2024/01/061439</x:v>
      </x:c>
      <x:c r="J48" s="10" t="str"/>
      <x:c r="K48" s="9" t="n">
        <x:f>IF(OR(G48="Phase 1",G48="Phase 2",G48="Phase 3",G48="Phase 2/ Phase 3"),1,0)</x:f>
        <x:v>1</x:v>
      </x:c>
    </x:row>
    <x:row r="49" ht="62" customHeight="1">
      <x:c r="A49" s="9" t="str">
        <x:v>Pfizer</x:v>
      </x:c>
      <x:c r="B49" s="9" t="n">
        <x:v>2024</x:v>
      </x:c>
      <x:c r="C49" s="9" t="str">
        <x:v>CTRI/2024/02/062504</x:v>
      </x:c>
      <x:c r="D49" s="10" t="str">
        <x:v>Pfizer Inc.</x:v>
      </x:c>
      <x:c r="E49" s="10" t="str">
        <x:v>Educational implementation research directed at empowering patients, care givers and physicians.</x:v>
      </x:c>
      <x:c r="F49" s="10" t="str">
        <x:v>Interventional</x:v>
      </x:c>
      <x:c r="G49" s="10" t="str">
        <x:v>N/A</x:v>
      </x:c>
      <x:c r="H49" s="9" t="n">
        <x:v>1</x:v>
      </x:c>
      <x:c r="I49" s="10" t="str">
        <x:v>https://trialsearch.who.int/Trial2.aspx?TrialID=CTRI/2024/02/062504</x:v>
      </x:c>
      <x:c r="J49" s="10" t="str"/>
      <x:c r="K49" s="9" t="n">
        <x:f>IF(OR(G49="Phase 1",G49="Phase 2",G49="Phase 3",G49="Phase 2/ Phase 3"),1,0)</x:f>
        <x:v>0</x:v>
      </x:c>
    </x:row>
    <x:row r="50" ht="62" customHeight="1">
      <x:c r="A50" s="9" t="str">
        <x:v>Pfizer</x:v>
      </x:c>
      <x:c r="B50" s="9" t="n">
        <x:v>2024</x:v>
      </x:c>
      <x:c r="C50" s="9" t="str">
        <x:v>CTRI/2024/03/063721</x:v>
      </x:c>
      <x:c r="D50" s="10" t="str">
        <x:v>Pfizer Products India Private Limited</x:v>
      </x:c>
      <x:c r="E50" s="10" t="str">
        <x:v>Real world study of lorlatinib in previously untreated ALK positive lung cancer</x:v>
      </x:c>
      <x:c r="F50" s="10" t="str">
        <x:v>Observational</x:v>
      </x:c>
      <x:c r="G50" s="10" t="str">
        <x:v>N/A</x:v>
      </x:c>
      <x:c r="H50" s="9" t="n">
        <x:v>1</x:v>
      </x:c>
      <x:c r="I50" s="10" t="str">
        <x:v>https://trialsearch.who.int/Trial2.aspx?TrialID=CTRI/2024/03/063721</x:v>
      </x:c>
      <x:c r="J50" s="10" t="str"/>
      <x:c r="K50" s="9" t="n">
        <x:f>IF(OR(G50="Phase 1",G50="Phase 2",G50="Phase 3",G50="Phase 2/ Phase 3"),1,0)</x:f>
        <x:v>0</x:v>
      </x:c>
    </x:row>
    <x:row r="51" ht="62" customHeight="1">
      <x:c r="A51" s="9" t="str">
        <x:v>Pfizer</x:v>
      </x:c>
      <x:c r="B51" s="9" t="n">
        <x:v>2024</x:v>
      </x:c>
      <x:c r="C51" s="9" t="str">
        <x:v>CTRI/2024/04/065083</x:v>
      </x:c>
      <x:c r="D51" s="10" t="str">
        <x:v>Pfizer Inc.,</x:v>
      </x:c>
      <x:c r="E51" s="10" t="str">
        <x:v>Protonix Treatment of Maintenance of Healing in Pediatric Participants Aged 1-11 Years and 12-17 Years</x:v>
      </x:c>
      <x:c r="F51" s="10" t="str">
        <x:v>Interventional</x:v>
      </x:c>
      <x:c r="G51" s="10" t="str">
        <x:v>Phase 2</x:v>
      </x:c>
      <x:c r="H51" s="9" t="n">
        <x:v>1</x:v>
      </x:c>
      <x:c r="I51" s="10" t="str">
        <x:v>https://trialsearch.who.int/Trial2.aspx?TrialID=CTRI/2024/04/065083</x:v>
      </x:c>
      <x:c r="J51" s="10" t="str"/>
      <x:c r="K51" s="9" t="n">
        <x:f>IF(OR(G51="Phase 1",G51="Phase 2",G51="Phase 3",G51="Phase 2/ Phase 3"),1,0)</x:f>
        <x:v>1</x:v>
      </x:c>
    </x:row>
    <x:row r="52" ht="62" customHeight="1">
      <x:c r="A52" s="9" t="str">
        <x:v>Pfizer</x:v>
      </x:c>
      <x:c r="B52" s="9" t="n">
        <x:v>2024</x:v>
      </x:c>
      <x:c r="C52" s="9" t="str">
        <x:v>CTRI/2024/04/065558</x:v>
      </x:c>
      <x:c r="D52" s="10" t="str">
        <x:v>Pfizer Inc.</x:v>
      </x:c>
      <x:c r="E52" s="10" t="str">
        <x:v>A Study to Describe the Safety and Immunogenicity of 20vPnC in Infants in India and Taiwan</x:v>
      </x:c>
      <x:c r="F52" s="10" t="str">
        <x:v>Interventional</x:v>
      </x:c>
      <x:c r="G52" s="10" t="str">
        <x:v>Phase 3</x:v>
      </x:c>
      <x:c r="H52" s="9" t="n">
        <x:v>1</x:v>
      </x:c>
      <x:c r="I52" s="10" t="str">
        <x:v>https://trialsearch.who.int/Trial2.aspx?TrialID=CTRI/2024/04/065558</x:v>
      </x:c>
      <x:c r="J52" s="10" t="str"/>
      <x:c r="K52" s="9" t="n">
        <x:f>IF(OR(G52="Phase 1",G52="Phase 2",G52="Phase 3",G52="Phase 2/ Phase 3"),1,0)</x:f>
        <x:v>1</x:v>
      </x:c>
    </x:row>
    <x:row r="53" ht="62" customHeight="1">
      <x:c r="A53" s="9" t="str">
        <x:v>Pfizer</x:v>
      </x:c>
      <x:c r="B53" s="9" t="n">
        <x:v>2024</x:v>
      </x:c>
      <x:c r="C53" s="9" t="str">
        <x:v>CTRI/2024/04/065929</x:v>
      </x:c>
      <x:c r="D53" s="10" t="str">
        <x:v>Pfizer Inc.</x:v>
      </x:c>
      <x:c r="E53" s="10" t="str">
        <x:v>A study to determine if the study medicine called Sisunatovir is safe and prevents severe illness in adults with Respiratory Syncytial Virus infection.</x:v>
      </x:c>
      <x:c r="F53" s="10" t="str">
        <x:v>Interventional</x:v>
      </x:c>
      <x:c r="G53" s="10" t="str">
        <x:v>Phase 2/ Phase 3</x:v>
      </x:c>
      <x:c r="H53" s="9" t="n">
        <x:v>1</x:v>
      </x:c>
      <x:c r="I53" s="10" t="str">
        <x:v>https://trialsearch.who.int/Trial2.aspx?TrialID=CTRI/2024/04/065929</x:v>
      </x:c>
      <x:c r="J53" s="10" t="str"/>
      <x:c r="K53" s="9" t="n">
        <x:f>IF(OR(G53="Phase 1",G53="Phase 2",G53="Phase 3",G53="Phase 2/ Phase 3"),1,0)</x:f>
        <x:v>1</x:v>
      </x:c>
    </x:row>
    <x:row r="54" ht="62" customHeight="1">
      <x:c r="A54" s="9" t="str">
        <x:v>Pfizer</x:v>
      </x:c>
      <x:c r="B54" s="9" t="n">
        <x:v>2024</x:v>
      </x:c>
      <x:c r="C54" s="9" t="str">
        <x:v>CTRI/2024/05/066803</x:v>
      </x:c>
      <x:c r="D54" s="10" t="str">
        <x:v>Pfizer PHARMACEUTICALS</x:v>
      </x:c>
      <x:c r="E54" s="10" t="str">
        <x:v>Urosepsis and Intra abdominal Sepsis</x:v>
      </x:c>
      <x:c r="F54" s="10" t="str">
        <x:v>Observational</x:v>
      </x:c>
      <x:c r="G54" s="10" t="str">
        <x:v>N/A</x:v>
      </x:c>
      <x:c r="H54" s="9" t="n">
        <x:v>1</x:v>
      </x:c>
      <x:c r="I54" s="10" t="str">
        <x:v>https://trialsearch.who.int/Trial2.aspx?TrialID=CTRI/2024/05/066803</x:v>
      </x:c>
      <x:c r="J54" s="10" t="str"/>
      <x:c r="K54" s="9" t="n">
        <x:f>IF(OR(G54="Phase 1",G54="Phase 2",G54="Phase 3",G54="Phase 2/ Phase 3"),1,0)</x:f>
        <x:v>0</x:v>
      </x:c>
    </x:row>
    <x:row r="55" ht="62" customHeight="1">
      <x:c r="A55" s="9" t="str">
        <x:v>Pfizer</x:v>
      </x:c>
      <x:c r="B55" s="9" t="n">
        <x:v>2024</x:v>
      </x:c>
      <x:c r="C55" s="9" t="str">
        <x:v>CTRI/2024/06/068713</x:v>
      </x:c>
      <x:c r="D55" s="10" t="str">
        <x:v>Pfizer Products India Private Limited</x:v>
      </x:c>
      <x:c r="E55" s="10" t="str">
        <x:v>Real world study of Bladder Cancer patients in India</x:v>
      </x:c>
      <x:c r="F55" s="10" t="str">
        <x:v>Observational</x:v>
      </x:c>
      <x:c r="G55" s="10" t="str">
        <x:v>N/A</x:v>
      </x:c>
      <x:c r="H55" s="9" t="n">
        <x:v>1</x:v>
      </x:c>
      <x:c r="I55" s="10" t="str">
        <x:v>https://trialsearch.who.int/Trial2.aspx?TrialID=CTRI/2024/06/068713</x:v>
      </x:c>
      <x:c r="J55" s="10" t="str"/>
      <x:c r="K55" s="9" t="n">
        <x:f>IF(OR(G55="Phase 1",G55="Phase 2",G55="Phase 3",G55="Phase 2/ Phase 3"),1,0)</x:f>
        <x:v>0</x:v>
      </x:c>
    </x:row>
    <x:row r="56" ht="62" customHeight="1">
      <x:c r="A56" s="9" t="str">
        <x:v>Pfizer</x:v>
      </x:c>
      <x:c r="B56" s="9" t="n">
        <x:v>2024</x:v>
      </x:c>
      <x:c r="C56" s="9" t="str">
        <x:v>CTRI/2024/06/068779</x:v>
      </x:c>
      <x:c r="D56" s="10" t="str">
        <x:v>Pfizer Products India Private Limited</x:v>
      </x:c>
      <x:c r="E56" s="10" t="str">
        <x:v>Real world study of Advanced Prostate Cancer patients in India</x:v>
      </x:c>
      <x:c r="F56" s="10" t="str">
        <x:v>Observational</x:v>
      </x:c>
      <x:c r="G56" s="10" t="str">
        <x:v>N/A</x:v>
      </x:c>
      <x:c r="H56" s="9" t="n">
        <x:v>1</x:v>
      </x:c>
      <x:c r="I56" s="10" t="str">
        <x:v>https://trialsearch.who.int/Trial2.aspx?TrialID=CTRI/2024/06/068779</x:v>
      </x:c>
      <x:c r="J56" s="10" t="str"/>
      <x:c r="K56" s="9" t="n">
        <x:f>IF(OR(G56="Phase 1",G56="Phase 2",G56="Phase 3",G56="Phase 2/ Phase 3"),1,0)</x:f>
        <x:v>0</x:v>
      </x:c>
    </x:row>
    <x:row r="57" ht="62" customHeight="1">
      <x:c r="A57" s="9" t="str">
        <x:v>Pfizer</x:v>
      </x:c>
      <x:c r="B57" s="9" t="n">
        <x:v>2024</x:v>
      </x:c>
      <x:c r="C57" s="9" t="str">
        <x:v>CTRI/2024/07/069743</x:v>
      </x:c>
      <x:c r="D57" s="10" t="str">
        <x:v>Global Blood Therapeutics, Inc. a wholly owned subsidiary of Pfizer</x:v>
      </x:c>
      <x:c r="E57" s="10" t="str">
        <x:v>A Phase 2/3 Study of osivelotor in Adult and Pediatric Participants with sickle cell disease</x:v>
      </x:c>
      <x:c r="F57" s="10" t="str">
        <x:v>Interventional</x:v>
      </x:c>
      <x:c r="G57" s="10" t="str">
        <x:v>Phase 2/ Phase 3</x:v>
      </x:c>
      <x:c r="H57" s="9" t="n">
        <x:v>1</x:v>
      </x:c>
      <x:c r="I57" s="10" t="str">
        <x:v>https://trialsearch.who.int/Trial2.aspx?TrialID=CTRI/2024/07/069743</x:v>
      </x:c>
      <x:c r="J57" s="10" t="str"/>
      <x:c r="K57" s="9" t="n">
        <x:f>IF(OR(G57="Phase 1",G57="Phase 2",G57="Phase 3",G57="Phase 2/ Phase 3"),1,0)</x:f>
        <x:v>1</x:v>
      </x:c>
    </x:row>
    <x:row r="58" ht="62" customHeight="1">
      <x:c r="A58" s="9" t="str">
        <x:v>Pfizer</x:v>
      </x:c>
      <x:c r="B58" s="9" t="n">
        <x:v>2024</x:v>
      </x:c>
      <x:c r="C58" s="9" t="str">
        <x:v>CTRI/2024/07/069956</x:v>
      </x:c>
      <x:c r="D58" s="10" t="str">
        <x:v>Pfizer Inc.</x:v>
      </x:c>
      <x:c r="E58" s="10" t="str">
        <x:v>A Study to Learn About the Study Medicine Called PF-07220060 in Combination With Fulvestrant in People With HR-positive, HER2-negative Advanced or Metastatic Breast Cancer Who Progressed After a Prior Line of Treatment</x:v>
      </x:c>
      <x:c r="F58" s="10" t="str">
        <x:v>Interventional</x:v>
      </x:c>
      <x:c r="G58" s="10" t="str">
        <x:v>Phase 3</x:v>
      </x:c>
      <x:c r="H58" s="9" t="n">
        <x:v>1</x:v>
      </x:c>
      <x:c r="I58" s="10" t="str">
        <x:v>https://trialsearch.who.int/Trial2.aspx?TrialID=CTRI/2024/07/069956</x:v>
      </x:c>
      <x:c r="J58" s="10" t="str"/>
      <x:c r="K58" s="9" t="n">
        <x:f>IF(OR(G58="Phase 1",G58="Phase 2",G58="Phase 3",G58="Phase 2/ Phase 3"),1,0)</x:f>
        <x:v>1</x:v>
      </x:c>
    </x:row>
    <x:row r="59" ht="62" customHeight="1">
      <x:c r="A59" s="9" t="str">
        <x:v>Pfizer</x:v>
      </x:c>
      <x:c r="B59" s="9" t="n">
        <x:v>2024</x:v>
      </x:c>
      <x:c r="C59" s="9" t="str">
        <x:v>CTRI/2024/07/071046</x:v>
      </x:c>
      <x:c r="D59" s="10" t="str">
        <x:v>Pfizer Inc.</x:v>
      </x:c>
      <x:c r="E59" s="10" t="str">
        <x:v>The purpose of this protocol is to provide continued treatment access and safety follow-up for eligible participants who continue to receive benefit from study intervention in the Pfizer sponsored lorlatinib ongoing studies that will be closed.</x:v>
      </x:c>
      <x:c r="F59" s="10" t="str">
        <x:v>Interventional</x:v>
      </x:c>
      <x:c r="G59" s="10" t="str">
        <x:v>Phase 4</x:v>
      </x:c>
      <x:c r="H59" s="9" t="n">
        <x:v>1</x:v>
      </x:c>
      <x:c r="I59" s="10" t="str">
        <x:v>https://trialsearch.who.int/Trial2.aspx?TrialID=CTRI/2024/07/071046</x:v>
      </x:c>
      <x:c r="J59" s="10" t="str"/>
      <x:c r="K59" s="9" t="n">
        <x:f>IF(OR(G59="Phase 1",G59="Phase 2",G59="Phase 3",G59="Phase 2/ Phase 3"),1,0)</x:f>
        <x:v>0</x:v>
      </x:c>
    </x:row>
    <x:row r="60" ht="62" customHeight="1">
      <x:c r="A60" s="9" t="str">
        <x:v>Pfizer</x:v>
      </x:c>
      <x:c r="B60" s="9" t="n">
        <x:v>2024</x:v>
      </x:c>
      <x:c r="C60" s="9" t="str">
        <x:v>CTRI/2024/08/072504</x:v>
      </x:c>
      <x:c r="D60" s="10" t="str">
        <x:v>Pfizer Limited</x:v>
      </x:c>
      <x:c r="E60" s="10" t="str">
        <x:v>Scientific data review of prostate cancer patients to study treatment patterns and understand need gaps.</x:v>
      </x:c>
      <x:c r="F60" s="10" t="str">
        <x:v>Observational</x:v>
      </x:c>
      <x:c r="G60" s="10" t="str">
        <x:v>N/A</x:v>
      </x:c>
      <x:c r="H60" s="9" t="n">
        <x:v>1</x:v>
      </x:c>
      <x:c r="I60" s="10" t="str">
        <x:v>https://trialsearch.who.int/Trial2.aspx?TrialID=CTRI/2024/08/072504</x:v>
      </x:c>
      <x:c r="J60" s="10" t="str"/>
      <x:c r="K60" s="9" t="n">
        <x:f>IF(OR(G60="Phase 1",G60="Phase 2",G60="Phase 3",G60="Phase 2/ Phase 3"),1,0)</x:f>
        <x:v>0</x:v>
      </x:c>
    </x:row>
    <x:row r="61" ht="62" customHeight="1">
      <x:c r="A61" s="9" t="str">
        <x:v>Pfizer</x:v>
      </x:c>
      <x:c r="B61" s="9" t="n">
        <x:v>2024</x:v>
      </x:c>
      <x:c r="C61" s="9" t="str">
        <x:v>CTRI/2024/09/073987</x:v>
      </x:c>
      <x:c r="D61" s="10" t="str">
        <x:v>Pfizer Limited</x:v>
      </x:c>
      <x:c r="E61" s="10" t="str">
        <x:v>A prospective study across 10 centers to evaluate persistence on treatment with advanced therapies in rheumatoid arthritis management in routine clinical practice.</x:v>
      </x:c>
      <x:c r="F61" s="10" t="str">
        <x:v>Observational</x:v>
      </x:c>
      <x:c r="G61" s="10" t="str">
        <x:v>N/A</x:v>
      </x:c>
      <x:c r="H61" s="9" t="n">
        <x:v>1</x:v>
      </x:c>
      <x:c r="I61" s="10" t="str">
        <x:v>https://trialsearch.who.int/Trial2.aspx?TrialID=CTRI/2024/09/073987</x:v>
      </x:c>
      <x:c r="J61" s="10" t="str"/>
      <x:c r="K61" s="9" t="n">
        <x:f>IF(OR(G61="Phase 1",G61="Phase 2",G61="Phase 3",G61="Phase 2/ Phase 3"),1,0)</x:f>
        <x:v>0</x:v>
      </x:c>
    </x:row>
    <x:row r="62" ht="62" customHeight="1">
      <x:c r="A62" s="9" t="str">
        <x:v>Pfizer</x:v>
      </x:c>
      <x:c r="B62" s="9" t="n">
        <x:v>2024</x:v>
      </x:c>
      <x:c r="C62" s="9" t="str">
        <x:v>CTRI/2024/11/077239</x:v>
      </x:c>
      <x:c r="D62" s="10" t="str">
        <x:v>Pfizer Limited</x:v>
      </x:c>
      <x:c r="E62" s="10" t="str">
        <x:v>A Study to Learn About the Study Medicine Aztreonam-Avibactam (ATM-AVI) in Infants and Newborns Admitted in Hospitals With Bacterial Infection</x:v>
      </x:c>
      <x:c r="F62" s="10" t="str">
        <x:v>Interventional</x:v>
      </x:c>
      <x:c r="G62" s="10" t="str">
        <x:v>Phase 2</x:v>
      </x:c>
      <x:c r="H62" s="9" t="n">
        <x:v>1</x:v>
      </x:c>
      <x:c r="I62" s="10" t="str">
        <x:v>https://trialsearch.who.int/Trial2.aspx?TrialID=CTRI/2024/11/077239</x:v>
      </x:c>
      <x:c r="J62" s="10" t="str"/>
      <x:c r="K62" s="9" t="n">
        <x:f>IF(OR(G62="Phase 1",G62="Phase 2",G62="Phase 3",G62="Phase 2/ Phase 3"),1,0)</x:f>
        <x:v>1</x:v>
      </x:c>
    </x:row>
    <x:row r="63" ht="62" customHeight="1">
      <x:c r="A63" s="9" t="str">
        <x:v>Pfizer</x:v>
      </x:c>
      <x:c r="B63" s="9" t="n">
        <x:v>2024</x:v>
      </x:c>
      <x:c r="C63" s="9" t="str">
        <x:v>CTRI/2024/12/078228</x:v>
      </x:c>
      <x:c r="D63" s="10" t="str">
        <x:v>Pfizer Products India Private Limited</x:v>
      </x:c>
      <x:c r="E63" s="10" t="str">
        <x:v>A study to learn about Somatrogon in patients with pediatric growth hormone deficiency (p GHD) in India</x:v>
      </x:c>
      <x:c r="F63" s="10" t="str">
        <x:v>PMS</x:v>
      </x:c>
      <x:c r="G63" s="10" t="str">
        <x:v>Post Marketing Surveillance</x:v>
      </x:c>
      <x:c r="H63" s="9" t="n">
        <x:v>1</x:v>
      </x:c>
      <x:c r="I63" s="10" t="str">
        <x:v>https://trialsearch.who.int/Trial2.aspx?TrialID=CTRI/2024/12/078228</x:v>
      </x:c>
      <x:c r="J63" s="10" t="str"/>
      <x:c r="K63" s="9" t="n">
        <x:f>IF(OR(G63="Phase 1",G63="Phase 2",G63="Phase 3",G63="Phase 2/ Phase 3"),1,0)</x:f>
        <x:v>0</x:v>
      </x:c>
    </x:row>
    <x:row r="64" ht="62" customHeight="1">
      <x:c r="A64" s="9" t="str">
        <x:v>Pfizer</x:v>
      </x:c>
      <x:c r="B64" s="9" t="n">
        <x:v>2025</x:v>
      </x:c>
      <x:c r="C64" s="9" t="str">
        <x:v>CTRI/2025/02/081278</x:v>
      </x:c>
      <x:c r="D64" s="10" t="str">
        <x:v>Pfizer Inc.</x:v>
      </x:c>
      <x:c r="E64" s="10" t="str">
        <x:v>Efficacy and Safety Study of Rimegepant for the Preventative Treatment of Migraine in adolescent Subjects</x:v>
      </x:c>
      <x:c r="F64" s="10" t="str">
        <x:v>Interventional</x:v>
      </x:c>
      <x:c r="G64" s="10" t="str">
        <x:v>Phase 3</x:v>
      </x:c>
      <x:c r="H64" s="9" t="n">
        <x:v>1</x:v>
      </x:c>
      <x:c r="I64" s="10" t="str">
        <x:v>https://trialsearch.who.int/Trial2.aspx?TrialID=CTRI/2025/02/081278</x:v>
      </x:c>
      <x:c r="J64" s="10" t="str"/>
      <x:c r="K64" s="9" t="n">
        <x:f>IF(OR(G64="Phase 1",G64="Phase 2",G64="Phase 3",G64="Phase 2/ Phase 3"),1,0)</x:f>
        <x:v>1</x:v>
      </x:c>
    </x:row>
    <x:row r="65" ht="62" customHeight="1">
      <x:c r="A65" s="9" t="str">
        <x:v>Pfizer</x:v>
      </x:c>
      <x:c r="B65" s="9" t="n">
        <x:v>2025</x:v>
      </x:c>
      <x:c r="C65" s="9" t="str">
        <x:v>CTRI/2025/04/083888</x:v>
      </x:c>
      <x:c r="D65" s="10" t="str">
        <x:v>Pfizer Limited,</x:v>
      </x:c>
      <x:c r="E65" s="10" t="str">
        <x:v>A bioequivalence study of Prazosin Hydrochloride tablets 5 mg in healthy human adult subjects under fasting conditions</x:v>
      </x:c>
      <x:c r="F65" s="10" t="str">
        <x:v>BA/BE</x:v>
      </x:c>
      <x:c r="G65" s="10" t="str">
        <x:v>N/A</x:v>
      </x:c>
      <x:c r="H65" s="9" t="n">
        <x:v>1</x:v>
      </x:c>
      <x:c r="I65" s="10" t="str">
        <x:v>https://trialsearch.who.int/Trial2.aspx?TrialID=CTRI/2025/04/083888</x:v>
      </x:c>
      <x:c r="J65" s="10" t="str"/>
      <x:c r="K65" s="9" t="n">
        <x:f>IF(OR(G65="Phase 1",G65="Phase 2",G65="Phase 3",G65="Phase 2/ Phase 3"),1,0)</x:f>
        <x:v>0</x:v>
      </x:c>
    </x:row>
    <x:row r="66" ht="62" customHeight="1">
      <x:c r="A66" s="9" t="str">
        <x:v>Pfizer</x:v>
      </x:c>
      <x:c r="B66" s="9" t="n">
        <x:v>2025</x:v>
      </x:c>
      <x:c r="C66" s="9" t="str">
        <x:v>CTRI/2025/04/085426</x:v>
      </x:c>
      <x:c r="D66" s="10" t="str">
        <x:v>Pfizer Inc.</x:v>
      </x:c>
      <x:c r="E66" s="10" t="str">
        <x:v>An open-label extension study with dazukibart for participants with idiopathic inflammatory myopathies (including DM or PM) who have completed the treatment period of a qualifying parent study.</x:v>
      </x:c>
      <x:c r="F66" s="10" t="str">
        <x:v>Interventional</x:v>
      </x:c>
      <x:c r="G66" s="10" t="str">
        <x:v>Phase 3</x:v>
      </x:c>
      <x:c r="H66" s="9" t="n">
        <x:v>1</x:v>
      </x:c>
      <x:c r="I66" s="10" t="str">
        <x:v>https://trialsearch.who.int/Trial2.aspx?TrialID=CTRI/2025/04/085426</x:v>
      </x:c>
      <x:c r="J66" s="10" t="str"/>
      <x:c r="K66" s="9" t="n">
        <x:f>IF(OR(G66="Phase 1",G66="Phase 2",G66="Phase 3",G66="Phase 2/ Phase 3"),1,0)</x:f>
        <x:v>1</x:v>
      </x:c>
    </x:row>
    <x:row r="67" ht="62" customHeight="1">
      <x:c r="A67" s="9" t="str">
        <x:v>Pfizer</x:v>
      </x:c>
      <x:c r="B67" s="9" t="n">
        <x:v>2025</x:v>
      </x:c>
      <x:c r="C67" s="9" t="str">
        <x:v>CTRI/2025/07/091069</x:v>
      </x:c>
      <x:c r="D67" s="10" t="str">
        <x:v>Pfizer Inc.</x:v>
      </x:c>
      <x:c r="E67" s="10" t="str">
        <x:v>This is a Study to Learn About How the Combination of the Study Medicines Sigvotatug Vedotin Plus Pembrolizumab Works in People With Non small Cell Lung Cancer With High Levels of PDL1.</x:v>
      </x:c>
      <x:c r="F67" s="10" t="str">
        <x:v>Interventional</x:v>
      </x:c>
      <x:c r="G67" s="10" t="str">
        <x:v>Phase 3</x:v>
      </x:c>
      <x:c r="H67" s="9" t="n">
        <x:v>1</x:v>
      </x:c>
      <x:c r="I67" s="10" t="str">
        <x:v>https://trialsearch.who.int/Trial2.aspx?TrialID=CTRI/2025/07/091069</x:v>
      </x:c>
      <x:c r="J67" s="10" t="str"/>
      <x:c r="K67" s="9" t="n">
        <x:f>IF(OR(G67="Phase 1",G67="Phase 2",G67="Phase 3",G67="Phase 2/ Phase 3"),1,0)</x:f>
        <x:v>1</x:v>
      </x:c>
    </x:row>
    <x:row r="68" ht="62" customHeight="1">
      <x:c r="A68" s="9" t="str">
        <x:v>Pfizer</x:v>
      </x:c>
      <x:c r="B68" s="9" t="n">
        <x:v>2025</x:v>
      </x:c>
      <x:c r="C68" s="9" t="str">
        <x:v>CTRI/2025/07/091091</x:v>
      </x:c>
      <x:c r="D68" s="10" t="str">
        <x:v>Seagen Inc., a wholly owned subsidiary of Pfizer</x:v>
      </x:c>
      <x:c r="E68" s="10" t="str">
        <x:v>A Phase 3, Open label, Randomized and Controlled Study of Disitamab Vedotin with Pembrolizumab Versus platinum containing chemotherapy in participants with Urothelial cancer that Expresses HER2 that has spread through the body or spread near where it started.</x:v>
      </x:c>
      <x:c r="F68" s="10" t="str">
        <x:v>Interventional</x:v>
      </x:c>
      <x:c r="G68" s="10" t="str">
        <x:v>N/A</x:v>
      </x:c>
      <x:c r="H68" s="9" t="n">
        <x:v>1</x:v>
      </x:c>
      <x:c r="I68" s="10" t="str">
        <x:v>https://trialsearch.who.int/Trial2.aspx?TrialID=CTRI/2025/07/091091</x:v>
      </x:c>
      <x:c r="J68" s="10" t="str"/>
      <x:c r="K68" s="9" t="n">
        <x:f>IF(OR(G68="Phase 1",G68="Phase 2",G68="Phase 3",G68="Phase 2/ Phase 3"),1,0)</x:f>
        <x:v>0</x:v>
      </x:c>
    </x:row>
    <x:row r="69" ht="62" customHeight="1">
      <x:c r="A69" s="9" t="str">
        <x:v>Pfizer</x:v>
      </x:c>
      <x:c r="B69" s="9" t="n">
        <x:v>2025</x:v>
      </x:c>
      <x:c r="C69" s="9" t="str">
        <x:v>CTRI/2025/08/092723</x:v>
      </x:c>
      <x:c r="D69" s="10" t="str">
        <x:v>Pfizer Inc.</x:v>
      </x:c>
      <x:c r="E69" s="10" t="str">
        <x:v>A study to assess the safety due to the change in treatment of medicine from Emicizumab to Marstacimab and learn the change after the discontinuation of the medicine Emicizumab in people with the bleeding disease known as Hemophilia A Without Inhibitors.</x:v>
      </x:c>
      <x:c r="F69" s="10" t="str">
        <x:v>Interventional</x:v>
      </x:c>
      <x:c r="G69" s="10" t="str">
        <x:v>Phase 1</x:v>
      </x:c>
      <x:c r="H69" s="9" t="n">
        <x:v>1</x:v>
      </x:c>
      <x:c r="I69" s="10" t="str">
        <x:v>https://trialsearch.who.int/Trial2.aspx?TrialID=CTRI/2025/08/092723</x:v>
      </x:c>
      <x:c r="J69" s="10" t="str"/>
      <x:c r="K69" s="9" t="n">
        <x:f>IF(OR(G69="Phase 1",G69="Phase 2",G69="Phase 3",G69="Phase 2/ Phase 3"),1,0)</x:f>
        <x:v>1</x:v>
      </x:c>
    </x:row>
    <x:row r="70" ht="62" customHeight="1">
      <x:c r="A70" s="9" t="str">
        <x:v>Pfizer</x:v>
      </x:c>
      <x:c r="B70" s="9" t="n">
        <x:v>2025</x:v>
      </x:c>
      <x:c r="C70" s="9" t="str">
        <x:v>CTRI/2025/11/097238</x:v>
      </x:c>
      <x:c r="D70" s="10" t="str">
        <x:v>Pfizer Inc.</x:v>
      </x:c>
      <x:c r="E70" s="10" t="str">
        <x:v>A Study of the Medicine Called Abrocitinib in Children 6 to Less Than 12 Years of Age With Moderate-to-Severe Eczema</x:v>
      </x:c>
      <x:c r="F70" s="10" t="str">
        <x:v>Interventional</x:v>
      </x:c>
      <x:c r="G70" s="10" t="str">
        <x:v>Phase 3</x:v>
      </x:c>
      <x:c r="H70" s="9" t="n">
        <x:v>1</x:v>
      </x:c>
      <x:c r="I70" s="10" t="str">
        <x:v>https://trialsearch.who.int/Trial2.aspx?TrialID=CTRI/2025/11/097238</x:v>
      </x:c>
      <x:c r="J70" s="10" t="str"/>
      <x:c r="K70" s="9" t="n">
        <x:f>IF(OR(G70="Phase 1",G70="Phase 2",G70="Phase 3",G70="Phase 2/ Phase 3"),1,0)</x:f>
        <x:v>1</x:v>
      </x:c>
    </x:row>
    <x:row r="71" ht="62" customHeight="1">
      <x:c r="A71" s="9" t="str">
        <x:v>Pfizer</x:v>
      </x:c>
      <x:c r="B71" s="9" t="n">
        <x:v>2025</x:v>
      </x:c>
      <x:c r="C71" s="9" t="str">
        <x:v>CTRI/2025/11/097643</x:v>
      </x:c>
      <x:c r="D71" s="10" t="str">
        <x:v>Pfizer Inc.</x:v>
      </x:c>
      <x:c r="E71" s="10" t="str">
        <x:v>A Study to Learn About the Study Medicine Called Rimegepant in Women When Used for Intermittent Prevention of Menstrual Migraine</x:v>
      </x:c>
      <x:c r="F71" s="10" t="str">
        <x:v>Interventional</x:v>
      </x:c>
      <x:c r="G71" s="10" t="str">
        <x:v>Phase 3</x:v>
      </x:c>
      <x:c r="H71" s="9" t="n">
        <x:v>1</x:v>
      </x:c>
      <x:c r="I71" s="10" t="str">
        <x:v>https://trialsearch.who.int/Trial2.aspx?TrialID=CTRI/2025/11/097643</x:v>
      </x:c>
      <x:c r="J71" s="10" t="str"/>
      <x:c r="K71" s="9" t="n">
        <x:f>IF(OR(G71="Phase 1",G71="Phase 2",G71="Phase 3",G71="Phase 2/ Phase 3"),1,0)</x:f>
        <x:v>1</x:v>
      </x:c>
    </x:row>
    <x:row r="72" ht="62" customHeight="1">
      <x:c r="A72" s="9" t="str">
        <x:v>Pfizer</x:v>
      </x:c>
      <x:c r="B72" s="9" t="n">
        <x:v>2025</x:v>
      </x:c>
      <x:c r="C72" s="9" t="str">
        <x:v>CTRI/2025/12/099009</x:v>
      </x:c>
      <x:c r="D72" s="10" t="str">
        <x:v>Pfizer Inc</x:v>
      </x:c>
      <x:c r="E72" s="10" t="str">
        <x:v>A Long-term Phase 3 Study of the Medicine Called Abrocitinib in Children Aged 2 Years and Older With Moderate to Severe Eczema</x:v>
      </x:c>
      <x:c r="F72" s="10" t="str">
        <x:v>Interventional</x:v>
      </x:c>
      <x:c r="G72" s="10" t="str">
        <x:v>Phase 3</x:v>
      </x:c>
      <x:c r="H72" s="9" t="n">
        <x:v>1</x:v>
      </x:c>
      <x:c r="I72" s="10" t="str">
        <x:v>https://trialsearch.who.int/Trial2.aspx?TrialID=CTRI/2025/12/099009</x:v>
      </x:c>
      <x:c r="J72" s="10" t="str"/>
      <x:c r="K72" s="9" t="n">
        <x:f>IF(OR(G72="Phase 1",G72="Phase 2",G72="Phase 3",G72="Phase 2/ Phase 3"),1,0)</x:f>
        <x:v>1</x:v>
      </x:c>
    </x:row>
    <x:row r="73" ht="62" customHeight="1">
      <x:c r="A73" s="9" t="str">
        <x:v>Pfizer</x:v>
      </x:c>
      <x:c r="B73" s="9" t="n">
        <x:v>2026</x:v>
      </x:c>
      <x:c r="C73" s="9" t="str">
        <x:v>CTRI/2026/01/100460</x:v>
      </x:c>
      <x:c r="D73" s="10" t="str">
        <x:v>Pfizer Inc.</x:v>
      </x:c>
      <x:c r="E73" s="10" t="str">
        <x:v>A Phase 2, Open Label Study to learn more about the Study Medicine Called Inotuzumab Ozogamicin (InO) in Children of age 1 to less than 18 Years With First Relapse Acute Lymphocytic Leukemia (ALL)</x:v>
      </x:c>
      <x:c r="F73" s="10" t="str">
        <x:v>Interventional</x:v>
      </x:c>
      <x:c r="G73" s="10" t="str">
        <x:v>Phase 2</x:v>
      </x:c>
      <x:c r="H73" s="9" t="n">
        <x:v>1</x:v>
      </x:c>
      <x:c r="I73" s="10" t="str">
        <x:v>https://trialsearch.who.int/Trial2.aspx?TrialID=CTRI/2026/01/100460</x:v>
      </x:c>
      <x:c r="J73" s="10" t="str"/>
      <x:c r="K73" s="9" t="n">
        <x:f>IF(OR(G73="Phase 1",G73="Phase 2",G73="Phase 3",G73="Phase 2/ Phase 3"),1,0)</x:f>
        <x:v>1</x:v>
      </x:c>
    </x:row>
    <x:row r="74" ht="62" customHeight="1">
      <x:c r="A74" s="9" t="str">
        <x:v>Pfizer</x:v>
      </x:c>
      <x:c r="B74" s="9" t="n">
        <x:v>2026</x:v>
      </x:c>
      <x:c r="C74" s="9" t="str">
        <x:v>CTRI/2026/02/102729</x:v>
      </x:c>
      <x:c r="D74" s="10" t="str">
        <x:v>Pfizer Inc.</x:v>
      </x:c>
      <x:c r="E74" s="10" t="str">
        <x:v>A Study to Learn About the Medicine called Ponsegromab in Adults With Cancer of the Pancreas Which Has Spread and Caused Significant Body Weight Loss and Fatigue</x:v>
      </x:c>
      <x:c r="F74" s="10" t="str">
        <x:v>Interventional</x:v>
      </x:c>
      <x:c r="G74" s="10" t="str">
        <x:v>Phase 2/ Phase 3</x:v>
      </x:c>
      <x:c r="H74" s="9" t="n">
        <x:v>1</x:v>
      </x:c>
      <x:c r="I74" s="10" t="str">
        <x:v>https://trialsearch.who.int/Trial2.aspx?TrialID=CTRI/2026/02/102729</x:v>
      </x:c>
      <x:c r="J74" s="10" t="str"/>
      <x:c r="K74" s="9" t="n">
        <x:f>IF(OR(G74="Phase 1",G74="Phase 2",G74="Phase 3",G74="Phase 2/ Phase 3"),1,0)</x:f>
        <x:v>1</x:v>
      </x:c>
    </x:row>
    <x:row r="75" ht="62" customHeight="1">
      <x:c r="A75" s="9" t="str">
        <x:v>Pfizer</x:v>
      </x:c>
      <x:c r="B75" s="9" t="n">
        <x:v>2026</x:v>
      </x:c>
      <x:c r="C75" s="9" t="str">
        <x:v>CTRI/2026/04/108380</x:v>
      </x:c>
      <x:c r="D75" s="10" t="str">
        <x:v>Pfizer Inc.</x:v>
      </x:c>
      <x:c r="E75" s="10" t="str">
        <x:v>A Phase 3 Study to Learn About the Study Medicine Called PF-08634404 in Combination With Chemotherapy in Adult Participants With Advanced Lung Cancer</x:v>
      </x:c>
      <x:c r="F75" s="10" t="str">
        <x:v>Interventional</x:v>
      </x:c>
      <x:c r="G75" s="10" t="str">
        <x:v>Phase 3</x:v>
      </x:c>
      <x:c r="H75" s="9" t="n">
        <x:v>1</x:v>
      </x:c>
      <x:c r="I75" s="10" t="str">
        <x:v>https://trialsearch.who.int/Trial2.aspx?TrialID=CTRI/2026/04/108380</x:v>
      </x:c>
      <x:c r="J75" s="10" t="str"/>
      <x:c r="K75" s="9" t="n">
        <x:f>IF(OR(G75="Phase 1",G75="Phase 2",G75="Phase 3",G75="Phase 2/ Phase 3"),1,0)</x:f>
        <x:v>1</x:v>
      </x:c>
    </x:row>
    <x:row r="76" ht="62" customHeight="1">
      <x:c r="A76" s="9" t="str">
        <x:v>Pfizer</x:v>
      </x:c>
      <x:c r="B76" s="9" t="n">
        <x:v>2026</x:v>
      </x:c>
      <x:c r="C76" s="9" t="str">
        <x:v>CTRI/2026/04/109149</x:v>
      </x:c>
      <x:c r="D76" s="10" t="str">
        <x:v>Pfizer Inc.</x:v>
      </x:c>
      <x:c r="E76" s="10" t="str">
        <x:v>A Phase 2/3 Study to Learn About the Study Medicine Called PF-07275315 in People With Moderate to Severe Chronic Obstructive Pulmonary Disease (COPD)</x:v>
      </x:c>
      <x:c r="F76" s="10" t="str">
        <x:v>Interventional</x:v>
      </x:c>
      <x:c r="G76" s="10" t="str">
        <x:v>Phase 2/ Phase 3</x:v>
      </x:c>
      <x:c r="H76" s="9" t="n">
        <x:v>1</x:v>
      </x:c>
      <x:c r="I76" s="10" t="str">
        <x:v>https://trialsearch.who.int/Trial2.aspx?TrialID=CTRI/2026/04/109149</x:v>
      </x:c>
      <x:c r="J76" s="10" t="str"/>
      <x:c r="K76" s="9" t="n">
        <x:f>IF(OR(G76="Phase 1",G76="Phase 2",G76="Phase 3",G76="Phase 2/ Phase 3"),1,0)</x:f>
        <x:v>1</x:v>
      </x:c>
    </x:row>
    <x:row r="77" ht="62" customHeight="1">
      <x:c r="A77" s="9" t="str">
        <x:v>Pfizer</x:v>
      </x:c>
      <x:c r="B77" s="9" t="n">
        <x:v>2026</x:v>
      </x:c>
      <x:c r="C77" s="9" t="str">
        <x:v>CTRI/2026/06/113035</x:v>
      </x:c>
      <x:c r="D77" s="10" t="str">
        <x:v>Pfizer Limited</x:v>
      </x:c>
      <x:c r="E77" s="10" t="str">
        <x:v>A Phase 3 Study in India to Describe the Safety and Immunogenicity of Respiratory Syncytial Virus Vaccine</x:v>
      </x:c>
      <x:c r="F77" s="10" t="str">
        <x:v>Interventional</x:v>
      </x:c>
      <x:c r="G77" s="10" t="str">
        <x:v>Phase 3</x:v>
      </x:c>
      <x:c r="H77" s="9" t="n">
        <x:v>1</x:v>
      </x:c>
      <x:c r="I77" s="10" t="str">
        <x:v>https://trialsearch.who.int/Trial2.aspx?TrialID=CTRI/2026/06/113035</x:v>
      </x:c>
      <x:c r="J77" s="10" t="str"/>
      <x:c r="K77" s="9" t="n">
        <x:f>IF(OR(G77="Phase 1",G77="Phase 2",G77="Phase 3",G77="Phase 2/ Phase 3"),1,0)</x:f>
        <x:v>1</x:v>
      </x:c>
    </x:row>
    <x:row r="78" ht="62" customHeight="1">
      <x:c r="A78" s="9" t="str">
        <x:v>Pfizer</x:v>
      </x:c>
      <x:c r="B78" s="9" t="n">
        <x:v>2026</x:v>
      </x:c>
      <x:c r="C78" s="9" t="str">
        <x:v>CTRI/2026/07/113359</x:v>
      </x:c>
      <x:c r="D78" s="10" t="str">
        <x:v>Pfizer Limited</x:v>
      </x:c>
      <x:c r="E78" s="10" t="str">
        <x:v>A study to find out if the medicine called rimegepant is safe for adults in India, who had side effects or did not feel better after taking other migraine medicines called triptans or cannot take it due to their medical condition</x:v>
      </x:c>
      <x:c r="F78" s="10" t="str">
        <x:v>Interventional</x:v>
      </x:c>
      <x:c r="G78" s="10" t="str">
        <x:v>Phase 4</x:v>
      </x:c>
      <x:c r="H78" s="9" t="n">
        <x:v>1</x:v>
      </x:c>
      <x:c r="I78" s="10" t="str">
        <x:v>https://trialsearch.who.int/Trial2.aspx?TrialID=CTRI/2026/07/113359</x:v>
      </x:c>
      <x:c r="J78" s="10" t="str"/>
      <x:c r="K78" s="9" t="n">
        <x:f>IF(OR(G78="Phase 1",G78="Phase 2",G78="Phase 3",G78="Phase 2/ Phase 3"),1,0)</x:f>
        <x:v>0</x:v>
      </x:c>
    </x:row>
    <x:row r="79" ht="62" customHeight="1">
      <x:c r="A79" s="9" t="str">
        <x:v>Pfizer</x:v>
      </x:c>
      <x:c r="B79" s="9" t="n">
        <x:v>2026</x:v>
      </x:c>
      <x:c r="C79" s="9" t="str">
        <x:v>CTRI/2026/08/115605</x:v>
      </x:c>
      <x:c r="D79" s="10" t="str">
        <x:v>Pfizer Inc.,</x:v>
      </x:c>
      <x:c r="E79" s="10" t="str">
        <x:v>A Phase 2 Study to Learn About a medicine called, PF08634404 combined with Chemotherapy in Adults with Transformed Small Cell Lung Cancer</x:v>
      </x:c>
      <x:c r="F79" s="10" t="str">
        <x:v>Interventional</x:v>
      </x:c>
      <x:c r="G79" s="10" t="str">
        <x:v>Phase 2</x:v>
      </x:c>
      <x:c r="H79" s="9" t="n">
        <x:v>1</x:v>
      </x:c>
      <x:c r="I79" s="10" t="str">
        <x:v>https://trialsearch.who.int/Trial2.aspx?TrialID=CTRI/2026/08/115605</x:v>
      </x:c>
      <x:c r="J79" s="10" t="str"/>
      <x:c r="K79" s="9" t="n">
        <x:f>IF(OR(G79="Phase 1",G79="Phase 2",G79="Phase 3",G79="Phase 2/ Phase 3"),1,0)</x:f>
        <x:v>1</x:v>
      </x:c>
    </x:row>
    <x:row r="80" ht="62" customHeight="1">
      <x:c r="A80" s="9" t="str">
        <x:v>Pfizer</x:v>
      </x:c>
      <x:c r="B80" s="9" t="n">
        <x:v>2026</x:v>
      </x:c>
      <x:c r="C80" s="9" t="str">
        <x:v>CTRI/2026/10/119069</x:v>
      </x:c>
      <x:c r="D80" s="10" t="str">
        <x:v>Pfizer Inc.</x:v>
      </x:c>
      <x:c r="E80" s="10" t="str">
        <x:v>A study in adult participants with metastatic colorectal cancer to learn whether the study medicine PF-08634404, given together with chemotherapy, can help control cancer and is safe to use.</x:v>
      </x:c>
      <x:c r="F80" s="10" t="str">
        <x:v>Interventional</x:v>
      </x:c>
      <x:c r="G80" s="10" t="str">
        <x:v>Phase 3</x:v>
      </x:c>
      <x:c r="H80" s="9" t="n">
        <x:v>1</x:v>
      </x:c>
      <x:c r="I80" s="10" t="str">
        <x:v>https://trialsearch.who.int/Trial2.aspx?TrialID=CTRI/2026/10/119069</x:v>
      </x:c>
      <x:c r="J80" s="10" t="str"/>
      <x:c r="K80" s="9" t="n">
        <x:f>IF(OR(G80="Phase 1",G80="Phase 2",G80="Phase 3",G80="Phase 2/ Phase 3"),1,0)</x:f>
        <x:v>1</x:v>
      </x:c>
    </x:row>
    <x:row r="81" ht="23" customHeight="1">
      <x:c r="A81" s="2"/>
      <x:c r="B81" s="2"/>
      <x:c r="C81" s="2"/>
      <x:c r="D81" s="2"/>
      <x:c r="E81" s="2"/>
      <x:c r="F81" s="2"/>
      <x:c r="G81" s="2"/>
      <x:c r="H81" s="2"/>
      <x:c r="I81" s="2"/>
      <x:c r="J81" s="2"/>
      <x:c r="K81" s="2"/>
    </x:row>
  </x:sheetData>
  <x:pageMargins left="0.7" right="0.7" top="0.75" bottom="0.75" header="0.3" footer="0.3"/>
</x:worksheet>
</file>