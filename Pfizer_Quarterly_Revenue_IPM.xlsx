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1b4029e45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revenue" sheetId="1" r:id="R19e1d0e7c71d4a79"/>
    <x:sheet xmlns:r="http://schemas.openxmlformats.org/officeDocument/2006/relationships" name="Sources" sheetId="2" r:id="R6a0f9d65a8a3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%"/>
  </x:numFmts>
  <x:fonts count="7">
    <x:font>
      <x:sz val="11"/>
      <x:name val="Carlito"/>
    </x:font>
    <x:font>
      <x:sz val="10"/>
      <x:color rgb="FF182C44"/>
      <x:name val="Arial"/>
    </x:font>
    <x:font>
      <x:b/>
      <x:sz val="14"/>
      <x:color rgb="FF003B71"/>
      <x:name val="Arial"/>
    </x:font>
    <x:font>
      <x:sz val="10"/>
      <x:color rgb="FFA25800"/>
      <x:name val="Arial"/>
    </x:font>
    <x:font>
      <x:b/>
      <x:sz val="10"/>
      <x:color rgb="FF182C44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6E6"/>
      </x:patternFill>
    </x:fill>
    <x:fill>
      <x:patternFill patternType="solid">
        <x:fgColor rgb="FF003B71"/>
      </x:patternFill>
    </x:fill>
    <x:fill>
      <x:patternFill patternType="solid">
        <x:fgColor rgb="FFE9F1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A93AC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2" borderId="1" xfId="0" applyNumberFormat="1" applyFont="1" applyFill="1" applyBorder="1"/>
    <x:xf numFmtId="201" fontId="1" fillId="0" borderId="1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7a01e06e54c5c" /><Relationship Type="http://schemas.openxmlformats.org/officeDocument/2006/relationships/theme" Target="/xl/theme/theme1.xml" Id="R3371595360bd423f" /><Relationship Type="http://schemas.openxmlformats.org/officeDocument/2006/relationships/sharedStrings" Target="/xl/sharedStrings.xml" Id="R170d88653e444dca" /><Relationship Type="http://schemas.openxmlformats.org/officeDocument/2006/relationships/worksheet" Target="/xl/worksheets/sheet1.xml" Id="R19e1d0e7c71d4a79" /><Relationship Type="http://schemas.openxmlformats.org/officeDocument/2006/relationships/worksheet" Target="/xl/worksheets/sheet2.xml" Id="R6a0f9d65a8a3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3B71"/>
  </x:sheetPr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Pfizer Limited | Product-led growth in FY26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INR million; Indian listed entity; information checked 25 October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3" t="str">
        <x:v>Quarterly product/services split is ESTIMATED. Total operating revenue and IPM growth are sourced.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3" t="str">
        <x:v>Flat quarterly services reflect allocation, and cannot independently prove stability.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4" customHeight="1">
      <x:c r="A7" s="10" t="str">
        <x:v>Quarter / ended</x:v>
      </x:c>
      <x:c r="B7" s="10" t="str">
        <x:v>Total revenue (A)</x:v>
      </x:c>
      <x:c r="C7" s="10" t="str">
        <x:v>Medicines (E)</x:v>
      </x:c>
      <x:c r="D7" s="10" t="str">
        <x:v>Services (E)</x:v>
      </x:c>
      <x:c r="E7" s="10" t="str">
        <x:v>Scrap (E)</x:v>
      </x:c>
      <x:c r="F7" s="10" t="str">
        <x:v>IPM YoY (A)</x:v>
      </x:c>
      <x:c r="G7" s="10" t="str">
        <x:v>Service share (E)</x:v>
      </x:c>
      <x:c r="H7" s="1"/>
      <x:c r="I7" s="1"/>
      <x:c r="J7" s="1"/>
      <x:c r="K7" s="1"/>
      <x:c r="L7" s="1"/>
    </x:row>
    <x:row r="8" ht="23" customHeight="1">
      <x:c r="A8" s="1" t="str">
        <x:v>Q2FY24 / Sep-23</x:v>
      </x:c>
      <x:c r="B8" s="4" t="n">
        <x:f>'Sources'!B5</x:f>
        <x:v>5752.1</x:v>
      </x:c>
      <x:c r="C8" s="6" t="n">
        <x:f>B8-D8-E8</x:f>
        <x:v>5471.775000000001</x:v>
      </x:c>
      <x:c r="D8" s="6" t="n">
        <x:f>'Sources'!D23/4</x:f>
        <x:v>279.125</x:v>
      </x:c>
      <x:c r="E8" s="6" t="n">
        <x:f>'Sources'!E23/4</x:f>
        <x:v>1.2</x:v>
      </x:c>
      <x:c r="F8" s="5" t="n">
        <x:f>'Sources'!C5</x:f>
        <x:v>0.07</x:v>
      </x:c>
      <x:c r="G8" s="5" t="n">
        <x:f>D8/B8</x:f>
        <x:v>0.04852575581092122</x:v>
      </x:c>
      <x:c r="H8" s="1"/>
      <x:c r="I8" s="1"/>
      <x:c r="J8" s="1"/>
      <x:c r="K8" s="1"/>
      <x:c r="L8" s="1"/>
    </x:row>
    <x:row r="9" ht="23" customHeight="1">
      <x:c r="A9" s="1" t="str">
        <x:v>Q3FY24 / Dec-23</x:v>
      </x:c>
      <x:c r="B9" s="4" t="n">
        <x:f>'Sources'!B6</x:f>
        <x:v>5399.7</x:v>
      </x:c>
      <x:c r="C9" s="6" t="n">
        <x:f>B9-D9-E9</x:f>
        <x:v>5119.375</x:v>
      </x:c>
      <x:c r="D9" s="6" t="n">
        <x:f>'Sources'!D23/4</x:f>
        <x:v>279.125</x:v>
      </x:c>
      <x:c r="E9" s="6" t="n">
        <x:f>'Sources'!E23/4</x:f>
        <x:v>1.2</x:v>
      </x:c>
      <x:c r="F9" s="5" t="n">
        <x:f>'Sources'!C6</x:f>
        <x:v>0.083</x:v>
      </x:c>
      <x:c r="G9" s="5" t="n">
        <x:f>D9/B9</x:f>
        <x:v>0.05169268663073875</x:v>
      </x:c>
      <x:c r="H9" s="1"/>
      <x:c r="I9" s="1"/>
      <x:c r="J9" s="1"/>
      <x:c r="K9" s="1"/>
      <x:c r="L9" s="1"/>
    </x:row>
    <x:row r="10" ht="23" customHeight="1">
      <x:c r="A10" s="1" t="str">
        <x:v>Q4FY24 / Mar-24</x:v>
      </x:c>
      <x:c r="B10" s="4" t="n">
        <x:f>'Sources'!B7</x:f>
        <x:v>5466.3</x:v>
      </x:c>
      <x:c r="C10" s="6" t="n">
        <x:f>B10-D10-E10</x:f>
        <x:v>5185.975</x:v>
      </x:c>
      <x:c r="D10" s="6" t="n">
        <x:f>'Sources'!D23/4</x:f>
        <x:v>279.125</x:v>
      </x:c>
      <x:c r="E10" s="6" t="n">
        <x:f>'Sources'!E23/4</x:f>
        <x:v>1.2</x:v>
      </x:c>
      <x:c r="F10" s="5" t="n">
        <x:f>'Sources'!C7</x:f>
        <x:v>0.057</x:v>
      </x:c>
      <x:c r="G10" s="5" t="n">
        <x:f>D10/B10</x:f>
        <x:v>0.051062876168523494</x:v>
      </x:c>
      <x:c r="H10" s="1"/>
      <x:c r="I10" s="1"/>
      <x:c r="J10" s="1"/>
      <x:c r="K10" s="1"/>
      <x:c r="L10" s="1"/>
    </x:row>
    <x:row r="11" ht="23" customHeight="1">
      <x:c r="A11" s="1" t="str">
        <x:v>Q1FY25 / Jun-24</x:v>
      </x:c>
      <x:c r="B11" s="4" t="n">
        <x:f>'Sources'!B8</x:f>
        <x:v>5628.6</x:v>
      </x:c>
      <x:c r="C11" s="6" t="n">
        <x:f>B11-D11-E11</x:f>
        <x:v>5246.125</x:v>
      </x:c>
      <x:c r="D11" s="6" t="n">
        <x:f>'Sources'!D24/4</x:f>
        <x:v>381.6</x:v>
      </x:c>
      <x:c r="E11" s="6" t="n">
        <x:f>'Sources'!E24/4</x:f>
        <x:v>0.875</x:v>
      </x:c>
      <x:c r="F11" s="5" t="n">
        <x:f>'Sources'!C8</x:f>
        <x:v>0.087</x:v>
      </x:c>
      <x:c r="G11" s="5" t="n">
        <x:f>D11/B11</x:f>
        <x:v>0.06779661016949153</x:v>
      </x:c>
      <x:c r="H11" s="1"/>
      <x:c r="I11" s="1"/>
      <x:c r="J11" s="1"/>
      <x:c r="K11" s="1"/>
      <x:c r="L11" s="1"/>
    </x:row>
    <x:row r="12" ht="23" customHeight="1">
      <x:c r="A12" s="1" t="str">
        <x:v>Q2FY25 / Sep-24</x:v>
      </x:c>
      <x:c r="B12" s="4" t="n">
        <x:f>'Sources'!B9</x:f>
        <x:v>5885.9</x:v>
      </x:c>
      <x:c r="C12" s="6" t="n">
        <x:f>B12-D12-E12</x:f>
        <x:v>5503.424999999999</x:v>
      </x:c>
      <x:c r="D12" s="6" t="n">
        <x:f>'Sources'!D24/4</x:f>
        <x:v>381.6</x:v>
      </x:c>
      <x:c r="E12" s="6" t="n">
        <x:f>'Sources'!E24/4</x:f>
        <x:v>0.875</x:v>
      </x:c>
      <x:c r="F12" s="5" t="n">
        <x:f>'Sources'!C9</x:f>
        <x:v>0.076</x:v>
      </x:c>
      <x:c r="G12" s="5" t="n">
        <x:f>D12/B12</x:f>
        <x:v>0.06483290575782803</x:v>
      </x:c>
      <x:c r="H12" s="1"/>
      <x:c r="I12" s="1"/>
      <x:c r="J12" s="1"/>
      <x:c r="K12" s="1"/>
      <x:c r="L12" s="1"/>
    </x:row>
    <x:row r="13" ht="23" customHeight="1">
      <x:c r="A13" s="1" t="str">
        <x:v>Q3FY25 / Dec-24</x:v>
      </x:c>
      <x:c r="B13" s="4" t="n">
        <x:f>'Sources'!B10</x:f>
        <x:v>5379.9</x:v>
      </x:c>
      <x:c r="C13" s="6" t="n">
        <x:f>B13-D13-E13</x:f>
        <x:v>4997.424999999999</x:v>
      </x:c>
      <x:c r="D13" s="6" t="n">
        <x:f>'Sources'!D24/4</x:f>
        <x:v>381.6</x:v>
      </x:c>
      <x:c r="E13" s="6" t="n">
        <x:f>'Sources'!E24/4</x:f>
        <x:v>0.875</x:v>
      </x:c>
      <x:c r="F13" s="5" t="n">
        <x:f>'Sources'!C10</x:f>
        <x:v>0.072</x:v>
      </x:c>
      <x:c r="G13" s="5" t="n">
        <x:f>D13/B13</x:f>
        <x:v>0.07093068644398595</x:v>
      </x:c>
      <x:c r="H13" s="1"/>
      <x:c r="I13" s="1"/>
      <x:c r="J13" s="1"/>
      <x:c r="K13" s="1"/>
      <x:c r="L13" s="1"/>
    </x:row>
    <x:row r="14" ht="23" customHeight="1">
      <x:c r="A14" s="1" t="str">
        <x:v>Q4FY25 / Mar-25</x:v>
      </x:c>
      <x:c r="B14" s="4" t="n">
        <x:f>'Sources'!B11</x:f>
        <x:v>5919.1</x:v>
      </x:c>
      <x:c r="C14" s="6" t="n">
        <x:f>B14-D14-E14</x:f>
        <x:v>5536.625</x:v>
      </x:c>
      <x:c r="D14" s="6" t="n">
        <x:f>'Sources'!D24/4</x:f>
        <x:v>381.6</x:v>
      </x:c>
      <x:c r="E14" s="6" t="n">
        <x:f>'Sources'!E24/4</x:f>
        <x:v>0.875</x:v>
      </x:c>
      <x:c r="F14" s="5" t="n">
        <x:f>'Sources'!C11</x:f>
        <x:v>0.069</x:v>
      </x:c>
      <x:c r="G14" s="5" t="n">
        <x:f>D14/B14</x:f>
        <x:v>0.06446926052947238</x:v>
      </x:c>
      <x:c r="H14" s="1"/>
      <x:c r="I14" s="1"/>
      <x:c r="J14" s="1"/>
      <x:c r="K14" s="1"/>
      <x:c r="L14" s="1"/>
    </x:row>
    <x:row r="15" ht="23" customHeight="1">
      <x:c r="A15" s="1" t="str">
        <x:v>Q1FY26 / Jun-25</x:v>
      </x:c>
      <x:c r="B15" s="4" t="n">
        <x:f>'Sources'!B12</x:f>
        <x:v>6030.5</x:v>
      </x:c>
      <x:c r="C15" s="6" t="n">
        <x:f>B15-D15-E15</x:f>
        <x:v>5674.150000000001</x:v>
      </x:c>
      <x:c r="D15" s="6" t="n">
        <x:f>'Sources'!D25/4</x:f>
        <x:v>355.4</x:v>
      </x:c>
      <x:c r="E15" s="6" t="n">
        <x:f>'Sources'!E25/4</x:f>
        <x:v>0.95</x:v>
      </x:c>
      <x:c r="F15" s="5" t="n">
        <x:f>'Sources'!C12</x:f>
        <x:v>0.085</x:v>
      </x:c>
      <x:c r="G15" s="5" t="n">
        <x:f>D15/B15</x:f>
        <x:v>0.058933753420114414</x:v>
      </x:c>
      <x:c r="H15" s="1"/>
      <x:c r="I15" s="1"/>
      <x:c r="J15" s="1"/>
      <x:c r="K15" s="1"/>
      <x:c r="L15" s="1"/>
    </x:row>
    <x:row r="16" ht="23" customHeight="1">
      <x:c r="A16" s="1" t="str">
        <x:v>Q2FY26 / Sep-25</x:v>
      </x:c>
      <x:c r="B16" s="4" t="n">
        <x:f>'Sources'!B13</x:f>
        <x:v>6423.4</x:v>
      </x:c>
      <x:c r="C16" s="6" t="n">
        <x:f>B16-D16-E16</x:f>
        <x:v>6067.05</x:v>
      </x:c>
      <x:c r="D16" s="6" t="n">
        <x:f>'Sources'!D25/4</x:f>
        <x:v>355.4</x:v>
      </x:c>
      <x:c r="E16" s="6" t="n">
        <x:f>'Sources'!E25/4</x:f>
        <x:v>0.95</x:v>
      </x:c>
      <x:c r="F16" s="5" t="n">
        <x:f>'Sources'!C13</x:f>
        <x:v>0.064</x:v>
      </x:c>
      <x:c r="G16" s="5" t="n">
        <x:f>D16/B16</x:f>
        <x:v>0.05532895351371548</x:v>
      </x:c>
      <x:c r="H16" s="1"/>
      <x:c r="I16" s="1"/>
      <x:c r="J16" s="1"/>
      <x:c r="K16" s="1"/>
      <x:c r="L16" s="1"/>
    </x:row>
    <x:row r="17" ht="23" customHeight="1">
      <x:c r="A17" s="1" t="str">
        <x:v>Q3FY26 / Dec-25</x:v>
      </x:c>
      <x:c r="B17" s="4" t="n">
        <x:f>'Sources'!B14</x:f>
        <x:v>6450.3</x:v>
      </x:c>
      <x:c r="C17" s="6" t="n">
        <x:f>B17-D17-E17</x:f>
        <x:v>6093.950000000001</x:v>
      </x:c>
      <x:c r="D17" s="6" t="n">
        <x:f>'Sources'!D25/4</x:f>
        <x:v>355.4</x:v>
      </x:c>
      <x:c r="E17" s="6" t="n">
        <x:f>'Sources'!E25/4</x:f>
        <x:v>0.95</x:v>
      </x:c>
      <x:c r="F17" s="5" t="n">
        <x:f>'Sources'!C14</x:f>
        <x:v>0.109</x:v>
      </x:c>
      <x:c r="G17" s="5" t="n">
        <x:f>D17/B17</x:f>
        <x:v>0.055098212486240944</x:v>
      </x:c>
      <x:c r="H17" s="1"/>
      <x:c r="I17" s="1"/>
      <x:c r="J17" s="1"/>
      <x:c r="K17" s="1"/>
      <x:c r="L17" s="1"/>
    </x:row>
    <x:row r="18" ht="23" customHeight="1">
      <x:c r="A18" s="1" t="str">
        <x:v>Q4FY26 / Mar-26</x:v>
      </x:c>
      <x:c r="B18" s="4" t="n">
        <x:f>'Sources'!B15</x:f>
        <x:v>6292.3</x:v>
      </x:c>
      <x:c r="C18" s="6" t="n">
        <x:f>B18-D18-E18</x:f>
        <x:v>5935.950000000001</x:v>
      </x:c>
      <x:c r="D18" s="6" t="n">
        <x:f>'Sources'!D25/4</x:f>
        <x:v>355.4</x:v>
      </x:c>
      <x:c r="E18" s="6" t="n">
        <x:f>'Sources'!E25/4</x:f>
        <x:v>0.95</x:v>
      </x:c>
      <x:c r="F18" s="5" t="n">
        <x:f>'Sources'!C15</x:f>
        <x:v>0.101</x:v>
      </x:c>
      <x:c r="G18" s="5" t="n">
        <x:f>D18/B18</x:f>
        <x:v>0.05648173164025872</x:v>
      </x:c>
      <x:c r="H18" s="1"/>
      <x:c r="I18" s="1"/>
      <x:c r="J18" s="1"/>
      <x:c r="K18" s="1"/>
      <x:c r="L18" s="1"/>
    </x:row>
    <x:row r="19" ht="23" customHeight="1">
      <x:c r="A19" s="11" t="str">
        <x:v>Q1FY27 / Jun-26</x:v>
      </x:c>
      <x:c r="B19" s="12" t="n">
        <x:f>'Sources'!B16</x:f>
        <x:v>6531.7</x:v>
      </x:c>
      <x:c r="C19" s="13" t="n">
        <x:f>B19-D19-E19</x:f>
        <x:v>6175.35</x:v>
      </x:c>
      <x:c r="D19" s="13" t="n">
        <x:f>'Sources'!D25/4</x:f>
        <x:v>355.4</x:v>
      </x:c>
      <x:c r="E19" s="13" t="n">
        <x:f>'Sources'!E25/4</x:f>
        <x:v>0.95</x:v>
      </x:c>
      <x:c r="F19" s="14" t="n">
        <x:f>'Sources'!C16</x:f>
        <x:v>0.122</x:v>
      </x:c>
      <x:c r="G19" s="14" t="n">
        <x:f>D19/B19</x:f>
        <x:v>0.05441156207419202</x:v>
      </x:c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7" t="str">
        <x:v>Reported annual split | use this to substantiate the thesis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32" customHeight="1">
      <x:c r="A24" s="10" t="str">
        <x:v>Financial year</x:v>
      </x:c>
      <x:c r="B24" s="10" t="str">
        <x:v>Total revenue</x:v>
      </x:c>
      <x:c r="C24" s="10" t="str">
        <x:v>Medicines</x:v>
      </x:c>
      <x:c r="D24" s="10" t="str">
        <x:v>Services</x:v>
      </x:c>
      <x:c r="E24" s="10" t="str">
        <x:v>Product YoY</x:v>
      </x:c>
      <x:c r="F24" s="10" t="str">
        <x:v>Service YoY</x:v>
      </x:c>
      <x:c r="G24" s="10" t="str">
        <x:v>Service share</x:v>
      </x:c>
      <x:c r="H24" s="1"/>
      <x:c r="I24" s="1"/>
      <x:c r="J24" s="1"/>
      <x:c r="K24" s="1"/>
      <x:c r="L24" s="1"/>
    </x:row>
    <x:row r="25" ht="23" customHeight="1">
      <x:c r="A25" s="1" t="str">
        <x:v>FY24</x:v>
      </x:c>
      <x:c r="B25" s="4" t="n">
        <x:f>'Sources'!B23</x:f>
        <x:v>21931.7</x:v>
      </x:c>
      <x:c r="C25" s="4" t="n">
        <x:f>'Sources'!C23</x:f>
        <x:v>20810.4</x:v>
      </x:c>
      <x:c r="D25" s="4" t="n">
        <x:f>'Sources'!D23</x:f>
        <x:v>1116.5</x:v>
      </x:c>
      <x:c r="E25" s="5"/>
      <x:c r="F25" s="5"/>
      <x:c r="G25" s="5" t="n">
        <x:f>D25/B25</x:f>
        <x:v>0.05090804634387667</x:v>
      </x:c>
      <x:c r="H25" s="1"/>
      <x:c r="I25" s="1"/>
      <x:c r="J25" s="1"/>
      <x:c r="K25" s="1"/>
      <x:c r="L25" s="1"/>
    </x:row>
    <x:row r="26" ht="23" customHeight="1">
      <x:c r="A26" s="1" t="str">
        <x:v>FY25</x:v>
      </x:c>
      <x:c r="B26" s="4" t="n">
        <x:f>'Sources'!B24</x:f>
        <x:v>22813.5</x:v>
      </x:c>
      <x:c r="C26" s="4" t="n">
        <x:f>'Sources'!C24</x:f>
        <x:v>21283.6</x:v>
      </x:c>
      <x:c r="D26" s="4" t="n">
        <x:f>'Sources'!D24</x:f>
        <x:v>1526.4</x:v>
      </x:c>
      <x:c r="E26" s="5" t="n">
        <x:f>C26/C25-1</x:f>
        <x:v>0.022738630684657535</x:v>
      </x:c>
      <x:c r="F26" s="5" t="n">
        <x:f>D26/D25-1</x:f>
        <x:v>0.3671294223018362</x:v>
      </x:c>
      <x:c r="G26" s="5" t="n">
        <x:f>D26/B26</x:f>
        <x:v>0.0669077519889539</x:v>
      </x:c>
      <x:c r="H26" s="1"/>
      <x:c r="I26" s="1"/>
      <x:c r="J26" s="1"/>
      <x:c r="K26" s="1"/>
      <x:c r="L26" s="1"/>
    </x:row>
    <x:row r="27" ht="23" customHeight="1">
      <x:c r="A27" s="15" t="str">
        <x:v>FY26</x:v>
      </x:c>
      <x:c r="B27" s="16" t="n">
        <x:f>'Sources'!B25</x:f>
        <x:v>25196.5</x:v>
      </x:c>
      <x:c r="C27" s="16" t="n">
        <x:f>'Sources'!C25</x:f>
        <x:v>23771.1</x:v>
      </x:c>
      <x:c r="D27" s="16" t="n">
        <x:f>'Sources'!D25</x:f>
        <x:v>1421.6</x:v>
      </x:c>
      <x:c r="E27" s="17" t="n">
        <x:f>C27/C26-1</x:f>
        <x:v>0.11687402507094657</x:v>
      </x:c>
      <x:c r="F27" s="17" t="n">
        <x:f>D27/D26-1</x:f>
        <x:v>-0.06865828092243198</x:v>
      </x:c>
      <x:c r="G27" s="17" t="n">
        <x:f>D27/B27</x:f>
        <x:v>0.05642053459805925</x:v>
      </x:c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 t="str">
        <x:v>Method: annual services and scrap divided by four; medicines = reported total less those allocations.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Q1FY27 services/scrap use FY26 quarterly averages; both are assumptions, not quarterly disclosures.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IPM: same-quarter YoY value growth, IQVIA SSA cited in Alkem releases; no MAT/monthly substitution.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 t="str">
        <x:v>Pfizer revenue is primary invoiced sales; IPM is secondary sales. Timing and coverage differ.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 t="str">
        <x:v>Services grew 36.7% in FY25, then fell 6.9% in FY26. The full history does not show flat services.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 t="str">
        <x:v>Suggested title: FY26 growth was product-led, with service income declining.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 t="str">
        <x:v>Scope: medicines include vaccines; revenue excludes other income such as interest or asset-sale gains.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9DCC7"/>
  </x:sheetPr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55" hidden="0" customWidth="1"/>
    <x:col min="5" max="5" width="60" hidden="0" customWidth="1"/>
    <x:col min="6" max="6" width="60" hidden="0" customWidth="1"/>
    <x:col min="7" max="7" width="4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Source inputs and estimation controls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customHeight="1">
      <x:c r="A4" s="10" t="str">
        <x:v>Quarter</x:v>
      </x:c>
      <x:c r="B4" s="10" t="str">
        <x:v>Total INR mn</x:v>
      </x:c>
      <x:c r="C4" s="10" t="str">
        <x:v>IPM growth</x:v>
      </x:c>
      <x:c r="D4" s="10" t="str">
        <x:v>Revenue status / reference</x:v>
      </x:c>
      <x:c r="E4" s="10" t="str">
        <x:v>Revenue source URL</x:v>
      </x:c>
      <x:c r="F4" s="10" t="str">
        <x:v>IPM source URL</x:v>
      </x:c>
      <x:c r="G4" s="1"/>
      <x:c r="H4" s="1"/>
      <x:c r="I4" s="1"/>
      <x:c r="J4" s="1"/>
      <x:c r="K4" s="1"/>
      <x:c r="L4" s="1"/>
    </x:row>
    <x:row r="5" ht="48" customHeight="1">
      <x:c r="A5" s="1" t="str">
        <x:v>Q2FY24 / Sep-23</x:v>
      </x:c>
      <x:c r="B5" s="18" t="n">
        <x:v>5752.1</x:v>
      </x:c>
      <x:c r="C5" s="19" t="n">
        <x:v>0.07</x:v>
      </x:c>
      <x:c r="D5" s="1" t="str">
        <x:v>Reported revenue; quarterly result/comparative</x:v>
      </x:c>
      <x:c r="E5" s="20" t="str">
        <x:v>https://www.pfizerltd.co.in/files/Financial-results-for-September-30,-2023.pdf</x:v>
      </x:c>
      <x:c r="F5" s="20" t="str">
        <x:v>https://admin.alkemlabs.com/uploads/Press_Release_1f7b1a1e04.pdf</x:v>
      </x:c>
      <x:c r="G5" s="1"/>
      <x:c r="H5" s="1"/>
      <x:c r="I5" s="1"/>
      <x:c r="J5" s="1"/>
      <x:c r="K5" s="1"/>
      <x:c r="L5" s="1"/>
    </x:row>
    <x:row r="6" ht="48" customHeight="1">
      <x:c r="A6" s="1" t="str">
        <x:v>Q3FY24 / Dec-23</x:v>
      </x:c>
      <x:c r="B6" s="18" t="n">
        <x:v>5399.7</x:v>
      </x:c>
      <x:c r="C6" s="19" t="n">
        <x:v>0.083</x:v>
      </x:c>
      <x:c r="D6" s="1" t="str">
        <x:v>Derived: FY24 less H1FY24 less Q4FY24</x:v>
      </x:c>
      <x:c r="E6" s="20" t="str">
        <x:v>https://www.pfizerltd.co.in/files/Stock-Exchange-intimation-Audited-Financial-results-March-31-2024.pdf</x:v>
      </x:c>
      <x:c r="F6" s="20" t="str">
        <x:v>https://www.alkemlabs.com/pdf/quaterly-result/Press_release.pdf</x:v>
      </x:c>
      <x:c r="G6" s="1"/>
      <x:c r="H6" s="1"/>
      <x:c r="I6" s="1"/>
      <x:c r="J6" s="1"/>
      <x:c r="K6" s="1"/>
      <x:c r="L6" s="1"/>
    </x:row>
    <x:row r="7" ht="48" customHeight="1">
      <x:c r="A7" s="1" t="str">
        <x:v>Q4FY24 / Mar-24</x:v>
      </x:c>
      <x:c r="B7" s="18" t="n">
        <x:v>5466.3</x:v>
      </x:c>
      <x:c r="C7" s="19" t="n">
        <x:v>0.057</x:v>
      </x:c>
      <x:c r="D7" s="1" t="str">
        <x:v>Reported revenue; quarterly result/comparative</x:v>
      </x:c>
      <x:c r="E7" s="20" t="str">
        <x:v>https://www.pfizerltd.co.in/files/Pfizer-Limited-Financial-Results-31-March-2025_SE.pdf</x:v>
      </x:c>
      <x:c r="F7" s="20" t="str">
        <x:v>https://admin.alkemlabs.com/uploads/Press_release_7aed8cc63b.pdf</x:v>
      </x:c>
      <x:c r="G7" s="1"/>
      <x:c r="H7" s="1"/>
      <x:c r="I7" s="1"/>
      <x:c r="J7" s="1"/>
      <x:c r="K7" s="1"/>
      <x:c r="L7" s="1"/>
    </x:row>
    <x:row r="8" ht="48" customHeight="1">
      <x:c r="A8" s="1" t="str">
        <x:v>Q1FY25 / Jun-24</x:v>
      </x:c>
      <x:c r="B8" s="18" t="n">
        <x:v>5628.6</x:v>
      </x:c>
      <x:c r="C8" s="19" t="n">
        <x:v>0.087</x:v>
      </x:c>
      <x:c r="D8" s="1" t="str">
        <x:v>Reported revenue; quarterly result/comparative</x:v>
      </x:c>
      <x:c r="E8" s="20" t="str">
        <x:v>https://www.pfizerltd.co.in/files/Stock-Exchange-Intimation-Unaudited-Financial-Results.pdf</x:v>
      </x:c>
      <x:c r="F8" s="20" t="str">
        <x:v>https://admin.alkemlabs.com/uploads/Q1_FY_25_Press_Release_6debc62816.pdf</x:v>
      </x:c>
      <x:c r="G8" s="1"/>
      <x:c r="H8" s="1"/>
      <x:c r="I8" s="1"/>
      <x:c r="J8" s="1"/>
      <x:c r="K8" s="1"/>
      <x:c r="L8" s="1"/>
    </x:row>
    <x:row r="9" ht="48" customHeight="1">
      <x:c r="A9" s="1" t="str">
        <x:v>Q2FY25 / Sep-24</x:v>
      </x:c>
      <x:c r="B9" s="18" t="n">
        <x:v>5885.9</x:v>
      </x:c>
      <x:c r="C9" s="19" t="n">
        <x:v>0.076</x:v>
      </x:c>
      <x:c r="D9" s="1" t="str">
        <x:v>Reported revenue; quarterly result/comparative</x:v>
      </x:c>
      <x:c r="E9" s="20" t="str">
        <x:v>https://www.pfizerltd.co.in/files/Stock-Exchange-Intimation-Unaudited-Financial-Results.pdf</x:v>
      </x:c>
      <x:c r="F9" s="20" t="str">
        <x:v>https://www.bseindia.com/xml-data/corpfiling/AttachHis/38022e41-5563-4600-b048-ac1a5b1eb081.pdf</x:v>
      </x:c>
      <x:c r="G9" s="1"/>
      <x:c r="H9" s="1"/>
      <x:c r="I9" s="1"/>
      <x:c r="J9" s="1"/>
      <x:c r="K9" s="1"/>
      <x:c r="L9" s="1"/>
    </x:row>
    <x:row r="10" ht="48" customHeight="1">
      <x:c r="A10" s="1" t="str">
        <x:v>Q3FY25 / Dec-24</x:v>
      </x:c>
      <x:c r="B10" s="18" t="n">
        <x:v>5379.9</x:v>
      </x:c>
      <x:c r="C10" s="19" t="n">
        <x:v>0.072</x:v>
      </x:c>
      <x:c r="D10" s="1" t="str">
        <x:v>Reported revenue; quarterly result/comparative</x:v>
      </x:c>
      <x:c r="E10" s="20" t="str">
        <x:v>https://www.pfizerltd.co.in/files/Pfizer-Limited-Financial-Results-31-March-2025_SE.pdf</x:v>
      </x:c>
      <x:c r="F10" s="20" t="str">
        <x:v>https://admin.alkemlabs.com/uploads/Q3_FY_25_Investor_presentation_5e27d47e11.pdf</x:v>
      </x:c>
      <x:c r="G10" s="1"/>
      <x:c r="H10" s="1"/>
      <x:c r="I10" s="1"/>
      <x:c r="J10" s="1"/>
      <x:c r="K10" s="1"/>
      <x:c r="L10" s="1"/>
    </x:row>
    <x:row r="11" ht="48" customHeight="1">
      <x:c r="A11" s="1" t="str">
        <x:v>Q4FY25 / Mar-25</x:v>
      </x:c>
      <x:c r="B11" s="18" t="n">
        <x:v>5919.1</x:v>
      </x:c>
      <x:c r="C11" s="19" t="n">
        <x:v>0.069</x:v>
      </x:c>
      <x:c r="D11" s="1" t="str">
        <x:v>Reported revenue; quarterly result/comparative</x:v>
      </x:c>
      <x:c r="E11" s="20" t="str">
        <x:v>https://www.pfizerltd.co.in/files/Pfizer-Limited-Financial-Results-31-March-2025_SE.pdf</x:v>
      </x:c>
      <x:c r="F11" s="20" t="str">
        <x:v>https://admin.alkemlabs.com/uploads/Q4_FY_25_Press_Release_880b34ccd5.pdf</x:v>
      </x:c>
      <x:c r="G11" s="1"/>
      <x:c r="H11" s="1"/>
      <x:c r="I11" s="1"/>
      <x:c r="J11" s="1"/>
      <x:c r="K11" s="1"/>
      <x:c r="L11" s="1"/>
    </x:row>
    <x:row r="12" ht="48" customHeight="1">
      <x:c r="A12" s="1" t="str">
        <x:v>Q1FY26 / Jun-25</x:v>
      </x:c>
      <x:c r="B12" s="18" t="n">
        <x:v>6030.5</x:v>
      </x:c>
      <x:c r="C12" s="19" t="n">
        <x:v>0.085</x:v>
      </x:c>
      <x:c r="D12" s="1" t="str">
        <x:v>Reported revenue; quarterly result/comparative</x:v>
      </x:c>
      <x:c r="E12" s="20" t="str">
        <x:v>https://www.pfizerltd.co.in/files/Stock-Exchange-Intimation-Outcome-of-the-Board-Meeting-09022026.pdf</x:v>
      </x:c>
      <x:c r="F12" s="20" t="str">
        <x:v>https://admin.alkemlabs.com/uploads/Q1_FY_26_Results_Press_Release_and_Presentation_b3960ec5a5.pdf</x:v>
      </x:c>
      <x:c r="G12" s="1"/>
      <x:c r="H12" s="1"/>
      <x:c r="I12" s="1"/>
      <x:c r="J12" s="1"/>
      <x:c r="K12" s="1"/>
      <x:c r="L12" s="1"/>
    </x:row>
    <x:row r="13" ht="48" customHeight="1">
      <x:c r="A13" s="1" t="str">
        <x:v>Q2FY26 / Sep-25</x:v>
      </x:c>
      <x:c r="B13" s="18" t="n">
        <x:v>6423.4</x:v>
      </x:c>
      <x:c r="C13" s="19" t="n">
        <x:v>0.064</x:v>
      </x:c>
      <x:c r="D13" s="1" t="str">
        <x:v>Reported revenue; quarterly result/comparative</x:v>
      </x:c>
      <x:c r="E13" s="20" t="str">
        <x:v>https://www.pfizerltd.co.in/files/Stock-Exchange-Intimation-Outcome-of-the-Board-Meeting-09022026.pdf</x:v>
      </x:c>
      <x:c r="F13" s="20" t="str">
        <x:v>https://admin.alkemlabs.com/uploads/Q2_FY_26_Press_Release_008e32d9ad.pdf</x:v>
      </x:c>
      <x:c r="G13" s="1"/>
      <x:c r="H13" s="1"/>
      <x:c r="I13" s="1"/>
      <x:c r="J13" s="1"/>
      <x:c r="K13" s="1"/>
      <x:c r="L13" s="1"/>
    </x:row>
    <x:row r="14" ht="48" customHeight="1">
      <x:c r="A14" s="1" t="str">
        <x:v>Q3FY26 / Dec-25</x:v>
      </x:c>
      <x:c r="B14" s="18" t="n">
        <x:v>6450.3</x:v>
      </x:c>
      <x:c r="C14" s="19" t="n">
        <x:v>0.109</x:v>
      </x:c>
      <x:c r="D14" s="1" t="str">
        <x:v>Reported revenue; quarterly result/comparative</x:v>
      </x:c>
      <x:c r="E14" s="20" t="str">
        <x:v>https://www.pfizerltd.co.in/files/Stock-Exchange-Intimation-Outcome-of-the-Board-Meeting-09022026.pdf</x:v>
      </x:c>
      <x:c r="F14" s="20" t="str">
        <x:v>https://admin.alkemlabs.com/uploads/Q3_FY_26_Results_Press_Release_and_Presentation_fc3242b54d.pdf</x:v>
      </x:c>
      <x:c r="G14" s="1"/>
      <x:c r="H14" s="1"/>
      <x:c r="I14" s="1"/>
      <x:c r="J14" s="1"/>
      <x:c r="K14" s="1"/>
      <x:c r="L14" s="1"/>
    </x:row>
    <x:row r="15" ht="48" customHeight="1">
      <x:c r="A15" s="1" t="str">
        <x:v>Q4FY26 / Mar-26</x:v>
      </x:c>
      <x:c r="B15" s="18" t="n">
        <x:v>6292.3</x:v>
      </x:c>
      <x:c r="C15" s="19" t="n">
        <x:v>0.101</x:v>
      </x:c>
      <x:c r="D15" s="1" t="str">
        <x:v>Reported revenue; quarterly result/comparative</x:v>
      </x:c>
      <x:c r="E15" s="20" t="str">
        <x:v>https://www.pfizerltd.co.in/files/Stock_Exchange_Intimation_-Outcome_of_the_Board_Meeting_28072026_final.pdf</x:v>
      </x:c>
      <x:c r="F15" s="20" t="str">
        <x:v>https://admin.alkemlabs.com/uploads/Q4_and_FY_26_Results_Press_Release_and_Results_Presentation_52dad86930.pdf</x:v>
      </x:c>
      <x:c r="G15" s="1"/>
      <x:c r="H15" s="1"/>
      <x:c r="I15" s="1"/>
      <x:c r="J15" s="1"/>
      <x:c r="K15" s="1"/>
      <x:c r="L15" s="1"/>
    </x:row>
    <x:row r="16" ht="48" customHeight="1">
      <x:c r="A16" s="1" t="str">
        <x:v>Q1FY27 / Jun-26</x:v>
      </x:c>
      <x:c r="B16" s="18" t="n">
        <x:v>6531.7</x:v>
      </x:c>
      <x:c r="C16" s="19" t="n">
        <x:v>0.122</x:v>
      </x:c>
      <x:c r="D16" s="1" t="str">
        <x:v>Reported revenue; quarterly result/comparative</x:v>
      </x:c>
      <x:c r="E16" s="20" t="str">
        <x:v>https://www.pfizerltd.co.in/files/Stock_Exchange_Intimation_-Outcome_of_the_Board_Meeting_28072026_final.pdf</x:v>
      </x:c>
      <x:c r="F16" s="20" t="str">
        <x:v>https://nsearchives.nseindia.com/corporate/ALKEM_14082026135344_Reg30PressReleaseandInvestorPresentation14082026.pdf</x:v>
      </x:c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32" customHeight="1">
      <x:c r="A22" s="10" t="str">
        <x:v>Year</x:v>
      </x:c>
      <x:c r="B22" s="10" t="str">
        <x:v>Total INR mn</x:v>
      </x:c>
      <x:c r="C22" s="10" t="str">
        <x:v>Products INR mn</x:v>
      </x:c>
      <x:c r="D22" s="10" t="str">
        <x:v>Services INR mn</x:v>
      </x:c>
      <x:c r="E22" s="10" t="str">
        <x:v>Scrap INR mn</x:v>
      </x:c>
      <x:c r="F22" s="10" t="str">
        <x:v>Annual source</x:v>
      </x:c>
      <x:c r="G22" s="10" t="str">
        <x:v>Status</x:v>
      </x:c>
      <x:c r="H22" s="1"/>
      <x:c r="I22" s="1"/>
      <x:c r="J22" s="1"/>
      <x:c r="K22" s="1"/>
      <x:c r="L22" s="1"/>
    </x:row>
    <x:row r="23" ht="48" customHeight="1">
      <x:c r="A23" s="1" t="str">
        <x:v>FY24</x:v>
      </x:c>
      <x:c r="B23" s="18" t="n">
        <x:v>21931.7</x:v>
      </x:c>
      <x:c r="C23" s="18" t="n">
        <x:v>20810.4</x:v>
      </x:c>
      <x:c r="D23" s="18" t="n">
        <x:v>1116.5</x:v>
      </x:c>
      <x:c r="E23" s="18" t="n">
        <x:v>4.8</x:v>
      </x:c>
      <x:c r="F23" s="20" t="str">
        <x:v>https://www.pfizerltd.co.in/files/Pfizer-Limited_Annual-Report-2023-24.pdf</x:v>
      </x:c>
      <x:c r="G23" s="20" t="str">
        <x:v>Reported; note 22 revenue from operations</x:v>
      </x:c>
      <x:c r="H23" s="1"/>
      <x:c r="I23" s="1"/>
      <x:c r="J23" s="1"/>
      <x:c r="K23" s="1"/>
      <x:c r="L23" s="1"/>
    </x:row>
    <x:row r="24" ht="48" customHeight="1">
      <x:c r="A24" s="1" t="str">
        <x:v>FY25</x:v>
      </x:c>
      <x:c r="B24" s="18" t="n">
        <x:v>22813.5</x:v>
      </x:c>
      <x:c r="C24" s="18" t="n">
        <x:v>21283.6</x:v>
      </x:c>
      <x:c r="D24" s="18" t="n">
        <x:v>1526.4</x:v>
      </x:c>
      <x:c r="E24" s="18" t="n">
        <x:v>3.5</x:v>
      </x:c>
      <x:c r="F24" s="20" t="str">
        <x:v>https://www.pfizerltd.co.in/files/Pfizer-Limited-Annual-Report-FY-2024-25.pdf</x:v>
      </x:c>
      <x:c r="G24" s="20" t="str">
        <x:v>Reported annual revenue note</x:v>
      </x:c>
      <x:c r="H24" s="1"/>
      <x:c r="I24" s="1"/>
      <x:c r="J24" s="1"/>
      <x:c r="K24" s="1"/>
      <x:c r="L24" s="1"/>
    </x:row>
    <x:row r="25" ht="48" customHeight="1">
      <x:c r="A25" s="1" t="str">
        <x:v>FY26</x:v>
      </x:c>
      <x:c r="B25" s="18" t="n">
        <x:v>25196.5</x:v>
      </x:c>
      <x:c r="C25" s="18" t="n">
        <x:v>23771.1</x:v>
      </x:c>
      <x:c r="D25" s="18" t="n">
        <x:v>1421.6</x:v>
      </x:c>
      <x:c r="E25" s="18" t="n">
        <x:v>3.8</x:v>
      </x:c>
      <x:c r="F25" s="20" t="str">
        <x:v>https://nsearchives.nseindia.com/annual_reports/AR_29599_PFIZER_2025_2026_A_33771767_06072026215157.pdf</x:v>
      </x:c>
      <x:c r="G25" s="20" t="str">
        <x:v>Reported annual revenue note</x:v>
      </x:c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 t="str">
        <x:v>Services: intra-group services; counterparty detail should not be inferred from the quarterly allocation.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 t="str">
        <x:v>Related-party reference</x:v>
      </x:c>
      <x:c r="B29" s="1" t="str">
        <x:v>https://www.pfizerltd.co.in/files/Pfizer-Limited-Statement-of-Related-Party-Transactions-October-March-2025.pdf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FY24 Q3 total derived: 21,931.7 less 11,065.7 less 5,466.3 = 5,399.7 INR mn.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Source statements use INR crore. Converted to INR million by multiplying by ten.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 t="str">
        <x:v>Quarterly allocations are deliberately simple; they do not capture invoice timing or annual true-ups.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 t="str">
        <x:v>Annual reported split is preferred for a published product/services thesis exhibit.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</x:sheetData>
  <x:pageMargins left="0.7" right="0.7" top="0.75" bottom="0.75" header="0.3" footer="0.3"/>
</x:worksheet>
</file>