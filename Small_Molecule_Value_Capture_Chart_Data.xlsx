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4252c3743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_Data" sheetId="1" r:id="Rb819484ef12e4f58"/>
    <x:sheet xmlns:r="http://schemas.openxmlformats.org/officeDocument/2006/relationships" name="Source_Detail" sheetId="2" r:id="R10695d2e670d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;[Red](#,##0.0);-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</x:fills>
  <x:borders count="26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left"/>
    </x:xf>
    <x:xf numFmtId="200" fontId="4" fillId="0" borderId="0" xfId="0" applyNumberFormat="1" applyFont="1" applyFill="1" applyBorder="1" applyAlignment="1">
      <x:alignment horizontal="right" wrapText="1"/>
    </x:xf>
    <x:xf numFmtId="0" fontId="5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horizontal="right" wrapText="1"/>
    </x:xf>
    <x:xf numFmtId="0" fontId="5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left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horizontal="left"/>
    </x:xf>
    <x:xf numFmtId="0" fontId="5" fillId="0" borderId="8" xfId="0" applyNumberFormat="1" applyFont="1" applyFill="1" applyBorder="1" applyAlignment="1">
      <x:alignment horizontal="left"/>
    </x:xf>
    <x:xf numFmtId="200" fontId="4" fillId="0" borderId="8" xfId="0" applyNumberFormat="1" applyFont="1" applyFill="1" applyBorder="1" applyAlignment="1">
      <x:alignment horizontal="right"/>
    </x:xf>
    <x:xf numFmtId="200" fontId="4" fillId="0" borderId="8" xfId="0" applyNumberFormat="1" applyFont="1" applyFill="1" applyBorder="1" applyAlignment="1">
      <x:alignment horizontal="right"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horizontal="left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horizontal="left"/>
    </x:xf>
    <x:xf numFmtId="0" fontId="5" fillId="0" borderId="16" xfId="0" applyNumberFormat="1" applyFont="1" applyFill="1" applyBorder="1" applyAlignment="1">
      <x:alignment horizontal="left"/>
    </x:xf>
    <x:xf numFmtId="200" fontId="4" fillId="0" borderId="16" xfId="0" applyNumberFormat="1" applyFont="1" applyFill="1" applyBorder="1" applyAlignment="1">
      <x:alignment horizontal="right"/>
    </x:xf>
    <x:xf numFmtId="200" fontId="4" fillId="0" borderId="16" xfId="0" applyNumberFormat="1" applyFont="1" applyFill="1" applyBorder="1" applyAlignment="1">
      <x:alignment horizontal="right"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horizontal="right"/>
    </x:xf>
    <x:xf numFmtId="200" fontId="4" fillId="5" borderId="8" xfId="0" applyNumberFormat="1" applyFont="1" applyFill="1" applyBorder="1" applyAlignment="1">
      <x:alignment horizontal="right"/>
    </x:xf>
    <x:xf numFmtId="0" fontId="3" fillId="5" borderId="1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right"/>
    </x:xf>
    <x:xf numFmtId="200" fontId="4" fillId="5" borderId="16" xfId="0" applyNumberFormat="1" applyFont="1" applyFill="1" applyBorder="1" applyAlignment="1">
      <x:alignment horizontal="right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0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horizontal="center" wrapText="1"/>
    </x:xf>
    <x:xf numFmtId="0" fontId="3" fillId="4" borderId="19" xfId="0" applyNumberFormat="1" applyFont="1" applyFill="1" applyBorder="1" applyAlignment="1">
      <x:alignment horizontal="center" wrapText="1"/>
    </x:xf>
    <x:xf numFmtId="0" fontId="3" fillId="4" borderId="20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/>
    <x:xf numFmtId="0" fontId="0" fillId="0" borderId="0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0" fontId="4" fillId="0" borderId="24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2bfd1830e4cd0" /><Relationship Type="http://schemas.openxmlformats.org/officeDocument/2006/relationships/theme" Target="/xl/theme/theme1.xml" Id="R274c0411a1bd47c9" /><Relationship Type="http://schemas.openxmlformats.org/officeDocument/2006/relationships/sharedStrings" Target="/xl/sharedStrings.xml" Id="Red189e668df24005" /><Relationship Type="http://schemas.openxmlformats.org/officeDocument/2006/relationships/worksheet" Target="/xl/worksheets/sheet1.xml" Id="Rb819484ef12e4f58" /><Relationship Type="http://schemas.openxmlformats.org/officeDocument/2006/relationships/worksheet" Target="/xl/worksheets/sheet2.xml" Id="R10695d2e670d46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1" hidden="0" customWidth="1"/>
    <x:col min="4" max="4" width="21" hidden="0" customWidth="1"/>
    <x:col min="5" max="5" width="34" hidden="0" customWidth="1"/>
    <x:col min="6" max="6" width="20" hidden="0" customWidth="1"/>
    <x:col min="7" max="7" width="10" hidden="0" customWidth="1"/>
    <x:col min="8" max="8" width="62" hidden="0" customWidth="1"/>
  </x:cols>
  <x:sheetData>
    <x:row r="1" ht="24" customHeight="1">
      <x:c r="A1" s="5" t="str">
        <x:v>Small-molecule value capture: end-drug TAM vs Indian beneficiary economics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2" t="str">
        <x:v>Recommended chart: bars = Underlying drug TAM / peak sales ($mn, left axis); markers = Indian company value capture ($mn, right axis).</x:v>
      </x:c>
      <x:c r="B2" s="12"/>
      <x:c r="C2" s="12"/>
      <x:c r="D2" s="12"/>
      <x:c r="E2" s="12"/>
      <x:c r="F2" s="12"/>
      <x:c r="G2" s="12"/>
      <x:c r="H2" s="12"/>
    </x:row>
    <x:row r="4" ht="34" customHeight="1">
      <x:c r="A4" s="40" t="str">
        <x:v>Indian beneficiary</x:v>
      </x:c>
      <x:c r="B4" s="41" t="str">
        <x:v>Linked molecule / brand</x:v>
      </x:c>
      <x:c r="C4" s="68" t="str">
        <x:v>Underlying drug TAM / peak sales ($mn)</x:v>
      </x:c>
      <x:c r="D4" s="68" t="str">
        <x:v>Indian company value capture ($mn)</x:v>
      </x:c>
      <x:c r="E4" s="41" t="str">
        <x:v>Value-capture basis</x:v>
      </x:c>
      <x:c r="F4" s="41" t="str">
        <x:v>Near-term cumulative value ($mn)</x:v>
      </x:c>
      <x:c r="G4" s="41" t="str">
        <x:v>Plot?</x:v>
      </x:c>
      <x:c r="H4" s="42" t="str">
        <x:v>Source / key note</x:v>
      </x:c>
    </x:row>
    <x:row r="5">
      <x:c r="A5" s="43" t="str">
        <x:v>Zydus Lifesciences</x:v>
      </x:c>
      <x:c r="B5" s="34" t="str">
        <x:v>Enzalutamide / Xtandi</x:v>
      </x:c>
      <x:c r="C5" s="63" t="n">
        <x:v>3650</x:v>
      </x:c>
      <x:c r="D5" s="63" t="n">
        <x:v>60</x:v>
      </x:c>
      <x:c r="E5" s="36" t="str">
        <x:v>Bernstein estimate: Year-2 generic enzalutamide sales</x:v>
      </x:c>
      <x:c r="F5" s="36" t="n">
        <x:v>100</x:v>
      </x:c>
      <x:c r="G5" s="37" t="str">
        <x:v>YES</x:v>
      </x:c>
      <x:c r="H5" s="44" t="str">
        <x:v>Xtandi CY25 US sales = $3.65bn in the supplied Bernstein/IQVIA note; Zydus sales estimate = ~$40m in first full year + ~$60m in year two.</x:v>
      </x:c>
    </x:row>
    <x:row r="6">
      <x:c r="A6" s="43" t="str">
        <x:v>Acutaas Chemicals</x:v>
      </x:c>
      <x:c r="B6" s="34" t="str">
        <x:v>Darolutamide / Nubeqa</x:v>
      </x:c>
      <x:c r="C6" s="63" t="n">
        <x:v>3300</x:v>
      </x:c>
      <x:c r="D6" s="63" t="n">
        <x:v>66.5</x:v>
      </x:c>
      <x:c r="E6" s="36" t="str">
        <x:v>Midpoint of estimated peak annual Acutaas opportunity: $55m-$78m</x:v>
      </x:c>
      <x:c r="F6" s="36"/>
      <x:c r="G6" s="37" t="str">
        <x:v>YES</x:v>
      </x:c>
      <x:c r="H6" s="44" t="str">
        <x:v>JM Financial: Nubeqa peak sales $3.3bn+; total intermediate market $110m-$130m and Acutaas/Ami share ~50%-60%, implying $55m-$78m peak annual opportunity; midpoint = $66.5m.</x:v>
      </x:c>
    </x:row>
    <x:row r="7">
      <x:c r="A7" s="45" t="str">
        <x:v>Neuland Laboratories</x:v>
      </x:c>
      <x:c r="B7" s="46" t="str">
        <x:v>Xanomeline / Cobenfy</x:v>
      </x:c>
      <x:c r="C7" s="64" t="n">
        <x:v>10000</x:v>
      </x:c>
      <x:c r="D7" s="64" t="n">
        <x:v>50</x:v>
      </x:c>
      <x:c r="E7" s="48" t="str">
        <x:v>JM Financial: short-to-medium-term Neuland revenue potential</x:v>
      </x:c>
      <x:c r="F7" s="48"/>
      <x:c r="G7" s="49" t="str">
        <x:v>YES</x:v>
      </x:c>
      <x:c r="H7" s="50" t="str">
        <x:v>JM Financial: end product market &gt;$10bn with indication expansion; Xanomeline API market reaches ~$160m p.a. at peak; Neuland could generate ~$50m in the short-to-medium term.</x:v>
      </x:c>
    </x:row>
    <x:row r="9" ht="46" customHeight="1">
      <x:c r="A9" s="72" t="str">
        <x:v>Important: Full patent-life cumulative value is not publicly disclosed for all three. Do not fabricate it. For the RHS exhibit, use C as the left-axis bar series and D as the right-axis marker/line series. Column F is shown only where the supplied Bernstein note gives an explicit cumulative near-term figure.</x:v>
      </x:c>
      <x:c r="B9" s="72"/>
      <x:c r="C9" s="72"/>
      <x:c r="D9" s="72"/>
      <x:c r="E9" s="72"/>
      <x:c r="F9" s="72"/>
      <x:c r="G9" s="72"/>
      <x:c r="H9" s="72"/>
    </x:row>
  </x:sheetData>
  <x:mergeCells>
    <x:mergeCell ref="A1:H1"/>
    <x:mergeCell ref="A2:H2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5" hidden="0" customWidth="1"/>
    <x:col min="4" max="4" width="15" hidden="0" customWidth="1"/>
    <x:col min="5" max="5" width="15" hidden="0" customWidth="1"/>
    <x:col min="6" max="6" width="54" hidden="0" customWidth="1"/>
    <x:col min="7" max="7" width="72" hidden="0" customWidth="1"/>
  </x:cols>
  <x:sheetData>
    <x:row r="1">
      <x:c r="A1" s="3" t="str">
        <x:v>Source detail and derivations</x:v>
      </x:c>
      <x:c r="B1" s="3"/>
      <x:c r="C1" s="3"/>
      <x:c r="D1" s="3"/>
      <x:c r="E1" s="3"/>
      <x:c r="F1" s="3"/>
      <x:c r="G1" s="3"/>
    </x:row>
    <x:row r="3" ht="32" customHeight="1">
      <x:c r="A3" s="82" t="str">
        <x:v>Company</x:v>
      </x:c>
      <x:c r="B3" s="83" t="str">
        <x:v>Metric</x:v>
      </x:c>
      <x:c r="C3" s="83" t="str">
        <x:v>Low</x:v>
      </x:c>
      <x:c r="D3" s="83" t="str">
        <x:v>High</x:v>
      </x:c>
      <x:c r="E3" s="83" t="str">
        <x:v>Selected</x:v>
      </x:c>
      <x:c r="F3" s="83" t="str">
        <x:v>Derivation / basis</x:v>
      </x:c>
      <x:c r="G3" s="84" t="str">
        <x:v>Source URL / reference</x:v>
      </x:c>
    </x:row>
    <x:row r="4">
      <x:c r="A4" s="85" t="str">
        <x:v>Zydus Lifesciences</x:v>
      </x:c>
      <x:c r="B4" s="86" t="str">
        <x:v>Xtandi CY25 US sales ($mn)</x:v>
      </x:c>
      <x:c r="C4" s="30"/>
      <x:c r="D4" s="30"/>
      <x:c r="E4" s="30" t="n">
        <x:v>3650</x:v>
      </x:c>
      <x:c r="F4" s="80" t="str">
        <x:v>Directly from the supplied Bernstein/IQVIA note screenshot.</x:v>
      </x:c>
      <x:c r="G4" s="87" t="str">
        <x:v>Internal Bernstein note supplied by user</x:v>
      </x:c>
    </x:row>
    <x:row r="5">
      <x:c r="A5" s="85" t="str">
        <x:v>Zydus Lifesciences</x:v>
      </x:c>
      <x:c r="B5" s="86" t="str">
        <x:v>Generic enzalutamide sales - first full year ($mn)</x:v>
      </x:c>
      <x:c r="C5" s="30"/>
      <x:c r="D5" s="30"/>
      <x:c r="E5" s="30" t="n">
        <x:v>40</x:v>
      </x:c>
      <x:c r="F5" s="80" t="str">
        <x:v>Bernstein estimate in supplied note.</x:v>
      </x:c>
      <x:c r="G5" s="87" t="str">
        <x:v>Internal Bernstein note supplied by user</x:v>
      </x:c>
    </x:row>
    <x:row r="6">
      <x:c r="A6" s="85" t="str">
        <x:v>Zydus Lifesciences</x:v>
      </x:c>
      <x:c r="B6" s="86" t="str">
        <x:v>Generic enzalutamide sales - year two ($mn)</x:v>
      </x:c>
      <x:c r="C6" s="30"/>
      <x:c r="D6" s="30"/>
      <x:c r="E6" s="30" t="n">
        <x:v>60</x:v>
      </x:c>
      <x:c r="F6" s="80" t="str">
        <x:v>Bernstein estimate in supplied note.</x:v>
      </x:c>
      <x:c r="G6" s="87" t="str">
        <x:v>Internal Bernstein note supplied by user</x:v>
      </x:c>
    </x:row>
    <x:row r="7">
      <x:c r="A7" s="85" t="str">
        <x:v>Zydus Lifesciences</x:v>
      </x:c>
      <x:c r="B7" s="86" t="str">
        <x:v>Near-term cumulative sales ($mn)</x:v>
      </x:c>
      <x:c r="C7" s="30"/>
      <x:c r="D7" s="30"/>
      <x:c r="E7" s="77" t="n">
        <x:f>E5+E6</x:f>
        <x:v>100</x:v>
      </x:c>
      <x:c r="F7" s="80" t="str">
        <x:v>Formula = first full year + year two.</x:v>
      </x:c>
      <x:c r="G7" s="87" t="str">
        <x:v>Derived from Bernstein estimates above</x:v>
      </x:c>
    </x:row>
    <x:row r="8">
      <x:c r="A8" s="85" t="str">
        <x:v>Acutaas Chemicals</x:v>
      </x:c>
      <x:c r="B8" s="86" t="str">
        <x:v>Nubeqa peak end-drug sales ($mn)</x:v>
      </x:c>
      <x:c r="C8" s="30"/>
      <x:c r="D8" s="30"/>
      <x:c r="E8" s="30" t="n">
        <x:v>3300</x:v>
      </x:c>
      <x:c r="F8" s="80" t="str">
        <x:v>Bayer/JM Financial peak sales estimate of $3.3bn+.</x:v>
      </x:c>
      <x:c r="G8" s="87" t="str">
        <x:v>https://www.jmflresearch.com/JMnew/JMCRM/analystreports/pdf/AMI_IC_19Sep24.pdf</x:v>
      </x:c>
    </x:row>
    <x:row r="9">
      <x:c r="A9" s="85" t="str">
        <x:v>Acutaas Chemicals</x:v>
      </x:c>
      <x:c r="B9" s="86" t="str">
        <x:v>Total Nubeqa intermediate market at peak ($mn)</x:v>
      </x:c>
      <x:c r="C9" s="30" t="n">
        <x:v>110</x:v>
      </x:c>
      <x:c r="D9" s="30" t="n">
        <x:v>130</x:v>
      </x:c>
      <x:c r="E9" s="30" t="n">
        <x:v>120</x:v>
      </x:c>
      <x:c r="F9" s="80" t="str">
        <x:v>JM Financial estimate.</x:v>
      </x:c>
      <x:c r="G9" s="87" t="str">
        <x:v>https://www.jmflresearch.com/JMnew/JMCRM/analystreports/pdf/AMI_IC_19Sep24.pdf</x:v>
      </x:c>
    </x:row>
    <x:row r="10">
      <x:c r="A10" s="85" t="str">
        <x:v>Acutaas Chemicals</x:v>
      </x:c>
      <x:c r="B10" s="86" t="str">
        <x:v>Acutaas / Ami wallet share</x:v>
      </x:c>
      <x:c r="C10" s="30" t="n">
        <x:v>50</x:v>
      </x:c>
      <x:c r="D10" s="30" t="n">
        <x:v>60</x:v>
      </x:c>
      <x:c r="E10" s="30" t="n">
        <x:v>55</x:v>
      </x:c>
      <x:c r="F10" s="80" t="str">
        <x:v>JM Financial estimate; values shown as percentage points.</x:v>
      </x:c>
      <x:c r="G10" s="87" t="str">
        <x:v>https://www.jmflresearch.com/JMnew/JMCRM/analystreports/pdf/AMI_IC_19Sep24.pdf</x:v>
      </x:c>
    </x:row>
    <x:row r="11">
      <x:c r="A11" s="85" t="str">
        <x:v>Acutaas Chemicals</x:v>
      </x:c>
      <x:c r="B11" s="86" t="str">
        <x:v>Peak annual company opportunity ($mn)</x:v>
      </x:c>
      <x:c r="C11" s="30" t="n">
        <x:v>55</x:v>
      </x:c>
      <x:c r="D11" s="30" t="n">
        <x:v>78</x:v>
      </x:c>
      <x:c r="E11" s="30" t="n">
        <x:v>66.5</x:v>
      </x:c>
      <x:c r="F11" s="80" t="str">
        <x:v>Low = $110m x 50%; High = $130m x 60%; selected = midpoint.</x:v>
      </x:c>
      <x:c r="G11" s="87" t="str">
        <x:v>Derived from JM Financial estimates</x:v>
      </x:c>
    </x:row>
    <x:row r="12">
      <x:c r="A12" s="85" t="str">
        <x:v>Neuland Laboratories</x:v>
      </x:c>
      <x:c r="B12" s="86" t="str">
        <x:v>Cobenfy end-product long-term market ($mn)</x:v>
      </x:c>
      <x:c r="C12" s="30"/>
      <x:c r="D12" s="30"/>
      <x:c r="E12" s="30" t="n">
        <x:v>10000</x:v>
      </x:c>
      <x:c r="F12" s="80" t="str">
        <x:v>JM Financial states end product could exceed $10bn with indication expansion; $10bn used as conservative floor for chart.</x:v>
      </x:c>
      <x:c r="G12" s="87" t="str">
        <x:v>https://jmflresearch.com/JMnew/JMCRM/AnalystReports/PDF/NLL_IC_31Oct25.pdf</x:v>
      </x:c>
    </x:row>
    <x:row r="13">
      <x:c r="A13" s="85" t="str">
        <x:v>Neuland Laboratories</x:v>
      </x:c>
      <x:c r="B13" s="86" t="str">
        <x:v>Xanomeline API market at peak ($mn p.a.)</x:v>
      </x:c>
      <x:c r="C13" s="30"/>
      <x:c r="D13" s="30"/>
      <x:c r="E13" s="30" t="n">
        <x:v>160</x:v>
      </x:c>
      <x:c r="F13" s="80" t="str">
        <x:v>JM Financial 2031E peak API market.</x:v>
      </x:c>
      <x:c r="G13" s="87" t="str">
        <x:v>https://jmflresearch.com/JMnew/JMCRM/AnalystReports/PDF/NLL_IC_31Oct25.pdf</x:v>
      </x:c>
    </x:row>
    <x:row r="14">
      <x:c r="A14" s="88" t="str">
        <x:v>Neuland Laboratories</x:v>
      </x:c>
      <x:c r="B14" s="89" t="str">
        <x:v>Neuland short-to-medium-term revenue potential ($mn)</x:v>
      </x:c>
      <x:c r="C14" s="90"/>
      <x:c r="D14" s="90"/>
      <x:c r="E14" s="90" t="n">
        <x:v>50</x:v>
      </x:c>
      <x:c r="F14" s="91" t="str">
        <x:v>JM Financial estimate.</x:v>
      </x:c>
      <x:c r="G14" s="92" t="str">
        <x:v>https://jmflresearch.com/JMnew/JMCRM/AnalystReports/PDF/NLL_IC_31Oct25.pdf</x:v>
      </x:c>
    </x:row>
  </x:sheetData>
  <x:mergeCells>
    <x:mergeCell ref="A1:G1"/>
  </x:mergeCells>
  <x:pageMargins left="0.7" right="0.7" top="0.75" bottom="0.75" header="0.3" footer="0.3"/>
</x:worksheet>
</file>