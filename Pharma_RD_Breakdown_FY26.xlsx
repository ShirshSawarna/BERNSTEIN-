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604da2c11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89412ee34e1449b4"/>
    <x:sheet xmlns:r="http://schemas.openxmlformats.org/officeDocument/2006/relationships" name="Inputs and logic" sheetId="2" r:id="Re47c82dabc2a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b/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B46"/>
      </x:patternFill>
    </x:fill>
    <x:fill>
      <x:patternFill patternType="solid">
        <x:fgColor rgb="FFED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840af9b234ea3" /><Relationship Type="http://schemas.openxmlformats.org/officeDocument/2006/relationships/theme" Target="/xl/theme/theme1.xml" Id="R266eed5495244ea4" /><Relationship Type="http://schemas.openxmlformats.org/officeDocument/2006/relationships/sharedStrings" Target="/xl/sharedStrings.xml" Id="Rc0789992912f4c0f" /><Relationship Type="http://schemas.openxmlformats.org/officeDocument/2006/relationships/worksheet" Target="/xl/worksheets/sheet1.xml" Id="R89412ee34e1449b4" /><Relationship Type="http://schemas.openxmlformats.org/officeDocument/2006/relationships/worksheet" Target="/xl/worksheets/sheet2.xml" Id="Re47c82dabc2a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B46"/>
  </x:sheetPr>
  <x:sheetViews>
    <x:sheetView showGridLines="0" workbookViewId="0"/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5" t="str">
        <x:v>FY26 R&amp;D allocation | analyst estimates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 t="str">
        <x:v>All five-way splits are estimates. Reported totals anchor the model; allocations are editable.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A5" s="6" t="str">
        <x:v>Share of R&amp;D budget (%) | use for a 100% stacked chart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4" customHeight="1">
      <x:c r="A7" s="10" t="str">
        <x:v>Company</x:v>
      </x:c>
      <x:c r="B7" s="10" t="str">
        <x:v>ANDA velocity</x:v>
      </x:c>
      <x:c r="C7" s="10" t="str">
        <x:v>Pure innovation</x:v>
      </x:c>
      <x:c r="D7" s="10" t="str">
        <x:v>Licensing &amp; research</x:v>
      </x:c>
      <x:c r="E7" s="10" t="str">
        <x:v>Clinical &amp; medical</x:v>
      </x:c>
      <x:c r="F7" s="10" t="str">
        <x:v>Rainmakers</x:v>
      </x:c>
      <x:c r="G7" s="10" t="str">
        <x:v>Total</x:v>
      </x:c>
      <x:c r="H7" s="3"/>
      <x:c r="I7" s="3"/>
      <x:c r="J7" s="3"/>
      <x:c r="K7" s="3"/>
    </x:row>
    <x:row r="8" ht="23" customHeight="1">
      <x:c r="A8" s="11" t="str">
        <x:f>'Inputs and logic'!A6</x:f>
        <x:v>Zydus</x:v>
      </x:c>
      <x:c r="B8" s="12" t="n">
        <x:f>'Inputs and logic'!D6</x:f>
        <x:v>0.4</x:v>
      </x:c>
      <x:c r="C8" s="12" t="n">
        <x:f>'Inputs and logic'!E6</x:f>
        <x:v>0.15</x:v>
      </x:c>
      <x:c r="D8" s="12" t="n">
        <x:f>'Inputs and logic'!F6</x:f>
        <x:v>0.05</x:v>
      </x:c>
      <x:c r="E8" s="12" t="n">
        <x:f>'Inputs and logic'!G6</x:f>
        <x:v>0.2</x:v>
      </x:c>
      <x:c r="F8" s="12" t="n">
        <x:f>'Inputs and logic'!H6</x:f>
        <x:v>0.2</x:v>
      </x:c>
      <x:c r="G8" s="12" t="n">
        <x:f>SUM(B8:F8)</x:f>
        <x:v>1</x:v>
      </x:c>
      <x:c r="H8" s="3"/>
      <x:c r="I8" s="3"/>
      <x:c r="J8" s="3"/>
      <x:c r="K8" s="3"/>
    </x:row>
    <x:row r="9" ht="23" customHeight="1">
      <x:c r="A9" s="3" t="str">
        <x:f>'Inputs and logic'!A7</x:f>
        <x:v>Lupin</x:v>
      </x:c>
      <x:c r="B9" s="13" t="n">
        <x:f>'Inputs and logic'!D7</x:f>
        <x:v>0.55</x:v>
      </x:c>
      <x:c r="C9" s="13" t="n">
        <x:f>'Inputs and logic'!E7</x:f>
        <x:v>0.05</x:v>
      </x:c>
      <x:c r="D9" s="13" t="n">
        <x:f>'Inputs and logic'!F7</x:f>
        <x:v>0.05</x:v>
      </x:c>
      <x:c r="E9" s="13" t="n">
        <x:f>'Inputs and logic'!G7</x:f>
        <x:v>0.15</x:v>
      </x:c>
      <x:c r="F9" s="13" t="n">
        <x:f>'Inputs and logic'!H7</x:f>
        <x:v>0.2</x:v>
      </x:c>
      <x:c r="G9" s="13" t="n">
        <x:f>SUM(B9:F9)</x:f>
        <x:v>1.0000000000000002</x:v>
      </x:c>
      <x:c r="H9" s="3"/>
      <x:c r="I9" s="3"/>
      <x:c r="J9" s="3"/>
      <x:c r="K9" s="3"/>
    </x:row>
    <x:row r="10" ht="23" customHeight="1">
      <x:c r="A10" s="11" t="str">
        <x:f>'Inputs and logic'!A8</x:f>
        <x:v>Sun Pharma</x:v>
      </x:c>
      <x:c r="B10" s="12" t="n">
        <x:f>'Inputs and logic'!D8</x:f>
        <x:v>0.613</x:v>
      </x:c>
      <x:c r="C10" s="12" t="n">
        <x:f>'Inputs and logic'!E8</x:f>
        <x:v>0.08</x:v>
      </x:c>
      <x:c r="D10" s="12" t="n">
        <x:f>'Inputs and logic'!F8</x:f>
        <x:v>0.04</x:v>
      </x:c>
      <x:c r="E10" s="12" t="n">
        <x:f>'Inputs and logic'!G8</x:f>
        <x:v>0.167</x:v>
      </x:c>
      <x:c r="F10" s="12" t="n">
        <x:f>'Inputs and logic'!H8</x:f>
        <x:v>0.1</x:v>
      </x:c>
      <x:c r="G10" s="12" t="n">
        <x:f>SUM(B10:F10)</x:f>
        <x:v>1</x:v>
      </x:c>
      <x:c r="H10" s="3"/>
      <x:c r="I10" s="3"/>
      <x:c r="J10" s="3"/>
      <x:c r="K10" s="3"/>
    </x:row>
    <x:row r="11" ht="23" customHeight="1">
      <x:c r="A11" s="3" t="str">
        <x:f>'Inputs and logic'!A9</x:f>
        <x:v>Aurobindo</x:v>
      </x:c>
      <x:c r="B11" s="13" t="n">
        <x:f>'Inputs and logic'!D9</x:f>
        <x:v>0.65</x:v>
      </x:c>
      <x:c r="C11" s="13" t="n">
        <x:f>'Inputs and logic'!E9</x:f>
        <x:v>0.02</x:v>
      </x:c>
      <x:c r="D11" s="13" t="n">
        <x:f>'Inputs and logic'!F9</x:f>
        <x:v>0.03</x:v>
      </x:c>
      <x:c r="E11" s="13" t="n">
        <x:f>'Inputs and logic'!G9</x:f>
        <x:v>0.1</x:v>
      </x:c>
      <x:c r="F11" s="13" t="n">
        <x:f>'Inputs and logic'!H9</x:f>
        <x:v>0.2</x:v>
      </x:c>
      <x:c r="G11" s="13" t="n">
        <x:f>SUM(B11:F11)</x:f>
        <x:v>1</x:v>
      </x:c>
      <x:c r="H11" s="3"/>
      <x:c r="I11" s="3"/>
      <x:c r="J11" s="3"/>
      <x:c r="K11" s="3"/>
    </x:row>
    <x:row r="12" ht="23" customHeight="1">
      <x:c r="A12" s="11" t="str">
        <x:f>'Inputs and logic'!A10</x:f>
        <x:v>Mankind</x:v>
      </x:c>
      <x:c r="B12" s="12" t="n">
        <x:f>'Inputs and logic'!D10</x:f>
        <x:v>0.55</x:v>
      </x:c>
      <x:c r="C12" s="12" t="n">
        <x:f>'Inputs and logic'!E10</x:f>
        <x:v>0.1</x:v>
      </x:c>
      <x:c r="D12" s="12" t="n">
        <x:f>'Inputs and logic'!F10</x:f>
        <x:v>0.05</x:v>
      </x:c>
      <x:c r="E12" s="12" t="n">
        <x:f>'Inputs and logic'!G10</x:f>
        <x:v>0.15</x:v>
      </x:c>
      <x:c r="F12" s="12" t="n">
        <x:f>'Inputs and logic'!H10</x:f>
        <x:v>0.15</x:v>
      </x:c>
      <x:c r="G12" s="12" t="n">
        <x:f>SUM(B12:F12)</x:f>
        <x:v>1</x:v>
      </x:c>
      <x:c r="H12" s="3"/>
      <x:c r="I12" s="3"/>
      <x:c r="J12" s="3"/>
      <x:c r="K12" s="3"/>
    </x:row>
    <x:row r="13" ht="23" customHeight="1">
      <x:c r="A13" s="3" t="str">
        <x:f>'Inputs and logic'!A11</x:f>
        <x:v>Biocon</x:v>
      </x:c>
      <x:c r="B13" s="13" t="n">
        <x:f>'Inputs and logic'!D11</x:f>
        <x:v>0.15</x:v>
      </x:c>
      <x:c r="C13" s="13" t="n">
        <x:f>'Inputs and logic'!E11</x:f>
        <x:v>0.02</x:v>
      </x:c>
      <x:c r="D13" s="13" t="n">
        <x:f>'Inputs and logic'!F11</x:f>
        <x:v>0.03</x:v>
      </x:c>
      <x:c r="E13" s="13" t="n">
        <x:f>'Inputs and logic'!G11</x:f>
        <x:v>0.3</x:v>
      </x:c>
      <x:c r="F13" s="13" t="n">
        <x:f>'Inputs and logic'!H11</x:f>
        <x:v>0.5</x:v>
      </x:c>
      <x:c r="G13" s="13" t="n">
        <x:f>SUM(B13:F13)</x:f>
        <x:v>1</x:v>
      </x:c>
      <x:c r="H13" s="3"/>
      <x:c r="I13" s="3"/>
      <x:c r="J13" s="3"/>
      <x:c r="K13" s="3"/>
    </x:row>
    <x:row r="14" ht="23" customHeight="1">
      <x:c r="A14" s="11" t="str">
        <x:f>'Inputs and logic'!A12</x:f>
        <x:v>Dr. Reddy's</x:v>
      </x:c>
      <x:c r="B14" s="12" t="n">
        <x:f>'Inputs and logic'!D12</x:f>
        <x:v>0.6</x:v>
      </x:c>
      <x:c r="C14" s="12" t="n">
        <x:f>'Inputs and logic'!E12</x:f>
        <x:v>0.05</x:v>
      </x:c>
      <x:c r="D14" s="12" t="n">
        <x:f>'Inputs and logic'!F12</x:f>
        <x:v>0.05</x:v>
      </x:c>
      <x:c r="E14" s="12" t="n">
        <x:f>'Inputs and logic'!G12</x:f>
        <x:v>0.15</x:v>
      </x:c>
      <x:c r="F14" s="12" t="n">
        <x:f>'Inputs and logic'!H12</x:f>
        <x:v>0.15</x:v>
      </x:c>
      <x:c r="G14" s="12" t="n">
        <x:f>SUM(B14:F14)</x:f>
        <x:v>1</x:v>
      </x:c>
      <x:c r="H14" s="3"/>
      <x:c r="I14" s="3"/>
      <x:c r="J14" s="3"/>
      <x:c r="K14" s="3"/>
    </x:row>
    <x:row r="15" ht="23" customHeight="1">
      <x:c r="A15" s="3" t="str">
        <x:f>'Inputs and logic'!A13</x:f>
        <x:v>Wockhardt</x:v>
      </x:c>
      <x:c r="B15" s="13" t="n">
        <x:f>'Inputs and logic'!D13</x:f>
        <x:v>0.1</x:v>
      </x:c>
      <x:c r="C15" s="13" t="n">
        <x:f>'Inputs and logic'!E13</x:f>
        <x:v>0.3</x:v>
      </x:c>
      <x:c r="D15" s="13" t="n">
        <x:f>'Inputs and logic'!F13</x:f>
        <x:v>0.02</x:v>
      </x:c>
      <x:c r="E15" s="13" t="n">
        <x:f>'Inputs and logic'!G13</x:f>
        <x:v>0.38</x:v>
      </x:c>
      <x:c r="F15" s="13" t="n">
        <x:f>'Inputs and logic'!H13</x:f>
        <x:v>0.2</x:v>
      </x:c>
      <x:c r="G15" s="13" t="n">
        <x:f>SUM(B15:F15)</x:f>
        <x:v>1</x:v>
      </x:c>
      <x:c r="H15" s="3"/>
      <x:c r="I15" s="3"/>
      <x:c r="J15" s="3"/>
      <x:c r="K15" s="3"/>
    </x:row>
    <x:row r="16" ht="23" customHeight="1">
      <x:c r="A16" s="11" t="str">
        <x:f>'Inputs and logic'!A14</x:f>
        <x:v>Ajanta Pharma</x:v>
      </x:c>
      <x:c r="B16" s="12" t="n">
        <x:f>'Inputs and logic'!D14</x:f>
        <x:v>0.85</x:v>
      </x:c>
      <x:c r="C16" s="12" t="n">
        <x:f>'Inputs and logic'!E14</x:f>
        <x:v>0</x:v>
      </x:c>
      <x:c r="D16" s="12" t="n">
        <x:f>'Inputs and logic'!F14</x:f>
        <x:v>0</x:v>
      </x:c>
      <x:c r="E16" s="12" t="n">
        <x:f>'Inputs and logic'!G14</x:f>
        <x:v>0.1</x:v>
      </x:c>
      <x:c r="F16" s="12" t="n">
        <x:f>'Inputs and logic'!H14</x:f>
        <x:v>0.05</x:v>
      </x:c>
      <x:c r="G16" s="12" t="n">
        <x:f>SUM(B16:F16)</x:f>
        <x:v>1</x:v>
      </x:c>
      <x:c r="H16" s="3"/>
      <x:c r="I16" s="3"/>
      <x:c r="J16" s="3"/>
      <x:c r="K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>
      <x:c r="A19" s="6" t="str">
        <x:v>R&amp;D allocation / sales (%) | use for a stacked intensity chart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34" customHeight="1">
      <x:c r="A21" s="10" t="str">
        <x:v>Company</x:v>
      </x:c>
      <x:c r="B21" s="10" t="str">
        <x:v>ANDA velocity</x:v>
      </x:c>
      <x:c r="C21" s="10" t="str">
        <x:v>Pure innovation</x:v>
      </x:c>
      <x:c r="D21" s="10" t="str">
        <x:v>Licensing &amp; research</x:v>
      </x:c>
      <x:c r="E21" s="10" t="str">
        <x:v>Clinical &amp; medical</x:v>
      </x:c>
      <x:c r="F21" s="10" t="str">
        <x:v>Rainmakers</x:v>
      </x:c>
      <x:c r="G21" s="10" t="str">
        <x:v>Total</x:v>
      </x:c>
      <x:c r="H21" s="3"/>
      <x:c r="I21" s="3"/>
      <x:c r="J21" s="3"/>
      <x:c r="K21" s="3"/>
    </x:row>
    <x:row r="22" ht="23" customHeight="1">
      <x:c r="A22" s="11" t="str">
        <x:f>'Inputs and logic'!A6</x:f>
        <x:v>Zydus</x:v>
      </x:c>
      <x:c r="B22" s="12" t="n">
        <x:f>'Inputs and logic'!D6*'Inputs and logic'!C6</x:f>
        <x:v>0.033600000000000005</x:v>
      </x:c>
      <x:c r="C22" s="12" t="n">
        <x:f>'Inputs and logic'!E6*'Inputs and logic'!C6</x:f>
        <x:v>0.0126</x:v>
      </x:c>
      <x:c r="D22" s="12" t="n">
        <x:f>'Inputs and logic'!F6*'Inputs and logic'!C6</x:f>
        <x:v>0.004200000000000001</x:v>
      </x:c>
      <x:c r="E22" s="12" t="n">
        <x:f>'Inputs and logic'!G6*'Inputs and logic'!C6</x:f>
        <x:v>0.016800000000000002</x:v>
      </x:c>
      <x:c r="F22" s="12" t="n">
        <x:f>'Inputs and logic'!H6*'Inputs and logic'!C6</x:f>
        <x:v>0.016800000000000002</x:v>
      </x:c>
      <x:c r="G22" s="12" t="n">
        <x:f>SUM(B22:F22)</x:f>
        <x:v>0.08400000000000002</x:v>
      </x:c>
      <x:c r="H22" s="3"/>
      <x:c r="I22" s="3"/>
      <x:c r="J22" s="3"/>
      <x:c r="K22" s="3"/>
    </x:row>
    <x:row r="23" ht="23" customHeight="1">
      <x:c r="A23" s="3" t="str">
        <x:f>'Inputs and logic'!A7</x:f>
        <x:v>Lupin</x:v>
      </x:c>
      <x:c r="B23" s="13" t="n">
        <x:f>'Inputs and logic'!D7*'Inputs and logic'!C7</x:f>
        <x:v>0.04125</x:v>
      </x:c>
      <x:c r="C23" s="13" t="n">
        <x:f>'Inputs and logic'!E7*'Inputs and logic'!C7</x:f>
        <x:v>0.00375</x:v>
      </x:c>
      <x:c r="D23" s="13" t="n">
        <x:f>'Inputs and logic'!F7*'Inputs and logic'!C7</x:f>
        <x:v>0.00375</x:v>
      </x:c>
      <x:c r="E23" s="13" t="n">
        <x:f>'Inputs and logic'!G7*'Inputs and logic'!C7</x:f>
        <x:v>0.01125</x:v>
      </x:c>
      <x:c r="F23" s="13" t="n">
        <x:f>'Inputs and logic'!H7*'Inputs and logic'!C7</x:f>
        <x:v>0.015</x:v>
      </x:c>
      <x:c r="G23" s="13" t="n">
        <x:f>SUM(B23:F23)</x:f>
        <x:v>0.075</x:v>
      </x:c>
      <x:c r="H23" s="3"/>
      <x:c r="I23" s="3"/>
      <x:c r="J23" s="3"/>
      <x:c r="K23" s="3"/>
    </x:row>
    <x:row r="24" ht="23" customHeight="1">
      <x:c r="A24" s="11" t="str">
        <x:f>'Inputs and logic'!A8</x:f>
        <x:v>Sun Pharma</x:v>
      </x:c>
      <x:c r="B24" s="12" t="n">
        <x:f>'Inputs and logic'!D8*'Inputs and logic'!C8</x:f>
        <x:v>0.037392999999999996</x:v>
      </x:c>
      <x:c r="C24" s="12" t="n">
        <x:f>'Inputs and logic'!E8*'Inputs and logic'!C8</x:f>
        <x:v>0.00488</x:v>
      </x:c>
      <x:c r="D24" s="12" t="n">
        <x:f>'Inputs and logic'!F8*'Inputs and logic'!C8</x:f>
        <x:v>0.00244</x:v>
      </x:c>
      <x:c r="E24" s="12" t="n">
        <x:f>'Inputs and logic'!G8*'Inputs and logic'!C8</x:f>
        <x:v>0.010187</x:v>
      </x:c>
      <x:c r="F24" s="12" t="n">
        <x:f>'Inputs and logic'!H8*'Inputs and logic'!C8</x:f>
        <x:v>0.0061</x:v>
      </x:c>
      <x:c r="G24" s="12" t="n">
        <x:f>SUM(B24:F24)</x:f>
        <x:v>0.061</x:v>
      </x:c>
      <x:c r="H24" s="3"/>
      <x:c r="I24" s="3"/>
      <x:c r="J24" s="3"/>
      <x:c r="K24" s="3"/>
    </x:row>
    <x:row r="25" ht="23" customHeight="1">
      <x:c r="A25" s="3" t="str">
        <x:f>'Inputs and logic'!A9</x:f>
        <x:v>Aurobindo</x:v>
      </x:c>
      <x:c r="B25" s="13" t="n">
        <x:f>'Inputs and logic'!D9*'Inputs and logic'!C9</x:f>
        <x:v>0.03055</x:v>
      </x:c>
      <x:c r="C25" s="13" t="n">
        <x:f>'Inputs and logic'!E9*'Inputs and logic'!C9</x:f>
        <x:v>0.00094</x:v>
      </x:c>
      <x:c r="D25" s="13" t="n">
        <x:f>'Inputs and logic'!F9*'Inputs and logic'!C9</x:f>
        <x:v>0.00141</x:v>
      </x:c>
      <x:c r="E25" s="13" t="n">
        <x:f>'Inputs and logic'!G9*'Inputs and logic'!C9</x:f>
        <x:v>0.0047</x:v>
      </x:c>
      <x:c r="F25" s="13" t="n">
        <x:f>'Inputs and logic'!H9*'Inputs and logic'!C9</x:f>
        <x:v>0.0094</x:v>
      </x:c>
      <x:c r="G25" s="13" t="n">
        <x:f>SUM(B25:F25)</x:f>
        <x:v>0.04700000000000001</x:v>
      </x:c>
      <x:c r="H25" s="3"/>
      <x:c r="I25" s="3"/>
      <x:c r="J25" s="3"/>
      <x:c r="K25" s="3"/>
    </x:row>
    <x:row r="26" ht="23" customHeight="1">
      <x:c r="A26" s="11" t="str">
        <x:f>'Inputs and logic'!A10</x:f>
        <x:v>Mankind</x:v>
      </x:c>
      <x:c r="B26" s="12" t="n">
        <x:f>'Inputs and logic'!D10*'Inputs and logic'!C10</x:f>
        <x:v>0.015400000000000002</x:v>
      </x:c>
      <x:c r="C26" s="12" t="n">
        <x:f>'Inputs and logic'!E10*'Inputs and logic'!C10</x:f>
        <x:v>0.0028000000000000004</x:v>
      </x:c>
      <x:c r="D26" s="12" t="n">
        <x:f>'Inputs and logic'!F10*'Inputs and logic'!C10</x:f>
        <x:v>0.0014000000000000002</x:v>
      </x:c>
      <x:c r="E26" s="12" t="n">
        <x:f>'Inputs and logic'!G10*'Inputs and logic'!C10</x:f>
        <x:v>0.0042</x:v>
      </x:c>
      <x:c r="F26" s="12" t="n">
        <x:f>'Inputs and logic'!H10*'Inputs and logic'!C10</x:f>
        <x:v>0.0042</x:v>
      </x:c>
      <x:c r="G26" s="12" t="n">
        <x:f>SUM(B26:F26)</x:f>
        <x:v>0.027999999999999997</x:v>
      </x:c>
      <x:c r="H26" s="3"/>
      <x:c r="I26" s="3"/>
      <x:c r="J26" s="3"/>
      <x:c r="K26" s="3"/>
    </x:row>
    <x:row r="27" ht="23" customHeight="1">
      <x:c r="A27" s="3" t="str">
        <x:f>'Inputs and logic'!A11</x:f>
        <x:v>Biocon</x:v>
      </x:c>
      <x:c r="B27" s="13" t="n">
        <x:f>'Inputs and logic'!D11*'Inputs and logic'!C11</x:f>
        <x:v>0.012</x:v>
      </x:c>
      <x:c r="C27" s="13" t="n">
        <x:f>'Inputs and logic'!E11*'Inputs and logic'!C11</x:f>
        <x:v>0.0016</x:v>
      </x:c>
      <x:c r="D27" s="13" t="n">
        <x:f>'Inputs and logic'!F11*'Inputs and logic'!C11</x:f>
        <x:v>0.0024</x:v>
      </x:c>
      <x:c r="E27" s="13" t="n">
        <x:f>'Inputs and logic'!G11*'Inputs and logic'!C11</x:f>
        <x:v>0.024</x:v>
      </x:c>
      <x:c r="F27" s="13" t="n">
        <x:f>'Inputs and logic'!H11*'Inputs and logic'!C11</x:f>
        <x:v>0.04</x:v>
      </x:c>
      <x:c r="G27" s="13" t="n">
        <x:f>SUM(B27:F27)</x:f>
        <x:v>0.08</x:v>
      </x:c>
      <x:c r="H27" s="3"/>
      <x:c r="I27" s="3"/>
      <x:c r="J27" s="3"/>
      <x:c r="K27" s="3"/>
    </x:row>
    <x:row r="28" ht="23" customHeight="1">
      <x:c r="A28" s="11" t="str">
        <x:f>'Inputs and logic'!A12</x:f>
        <x:v>Dr. Reddy's</x:v>
      </x:c>
      <x:c r="B28" s="12" t="n">
        <x:f>'Inputs and logic'!D12*'Inputs and logic'!C12</x:f>
        <x:v>0.043199999999999995</x:v>
      </x:c>
      <x:c r="C28" s="12" t="n">
        <x:f>'Inputs and logic'!E12*'Inputs and logic'!C12</x:f>
        <x:v>0.0036</x:v>
      </x:c>
      <x:c r="D28" s="12" t="n">
        <x:f>'Inputs and logic'!F12*'Inputs and logic'!C12</x:f>
        <x:v>0.0036</x:v>
      </x:c>
      <x:c r="E28" s="12" t="n">
        <x:f>'Inputs and logic'!G12*'Inputs and logic'!C12</x:f>
        <x:v>0.010799999999999999</x:v>
      </x:c>
      <x:c r="F28" s="12" t="n">
        <x:f>'Inputs and logic'!H12*'Inputs and logic'!C12</x:f>
        <x:v>0.010799999999999999</x:v>
      </x:c>
      <x:c r="G28" s="12" t="n">
        <x:f>SUM(B28:F28)</x:f>
        <x:v>0.072</x:v>
      </x:c>
      <x:c r="H28" s="3"/>
      <x:c r="I28" s="3"/>
      <x:c r="J28" s="3"/>
      <x:c r="K28" s="3"/>
    </x:row>
    <x:row r="29" ht="23" customHeight="1">
      <x:c r="A29" s="3" t="str">
        <x:f>'Inputs and logic'!A13</x:f>
        <x:v>Wockhardt</x:v>
      </x:c>
      <x:c r="B29" s="13" t="n">
        <x:f>'Inputs and logic'!D13*'Inputs and logic'!C13</x:f>
        <x:v>0.009800000000000001</x:v>
      </x:c>
      <x:c r="C29" s="13" t="n">
        <x:f>'Inputs and logic'!E13*'Inputs and logic'!C13</x:f>
        <x:v>0.0294</x:v>
      </x:c>
      <x:c r="D29" s="13" t="n">
        <x:f>'Inputs and logic'!F13*'Inputs and logic'!C13</x:f>
        <x:v>0.00196</x:v>
      </x:c>
      <x:c r="E29" s="13" t="n">
        <x:f>'Inputs and logic'!G13*'Inputs and logic'!C13</x:f>
        <x:v>0.03724</x:v>
      </x:c>
      <x:c r="F29" s="13" t="n">
        <x:f>'Inputs and logic'!H13*'Inputs and logic'!C13</x:f>
        <x:v>0.019600000000000003</x:v>
      </x:c>
      <x:c r="G29" s="13" t="n">
        <x:f>SUM(B29:F29)</x:f>
        <x:v>0.098</x:v>
      </x:c>
      <x:c r="H29" s="3"/>
      <x:c r="I29" s="3"/>
      <x:c r="J29" s="3"/>
      <x:c r="K29" s="3"/>
    </x:row>
    <x:row r="30" ht="23" customHeight="1">
      <x:c r="A30" s="11" t="str">
        <x:f>'Inputs and logic'!A14</x:f>
        <x:v>Ajanta Pharma</x:v>
      </x:c>
      <x:c r="B30" s="12" t="n">
        <x:f>'Inputs and logic'!D14*'Inputs and logic'!C14</x:f>
        <x:v>0.039099999999999996</x:v>
      </x:c>
      <x:c r="C30" s="12" t="n">
        <x:f>'Inputs and logic'!E14*'Inputs and logic'!C14</x:f>
        <x:v>0</x:v>
      </x:c>
      <x:c r="D30" s="12" t="n">
        <x:f>'Inputs and logic'!F14*'Inputs and logic'!C14</x:f>
        <x:v>0</x:v>
      </x:c>
      <x:c r="E30" s="12" t="n">
        <x:f>'Inputs and logic'!G14*'Inputs and logic'!C14</x:f>
        <x:v>0.0046</x:v>
      </x:c>
      <x:c r="F30" s="12" t="n">
        <x:f>'Inputs and logic'!H14*'Inputs and logic'!C14</x:f>
        <x:v>0.0023</x:v>
      </x:c>
      <x:c r="G30" s="12" t="n">
        <x:f>SUM(B30:F30)</x:f>
        <x:v>0.046</x:v>
      </x:c>
      <x:c r="H30" s="3"/>
      <x:c r="I30" s="3"/>
      <x:c r="J30" s="3"/>
      <x:c r="K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6" t="str">
        <x:v>Allocated R&amp;D (INR crore) | use for an absolute-spend chart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 ht="34" customHeight="1">
      <x:c r="A35" s="10" t="str">
        <x:v>Company</x:v>
      </x:c>
      <x:c r="B35" s="10" t="str">
        <x:v>ANDA velocity</x:v>
      </x:c>
      <x:c r="C35" s="10" t="str">
        <x:v>Pure innovation</x:v>
      </x:c>
      <x:c r="D35" s="10" t="str">
        <x:v>Licensing &amp; research</x:v>
      </x:c>
      <x:c r="E35" s="10" t="str">
        <x:v>Clinical &amp; medical</x:v>
      </x:c>
      <x:c r="F35" s="10" t="str">
        <x:v>Rainmakers</x:v>
      </x:c>
      <x:c r="G35" s="10" t="str">
        <x:v>Total</x:v>
      </x:c>
      <x:c r="H35" s="3"/>
      <x:c r="I35" s="3"/>
      <x:c r="J35" s="3"/>
      <x:c r="K35" s="3"/>
    </x:row>
    <x:row r="36" ht="23" customHeight="1">
      <x:c r="A36" s="11" t="str">
        <x:f>'Inputs and logic'!A6</x:f>
        <x:v>Zydus</x:v>
      </x:c>
      <x:c r="B36" s="14" t="n">
        <x:f>'Inputs and logic'!D6*'Inputs and logic'!B6</x:f>
        <x:v>909.28</x:v>
      </x:c>
      <x:c r="C36" s="14" t="n">
        <x:f>'Inputs and logic'!E6*'Inputs and logic'!B6</x:f>
        <x:v>340.97999999999996</x:v>
      </x:c>
      <x:c r="D36" s="14" t="n">
        <x:f>'Inputs and logic'!F6*'Inputs and logic'!B6</x:f>
        <x:v>113.66</x:v>
      </x:c>
      <x:c r="E36" s="14" t="n">
        <x:f>'Inputs and logic'!G6*'Inputs and logic'!B6</x:f>
        <x:v>454.64</x:v>
      </x:c>
      <x:c r="F36" s="14" t="n">
        <x:f>'Inputs and logic'!H6*'Inputs and logic'!B6</x:f>
        <x:v>454.64</x:v>
      </x:c>
      <x:c r="G36" s="14" t="n">
        <x:f>SUM(B36:F36)</x:f>
        <x:v>2273.2</x:v>
      </x:c>
      <x:c r="H36" s="3"/>
      <x:c r="I36" s="3"/>
      <x:c r="J36" s="3"/>
      <x:c r="K36" s="3"/>
    </x:row>
    <x:row r="37" ht="23" customHeight="1">
      <x:c r="A37" s="3" t="str">
        <x:f>'Inputs and logic'!A7</x:f>
        <x:v>Lupin</x:v>
      </x:c>
      <x:c r="B37" s="15" t="n">
        <x:f>'Inputs and logic'!D7*'Inputs and logic'!B7</x:f>
        <x:v>1134.7050000000002</x:v>
      </x:c>
      <x:c r="C37" s="15" t="n">
        <x:f>'Inputs and logic'!E7*'Inputs and logic'!B7</x:f>
        <x:v>103.155</x:v>
      </x:c>
      <x:c r="D37" s="15" t="n">
        <x:f>'Inputs and logic'!F7*'Inputs and logic'!B7</x:f>
        <x:v>103.155</x:v>
      </x:c>
      <x:c r="E37" s="15" t="n">
        <x:f>'Inputs and logic'!G7*'Inputs and logic'!B7</x:f>
        <x:v>309.465</x:v>
      </x:c>
      <x:c r="F37" s="15" t="n">
        <x:f>'Inputs and logic'!H7*'Inputs and logic'!B7</x:f>
        <x:v>412.62</x:v>
      </x:c>
      <x:c r="G37" s="15" t="n">
        <x:f>SUM(B37:F37)</x:f>
        <x:v>2063.1</x:v>
      </x:c>
      <x:c r="H37" s="3"/>
      <x:c r="I37" s="3"/>
      <x:c r="J37" s="3"/>
      <x:c r="K37" s="3"/>
    </x:row>
    <x:row r="38" ht="23" customHeight="1">
      <x:c r="A38" s="11" t="str">
        <x:f>'Inputs and logic'!A8</x:f>
        <x:v>Sun Pharma</x:v>
      </x:c>
      <x:c r="B38" s="14" t="n">
        <x:f>'Inputs and logic'!D8*'Inputs and logic'!B8</x:f>
        <x:v>2178.60813</x:v>
      </x:c>
      <x:c r="C38" s="14" t="n">
        <x:f>'Inputs and logic'!E8*'Inputs and logic'!B8</x:f>
        <x:v>284.3208</x:v>
      </x:c>
      <x:c r="D38" s="14" t="n">
        <x:f>'Inputs and logic'!F8*'Inputs and logic'!B8</x:f>
        <x:v>142.1604</x:v>
      </x:c>
      <x:c r="E38" s="14" t="n">
        <x:f>'Inputs and logic'!G8*'Inputs and logic'!B8</x:f>
        <x:v>593.51967</x:v>
      </x:c>
      <x:c r="F38" s="14" t="n">
        <x:f>'Inputs and logic'!H8*'Inputs and logic'!B8</x:f>
        <x:v>355.40100000000007</x:v>
      </x:c>
      <x:c r="G38" s="14" t="n">
        <x:f>SUM(B38:F38)</x:f>
        <x:v>3554.01</x:v>
      </x:c>
      <x:c r="H38" s="3"/>
      <x:c r="I38" s="3"/>
      <x:c r="J38" s="3"/>
      <x:c r="K38" s="3"/>
    </x:row>
    <x:row r="39" ht="23" customHeight="1">
      <x:c r="A39" s="3" t="str">
        <x:f>'Inputs and logic'!A9</x:f>
        <x:v>Aurobindo</x:v>
      </x:c>
      <x:c r="B39" s="15" t="n">
        <x:f>'Inputs and logic'!D9*'Inputs and logic'!B9</x:f>
        <x:v>1033.5</x:v>
      </x:c>
      <x:c r="C39" s="15" t="n">
        <x:f>'Inputs and logic'!E9*'Inputs and logic'!B9</x:f>
        <x:v>31.8</x:v>
      </x:c>
      <x:c r="D39" s="15" t="n">
        <x:f>'Inputs and logic'!F9*'Inputs and logic'!B9</x:f>
        <x:v>47.699999999999996</x:v>
      </x:c>
      <x:c r="E39" s="15" t="n">
        <x:f>'Inputs and logic'!G9*'Inputs and logic'!B9</x:f>
        <x:v>159</x:v>
      </x:c>
      <x:c r="F39" s="15" t="n">
        <x:f>'Inputs and logic'!H9*'Inputs and logic'!B9</x:f>
        <x:v>318</x:v>
      </x:c>
      <x:c r="G39" s="15" t="n">
        <x:f>SUM(B39:F39)</x:f>
        <x:v>1590</x:v>
      </x:c>
      <x:c r="H39" s="3"/>
      <x:c r="I39" s="3"/>
      <x:c r="J39" s="3"/>
      <x:c r="K39" s="3"/>
    </x:row>
    <x:row r="40" ht="23" customHeight="1">
      <x:c r="A40" s="11" t="str">
        <x:f>'Inputs and logic'!A10</x:f>
        <x:v>Mankind</x:v>
      </x:c>
      <x:c r="B40" s="14" t="n">
        <x:f>'Inputs and logic'!D10*'Inputs and logic'!B10</x:f>
        <x:v>216.15</x:v>
      </x:c>
      <x:c r="C40" s="14" t="n">
        <x:f>'Inputs and logic'!E10*'Inputs and logic'!B10</x:f>
        <x:v>39.300000000000004</x:v>
      </x:c>
      <x:c r="D40" s="14" t="n">
        <x:f>'Inputs and logic'!F10*'Inputs and logic'!B10</x:f>
        <x:v>19.650000000000002</x:v>
      </x:c>
      <x:c r="E40" s="14" t="n">
        <x:f>'Inputs and logic'!G10*'Inputs and logic'!B10</x:f>
        <x:v>58.949999999999996</x:v>
      </x:c>
      <x:c r="F40" s="14" t="n">
        <x:f>'Inputs and logic'!H10*'Inputs and logic'!B10</x:f>
        <x:v>58.949999999999996</x:v>
      </x:c>
      <x:c r="G40" s="14" t="n">
        <x:f>SUM(B40:F40)</x:f>
        <x:v>393</x:v>
      </x:c>
      <x:c r="H40" s="3"/>
      <x:c r="I40" s="3"/>
      <x:c r="J40" s="3"/>
      <x:c r="K40" s="3"/>
    </x:row>
    <x:row r="41" ht="23" customHeight="1">
      <x:c r="A41" s="3" t="str">
        <x:f>'Inputs and logic'!A11</x:f>
        <x:v>Biocon</x:v>
      </x:c>
      <x:c r="B41" s="15" t="n">
        <x:f>'Inputs and logic'!D11*'Inputs and logic'!B11</x:f>
        <x:v>147.315</x:v>
      </x:c>
      <x:c r="C41" s="15" t="n">
        <x:f>'Inputs and logic'!E11*'Inputs and logic'!B11</x:f>
        <x:v>19.642</x:v>
      </x:c>
      <x:c r="D41" s="15" t="n">
        <x:f>'Inputs and logic'!F11*'Inputs and logic'!B11</x:f>
        <x:v>29.463</x:v>
      </x:c>
      <x:c r="E41" s="15" t="n">
        <x:f>'Inputs and logic'!G11*'Inputs and logic'!B11</x:f>
        <x:v>294.63</x:v>
      </x:c>
      <x:c r="F41" s="15" t="n">
        <x:f>'Inputs and logic'!H11*'Inputs and logic'!B11</x:f>
        <x:v>491.05</x:v>
      </x:c>
      <x:c r="G41" s="15" t="n">
        <x:f>SUM(B41:F41)</x:f>
        <x:v>982.0999999999999</x:v>
      </x:c>
      <x:c r="H41" s="3"/>
      <x:c r="I41" s="3"/>
      <x:c r="J41" s="3"/>
      <x:c r="K41" s="3"/>
    </x:row>
    <x:row r="42" ht="23" customHeight="1">
      <x:c r="A42" s="11" t="str">
        <x:f>'Inputs and logic'!A12</x:f>
        <x:v>Dr. Reddy's</x:v>
      </x:c>
      <x:c r="B42" s="14" t="n">
        <x:f>'Inputs and logic'!D12*'Inputs and logic'!B12</x:f>
        <x:v>1443.48</x:v>
      </x:c>
      <x:c r="C42" s="14" t="n">
        <x:f>'Inputs and logic'!E12*'Inputs and logic'!B12</x:f>
        <x:v>120.29000000000002</x:v>
      </x:c>
      <x:c r="D42" s="14" t="n">
        <x:f>'Inputs and logic'!F12*'Inputs and logic'!B12</x:f>
        <x:v>120.29000000000002</x:v>
      </x:c>
      <x:c r="E42" s="14" t="n">
        <x:f>'Inputs and logic'!G12*'Inputs and logic'!B12</x:f>
        <x:v>360.87</x:v>
      </x:c>
      <x:c r="F42" s="14" t="n">
        <x:f>'Inputs and logic'!H12*'Inputs and logic'!B12</x:f>
        <x:v>360.87</x:v>
      </x:c>
      <x:c r="G42" s="14" t="n">
        <x:f>SUM(B42:F42)</x:f>
        <x:v>2405.7999999999997</x:v>
      </x:c>
      <x:c r="H42" s="3"/>
      <x:c r="I42" s="3"/>
      <x:c r="J42" s="3"/>
      <x:c r="K42" s="3"/>
    </x:row>
    <x:row r="43" ht="23" customHeight="1">
      <x:c r="A43" s="3" t="str">
        <x:f>'Inputs and logic'!A13</x:f>
        <x:v>Wockhardt</x:v>
      </x:c>
      <x:c r="B43" s="15" t="n">
        <x:f>'Inputs and logic'!D13*'Inputs and logic'!B13</x:f>
        <x:v>33</x:v>
      </x:c>
      <x:c r="C43" s="15" t="n">
        <x:f>'Inputs and logic'!E13*'Inputs and logic'!B13</x:f>
        <x:v>99</x:v>
      </x:c>
      <x:c r="D43" s="15" t="n">
        <x:f>'Inputs and logic'!F13*'Inputs and logic'!B13</x:f>
        <x:v>6.6000000000000005</x:v>
      </x:c>
      <x:c r="E43" s="15" t="n">
        <x:f>'Inputs and logic'!G13*'Inputs and logic'!B13</x:f>
        <x:v>125.4</x:v>
      </x:c>
      <x:c r="F43" s="15" t="n">
        <x:f>'Inputs and logic'!H13*'Inputs and logic'!B13</x:f>
        <x:v>66</x:v>
      </x:c>
      <x:c r="G43" s="15" t="n">
        <x:f>SUM(B43:F43)</x:f>
        <x:v>330</x:v>
      </x:c>
      <x:c r="H43" s="3"/>
      <x:c r="I43" s="3"/>
      <x:c r="J43" s="3"/>
      <x:c r="K43" s="3"/>
    </x:row>
    <x:row r="44" ht="23" customHeight="1">
      <x:c r="A44" s="11" t="str">
        <x:f>'Inputs and logic'!A14</x:f>
        <x:v>Ajanta Pharma</x:v>
      </x:c>
      <x:c r="B44" s="14" t="n">
        <x:f>'Inputs and logic'!D14*'Inputs and logic'!B14</x:f>
        <x:v>214.2</x:v>
      </x:c>
      <x:c r="C44" s="14" t="n">
        <x:f>'Inputs and logic'!E14*'Inputs and logic'!B14</x:f>
        <x:v>0</x:v>
      </x:c>
      <x:c r="D44" s="14" t="n">
        <x:f>'Inputs and logic'!F14*'Inputs and logic'!B14</x:f>
        <x:v>0</x:v>
      </x:c>
      <x:c r="E44" s="14" t="n">
        <x:f>'Inputs and logic'!G14*'Inputs and logic'!B14</x:f>
        <x:v>25.200000000000003</x:v>
      </x:c>
      <x:c r="F44" s="14" t="n">
        <x:f>'Inputs and logic'!H14*'Inputs and logic'!B14</x:f>
        <x:v>12.600000000000001</x:v>
      </x:c>
      <x:c r="G44" s="14" t="n">
        <x:f>SUM(B44:F44)</x:f>
        <x:v>251.99999999999997</x:v>
      </x:c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>
      <x:c r="A48" s="3" t="str">
        <x:v>Biocon: company-reported ex-Syngene ratio. Wockhardt: includes capitalised development. Cross-company bases differ.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28C98"/>
  </x:sheetPr>
  <x:sheetViews>
    <x:sheetView showGridLines="0" workbookViewId="0"/>
  </x:sheetViews>
  <x:sheetFormatPr defaultRowHeight="15"/>
  <x:cols>
    <x:col min="2" max="2" width="18" hidden="0" customWidth="1"/>
    <x:col min="1" max="1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75" hidden="0" customWidth="1"/>
    <x:col min="11" max="11" width="6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5" t="str">
        <x:v>Inputs, definitions and estimation logic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 t="str">
        <x:v>Blue = editable estimates / reported inputs. Category allocations are indicative, not company disclosures.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10" t="str">
        <x:v>Company</x:v>
      </x:c>
      <x:c r="B5" s="10" t="str">
        <x:v>FY26 R&amp;D INR cr</x:v>
      </x:c>
      <x:c r="C5" s="10" t="str">
        <x:v>Reported R&amp;D / sales</x:v>
      </x:c>
      <x:c r="D5" s="10" t="str">
        <x:v>ANDA velocity E</x:v>
      </x:c>
      <x:c r="E5" s="10" t="str">
        <x:v>Pure innovation E</x:v>
      </x:c>
      <x:c r="F5" s="10" t="str">
        <x:v>Licensing E</x:v>
      </x:c>
      <x:c r="G5" s="10" t="str">
        <x:v>Clinical E</x:v>
      </x:c>
      <x:c r="H5" s="10" t="str">
        <x:v>Rainmakers E</x:v>
      </x:c>
      <x:c r="I5" s="10" t="str">
        <x:v>Share total</x:v>
      </x:c>
      <x:c r="J5" s="10" t="str">
        <x:v>Estimation logic</x:v>
      </x:c>
      <x:c r="K5" s="10" t="str">
        <x:v>Source for reported total / programmes</x:v>
      </x:c>
    </x:row>
    <x:row r="6" ht="64" customHeight="1">
      <x:c r="A6" s="3" t="str">
        <x:v>Zydus</x:v>
      </x:c>
      <x:c r="B6" s="17" t="n">
        <x:v>2273.2</x:v>
      </x:c>
      <x:c r="C6" s="18" t="n">
        <x:v>0.084</x:v>
      </x:c>
      <x:c r="D6" s="18" t="n">
        <x:v>0.4</x:v>
      </x:c>
      <x:c r="E6" s="18" t="n">
        <x:v>0.15</x:v>
      </x:c>
      <x:c r="F6" s="18" t="n">
        <x:v>0.05</x:v>
      </x:c>
      <x:c r="G6" s="18" t="n">
        <x:v>0.2</x:v>
      </x:c>
      <x:c r="H6" s="18" t="n">
        <x:v>0.2</x:v>
      </x:c>
      <x:c r="I6" s="13" t="n">
        <x:f>SUM(D6:H6)</x:f>
        <x:v>1</x:v>
      </x:c>
      <x:c r="J6" s="19" t="str">
        <x:v>Generic platform plus NCEs, vaccines and biosimilars. Clinical and flagship biosimilar development receive separate allocations.</x:v>
      </x:c>
      <x:c r="K6" s="19" t="str">
        <x:v>https://zyduslife.com/investor/admin/uploads/15/0/May-2026.pdf</x:v>
      </x:c>
    </x:row>
    <x:row r="7" ht="64" customHeight="1">
      <x:c r="A7" s="3" t="str">
        <x:v>Lupin</x:v>
      </x:c>
      <x:c r="B7" s="17" t="n">
        <x:v>2063.1</x:v>
      </x:c>
      <x:c r="C7" s="18" t="n">
        <x:v>0.075</x:v>
      </x:c>
      <x:c r="D7" s="18" t="n">
        <x:v>0.55</x:v>
      </x:c>
      <x:c r="E7" s="18" t="n">
        <x:v>0.05</x:v>
      </x:c>
      <x:c r="F7" s="18" t="n">
        <x:v>0.05</x:v>
      </x:c>
      <x:c r="G7" s="18" t="n">
        <x:v>0.15</x:v>
      </x:c>
      <x:c r="H7" s="18" t="n">
        <x:v>0.2</x:v>
      </x:c>
      <x:c r="I7" s="13" t="n">
        <x:f>SUM(D7:H7)</x:f>
        <x:v>1.0000000000000002</x:v>
      </x:c>
      <x:c r="J7" s="19" t="str">
        <x:v>Generics and inhalation dominate; differentiated injectables and biosimilars drive flagship development. Smaller novel-discovery allocation.</x:v>
      </x:c>
      <x:c r="K7" s="19" t="str">
        <x:v>https://www.lupin.com/media/press-releases/lupin-fy-2026-and-q4-fy-2026-results</x:v>
      </x:c>
    </x:row>
    <x:row r="8" ht="64" customHeight="1">
      <x:c r="A8" s="3" t="str">
        <x:v>Sun Pharma</x:v>
      </x:c>
      <x:c r="B8" s="17" t="n">
        <x:v>3554.01</x:v>
      </x:c>
      <x:c r="C8" s="18" t="n">
        <x:v>0.061</x:v>
      </x:c>
      <x:c r="D8" s="18" t="n">
        <x:v>0.613</x:v>
      </x:c>
      <x:c r="E8" s="18" t="n">
        <x:v>0.08</x:v>
      </x:c>
      <x:c r="F8" s="18" t="n">
        <x:v>0.04</x:v>
      </x:c>
      <x:c r="G8" s="18" t="n">
        <x:v>0.167</x:v>
      </x:c>
      <x:c r="H8" s="18" t="n">
        <x:v>0.1</x:v>
      </x:c>
      <x:c r="I8" s="13" t="n">
        <x:f>SUM(D8:H8)</x:f>
        <x:v>1</x:v>
      </x:c>
      <x:c r="J8" s="19" t="str">
        <x:v>Reported Innovative Medicines share is 38.7%. Model assigns this across discovery, included licensing costs, clinical and flagship development; remaining 61.3% assumed generics.</x:v>
      </x:c>
      <x:c r="K8" s="19" t="str">
        <x:v>https://sunpharma.com/wp-content/uploads/2026/05/Sun-Pharma_Q4FY26-Earnings-Presentation.pdf</x:v>
      </x:c>
    </x:row>
    <x:row r="9" ht="64" customHeight="1">
      <x:c r="A9" s="3" t="str">
        <x:v>Aurobindo</x:v>
      </x:c>
      <x:c r="B9" s="17" t="n">
        <x:v>1590</x:v>
      </x:c>
      <x:c r="C9" s="18" t="n">
        <x:v>0.047</x:v>
      </x:c>
      <x:c r="D9" s="18" t="n">
        <x:v>0.65</x:v>
      </x:c>
      <x:c r="E9" s="18" t="n">
        <x:v>0.02</x:v>
      </x:c>
      <x:c r="F9" s="18" t="n">
        <x:v>0.03</x:v>
      </x:c>
      <x:c r="G9" s="18" t="n">
        <x:v>0.1</x:v>
      </x:c>
      <x:c r="H9" s="18" t="n">
        <x:v>0.2</x:v>
      </x:c>
      <x:c r="I9" s="13" t="n">
        <x:f>SUM(D9:H9)</x:f>
        <x:v>1</x:v>
      </x:c>
      <x:c r="J9" s="19" t="str">
        <x:v>Generic/API/injectable platform dominates. Biosimilars and specialised delivery products sit in flagship development. Separate R&amp;D capex excluded.</x:v>
      </x:c>
      <x:c r="K9" s="19" t="str">
        <x:v>https://www.aurobindo.com/api/uploads/annualreports/Aurobindo-Pharma-IR-2026_For-Web.pdf</x:v>
      </x:c>
    </x:row>
    <x:row r="10" ht="64" customHeight="1">
      <x:c r="A10" s="3" t="str">
        <x:v>Mankind</x:v>
      </x:c>
      <x:c r="B10" s="17" t="n">
        <x:v>393</x:v>
      </x:c>
      <x:c r="C10" s="18" t="n">
        <x:v>0.028</x:v>
      </x:c>
      <x:c r="D10" s="18" t="n">
        <x:v>0.55</x:v>
      </x:c>
      <x:c r="E10" s="18" t="n">
        <x:v>0.1</x:v>
      </x:c>
      <x:c r="F10" s="18" t="n">
        <x:v>0.05</x:v>
      </x:c>
      <x:c r="G10" s="18" t="n">
        <x:v>0.15</x:v>
      </x:c>
      <x:c r="H10" s="18" t="n">
        <x:v>0.15</x:v>
      </x:c>
      <x:c r="I10" s="13" t="n">
        <x:f>SUM(D10:H10)</x:f>
        <x:v>1</x:v>
      </x:c>
      <x:c r="J10" s="19" t="str">
        <x:v>Base formulation/API research dominates; GPR-119 and JAK discovery plus BSV biologics and clinical work support newer programmes.</x:v>
      </x:c>
      <x:c r="K10" s="19" t="str">
        <x:v>https://www.mankindpharma.com/wp-content/uploads/2026/07/Mankind-AR-2025-26_Final.pdf</x:v>
      </x:c>
    </x:row>
    <x:row r="11" ht="64" customHeight="1">
      <x:c r="A11" s="3" t="str">
        <x:v>Biocon</x:v>
      </x:c>
      <x:c r="B11" s="17" t="n">
        <x:v>982.1</x:v>
      </x:c>
      <x:c r="C11" s="18" t="n">
        <x:v>0.08</x:v>
      </x:c>
      <x:c r="D11" s="18" t="n">
        <x:v>0.15</x:v>
      </x:c>
      <x:c r="E11" s="18" t="n">
        <x:v>0.02</x:v>
      </x:c>
      <x:c r="F11" s="18" t="n">
        <x:v>0.03</x:v>
      </x:c>
      <x:c r="G11" s="18" t="n">
        <x:v>0.3</x:v>
      </x:c>
      <x:c r="H11" s="18" t="n">
        <x:v>0.5</x:v>
      </x:c>
      <x:c r="I11" s="13" t="n">
        <x:f>SUM(D11:H11)</x:f>
        <x:v>1</x:v>
      </x:c>
      <x:c r="J11" s="19" t="str">
        <x:v>Biosimilar clinical/comparability work and flagship nonclinical development dominate; generic APIs/formulations/peptides receive a smaller share. Net R&amp;D basis.</x:v>
      </x:c>
      <x:c r="K11" s="19" t="str">
        <x:v>https://www.biocon.com/docs/SE-Biocon_Q4FY26_Earnings_PR.pdf</x:v>
      </x:c>
    </x:row>
    <x:row r="12" ht="64" customHeight="1">
      <x:c r="A12" s="3" t="str">
        <x:v>Dr. Reddy's</x:v>
      </x:c>
      <x:c r="B12" s="17" t="n">
        <x:v>2405.8</x:v>
      </x:c>
      <x:c r="C12" s="18" t="n">
        <x:v>0.072</x:v>
      </x:c>
      <x:c r="D12" s="18" t="n">
        <x:v>0.6</x:v>
      </x:c>
      <x:c r="E12" s="18" t="n">
        <x:v>0.05</x:v>
      </x:c>
      <x:c r="F12" s="18" t="n">
        <x:v>0.05</x:v>
      </x:c>
      <x:c r="G12" s="18" t="n">
        <x:v>0.15</x:v>
      </x:c>
      <x:c r="H12" s="18" t="n">
        <x:v>0.15</x:v>
      </x:c>
      <x:c r="I12" s="13" t="n">
        <x:f>SUM(D12:H12)</x:f>
        <x:v>1</x:v>
      </x:c>
      <x:c r="J12" s="19" t="str">
        <x:v>Generic/complex-product platform dominates, supplemented by biosimilar clinical work and semaglutide/abatacept flagship development.</x:v>
      </x:c>
      <x:c r="K12" s="19" t="str">
        <x:v>https://www.sec.gov/Archives/edgar/data/1135951/000157587226000301/rdy0894_ex99-2.htm</x:v>
      </x:c>
    </x:row>
    <x:row r="13" ht="64" customHeight="1">
      <x:c r="A13" s="3" t="str">
        <x:v>Wockhardt</x:v>
      </x:c>
      <x:c r="B13" s="17" t="n">
        <x:v>330</x:v>
      </x:c>
      <x:c r="C13" s="18" t="n">
        <x:v>0.098</x:v>
      </x:c>
      <x:c r="D13" s="18" t="n">
        <x:v>0.1</x:v>
      </x:c>
      <x:c r="E13" s="18" t="n">
        <x:v>0.3</x:v>
      </x:c>
      <x:c r="F13" s="18" t="n">
        <x:v>0.02</x:v>
      </x:c>
      <x:c r="G13" s="18" t="n">
        <x:v>0.38</x:v>
      </x:c>
      <x:c r="H13" s="18" t="n">
        <x:v>0.2</x:v>
      </x:c>
      <x:c r="I13" s="13" t="n">
        <x:f>SUM(D13:H13)</x:f>
        <x:v>1</x:v>
      </x:c>
      <x:c r="J13" s="19" t="str">
        <x:v>Novel antibiotic discovery and late-stage clinical programmes dominate; insulin and antibiotic flagship development form the balance. Includes capitalised development.</x:v>
      </x:c>
      <x:c r="K13" s="19" t="str">
        <x:v>https://www.wockhardt.com/wp-content/uploads/2026/07/annual-report-2025-2026.pdf</x:v>
      </x:c>
    </x:row>
    <x:row r="14" ht="64" customHeight="1">
      <x:c r="A14" s="3" t="str">
        <x:v>Ajanta Pharma</x:v>
      </x:c>
      <x:c r="B14" s="17" t="n">
        <x:v>252</x:v>
      </x:c>
      <x:c r="C14" s="18" t="n">
        <x:v>0.046</x:v>
      </x:c>
      <x:c r="D14" s="18" t="n">
        <x:v>0.85</x:v>
      </x:c>
      <x:c r="E14" s="18" t="n">
        <x:v>0</x:v>
      </x:c>
      <x:c r="F14" s="18" t="n">
        <x:v>0</x:v>
      </x:c>
      <x:c r="G14" s="18" t="n">
        <x:v>0.1</x:v>
      </x:c>
      <x:c r="H14" s="18" t="n">
        <x:v>0.05</x:v>
      </x:c>
      <x:c r="I14" s="13" t="n">
        <x:f>SUM(D14:H14)</x:f>
        <x:v>1</x:v>
      </x:c>
      <x:c r="J14" s="19" t="str">
        <x:v>Formulation/ANDA development dominates. No separately allocated NCE discovery or licence-cost budget in this model; zero is an assumption, not a reported zero.</x:v>
      </x:c>
      <x:c r="K14" s="19" t="str">
        <x:v>https://nsearchives.nseindia.com/corporate/AJANTPHARM_30092026092944_SR2026.pdf</x:v>
      </x:c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72" customHeight="1">
      <x:c r="A18" s="6" t="str">
        <x:v>Allocation rule</x:v>
      </x:c>
      <x:c r="B18" s="19" t="str">
        <x:v>See column J</x:v>
      </x:c>
      <x:c r="C18" s="19"/>
      <x:c r="D18" s="19"/>
      <x:c r="E18" s="19"/>
      <x:c r="F18" s="19"/>
      <x:c r="G18" s="19"/>
      <x:c r="H18" s="19"/>
      <x:c r="I18" s="3"/>
      <x:c r="J18" s="19" t="str">
        <x:v>Classify each cost once: included licensing cost first; then clinical/medical; then nonclinical flagship-product development; then remaining novel discovery; remaining generic/formulation/API development.</x:v>
      </x:c>
      <x:c r="K18" s="3"/>
    </x:row>
    <x:row r="19" ht="72" customHeight="1">
      <x:c r="A19" s="6" t="str">
        <x:v>ANDA velocity</x:v>
      </x:c>
      <x:c r="B19" s="19" t="str">
        <x:v>See column J</x:v>
      </x:c>
      <x:c r="C19" s="19"/>
      <x:c r="D19" s="19"/>
      <x:c r="E19" s="19"/>
      <x:c r="F19" s="19"/>
      <x:c r="G19" s="19"/>
      <x:c r="H19" s="19"/>
      <x:c r="I19" s="3"/>
      <x:c r="J19" s="19" t="str">
        <x:v>Generic/formulation/API development and regulatory dossier work, excluding separately allocated clinical and named flagship development. Label denotes funding allocation, not an actual filing-speed metric.</x:v>
      </x:c>
      <x:c r="K19" s="3"/>
    </x:row>
    <x:row r="20" ht="72" customHeight="1">
      <x:c r="A20" s="6" t="str">
        <x:v>Pure innovation</x:v>
      </x:c>
      <x:c r="B20" s="19" t="str">
        <x:v>See column J</x:v>
      </x:c>
      <x:c r="C20" s="19"/>
      <x:c r="D20" s="19"/>
      <x:c r="E20" s="19"/>
      <x:c r="F20" s="19"/>
      <x:c r="G20" s="19"/>
      <x:c r="H20" s="19"/>
      <x:c r="I20" s="3"/>
      <x:c r="J20" s="19" t="str">
        <x:v>Novel molecule/novel platform discovery and preclinical research; excludes biosimilar development and separately classified clinical costs.</x:v>
      </x:c>
      <x:c r="K20" s="3"/>
    </x:row>
    <x:row r="21" ht="72" customHeight="1">
      <x:c r="A21" s="6" t="str">
        <x:v>Licensing &amp; research</x:v>
      </x:c>
      <x:c r="B21" s="19" t="str">
        <x:v>See column J</x:v>
      </x:c>
      <x:c r="C21" s="19"/>
      <x:c r="D21" s="19"/>
      <x:c r="E21" s="19"/>
      <x:c r="F21" s="19"/>
      <x:c r="G21" s="19"/>
      <x:c r="H21" s="19"/>
      <x:c r="I21" s="3"/>
      <x:c r="J21" s="19" t="str">
        <x:v>Estimated licence-related or collaborative research costs within the stated R&amp;D total. Excludes acquisitions, purchased IP and upfront payments outside that total.</x:v>
      </x:c>
      <x:c r="K21" s="3"/>
    </x:row>
    <x:row r="22" ht="72" customHeight="1">
      <x:c r="A22" s="6" t="str">
        <x:v>Clinical &amp; medical</x:v>
      </x:c>
      <x:c r="B22" s="19" t="str">
        <x:v>See column J</x:v>
      </x:c>
      <x:c r="C22" s="19"/>
      <x:c r="D22" s="19"/>
      <x:c r="E22" s="19"/>
      <x:c r="F22" s="19"/>
      <x:c r="G22" s="19"/>
      <x:c r="H22" s="19"/>
      <x:c r="I22" s="3"/>
      <x:c r="J22" s="19" t="str">
        <x:v>Trials, bioequivalence/comparability studies, clinical operations and R&amp;D-related medical/regulatory evidence. Includes estimated expensed and capitalised clinical work where the total includes it.</x:v>
      </x:c>
      <x:c r="K22" s="3"/>
    </x:row>
    <x:row r="23" ht="72" customHeight="1">
      <x:c r="A23" s="6" t="str">
        <x:v>Rainmakers</x:v>
      </x:c>
      <x:c r="B23" s="19" t="str">
        <x:v>See column J</x:v>
      </x:c>
      <x:c r="C23" s="19"/>
      <x:c r="D23" s="19"/>
      <x:c r="E23" s="19"/>
      <x:c r="F23" s="19"/>
      <x:c r="G23" s="19"/>
      <x:c r="H23" s="19"/>
      <x:c r="I23" s="3"/>
      <x:c r="J23" s="19" t="str">
        <x:v>Analyst-defined nonclinical development of named high-value specialty/biosimilar/complex-product franchises. Not a disclosed cost centre and not a promise of commercial success.</x:v>
      </x:c>
      <x:c r="K23" s="3"/>
    </x:row>
    <x:row r="24" ht="72" customHeight="1">
      <x:c r="A24" s="6" t="str">
        <x:v>Sun constraint</x:v>
      </x:c>
      <x:c r="B24" s="19" t="str">
        <x:v>See column J</x:v>
      </x:c>
      <x:c r="C24" s="19"/>
      <x:c r="D24" s="19"/>
      <x:c r="E24" s="19"/>
      <x:c r="F24" s="19"/>
      <x:c r="G24" s="19"/>
      <x:c r="H24" s="19"/>
      <x:c r="I24" s="3"/>
      <x:c r="J24" s="19" t="str">
        <x:v>Reported 38.7% Innovative Medicines R&amp;D equals the sum of four estimated non-ANDA buckets. Mapping remaining R&amp;D entirely to ANDA/generic development is an approximation.</x:v>
      </x:c>
      <x:c r="K24" s="3"/>
    </x:row>
    <x:row r="25" ht="72" customHeight="1">
      <x:c r="A25" s="6" t="str">
        <x:v>Comparability</x:v>
      </x:c>
      <x:c r="B25" s="19" t="str">
        <x:v>See column J</x:v>
      </x:c>
      <x:c r="C25" s="19"/>
      <x:c r="D25" s="19"/>
      <x:c r="E25" s="19"/>
      <x:c r="F25" s="19"/>
      <x:c r="G25" s="19"/>
      <x:c r="H25" s="19"/>
      <x:c r="I25" s="3"/>
      <x:c r="J25" s="19" t="str">
        <x:v>Biocon is net R&amp;D; its intensity is the company-reported ratio excluding Syngene. Sun total includes R&amp;D capex. Wockhardt includes capitalised development. Aurobindo excludes separately disclosed R&amp;D capex.</x:v>
      </x:c>
      <x:c r="K25" s="3"/>
    </x:row>
    <x:row r="26" ht="72" customHeight="1">
      <x:c r="A26" s="6" t="str">
        <x:v>Precision</x:v>
      </x:c>
      <x:c r="B26" s="19" t="str">
        <x:v>See column J</x:v>
      </x:c>
      <x:c r="C26" s="19"/>
      <x:c r="D26" s="19"/>
      <x:c r="E26" s="19"/>
      <x:c r="F26" s="19"/>
      <x:c r="G26" s="19"/>
      <x:c r="H26" s="19"/>
      <x:c r="I26" s="3"/>
      <x:c r="J26" s="19" t="str">
        <x:v>All bucket percentages are directional analyst allocations. Precise-looking rupee outputs are arithmetic, not separately reported expenditure.</x:v>
      </x:c>
      <x:c r="K26" s="3"/>
    </x:row>
    <x:row r="27" ht="72" customHeight="1">
      <x:c r="A27" s="6" t="str">
        <x:v>Zeros</x:v>
      </x:c>
      <x:c r="B27" s="19" t="str">
        <x:v>See column J</x:v>
      </x:c>
      <x:c r="C27" s="19"/>
      <x:c r="D27" s="19"/>
      <x:c r="E27" s="19"/>
      <x:c r="F27" s="19"/>
      <x:c r="G27" s="19"/>
      <x:c r="H27" s="19"/>
      <x:c r="I27" s="3"/>
      <x:c r="J27" s="19" t="str">
        <x:v>Ajanta pure innovation and licensing are assumed zero in this allocation model; they do not prove the company incurred no such costs.</x:v>
      </x:c>
      <x:c r="K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pageMargins left="0.7" right="0.7" top="0.75" bottom="0.75" header="0.3" footer="0.3"/>
</x:worksheet>
</file>