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10ebc2a1f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nomics" sheetId="1" r:id="R58d8e4e7f8204a35"/>
    <x:sheet xmlns:r="http://schemas.openxmlformats.org/officeDocument/2006/relationships" name="Scope" sheetId="2" r:id="Rf5e5c9a08baa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%"/>
    <x:numFmt numFmtId="202" formatCode="0%"/>
    <x:numFmt numFmtId="203" formatCode="0.0%;(0.0%);0.0%"/>
  </x:numFmts>
  <x:fonts count="4">
    <x:font>
      <x:sz val="11"/>
      <x:name val="Carlito"/>
    </x:font>
    <x:font>
      <x:sz val="11"/>
      <x:color rgb="FF000000"/>
      <x:name val="Arial"/>
    </x:font>
    <x:font>
      <x:b/>
      <x:sz val="14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7b520e2d54051" /><Relationship Type="http://schemas.openxmlformats.org/officeDocument/2006/relationships/theme" Target="/xl/theme/theme1.xml" Id="R66d9f924fb694a90" /><Relationship Type="http://schemas.openxmlformats.org/officeDocument/2006/relationships/sharedStrings" Target="/xl/sharedStrings.xml" Id="R5e130f20aa6e410c" /><Relationship Type="http://schemas.openxmlformats.org/officeDocument/2006/relationships/worksheet" Target="/xl/worksheets/sheet1.xml" Id="R58d8e4e7f8204a35" /><Relationship Type="http://schemas.openxmlformats.org/officeDocument/2006/relationships/worksheet" Target="/xl/worksheets/sheet2.xml" Id="Rf5e5c9a08baa4f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559999465942383" hidden="0" customWidth="1"/>
    <x:col min="2" max="2" width="17.219999313354492" hidden="0" customWidth="1"/>
    <x:col min="3" max="3" width="17.219999313354492" hidden="0" customWidth="1"/>
    <x:col min="4" max="4" width="17.219999313354492" hidden="0" customWidth="1"/>
    <x:col min="5" max="5" width="17.219999313354492" hidden="0" customWidth="1"/>
    <x:col min="6" max="6" width="17.219999313354492" hidden="0" customWidth="1"/>
    <x:col min="7" max="7" width="17.219999313354492" hidden="0" customWidth="1"/>
    <x:col min="8" max="8" width="17.21999931335449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Oncology trade-margin cap: patient and manufacturer economics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As of 21 October 2026. Gazette worked example and illustrative sensitivities. Values exclude GST.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44" customHeight="1">
      <x:c r="A5" s="6" t="str">
        <x:v>Chart 1 / Rs per unit</x:v>
      </x:c>
      <x:c r="B5" s="6" t="str">
        <x:v>Manufacturer first-sale price</x:v>
      </x:c>
      <x:c r="C5" s="6" t="str">
        <x:v>Combined channel spread</x:v>
      </x:c>
      <x:c r="D5" s="6" t="str">
        <x:v>Patient MRP</x:v>
      </x:c>
      <x:c r="E5" s="2"/>
      <x:c r="F5" s="2"/>
      <x:c r="G5" s="2"/>
      <x:c r="H5" s="2"/>
    </x:row>
    <x:row r="6" ht="24" customHeight="1">
      <x:c r="A6" s="2" t="str">
        <x:v>Before cap</x:v>
      </x:c>
      <x:c r="B6" s="7" t="n">
        <x:f>$B$25</x:f>
        <x:v>70</x:v>
      </x:c>
      <x:c r="C6" s="7" t="n">
        <x:f>D6-B6</x:f>
        <x:v>230</x:v>
      </x:c>
      <x:c r="D6" s="7" t="n">
        <x:f>$B$24</x:f>
        <x:v>300</x:v>
      </x:c>
      <x:c r="E6" s="2"/>
      <x:c r="F6" s="2"/>
      <x:c r="G6" s="2"/>
      <x:c r="H6" s="2"/>
    </x:row>
    <x:row r="7" ht="24" customHeight="1">
      <x:c r="A7" s="2" t="str">
        <x:v>At cap</x:v>
      </x:c>
      <x:c r="B7" s="7" t="n">
        <x:f>$B$25</x:f>
        <x:v>70</x:v>
      </x:c>
      <x:c r="C7" s="7" t="n">
        <x:f>D7-B7</x:f>
        <x:v>30</x:v>
      </x:c>
      <x:c r="D7" s="7" t="n">
        <x:f>MIN($B$24,$B$25/(1-$B$26))</x:f>
        <x:v>100</x:v>
      </x:c>
      <x:c r="E7" s="2"/>
      <x:c r="F7" s="2"/>
      <x:c r="G7" s="2"/>
      <x:c r="H7" s="2"/>
    </x:row>
    <x:row r="8" ht="24" customHeight="1">
      <x:c r="A8" s="2"/>
      <x:c r="B8" s="2"/>
      <x:c r="C8" s="2"/>
      <x:c r="D8" s="2"/>
      <x:c r="E8" s="2"/>
      <x:c r="F8" s="2"/>
      <x:c r="G8" s="2"/>
      <x:c r="H8" s="2"/>
    </x:row>
    <x:row r="9" ht="24" customHeight="1">
      <x:c r="A9" s="2" t="str">
        <x:v>Patient MRP reduction</x:v>
      </x:c>
      <x:c r="B9" s="8" t="n">
        <x:f>1-D7/D6</x:f>
        <x:v>0.6666666666666667</x:v>
      </x:c>
      <x:c r="C9" s="2"/>
      <x:c r="D9" s="2"/>
      <x:c r="E9" s="2"/>
      <x:c r="F9" s="2"/>
      <x:c r="G9" s="2"/>
      <x:c r="H9" s="2"/>
    </x:row>
    <x:row r="10" ht="24" customHeight="1">
      <x:c r="A10" s="2" t="str">
        <x:v>First-sale price change assumed</x:v>
      </x:c>
      <x:c r="B10" s="8" t="n">
        <x:f>B7/B6-1</x:f>
        <x:v>0</x:v>
      </x:c>
      <x:c r="C10" s="2"/>
      <x:c r="D10" s="2"/>
      <x:c r="E10" s="2"/>
      <x:c r="F10" s="2"/>
      <x:c r="G10" s="2"/>
      <x:c r="H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24" customHeight="1">
      <x:c r="A12" s="4" t="str">
        <x:v>Chart 2 / manufacturer revenue growth sensitivity, not a forecast</x:v>
      </x:c>
      <x:c r="B12" s="2"/>
      <x:c r="C12" s="2"/>
      <x:c r="D12" s="2"/>
      <x:c r="E12" s="2"/>
      <x:c r="F12" s="2"/>
      <x:c r="G12" s="2"/>
      <x:c r="H12" s="2"/>
    </x:row>
    <x:row r="13" ht="44" customHeight="1">
      <x:c r="A13" s="6" t="str">
        <x:v>Paid unit volume growth /
net price cut</x:v>
      </x:c>
      <x:c r="B13" s="9" t="n">
        <x:v>0</x:v>
      </x:c>
      <x:c r="C13" s="9" t="n">
        <x:v>0.05</x:v>
      </x:c>
      <x:c r="D13" s="9" t="n">
        <x:v>0.1</x:v>
      </x:c>
      <x:c r="E13" s="9" t="n">
        <x:v>0.15</x:v>
      </x:c>
      <x:c r="F13" s="2"/>
      <x:c r="G13" s="2"/>
      <x:c r="H13" s="2"/>
    </x:row>
    <x:row r="14" ht="24" customHeight="1">
      <x:c r="A14" s="10" t="n">
        <x:v>0</x:v>
      </x:c>
      <x:c r="B14" s="11" t="n">
        <x:f>(1+$A14)*(1-B$13)-1</x:f>
        <x:v>0</x:v>
      </x:c>
      <x:c r="C14" s="11" t="n">
        <x:f>(1+$A14)*(1-C$13)-1</x:f>
        <x:v>-0.050000000000000044</x:v>
      </x:c>
      <x:c r="D14" s="11" t="n">
        <x:f>(1+$A14)*(1-D$13)-1</x:f>
        <x:v>-0.09999999999999998</x:v>
      </x:c>
      <x:c r="E14" s="11" t="n">
        <x:f>(1+$A14)*(1-E$13)-1</x:f>
        <x:v>-0.15000000000000002</x:v>
      </x:c>
      <x:c r="F14" s="2"/>
      <x:c r="G14" s="2"/>
      <x:c r="H14" s="2"/>
    </x:row>
    <x:row r="15" ht="24" customHeight="1">
      <x:c r="A15" s="10" t="n">
        <x:v>0.1</x:v>
      </x:c>
      <x:c r="B15" s="11" t="n">
        <x:f>(1+$A15)*(1-B$13)-1</x:f>
        <x:v>0.10000000000000009</x:v>
      </x:c>
      <x:c r="C15" s="11" t="n">
        <x:f>(1+$A15)*(1-C$13)-1</x:f>
        <x:v>0.04499999999999993</x:v>
      </x:c>
      <x:c r="D15" s="11" t="n">
        <x:f>(1+$A15)*(1-D$13)-1</x:f>
        <x:v>-0.009999999999999898</x:v>
      </x:c>
      <x:c r="E15" s="11" t="n">
        <x:f>(1+$A15)*(1-E$13)-1</x:f>
        <x:v>-0.06499999999999995</x:v>
      </x:c>
      <x:c r="F15" s="2"/>
      <x:c r="G15" s="2"/>
      <x:c r="H15" s="2"/>
    </x:row>
    <x:row r="16" ht="24" customHeight="1">
      <x:c r="A16" s="10" t="n">
        <x:v>0.2</x:v>
      </x:c>
      <x:c r="B16" s="11" t="n">
        <x:f>(1+$A16)*(1-B$13)-1</x:f>
        <x:v>0.19999999999999996</x:v>
      </x:c>
      <x:c r="C16" s="11" t="n">
        <x:f>(1+$A16)*(1-C$13)-1</x:f>
        <x:v>0.1399999999999999</x:v>
      </x:c>
      <x:c r="D16" s="11" t="n">
        <x:f>(1+$A16)*(1-D$13)-1</x:f>
        <x:v>0.08000000000000007</x:v>
      </x:c>
      <x:c r="E16" s="11" t="n">
        <x:f>(1+$A16)*(1-E$13)-1</x:f>
        <x:v>0.020000000000000018</x:v>
      </x:c>
      <x:c r="F16" s="2"/>
      <x:c r="G16" s="2"/>
      <x:c r="H16" s="2"/>
    </x:row>
    <x:row r="17" ht="24" customHeight="1">
      <x:c r="A17" s="10" t="n">
        <x:v>0.3</x:v>
      </x:c>
      <x:c r="B17" s="11" t="n">
        <x:f>(1+$A17)*(1-B$13)-1</x:f>
        <x:v>0.30000000000000004</x:v>
      </x:c>
      <x:c r="C17" s="11" t="n">
        <x:f>(1+$A17)*(1-C$13)-1</x:f>
        <x:v>0.23499999999999988</x:v>
      </x:c>
      <x:c r="D17" s="11" t="n">
        <x:f>(1+$A17)*(1-D$13)-1</x:f>
        <x:v>0.17000000000000015</x:v>
      </x:c>
      <x:c r="E17" s="11" t="n">
        <x:f>(1+$A17)*(1-E$13)-1</x:f>
        <x:v>0.10499999999999998</x:v>
      </x:c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2" t="str">
        <x:v>Break-even unit growth</x:v>
      </x:c>
      <x:c r="B19" s="8" t="n">
        <x:f>1/(1-B13)-1</x:f>
        <x:v>0</x:v>
      </x:c>
      <x:c r="C19" s="8" t="n">
        <x:f>1/(1-C13)-1</x:f>
        <x:v>0.05263157894736836</x:v>
      </x:c>
      <x:c r="D19" s="8" t="n">
        <x:f>1/(1-D13)-1</x:f>
        <x:v>0.11111111111111116</x:v>
      </x:c>
      <x:c r="E19" s="8" t="n">
        <x:f>1/(1-E13)-1</x:f>
        <x:v>0.17647058823529416</x:v>
      </x:c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52" customHeight="1">
      <x:c r="A21" s="2" t="str">
        <x:v>Interpretation</x:v>
      </x:c>
      <x:c r="B21" s="12" t="str">
        <x:v>The cap can reduce MRP without an equal cut to manufacturer revenue. The volume response is unobserved. Revenue growth = (1 + paid unit growth) x (1 - net-price decline) - 1.</x:v>
      </x:c>
      <x:c r="C21" s="12"/>
      <x:c r="D21" s="12"/>
      <x:c r="E21" s="12"/>
      <x:c r="F21" s="12"/>
      <x:c r="G21" s="12"/>
      <x:c r="H21" s="1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44" customHeight="1">
      <x:c r="A23" s="6" t="str">
        <x:v>Inputs</x:v>
      </x:c>
      <x:c r="B23" s="6" t="str">
        <x:v>Value</x:v>
      </x:c>
      <x:c r="C23" s="6" t="str">
        <x:v>Classification</x:v>
      </x:c>
      <x:c r="D23" s="6" t="str">
        <x:v>Source / assumption</x:v>
      </x:c>
      <x:c r="E23" s="2"/>
      <x:c r="F23" s="2"/>
      <x:c r="G23" s="2"/>
      <x:c r="H23" s="2"/>
    </x:row>
    <x:row r="24" ht="42" customHeight="1">
      <x:c r="A24" s="12" t="str">
        <x:v>Old MRP, Rs/unit</x:v>
      </x:c>
      <x:c r="B24" s="12" t="n">
        <x:v>300</x:v>
      </x:c>
      <x:c r="C24" s="12" t="str">
        <x:v>Gazette example</x:v>
      </x:c>
      <x:c r="D24" s="12" t="str">
        <x:v>S.O. 5690(E), note (j), 17 October 2026</x:v>
      </x:c>
      <x:c r="E24" s="12"/>
      <x:c r="F24" s="12"/>
      <x:c r="G24" s="12"/>
      <x:c r="H24" s="12"/>
    </x:row>
    <x:row r="25" ht="42" customHeight="1">
      <x:c r="A25" s="12" t="str">
        <x:v>Reference first-sale price, Rs/unit</x:v>
      </x:c>
      <x:c r="B25" s="12" t="n">
        <x:v>70</x:v>
      </x:c>
      <x:c r="C25" s="12" t="str">
        <x:v>Gazette example</x:v>
      </x:c>
      <x:c r="D25" s="12" t="str">
        <x:v>S.O. 5690(E), note (j), 17 October 2026</x:v>
      </x:c>
      <x:c r="E25" s="12"/>
      <x:c r="F25" s="12"/>
      <x:c r="G25" s="12"/>
      <x:c r="H25" s="12"/>
    </x:row>
    <x:row r="26" ht="42" customHeight="1">
      <x:c r="A26" s="12" t="str">
        <x:v>Combined channel margin / MRP</x:v>
      </x:c>
      <x:c r="B26" s="13" t="n">
        <x:v>0.3</x:v>
      </x:c>
      <x:c r="C26" s="12" t="str">
        <x:v>Notified policy</x:v>
      </x:c>
      <x:c r="D26" s="12" t="str">
        <x:v>Table A: MRP = PTS/PTD / (1 - margin), plus applicable GST</x:v>
      </x:c>
      <x:c r="E26" s="12"/>
      <x:c r="F26" s="12"/>
      <x:c r="G26" s="12"/>
      <x:c r="H26" s="1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52" customHeight="1">
      <x:c r="A28" s="2" t="str">
        <x:v>Primary source</x:v>
      </x:c>
      <x:c r="B28" s="12" t="str">
        <x:v>Gazette S.O. 5690(E), 17 October 2026, Table A, Table B and notes (a)-(k). https://egazette.gov.in/WriteReadData/2026/277271.pdf</x:v>
      </x:c>
      <x:c r="C28" s="12"/>
      <x:c r="D28" s="12"/>
      <x:c r="E28" s="12"/>
      <x:c r="F28" s="12"/>
      <x:c r="G28" s="12"/>
      <x:c r="H28" s="12"/>
    </x:row>
    <x:row r="29" ht="52" customHeight="1">
      <x:c r="A29" s="2" t="str">
        <x:v>Reading copy</x:v>
      </x:c>
      <x:c r="B29" s="12" t="str">
        <x:v>Official Gazette PDF was intermittently unavailable. Full notification text inspected through Gazette Tracker: https://gazettetracker.com/g/CG-DL-E-17102026-277271</x:v>
      </x:c>
      <x:c r="C29" s="12"/>
      <x:c r="D29" s="12"/>
      <x:c r="E29" s="12"/>
      <x:c r="F29" s="12"/>
      <x:c r="G29" s="12"/>
      <x:c r="H29" s="12"/>
    </x:row>
    <x:row r="30" ht="52" customHeight="1">
      <x:c r="A30" s="2" t="str">
        <x:v>Government release</x:v>
      </x:c>
      <x:c r="B30" s="12" t="str">
        <x:v>PIB / Department of Pharmaceuticals, 17 October 2026. https://www.pib.gov.in/PressReleasePage.aspx?PRID=2324743</x:v>
      </x:c>
      <x:c r="C30" s="12"/>
      <x:c r="D30" s="12"/>
      <x:c r="E30" s="12"/>
      <x:c r="F30" s="12"/>
      <x:c r="G30" s="12"/>
      <x:c r="H30" s="1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52" customHeight="1">
      <x:c r="A32" s="2" t="str">
        <x:v>Price base</x:v>
      </x:c>
      <x:c r="B32" s="12" t="str">
        <x:v>March 2026 average net first-sale realisation. If no March sales, FY26 average. New launches after 31 March 2026 use current PTS/PTD. Government sales are excluded. Free PAP quantities have conditional exclusions.</x:v>
      </x:c>
      <x:c r="C32" s="12"/>
      <x:c r="D32" s="12"/>
      <x:c r="E32" s="12"/>
      <x:c r="F32" s="12"/>
      <x:c r="G32" s="12"/>
      <x:c r="H32" s="12"/>
    </x:row>
    <x:row r="33" ht="52" customHeight="1">
      <x:c r="A33" s="2" t="str">
        <x:v>Manufacturer assumption</x:v>
      </x:c>
      <x:c r="B33" s="12" t="str">
        <x:v>Holding the reference first-sale price constant illustrates the policy arithmetic. It does not guarantee current or future net realisations. Historical averaging, discounts, rebates and channel renegotiation may change the outcome.</x:v>
      </x:c>
      <x:c r="C33" s="12"/>
      <x:c r="D33" s="12"/>
      <x:c r="E33" s="12"/>
      <x:c r="F33" s="12"/>
      <x:c r="G33" s="12"/>
      <x:c r="H33" s="12"/>
    </x:row>
    <x:row r="34" ht="52" customHeight="1">
      <x:c r="A34" s="2" t="str">
        <x:v>Patient assumption</x:v>
      </x:c>
      <x:c r="B34" s="12" t="str">
        <x:v>MRP is the statutory maximum. Actual bills may already reflect discounts, insurance packages or patient assistance. A 66.7% MRP cut is the worked example, not an average reduction or a GSK price estimate.</x:v>
      </x:c>
      <x:c r="C34" s="12"/>
      <x:c r="D34" s="12"/>
      <x:c r="E34" s="12"/>
      <x:c r="F34" s="12"/>
      <x:c r="G34" s="12"/>
      <x:c r="H34" s="12"/>
    </x:row>
    <x:row r="35" ht="52" customHeight="1">
      <x:c r="A35" s="2" t="str">
        <x:v>Volume assumption</x:v>
      </x:c>
      <x:c r="B35" s="12" t="str">
        <x:v>Sensitivity uses paid units, holding product mix constant. It does not estimate demand elasticity, access conversion, PAT or EPS. Higher units can also increase manufacturing and selling costs.</x:v>
      </x:c>
      <x:c r="C35" s="12"/>
      <x:c r="D35" s="12"/>
      <x:c r="E35" s="12"/>
      <x:c r="F35" s="12"/>
      <x:c r="G35" s="12"/>
      <x:c r="H35" s="12"/>
    </x:row>
    <x:row r="36" ht="52" customHeight="1">
      <x:c r="A36" s="2" t="str">
        <x:v>Competitive inference</x:v>
      </x:c>
      <x:c r="B36" s="12" t="str">
        <x:v>A smaller spread may weaken procurement incentives funded by high trade margins. This can favour clinical differentiation, but also helps efficient domestic generic and biosimilar suppliers. No MNC-versus-domestic growth differential is established.</x:v>
      </x:c>
      <x:c r="C36" s="12"/>
      <x:c r="D36" s="12"/>
      <x:c r="E36" s="12"/>
      <x:c r="F36" s="12"/>
      <x:c r="G36" s="12"/>
      <x:c r="H36" s="1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</x:sheetData>
  <x:mergeCells>
    <x:mergeCell ref="B21:H21"/>
    <x:mergeCell ref="D24:H24"/>
    <x:mergeCell ref="D25:H25"/>
    <x:mergeCell ref="D26:H26"/>
    <x:mergeCell ref="B28:H28"/>
    <x:mergeCell ref="B29:H29"/>
    <x:mergeCell ref="B30:H30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7.780000686645508" hidden="0" customWidth="1"/>
    <x:col min="3" max="3" width="20.559999465942383" hidden="0" customWidth="1"/>
    <x:col min="4" max="4" width="11.670000076293945" hidden="0" customWidth="1"/>
    <x:col min="5" max="5" width="37.779998779296875" hidden="0" customWidth="1"/>
    <x:col min="6" max="6" width="37.779998779296875" hidden="0" customWidth="1"/>
    <x:col min="7" max="7" width="3.890000104904175" hidden="0" customWidth="1"/>
    <x:col min="8" max="8" width="8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Molecule-level relevance and policy status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44" customHeight="1">
      <x:c r="A4" s="6" t="str">
        <x:v>Company</x:v>
      </x:c>
      <x:c r="B4" s="6" t="str">
        <x:v>Brand / portfolio</x:v>
      </x:c>
      <x:c r="C4" s="6" t="str">
        <x:v>Molecule</x:v>
      </x:c>
      <x:c r="D4" s="6" t="str">
        <x:v>Table B serial</x:v>
      </x:c>
      <x:c r="E4" s="6" t="str">
        <x:v>Scope finding</x:v>
      </x:c>
      <x:c r="F4" s="6" t="str">
        <x:v>Investment interpretation</x:v>
      </x:c>
      <x:c r="G4" s="2"/>
      <x:c r="H4" s="4" t="str">
        <x:v>Sources and qualifications</x:v>
      </x:c>
    </x:row>
    <x:row r="5" ht="86" customHeight="1">
      <x:c r="A5" s="12" t="str">
        <x:v>GSK</x:v>
      </x:c>
      <x:c r="B5" s="12" t="str">
        <x:v>Jemperli</x:v>
      </x:c>
      <x:c r="C5" s="12" t="str">
        <x:v>Dostarlimab</x:v>
      </x:c>
      <x:c r="D5" s="12" t="n">
        <x:v>41</x:v>
      </x:c>
      <x:c r="E5" s="12" t="str">
        <x:v>Named in the notified list. Brand-specific exemption status not established.</x:v>
      </x:c>
      <x:c r="F5" s="12" t="str">
        <x:v>Potential affordability-led volume benefit, conditional on actual price reduction and manufacturer net realisation.</x:v>
      </x:c>
      <x:c r="G5" s="2"/>
      <x:c r="H5" s="12" t="str">
        <x:v>Gazette S.O. 5690(E), Table B and para 9. Patented drugs are included unless an applicable Paragraph 32 exemption has been approved. Molecular inclusion does not establish each brand exemption. https://egazette.gov.in/WriteReadData/2026/277271.pdf</x:v>
      </x:c>
    </x:row>
    <x:row r="6" ht="86" customHeight="1">
      <x:c r="A6" s="12" t="str">
        <x:v>GSK</x:v>
      </x:c>
      <x:c r="B6" s="12" t="str">
        <x:v>Zejula</x:v>
      </x:c>
      <x:c r="C6" s="12" t="str">
        <x:v>Niraparib</x:v>
      </x:c>
      <x:c r="D6" s="12" t="n">
        <x:v>84</x:v>
      </x:c>
      <x:c r="E6" s="12" t="str">
        <x:v>Named in the notified list. Brand-specific exemption status not established.</x:v>
      </x:c>
      <x:c r="F6" s="12" t="str">
        <x:v>Same access mechanism for oral oncology. Patient assistance and existing discounts matter.</x:v>
      </x:c>
      <x:c r="G6" s="2"/>
      <x:c r="H6" s="12" t="str">
        <x:v>GSK FY26 results, 13 May 2026: Jemperli and Zejula lead the India oncology business. https://india-pharma.gsk.com/en-in/media/press-releases/gsk-india-builds-momentum-with-innovative-portfolio-reports-continued-profitable-growth-for-year-ended-31st-march-2026/</x:v>
      </x:c>
    </x:row>
    <x:row r="7" ht="86" customHeight="1">
      <x:c r="A7" s="12" t="str">
        <x:v>GSK</x:v>
      </x:c>
      <x:c r="B7" s="12" t="str">
        <x:v>Blenrep</x:v>
      </x:c>
      <x:c r="C7" s="12" t="str">
        <x:v>Belantamab mafodotin</x:v>
      </x:c>
      <x:c r="D7" s="12" t="n">
        <x:v>15</x:v>
      </x:c>
      <x:c r="E7" s="12" t="str">
        <x:v>Named in the notified list. India import permission dated 10 April 2026.</x:v>
      </x:c>
      <x:c r="F7" s="12" t="str">
        <x:v>Approval is not proof of commercial sales. No launch revenue or cap-driven growth estimate assumed.</x:v>
      </x:c>
      <x:c r="G7" s="2"/>
      <x:c r="H7" s="12" t="str">
        <x:v>Blenrep India prescribing information, permission IMP/BIO/26/000039, 10 April 2026. https://india-pharma.gsk.com/media/u1tlj13l/blenrep.pdf</x:v>
      </x:c>
    </x:row>
    <x:row r="8" ht="86" customHeight="1">
      <x:c r="A8" s="12" t="str">
        <x:v>GSK</x:v>
      </x:c>
      <x:c r="B8" s="12" t="str">
        <x:v>Trelegy / Nucala</x:v>
      </x:c>
      <x:c r="C8" s="12" t="str">
        <x:v>FF/UMEC/VI / mepolizumab</x:v>
      </x:c>
      <x:c r="D8" s="12"/>
      <x:c r="E8" s="12" t="str">
        <x:v>These molecules do not appear in the 137-drug list.</x:v>
      </x:c>
      <x:c r="F8" s="12" t="str">
        <x:v>No direct benefit established by this notification for respiratory sales.</x:v>
      </x:c>
      <x:c r="G8" s="2"/>
      <x:c r="H8" s="12" t="str">
        <x:v>GSK product portfolio. https://india-pharma.gsk.com/en-in/products/</x:v>
      </x:c>
    </x:row>
    <x:row r="9" ht="86" customHeight="1">
      <x:c r="A9" s="12" t="str">
        <x:v>GSK</x:v>
      </x:c>
      <x:c r="B9" s="12" t="str">
        <x:v>Vaccines</x:v>
      </x:c>
      <x:c r="C9" s="12" t="str">
        <x:v>Vaccine portfolio</x:v>
      </x:c>
      <x:c r="D9" s="12"/>
      <x:c r="E9" s="12" t="str">
        <x:v>Vaccine products are outside this notified molecule list.</x:v>
      </x:c>
      <x:c r="F9" s="12" t="str">
        <x:v>No direct cap-driven benefit established for Shingrix or paediatric vaccines.</x:v>
      </x:c>
      <x:c r="G9" s="2"/>
      <x:c r="H9" s="12" t="str">
        <x:v>Table B applies to the named non-scheduled formulations even when used for another therapeutic indication, per note (o). It is unsafe to equate oncology list with oncology-use-only pricing.</x:v>
      </x:c>
    </x:row>
    <x:row r="10" ht="86" customHeight="1">
      <x:c r="A10" s="12" t="str">
        <x:v>AstraZeneca</x:v>
      </x:c>
      <x:c r="B10" s="12" t="str">
        <x:v>Selected oncology assets</x:v>
      </x:c>
      <x:c r="C10" s="12" t="str">
        <x:v>Osimertinib / durvalumab</x:v>
      </x:c>
      <x:c r="D10" s="12" t="n">
        <x:v>89</x:v>
      </x:c>
      <x:c r="E10" s="12" t="str">
        <x:v>Osimertinib serial 89 and durvalumab serial 42 appear in Table B.</x:v>
      </x:c>
      <x:c r="F10" s="12" t="str">
        <x:v>Examples of MNC innovative oncology exposure. Listing does not quantify brand-level price cuts.</x:v>
      </x:c>
      <x:c r="G10" s="2"/>
      <x:c r="H10" s="12" t="str">
        <x:v>Peer rows are selected molecule examples, not an exhaustive count or comparison of patents, India sales, revenues or market share.</x:v>
      </x:c>
    </x:row>
    <x:row r="11" ht="86" customHeight="1">
      <x:c r="A11" s="12" t="str">
        <x:v>Novartis</x:v>
      </x:c>
      <x:c r="B11" s="12" t="str">
        <x:v>Selected oncology assets</x:v>
      </x:c>
      <x:c r="C11" s="12" t="str">
        <x:v>Ribociclib / asciminib</x:v>
      </x:c>
      <x:c r="D11" s="12" t="n">
        <x:v>106</x:v>
      </x:c>
      <x:c r="E11" s="12" t="str">
        <x:v>Ribociclib serial 106 and asciminib serial 10 appear in Table B.</x:v>
      </x:c>
      <x:c r="F11" s="12" t="str">
        <x:v>Same channel-versus-manufacturer distinction. No listed-India-entity revenue attribution assumed.</x:v>
      </x:c>
      <x:c r="G11" s="2"/>
      <x:c r="H11" s="2"/>
    </x:row>
    <x:row r="12" ht="86" customHeight="1">
      <x:c r="A12" s="12" t="str">
        <x:v>Pfizer</x:v>
      </x:c>
      <x:c r="B12" s="12" t="str">
        <x:v>Selected oncology assets</x:v>
      </x:c>
      <x:c r="C12" s="12" t="str">
        <x:v>Palbociclib / lorlatinib</x:v>
      </x:c>
      <x:c r="D12" s="12" t="n">
        <x:v>90</x:v>
      </x:c>
      <x:c r="E12" s="12" t="str">
        <x:v>Palbociclib serial 90 and lorlatinib serial 72 appear in Table B.</x:v>
      </x:c>
      <x:c r="F12" s="12" t="str">
        <x:v>Examples refer to Pfizer group assets, not necessarily Pfizer Limited booked sales.</x:v>
      </x:c>
      <x:c r="G12" s="2"/>
      <x:c r="H12" s="2"/>
    </x:row>
    <x:row r="13" ht="86" customHeight="1">
      <x:c r="A13" s="12" t="str">
        <x:v>Domestic peers</x:v>
      </x:c>
      <x:c r="B13" s="12" t="str">
        <x:v>Generic / biosimilar portfolios</x:v>
      </x:c>
      <x:c r="C13" s="12" t="str">
        <x:v>Listed oncology molecules</x:v>
      </x:c>
      <x:c r="D13" s="12"/>
      <x:c r="E13" s="12" t="str">
        <x:v>The rule applies across suppliers of covered formulations.</x:v>
      </x:c>
      <x:c r="F13" s="12" t="str">
        <x:v>Lower patient bills can support domestic volumes too. Procurement spread and cost position determine relative effect.</x:v>
      </x:c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52" customHeight="1">
      <x:c r="A16" s="2" t="str">
        <x:v>Government action</x:v>
      </x:c>
      <x:c r="B16" s="12" t="str">
        <x:v>NPPA notified the 137-medicine cap on 17 October 2026 under Paragraph 19, DPCO 2013. Revised prices take effect 9 November 2026. The spread includes stockists, distributors, retailers and hospitals combined.</x:v>
      </x:c>
      <x:c r="C16" s="12"/>
      <x:c r="D16" s="12"/>
      <x:c r="E16" s="12"/>
      <x:c r="F16" s="12"/>
      <x:c r="G16" s="12"/>
      <x:c r="H16" s="12"/>
    </x:row>
    <x:row r="17" ht="52" customHeight="1">
      <x:c r="A17" s="2" t="str">
        <x:v>Supreme Court</x:v>
      </x:c>
      <x:c r="B17" s="12" t="str">
        <x:v>12 October court reporting describes questions about extending action beyond cancer drugs. Further hearing scheduled for 27 October 2026. These observations do not establish a blanket cap on all medicines or hospital services.</x:v>
      </x:c>
      <x:c r="C17" s="12"/>
      <x:c r="D17" s="12"/>
      <x:c r="E17" s="12"/>
      <x:c r="F17" s="12"/>
      <x:c r="G17" s="12"/>
      <x:c r="H17" s="12"/>
    </x:row>
    <x:row r="18" ht="52" customHeight="1">
      <x:c r="A18" s="2" t="str">
        <x:v>Court source</x:v>
      </x:c>
      <x:c r="B18" s="12" t="str">
        <x:v>LiveLaw, 12 October 2026. Kishan Chand Jain v. Ethics and Medical Registration Board, W.P.(C) 794/2023. https://www.livelaw.in/top-stories/after-supreme-court-push-centre-to-cap-cancer-drug-margins-at-30-554311</x:v>
      </x:c>
      <x:c r="C18" s="12"/>
      <x:c r="D18" s="12"/>
      <x:c r="E18" s="12"/>
      <x:c r="F18" s="12"/>
      <x:c r="G18" s="12"/>
      <x:c r="H18" s="1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52" customHeight="1">
      <x:c r="A20" s="2" t="str">
        <x:v>Suggested thesis</x:v>
      </x:c>
      <x:c r="B20" s="12" t="str">
        <x:v>Channel-margin compression can improve access to innovative oncology medicines. GSK has relevant oncology assets, while its respiratory and vaccine portfolios have no direct exposure established under this notification.</x:v>
      </x:c>
      <x:c r="C20" s="12"/>
      <x:c r="D20" s="12"/>
      <x:c r="E20" s="12"/>
      <x:c r="F20" s="12"/>
      <x:c r="G20" s="12"/>
      <x:c r="H20" s="12"/>
    </x:row>
    <x:row r="21" ht="52" customHeight="1">
      <x:c r="A21" s="2" t="str">
        <x:v>Analyst judgement</x:v>
      </x:c>
      <x:c r="B21" s="12" t="str">
        <x:v>The opportunity depends on net patient savings converting to paid treatment volumes. Domestic suppliers may benefit as well. Avoid describing this as a guaranteed MNC growth advantage or manufacturer margin expansion.</x:v>
      </x:c>
      <x:c r="C21" s="12"/>
      <x:c r="D21" s="12"/>
      <x:c r="E21" s="12"/>
      <x:c r="F21" s="12"/>
      <x:c r="G21" s="12"/>
      <x:c r="H21" s="1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</x:sheetData>
  <x:mergeCells>
    <x:mergeCell ref="B16:H16"/>
    <x:mergeCell ref="B17:H17"/>
    <x:mergeCell ref="B18:H18"/>
    <x:mergeCell ref="B20:H20"/>
    <x:mergeCell ref="B21:H21"/>
  </x:mergeCells>
  <x:pageMargins left="0.7" right="0.7" top="0.75" bottom="0.75" header="0.3" footer="0.3"/>
</x:worksheet>
</file>