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abe8bd44ef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x pass-through" sheetId="1" r:id="R5b9024823ac84175"/>
    <x:sheet xmlns:r="http://schemas.openxmlformats.org/officeDocument/2006/relationships" name="Procurement incentives" sheetId="2" r:id="R37ba304386414949"/>
    <x:sheet xmlns:r="http://schemas.openxmlformats.org/officeDocument/2006/relationships" name="GSK earnings bridge" sheetId="3" r:id="R7395d9d07fa64cb7"/>
    <x:sheet xmlns:r="http://schemas.openxmlformats.org/officeDocument/2006/relationships" name="Driver assessment" sheetId="4" r:id="R0f1bb7efeb2444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"/>
    <x:numFmt numFmtId="201" formatCode="0%"/>
    <x:numFmt numFmtId="202" formatCode="0.00%"/>
    <x:numFmt numFmtId="203" formatCode="0.0000"/>
    <x:numFmt numFmtId="204" formatCode="0.00"/>
    <x:numFmt numFmtId="205" formatCode="0.0%"/>
    <x:numFmt numFmtId="206" formatCode="0.0&quot;x&quot;"/>
  </x:numFmts>
  <x:fonts count="4">
    <x:font>
      <x:sz val="11"/>
      <x:name val="Carlito"/>
    </x:font>
    <x:font>
      <x:sz val="11"/>
      <x:color rgb="FF000000"/>
      <x:name val="Arial"/>
    </x:font>
    <x:font>
      <x:b/>
      <x:sz val="14"/>
      <x:color rgb="FF000000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debd72e64b4fab" /><Relationship Type="http://schemas.openxmlformats.org/officeDocument/2006/relationships/theme" Target="/xl/theme/theme1.xml" Id="R1a997699eff04631" /><Relationship Type="http://schemas.openxmlformats.org/officeDocument/2006/relationships/sharedStrings" Target="/xl/sharedStrings.xml" Id="Rb3616cac2d144847" /><Relationship Type="http://schemas.openxmlformats.org/officeDocument/2006/relationships/worksheet" Target="/xl/worksheets/sheet1.xml" Id="R5b9024823ac84175" /><Relationship Type="http://schemas.openxmlformats.org/officeDocument/2006/relationships/worksheet" Target="/xl/worksheets/sheet2.xml" Id="R37ba304386414949" /><Relationship Type="http://schemas.openxmlformats.org/officeDocument/2006/relationships/worksheet" Target="/xl/worksheets/sheet3.xml" Id="R7395d9d07fa64cb7" /><Relationship Type="http://schemas.openxmlformats.org/officeDocument/2006/relationships/worksheet" Target="/xl/worksheets/sheet4.xml" Id="R0f1bb7efeb2444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27.219999313354492" hidden="0" customWidth="1"/>
    <x:col min="3" max="3" width="15.5600004196167" hidden="0" customWidth="1"/>
    <x:col min="4" max="4" width="15.5600004196167" hidden="0" customWidth="1"/>
    <x:col min="5" max="5" width="11.670000076293945" hidden="0" customWidth="1"/>
    <x:col min="6" max="6" width="11.670000076293945" hidden="0" customWidth="1"/>
    <x:col min="7" max="7" width="15.5600004196167" hidden="0" customWidth="1"/>
    <x:col min="8" max="8" width="14.4399995803833" hidden="0" customWidth="1"/>
    <x:col min="9" max="9" width="17.780000686645508" hidden="0" customWidth="1"/>
    <x:col min="10" max="10" width="17.780000686645508" hidden="0" customWidth="1"/>
    <x:col min="11" max="11" width="15.560000419616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Observed GSK tax pass-through, effective 22 September 2025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 t="str">
        <x:v>Historical company price list. These are retail MRPs, not manufacturer net selling prices or November 2026 TMR filings.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6" customHeight="1">
      <x:c r="A5" s="6" t="str">
        <x:v>Brand</x:v>
      </x:c>
      <x:c r="B5" s="6" t="str">
        <x:v>Presentation</x:v>
      </x:c>
      <x:c r="C5" s="6" t="str">
        <x:v>Old MRP, Rs</x:v>
      </x:c>
      <x:c r="D5" s="6" t="str">
        <x:v>New MRP, Rs</x:v>
      </x:c>
      <x:c r="E5" s="6" t="str">
        <x:v>Old GST</x:v>
      </x:c>
      <x:c r="F5" s="6" t="str">
        <x:v>New GST</x:v>
      </x:c>
      <x:c r="G5" s="6" t="str">
        <x:v>Saving per pack, Rs</x:v>
      </x:c>
      <x:c r="H5" s="6" t="str">
        <x:v>MRP reduction</x:v>
      </x:c>
      <x:c r="I5" s="6" t="str">
        <x:v>Old pre-GST retail price</x:v>
      </x:c>
      <x:c r="J5" s="6" t="str">
        <x:v>New pre-GST retail price</x:v>
      </x:c>
      <x:c r="K5" s="6" t="str">
        <x:v>Pre-GST change, Rs</x:v>
      </x:c>
      <x:c r="L5" s="2"/>
    </x:row>
    <x:row r="6" ht="40" customHeight="1">
      <x:c r="A6" s="2" t="str">
        <x:v>Nucala</x:v>
      </x:c>
      <x:c r="B6" s="7" t="str">
        <x:v>100mg/mL AI presentation</x:v>
      </x:c>
      <x:c r="C6" s="8" t="n">
        <x:v>84749</x:v>
      </x:c>
      <x:c r="D6" s="8" t="n">
        <x:v>75668.75</x:v>
      </x:c>
      <x:c r="E6" s="9" t="n">
        <x:v>0.12</x:v>
      </x:c>
      <x:c r="F6" s="9" t="n">
        <x:v>0</x:v>
      </x:c>
      <x:c r="G6" s="8" t="n">
        <x:f>C6-D6</x:f>
        <x:v>9080.25</x:v>
      </x:c>
      <x:c r="H6" s="10" t="n">
        <x:f>1-D6/C6</x:f>
        <x:v>0.1071428571428571</x:v>
      </x:c>
      <x:c r="I6" s="8" t="n">
        <x:f>C6/(1+E6)</x:f>
        <x:v>75668.75</x:v>
      </x:c>
      <x:c r="J6" s="8" t="n">
        <x:f>D6/(1+F6)</x:f>
        <x:v>75668.75</x:v>
      </x:c>
      <x:c r="K6" s="11" t="n">
        <x:f>J6-I6</x:f>
        <x:v>0</x:v>
      </x:c>
      <x:c r="L6" s="2"/>
    </x:row>
    <x:row r="7" ht="40" customHeight="1">
      <x:c r="A7" s="2" t="str">
        <x:v>Trelegy</x:v>
      </x:c>
      <x:c r="B7" s="7" t="str">
        <x:v>100/62.5/25mcg, 30 doses</x:v>
      </x:c>
      <x:c r="C7" s="8" t="n">
        <x:v>3105.23</x:v>
      </x:c>
      <x:c r="D7" s="8" t="n">
        <x:v>2911.15</x:v>
      </x:c>
      <x:c r="E7" s="9" t="n">
        <x:v>0.12</x:v>
      </x:c>
      <x:c r="F7" s="9" t="n">
        <x:v>0.05</x:v>
      </x:c>
      <x:c r="G7" s="8" t="n">
        <x:f>C7-D7</x:f>
        <x:v>194.07999999999993</x:v>
      </x:c>
      <x:c r="H7" s="10" t="n">
        <x:f>1-D7/C7</x:f>
        <x:v>0.0625010063666781</x:v>
      </x:c>
      <x:c r="I7" s="8" t="n">
        <x:f>C7/(1+E7)</x:f>
        <x:v>2772.5267857142853</x:v>
      </x:c>
      <x:c r="J7" s="8" t="n">
        <x:f>D7/(1+F7)</x:f>
        <x:v>2772.5238095238096</x:v>
      </x:c>
      <x:c r="K7" s="11" t="n">
        <x:f>J7-I7</x:f>
        <x:v>-0.0029761904756924196</x:v>
      </x:c>
      <x:c r="L7" s="2"/>
    </x:row>
    <x:row r="8" ht="40" customHeight="1">
      <x:c r="A8" s="2" t="str">
        <x:v>Jemperli</x:v>
      </x:c>
      <x:c r="B8" s="7" t="str">
        <x:v>50mg/mL, 10mL vial</x:v>
      </x:c>
      <x:c r="C8" s="8" t="n">
        <x:v>416738</x:v>
      </x:c>
      <x:c r="D8" s="8" t="n">
        <x:v>390691.88</x:v>
      </x:c>
      <x:c r="E8" s="9" t="n">
        <x:v>0.12</x:v>
      </x:c>
      <x:c r="F8" s="9" t="n">
        <x:v>0.05</x:v>
      </x:c>
      <x:c r="G8" s="8" t="n">
        <x:f>C8-D8</x:f>
        <x:v>26046.119999999995</x:v>
      </x:c>
      <x:c r="H8" s="10" t="n">
        <x:f>1-D8/C8</x:f>
        <x:v>0.06249998800205403</x:v>
      </x:c>
      <x:c r="I8" s="8" t="n">
        <x:f>C8/(1+E8)</x:f>
        <x:v>372087.49999999994</x:v>
      </x:c>
      <x:c r="J8" s="8" t="n">
        <x:f>D8/(1+F8)</x:f>
        <x:v>372087.50476190477</x:v>
      </x:c>
      <x:c r="K8" s="11" t="n">
        <x:f>J8-I8</x:f>
        <x:v>0.004761904827319086</x:v>
      </x:c>
      <x:c r="L8" s="2"/>
    </x:row>
    <x:row r="9" ht="40" customHeight="1">
      <x:c r="A9" s="2" t="str">
        <x:v>Zejula</x:v>
      </x:c>
      <x:c r="B9" s="7" t="str">
        <x:v>100mg, supplier-listed pack</x:v>
      </x:c>
      <x:c r="C9" s="8" t="n">
        <x:v>76581.75</x:v>
      </x:c>
      <x:c r="D9" s="8" t="n">
        <x:v>71795.39</x:v>
      </x:c>
      <x:c r="E9" s="9" t="n">
        <x:v>0.12</x:v>
      </x:c>
      <x:c r="F9" s="9" t="n">
        <x:v>0.05</x:v>
      </x:c>
      <x:c r="G9" s="8" t="n">
        <x:f>C9-D9</x:f>
        <x:v>4786.360000000001</x:v>
      </x:c>
      <x:c r="H9" s="10" t="n">
        <x:f>1-D9/C9</x:f>
        <x:v>0.06250000816121337</x:v>
      </x:c>
      <x:c r="I9" s="8" t="n">
        <x:f>C9/(1+E9)</x:f>
        <x:v>68376.5625</x:v>
      </x:c>
      <x:c r="J9" s="8" t="n">
        <x:f>D9/(1+F9)</x:f>
        <x:v>68376.5619047619</x:v>
      </x:c>
      <x:c r="K9" s="11" t="n">
        <x:f>J9-I9</x:f>
        <x:v>-0.0005952381034148857</x:v>
      </x:c>
      <x:c r="L9" s="2"/>
    </x:row>
    <x:row r="10" ht="40" customHeight="1">
      <x:c r="A10" s="2" t="str">
        <x:v>Menveo</x:v>
      </x:c>
      <x:c r="B10" s="7" t="str">
        <x:v>0.5mL vial</x:v>
      </x:c>
      <x:c r="C10" s="8" t="n">
        <x:v>4299</x:v>
      </x:c>
      <x:c r="D10" s="8" t="n">
        <x:v>4030.31</x:v>
      </x:c>
      <x:c r="E10" s="9" t="n">
        <x:v>0.12</x:v>
      </x:c>
      <x:c r="F10" s="9" t="n">
        <x:v>0.05</x:v>
      </x:c>
      <x:c r="G10" s="8" t="n">
        <x:f>C10-D10</x:f>
        <x:v>268.69000000000005</x:v>
      </x:c>
      <x:c r="H10" s="10" t="n">
        <x:f>1-D10/C10</x:f>
        <x:v>0.06250058153058857</x:v>
      </x:c>
      <x:c r="I10" s="8" t="n">
        <x:f>C10/(1+E10)</x:f>
        <x:v>3838.392857142857</x:v>
      </x:c>
      <x:c r="J10" s="8" t="n">
        <x:f>D10/(1+F10)</x:f>
        <x:v>3838.390476190476</x:v>
      </x:c>
      <x:c r="K10" s="11" t="n">
        <x:f>J10-I10</x:f>
        <x:v>-0.0023809523809177335</x:v>
      </x:c>
      <x:c r="L10" s="2"/>
    </x:row>
    <x:row r="11" ht="40" customHeight="1">
      <x:c r="A11" s="2" t="str">
        <x:v>Shingrix</x:v>
      </x:c>
      <x:c r="B11" s="7" t="str">
        <x:v>Vial plus AS01B vial</x:v>
      </x:c>
      <x:c r="C11" s="8" t="n">
        <x:v>10999</x:v>
      </x:c>
      <x:c r="D11" s="8" t="n">
        <x:v>10999</x:v>
      </x:c>
      <x:c r="E11" s="9" t="n">
        <x:v>0.05</x:v>
      </x:c>
      <x:c r="F11" s="9" t="n">
        <x:v>0.05</x:v>
      </x:c>
      <x:c r="G11" s="8" t="n">
        <x:f>C11-D11</x:f>
        <x:v>0</x:v>
      </x:c>
      <x:c r="H11" s="10" t="n">
        <x:f>1-D11/C11</x:f>
        <x:v>0</x:v>
      </x:c>
      <x:c r="I11" s="8" t="n">
        <x:f>C11/(1+E11)</x:f>
        <x:v>10475.238095238095</x:v>
      </x:c>
      <x:c r="J11" s="8" t="n">
        <x:f>D11/(1+F11)</x:f>
        <x:v>10475.238095238095</x:v>
      </x:c>
      <x:c r="K11" s="11" t="n">
        <x:f>J11-I11</x:f>
        <x:v>0</x:v>
      </x:c>
      <x:c r="L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52" customHeight="1">
      <x:c r="A14" s="2" t="str">
        <x:v>Interpretation</x:v>
      </x:c>
      <x:c r="B14" s="7" t="str">
        <x:v>The tax pass-through lowers patient MRP while preserving the pre-tax retail price to rounding. It does not disclose manufacturer net realisation, prove incremental demand, or show a margin increase.</x:v>
      </x:c>
      <x:c r="C14" s="7"/>
      <x:c r="D14" s="7"/>
      <x:c r="E14" s="7"/>
      <x:c r="F14" s="7"/>
      <x:c r="G14" s="7"/>
      <x:c r="H14" s="7"/>
      <x:c r="I14" s="7"/>
      <x:c r="J14" s="7"/>
      <x:c r="K14" s="2"/>
      <x:c r="L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60" customHeight="1">
      <x:c r="A16" s="2" t="str">
        <x:v>Source</x:v>
      </x:c>
      <x:c r="B16" s="7" t="str">
        <x:v>GSK trade circular, 19 September 2025, Annexure A p7, Annexure B p8, Annexure C p9. https://india-pharma.gsk.com/media/o2qfyufn/trade-circular-revised-mrp.pdf</x:v>
      </x:c>
      <x:c r="C16" s="7"/>
      <x:c r="D16" s="7"/>
      <x:c r="E16" s="7"/>
      <x:c r="F16" s="7"/>
      <x:c r="G16" s="7"/>
      <x:c r="H16" s="7"/>
      <x:c r="I16" s="7"/>
      <x:c r="J16" s="7"/>
      <x:c r="K16" s="7"/>
      <x:c r="L16" s="2"/>
    </x:row>
    <x:row r="17" ht="52" customHeight="1">
      <x:c r="A17" s="2" t="str">
        <x:v>Pack qualification</x:v>
      </x:c>
      <x:c r="B17" s="7" t="str">
        <x:v>Zejula pack text in the circular reads 100MG 8X7 with retail pack 7. Use the supplier-listed price without extrapolating to a monthly treatment cost. Nucala selected row is the AI presentation; the circular also lists a separate vial.</x:v>
      </x:c>
      <x:c r="C17" s="7"/>
      <x:c r="D17" s="7"/>
      <x:c r="E17" s="7"/>
      <x:c r="F17" s="7"/>
      <x:c r="G17" s="7"/>
      <x:c r="H17" s="7"/>
      <x:c r="I17" s="7"/>
      <x:c r="J17" s="7"/>
      <x:c r="K17" s="2"/>
      <x:c r="L17" s="2"/>
    </x:row>
    <x:row r="18" ht="52" customHeight="1">
      <x:c r="A18" s="2" t="str">
        <x:v>Portfolio breadth</x:v>
      </x:c>
      <x:c r="B18" s="7" t="str">
        <x:v>Menveo is a vaccine example with a tax cut. Shingrix was already at 5% and unchanged. The circular therefore does not support a blanket tax benefit across all GSK vaccines.</x:v>
      </x:c>
      <x:c r="C18" s="7"/>
      <x:c r="D18" s="7"/>
      <x:c r="E18" s="7"/>
      <x:c r="F18" s="7"/>
      <x:c r="G18" s="7"/>
      <x:c r="H18" s="7"/>
      <x:c r="I18" s="7"/>
      <x:c r="J18" s="7"/>
      <x:c r="K18" s="2"/>
      <x:c r="L18" s="2"/>
    </x:row>
    <x:row r="19" ht="52" customHeight="1">
      <x:c r="A19" s="2" t="str">
        <x:v>As-of limitation</x:v>
      </x:c>
      <x:c r="B19" s="7" t="str">
        <x:v>This list proves the September 2025 tax event only. Do not present the prices as current October 2026 transaction prices or as cap-driven revisions.</x:v>
      </x:c>
      <x:c r="C19" s="7"/>
      <x:c r="D19" s="7"/>
      <x:c r="E19" s="7"/>
      <x:c r="F19" s="7"/>
      <x:c r="G19" s="7"/>
      <x:c r="H19" s="7"/>
      <x:c r="I19" s="7"/>
      <x:c r="J19" s="7"/>
      <x:c r="K19" s="2"/>
      <x:c r="L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</x:sheetData>
  <x:mergeCells>
    <x:mergeCell ref="B14:J14"/>
    <x:mergeCell ref="B16:K16"/>
    <x:mergeCell ref="B17:J17"/>
    <x:mergeCell ref="B18:J18"/>
    <x:mergeCell ref="B19:J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670000076293945" hidden="0" customWidth="1"/>
    <x:col min="2" max="2" width="18.889999389648438" hidden="0" customWidth="1"/>
    <x:col min="3" max="3" width="18.889999389648438" hidden="0" customWidth="1"/>
    <x:col min="4" max="4" width="18.889999389648438" hidden="0" customWidth="1"/>
    <x:col min="5" max="5" width="18.889999389648438" hidden="0" customWidth="1"/>
    <x:col min="6" max="6" width="18.889999389648438" hidden="0" customWidth="1"/>
    <x:col min="7" max="7" width="18.889999389648438" hidden="0" customWidth="1"/>
    <x:col min="8" max="8" width="18.889999389648438" hidden="0" customWidth="1"/>
    <x:col min="9" max="9" width="18.889999389648438" hidden="0" customWidth="1"/>
    <x:col min="10" max="10" width="18.88999938964843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How a uniform ad-valorem cap can reverse procurement incentives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 t="str">
        <x:v>Illustrative brands of an interchangeable molecule. Normalised Rs/unit, excluding GST. No actual MNC or domestic brand is assigned these inputs.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6" customHeight="1">
      <x:c r="A5" s="6" t="str">
        <x:v>Per-unit economics</x:v>
      </x:c>
      <x:c r="B5" s="6" t="str">
        <x:v>Premium brand</x:v>
      </x:c>
      <x:c r="C5" s="6" t="str">
        <x:v>High-spread brand</x:v>
      </x:c>
      <x:c r="D5" s="2"/>
      <x:c r="E5" s="2"/>
      <x:c r="F5" s="2"/>
      <x:c r="G5" s="2"/>
      <x:c r="H5" s="2"/>
      <x:c r="I5" s="2"/>
      <x:c r="J5" s="2"/>
      <x:c r="K5" s="2"/>
      <x:c r="L5" s="2"/>
    </x:row>
    <x:row r="6" ht="24" customHeight="1">
      <x:c r="A6" s="2" t="str">
        <x:v>Old MRP (assumption)</x:v>
      </x:c>
      <x:c r="B6" s="12" t="n">
        <x:v>100</x:v>
      </x:c>
      <x:c r="C6" s="12" t="n">
        <x:v>100</x:v>
      </x:c>
      <x:c r="D6" s="2"/>
      <x:c r="E6" s="2"/>
      <x:c r="F6" s="2"/>
      <x:c r="G6" s="2"/>
      <x:c r="H6" s="2"/>
      <x:c r="I6" s="2"/>
      <x:c r="J6" s="2"/>
      <x:c r="K6" s="2"/>
      <x:c r="L6" s="2"/>
    </x:row>
    <x:row r="7" ht="24" customHeight="1">
      <x:c r="A7" s="2" t="str">
        <x:v>Manufacturer first-sale price (assumption)</x:v>
      </x:c>
      <x:c r="B7" s="12" t="n">
        <x:v>60</x:v>
      </x:c>
      <x:c r="C7" s="12" t="n">
        <x:v>20</x:v>
      </x:c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2" t="str">
        <x:v>Old channel income</x:v>
      </x:c>
      <x:c r="B8" s="12" t="n">
        <x:f>B6-B7</x:f>
        <x:v>40</x:v>
      </x:c>
      <x:c r="C8" s="12" t="n">
        <x:f>C6-C7</x:f>
        <x:v>80</x:v>
      </x:c>
      <x:c r="D8" s="2"/>
      <x:c r="E8" s="2"/>
      <x:c r="F8" s="2"/>
      <x:c r="G8" s="2"/>
      <x:c r="H8" s="2"/>
      <x:c r="I8" s="2"/>
      <x:c r="J8" s="2"/>
      <x:c r="K8" s="2"/>
      <x:c r="L8" s="2"/>
    </x:row>
    <x:row r="9" ht="24" customHeight="1">
      <x:c r="A9" s="2" t="str">
        <x:v>Old channel margin / MRP</x:v>
      </x:c>
      <x:c r="B9" s="13" t="n">
        <x:f>B8/B6</x:f>
        <x:v>0.4</x:v>
      </x:c>
      <x:c r="C9" s="13" t="n">
        <x:f>C8/C6</x:f>
        <x:v>0.8</x:v>
      </x:c>
      <x:c r="D9" s="2"/>
      <x:c r="E9" s="2"/>
      <x:c r="F9" s="2"/>
      <x:c r="G9" s="2"/>
      <x:c r="H9" s="2"/>
      <x:c r="I9" s="2"/>
      <x:c r="J9" s="2"/>
      <x:c r="K9" s="2"/>
      <x:c r="L9" s="2"/>
    </x:row>
    <x:row r="10" ht="24" customHeight="1">
      <x:c r="A10" s="2" t="str">
        <x:v>Revised MRP</x:v>
      </x:c>
      <x:c r="B10" s="12" t="n">
        <x:f>MIN(B6,B7/(1-$B$25))</x:f>
        <x:v>85.71428571428572</x:v>
      </x:c>
      <x:c r="C10" s="12" t="n">
        <x:f>MIN(C6,C7/(1-$B$25))</x:f>
        <x:v>28.571428571428573</x:v>
      </x:c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4" customHeight="1">
      <x:c r="A11" s="2" t="str">
        <x:v>New channel income</x:v>
      </x:c>
      <x:c r="B11" s="12" t="n">
        <x:f>B10-B7</x:f>
        <x:v>25.714285714285722</x:v>
      </x:c>
      <x:c r="C11" s="12" t="n">
        <x:f>C10-C7</x:f>
        <x:v>8.571428571428573</x:v>
      </x:c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4" customHeight="1">
      <x:c r="A12" s="2" t="str">
        <x:v>New channel margin / MRP</x:v>
      </x:c>
      <x:c r="B12" s="13" t="n">
        <x:f>B11/B10</x:f>
        <x:v>0.30000000000000004</x:v>
      </x:c>
      <x:c r="C12" s="13" t="n">
        <x:f>C11/C10</x:f>
        <x:v>0.30000000000000004</x:v>
      </x:c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4" customHeight="1">
      <x:c r="A13" s="2" t="str">
        <x:v>Patient MRP reduction</x:v>
      </x:c>
      <x:c r="B13" s="13" t="n">
        <x:f>1-B10/B6</x:f>
        <x:v>0.1428571428571428</x:v>
      </x:c>
      <x:c r="C13" s="13" t="n">
        <x:f>1-C10/C6</x:f>
        <x:v>0.7142857142857142</x:v>
      </x:c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4" customHeight="1">
      <x:c r="A14" s="2" t="str">
        <x:v>Channel income reduction</x:v>
      </x:c>
      <x:c r="B14" s="13" t="n">
        <x:f>1-B11/B8</x:f>
        <x:v>0.357142857142857</x:v>
      </x:c>
      <x:c r="C14" s="13" t="n">
        <x:f>1-C11/C8</x:f>
        <x:v>0.8928571428571428</x:v>
      </x:c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4" customHeight="1">
      <x:c r="A15" s="2" t="str">
        <x:v>Manufacturer price change assumed</x:v>
      </x:c>
      <x:c r="B15" s="13" t="n">
        <x:f>0</x:f>
        <x:v>0</x:v>
      </x:c>
      <x:c r="C15" s="13" t="n">
        <x:f>0</x:f>
        <x:v>0</x:v>
      </x:c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46" customHeight="1">
      <x:c r="A17" s="7" t="str">
        <x:v>Before cap: high-spread / premium channel income</x:v>
      </x:c>
      <x:c r="B17" s="14" t="n">
        <x:f>C8/B8</x:f>
        <x:v>2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46" customHeight="1">
      <x:c r="A18" s="7" t="str">
        <x:v>After cap: premium / high-spread channel income</x:v>
      </x:c>
      <x:c r="B18" s="14" t="n">
        <x:f>B11/C11</x:f>
        <x:v>3.0000000000000004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52" customHeight="1">
      <x:c r="A20" s="2" t="str">
        <x:v>Economic mechanism</x:v>
      </x:c>
      <x:c r="B20" s="7" t="str">
        <x:v>Where both caps bind, channel income per unit = first-sale price x 30% / 70%. A high MRP coupled with a low manufacturer price loses its incentive advantage. A higher first-sale price leaves a larger absolute channel income, even though both margins equal 30% of MRP.</x:v>
      </x:c>
      <x:c r="C20" s="7"/>
      <x:c r="D20" s="7"/>
      <x:c r="E20" s="7"/>
      <x:c r="F20" s="7"/>
      <x:c r="G20" s="7"/>
      <x:c r="H20" s="7"/>
      <x:c r="I20" s="7"/>
      <x:c r="J20" s="7"/>
      <x:c r="K20" s="2"/>
      <x:c r="L20" s="2"/>
    </x:row>
    <x:row r="21" ht="52" customHeight="1">
      <x:c r="A21" s="2" t="str">
        <x:v>Countervailing force</x:v>
      </x:c>
      <x:c r="B21" s="7" t="str">
        <x:v>The lower-priced brand becomes much cheaper for the patient. Insurers, procurement tenders and informed patients can prefer it. The incentive result does not prove clinical superiority or predict an MNC market-share gain.</x:v>
      </x:c>
      <x:c r="C21" s="7"/>
      <x:c r="D21" s="7"/>
      <x:c r="E21" s="7"/>
      <x:c r="F21" s="7"/>
      <x:c r="G21" s="7"/>
      <x:c r="H21" s="7"/>
      <x:c r="I21" s="7"/>
      <x:c r="J21" s="7"/>
      <x:c r="K21" s="2"/>
      <x:c r="L21" s="2"/>
    </x:row>
    <x:row r="22" ht="52" customHeight="1">
      <x:c r="A22" s="2" t="str">
        <x:v>Scope</x:v>
      </x:c>
      <x:c r="B22" s="7" t="str">
        <x:v>The regulated spread includes distributors, retailers and hospitals combined. It is not a separately guaranteed hospital margin. This illustration assumes identical channel cost and income allocation, unchanged first-sale prices, no PAP and no existing discounts.</x:v>
      </x:c>
      <x:c r="C22" s="7"/>
      <x:c r="D22" s="7"/>
      <x:c r="E22" s="7"/>
      <x:c r="F22" s="7"/>
      <x:c r="G22" s="7"/>
      <x:c r="H22" s="7"/>
      <x:c r="I22" s="7"/>
      <x:c r="J22" s="7"/>
      <x:c r="K22" s="2"/>
      <x:c r="L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46" customHeight="1">
      <x:c r="A24" s="6" t="str">
        <x:v>Policy input</x:v>
      </x:c>
      <x:c r="B24" s="6" t="str">
        <x:v>Value</x:v>
      </x:c>
      <x:c r="C24" s="6" t="str">
        <x:v>Source</x:v>
      </x:c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A25" s="2" t="str">
        <x:v>Combined channel margin cap</x:v>
      </x:c>
      <x:c r="B25" s="9" t="n">
        <x:v>0.3</x:v>
      </x:c>
      <x:c r="C25" s="2" t="str">
        <x:v>S.O. 5690(E), Table A</x:v>
      </x:c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60" customHeight="1">
      <x:c r="A27" s="2" t="str">
        <x:v>Source</x:v>
      </x:c>
      <x:c r="B27" s="7" t="str">
        <x:v>NPPA notification, 17 October 2026, effective 9 November 2026. https://egazette.gov.in/WriteReadData/2026/277271.pdf . Text inspected at https://gazettetracker.com/g/CG-DL-E-17102026-277271</x:v>
      </x:c>
      <x:c r="C27" s="7"/>
      <x:c r="D27" s="7"/>
      <x:c r="E27" s="7"/>
      <x:c r="F27" s="7"/>
      <x:c r="G27" s="7"/>
      <x:c r="H27" s="7"/>
      <x:c r="I27" s="7"/>
      <x:c r="J27" s="7"/>
      <x:c r="K27" s="2"/>
      <x:c r="L27" s="2"/>
    </x:row>
    <x:row r="28" ht="52" customHeight="1">
      <x:c r="A28" s="2" t="str">
        <x:v>Net price caveat</x:v>
      </x:c>
      <x:c r="B28" s="7" t="str">
        <x:v>Reference prices generally use March 2026 average net first-sale realisation. Current discounts, reference averaging, channel renegotiation and any required correction to current pricing can affect manufacturer economics.</x:v>
      </x:c>
      <x:c r="C28" s="7"/>
      <x:c r="D28" s="7"/>
      <x:c r="E28" s="7"/>
      <x:c r="F28" s="7"/>
      <x:c r="G28" s="7"/>
      <x:c r="H28" s="7"/>
      <x:c r="I28" s="7"/>
      <x:c r="J28" s="7"/>
      <x:c r="K28" s="2"/>
      <x:c r="L28" s="2"/>
    </x:row>
    <x:row r="29" ht="52" customHeight="1">
      <x:c r="A29" s="2" t="str">
        <x:v>Court status</x:v>
      </x:c>
      <x:c r="B29" s="7" t="str">
        <x:v>The Supreme Court has questioned action beyond cancer drugs. A broader cap remains under consideration in the cited reporting, with further hearing set for 27 October 2026. https://www.livelaw.in/top-stories/after-supreme-court-push-centre-to-cap-cancer-drug-margins-at-30-554311</x:v>
      </x:c>
      <x:c r="C29" s="7"/>
      <x:c r="D29" s="7"/>
      <x:c r="E29" s="7"/>
      <x:c r="F29" s="7"/>
      <x:c r="G29" s="7"/>
      <x:c r="H29" s="7"/>
      <x:c r="I29" s="7"/>
      <x:c r="J29" s="7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</x:sheetData>
  <x:mergeCells>
    <x:mergeCell ref="B20:J20"/>
    <x:mergeCell ref="B21:J21"/>
    <x:mergeCell ref="B22:J22"/>
    <x:mergeCell ref="B27:J27"/>
    <x:mergeCell ref="B28:J28"/>
    <x:mergeCell ref="B29:J2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66999816894531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GSK: convert access into paid treatments, then into group earnings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4" t="str">
        <x:v>Operating identity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52" customHeight="1">
      <x:c r="A5" s="2" t="str">
        <x:v>Revenue drivers</x:v>
      </x:c>
      <x:c r="B5" s="7" t="str">
        <x:v>Eligible patients x diagnosis/referral rate x treatment initiation x GSK share x paid-treatment share x treatment duration x manufacturer net price. Each factor has a different commercial and regulatory driver.</x:v>
      </x:c>
      <x:c r="C5" s="7"/>
      <x:c r="D5" s="7"/>
      <x:c r="E5" s="7"/>
      <x:c r="F5" s="7"/>
      <x:c r="G5" s="7"/>
      <x:c r="H5" s="7"/>
      <x:c r="I5" s="7"/>
      <x:c r="J5" s="7"/>
      <x:c r="K5" s="2"/>
      <x:c r="L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46" customHeight="1">
      <x:c r="A7" s="6" t="str">
        <x:v>Reported input</x:v>
      </x:c>
      <x:c r="B7" s="6" t="str">
        <x:v>Value</x:v>
      </x:c>
      <x:c r="C7" s="6" t="str">
        <x:v>Period / scope</x:v>
      </x:c>
      <x:c r="D7" s="6" t="str">
        <x:v>Source</x:v>
      </x:c>
      <x:c r="E7" s="2"/>
      <x:c r="F7" s="2"/>
      <x:c r="G7" s="2"/>
      <x:c r="H7" s="2"/>
      <x:c r="I7" s="2"/>
      <x:c r="J7" s="2"/>
      <x:c r="K7" s="2"/>
      <x:c r="L7" s="2"/>
    </x:row>
    <x:row r="8" ht="45" customHeight="1">
      <x:c r="A8" s="7" t="str">
        <x:v>Old Jemperli eligible pool</x:v>
      </x:c>
      <x:c r="B8" s="7" t="n">
        <x:v>800</x:v>
      </x:c>
      <x:c r="C8" s="7" t="str">
        <x:v>Management estimate, second line</x:v>
      </x:c>
      <x:c r="D8" s="7" t="str">
        <x:v>13 May 2026 presentation, slide6</x:v>
      </x:c>
      <x:c r="E8" s="2"/>
      <x:c r="F8" s="2"/>
      <x:c r="G8" s="2"/>
      <x:c r="H8" s="2"/>
      <x:c r="I8" s="2"/>
      <x:c r="J8" s="2"/>
      <x:c r="K8" s="2"/>
      <x:c r="L8" s="2"/>
    </x:row>
    <x:row r="9" ht="45" customHeight="1">
      <x:c r="A9" s="7" t="str">
        <x:v>Expanded Jemperli eligible pool</x:v>
      </x:c>
      <x:c r="B9" s="7" t="n">
        <x:v>6000</x:v>
      </x:c>
      <x:c r="C9" s="7" t="str">
        <x:v>Management estimate, first plus second line</x:v>
      </x:c>
      <x:c r="D9" s="7" t="str">
        <x:v>13 May 2026 presentation, slide6</x:v>
      </x:c>
      <x:c r="E9" s="2"/>
      <x:c r="F9" s="2"/>
      <x:c r="G9" s="2"/>
      <x:c r="H9" s="2"/>
      <x:c r="I9" s="2"/>
      <x:c r="J9" s="2"/>
      <x:c r="K9" s="2"/>
      <x:c r="L9" s="2"/>
    </x:row>
    <x:row r="10" ht="45" customHeight="1">
      <x:c r="A10" s="7" t="str">
        <x:v>Innovation portfolio share</x:v>
      </x:c>
      <x:c r="B10" s="15" t="n">
        <x:v>0.06</x:v>
      </x:c>
      <x:c r="C10" s="7" t="str">
        <x:v>Q4FY26 revenue contribution, not FY26 annual</x:v>
      </x:c>
      <x:c r="D10" s="7" t="str">
        <x:v>13 May 2026 presentation, slide6</x:v>
      </x:c>
      <x:c r="E10" s="2"/>
      <x:c r="F10" s="2"/>
      <x:c r="G10" s="2"/>
      <x:c r="H10" s="2"/>
      <x:c r="I10" s="2"/>
      <x:c r="J10" s="2"/>
      <x:c r="K10" s="2"/>
      <x:c r="L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4" customHeight="1">
      <x:c r="A12" s="2" t="str">
        <x:v>Eligible pool expansion</x:v>
      </x:c>
      <x:c r="B12" s="14" t="n">
        <x:f>B9/B8</x:f>
        <x:v>7.5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46" customHeight="1">
      <x:c r="A14" s="6" t="str">
        <x:v>Static-mix sensitivity</x:v>
      </x:c>
      <x:c r="B14" s="6" t="str">
        <x:v>Paid volume uplift</x:v>
      </x:c>
      <x:c r="C14" s="6" t="str">
        <x:v>Group sales uplift</x:v>
      </x:c>
      <x:c r="D14" s="6" t="str">
        <x:v>Classification</x:v>
      </x:c>
      <x:c r="E14" s="2"/>
      <x:c r="F14" s="2"/>
      <x:c r="G14" s="2"/>
      <x:c r="H14" s="2"/>
      <x:c r="I14" s="2"/>
      <x:c r="J14" s="2"/>
      <x:c r="K14" s="2"/>
      <x:c r="L14" s="2"/>
    </x:row>
    <x:row r="15" ht="24" customHeight="1">
      <x:c r="A15" s="2" t="str">
        <x:v>Entire innovation portfolio</x:v>
      </x:c>
      <x:c r="B15" s="13" t="n">
        <x:v>0.2</x:v>
      </x:c>
      <x:c r="C15" s="13" t="n">
        <x:f>$B$10*B15</x:f>
        <x:v>0.012</x:v>
      </x:c>
      <x:c r="D15" s="2" t="str">
        <x:v>Illustration, not forecast</x:v>
      </x:c>
      <x:c r="E15" s="2"/>
      <x:c r="F15" s="2"/>
      <x:c r="G15" s="2"/>
      <x:c r="H15" s="2"/>
      <x:c r="I15" s="2"/>
      <x:c r="J15" s="2"/>
      <x:c r="K15" s="2"/>
      <x:c r="L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52" customHeight="1">
      <x:c r="A17" s="2" t="str">
        <x:v>Scale discipline</x:v>
      </x:c>
      <x:c r="B17" s="7" t="str">
        <x:v>At the reported 6% innovation mix, a 20% uplift in the whole innovation portfolio contributes 1.2% to group revenue, with all else unchanged. Oncology is a subset of innovation. This is a static Q4 mix sensitivity and not a FY27 forecast or an upper bound after new launches.</x:v>
      </x:c>
      <x:c r="C17" s="7"/>
      <x:c r="D17" s="7"/>
      <x:c r="E17" s="7"/>
      <x:c r="F17" s="7"/>
      <x:c r="G17" s="7"/>
      <x:c r="H17" s="7"/>
      <x:c r="I17" s="7"/>
      <x:c r="J17" s="7"/>
      <x:c r="K17" s="2"/>
      <x:c r="L17" s="2"/>
    </x:row>
    <x:row r="18" ht="52" customHeight="1">
      <x:c r="A18" s="2" t="str">
        <x:v>Policy versus label</x:v>
      </x:c>
      <x:c r="B18" s="7" t="str">
        <x:v>The 7.5x eligible-pool expansion follows Jemperli label broadening. The tax cut improves affordability. TMR can further reduce channel spread where applicable. These are separate effects and cannot be added as growth rates.</x:v>
      </x:c>
      <x:c r="C18" s="7"/>
      <x:c r="D18" s="7"/>
      <x:c r="E18" s="7"/>
      <x:c r="F18" s="7"/>
      <x:c r="G18" s="7"/>
      <x:c r="H18" s="7"/>
      <x:c r="I18" s="7"/>
      <x:c r="J18" s="7"/>
      <x:c r="K18" s="2"/>
      <x:c r="L18" s="2"/>
    </x:row>
    <x:row r="19" ht="52" customHeight="1">
      <x:c r="A19" s="2" t="str">
        <x:v>Paid versus free</x:v>
      </x:c>
      <x:c r="B19" s="7" t="str">
        <x:v>More patients receiving therapy can include free PAP supplies. Manufacturer revenue depends on paid units, paid-course duration and net realisation. Treatment initiation and persistence can move in opposite directions.</x:v>
      </x:c>
      <x:c r="C19" s="7"/>
      <x:c r="D19" s="7"/>
      <x:c r="E19" s="7"/>
      <x:c r="F19" s="7"/>
      <x:c r="G19" s="7"/>
      <x:c r="H19" s="7"/>
      <x:c r="I19" s="7"/>
      <x:c r="J19" s="7"/>
      <x:c r="K19" s="2"/>
      <x:c r="L19" s="2"/>
    </x:row>
    <x:row r="20" ht="52" customHeight="1">
      <x:c r="A20" s="2" t="str">
        <x:v>Earnings translation</x:v>
      </x:c>
      <x:c r="B20" s="7" t="str">
        <x:v>Incremental EBIT = additional manufacturer net sales less product cost, royalties/import cost and incremental selling/support expenditure. Fixed field-force costs can create operating leverage, but neither operating margin nor EPS uplift is assumed.</x:v>
      </x:c>
      <x:c r="C20" s="7"/>
      <x:c r="D20" s="7"/>
      <x:c r="E20" s="7"/>
      <x:c r="F20" s="7"/>
      <x:c r="G20" s="7"/>
      <x:c r="H20" s="7"/>
      <x:c r="I20" s="7"/>
      <x:c r="J20" s="7"/>
      <x:c r="K20" s="2"/>
      <x:c r="L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60" customHeight="1">
      <x:c r="A22" s="2" t="str">
        <x:v>Source</x:v>
      </x:c>
      <x:c r="B22" s="7" t="str">
        <x:v>GSK 13 May 2026 investor presentation, slide6. Innovation = oncology, Shingrix and new respiratory. https://india-pharma.gsk.com/media/inhdnswz/analyst-meet-may-2026.pdf</x:v>
      </x:c>
      <x:c r="C22" s="7"/>
      <x:c r="D22" s="7"/>
      <x:c r="E22" s="7"/>
      <x:c r="F22" s="7"/>
      <x:c r="G22" s="7"/>
      <x:c r="H22" s="7"/>
      <x:c r="I22" s="7"/>
      <x:c r="J22" s="7"/>
      <x:c r="K22" s="2"/>
      <x:c r="L22" s="2"/>
    </x:row>
    <x:row r="23" ht="52" customHeight="1">
      <x:c r="A23" s="2" t="str">
        <x:v>Product scope</x:v>
      </x:c>
      <x:c r="B23" s="7" t="str">
        <x:v>Table B names dostarlimab (Jemperli), niraparib (Zejula), belantamab mafodotin (Blenrep). Applicable Paragraph32 exemptions require brand-level verification. Trelegy, mepolizumab and GSK vaccine products do not appear in the list.</x:v>
      </x:c>
      <x:c r="C23" s="7"/>
      <x:c r="D23" s="7"/>
      <x:c r="E23" s="7"/>
      <x:c r="F23" s="7"/>
      <x:c r="G23" s="7"/>
      <x:c r="H23" s="7"/>
      <x:c r="I23" s="7"/>
      <x:c r="J23" s="7"/>
      <x:c r="K23" s="2"/>
      <x:c r="L23" s="2"/>
    </x:row>
    <x:row r="24" ht="52" customHeight="1">
      <x:c r="A24" s="2" t="str">
        <x:v>Blenrep timing</x:v>
      </x:c>
      <x:c r="B24" s="7" t="str">
        <x:v>May 2026 management disclosure expected India launch in Q4 calendar 2026. Approval does not establish commercial sales or cap benefit. Do not include a revenue uplift without a verified launch and price filing.</x:v>
      </x:c>
      <x:c r="C24" s="7"/>
      <x:c r="D24" s="7"/>
      <x:c r="E24" s="7"/>
      <x:c r="F24" s="7"/>
      <x:c r="G24" s="7"/>
      <x:c r="H24" s="7"/>
      <x:c r="I24" s="7"/>
      <x:c r="J24" s="7"/>
      <x:c r="K24" s="2"/>
      <x:c r="L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</x:sheetData>
  <x:mergeCells>
    <x:mergeCell ref="B5:J5"/>
    <x:mergeCell ref="B17:J17"/>
    <x:mergeCell ref="B18:J18"/>
    <x:mergeCell ref="B19:J19"/>
    <x:mergeCell ref="B20:J20"/>
    <x:mergeCell ref="B22:J22"/>
    <x:mergeCell ref="B23:J23"/>
    <x:mergeCell ref="B24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19999313354492" hidden="0" customWidth="1"/>
    <x:col min="2" max="2" width="36.66999816894531" hidden="0" customWidth="1"/>
    <x:col min="3" max="3" width="38.88999938964844" hidden="0" customWidth="1"/>
    <x:col min="4" max="4" width="38.88999938964844" hidden="0" customWidth="1"/>
    <x:col min="5" max="5" width="38.88999938964844" hidden="0" customWidth="1"/>
    <x:col min="6" max="6" width="3.890000104904175" hidden="0" customWidth="1"/>
    <x:col min="7" max="7" width="8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Where the advantage comes from, and what can prevent it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46" customHeight="1">
      <x:c r="A4" s="6" t="str">
        <x:v>Driver</x:v>
      </x:c>
      <x:c r="B4" s="6" t="str">
        <x:v>Commercial transmission</x:v>
      </x:c>
      <x:c r="C4" s="6" t="str">
        <x:v>Potential beneficiary</x:v>
      </x:c>
      <x:c r="D4" s="6" t="str">
        <x:v>What can offset it</x:v>
      </x:c>
      <x:c r="E4" s="6" t="str">
        <x:v>Evidence / conclusion</x:v>
      </x:c>
      <x:c r="F4" s="2"/>
      <x:c r="G4" s="4" t="str">
        <x:v>Sources / scope</x:v>
      </x:c>
      <x:c r="H4" s="2"/>
      <x:c r="I4" s="2"/>
      <x:c r="J4" s="2"/>
      <x:c r="K4" s="2"/>
      <x:c r="L4" s="2"/>
    </x:row>
    <x:row r="5" ht="90" customHeight="1">
      <x:c r="A5" s="7" t="str">
        <x:v>Lower tax</x:v>
      </x:c>
      <x:c r="B5" s="7" t="str">
        <x:v>Lower patient price at the same pre-tax retail price</x:v>
      </x:c>
      <x:c r="C5" s="7" t="str">
        <x:v>Tax-affected therapies across MNC and domestic companies</x:v>
      </x:c>
      <x:c r="D5" s="7" t="str">
        <x:v>Already lower GST, existing discounts, low price elasticity</x:v>
      </x:c>
      <x:c r="E5" s="7" t="str">
        <x:v>Observed GSK September2025 circular. Shingrix unchanged.</x:v>
      </x:c>
      <x:c r="F5" s="2"/>
      <x:c r="G5" s="7" t="str">
        <x:v>GSK actual tax data: https://india-pharma.gsk.com/media/o2qfyufn/trade-circular-revised-mrp.pdf</x:v>
      </x:c>
      <x:c r="H5" s="2"/>
      <x:c r="I5" s="2"/>
      <x:c r="J5" s="2"/>
      <x:c r="K5" s="2"/>
      <x:c r="L5" s="2"/>
    </x:row>
    <x:row r="6" ht="90" customHeight="1">
      <x:c r="A6" s="7" t="str">
        <x:v>Channel spread cap</x:v>
      </x:c>
      <x:c r="B6" s="7" t="str">
        <x:v>Reduces gross rupees available to fund procurement preferences</x:v>
      </x:c>
      <x:c r="C6" s="7" t="str">
        <x:v>Brands that can sell on treatment value and reliable supply</x:v>
      </x:c>
      <x:c r="D6" s="7" t="str">
        <x:v>Channel renegotiation, loss of distribution effort, patient preference for cheaper alternatives</x:v>
      </x:c>
      <x:c r="E6" s="7" t="str">
        <x:v>Exact policy formula, competitive illustration is hypothetical.</x:v>
      </x:c>
      <x:c r="F6" s="2"/>
      <x:c r="G6" s="7" t="str">
        <x:v>Government policy release: https://www.pib.gov.in/PressReleasePage.aspx?PRID=2324743</x:v>
      </x:c>
      <x:c r="H6" s="2"/>
      <x:c r="I6" s="2"/>
      <x:c r="J6" s="2"/>
      <x:c r="K6" s="2"/>
      <x:c r="L6" s="2"/>
    </x:row>
    <x:row r="7" ht="90" customHeight="1">
      <x:c r="A7" s="7" t="str">
        <x:v>Clinical differentiation</x:v>
      </x:c>
      <x:c r="B7" s="7" t="str">
        <x:v>More access can convert to sales where the asset retains a treatment role</x:v>
      </x:c>
      <x:c r="C7" s="7" t="str">
        <x:v>Innovator MNCs and Indian companies with differentiated/licensed assets</x:v>
      </x:c>
      <x:c r="D7" s="7" t="str">
        <x:v>Therapeutic alternatives, generics/biosimilars, narrower eligible populations</x:v>
      </x:c>
      <x:c r="E7" s="7" t="str">
        <x:v>Analytical inference. Nationality is an incomplete screen.</x:v>
      </x:c>
      <x:c r="F7" s="2"/>
      <x:c r="G7" s="7" t="str">
        <x:v>Gazette text: https://gazettetracker.com/g/CG-DL-E-17102026-277271</x:v>
      </x:c>
      <x:c r="H7" s="2"/>
      <x:c r="I7" s="2"/>
      <x:c r="J7" s="2"/>
      <x:c r="K7" s="2"/>
      <x:c r="L7" s="2"/>
    </x:row>
    <x:row r="8" ht="90" customHeight="1">
      <x:c r="A8" s="7" t="str">
        <x:v>Hospital bill economics</x:v>
      </x:c>
      <x:c r="B8" s="7" t="str">
        <x:v>Drug savings reduce the total treatment bill according to drug share</x:v>
      </x:c>
      <x:c r="C8" s="7" t="str">
        <x:v>Self-pay patients and insurers under itemised billing</x:v>
      </x:c>
      <x:c r="D8" s="7" t="str">
        <x:v>Higher service charges, unchanged bundled prices, low drug share</x:v>
      </x:c>
      <x:c r="E8" s="7" t="str">
        <x:v>Conditional economics. MRP decline is not equivalent to total-bill decline.</x:v>
      </x:c>
      <x:c r="F8" s="2"/>
      <x:c r="G8" s="7" t="str">
        <x:v>GSK commercial mix: https://india-pharma.gsk.com/media/inhdnswz/analyst-meet-may-2026.pdf</x:v>
      </x:c>
      <x:c r="H8" s="2"/>
      <x:c r="I8" s="2"/>
      <x:c r="J8" s="2"/>
      <x:c r="K8" s="2"/>
      <x:c r="L8" s="2"/>
    </x:row>
    <x:row r="9" ht="90" customHeight="1">
      <x:c r="A9" s="7" t="str">
        <x:v>PAP and coverage</x:v>
      </x:c>
      <x:c r="B9" s="7" t="str">
        <x:v>Can increase initiation and persistence despite high list prices</x:v>
      </x:c>
      <x:c r="C9" s="7" t="str">
        <x:v>Companies able to manage patient support and payer access</x:v>
      </x:c>
      <x:c r="D9" s="7" t="str">
        <x:v>Free units do not add paid sales; discounts may already absorb the apparent spread</x:v>
      </x:c>
      <x:c r="E9" s="7" t="str">
        <x:v>GSK brand-level paid/free and rebate data not verified.</x:v>
      </x:c>
      <x:c r="F9" s="2"/>
      <x:c r="G9" s="2"/>
      <x:c r="H9" s="2"/>
      <x:c r="I9" s="2"/>
      <x:c r="J9" s="2"/>
      <x:c r="K9" s="2"/>
      <x:c r="L9" s="2"/>
    </x:row>
    <x:row r="10" ht="90" customHeight="1">
      <x:c r="A10" s="7" t="str">
        <x:v>GSK portfolio mix</x:v>
      </x:c>
      <x:c r="B10" s="7" t="str">
        <x:v>Oncology relevance rises as Jemperli/Zejula scale and Blenrep launches</x:v>
      </x:c>
      <x:c r="C10" s="7" t="str">
        <x:v>GSK India over time if commercial conversion improves</x:v>
      </x:c>
      <x:c r="D10" s="7" t="str">
        <x:v>Current small innovation mix limits immediate company-level effect</x:v>
      </x:c>
      <x:c r="E10" s="7" t="str">
        <x:v>Q4FY26 innovation contribution6%, including non-oncology.</x:v>
      </x:c>
      <x:c r="F10" s="2"/>
      <x:c r="G10" s="2"/>
      <x:c r="H10" s="2"/>
      <x:c r="I10" s="2"/>
      <x:c r="J10" s="2"/>
      <x:c r="K10" s="2"/>
      <x:c r="L10" s="2"/>
    </x:row>
    <x:row r="11" ht="90" customHeight="1">
      <x:c r="A11" s="7" t="str">
        <x:v>AstraZeneca / Novartis</x:v>
      </x:c>
      <x:c r="B11" s="7" t="str">
        <x:v>Listed molecules include osimertinib/durvalumab and ribociclib/asciminib</x:v>
      </x:c>
      <x:c r="C11" s="7" t="str">
        <x:v>Relevant group oncology franchises, conditional on brand economics</x:v>
      </x:c>
      <x:c r="D11" s="7" t="str">
        <x:v>Patents alone do not exempt a drug; brand-specific Paragraph32 status matters</x:v>
      </x:c>
      <x:c r="E11" s="7" t="str">
        <x:v>Molecule list verified. No revenue mix or actual margin assumed.</x:v>
      </x:c>
      <x:c r="F11" s="2"/>
      <x:c r="G11" s="2"/>
      <x:c r="H11" s="2"/>
      <x:c r="I11" s="2"/>
      <x:c r="J11" s="2"/>
      <x:c r="K11" s="2"/>
      <x:c r="L11" s="2"/>
    </x:row>
    <x:row r="12" ht="90" customHeight="1">
      <x:c r="A12" s="7" t="str">
        <x:v>Pfizer / Abbott / Sanofi</x:v>
      </x:c>
      <x:c r="B12" s="7" t="str">
        <x:v>Transmission depends on the products booked by each India entity</x:v>
      </x:c>
      <x:c r="C12" s="7" t="str">
        <x:v>Specific covered assets or tax-affected products</x:v>
      </x:c>
      <x:c r="D12" s="7" t="str">
        <x:v>Parent-company portfolio can differ from listed-entity revenue</x:v>
      </x:c>
      <x:c r="E12" s="7" t="str">
        <x:v>Do not assign group oncology benefits to the listed company without entity mapping.</x:v>
      </x:c>
      <x:c r="F12" s="2"/>
      <x:c r="G12" s="2"/>
      <x:c r="H12" s="2"/>
      <x:c r="I12" s="2"/>
      <x:c r="J12" s="2"/>
      <x:c r="K12" s="2"/>
      <x:c r="L12" s="2"/>
    </x:row>
    <x:row r="13" ht="90" customHeight="1">
      <x:c r="A13" s="7" t="str">
        <x:v>Sun / Cipla / Lupin</x:v>
      </x:c>
      <x:c r="B13" s="7" t="str">
        <x:v>More affordable generics and biosimilars can capture additional treatments</x:v>
      </x:c>
      <x:c r="C13" s="7" t="str">
        <x:v>Efficient low-cost and differentiated domestic suppliers</x:v>
      </x:c>
      <x:c r="D13" s="7" t="str">
        <x:v>High-spread brands may lose channel incentive support</x:v>
      </x:c>
      <x:c r="E13" s="7" t="str">
        <x:v>No basis for treating the domestic sector as uniformly disadvantaged.</x:v>
      </x:c>
      <x:c r="F13" s="2"/>
      <x:c r="G13" s="2"/>
      <x:c r="H13" s="2"/>
      <x:c r="I13" s="2"/>
      <x:c r="J13" s="2"/>
      <x:c r="K13" s="2"/>
      <x:c r="L13" s="2"/>
    </x:row>
    <x:row r="14" ht="90" customHeight="1">
      <x:c r="A14" s="7" t="str">
        <x:v>Broader policy review</x:v>
      </x:c>
      <x:c r="B14" s="7" t="str">
        <x:v>Could extend scrutiny beyond the present list</x:v>
      </x:c>
      <x:c r="C14" s="7" t="str">
        <x:v>Patients if affordability improves</x:v>
      </x:c>
      <x:c r="D14" s="7" t="str">
        <x:v>Larger portfolio exposure, changing rules and compliance burden</x:v>
      </x:c>
      <x:c r="E14" s="7" t="str">
        <x:v>Court observations remain distinct from a notified blanket cap.</x:v>
      </x:c>
      <x:c r="F14" s="2"/>
      <x:c r="G14" s="2"/>
      <x:c r="H14" s="2"/>
      <x:c r="I14" s="2"/>
      <x:c r="J14" s="2"/>
      <x:c r="K14" s="2"/>
      <x:c r="L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</x:sheetData>
  <x:pageMargins left="0.7" right="0.7" top="0.75" bottom="0.75" header="0.3" footer="0.3"/>
</x:worksheet>
</file>