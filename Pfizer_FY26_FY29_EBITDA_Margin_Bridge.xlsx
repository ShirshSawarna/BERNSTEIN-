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a663c438d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terfall data" sheetId="1" r:id="R907768402e104c4c"/>
    <x:sheet xmlns:r="http://schemas.openxmlformats.org/officeDocument/2006/relationships" name="Bridge build" sheetId="2" r:id="Rebd6ce38bb0a4e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%"/>
    <x:numFmt numFmtId="201" formatCode="0.0"/>
    <x:numFmt numFmtId="202" formatCode="0.00"/>
    <x:numFmt numFmtId="203" formatCode="#,##0.0;(#,##0.0);–"/>
    <x:numFmt numFmtId="204" formatCode="0%"/>
    <x:numFmt numFmtId="205" formatCode="0.00%;(0.00%);0.00%"/>
    <x:numFmt numFmtId="206" formatCode="0.00;(0.00);0.00"/>
    <x:numFmt numFmtId="207" formatCode="0.0%"/>
  </x:numFmts>
  <x:fonts count="5">
    <x:font>
      <x:sz val="11"/>
      <x:name val="Carlito"/>
    </x:font>
    <x:font>
      <x:sz val="10"/>
      <x:color rgb="FF000000"/>
      <x:name val="Arial"/>
    </x:font>
    <x:font>
      <x:b/>
      <x:sz val="14"/>
      <x:color rgb="FF000000"/>
      <x:name val="Arial"/>
    </x:font>
    <x:font>
      <x:b/>
      <x:sz val="10"/>
      <x:color rgb="FF000000"/>
      <x:name val="Arial"/>
    </x:font>
    <x:font>
      <x:i/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c8b364df346e4" /><Relationship Type="http://schemas.openxmlformats.org/officeDocument/2006/relationships/theme" Target="/xl/theme/theme1.xml" Id="Rec53fe3e8a5d444c" /><Relationship Type="http://schemas.openxmlformats.org/officeDocument/2006/relationships/sharedStrings" Target="/xl/sharedStrings.xml" Id="R6e49e1d9b22e4c93" /><Relationship Type="http://schemas.openxmlformats.org/officeDocument/2006/relationships/worksheet" Target="/xl/worksheets/sheet1.xml" Id="R907768402e104c4c" /><Relationship Type="http://schemas.openxmlformats.org/officeDocument/2006/relationships/worksheet" Target="/xl/worksheets/sheet2.xml" Id="Rebd6ce38bb0a4e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8" hidden="0" customWidth="1"/>
    <x:col min="3" max="3" width="21" hidden="0" customWidth="1"/>
    <x:col min="4" max="4" width="17" hidden="0" customWidth="1"/>
    <x:col min="5" max="5" width="65" hidden="0" customWidth="1"/>
  </x:cols>
  <x:sheetData>
    <x:row r="1" ht="26" customHeight="1">
      <x:c r="A1" s="2"/>
      <x:c r="B1" s="2"/>
      <x:c r="C1" s="2"/>
      <x:c r="D1" s="2"/>
      <x:c r="E1" s="2"/>
    </x:row>
    <x:row r="2" ht="32" customHeight="1">
      <x:c r="A2" s="3" t="str">
        <x:v>Pfizer Limited EBITDA margin bridge: FY26 to FY29E</x:v>
      </x:c>
      <x:c r="B2" s="2"/>
      <x:c r="C2" s="2"/>
      <x:c r="D2" s="2"/>
      <x:c r="E2" s="2"/>
    </x:row>
    <x:row r="3" ht="26" customHeight="1">
      <x:c r="A3" s="2"/>
      <x:c r="B3" s="2"/>
      <x:c r="C3" s="2"/>
      <x:c r="D3" s="2"/>
      <x:c r="E3" s="2"/>
    </x:row>
    <x:row r="4" ht="26" customHeight="1">
      <x:c r="A4" s="2"/>
      <x:c r="B4" s="2"/>
      <x:c r="C4" s="2"/>
      <x:c r="D4" s="2"/>
      <x:c r="E4" s="2"/>
    </x:row>
    <x:row r="5" ht="38" customHeight="1">
      <x:c r="A5" s="6" t="str">
        <x:v>Waterfall step</x:v>
      </x:c>
      <x:c r="B5" s="6" t="str">
        <x:v>Chart value</x:v>
      </x:c>
      <x:c r="C5" s="6" t="str">
        <x:v>Excel treatment</x:v>
      </x:c>
      <x:c r="D5" s="6" t="str">
        <x:v>Impact (bps)</x:v>
      </x:c>
      <x:c r="E5" s="6" t="str">
        <x:v>Explanation</x:v>
      </x:c>
    </x:row>
    <x:row r="6" ht="48" customHeight="1">
      <x:c r="A6" s="7" t="str">
        <x:v>FY26 EBITDA margin</x:v>
      </x:c>
      <x:c r="B6" s="10" t="n">
        <x:f>'Bridge build'!B12</x:f>
        <x:v>0.35881570853094674</x:v>
      </x:c>
      <x:c r="C6" s="7" t="str">
        <x:v>Set as total</x:v>
      </x:c>
      <x:c r="D6" s="7"/>
      <x:c r="E6" s="7" t="str">
        <x:v>Operating EBITDA / revenue from operations</x:v>
      </x:c>
    </x:row>
    <x:row r="7" ht="48" customHeight="1">
      <x:c r="A7" s="7" t="str">
        <x:v>Cost savings (estimated)</x:v>
      </x:c>
      <x:c r="B7" s="10" t="n">
        <x:f>'Bridge build'!B26</x:f>
        <x:v>0.011010612990217166</x:v>
      </x:c>
      <x:c r="C7" s="7" t="str">
        <x:v>Increase</x:v>
      </x:c>
      <x:c r="D7" s="9" t="n">
        <x:f>B7*10000</x:f>
        <x:v>110.10612990217166</x:v>
      </x:c>
      <x:c r="E7" s="7" t="str">
        <x:v>Model FY27 absolute opex reduction assumed to persist in FY29</x:v>
      </x:c>
    </x:row>
    <x:row r="8" ht="48" customHeight="1">
      <x:c r="A8" s="7" t="str">
        <x:v>Operating leverage and mix</x:v>
      </x:c>
      <x:c r="B8" s="10" t="n">
        <x:f>'Bridge build'!B29</x:f>
        <x:v>0.015173678478836161</x:v>
      </x:c>
      <x:c r="C8" s="7" t="str">
        <x:v>Increase</x:v>
      </x:c>
      <x:c r="D8" s="9" t="n">
        <x:f>B8*10000</x:f>
        <x:v>151.7367847883616</x:v>
      </x:c>
      <x:c r="E8" s="7" t="str">
        <x:v>Expense leverage before savings, including the gross-margin offset</x:v>
      </x:c>
    </x:row>
    <x:row r="9" ht="48" customHeight="1">
      <x:c r="A9" s="7" t="str">
        <x:v>FY29E EBITDA margin</x:v>
      </x:c>
      <x:c r="B9" s="10" t="n">
        <x:f>'Bridge build'!E12</x:f>
        <x:v>0.38500000000000006</x:v>
      </x:c>
      <x:c r="C9" s="7" t="str">
        <x:v>Set as total</x:v>
      </x:c>
      <x:c r="D9" s="7"/>
      <x:c r="E9" s="7" t="str">
        <x:v>Matches the source model; excludes other income and exceptional items</x:v>
      </x:c>
    </x:row>
    <x:row r="10" ht="26" customHeight="1">
      <x:c r="A10" s="2"/>
      <x:c r="B10" s="2"/>
      <x:c r="C10" s="2"/>
      <x:c r="D10" s="2"/>
      <x:c r="E10" s="2"/>
    </x:row>
    <x:row r="11" ht="26" customHeight="1">
      <x:c r="A11" s="2" t="str">
        <x:v>Total margin expansion (bps)</x:v>
      </x:c>
      <x:c r="B11" s="11" t="n">
        <x:f>(B9-B6)*10000</x:f>
        <x:v>261.84291469053323</x:v>
      </x:c>
      <x:c r="C11" s="2"/>
      <x:c r="D11" s="2"/>
      <x:c r="E11" s="2"/>
    </x:row>
    <x:row r="12" ht="26" customHeight="1">
      <x:c r="A12" s="2" t="str">
        <x:v>Bridge reconciliation (bps)</x:v>
      </x:c>
      <x:c r="B12" s="11" t="n">
        <x:f>(B6+B7+B8-B9)*10000</x:f>
        <x:v>0</x:v>
      </x:c>
      <x:c r="C12" s="2"/>
      <x:c r="D12" s="2"/>
      <x:c r="E12" s="2"/>
    </x:row>
    <x:row r="13" ht="26" customHeight="1">
      <x:c r="A13" s="2"/>
      <x:c r="B13" s="2"/>
      <x:c r="C13" s="2"/>
      <x:c r="D13" s="2"/>
      <x:c r="E13" s="2"/>
    </x:row>
    <x:row r="14" ht="36" customHeight="1">
      <x:c r="A14" s="7" t="str">
        <x:v>Select A5:B9 for an Excel waterfall. Set FY26 and FY29E as totals. The two middle bars are percentage-point contributions stored as percentages.</x:v>
      </x:c>
      <x:c r="B14" s="2"/>
      <x:c r="C14" s="2"/>
      <x:c r="D14" s="2"/>
      <x:c r="E14" s="2"/>
    </x:row>
    <x:row r="15" ht="26" customHeight="1">
      <x:c r="A15" s="2"/>
      <x:c r="B15" s="2"/>
      <x:c r="C15" s="2"/>
      <x:c r="D15" s="2"/>
      <x:c r="E15" s="2"/>
    </x:row>
    <x:row r="16" ht="45" customHeight="1">
      <x:c r="A16" s="7" t="str">
        <x:v>The endpoints and total expansion come directly from the model. The driver allocation is an analyst estimate: the model does not separately quantify cost-saving programmes. The Bridge build tab shows the assumption and calculation.</x:v>
      </x:c>
      <x:c r="B16" s="2"/>
      <x:c r="C16" s="2"/>
      <x:c r="D16" s="2"/>
      <x:c r="E16" s="2"/>
    </x:row>
    <x:row r="17" ht="26" customHeight="1">
      <x:c r="A17" s="2"/>
      <x:c r="B17" s="2"/>
      <x:c r="C17" s="2"/>
      <x:c r="D17" s="2"/>
      <x:c r="E17" s="2"/>
    </x:row>
    <x:row r="18" ht="38" customHeight="1">
      <x:c r="A18" s="7" t="str">
        <x:v>The source model assumes gross margin falls slightly by FY29E. This drag is included within operating leverage and mix; no incremental gross-margin benefit has been added.</x:v>
      </x:c>
      <x:c r="B18" s="2"/>
      <x:c r="C18" s="2"/>
      <x:c r="D18" s="2"/>
      <x:c r="E18" s="2"/>
    </x:row>
    <x:row r="19" ht="26" customHeight="1">
      <x:c r="A19" s="2"/>
      <x:c r="B19" s="2"/>
      <x:c r="C19" s="2"/>
      <x:c r="D19" s="2"/>
      <x:c r="E19" s="2"/>
    </x:row>
  </x:sheetData>
  <x:mergeCells>
    <x:mergeCell ref="A14:E14"/>
    <x:mergeCell ref="A16:E16"/>
    <x:mergeCell ref="A18:E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" hidden="0" customWidth="1"/>
    <x:col min="7" max="7" width="8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</x:row>
    <x:row r="2" ht="32" customHeight="1">
      <x:c r="A2" s="3" t="str">
        <x:v>Model inputs and margin bridge calculation</x:v>
      </x:c>
      <x:c r="B2" s="2"/>
      <x:c r="C2" s="2"/>
      <x:c r="D2" s="2"/>
      <x:c r="E2" s="2"/>
      <x:c r="F2" s="2"/>
      <x:c r="G2" s="2"/>
    </x:row>
    <x:row r="3" ht="38" customHeight="1">
      <x:c r="A3" s="7" t="str">
        <x:v>Source: PFZ_Rev.xlsx, version 2, model information cutoff 18 September 2026. Values are copied from the model snapshot; the source model is unchanged. INR million unless stated.</x:v>
      </x:c>
      <x:c r="B3" s="2"/>
      <x:c r="C3" s="2"/>
      <x:c r="D3" s="2"/>
      <x:c r="E3" s="2"/>
      <x:c r="F3" s="2"/>
      <x:c r="G3" s="2"/>
    </x:row>
    <x:row r="4" ht="26" customHeight="1">
      <x:c r="A4" s="2"/>
      <x:c r="B4" s="2"/>
      <x:c r="C4" s="2"/>
      <x:c r="D4" s="2"/>
      <x:c r="E4" s="2"/>
      <x:c r="F4" s="2"/>
      <x:c r="G4" s="2"/>
    </x:row>
    <x:row r="5" ht="38" customHeight="1">
      <x:c r="A5" s="6" t="str">
        <x:v>Source-model line item</x:v>
      </x:c>
      <x:c r="B5" s="6" t="str">
        <x:v>FY26A</x:v>
      </x:c>
      <x:c r="C5" s="6" t="str">
        <x:v>FY27E</x:v>
      </x:c>
      <x:c r="D5" s="6" t="str">
        <x:v>FY28E</x:v>
      </x:c>
      <x:c r="E5" s="6" t="str">
        <x:v>FY29E</x:v>
      </x:c>
      <x:c r="F5" s="2"/>
      <x:c r="G5" s="2"/>
    </x:row>
    <x:row r="6" ht="26" customHeight="1">
      <x:c r="A6" s="2" t="str">
        <x:v>Revenue from operations</x:v>
      </x:c>
      <x:c r="B6" s="12" t="n">
        <x:v>25196.499999999996</x:v>
      </x:c>
      <x:c r="C6" s="12" t="n">
        <x:v>26037.863573425682</x:v>
      </x:c>
      <x:c r="D6" s="12" t="n">
        <x:v>27509.535610356248</x:v>
      </x:c>
      <x:c r="E6" s="12" t="n">
        <x:v>30366.389466143835</x:v>
      </x:c>
      <x:c r="F6" s="2"/>
      <x:c r="G6" s="7" t="str">
        <x:v>Source: PFZ_Rev.xlsx, Schedules!G39:J39</x:v>
      </x:c>
    </x:row>
    <x:row r="7" ht="26" customHeight="1">
      <x:c r="A7" s="2" t="str">
        <x:v>Cost of goods sold</x:v>
      </x:c>
      <x:c r="B7" s="12" t="n">
        <x:v>8843.1</x:v>
      </x:c>
      <x:c r="C7" s="12" t="n">
        <x:v>9373.630886433246</x:v>
      </x:c>
      <x:c r="D7" s="12" t="n">
        <x:v>9765.885141676468</x:v>
      </x:c>
      <x:c r="E7" s="12" t="n">
        <x:v>10688.969092082629</x:v>
      </x:c>
      <x:c r="F7" s="2"/>
      <x:c r="G7" s="7" t="str">
        <x:v>Source: PFZ_Rev.xlsx, Schedules!G40:J40</x:v>
      </x:c>
    </x:row>
    <x:row r="8" ht="26" customHeight="1">
      <x:c r="A8" s="2" t="str">
        <x:v>Employee benefits expense</x:v>
      </x:c>
      <x:c r="B8" s="12" t="n">
        <x:v>3679.7</x:v>
      </x:c>
      <x:c r="C8" s="12" t="n">
        <x:v>3463.0358552656157</x:v>
      </x:c>
      <x:c r="D8" s="12" t="n">
        <x:v>3631.258700567025</x:v>
      </x:c>
      <x:c r="E8" s="12" t="n">
        <x:v>3977.9970200648427</x:v>
      </x:c>
      <x:c r="F8" s="2"/>
      <x:c r="G8" s="7" t="str">
        <x:v>Source: PFZ_Rev.xlsx, Schedules!G42:J42</x:v>
      </x:c>
    </x:row>
    <x:row r="9" ht="26" customHeight="1">
      <x:c r="A9" s="2" t="str">
        <x:v>Other operating expenses</x:v>
      </x:c>
      <x:c r="B9" s="12" t="n">
        <x:v>3632.8</x:v>
      </x:c>
      <x:c r="C9" s="12" t="n">
        <x:v>3515.111582412467</x:v>
      </x:c>
      <x:c r="D9" s="12" t="n">
        <x:v>3658.7682361773814</x:v>
      </x:c>
      <x:c r="E9" s="12" t="n">
        <x:v>4008.3634095309862</x:v>
      </x:c>
      <x:c r="F9" s="2"/>
      <x:c r="G9" s="7" t="str">
        <x:v>Source: PFZ_Rev.xlsx, Schedules!G43:J43</x:v>
      </x:c>
    </x:row>
    <x:row r="10" ht="26" customHeight="1">
      <x:c r="A10" s="2" t="str">
        <x:v>EBITDA in source model</x:v>
      </x:c>
      <x:c r="B10" s="12" t="n">
        <x:v>9040.899999999998</x:v>
      </x:c>
      <x:c r="C10" s="12" t="n">
        <x:v>9686.085249314354</x:v>
      </x:c>
      <x:c r="D10" s="12" t="n">
        <x:v>10453.623531935373</x:v>
      </x:c>
      <x:c r="E10" s="12" t="n">
        <x:v>11691.059944465378</x:v>
      </x:c>
      <x:c r="F10" s="2"/>
      <x:c r="G10" s="7" t="str">
        <x:v>Source: PFZ_Rev.xlsx, Schedules!G44:J44</x:v>
      </x:c>
    </x:row>
    <x:row r="11" ht="26" customHeight="1">
      <x:c r="A11" s="2" t="str">
        <x:v>Calculated EBITDA</x:v>
      </x:c>
      <x:c r="B11" s="12" t="n">
        <x:f>B6-B7-B8-B9</x:f>
        <x:v>9040.899999999998</x:v>
      </x:c>
      <x:c r="C11" s="12" t="n">
        <x:f>C6-C7-C8-C9</x:f>
        <x:v>9686.085249314354</x:v>
      </x:c>
      <x:c r="D11" s="12" t="n">
        <x:f>D6-D7-D8-D9</x:f>
        <x:v>10453.623531935373</x:v>
      </x:c>
      <x:c r="E11" s="12" t="n">
        <x:f>E6-E7-E8-E9</x:f>
        <x:v>11691.059944465378</x:v>
      </x:c>
      <x:c r="F11" s="2"/>
      <x:c r="G11" s="7"/>
    </x:row>
    <x:row r="12" ht="26" customHeight="1">
      <x:c r="A12" s="14" t="str">
        <x:v>EBITDA margin</x:v>
      </x:c>
      <x:c r="B12" s="15" t="n">
        <x:f>B11/B6</x:f>
        <x:v>0.35881570853094674</x:v>
      </x:c>
      <x:c r="C12" s="15" t="n">
        <x:f>C11/C6</x:f>
        <x:v>0.372</x:v>
      </x:c>
      <x:c r="D12" s="15" t="n">
        <x:f>D11/D6</x:f>
        <x:v>0.37999999999999995</x:v>
      </x:c>
      <x:c r="E12" s="15" t="n">
        <x:f>E11/E6</x:f>
        <x:v>0.38500000000000006</x:v>
      </x:c>
      <x:c r="F12" s="2"/>
      <x:c r="G12" s="7"/>
    </x:row>
    <x:row r="13" ht="26" customHeight="1">
      <x:c r="A13" s="14" t="str">
        <x:v>Gross margin</x:v>
      </x:c>
      <x:c r="B13" s="15" t="n">
        <x:f>1-B7/B6</x:f>
        <x:v>0.6490345881372412</x:v>
      </x:c>
      <x:c r="C13" s="15" t="n">
        <x:f>1-C7/C6</x:f>
        <x:v>0.64</x:v>
      </x:c>
      <x:c r="D13" s="15" t="n">
        <x:f>1-D7/D6</x:f>
        <x:v>0.645</x:v>
      </x:c>
      <x:c r="E13" s="15" t="n">
        <x:f>1-E7/E6</x:f>
        <x:v>0.648</x:v>
      </x:c>
      <x:c r="F13" s="2"/>
      <x:c r="G13" s="7"/>
    </x:row>
    <x:row r="14" ht="26" customHeight="1">
      <x:c r="A14" s="14" t="str">
        <x:v>Employee expense / revenue</x:v>
      </x:c>
      <x:c r="B14" s="15" t="n">
        <x:f>B8/B6</x:f>
        <x:v>0.14604012462048302</x:v>
      </x:c>
      <x:c r="C14" s="15" t="n">
        <x:f>C8/C6</x:f>
        <x:v>0.133</x:v>
      </x:c>
      <x:c r="D14" s="15" t="n">
        <x:f>D8/D6</x:f>
        <x:v>0.132</x:v>
      </x:c>
      <x:c r="E14" s="15" t="n">
        <x:f>E8/E6</x:f>
        <x:v>0.131</x:v>
      </x:c>
      <x:c r="F14" s="2"/>
      <x:c r="G14" s="7"/>
    </x:row>
    <x:row r="15" ht="26" customHeight="1">
      <x:c r="A15" s="14" t="str">
        <x:v>Other opex / revenue</x:v>
      </x:c>
      <x:c r="B15" s="15" t="n">
        <x:f>B9/B6</x:f>
        <x:v>0.14417875498581154</x:v>
      </x:c>
      <x:c r="C15" s="15" t="n">
        <x:f>C9/C6</x:f>
        <x:v>0.135</x:v>
      </x:c>
      <x:c r="D15" s="15" t="n">
        <x:f>D9/D6</x:f>
        <x:v>0.133</x:v>
      </x:c>
      <x:c r="E15" s="15" t="n">
        <x:f>E9/E6</x:f>
        <x:v>0.132</x:v>
      </x:c>
      <x:c r="F15" s="2"/>
      <x:c r="G15" s="7"/>
    </x:row>
    <x:row r="16" ht="26" customHeight="1">
      <x:c r="A16" s="2" t="str">
        <x:v>Employee + other operating costs</x:v>
      </x:c>
      <x:c r="B16" s="12" t="n">
        <x:f>SUM(B8:B9)</x:f>
        <x:v>7312.5</x:v>
      </x:c>
      <x:c r="C16" s="12" t="n">
        <x:f>SUM(C8:C9)</x:f>
        <x:v>6978.1474376780825</x:v>
      </x:c>
      <x:c r="D16" s="12" t="n">
        <x:f>SUM(D8:D9)</x:f>
        <x:v>7290.026936744406</x:v>
      </x:c>
      <x:c r="E16" s="12" t="n">
        <x:f>SUM(E8:E9)</x:f>
        <x:v>7986.3604295958285</x:v>
      </x:c>
      <x:c r="F16" s="2"/>
      <x:c r="G16" s="7"/>
    </x:row>
    <x:row r="17" ht="26" customHeight="1">
      <x:c r="A17" s="2"/>
      <x:c r="B17" s="2"/>
      <x:c r="C17" s="2"/>
      <x:c r="D17" s="2"/>
      <x:c r="E17" s="2"/>
      <x:c r="F17" s="2"/>
      <x:c r="G17" s="7"/>
    </x:row>
    <x:row r="18" ht="26" customHeight="1">
      <x:c r="A18" s="4" t="str">
        <x:v>Estimated savings allocation</x:v>
      </x:c>
      <x:c r="B18" s="2"/>
      <x:c r="C18" s="2"/>
      <x:c r="D18" s="2"/>
      <x:c r="E18" s="2"/>
      <x:c r="F18" s="2"/>
      <x:c r="G18" s="7"/>
    </x:row>
    <x:row r="19" ht="46" customHeight="1">
      <x:c r="A19" s="2" t="str">
        <x:v>Savings retention in FY29</x:v>
      </x:c>
      <x:c r="B19" s="16" t="n">
        <x:v>1</x:v>
      </x:c>
      <x:c r="C19" s="2"/>
      <x:c r="D19" s="2"/>
      <x:c r="E19" s="2"/>
      <x:c r="F19" s="2"/>
      <x:c r="G19" s="7" t="str">
        <x:v>Analyst assumption: 100% of the modelled FY27 nominal expense reduction persists in FY29, without inflation uplift. Editable.</x:v>
      </x:c>
    </x:row>
    <x:row r="20" ht="26" customHeight="1">
      <x:c r="A20" s="2" t="str">
        <x:v>FY27 employee cost reduction</x:v>
      </x:c>
      <x:c r="B20" s="12" t="n">
        <x:f>MAX(0,B8-C8)</x:f>
        <x:v>216.66414473438408</x:v>
      </x:c>
      <x:c r="C20" s="2"/>
      <x:c r="D20" s="2"/>
      <x:c r="E20" s="2"/>
      <x:c r="F20" s="2"/>
      <x:c r="G20" s="7"/>
    </x:row>
    <x:row r="21" ht="26" customHeight="1">
      <x:c r="A21" s="2" t="str">
        <x:v>FY27 other opex reduction</x:v>
      </x:c>
      <x:c r="B21" s="12" t="n">
        <x:f>MAX(0,B9-C9)</x:f>
        <x:v>117.68841758753297</x:v>
      </x:c>
      <x:c r="C21" s="2"/>
      <x:c r="D21" s="2"/>
      <x:c r="E21" s="2"/>
      <x:c r="F21" s="2"/>
      <x:c r="G21" s="7"/>
    </x:row>
    <x:row r="22" ht="46" customHeight="1">
      <x:c r="A22" s="2" t="str">
        <x:v>FY27 total cost reduction proxy</x:v>
      </x:c>
      <x:c r="B22" s="12" t="n">
        <x:f>SUM(B20:B21)</x:f>
        <x:v>334.35256232191705</x:v>
      </x:c>
      <x:c r="C22" s="2"/>
      <x:c r="D22" s="2"/>
      <x:c r="E22" s="2"/>
      <x:c r="F22" s="2"/>
      <x:c r="G22" s="7" t="str">
        <x:v>Proxy based on the first forecast-year absolute cost reduction. This is not a disclosed or separately scheduled restructuring saving.</x:v>
      </x:c>
    </x:row>
    <x:row r="23" ht="26" customHeight="1">
      <x:c r="A23" s="2" t="str">
        <x:v>Savings carried into FY29</x:v>
      </x:c>
      <x:c r="B23" s="12" t="n">
        <x:f>B22*B19</x:f>
        <x:v>334.35256232191705</x:v>
      </x:c>
      <x:c r="C23" s="2"/>
      <x:c r="D23" s="2"/>
      <x:c r="E23" s="2"/>
      <x:c r="F23" s="2"/>
      <x:c r="G23" s="7"/>
    </x:row>
    <x:row r="24" ht="46" customHeight="1">
      <x:c r="A24" s="2" t="str">
        <x:v>FY29 opex before estimated savings</x:v>
      </x:c>
      <x:c r="B24" s="12" t="n">
        <x:f>E16+B23</x:f>
        <x:v>8320.712991917746</x:v>
      </x:c>
      <x:c r="C24" s="2"/>
      <x:c r="D24" s="2"/>
      <x:c r="E24" s="2"/>
      <x:c r="F24" s="2"/>
      <x:c r="G24" s="7" t="str">
        <x:v>Counterfactual FY29 operating costs = modelled FY29 costs plus estimated persistent savings.</x:v>
      </x:c>
    </x:row>
    <x:row r="25" ht="26" customHeight="1">
      <x:c r="A25" s="2"/>
      <x:c r="B25" s="2"/>
      <x:c r="C25" s="2"/>
      <x:c r="D25" s="4" t="str">
        <x:v>Impact (bps)</x:v>
      </x:c>
      <x:c r="E25" s="2"/>
      <x:c r="F25" s="2"/>
      <x:c r="G25" s="7"/>
    </x:row>
    <x:row r="26" ht="26" customHeight="1">
      <x:c r="A26" s="2" t="str">
        <x:v>Cost savings: margin contribution</x:v>
      </x:c>
      <x:c r="B26" s="17" t="n">
        <x:f>B23/E6</x:f>
        <x:v>0.011010612990217166</x:v>
      </x:c>
      <x:c r="C26" s="2"/>
      <x:c r="D26" s="18" t="n">
        <x:f>B26*10000</x:f>
        <x:v>110.10612990217166</x:v>
      </x:c>
      <x:c r="E26" s="2"/>
      <x:c r="F26" s="2"/>
      <x:c r="G26" s="7"/>
    </x:row>
    <x:row r="27" ht="46" customHeight="1">
      <x:c r="A27" s="2" t="str">
        <x:v>Operating leverage before savings</x:v>
      </x:c>
      <x:c r="B27" s="17" t="n">
        <x:f>B16/B6-B24/E6</x:f>
        <x:v>0.016208266616077383</x:v>
      </x:c>
      <x:c r="C27" s="2"/>
      <x:c r="D27" s="18" t="n">
        <x:f>B27*10000</x:f>
        <x:v>162.0826661607738</x:v>
      </x:c>
      <x:c r="E27" s="2"/>
      <x:c r="F27" s="2"/>
      <x:c r="G27" s="7" t="str">
        <x:v>FY26 opex / FY26 revenue less FY29 counterfactual opex / FY29 revenue. Avoids double-counting the savings bar.</x:v>
      </x:c>
    </x:row>
    <x:row r="28" ht="46" customHeight="1">
      <x:c r="A28" s="2" t="str">
        <x:v>Gross-margin / mix contribution</x:v>
      </x:c>
      <x:c r="B28" s="17" t="n">
        <x:f>E13-B13</x:f>
        <x:v>-0.0010345881372412213</x:v>
      </x:c>
      <x:c r="C28" s="2"/>
      <x:c r="D28" s="18" t="n">
        <x:f>B28*10000</x:f>
        <x:v>-10.345881372412213</x:v>
      </x:c>
      <x:c r="E28" s="2"/>
      <x:c r="F28" s="2"/>
      <x:c r="G28" s="7" t="str">
        <x:v>Direct gross-margin change in the source model; the model does not isolate a specialty-specific gross-margin contribution.</x:v>
      </x:c>
    </x:row>
    <x:row r="29" ht="26" customHeight="1">
      <x:c r="A29" s="2" t="str">
        <x:v>Operating leverage and mix, net</x:v>
      </x:c>
      <x:c r="B29" s="17" t="n">
        <x:f>SUM(B27:B28)</x:f>
        <x:v>0.015173678478836161</x:v>
      </x:c>
      <x:c r="C29" s="2"/>
      <x:c r="D29" s="18" t="n">
        <x:f>B29*10000</x:f>
        <x:v>151.7367847883616</x:v>
      </x:c>
      <x:c r="E29" s="2"/>
      <x:c r="F29" s="2"/>
      <x:c r="G29" s="7"/>
    </x:row>
    <x:row r="30" ht="26" customHeight="1">
      <x:c r="A30" s="2" t="str">
        <x:v>Total margin expansion</x:v>
      </x:c>
      <x:c r="B30" s="17" t="n">
        <x:f>B26+B29</x:f>
        <x:v>0.02618429146905333</x:v>
      </x:c>
      <x:c r="C30" s="2"/>
      <x:c r="D30" s="18" t="n">
        <x:f>B30*10000</x:f>
        <x:v>261.8429146905333</x:v>
      </x:c>
      <x:c r="E30" s="2"/>
      <x:c r="F30" s="2"/>
      <x:c r="G30" s="7"/>
    </x:row>
    <x:row r="31" ht="26" customHeight="1">
      <x:c r="A31" s="2" t="str">
        <x:v>Bridge difference vs model</x:v>
      </x:c>
      <x:c r="B31" s="17" t="n">
        <x:f>B12+B30-E12</x:f>
        <x:v>0</x:v>
      </x:c>
      <x:c r="C31" s="2"/>
      <x:c r="D31" s="18" t="n">
        <x:f>B31*10000</x:f>
        <x:v>0</x:v>
      </x:c>
      <x:c r="E31" s="2"/>
      <x:c r="F31" s="2"/>
      <x:c r="G31" s="7"/>
    </x:row>
    <x:row r="32" ht="26" customHeight="1">
      <x:c r="A32" s="2" t="str">
        <x:v>Employee ratio benefit: exact</x:v>
      </x:c>
      <x:c r="B32" s="17" t="n">
        <x:f>B14-E14</x:f>
        <x:v>0.015040124620483014</x:v>
      </x:c>
      <x:c r="C32" s="2"/>
      <x:c r="D32" s="18" t="n">
        <x:f>B32*10000</x:f>
        <x:v>150.40124620483013</x:v>
      </x:c>
      <x:c r="E32" s="2"/>
      <x:c r="F32" s="2"/>
      <x:c r="G32" s="7"/>
    </x:row>
    <x:row r="33" ht="26" customHeight="1">
      <x:c r="A33" s="2" t="str">
        <x:v>Other opex ratio benefit: exact</x:v>
      </x:c>
      <x:c r="B33" s="17" t="n">
        <x:f>B15-E15</x:f>
        <x:v>0.01217875498581153</x:v>
      </x:c>
      <x:c r="C33" s="2"/>
      <x:c r="D33" s="18" t="n">
        <x:f>B33*10000</x:f>
        <x:v>121.7875498581153</x:v>
      </x:c>
      <x:c r="E33" s="2"/>
      <x:c r="F33" s="2"/>
      <x:c r="G33" s="7"/>
    </x:row>
    <x:row r="34" ht="26" customHeight="1">
      <x:c r="A34" s="2" t="str">
        <x:v>Gross margin: exact</x:v>
      </x:c>
      <x:c r="B34" s="17" t="n">
        <x:f>E13-B13</x:f>
        <x:v>-0.0010345881372412213</x:v>
      </x:c>
      <x:c r="C34" s="2"/>
      <x:c r="D34" s="18" t="n">
        <x:f>B34*10000</x:f>
        <x:v>-10.345881372412213</x:v>
      </x:c>
      <x:c r="E34" s="2"/>
      <x:c r="F34" s="2"/>
      <x:c r="G34" s="7"/>
    </x:row>
    <x:row r="35" ht="26" customHeight="1">
      <x:c r="A35" s="2" t="str">
        <x:v>Exact line-item expansion check</x:v>
      </x:c>
      <x:c r="B35" s="17" t="n">
        <x:f>SUM(B32:B34)-B30</x:f>
        <x:v>-6.938893903907228e-18</x:v>
      </x:c>
      <x:c r="C35" s="2"/>
      <x:c r="D35" s="18" t="n">
        <x:f>B35*10000</x:f>
        <x:v>-6.938893903907228e-14</x:v>
      </x:c>
      <x:c r="E35" s="2"/>
      <x:c r="F35" s="2"/>
      <x:c r="G35" s="7"/>
    </x:row>
    <x:row r="36" ht="26" customHeight="1">
      <x:c r="A36" s="2"/>
      <x:c r="B36" s="2"/>
      <x:c r="C36" s="2"/>
      <x:c r="D36" s="2"/>
      <x:c r="E36" s="2"/>
      <x:c r="F36" s="2"/>
      <x:c r="G36" s="7"/>
    </x:row>
    <x:row r="37" ht="26" customHeight="1">
      <x:c r="A37" s="2"/>
      <x:c r="B37" s="2"/>
      <x:c r="C37" s="2"/>
      <x:c r="D37" s="2"/>
      <x:c r="E37" s="2"/>
      <x:c r="F37" s="2"/>
      <x:c r="G37" s="7"/>
    </x:row>
    <x:row r="38" ht="42" customHeight="1">
      <x:c r="A38" s="6" t="str">
        <x:v>Selected newer launches: model revenue</x:v>
      </x:c>
      <x:c r="B38" s="6" t="str">
        <x:v>FY26A</x:v>
      </x:c>
      <x:c r="C38" s="6" t="str">
        <x:v>FY27E</x:v>
      </x:c>
      <x:c r="D38" s="6" t="str">
        <x:v>FY28E</x:v>
      </x:c>
      <x:c r="E38" s="6" t="str">
        <x:v>FY29E</x:v>
      </x:c>
      <x:c r="F38" s="2"/>
      <x:c r="G38" s="7"/>
    </x:row>
    <x:row r="39" ht="46" customHeight="1">
      <x:c r="A39" s="2" t="str">
        <x:v>Prevenar 20</x:v>
      </x:c>
      <x:c r="B39" s="12" t="n">
        <x:v>820</x:v>
      </x:c>
      <x:c r="C39" s="12" t="n">
        <x:v>1140.21</x:v>
      </x:c>
      <x:c r="D39" s="12" t="n">
        <x:v>1585.4620050000008</x:v>
      </x:c>
      <x:c r="E39" s="12" t="n">
        <x:v>2204.5849179525017</x:v>
      </x:c>
      <x:c r="F39" s="2"/>
      <x:c r="G39" s="7" t="str">
        <x:v>Source: PFZ_Rev.xlsx, Revenue Model!F19, K19, P19, Q19</x:v>
      </x:c>
    </x:row>
    <x:row r="40" ht="46" customHeight="1">
      <x:c r="A40" s="2" t="str">
        <x:v>Emblaveo</x:v>
      </x:c>
      <x:c r="B40" s="12" t="n">
        <x:v>180</x:v>
      </x:c>
      <x:c r="C40" s="12" t="n">
        <x:v>267.525</x:v>
      </x:c>
      <x:c r="D40" s="12" t="n">
        <x:v>397.60903124999993</x:v>
      </x:c>
      <x:c r="E40" s="12" t="n">
        <x:v>590.9464226953123</x:v>
      </x:c>
      <x:c r="F40" s="2"/>
      <x:c r="G40" s="7" t="str">
        <x:v>Source: PFZ_Rev.xlsx, Revenue Model!F29, K29, P29, Q29</x:v>
      </x:c>
    </x:row>
    <x:row r="41" ht="46" customHeight="1">
      <x:c r="A41" s="2" t="str">
        <x:v>Nurtec</x:v>
      </x:c>
      <x:c r="B41" s="12" t="n">
        <x:v>80</x:v>
      </x:c>
      <x:c r="C41" s="12" t="n">
        <x:v>127.1</x:v>
      </x:c>
      <x:c r="D41" s="12" t="n">
        <x:v>201.93012499999998</x:v>
      </x:c>
      <x:c r="E41" s="12" t="n">
        <x:v>320.8164860937499</x:v>
      </x:c>
      <x:c r="F41" s="2"/>
      <x:c r="G41" s="7" t="str">
        <x:v>Source: PFZ_Rev.xlsx, Revenue Model!F73, K73, P73, Q73</x:v>
      </x:c>
    </x:row>
    <x:row r="42" ht="26" customHeight="1">
      <x:c r="A42" s="2" t="str">
        <x:v>Selected-launch revenue</x:v>
      </x:c>
      <x:c r="B42" s="12" t="n">
        <x:f>SUM(B39:B41)</x:f>
        <x:v>1080</x:v>
      </x:c>
      <x:c r="C42" s="12" t="n">
        <x:f>SUM(C39:C41)</x:f>
        <x:v>1534.835</x:v>
      </x:c>
      <x:c r="D42" s="12" t="n">
        <x:f>SUM(D39:D41)</x:f>
        <x:v>2185.0011612500007</x:v>
      </x:c>
      <x:c r="E42" s="12" t="n">
        <x:f>SUM(E39:E41)</x:f>
        <x:v>3116.347826741564</x:v>
      </x:c>
      <x:c r="F42" s="2"/>
      <x:c r="G42" s="7"/>
    </x:row>
    <x:row r="43" ht="46" customHeight="1">
      <x:c r="A43" s="14" t="str">
        <x:v>Selected launches / total revenue</x:v>
      </x:c>
      <x:c r="B43" s="20" t="n">
        <x:f>B42/B6</x:f>
        <x:v>0.04286309606492966</x:v>
      </x:c>
      <x:c r="C43" s="20" t="n">
        <x:f>C42/C6</x:f>
        <x:v>0.05894627244173969</x:v>
      </x:c>
      <x:c r="D43" s="20" t="n">
        <x:f>D42/D6</x:f>
        <x:v>0.07942704639577539</x:v>
      </x:c>
      <x:c r="E43" s="20" t="n">
        <x:f>E42/E6</x:f>
        <x:v>0.10262490475583373</x:v>
      </x:c>
      <x:c r="F43" s="2"/>
      <x:c r="G43" s="7" t="str">
        <x:v>Supports the portfolio-growth narrative. These product revenues do not establish product-level margins, which the model does not forecast.</x:v>
      </x:c>
    </x:row>
    <x:row r="44" ht="26" customHeight="1">
      <x:c r="A44" s="2"/>
      <x:c r="B44" s="2"/>
      <x:c r="C44" s="2"/>
      <x:c r="D44" s="2"/>
      <x:c r="E44" s="2"/>
      <x:c r="F44" s="2"/>
      <x:c r="G44" s="2"/>
    </x:row>
    <x:row r="45" ht="26" customHeight="1">
      <x:c r="A45" s="2"/>
      <x:c r="B45" s="2"/>
      <x:c r="C45" s="2"/>
      <x:c r="D45" s="2"/>
      <x:c r="E45" s="2"/>
      <x:c r="F45" s="2"/>
      <x:c r="G45" s="2"/>
    </x:row>
    <x:row r="46" ht="26" customHeight="1">
      <x:c r="A46" s="2"/>
      <x:c r="B46" s="2"/>
      <x:c r="C46" s="2"/>
      <x:c r="D46" s="2"/>
      <x:c r="E46" s="2"/>
      <x:c r="F46" s="2"/>
      <x:c r="G46" s="2"/>
    </x:row>
  </x:sheetData>
  <x:mergeCells>
    <x:mergeCell ref="A3:G3"/>
  </x:mergeCells>
  <x:pageMargins left="0.7" right="0.7" top="0.75" bottom="0.75" header="0.3" footer="0.3"/>
</x:worksheet>
</file>