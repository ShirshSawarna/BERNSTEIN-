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8ebb9ddf6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Assumptions" sheetId="1" r:id="R2446abdff331488b"/>
    <x:sheet xmlns:r="http://schemas.openxmlformats.org/officeDocument/2006/relationships" name="Revenue Model" sheetId="2" r:id="Rcb14852bb3574961"/>
    <x:sheet xmlns:r="http://schemas.openxmlformats.org/officeDocument/2006/relationships" name="Three Statements" sheetId="3" r:id="R000cc33edd694f81"/>
    <x:sheet xmlns:r="http://schemas.openxmlformats.org/officeDocument/2006/relationships" name="Supporting Schedules" sheetId="4" r:id="R168d9d7d92094736"/>
    <x:sheet xmlns:r="http://schemas.openxmlformats.org/officeDocument/2006/relationships" name="Sources &amp; Checks" sheetId="5" r:id="Rc17fcfdad06a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;[Red](0.0);-"/>
    <x:numFmt numFmtId="203" formatCode="0.0"/>
    <x:numFmt numFmtId="204" formatCode="0.000"/>
  </x:numFmts>
  <x:fonts count="1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sz val="10"/>
      <x:color rgb="FF008000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i/>
      <x:sz val="11"/>
      <x:color rgb="FF595959"/>
      <x:name val="Carlito"/>
    </x:font>
    <x:font>
      <x:i/>
      <x:sz val="10"/>
      <x:color rgb="FF595959"/>
      <x:name val="Arial"/>
    </x:font>
    <x:font>
      <x:sz val="8"/>
      <x:color rgb="FF595959"/>
      <x:name val="Arial"/>
    </x:font>
    <x:font>
      <x:sz val="8"/>
      <x:color rgb="FF595959"/>
      <x:name val="Carlito"/>
    </x:font>
    <x:font>
      <x:b/>
      <x:sz val="10"/>
      <x:color rgb="FF0B4F3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B4F3A"/>
      </x:patternFill>
    </x:fill>
    <x:fill>
      <x:patternFill patternType="solid">
        <x:fgColor rgb="FF595959"/>
      </x:patternFill>
    </x:fill>
    <x:fill>
      <x:patternFill patternType="solid">
        <x:fgColor rgb="FFB7B7B7"/>
      </x:patternFill>
    </x:fill>
    <x:fill>
      <x:patternFill patternType="solid">
        <x:fgColor rgb="FFF7F7F7"/>
      </x:patternFill>
    </x:fill>
    <x:fill>
      <x:patternFill patternType="solid">
        <x:fgColor rgb="FFFBFEF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EF7F2"/>
      </x:patternFill>
    </x:fill>
  </x:fills>
  <x:borders count="6">
    <x:border/>
    <x:border/>
    <x:border>
      <x:top style="thin">
        <x:color rgb="FF595959"/>
      </x:top>
    </x:border>
    <x:border>
      <x:top style="thin">
        <x:color rgb="FF595959"/>
      </x:top>
    </x:border>
    <x:border>
      <x:bottom style="hair">
        <x:color rgb="FFB7B7B7"/>
      </x:bottom>
    </x:border>
    <x:border>
      <x:bottom style="hair">
        <x:color rgb="FFB7B7B7"/>
      </x:bottom>
    </x:border>
  </x:borders>
  <x:cellStyleXfs count="1">
    <x:xf numFmtId="0" fontId="0" fillId="0" borderId="0"/>
  </x:cellStyleXfs>
  <x:cellXfs count="4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horizontal="right" vertical="center"/>
    </x:xf>
    <x:xf numFmtId="0" fontId="2" fillId="4" borderId="1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right"/>
    </x:xf>
    <x:xf numFmtId="0" fontId="4" fillId="5" borderId="1" xfId="0" applyNumberFormat="1" applyFont="1" applyFill="1" applyBorder="1" applyAlignment="1">
      <x:alignment horizontal="right"/>
    </x:xf>
    <x:xf numFmtId="0" fontId="4" fillId="6" borderId="0" xfId="0" applyNumberFormat="1" applyFont="1" applyFill="1" applyBorder="1" applyAlignment="1">
      <x:alignment horizontal="right"/>
    </x:xf>
    <x:xf numFmtId="0" fontId="4" fillId="6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right"/>
    </x:xf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right"/>
    </x:xf>
    <x:xf numFmtId="200" fontId="4" fillId="5" borderId="0" xfId="0" applyNumberFormat="1" applyFont="1" applyFill="1" applyBorder="1" applyAlignment="1">
      <x:alignment horizontal="right"/>
    </x:xf>
    <x:xf numFmtId="200" fontId="4" fillId="6" borderId="0" xfId="0" applyNumberFormat="1" applyFont="1" applyFill="1" applyBorder="1" applyAlignment="1">
      <x:alignment horizontal="right"/>
    </x:xf>
    <x:xf numFmtId="200" fontId="4" fillId="5" borderId="1" xfId="0" applyNumberFormat="1" applyFont="1" applyFill="1" applyBorder="1" applyAlignment="1">
      <x:alignment horizontal="right"/>
    </x:xf>
    <x:xf numFmtId="200" fontId="4" fillId="6" borderId="1" xfId="0" applyNumberFormat="1" applyFont="1" applyFill="1" applyBorder="1" applyAlignment="1">
      <x:alignment horizontal="right"/>
    </x:xf>
    <x:xf numFmtId="201" fontId="4" fillId="5" borderId="0" xfId="0" applyNumberFormat="1" applyFont="1" applyFill="1" applyBorder="1" applyAlignment="1">
      <x:alignment horizontal="right"/>
    </x:xf>
    <x:xf numFmtId="201" fontId="4" fillId="6" borderId="0" xfId="0" applyNumberFormat="1" applyFont="1" applyFill="1" applyBorder="1" applyAlignment="1">
      <x:alignment horizontal="right"/>
    </x:xf>
    <x:xf numFmtId="201" fontId="4" fillId="5" borderId="1" xfId="0" applyNumberFormat="1" applyFont="1" applyFill="1" applyBorder="1" applyAlignment="1">
      <x:alignment horizontal="right"/>
    </x:xf>
    <x:xf numFmtId="201" fontId="4" fillId="6" borderId="1" xfId="0" applyNumberFormat="1" applyFont="1" applyFill="1" applyBorder="1" applyAlignment="1">
      <x:alignment horizontal="right"/>
    </x:xf>
    <x:xf numFmtId="200" fontId="5" fillId="5" borderId="0" xfId="0" applyNumberFormat="1" applyFont="1" applyFill="1" applyBorder="1" applyAlignment="1">
      <x:alignment horizontal="right"/>
    </x:xf>
    <x:xf numFmtId="200" fontId="5" fillId="5" borderId="1" xfId="0" applyNumberFormat="1" applyFont="1" applyFill="1" applyBorder="1" applyAlignment="1">
      <x:alignment horizontal="right"/>
    </x:xf>
    <x:xf numFmtId="201" fontId="5" fillId="6" borderId="0" xfId="0" applyNumberFormat="1" applyFont="1" applyFill="1" applyBorder="1" applyAlignment="1">
      <x:alignment horizontal="right"/>
    </x:xf>
    <x:xf numFmtId="201" fontId="5" fillId="6" borderId="1" xfId="0" applyNumberFormat="1" applyFont="1" applyFill="1" applyBorder="1" applyAlignment="1">
      <x:alignment horizontal="right"/>
    </x:xf>
    <x:xf numFmtId="200" fontId="6" fillId="5" borderId="0" xfId="0" applyNumberFormat="1" applyFont="1" applyFill="1" applyBorder="1" applyAlignment="1">
      <x:alignment horizontal="right"/>
    </x:xf>
    <x:xf numFmtId="200" fontId="6" fillId="6" borderId="0" xfId="0" applyNumberFormat="1" applyFont="1" applyFill="1" applyBorder="1" applyAlignment="1">
      <x:alignment horizontal="right"/>
    </x:xf>
    <x:xf numFmtId="201" fontId="6" fillId="5" borderId="0" xfId="0" applyNumberFormat="1" applyFont="1" applyFill="1" applyBorder="1" applyAlignment="1">
      <x:alignment horizontal="right"/>
    </x:xf>
    <x:xf numFmtId="201" fontId="6" fillId="6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 applyAlignment="1">
      <x:alignment horizontal="left" vertical="center"/>
    </x:xf>
    <x:xf numFmtId="200" fontId="6" fillId="5" borderId="1" xfId="0" applyNumberFormat="1" applyFont="1" applyFill="1" applyBorder="1" applyAlignment="1">
      <x:alignment horizontal="right"/>
    </x:xf>
    <x:xf numFmtId="200" fontId="6" fillId="6" borderId="1" xfId="0" applyNumberFormat="1" applyFont="1" applyFill="1" applyBorder="1" applyAlignment="1">
      <x:alignment horizontal="right"/>
    </x:xf>
    <x:xf numFmtId="201" fontId="6" fillId="5" borderId="1" xfId="0" applyNumberFormat="1" applyFont="1" applyFill="1" applyBorder="1" applyAlignment="1">
      <x:alignment horizontal="right"/>
    </x:xf>
    <x:xf numFmtId="201" fontId="6" fillId="6" borderId="1" xfId="0" applyNumberFormat="1" applyFont="1" applyFill="1" applyBorder="1" applyAlignment="1">
      <x:alignment horizontal="right"/>
    </x:xf>
    <x:xf numFmtId="0" fontId="6" fillId="5" borderId="1" xfId="0" applyNumberFormat="1" applyFont="1" applyFill="1" applyBorder="1" applyAlignment="1">
      <x:alignment horizontal="right"/>
    </x:xf>
    <x:xf numFmtId="0" fontId="6" fillId="6" borderId="1" xfId="0" applyNumberFormat="1" applyFont="1" applyFill="1" applyBorder="1" applyAlignment="1">
      <x:alignment horizontal="right"/>
    </x:xf>
    <x:xf numFmtId="0" fontId="7" fillId="2" borderId="1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left"/>
    </x:xf>
    <x:xf numFmtId="200" fontId="6" fillId="5" borderId="2" xfId="0" applyNumberFormat="1" applyFont="1" applyFill="1" applyBorder="1" applyAlignment="1">
      <x:alignment horizontal="right"/>
    </x:xf>
    <x:xf numFmtId="200" fontId="6" fillId="6" borderId="2" xfId="0" applyNumberFormat="1" applyFont="1" applyFill="1" applyBorder="1" applyAlignment="1">
      <x:alignment horizontal="right"/>
    </x:xf>
    <x:xf numFmtId="0" fontId="4" fillId="0" borderId="3" xfId="0" applyNumberFormat="1" applyFont="1" applyFill="1" applyBorder="1" applyAlignment="1">
      <x:alignment horizontal="left"/>
    </x:xf>
    <x:xf numFmtId="200" fontId="6" fillId="5" borderId="3" xfId="0" applyNumberFormat="1" applyFont="1" applyFill="1" applyBorder="1" applyAlignment="1">
      <x:alignment horizontal="right"/>
    </x:xf>
    <x:xf numFmtId="200" fontId="6" fillId="6" borderId="3" xfId="0" applyNumberFormat="1" applyFont="1" applyFill="1" applyBorder="1" applyAlignment="1">
      <x:alignment horizontal="right"/>
    </x:xf>
    <x:xf numFmtId="0" fontId="8" fillId="0" borderId="2" xfId="0" applyNumberFormat="1" applyFont="1" applyFill="1" applyBorder="1" applyAlignment="1">
      <x:alignment horizontal="left"/>
    </x:xf>
    <x:xf numFmtId="200" fontId="7" fillId="5" borderId="2" xfId="0" applyNumberFormat="1" applyFont="1" applyFill="1" applyBorder="1" applyAlignment="1">
      <x:alignment horizontal="right"/>
    </x:xf>
    <x:xf numFmtId="200" fontId="7" fillId="6" borderId="2" xfId="0" applyNumberFormat="1" applyFont="1" applyFill="1" applyBorder="1" applyAlignment="1">
      <x:alignment horizontal="right"/>
    </x:xf>
    <x:xf numFmtId="0" fontId="8" fillId="0" borderId="3" xfId="0" applyNumberFormat="1" applyFont="1" applyFill="1" applyBorder="1" applyAlignment="1">
      <x:alignment horizontal="left"/>
    </x:xf>
    <x:xf numFmtId="200" fontId="7" fillId="5" borderId="3" xfId="0" applyNumberFormat="1" applyFont="1" applyFill="1" applyBorder="1" applyAlignment="1">
      <x:alignment horizontal="right"/>
    </x:xf>
    <x:xf numFmtId="200" fontId="7" fillId="6" borderId="3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right" wrapText="1"/>
    </x:xf>
    <x:xf numFmtId="0" fontId="3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right"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right"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5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0" fontId="4" fillId="0" borderId="2" xfId="0" applyNumberFormat="1" applyFont="1" applyFill="1" applyBorder="1" applyAlignment="1">
      <x:alignment horizontal="right"/>
    </x:xf>
    <x:xf numFmtId="200" fontId="4" fillId="0" borderId="3" xfId="0" applyNumberFormat="1" applyFont="1" applyFill="1" applyBorder="1" applyAlignment="1">
      <x:alignment horizontal="right"/>
    </x:xf>
    <x:xf numFmtId="200" fontId="8" fillId="0" borderId="2" xfId="0" applyNumberFormat="1" applyFont="1" applyFill="1" applyBorder="1" applyAlignment="1">
      <x:alignment horizontal="right"/>
    </x:xf>
    <x:xf numFmtId="200" fontId="8" fillId="0" borderId="3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1" xfId="0" applyNumberFormat="1" applyFont="1" applyFill="1" applyBorder="1" applyAlignment="1">
      <x:alignment horizontal="left" vertical="center"/>
    </x:xf>
    <x:xf numFmtId="203" fontId="4" fillId="5" borderId="0" xfId="0" applyNumberFormat="1" applyFont="1" applyFill="1" applyBorder="1" applyAlignment="1">
      <x:alignment horizontal="right"/>
    </x:xf>
    <x:xf numFmtId="203" fontId="4" fillId="6" borderId="0" xfId="0" applyNumberFormat="1" applyFont="1" applyFill="1" applyBorder="1" applyAlignment="1">
      <x:alignment horizontal="right"/>
    </x:xf>
    <x:xf numFmtId="203" fontId="4" fillId="5" borderId="1" xfId="0" applyNumberFormat="1" applyFont="1" applyFill="1" applyBorder="1" applyAlignment="1">
      <x:alignment horizontal="right"/>
    </x:xf>
    <x:xf numFmtId="203" fontId="4" fillId="6" borderId="1" xfId="0" applyNumberFormat="1" applyFont="1" applyFill="1" applyBorder="1" applyAlignment="1">
      <x:alignment horizontal="right"/>
    </x:xf>
    <x:xf numFmtId="204" fontId="4" fillId="5" borderId="0" xfId="0" applyNumberFormat="1" applyFont="1" applyFill="1" applyBorder="1" applyAlignment="1">
      <x:alignment horizontal="right"/>
    </x:xf>
    <x:xf numFmtId="204" fontId="4" fillId="6" borderId="0" xfId="0" applyNumberFormat="1" applyFont="1" applyFill="1" applyBorder="1" applyAlignment="1">
      <x:alignment horizontal="right"/>
    </x:xf>
    <x:xf numFmtId="204" fontId="4" fillId="5" borderId="1" xfId="0" applyNumberFormat="1" applyFont="1" applyFill="1" applyBorder="1" applyAlignment="1">
      <x:alignment horizontal="right"/>
    </x:xf>
    <x:xf numFmtId="204" fontId="4" fillId="6" borderId="1" xfId="0" applyNumberFormat="1" applyFont="1" applyFill="1" applyBorder="1" applyAlignment="1">
      <x:alignment horizontal="right"/>
    </x:xf>
    <x:xf numFmtId="203" fontId="5" fillId="5" borderId="0" xfId="0" applyNumberFormat="1" applyFont="1" applyFill="1" applyBorder="1" applyAlignment="1">
      <x:alignment horizontal="right"/>
    </x:xf>
    <x:xf numFmtId="203" fontId="5" fillId="5" borderId="1" xfId="0" applyNumberFormat="1" applyFont="1" applyFill="1" applyBorder="1" applyAlignment="1">
      <x:alignment horizontal="right"/>
    </x:xf>
    <x:xf numFmtId="203" fontId="5" fillId="6" borderId="0" xfId="0" applyNumberFormat="1" applyFont="1" applyFill="1" applyBorder="1" applyAlignment="1">
      <x:alignment horizontal="right"/>
    </x:xf>
    <x:xf numFmtId="203" fontId="5" fillId="6" borderId="1" xfId="0" applyNumberFormat="1" applyFont="1" applyFill="1" applyBorder="1" applyAlignment="1">
      <x:alignment horizontal="right"/>
    </x:xf>
    <x:xf numFmtId="200" fontId="5" fillId="6" borderId="0" xfId="0" applyNumberFormat="1" applyFont="1" applyFill="1" applyBorder="1" applyAlignment="1">
      <x:alignment horizontal="right"/>
    </x:xf>
    <x:xf numFmtId="200" fontId="5" fillId="6" borderId="1" xfId="0" applyNumberFormat="1" applyFont="1" applyFill="1" applyBorder="1" applyAlignment="1">
      <x:alignment horizontal="right"/>
    </x:xf>
    <x:xf numFmtId="201" fontId="5" fillId="5" borderId="0" xfId="0" applyNumberFormat="1" applyFont="1" applyFill="1" applyBorder="1" applyAlignment="1">
      <x:alignment horizontal="right"/>
    </x:xf>
    <x:xf numFmtId="201" fontId="5" fillId="5" borderId="1" xfId="0" applyNumberFormat="1" applyFont="1" applyFill="1" applyBorder="1" applyAlignment="1">
      <x:alignment horizontal="right"/>
    </x:xf>
    <x:xf numFmtId="0" fontId="5" fillId="5" borderId="0" xfId="0" applyNumberFormat="1" applyFont="1" applyFill="1" applyBorder="1" applyAlignment="1">
      <x:alignment horizontal="right"/>
    </x:xf>
    <x:xf numFmtId="204" fontId="5" fillId="5" borderId="0" xfId="0" applyNumberFormat="1" applyFont="1" applyFill="1" applyBorder="1" applyAlignment="1">
      <x:alignment horizontal="right"/>
    </x:xf>
    <x:xf numFmtId="0" fontId="5" fillId="5" borderId="1" xfId="0" applyNumberFormat="1" applyFont="1" applyFill="1" applyBorder="1" applyAlignment="1">
      <x:alignment horizontal="right"/>
    </x:xf>
    <x:xf numFmtId="204" fontId="5" fillId="5" borderId="1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6" borderId="0" xfId="0" applyNumberFormat="1" applyFont="1" applyFill="1" applyBorder="1" applyAlignment="1">
      <x:alignment horizontal="right"/>
    </x:xf>
    <x:xf numFmtId="200" fontId="9" fillId="5" borderId="1" xfId="0" applyNumberFormat="1" applyFont="1" applyFill="1" applyBorder="1" applyAlignment="1">
      <x:alignment horizontal="right"/>
    </x:xf>
    <x:xf numFmtId="200" fontId="9" fillId="6" borderId="1" xfId="0" applyNumberFormat="1" applyFont="1" applyFill="1" applyBorder="1" applyAlignment="1">
      <x:alignment horizontal="right"/>
    </x:xf>
    <x:xf numFmtId="200" fontId="4" fillId="5" borderId="2" xfId="0" applyNumberFormat="1" applyFont="1" applyFill="1" applyBorder="1" applyAlignment="1">
      <x:alignment horizontal="right"/>
    </x:xf>
    <x:xf numFmtId="200" fontId="4" fillId="6" borderId="2" xfId="0" applyNumberFormat="1" applyFont="1" applyFill="1" applyBorder="1" applyAlignment="1">
      <x:alignment horizontal="right"/>
    </x:xf>
    <x:xf numFmtId="200" fontId="4" fillId="5" borderId="3" xfId="0" applyNumberFormat="1" applyFont="1" applyFill="1" applyBorder="1" applyAlignment="1">
      <x:alignment horizontal="right"/>
    </x:xf>
    <x:xf numFmtId="200" fontId="4" fillId="6" borderId="3" xfId="0" applyNumberFormat="1" applyFont="1" applyFill="1" applyBorder="1" applyAlignment="1">
      <x:alignment horizontal="right"/>
    </x:xf>
    <x:xf numFmtId="200" fontId="8" fillId="5" borderId="2" xfId="0" applyNumberFormat="1" applyFont="1" applyFill="1" applyBorder="1" applyAlignment="1">
      <x:alignment horizontal="right"/>
    </x:xf>
    <x:xf numFmtId="200" fontId="8" fillId="6" borderId="2" xfId="0" applyNumberFormat="1" applyFont="1" applyFill="1" applyBorder="1" applyAlignment="1">
      <x:alignment horizontal="right"/>
    </x:xf>
    <x:xf numFmtId="200" fontId="8" fillId="5" borderId="3" xfId="0" applyNumberFormat="1" applyFont="1" applyFill="1" applyBorder="1" applyAlignment="1">
      <x:alignment horizontal="right"/>
    </x:xf>
    <x:xf numFmtId="200" fontId="8" fillId="6" borderId="3" xfId="0" applyNumberFormat="1" applyFont="1" applyFill="1" applyBorder="1" applyAlignment="1">
      <x:alignment horizontal="right"/>
    </x:xf>
    <x:xf numFmtId="200" fontId="5" fillId="5" borderId="2" xfId="0" applyNumberFormat="1" applyFont="1" applyFill="1" applyBorder="1" applyAlignment="1">
      <x:alignment horizontal="right"/>
    </x:xf>
    <x:xf numFmtId="200" fontId="5" fillId="5" borderId="3" xfId="0" applyNumberFormat="1" applyFont="1" applyFill="1" applyBorder="1" applyAlignment="1">
      <x:alignment horizontal="right"/>
    </x:xf>
    <x:xf numFmtId="200" fontId="10" fillId="5" borderId="2" xfId="0" applyNumberFormat="1" applyFont="1" applyFill="1" applyBorder="1" applyAlignment="1">
      <x:alignment horizontal="right"/>
    </x:xf>
    <x:xf numFmtId="200" fontId="10" fillId="5" borderId="3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202" fontId="4" fillId="5" borderId="0" xfId="0" applyNumberFormat="1" applyFont="1" applyFill="1" applyBorder="1" applyAlignment="1">
      <x:alignment horizontal="right"/>
    </x:xf>
    <x:xf numFmtId="202" fontId="4" fillId="6" borderId="0" xfId="0" applyNumberFormat="1" applyFont="1" applyFill="1" applyBorder="1" applyAlignment="1">
      <x:alignment horizontal="right"/>
    </x:xf>
    <x:xf numFmtId="202" fontId="4" fillId="5" borderId="1" xfId="0" applyNumberFormat="1" applyFont="1" applyFill="1" applyBorder="1" applyAlignment="1">
      <x:alignment horizontal="right"/>
    </x:xf>
    <x:xf numFmtId="202" fontId="4" fillId="6" borderId="1" xfId="0" applyNumberFormat="1" applyFont="1" applyFill="1" applyBorder="1" applyAlignment="1">
      <x:alignment horizontal="right"/>
    </x:xf>
    <x:xf numFmtId="200" fontId="9" fillId="6" borderId="2" xfId="0" applyNumberFormat="1" applyFont="1" applyFill="1" applyBorder="1" applyAlignment="1">
      <x:alignment horizontal="right"/>
    </x:xf>
    <x:xf numFmtId="200" fontId="9" fillId="6" borderId="3" xfId="0" applyNumberFormat="1" applyFont="1" applyFill="1" applyBorder="1" applyAlignment="1">
      <x:alignment horizontal="right"/>
    </x:xf>
    <x:xf numFmtId="200" fontId="11" fillId="6" borderId="2" xfId="0" applyNumberFormat="1" applyFont="1" applyFill="1" applyBorder="1" applyAlignment="1">
      <x:alignment horizontal="right"/>
    </x:xf>
    <x:xf numFmtId="200" fontId="11" fillId="6" borderId="3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right"/>
    </x:xf>
    <x:xf numFmtId="0" fontId="8" fillId="6" borderId="0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 applyAlignment="1">
      <x:alignment horizontal="left"/>
    </x:xf>
    <x:xf numFmtId="0" fontId="8" fillId="5" borderId="1" xfId="0" applyNumberFormat="1" applyFont="1" applyFill="1" applyBorder="1" applyAlignment="1">
      <x:alignment horizontal="right"/>
    </x:xf>
    <x:xf numFmtId="0" fontId="8" fillId="6" borderId="1" xfId="0" applyNumberFormat="1" applyFont="1" applyFill="1" applyBorder="1" applyAlignment="1">
      <x:alignment horizontal="right"/>
    </x:xf>
    <x:xf numFmtId="200" fontId="8" fillId="5" borderId="0" xfId="0" applyNumberFormat="1" applyFont="1" applyFill="1" applyBorder="1" applyAlignment="1">
      <x:alignment horizontal="right"/>
    </x:xf>
    <x:xf numFmtId="200" fontId="8" fillId="6" borderId="0" xfId="0" applyNumberFormat="1" applyFont="1" applyFill="1" applyBorder="1" applyAlignment="1">
      <x:alignment horizontal="right"/>
    </x:xf>
    <x:xf numFmtId="200" fontId="8" fillId="5" borderId="1" xfId="0" applyNumberFormat="1" applyFont="1" applyFill="1" applyBorder="1" applyAlignment="1">
      <x:alignment horizontal="right"/>
    </x:xf>
    <x:xf numFmtId="200" fontId="8" fillId="6" borderId="1" xfId="0" applyNumberFormat="1" applyFont="1" applyFill="1" applyBorder="1" applyAlignment="1">
      <x:alignment horizontal="right"/>
    </x:xf>
    <x:xf numFmtId="200" fontId="10" fillId="5" borderId="0" xfId="0" applyNumberFormat="1" applyFont="1" applyFill="1" applyBorder="1" applyAlignment="1">
      <x:alignment horizontal="right"/>
    </x:xf>
    <x:xf numFmtId="200" fontId="10" fillId="5" borderId="1" xfId="0" applyNumberFormat="1" applyFont="1" applyFill="1" applyBorder="1" applyAlignment="1">
      <x:alignment horizontal="right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left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left"/>
    </x:xf>
    <x:xf numFmtId="0" fontId="13" fillId="0" borderId="0" xfId="0" applyNumberFormat="1" applyFont="1" applyFill="1" applyBorder="1" applyAlignment="1">
      <x:alignment horizontal="left"/>
    </x:xf>
    <x:xf numFmtId="0" fontId="13" fillId="0" borderId="1" xfId="0" applyNumberFormat="1" applyFont="1" applyFill="1" applyBorder="1" applyAlignment="1">
      <x:alignment horizontal="left"/>
    </x:xf>
    <x:xf numFmtId="0" fontId="13" fillId="0" borderId="0" xfId="0" applyNumberFormat="1" applyFont="1" applyFill="1" applyBorder="1" applyAlignment="1">
      <x:alignment horizontal="right"/>
    </x:xf>
    <x:xf numFmtId="0" fontId="13" fillId="0" borderId="1" xfId="0" applyNumberFormat="1" applyFont="1" applyFill="1" applyBorder="1" applyAlignment="1">
      <x:alignment horizontal="right"/>
    </x:xf>
    <x:xf numFmtId="0" fontId="4" fillId="5" borderId="0" xfId="0" applyNumberFormat="1" applyFont="1" applyFill="1" applyBorder="1" applyAlignment="1">
      <x:alignment horizontal="right" wrapText="1"/>
    </x:xf>
    <x:xf numFmtId="0" fontId="4" fillId="6" borderId="0" xfId="0" applyNumberFormat="1" applyFont="1" applyFill="1" applyBorder="1" applyAlignment="1">
      <x:alignment horizontal="right" wrapText="1"/>
    </x:xf>
    <x:xf numFmtId="0" fontId="4" fillId="5" borderId="1" xfId="0" applyNumberFormat="1" applyFont="1" applyFill="1" applyBorder="1" applyAlignment="1">
      <x:alignment horizontal="right" wrapText="1"/>
    </x:xf>
    <x:xf numFmtId="0" fontId="4" fillId="6" borderId="1" xfId="0" applyNumberFormat="1" applyFont="1" applyFill="1" applyBorder="1" applyAlignment="1">
      <x:alignment horizontal="right" wrapText="1"/>
    </x:xf>
    <x:xf numFmtId="200" fontId="4" fillId="5" borderId="0" xfId="0" applyNumberFormat="1" applyFont="1" applyFill="1" applyBorder="1" applyAlignment="1">
      <x:alignment horizontal="right" wrapText="1"/>
    </x:xf>
    <x:xf numFmtId="200" fontId="4" fillId="5" borderId="1" xfId="0" applyNumberFormat="1" applyFont="1" applyFill="1" applyBorder="1" applyAlignment="1">
      <x:alignment horizontal="right" wrapText="1"/>
    </x:xf>
    <x:xf numFmtId="201" fontId="4" fillId="6" borderId="0" xfId="0" applyNumberFormat="1" applyFont="1" applyFill="1" applyBorder="1" applyAlignment="1">
      <x:alignment horizontal="right" wrapText="1"/>
    </x:xf>
    <x:xf numFmtId="201" fontId="4" fillId="6" borderId="1" xfId="0" applyNumberFormat="1" applyFont="1" applyFill="1" applyBorder="1" applyAlignment="1">
      <x:alignment horizontal="right" wrapText="1"/>
    </x:xf>
    <x:xf numFmtId="0" fontId="8" fillId="5" borderId="0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/>
    </x:xf>
    <x:xf numFmtId="201" fontId="9" fillId="5" borderId="0" xfId="0" applyNumberFormat="1" applyFont="1" applyFill="1" applyBorder="1" applyAlignment="1">
      <x:alignment horizontal="right"/>
    </x:xf>
    <x:xf numFmtId="201" fontId="9" fillId="6" borderId="0" xfId="0" applyNumberFormat="1" applyFont="1" applyFill="1" applyBorder="1" applyAlignment="1">
      <x:alignment horizontal="right"/>
    </x:xf>
    <x:xf numFmtId="202" fontId="9" fillId="5" borderId="0" xfId="0" applyNumberFormat="1" applyFont="1" applyFill="1" applyBorder="1" applyAlignment="1">
      <x:alignment horizontal="right"/>
    </x:xf>
    <x:xf numFmtId="202" fontId="9" fillId="6" borderId="0" xfId="0" applyNumberFormat="1" applyFont="1" applyFill="1" applyBorder="1" applyAlignment="1">
      <x:alignment horizontal="right"/>
    </x:xf>
    <x:xf numFmtId="201" fontId="9" fillId="5" borderId="1" xfId="0" applyNumberFormat="1" applyFont="1" applyFill="1" applyBorder="1" applyAlignment="1">
      <x:alignment horizontal="right"/>
    </x:xf>
    <x:xf numFmtId="201" fontId="9" fillId="6" borderId="1" xfId="0" applyNumberFormat="1" applyFont="1" applyFill="1" applyBorder="1" applyAlignment="1">
      <x:alignment horizontal="right"/>
    </x:xf>
    <x:xf numFmtId="202" fontId="9" fillId="5" borderId="1" xfId="0" applyNumberFormat="1" applyFont="1" applyFill="1" applyBorder="1" applyAlignment="1">
      <x:alignment horizontal="right"/>
    </x:xf>
    <x:xf numFmtId="202" fontId="9" fillId="6" borderId="1" xfId="0" applyNumberFormat="1" applyFont="1" applyFill="1" applyBorder="1" applyAlignment="1">
      <x:alignment horizontal="right"/>
    </x:xf>
    <x:xf numFmtId="203" fontId="9" fillId="5" borderId="0" xfId="0" applyNumberFormat="1" applyFont="1" applyFill="1" applyBorder="1" applyAlignment="1">
      <x:alignment horizontal="right"/>
    </x:xf>
    <x:xf numFmtId="203" fontId="9" fillId="6" borderId="0" xfId="0" applyNumberFormat="1" applyFont="1" applyFill="1" applyBorder="1" applyAlignment="1">
      <x:alignment horizontal="right"/>
    </x:xf>
    <x:xf numFmtId="203" fontId="9" fillId="5" borderId="1" xfId="0" applyNumberFormat="1" applyFont="1" applyFill="1" applyBorder="1" applyAlignment="1">
      <x:alignment horizontal="right"/>
    </x:xf>
    <x:xf numFmtId="203" fontId="9" fillId="6" borderId="1" xfId="0" applyNumberFormat="1" applyFont="1" applyFill="1" applyBorder="1" applyAlignment="1">
      <x:alignment horizontal="right"/>
    </x:xf>
    <x:xf numFmtId="200" fontId="9" fillId="5" borderId="2" xfId="0" applyNumberFormat="1" applyFont="1" applyFill="1" applyBorder="1" applyAlignment="1">
      <x:alignment horizontal="right"/>
    </x:xf>
    <x:xf numFmtId="200" fontId="9" fillId="5" borderId="3" xfId="0" applyNumberFormat="1" applyFont="1" applyFill="1" applyBorder="1" applyAlignment="1">
      <x:alignment horizontal="right"/>
    </x:xf>
    <x:xf numFmtId="200" fontId="11" fillId="5" borderId="2" xfId="0" applyNumberFormat="1" applyFont="1" applyFill="1" applyBorder="1" applyAlignment="1">
      <x:alignment horizontal="right"/>
    </x:xf>
    <x:xf numFmtId="200" fontId="11" fillId="5" borderId="3" xfId="0" applyNumberFormat="1" applyFont="1" applyFill="1" applyBorder="1" applyAlignment="1">
      <x:alignment horizontal="right"/>
    </x:xf>
    <x:xf numFmtId="201" fontId="9" fillId="5" borderId="2" xfId="0" applyNumberFormat="1" applyFont="1" applyFill="1" applyBorder="1" applyAlignment="1">
      <x:alignment horizontal="right"/>
    </x:xf>
    <x:xf numFmtId="201" fontId="9" fillId="6" borderId="2" xfId="0" applyNumberFormat="1" applyFont="1" applyFill="1" applyBorder="1" applyAlignment="1">
      <x:alignment horizontal="right"/>
    </x:xf>
    <x:xf numFmtId="201" fontId="9" fillId="5" borderId="3" xfId="0" applyNumberFormat="1" applyFont="1" applyFill="1" applyBorder="1" applyAlignment="1">
      <x:alignment horizontal="right"/>
    </x:xf>
    <x:xf numFmtId="201" fontId="9" fillId="6" borderId="3" xfId="0" applyNumberFormat="1" applyFont="1" applyFill="1" applyBorder="1" applyAlignment="1">
      <x:alignment horizontal="right"/>
    </x:xf>
    <x:xf numFmtId="201" fontId="11" fillId="5" borderId="2" xfId="0" applyNumberFormat="1" applyFont="1" applyFill="1" applyBorder="1" applyAlignment="1">
      <x:alignment horizontal="right"/>
    </x:xf>
    <x:xf numFmtId="201" fontId="11" fillId="6" borderId="2" xfId="0" applyNumberFormat="1" applyFont="1" applyFill="1" applyBorder="1" applyAlignment="1">
      <x:alignment horizontal="right"/>
    </x:xf>
    <x:xf numFmtId="201" fontId="11" fillId="5" borderId="3" xfId="0" applyNumberFormat="1" applyFont="1" applyFill="1" applyBorder="1" applyAlignment="1">
      <x:alignment horizontal="right"/>
    </x:xf>
    <x:xf numFmtId="201" fontId="11" fillId="6" borderId="3" xfId="0" applyNumberFormat="1" applyFont="1" applyFill="1" applyBorder="1" applyAlignment="1">
      <x:alignment horizontal="right"/>
    </x:xf>
    <x:xf numFmtId="201" fontId="9" fillId="7" borderId="0" xfId="0" applyNumberFormat="1" applyFont="1" applyFill="1" applyBorder="1" applyAlignment="1">
      <x:alignment horizontal="right"/>
    </x:xf>
    <x:xf numFmtId="203" fontId="9" fillId="7" borderId="0" xfId="0" applyNumberFormat="1" applyFont="1" applyFill="1" applyBorder="1" applyAlignment="1">
      <x:alignment horizontal="right"/>
    </x:xf>
    <x:xf numFmtId="200" fontId="9" fillId="7" borderId="0" xfId="0" applyNumberFormat="1" applyFont="1" applyFill="1" applyBorder="1" applyAlignment="1">
      <x:alignment horizontal="right"/>
    </x:xf>
    <x:xf numFmtId="201" fontId="9" fillId="7" borderId="1" xfId="0" applyNumberFormat="1" applyFont="1" applyFill="1" applyBorder="1" applyAlignment="1">
      <x:alignment horizontal="right"/>
    </x:xf>
    <x:xf numFmtId="203" fontId="9" fillId="7" borderId="1" xfId="0" applyNumberFormat="1" applyFont="1" applyFill="1" applyBorder="1" applyAlignment="1">
      <x:alignment horizontal="right"/>
    </x:xf>
    <x:xf numFmtId="200" fontId="9" fillId="7" borderId="1" xfId="0" applyNumberFormat="1" applyFont="1" applyFill="1" applyBorder="1" applyAlignment="1">
      <x:alignment horizontal="right"/>
    </x:xf>
    <x:xf numFmtId="201" fontId="9" fillId="8" borderId="0" xfId="0" applyNumberFormat="1" applyFont="1" applyFill="1" applyBorder="1" applyAlignment="1">
      <x:alignment horizontal="right"/>
    </x:xf>
    <x:xf numFmtId="203" fontId="9" fillId="8" borderId="0" xfId="0" applyNumberFormat="1" applyFont="1" applyFill="1" applyBorder="1" applyAlignment="1">
      <x:alignment horizontal="right"/>
    </x:xf>
    <x:xf numFmtId="200" fontId="9" fillId="8" borderId="0" xfId="0" applyNumberFormat="1" applyFont="1" applyFill="1" applyBorder="1" applyAlignment="1">
      <x:alignment horizontal="right"/>
    </x:xf>
    <x:xf numFmtId="201" fontId="9" fillId="8" borderId="1" xfId="0" applyNumberFormat="1" applyFont="1" applyFill="1" applyBorder="1" applyAlignment="1">
      <x:alignment horizontal="right"/>
    </x:xf>
    <x:xf numFmtId="203" fontId="9" fillId="8" borderId="1" xfId="0" applyNumberFormat="1" applyFont="1" applyFill="1" applyBorder="1" applyAlignment="1">
      <x:alignment horizontal="right"/>
    </x:xf>
    <x:xf numFmtId="200" fontId="9" fillId="8" borderId="1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/>
    <x:xf numFmtId="0" fontId="14" fillId="0" borderId="1" xfId="0" applyNumberFormat="1" applyFont="1" applyFill="1" applyBorder="1" applyAlignment="1">
      <x:alignment horizontal="right"/>
    </x:xf>
    <x:xf numFmtId="0" fontId="15" fillId="0" borderId="1" xfId="0" applyNumberFormat="1" applyFont="1" applyFill="1" applyBorder="1"/>
    <x:xf numFmtId="200" fontId="14" fillId="0" borderId="0" xfId="0" applyNumberFormat="1" applyFont="1" applyFill="1" applyBorder="1" applyAlignment="1">
      <x:alignment horizontal="right"/>
    </x:xf>
    <x:xf numFmtId="200" fontId="15" fillId="0" borderId="0" xfId="0" applyNumberFormat="1" applyFont="1" applyFill="1" applyBorder="1"/>
    <x:xf numFmtId="200" fontId="14" fillId="0" borderId="1" xfId="0" applyNumberFormat="1" applyFont="1" applyFill="1" applyBorder="1" applyAlignment="1">
      <x:alignment horizontal="right"/>
    </x:xf>
    <x:xf numFmtId="200" fontId="15" fillId="0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right" wrapText="1"/>
    </x:xf>
    <x:xf numFmtId="0" fontId="13" fillId="0" borderId="1" xfId="0" applyNumberFormat="1" applyFont="1" applyFill="1" applyBorder="1" applyAlignment="1">
      <x:alignment horizontal="right" wrapText="1"/>
    </x:xf>
    <x:xf numFmtId="0" fontId="13" fillId="0" borderId="0" xfId="0" applyNumberFormat="1" applyFont="1" applyFill="1" applyBorder="1" applyAlignment="1">
      <x:alignment horizontal="left" wrapText="1"/>
    </x:xf>
    <x:xf numFmtId="0" fontId="13" fillId="0" borderId="1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right"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right" wrapText="1"/>
    </x:xf>
    <x:xf numFmtId="0" fontId="4" fillId="2" borderId="1" xfId="0" applyNumberFormat="1" applyFont="1" applyFill="1" applyBorder="1" applyAlignment="1">
      <x:alignment horizontal="left" wrapText="1"/>
    </x:xf>
    <x:xf numFmtId="0" fontId="4" fillId="2" borderId="1" xfId="0" applyNumberFormat="1" applyFont="1" applyFill="1" applyBorder="1" applyAlignment="1">
      <x:alignment horizontal="right"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right"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right" wrapText="1"/>
    </x:xf>
    <x:xf numFmtId="0" fontId="4" fillId="3" borderId="1" xfId="0" applyNumberFormat="1" applyFont="1" applyFill="1" applyBorder="1" applyAlignment="1">
      <x:alignment horizontal="left" wrapText="1"/>
    </x:xf>
    <x:xf numFmtId="0" fontId="4" fillId="3" borderId="1" xfId="0" applyNumberFormat="1" applyFont="1" applyFill="1" applyBorder="1" applyAlignment="1">
      <x:alignment horizontal="right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wrapText="1"/>
    </x:xf>
    <x:xf numFmtId="202" fontId="0" fillId="0" borderId="0" xfId="0" applyNumberFormat="1" applyFont="1" applyFill="1" applyBorder="1"/>
    <x:xf numFmtId="202" fontId="4" fillId="0" borderId="1" xfId="0" applyNumberFormat="1" applyFont="1" applyFill="1" applyBorder="1" applyAlignment="1">
      <x:alignment horizontal="right" wrapText="1"/>
    </x:xf>
    <x:xf numFmtId="202" fontId="0" fillId="0" borderId="1" xfId="0" applyNumberFormat="1" applyFont="1" applyFill="1" applyBorder="1"/>
    <x:xf numFmtId="0" fontId="4" fillId="9" borderId="0" xfId="0" applyNumberFormat="1" applyFont="1" applyFill="1" applyBorder="1" applyAlignment="1">
      <x:alignment horizontal="left" wrapText="1"/>
    </x:xf>
    <x:xf numFmtId="0" fontId="4" fillId="9" borderId="0" xfId="0" applyNumberFormat="1" applyFont="1" applyFill="1" applyBorder="1" applyAlignment="1">
      <x:alignment horizontal="right" wrapText="1"/>
    </x:xf>
    <x:xf numFmtId="0" fontId="4" fillId="9" borderId="1" xfId="0" applyNumberFormat="1" applyFont="1" applyFill="1" applyBorder="1" applyAlignment="1">
      <x:alignment horizontal="left" wrapText="1"/>
    </x:xf>
    <x:xf numFmtId="0" fontId="4" fillId="9" borderId="1" xfId="0" applyNumberFormat="1" applyFont="1" applyFill="1" applyBorder="1" applyAlignment="1">
      <x:alignment horizontal="righ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right"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right" wrapText="1"/>
    </x:xf>
    <x:xf numFmtId="0" fontId="16" fillId="9" borderId="0" xfId="0" applyNumberFormat="1" applyFont="1" applyFill="1" applyBorder="1" applyAlignment="1">
      <x:alignment horizontal="right" wrapText="1"/>
    </x:xf>
    <x:xf numFmtId="0" fontId="16" fillId="0" borderId="0" xfId="0" applyNumberFormat="1" applyFont="1" applyFill="1" applyBorder="1" applyAlignment="1">
      <x:alignment horizontal="right" wrapText="1"/>
    </x:xf>
    <x:xf numFmtId="0" fontId="16" fillId="0" borderId="4" xfId="0" applyNumberFormat="1" applyFont="1" applyFill="1" applyBorder="1" applyAlignment="1">
      <x:alignment horizontal="right" wrapText="1"/>
    </x:xf>
    <x:xf numFmtId="0" fontId="16" fillId="9" borderId="1" xfId="0" applyNumberFormat="1" applyFont="1" applyFill="1" applyBorder="1" applyAlignment="1">
      <x:alignment horizontal="right" wrapText="1"/>
    </x:xf>
    <x:xf numFmtId="0" fontId="16" fillId="0" borderId="1" xfId="0" applyNumberFormat="1" applyFont="1" applyFill="1" applyBorder="1" applyAlignment="1">
      <x:alignment horizontal="right" wrapText="1"/>
    </x:xf>
    <x:xf numFmtId="0" fontId="16" fillId="0" borderId="5" xfId="0" applyNumberFormat="1" applyFont="1" applyFill="1" applyBorder="1" applyAlignment="1">
      <x:alignment horizontal="right" wrapText="1"/>
    </x:xf>
    <x:xf numFmtId="0" fontId="13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horizontal="right" vertical="center"/>
    </x:xf>
    <x:xf numFmtId="0" fontId="8" fillId="0" borderId="2" xfId="0" applyNumberFormat="1" applyFont="1" applyFill="1" applyBorder="1" applyAlignment="1">
      <x:alignment horizontal="left" vertical="center"/>
    </x:xf>
    <x:xf numFmtId="200" fontId="11" fillId="5" borderId="2" xfId="0" applyNumberFormat="1" applyFont="1" applyFill="1" applyBorder="1" applyAlignment="1">
      <x:alignment horizontal="right" vertical="center"/>
    </x:xf>
    <x:xf numFmtId="200" fontId="11" fillId="6" borderId="2" xfId="0" applyNumberFormat="1" applyFont="1" applyFill="1" applyBorder="1" applyAlignment="1">
      <x:alignment horizontal="right" vertical="center"/>
    </x:xf>
    <x:xf numFmtId="200" fontId="9" fillId="5" borderId="0" xfId="0" applyNumberFormat="1" applyFont="1" applyFill="1" applyBorder="1" applyAlignment="1">
      <x:alignment horizontal="right" vertical="center"/>
    </x:xf>
    <x:xf numFmtId="200" fontId="9" fillId="6" borderId="0" xfId="0" applyNumberFormat="1" applyFont="1" applyFill="1" applyBorder="1" applyAlignment="1">
      <x:alignment horizontal="right" vertical="center"/>
    </x:xf>
    <x:xf numFmtId="201" fontId="9" fillId="5" borderId="0" xfId="0" applyNumberFormat="1" applyFont="1" applyFill="1" applyBorder="1" applyAlignment="1">
      <x:alignment horizontal="right" vertical="center"/>
    </x:xf>
    <x:xf numFmtId="201" fontId="9" fillId="6" borderId="0" xfId="0" applyNumberFormat="1" applyFont="1" applyFill="1" applyBorder="1" applyAlignment="1">
      <x:alignment horizontal="right" vertical="center"/>
    </x:xf>
    <x:xf numFmtId="202" fontId="9" fillId="5" borderId="0" xfId="0" applyNumberFormat="1" applyFont="1" applyFill="1" applyBorder="1" applyAlignment="1">
      <x:alignment horizontal="right" vertical="center"/>
    </x:xf>
    <x:xf numFmtId="202" fontId="9" fillId="6" borderId="0" xfId="0" applyNumberFormat="1" applyFont="1" applyFill="1" applyBorder="1" applyAlignment="1">
      <x:alignment horizontal="right" vertical="center"/>
    </x:xf>
    <x:xf numFmtId="201" fontId="11" fillId="5" borderId="2" xfId="0" applyNumberFormat="1" applyFont="1" applyFill="1" applyBorder="1" applyAlignment="1">
      <x:alignment horizontal="right" vertical="center"/>
    </x:xf>
    <x:xf numFmtId="201" fontId="11" fillId="6" borderId="2" xfId="0" applyNumberFormat="1" applyFont="1" applyFill="1" applyBorder="1" applyAlignment="1">
      <x:alignment horizontal="right" vertical="center"/>
    </x:xf>
    <x:xf numFmtId="201" fontId="9" fillId="7" borderId="0" xfId="0" applyNumberFormat="1" applyFont="1" applyFill="1" applyBorder="1" applyAlignment="1">
      <x:alignment horizontal="right" vertical="center"/>
    </x:xf>
    <x:xf numFmtId="201" fontId="9" fillId="8" borderId="0" xfId="0" applyNumberFormat="1" applyFont="1" applyFill="1" applyBorder="1" applyAlignment="1">
      <x:alignment horizontal="right" vertical="center"/>
    </x:xf>
    <x:xf numFmtId="203" fontId="9" fillId="7" borderId="0" xfId="0" applyNumberFormat="1" applyFont="1" applyFill="1" applyBorder="1" applyAlignment="1">
      <x:alignment horizontal="right" vertical="center"/>
    </x:xf>
    <x:xf numFmtId="203" fontId="9" fillId="8" borderId="0" xfId="0" applyNumberFormat="1" applyFont="1" applyFill="1" applyBorder="1" applyAlignment="1">
      <x:alignment horizontal="right" vertical="center"/>
    </x:xf>
    <x:xf numFmtId="200" fontId="9" fillId="7" borderId="0" xfId="0" applyNumberFormat="1" applyFont="1" applyFill="1" applyBorder="1" applyAlignment="1">
      <x:alignment horizontal="right" vertical="center"/>
    </x:xf>
    <x:xf numFmtId="200" fontId="9" fillId="8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horizontal="right" vertical="center" wrapText="1"/>
    </x:xf>
    <x:xf numFmtId="201" fontId="4" fillId="6" borderId="0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8" fillId="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 applyAlignment="1">
      <x:alignment horizontal="left" vertical="center"/>
    </x:xf>
    <x:xf numFmtId="0" fontId="13" fillId="0" borderId="1" xfId="0" applyNumberFormat="1" applyFont="1" applyFill="1" applyBorder="1" applyAlignment="1">
      <x:alignment horizontal="right" vertical="center"/>
    </x:xf>
    <x:xf numFmtId="200" fontId="14" fillId="0" borderId="1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right" vertical="center"/>
    </x:xf>
    <x:xf numFmtId="0" fontId="4" fillId="5" borderId="1" xfId="0" applyNumberFormat="1" applyFont="1" applyFill="1" applyBorder="1" applyAlignment="1">
      <x:alignment horizontal="right" vertical="center"/>
    </x:xf>
    <x:xf numFmtId="0" fontId="4" fillId="6" borderId="1" xfId="0" applyNumberFormat="1" applyFont="1" applyFill="1" applyBorder="1" applyAlignment="1">
      <x:alignment horizontal="right" vertical="center"/>
    </x:xf>
    <x:xf numFmtId="0" fontId="8" fillId="0" borderId="3" xfId="0" applyNumberFormat="1" applyFont="1" applyFill="1" applyBorder="1" applyAlignment="1">
      <x:alignment horizontal="left" vertical="center"/>
    </x:xf>
    <x:xf numFmtId="200" fontId="11" fillId="5" borderId="3" xfId="0" applyNumberFormat="1" applyFont="1" applyFill="1" applyBorder="1" applyAlignment="1">
      <x:alignment horizontal="right" vertical="center"/>
    </x:xf>
    <x:xf numFmtId="200" fontId="11" fillId="6" borderId="3" xfId="0" applyNumberFormat="1" applyFont="1" applyFill="1" applyBorder="1" applyAlignment="1">
      <x:alignment horizontal="right" vertical="center"/>
    </x:xf>
    <x:xf numFmtId="200" fontId="9" fillId="5" borderId="1" xfId="0" applyNumberFormat="1" applyFont="1" applyFill="1" applyBorder="1" applyAlignment="1">
      <x:alignment horizontal="right" vertical="center"/>
    </x:xf>
    <x:xf numFmtId="200" fontId="9" fillId="6" borderId="1" xfId="0" applyNumberFormat="1" applyFont="1" applyFill="1" applyBorder="1" applyAlignment="1">
      <x:alignment horizontal="right" vertical="center"/>
    </x:xf>
    <x:xf numFmtId="201" fontId="9" fillId="5" borderId="1" xfId="0" applyNumberFormat="1" applyFont="1" applyFill="1" applyBorder="1" applyAlignment="1">
      <x:alignment horizontal="right" vertical="center"/>
    </x:xf>
    <x:xf numFmtId="201" fontId="9" fillId="6" borderId="1" xfId="0" applyNumberFormat="1" applyFont="1" applyFill="1" applyBorder="1" applyAlignment="1">
      <x:alignment horizontal="right" vertical="center"/>
    </x:xf>
    <x:xf numFmtId="202" fontId="9" fillId="5" borderId="1" xfId="0" applyNumberFormat="1" applyFont="1" applyFill="1" applyBorder="1" applyAlignment="1">
      <x:alignment horizontal="right" vertical="center"/>
    </x:xf>
    <x:xf numFmtId="202" fontId="9" fillId="6" borderId="1" xfId="0" applyNumberFormat="1" applyFont="1" applyFill="1" applyBorder="1" applyAlignment="1">
      <x:alignment horizontal="right" vertical="center"/>
    </x:xf>
    <x:xf numFmtId="201" fontId="11" fillId="5" borderId="3" xfId="0" applyNumberFormat="1" applyFont="1" applyFill="1" applyBorder="1" applyAlignment="1">
      <x:alignment horizontal="right" vertical="center"/>
    </x:xf>
    <x:xf numFmtId="201" fontId="11" fillId="6" borderId="3" xfId="0" applyNumberFormat="1" applyFont="1" applyFill="1" applyBorder="1" applyAlignment="1">
      <x:alignment horizontal="right" vertical="center"/>
    </x:xf>
    <x:xf numFmtId="201" fontId="9" fillId="7" borderId="1" xfId="0" applyNumberFormat="1" applyFont="1" applyFill="1" applyBorder="1" applyAlignment="1">
      <x:alignment horizontal="right" vertical="center"/>
    </x:xf>
    <x:xf numFmtId="201" fontId="9" fillId="8" borderId="1" xfId="0" applyNumberFormat="1" applyFont="1" applyFill="1" applyBorder="1" applyAlignment="1">
      <x:alignment horizontal="right" vertical="center"/>
    </x:xf>
    <x:xf numFmtId="203" fontId="9" fillId="7" borderId="1" xfId="0" applyNumberFormat="1" applyFont="1" applyFill="1" applyBorder="1" applyAlignment="1">
      <x:alignment horizontal="right" vertical="center"/>
    </x:xf>
    <x:xf numFmtId="203" fontId="9" fillId="8" borderId="1" xfId="0" applyNumberFormat="1" applyFont="1" applyFill="1" applyBorder="1" applyAlignment="1">
      <x:alignment horizontal="right" vertical="center"/>
    </x:xf>
    <x:xf numFmtId="200" fontId="9" fillId="7" borderId="1" xfId="0" applyNumberFormat="1" applyFont="1" applyFill="1" applyBorder="1" applyAlignment="1">
      <x:alignment horizontal="right" vertical="center"/>
    </x:xf>
    <x:xf numFmtId="200" fontId="9" fillId="8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200" fontId="4" fillId="5" borderId="1" xfId="0" applyNumberFormat="1" applyFont="1" applyFill="1" applyBorder="1" applyAlignment="1">
      <x:alignment horizontal="right" vertical="center" wrapText="1"/>
    </x:xf>
    <x:xf numFmtId="201" fontId="4" fillId="6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8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0" fontId="7" fillId="5" borderId="2" xfId="0" applyNumberFormat="1" applyFont="1" applyFill="1" applyBorder="1" applyAlignment="1">
      <x:alignment horizontal="right" vertical="center"/>
    </x:xf>
    <x:xf numFmtId="200" fontId="7" fillId="6" borderId="2" xfId="0" applyNumberFormat="1" applyFont="1" applyFill="1" applyBorder="1" applyAlignment="1">
      <x:alignment horizontal="right" vertical="center"/>
    </x:xf>
    <x:xf numFmtId="201" fontId="6" fillId="5" borderId="0" xfId="0" applyNumberFormat="1" applyFont="1" applyFill="1" applyBorder="1" applyAlignment="1">
      <x:alignment horizontal="right" vertical="center"/>
    </x:xf>
    <x:xf numFmtId="201" fontId="6" fillId="6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200" fontId="6" fillId="6" borderId="0" xfId="0" applyNumberFormat="1" applyFont="1" applyFill="1" applyBorder="1" applyAlignment="1">
      <x:alignment horizontal="right" vertical="center"/>
    </x:xf>
    <x:xf numFmtId="201" fontId="4" fillId="5" borderId="0" xfId="0" applyNumberFormat="1" applyFont="1" applyFill="1" applyBorder="1" applyAlignment="1">
      <x:alignment horizontal="right" vertical="center"/>
    </x:xf>
    <x:xf numFmtId="201" fontId="5" fillId="6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0" fontId="3" fillId="3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8" fillId="0" borderId="2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0" fontId="5" fillId="5" borderId="1" xfId="0" applyNumberFormat="1" applyFont="1" applyFill="1" applyBorder="1" applyAlignment="1">
      <x:alignment horizontal="right" vertical="center"/>
    </x:xf>
    <x:xf numFmtId="200" fontId="4" fillId="6" borderId="1" xfId="0" applyNumberFormat="1" applyFont="1" applyFill="1" applyBorder="1" applyAlignment="1">
      <x:alignment horizontal="right" vertical="center"/>
    </x:xf>
    <x:xf numFmtId="200" fontId="7" fillId="5" borderId="3" xfId="0" applyNumberFormat="1" applyFont="1" applyFill="1" applyBorder="1" applyAlignment="1">
      <x:alignment horizontal="right" vertical="center"/>
    </x:xf>
    <x:xf numFmtId="200" fontId="7" fillId="6" borderId="3" xfId="0" applyNumberFormat="1" applyFont="1" applyFill="1" applyBorder="1" applyAlignment="1">
      <x:alignment horizontal="right" vertical="center"/>
    </x:xf>
    <x:xf numFmtId="201" fontId="6" fillId="5" borderId="1" xfId="0" applyNumberFormat="1" applyFont="1" applyFill="1" applyBorder="1" applyAlignment="1">
      <x:alignment horizontal="right" vertical="center"/>
    </x:xf>
    <x:xf numFmtId="201" fontId="6" fillId="6" borderId="1" xfId="0" applyNumberFormat="1" applyFont="1" applyFill="1" applyBorder="1" applyAlignment="1">
      <x:alignment horizontal="right" vertical="center"/>
    </x:xf>
    <x:xf numFmtId="0" fontId="6" fillId="5" borderId="1" xfId="0" applyNumberFormat="1" applyFont="1" applyFill="1" applyBorder="1" applyAlignment="1">
      <x:alignment horizontal="right" vertical="center"/>
    </x:xf>
    <x:xf numFmtId="0" fontId="6" fillId="6" borderId="1" xfId="0" applyNumberFormat="1" applyFont="1" applyFill="1" applyBorder="1" applyAlignment="1">
      <x:alignment horizontal="right" vertical="center"/>
    </x:xf>
    <x:xf numFmtId="200" fontId="6" fillId="5" borderId="1" xfId="0" applyNumberFormat="1" applyFont="1" applyFill="1" applyBorder="1" applyAlignment="1">
      <x:alignment horizontal="right" vertical="center"/>
    </x:xf>
    <x:xf numFmtId="200" fontId="6" fillId="6" borderId="1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201" fontId="5" fillId="6" borderId="1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4" fillId="0" borderId="5" xfId="0" applyNumberFormat="1" applyFont="1" applyFill="1" applyBorder="1" applyAlignment="1">
      <x:alignment horizontal="left" vertical="center" wrapText="1"/>
    </x:xf>
    <x:xf numFmtId="0" fontId="4" fillId="0" borderId="5" xfId="0" applyNumberFormat="1" applyFont="1" applyFill="1" applyBorder="1" applyAlignment="1">
      <x:alignment horizontal="right" vertical="center" wrapText="1"/>
    </x:xf>
    <x:xf numFmtId="0" fontId="3" fillId="3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8" fillId="0" borderId="3" xfId="0" applyNumberFormat="1" applyFont="1" applyFill="1" applyBorder="1" applyAlignment="1">
      <x:alignment horizontal="right"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0" fontId="8" fillId="5" borderId="2" xfId="0" applyNumberFormat="1" applyFont="1" applyFill="1" applyBorder="1" applyAlignment="1">
      <x:alignment horizontal="right" vertical="center"/>
    </x:xf>
    <x:xf numFmtId="200" fontId="8" fillId="6" borderId="2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 vertical="center"/>
    </x:xf>
    <x:xf numFmtId="201" fontId="4" fillId="6" borderId="0" xfId="0" applyNumberFormat="1" applyFont="1" applyFill="1" applyBorder="1" applyAlignment="1">
      <x:alignment horizontal="right" vertical="center"/>
    </x:xf>
    <x:xf numFmtId="200" fontId="5" fillId="6" borderId="0" xfId="0" applyNumberFormat="1" applyFont="1" applyFill="1" applyBorder="1" applyAlignment="1">
      <x:alignment horizontal="right" vertical="center"/>
    </x:xf>
    <x:xf numFmtId="202" fontId="4" fillId="5" borderId="0" xfId="0" applyNumberFormat="1" applyFont="1" applyFill="1" applyBorder="1" applyAlignment="1">
      <x:alignment horizontal="right" vertical="center"/>
    </x:xf>
    <x:xf numFmtId="202" fontId="4" fillId="6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right" vertical="center"/>
    </x:xf>
    <x:xf numFmtId="0" fontId="8" fillId="6" borderId="0" xfId="0" applyNumberFormat="1" applyFont="1" applyFill="1" applyBorder="1" applyAlignment="1">
      <x:alignment horizontal="right"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8" fillId="6" borderId="0" xfId="0" applyNumberFormat="1" applyFont="1" applyFill="1" applyBorder="1" applyAlignment="1">
      <x:alignment horizontal="right" vertical="center"/>
    </x:xf>
    <x:xf numFmtId="200" fontId="10" fillId="5" borderId="2" xfId="0" applyNumberFormat="1" applyFont="1" applyFill="1" applyBorder="1" applyAlignment="1">
      <x:alignment horizontal="right" vertical="center"/>
    </x:xf>
    <x:xf numFmtId="200" fontId="10" fillId="5" borderId="0" xfId="0" applyNumberFormat="1" applyFont="1" applyFill="1" applyBorder="1" applyAlignment="1">
      <x:alignment horizontal="right" vertical="center"/>
    </x:xf>
    <x:xf numFmtId="200" fontId="8" fillId="5" borderId="3" xfId="0" applyNumberFormat="1" applyFont="1" applyFill="1" applyBorder="1" applyAlignment="1">
      <x:alignment horizontal="right" vertical="center"/>
    </x:xf>
    <x:xf numFmtId="200" fontId="8" fillId="6" borderId="3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6" borderId="1" xfId="0" applyNumberFormat="1" applyFont="1" applyFill="1" applyBorder="1" applyAlignment="1">
      <x:alignment horizontal="right" vertical="center"/>
    </x:xf>
    <x:xf numFmtId="200" fontId="5" fillId="6" borderId="1" xfId="0" applyNumberFormat="1" applyFont="1" applyFill="1" applyBorder="1" applyAlignment="1">
      <x:alignment horizontal="right" vertical="center"/>
    </x:xf>
    <x:xf numFmtId="202" fontId="4" fillId="5" borderId="1" xfId="0" applyNumberFormat="1" applyFont="1" applyFill="1" applyBorder="1" applyAlignment="1">
      <x:alignment horizontal="right" vertical="center"/>
    </x:xf>
    <x:xf numFmtId="202" fontId="4" fillId="6" borderId="1" xfId="0" applyNumberFormat="1" applyFont="1" applyFill="1" applyBorder="1" applyAlignment="1">
      <x:alignment horizontal="right" vertical="center"/>
    </x:xf>
    <x:xf numFmtId="0" fontId="8" fillId="0" borderId="1" xfId="0" applyNumberFormat="1" applyFont="1" applyFill="1" applyBorder="1" applyAlignment="1">
      <x:alignment horizontal="left" vertical="center"/>
    </x:xf>
    <x:xf numFmtId="0" fontId="8" fillId="5" borderId="1" xfId="0" applyNumberFormat="1" applyFont="1" applyFill="1" applyBorder="1" applyAlignment="1">
      <x:alignment horizontal="right" vertical="center"/>
    </x:xf>
    <x:xf numFmtId="0" fontId="8" fillId="6" borderId="1" xfId="0" applyNumberFormat="1" applyFont="1" applyFill="1" applyBorder="1" applyAlignment="1">
      <x:alignment horizontal="right" vertical="center"/>
    </x:xf>
    <x:xf numFmtId="200" fontId="8" fillId="5" borderId="1" xfId="0" applyNumberFormat="1" applyFont="1" applyFill="1" applyBorder="1" applyAlignment="1">
      <x:alignment horizontal="right" vertical="center"/>
    </x:xf>
    <x:xf numFmtId="200" fontId="8" fillId="6" borderId="1" xfId="0" applyNumberFormat="1" applyFont="1" applyFill="1" applyBorder="1" applyAlignment="1">
      <x:alignment horizontal="right" vertical="center"/>
    </x:xf>
    <x:xf numFmtId="200" fontId="10" fillId="5" borderId="3" xfId="0" applyNumberFormat="1" applyFont="1" applyFill="1" applyBorder="1" applyAlignment="1">
      <x:alignment horizontal="right" vertical="center"/>
    </x:xf>
    <x:xf numFmtId="200" fontId="10" fillId="5" borderId="1" xfId="0" applyNumberFormat="1" applyFont="1" applyFill="1" applyBorder="1" applyAlignment="1">
      <x:alignment horizontal="right" vertical="center"/>
    </x:xf>
    <x:xf numFmtId="203" fontId="5" fillId="5" borderId="0" xfId="0" applyNumberFormat="1" applyFont="1" applyFill="1" applyBorder="1" applyAlignment="1">
      <x:alignment horizontal="right" vertical="center"/>
    </x:xf>
    <x:xf numFmtId="203" fontId="5" fillId="6" borderId="0" xfId="0" applyNumberFormat="1" applyFont="1" applyFill="1" applyBorder="1" applyAlignment="1">
      <x:alignment horizontal="right" vertical="center"/>
    </x:xf>
    <x:xf numFmtId="201" fontId="5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204" fontId="5" fillId="5" borderId="0" xfId="0" applyNumberFormat="1" applyFont="1" applyFill="1" applyBorder="1" applyAlignment="1">
      <x:alignment horizontal="right" vertical="center"/>
    </x:xf>
    <x:xf numFmtId="204" fontId="4" fillId="6" borderId="0" xfId="0" applyNumberFormat="1" applyFont="1" applyFill="1" applyBorder="1" applyAlignment="1">
      <x:alignment horizontal="right" vertical="center"/>
    </x:xf>
    <x:xf numFmtId="203" fontId="5" fillId="5" borderId="1" xfId="0" applyNumberFormat="1" applyFont="1" applyFill="1" applyBorder="1" applyAlignment="1">
      <x:alignment horizontal="right" vertical="center"/>
    </x:xf>
    <x:xf numFmtId="203" fontId="5" fillId="6" borderId="1" xfId="0" applyNumberFormat="1" applyFont="1" applyFill="1" applyBorder="1" applyAlignment="1">
      <x:alignment horizontal="right" vertical="center"/>
    </x:xf>
    <x:xf numFmtId="201" fontId="5" fillId="5" borderId="1" xfId="0" applyNumberFormat="1" applyFont="1" applyFill="1" applyBorder="1" applyAlignment="1">
      <x:alignment horizontal="right" vertical="center"/>
    </x:xf>
    <x:xf numFmtId="0" fontId="5" fillId="5" borderId="1" xfId="0" applyNumberFormat="1" applyFont="1" applyFill="1" applyBorder="1" applyAlignment="1">
      <x:alignment horizontal="right" vertical="center"/>
    </x:xf>
    <x:xf numFmtId="204" fontId="5" fillId="5" borderId="1" xfId="0" applyNumberFormat="1" applyFont="1" applyFill="1" applyBorder="1" applyAlignment="1">
      <x:alignment horizontal="right" vertical="center"/>
    </x:xf>
    <x:xf numFmtId="204" fontId="4" fillId="6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horizontal="righ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right" vertical="center" wrapText="1"/>
    </x:xf>
    <x:xf numFmtId="202" fontId="4" fillId="0" borderId="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horizontal="left" vertical="center" wrapText="1"/>
    </x:xf>
    <x:xf numFmtId="0" fontId="16" fillId="9" borderId="0" xfId="0" applyNumberFormat="1" applyFont="1" applyFill="1" applyBorder="1" applyAlignment="1">
      <x:alignment horizontal="right" vertical="center" wrapText="1"/>
    </x:xf>
    <x:xf numFmtId="0" fontId="4" fillId="9" borderId="0" xfId="0" applyNumberFormat="1" applyFont="1" applyFill="1" applyBorder="1" applyAlignment="1">
      <x:alignment horizontal="right" vertical="center" wrapText="1"/>
    </x:xf>
    <x:xf numFmtId="0" fontId="16" fillId="0" borderId="0" xfId="0" applyNumberFormat="1" applyFont="1" applyFill="1" applyBorder="1" applyAlignment="1">
      <x:alignment horizontal="right" vertical="center" wrapText="1"/>
    </x:xf>
    <x:xf numFmtId="0" fontId="16" fillId="0" borderId="4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horizontal="left" vertical="center" wrapText="1"/>
    </x:xf>
    <x:xf numFmtId="0" fontId="13" fillId="0" borderId="1" xfId="0" applyNumberFormat="1" applyFont="1" applyFill="1" applyBorder="1" applyAlignment="1">
      <x:alignment horizontal="righ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right" vertical="center" wrapText="1"/>
    </x:xf>
    <x:xf numFmtId="202" fontId="4" fillId="0" borderId="1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vertical="center"/>
    </x:xf>
    <x:xf numFmtId="0" fontId="4" fillId="9" borderId="1" xfId="0" applyNumberFormat="1" applyFont="1" applyFill="1" applyBorder="1" applyAlignment="1">
      <x:alignment horizontal="left" vertical="center" wrapText="1"/>
    </x:xf>
    <x:xf numFmtId="0" fontId="16" fillId="9" borderId="1" xfId="0" applyNumberFormat="1" applyFont="1" applyFill="1" applyBorder="1" applyAlignment="1">
      <x:alignment horizontal="right" vertical="center" wrapText="1"/>
    </x:xf>
    <x:xf numFmtId="0" fontId="4" fillId="9" borderId="1" xfId="0" applyNumberFormat="1" applyFont="1" applyFill="1" applyBorder="1" applyAlignment="1">
      <x:alignment horizontal="right" vertical="center" wrapText="1"/>
    </x:xf>
    <x:xf numFmtId="0" fontId="16" fillId="0" borderId="1" xfId="0" applyNumberFormat="1" applyFont="1" applyFill="1" applyBorder="1" applyAlignment="1">
      <x:alignment horizontal="right" vertical="center" wrapText="1"/>
    </x:xf>
    <x:xf numFmtId="0" fontId="16" fillId="0" borderId="5" xfId="0" applyNumberFormat="1" applyFont="1" applyFill="1" applyBorder="1" applyAlignment="1">
      <x:alignment horizontal="right" vertical="center" wrapText="1"/>
    </x:xf>
    <x:xf numFmtId="0" fontId="8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color rgb="FFFF0000"/>
      </x:font>
      <x:fill>
        <x:patternFill patternType="solid">
          <x:bgColor rgb="FFF4CCCC"/>
        </x:patternFill>
      </x:fill>
    </x:dxf>
    <x:dxf>
      <x:font>
        <x:b/>
        <x:color rgb="FFFF0000"/>
      </x:font>
      <x:fill>
        <x:patternFill patternType="solid">
          <x:bgColor rgb="FFF4CCCC"/>
        </x:patternFill>
      </x:fill>
    </x:dxf>
    <x:dxf>
      <x:font>
        <x:b/>
        <x:color rgb="FF0B4F3A"/>
      </x:font>
      <x:fill>
        <x:patternFill patternType="solid">
          <x:bgColor rgb="FFD9EAD3"/>
        </x:patternFill>
      </x:fill>
    </x:dxf>
    <x:dxf>
      <x:font>
        <x:color rgb="FFFF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a1c6339364810" /><Relationship Type="http://schemas.openxmlformats.org/officeDocument/2006/relationships/theme" Target="/xl/theme/theme1.xml" Id="R5057ec6f70384a46" /><Relationship Type="http://schemas.openxmlformats.org/officeDocument/2006/relationships/sharedStrings" Target="/xl/sharedStrings.xml" Id="R3368274c9b41404b" /><Relationship Type="http://schemas.openxmlformats.org/officeDocument/2006/relationships/worksheet" Target="/xl/worksheets/sheet1.xml" Id="R2446abdff331488b" /><Relationship Type="http://schemas.openxmlformats.org/officeDocument/2006/relationships/worksheet" Target="/xl/worksheets/sheet2.xml" Id="Rcb14852bb3574961" /><Relationship Type="http://schemas.openxmlformats.org/officeDocument/2006/relationships/worksheet" Target="/xl/worksheets/sheet3.xml" Id="R000cc33edd694f81" /><Relationship Type="http://schemas.openxmlformats.org/officeDocument/2006/relationships/worksheet" Target="/xl/worksheets/sheet4.xml" Id="R168d9d7d92094736" /><Relationship Type="http://schemas.openxmlformats.org/officeDocument/2006/relationships/worksheet" Target="/xl/worksheets/sheet5.xml" Id="Rc17fcfdad06a4e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790208584f49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(INR million)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 &amp; Assumptions'!$O$2:$Z$2</c:f>
              <c:strCache>
                <c:ptCount val="0"/>
              </c:strCache>
            </c:strRef>
          </c:cat>
          <c:val>
            <c:numRef>
              <c:f>'Summary &amp; Assumptions'!$O$3:$Z$3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Reported EBITDA</c:v>
          </c:tx>
          <c:cat>
            <c:strRef>
              <c:f>'Summary &amp; Assumptions'!$O$2:$Z$2</c:f>
              <c:strCache>
                <c:ptCount val="0"/>
              </c:strCache>
            </c:strRef>
          </c:cat>
          <c:val>
            <c:numRef>
              <c:f>'Summary &amp; Assumptions'!$O$4:$Z$4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5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790208584f49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028ec3720e4d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4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28" customHeight="1">
      <x:c r="A1" s="258" t="str">
        <x:v>Neuland Laboratories — Summary &amp; Assumptions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</x:row>
    <x:row r="2">
      <x:c r="A2" s="445" t="str">
        <x:v>Single-case integrated model | FY24A–FY35E | INR million</x:v>
      </x:c>
      <x:c r="B2" s="299"/>
      <x:c r="C2" s="299"/>
      <x:c r="D2" s="299"/>
      <x:c r="E2" s="299"/>
      <x:c r="F2" s="299"/>
      <x:c r="G2" s="299"/>
      <x:c r="H2" s="299"/>
      <x:c r="I2" s="299"/>
      <x:c r="J2" s="299"/>
      <x:c r="K2" s="299"/>
      <x:c r="L2" s="299"/>
      <x:c r="M2" s="299"/>
      <x:c r="N2" s="300"/>
      <x:c r="O2" s="300" t="str">
        <x:v>FY24A</x:v>
      </x:c>
      <x:c r="P2" s="300" t="str">
        <x:v>FY25A</x:v>
      </x:c>
      <x:c r="Q2" s="300" t="str">
        <x:v>FY26A</x:v>
      </x:c>
      <x:c r="R2" s="300" t="str">
        <x:v>FY27E</x:v>
      </x:c>
      <x:c r="S2" s="300" t="str">
        <x:v>FY28E</x:v>
      </x:c>
      <x:c r="T2" s="300" t="str">
        <x:v>FY29E</x:v>
      </x:c>
      <x:c r="U2" s="300" t="str">
        <x:v>FY30E</x:v>
      </x:c>
      <x:c r="V2" s="300" t="str">
        <x:v>FY31E</x:v>
      </x:c>
      <x:c r="W2" s="247" t="str">
        <x:v>FY32E</x:v>
      </x:c>
      <x:c r="X2" s="247" t="str">
        <x:v>FY33E</x:v>
      </x:c>
      <x:c r="Y2" s="247" t="str">
        <x:v>FY34E</x:v>
      </x:c>
      <x:c r="Z2" s="247" t="str">
        <x:v>FY35E</x:v>
      </x:c>
    </x:row>
    <x:row r="3">
      <x:c r="A3" s="323"/>
      <x:c r="B3" s="302"/>
      <x:c r="C3" s="302"/>
      <x:c r="D3" s="302"/>
      <x:c r="E3" s="302"/>
      <x:c r="F3" s="302"/>
      <x:c r="G3" s="302"/>
      <x:c r="H3" s="302"/>
      <x:c r="I3" s="302"/>
      <x:c r="J3" s="302"/>
      <x:c r="K3" s="302"/>
      <x:c r="L3" s="302"/>
      <x:c r="M3" s="302"/>
      <x:c r="N3" s="300" t="str">
        <x:v>Revenue</x:v>
      </x:c>
      <x:c r="O3" s="300" t="n">
        <x:f>B7</x:f>
        <x:v>15585.805</x:v>
      </x:c>
      <x:c r="P3" s="300" t="n">
        <x:f>C7</x:f>
        <x:v>14768.373</x:v>
      </x:c>
      <x:c r="Q3" s="300" t="n">
        <x:f>D7</x:f>
        <x:v>20229.854</x:v>
      </x:c>
      <x:c r="R3" s="300" t="n">
        <x:f>E7</x:f>
        <x:v>23230.502565000003</x:v>
      </x:c>
      <x:c r="S3" s="300" t="n">
        <x:f>F7</x:f>
        <x:v>26882.61282237</x:v>
      </x:c>
      <x:c r="T3" s="300" t="n">
        <x:f>G7</x:f>
        <x:v>30565.209298317302</x:v>
      </x:c>
      <x:c r="U3" s="300" t="n">
        <x:f>H7</x:f>
        <x:v>34086.698936214794</x:v>
      </x:c>
      <x:c r="V3" s="300" t="n">
        <x:f>I7</x:f>
        <x:v>37395.30431057411</x:v>
      </x:c>
      <x:c r="W3" s="247" t="n">
        <x:f>J7</x:f>
        <x:v>40525.103710579686</x:v>
      </x:c>
      <x:c r="X3" s="247" t="n">
        <x:f>K7</x:f>
        <x:v>43282.88262044852</x:v>
      </x:c>
      <x:c r="Y3" s="247" t="n">
        <x:f>L7</x:f>
        <x:v>45652.57272044734</x:v>
      </x:c>
      <x:c r="Z3" s="247" t="n">
        <x:f>M7</x:f>
        <x:v>47579.04300913284</x:v>
      </x:c>
    </x:row>
    <x:row r="4" ht="20" customHeight="1">
      <x:c r="A4" s="447" t="str">
        <x:v>INR million, unless stated</x:v>
      </x:c>
      <x:c r="B4" s="27" t="str">
        <x:v>FY24A</x:v>
      </x:c>
      <x:c r="C4" s="27" t="str">
        <x:v>FY25A</x:v>
      </x:c>
      <x:c r="D4" s="27" t="str">
        <x:v>FY26A</x:v>
      </x:c>
      <x:c r="E4" s="28" t="str">
        <x:v>FY27E</x:v>
      </x:c>
      <x:c r="F4" s="28" t="str">
        <x:v>FY28E</x:v>
      </x:c>
      <x:c r="G4" s="28" t="str">
        <x:v>FY29E</x:v>
      </x:c>
      <x:c r="H4" s="28" t="str">
        <x:v>FY30E</x:v>
      </x:c>
      <x:c r="I4" s="28" t="str">
        <x:v>FY31E</x:v>
      </x:c>
      <x:c r="J4" s="28" t="str">
        <x:v>FY32E</x:v>
      </x:c>
      <x:c r="K4" s="28" t="str">
        <x:v>FY33E</x:v>
      </x:c>
      <x:c r="L4" s="28" t="str">
        <x:v>FY34E</x:v>
      </x:c>
      <x:c r="M4" s="28" t="str">
        <x:v>FY35E</x:v>
      </x:c>
      <x:c r="N4" s="300" t="str">
        <x:v>Reported EBITDA</x:v>
      </x:c>
      <x:c r="O4" s="300" t="n">
        <x:f>B9</x:f>
        <x:v>4751.338000000001</x:v>
      </x:c>
      <x:c r="P4" s="300" t="n">
        <x:f>C9</x:f>
        <x:v>3437.6909999999984</x:v>
      </x:c>
      <x:c r="Q4" s="300" t="n">
        <x:f>D9</x:f>
        <x:v>6046.639999999998</x:v>
      </x:c>
      <x:c r="R4" s="300" t="n">
        <x:f>E9</x:f>
        <x:v>6995.045671500048</x:v>
      </x:c>
      <x:c r="S4" s="300" t="n">
        <x:f>F9</x:f>
        <x:v>8347.182988589406</x:v>
      </x:c>
      <x:c r="T4" s="300" t="n">
        <x:f>G9</x:f>
        <x:v>9793.866251735122</x:v>
      </x:c>
      <x:c r="U4" s="300" t="n">
        <x:f>H9</x:f>
        <x:v>11240.065090783824</x:v>
      </x:c>
      <x:c r="V4" s="300" t="n">
        <x:f>I9</x:f>
        <x:v>12614.127601855798</x:v>
      </x:c>
      <x:c r="W4" s="247" t="n">
        <x:f>J9</x:f>
        <x:v>13948.733986116029</x:v>
      </x:c>
      <x:c r="X4" s="247" t="n">
        <x:f>K9</x:f>
        <x:v>15041.798484647632</x:v>
      </x:c>
      <x:c r="Y4" s="247" t="n">
        <x:f>L9</x:f>
        <x:v>16024.327627157727</x:v>
      </x:c>
      <x:c r="Z4" s="247" t="n">
        <x:f>M9</x:f>
        <x:v>16787.22173360427</x:v>
      </x:c>
    </x:row>
    <x:row r="5">
      <x:c r="A5" s="323"/>
      <x:c r="B5" s="303"/>
      <x:c r="C5" s="303"/>
      <x:c r="D5" s="303"/>
      <x:c r="E5" s="304"/>
      <x:c r="F5" s="304"/>
      <x:c r="G5" s="304"/>
      <x:c r="H5" s="304"/>
      <x:c r="I5" s="304"/>
      <x:c r="J5" s="304"/>
      <x:c r="K5" s="304"/>
      <x:c r="L5" s="304"/>
      <x:c r="M5" s="304"/>
      <x:c r="N5" s="302"/>
      <x:c r="O5" s="302"/>
      <x:c r="P5" s="302"/>
      <x:c r="Q5" s="302"/>
      <x:c r="R5" s="302"/>
      <x:c r="S5" s="302"/>
      <x:c r="T5" s="302"/>
      <x:c r="U5" s="302"/>
      <x:c r="V5" s="302"/>
    </x:row>
    <x:row r="6" ht="20" customHeight="1">
      <x:c r="A6" s="258" t="str">
        <x:v>Key Financial Summary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302"/>
      <x:c r="O6" s="302"/>
      <x:c r="P6" s="302"/>
      <x:c r="Q6" s="302"/>
      <x:c r="R6" s="302"/>
      <x:c r="S6" s="302"/>
      <x:c r="T6" s="302"/>
      <x:c r="U6" s="302"/>
      <x:c r="V6" s="302"/>
    </x:row>
    <x:row r="7">
      <x:c r="A7" s="468" t="str">
        <x:v>Revenue from operations</x:v>
      </x:c>
      <x:c r="B7" s="306" t="n">
        <x:f>'Three Statements'!B6</x:f>
        <x:v>15585.805</x:v>
      </x:c>
      <x:c r="C7" s="306" t="n">
        <x:f>'Three Statements'!C6</x:f>
        <x:v>14768.373</x:v>
      </x:c>
      <x:c r="D7" s="306" t="n">
        <x:f>'Three Statements'!D6</x:f>
        <x:v>20229.854</x:v>
      </x:c>
      <x:c r="E7" s="307" t="n">
        <x:f>'Three Statements'!E6</x:f>
        <x:v>23230.502565000003</x:v>
      </x:c>
      <x:c r="F7" s="307" t="n">
        <x:f>'Three Statements'!F6</x:f>
        <x:v>26882.61282237</x:v>
      </x:c>
      <x:c r="G7" s="307" t="n">
        <x:f>'Three Statements'!G6</x:f>
        <x:v>30565.209298317302</x:v>
      </x:c>
      <x:c r="H7" s="307" t="n">
        <x:f>'Three Statements'!H6</x:f>
        <x:v>34086.698936214794</x:v>
      </x:c>
      <x:c r="I7" s="307" t="n">
        <x:f>'Three Statements'!I6</x:f>
        <x:v>37395.30431057411</x:v>
      </x:c>
      <x:c r="J7" s="307" t="n">
        <x:f>'Three Statements'!J6</x:f>
        <x:v>40525.103710579686</x:v>
      </x:c>
      <x:c r="K7" s="307" t="n">
        <x:f>'Three Statements'!K6</x:f>
        <x:v>43282.88262044852</x:v>
      </x:c>
      <x:c r="L7" s="307" t="n">
        <x:f>'Three Statements'!L6</x:f>
        <x:v>45652.57272044734</x:v>
      </x:c>
      <x:c r="M7" s="307" t="n">
        <x:f>'Three Statements'!M6</x:f>
        <x:v>47579.04300913284</x:v>
      </x:c>
      <x:c r="N7" s="302"/>
      <x:c r="O7" s="302"/>
      <x:c r="P7" s="302"/>
      <x:c r="Q7" s="302"/>
      <x:c r="R7" s="302"/>
      <x:c r="S7" s="302"/>
      <x:c r="T7" s="302"/>
      <x:c r="U7" s="302"/>
      <x:c r="V7" s="302"/>
    </x:row>
    <x:row r="8">
      <x:c r="A8" s="323" t="str">
        <x:v>YoY growth</x:v>
      </x:c>
      <x:c r="B8" s="308" t="n">
        <x:f>'Revenue Model'!B12</x:f>
        <x:v>0</x:v>
      </x:c>
      <x:c r="C8" s="308" t="n">
        <x:f>'Revenue Model'!C12</x:f>
        <x:v>-0.052447210779295594</x:v>
      </x:c>
      <x:c r="D8" s="308" t="n">
        <x:f>'Revenue Model'!D12</x:f>
        <x:v>0.36980925386973884</x:v>
      </x:c>
      <x:c r="E8" s="309" t="n">
        <x:f>'Revenue Model'!E12</x:f>
        <x:v>0.14832774200940868</x:v>
      </x:c>
      <x:c r="F8" s="309" t="n">
        <x:f>'Revenue Model'!F12</x:f>
        <x:v>0.15721184882467476</x:v>
      </x:c>
      <x:c r="G8" s="309" t="n">
        <x:f>'Revenue Model'!G12</x:f>
        <x:v>0.13698804131430564</x:v>
      </x:c>
      <x:c r="H8" s="309" t="n">
        <x:f>'Revenue Model'!H12</x:f>
        <x:v>0.1152123515179515</x:v>
      </x:c>
      <x:c r="I8" s="309" t="n">
        <x:f>'Revenue Model'!I12</x:f>
        <x:v>0.09706441156272083</x:v>
      </x:c>
      <x:c r="J8" s="309" t="n">
        <x:f>'Revenue Model'!J12</x:f>
        <x:v>0.08369498410848819</x:v>
      </x:c>
      <x:c r="K8" s="309" t="n">
        <x:f>'Revenue Model'!K12</x:f>
        <x:v>0.06805112528679058</x:v>
      </x:c>
      <x:c r="L8" s="309" t="n">
        <x:f>'Revenue Model'!L12</x:f>
        <x:v>0.054748897405443975</x:v>
      </x:c>
      <x:c r="M8" s="309" t="n">
        <x:f>'Revenue Model'!M12</x:f>
        <x:v>0.04219850435335171</x:v>
      </x:c>
      <x:c r="N8" s="302"/>
      <x:c r="O8" s="302"/>
      <x:c r="P8" s="302"/>
      <x:c r="Q8" s="302"/>
      <x:c r="R8" s="302"/>
      <x:c r="S8" s="302"/>
      <x:c r="T8" s="302"/>
      <x:c r="U8" s="302"/>
      <x:c r="V8" s="302"/>
    </x:row>
    <x:row r="9">
      <x:c r="A9" s="468" t="str">
        <x:v>Reported EBITDA incl. other income</x:v>
      </x:c>
      <x:c r="B9" s="306" t="n">
        <x:f>'Three Statements'!B17</x:f>
        <x:v>4751.338000000001</x:v>
      </x:c>
      <x:c r="C9" s="306" t="n">
        <x:f>'Three Statements'!C17</x:f>
        <x:v>3437.6909999999984</x:v>
      </x:c>
      <x:c r="D9" s="306" t="n">
        <x:f>'Three Statements'!D17</x:f>
        <x:v>6046.639999999998</x:v>
      </x:c>
      <x:c r="E9" s="307" t="n">
        <x:f>'Three Statements'!E17</x:f>
        <x:v>6995.045671500048</x:v>
      </x:c>
      <x:c r="F9" s="307" t="n">
        <x:f>'Three Statements'!F17</x:f>
        <x:v>8347.182988589406</x:v>
      </x:c>
      <x:c r="G9" s="307" t="n">
        <x:f>'Three Statements'!G17</x:f>
        <x:v>9793.866251735122</x:v>
      </x:c>
      <x:c r="H9" s="307" t="n">
        <x:f>'Three Statements'!H17</x:f>
        <x:v>11240.065090783824</x:v>
      </x:c>
      <x:c r="I9" s="307" t="n">
        <x:f>'Three Statements'!I17</x:f>
        <x:v>12614.127601855798</x:v>
      </x:c>
      <x:c r="J9" s="307" t="n">
        <x:f>'Three Statements'!J17</x:f>
        <x:v>13948.733986116029</x:v>
      </x:c>
      <x:c r="K9" s="307" t="n">
        <x:f>'Three Statements'!K17</x:f>
        <x:v>15041.798484647632</x:v>
      </x:c>
      <x:c r="L9" s="307" t="n">
        <x:f>'Three Statements'!L17</x:f>
        <x:v>16024.327627157727</x:v>
      </x:c>
      <x:c r="M9" s="307" t="n">
        <x:f>'Three Statements'!M17</x:f>
        <x:v>16787.22173360427</x:v>
      </x:c>
      <x:c r="N9" s="302"/>
      <x:c r="O9" s="302"/>
      <x:c r="P9" s="302"/>
      <x:c r="Q9" s="302"/>
      <x:c r="R9" s="302"/>
      <x:c r="S9" s="302"/>
      <x:c r="T9" s="302"/>
      <x:c r="U9" s="302"/>
      <x:c r="V9" s="302"/>
    </x:row>
    <x:row r="10">
      <x:c r="A10" s="323" t="str">
        <x:v>EBITDA margin</x:v>
      </x:c>
      <x:c r="B10" s="310" t="n">
        <x:f>'Three Statements'!B18</x:f>
        <x:v>0.3024163325535948</x:v>
      </x:c>
      <x:c r="C10" s="310" t="n">
        <x:f>'Three Statements'!C18</x:f>
        <x:v>0.22958552148179975</x:v>
      </x:c>
      <x:c r="D10" s="310" t="n">
        <x:f>'Three Statements'!D18</x:f>
        <x:v>0.2945052864094399</x:v>
      </x:c>
      <x:c r="E10" s="311" t="n">
        <x:f>'Three Statements'!E18</x:f>
        <x:v>0.29782200107213574</x:v>
      </x:c>
      <x:c r="F10" s="311" t="n">
        <x:f>'Three Statements'!F18</x:f>
        <x:v>0.3070930857936196</x:v>
      </x:c>
      <x:c r="G10" s="311" t="n">
        <x:f>'Three Statements'!G18</x:f>
        <x:v>0.3165575224177294</x:v>
      </x:c>
      <x:c r="H10" s="311" t="n">
        <x:f>'Three Statements'!H18</x:f>
        <x:v>0.3250672063245896</x:v>
      </x:c>
      <x:c r="I10" s="311" t="n">
        <x:f>'Three Statements'!I18</x:f>
        <x:v>0.33168750593300506</x:v>
      </x:c>
      <x:c r="J10" s="311" t="n">
        <x:f>'Three Statements'!J18</x:f>
        <x:v>0.337340288051116</x:v>
      </x:c>
      <x:c r="K10" s="311" t="n">
        <x:f>'Three Statements'!K18</x:f>
        <x:v>0.3395866855289383</x:v>
      </x:c>
      <x:c r="L10" s="311" t="n">
        <x:f>'Three Statements'!L18</x:f>
        <x:v>0.3417471963276654</x:v>
      </x:c>
      <x:c r="M10" s="311" t="n">
        <x:f>'Three Statements'!M18</x:f>
        <x:v>0.34218439990982136</x:v>
      </x:c>
      <x:c r="N10" s="302"/>
      <x:c r="O10" s="302"/>
      <x:c r="P10" s="302"/>
      <x:c r="Q10" s="302"/>
      <x:c r="R10" s="302"/>
      <x:c r="S10" s="302"/>
      <x:c r="T10" s="302"/>
      <x:c r="U10" s="302"/>
      <x:c r="V10" s="302"/>
    </x:row>
    <x:row r="11">
      <x:c r="A11" s="468" t="str">
        <x:v>Profit after tax</x:v>
      </x:c>
      <x:c r="B11" s="306" t="n">
        <x:f>'Three Statements'!B28</x:f>
        <x:v>3000.7890000000007</x:v>
      </x:c>
      <x:c r="C11" s="306" t="n">
        <x:f>'Three Statements'!C28</x:f>
        <x:v>2601.0809999999983</x:v>
      </x:c>
      <x:c r="D11" s="306" t="n">
        <x:f>'Three Statements'!D28</x:f>
        <x:v>3639.9839999999967</x:v>
      </x:c>
      <x:c r="E11" s="307" t="n">
        <x:f>'Three Statements'!E28</x:f>
        <x:v>4363.450156992536</x:v>
      </x:c>
      <x:c r="F11" s="307" t="n">
        <x:f>'Three Statements'!F28</x:f>
        <x:v>5173.420747403607</x:v>
      </x:c>
      <x:c r="G11" s="307" t="n">
        <x:f>'Three Statements'!G28</x:f>
        <x:v>6172.716225546409</x:v>
      </x:c>
      <x:c r="H11" s="307" t="n">
        <x:f>'Three Statements'!H28</x:f>
        <x:v>7228.776103483498</x:v>
      </x:c>
      <x:c r="I11" s="307" t="n">
        <x:f>'Three Statements'!I28</x:f>
        <x:v>8234.033887686033</x:v>
      </x:c>
      <x:c r="J11" s="307" t="n">
        <x:f>'Three Statements'!J28</x:f>
        <x:v>9207.002189557734</x:v>
      </x:c>
      <x:c r="K11" s="307" t="n">
        <x:f>'Three Statements'!K28</x:f>
        <x:v>9987.794946872731</x:v>
      </x:c>
      <x:c r="L11" s="307" t="n">
        <x:f>'Three Statements'!L28</x:f>
        <x:v>10670.566914098881</x:v>
      </x:c>
      <x:c r="M11" s="307" t="n">
        <x:f>'Three Statements'!M28</x:f>
        <x:v>11187.561320192915</x:v>
      </x:c>
      <x:c r="N11" s="302"/>
      <x:c r="O11" s="302"/>
      <x:c r="P11" s="302"/>
      <x:c r="Q11" s="302"/>
      <x:c r="R11" s="302"/>
      <x:c r="S11" s="302"/>
      <x:c r="T11" s="302"/>
      <x:c r="U11" s="302"/>
      <x:c r="V11" s="302"/>
    </x:row>
    <x:row r="12">
      <x:c r="A12" s="323" t="str">
        <x:v>Diluted EPS (INR)</x:v>
      </x:c>
      <x:c r="B12" s="312" t="n">
        <x:f>'Three Statements'!B30</x:f>
        <x:v>233.8904880626793</x:v>
      </x:c>
      <x:c r="C12" s="312" t="n">
        <x:f>'Three Statements'!C30</x:f>
        <x:v>202.73604861273535</x:v>
      </x:c>
      <x:c r="D12" s="312" t="n">
        <x:f>'Three Statements'!D30</x:f>
        <x:v>283.7112620381982</x:v>
      </x:c>
      <x:c r="E12" s="313" t="n">
        <x:f>'Three Statements'!E30</x:f>
        <x:v>340.1003825514419</x:v>
      </x:c>
      <x:c r="F12" s="313" t="n">
        <x:f>'Three Statements'!F30</x:f>
        <x:v>403.2319178602096</x:v>
      </x:c>
      <x:c r="G12" s="313" t="n">
        <x:f>'Three Statements'!G30</x:f>
        <x:v>481.12000232787744</x:v>
      </x:c>
      <x:c r="H12" s="313" t="n">
        <x:f>'Three Statements'!H30</x:f>
        <x:v>563.432474239138</x:v>
      </x:c>
      <x:c r="I12" s="313" t="n">
        <x:f>'Three Statements'!I30</x:f>
        <x:v>641.7852787102081</x:v>
      </x:c>
      <x:c r="J12" s="313" t="n">
        <x:f>'Three Statements'!J30</x:f>
        <x:v>717.6213441564252</x:v>
      </x:c>
      <x:c r="K12" s="313" t="n">
        <x:f>'Three Statements'!K30</x:f>
        <x:v>778.4786717073492</x:v>
      </x:c>
      <x:c r="L12" s="313" t="n">
        <x:f>'Three Statements'!L30</x:f>
        <x:v>831.6959651091979</x:v>
      </x:c>
      <x:c r="M12" s="313" t="n">
        <x:f>'Three Statements'!M30</x:f>
        <x:v>871.9920585589568</x:v>
      </x:c>
      <x:c r="N12" s="302"/>
      <x:c r="O12" s="302"/>
      <x:c r="P12" s="302"/>
      <x:c r="Q12" s="302"/>
      <x:c r="R12" s="302"/>
      <x:c r="S12" s="302"/>
      <x:c r="T12" s="302"/>
      <x:c r="U12" s="302"/>
      <x:c r="V12" s="302"/>
    </x:row>
    <x:row r="13">
      <x:c r="A13" s="468" t="str">
        <x:v>Operating cash flow</x:v>
      </x:c>
      <x:c r="B13" s="306" t="n">
        <x:f>'Three Statements'!B67</x:f>
        <x:v>2611.767</x:v>
      </x:c>
      <x:c r="C13" s="306" t="n">
        <x:f>'Three Statements'!C67</x:f>
        <x:v>3173.828</x:v>
      </x:c>
      <x:c r="D13" s="306" t="n">
        <x:f>'Three Statements'!D67</x:f>
        <x:v>3466.804</x:v>
      </x:c>
      <x:c r="E13" s="307" t="n">
        <x:f>'Three Statements'!E67</x:f>
        <x:v>4042.660386752519</x:v>
      </x:c>
      <x:c r="F13" s="307" t="n">
        <x:f>'Three Statements'!F67</x:f>
        <x:v>5533.166382040747</x:v>
      </x:c>
      <x:c r="G13" s="307" t="n">
        <x:f>'Three Statements'!G67</x:f>
        <x:v>6512.870820385579</x:v>
      </x:c>
      <x:c r="H13" s="307" t="n">
        <x:f>'Three Statements'!H67</x:f>
        <x:v>7656.014415709678</x:v>
      </x:c>
      <x:c r="I13" s="307" t="n">
        <x:f>'Three Statements'!I67</x:f>
        <x:v>8708.542491240398</x:v>
      </x:c>
      <x:c r="J13" s="307" t="n">
        <x:f>'Three Statements'!J67</x:f>
        <x:v>9751.354450605977</x:v>
      </x:c>
      <x:c r="K13" s="307" t="n">
        <x:f>'Three Statements'!K67</x:f>
        <x:v>10448.310675826697</x:v>
      </x:c>
      <x:c r="L13" s="307" t="n">
        <x:f>'Three Statements'!L67</x:f>
        <x:v>11243.833440883249</x:v>
      </x:c>
      <x:c r="M13" s="307" t="n">
        <x:f>'Three Statements'!M67</x:f>
        <x:v>11780.857948117098</x:v>
      </x:c>
      <x:c r="N13" s="302"/>
      <x:c r="O13" s="302"/>
      <x:c r="P13" s="302"/>
      <x:c r="Q13" s="302"/>
      <x:c r="R13" s="302"/>
      <x:c r="S13" s="302"/>
      <x:c r="T13" s="302"/>
      <x:c r="U13" s="302"/>
      <x:c r="V13" s="302"/>
    </x:row>
    <x:row r="14">
      <x:c r="A14" s="468" t="str">
        <x:v>Free cash flow</x:v>
      </x:c>
      <x:c r="B14" s="306" t="n">
        <x:f>B13-'Supporting Schedules'!B33</x:f>
        <x:v>1175.0689999999997</x:v>
      </x:c>
      <x:c r="C14" s="306" t="n">
        <x:f>C13-'Supporting Schedules'!C33</x:f>
        <x:v>1109.188</x:v>
      </x:c>
      <x:c r="D14" s="306" t="n">
        <x:f>D13-'Supporting Schedules'!D33</x:f>
        <x:v>-504.5169999999998</x:v>
      </x:c>
      <x:c r="E14" s="307" t="n">
        <x:f>E13-'Supporting Schedules'!E33</x:f>
        <x:v>542.6603867525191</x:v>
      </x:c>
      <x:c r="F14" s="307" t="n">
        <x:f>F13-'Supporting Schedules'!F33</x:f>
        <x:v>2533.1663820407466</x:v>
      </x:c>
      <x:c r="G14" s="307" t="n">
        <x:f>G13-'Supporting Schedules'!G33</x:f>
        <x:v>4012.8708203855786</x:v>
      </x:c>
      <x:c r="H14" s="307" t="n">
        <x:f>H13-'Supporting Schedules'!H33</x:f>
        <x:v>5456.014415709678</x:v>
      </x:c>
      <x:c r="I14" s="307" t="n">
        <x:f>I13-'Supporting Schedules'!I33</x:f>
        <x:v>6508.542491240398</x:v>
      </x:c>
      <x:c r="J14" s="307" t="n">
        <x:f>J13-'Supporting Schedules'!J33</x:f>
        <x:v>7451.354450605977</x:v>
      </x:c>
      <x:c r="K14" s="307" t="n">
        <x:f>K13-'Supporting Schedules'!K33</x:f>
        <x:v>8048.310675826697</x:v>
      </x:c>
      <x:c r="L14" s="307" t="n">
        <x:f>L13-'Supporting Schedules'!L33</x:f>
        <x:v>8743.833440883249</x:v>
      </x:c>
      <x:c r="M14" s="307" t="n">
        <x:f>M13-'Supporting Schedules'!M33</x:f>
        <x:v>9180.857948117098</x:v>
      </x:c>
      <x:c r="N14" s="302"/>
      <x:c r="O14" s="302"/>
      <x:c r="P14" s="302"/>
      <x:c r="Q14" s="302"/>
      <x:c r="R14" s="302"/>
      <x:c r="S14" s="302"/>
      <x:c r="T14" s="302"/>
      <x:c r="U14" s="302"/>
      <x:c r="V14" s="302"/>
    </x:row>
    <x:row r="15">
      <x:c r="A15" s="468" t="str">
        <x:v>Capex</x:v>
      </x:c>
      <x:c r="B15" s="306" t="n">
        <x:f>'Supporting Schedules'!B33</x:f>
        <x:v>1436.698</x:v>
      </x:c>
      <x:c r="C15" s="306" t="n">
        <x:f>'Supporting Schedules'!C33</x:f>
        <x:v>2064.64</x:v>
      </x:c>
      <x:c r="D15" s="306" t="n">
        <x:f>'Supporting Schedules'!D33</x:f>
        <x:v>3971.321</x:v>
      </x:c>
      <x:c r="E15" s="307" t="n">
        <x:f>'Supporting Schedules'!E33</x:f>
        <x:v>3500</x:v>
      </x:c>
      <x:c r="F15" s="307" t="n">
        <x:f>'Supporting Schedules'!F33</x:f>
        <x:v>3000</x:v>
      </x:c>
      <x:c r="G15" s="307" t="n">
        <x:f>'Supporting Schedules'!G33</x:f>
        <x:v>2500</x:v>
      </x:c>
      <x:c r="H15" s="307" t="n">
        <x:f>'Supporting Schedules'!H33</x:f>
        <x:v>2200</x:v>
      </x:c>
      <x:c r="I15" s="307" t="n">
        <x:f>'Supporting Schedules'!I33</x:f>
        <x:v>2200</x:v>
      </x:c>
      <x:c r="J15" s="307" t="n">
        <x:f>'Supporting Schedules'!J33</x:f>
        <x:v>2300</x:v>
      </x:c>
      <x:c r="K15" s="307" t="n">
        <x:f>'Supporting Schedules'!K33</x:f>
        <x:v>2400</x:v>
      </x:c>
      <x:c r="L15" s="307" t="n">
        <x:f>'Supporting Schedules'!L33</x:f>
        <x:v>2500</x:v>
      </x:c>
      <x:c r="M15" s="307" t="n">
        <x:f>'Supporting Schedules'!M33</x:f>
        <x:v>2600</x:v>
      </x:c>
      <x:c r="N15" s="302"/>
      <x:c r="O15" s="302"/>
      <x:c r="P15" s="302"/>
      <x:c r="Q15" s="302"/>
      <x:c r="R15" s="302"/>
      <x:c r="S15" s="302"/>
      <x:c r="T15" s="302"/>
      <x:c r="U15" s="302"/>
      <x:c r="V15" s="302"/>
    </x:row>
    <x:row r="16">
      <x:c r="A16" s="468" t="str">
        <x:v>Net debt / (cash)</x:v>
      </x:c>
      <x:c r="B16" s="306" t="n">
        <x:f>'Supporting Schedules'!B54</x:f>
        <x:v>-342.8839999999999</x:v>
      </x:c>
      <x:c r="C16" s="306" t="n">
        <x:f>'Supporting Schedules'!C54</x:f>
        <x:v>-2304.9159999999997</x:v>
      </x:c>
      <x:c r="D16" s="306" t="n">
        <x:f>'Supporting Schedules'!D54</x:f>
        <x:v>-1583.5179999999998</x:v>
      </x:c>
      <x:c r="E16" s="307" t="n">
        <x:f>'Supporting Schedules'!E54</x:f>
        <x:v>-1358.9922607875692</x:v>
      </x:c>
      <x:c r="F16" s="307" t="n">
        <x:f>'Supporting Schedules'!F54</x:f>
        <x:v>-2785.678553167535</x:v>
      </x:c>
      <x:c r="G16" s="307" t="n">
        <x:f>'Supporting Schedules'!G54</x:f>
        <x:v>-5334.028865682023</x:v>
      </x:c>
      <x:c r="H16" s="307" t="n">
        <x:f>'Supporting Schedules'!H54</x:f>
        <x:v>-9180.890241615978</x:v>
      </x:c>
      <x:c r="I16" s="307" t="n">
        <x:f>'Supporting Schedules'!I54</x:f>
        <x:v>-13582.062805702215</x:v>
      </x:c>
      <x:c r="J16" s="307" t="n">
        <x:f>'Supporting Schedules'!J54</x:f>
        <x:v>-18777.627600794483</x:v>
      </x:c>
      <x:c r="K16" s="307" t="n">
        <x:f>'Supporting Schedules'!K54</x:f>
        <x:v>-23981.552700829936</x:v>
      </x:c>
      <x:c r="L16" s="307" t="n">
        <x:f>'Supporting Schedules'!L54</x:f>
        <x:v>-29784.504580239973</x:v>
      </x:c>
      <x:c r="M16" s="307" t="n">
        <x:f>'Supporting Schedules'!M54</x:f>
        <x:v>-35986.76856957666</x:v>
      </x:c>
      <x:c r="N16" s="302"/>
      <x:c r="O16" s="302"/>
      <x:c r="P16" s="302"/>
      <x:c r="Q16" s="302"/>
      <x:c r="R16" s="302"/>
      <x:c r="S16" s="302"/>
      <x:c r="T16" s="302"/>
      <x:c r="U16" s="302"/>
      <x:c r="V16" s="302"/>
    </x:row>
    <x:row r="17">
      <x:c r="A17" s="468" t="str">
        <x:v>ROCE</x:v>
      </x:c>
      <x:c r="B17" s="314" t="n">
        <x:f>'Three Statements'!B20/('Three Statements'!B48+'Supporting Schedules'!B44-'Supporting Schedules'!B53)</x:f>
        <x:v>0.33276869800813264</x:v>
      </x:c>
      <x:c r="C17" s="314" t="n">
        <x:f>'Three Statements'!C20/AVERAGE(('Three Statements'!B48+'Supporting Schedules'!B44-'Supporting Schedules'!B53),('Three Statements'!C48+'Supporting Schedules'!C44-'Supporting Schedules'!C53))</x:f>
        <x:v>0.2188375326042143</x:v>
      </x:c>
      <x:c r="D17" s="314" t="n">
        <x:f>'Three Statements'!D20/AVERAGE(('Three Statements'!C48+'Supporting Schedules'!C44-'Supporting Schedules'!C53),('Three Statements'!D48+'Supporting Schedules'!D44-'Supporting Schedules'!D53))</x:f>
        <x:v>0.3407642840282458</x:v>
      </x:c>
      <x:c r="E17" s="315" t="n">
        <x:f>'Three Statements'!E20/AVERAGE(('Three Statements'!D48+'Supporting Schedules'!D44-'Supporting Schedules'!D53),('Three Statements'!E48+'Supporting Schedules'!E44-'Supporting Schedules'!E53))</x:f>
        <x:v>0.31621118830581163</x:v>
      </x:c>
      <x:c r="F17" s="315" t="n">
        <x:f>'Three Statements'!F20/AVERAGE(('Three Statements'!E48+'Supporting Schedules'!E44-'Supporting Schedules'!E53),('Three Statements'!F48+'Supporting Schedules'!F44-'Supporting Schedules'!F53))</x:f>
        <x:v>0.3187623552011243</x:v>
      </x:c>
      <x:c r="G17" s="315" t="n">
        <x:f>'Three Statements'!G20/AVERAGE(('Three Statements'!F48+'Supporting Schedules'!F44-'Supporting Schedules'!F53),('Three Statements'!G48+'Supporting Schedules'!G44-'Supporting Schedules'!G53))</x:f>
        <x:v>0.3406533924370658</x:v>
      </x:c>
      <x:c r="H17" s="315" t="n">
        <x:f>'Three Statements'!H20/AVERAGE(('Three Statements'!G48+'Supporting Schedules'!G44-'Supporting Schedules'!G53),('Three Statements'!H48+'Supporting Schedules'!H44-'Supporting Schedules'!H53))</x:f>
        <x:v>0.36889038640812577</x:v>
      </x:c>
      <x:c r="I17" s="315" t="n">
        <x:f>'Three Statements'!I20/AVERAGE(('Three Statements'!H48+'Supporting Schedules'!H44-'Supporting Schedules'!H53),('Three Statements'!I48+'Supporting Schedules'!I44-'Supporting Schedules'!I53))</x:f>
        <x:v>0.3972756711589282</x:v>
      </x:c>
      <x:c r="J17" s="315" t="n">
        <x:f>'Three Statements'!J20/AVERAGE(('Three Statements'!I48+'Supporting Schedules'!I44-'Supporting Schedules'!I53),('Three Statements'!J48+'Supporting Schedules'!J44-'Supporting Schedules'!J53))</x:f>
        <x:v>0.42453528105804045</x:v>
      </x:c>
      <x:c r="K17" s="315" t="n">
        <x:f>'Three Statements'!K20/AVERAGE(('Three Statements'!J48+'Supporting Schedules'!J44-'Supporting Schedules'!J53),('Three Statements'!K48+'Supporting Schedules'!K44-'Supporting Schedules'!K53))</x:f>
        <x:v>0.4430070899602439</x:v>
      </x:c>
      <x:c r="L17" s="315" t="n">
        <x:f>'Three Statements'!L20/AVERAGE(('Three Statements'!K48+'Supporting Schedules'!K44-'Supporting Schedules'!K53),('Three Statements'!L48+'Supporting Schedules'!L44-'Supporting Schedules'!L53))</x:f>
        <x:v>0.4583457730642217</x:v>
      </x:c>
      <x:c r="M17" s="315" t="n">
        <x:f>'Three Statements'!M20/AVERAGE(('Three Statements'!L48+'Supporting Schedules'!L44-'Supporting Schedules'!L53),('Three Statements'!M48+'Supporting Schedules'!M44-'Supporting Schedules'!M53))</x:f>
        <x:v>0.4686337291726582</x:v>
      </x:c>
      <x:c r="N17" s="302"/>
      <x:c r="O17" s="302"/>
      <x:c r="P17" s="302"/>
      <x:c r="Q17" s="302"/>
      <x:c r="R17" s="302"/>
      <x:c r="S17" s="302"/>
      <x:c r="T17" s="302"/>
      <x:c r="U17" s="302"/>
      <x:c r="V17" s="302"/>
    </x:row>
    <x:row r="18">
      <x:c r="A18" s="323"/>
      <x:c r="B18" s="303"/>
      <x:c r="C18" s="303"/>
      <x:c r="D18" s="303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2"/>
      <x:c r="O18" s="302"/>
      <x:c r="P18" s="302"/>
      <x:c r="Q18" s="302"/>
      <x:c r="R18" s="302"/>
      <x:c r="S18" s="302"/>
      <x:c r="T18" s="302"/>
      <x:c r="U18" s="302"/>
      <x:c r="V18" s="302"/>
    </x:row>
    <x:row r="19">
      <x:c r="A19" s="323"/>
      <x:c r="B19" s="303"/>
      <x:c r="C19" s="303"/>
      <x:c r="D19" s="303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2"/>
      <x:c r="O19" s="302"/>
      <x:c r="P19" s="302"/>
      <x:c r="Q19" s="302"/>
      <x:c r="R19" s="302"/>
      <x:c r="S19" s="302"/>
      <x:c r="T19" s="302"/>
      <x:c r="U19" s="302"/>
      <x:c r="V19" s="302"/>
    </x:row>
    <x:row r="20" ht="20" customHeight="1">
      <x:c r="A20" s="258" t="str">
        <x:v>Revenue Mix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302"/>
      <x:c r="O20" s="302"/>
      <x:c r="P20" s="302"/>
      <x:c r="Q20" s="302"/>
      <x:c r="R20" s="302"/>
      <x:c r="S20" s="302"/>
      <x:c r="T20" s="302"/>
      <x:c r="U20" s="302"/>
      <x:c r="V20" s="302"/>
    </x:row>
    <x:row r="21">
      <x:c r="A21" s="323" t="str">
        <x:v>Prime</x:v>
      </x:c>
      <x:c r="B21" s="310" t="n">
        <x:f>'Revenue Model'!B7/'Revenue Model'!B11</x:f>
        <x:v>0.24</x:v>
      </x:c>
      <x:c r="C21" s="310" t="n">
        <x:f>'Revenue Model'!C7/'Revenue Model'!C11</x:f>
        <x:v>0.33000000067712265</x:v>
      </x:c>
      <x:c r="D21" s="310" t="n">
        <x:f>'Revenue Model'!D7/'Revenue Model'!D11</x:f>
        <x:v>0.22999999901136212</x:v>
      </x:c>
      <x:c r="E21" s="311" t="n">
        <x:f>'Revenue Model'!E7/'Revenue Model'!E11</x:f>
        <x:v>0.22302985901846328</x:v>
      </x:c>
      <x:c r="F21" s="311" t="n">
        <x:f>'Revenue Model'!F7/'Revenue Model'!F11</x:f>
        <x:v>0.21221089656184172</x:v>
      </x:c>
      <x:c r="G21" s="311" t="n">
        <x:f>'Revenue Model'!G7/'Revenue Model'!G11</x:f>
        <x:v>0.201468870855277</x:v>
      </x:c>
      <x:c r="H21" s="311" t="n">
        <x:f>'Revenue Model'!H7/'Revenue Model'!H11</x:f>
        <x:v>0.1926523454020233</x:v>
      </x:c>
      <x:c r="I21" s="311" t="n">
        <x:f>'Revenue Model'!I7/'Revenue Model'!I11</x:f>
        <x:v>0.18495742899924456</x:v>
      </x:c>
      <x:c r="J21" s="311" t="n">
        <x:f>'Revenue Model'!J7/'Revenue Model'!J11</x:f>
        <x:v>0.17864913752051698</x:v>
      </x:c>
      <x:c r="K21" s="311" t="n">
        <x:f>'Revenue Model'!K7/'Revenue Model'!K11</x:f>
        <x:v>0.1728714697543407</x:v>
      </x:c>
      <x:c r="L21" s="311" t="n">
        <x:f>'Revenue Model'!L7/'Revenue Model'!L11</x:f>
        <x:v>0.16835437557272576</x:v>
      </x:c>
      <x:c r="M21" s="311" t="n">
        <x:f>'Revenue Model'!M7/'Revenue Model'!M11</x:f>
        <x:v>0.1638654114261859</x:v>
      </x:c>
      <x:c r="N21" s="302"/>
      <x:c r="O21" s="302"/>
      <x:c r="P21" s="302"/>
      <x:c r="Q21" s="302"/>
      <x:c r="R21" s="302"/>
      <x:c r="S21" s="302"/>
      <x:c r="T21" s="302"/>
      <x:c r="U21" s="302"/>
      <x:c r="V21" s="302"/>
    </x:row>
    <x:row r="22">
      <x:c r="A22" s="323" t="str">
        <x:v>Specialty</x:v>
      </x:c>
      <x:c r="B22" s="310" t="n">
        <x:f>'Revenue Model'!B8/'Revenue Model'!B11</x:f>
        <x:v>0.22</x:v>
      </x:c>
      <x:c r="C22" s="310" t="n">
        <x:f>'Revenue Model'!C8/'Revenue Model'!C11</x:f>
        <x:v>0.17999999729150934</x:v>
      </x:c>
      <x:c r="D22" s="310" t="n">
        <x:f>'Revenue Model'!D8/'Revenue Model'!D11</x:f>
        <x:v>0.10999999802272424</x:v>
      </x:c>
      <x:c r="E22" s="311" t="n">
        <x:f>'Revenue Model'!E8/'Revenue Model'!E11</x:f>
        <x:v>0.1054784743095376</x:v>
      </x:c>
      <x:c r="F22" s="311" t="n">
        <x:f>'Revenue Model'!F8/'Revenue Model'!F11</x:f>
        <x:v>0.10156587613715777</x:v>
      </x:c>
      <x:c r="G22" s="311" t="n">
        <x:f>'Revenue Model'!G8/'Revenue Model'!G11</x:f>
        <x:v>0.09903139442870561</x:v>
      </x:c>
      <x:c r="H22" s="311" t="n">
        <x:f>'Revenue Model'!H8/'Revenue Model'!H11</x:f>
        <x:v>0.097436564151148</x:v>
      </x:c>
      <x:c r="I22" s="311" t="n">
        <x:f>'Revenue Model'!I8/'Revenue Model'!I11</x:f>
        <x:v>0.09632879069965779</x:v>
      </x:c>
      <x:c r="J22" s="311" t="n">
        <x:f>'Revenue Model'!J8/'Revenue Model'!J11</x:f>
        <x:v>0.09541858708286215</x:v>
      </x:c>
      <x:c r="K22" s="311" t="n">
        <x:f>'Revenue Model'!K8/'Revenue Model'!K11</x:f>
        <x:v>0.09503166430343547</x:v>
      </x:c>
      <x:c r="L22" s="311" t="n">
        <x:f>'Revenue Model'!L8/'Revenue Model'!L11</x:f>
        <x:v>0.09485372274296926</x:v>
      </x:c>
      <x:c r="M22" s="311" t="n">
        <x:f>'Revenue Model'!M8/'Revenue Model'!M11</x:f>
        <x:v>0.0948349461401834</x:v>
      </x:c>
      <x:c r="N22" s="302"/>
      <x:c r="O22" s="302"/>
      <x:c r="P22" s="302"/>
      <x:c r="Q22" s="302"/>
      <x:c r="R22" s="302"/>
      <x:c r="S22" s="302"/>
      <x:c r="T22" s="302"/>
      <x:c r="U22" s="302"/>
      <x:c r="V22" s="302"/>
    </x:row>
    <x:row r="23">
      <x:c r="A23" s="323" t="str">
        <x:v>CMS</x:v>
      </x:c>
      <x:c r="B23" s="310" t="n">
        <x:f>'Revenue Model'!B9/'Revenue Model'!B11</x:f>
        <x:v>0.49083124034979264</x:v>
      </x:c>
      <x:c r="C23" s="310" t="n">
        <x:f>'Revenue Model'!C9/'Revenue Model'!C11</x:f>
        <x:v>0.4313271340045379</x:v>
      </x:c>
      <x:c r="D23" s="310" t="n">
        <x:f>'Revenue Model'!D9/'Revenue Model'!D11</x:f>
        <x:v>0.6149327622433657</x:v>
      </x:c>
      <x:c r="E23" s="311" t="n">
        <x:f>'Revenue Model'!E9/'Revenue Model'!E11</x:f>
        <x:v>0.6302833939572154</x:v>
      </x:c>
      <x:c r="F23" s="311" t="n">
        <x:f>'Revenue Model'!F9/'Revenue Model'!F11</x:f>
        <x:v>0.6488327647037944</x:v>
      </x:c>
      <x:c r="G23" s="311" t="n">
        <x:f>'Revenue Model'!G9/'Revenue Model'!G11</x:f>
        <x:v>0.6649699205926571</x:v>
      </x:c>
      <x:c r="H23" s="311" t="n">
        <x:f>'Revenue Model'!H9/'Revenue Model'!H11</x:f>
        <x:v>0.6777100422433946</x:v>
      </x:c>
      <x:c r="I23" s="311" t="n">
        <x:f>'Revenue Model'!I9/'Revenue Model'!I11</x:f>
        <x:v>0.6881876874130166</x:v>
      </x:c>
      <x:c r="J23" s="311" t="n">
        <x:f>'Revenue Model'!J9/'Revenue Model'!J11</x:f>
        <x:v>0.6966370059073731</x:v>
      </x:c>
      <x:c r="K23" s="311" t="n">
        <x:f>'Revenue Model'!K9/'Revenue Model'!K11</x:f>
        <x:v>0.7038452899085177</x:v>
      </x:c>
      <x:c r="L23" s="311" t="n">
        <x:f>'Revenue Model'!L9/'Revenue Model'!L11</x:f>
        <x:v>0.7092032278432631</x:v>
      </x:c>
      <x:c r="M23" s="311" t="n">
        <x:f>'Revenue Model'!M9/'Revenue Model'!M11</x:f>
        <x:v>0.7140338826598682</x:v>
      </x:c>
      <x:c r="N23" s="302"/>
      <x:c r="O23" s="302"/>
      <x:c r="P23" s="302"/>
      <x:c r="Q23" s="302"/>
      <x:c r="R23" s="302"/>
      <x:c r="S23" s="302"/>
      <x:c r="T23" s="302"/>
      <x:c r="U23" s="302"/>
      <x:c r="V23" s="302"/>
    </x:row>
    <x:row r="24">
      <x:c r="A24" s="323" t="str">
        <x:v>Others</x:v>
      </x:c>
      <x:c r="B24" s="310" t="n">
        <x:f>'Revenue Model'!B10/'Revenue Model'!B11</x:f>
        <x:v>0.04916875965020735</x:v>
      </x:c>
      <x:c r="C24" s="310" t="n">
        <x:f>'Revenue Model'!C10/'Revenue Model'!C11</x:f>
        <x:v>0.05867286802683003</x:v>
      </x:c>
      <x:c r="D24" s="310" t="n">
        <x:f>'Revenue Model'!D10/'Revenue Model'!D11</x:f>
        <x:v>0.045067240722547974</x:v>
      </x:c>
      <x:c r="E24" s="311" t="n">
        <x:f>'Revenue Model'!E10/'Revenue Model'!E11</x:f>
        <x:v>0.0412082727147836</x:v>
      </x:c>
      <x:c r="F24" s="311" t="n">
        <x:f>'Revenue Model'!F10/'Revenue Model'!F11</x:f>
        <x:v>0.03739046259720615</x:v>
      </x:c>
      <x:c r="G24" s="311" t="n">
        <x:f>'Revenue Model'!G10/'Revenue Model'!G11</x:f>
        <x:v>0.03452981412336029</x:v>
      </x:c>
      <x:c r="H24" s="311" t="n">
        <x:f>'Revenue Model'!H10/'Revenue Model'!H11</x:f>
        <x:v>0.032201048203434154</x:v>
      </x:c>
      <x:c r="I24" s="311" t="n">
        <x:f>'Revenue Model'!I10/'Revenue Model'!I11</x:f>
        <x:v>0.030526092888080978</x:v>
      </x:c>
      <x:c r="J24" s="311" t="n">
        <x:f>'Revenue Model'!J10/'Revenue Model'!J11</x:f>
        <x:v>0.029295269489247752</x:v>
      </x:c>
      <x:c r="K24" s="311" t="n">
        <x:f>'Revenue Model'!K10/'Revenue Model'!K11</x:f>
        <x:v>0.028251576033706156</x:v>
      </x:c>
      <x:c r="L24" s="311" t="n">
        <x:f>'Revenue Model'!L10/'Revenue Model'!L11</x:f>
        <x:v>0.02758867384104188</x:v>
      </x:c>
      <x:c r="M24" s="311" t="n">
        <x:f>'Revenue Model'!M10/'Revenue Model'!M11</x:f>
        <x:v>0.02726575977376258</x:v>
      </x:c>
      <x:c r="N24" s="302"/>
      <x:c r="O24" s="302"/>
      <x:c r="P24" s="302"/>
      <x:c r="Q24" s="302"/>
      <x:c r="R24" s="302"/>
      <x:c r="S24" s="302"/>
      <x:c r="T24" s="302"/>
      <x:c r="U24" s="302"/>
      <x:c r="V24" s="302"/>
    </x:row>
    <x:row r="25">
      <x:c r="A25" s="323"/>
      <x:c r="B25" s="303"/>
      <x:c r="C25" s="303"/>
      <x:c r="D25" s="303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2"/>
      <x:c r="O25" s="302"/>
      <x:c r="P25" s="302"/>
      <x:c r="Q25" s="302"/>
      <x:c r="R25" s="302"/>
      <x:c r="S25" s="302"/>
      <x:c r="T25" s="302"/>
      <x:c r="U25" s="302"/>
      <x:c r="V25" s="302"/>
    </x:row>
    <x:row r="26">
      <x:c r="A26" s="323"/>
      <x:c r="B26" s="303"/>
      <x:c r="C26" s="303"/>
      <x:c r="D26" s="303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2"/>
      <x:c r="O26" s="302"/>
      <x:c r="P26" s="302"/>
      <x:c r="Q26" s="302"/>
      <x:c r="R26" s="302"/>
      <x:c r="S26" s="302"/>
      <x:c r="T26" s="302"/>
      <x:c r="U26" s="302"/>
      <x:c r="V26" s="302"/>
    </x:row>
    <x:row r="27" ht="20" customHeight="1">
      <x:c r="A27" s="258" t="str">
        <x:v>Core Forecast Assumptions</x:v>
      </x:c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302"/>
      <x:c r="O27" s="302"/>
      <x:c r="P27" s="302"/>
      <x:c r="Q27" s="302"/>
      <x:c r="R27" s="302"/>
      <x:c r="S27" s="302"/>
      <x:c r="T27" s="302"/>
      <x:c r="U27" s="302"/>
      <x:c r="V27" s="302"/>
    </x:row>
    <x:row r="28">
      <x:c r="A28" s="323" t="str">
        <x:v>Ezetimibe growth</x:v>
      </x:c>
      <x:c r="B28" s="316" t="n">
        <x:f>'Revenue Model'!B18</x:f>
        <x:v>0</x:v>
      </x:c>
      <x:c r="C28" s="316" t="n">
        <x:f>'Revenue Model'!C18</x:f>
        <x:v>1</x:v>
      </x:c>
      <x:c r="D28" s="316" t="n">
        <x:f>'Revenue Model'!D18</x:f>
        <x:v>0.625</x:v>
      </x:c>
      <x:c r="E28" s="317" t="n">
        <x:f>'Revenue Model'!E18</x:f>
        <x:v>0.2</x:v>
      </x:c>
      <x:c r="F28" s="317" t="n">
        <x:f>'Revenue Model'!F18</x:f>
        <x:v>0.15</x:v>
      </x:c>
      <x:c r="G28" s="317" t="n">
        <x:f>'Revenue Model'!G18</x:f>
        <x:v>0.1</x:v>
      </x:c>
      <x:c r="H28" s="317" t="n">
        <x:f>'Revenue Model'!H18</x:f>
        <x:v>0.08</x:v>
      </x:c>
      <x:c r="I28" s="317" t="n">
        <x:f>'Revenue Model'!I18</x:f>
        <x:v>0.06</x:v>
      </x:c>
      <x:c r="J28" s="317" t="n">
        <x:f>'Revenue Model'!J18</x:f>
        <x:v>0.04</x:v>
      </x:c>
      <x:c r="K28" s="317" t="n">
        <x:f>'Revenue Model'!K18</x:f>
        <x:v>0.02</x:v>
      </x:c>
      <x:c r="L28" s="317" t="n">
        <x:f>'Revenue Model'!L18</x:f>
        <x:v>0</x:v>
      </x:c>
      <x:c r="M28" s="317" t="n">
        <x:f>'Revenue Model'!M18</x:f>
        <x:v>-0.02</x:v>
      </x:c>
      <x:c r="N28" s="302"/>
      <x:c r="O28" s="302"/>
      <x:c r="P28" s="302"/>
      <x:c r="Q28" s="302"/>
      <x:c r="R28" s="302"/>
      <x:c r="S28" s="302"/>
      <x:c r="T28" s="302"/>
      <x:c r="U28" s="302"/>
      <x:c r="V28" s="302"/>
    </x:row>
    <x:row r="29">
      <x:c r="A29" s="323" t="str">
        <x:v>Other Prime portfolio growth</x:v>
      </x:c>
      <x:c r="B29" s="316" t="n">
        <x:f>'Revenue Model'!B19</x:f>
        <x:v>0</x:v>
      </x:c>
      <x:c r="C29" s="316" t="n">
        <x:f>'Revenue Model'!C19</x:f>
        <x:v>0.21941309705114675</x:v>
      </x:c>
      <x:c r="D29" s="316" t="n">
        <x:f>'Revenue Model'!D19</x:f>
        <x:v>-0.17692047043532977</x:v>
      </x:c>
      <x:c r="E29" s="317" t="n">
        <x:f>'Revenue Model'!E19</x:f>
        <x:v>0.08</x:v>
      </x:c>
      <x:c r="F29" s="317" t="n">
        <x:f>'Revenue Model'!F19</x:f>
        <x:v>0.08</x:v>
      </x:c>
      <x:c r="G29" s="317" t="n">
        <x:f>'Revenue Model'!G19</x:f>
        <x:v>0.07</x:v>
      </x:c>
      <x:c r="H29" s="317" t="n">
        <x:f>'Revenue Model'!H19</x:f>
        <x:v>0.06</x:v>
      </x:c>
      <x:c r="I29" s="317" t="n">
        <x:f>'Revenue Model'!I19</x:f>
        <x:v>0.05</x:v>
      </x:c>
      <x:c r="J29" s="317" t="n">
        <x:f>'Revenue Model'!J19</x:f>
        <x:v>0.05</x:v>
      </x:c>
      <x:c r="K29" s="317" t="n">
        <x:f>'Revenue Model'!K19</x:f>
        <x:v>0.04</x:v>
      </x:c>
      <x:c r="L29" s="317" t="n">
        <x:f>'Revenue Model'!L19</x:f>
        <x:v>0.04</x:v>
      </x:c>
      <x:c r="M29" s="317" t="n">
        <x:f>'Revenue Model'!M19</x:f>
        <x:v>0.03</x:v>
      </x:c>
      <x:c r="N29" s="302"/>
      <x:c r="O29" s="302"/>
      <x:c r="P29" s="302"/>
      <x:c r="Q29" s="302"/>
      <x:c r="R29" s="302"/>
      <x:c r="S29" s="302"/>
      <x:c r="T29" s="302"/>
      <x:c r="U29" s="302"/>
      <x:c r="V29" s="302"/>
    </x:row>
    <x:row r="30">
      <x:c r="A30" s="323" t="str">
        <x:v>Paliperidone growth</x:v>
      </x:c>
      <x:c r="B30" s="316" t="n">
        <x:f>'Revenue Model'!B25</x:f>
        <x:v>0</x:v>
      </x:c>
      <x:c r="C30" s="316" t="n">
        <x:f>'Revenue Model'!C25</x:f>
        <x:v>-0.2777777777777778</x:v>
      </x:c>
      <x:c r="D30" s="316" t="n">
        <x:f>'Revenue Model'!D25</x:f>
        <x:v>-0.46153846153846156</x:v>
      </x:c>
      <x:c r="E30" s="317" t="n">
        <x:f>'Revenue Model'!E25</x:f>
        <x:v>0</x:v>
      </x:c>
      <x:c r="F30" s="317" t="n">
        <x:f>'Revenue Model'!F25</x:f>
        <x:v>0.08</x:v>
      </x:c>
      <x:c r="G30" s="317" t="n">
        <x:f>'Revenue Model'!G25</x:f>
        <x:v>0.1</x:v>
      </x:c>
      <x:c r="H30" s="317" t="n">
        <x:f>'Revenue Model'!H25</x:f>
        <x:v>0.08</x:v>
      </x:c>
      <x:c r="I30" s="317" t="n">
        <x:f>'Revenue Model'!I25</x:f>
        <x:v>0.05</x:v>
      </x:c>
      <x:c r="J30" s="317" t="n">
        <x:f>'Revenue Model'!J25</x:f>
        <x:v>0.03</x:v>
      </x:c>
      <x:c r="K30" s="317" t="n">
        <x:f>'Revenue Model'!K25</x:f>
        <x:v>0.02</x:v>
      </x:c>
      <x:c r="L30" s="317" t="n">
        <x:f>'Revenue Model'!L25</x:f>
        <x:v>0</x:v>
      </x:c>
      <x:c r="M30" s="317" t="n">
        <x:f>'Revenue Model'!M25</x:f>
        <x:v>-0.02</x:v>
      </x:c>
      <x:c r="N30" s="302"/>
      <x:c r="O30" s="302"/>
      <x:c r="P30" s="302"/>
      <x:c r="Q30" s="302"/>
      <x:c r="R30" s="302"/>
      <x:c r="S30" s="302"/>
      <x:c r="T30" s="302"/>
      <x:c r="U30" s="302"/>
      <x:c r="V30" s="302"/>
    </x:row>
    <x:row r="31">
      <x:c r="A31" s="323" t="str">
        <x:v>Other Specialty portfolio growth</x:v>
      </x:c>
      <x:c r="B31" s="316" t="n">
        <x:f>'Revenue Model'!B26</x:f>
        <x:v>0</x:v>
      </x:c>
      <x:c r="C31" s="316" t="n">
        <x:f>'Revenue Model'!C26</x:f>
        <x:v>-0.20585025662180267</x:v>
      </x:c>
      <x:c r="D31" s="316" t="n">
        <x:f>'Revenue Model'!D26</x:f>
        <x:v>-0.06623648345414901</x:v>
      </x:c>
      <x:c r="E31" s="317" t="n">
        <x:f>'Revenue Model'!E26</x:f>
        <x:v>0.12</x:v>
      </x:c>
      <x:c r="F31" s="317" t="n">
        <x:f>'Revenue Model'!F26</x:f>
        <x:v>0.12</x:v>
      </x:c>
      <x:c r="G31" s="317" t="n">
        <x:f>'Revenue Model'!G26</x:f>
        <x:v>0.11</x:v>
      </x:c>
      <x:c r="H31" s="317" t="n">
        <x:f>'Revenue Model'!H26</x:f>
        <x:v>0.1</x:v>
      </x:c>
      <x:c r="I31" s="317" t="n">
        <x:f>'Revenue Model'!I26</x:f>
        <x:v>0.09</x:v>
      </x:c>
      <x:c r="J31" s="317" t="n">
        <x:f>'Revenue Model'!J26</x:f>
        <x:v>0.08</x:v>
      </x:c>
      <x:c r="K31" s="317" t="n">
        <x:f>'Revenue Model'!K26</x:f>
        <x:v>0.07</x:v>
      </x:c>
      <x:c r="L31" s="317" t="n">
        <x:f>'Revenue Model'!L26</x:f>
        <x:v>0.06</x:v>
      </x:c>
      <x:c r="M31" s="317" t="n">
        <x:f>'Revenue Model'!M26</x:f>
        <x:v>0.05</x:v>
      </x:c>
      <x:c r="N31" s="302"/>
      <x:c r="O31" s="302"/>
      <x:c r="P31" s="302"/>
      <x:c r="Q31" s="302"/>
      <x:c r="R31" s="302"/>
      <x:c r="S31" s="302"/>
      <x:c r="T31" s="302"/>
      <x:c r="U31" s="302"/>
      <x:c r="V31" s="302"/>
    </x:row>
    <x:row r="32">
      <x:c r="A32" s="323" t="str">
        <x:v>Bempedoic acid growth</x:v>
      </x:c>
      <x:c r="B32" s="316" t="n">
        <x:f>'Revenue Model'!B33</x:f>
        <x:v>0</x:v>
      </x:c>
      <x:c r="C32" s="316" t="n">
        <x:f>'Revenue Model'!C33</x:f>
        <x:v>0.33333333333333326</x:v>
      </x:c>
      <x:c r="D32" s="316" t="n">
        <x:f>'Revenue Model'!D33</x:f>
        <x:v>0.5625</x:v>
      </x:c>
      <x:c r="E32" s="317" t="n">
        <x:f>'Revenue Model'!E33</x:f>
        <x:v>0.25</x:v>
      </x:c>
      <x:c r="F32" s="317" t="n">
        <x:f>'Revenue Model'!F33</x:f>
        <x:v>0.2</x:v>
      </x:c>
      <x:c r="G32" s="317" t="n">
        <x:f>'Revenue Model'!G33</x:f>
        <x:v>0.15</x:v>
      </x:c>
      <x:c r="H32" s="317" t="n">
        <x:f>'Revenue Model'!H33</x:f>
        <x:v>0.12</x:v>
      </x:c>
      <x:c r="I32" s="317" t="n">
        <x:f>'Revenue Model'!I33</x:f>
        <x:v>0.1</x:v>
      </x:c>
      <x:c r="J32" s="317" t="n">
        <x:f>'Revenue Model'!J33</x:f>
        <x:v>0.08</x:v>
      </x:c>
      <x:c r="K32" s="317" t="n">
        <x:f>'Revenue Model'!K33</x:f>
        <x:v>0.06</x:v>
      </x:c>
      <x:c r="L32" s="317" t="n">
        <x:f>'Revenue Model'!L33</x:f>
        <x:v>0.05</x:v>
      </x:c>
      <x:c r="M32" s="317" t="n">
        <x:f>'Revenue Model'!M33</x:f>
        <x:v>0.03</x:v>
      </x:c>
      <x:c r="N32" s="302"/>
      <x:c r="O32" s="302"/>
      <x:c r="P32" s="302"/>
      <x:c r="Q32" s="302"/>
      <x:c r="R32" s="302"/>
      <x:c r="S32" s="302"/>
      <x:c r="T32" s="302"/>
      <x:c r="U32" s="302"/>
      <x:c r="V32" s="302"/>
    </x:row>
    <x:row r="33">
      <x:c r="A33" s="323" t="str">
        <x:v>Xanomeline growth</x:v>
      </x:c>
      <x:c r="B33" s="316" t="n">
        <x:f>'Revenue Model'!B34</x:f>
        <x:v>0</x:v>
      </x:c>
      <x:c r="C33" s="316" t="n">
        <x:f>'Revenue Model'!C34</x:f>
        <x:v>3</x:v>
      </x:c>
      <x:c r="D33" s="316" t="n">
        <x:f>'Revenue Model'!D34</x:f>
        <x:v>1</x:v>
      </x:c>
      <x:c r="E33" s="317" t="n">
        <x:f>'Revenue Model'!E34</x:f>
        <x:v>0.6</x:v>
      </x:c>
      <x:c r="F33" s="317" t="n">
        <x:f>'Revenue Model'!F34</x:f>
        <x:v>0.5</x:v>
      </x:c>
      <x:c r="G33" s="317" t="n">
        <x:f>'Revenue Model'!G34</x:f>
        <x:v>0.35</x:v>
      </x:c>
      <x:c r="H33" s="317" t="n">
        <x:f>'Revenue Model'!H34</x:f>
        <x:v>0.25</x:v>
      </x:c>
      <x:c r="I33" s="317" t="n">
        <x:f>'Revenue Model'!I34</x:f>
        <x:v>0.2</x:v>
      </x:c>
      <x:c r="J33" s="317" t="n">
        <x:f>'Revenue Model'!J34</x:f>
        <x:v>0.15</x:v>
      </x:c>
      <x:c r="K33" s="317" t="n">
        <x:f>'Revenue Model'!K34</x:f>
        <x:v>0.1</x:v>
      </x:c>
      <x:c r="L33" s="317" t="n">
        <x:f>'Revenue Model'!L34</x:f>
        <x:v>0.05</x:v>
      </x:c>
      <x:c r="M33" s="317" t="n">
        <x:f>'Revenue Model'!M34</x:f>
        <x:v>0.03</x:v>
      </x:c>
      <x:c r="N33" s="302"/>
      <x:c r="O33" s="302"/>
      <x:c r="P33" s="302"/>
      <x:c r="Q33" s="302"/>
      <x:c r="R33" s="302"/>
      <x:c r="S33" s="302"/>
      <x:c r="T33" s="302"/>
      <x:c r="U33" s="302"/>
      <x:c r="V33" s="302"/>
    </x:row>
    <x:row r="34">
      <x:c r="A34" s="323" t="str">
        <x:v>Other CMS portfolio growth</x:v>
      </x:c>
      <x:c r="B34" s="316" t="n">
        <x:f>'Revenue Model'!B35</x:f>
        <x:v>0</x:v>
      </x:c>
      <x:c r="C34" s="316" t="n">
        <x:f>'Revenue Model'!C35</x:f>
        <x:v>-0.31181102362204727</x:v>
      </x:c>
      <x:c r="D34" s="316" t="n">
        <x:f>'Revenue Model'!D35</x:f>
        <x:v>1.0915331807780322</x:v>
      </x:c>
      <x:c r="E34" s="317" t="n">
        <x:f>'Revenue Model'!E35</x:f>
        <x:v>0.12</x:v>
      </x:c>
      <x:c r="F34" s="317" t="n">
        <x:f>'Revenue Model'!F35</x:f>
        <x:v>0.15</x:v>
      </x:c>
      <x:c r="G34" s="317" t="n">
        <x:f>'Revenue Model'!G35</x:f>
        <x:v>0.14</x:v>
      </x:c>
      <x:c r="H34" s="317" t="n">
        <x:f>'Revenue Model'!H35</x:f>
        <x:v>0.12</x:v>
      </x:c>
      <x:c r="I34" s="317" t="n">
        <x:f>'Revenue Model'!I35</x:f>
        <x:v>0.1</x:v>
      </x:c>
      <x:c r="J34" s="317" t="n">
        <x:f>'Revenue Model'!J35</x:f>
        <x:v>0.09</x:v>
      </x:c>
      <x:c r="K34" s="317" t="n">
        <x:f>'Revenue Model'!K35</x:f>
        <x:v>0.08</x:v>
      </x:c>
      <x:c r="L34" s="317" t="n">
        <x:f>'Revenue Model'!L35</x:f>
        <x:v>0.07</x:v>
      </x:c>
      <x:c r="M34" s="317" t="n">
        <x:f>'Revenue Model'!M35</x:f>
        <x:v>0.06</x:v>
      </x:c>
      <x:c r="N34" s="302"/>
      <x:c r="O34" s="302"/>
      <x:c r="P34" s="302"/>
      <x:c r="Q34" s="302"/>
      <x:c r="R34" s="302"/>
      <x:c r="S34" s="302"/>
      <x:c r="T34" s="302"/>
      <x:c r="U34" s="302"/>
      <x:c r="V34" s="302"/>
    </x:row>
    <x:row r="35">
      <x:c r="A35" s="323" t="str">
        <x:v>Other revenue growth</x:v>
      </x:c>
      <x:c r="B35" s="316" t="n">
        <x:f>'Revenue Model'!B39</x:f>
        <x:v>0</x:v>
      </x:c>
      <x:c r="C35" s="316" t="n">
        <x:f>'Revenue Model'!C39</x:f>
        <x:v>0.13071064118589426</x:v>
      </x:c>
      <x:c r="D35" s="316" t="n">
        <x:f>'Revenue Model'!D39</x:f>
        <x:v>0.052164747765385266</x:v>
      </x:c>
      <x:c r="E35" s="317" t="n">
        <x:f>'Revenue Model'!E39</x:f>
        <x:v>0.05</x:v>
      </x:c>
      <x:c r="F35" s="317" t="n">
        <x:f>'Revenue Model'!F39</x:f>
        <x:v>0.05</x:v>
      </x:c>
      <x:c r="G35" s="317" t="n">
        <x:f>'Revenue Model'!G39</x:f>
        <x:v>0.05</x:v>
      </x:c>
      <x:c r="H35" s="317" t="n">
        <x:f>'Revenue Model'!H39</x:f>
        <x:v>0.04</x:v>
      </x:c>
      <x:c r="I35" s="317" t="n">
        <x:f>'Revenue Model'!I39</x:f>
        <x:v>0.04</x:v>
      </x:c>
      <x:c r="J35" s="317" t="n">
        <x:f>'Revenue Model'!J39</x:f>
        <x:v>0.04</x:v>
      </x:c>
      <x:c r="K35" s="317" t="n">
        <x:f>'Revenue Model'!K39</x:f>
        <x:v>0.03</x:v>
      </x:c>
      <x:c r="L35" s="317" t="n">
        <x:f>'Revenue Model'!L39</x:f>
        <x:v>0.03</x:v>
      </x:c>
      <x:c r="M35" s="317" t="n">
        <x:f>'Revenue Model'!M39</x:f>
        <x:v>0.03</x:v>
      </x:c>
      <x:c r="N35" s="302"/>
      <x:c r="O35" s="302"/>
      <x:c r="P35" s="302"/>
      <x:c r="Q35" s="302"/>
      <x:c r="R35" s="302"/>
      <x:c r="S35" s="302"/>
      <x:c r="T35" s="302"/>
      <x:c r="U35" s="302"/>
      <x:c r="V35" s="302"/>
    </x:row>
    <x:row r="36">
      <x:c r="A36" s="323" t="str">
        <x:v>Net material cost % revenue</x:v>
      </x:c>
      <x:c r="B36" s="316" t="n">
        <x:f>'Supporting Schedules'!B84</x:f>
        <x:v>0</x:v>
      </x:c>
      <x:c r="C36" s="316" t="n">
        <x:f>'Supporting Schedules'!C84</x:f>
        <x:v>0</x:v>
      </x:c>
      <x:c r="D36" s="316" t="n">
        <x:f>'Supporting Schedules'!D84</x:f>
        <x:v>0</x:v>
      </x:c>
      <x:c r="E36" s="317" t="n">
        <x:f>'Supporting Schedules'!E84</x:f>
        <x:v>0.37</x:v>
      </x:c>
      <x:c r="F36" s="317" t="n">
        <x:f>'Supporting Schedules'!F84</x:f>
        <x:v>0.368</x:v>
      </x:c>
      <x:c r="G36" s="317" t="n">
        <x:f>'Supporting Schedules'!G84</x:f>
        <x:v>0.365</x:v>
      </x:c>
      <x:c r="H36" s="317" t="n">
        <x:f>'Supporting Schedules'!H84</x:f>
        <x:v>0.362</x:v>
      </x:c>
      <x:c r="I36" s="317" t="n">
        <x:f>'Supporting Schedules'!I84</x:f>
        <x:v>0.36</x:v>
      </x:c>
      <x:c r="J36" s="317" t="n">
        <x:f>'Supporting Schedules'!J84</x:f>
        <x:v>0.358</x:v>
      </x:c>
      <x:c r="K36" s="317" t="n">
        <x:f>'Supporting Schedules'!K84</x:f>
        <x:v>0.357</x:v>
      </x:c>
      <x:c r="L36" s="317" t="n">
        <x:f>'Supporting Schedules'!L84</x:f>
        <x:v>0.356</x:v>
      </x:c>
      <x:c r="M36" s="317" t="n">
        <x:f>'Supporting Schedules'!M84</x:f>
        <x:v>0.355</x:v>
      </x:c>
      <x:c r="N36" s="302"/>
      <x:c r="O36" s="302"/>
      <x:c r="P36" s="302"/>
      <x:c r="Q36" s="302"/>
      <x:c r="R36" s="302"/>
      <x:c r="S36" s="302"/>
      <x:c r="T36" s="302"/>
      <x:c r="U36" s="302"/>
      <x:c r="V36" s="302"/>
    </x:row>
    <x:row r="37">
      <x:c r="A37" s="323" t="str">
        <x:v>Employee cost growth</x:v>
      </x:c>
      <x:c r="B37" s="316" t="n">
        <x:f>'Supporting Schedules'!B85</x:f>
        <x:v>0</x:v>
      </x:c>
      <x:c r="C37" s="316" t="n">
        <x:f>'Supporting Schedules'!C85</x:f>
        <x:v>0</x:v>
      </x:c>
      <x:c r="D37" s="316" t="n">
        <x:f>'Supporting Schedules'!D85</x:f>
        <x:v>0</x:v>
      </x:c>
      <x:c r="E37" s="317" t="n">
        <x:f>'Supporting Schedules'!E85</x:f>
        <x:v>0.13</x:v>
      </x:c>
      <x:c r="F37" s="317" t="n">
        <x:f>'Supporting Schedules'!F85</x:f>
        <x:v>0.12</x:v>
      </x:c>
      <x:c r="G37" s="317" t="n">
        <x:f>'Supporting Schedules'!G85</x:f>
        <x:v>0.11</x:v>
      </x:c>
      <x:c r="H37" s="317" t="n">
        <x:f>'Supporting Schedules'!H85</x:f>
        <x:v>0.1</x:v>
      </x:c>
      <x:c r="I37" s="317" t="n">
        <x:f>'Supporting Schedules'!I85</x:f>
        <x:v>0.09</x:v>
      </x:c>
      <x:c r="J37" s="317" t="n">
        <x:f>'Supporting Schedules'!J85</x:f>
        <x:v>0.08</x:v>
      </x:c>
      <x:c r="K37" s="317" t="n">
        <x:f>'Supporting Schedules'!K85</x:f>
        <x:v>0.08</x:v>
      </x:c>
      <x:c r="L37" s="317" t="n">
        <x:f>'Supporting Schedules'!L85</x:f>
        <x:v>0.07</x:v>
      </x:c>
      <x:c r="M37" s="317" t="n">
        <x:f>'Supporting Schedules'!M85</x:f>
        <x:v>0.07</x:v>
      </x:c>
      <x:c r="N37" s="302"/>
      <x:c r="O37" s="302"/>
      <x:c r="P37" s="302"/>
      <x:c r="Q37" s="302"/>
      <x:c r="R37" s="302"/>
      <x:c r="S37" s="302"/>
      <x:c r="T37" s="302"/>
      <x:c r="U37" s="302"/>
      <x:c r="V37" s="302"/>
    </x:row>
    <x:row r="38">
      <x:c r="A38" s="323" t="str">
        <x:v>Manufacturing cost % revenue</x:v>
      </x:c>
      <x:c r="B38" s="316" t="n">
        <x:f>'Supporting Schedules'!B86</x:f>
        <x:v>0</x:v>
      </x:c>
      <x:c r="C38" s="316" t="n">
        <x:f>'Supporting Schedules'!C86</x:f>
        <x:v>0</x:v>
      </x:c>
      <x:c r="D38" s="316" t="n">
        <x:f>'Supporting Schedules'!D86</x:f>
        <x:v>0</x:v>
      </x:c>
      <x:c r="E38" s="317" t="n">
        <x:f>'Supporting Schedules'!E86</x:f>
        <x:v>0.095</x:v>
      </x:c>
      <x:c r="F38" s="317" t="n">
        <x:f>'Supporting Schedules'!F86</x:f>
        <x:v>0.094</x:v>
      </x:c>
      <x:c r="G38" s="317" t="n">
        <x:f>'Supporting Schedules'!G86</x:f>
        <x:v>0.093</x:v>
      </x:c>
      <x:c r="H38" s="317" t="n">
        <x:f>'Supporting Schedules'!H86</x:f>
        <x:v>0.092</x:v>
      </x:c>
      <x:c r="I38" s="317" t="n">
        <x:f>'Supporting Schedules'!I86</x:f>
        <x:v>0.091</x:v>
      </x:c>
      <x:c r="J38" s="317" t="n">
        <x:f>'Supporting Schedules'!J86</x:f>
        <x:v>0.09</x:v>
      </x:c>
      <x:c r="K38" s="317" t="n">
        <x:f>'Supporting Schedules'!K86</x:f>
        <x:v>0.09</x:v>
      </x:c>
      <x:c r="L38" s="317" t="n">
        <x:f>'Supporting Schedules'!L86</x:f>
        <x:v>0.089</x:v>
      </x:c>
      <x:c r="M38" s="317" t="n">
        <x:f>'Supporting Schedules'!M86</x:f>
        <x:v>0.089</x:v>
      </x:c>
      <x:c r="N38" s="302"/>
      <x:c r="O38" s="302"/>
      <x:c r="P38" s="302"/>
      <x:c r="Q38" s="302"/>
      <x:c r="R38" s="302"/>
      <x:c r="S38" s="302"/>
      <x:c r="T38" s="302"/>
      <x:c r="U38" s="302"/>
      <x:c r="V38" s="302"/>
    </x:row>
    <x:row r="39">
      <x:c r="A39" s="323" t="str">
        <x:v>Other operating expense % revenue</x:v>
      </x:c>
      <x:c r="B39" s="316" t="n">
        <x:f>'Supporting Schedules'!B87</x:f>
        <x:v>0</x:v>
      </x:c>
      <x:c r="C39" s="316" t="n">
        <x:f>'Supporting Schedules'!C87</x:f>
        <x:v>0</x:v>
      </x:c>
      <x:c r="D39" s="316" t="n">
        <x:f>'Supporting Schedules'!D87</x:f>
        <x:v>0</x:v>
      </x:c>
      <x:c r="E39" s="317" t="n">
        <x:f>'Supporting Schedules'!E87</x:f>
        <x:v>0.079</x:v>
      </x:c>
      <x:c r="F39" s="317" t="n">
        <x:f>'Supporting Schedules'!F87</x:f>
        <x:v>0.078</x:v>
      </x:c>
      <x:c r="G39" s="317" t="n">
        <x:f>'Supporting Schedules'!G87</x:f>
        <x:v>0.077</x:v>
      </x:c>
      <x:c r="H39" s="317" t="n">
        <x:f>'Supporting Schedules'!H87</x:f>
        <x:v>0.076</x:v>
      </x:c>
      <x:c r="I39" s="317" t="n">
        <x:f>'Supporting Schedules'!I87</x:f>
        <x:v>0.075</x:v>
      </x:c>
      <x:c r="J39" s="317" t="n">
        <x:f>'Supporting Schedules'!J87</x:f>
        <x:v>0.075</x:v>
      </x:c>
      <x:c r="K39" s="317" t="n">
        <x:f>'Supporting Schedules'!K87</x:f>
        <x:v>0.074</x:v>
      </x:c>
      <x:c r="L39" s="317" t="n">
        <x:f>'Supporting Schedules'!L87</x:f>
        <x:v>0.074</x:v>
      </x:c>
      <x:c r="M39" s="317" t="n">
        <x:f>'Supporting Schedules'!M87</x:f>
        <x:v>0.073</x:v>
      </x:c>
      <x:c r="N39" s="302"/>
      <x:c r="O39" s="302"/>
      <x:c r="P39" s="302"/>
      <x:c r="Q39" s="302"/>
      <x:c r="R39" s="302"/>
      <x:c r="S39" s="302"/>
      <x:c r="T39" s="302"/>
      <x:c r="U39" s="302"/>
      <x:c r="V39" s="302"/>
    </x:row>
    <x:row r="40">
      <x:c r="A40" s="323" t="str">
        <x:v>Tax rate</x:v>
      </x:c>
      <x:c r="B40" s="316" t="n">
        <x:f>'Supporting Schedules'!B60</x:f>
        <x:v>0.2524872551449606</x:v>
      </x:c>
      <x:c r="C40" s="316" t="n">
        <x:f>'Supporting Schedules'!C60</x:f>
        <x:v>0.24895662794625928</x:v>
      </x:c>
      <x:c r="D40" s="316" t="n">
        <x:f>'Supporting Schedules'!D60</x:f>
        <x:v>0.25559213304672157</x:v>
      </x:c>
      <x:c r="E40" s="317" t="n">
        <x:f>'Supporting Schedules'!E60</x:f>
        <x:v>0.255</x:v>
      </x:c>
      <x:c r="F40" s="317" t="n">
        <x:f>'Supporting Schedules'!F60</x:f>
        <x:v>0.255</x:v>
      </x:c>
      <x:c r="G40" s="317" t="n">
        <x:f>'Supporting Schedules'!G60</x:f>
        <x:v>0.255</x:v>
      </x:c>
      <x:c r="H40" s="317" t="n">
        <x:f>'Supporting Schedules'!H60</x:f>
        <x:v>0.255</x:v>
      </x:c>
      <x:c r="I40" s="317" t="n">
        <x:f>'Supporting Schedules'!I60</x:f>
        <x:v>0.255</x:v>
      </x:c>
      <x:c r="J40" s="317" t="n">
        <x:f>'Supporting Schedules'!J60</x:f>
        <x:v>0.255</x:v>
      </x:c>
      <x:c r="K40" s="317" t="n">
        <x:f>'Supporting Schedules'!K60</x:f>
        <x:v>0.255</x:v>
      </x:c>
      <x:c r="L40" s="317" t="n">
        <x:f>'Supporting Schedules'!L60</x:f>
        <x:v>0.255</x:v>
      </x:c>
      <x:c r="M40" s="317" t="n">
        <x:f>'Supporting Schedules'!M60</x:f>
        <x:v>0.255</x:v>
      </x:c>
      <x:c r="N40" s="302"/>
      <x:c r="O40" s="302"/>
      <x:c r="P40" s="302"/>
      <x:c r="Q40" s="302"/>
      <x:c r="R40" s="302"/>
      <x:c r="S40" s="302"/>
      <x:c r="T40" s="302"/>
      <x:c r="U40" s="302"/>
      <x:c r="V40" s="302"/>
    </x:row>
    <x:row r="41">
      <x:c r="A41" s="323" t="str">
        <x:v>Receivable days</x:v>
      </x:c>
      <x:c r="B41" s="318" t="n">
        <x:f>'Supporting Schedules'!B8</x:f>
        <x:v>87.5</x:v>
      </x:c>
      <x:c r="C41" s="318" t="n">
        <x:f>'Supporting Schedules'!C8</x:f>
        <x:v>78</x:v>
      </x:c>
      <x:c r="D41" s="318" t="n">
        <x:f>'Supporting Schedules'!D8</x:f>
        <x:v>97.7</x:v>
      </x:c>
      <x:c r="E41" s="319" t="n">
        <x:f>'Supporting Schedules'!E8</x:f>
        <x:v>95</x:v>
      </x:c>
      <x:c r="F41" s="319" t="n">
        <x:f>'Supporting Schedules'!F8</x:f>
        <x:v>92</x:v>
      </x:c>
      <x:c r="G41" s="319" t="n">
        <x:f>'Supporting Schedules'!G8</x:f>
        <x:v>90</x:v>
      </x:c>
      <x:c r="H41" s="319" t="n">
        <x:f>'Supporting Schedules'!H8</x:f>
        <x:v>88</x:v>
      </x:c>
      <x:c r="I41" s="319" t="n">
        <x:f>'Supporting Schedules'!I8</x:f>
        <x:v>87</x:v>
      </x:c>
      <x:c r="J41" s="319" t="n">
        <x:f>'Supporting Schedules'!J8</x:f>
        <x:v>86</x:v>
      </x:c>
      <x:c r="K41" s="319" t="n">
        <x:f>'Supporting Schedules'!K8</x:f>
        <x:v>85</x:v>
      </x:c>
      <x:c r="L41" s="319" t="n">
        <x:f>'Supporting Schedules'!L8</x:f>
        <x:v>85</x:v>
      </x:c>
      <x:c r="M41" s="319" t="n">
        <x:f>'Supporting Schedules'!M8</x:f>
        <x:v>85</x:v>
      </x:c>
      <x:c r="N41" s="302"/>
      <x:c r="O41" s="302"/>
      <x:c r="P41" s="302"/>
      <x:c r="Q41" s="302"/>
      <x:c r="R41" s="302"/>
      <x:c r="S41" s="302"/>
      <x:c r="T41" s="302"/>
      <x:c r="U41" s="302"/>
      <x:c r="V41" s="302"/>
    </x:row>
    <x:row r="42">
      <x:c r="A42" s="323" t="str">
        <x:v>Inventory days</x:v>
      </x:c>
      <x:c r="B42" s="318" t="n">
        <x:f>'Supporting Schedules'!B10</x:f>
        <x:v>221.6</x:v>
      </x:c>
      <x:c r="C42" s="318" t="n">
        <x:f>'Supporting Schedules'!C10</x:f>
        <x:v>239.6</x:v>
      </x:c>
      <x:c r="D42" s="318" t="n">
        <x:f>'Supporting Schedules'!D10</x:f>
        <x:v>246.5</x:v>
      </x:c>
      <x:c r="E42" s="319" t="n">
        <x:f>'Supporting Schedules'!E10</x:f>
        <x:v>240</x:v>
      </x:c>
      <x:c r="F42" s="319" t="n">
        <x:f>'Supporting Schedules'!F10</x:f>
        <x:v>235</x:v>
      </x:c>
      <x:c r="G42" s="319" t="n">
        <x:f>'Supporting Schedules'!G10</x:f>
        <x:v>230</x:v>
      </x:c>
      <x:c r="H42" s="319" t="n">
        <x:f>'Supporting Schedules'!H10</x:f>
        <x:v>225</x:v>
      </x:c>
      <x:c r="I42" s="319" t="n">
        <x:f>'Supporting Schedules'!I10</x:f>
        <x:v>220</x:v>
      </x:c>
      <x:c r="J42" s="319" t="n">
        <x:f>'Supporting Schedules'!J10</x:f>
        <x:v>215</x:v>
      </x:c>
      <x:c r="K42" s="319" t="n">
        <x:f>'Supporting Schedules'!K10</x:f>
        <x:v>210</x:v>
      </x:c>
      <x:c r="L42" s="319" t="n">
        <x:f>'Supporting Schedules'!L10</x:f>
        <x:v>205</x:v>
      </x:c>
      <x:c r="M42" s="319" t="n">
        <x:f>'Supporting Schedules'!M10</x:f>
        <x:v>200</x:v>
      </x:c>
      <x:c r="N42" s="302"/>
      <x:c r="O42" s="302"/>
      <x:c r="P42" s="302"/>
      <x:c r="Q42" s="302"/>
      <x:c r="R42" s="302"/>
      <x:c r="S42" s="302"/>
      <x:c r="T42" s="302"/>
      <x:c r="U42" s="302"/>
      <x:c r="V42" s="302"/>
    </x:row>
    <x:row r="43">
      <x:c r="A43" s="323" t="str">
        <x:v>Payable days</x:v>
      </x:c>
      <x:c r="B43" s="318" t="n">
        <x:f>'Supporting Schedules'!B12</x:f>
        <x:v>110.8</x:v>
      </x:c>
      <x:c r="C43" s="318" t="n">
        <x:f>'Supporting Schedules'!C12</x:f>
        <x:v>160.1</x:v>
      </x:c>
      <x:c r="D43" s="318" t="n">
        <x:f>'Supporting Schedules'!D12</x:f>
        <x:v>119.8</x:v>
      </x:c>
      <x:c r="E43" s="319" t="n">
        <x:f>'Supporting Schedules'!E12</x:f>
        <x:v>125</x:v>
      </x:c>
      <x:c r="F43" s="319" t="n">
        <x:f>'Supporting Schedules'!F12</x:f>
        <x:v>125</x:v>
      </x:c>
      <x:c r="G43" s="319" t="n">
        <x:f>'Supporting Schedules'!G12</x:f>
        <x:v>125</x:v>
      </x:c>
      <x:c r="H43" s="319" t="n">
        <x:f>'Supporting Schedules'!H12</x:f>
        <x:v>120</x:v>
      </x:c>
      <x:c r="I43" s="319" t="n">
        <x:f>'Supporting Schedules'!I12</x:f>
        <x:v>120</x:v>
      </x:c>
      <x:c r="J43" s="319" t="n">
        <x:f>'Supporting Schedules'!J12</x:f>
        <x:v>120</x:v>
      </x:c>
      <x:c r="K43" s="319" t="n">
        <x:f>'Supporting Schedules'!K12</x:f>
        <x:v>115</x:v>
      </x:c>
      <x:c r="L43" s="319" t="n">
        <x:f>'Supporting Schedules'!L12</x:f>
        <x:v>115</x:v>
      </x:c>
      <x:c r="M43" s="319" t="n">
        <x:f>'Supporting Schedules'!M12</x:f>
        <x:v>115</x:v>
      </x:c>
      <x:c r="N43" s="302"/>
      <x:c r="O43" s="302"/>
      <x:c r="P43" s="302"/>
      <x:c r="Q43" s="302"/>
      <x:c r="R43" s="302"/>
      <x:c r="S43" s="302"/>
      <x:c r="T43" s="302"/>
      <x:c r="U43" s="302"/>
      <x:c r="V43" s="302"/>
    </x:row>
    <x:row r="44">
      <x:c r="A44" s="323" t="str">
        <x:v>Capex</x:v>
      </x:c>
      <x:c r="B44" s="320" t="n">
        <x:f>'Supporting Schedules'!B33</x:f>
        <x:v>1436.698</x:v>
      </x:c>
      <x:c r="C44" s="320" t="n">
        <x:f>'Supporting Schedules'!C33</x:f>
        <x:v>2064.64</x:v>
      </x:c>
      <x:c r="D44" s="320" t="n">
        <x:f>'Supporting Schedules'!D33</x:f>
        <x:v>3971.321</x:v>
      </x:c>
      <x:c r="E44" s="321" t="n">
        <x:f>'Supporting Schedules'!E33</x:f>
        <x:v>3500</x:v>
      </x:c>
      <x:c r="F44" s="321" t="n">
        <x:f>'Supporting Schedules'!F33</x:f>
        <x:v>3000</x:v>
      </x:c>
      <x:c r="G44" s="321" t="n">
        <x:f>'Supporting Schedules'!G33</x:f>
        <x:v>2500</x:v>
      </x:c>
      <x:c r="H44" s="321" t="n">
        <x:f>'Supporting Schedules'!H33</x:f>
        <x:v>2200</x:v>
      </x:c>
      <x:c r="I44" s="321" t="n">
        <x:f>'Supporting Schedules'!I33</x:f>
        <x:v>2200</x:v>
      </x:c>
      <x:c r="J44" s="321" t="n">
        <x:f>'Supporting Schedules'!J33</x:f>
        <x:v>2300</x:v>
      </x:c>
      <x:c r="K44" s="321" t="n">
        <x:f>'Supporting Schedules'!K33</x:f>
        <x:v>2400</x:v>
      </x:c>
      <x:c r="L44" s="321" t="n">
        <x:f>'Supporting Schedules'!L33</x:f>
        <x:v>2500</x:v>
      </x:c>
      <x:c r="M44" s="321" t="n">
        <x:f>'Supporting Schedules'!M33</x:f>
        <x:v>2600</x:v>
      </x:c>
      <x:c r="N44" s="302"/>
      <x:c r="O44" s="302"/>
      <x:c r="P44" s="302"/>
      <x:c r="Q44" s="302"/>
      <x:c r="R44" s="302"/>
      <x:c r="S44" s="302"/>
      <x:c r="T44" s="302"/>
      <x:c r="U44" s="302"/>
      <x:c r="V44" s="302"/>
    </x:row>
    <x:row r="45">
      <x:c r="A45" s="323"/>
      <x:c r="B45" s="303"/>
      <x:c r="C45" s="303"/>
      <x:c r="D45" s="303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2"/>
      <x:c r="O45" s="302"/>
      <x:c r="P45" s="302"/>
      <x:c r="Q45" s="302"/>
      <x:c r="R45" s="302"/>
      <x:c r="S45" s="302"/>
      <x:c r="T45" s="302"/>
      <x:c r="U45" s="302"/>
      <x:c r="V45" s="302"/>
    </x:row>
    <x:row r="46">
      <x:c r="A46" s="323"/>
      <x:c r="B46" s="303"/>
      <x:c r="C46" s="303"/>
      <x:c r="D46" s="303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2"/>
      <x:c r="O46" s="302"/>
      <x:c r="P46" s="302"/>
      <x:c r="Q46" s="302"/>
      <x:c r="R46" s="302"/>
      <x:c r="S46" s="302"/>
      <x:c r="T46" s="302"/>
      <x:c r="U46" s="302"/>
      <x:c r="V46" s="302"/>
    </x:row>
    <x:row r="47" ht="20" customHeight="1">
      <x:c r="A47" s="258" t="str">
        <x:v>Selected Molecule Summary</x:v>
      </x:c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302"/>
      <x:c r="O47" s="302"/>
      <x:c r="P47" s="302"/>
      <x:c r="Q47" s="302"/>
      <x:c r="R47" s="302"/>
      <x:c r="S47" s="302"/>
      <x:c r="T47" s="302"/>
      <x:c r="U47" s="302"/>
      <x:c r="V47" s="302"/>
    </x:row>
    <x:row r="48">
      <x:c r="A48" s="322" t="str">
        <x:v>Molecule</x:v>
      </x:c>
      <x:c r="B48" s="322" t="str">
        <x:v>Segment</x:v>
      </x:c>
      <x:c r="C48" s="322" t="str">
        <x:v>FY26A revenue</x:v>
      </x:c>
      <x:c r="D48" s="322" t="str">
        <x:v>FY35E revenue</x:v>
      </x:c>
      <x:c r="E48" s="322" t="str">
        <x:v>FY26–FY35 CAGR</x:v>
      </x:c>
      <x:c r="F48" s="322" t="str">
        <x:v>Confidence</x:v>
      </x:c>
      <x:c r="G48" s="322" t="str">
        <x:v>Core rationale</x:v>
      </x:c>
      <x:c r="H48" s="304"/>
      <x:c r="I48" s="304"/>
      <x:c r="J48" s="304"/>
      <x:c r="K48" s="304"/>
      <x:c r="L48" s="304"/>
      <x:c r="M48" s="304"/>
      <x:c r="N48" s="302"/>
      <x:c r="O48" s="302"/>
      <x:c r="P48" s="302"/>
      <x:c r="Q48" s="302"/>
      <x:c r="R48" s="302"/>
      <x:c r="S48" s="302"/>
      <x:c r="T48" s="302"/>
      <x:c r="U48" s="302"/>
      <x:c r="V48" s="302"/>
    </x:row>
    <x:row r="49">
      <x:c r="A49" s="323" t="str">
        <x:v>Ezetimibe</x:v>
      </x:c>
      <x:c r="B49" s="324" t="str">
        <x:v>Prime</x:v>
      </x:c>
      <x:c r="C49" s="325" t="n">
        <x:f>'Revenue Model'!D15</x:f>
        <x:v>1300</x:v>
      </x:c>
      <x:c r="D49" s="325" t="n">
        <x:f>'Revenue Model'!M15</x:f>
        <x:v>2348.5744470988802</x:v>
      </x:c>
      <x:c r="E49" s="326" t="n">
        <x:f>(D49/C49)^(1/9)-1</x:f>
        <x:v>0.06792341486683351</x:v>
      </x:c>
      <x:c r="F49" s="327" t="str">
        <x:v>High</x:v>
      </x:c>
      <x:c r="G49" s="327" t="str">
        <x:v>Material Prime product; disclosed by company</x:v>
      </x:c>
      <x:c r="H49" s="304"/>
      <x:c r="I49" s="304"/>
      <x:c r="J49" s="304"/>
      <x:c r="K49" s="304"/>
      <x:c r="L49" s="304"/>
      <x:c r="M49" s="304"/>
      <x:c r="N49" s="302"/>
      <x:c r="O49" s="302"/>
      <x:c r="P49" s="302"/>
      <x:c r="Q49" s="302"/>
      <x:c r="R49" s="302"/>
      <x:c r="S49" s="302"/>
      <x:c r="T49" s="302"/>
      <x:c r="U49" s="302"/>
      <x:c r="V49" s="302"/>
    </x:row>
    <x:row r="50">
      <x:c r="A50" s="323" t="str">
        <x:v>Paliperidone</x:v>
      </x:c>
      <x:c r="B50" s="324" t="str">
        <x:v>Specialty</x:v>
      </x:c>
      <x:c r="C50" s="325" t="n">
        <x:f>'Revenue Model'!D22</x:f>
        <x:v>350</x:v>
      </x:c>
      <x:c r="D50" s="325" t="n">
        <x:f>'Revenue Model'!M22</x:f>
        <x:v>485.46845091360007</x:v>
      </x:c>
      <x:c r="E50" s="326" t="n">
        <x:f>(D50/C50)^(1/9)-1</x:f>
        <x:v>0.03702232860633825</x:v>
      </x:c>
      <x:c r="F50" s="327" t="str">
        <x:v>High</x:v>
      </x:c>
      <x:c r="G50" s="327" t="str">
        <x:v>Material Specialty product; conservative recovery</x:v>
      </x:c>
      <x:c r="H50" s="304"/>
      <x:c r="I50" s="304"/>
      <x:c r="J50" s="304"/>
      <x:c r="K50" s="304"/>
      <x:c r="L50" s="304"/>
      <x:c r="M50" s="304"/>
      <x:c r="N50" s="302"/>
      <x:c r="O50" s="302"/>
      <x:c r="P50" s="302"/>
      <x:c r="Q50" s="302"/>
      <x:c r="R50" s="302"/>
      <x:c r="S50" s="302"/>
      <x:c r="T50" s="302"/>
      <x:c r="U50" s="302"/>
      <x:c r="V50" s="302"/>
    </x:row>
    <x:row r="51">
      <x:c r="A51" s="323" t="str">
        <x:v>Bempedoic acid</x:v>
      </x:c>
      <x:c r="B51" s="324" t="str">
        <x:v>CMS</x:v>
      </x:c>
      <x:c r="C51" s="325" t="n">
        <x:f>'Revenue Model'!D29</x:f>
        <x:v>2500</x:v>
      </x:c>
      <x:c r="D51" s="325" t="n">
        <x:f>'Revenue Model'!M29</x:f>
        <x:v>6578.031675600004</x:v>
      </x:c>
      <x:c r="E51" s="326" t="n">
        <x:f>(D51/C51)^(1/9)-1</x:f>
        <x:v>0.11348403522507744</x:v>
      </x:c>
      <x:c r="F51" s="327" t="str">
        <x:v>High</x:v>
      </x:c>
      <x:c r="G51" s="327" t="str">
        <x:v>Confirmed commercial API relationship with Esperion</x:v>
      </x:c>
      <x:c r="H51" s="304"/>
      <x:c r="I51" s="304"/>
      <x:c r="J51" s="304"/>
      <x:c r="K51" s="304"/>
      <x:c r="L51" s="304"/>
      <x:c r="M51" s="304"/>
      <x:c r="N51" s="302"/>
      <x:c r="O51" s="302"/>
      <x:c r="P51" s="302"/>
      <x:c r="Q51" s="302"/>
      <x:c r="R51" s="302"/>
      <x:c r="S51" s="302"/>
      <x:c r="T51" s="302"/>
      <x:c r="U51" s="302"/>
      <x:c r="V51" s="302"/>
    </x:row>
    <x:row r="52">
      <x:c r="A52" s="323" t="str">
        <x:v>Xanomeline</x:v>
      </x:c>
      <x:c r="B52" s="324" t="str">
        <x:v>CMS</x:v>
      </x:c>
      <x:c r="C52" s="325" t="n">
        <x:f>'Revenue Model'!D30</x:f>
        <x:v>800</x:v>
      </x:c>
      <x:c r="D52" s="325" t="n">
        <x:f>'Revenue Model'!M30</x:f>
        <x:v>5319.163080000001</x:v>
      </x:c>
      <x:c r="E52" s="326" t="n">
        <x:f>(D52/C52)^(1/9)-1</x:f>
        <x:v>0.23428950254163117</x:v>
      </x:c>
      <x:c r="F52" s="327" t="str">
        <x:v>Medium</x:v>
      </x:c>
      <x:c r="G52" s="327" t="str">
        <x:v>Probable link; conservative direct ramp</x:v>
      </x:c>
      <x:c r="H52" s="304"/>
      <x:c r="I52" s="304"/>
      <x:c r="J52" s="304"/>
      <x:c r="K52" s="304"/>
      <x:c r="L52" s="304"/>
      <x:c r="M52" s="304"/>
      <x:c r="N52" s="302"/>
      <x:c r="O52" s="302"/>
      <x:c r="P52" s="302"/>
      <x:c r="Q52" s="302"/>
      <x:c r="R52" s="302"/>
      <x:c r="S52" s="302"/>
      <x:c r="T52" s="302"/>
      <x:c r="U52" s="302"/>
      <x:c r="V52" s="302"/>
    </x:row>
    <x:row r="53">
      <x:c r="A53" s="323"/>
      <x:c r="B53" s="303"/>
      <x:c r="C53" s="303"/>
      <x:c r="D53" s="303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2"/>
      <x:c r="O53" s="302"/>
      <x:c r="P53" s="302"/>
      <x:c r="Q53" s="302"/>
      <x:c r="R53" s="302"/>
      <x:c r="S53" s="302"/>
      <x:c r="T53" s="302"/>
      <x:c r="U53" s="302"/>
      <x:c r="V53" s="302"/>
    </x:row>
    <x:row r="54">
      <x:c r="A54" s="323"/>
      <x:c r="B54" s="303"/>
      <x:c r="C54" s="303"/>
      <x:c r="D54" s="303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2"/>
      <x:c r="O54" s="302"/>
      <x:c r="P54" s="302"/>
      <x:c r="Q54" s="302"/>
      <x:c r="R54" s="302"/>
      <x:c r="S54" s="302"/>
      <x:c r="T54" s="302"/>
      <x:c r="U54" s="302"/>
      <x:c r="V54" s="302"/>
    </x:row>
    <x:row r="55" ht="20" customHeight="1">
      <x:c r="A55" s="258" t="str">
        <x:v>Model Checks</x:v>
      </x:c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302"/>
      <x:c r="O55" s="302"/>
      <x:c r="P55" s="302"/>
      <x:c r="Q55" s="302"/>
      <x:c r="R55" s="302"/>
      <x:c r="S55" s="302"/>
      <x:c r="T55" s="302"/>
      <x:c r="U55" s="302"/>
      <x:c r="V55" s="302"/>
    </x:row>
    <x:row r="56">
      <x:c r="A56" s="323" t="str">
        <x:v>Revenue reconciliation</x:v>
      </x:c>
      <x:c r="B56" s="312" t="n">
        <x:f>'Revenue Model'!M79</x:f>
        <x:v>0</x:v>
      </x:c>
      <x:c r="C56" s="328" t="str">
        <x:f>IF(ABS(B56)&lt;0.1,"OK","CHECK")</x:f>
        <x:v>OK</x:v>
      </x:c>
      <x:c r="D56" s="303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2"/>
      <x:c r="O56" s="302"/>
      <x:c r="P56" s="302"/>
      <x:c r="Q56" s="302"/>
      <x:c r="R56" s="302"/>
      <x:c r="S56" s="302"/>
      <x:c r="T56" s="302"/>
      <x:c r="U56" s="302"/>
      <x:c r="V56" s="302"/>
    </x:row>
    <x:row r="57">
      <x:c r="A57" s="323" t="str">
        <x:v>Molecule / residual reconciliation</x:v>
      </x:c>
      <x:c r="B57" s="312" t="n">
        <x:f>SUM('Revenue Model'!M76:M78)</x:f>
        <x:v>0</x:v>
      </x:c>
      <x:c r="C57" s="328" t="str">
        <x:f>IF(ABS(B57)&lt;0.1,"OK","CHECK")</x:f>
        <x:v>OK</x:v>
      </x:c>
      <x:c r="D57" s="303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2"/>
      <x:c r="O57" s="302"/>
      <x:c r="P57" s="302"/>
      <x:c r="Q57" s="302"/>
      <x:c r="R57" s="302"/>
      <x:c r="S57" s="302"/>
      <x:c r="T57" s="302"/>
      <x:c r="U57" s="302"/>
      <x:c r="V57" s="302"/>
    </x:row>
    <x:row r="58">
      <x:c r="A58" s="323" t="str">
        <x:v>Balance-sheet check</x:v>
      </x:c>
      <x:c r="B58" s="312" t="n">
        <x:f>'Three Statements'!M55</x:f>
        <x:v>0</x:v>
      </x:c>
      <x:c r="C58" s="328" t="str">
        <x:f>IF(ABS(B58)&lt;0.1,"OK","CHECK")</x:f>
        <x:v>OK</x:v>
      </x:c>
      <x:c r="D58" s="303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2"/>
      <x:c r="O58" s="302"/>
      <x:c r="P58" s="302"/>
      <x:c r="Q58" s="302"/>
      <x:c r="R58" s="302"/>
      <x:c r="S58" s="302"/>
      <x:c r="T58" s="302"/>
      <x:c r="U58" s="302"/>
      <x:c r="V58" s="302"/>
    </x:row>
    <x:row r="59">
      <x:c r="A59" s="323" t="str">
        <x:v>Cash-flow reconciliation</x:v>
      </x:c>
      <x:c r="B59" s="312" t="n">
        <x:f>'Three Statements'!M85</x:f>
        <x:v>0</x:v>
      </x:c>
      <x:c r="C59" s="328" t="str">
        <x:f>IF(ABS(B59)&lt;0.1,"OK","CHECK")</x:f>
        <x:v>OK</x:v>
      </x:c>
      <x:c r="D59" s="303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2"/>
      <x:c r="O59" s="302"/>
      <x:c r="P59" s="302"/>
      <x:c r="Q59" s="302"/>
      <x:c r="R59" s="302"/>
      <x:c r="S59" s="302"/>
      <x:c r="T59" s="302"/>
      <x:c r="U59" s="302"/>
      <x:c r="V59" s="302"/>
    </x:row>
    <x:row r="60">
      <x:c r="A60" s="323" t="str">
        <x:v>PP&amp;E roll-forward</x:v>
      </x:c>
      <x:c r="B60" s="312" t="n">
        <x:f>'Supporting Schedules'!M37</x:f>
        <x:v>0</x:v>
      </x:c>
      <x:c r="C60" s="328" t="str">
        <x:f>IF(ABS(B60)&lt;0.1,"OK","CHECK")</x:f>
        <x:v>OK</x:v>
      </x:c>
      <x:c r="D60" s="303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2"/>
      <x:c r="O60" s="302"/>
      <x:c r="P60" s="302"/>
      <x:c r="Q60" s="302"/>
      <x:c r="R60" s="302"/>
      <x:c r="S60" s="302"/>
      <x:c r="T60" s="302"/>
      <x:c r="U60" s="302"/>
      <x:c r="V60" s="302"/>
    </x:row>
    <x:row r="61">
      <x:c r="A61" s="323" t="str">
        <x:v>CWIP roll-forward</x:v>
      </x:c>
      <x:c r="B61" s="312" t="n">
        <x:f>'Supporting Schedules'!M38</x:f>
        <x:v>0</x:v>
      </x:c>
      <x:c r="C61" s="328" t="str">
        <x:f>IF(ABS(B61)&lt;0.1,"OK","CHECK")</x:f>
        <x:v>OK</x:v>
      </x:c>
      <x:c r="D61" s="303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2"/>
      <x:c r="O61" s="302"/>
      <x:c r="P61" s="302"/>
      <x:c r="Q61" s="302"/>
      <x:c r="R61" s="302"/>
      <x:c r="S61" s="302"/>
      <x:c r="T61" s="302"/>
      <x:c r="U61" s="302"/>
      <x:c r="V61" s="302"/>
    </x:row>
    <x:row r="62">
      <x:c r="A62" s="323" t="str">
        <x:v>Debt roll-forward</x:v>
      </x:c>
      <x:c r="B62" s="312" t="n">
        <x:f>'Supporting Schedules'!M55</x:f>
        <x:v>0</x:v>
      </x:c>
      <x:c r="C62" s="328" t="str">
        <x:f>IF(ABS(B62)&lt;0.1,"OK","CHECK")</x:f>
        <x:v>OK</x:v>
      </x:c>
      <x:c r="D62" s="303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2"/>
      <x:c r="O62" s="302"/>
      <x:c r="P62" s="302"/>
      <x:c r="Q62" s="302"/>
      <x:c r="R62" s="302"/>
      <x:c r="S62" s="302"/>
      <x:c r="T62" s="302"/>
      <x:c r="U62" s="302"/>
      <x:c r="V62" s="302"/>
    </x:row>
    <x:row r="63">
      <x:c r="A63" s="323" t="str">
        <x:v>Deferred-tax roll-forward</x:v>
      </x:c>
      <x:c r="B63" s="312" t="n">
        <x:f>'Supporting Schedules'!M66</x:f>
        <x:v>0</x:v>
      </x:c>
      <x:c r="C63" s="328" t="str">
        <x:f>IF(ABS(B63)&lt;0.1,"OK","CHECK")</x:f>
        <x:v>OK</x:v>
      </x:c>
      <x:c r="D63" s="303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2"/>
      <x:c r="O63" s="302"/>
      <x:c r="P63" s="302"/>
      <x:c r="Q63" s="302"/>
      <x:c r="R63" s="302"/>
      <x:c r="S63" s="302"/>
      <x:c r="T63" s="302"/>
      <x:c r="U63" s="302"/>
      <x:c r="V63" s="302"/>
    </x:row>
    <x:row r="64">
      <x:c r="A64" s="323" t="str">
        <x:v>Retained-earnings roll-forward</x:v>
      </x:c>
      <x:c r="B64" s="312" t="n">
        <x:f>'Supporting Schedules'!M76</x:f>
        <x:v>0</x:v>
      </x:c>
      <x:c r="C64" s="328" t="str">
        <x:f>IF(ABS(B64)&lt;0.1,"OK","CHECK")</x:f>
        <x:v>OK</x:v>
      </x:c>
      <x:c r="D64" s="303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2"/>
      <x:c r="O64" s="302"/>
      <x:c r="P64" s="302"/>
      <x:c r="Q64" s="302"/>
      <x:c r="R64" s="302"/>
      <x:c r="S64" s="302"/>
      <x:c r="T64" s="302"/>
      <x:c r="U64" s="302"/>
      <x:c r="V64" s="302"/>
    </x:row>
    <x:row r="65">
      <x:c r="A65" s="323"/>
      <x:c r="B65" s="302"/>
      <x:c r="C65" s="302"/>
      <x:c r="D65" s="302"/>
      <x:c r="E65" s="302"/>
      <x:c r="F65" s="302"/>
      <x:c r="G65" s="302"/>
      <x:c r="H65" s="302"/>
      <x:c r="I65" s="302"/>
      <x:c r="J65" s="302"/>
      <x:c r="K65" s="302"/>
      <x:c r="L65" s="302"/>
      <x:c r="M65" s="302"/>
      <x:c r="N65" s="302"/>
      <x:c r="O65" s="302"/>
      <x:c r="P65" s="302"/>
      <x:c r="Q65" s="302"/>
      <x:c r="R65" s="302"/>
      <x:c r="S65" s="302"/>
      <x:c r="T65" s="302"/>
      <x:c r="U65" s="302"/>
      <x:c r="V65" s="302"/>
    </x:row>
    <x:row r="66">
      <x:c r="A66" s="323"/>
      <x:c r="B66" s="302"/>
      <x:c r="C66" s="302"/>
      <x:c r="D66" s="302"/>
      <x:c r="E66" s="302"/>
      <x:c r="F66" s="302"/>
      <x:c r="G66" s="302"/>
      <x:c r="H66" s="302"/>
      <x:c r="I66" s="302"/>
      <x:c r="J66" s="302"/>
      <x:c r="K66" s="302"/>
      <x:c r="L66" s="302"/>
      <x:c r="M66" s="302"/>
      <x:c r="N66" s="302"/>
      <x:c r="O66" s="302"/>
      <x:c r="P66" s="302"/>
      <x:c r="Q66" s="302"/>
      <x:c r="R66" s="302"/>
      <x:c r="S66" s="302"/>
      <x:c r="T66" s="302"/>
      <x:c r="U66" s="302"/>
      <x:c r="V66" s="302"/>
    </x:row>
    <x:row r="67">
      <x:c r="A67" s="323"/>
      <x:c r="B67" s="302"/>
      <x:c r="C67" s="302"/>
      <x:c r="D67" s="302"/>
      <x:c r="E67" s="302"/>
      <x:c r="F67" s="302"/>
      <x:c r="G67" s="302"/>
      <x:c r="H67" s="302"/>
      <x:c r="I67" s="302"/>
      <x:c r="J67" s="302"/>
      <x:c r="K67" s="302"/>
      <x:c r="L67" s="302"/>
      <x:c r="M67" s="302"/>
      <x:c r="N67" s="302"/>
      <x:c r="O67" s="302"/>
      <x:c r="P67" s="302"/>
      <x:c r="Q67" s="302"/>
      <x:c r="R67" s="302"/>
      <x:c r="S67" s="302"/>
      <x:c r="T67" s="302"/>
      <x:c r="U67" s="302"/>
      <x:c r="V67" s="302"/>
    </x:row>
    <x:row r="68">
      <x:c r="A68" s="323"/>
      <x:c r="B68" s="302"/>
      <x:c r="C68" s="302"/>
      <x:c r="D68" s="302"/>
      <x:c r="E68" s="302"/>
      <x:c r="F68" s="302"/>
      <x:c r="G68" s="302"/>
      <x:c r="H68" s="302"/>
      <x:c r="I68" s="302"/>
      <x:c r="J68" s="302"/>
      <x:c r="K68" s="302"/>
      <x:c r="L68" s="302"/>
      <x:c r="M68" s="302"/>
      <x:c r="N68" s="302"/>
      <x:c r="O68" s="302"/>
      <x:c r="P68" s="302"/>
      <x:c r="Q68" s="302"/>
      <x:c r="R68" s="302"/>
      <x:c r="S68" s="302"/>
      <x:c r="T68" s="302"/>
      <x:c r="U68" s="302"/>
      <x:c r="V68" s="302"/>
    </x:row>
    <x:row r="69">
      <x:c r="A69" s="323"/>
      <x:c r="B69" s="302"/>
      <x:c r="C69" s="302"/>
      <x:c r="D69" s="302"/>
      <x:c r="E69" s="302"/>
      <x:c r="F69" s="302"/>
      <x:c r="G69" s="302"/>
      <x:c r="H69" s="302"/>
      <x:c r="I69" s="302"/>
      <x:c r="J69" s="302"/>
      <x:c r="K69" s="302"/>
      <x:c r="L69" s="302"/>
      <x:c r="M69" s="302"/>
      <x:c r="N69" s="302"/>
      <x:c r="O69" s="302"/>
      <x:c r="P69" s="302"/>
      <x:c r="Q69" s="302"/>
      <x:c r="R69" s="302"/>
      <x:c r="S69" s="302"/>
      <x:c r="T69" s="302"/>
      <x:c r="U69" s="302"/>
      <x:c r="V69" s="302"/>
    </x:row>
    <x:row r="70">
      <x:c r="A70" s="323"/>
      <x:c r="B70" s="302"/>
      <x:c r="C70" s="302"/>
      <x:c r="D70" s="302"/>
      <x:c r="E70" s="302"/>
      <x:c r="F70" s="302"/>
      <x:c r="G70" s="302"/>
      <x:c r="H70" s="302"/>
      <x:c r="I70" s="302"/>
      <x:c r="J70" s="302"/>
      <x:c r="K70" s="302"/>
      <x:c r="L70" s="302"/>
      <x:c r="M70" s="302"/>
      <x:c r="N70" s="302"/>
      <x:c r="O70" s="302"/>
      <x:c r="P70" s="302"/>
      <x:c r="Q70" s="302"/>
      <x:c r="R70" s="302"/>
      <x:c r="S70" s="302"/>
      <x:c r="T70" s="302"/>
      <x:c r="U70" s="302"/>
      <x:c r="V70" s="302"/>
    </x:row>
    <x:row r="71">
      <x:c r="A71" s="469"/>
    </x:row>
    <x:row r="72">
      <x:c r="A72" s="469"/>
    </x:row>
    <x:row r="73">
      <x:c r="A73" s="469"/>
    </x:row>
    <x:row r="74">
      <x:c r="A74" s="469"/>
    </x:row>
    <x:row r="75">
      <x:c r="A75" s="469"/>
    </x:row>
    <x:row r="76">
      <x:c r="A76" s="469"/>
    </x:row>
    <x:row r="77">
      <x:c r="A77" s="469"/>
    </x:row>
    <x:row r="78">
      <x:c r="A78" s="469"/>
    </x:row>
    <x:row r="79">
      <x:c r="A79" s="469"/>
    </x:row>
    <x:row r="80">
      <x:c r="A80" s="469"/>
    </x:row>
    <x:row r="81">
      <x:c r="A81" s="469"/>
    </x:row>
    <x:row r="82">
      <x:c r="A82" s="469"/>
    </x:row>
    <x:row r="83">
      <x:c r="A83" s="469"/>
    </x:row>
    <x:row r="84">
      <x:c r="A84" s="469"/>
    </x:row>
    <x:row r="85">
      <x:c r="A85" s="469"/>
    </x:row>
    <x:row r="86">
      <x:c r="A86" s="469"/>
    </x:row>
    <x:row r="87">
      <x:c r="A87" s="469"/>
    </x:row>
    <x:row r="88">
      <x:c r="A88" s="469"/>
    </x:row>
    <x:row r="89">
      <x:c r="A89" s="469"/>
    </x:row>
    <x:row r="90">
      <x:c r="A90" s="469"/>
    </x:row>
    <x:row r="91">
      <x:c r="A91" s="469"/>
    </x:row>
    <x:row r="92">
      <x:c r="A92" s="469"/>
    </x:row>
    <x:row r="93">
      <x:c r="A93" s="469"/>
    </x:row>
    <x:row r="94">
      <x:c r="A94" s="469"/>
    </x:row>
    <x:row r="95">
      <x:c r="A95" s="469"/>
    </x:row>
    <x:row r="96">
      <x:c r="A96" s="469"/>
    </x:row>
    <x:row r="97">
      <x:c r="A97" s="469"/>
    </x:row>
    <x:row r="98">
      <x:c r="A98" s="469"/>
    </x:row>
    <x:row r="99">
      <x:c r="A99" s="469"/>
    </x:row>
    <x:row r="100">
      <x:c r="A100" s="469"/>
    </x:row>
    <x:row r="101">
      <x:c r="A101" s="469"/>
    </x:row>
    <x:row r="102">
      <x:c r="A102" s="469"/>
    </x:row>
    <x:row r="103">
      <x:c r="A103" s="469"/>
    </x:row>
    <x:row r="104">
      <x:c r="A104" s="469"/>
    </x:row>
    <x:row r="105">
      <x:c r="A105" s="469"/>
    </x:row>
  </x:sheetData>
  <x:mergeCells>
    <x:mergeCell ref="A1:V1"/>
    <x:mergeCell ref="A2:M2"/>
    <x:mergeCell ref="A6:M6"/>
    <x:mergeCell ref="A20:M20"/>
    <x:mergeCell ref="A27:M27"/>
    <x:mergeCell ref="A47:M47"/>
    <x:mergeCell ref="A55:M55"/>
  </x:mergeCells>
  <x:conditionalFormatting sqref="C56:C64">
    <x:cfRule type="expression" dxfId="1" priority="1">
      <x:formula>C56="CHECK"</x:formula>
    </x:cfRule>
    <x:cfRule type="expression" dxfId="2" priority="2">
      <x:formula>C56="OK"</x:formula>
    </x:cfRule>
  </x:conditionalFormatting>
  <x:pageMargins left="0.7" right="0.7" top="0.75" bottom="0.75" header="0.3" footer="0.3"/>
  <x:drawing xmlns:r="http://schemas.openxmlformats.org/officeDocument/2006/relationships" r:id="Rf0028ec3720e4d3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3" hidden="0" customWidth="1"/>
    <x:col min="4" max="4" width="20" hidden="0" customWidth="1"/>
    <x:col min="5" max="5" width="24" hidden="0" customWidth="1"/>
    <x:col min="6" max="6" width="13" hidden="0" customWidth="1"/>
    <x:col min="7" max="7" width="22" hidden="0" customWidth="1"/>
    <x:col min="8" max="8" width="30" hidden="0" customWidth="1"/>
    <x:col min="9" max="9" width="12" hidden="0" customWidth="1"/>
    <x:col min="10" max="10" width="40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8" customHeight="1">
      <x:c r="A1" s="258" t="str">
        <x:v>Neuland Laboratories — Revenue Model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>
      <x:c r="A2" s="323"/>
      <x:c r="B2" s="302"/>
      <x:c r="C2" s="302"/>
      <x:c r="D2" s="302"/>
      <x:c r="E2" s="302"/>
      <x:c r="F2" s="302"/>
      <x:c r="G2" s="302"/>
      <x:c r="H2" s="302"/>
      <x:c r="I2" s="302"/>
      <x:c r="J2" s="302"/>
      <x:c r="K2" s="302"/>
      <x:c r="L2" s="302"/>
      <x:c r="M2" s="302"/>
    </x:row>
    <x:row r="3" ht="20" customHeight="1">
      <x:c r="A3" s="447" t="str">
        <x:v>INR million, unless stated</x:v>
      </x:c>
      <x:c r="B3" s="27" t="str">
        <x:v>FY24A</x:v>
      </x:c>
      <x:c r="C3" s="27" t="str">
        <x:v>FY25A</x:v>
      </x:c>
      <x:c r="D3" s="27" t="str">
        <x:v>FY26A</x:v>
      </x:c>
      <x:c r="E3" s="28" t="str">
        <x:v>FY27E</x:v>
      </x:c>
      <x:c r="F3" s="28" t="str">
        <x:v>FY28E</x:v>
      </x:c>
      <x:c r="G3" s="28" t="str">
        <x:v>FY29E</x:v>
      </x:c>
      <x:c r="H3" s="28" t="str">
        <x:v>FY30E</x:v>
      </x:c>
      <x:c r="I3" s="28" t="str">
        <x:v>FY31E</x:v>
      </x:c>
      <x:c r="J3" s="28" t="str">
        <x:v>FY32E</x:v>
      </x:c>
      <x:c r="K3" s="28" t="str">
        <x:v>FY33E</x:v>
      </x:c>
      <x:c r="L3" s="28" t="str">
        <x:v>FY34E</x:v>
      </x:c>
      <x:c r="M3" s="28" t="str">
        <x:v>FY35E</x:v>
      </x:c>
    </x:row>
    <x:row r="4">
      <x:c r="A4" s="323"/>
      <x:c r="B4" s="303"/>
      <x:c r="C4" s="303"/>
      <x:c r="D4" s="303"/>
      <x:c r="E4" s="304"/>
      <x:c r="F4" s="304"/>
      <x:c r="G4" s="304"/>
      <x:c r="H4" s="304"/>
      <x:c r="I4" s="304"/>
      <x:c r="J4" s="304"/>
      <x:c r="K4" s="304"/>
      <x:c r="L4" s="304"/>
      <x:c r="M4" s="304"/>
    </x:row>
    <x:row r="5" ht="20" customHeight="1">
      <x:c r="A5" s="258" t="str">
        <x:v>Segment Revenue Summary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>
      <x:c r="A6" s="323"/>
      <x:c r="B6" s="303"/>
      <x:c r="C6" s="303"/>
      <x:c r="D6" s="303"/>
      <x:c r="E6" s="304"/>
      <x:c r="F6" s="304"/>
      <x:c r="G6" s="304"/>
      <x:c r="H6" s="304"/>
      <x:c r="I6" s="304"/>
      <x:c r="J6" s="304"/>
      <x:c r="K6" s="304"/>
      <x:c r="L6" s="304"/>
      <x:c r="M6" s="304"/>
    </x:row>
    <x:row r="7">
      <x:c r="A7" s="323" t="str">
        <x:v>Prime</x:v>
      </x:c>
      <x:c r="B7" s="360" t="n">
        <x:v>3740.5932</x:v>
      </x:c>
      <x:c r="C7" s="360" t="n">
        <x:v>4873.5631</x:v>
      </x:c>
      <x:c r="D7" s="360" t="n">
        <x:v>4652.8664</x:v>
      </x:c>
      <x:c r="E7" s="361" t="n">
        <x:f>E17</x:f>
        <x:v>5181.095712</x:v>
      </x:c>
      <x:c r="F7" s="361" t="n">
        <x:f>F17</x:f>
        <x:v>5704.78336896</x:v>
      </x:c>
      <x:c r="G7" s="361" t="n">
        <x:f>G17</x:f>
        <x:v>6157.9382047872</x:v>
      </x:c>
      <x:c r="H7" s="361" t="n">
        <x:f>H17</x:f>
        <x:v>6566.882497074433</x:v>
      </x:c>
      <x:c r="I7" s="361" t="n">
        <x:f>I17</x:f>
        <x:v>6916.5393419281545</x:v>
      </x:c>
      <x:c r="J7" s="361" t="n">
        <x:f>J17</x:f>
        <x:v>7239.774825824563</x:v>
      </x:c>
      <x:c r="K7" s="361" t="n">
        <x:f>K17</x:f>
        <x:v>7482.375533801545</x:v>
      </x:c>
      <x:c r="L7" s="361" t="n">
        <x:f>L17</x:f>
        <x:v>7685.810373639366</x:v>
      </x:c>
      <x:c r="M7" s="361" t="n">
        <x:f>M17</x:f>
        <x:v>7796.559457955747</x:v>
      </x:c>
    </x:row>
    <x:row r="8">
      <x:c r="A8" s="323" t="str">
        <x:v>Specialty</x:v>
      </x:c>
      <x:c r="B8" s="360" t="n">
        <x:v>3428.8771</x:v>
      </x:c>
      <x:c r="C8" s="360" t="n">
        <x:v>2658.3071</x:v>
      </x:c>
      <x:c r="D8" s="360" t="n">
        <x:v>2225.2839</x:v>
      </x:c>
      <x:c r="E8" s="361" t="n">
        <x:f>E24</x:f>
        <x:v>2450.3179680000003</x:v>
      </x:c>
      <x:c r="F8" s="361" t="n">
        <x:f>F24</x:f>
        <x:v>2730.3561241600005</x:v>
      </x:c>
      <x:c r="G8" s="361" t="n">
        <x:f>G24</x:f>
        <x:v>3026.9152978176007</x:v>
      </x:c>
      <x:c r="H8" s="361" t="n">
        <x:f>H24</x:f>
        <x:v>3321.290827599361</x:v>
      </x:c>
      <x:c r="I8" s="361" t="n">
        <x:f>I24</x:f>
        <x:v>3602.244442083304</x:v>
      </x:c>
      <x:c r="J8" s="361" t="n">
        <x:f>J24</x:f>
        <x:v>3866.848137449968</x:v>
      </x:c>
      <x:c r="K8" s="361" t="n">
        <x:f>K24</x:f>
        <x:v>4113.244371271466</x:v>
      </x:c>
      <x:c r="L8" s="361" t="n">
        <x:f>L24</x:f>
        <x:v>4330.316475328554</x:v>
      </x:c>
      <x:c r="M8" s="361" t="n">
        <x:f>M24</x:f>
        <x:v>4512.155981172582</x:v>
      </x:c>
    </x:row>
    <x:row r="9">
      <x:c r="A9" s="323" t="str">
        <x:v>CMS</x:v>
      </x:c>
      <x:c r="B9" s="360" t="n">
        <x:v>7650</x:v>
      </x:c>
      <x:c r="C9" s="360" t="n">
        <x:v>6370</x:v>
      </x:c>
      <x:c r="D9" s="360" t="n">
        <x:v>12440</x:v>
      </x:c>
      <x:c r="E9" s="361" t="n">
        <x:f>E32</x:f>
        <x:v>14641.800000000001</x:v>
      </x:c>
      <x:c r="F9" s="361" t="n">
        <x:f>F32</x:f>
        <x:v>17442.32</x:v>
      </x:c>
      <x:c r="G9" s="361" t="n">
        <x:f>G32</x:f>
        <x:v>20324.9448</x:v>
      </x:c>
      <x:c r="H9" s="361" t="n">
        <x:f>H32</x:f>
        <x:v>23100.898176000002</x:v>
      </x:c>
      <x:c r="I9" s="361" t="n">
        <x:f>I32</x:f>
        <x:v>25734.987993600007</x:v>
      </x:c>
      <x:c r="J9" s="361" t="n">
        <x:f>J32</x:f>
        <x:v>28231.286913024007</x:v>
      </x:c>
      <x:c r="K9" s="361" t="n">
        <x:f>K32</x:f>
        <x:v>30464.453066065933</x:v>
      </x:c>
      <x:c r="L9" s="361" t="n">
        <x:f>L32</x:f>
        <x:v>32376.95193269055</x:v>
      </x:c>
      <x:c r="M9" s="361" t="n">
        <x:f>M32</x:f>
        <x:v>33973.04881305198</x:v>
      </x:c>
    </x:row>
    <x:row r="10">
      <x:c r="A10" s="323" t="str">
        <x:v>Others</x:v>
      </x:c>
      <x:c r="B10" s="360" t="n">
        <x:v>766.3347</x:v>
      </x:c>
      <x:c r="C10" s="360" t="n">
        <x:v>866.5028</x:v>
      </x:c>
      <x:c r="D10" s="360" t="n">
        <x:v>911.7037</x:v>
      </x:c>
      <x:c r="E10" s="361" t="n">
        <x:f>E38</x:f>
        <x:v>957.288885</x:v>
      </x:c>
      <x:c r="F10" s="361" t="n">
        <x:f>F38</x:f>
        <x:v>1005.1533292500001</x:v>
      </x:c>
      <x:c r="G10" s="361" t="n">
        <x:f>G38</x:f>
        <x:v>1055.4109957125002</x:v>
      </x:c>
      <x:c r="H10" s="361" t="n">
        <x:f>H38</x:f>
        <x:v>1097.6274355410003</x:v>
      </x:c>
      <x:c r="I10" s="361" t="n">
        <x:f>I38</x:f>
        <x:v>1141.5325329626403</x:v>
      </x:c>
      <x:c r="J10" s="361" t="n">
        <x:f>J38</x:f>
        <x:v>1187.1938342811459</x:v>
      </x:c>
      <x:c r="K10" s="361" t="n">
        <x:f>K38</x:f>
        <x:v>1222.8096493095802</x:v>
      </x:c>
      <x:c r="L10" s="361" t="n">
        <x:f>L38</x:f>
        <x:v>1259.4939387888676</x:v>
      </x:c>
      <x:c r="M10" s="361" t="n">
        <x:f>M38</x:f>
        <x:v>1297.2787569525337</x:v>
      </x:c>
    </x:row>
    <x:row r="11">
      <x:c r="A11" s="468" t="str">
        <x:v>Revenue from operations</x:v>
      </x:c>
      <x:c r="B11" s="362" t="n">
        <x:f>SUM(B7:B10)</x:f>
        <x:v>15585.805</x:v>
      </x:c>
      <x:c r="C11" s="362" t="n">
        <x:f>SUM(C7:C10)</x:f>
        <x:v>14768.373000000001</x:v>
      </x:c>
      <x:c r="D11" s="362" t="n">
        <x:f>SUM(D7:D10)</x:f>
        <x:v>20229.854</x:v>
      </x:c>
      <x:c r="E11" s="363" t="n">
        <x:f>SUM(E7:E10)</x:f>
        <x:v>23230.502565000003</x:v>
      </x:c>
      <x:c r="F11" s="363" t="n">
        <x:f>SUM(F7:F10)</x:f>
        <x:v>26882.61282237</x:v>
      </x:c>
      <x:c r="G11" s="363" t="n">
        <x:f>SUM(G7:G10)</x:f>
        <x:v>30565.209298317302</x:v>
      </x:c>
      <x:c r="H11" s="363" t="n">
        <x:f>SUM(H7:H10)</x:f>
        <x:v>34086.698936214794</x:v>
      </x:c>
      <x:c r="I11" s="363" t="n">
        <x:f>SUM(I7:I10)</x:f>
        <x:v>37395.30431057411</x:v>
      </x:c>
      <x:c r="J11" s="363" t="n">
        <x:f>SUM(J7:J10)</x:f>
        <x:v>40525.103710579686</x:v>
      </x:c>
      <x:c r="K11" s="363" t="n">
        <x:f>SUM(K7:K10)</x:f>
        <x:v>43282.88262044852</x:v>
      </x:c>
      <x:c r="L11" s="363" t="n">
        <x:f>SUM(L7:L10)</x:f>
        <x:v>45652.57272044734</x:v>
      </x:c>
      <x:c r="M11" s="363" t="n">
        <x:f>SUM(M7:M10)</x:f>
        <x:v>47579.04300913284</x:v>
      </x:c>
    </x:row>
    <x:row r="12">
      <x:c r="A12" s="323" t="str">
        <x:v>YoY growth</x:v>
      </x:c>
      <x:c r="B12" s="364"/>
      <x:c r="C12" s="364" t="n">
        <x:f>C11/B11-1</x:f>
        <x:v>-0.052447210779295594</x:v>
      </x:c>
      <x:c r="D12" s="364" t="n">
        <x:f>D11/C11-1</x:f>
        <x:v>0.36980925386973884</x:v>
      </x:c>
      <x:c r="E12" s="365" t="n">
        <x:f>E11/D11-1</x:f>
        <x:v>0.14832774200940868</x:v>
      </x:c>
      <x:c r="F12" s="365" t="n">
        <x:f>F11/E11-1</x:f>
        <x:v>0.15721184882467476</x:v>
      </x:c>
      <x:c r="G12" s="365" t="n">
        <x:f>G11/F11-1</x:f>
        <x:v>0.13698804131430564</x:v>
      </x:c>
      <x:c r="H12" s="365" t="n">
        <x:f>H11/G11-1</x:f>
        <x:v>0.1152123515179515</x:v>
      </x:c>
      <x:c r="I12" s="365" t="n">
        <x:f>I11/H11-1</x:f>
        <x:v>0.09706441156272083</x:v>
      </x:c>
      <x:c r="J12" s="365" t="n">
        <x:f>J11/I11-1</x:f>
        <x:v>0.08369498410848819</x:v>
      </x:c>
      <x:c r="K12" s="365" t="n">
        <x:f>K11/J11-1</x:f>
        <x:v>0.06805112528679058</x:v>
      </x:c>
      <x:c r="L12" s="365" t="n">
        <x:f>L11/K11-1</x:f>
        <x:v>0.054748897405443975</x:v>
      </x:c>
      <x:c r="M12" s="365" t="n">
        <x:f>M11/L11-1</x:f>
        <x:v>0.04219850435335171</x:v>
      </x:c>
    </x:row>
    <x:row r="13">
      <x:c r="A13" s="323"/>
      <x:c r="B13" s="366"/>
      <x:c r="C13" s="366"/>
      <x:c r="D13" s="366"/>
      <x:c r="E13" s="367"/>
      <x:c r="F13" s="367"/>
      <x:c r="G13" s="367"/>
      <x:c r="H13" s="367"/>
      <x:c r="I13" s="367"/>
      <x:c r="J13" s="367"/>
      <x:c r="K13" s="367"/>
      <x:c r="L13" s="367"/>
      <x:c r="M13" s="367"/>
    </x:row>
    <x:row r="14" ht="20" customHeight="1">
      <x:c r="A14" s="258" t="str">
        <x:v>Prime Revenue Build</x:v>
      </x:c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</x:row>
    <x:row r="15">
      <x:c r="A15" s="323" t="str">
        <x:v>Ezetimibe</x:v>
      </x:c>
      <x:c r="B15" s="368" t="n">
        <x:v>400</x:v>
      </x:c>
      <x:c r="C15" s="368" t="n">
        <x:v>800</x:v>
      </x:c>
      <x:c r="D15" s="368" t="n">
        <x:v>1300</x:v>
      </x:c>
      <x:c r="E15" s="369" t="n">
        <x:f>D15*(1+E18)</x:f>
        <x:v>1560</x:v>
      </x:c>
      <x:c r="F15" s="369" t="n">
        <x:f>E15*(1+F18)</x:f>
        <x:v>1793.9999999999998</x:v>
      </x:c>
      <x:c r="G15" s="369" t="n">
        <x:f>F15*(1+G18)</x:f>
        <x:v>1973.3999999999999</x:v>
      </x:c>
      <x:c r="H15" s="369" t="n">
        <x:f>G15*(1+H18)</x:f>
        <x:v>2131.272</x:v>
      </x:c>
      <x:c r="I15" s="369" t="n">
        <x:f>H15*(1+I18)</x:f>
        <x:v>2259.1483200000002</x:v>
      </x:c>
      <x:c r="J15" s="369" t="n">
        <x:f>I15*(1+J18)</x:f>
        <x:v>2349.5142528</x:v>
      </x:c>
      <x:c r="K15" s="369" t="n">
        <x:f>J15*(1+K18)</x:f>
        <x:v>2396.5045378560003</x:v>
      </x:c>
      <x:c r="L15" s="369" t="n">
        <x:f>K15*(1+L18)</x:f>
        <x:v>2396.5045378560003</x:v>
      </x:c>
      <x:c r="M15" s="369" t="n">
        <x:f>L15*(1+M18)</x:f>
        <x:v>2348.5744470988802</x:v>
      </x:c>
    </x:row>
    <x:row r="16">
      <x:c r="A16" s="323" t="str">
        <x:v>Other Prime portfolio</x:v>
      </x:c>
      <x:c r="B16" s="368" t="n">
        <x:v>3340.5932</x:v>
      </x:c>
      <x:c r="C16" s="368" t="n">
        <x:v>4073.5631000000003</x:v>
      </x:c>
      <x:c r="D16" s="368" t="n">
        <x:v>3352.8664</x:v>
      </x:c>
      <x:c r="E16" s="369" t="n">
        <x:f>D16*(1+E19)</x:f>
        <x:v>3621.0957120000003</x:v>
      </x:c>
      <x:c r="F16" s="369" t="n">
        <x:f>E16*(1+F19)</x:f>
        <x:v>3910.7833689600006</x:v>
      </x:c>
      <x:c r="G16" s="369" t="n">
        <x:f>F16*(1+G19)</x:f>
        <x:v>4184.538204787201</x:v>
      </x:c>
      <x:c r="H16" s="369" t="n">
        <x:f>G16*(1+H19)</x:f>
        <x:v>4435.610497074433</x:v>
      </x:c>
      <x:c r="I16" s="369" t="n">
        <x:f>H16*(1+I19)</x:f>
        <x:v>4657.391021928154</x:v>
      </x:c>
      <x:c r="J16" s="369" t="n">
        <x:f>I16*(1+J19)</x:f>
        <x:v>4890.260573024562</x:v>
      </x:c>
      <x:c r="K16" s="369" t="n">
        <x:f>J16*(1+K19)</x:f>
        <x:v>5085.870995945545</x:v>
      </x:c>
      <x:c r="L16" s="369" t="n">
        <x:f>K16*(1+L19)</x:f>
        <x:v>5289.305835783366</x:v>
      </x:c>
      <x:c r="M16" s="369" t="n">
        <x:f>L16*(1+M19)</x:f>
        <x:v>5447.985010856867</x:v>
      </x:c>
    </x:row>
    <x:row r="17">
      <x:c r="A17" s="468" t="str">
        <x:v>Total Prime</x:v>
      </x:c>
      <x:c r="B17" s="362" t="n">
        <x:f>SUM(B15:B16)</x:f>
        <x:v>3740.5932</x:v>
      </x:c>
      <x:c r="C17" s="362" t="n">
        <x:f>SUM(C15:C16)</x:f>
        <x:v>4873.5631</x:v>
      </x:c>
      <x:c r="D17" s="362" t="n">
        <x:f>SUM(D15:D16)</x:f>
        <x:v>4652.8664</x:v>
      </x:c>
      <x:c r="E17" s="363" t="n">
        <x:f>SUM(E15:E16)</x:f>
        <x:v>5181.095712</x:v>
      </x:c>
      <x:c r="F17" s="363" t="n">
        <x:f>SUM(F15:F16)</x:f>
        <x:v>5704.78336896</x:v>
      </x:c>
      <x:c r="G17" s="363" t="n">
        <x:f>SUM(G15:G16)</x:f>
        <x:v>6157.9382047872</x:v>
      </x:c>
      <x:c r="H17" s="363" t="n">
        <x:f>SUM(H15:H16)</x:f>
        <x:v>6566.882497074433</x:v>
      </x:c>
      <x:c r="I17" s="363" t="n">
        <x:f>SUM(I15:I16)</x:f>
        <x:v>6916.5393419281545</x:v>
      </x:c>
      <x:c r="J17" s="363" t="n">
        <x:f>SUM(J15:J16)</x:f>
        <x:v>7239.774825824563</x:v>
      </x:c>
      <x:c r="K17" s="363" t="n">
        <x:f>SUM(K15:K16)</x:f>
        <x:v>7482.375533801545</x:v>
      </x:c>
      <x:c r="L17" s="363" t="n">
        <x:f>SUM(L15:L16)</x:f>
        <x:v>7685.810373639366</x:v>
      </x:c>
      <x:c r="M17" s="363" t="n">
        <x:f>SUM(M15:M16)</x:f>
        <x:v>7796.559457955747</x:v>
      </x:c>
    </x:row>
    <x:row r="18">
      <x:c r="A18" s="323" t="str">
        <x:v>Ezetimibe growth</x:v>
      </x:c>
      <x:c r="B18" s="370"/>
      <x:c r="C18" s="370" t="n">
        <x:f>C15/B15-1</x:f>
        <x:v>1</x:v>
      </x:c>
      <x:c r="D18" s="370" t="n">
        <x:f>D15/C15-1</x:f>
        <x:v>0.625</x:v>
      </x:c>
      <x:c r="E18" s="371" t="n">
        <x:v>0.2</x:v>
      </x:c>
      <x:c r="F18" s="371" t="n">
        <x:v>0.15</x:v>
      </x:c>
      <x:c r="G18" s="371" t="n">
        <x:v>0.1</x:v>
      </x:c>
      <x:c r="H18" s="371" t="n">
        <x:v>0.08</x:v>
      </x:c>
      <x:c r="I18" s="371" t="n">
        <x:v>0.06</x:v>
      </x:c>
      <x:c r="J18" s="371" t="n">
        <x:v>0.04</x:v>
      </x:c>
      <x:c r="K18" s="371" t="n">
        <x:v>0.02</x:v>
      </x:c>
      <x:c r="L18" s="371" t="n">
        <x:v>0</x:v>
      </x:c>
      <x:c r="M18" s="371" t="n">
        <x:v>-0.02</x:v>
      </x:c>
    </x:row>
    <x:row r="19">
      <x:c r="A19" s="323" t="str">
        <x:v>Other Prime portfolio growth</x:v>
      </x:c>
      <x:c r="B19" s="370"/>
      <x:c r="C19" s="370" t="n">
        <x:f>C16/B16-1</x:f>
        <x:v>0.21941309705114675</x:v>
      </x:c>
      <x:c r="D19" s="370" t="n">
        <x:f>D16/C16-1</x:f>
        <x:v>-0.17692047043532977</x:v>
      </x:c>
      <x:c r="E19" s="371" t="n">
        <x:v>0.08</x:v>
      </x:c>
      <x:c r="F19" s="371" t="n">
        <x:v>0.08</x:v>
      </x:c>
      <x:c r="G19" s="371" t="n">
        <x:v>0.07</x:v>
      </x:c>
      <x:c r="H19" s="371" t="n">
        <x:v>0.06</x:v>
      </x:c>
      <x:c r="I19" s="371" t="n">
        <x:v>0.05</x:v>
      </x:c>
      <x:c r="J19" s="371" t="n">
        <x:v>0.05</x:v>
      </x:c>
      <x:c r="K19" s="371" t="n">
        <x:v>0.04</x:v>
      </x:c>
      <x:c r="L19" s="371" t="n">
        <x:v>0.04</x:v>
      </x:c>
      <x:c r="M19" s="371" t="n">
        <x:v>0.03</x:v>
      </x:c>
    </x:row>
    <x:row r="20">
      <x:c r="A20" s="323"/>
      <x:c r="B20" s="303"/>
      <x:c r="C20" s="303"/>
      <x:c r="D20" s="303"/>
      <x:c r="E20" s="304"/>
      <x:c r="F20" s="304"/>
      <x:c r="G20" s="304"/>
      <x:c r="H20" s="304"/>
      <x:c r="I20" s="304"/>
      <x:c r="J20" s="304"/>
      <x:c r="K20" s="304"/>
      <x:c r="L20" s="304"/>
      <x:c r="M20" s="304"/>
    </x:row>
    <x:row r="21" ht="20" customHeight="1">
      <x:c r="A21" s="258" t="str">
        <x:v>Specialty Revenue Build</x:v>
      </x:c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</x:row>
    <x:row r="22">
      <x:c r="A22" s="323" t="str">
        <x:v>Paliperidone</x:v>
      </x:c>
      <x:c r="B22" s="360" t="n">
        <x:v>900</x:v>
      </x:c>
      <x:c r="C22" s="360" t="n">
        <x:v>650</x:v>
      </x:c>
      <x:c r="D22" s="360" t="n">
        <x:v>350</x:v>
      </x:c>
      <x:c r="E22" s="361" t="n">
        <x:f>D22*(1+E25)</x:f>
        <x:v>350</x:v>
      </x:c>
      <x:c r="F22" s="361" t="n">
        <x:f>E22*(1+F25)</x:f>
        <x:v>378</x:v>
      </x:c>
      <x:c r="G22" s="361" t="n">
        <x:f>F22*(1+G25)</x:f>
        <x:v>415.8</x:v>
      </x:c>
      <x:c r="H22" s="361" t="n">
        <x:f>G22*(1+H25)</x:f>
        <x:v>449.064</x:v>
      </x:c>
      <x:c r="I22" s="361" t="n">
        <x:f>H22*(1+I25)</x:f>
        <x:v>471.51720000000006</x:v>
      </x:c>
      <x:c r="J22" s="361" t="n">
        <x:f>I22*(1+J25)</x:f>
        <x:v>485.66271600000005</x:v>
      </x:c>
      <x:c r="K22" s="361" t="n">
        <x:f>J22*(1+K25)</x:f>
        <x:v>495.3759703200001</x:v>
      </x:c>
      <x:c r="L22" s="361" t="n">
        <x:f>K22*(1+L25)</x:f>
        <x:v>495.3759703200001</x:v>
      </x:c>
      <x:c r="M22" s="361" t="n">
        <x:f>L22*(1+M25)</x:f>
        <x:v>485.46845091360007</x:v>
      </x:c>
    </x:row>
    <x:row r="23">
      <x:c r="A23" s="323" t="str">
        <x:v>Other Specialty portfolio</x:v>
      </x:c>
      <x:c r="B23" s="360" t="n">
        <x:v>2528.8771</x:v>
      </x:c>
      <x:c r="C23" s="360" t="n">
        <x:v>2008.3071</x:v>
      </x:c>
      <x:c r="D23" s="360" t="n">
        <x:v>1875.2839</x:v>
      </x:c>
      <x:c r="E23" s="361" t="n">
        <x:f>D23*(1+E26)</x:f>
        <x:v>2100.3179680000003</x:v>
      </x:c>
      <x:c r="F23" s="361" t="n">
        <x:f>E23*(1+F26)</x:f>
        <x:v>2352.3561241600005</x:v>
      </x:c>
      <x:c r="G23" s="361" t="n">
        <x:f>F23*(1+G26)</x:f>
        <x:v>2611.1152978176005</x:v>
      </x:c>
      <x:c r="H23" s="361" t="n">
        <x:f>G23*(1+H26)</x:f>
        <x:v>2872.226827599361</x:v>
      </x:c>
      <x:c r="I23" s="361" t="n">
        <x:f>H23*(1+I26)</x:f>
        <x:v>3130.7272420833037</x:v>
      </x:c>
      <x:c r="J23" s="361" t="n">
        <x:f>I23*(1+J26)</x:f>
        <x:v>3381.185421449968</x:v>
      </x:c>
      <x:c r="K23" s="361" t="n">
        <x:f>J23*(1+K26)</x:f>
        <x:v>3617.868400951466</x:v>
      </x:c>
      <x:c r="L23" s="361" t="n">
        <x:f>K23*(1+L26)</x:f>
        <x:v>3834.940505008554</x:v>
      </x:c>
      <x:c r="M23" s="361" t="n">
        <x:f>L23*(1+M26)</x:f>
        <x:v>4026.6875302589815</x:v>
      </x:c>
    </x:row>
    <x:row r="24">
      <x:c r="A24" s="468" t="str">
        <x:v>Total Specialty</x:v>
      </x:c>
      <x:c r="B24" s="362" t="n">
        <x:f>SUM(B22:B23)</x:f>
        <x:v>3428.8771</x:v>
      </x:c>
      <x:c r="C24" s="362" t="n">
        <x:f>SUM(C22:C23)</x:f>
        <x:v>2658.3071</x:v>
      </x:c>
      <x:c r="D24" s="362" t="n">
        <x:f>SUM(D22:D23)</x:f>
        <x:v>2225.2839</x:v>
      </x:c>
      <x:c r="E24" s="363" t="n">
        <x:f>SUM(E22:E23)</x:f>
        <x:v>2450.3179680000003</x:v>
      </x:c>
      <x:c r="F24" s="363" t="n">
        <x:f>SUM(F22:F23)</x:f>
        <x:v>2730.3561241600005</x:v>
      </x:c>
      <x:c r="G24" s="363" t="n">
        <x:f>SUM(G22:G23)</x:f>
        <x:v>3026.9152978176007</x:v>
      </x:c>
      <x:c r="H24" s="363" t="n">
        <x:f>SUM(H22:H23)</x:f>
        <x:v>3321.290827599361</x:v>
      </x:c>
      <x:c r="I24" s="363" t="n">
        <x:f>SUM(I22:I23)</x:f>
        <x:v>3602.244442083304</x:v>
      </x:c>
      <x:c r="J24" s="363" t="n">
        <x:f>SUM(J22:J23)</x:f>
        <x:v>3866.848137449968</x:v>
      </x:c>
      <x:c r="K24" s="363" t="n">
        <x:f>SUM(K22:K23)</x:f>
        <x:v>4113.244371271466</x:v>
      </x:c>
      <x:c r="L24" s="363" t="n">
        <x:f>SUM(L22:L23)</x:f>
        <x:v>4330.316475328554</x:v>
      </x:c>
      <x:c r="M24" s="363" t="n">
        <x:f>SUM(M22:M23)</x:f>
        <x:v>4512.155981172582</x:v>
      </x:c>
    </x:row>
    <x:row r="25">
      <x:c r="A25" s="323" t="str">
        <x:v>Paliperidone growth</x:v>
      </x:c>
      <x:c r="B25" s="370"/>
      <x:c r="C25" s="370" t="n">
        <x:f>C22/B22-1</x:f>
        <x:v>-0.2777777777777778</x:v>
      </x:c>
      <x:c r="D25" s="370" t="n">
        <x:f>D22/C22-1</x:f>
        <x:v>-0.46153846153846156</x:v>
      </x:c>
      <x:c r="E25" s="371" t="n">
        <x:v>0</x:v>
      </x:c>
      <x:c r="F25" s="371" t="n">
        <x:v>0.08</x:v>
      </x:c>
      <x:c r="G25" s="371" t="n">
        <x:v>0.1</x:v>
      </x:c>
      <x:c r="H25" s="371" t="n">
        <x:v>0.08</x:v>
      </x:c>
      <x:c r="I25" s="371" t="n">
        <x:v>0.05</x:v>
      </x:c>
      <x:c r="J25" s="371" t="n">
        <x:v>0.03</x:v>
      </x:c>
      <x:c r="K25" s="371" t="n">
        <x:v>0.02</x:v>
      </x:c>
      <x:c r="L25" s="371" t="n">
        <x:v>0</x:v>
      </x:c>
      <x:c r="M25" s="371" t="n">
        <x:v>-0.02</x:v>
      </x:c>
    </x:row>
    <x:row r="26">
      <x:c r="A26" s="323" t="str">
        <x:v>Other Specialty portfolio growth</x:v>
      </x:c>
      <x:c r="B26" s="370"/>
      <x:c r="C26" s="370" t="n">
        <x:f>C23/B23-1</x:f>
        <x:v>-0.20585025662180267</x:v>
      </x:c>
      <x:c r="D26" s="370" t="n">
        <x:f>D23/C23-1</x:f>
        <x:v>-0.06623648345414901</x:v>
      </x:c>
      <x:c r="E26" s="371" t="n">
        <x:v>0.12</x:v>
      </x:c>
      <x:c r="F26" s="371" t="n">
        <x:v>0.12</x:v>
      </x:c>
      <x:c r="G26" s="371" t="n">
        <x:v>0.11</x:v>
      </x:c>
      <x:c r="H26" s="371" t="n">
        <x:v>0.1</x:v>
      </x:c>
      <x:c r="I26" s="371" t="n">
        <x:v>0.09</x:v>
      </x:c>
      <x:c r="J26" s="371" t="n">
        <x:v>0.08</x:v>
      </x:c>
      <x:c r="K26" s="371" t="n">
        <x:v>0.07</x:v>
      </x:c>
      <x:c r="L26" s="371" t="n">
        <x:v>0.06</x:v>
      </x:c>
      <x:c r="M26" s="371" t="n">
        <x:v>0.05</x:v>
      </x:c>
    </x:row>
    <x:row r="27">
      <x:c r="A27" s="323"/>
      <x:c r="B27" s="303"/>
      <x:c r="C27" s="303"/>
      <x:c r="D27" s="303"/>
      <x:c r="E27" s="304"/>
      <x:c r="F27" s="304"/>
      <x:c r="G27" s="304"/>
      <x:c r="H27" s="304"/>
      <x:c r="I27" s="304"/>
      <x:c r="J27" s="304"/>
      <x:c r="K27" s="304"/>
      <x:c r="L27" s="304"/>
      <x:c r="M27" s="304"/>
    </x:row>
    <x:row r="28" ht="20" customHeight="1">
      <x:c r="A28" s="258" t="str">
        <x:v>CMS Revenue Build</x:v>
      </x:c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</x:row>
    <x:row r="29">
      <x:c r="A29" s="323" t="str">
        <x:v>Bempedoic acid</x:v>
      </x:c>
      <x:c r="B29" s="360" t="n">
        <x:v>1200</x:v>
      </x:c>
      <x:c r="C29" s="360" t="n">
        <x:v>1600</x:v>
      </x:c>
      <x:c r="D29" s="360" t="n">
        <x:v>2500</x:v>
      </x:c>
      <x:c r="E29" s="361" t="n">
        <x:f>D29*(1+E33)</x:f>
        <x:v>3125</x:v>
      </x:c>
      <x:c r="F29" s="361" t="n">
        <x:f>E29*(1+F33)</x:f>
        <x:v>3750</x:v>
      </x:c>
      <x:c r="G29" s="361" t="n">
        <x:f>F29*(1+G33)</x:f>
        <x:v>4312.5</x:v>
      </x:c>
      <x:c r="H29" s="361" t="n">
        <x:f>G29*(1+H33)</x:f>
        <x:v>4830.000000000001</x:v>
      </x:c>
      <x:c r="I29" s="361" t="n">
        <x:f>H29*(1+I33)</x:f>
        <x:v>5313.000000000002</x:v>
      </x:c>
      <x:c r="J29" s="361" t="n">
        <x:f>I29*(1+J33)</x:f>
        <x:v>5738.040000000003</x:v>
      </x:c>
      <x:c r="K29" s="361" t="n">
        <x:f>J29*(1+K33)</x:f>
        <x:v>6082.322400000003</x:v>
      </x:c>
      <x:c r="L29" s="361" t="n">
        <x:f>K29*(1+L33)</x:f>
        <x:v>6386.438520000003</x:v>
      </x:c>
      <x:c r="M29" s="361" t="n">
        <x:f>L29*(1+M33)</x:f>
        <x:v>6578.031675600004</x:v>
      </x:c>
    </x:row>
    <x:row r="30">
      <x:c r="A30" s="323" t="str">
        <x:v>Xanomeline</x:v>
      </x:c>
      <x:c r="B30" s="360" t="n">
        <x:v>100</x:v>
      </x:c>
      <x:c r="C30" s="360" t="n">
        <x:v>400</x:v>
      </x:c>
      <x:c r="D30" s="360" t="n">
        <x:v>800</x:v>
      </x:c>
      <x:c r="E30" s="361" t="n">
        <x:f>D30*(1+E34)</x:f>
        <x:v>1280</x:v>
      </x:c>
      <x:c r="F30" s="361" t="n">
        <x:f>E30*(1+F34)</x:f>
        <x:v>1920</x:v>
      </x:c>
      <x:c r="G30" s="361" t="n">
        <x:f>F30*(1+G34)</x:f>
        <x:v>2592</x:v>
      </x:c>
      <x:c r="H30" s="361" t="n">
        <x:f>G30*(1+H34)</x:f>
        <x:v>3240</x:v>
      </x:c>
      <x:c r="I30" s="361" t="n">
        <x:f>H30*(1+I34)</x:f>
        <x:v>3888</x:v>
      </x:c>
      <x:c r="J30" s="361" t="n">
        <x:f>I30*(1+J34)</x:f>
        <x:v>4471.2</x:v>
      </x:c>
      <x:c r="K30" s="361" t="n">
        <x:f>J30*(1+K34)</x:f>
        <x:v>4918.320000000001</x:v>
      </x:c>
      <x:c r="L30" s="361" t="n">
        <x:f>K30*(1+L34)</x:f>
        <x:v>5164.236000000001</x:v>
      </x:c>
      <x:c r="M30" s="361" t="n">
        <x:f>L30*(1+M34)</x:f>
        <x:v>5319.163080000001</x:v>
      </x:c>
    </x:row>
    <x:row r="31">
      <x:c r="A31" s="323" t="str">
        <x:v>Other CMS portfolio</x:v>
      </x:c>
      <x:c r="B31" s="360" t="n">
        <x:v>6350</x:v>
      </x:c>
      <x:c r="C31" s="360" t="n">
        <x:v>4370</x:v>
      </x:c>
      <x:c r="D31" s="360" t="n">
        <x:v>9140</x:v>
      </x:c>
      <x:c r="E31" s="361" t="n">
        <x:f>D31*(1+E35)</x:f>
        <x:v>10236.800000000001</x:v>
      </x:c>
      <x:c r="F31" s="361" t="n">
        <x:f>E31*(1+F35)</x:f>
        <x:v>11772.32</x:v>
      </x:c>
      <x:c r="G31" s="361" t="n">
        <x:f>F31*(1+G35)</x:f>
        <x:v>13420.444800000001</x:v>
      </x:c>
      <x:c r="H31" s="361" t="n">
        <x:f>G31*(1+H35)</x:f>
        <x:v>15030.898176000002</x:v>
      </x:c>
      <x:c r="I31" s="361" t="n">
        <x:f>H31*(1+I35)</x:f>
        <x:v>16533.987993600003</x:v>
      </x:c>
      <x:c r="J31" s="361" t="n">
        <x:f>I31*(1+J35)</x:f>
        <x:v>18022.046913024005</x:v>
      </x:c>
      <x:c r="K31" s="361" t="n">
        <x:f>J31*(1+K35)</x:f>
        <x:v>19463.81066606593</x:v>
      </x:c>
      <x:c r="L31" s="361" t="n">
        <x:f>K31*(1+L35)</x:f>
        <x:v>20826.277412690546</x:v>
      </x:c>
      <x:c r="M31" s="361" t="n">
        <x:f>L31*(1+M35)</x:f>
        <x:v>22075.85405745198</x:v>
      </x:c>
    </x:row>
    <x:row r="32">
      <x:c r="A32" s="468" t="str">
        <x:v>Total CMS</x:v>
      </x:c>
      <x:c r="B32" s="362" t="n">
        <x:f>SUM(B29:B31)</x:f>
        <x:v>7650</x:v>
      </x:c>
      <x:c r="C32" s="362" t="n">
        <x:f>SUM(C29:C31)</x:f>
        <x:v>6370</x:v>
      </x:c>
      <x:c r="D32" s="362" t="n">
        <x:f>SUM(D29:D31)</x:f>
        <x:v>12440</x:v>
      </x:c>
      <x:c r="E32" s="363" t="n">
        <x:f>SUM(E29:E31)</x:f>
        <x:v>14641.800000000001</x:v>
      </x:c>
      <x:c r="F32" s="363" t="n">
        <x:f>SUM(F29:F31)</x:f>
        <x:v>17442.32</x:v>
      </x:c>
      <x:c r="G32" s="363" t="n">
        <x:f>SUM(G29:G31)</x:f>
        <x:v>20324.9448</x:v>
      </x:c>
      <x:c r="H32" s="363" t="n">
        <x:f>SUM(H29:H31)</x:f>
        <x:v>23100.898176000002</x:v>
      </x:c>
      <x:c r="I32" s="363" t="n">
        <x:f>SUM(I29:I31)</x:f>
        <x:v>25734.987993600007</x:v>
      </x:c>
      <x:c r="J32" s="363" t="n">
        <x:f>SUM(J29:J31)</x:f>
        <x:v>28231.286913024007</x:v>
      </x:c>
      <x:c r="K32" s="363" t="n">
        <x:f>SUM(K29:K31)</x:f>
        <x:v>30464.453066065933</x:v>
      </x:c>
      <x:c r="L32" s="363" t="n">
        <x:f>SUM(L29:L31)</x:f>
        <x:v>32376.95193269055</x:v>
      </x:c>
      <x:c r="M32" s="363" t="n">
        <x:f>SUM(M29:M31)</x:f>
        <x:v>33973.04881305198</x:v>
      </x:c>
    </x:row>
    <x:row r="33">
      <x:c r="A33" s="323" t="str">
        <x:v>Bempedoic acid growth</x:v>
      </x:c>
      <x:c r="B33" s="370"/>
      <x:c r="C33" s="370" t="n">
        <x:f>C29/B29-1</x:f>
        <x:v>0.33333333333333326</x:v>
      </x:c>
      <x:c r="D33" s="370" t="n">
        <x:f>D29/C29-1</x:f>
        <x:v>0.5625</x:v>
      </x:c>
      <x:c r="E33" s="371" t="n">
        <x:v>0.25</x:v>
      </x:c>
      <x:c r="F33" s="371" t="n">
        <x:v>0.2</x:v>
      </x:c>
      <x:c r="G33" s="371" t="n">
        <x:v>0.15</x:v>
      </x:c>
      <x:c r="H33" s="371" t="n">
        <x:v>0.12</x:v>
      </x:c>
      <x:c r="I33" s="371" t="n">
        <x:v>0.1</x:v>
      </x:c>
      <x:c r="J33" s="371" t="n">
        <x:v>0.08</x:v>
      </x:c>
      <x:c r="K33" s="371" t="n">
        <x:v>0.06</x:v>
      </x:c>
      <x:c r="L33" s="371" t="n">
        <x:v>0.05</x:v>
      </x:c>
      <x:c r="M33" s="371" t="n">
        <x:v>0.03</x:v>
      </x:c>
    </x:row>
    <x:row r="34">
      <x:c r="A34" s="323" t="str">
        <x:v>Xanomeline growth</x:v>
      </x:c>
      <x:c r="B34" s="370"/>
      <x:c r="C34" s="370" t="n">
        <x:f>C30/B30-1</x:f>
        <x:v>3</x:v>
      </x:c>
      <x:c r="D34" s="370" t="n">
        <x:f>D30/C30-1</x:f>
        <x:v>1</x:v>
      </x:c>
      <x:c r="E34" s="371" t="n">
        <x:v>0.6</x:v>
      </x:c>
      <x:c r="F34" s="371" t="n">
        <x:v>0.5</x:v>
      </x:c>
      <x:c r="G34" s="371" t="n">
        <x:v>0.35</x:v>
      </x:c>
      <x:c r="H34" s="371" t="n">
        <x:v>0.25</x:v>
      </x:c>
      <x:c r="I34" s="371" t="n">
        <x:v>0.2</x:v>
      </x:c>
      <x:c r="J34" s="371" t="n">
        <x:v>0.15</x:v>
      </x:c>
      <x:c r="K34" s="371" t="n">
        <x:v>0.1</x:v>
      </x:c>
      <x:c r="L34" s="371" t="n">
        <x:v>0.05</x:v>
      </x:c>
      <x:c r="M34" s="371" t="n">
        <x:v>0.03</x:v>
      </x:c>
    </x:row>
    <x:row r="35">
      <x:c r="A35" s="323" t="str">
        <x:v>Other CMS portfolio growth</x:v>
      </x:c>
      <x:c r="B35" s="370"/>
      <x:c r="C35" s="370" t="n">
        <x:f>C31/B31-1</x:f>
        <x:v>-0.31181102362204727</x:v>
      </x:c>
      <x:c r="D35" s="370" t="n">
        <x:f>D31/C31-1</x:f>
        <x:v>1.0915331807780322</x:v>
      </x:c>
      <x:c r="E35" s="371" t="n">
        <x:v>0.12</x:v>
      </x:c>
      <x:c r="F35" s="371" t="n">
        <x:v>0.15</x:v>
      </x:c>
      <x:c r="G35" s="371" t="n">
        <x:v>0.14</x:v>
      </x:c>
      <x:c r="H35" s="371" t="n">
        <x:v>0.12</x:v>
      </x:c>
      <x:c r="I35" s="371" t="n">
        <x:v>0.1</x:v>
      </x:c>
      <x:c r="J35" s="371" t="n">
        <x:v>0.09</x:v>
      </x:c>
      <x:c r="K35" s="371" t="n">
        <x:v>0.08</x:v>
      </x:c>
      <x:c r="L35" s="371" t="n">
        <x:v>0.07</x:v>
      </x:c>
      <x:c r="M35" s="371" t="n">
        <x:v>0.06</x:v>
      </x:c>
    </x:row>
    <x:row r="36">
      <x:c r="A36" s="323"/>
      <x:c r="B36" s="303"/>
      <x:c r="C36" s="303"/>
      <x:c r="D36" s="303"/>
      <x:c r="E36" s="304"/>
      <x:c r="F36" s="304"/>
      <x:c r="G36" s="304"/>
      <x:c r="H36" s="304"/>
      <x:c r="I36" s="304"/>
      <x:c r="J36" s="304"/>
      <x:c r="K36" s="304"/>
      <x:c r="L36" s="304"/>
      <x:c r="M36" s="304"/>
    </x:row>
    <x:row r="37" ht="20" customHeight="1">
      <x:c r="A37" s="258" t="str">
        <x:v>Other Revenue</x:v>
      </x:c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</x:row>
    <x:row r="38">
      <x:c r="A38" s="323" t="str">
        <x:v>Other revenue</x:v>
      </x:c>
      <x:c r="B38" s="360" t="n">
        <x:v>766.3347</x:v>
      </x:c>
      <x:c r="C38" s="360" t="n">
        <x:v>866.5028</x:v>
      </x:c>
      <x:c r="D38" s="360" t="n">
        <x:v>911.7037</x:v>
      </x:c>
      <x:c r="E38" s="361" t="n">
        <x:f>D38*(1+E39)</x:f>
        <x:v>957.288885</x:v>
      </x:c>
      <x:c r="F38" s="361" t="n">
        <x:f>E38*(1+F39)</x:f>
        <x:v>1005.1533292500001</x:v>
      </x:c>
      <x:c r="G38" s="361" t="n">
        <x:f>F38*(1+G39)</x:f>
        <x:v>1055.4109957125002</x:v>
      </x:c>
      <x:c r="H38" s="361" t="n">
        <x:f>G38*(1+H39)</x:f>
        <x:v>1097.6274355410003</x:v>
      </x:c>
      <x:c r="I38" s="361" t="n">
        <x:f>H38*(1+I39)</x:f>
        <x:v>1141.5325329626403</x:v>
      </x:c>
      <x:c r="J38" s="361" t="n">
        <x:f>I38*(1+J39)</x:f>
        <x:v>1187.1938342811459</x:v>
      </x:c>
      <x:c r="K38" s="361" t="n">
        <x:f>J38*(1+K39)</x:f>
        <x:v>1222.8096493095802</x:v>
      </x:c>
      <x:c r="L38" s="361" t="n">
        <x:f>K38*(1+L39)</x:f>
        <x:v>1259.4939387888676</x:v>
      </x:c>
      <x:c r="M38" s="361" t="n">
        <x:f>L38*(1+M39)</x:f>
        <x:v>1297.2787569525337</x:v>
      </x:c>
    </x:row>
    <x:row r="39">
      <x:c r="A39" s="323" t="str">
        <x:v>Other revenue growth</x:v>
      </x:c>
      <x:c r="B39" s="370"/>
      <x:c r="C39" s="370" t="n">
        <x:f>C38/B38-1</x:f>
        <x:v>0.13071064118589426</x:v>
      </x:c>
      <x:c r="D39" s="370" t="n">
        <x:f>D38/C38-1</x:f>
        <x:v>0.052164747765385266</x:v>
      </x:c>
      <x:c r="E39" s="371" t="n">
        <x:v>0.05</x:v>
      </x:c>
      <x:c r="F39" s="371" t="n">
        <x:v>0.05</x:v>
      </x:c>
      <x:c r="G39" s="371" t="n">
        <x:v>0.05</x:v>
      </x:c>
      <x:c r="H39" s="371" t="n">
        <x:v>0.04</x:v>
      </x:c>
      <x:c r="I39" s="371" t="n">
        <x:v>0.04</x:v>
      </x:c>
      <x:c r="J39" s="371" t="n">
        <x:v>0.04</x:v>
      </x:c>
      <x:c r="K39" s="371" t="n">
        <x:v>0.03</x:v>
      </x:c>
      <x:c r="L39" s="371" t="n">
        <x:v>0.03</x:v>
      </x:c>
      <x:c r="M39" s="371" t="n">
        <x:v>0.03</x:v>
      </x:c>
    </x:row>
    <x:row r="40">
      <x:c r="A40" s="323"/>
      <x:c r="B40" s="303"/>
      <x:c r="C40" s="303"/>
      <x:c r="D40" s="303"/>
      <x:c r="E40" s="304"/>
      <x:c r="F40" s="304"/>
      <x:c r="G40" s="304"/>
      <x:c r="H40" s="304"/>
      <x:c r="I40" s="304"/>
      <x:c r="J40" s="304"/>
      <x:c r="K40" s="304"/>
      <x:c r="L40" s="304"/>
      <x:c r="M40" s="304"/>
    </x:row>
    <x:row r="41">
      <x:c r="A41" s="323"/>
      <x:c r="B41" s="303"/>
      <x:c r="C41" s="303"/>
      <x:c r="D41" s="303"/>
      <x:c r="E41" s="304"/>
      <x:c r="F41" s="304"/>
      <x:c r="G41" s="304"/>
      <x:c r="H41" s="304"/>
      <x:c r="I41" s="304"/>
      <x:c r="J41" s="304"/>
      <x:c r="K41" s="304"/>
      <x:c r="L41" s="304"/>
      <x:c r="M41" s="304"/>
    </x:row>
    <x:row r="42" ht="20" customHeight="1">
      <x:c r="A42" s="258" t="str">
        <x:v>Selected Molecule Forecasts — Evidence and Method</x:v>
      </x:c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</x:row>
    <x:row r="43">
      <x:c r="A43" s="322" t="str">
        <x:v>Molecule</x:v>
      </x:c>
      <x:c r="B43" s="322" t="str">
        <x:v>Segment</x:v>
      </x:c>
      <x:c r="C43" s="322" t="str">
        <x:v>Innovator / brand</x:v>
      </x:c>
      <x:c r="D43" s="322" t="str">
        <x:v>Indication</x:v>
      </x:c>
      <x:c r="E43" s="322" t="str">
        <x:v>Neuland role</x:v>
      </x:c>
      <x:c r="F43" s="322" t="str">
        <x:v>Status</x:v>
      </x:c>
      <x:c r="G43" s="322" t="str">
        <x:v>Forecast method</x:v>
      </x:c>
      <x:c r="H43" s="322" t="str">
        <x:v>Principal assumption</x:v>
      </x:c>
      <x:c r="I43" s="322" t="str">
        <x:v>Confidence</x:v>
      </x:c>
      <x:c r="J43" s="322" t="str">
        <x:v>Source / note</x:v>
      </x:c>
      <x:c r="K43" s="302"/>
      <x:c r="L43" s="302"/>
      <x:c r="M43" s="302"/>
    </x:row>
    <x:row r="44">
      <x:c r="A44" s="323" t="str">
        <x:v>Ezetimibe</x:v>
      </x:c>
      <x:c r="B44" s="372" t="str">
        <x:v>Prime</x:v>
      </x:c>
      <x:c r="C44" s="372" t="str">
        <x:v>Multiple generic customers</x:v>
      </x:c>
      <x:c r="D44" s="372" t="str">
        <x:v>Hypercholesterolemia</x:v>
      </x:c>
      <x:c r="E44" s="372" t="str">
        <x:v>Commercial generic API</x:v>
      </x:c>
      <x:c r="F44" s="372" t="str">
        <x:v>Commercial</x:v>
      </x:c>
      <x:c r="G44" s="372" t="str">
        <x:v>Historical revenue growth</x:v>
      </x:c>
      <x:c r="H44" s="372" t="str">
        <x:v>Growth moderated for maturity and pricing</x:v>
      </x:c>
      <x:c r="I44" s="372" t="str">
        <x:v>High</x:v>
      </x:c>
      <x:c r="J44" s="372" t="str">
        <x:v>Company presentations / earnings calls; relationship disclosed, revenue is analyst-estimated</x:v>
      </x:c>
      <x:c r="K44" s="302"/>
      <x:c r="L44" s="302"/>
      <x:c r="M44" s="302"/>
    </x:row>
    <x:row r="45">
      <x:c r="A45" s="323" t="str">
        <x:v>Paliperidone</x:v>
      </x:c>
      <x:c r="B45" s="372" t="str">
        <x:v>Specialty</x:v>
      </x:c>
      <x:c r="C45" s="372" t="str">
        <x:v>Multiple generic customers</x:v>
      </x:c>
      <x:c r="D45" s="372" t="str">
        <x:v>Schizophrenia</x:v>
      </x:c>
      <x:c r="E45" s="372" t="str">
        <x:v>Complex commercial API</x:v>
      </x:c>
      <x:c r="F45" s="372" t="str">
        <x:v>Commercial</x:v>
      </x:c>
      <x:c r="G45" s="372" t="str">
        <x:v>Historical revenue growth</x:v>
      </x:c>
      <x:c r="H45" s="372" t="str">
        <x:v>Conservative recovery after FY26 softness</x:v>
      </x:c>
      <x:c r="I45" s="372" t="str">
        <x:v>High</x:v>
      </x:c>
      <x:c r="J45" s="372" t="str">
        <x:v>Company presentations / earnings calls; relationship disclosed, revenue is analyst-estimated</x:v>
      </x:c>
      <x:c r="K45" s="302"/>
      <x:c r="L45" s="302"/>
      <x:c r="M45" s="302"/>
    </x:row>
    <x:row r="46">
      <x:c r="A46" s="323" t="str">
        <x:v>Bempedoic acid</x:v>
      </x:c>
      <x:c r="B46" s="372" t="str">
        <x:v>CMS</x:v>
      </x:c>
      <x:c r="C46" s="372" t="str">
        <x:v>Esperion — Nexletol / Nexlizet</x:v>
      </x:c>
      <x:c r="D46" s="372" t="str">
        <x:v>Hypercholesterolemia</x:v>
      </x:c>
      <x:c r="E46" s="372" t="str">
        <x:v>Commercial API manufacturer</x:v>
      </x:c>
      <x:c r="F46" s="372" t="str">
        <x:v>Commercial</x:v>
      </x:c>
      <x:c r="G46" s="372" t="str">
        <x:v>Historical Neuland revenue growth</x:v>
      </x:c>
      <x:c r="H46" s="372" t="str">
        <x:v>Launch adoption and protected product lifecycle</x:v>
      </x:c>
      <x:c r="I46" s="372" t="str">
        <x:v>High</x:v>
      </x:c>
      <x:c r="J46" s="372" t="str">
        <x:v>Neuland-Esperion technology-transfer and commercial-supply disclosure</x:v>
      </x:c>
      <x:c r="K46" s="302"/>
      <x:c r="L46" s="302"/>
      <x:c r="M46" s="302"/>
    </x:row>
    <x:row r="47">
      <x:c r="A47" s="373" t="str">
        <x:v>Xanomeline</x:v>
      </x:c>
      <x:c r="B47" s="374" t="str">
        <x:v>CMS</x:v>
      </x:c>
      <x:c r="C47" s="374" t="str">
        <x:v>BMS — Cobenfy</x:v>
      </x:c>
      <x:c r="D47" s="374" t="str">
        <x:v>Schizophrenia</x:v>
      </x:c>
      <x:c r="E47" s="374" t="str">
        <x:v>Probable API / advanced intermediate supply</x:v>
      </x:c>
      <x:c r="F47" s="374" t="str">
        <x:v>Commercial</x:v>
      </x:c>
      <x:c r="G47" s="374" t="str">
        <x:v>Direct revenue ramp</x:v>
      </x:c>
      <x:c r="H47" s="374" t="str">
        <x:v>Conservative ramp tied to early commercial adoption</x:v>
      </x:c>
      <x:c r="I47" s="374" t="str">
        <x:v>Medium</x:v>
      </x:c>
      <x:c r="J47" s="374" t="str">
        <x:v>Channel/customs inference; company has not confirmed molecule-specific supply</x:v>
      </x:c>
      <x:c r="K47" s="302"/>
      <x:c r="L47" s="302"/>
      <x:c r="M47" s="302"/>
    </x:row>
    <x:row r="48">
      <x:c r="A48" s="323"/>
      <x:c r="B48" s="302"/>
      <x:c r="C48" s="302"/>
      <x:c r="D48" s="302"/>
      <x:c r="E48" s="302"/>
      <x:c r="F48" s="302"/>
      <x:c r="G48" s="302"/>
      <x:c r="H48" s="302"/>
      <x:c r="I48" s="302"/>
      <x:c r="J48" s="302"/>
      <x:c r="K48" s="302"/>
      <x:c r="L48" s="302"/>
      <x:c r="M48" s="302"/>
    </x:row>
    <x:row r="49">
      <x:c r="A49" s="323"/>
      <x:c r="B49" s="302"/>
      <x:c r="C49" s="302"/>
      <x:c r="D49" s="302"/>
      <x:c r="E49" s="302"/>
      <x:c r="F49" s="302"/>
      <x:c r="G49" s="302"/>
      <x:c r="H49" s="302"/>
      <x:c r="I49" s="302"/>
      <x:c r="J49" s="302"/>
      <x:c r="K49" s="302"/>
      <x:c r="L49" s="302"/>
      <x:c r="M49" s="302"/>
    </x:row>
    <x:row r="50" ht="20" customHeight="1">
      <x:c r="A50" s="258" t="str">
        <x:v>Quarterly Revenue and KPI Tracker</x:v>
      </x:c>
      <x:c r="B50" s="24"/>
      <x:c r="C50" s="24"/>
      <x:c r="D50" s="24"/>
      <x:c r="E50" s="24"/>
      <x:c r="F50" s="24"/>
      <x:c r="G50" s="24"/>
      <x:c r="H50" s="24"/>
      <x:c r="I50" s="24"/>
      <x:c r="J50" s="24"/>
      <x:c r="K50" s="302"/>
      <x:c r="L50" s="302"/>
      <x:c r="M50" s="302"/>
    </x:row>
    <x:row r="51">
      <x:c r="A51" s="448" t="str">
        <x:v>INR million, unless stated</x:v>
      </x:c>
      <x:c r="B51" s="375" t="str">
        <x:v>Q1FY25</x:v>
      </x:c>
      <x:c r="C51" s="375" t="str">
        <x:v>Q2FY25</x:v>
      </x:c>
      <x:c r="D51" s="375" t="str">
        <x:v>Q3FY25</x:v>
      </x:c>
      <x:c r="E51" s="375" t="str">
        <x:v>Q4FY25</x:v>
      </x:c>
      <x:c r="F51" s="375" t="str">
        <x:v>Q1FY26</x:v>
      </x:c>
      <x:c r="G51" s="375" t="str">
        <x:v>Q2FY26</x:v>
      </x:c>
      <x:c r="H51" s="375" t="str">
        <x:v>Q3FY26</x:v>
      </x:c>
      <x:c r="I51" s="375" t="str">
        <x:v>Q4FY26</x:v>
      </x:c>
      <x:c r="J51" s="302"/>
      <x:c r="K51" s="302"/>
      <x:c r="L51" s="302"/>
      <x:c r="M51" s="302"/>
    </x:row>
    <x:row r="52">
      <x:c r="A52" s="323" t="str">
        <x:v>Revenue from operations</x:v>
      </x:c>
      <x:c r="B52" s="376" t="n">
        <x:v>4396.017</x:v>
      </x:c>
      <x:c r="C52" s="376" t="n">
        <x:v>3108.438</x:v>
      </x:c>
      <x:c r="D52" s="376" t="n">
        <x:v>3980.318</x:v>
      </x:c>
      <x:c r="E52" s="376" t="n">
        <x:v>3283.6</x:v>
      </x:c>
      <x:c r="F52" s="376" t="n">
        <x:v>2927.527</x:v>
      </x:c>
      <x:c r="G52" s="376" t="n">
        <x:v>5142.731</x:v>
      </x:c>
      <x:c r="H52" s="376" t="n">
        <x:v>4397.093</x:v>
      </x:c>
      <x:c r="I52" s="376" t="n">
        <x:v>7762.503</x:v>
      </x:c>
      <x:c r="J52" s="302"/>
      <x:c r="K52" s="302"/>
      <x:c r="L52" s="302"/>
      <x:c r="M52" s="302"/>
    </x:row>
    <x:row r="53">
      <x:c r="A53" s="323" t="str">
        <x:v>Other income</x:v>
      </x:c>
      <x:c r="B53" s="376" t="n">
        <x:v>48.07</x:v>
      </x:c>
      <x:c r="C53" s="376" t="n">
        <x:v>43.324</x:v>
      </x:c>
      <x:c r="D53" s="376" t="n">
        <x:v>39.056</x:v>
      </x:c>
      <x:c r="E53" s="376" t="n">
        <x:v>74.643</x:v>
      </x:c>
      <x:c r="F53" s="376" t="n">
        <x:v>78.559</x:v>
      </x:c>
      <x:c r="G53" s="376" t="n">
        <x:v>17.997</x:v>
      </x:c>
      <x:c r="H53" s="376" t="n">
        <x:v>80.524</x:v>
      </x:c>
      <x:c r="I53" s="376" t="n">
        <x:v>124.582</x:v>
      </x:c>
      <x:c r="J53" s="302"/>
      <x:c r="K53" s="302"/>
      <x:c r="L53" s="302"/>
      <x:c r="M53" s="302"/>
    </x:row>
    <x:row r="54">
      <x:c r="A54" s="468" t="str">
        <x:v>Total income</x:v>
      </x:c>
      <x:c r="B54" s="377" t="n">
        <x:f>B52+B53</x:f>
        <x:v>4444.0869999999995</x:v>
      </x:c>
      <x:c r="C54" s="377" t="n">
        <x:f>C52+C53</x:f>
        <x:v>3151.762</x:v>
      </x:c>
      <x:c r="D54" s="377" t="n">
        <x:f>D52+D53</x:f>
        <x:v>4019.3740000000003</x:v>
      </x:c>
      <x:c r="E54" s="377" t="n">
        <x:f>E52+E53</x:f>
        <x:v>3358.243</x:v>
      </x:c>
      <x:c r="F54" s="377" t="n">
        <x:f>F52+F53</x:f>
        <x:v>3006.0860000000002</x:v>
      </x:c>
      <x:c r="G54" s="377" t="n">
        <x:f>G52+G53</x:f>
        <x:v>5160.728</x:v>
      </x:c>
      <x:c r="H54" s="377" t="n">
        <x:f>H52+H53</x:f>
        <x:v>4477.617</x:v>
      </x:c>
      <x:c r="I54" s="377" t="n">
        <x:f>I52+I53</x:f>
        <x:v>7887.085</x:v>
      </x:c>
      <x:c r="J54" s="302"/>
      <x:c r="K54" s="302"/>
      <x:c r="L54" s="302"/>
      <x:c r="M54" s="302"/>
    </x:row>
    <x:row r="55">
      <x:c r="A55" s="323" t="str">
        <x:v>Prime mix</x:v>
      </x:c>
      <x:c r="B55" s="378" t="n">
        <x:v>0.27</x:v>
      </x:c>
      <x:c r="C55" s="378" t="n">
        <x:v>0.36</x:v>
      </x:c>
      <x:c r="D55" s="378" t="n">
        <x:v>0.33</x:v>
      </x:c>
      <x:c r="E55" s="378" t="n">
        <x:v>0.4</x:v>
      </x:c>
      <x:c r="F55" s="378" t="n">
        <x:v>0.32</x:v>
      </x:c>
      <x:c r="G55" s="378" t="n">
        <x:v>0.26</x:v>
      </x:c>
      <x:c r="H55" s="378" t="n">
        <x:v>0.22</x:v>
      </x:c>
      <x:c r="I55" s="378" t="n">
        <x:v>0.18</x:v>
      </x:c>
      <x:c r="J55" s="302"/>
      <x:c r="K55" s="302"/>
      <x:c r="L55" s="302"/>
      <x:c r="M55" s="302"/>
    </x:row>
    <x:row r="56">
      <x:c r="A56" s="323" t="str">
        <x:v>Specialty mix</x:v>
      </x:c>
      <x:c r="B56" s="378" t="n">
        <x:v>0.14</x:v>
      </x:c>
      <x:c r="C56" s="378" t="n">
        <x:v>0.16</x:v>
      </x:c>
      <x:c r="D56" s="378" t="n">
        <x:v>0.23</x:v>
      </x:c>
      <x:c r="E56" s="378" t="n">
        <x:v>0.19</x:v>
      </x:c>
      <x:c r="F56" s="378" t="n">
        <x:v>0.16</x:v>
      </x:c>
      <x:c r="G56" s="378" t="n">
        <x:v>0.11</x:v>
      </x:c>
      <x:c r="H56" s="378" t="n">
        <x:v>0.11</x:v>
      </x:c>
      <x:c r="I56" s="378" t="n">
        <x:v>0.08</x:v>
      </x:c>
      <x:c r="J56" s="302"/>
      <x:c r="K56" s="302"/>
      <x:c r="L56" s="302"/>
      <x:c r="M56" s="302"/>
    </x:row>
    <x:row r="57">
      <x:c r="A57" s="323" t="str">
        <x:v>CMS mix</x:v>
      </x:c>
      <x:c r="B57" s="378" t="n">
        <x:v>0.53</x:v>
      </x:c>
      <x:c r="C57" s="378" t="n">
        <x:v>0.42</x:v>
      </x:c>
      <x:c r="D57" s="378" t="n">
        <x:v>0.39</x:v>
      </x:c>
      <x:c r="E57" s="378" t="n">
        <x:v>0.34</x:v>
      </x:c>
      <x:c r="F57" s="378" t="n">
        <x:v>0.44</x:v>
      </x:c>
      <x:c r="G57" s="378" t="n">
        <x:v>0.6</x:v>
      </x:c>
      <x:c r="H57" s="378" t="n">
        <x:v>0.61</x:v>
      </x:c>
      <x:c r="I57" s="378" t="n">
        <x:v>0.68</x:v>
      </x:c>
      <x:c r="J57" s="302"/>
      <x:c r="K57" s="302"/>
      <x:c r="L57" s="302"/>
      <x:c r="M57" s="302"/>
    </x:row>
    <x:row r="58">
      <x:c r="A58" s="323" t="str">
        <x:v>Others mix (residual)</x:v>
      </x:c>
      <x:c r="B58" s="379" t="n">
        <x:f>1-SUM(B55:B57)</x:f>
        <x:v>0.05999999999999994</x:v>
      </x:c>
      <x:c r="C58" s="379" t="n">
        <x:f>1-SUM(C55:C57)</x:f>
        <x:v>0.06000000000000005</x:v>
      </x:c>
      <x:c r="D58" s="379" t="n">
        <x:f>1-SUM(D55:D57)</x:f>
        <x:v>0.04999999999999993</x:v>
      </x:c>
      <x:c r="E58" s="379" t="n">
        <x:f>1-SUM(E55:E57)</x:f>
        <x:v>0.06999999999999984</x:v>
      </x:c>
      <x:c r="F58" s="379" t="n">
        <x:f>1-SUM(F55:F57)</x:f>
        <x:v>0.08000000000000007</x:v>
      </x:c>
      <x:c r="G58" s="379" t="n">
        <x:f>1-SUM(G55:G57)</x:f>
        <x:v>0.030000000000000027</x:v>
      </x:c>
      <x:c r="H58" s="379" t="n">
        <x:f>1-SUM(H55:H57)</x:f>
        <x:v>0.06000000000000005</x:v>
      </x:c>
      <x:c r="I58" s="379" t="n">
        <x:f>1-SUM(I55:I57)</x:f>
        <x:v>0.05999999999999994</x:v>
      </x:c>
      <x:c r="J58" s="302"/>
      <x:c r="K58" s="302"/>
      <x:c r="L58" s="302"/>
      <x:c r="M58" s="302"/>
    </x:row>
    <x:row r="59">
      <x:c r="A59" s="323" t="str">
        <x:v>Prime revenue (estimated)</x:v>
      </x:c>
      <x:c r="B59" s="380" t="n">
        <x:f>B52*B55</x:f>
        <x:v>1186.92459</x:v>
      </x:c>
      <x:c r="C59" s="380" t="n">
        <x:f>C52*C55</x:f>
        <x:v>1119.03768</x:v>
      </x:c>
      <x:c r="D59" s="380" t="n">
        <x:f>D52*D55</x:f>
        <x:v>1313.50494</x:v>
      </x:c>
      <x:c r="E59" s="380" t="n">
        <x:f>E52*E55</x:f>
        <x:v>1313.44</x:v>
      </x:c>
      <x:c r="F59" s="380" t="n">
        <x:f>F52*F55</x:f>
        <x:v>936.8086400000001</x:v>
      </x:c>
      <x:c r="G59" s="380" t="n">
        <x:f>G52*G55</x:f>
        <x:v>1337.11006</x:v>
      </x:c>
      <x:c r="H59" s="380" t="n">
        <x:f>H52*H55</x:f>
        <x:v>967.36046</x:v>
      </x:c>
      <x:c r="I59" s="380" t="n">
        <x:f>I52*I55</x:f>
        <x:v>1397.25054</x:v>
      </x:c>
      <x:c r="J59" s="302"/>
      <x:c r="K59" s="302"/>
      <x:c r="L59" s="302"/>
      <x:c r="M59" s="302"/>
    </x:row>
    <x:row r="60">
      <x:c r="A60" s="323" t="str">
        <x:v>Specialty revenue (estimated)</x:v>
      </x:c>
      <x:c r="B60" s="380" t="n">
        <x:f>B52*B56</x:f>
        <x:v>615.4423800000001</x:v>
      </x:c>
      <x:c r="C60" s="380" t="n">
        <x:f>C52*C56</x:f>
        <x:v>497.35008000000005</x:v>
      </x:c>
      <x:c r="D60" s="380" t="n">
        <x:f>D52*D56</x:f>
        <x:v>915.4731400000001</x:v>
      </x:c>
      <x:c r="E60" s="380" t="n">
        <x:f>E52*E56</x:f>
        <x:v>623.884</x:v>
      </x:c>
      <x:c r="F60" s="380" t="n">
        <x:f>F52*F56</x:f>
        <x:v>468.40432000000004</x:v>
      </x:c>
      <x:c r="G60" s="380" t="n">
        <x:f>G52*G56</x:f>
        <x:v>565.70041</x:v>
      </x:c>
      <x:c r="H60" s="380" t="n">
        <x:f>H52*H56</x:f>
        <x:v>483.68023</x:v>
      </x:c>
      <x:c r="I60" s="380" t="n">
        <x:f>I52*I56</x:f>
        <x:v>621.00024</x:v>
      </x:c>
      <x:c r="J60" s="302"/>
      <x:c r="K60" s="302"/>
      <x:c r="L60" s="302"/>
      <x:c r="M60" s="302"/>
    </x:row>
    <x:row r="61">
      <x:c r="A61" s="323" t="str">
        <x:v>CMS revenue (estimated)</x:v>
      </x:c>
      <x:c r="B61" s="380" t="n">
        <x:f>B52*B57</x:f>
        <x:v>2329.88901</x:v>
      </x:c>
      <x:c r="C61" s="380" t="n">
        <x:f>C52*C57</x:f>
        <x:v>1305.54396</x:v>
      </x:c>
      <x:c r="D61" s="380" t="n">
        <x:f>D52*D57</x:f>
        <x:v>1552.3240200000002</x:v>
      </x:c>
      <x:c r="E61" s="380" t="n">
        <x:f>E52*E57</x:f>
        <x:v>1116.424</x:v>
      </x:c>
      <x:c r="F61" s="380" t="n">
        <x:f>F52*F57</x:f>
        <x:v>1288.11188</x:v>
      </x:c>
      <x:c r="G61" s="380" t="n">
        <x:f>G52*G57</x:f>
        <x:v>3085.6385999999998</x:v>
      </x:c>
      <x:c r="H61" s="380" t="n">
        <x:f>H52*H57</x:f>
        <x:v>2682.22673</x:v>
      </x:c>
      <x:c r="I61" s="380" t="n">
        <x:f>I52*I57</x:f>
        <x:v>5278.50204</x:v>
      </x:c>
      <x:c r="J61" s="302"/>
      <x:c r="K61" s="302"/>
      <x:c r="L61" s="302"/>
      <x:c r="M61" s="302"/>
    </x:row>
    <x:row r="62">
      <x:c r="A62" s="323" t="str">
        <x:v>Others revenue (residual)</x:v>
      </x:c>
      <x:c r="B62" s="380" t="n">
        <x:f>B52-SUM(B59:B61)</x:f>
        <x:v>263.7610199999999</x:v>
      </x:c>
      <x:c r="C62" s="380" t="n">
        <x:f>C52-SUM(C59:C61)</x:f>
        <x:v>186.50628000000006</x:v>
      </x:c>
      <x:c r="D62" s="380" t="n">
        <x:f>D52-SUM(D59:D61)</x:f>
        <x:v>199.01590000000033</x:v>
      </x:c>
      <x:c r="E62" s="380" t="n">
        <x:f>E52-SUM(E59:E61)</x:f>
        <x:v>229.85199999999986</x:v>
      </x:c>
      <x:c r="F62" s="380" t="n">
        <x:f>F52-SUM(F59:F61)</x:f>
        <x:v>234.20215999999982</x:v>
      </x:c>
      <x:c r="G62" s="380" t="n">
        <x:f>G52-SUM(G59:G61)</x:f>
        <x:v>154.2819300000001</x:v>
      </x:c>
      <x:c r="H62" s="380" t="n">
        <x:f>H52-SUM(H59:H61)</x:f>
        <x:v>263.8255799999997</x:v>
      </x:c>
      <x:c r="I62" s="380" t="n">
        <x:f>I52-SUM(I59:I61)</x:f>
        <x:v>465.75018</x:v>
      </x:c>
      <x:c r="J62" s="302"/>
      <x:c r="K62" s="302"/>
      <x:c r="L62" s="302"/>
      <x:c r="M62" s="302"/>
    </x:row>
    <x:row r="63">
      <x:c r="A63" s="468" t="str">
        <x:v>Segment reconciliation</x:v>
      </x:c>
      <x:c r="B63" s="377" t="n">
        <x:f>SUM(B59:B62)-B52</x:f>
        <x:v>0</x:v>
      </x:c>
      <x:c r="C63" s="377" t="n">
        <x:f>SUM(C59:C62)-C52</x:f>
        <x:v>0</x:v>
      </x:c>
      <x:c r="D63" s="377" t="n">
        <x:f>SUM(D59:D62)-D52</x:f>
        <x:v>0</x:v>
      </x:c>
      <x:c r="E63" s="377" t="n">
        <x:f>SUM(E59:E62)-E52</x:f>
        <x:v>0</x:v>
      </x:c>
      <x:c r="F63" s="377" t="n">
        <x:f>SUM(F59:F62)-F52</x:f>
        <x:v>0</x:v>
      </x:c>
      <x:c r="G63" s="377" t="n">
        <x:f>SUM(G59:G62)-G52</x:f>
        <x:v>0</x:v>
      </x:c>
      <x:c r="H63" s="377" t="n">
        <x:f>SUM(H59:H62)-H52</x:f>
        <x:v>0</x:v>
      </x:c>
      <x:c r="I63" s="377" t="n">
        <x:f>SUM(I59:I62)-I52</x:f>
        <x:v>0</x:v>
      </x:c>
      <x:c r="J63" s="302"/>
      <x:c r="K63" s="302"/>
      <x:c r="L63" s="302"/>
      <x:c r="M63" s="302"/>
    </x:row>
    <x:row r="64">
      <x:c r="A64" s="323" t="str">
        <x:v>YoY revenue growth</x:v>
      </x:c>
      <x:c r="B64" s="380"/>
      <x:c r="C64" s="380"/>
      <x:c r="D64" s="380"/>
      <x:c r="E64" s="380"/>
      <x:c r="F64" s="380" t="n">
        <x:f>F52/B52-1</x:f>
        <x:v>-0.33405011855049693</x:v>
      </x:c>
      <x:c r="G64" s="380" t="n">
        <x:f>G52/C52-1</x:f>
        <x:v>0.6544421989436493</x:v>
      </x:c>
      <x:c r="H64" s="380" t="n">
        <x:f>H52/D52-1</x:f>
        <x:v>0.10470897048929251</x:v>
      </x:c>
      <x:c r="I64" s="380" t="n">
        <x:f>I52/E52-1</x:f>
        <x:v>1.3640221098794005</x:v>
      </x:c>
      <x:c r="J64" s="302"/>
      <x:c r="K64" s="302"/>
      <x:c r="L64" s="302"/>
      <x:c r="M64" s="302"/>
    </x:row>
    <x:row r="65">
      <x:c r="A65" s="323" t="str">
        <x:v>EBITDA</x:v>
      </x:c>
      <x:c r="B65" s="376" t="n">
        <x:v>1286</x:v>
      </x:c>
      <x:c r="C65" s="376" t="n">
        <x:v>657</x:v>
      </x:c>
      <x:c r="D65" s="376" t="n">
        <x:v>903</x:v>
      </x:c>
      <x:c r="E65" s="376" t="n">
        <x:v>582</x:v>
      </x:c>
      <x:c r="F65" s="376" t="n">
        <x:v>421</x:v>
      </x:c>
      <x:c r="G65" s="376" t="n">
        <x:v>1569</x:v>
      </x:c>
      <x:c r="H65" s="376" t="n">
        <x:v>850</x:v>
      </x:c>
      <x:c r="I65" s="376" t="n">
        <x:v>3194</x:v>
      </x:c>
      <x:c r="J65" s="302"/>
      <x:c r="K65" s="302"/>
      <x:c r="L65" s="302"/>
      <x:c r="M65" s="302"/>
    </x:row>
    <x:row r="66">
      <x:c r="A66" s="323" t="str">
        <x:v>EBITDA margin</x:v>
      </x:c>
      <x:c r="B66" s="379" t="n">
        <x:f>B65/B54</x:f>
        <x:v>0.28937327284546865</x:v>
      </x:c>
      <x:c r="C66" s="379" t="n">
        <x:f>C65/C54</x:f>
        <x:v>0.2084548262210154</x:v>
      </x:c>
      <x:c r="D66" s="379" t="n">
        <x:f>D65/D54</x:f>
        <x:v>0.22466185032793662</x:v>
      </x:c>
      <x:c r="E66" s="379" t="n">
        <x:f>E65/E54</x:f>
        <x:v>0.17330490974000393</x:v>
      </x:c>
      <x:c r="F66" s="379" t="n">
        <x:f>F65/F54</x:f>
        <x:v>0.14004922014872495</x:v>
      </x:c>
      <x:c r="G66" s="379" t="n">
        <x:f>G65/G54</x:f>
        <x:v>0.30402687372789267</x:v>
      </x:c>
      <x:c r="H66" s="379" t="n">
        <x:f>H65/H54</x:f>
        <x:v>0.18983311882190906</x:v>
      </x:c>
      <x:c r="I66" s="379" t="n">
        <x:f>I65/I54</x:f>
        <x:v>0.4049658397240552</x:v>
      </x:c>
      <x:c r="J66" s="302"/>
      <x:c r="K66" s="302"/>
      <x:c r="L66" s="302"/>
      <x:c r="M66" s="302"/>
    </x:row>
    <x:row r="67">
      <x:c r="A67" s="323" t="str">
        <x:v>PAT</x:v>
      </x:c>
      <x:c r="B67" s="376" t="n">
        <x:v>983</x:v>
      </x:c>
      <x:c r="C67" s="376" t="n">
        <x:v>320</x:v>
      </x:c>
      <x:c r="D67" s="376" t="n">
        <x:v>1014</x:v>
      </x:c>
      <x:c r="E67" s="376" t="n">
        <x:v>277</x:v>
      </x:c>
      <x:c r="F67" s="376" t="n">
        <x:v>137</x:v>
      </x:c>
      <x:c r="G67" s="376" t="n">
        <x:v>965</x:v>
      </x:c>
      <x:c r="H67" s="376" t="n">
        <x:v>404</x:v>
      </x:c>
      <x:c r="I67" s="376" t="n">
        <x:v>2125</x:v>
      </x:c>
      <x:c r="J67" s="302"/>
      <x:c r="K67" s="302"/>
      <x:c r="L67" s="302"/>
      <x:c r="M67" s="302"/>
    </x:row>
    <x:row r="68">
      <x:c r="A68" s="323" t="str">
        <x:v>Working-capital days</x:v>
      </x:c>
      <x:c r="B68" s="376" t="n">
        <x:v>107</x:v>
      </x:c>
      <x:c r="C68" s="376" t="n">
        <x:v>112</x:v>
      </x:c>
      <x:c r="D68" s="376" t="n">
        <x:v>111</x:v>
      </x:c>
      <x:c r="E68" s="376" t="n">
        <x:v>107</x:v>
      </x:c>
      <x:c r="F68" s="376" t="n">
        <x:v>145</x:v>
      </x:c>
      <x:c r="G68" s="376" t="n">
        <x:v>155</x:v>
      </x:c>
      <x:c r="H68" s="376" t="n">
        <x:v>145</x:v>
      </x:c>
      <x:c r="I68" s="376" t="n">
        <x:v>137</x:v>
      </x:c>
      <x:c r="J68" s="302"/>
      <x:c r="K68" s="302"/>
      <x:c r="L68" s="302"/>
      <x:c r="M68" s="302"/>
    </x:row>
    <x:row r="69">
      <x:c r="A69" s="323" t="str">
        <x:v>YTD capex</x:v>
      </x:c>
      <x:c r="B69" s="376" t="n">
        <x:v>591</x:v>
      </x:c>
      <x:c r="C69" s="376" t="n">
        <x:v>1035</x:v>
      </x:c>
      <x:c r="D69" s="376" t="n">
        <x:v>1470</x:v>
      </x:c>
      <x:c r="E69" s="376" t="n">
        <x:v>2064</x:v>
      </x:c>
      <x:c r="F69" s="376"/>
      <x:c r="G69" s="376" t="n">
        <x:v>1700</x:v>
      </x:c>
      <x:c r="H69" s="376" t="n">
        <x:v>2540</x:v>
      </x:c>
      <x:c r="I69" s="376" t="n">
        <x:v>3971</x:v>
      </x:c>
      <x:c r="J69" s="302"/>
      <x:c r="K69" s="302"/>
      <x:c r="L69" s="302"/>
      <x:c r="M69" s="302"/>
    </x:row>
    <x:row r="70">
      <x:c r="A70" s="323" t="str">
        <x:v>YTD revenue</x:v>
      </x:c>
      <x:c r="B70" s="376" t="n">
        <x:v>4396.017</x:v>
      </x:c>
      <x:c r="C70" s="376" t="n">
        <x:v>7504.455</x:v>
      </x:c>
      <x:c r="D70" s="376" t="n">
        <x:v>11484.773</x:v>
      </x:c>
      <x:c r="E70" s="376" t="n">
        <x:v>14768.373</x:v>
      </x:c>
      <x:c r="F70" s="376" t="n">
        <x:v>2927.527</x:v>
      </x:c>
      <x:c r="G70" s="376" t="n">
        <x:v>8070.258</x:v>
      </x:c>
      <x:c r="H70" s="376" t="n">
        <x:v>12467.351</x:v>
      </x:c>
      <x:c r="I70" s="376" t="n">
        <x:v>20229.854</x:v>
      </x:c>
      <x:c r="J70" s="302"/>
      <x:c r="K70" s="302"/>
      <x:c r="L70" s="302"/>
      <x:c r="M70" s="302"/>
    </x:row>
    <x:row r="71">
      <x:c r="A71" s="323" t="str">
        <x:v>Full-year actual / forecast</x:v>
      </x:c>
      <x:c r="B71" s="376" t="n">
        <x:v>14768.373</x:v>
      </x:c>
      <x:c r="C71" s="376" t="n">
        <x:v>14768.373</x:v>
      </x:c>
      <x:c r="D71" s="376" t="n">
        <x:v>14768.373</x:v>
      </x:c>
      <x:c r="E71" s="376" t="n">
        <x:v>14768.373</x:v>
      </x:c>
      <x:c r="F71" s="376" t="n">
        <x:v>20229.854</x:v>
      </x:c>
      <x:c r="G71" s="376" t="n">
        <x:v>20229.854</x:v>
      </x:c>
      <x:c r="H71" s="376" t="n">
        <x:v>20229.854</x:v>
      </x:c>
      <x:c r="I71" s="376" t="n">
        <x:v>20229.854</x:v>
      </x:c>
      <x:c r="J71" s="302"/>
      <x:c r="K71" s="302"/>
      <x:c r="L71" s="302"/>
      <x:c r="M71" s="302"/>
    </x:row>
    <x:row r="72">
      <x:c r="A72" s="323" t="str">
        <x:v>Revenue required in remaining quarters</x:v>
      </x:c>
      <x:c r="B72" s="380" t="n">
        <x:f>MAX(0,B71-B70)</x:f>
        <x:v>10372.356</x:v>
      </x:c>
      <x:c r="C72" s="380" t="n">
        <x:f>MAX(0,C71-C70)</x:f>
        <x:v>7263.918</x:v>
      </x:c>
      <x:c r="D72" s="380" t="n">
        <x:f>MAX(0,D71-D70)</x:f>
        <x:v>3283.6000000000004</x:v>
      </x:c>
      <x:c r="E72" s="380" t="n">
        <x:f>MAX(0,E71-E70)</x:f>
        <x:v>0</x:v>
      </x:c>
      <x:c r="F72" s="380" t="n">
        <x:f>MAX(0,F71-F70)</x:f>
        <x:v>17302.326999999997</x:v>
      </x:c>
      <x:c r="G72" s="380" t="n">
        <x:f>MAX(0,G71-G70)</x:f>
        <x:v>12159.596</x:v>
      </x:c>
      <x:c r="H72" s="380" t="n">
        <x:f>MAX(0,H71-H70)</x:f>
        <x:v>7762.502999999999</x:v>
      </x:c>
      <x:c r="I72" s="380" t="n">
        <x:f>MAX(0,I71-I70)</x:f>
        <x:v>0</x:v>
      </x:c>
      <x:c r="J72" s="302"/>
      <x:c r="K72" s="302"/>
      <x:c r="L72" s="302"/>
      <x:c r="M72" s="302"/>
    </x:row>
    <x:row r="73">
      <x:c r="A73" s="323"/>
      <x:c r="B73" s="302"/>
      <x:c r="C73" s="302"/>
      <x:c r="D73" s="302"/>
      <x:c r="E73" s="302"/>
      <x:c r="F73" s="302"/>
      <x:c r="G73" s="302"/>
      <x:c r="H73" s="302"/>
      <x:c r="I73" s="302"/>
      <x:c r="J73" s="302"/>
      <x:c r="K73" s="302"/>
      <x:c r="L73" s="302"/>
      <x:c r="M73" s="302"/>
    </x:row>
    <x:row r="74">
      <x:c r="A74" s="323"/>
      <x:c r="B74" s="302"/>
      <x:c r="C74" s="302"/>
      <x:c r="D74" s="302"/>
      <x:c r="E74" s="302"/>
      <x:c r="F74" s="302"/>
      <x:c r="G74" s="302"/>
      <x:c r="H74" s="302"/>
      <x:c r="I74" s="302"/>
      <x:c r="J74" s="302"/>
      <x:c r="K74" s="302"/>
      <x:c r="L74" s="302"/>
      <x:c r="M74" s="302"/>
    </x:row>
    <x:row r="75" ht="20" customHeight="1">
      <x:c r="A75" s="258" t="str">
        <x:v>Annual Revenue Reconciliation Checks</x:v>
      </x:c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</x:row>
    <x:row r="76">
      <x:c r="A76" s="323" t="str">
        <x:v>Prime: named molecules + residual − segment</x:v>
      </x:c>
      <x:c r="B76" s="381" t="n">
        <x:f>B15+B16-B7</x:f>
        <x:v>0</x:v>
      </x:c>
      <x:c r="C76" s="381" t="n">
        <x:f>C15+C16-C7</x:f>
        <x:v>0</x:v>
      </x:c>
      <x:c r="D76" s="381" t="n">
        <x:f>D15+D16-D7</x:f>
        <x:v>0</x:v>
      </x:c>
      <x:c r="E76" s="381" t="n">
        <x:f>E15+E16-E7</x:f>
        <x:v>0</x:v>
      </x:c>
      <x:c r="F76" s="381" t="n">
        <x:f>F15+F16-F7</x:f>
        <x:v>0</x:v>
      </x:c>
      <x:c r="G76" s="381" t="n">
        <x:f>G15+G16-G7</x:f>
        <x:v>0</x:v>
      </x:c>
      <x:c r="H76" s="381" t="n">
        <x:f>H15+H16-H7</x:f>
        <x:v>0</x:v>
      </x:c>
      <x:c r="I76" s="381" t="n">
        <x:f>I15+I16-I7</x:f>
        <x:v>0</x:v>
      </x:c>
      <x:c r="J76" s="381" t="n">
        <x:f>J15+J16-J7</x:f>
        <x:v>0</x:v>
      </x:c>
      <x:c r="K76" s="381" t="n">
        <x:f>K15+K16-K7</x:f>
        <x:v>0</x:v>
      </x:c>
      <x:c r="L76" s="381" t="n">
        <x:f>L15+L16-L7</x:f>
        <x:v>0</x:v>
      </x:c>
      <x:c r="M76" s="381" t="n">
        <x:f>M15+M16-M7</x:f>
        <x:v>0</x:v>
      </x:c>
    </x:row>
    <x:row r="77">
      <x:c r="A77" s="323" t="str">
        <x:v>Specialty: named molecules + residual − segment</x:v>
      </x:c>
      <x:c r="B77" s="381" t="n">
        <x:f>B22+B23-B8</x:f>
        <x:v>0</x:v>
      </x:c>
      <x:c r="C77" s="381" t="n">
        <x:f>C22+C23-C8</x:f>
        <x:v>0</x:v>
      </x:c>
      <x:c r="D77" s="381" t="n">
        <x:f>D22+D23-D8</x:f>
        <x:v>0</x:v>
      </x:c>
      <x:c r="E77" s="381" t="n">
        <x:f>E22+E23-E8</x:f>
        <x:v>0</x:v>
      </x:c>
      <x:c r="F77" s="381" t="n">
        <x:f>F22+F23-F8</x:f>
        <x:v>0</x:v>
      </x:c>
      <x:c r="G77" s="381" t="n">
        <x:f>G22+G23-G8</x:f>
        <x:v>0</x:v>
      </x:c>
      <x:c r="H77" s="381" t="n">
        <x:f>H22+H23-H8</x:f>
        <x:v>0</x:v>
      </x:c>
      <x:c r="I77" s="381" t="n">
        <x:f>I22+I23-I8</x:f>
        <x:v>0</x:v>
      </x:c>
      <x:c r="J77" s="381" t="n">
        <x:f>J22+J23-J8</x:f>
        <x:v>0</x:v>
      </x:c>
      <x:c r="K77" s="381" t="n">
        <x:f>K22+K23-K8</x:f>
        <x:v>0</x:v>
      </x:c>
      <x:c r="L77" s="381" t="n">
        <x:f>L22+L23-L8</x:f>
        <x:v>0</x:v>
      </x:c>
      <x:c r="M77" s="381" t="n">
        <x:f>M22+M23-M8</x:f>
        <x:v>0</x:v>
      </x:c>
    </x:row>
    <x:row r="78">
      <x:c r="A78" s="323" t="str">
        <x:v>CMS: named molecules + residual − segment</x:v>
      </x:c>
      <x:c r="B78" s="381" t="n">
        <x:f>B29+B30+B31-B9</x:f>
        <x:v>0</x:v>
      </x:c>
      <x:c r="C78" s="381" t="n">
        <x:f>C29+C30+C31-C9</x:f>
        <x:v>0</x:v>
      </x:c>
      <x:c r="D78" s="381" t="n">
        <x:f>D29+D30+D31-D9</x:f>
        <x:v>0</x:v>
      </x:c>
      <x:c r="E78" s="381" t="n">
        <x:f>E29+E30+E31-E9</x:f>
        <x:v>0</x:v>
      </x:c>
      <x:c r="F78" s="381" t="n">
        <x:f>F29+F30+F31-F9</x:f>
        <x:v>0</x:v>
      </x:c>
      <x:c r="G78" s="381" t="n">
        <x:f>G29+G30+G31-G9</x:f>
        <x:v>0</x:v>
      </x:c>
      <x:c r="H78" s="381" t="n">
        <x:f>H29+H30+H31-H9</x:f>
        <x:v>0</x:v>
      </x:c>
      <x:c r="I78" s="381" t="n">
        <x:f>I29+I30+I31-I9</x:f>
        <x:v>0</x:v>
      </x:c>
      <x:c r="J78" s="381" t="n">
        <x:f>J29+J30+J31-J9</x:f>
        <x:v>0</x:v>
      </x:c>
      <x:c r="K78" s="381" t="n">
        <x:f>K29+K30+K31-K9</x:f>
        <x:v>0</x:v>
      </x:c>
      <x:c r="L78" s="381" t="n">
        <x:f>L29+L30+L31-L9</x:f>
        <x:v>0</x:v>
      </x:c>
      <x:c r="M78" s="381" t="n">
        <x:f>M29+M30+M31-M9</x:f>
        <x:v>0</x:v>
      </x:c>
    </x:row>
    <x:row r="79">
      <x:c r="A79" s="323" t="str">
        <x:v>Segments − revenue from operations</x:v>
      </x:c>
      <x:c r="B79" s="381" t="n">
        <x:f>SUM(B7:B10)-B11</x:f>
        <x:v>0</x:v>
      </x:c>
      <x:c r="C79" s="381" t="n">
        <x:f>SUM(C7:C10)-C11</x:f>
        <x:v>0</x:v>
      </x:c>
      <x:c r="D79" s="381" t="n">
        <x:f>SUM(D7:D10)-D11</x:f>
        <x:v>0</x:v>
      </x:c>
      <x:c r="E79" s="381" t="n">
        <x:f>SUM(E7:E10)-E11</x:f>
        <x:v>0</x:v>
      </x:c>
      <x:c r="F79" s="381" t="n">
        <x:f>SUM(F7:F10)-F11</x:f>
        <x:v>0</x:v>
      </x:c>
      <x:c r="G79" s="381" t="n">
        <x:f>SUM(G7:G10)-G11</x:f>
        <x:v>0</x:v>
      </x:c>
      <x:c r="H79" s="381" t="n">
        <x:f>SUM(H7:H10)-H11</x:f>
        <x:v>0</x:v>
      </x:c>
      <x:c r="I79" s="381" t="n">
        <x:f>SUM(I7:I10)-I11</x:f>
        <x:v>0</x:v>
      </x:c>
      <x:c r="J79" s="381" t="n">
        <x:f>SUM(J7:J10)-J11</x:f>
        <x:v>0</x:v>
      </x:c>
      <x:c r="K79" s="381" t="n">
        <x:f>SUM(K7:K10)-K11</x:f>
        <x:v>0</x:v>
      </x:c>
      <x:c r="L79" s="381" t="n">
        <x:f>SUM(L7:L10)-L11</x:f>
        <x:v>0</x:v>
      </x:c>
      <x:c r="M79" s="381" t="n">
        <x:f>SUM(M7:M10)-M11</x:f>
        <x:v>0</x:v>
      </x:c>
    </x:row>
    <x:row r="80">
      <x:c r="A80" s="323" t="str">
        <x:v>No molecule double-counting check</x:v>
      </x:c>
      <x:c r="B80" s="381" t="n">
        <x:f>SUM(B76:B79)</x:f>
        <x:v>0</x:v>
      </x:c>
      <x:c r="C80" s="381" t="n">
        <x:f>SUM(C76:C79)</x:f>
        <x:v>0</x:v>
      </x:c>
      <x:c r="D80" s="381" t="n">
        <x:f>SUM(D76:D79)</x:f>
        <x:v>0</x:v>
      </x:c>
      <x:c r="E80" s="381" t="n">
        <x:f>SUM(E76:E79)</x:f>
        <x:v>0</x:v>
      </x:c>
      <x:c r="F80" s="381" t="n">
        <x:f>SUM(F76:F79)</x:f>
        <x:v>0</x:v>
      </x:c>
      <x:c r="G80" s="381" t="n">
        <x:f>SUM(G76:G79)</x:f>
        <x:v>0</x:v>
      </x:c>
      <x:c r="H80" s="381" t="n">
        <x:f>SUM(H76:H79)</x:f>
        <x:v>0</x:v>
      </x:c>
      <x:c r="I80" s="381" t="n">
        <x:f>SUM(I76:I79)</x:f>
        <x:v>0</x:v>
      </x:c>
      <x:c r="J80" s="381" t="n">
        <x:f>SUM(J76:J79)</x:f>
        <x:v>0</x:v>
      </x:c>
      <x:c r="K80" s="381" t="n">
        <x:f>SUM(K76:K79)</x:f>
        <x:v>0</x:v>
      </x:c>
      <x:c r="L80" s="381" t="n">
        <x:f>SUM(L76:L79)</x:f>
        <x:v>0</x:v>
      </x:c>
      <x:c r="M80" s="381" t="n">
        <x:f>SUM(M76:M79)</x:f>
        <x:v>0</x:v>
      </x:c>
    </x:row>
    <x:row r="81">
      <x:c r="A81" s="323"/>
      <x:c r="B81" s="302"/>
      <x:c r="C81" s="302"/>
      <x:c r="D81" s="302"/>
      <x:c r="E81" s="302"/>
      <x:c r="F81" s="302"/>
      <x:c r="G81" s="302"/>
      <x:c r="H81" s="302"/>
      <x:c r="I81" s="302"/>
      <x:c r="J81" s="302"/>
      <x:c r="K81" s="302"/>
      <x:c r="L81" s="302"/>
      <x:c r="M81" s="302"/>
    </x:row>
    <x:row r="82">
      <x:c r="A82" s="323"/>
      <x:c r="B82" s="302"/>
      <x:c r="C82" s="302"/>
      <x:c r="D82" s="302"/>
      <x:c r="E82" s="302"/>
      <x:c r="F82" s="302"/>
      <x:c r="G82" s="302"/>
      <x:c r="H82" s="302"/>
      <x:c r="I82" s="302"/>
      <x:c r="J82" s="302"/>
      <x:c r="K82" s="302"/>
      <x:c r="L82" s="302"/>
      <x:c r="M82" s="302"/>
    </x:row>
    <x:row r="83">
      <x:c r="A83" s="323"/>
      <x:c r="B83" s="302"/>
      <x:c r="C83" s="302"/>
      <x:c r="D83" s="302"/>
      <x:c r="E83" s="302"/>
      <x:c r="F83" s="302"/>
      <x:c r="G83" s="302"/>
      <x:c r="H83" s="302"/>
      <x:c r="I83" s="302"/>
      <x:c r="J83" s="302"/>
      <x:c r="K83" s="302"/>
      <x:c r="L83" s="302"/>
      <x:c r="M83" s="302"/>
    </x:row>
    <x:row r="84">
      <x:c r="A84" s="323"/>
      <x:c r="B84" s="302"/>
      <x:c r="C84" s="302"/>
      <x:c r="D84" s="302"/>
      <x:c r="E84" s="302"/>
      <x:c r="F84" s="302"/>
      <x:c r="G84" s="302"/>
      <x:c r="H84" s="302"/>
      <x:c r="I84" s="302"/>
      <x:c r="J84" s="302"/>
      <x:c r="K84" s="302"/>
      <x:c r="L84" s="302"/>
      <x:c r="M84" s="302"/>
    </x:row>
    <x:row r="85">
      <x:c r="A85" s="323"/>
      <x:c r="B85" s="302"/>
      <x:c r="C85" s="302"/>
      <x:c r="D85" s="302"/>
      <x:c r="E85" s="302"/>
      <x:c r="F85" s="302"/>
      <x:c r="G85" s="302"/>
      <x:c r="H85" s="302"/>
      <x:c r="I85" s="302"/>
      <x:c r="J85" s="302"/>
      <x:c r="K85" s="302"/>
      <x:c r="L85" s="302"/>
      <x:c r="M85" s="302"/>
    </x:row>
    <x:row r="86">
      <x:c r="A86" s="323"/>
      <x:c r="B86" s="302"/>
      <x:c r="C86" s="302"/>
      <x:c r="D86" s="302"/>
      <x:c r="E86" s="302"/>
      <x:c r="F86" s="302"/>
      <x:c r="G86" s="302"/>
      <x:c r="H86" s="302"/>
      <x:c r="I86" s="302"/>
      <x:c r="J86" s="302"/>
      <x:c r="K86" s="302"/>
      <x:c r="L86" s="302"/>
      <x:c r="M86" s="302"/>
    </x:row>
    <x:row r="87">
      <x:c r="A87" s="323"/>
      <x:c r="B87" s="302"/>
      <x:c r="C87" s="302"/>
      <x:c r="D87" s="302"/>
      <x:c r="E87" s="302"/>
      <x:c r="F87" s="302"/>
      <x:c r="G87" s="302"/>
      <x:c r="H87" s="302"/>
      <x:c r="I87" s="302"/>
      <x:c r="J87" s="302"/>
      <x:c r="K87" s="302"/>
      <x:c r="L87" s="302"/>
      <x:c r="M87" s="302"/>
    </x:row>
    <x:row r="88">
      <x:c r="A88" s="323"/>
      <x:c r="B88" s="302"/>
      <x:c r="C88" s="302"/>
      <x:c r="D88" s="302"/>
      <x:c r="E88" s="302"/>
      <x:c r="F88" s="302"/>
      <x:c r="G88" s="302"/>
      <x:c r="H88" s="302"/>
      <x:c r="I88" s="302"/>
      <x:c r="J88" s="302"/>
      <x:c r="K88" s="302"/>
      <x:c r="L88" s="302"/>
      <x:c r="M88" s="302"/>
    </x:row>
    <x:row r="89">
      <x:c r="A89" s="323"/>
      <x:c r="B89" s="302"/>
      <x:c r="C89" s="302"/>
      <x:c r="D89" s="302"/>
      <x:c r="E89" s="302"/>
      <x:c r="F89" s="302"/>
      <x:c r="G89" s="302"/>
      <x:c r="H89" s="302"/>
      <x:c r="I89" s="302"/>
      <x:c r="J89" s="302"/>
      <x:c r="K89" s="302"/>
      <x:c r="L89" s="302"/>
      <x:c r="M89" s="302"/>
    </x:row>
    <x:row r="90">
      <x:c r="A90" s="323"/>
      <x:c r="B90" s="302"/>
      <x:c r="C90" s="302"/>
      <x:c r="D90" s="302"/>
      <x:c r="E90" s="302"/>
      <x:c r="F90" s="302"/>
      <x:c r="G90" s="302"/>
      <x:c r="H90" s="302"/>
      <x:c r="I90" s="302"/>
      <x:c r="J90" s="302"/>
      <x:c r="K90" s="302"/>
      <x:c r="L90" s="302"/>
      <x:c r="M90" s="302"/>
    </x:row>
    <x:row r="91">
      <x:c r="A91" s="323"/>
      <x:c r="B91" s="302"/>
      <x:c r="C91" s="302"/>
      <x:c r="D91" s="302"/>
      <x:c r="E91" s="302"/>
      <x:c r="F91" s="302"/>
      <x:c r="G91" s="302"/>
      <x:c r="H91" s="302"/>
      <x:c r="I91" s="302"/>
      <x:c r="J91" s="302"/>
      <x:c r="K91" s="302"/>
      <x:c r="L91" s="302"/>
      <x:c r="M91" s="302"/>
    </x:row>
    <x:row r="92">
      <x:c r="A92" s="323"/>
      <x:c r="B92" s="302"/>
      <x:c r="C92" s="302"/>
      <x:c r="D92" s="302"/>
      <x:c r="E92" s="302"/>
      <x:c r="F92" s="302"/>
      <x:c r="G92" s="302"/>
      <x:c r="H92" s="302"/>
      <x:c r="I92" s="302"/>
      <x:c r="J92" s="302"/>
      <x:c r="K92" s="302"/>
      <x:c r="L92" s="302"/>
      <x:c r="M92" s="302"/>
    </x:row>
    <x:row r="93">
      <x:c r="A93" s="469"/>
    </x:row>
    <x:row r="94">
      <x:c r="A94" s="469"/>
    </x:row>
    <x:row r="95">
      <x:c r="A95" s="469"/>
    </x:row>
    <x:row r="96">
      <x:c r="A96" s="469"/>
    </x:row>
    <x:row r="97">
      <x:c r="A97" s="469"/>
    </x:row>
    <x:row r="98">
      <x:c r="A98" s="469"/>
    </x:row>
    <x:row r="99">
      <x:c r="A99" s="469"/>
    </x:row>
    <x:row r="100">
      <x:c r="A100" s="469"/>
    </x:row>
    <x:row r="101">
      <x:c r="A101" s="469"/>
    </x:row>
    <x:row r="102">
      <x:c r="A102" s="469"/>
    </x:row>
    <x:row r="103">
      <x:c r="A103" s="469"/>
    </x:row>
    <x:row r="104">
      <x:c r="A104" s="469"/>
    </x:row>
    <x:row r="105">
      <x:c r="A105" s="469"/>
    </x:row>
  </x:sheetData>
  <x:mergeCells>
    <x:mergeCell ref="A1:M1"/>
    <x:mergeCell ref="A5:M5"/>
    <x:mergeCell ref="A14:M14"/>
    <x:mergeCell ref="A21:M21"/>
    <x:mergeCell ref="A28:M28"/>
    <x:mergeCell ref="A37:M37"/>
    <x:mergeCell ref="A42:M42"/>
    <x:mergeCell ref="A50:J50"/>
    <x:mergeCell ref="A75:M75"/>
  </x:mergeCells>
  <x:conditionalFormatting sqref="B76:M80">
    <x:cfRule type="expression" dxfId="0" priority="1">
      <x:formula>ABS(B76)&gt;0.1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8" customHeight="1">
      <x:c r="A1" s="258" t="str">
        <x:v>Neuland Laboratories — Integrated Three Statements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>
      <x:c r="A2" s="323"/>
      <x:c r="B2" s="302"/>
      <x:c r="C2" s="302"/>
      <x:c r="D2" s="302"/>
      <x:c r="E2" s="302"/>
      <x:c r="F2" s="302"/>
      <x:c r="G2" s="302"/>
      <x:c r="H2" s="302"/>
      <x:c r="I2" s="302"/>
      <x:c r="J2" s="302"/>
      <x:c r="K2" s="302"/>
      <x:c r="L2" s="302"/>
      <x:c r="M2" s="302"/>
    </x:row>
    <x:row r="3" ht="20" customHeight="1">
      <x:c r="A3" s="447" t="str">
        <x:v>INR million, unless stated</x:v>
      </x:c>
      <x:c r="B3" s="27" t="str">
        <x:v>FY24A</x:v>
      </x:c>
      <x:c r="C3" s="27" t="str">
        <x:v>FY25A</x:v>
      </x:c>
      <x:c r="D3" s="27" t="str">
        <x:v>FY26A</x:v>
      </x:c>
      <x:c r="E3" s="28" t="str">
        <x:v>FY27E</x:v>
      </x:c>
      <x:c r="F3" s="28" t="str">
        <x:v>FY28E</x:v>
      </x:c>
      <x:c r="G3" s="28" t="str">
        <x:v>FY29E</x:v>
      </x:c>
      <x:c r="H3" s="28" t="str">
        <x:v>FY30E</x:v>
      </x:c>
      <x:c r="I3" s="28" t="str">
        <x:v>FY31E</x:v>
      </x:c>
      <x:c r="J3" s="28" t="str">
        <x:v>FY32E</x:v>
      </x:c>
      <x:c r="K3" s="28" t="str">
        <x:v>FY33E</x:v>
      </x:c>
      <x:c r="L3" s="28" t="str">
        <x:v>FY34E</x:v>
      </x:c>
      <x:c r="M3" s="28" t="str">
        <x:v>FY35E</x:v>
      </x:c>
    </x:row>
    <x:row r="4">
      <x:c r="A4" s="323"/>
      <x:c r="B4" s="303"/>
      <x:c r="C4" s="303"/>
      <x:c r="D4" s="303"/>
      <x:c r="E4" s="304"/>
      <x:c r="F4" s="304"/>
      <x:c r="G4" s="304"/>
      <x:c r="H4" s="304"/>
      <x:c r="I4" s="304"/>
      <x:c r="J4" s="304"/>
      <x:c r="K4" s="304"/>
      <x:c r="L4" s="304"/>
      <x:c r="M4" s="304"/>
    </x:row>
    <x:row r="5" ht="20" customHeight="1">
      <x:c r="A5" s="258" t="str">
        <x:v>Income Statement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>
      <x:c r="A6" s="323" t="str">
        <x:v>Revenue from operations</x:v>
      </x:c>
      <x:c r="B6" s="360" t="n">
        <x:v>15585.805</x:v>
      </x:c>
      <x:c r="C6" s="360" t="n">
        <x:v>14768.373</x:v>
      </x:c>
      <x:c r="D6" s="360" t="n">
        <x:v>20229.854</x:v>
      </x:c>
      <x:c r="E6" s="309" t="n">
        <x:f>'Revenue Model'!E11</x:f>
        <x:v>23230.502565000003</x:v>
      </x:c>
      <x:c r="F6" s="309" t="n">
        <x:f>'Revenue Model'!F11</x:f>
        <x:v>26882.61282237</x:v>
      </x:c>
      <x:c r="G6" s="309" t="n">
        <x:f>'Revenue Model'!G11</x:f>
        <x:v>30565.209298317302</x:v>
      </x:c>
      <x:c r="H6" s="309" t="n">
        <x:f>'Revenue Model'!H11</x:f>
        <x:v>34086.698936214794</x:v>
      </x:c>
      <x:c r="I6" s="309" t="n">
        <x:f>'Revenue Model'!I11</x:f>
        <x:v>37395.30431057411</x:v>
      </x:c>
      <x:c r="J6" s="309" t="n">
        <x:f>'Revenue Model'!J11</x:f>
        <x:v>40525.103710579686</x:v>
      </x:c>
      <x:c r="K6" s="309" t="n">
        <x:f>'Revenue Model'!K11</x:f>
        <x:v>43282.88262044852</x:v>
      </x:c>
      <x:c r="L6" s="309" t="n">
        <x:f>'Revenue Model'!L11</x:f>
        <x:v>45652.57272044734</x:v>
      </x:c>
      <x:c r="M6" s="309" t="n">
        <x:f>'Revenue Model'!M11</x:f>
        <x:v>47579.04300913284</x:v>
      </x:c>
    </x:row>
    <x:row r="7">
      <x:c r="A7" s="323" t="str">
        <x:v>Other non-interest income</x:v>
      </x:c>
      <x:c r="B7" s="360" t="n">
        <x:v>43.175</x:v>
      </x:c>
      <x:c r="C7" s="360" t="n">
        <x:v>99.253</x:v>
      </x:c>
      <x:c r="D7" s="360" t="n">
        <x:v>201.108</x:v>
      </x:c>
      <x:c r="E7" s="309" t="n">
        <x:f>E6*'Supporting Schedules'!E88</x:f>
        <x:v>116.15251282500002</x:v>
      </x:c>
      <x:c r="F7" s="309" t="n">
        <x:f>F6*'Supporting Schedules'!F88</x:f>
        <x:v>134.41306411185</x:v>
      </x:c>
      <x:c r="G7" s="309" t="n">
        <x:f>G6*'Supporting Schedules'!G88</x:f>
        <x:v>152.8260464915865</x:v>
      </x:c>
      <x:c r="H7" s="309" t="n">
        <x:f>H6*'Supporting Schedules'!H88</x:f>
        <x:v>170.43349468107397</x:v>
      </x:c>
      <x:c r="I7" s="309" t="n">
        <x:f>I6*'Supporting Schedules'!I88</x:f>
        <x:v>168.2788693975835</x:v>
      </x:c>
      <x:c r="J7" s="309" t="n">
        <x:f>J6*'Supporting Schedules'!J88</x:f>
        <x:v>182.36296669760858</x:v>
      </x:c>
      <x:c r="K7" s="309" t="n">
        <x:f>K6*'Supporting Schedules'!K88</x:f>
        <x:v>173.1315304817941</x:v>
      </x:c>
      <x:c r="L7" s="309" t="n">
        <x:f>L6*'Supporting Schedules'!L88</x:f>
        <x:v>182.61029088178935</x:v>
      </x:c>
      <x:c r="M7" s="309" t="n">
        <x:f>M6*'Supporting Schedules'!M88</x:f>
        <x:v>190.31617203653136</x:v>
      </x:c>
    </x:row>
    <x:row r="8">
      <x:c r="A8" s="323" t="str">
        <x:v>Interest income</x:v>
      </x:c>
      <x:c r="B8" s="360" t="n">
        <x:v>82.268</x:v>
      </x:c>
      <x:c r="C8" s="360" t="n">
        <x:v>105.84</x:v>
      </x:c>
      <x:c r="D8" s="360" t="n">
        <x:v>100.554</x:v>
      </x:c>
      <x:c r="E8" s="309" t="n">
        <x:f>'Supporting Schedules'!E52</x:f>
        <x:v>140.68180903505038</x:v>
      </x:c>
      <x:c r="F8" s="309" t="n">
        <x:f>'Supporting Schedules'!F52</x:f>
        <x:v>164.253584587355</x:v>
      </x:c>
      <x:c r="G8" s="309" t="n">
        <x:f>'Supporting Schedules'!G52</x:f>
        <x:v>220.62685134999134</x:v>
      </x:c>
      <x:c r="H8" s="309" t="n">
        <x:f>'Supporting Schedules'!H52</x:f>
        <x:v>320.53296288819615</x:v>
      </x:c>
      <x:c r="I8" s="309" t="n">
        <x:f>'Supporting Schedules'!I52</x:f>
        <x:v>466.5728440650626</x:v>
      </x:c>
      <x:c r="J8" s="309" t="n">
        <x:f>'Supporting Schedules'!J52</x:f>
        <x:v>641.6827726764059</x:v>
      </x:c>
      <x:c r="K8" s="309" t="n">
        <x:f>'Supporting Schedules'!K52</x:f>
        <x:v>838.4153000318514</x:v>
      </x:c>
      <x:c r="L8" s="309" t="n">
        <x:f>'Supporting Schedules'!L52</x:f>
        <x:v>1054.2364172758805</x:v>
      </x:c>
      <x:c r="M8" s="309" t="n">
        <x:f>'Supporting Schedules'!M52</x:f>
        <x:v>1289.6328068591497</x:v>
      </x:c>
    </x:row>
    <x:row r="9">
      <x:c r="A9" s="468" t="str">
        <x:v>Total income</x:v>
      </x:c>
      <x:c r="B9" s="404" t="n">
        <x:f>SUM(B6:B8)</x:f>
        <x:v>15711.248</x:v>
      </x:c>
      <x:c r="C9" s="404" t="n">
        <x:f>SUM(C6:C8)</x:f>
        <x:v>14973.466</x:v>
      </x:c>
      <x:c r="D9" s="404" t="n">
        <x:f>SUM(D6:D8)</x:f>
        <x:v>20531.516</x:v>
      </x:c>
      <x:c r="E9" s="405" t="n">
        <x:f>SUM(E6:E8)</x:f>
        <x:v>23487.336886860052</x:v>
      </x:c>
      <x:c r="F9" s="405" t="n">
        <x:f>SUM(F6:F8)</x:f>
        <x:v>27181.279471069203</x:v>
      </x:c>
      <x:c r="G9" s="405" t="n">
        <x:f>SUM(G6:G8)</x:f>
        <x:v>30938.662196158883</x:v>
      </x:c>
      <x:c r="H9" s="405" t="n">
        <x:f>SUM(H6:H8)</x:f>
        <x:v>34577.66539378406</x:v>
      </x:c>
      <x:c r="I9" s="405" t="n">
        <x:f>SUM(I6:I8)</x:f>
        <x:v>38030.156024036754</x:v>
      </x:c>
      <x:c r="J9" s="405" t="n">
        <x:f>SUM(J6:J8)</x:f>
        <x:v>41349.14944995371</x:v>
      </x:c>
      <x:c r="K9" s="405" t="n">
        <x:f>SUM(K6:K8)</x:f>
        <x:v>44294.42945096217</x:v>
      </x:c>
      <x:c r="L9" s="405" t="n">
        <x:f>SUM(L6:L8)</x:f>
        <x:v>46889.41942860501</x:v>
      </x:c>
      <x:c r="M9" s="405" t="n">
        <x:f>SUM(M6:M8)</x:f>
        <x:v>49058.991988028516</x:v>
      </x:c>
    </x:row>
    <x:row r="10">
      <x:c r="A10" s="323"/>
      <x:c r="B10" s="406"/>
      <x:c r="C10" s="406"/>
      <x:c r="D10" s="406"/>
      <x:c r="E10" s="361"/>
      <x:c r="F10" s="361"/>
      <x:c r="G10" s="361"/>
      <x:c r="H10" s="361"/>
      <x:c r="I10" s="361"/>
      <x:c r="J10" s="361"/>
      <x:c r="K10" s="361"/>
      <x:c r="L10" s="361"/>
      <x:c r="M10" s="361"/>
    </x:row>
    <x:row r="11">
      <x:c r="A11" s="323" t="str">
        <x:v>Material costs</x:v>
      </x:c>
      <x:c r="B11" s="360" t="n">
        <x:v>6324.268</x:v>
      </x:c>
      <x:c r="C11" s="360" t="n">
        <x:v>5748.068</x:v>
      </x:c>
      <x:c r="D11" s="360" t="n">
        <x:v>8197.645</x:v>
      </x:c>
      <x:c r="E11" s="309" t="n">
        <x:f>E6*'Supporting Schedules'!E84</x:f>
        <x:v>8595.285949050001</x:v>
      </x:c>
      <x:c r="F11" s="309" t="n">
        <x:f>F6*'Supporting Schedules'!F84</x:f>
        <x:v>9892.801518632159</x:v>
      </x:c>
      <x:c r="G11" s="309" t="n">
        <x:f>G6*'Supporting Schedules'!G84</x:f>
        <x:v>11156.301393885815</x:v>
      </x:c>
      <x:c r="H11" s="309" t="n">
        <x:f>H6*'Supporting Schedules'!H84</x:f>
        <x:v>12339.385014909754</x:v>
      </x:c>
      <x:c r="I11" s="309" t="n">
        <x:f>I6*'Supporting Schedules'!I84</x:f>
        <x:v>13462.309551806678</x:v>
      </x:c>
      <x:c r="J11" s="309" t="n">
        <x:f>J6*'Supporting Schedules'!J84</x:f>
        <x:v>14507.987128387527</x:v>
      </x:c>
      <x:c r="K11" s="309" t="n">
        <x:f>K6*'Supporting Schedules'!K84</x:f>
        <x:v>15451.989095500123</x:v>
      </x:c>
      <x:c r="L11" s="309" t="n">
        <x:f>L6*'Supporting Schedules'!L84</x:f>
        <x:v>16252.315888479252</x:v>
      </x:c>
      <x:c r="M11" s="309" t="n">
        <x:f>M6*'Supporting Schedules'!M84</x:f>
        <x:v>16890.560268242156</x:v>
      </x:c>
    </x:row>
    <x:row r="12">
      <x:c r="A12" s="323" t="str">
        <x:v>Change in inventories</x:v>
      </x:c>
      <x:c r="B12" s="360" t="n">
        <x:v>-551.44</x:v>
      </x:c>
      <x:c r="C12" s="360" t="n">
        <x:v>128.312</x:v>
      </x:c>
      <x:c r="D12" s="360" t="n">
        <x:v>-642.623</x:v>
      </x:c>
      <x:c r="E12" s="309" t="n">
        <x:v>0</x:v>
      </x:c>
      <x:c r="F12" s="309" t="n">
        <x:v>0</x:v>
      </x:c>
      <x:c r="G12" s="309" t="n">
        <x:v>0</x:v>
      </x:c>
      <x:c r="H12" s="309" t="n">
        <x:v>0</x:v>
      </x:c>
      <x:c r="I12" s="309" t="n">
        <x:v>0</x:v>
      </x:c>
      <x:c r="J12" s="309" t="n">
        <x:v>0</x:v>
      </x:c>
      <x:c r="K12" s="309" t="n">
        <x:v>0</x:v>
      </x:c>
      <x:c r="L12" s="309" t="n">
        <x:v>0</x:v>
      </x:c>
      <x:c r="M12" s="309" t="n">
        <x:v>0</x:v>
      </x:c>
    </x:row>
    <x:row r="13">
      <x:c r="A13" s="323" t="str">
        <x:v>Employee costs</x:v>
      </x:c>
      <x:c r="B13" s="360" t="n">
        <x:v>2570.627</x:v>
      </x:c>
      <x:c r="C13" s="360" t="n">
        <x:v>2720.048</x:v>
      </x:c>
      <x:c r="D13" s="360" t="n">
        <x:v>3411.414</x:v>
      </x:c>
      <x:c r="E13" s="309" t="n">
        <x:f>D13*(1+'Supporting Schedules'!E85)</x:f>
        <x:v>3854.8978199999997</x:v>
      </x:c>
      <x:c r="F13" s="309" t="n">
        <x:f>E13*(1+'Supporting Schedules'!F85)</x:f>
        <x:v>4317.4855584</x:v>
      </x:c>
      <x:c r="G13" s="309" t="n">
        <x:f>F13*(1+'Supporting Schedules'!G85)</x:f>
        <x:v>4792.408969824</x:v>
      </x:c>
      <x:c r="H13" s="309" t="n">
        <x:f>G13*(1+'Supporting Schedules'!H85)</x:f>
        <x:v>5271.6498668064005</x:v>
      </x:c>
      <x:c r="I13" s="309" t="n">
        <x:f>H13*(1+'Supporting Schedules'!I85)</x:f>
        <x:v>5746.098354818977</x:v>
      </x:c>
      <x:c r="J13" s="309" t="n">
        <x:f>I13*(1+'Supporting Schedules'!J85)</x:f>
        <x:v>6205.786223204495</x:v>
      </x:c>
      <x:c r="K13" s="309" t="n">
        <x:f>J13*(1+'Supporting Schedules'!K85)</x:f>
        <x:v>6702.249121060855</x:v>
      </x:c>
      <x:c r="L13" s="309" t="n">
        <x:f>K13*(1+'Supporting Schedules'!L85)</x:f>
        <x:v>7171.406559535115</x:v>
      </x:c>
      <x:c r="M13" s="309" t="n">
        <x:f>L13*(1+'Supporting Schedules'!M85)</x:f>
        <x:v>7673.405018702573</x:v>
      </x:c>
    </x:row>
    <x:row r="14">
      <x:c r="A14" s="323" t="str">
        <x:v>Manufacturing expenses</x:v>
      </x:c>
      <x:c r="B14" s="360" t="n">
        <x:v>1565.139</x:v>
      </x:c>
      <x:c r="C14" s="360" t="n">
        <x:v>1628.7</x:v>
      </x:c>
      <x:c r="D14" s="360" t="n">
        <x:v>1916.144</x:v>
      </x:c>
      <x:c r="E14" s="309" t="n">
        <x:f>E6*'Supporting Schedules'!E86</x:f>
        <x:v>2206.897743675</x:v>
      </x:c>
      <x:c r="F14" s="309" t="n">
        <x:f>F6*'Supporting Schedules'!F86</x:f>
        <x:v>2526.96560530278</x:v>
      </x:c>
      <x:c r="G14" s="309" t="n">
        <x:f>G6*'Supporting Schedules'!G86</x:f>
        <x:v>2842.5644647435092</x:v>
      </x:c>
      <x:c r="H14" s="309" t="n">
        <x:f>H6*'Supporting Schedules'!H86</x:f>
        <x:v>3135.976302131761</x:v>
      </x:c>
      <x:c r="I14" s="309" t="n">
        <x:f>I6*'Supporting Schedules'!I86</x:f>
        <x:v>3402.972692262244</x:v>
      </x:c>
      <x:c r="J14" s="309" t="n">
        <x:f>J6*'Supporting Schedules'!J86</x:f>
        <x:v>3647.259333952172</x:v>
      </x:c>
      <x:c r="K14" s="309" t="n">
        <x:f>K6*'Supporting Schedules'!K86</x:f>
        <x:v>3895.459435840367</x:v>
      </x:c>
      <x:c r="L14" s="309" t="n">
        <x:f>L6*'Supporting Schedules'!L86</x:f>
        <x:v>4063.078972119813</x:v>
      </x:c>
      <x:c r="M14" s="309" t="n">
        <x:f>M6*'Supporting Schedules'!M86</x:f>
        <x:v>4234.534827812822</x:v>
      </x:c>
    </x:row>
    <x:row r="15">
      <x:c r="A15" s="323" t="str">
        <x:v>Other operating expenses</x:v>
      </x:c>
      <x:c r="B15" s="360" t="n">
        <x:v>1051.316</x:v>
      </x:c>
      <x:c r="C15" s="360" t="n">
        <x:v>1310.647</x:v>
      </x:c>
      <x:c r="D15" s="360" t="n">
        <x:v>1602.296</x:v>
      </x:c>
      <x:c r="E15" s="309" t="n">
        <x:f>E6*'Supporting Schedules'!E87</x:f>
        <x:v>1835.2097026350002</x:v>
      </x:c>
      <x:c r="F15" s="309" t="n">
        <x:f>F6*'Supporting Schedules'!F87</x:f>
        <x:v>2096.84380014486</x:v>
      </x:c>
      <x:c r="G15" s="309" t="n">
        <x:f>G6*'Supporting Schedules'!G87</x:f>
        <x:v>2353.521115970432</x:v>
      </x:c>
      <x:c r="H15" s="309" t="n">
        <x:f>H6*'Supporting Schedules'!H87</x:f>
        <x:v>2590.589119152324</x:v>
      </x:c>
      <x:c r="I15" s="309" t="n">
        <x:f>I6*'Supporting Schedules'!I87</x:f>
        <x:v>2804.647823293058</x:v>
      </x:c>
      <x:c r="J15" s="309" t="n">
        <x:f>J6*'Supporting Schedules'!J87</x:f>
        <x:v>3039.3827782934763</x:v>
      </x:c>
      <x:c r="K15" s="309" t="n">
        <x:f>K6*'Supporting Schedules'!K87</x:f>
        <x:v>3202.9333139131904</x:v>
      </x:c>
      <x:c r="L15" s="309" t="n">
        <x:f>L6*'Supporting Schedules'!L87</x:f>
        <x:v>3378.290381313103</x:v>
      </x:c>
      <x:c r="M15" s="309" t="n">
        <x:f>M6*'Supporting Schedules'!M87</x:f>
        <x:v>3473.270139666697</x:v>
      </x:c>
    </x:row>
    <x:row r="16">
      <x:c r="A16" s="468" t="str">
        <x:v>Operating EBITDA</x:v>
      </x:c>
      <x:c r="B16" s="404" t="n">
        <x:f>B6-SUM(B11:B15)</x:f>
        <x:v>4625.895</x:v>
      </x:c>
      <x:c r="C16" s="404" t="n">
        <x:f>C6-SUM(C11:C15)</x:f>
        <x:v>3232.597999999998</x:v>
      </x:c>
      <x:c r="D16" s="404" t="n">
        <x:f>D6-SUM(D11:D15)</x:f>
        <x:v>5744.977999999997</x:v>
      </x:c>
      <x:c r="E16" s="405" t="n">
        <x:f>E6-SUM(E11:E15)</x:f>
        <x:v>6738.211349639998</x:v>
      </x:c>
      <x:c r="F16" s="405" t="n">
        <x:f>F6-SUM(F11:F15)</x:f>
        <x:v>8048.5163398902005</x:v>
      </x:c>
      <x:c r="G16" s="405" t="n">
        <x:f>G6-SUM(G11:G15)</x:f>
        <x:v>9420.413353893546</x:v>
      </x:c>
      <x:c r="H16" s="405" t="n">
        <x:f>H6-SUM(H11:H15)</x:f>
        <x:v>10749.098633214555</x:v>
      </x:c>
      <x:c r="I16" s="405" t="n">
        <x:f>I6-SUM(I11:I15)</x:f>
        <x:v>11979.275888393153</x:v>
      </x:c>
      <x:c r="J16" s="405" t="n">
        <x:f>J6-SUM(J11:J15)</x:f>
        <x:v>13124.688246742015</x:v>
      </x:c>
      <x:c r="K16" s="405" t="n">
        <x:f>K6-SUM(K11:K15)</x:f>
        <x:v>14030.251654133986</x:v>
      </x:c>
      <x:c r="L16" s="405" t="n">
        <x:f>L6-SUM(L11:L15)</x:f>
        <x:v>14787.480919000056</x:v>
      </x:c>
      <x:c r="M16" s="405" t="n">
        <x:f>M6-SUM(M11:M15)</x:f>
        <x:v>15307.272754708589</x:v>
      </x:c>
    </x:row>
    <x:row r="17">
      <x:c r="A17" s="468" t="str">
        <x:v>Reported EBITDA incl. total other income</x:v>
      </x:c>
      <x:c r="B17" s="404" t="n">
        <x:f>B16+B7+B8</x:f>
        <x:v>4751.338000000001</x:v>
      </x:c>
      <x:c r="C17" s="404" t="n">
        <x:f>C16+C7+C8</x:f>
        <x:v>3437.6909999999984</x:v>
      </x:c>
      <x:c r="D17" s="404" t="n">
        <x:f>D16+D7+D8</x:f>
        <x:v>6046.639999999998</x:v>
      </x:c>
      <x:c r="E17" s="405" t="n">
        <x:f>E16+E7+E8</x:f>
        <x:v>6995.045671500048</x:v>
      </x:c>
      <x:c r="F17" s="405" t="n">
        <x:f>F16+F7+F8</x:f>
        <x:v>8347.182988589406</x:v>
      </x:c>
      <x:c r="G17" s="405" t="n">
        <x:f>G16+G7+G8</x:f>
        <x:v>9793.866251735122</x:v>
      </x:c>
      <x:c r="H17" s="405" t="n">
        <x:f>H16+H7+H8</x:f>
        <x:v>11240.065090783824</x:v>
      </x:c>
      <x:c r="I17" s="405" t="n">
        <x:f>I16+I7+I8</x:f>
        <x:v>12614.127601855798</x:v>
      </x:c>
      <x:c r="J17" s="405" t="n">
        <x:f>J16+J7+J8</x:f>
        <x:v>13948.733986116029</x:v>
      </x:c>
      <x:c r="K17" s="405" t="n">
        <x:f>K16+K7+K8</x:f>
        <x:v>15041.798484647632</x:v>
      </x:c>
      <x:c r="L17" s="405" t="n">
        <x:f>L16+L7+L8</x:f>
        <x:v>16024.327627157727</x:v>
      </x:c>
      <x:c r="M17" s="405" t="n">
        <x:f>M16+M7+M8</x:f>
        <x:v>16787.22173360427</x:v>
      </x:c>
    </x:row>
    <x:row r="18">
      <x:c r="A18" s="323" t="str">
        <x:v>Reported EBITDA margin (% of total income)</x:v>
      </x:c>
      <x:c r="B18" s="370" t="n">
        <x:f>B17/B9</x:f>
        <x:v>0.3024163325535948</x:v>
      </x:c>
      <x:c r="C18" s="370" t="n">
        <x:f>C17/C9</x:f>
        <x:v>0.22958552148179975</x:v>
      </x:c>
      <x:c r="D18" s="370" t="n">
        <x:f>D17/D9</x:f>
        <x:v>0.2945052864094399</x:v>
      </x:c>
      <x:c r="E18" s="407" t="n">
        <x:f>E17/E9</x:f>
        <x:v>0.29782200107213574</x:v>
      </x:c>
      <x:c r="F18" s="407" t="n">
        <x:f>F17/F9</x:f>
        <x:v>0.3070930857936196</x:v>
      </x:c>
      <x:c r="G18" s="407" t="n">
        <x:f>G17/G9</x:f>
        <x:v>0.3165575224177294</x:v>
      </x:c>
      <x:c r="H18" s="407" t="n">
        <x:f>H17/H9</x:f>
        <x:v>0.3250672063245896</x:v>
      </x:c>
      <x:c r="I18" s="407" t="n">
        <x:f>I17/I9</x:f>
        <x:v>0.33168750593300506</x:v>
      </x:c>
      <x:c r="J18" s="407" t="n">
        <x:f>J17/J9</x:f>
        <x:v>0.337340288051116</x:v>
      </x:c>
      <x:c r="K18" s="407" t="n">
        <x:f>K17/K9</x:f>
        <x:v>0.3395866855289383</x:v>
      </x:c>
      <x:c r="L18" s="407" t="n">
        <x:f>L17/L9</x:f>
        <x:v>0.3417471963276654</x:v>
      </x:c>
      <x:c r="M18" s="407" t="n">
        <x:f>M17/M9</x:f>
        <x:v>0.34218439990982136</x:v>
      </x:c>
    </x:row>
    <x:row r="19">
      <x:c r="A19" s="323" t="str">
        <x:v>Depreciation &amp; amortisation</x:v>
      </x:c>
      <x:c r="B19" s="360" t="n">
        <x:v>596.999</x:v>
      </x:c>
      <x:c r="C19" s="360" t="n">
        <x:v>655.466</x:v>
      </x:c>
      <x:c r="D19" s="360" t="n">
        <x:v>917.395</x:v>
      </x:c>
      <x:c r="E19" s="309" t="n">
        <x:f>'Supporting Schedules'!E28</x:f>
        <x:v>958.19446</x:v>
      </x:c>
      <x:c r="F19" s="309" t="n">
        <x:f>'Supporting Schedules'!F28</x:f>
        <x:v>1223.1229309</x:v>
      </x:c>
      <x:c r="G19" s="309" t="n">
        <x:f>'Supporting Schedules'!G28</x:f>
        <x:v>1375.2199817735002</x:v>
      </x:c>
      <x:c r="H19" s="309" t="n">
        <x:f>'Supporting Schedules'!H28</x:f>
        <x:v>1459.1387833227527</x:v>
      </x:c>
      <x:c r="I19" s="309" t="n">
        <x:f>'Supporting Schedules'!I28</x:f>
        <x:v>1517.8619867403186</x:v>
      </x:c>
      <x:c r="J19" s="309" t="n">
        <x:f>'Supporting Schedules'!J28</x:f>
        <x:v>1574.7812178673914</x:v>
      </x:c>
      <x:c r="K19" s="309" t="n">
        <x:f>'Supporting Schedules'!K28</x:f>
        <x:v>1635.3623143486632</x:v>
      </x:c>
      <x:c r="L19" s="309" t="n">
        <x:f>'Supporting Schedules'!L28</x:f>
        <x:v>1701.419017629027</x:v>
      </x:c>
      <x:c r="M19" s="309" t="n">
        <x:f>'Supporting Schedules'!M28</x:f>
        <x:v>1770.3609011305596</x:v>
      </x:c>
    </x:row>
    <x:row r="20">
      <x:c r="A20" s="468" t="str">
        <x:v>EBIT</x:v>
      </x:c>
      <x:c r="B20" s="404" t="n">
        <x:f>B17-B19</x:f>
        <x:v>4154.339000000001</x:v>
      </x:c>
      <x:c r="C20" s="404" t="n">
        <x:f>C17-C19</x:f>
        <x:v>2782.2249999999985</x:v>
      </x:c>
      <x:c r="D20" s="404" t="n">
        <x:f>D17-D19</x:f>
        <x:v>5129.244999999997</x:v>
      </x:c>
      <x:c r="E20" s="405" t="n">
        <x:f>E17-E19</x:f>
        <x:v>6036.8512115000485</x:v>
      </x:c>
      <x:c r="F20" s="405" t="n">
        <x:f>F17-F19</x:f>
        <x:v>7124.060057689406</x:v>
      </x:c>
      <x:c r="G20" s="405" t="n">
        <x:f>G17-G19</x:f>
        <x:v>8418.646269961622</x:v>
      </x:c>
      <x:c r="H20" s="405" t="n">
        <x:f>H17-H19</x:f>
        <x:v>9780.926307461072</x:v>
      </x:c>
      <x:c r="I20" s="405" t="n">
        <x:f>I17-I19</x:f>
        <x:v>11096.26561511548</x:v>
      </x:c>
      <x:c r="J20" s="405" t="n">
        <x:f>J17-J19</x:f>
        <x:v>12373.952768248637</x:v>
      </x:c>
      <x:c r="K20" s="405" t="n">
        <x:f>K17-K19</x:f>
        <x:v>13406.436170298968</x:v>
      </x:c>
      <x:c r="L20" s="405" t="n">
        <x:f>L17-L19</x:f>
        <x:v>14322.9086095287</x:v>
      </x:c>
      <x:c r="M20" s="405" t="n">
        <x:f>M17-M19</x:f>
        <x:v>15016.86083247371</x:v>
      </x:c>
    </x:row>
    <x:row r="21">
      <x:c r="A21" s="323" t="str">
        <x:v>Finance costs</x:v>
      </x:c>
      <x:c r="B21" s="360" t="n">
        <x:v>139.974</x:v>
      </x:c>
      <x:c r="C21" s="360" t="n">
        <x:v>82.971</x:v>
      </x:c>
      <x:c r="D21" s="360" t="n">
        <x:v>239.474</x:v>
      </x:c>
      <x:c r="E21" s="309" t="n">
        <x:f>'Supporting Schedules'!E48</x:f>
        <x:v>179.871135</x:v>
      </x:c>
      <x:c r="F21" s="309" t="n">
        <x:f>'Supporting Schedules'!F48</x:f>
        <x:v>179.871135</x:v>
      </x:c>
      <x:c r="G21" s="309" t="n">
        <x:f>'Supporting Schedules'!G48</x:f>
        <x:v>133.121135</x:v>
      </x:c>
      <x:c r="H21" s="309" t="n">
        <x:f>'Supporting Schedules'!H48</x:f>
        <x:v>77.87113500000001</x:v>
      </x:c>
      <x:c r="I21" s="309" t="n">
        <x:f>'Supporting Schedules'!I48</x:f>
        <x:v>43.871135</x:v>
      </x:c>
      <x:c r="J21" s="309" t="n">
        <x:f>'Supporting Schedules'!J48</x:f>
        <x:v>15.5605675</x:v>
      </x:c>
      <x:c r="K21" s="309" t="n">
        <x:f>'Supporting Schedules'!K48</x:f>
        <x:v>0</x:v>
      </x:c>
      <x:c r="L21" s="309" t="n">
        <x:f>'Supporting Schedules'!L48</x:f>
        <x:v>0</x:v>
      </x:c>
      <x:c r="M21" s="309" t="n">
        <x:f>'Supporting Schedules'!M48</x:f>
        <x:v>0</x:v>
      </x:c>
    </x:row>
    <x:row r="22">
      <x:c r="A22" s="323" t="str">
        <x:v>PBT before exceptional items</x:v>
      </x:c>
      <x:c r="B22" s="406" t="n">
        <x:f>B20-B21</x:f>
        <x:v>4014.3650000000007</x:v>
      </x:c>
      <x:c r="C22" s="406" t="n">
        <x:f>C20-C21</x:f>
        <x:v>2699.2539999999985</x:v>
      </x:c>
      <x:c r="D22" s="406" t="n">
        <x:f>D20-D21</x:f>
        <x:v>4889.770999999997</x:v>
      </x:c>
      <x:c r="E22" s="361" t="n">
        <x:f>E20-E21</x:f>
        <x:v>5856.980076500048</x:v>
      </x:c>
      <x:c r="F22" s="361" t="n">
        <x:f>F20-F21</x:f>
        <x:v>6944.188922689405</x:v>
      </x:c>
      <x:c r="G22" s="361" t="n">
        <x:f>G20-G21</x:f>
        <x:v>8285.525134961623</x:v>
      </x:c>
      <x:c r="H22" s="361" t="n">
        <x:f>H20-H21</x:f>
        <x:v>9703.055172461072</x:v>
      </x:c>
      <x:c r="I22" s="361" t="n">
        <x:f>I20-I21</x:f>
        <x:v>11052.394480115481</x:v>
      </x:c>
      <x:c r="J22" s="361" t="n">
        <x:f>J20-J21</x:f>
        <x:v>12358.392200748636</x:v>
      </x:c>
      <x:c r="K22" s="361" t="n">
        <x:f>K20-K21</x:f>
        <x:v>13406.436170298968</x:v>
      </x:c>
      <x:c r="L22" s="361" t="n">
        <x:f>L20-L21</x:f>
        <x:v>14322.9086095287</x:v>
      </x:c>
      <x:c r="M22" s="361" t="n">
        <x:f>M20-M21</x:f>
        <x:v>15016.86083247371</x:v>
      </x:c>
    </x:row>
    <x:row r="23">
      <x:c r="A23" s="323" t="str">
        <x:v>Exceptional items</x:v>
      </x:c>
      <x:c r="B23" s="360" t="n">
        <x:v>0</x:v>
      </x:c>
      <x:c r="C23" s="360" t="n">
        <x:v>764.036</x:v>
      </x:c>
      <x:c r="D23" s="360" t="n">
        <x:v>0</x:v>
      </x:c>
      <x:c r="E23" s="408" t="n">
        <x:v>0</x:v>
      </x:c>
      <x:c r="F23" s="408" t="n">
        <x:v>0</x:v>
      </x:c>
      <x:c r="G23" s="408" t="n">
        <x:v>0</x:v>
      </x:c>
      <x:c r="H23" s="408" t="n">
        <x:v>0</x:v>
      </x:c>
      <x:c r="I23" s="408" t="n">
        <x:v>0</x:v>
      </x:c>
      <x:c r="J23" s="408" t="n">
        <x:v>0</x:v>
      </x:c>
      <x:c r="K23" s="408" t="n">
        <x:v>0</x:v>
      </x:c>
      <x:c r="L23" s="408" t="n">
        <x:v>0</x:v>
      </x:c>
      <x:c r="M23" s="408" t="n">
        <x:v>0</x:v>
      </x:c>
    </x:row>
    <x:row r="24">
      <x:c r="A24" s="468" t="str">
        <x:v>Profit before tax</x:v>
      </x:c>
      <x:c r="B24" s="404" t="n">
        <x:f>B22+B23</x:f>
        <x:v>4014.3650000000007</x:v>
      </x:c>
      <x:c r="C24" s="404" t="n">
        <x:f>C22+C23</x:f>
        <x:v>3463.2899999999986</x:v>
      </x:c>
      <x:c r="D24" s="404" t="n">
        <x:f>D22+D23</x:f>
        <x:v>4889.770999999997</x:v>
      </x:c>
      <x:c r="E24" s="405" t="n">
        <x:f>E22+E23</x:f>
        <x:v>5856.980076500048</x:v>
      </x:c>
      <x:c r="F24" s="405" t="n">
        <x:f>F22+F23</x:f>
        <x:v>6944.188922689405</x:v>
      </x:c>
      <x:c r="G24" s="405" t="n">
        <x:f>G22+G23</x:f>
        <x:v>8285.525134961623</x:v>
      </x:c>
      <x:c r="H24" s="405" t="n">
        <x:f>H22+H23</x:f>
        <x:v>9703.055172461072</x:v>
      </x:c>
      <x:c r="I24" s="405" t="n">
        <x:f>I22+I23</x:f>
        <x:v>11052.394480115481</x:v>
      </x:c>
      <x:c r="J24" s="405" t="n">
        <x:f>J22+J23</x:f>
        <x:v>12358.392200748636</x:v>
      </x:c>
      <x:c r="K24" s="405" t="n">
        <x:f>K22+K23</x:f>
        <x:v>13406.436170298968</x:v>
      </x:c>
      <x:c r="L24" s="405" t="n">
        <x:f>L22+L23</x:f>
        <x:v>14322.9086095287</x:v>
      </x:c>
      <x:c r="M24" s="405" t="n">
        <x:f>M22+M23</x:f>
        <x:v>15016.86083247371</x:v>
      </x:c>
    </x:row>
    <x:row r="25">
      <x:c r="A25" s="323" t="str">
        <x:v>Current tax</x:v>
      </x:c>
      <x:c r="B25" s="360" t="n">
        <x:v>996.71</x:v>
      </x:c>
      <x:c r="C25" s="360" t="n">
        <x:v>737.668</x:v>
      </x:c>
      <x:c r="D25" s="360" t="n">
        <x:v>1289.554</x:v>
      </x:c>
      <x:c r="E25" s="309" t="n">
        <x:f>'Supporting Schedules'!E62</x:f>
        <x:v>1457.6560582035743</x:v>
      </x:c>
      <x:c r="F25" s="309" t="n">
        <x:f>'Supporting Schedules'!F62</x:f>
        <x:v>1728.8835112160227</x:v>
      </x:c>
      <x:c r="G25" s="309" t="n">
        <x:f>'Supporting Schedules'!G62</x:f>
        <x:v>2056.549062320966</x:v>
      </x:c>
      <x:c r="H25" s="309" t="n">
        <x:f>'Supporting Schedules'!H62</x:f>
        <x:v>2392.543163441084</x:v>
      </x:c>
      <x:c r="I25" s="309" t="n">
        <x:f>'Supporting Schedules'!I62</x:f>
        <x:v>2699.3845171928565</x:v>
      </x:c>
      <x:c r="J25" s="309" t="n">
        <x:f>'Supporting Schedules'!J62</x:f>
        <x:v>2987.7609041584187</x:v>
      </x:c>
      <x:c r="K25" s="309" t="n">
        <x:f>'Supporting Schedules'!K62</x:f>
        <x:v>3204.845321918115</x:v>
      </x:c>
      <x:c r="L25" s="309" t="n">
        <x:f>'Supporting Schedules'!L62</x:f>
        <x:v>3383.5114090244692</x:v>
      </x:c>
      <x:c r="M25" s="309" t="n">
        <x:f>'Supporting Schedules'!M62</x:f>
        <x:v>3500.443146531713</x:v>
      </x:c>
    </x:row>
    <x:row r="26">
      <x:c r="A26" s="323" t="str">
        <x:v>Deferred tax</x:v>
      </x:c>
      <x:c r="B26" s="360" t="n">
        <x:v>16.866</x:v>
      </x:c>
      <x:c r="C26" s="360" t="n">
        <x:v>124.541</x:v>
      </x:c>
      <x:c r="D26" s="360" t="n">
        <x:v>-39.767</x:v>
      </x:c>
      <x:c r="E26" s="309" t="n">
        <x:f>'Supporting Schedules'!E63</x:f>
        <x:v>35.87386130393793</x:v>
      </x:c>
      <x:c r="F26" s="309" t="n">
        <x:f>'Supporting Schedules'!F63</x:f>
        <x:v>41.88466406977568</x:v>
      </x:c>
      <x:c r="G26" s="309" t="n">
        <x:f>'Supporting Schedules'!G63</x:f>
        <x:v>56.25984709424756</x:v>
      </x:c>
      <x:c r="H26" s="309" t="n">
        <x:f>'Supporting Schedules'!H63</x:f>
        <x:v>81.73590553648955</x:v>
      </x:c>
      <x:c r="I26" s="309" t="n">
        <x:f>'Supporting Schedules'!I63</x:f>
        <x:v>118.97607523659144</x:v>
      </x:c>
      <x:c r="J26" s="309" t="n">
        <x:f>'Supporting Schedules'!J63</x:f>
        <x:v>163.62910703248372</x:v>
      </x:c>
      <x:c r="K26" s="309" t="n">
        <x:f>'Supporting Schedules'!K63</x:f>
        <x:v>213.79590150812191</x:v>
      </x:c>
      <x:c r="L26" s="309" t="n">
        <x:f>'Supporting Schedules'!L63</x:f>
        <x:v>268.8302864053494</x:v>
      </x:c>
      <x:c r="M26" s="309" t="n">
        <x:f>'Supporting Schedules'!M63</x:f>
        <x:v>328.8563657490831</x:v>
      </x:c>
    </x:row>
    <x:row r="27">
      <x:c r="A27" s="468" t="str">
        <x:v>Total tax expense</x:v>
      </x:c>
      <x:c r="B27" s="404" t="n">
        <x:f>SUM(B25:B26)</x:f>
        <x:v>1013.576</x:v>
      </x:c>
      <x:c r="C27" s="404" t="n">
        <x:f>SUM(C25:C26)</x:f>
        <x:v>862.2090000000001</x:v>
      </x:c>
      <x:c r="D27" s="404" t="n">
        <x:f>SUM(D25:D26)</x:f>
        <x:v>1249.787</x:v>
      </x:c>
      <x:c r="E27" s="405" t="n">
        <x:f>SUM(E25:E26)</x:f>
        <x:v>1493.5299195075122</x:v>
      </x:c>
      <x:c r="F27" s="405" t="n">
        <x:f>SUM(F25:F26)</x:f>
        <x:v>1770.7681752857984</x:v>
      </x:c>
      <x:c r="G27" s="405" t="n">
        <x:f>SUM(G25:G26)</x:f>
        <x:v>2112.8089094152137</x:v>
      </x:c>
      <x:c r="H27" s="405" t="n">
        <x:f>SUM(H25:H26)</x:f>
        <x:v>2474.2790689775734</x:v>
      </x:c>
      <x:c r="I27" s="405" t="n">
        <x:f>SUM(I25:I26)</x:f>
        <x:v>2818.360592429448</x:v>
      </x:c>
      <x:c r="J27" s="405" t="n">
        <x:f>SUM(J25:J26)</x:f>
        <x:v>3151.3900111909024</x:v>
      </x:c>
      <x:c r="K27" s="405" t="n">
        <x:f>SUM(K25:K26)</x:f>
        <x:v>3418.641223426237</x:v>
      </x:c>
      <x:c r="L27" s="405" t="n">
        <x:f>SUM(L25:L26)</x:f>
        <x:v>3652.3416954298186</x:v>
      </x:c>
      <x:c r="M27" s="405" t="n">
        <x:f>SUM(M25:M26)</x:f>
        <x:v>3829.299512280796</x:v>
      </x:c>
    </x:row>
    <x:row r="28">
      <x:c r="A28" s="468" t="str">
        <x:v>Profit after tax</x:v>
      </x:c>
      <x:c r="B28" s="404" t="n">
        <x:f>B24-B27</x:f>
        <x:v>3000.7890000000007</x:v>
      </x:c>
      <x:c r="C28" s="404" t="n">
        <x:f>C24-C27</x:f>
        <x:v>2601.0809999999983</x:v>
      </x:c>
      <x:c r="D28" s="404" t="n">
        <x:f>D24-D27</x:f>
        <x:v>3639.9839999999967</x:v>
      </x:c>
      <x:c r="E28" s="405" t="n">
        <x:f>E24-E27</x:f>
        <x:v>4363.450156992536</x:v>
      </x:c>
      <x:c r="F28" s="405" t="n">
        <x:f>F24-F27</x:f>
        <x:v>5173.420747403607</x:v>
      </x:c>
      <x:c r="G28" s="405" t="n">
        <x:f>G24-G27</x:f>
        <x:v>6172.716225546409</x:v>
      </x:c>
      <x:c r="H28" s="405" t="n">
        <x:f>H24-H27</x:f>
        <x:v>7228.776103483498</x:v>
      </x:c>
      <x:c r="I28" s="405" t="n">
        <x:f>I24-I27</x:f>
        <x:v>8234.033887686033</x:v>
      </x:c>
      <x:c r="J28" s="405" t="n">
        <x:f>J24-J27</x:f>
        <x:v>9207.002189557734</x:v>
      </x:c>
      <x:c r="K28" s="405" t="n">
        <x:f>K24-K27</x:f>
        <x:v>9987.794946872731</x:v>
      </x:c>
      <x:c r="L28" s="405" t="n">
        <x:f>L24-L27</x:f>
        <x:v>10670.566914098881</x:v>
      </x:c>
      <x:c r="M28" s="405" t="n">
        <x:f>M24-M27</x:f>
        <x:v>11187.561320192915</x:v>
      </x:c>
    </x:row>
    <x:row r="29">
      <x:c r="A29" s="323" t="str">
        <x:v>Diluted shares (million)</x:v>
      </x:c>
      <x:c r="B29" s="360" t="n">
        <x:v>12.829889</x:v>
      </x:c>
      <x:c r="C29" s="360" t="n">
        <x:v>12.829889</x:v>
      </x:c>
      <x:c r="D29" s="360" t="n">
        <x:v>12.829889</x:v>
      </x:c>
      <x:c r="E29" s="309" t="n">
        <x:f>'Supporting Schedules'!E77</x:f>
        <x:v>12.829889</x:v>
      </x:c>
      <x:c r="F29" s="309" t="n">
        <x:f>'Supporting Schedules'!F77</x:f>
        <x:v>12.829889</x:v>
      </x:c>
      <x:c r="G29" s="309" t="n">
        <x:f>'Supporting Schedules'!G77</x:f>
        <x:v>12.829889</x:v>
      </x:c>
      <x:c r="H29" s="309" t="n">
        <x:f>'Supporting Schedules'!H77</x:f>
        <x:v>12.829889</x:v>
      </x:c>
      <x:c r="I29" s="309" t="n">
        <x:f>'Supporting Schedules'!I77</x:f>
        <x:v>12.829889</x:v>
      </x:c>
      <x:c r="J29" s="309" t="n">
        <x:f>'Supporting Schedules'!J77</x:f>
        <x:v>12.829889</x:v>
      </x:c>
      <x:c r="K29" s="309" t="n">
        <x:f>'Supporting Schedules'!K77</x:f>
        <x:v>12.829889</x:v>
      </x:c>
      <x:c r="L29" s="309" t="n">
        <x:f>'Supporting Schedules'!L77</x:f>
        <x:v>12.829889</x:v>
      </x:c>
      <x:c r="M29" s="309" t="n">
        <x:f>'Supporting Schedules'!M77</x:f>
        <x:v>12.829889</x:v>
      </x:c>
    </x:row>
    <x:row r="30">
      <x:c r="A30" s="323" t="str">
        <x:v>Diluted EPS (INR)</x:v>
      </x:c>
      <x:c r="B30" s="409" t="n">
        <x:f>B28/B29</x:f>
        <x:v>233.8904880626793</x:v>
      </x:c>
      <x:c r="C30" s="409" t="n">
        <x:f>C28/C29</x:f>
        <x:v>202.73604861273535</x:v>
      </x:c>
      <x:c r="D30" s="409" t="n">
        <x:f>D28/D29</x:f>
        <x:v>283.7112620381982</x:v>
      </x:c>
      <x:c r="E30" s="410" t="n">
        <x:f>E28/E29</x:f>
        <x:v>340.1003825514419</x:v>
      </x:c>
      <x:c r="F30" s="410" t="n">
        <x:f>F28/F29</x:f>
        <x:v>403.2319178602096</x:v>
      </x:c>
      <x:c r="G30" s="410" t="n">
        <x:f>G28/G29</x:f>
        <x:v>481.12000232787744</x:v>
      </x:c>
      <x:c r="H30" s="410" t="n">
        <x:f>H28/H29</x:f>
        <x:v>563.432474239138</x:v>
      </x:c>
      <x:c r="I30" s="410" t="n">
        <x:f>I28/I29</x:f>
        <x:v>641.7852787102081</x:v>
      </x:c>
      <x:c r="J30" s="410" t="n">
        <x:f>J28/J29</x:f>
        <x:v>717.6213441564252</x:v>
      </x:c>
      <x:c r="K30" s="410" t="n">
        <x:f>K28/K29</x:f>
        <x:v>778.4786717073492</x:v>
      </x:c>
      <x:c r="L30" s="410" t="n">
        <x:f>L28/L29</x:f>
        <x:v>831.6959651091979</x:v>
      </x:c>
      <x:c r="M30" s="410" t="n">
        <x:f>M28/M29</x:f>
        <x:v>871.9920585589568</x:v>
      </x:c>
    </x:row>
    <x:row r="31">
      <x:c r="A31" s="323"/>
      <x:c r="B31" s="303"/>
      <x:c r="C31" s="303"/>
      <x:c r="D31" s="303"/>
      <x:c r="E31" s="304"/>
      <x:c r="F31" s="304"/>
      <x:c r="G31" s="304"/>
      <x:c r="H31" s="304"/>
      <x:c r="I31" s="304"/>
      <x:c r="J31" s="304"/>
      <x:c r="K31" s="304"/>
      <x:c r="L31" s="304"/>
      <x:c r="M31" s="304"/>
    </x:row>
    <x:row r="32">
      <x:c r="A32" s="323"/>
      <x:c r="B32" s="303"/>
      <x:c r="C32" s="303"/>
      <x:c r="D32" s="303"/>
      <x:c r="E32" s="304"/>
      <x:c r="F32" s="304"/>
      <x:c r="G32" s="304"/>
      <x:c r="H32" s="304"/>
      <x:c r="I32" s="304"/>
      <x:c r="J32" s="304"/>
      <x:c r="K32" s="304"/>
      <x:c r="L32" s="304"/>
      <x:c r="M32" s="304"/>
    </x:row>
    <x:row r="33" ht="20" customHeight="1">
      <x:c r="A33" s="258" t="str">
        <x:v>Balance Sheet</x:v>
      </x:c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</x:row>
    <x:row r="34">
      <x:c r="A34" s="472" t="str">
        <x:v>Assets</x:v>
      </x:c>
      <x:c r="B34" s="412"/>
      <x:c r="C34" s="412"/>
      <x:c r="D34" s="412"/>
      <x:c r="E34" s="413"/>
      <x:c r="F34" s="413"/>
      <x:c r="G34" s="413"/>
      <x:c r="H34" s="413"/>
      <x:c r="I34" s="413"/>
      <x:c r="J34" s="413"/>
      <x:c r="K34" s="413"/>
      <x:c r="L34" s="413"/>
      <x:c r="M34" s="413"/>
    </x:row>
    <x:row r="35">
      <x:c r="A35" s="323" t="str">
        <x:v>Net PP&amp;E</x:v>
      </x:c>
      <x:c r="B35" s="360" t="n">
        <x:v>5227.211</x:v>
      </x:c>
      <x:c r="C35" s="360" t="n">
        <x:v>6737.135</x:v>
      </x:c>
      <x:c r="D35" s="360" t="n">
        <x:v>8922.876</x:v>
      </x:c>
      <x:c r="E35" s="309" t="n">
        <x:f>'Supporting Schedules'!E30</x:f>
        <x:v>12664.68154</x:v>
      </x:c>
      <x:c r="F35" s="309" t="n">
        <x:f>'Supporting Schedules'!F30</x:f>
        <x:v>14891.5586091</x:v>
      </x:c>
      <x:c r="G35" s="309" t="n">
        <x:f>'Supporting Schedules'!G30</x:f>
        <x:v>16091.3386273265</x:v>
      </x:c>
      <x:c r="H35" s="309" t="n">
        <x:f>'Supporting Schedules'!H30</x:f>
        <x:v>16782.199844003746</x:v>
      </x:c>
      <x:c r="I35" s="309" t="n">
        <x:f>'Supporting Schedules'!I30</x:f>
        <x:v>17414.33785726343</x:v>
      </x:c>
      <x:c r="J35" s="309" t="n">
        <x:f>'Supporting Schedules'!J30</x:f>
        <x:v>18064.556639396036</x:v>
      </x:c>
      <x:c r="K35" s="309" t="n">
        <x:f>'Supporting Schedules'!K30</x:f>
        <x:v>18779.194325047374</x:v>
      </x:c>
      <x:c r="L35" s="309" t="n">
        <x:f>'Supporting Schedules'!L30</x:f>
        <x:v>19552.775307418346</x:v>
      </x:c>
      <x:c r="M35" s="309" t="n">
        <x:f>'Supporting Schedules'!M30</x:f>
        <x:v>20332.414406287786</x:v>
      </x:c>
    </x:row>
    <x:row r="36">
      <x:c r="A36" s="323" t="str">
        <x:v>CWIP</x:v>
      </x:c>
      <x:c r="B36" s="360" t="n">
        <x:v>458.913</x:v>
      </x:c>
      <x:c r="C36" s="360" t="n">
        <x:v>445.529</x:v>
      </x:c>
      <x:c r="D36" s="360" t="n">
        <x:v>2094.99</x:v>
      </x:c>
      <x:c r="E36" s="309" t="n">
        <x:f>'Supporting Schedules'!E32</x:f>
        <x:v>894.9899999999998</x:v>
      </x:c>
      <x:c r="F36" s="309" t="n">
        <x:f>'Supporting Schedules'!F32</x:f>
        <x:v>444.9899999999998</x:v>
      </x:c>
      <x:c r="G36" s="309" t="n">
        <x:f>'Supporting Schedules'!G32</x:f>
        <x:v>369.9899999999998</x:v>
      </x:c>
      <x:c r="H36" s="309" t="n">
        <x:f>'Supporting Schedules'!H32</x:f>
        <x:v>419.9899999999998</x:v>
      </x:c>
      <x:c r="I36" s="309" t="n">
        <x:f>'Supporting Schedules'!I32</x:f>
        <x:v>469.9899999999998</x:v>
      </x:c>
      <x:c r="J36" s="309" t="n">
        <x:f>'Supporting Schedules'!J32</x:f>
        <x:v>544.9899999999998</x:v>
      </x:c>
      <x:c r="K36" s="309" t="n">
        <x:f>'Supporting Schedules'!K32</x:f>
        <x:v>594.9899999999998</x:v>
      </x:c>
      <x:c r="L36" s="309" t="n">
        <x:f>'Supporting Schedules'!L32</x:f>
        <x:v>619.9899999999998</x:v>
      </x:c>
      <x:c r="M36" s="309" t="n">
        <x:f>'Supporting Schedules'!M32</x:f>
        <x:v>669.9899999999998</x:v>
      </x:c>
    </x:row>
    <x:row r="37">
      <x:c r="A37" s="323" t="str">
        <x:v>Goodwill &amp; intangibles</x:v>
      </x:c>
      <x:c r="B37" s="360" t="n">
        <x:v>2819.191</x:v>
      </x:c>
      <x:c r="C37" s="360" t="n">
        <x:v>2843.15</x:v>
      </x:c>
      <x:c r="D37" s="360" t="n">
        <x:v>2857.268</x:v>
      </x:c>
      <x:c r="E37" s="309" t="n">
        <x:f>'Supporting Schedules'!E80</x:f>
        <x:v>2857.268</x:v>
      </x:c>
      <x:c r="F37" s="309" t="n">
        <x:f>'Supporting Schedules'!F80</x:f>
        <x:v>2857.268</x:v>
      </x:c>
      <x:c r="G37" s="309" t="n">
        <x:f>'Supporting Schedules'!G80</x:f>
        <x:v>2857.268</x:v>
      </x:c>
      <x:c r="H37" s="309" t="n">
        <x:f>'Supporting Schedules'!H80</x:f>
        <x:v>2857.268</x:v>
      </x:c>
      <x:c r="I37" s="309" t="n">
        <x:f>'Supporting Schedules'!I80</x:f>
        <x:v>2857.268</x:v>
      </x:c>
      <x:c r="J37" s="309" t="n">
        <x:f>'Supporting Schedules'!J80</x:f>
        <x:v>2857.268</x:v>
      </x:c>
      <x:c r="K37" s="309" t="n">
        <x:f>'Supporting Schedules'!K80</x:f>
        <x:v>2857.268</x:v>
      </x:c>
      <x:c r="L37" s="309" t="n">
        <x:f>'Supporting Schedules'!L80</x:f>
        <x:v>2857.268</x:v>
      </x:c>
      <x:c r="M37" s="309" t="n">
        <x:f>'Supporting Schedules'!M80</x:f>
        <x:v>2857.268</x:v>
      </x:c>
    </x:row>
    <x:row r="38">
      <x:c r="A38" s="323" t="str">
        <x:v>Other non-current assets</x:v>
      </x:c>
      <x:c r="B38" s="360" t="n">
        <x:v>609.488</x:v>
      </x:c>
      <x:c r="C38" s="360" t="n">
        <x:v>378.033</x:v>
      </x:c>
      <x:c r="D38" s="360" t="n">
        <x:v>594.955</x:v>
      </x:c>
      <x:c r="E38" s="309" t="n">
        <x:f>'Supporting Schedules'!E81</x:f>
        <x:v>594.955</x:v>
      </x:c>
      <x:c r="F38" s="309" t="n">
        <x:f>'Supporting Schedules'!F81</x:f>
        <x:v>594.955</x:v>
      </x:c>
      <x:c r="G38" s="309" t="n">
        <x:f>'Supporting Schedules'!G81</x:f>
        <x:v>594.955</x:v>
      </x:c>
      <x:c r="H38" s="309" t="n">
        <x:f>'Supporting Schedules'!H81</x:f>
        <x:v>594.955</x:v>
      </x:c>
      <x:c r="I38" s="309" t="n">
        <x:f>'Supporting Schedules'!I81</x:f>
        <x:v>594.955</x:v>
      </x:c>
      <x:c r="J38" s="309" t="n">
        <x:f>'Supporting Schedules'!J81</x:f>
        <x:v>594.955</x:v>
      </x:c>
      <x:c r="K38" s="309" t="n">
        <x:f>'Supporting Schedules'!K81</x:f>
        <x:v>594.955</x:v>
      </x:c>
      <x:c r="L38" s="309" t="n">
        <x:f>'Supporting Schedules'!L81</x:f>
        <x:v>594.955</x:v>
      </x:c>
      <x:c r="M38" s="309" t="n">
        <x:f>'Supporting Schedules'!M81</x:f>
        <x:v>594.955</x:v>
      </x:c>
    </x:row>
    <x:row r="39">
      <x:c r="A39" s="323" t="str">
        <x:v>Inventory</x:v>
      </x:c>
      <x:c r="B39" s="360" t="n">
        <x:v>3504.219</x:v>
      </x:c>
      <x:c r="C39" s="360" t="n">
        <x:v>3857.569</x:v>
      </x:c>
      <x:c r="D39" s="360" t="n">
        <x:v>5102.864</x:v>
      </x:c>
      <x:c r="E39" s="309" t="n">
        <x:f>'Supporting Schedules'!E11</x:f>
        <x:v>5651.69487060822</x:v>
      </x:c>
      <x:c r="F39" s="309" t="n">
        <x:f>'Supporting Schedules'!F11</x:f>
        <x:v>6369.337964050842</x:v>
      </x:c>
      <x:c r="G39" s="309" t="n">
        <x:f>'Supporting Schedules'!G11</x:f>
        <x:v>7029.998138612979</x:v>
      </x:c>
      <x:c r="H39" s="309" t="n">
        <x:f>'Supporting Schedules'!H11</x:f>
        <x:v>7606.470214670397</x:v>
      </x:c>
      <x:c r="I39" s="309" t="n">
        <x:f>'Supporting Schedules'!I11</x:f>
        <x:v>8114.2687709519705</x:v>
      </x:c>
      <x:c r="J39" s="309" t="n">
        <x:f>'Supporting Schedules'!J11</x:f>
        <x:v>8545.800637269365</x:v>
      </x:c>
      <x:c r="K39" s="309" t="n">
        <x:f>'Supporting Schedules'!K11</x:f>
        <x:v>8890.185507000071</x:v>
      </x:c>
      <x:c r="L39" s="309" t="n">
        <x:f>'Supporting Schedules'!L11</x:f>
        <x:v>9128.01303325547</x:v>
      </x:c>
      <x:c r="M39" s="309" t="n">
        <x:f>'Supporting Schedules'!M11</x:f>
        <x:v>9255.101516845018</x:v>
      </x:c>
    </x:row>
    <x:row r="40">
      <x:c r="A40" s="323" t="str">
        <x:v>Trade receivables</x:v>
      </x:c>
      <x:c r="B40" s="360" t="n">
        <x:v>3735.262</x:v>
      </x:c>
      <x:c r="C40" s="360" t="n">
        <x:v>3157.206</x:v>
      </x:c>
      <x:c r="D40" s="360" t="n">
        <x:v>5413.531</x:v>
      </x:c>
      <x:c r="E40" s="309" t="n">
        <x:f>'Supporting Schedules'!E9</x:f>
        <x:v>6046.295188150685</x:v>
      </x:c>
      <x:c r="F40" s="309" t="n">
        <x:f>'Supporting Schedules'!F9</x:f>
        <x:v>6775.891451117918</x:v>
      </x:c>
      <x:c r="G40" s="309" t="n">
        <x:f>'Supporting Schedules'!G9</x:f>
        <x:v>7536.626950270019</x:v>
      </x:c>
      <x:c r="H40" s="309" t="n">
        <x:f>'Supporting Schedules'!H9</x:f>
        <x:v>8218.163031196991</x:v>
      </x:c>
      <x:c r="I40" s="309" t="n">
        <x:f>'Supporting Schedules'!I9</x:f>
        <x:v>8913.401301424514</x:v>
      </x:c>
      <x:c r="J40" s="309" t="n">
        <x:f>'Supporting Schedules'!J9</x:f>
        <x:v>9548.380600300967</x:v>
      </x:c>
      <x:c r="K40" s="309" t="n">
        <x:f>'Supporting Schedules'!K9</x:f>
        <x:v>10079.575404761985</x:v>
      </x:c>
      <x:c r="L40" s="309" t="n">
        <x:f>'Supporting Schedules'!L9</x:f>
        <x:v>10631.421044487735</x:v>
      </x:c>
      <x:c r="M40" s="309" t="n">
        <x:f>'Supporting Schedules'!M9</x:f>
        <x:v>11080.051111715866</x:v>
      </x:c>
    </x:row>
    <x:row r="41">
      <x:c r="A41" s="323" t="str">
        <x:v>Cash &amp; investments</x:v>
      </x:c>
      <x:c r="B41" s="360" t="n">
        <x:v>1167.954</x:v>
      </x:c>
      <x:c r="C41" s="360" t="n">
        <x:v>3665.017</x:v>
      </x:c>
      <x:c r="D41" s="360" t="n">
        <x:v>3549.649</x:v>
      </x:c>
      <x:c r="E41" s="309" t="n">
        <x:f>'Supporting Schedules'!E53</x:f>
        <x:v>3625.123260787569</x:v>
      </x:c>
      <x:c r="F41" s="309" t="n">
        <x:f>'Supporting Schedules'!F53</x:f>
        <x:v>4751.809553167535</x:v>
      </x:c>
      <x:c r="G41" s="309" t="n">
        <x:f>'Supporting Schedules'!G53</x:f>
        <x:v>6500.159865682023</x:v>
      </x:c>
      <x:c r="H41" s="309" t="n">
        <x:f>'Supporting Schedules'!H53</x:f>
        <x:v>9847.021241615977</x:v>
      </x:c>
      <x:c r="I41" s="309" t="n">
        <x:f>'Supporting Schedules'!I53</x:f>
        <x:v>13948.193805702214</x:v>
      </x:c>
      <x:c r="J41" s="309" t="n">
        <x:f>'Supporting Schedules'!J53</x:f>
        <x:v>18777.627600794483</x:v>
      </x:c>
      <x:c r="K41" s="309" t="n">
        <x:f>'Supporting Schedules'!K53</x:f>
        <x:v>23981.552700829936</x:v>
      </x:c>
      <x:c r="L41" s="309" t="n">
        <x:f>'Supporting Schedules'!L53</x:f>
        <x:v>29784.504580239973</x:v>
      </x:c>
      <x:c r="M41" s="309" t="n">
        <x:f>'Supporting Schedules'!M53</x:f>
        <x:v>35986.76856957666</x:v>
      </x:c>
    </x:row>
    <x:row r="42">
      <x:c r="A42" s="323" t="str">
        <x:v>Other current assets</x:v>
      </x:c>
      <x:c r="B42" s="360" t="n">
        <x:v>803.372</x:v>
      </x:c>
      <x:c r="C42" s="360" t="n">
        <x:v>715.177</x:v>
      </x:c>
      <x:c r="D42" s="360" t="n">
        <x:v>765.244</x:v>
      </x:c>
      <x:c r="E42" s="309" t="n">
        <x:f>'Supporting Schedules'!E15</x:f>
        <x:v>954.6781876027399</x:v>
      </x:c>
      <x:c r="F42" s="309" t="n">
        <x:f>'Supporting Schedules'!F15</x:f>
        <x:v>1104.764910508356</x:v>
      </x:c>
      <x:c r="G42" s="309" t="n">
        <x:f>'Supporting Schedules'!G15</x:f>
        <x:v>1256.1044917116699</x:v>
      </x:c>
      <x:c r="H42" s="309" t="n">
        <x:f>'Supporting Schedules'!H15</x:f>
        <x:v>1400.8232439540327</x:v>
      </x:c>
      <x:c r="I42" s="309" t="n">
        <x:f>'Supporting Schedules'!I15</x:f>
        <x:v>1536.7933278318128</x:v>
      </x:c>
      <x:c r="J42" s="309" t="n">
        <x:f>'Supporting Schedules'!J15</x:f>
        <x:v>1665.4152209827269</x:v>
      </x:c>
      <x:c r="K42" s="309" t="n">
        <x:f>'Supporting Schedules'!K15</x:f>
        <x:v>1778.7486008403505</x:v>
      </x:c>
      <x:c r="L42" s="309" t="n">
        <x:f>'Supporting Schedules'!L15</x:f>
        <x:v>1876.1331254978359</x:v>
      </x:c>
      <x:c r="M42" s="309" t="n">
        <x:f>'Supporting Schedules'!M15</x:f>
        <x:v>1955.3031373616234</x:v>
      </x:c>
    </x:row>
    <x:row r="43">
      <x:c r="A43" s="468" t="str">
        <x:v>Total assets</x:v>
      </x:c>
      <x:c r="B43" s="404" t="n">
        <x:f>SUM(B35:B42)</x:f>
        <x:v>18325.609999999997</x:v>
      </x:c>
      <x:c r="C43" s="404" t="n">
        <x:f>SUM(C35:C42)</x:f>
        <x:v>21798.816</x:v>
      </x:c>
      <x:c r="D43" s="404" t="n">
        <x:f>SUM(D35:D42)</x:f>
        <x:v>29301.377</x:v>
      </x:c>
      <x:c r="E43" s="405" t="n">
        <x:f>SUM(E35:E42)</x:f>
        <x:v>33289.68604714921</x:v>
      </x:c>
      <x:c r="F43" s="405" t="n">
        <x:f>SUM(F35:F42)</x:f>
        <x:v>37790.575487944654</x:v>
      </x:c>
      <x:c r="G43" s="405" t="n">
        <x:f>SUM(G35:G42)</x:f>
        <x:v>42236.441073603186</x:v>
      </x:c>
      <x:c r="H43" s="405" t="n">
        <x:f>SUM(H35:H42)</x:f>
        <x:v>47726.890575441146</x:v>
      </x:c>
      <x:c r="I43" s="405" t="n">
        <x:f>SUM(I35:I42)</x:f>
        <x:v>53849.208063173945</x:v>
      </x:c>
      <x:c r="J43" s="405" t="n">
        <x:f>SUM(J35:J42)</x:f>
        <x:v>60598.99369874359</x:v>
      </x:c>
      <x:c r="K43" s="405" t="n">
        <x:f>SUM(K35:K42)</x:f>
        <x:v>67556.46953847972</x:v>
      </x:c>
      <x:c r="L43" s="405" t="n">
        <x:f>SUM(L35:L42)</x:f>
        <x:v>75045.06009089935</x:v>
      </x:c>
      <x:c r="M43" s="405" t="n">
        <x:f>SUM(M35:M42)</x:f>
        <x:v>82731.85174178696</x:v>
      </x:c>
    </x:row>
    <x:row r="44">
      <x:c r="A44" s="323"/>
      <x:c r="B44" s="406"/>
      <x:c r="C44" s="406"/>
      <x:c r="D44" s="406"/>
      <x:c r="E44" s="361"/>
      <x:c r="F44" s="361"/>
      <x:c r="G44" s="361"/>
      <x:c r="H44" s="361"/>
      <x:c r="I44" s="361"/>
      <x:c r="J44" s="361"/>
      <x:c r="K44" s="361"/>
      <x:c r="L44" s="361"/>
      <x:c r="M44" s="361"/>
    </x:row>
    <x:row r="45">
      <x:c r="A45" s="472" t="str">
        <x:v>Liabilities and equity</x:v>
      </x:c>
      <x:c r="B45" s="414"/>
      <x:c r="C45" s="414"/>
      <x:c r="D45" s="414"/>
      <x:c r="E45" s="415"/>
      <x:c r="F45" s="415"/>
      <x:c r="G45" s="415"/>
      <x:c r="H45" s="415"/>
      <x:c r="I45" s="415"/>
      <x:c r="J45" s="415"/>
      <x:c r="K45" s="415"/>
      <x:c r="L45" s="415"/>
      <x:c r="M45" s="415"/>
    </x:row>
    <x:row r="46">
      <x:c r="A46" s="323" t="str">
        <x:v>Share capital</x:v>
      </x:c>
      <x:c r="B46" s="360" t="n">
        <x:v>129.005</x:v>
      </x:c>
      <x:c r="C46" s="360" t="n">
        <x:v>129.005</x:v>
      </x:c>
      <x:c r="D46" s="360" t="n">
        <x:v>129.005</x:v>
      </x:c>
      <x:c r="E46" s="309" t="n">
        <x:f>'Supporting Schedules'!E74</x:f>
        <x:v>129.005</x:v>
      </x:c>
      <x:c r="F46" s="309" t="n">
        <x:f>'Supporting Schedules'!F74</x:f>
        <x:v>129.005</x:v>
      </x:c>
      <x:c r="G46" s="309" t="n">
        <x:f>'Supporting Schedules'!G74</x:f>
        <x:v>129.005</x:v>
      </x:c>
      <x:c r="H46" s="309" t="n">
        <x:f>'Supporting Schedules'!H74</x:f>
        <x:v>129.005</x:v>
      </x:c>
      <x:c r="I46" s="309" t="n">
        <x:f>'Supporting Schedules'!I74</x:f>
        <x:v>129.005</x:v>
      </x:c>
      <x:c r="J46" s="309" t="n">
        <x:f>'Supporting Schedules'!J74</x:f>
        <x:v>129.005</x:v>
      </x:c>
      <x:c r="K46" s="309" t="n">
        <x:f>'Supporting Schedules'!K74</x:f>
        <x:v>129.005</x:v>
      </x:c>
      <x:c r="L46" s="309" t="n">
        <x:f>'Supporting Schedules'!L74</x:f>
        <x:v>129.005</x:v>
      </x:c>
      <x:c r="M46" s="309" t="n">
        <x:f>'Supporting Schedules'!M74</x:f>
        <x:v>129.005</x:v>
      </x:c>
    </x:row>
    <x:row r="47">
      <x:c r="A47" s="323" t="str">
        <x:v>Reserves and retained earnings</x:v>
      </x:c>
      <x:c r="B47" s="360" t="n">
        <x:v>12698.043</x:v>
      </x:c>
      <x:c r="C47" s="360" t="n">
        <x:v>15119.058</x:v>
      </x:c>
      <x:c r="D47" s="360" t="n">
        <x:v>18615.724</x:v>
      </x:c>
      <x:c r="E47" s="309" t="n">
        <x:f>'Supporting Schedules'!E73</x:f>
        <x:v>22251.177356992535</x:v>
      </x:c>
      <x:c r="F47" s="309" t="n">
        <x:f>'Supporting Schedules'!F73</x:f>
        <x:v>26333.73556514801</x:v>
      </x:c>
      <x:c r="G47" s="309" t="n">
        <x:f>'Supporting Schedules'!G73</x:f>
        <x:v>30954.42556647334</x:v>
      </x:c>
      <x:c r="H47" s="309" t="n">
        <x:f>'Supporting Schedules'!H73</x:f>
        <x:v>36331.38680229291</x:v>
      </x:c>
      <x:c r="I47" s="309" t="n">
        <x:f>'Supporting Schedules'!I73</x:f>
        <x:v>42035.34905375972</x:v>
      </x:c>
      <x:c r="J47" s="309" t="n">
        <x:f>'Supporting Schedules'!J73</x:f>
        <x:v>48360.43938262734</x:v>
      </x:c>
      <x:c r="K47" s="309" t="n">
        <x:f>'Supporting Schedules'!K73</x:f>
        <x:v>54665.433453676975</x:v>
      </x:c>
      <x:c r="L47" s="309" t="n">
        <x:f>'Supporting Schedules'!L73</x:f>
        <x:v>61340.88238902677</x:v>
      </x:c>
      <x:c r="M47" s="309" t="n">
        <x:f>'Supporting Schedules'!M73</x:f>
        <x:v>68260.21694358013</x:v>
      </x:c>
    </x:row>
    <x:row r="48">
      <x:c r="A48" s="468" t="str">
        <x:v>Total equity</x:v>
      </x:c>
      <x:c r="B48" s="416" t="n">
        <x:f>SUM(B46:B47)</x:f>
        <x:v>12827.047999999999</x:v>
      </x:c>
      <x:c r="C48" s="416" t="n">
        <x:f>SUM(C46:C47)</x:f>
        <x:v>15248.063</x:v>
      </x:c>
      <x:c r="D48" s="416" t="n">
        <x:f>SUM(D46:D47)</x:f>
        <x:v>18744.729</x:v>
      </x:c>
      <x:c r="E48" s="307" t="n">
        <x:f>SUM(E46:E47)</x:f>
        <x:v>22380.182356992536</x:v>
      </x:c>
      <x:c r="F48" s="307" t="n">
        <x:f>SUM(F46:F47)</x:f>
        <x:v>26462.74056514801</x:v>
      </x:c>
      <x:c r="G48" s="307" t="n">
        <x:f>SUM(G46:G47)</x:f>
        <x:v>31083.43056647334</x:v>
      </x:c>
      <x:c r="H48" s="307" t="n">
        <x:f>SUM(H46:H47)</x:f>
        <x:v>36460.39180229291</x:v>
      </x:c>
      <x:c r="I48" s="307" t="n">
        <x:f>SUM(I46:I47)</x:f>
        <x:v>42164.354053759715</x:v>
      </x:c>
      <x:c r="J48" s="307" t="n">
        <x:f>SUM(J46:J47)</x:f>
        <x:v>48489.444382627335</x:v>
      </x:c>
      <x:c r="K48" s="307" t="n">
        <x:f>SUM(K46:K47)</x:f>
        <x:v>54794.43845367697</x:v>
      </x:c>
      <x:c r="L48" s="307" t="n">
        <x:f>SUM(L46:L47)</x:f>
        <x:v>61469.887389026764</x:v>
      </x:c>
      <x:c r="M48" s="307" t="n">
        <x:f>SUM(M46:M47)</x:f>
        <x:v>68389.22194358014</x:v>
      </x:c>
    </x:row>
    <x:row r="49">
      <x:c r="A49" s="323" t="str">
        <x:v>Long-term debt</x:v>
      </x:c>
      <x:c r="B49" s="360" t="n">
        <x:v>449.206</x:v>
      </x:c>
      <x:c r="C49" s="360" t="n">
        <x:v>907.274</x:v>
      </x:c>
      <x:c r="D49" s="360" t="n">
        <x:v>1609.473</x:v>
      </x:c>
      <x:c r="E49" s="309" t="n">
        <x:f>'Supporting Schedules'!E45</x:f>
        <x:v>1812.9048</x:v>
      </x:c>
      <x:c r="F49" s="309" t="n">
        <x:f>'Supporting Schedules'!F45</x:f>
        <x:v>1572.9048000000003</x:v>
      </x:c>
      <x:c r="G49" s="309" t="n">
        <x:f>'Supporting Schedules'!G45</x:f>
        <x:v>932.9048000000001</x:v>
      </x:c>
      <x:c r="H49" s="309" t="n">
        <x:f>'Supporting Schedules'!H45</x:f>
        <x:v>532.9048</x:v>
      </x:c>
      <x:c r="I49" s="309" t="n">
        <x:f>'Supporting Schedules'!I45</x:f>
        <x:v>292.90479999999997</x:v>
      </x:c>
      <x:c r="J49" s="309" t="n">
        <x:f>'Supporting Schedules'!J45</x:f>
        <x:v>0</x:v>
      </x:c>
      <x:c r="K49" s="309" t="n">
        <x:f>'Supporting Schedules'!K45</x:f>
        <x:v>0</x:v>
      </x:c>
      <x:c r="L49" s="309" t="n">
        <x:f>'Supporting Schedules'!L45</x:f>
        <x:v>0</x:v>
      </x:c>
      <x:c r="M49" s="309" t="n">
        <x:f>'Supporting Schedules'!M45</x:f>
        <x:v>0</x:v>
      </x:c>
    </x:row>
    <x:row r="50">
      <x:c r="A50" s="323" t="str">
        <x:v>Short-term debt</x:v>
      </x:c>
      <x:c r="B50" s="360" t="n">
        <x:v>375.864</x:v>
      </x:c>
      <x:c r="C50" s="360" t="n">
        <x:v>452.827</x:v>
      </x:c>
      <x:c r="D50" s="360" t="n">
        <x:v>356.658</x:v>
      </x:c>
      <x:c r="E50" s="309" t="n">
        <x:f>'Supporting Schedules'!E46</x:f>
        <x:v>453.2262</x:v>
      </x:c>
      <x:c r="F50" s="309" t="n">
        <x:f>'Supporting Schedules'!F46</x:f>
        <x:v>393.22620000000006</x:v>
      </x:c>
      <x:c r="G50" s="309" t="n">
        <x:f>'Supporting Schedules'!G46</x:f>
        <x:v>233.22620000000003</x:v>
      </x:c>
      <x:c r="H50" s="309" t="n">
        <x:f>'Supporting Schedules'!H46</x:f>
        <x:v>133.2262</x:v>
      </x:c>
      <x:c r="I50" s="309" t="n">
        <x:f>'Supporting Schedules'!I46</x:f>
        <x:v>73.22619999999999</x:v>
      </x:c>
      <x:c r="J50" s="309" t="n">
        <x:f>'Supporting Schedules'!J46</x:f>
        <x:v>0</x:v>
      </x:c>
      <x:c r="K50" s="309" t="n">
        <x:f>'Supporting Schedules'!K46</x:f>
        <x:v>0</x:v>
      </x:c>
      <x:c r="L50" s="309" t="n">
        <x:f>'Supporting Schedules'!L46</x:f>
        <x:v>0</x:v>
      </x:c>
      <x:c r="M50" s="309" t="n">
        <x:f>'Supporting Schedules'!M46</x:f>
        <x:v>0</x:v>
      </x:c>
    </x:row>
    <x:row r="51">
      <x:c r="A51" s="323" t="str">
        <x:v>Trade payables</x:v>
      </x:c>
      <x:c r="B51" s="360" t="n">
        <x:v>1919.591</x:v>
      </x:c>
      <x:c r="C51" s="360" t="n">
        <x:v>2522.036</x:v>
      </x:c>
      <x:c r="D51" s="360" t="n">
        <x:v>2691.441</x:v>
      </x:c>
      <x:c r="E51" s="309" t="n">
        <x:f>'Supporting Schedules'!E13</x:f>
        <x:v>2943.5910784417815</x:v>
      </x:c>
      <x:c r="F51" s="309" t="n">
        <x:f>'Supporting Schedules'!F13</x:f>
        <x:v>3387.9457255589587</x:v>
      </x:c>
      <x:c r="G51" s="309" t="n">
        <x:f>'Supporting Schedules'!G13</x:f>
        <x:v>3820.651162289663</x:v>
      </x:c>
      <x:c r="H51" s="309" t="n">
        <x:f>'Supporting Schedules'!H13</x:f>
        <x:v>4056.784114490878</x:v>
      </x:c>
      <x:c r="I51" s="309" t="n">
        <x:f>'Supporting Schedules'!I13</x:f>
        <x:v>4425.96478415562</x:v>
      </x:c>
      <x:c r="J51" s="309" t="n">
        <x:f>'Supporting Schedules'!J13</x:f>
        <x:v>4769.749192894529</x:v>
      </x:c>
      <x:c r="K51" s="309" t="n">
        <x:f>'Supporting Schedules'!K13</x:f>
        <x:v>4868.434920500039</x:v>
      </x:c>
      <x:c r="L51" s="309" t="n">
        <x:f>'Supporting Schedules'!L13</x:f>
        <x:v>5120.592677192093</x:v>
      </x:c>
      <x:c r="M51" s="309" t="n">
        <x:f>'Supporting Schedules'!M13</x:f>
        <x:v>5321.683372185885</x:v>
      </x:c>
    </x:row>
    <x:row r="52">
      <x:c r="A52" s="323" t="str">
        <x:v>Other current liabilities</x:v>
      </x:c>
      <x:c r="B52" s="360" t="n">
        <x:v>1981.377</x:v>
      </x:c>
      <x:c r="C52" s="360" t="n">
        <x:v>1681.996</x:v>
      </x:c>
      <x:c r="D52" s="360" t="n">
        <x:v>4053.881</x:v>
      </x:c>
      <x:c r="E52" s="309" t="n">
        <x:f>'Supporting Schedules'!E17</x:f>
        <x:v>3818.7127504109594</x:v>
      </x:c>
      <x:c r="F52" s="309" t="n">
        <x:f>'Supporting Schedules'!F17</x:f>
        <x:v>4050.8046718639725</x:v>
      </x:c>
      <x:c r="G52" s="309" t="n">
        <x:f>'Supporting Schedules'!G17</x:f>
        <x:v>4187.014972372233</x:v>
      </x:c>
      <x:c r="H52" s="309" t="n">
        <x:f>'Supporting Schedules'!H17</x:f>
        <x:v>4482.634380652905</x:v>
      </x:c>
      <x:c r="I52" s="309" t="n">
        <x:f>'Supporting Schedules'!I17</x:f>
        <x:v>4712.832872017559</x:v>
      </x:c>
      <x:c r="J52" s="309" t="n">
        <x:f>'Supporting Schedules'!J17</x:f>
        <x:v>4996.24566294818</x:v>
      </x:c>
      <x:c r="K52" s="309" t="n">
        <x:f>'Supporting Schedules'!K17</x:f>
        <x:v>5336.245802521051</x:v>
      </x:c>
      <x:c r="L52" s="309" t="n">
        <x:f>'Supporting Schedules'!L17</x:f>
        <x:v>5628.399376493508</x:v>
      </x:c>
      <x:c r="M52" s="309" t="n">
        <x:f>'Supporting Schedules'!M17</x:f>
        <x:v>5865.90941208487</x:v>
      </x:c>
    </x:row>
    <x:row r="53">
      <x:c r="A53" s="323" t="str">
        <x:v>Deferred tax and other non-current liabilities</x:v>
      </x:c>
      <x:c r="B53" s="360" t="n">
        <x:v>772.524</x:v>
      </x:c>
      <x:c r="C53" s="360" t="n">
        <x:v>986.62</x:v>
      </x:c>
      <x:c r="D53" s="360" t="n">
        <x:v>1845.195</x:v>
      </x:c>
      <x:c r="E53" s="309" t="n">
        <x:f>'Supporting Schedules'!E65+'Supporting Schedules'!E82</x:f>
        <x:v>1881.0688613039379</x:v>
      </x:c>
      <x:c r="F53" s="309" t="n">
        <x:f>'Supporting Schedules'!F65+'Supporting Schedules'!F82</x:f>
        <x:v>1922.9535253737135</x:v>
      </x:c>
      <x:c r="G53" s="309" t="n">
        <x:f>'Supporting Schedules'!G65+'Supporting Schedules'!G82</x:f>
        <x:v>1979.213372467961</x:v>
      </x:c>
      <x:c r="H53" s="309" t="n">
        <x:f>'Supporting Schedules'!H65+'Supporting Schedules'!H82</x:f>
        <x:v>2060.9492780044507</x:v>
      </x:c>
      <x:c r="I53" s="309" t="n">
        <x:f>'Supporting Schedules'!I65+'Supporting Schedules'!I82</x:f>
        <x:v>2179.925353241042</x:v>
      </x:c>
      <x:c r="J53" s="309" t="n">
        <x:f>'Supporting Schedules'!J65+'Supporting Schedules'!J82</x:f>
        <x:v>2343.554460273526</x:v>
      </x:c>
      <x:c r="K53" s="309" t="n">
        <x:f>'Supporting Schedules'!K65+'Supporting Schedules'!K82</x:f>
        <x:v>2557.3503617816477</x:v>
      </x:c>
      <x:c r="L53" s="309" t="n">
        <x:f>'Supporting Schedules'!L65+'Supporting Schedules'!L82</x:f>
        <x:v>2826.180648186997</x:v>
      </x:c>
      <x:c r="M53" s="309" t="n">
        <x:f>'Supporting Schedules'!M65+'Supporting Schedules'!M82</x:f>
        <x:v>3155.0370139360803</x:v>
      </x:c>
    </x:row>
    <x:row r="54">
      <x:c r="A54" s="468" t="str">
        <x:v>Total liabilities and equity</x:v>
      </x:c>
      <x:c r="B54" s="404" t="n">
        <x:f>SUM(B48:B53)</x:f>
        <x:v>18325.61</x:v>
      </x:c>
      <x:c r="C54" s="404" t="n">
        <x:f>SUM(C48:C53)</x:f>
        <x:v>21798.816</x:v>
      </x:c>
      <x:c r="D54" s="404" t="n">
        <x:f>SUM(D48:D53)</x:f>
        <x:v>29301.376999999997</x:v>
      </x:c>
      <x:c r="E54" s="405" t="n">
        <x:f>SUM(E48:E53)</x:f>
        <x:v>33289.68604714922</x:v>
      </x:c>
      <x:c r="F54" s="405" t="n">
        <x:f>SUM(F48:F53)</x:f>
        <x:v>37790.575487944654</x:v>
      </x:c>
      <x:c r="G54" s="405" t="n">
        <x:f>SUM(G48:G53)</x:f>
        <x:v>42236.4410736032</x:v>
      </x:c>
      <x:c r="H54" s="405" t="n">
        <x:f>SUM(H48:H53)</x:f>
        <x:v>47726.89057544114</x:v>
      </x:c>
      <x:c r="I54" s="405" t="n">
        <x:f>SUM(I48:I53)</x:f>
        <x:v>53849.20806317393</x:v>
      </x:c>
      <x:c r="J54" s="405" t="n">
        <x:f>SUM(J48:J53)</x:f>
        <x:v>60598.99369874357</x:v>
      </x:c>
      <x:c r="K54" s="405" t="n">
        <x:f>SUM(K48:K53)</x:f>
        <x:v>67556.46953847971</x:v>
      </x:c>
      <x:c r="L54" s="405" t="n">
        <x:f>SUM(L48:L53)</x:f>
        <x:v>75045.06009089935</x:v>
      </x:c>
      <x:c r="M54" s="405" t="n">
        <x:f>SUM(M48:M53)</x:f>
        <x:v>82731.85174178697</x:v>
      </x:c>
    </x:row>
    <x:row r="55">
      <x:c r="A55" s="468" t="str">
        <x:v>Balance-sheet check</x:v>
      </x:c>
      <x:c r="B55" s="404" t="n">
        <x:f>ROUND(B43-B54,1)</x:f>
        <x:v>0</x:v>
      </x:c>
      <x:c r="C55" s="404" t="n">
        <x:f>ROUND(C43-C54,1)</x:f>
        <x:v>0</x:v>
      </x:c>
      <x:c r="D55" s="404" t="n">
        <x:f>ROUND(D43-D54,1)</x:f>
        <x:v>0</x:v>
      </x:c>
      <x:c r="E55" s="405" t="n">
        <x:f>ROUND(E43-E54,1)</x:f>
        <x:v>0</x:v>
      </x:c>
      <x:c r="F55" s="405" t="n">
        <x:f>ROUND(F43-F54,1)</x:f>
        <x:v>0</x:v>
      </x:c>
      <x:c r="G55" s="405" t="n">
        <x:f>ROUND(G43-G54,1)</x:f>
        <x:v>0</x:v>
      </x:c>
      <x:c r="H55" s="405" t="n">
        <x:f>ROUND(H43-H54,1)</x:f>
        <x:v>0</x:v>
      </x:c>
      <x:c r="I55" s="405" t="n">
        <x:f>ROUND(I43-I54,1)</x:f>
        <x:v>0</x:v>
      </x:c>
      <x:c r="J55" s="405" t="n">
        <x:f>ROUND(J43-J54,1)</x:f>
        <x:v>0</x:v>
      </x:c>
      <x:c r="K55" s="405" t="n">
        <x:f>ROUND(K43-K54,1)</x:f>
        <x:v>0</x:v>
      </x:c>
      <x:c r="L55" s="405" t="n">
        <x:f>ROUND(L43-L54,1)</x:f>
        <x:v>0</x:v>
      </x:c>
      <x:c r="M55" s="405" t="n">
        <x:f>ROUND(M43-M54,1)</x:f>
        <x:v>0</x:v>
      </x:c>
    </x:row>
    <x:row r="56">
      <x:c r="A56" s="323"/>
      <x:c r="B56" s="303"/>
      <x:c r="C56" s="303"/>
      <x:c r="D56" s="303"/>
      <x:c r="E56" s="304"/>
      <x:c r="F56" s="304"/>
      <x:c r="G56" s="304"/>
      <x:c r="H56" s="304"/>
      <x:c r="I56" s="304"/>
      <x:c r="J56" s="304"/>
      <x:c r="K56" s="304"/>
      <x:c r="L56" s="304"/>
      <x:c r="M56" s="304"/>
    </x:row>
    <x:row r="57">
      <x:c r="A57" s="323"/>
      <x:c r="B57" s="303"/>
      <x:c r="C57" s="303"/>
      <x:c r="D57" s="303"/>
      <x:c r="E57" s="304"/>
      <x:c r="F57" s="304"/>
      <x:c r="G57" s="304"/>
      <x:c r="H57" s="304"/>
      <x:c r="I57" s="304"/>
      <x:c r="J57" s="304"/>
      <x:c r="K57" s="304"/>
      <x:c r="L57" s="304"/>
      <x:c r="M57" s="304"/>
    </x:row>
    <x:row r="58" ht="20" customHeight="1">
      <x:c r="A58" s="258" t="str">
        <x:v>Cash-Flow Statement</x:v>
      </x:c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</x:row>
    <x:row r="59">
      <x:c r="A59" s="472" t="str">
        <x:v>Cash flow from operations</x:v>
      </x:c>
      <x:c r="B59" s="412"/>
      <x:c r="C59" s="412"/>
      <x:c r="D59" s="412"/>
      <x:c r="E59" s="413"/>
      <x:c r="F59" s="413"/>
      <x:c r="G59" s="413"/>
      <x:c r="H59" s="413"/>
      <x:c r="I59" s="413"/>
      <x:c r="J59" s="413"/>
      <x:c r="K59" s="413"/>
      <x:c r="L59" s="413"/>
      <x:c r="M59" s="413"/>
    </x:row>
    <x:row r="60">
      <x:c r="A60" s="323" t="str">
        <x:v>Profit after tax</x:v>
      </x:c>
      <x:c r="B60" s="360" t="n">
        <x:v>3000.789</x:v>
      </x:c>
      <x:c r="C60" s="360" t="n">
        <x:v>2601.081</x:v>
      </x:c>
      <x:c r="D60" s="360" t="n">
        <x:v>3639.984</x:v>
      </x:c>
      <x:c r="E60" s="361" t="n">
        <x:f>E28</x:f>
        <x:v>4363.450156992536</x:v>
      </x:c>
      <x:c r="F60" s="361" t="n">
        <x:f>F28</x:f>
        <x:v>5173.420747403607</x:v>
      </x:c>
      <x:c r="G60" s="361" t="n">
        <x:f>G28</x:f>
        <x:v>6172.716225546409</x:v>
      </x:c>
      <x:c r="H60" s="361" t="n">
        <x:f>H28</x:f>
        <x:v>7228.776103483498</x:v>
      </x:c>
      <x:c r="I60" s="361" t="n">
        <x:f>I28</x:f>
        <x:v>8234.033887686033</x:v>
      </x:c>
      <x:c r="J60" s="361" t="n">
        <x:f>J28</x:f>
        <x:v>9207.002189557734</x:v>
      </x:c>
      <x:c r="K60" s="361" t="n">
        <x:f>K28</x:f>
        <x:v>9987.794946872731</x:v>
      </x:c>
      <x:c r="L60" s="361" t="n">
        <x:f>L28</x:f>
        <x:v>10670.566914098881</x:v>
      </x:c>
      <x:c r="M60" s="361" t="n">
        <x:f>M28</x:f>
        <x:v>11187.561320192915</x:v>
      </x:c>
    </x:row>
    <x:row r="61">
      <x:c r="A61" s="323" t="str">
        <x:v>Depreciation &amp; amortisation</x:v>
      </x:c>
      <x:c r="B61" s="360" t="n">
        <x:v>596.999</x:v>
      </x:c>
      <x:c r="C61" s="360" t="n">
        <x:v>655.466</x:v>
      </x:c>
      <x:c r="D61" s="360" t="n">
        <x:v>917.395</x:v>
      </x:c>
      <x:c r="E61" s="361" t="n">
        <x:f>E19</x:f>
        <x:v>958.19446</x:v>
      </x:c>
      <x:c r="F61" s="361" t="n">
        <x:f>F19</x:f>
        <x:v>1223.1229309</x:v>
      </x:c>
      <x:c r="G61" s="361" t="n">
        <x:f>G19</x:f>
        <x:v>1375.2199817735002</x:v>
      </x:c>
      <x:c r="H61" s="361" t="n">
        <x:f>H19</x:f>
        <x:v>1459.1387833227527</x:v>
      </x:c>
      <x:c r="I61" s="361" t="n">
        <x:f>I19</x:f>
        <x:v>1517.8619867403186</x:v>
      </x:c>
      <x:c r="J61" s="361" t="n">
        <x:f>J19</x:f>
        <x:v>1574.7812178673914</x:v>
      </x:c>
      <x:c r="K61" s="361" t="n">
        <x:f>K19</x:f>
        <x:v>1635.3623143486632</x:v>
      </x:c>
      <x:c r="L61" s="361" t="n">
        <x:f>L19</x:f>
        <x:v>1701.419017629027</x:v>
      </x:c>
      <x:c r="M61" s="361" t="n">
        <x:f>M19</x:f>
        <x:v>1770.3609011305596</x:v>
      </x:c>
    </x:row>
    <x:row r="62">
      <x:c r="A62" s="323" t="str">
        <x:v>Finance costs</x:v>
      </x:c>
      <x:c r="B62" s="360" t="n">
        <x:v>139.974</x:v>
      </x:c>
      <x:c r="C62" s="360" t="n">
        <x:v>82.971</x:v>
      </x:c>
      <x:c r="D62" s="360" t="n">
        <x:v>239.474</x:v>
      </x:c>
      <x:c r="E62" s="361" t="n">
        <x:f>E21</x:f>
        <x:v>179.871135</x:v>
      </x:c>
      <x:c r="F62" s="361" t="n">
        <x:f>F21</x:f>
        <x:v>179.871135</x:v>
      </x:c>
      <x:c r="G62" s="361" t="n">
        <x:f>G21</x:f>
        <x:v>133.121135</x:v>
      </x:c>
      <x:c r="H62" s="361" t="n">
        <x:f>H21</x:f>
        <x:v>77.87113500000001</x:v>
      </x:c>
      <x:c r="I62" s="361" t="n">
        <x:f>I21</x:f>
        <x:v>43.871135</x:v>
      </x:c>
      <x:c r="J62" s="361" t="n">
        <x:f>J21</x:f>
        <x:v>15.5605675</x:v>
      </x:c>
      <x:c r="K62" s="361" t="n">
        <x:f>K21</x:f>
        <x:v>0</x:v>
      </x:c>
      <x:c r="L62" s="361" t="n">
        <x:f>L21</x:f>
        <x:v>0</x:v>
      </x:c>
      <x:c r="M62" s="361" t="n">
        <x:f>M21</x:f>
        <x:v>0</x:v>
      </x:c>
    </x:row>
    <x:row r="63">
      <x:c r="A63" s="323" t="str">
        <x:v>Less: interest income</x:v>
      </x:c>
      <x:c r="B63" s="360" t="n">
        <x:v>-82.268</x:v>
      </x:c>
      <x:c r="C63" s="360" t="n">
        <x:v>-105.84</x:v>
      </x:c>
      <x:c r="D63" s="360" t="n">
        <x:v>-100.554</x:v>
      </x:c>
      <x:c r="E63" s="361" t="n">
        <x:f>-E8</x:f>
        <x:v>-140.68180903505038</x:v>
      </x:c>
      <x:c r="F63" s="361" t="n">
        <x:f>-F8</x:f>
        <x:v>-164.253584587355</x:v>
      </x:c>
      <x:c r="G63" s="361" t="n">
        <x:f>-G8</x:f>
        <x:v>-220.62685134999134</x:v>
      </x:c>
      <x:c r="H63" s="361" t="n">
        <x:f>-H8</x:f>
        <x:v>-320.53296288819615</x:v>
      </x:c>
      <x:c r="I63" s="361" t="n">
        <x:f>-I8</x:f>
        <x:v>-466.5728440650626</x:v>
      </x:c>
      <x:c r="J63" s="361" t="n">
        <x:f>-J8</x:f>
        <x:v>-641.6827726764059</x:v>
      </x:c>
      <x:c r="K63" s="361" t="n">
        <x:f>-K8</x:f>
        <x:v>-838.4153000318514</x:v>
      </x:c>
      <x:c r="L63" s="361" t="n">
        <x:f>-L8</x:f>
        <x:v>-1054.2364172758805</x:v>
      </x:c>
      <x:c r="M63" s="361" t="n">
        <x:f>-M8</x:f>
        <x:v>-1289.6328068591497</x:v>
      </x:c>
    </x:row>
    <x:row r="64">
      <x:c r="A64" s="323" t="str">
        <x:v>Deferred tax / non-cash tax</x:v>
      </x:c>
      <x:c r="B64" s="360" t="n">
        <x:v>16.866</x:v>
      </x:c>
      <x:c r="C64" s="360" t="n">
        <x:v>124.541</x:v>
      </x:c>
      <x:c r="D64" s="360" t="n">
        <x:v>-39.767</x:v>
      </x:c>
      <x:c r="E64" s="361" t="n">
        <x:f>E26</x:f>
        <x:v>35.87386130393793</x:v>
      </x:c>
      <x:c r="F64" s="361" t="n">
        <x:f>F26</x:f>
        <x:v>41.88466406977568</x:v>
      </x:c>
      <x:c r="G64" s="361" t="n">
        <x:f>G26</x:f>
        <x:v>56.25984709424756</x:v>
      </x:c>
      <x:c r="H64" s="361" t="n">
        <x:f>H26</x:f>
        <x:v>81.73590553648955</x:v>
      </x:c>
      <x:c r="I64" s="361" t="n">
        <x:f>I26</x:f>
        <x:v>118.97607523659144</x:v>
      </x:c>
      <x:c r="J64" s="361" t="n">
        <x:f>J26</x:f>
        <x:v>163.62910703248372</x:v>
      </x:c>
      <x:c r="K64" s="361" t="n">
        <x:f>K26</x:f>
        <x:v>213.79590150812191</x:v>
      </x:c>
      <x:c r="L64" s="361" t="n">
        <x:f>L26</x:f>
        <x:v>268.8302864053494</x:v>
      </x:c>
      <x:c r="M64" s="361" t="n">
        <x:f>M26</x:f>
        <x:v>328.8563657490831</x:v>
      </x:c>
    </x:row>
    <x:row r="65">
      <x:c r="A65" s="323" t="str">
        <x:v>Change in net working capital</x:v>
      </x:c>
      <x:c r="B65" s="360" t="n">
        <x:v>-312.088</x:v>
      </x:c>
      <x:c r="C65" s="360" t="n">
        <x:v>-205.435</x:v>
      </x:c>
      <x:c r="D65" s="360" t="n">
        <x:v>1911.698</x:v>
      </x:c>
      <x:c r="E65" s="309" t="n">
        <x:f>-'Supporting Schedules'!E19</x:f>
        <x:v>-1354.047417508904</x:v>
      </x:c>
      <x:c r="F65" s="309" t="n">
        <x:f>-'Supporting Schedules'!F19</x:f>
        <x:v>-920.8795107452806</x:v>
      </x:c>
      <x:c r="G65" s="309" t="n">
        <x:f>-'Supporting Schedules'!G19</x:f>
        <x:v>-1003.8195176785866</x:v>
      </x:c>
      <x:c r="H65" s="309" t="n">
        <x:f>-'Supporting Schedules'!H19</x:f>
        <x:v>-870.9745487448654</x:v>
      </x:c>
      <x:c r="I65" s="309" t="n">
        <x:f>-'Supporting Schedules'!I19</x:f>
        <x:v>-739.6277493574817</x:v>
      </x:c>
      <x:c r="J65" s="309" t="n">
        <x:f>-'Supporting Schedules'!J19</x:f>
        <x:v>-567.9358586752278</x:v>
      </x:c>
      <x:c r="K65" s="309" t="n">
        <x:f>-'Supporting Schedules'!K19</x:f>
        <x:v>-550.2271868709686</x:v>
      </x:c>
      <x:c r="L65" s="309" t="n">
        <x:f>-'Supporting Schedules'!L19</x:f>
        <x:v>-342.7463599741277</x:v>
      </x:c>
      <x:c r="M65" s="309" t="n">
        <x:f>-'Supporting Schedules'!M19</x:f>
        <x:v>-216.28783209631</x:v>
      </x:c>
    </x:row>
    <x:row r="66">
      <x:c r="A66" s="323" t="str">
        <x:v>Other non-cash / operating adjustments</x:v>
      </x:c>
      <x:c r="B66" s="360" t="n">
        <x:v>-748.5050000000006</x:v>
      </x:c>
      <x:c r="C66" s="360" t="n">
        <x:v>21.04399999999987</x:v>
      </x:c>
      <x:c r="D66" s="360" t="n">
        <x:v>-3101.4260000000004</x:v>
      </x:c>
      <x:c r="E66" s="408" t="n">
        <x:v>0</x:v>
      </x:c>
      <x:c r="F66" s="408" t="n">
        <x:v>0</x:v>
      </x:c>
      <x:c r="G66" s="408" t="n">
        <x:v>0</x:v>
      </x:c>
      <x:c r="H66" s="408" t="n">
        <x:v>0</x:v>
      </x:c>
      <x:c r="I66" s="408" t="n">
        <x:v>0</x:v>
      </x:c>
      <x:c r="J66" s="408" t="n">
        <x:v>0</x:v>
      </x:c>
      <x:c r="K66" s="408" t="n">
        <x:v>0</x:v>
      </x:c>
      <x:c r="L66" s="408" t="n">
        <x:v>0</x:v>
      </x:c>
      <x:c r="M66" s="408" t="n">
        <x:v>0</x:v>
      </x:c>
    </x:row>
    <x:row r="67">
      <x:c r="A67" s="468" t="str">
        <x:v>Cash flow from operations</x:v>
      </x:c>
      <x:c r="B67" s="416" t="n">
        <x:f>SUM(B60:B66)</x:f>
        <x:v>2611.767</x:v>
      </x:c>
      <x:c r="C67" s="416" t="n">
        <x:f>SUM(C60:C66)</x:f>
        <x:v>3173.828</x:v>
      </x:c>
      <x:c r="D67" s="416" t="n">
        <x:f>SUM(D60:D66)</x:f>
        <x:v>3466.804</x:v>
      </x:c>
      <x:c r="E67" s="405" t="n">
        <x:f>SUM(E60:E66)</x:f>
        <x:v>4042.660386752519</x:v>
      </x:c>
      <x:c r="F67" s="405" t="n">
        <x:f>SUM(F60:F66)</x:f>
        <x:v>5533.166382040747</x:v>
      </x:c>
      <x:c r="G67" s="405" t="n">
        <x:f>SUM(G60:G66)</x:f>
        <x:v>6512.870820385579</x:v>
      </x:c>
      <x:c r="H67" s="405" t="n">
        <x:f>SUM(H60:H66)</x:f>
        <x:v>7656.014415709678</x:v>
      </x:c>
      <x:c r="I67" s="405" t="n">
        <x:f>SUM(I60:I66)</x:f>
        <x:v>8708.542491240398</x:v>
      </x:c>
      <x:c r="J67" s="405" t="n">
        <x:f>SUM(J60:J66)</x:f>
        <x:v>9751.354450605977</x:v>
      </x:c>
      <x:c r="K67" s="405" t="n">
        <x:f>SUM(K60:K66)</x:f>
        <x:v>10448.310675826697</x:v>
      </x:c>
      <x:c r="L67" s="405" t="n">
        <x:f>SUM(L60:L66)</x:f>
        <x:v>11243.833440883249</x:v>
      </x:c>
      <x:c r="M67" s="405" t="n">
        <x:f>SUM(M60:M66)</x:f>
        <x:v>11780.857948117098</x:v>
      </x:c>
    </x:row>
    <x:row r="68">
      <x:c r="A68" s="323"/>
      <x:c r="B68" s="360"/>
      <x:c r="C68" s="360"/>
      <x:c r="D68" s="360"/>
      <x:c r="E68" s="361"/>
      <x:c r="F68" s="361"/>
      <x:c r="G68" s="361"/>
      <x:c r="H68" s="361"/>
      <x:c r="I68" s="361"/>
      <x:c r="J68" s="361"/>
      <x:c r="K68" s="361"/>
      <x:c r="L68" s="361"/>
      <x:c r="M68" s="361"/>
    </x:row>
    <x:row r="69">
      <x:c r="A69" s="472" t="str">
        <x:v>Cash flow from investing</x:v>
      </x:c>
      <x:c r="B69" s="417"/>
      <x:c r="C69" s="417"/>
      <x:c r="D69" s="417"/>
      <x:c r="E69" s="415"/>
      <x:c r="F69" s="415"/>
      <x:c r="G69" s="415"/>
      <x:c r="H69" s="415"/>
      <x:c r="I69" s="415"/>
      <x:c r="J69" s="415"/>
      <x:c r="K69" s="415"/>
      <x:c r="L69" s="415"/>
      <x:c r="M69" s="415"/>
    </x:row>
    <x:row r="70">
      <x:c r="A70" s="323" t="str">
        <x:v>Capital expenditure</x:v>
      </x:c>
      <x:c r="B70" s="360" t="n">
        <x:v>-1436.698</x:v>
      </x:c>
      <x:c r="C70" s="360" t="n">
        <x:v>-2064.64</x:v>
      </x:c>
      <x:c r="D70" s="360" t="n">
        <x:v>-3971.321</x:v>
      </x:c>
      <x:c r="E70" s="309" t="n">
        <x:f>-'Supporting Schedules'!E33</x:f>
        <x:v>-3500</x:v>
      </x:c>
      <x:c r="F70" s="309" t="n">
        <x:f>-'Supporting Schedules'!F33</x:f>
        <x:v>-3000</x:v>
      </x:c>
      <x:c r="G70" s="309" t="n">
        <x:f>-'Supporting Schedules'!G33</x:f>
        <x:v>-2500</x:v>
      </x:c>
      <x:c r="H70" s="309" t="n">
        <x:f>-'Supporting Schedules'!H33</x:f>
        <x:v>-2200</x:v>
      </x:c>
      <x:c r="I70" s="309" t="n">
        <x:f>-'Supporting Schedules'!I33</x:f>
        <x:v>-2200</x:v>
      </x:c>
      <x:c r="J70" s="309" t="n">
        <x:f>-'Supporting Schedules'!J33</x:f>
        <x:v>-2300</x:v>
      </x:c>
      <x:c r="K70" s="309" t="n">
        <x:f>-'Supporting Schedules'!K33</x:f>
        <x:v>-2400</x:v>
      </x:c>
      <x:c r="L70" s="309" t="n">
        <x:f>-'Supporting Schedules'!L33</x:f>
        <x:v>-2500</x:v>
      </x:c>
      <x:c r="M70" s="309" t="n">
        <x:f>-'Supporting Schedules'!M33</x:f>
        <x:v>-2600</x:v>
      </x:c>
    </x:row>
    <x:row r="71">
      <x:c r="A71" s="323" t="str">
        <x:v>Asset sales / investment proceeds</x:v>
      </x:c>
      <x:c r="B71" s="360" t="n">
        <x:v>126.32</x:v>
      </x:c>
      <x:c r="C71" s="360" t="n">
        <x:v>-10.121</x:v>
      </x:c>
      <x:c r="D71" s="360" t="n">
        <x:v>1161.918</x:v>
      </x:c>
      <x:c r="E71" s="408" t="n">
        <x:v>0</x:v>
      </x:c>
      <x:c r="F71" s="408" t="n">
        <x:v>0</x:v>
      </x:c>
      <x:c r="G71" s="408" t="n">
        <x:v>0</x:v>
      </x:c>
      <x:c r="H71" s="408" t="n">
        <x:v>0</x:v>
      </x:c>
      <x:c r="I71" s="408" t="n">
        <x:v>0</x:v>
      </x:c>
      <x:c r="J71" s="408" t="n">
        <x:v>0</x:v>
      </x:c>
      <x:c r="K71" s="408" t="n">
        <x:v>0</x:v>
      </x:c>
      <x:c r="L71" s="408" t="n">
        <x:v>0</x:v>
      </x:c>
      <x:c r="M71" s="408" t="n">
        <x:v>0</x:v>
      </x:c>
    </x:row>
    <x:row r="72">
      <x:c r="A72" s="323" t="str">
        <x:v>Interest received</x:v>
      </x:c>
      <x:c r="B72" s="360" t="n">
        <x:v>82.268</x:v>
      </x:c>
      <x:c r="C72" s="360" t="n">
        <x:v>92.905</x:v>
      </x:c>
      <x:c r="D72" s="360" t="n">
        <x:v>86.074</x:v>
      </x:c>
      <x:c r="E72" s="361" t="n">
        <x:f>E8</x:f>
        <x:v>140.68180903505038</x:v>
      </x:c>
      <x:c r="F72" s="361" t="n">
        <x:f>F8</x:f>
        <x:v>164.253584587355</x:v>
      </x:c>
      <x:c r="G72" s="361" t="n">
        <x:f>G8</x:f>
        <x:v>220.62685134999134</x:v>
      </x:c>
      <x:c r="H72" s="361" t="n">
        <x:f>H8</x:f>
        <x:v>320.53296288819615</x:v>
      </x:c>
      <x:c r="I72" s="361" t="n">
        <x:f>I8</x:f>
        <x:v>466.5728440650626</x:v>
      </x:c>
      <x:c r="J72" s="361" t="n">
        <x:f>J8</x:f>
        <x:v>641.6827726764059</x:v>
      </x:c>
      <x:c r="K72" s="361" t="n">
        <x:f>K8</x:f>
        <x:v>838.4153000318514</x:v>
      </x:c>
      <x:c r="L72" s="361" t="n">
        <x:f>L8</x:f>
        <x:v>1054.2364172758805</x:v>
      </x:c>
      <x:c r="M72" s="361" t="n">
        <x:f>M8</x:f>
        <x:v>1289.6328068591497</x:v>
      </x:c>
    </x:row>
    <x:row r="73">
      <x:c r="A73" s="468" t="str">
        <x:v>Net cash flow from investing</x:v>
      </x:c>
      <x:c r="B73" s="416" t="n">
        <x:v>-1519.686</x:v>
      </x:c>
      <x:c r="C73" s="416" t="n">
        <x:v>-2981.559</x:v>
      </x:c>
      <x:c r="D73" s="416" t="n">
        <x:v>-4237.329</x:v>
      </x:c>
      <x:c r="E73" s="405" t="n">
        <x:f>SUM(E70:E72)</x:f>
        <x:v>-3359.3181909649497</x:v>
      </x:c>
      <x:c r="F73" s="405" t="n">
        <x:f>SUM(F70:F72)</x:f>
        <x:v>-2835.746415412645</x:v>
      </x:c>
      <x:c r="G73" s="405" t="n">
        <x:f>SUM(G70:G72)</x:f>
        <x:v>-2279.3731486500087</x:v>
      </x:c>
      <x:c r="H73" s="405" t="n">
        <x:f>SUM(H70:H72)</x:f>
        <x:v>-1879.4670371118038</x:v>
      </x:c>
      <x:c r="I73" s="405" t="n">
        <x:f>SUM(I70:I72)</x:f>
        <x:v>-1733.4271559349374</x:v>
      </x:c>
      <x:c r="J73" s="405" t="n">
        <x:f>SUM(J70:J72)</x:f>
        <x:v>-1658.3172273235941</x:v>
      </x:c>
      <x:c r="K73" s="405" t="n">
        <x:f>SUM(K70:K72)</x:f>
        <x:v>-1561.5846999681485</x:v>
      </x:c>
      <x:c r="L73" s="405" t="n">
        <x:f>SUM(L70:L72)</x:f>
        <x:v>-1445.7635827241195</x:v>
      </x:c>
      <x:c r="M73" s="405" t="n">
        <x:f>SUM(M70:M72)</x:f>
        <x:v>-1310.3671931408503</x:v>
      </x:c>
    </x:row>
    <x:row r="74">
      <x:c r="A74" s="323"/>
      <x:c r="B74" s="360"/>
      <x:c r="C74" s="360"/>
      <x:c r="D74" s="360"/>
      <x:c r="E74" s="361"/>
      <x:c r="F74" s="361"/>
      <x:c r="G74" s="361"/>
      <x:c r="H74" s="361"/>
      <x:c r="I74" s="361"/>
      <x:c r="J74" s="361"/>
      <x:c r="K74" s="361"/>
      <x:c r="L74" s="361"/>
      <x:c r="M74" s="361"/>
    </x:row>
    <x:row r="75">
      <x:c r="A75" s="472" t="str">
        <x:v>Cash flow from financing</x:v>
      </x:c>
      <x:c r="B75" s="417"/>
      <x:c r="C75" s="417"/>
      <x:c r="D75" s="417"/>
      <x:c r="E75" s="415"/>
      <x:c r="F75" s="415"/>
      <x:c r="G75" s="415"/>
      <x:c r="H75" s="415"/>
      <x:c r="I75" s="415"/>
      <x:c r="J75" s="415"/>
      <x:c r="K75" s="415"/>
      <x:c r="L75" s="415"/>
      <x:c r="M75" s="415"/>
    </x:row>
    <x:row r="76">
      <x:c r="A76" s="323" t="str">
        <x:v>Debt raised</x:v>
      </x:c>
      <x:c r="B76" s="360" t="n">
        <x:v>88.219</x:v>
      </x:c>
      <x:c r="C76" s="360" t="n">
        <x:v>947.782</x:v>
      </x:c>
      <x:c r="D76" s="360" t="n">
        <x:v>1056.093</x:v>
      </x:c>
      <x:c r="E76" s="309" t="n">
        <x:f>'Supporting Schedules'!E42</x:f>
        <x:v>800</x:v>
      </x:c>
      <x:c r="F76" s="309" t="n">
        <x:f>'Supporting Schedules'!F42</x:f>
        <x:v>500</x:v>
      </x:c>
      <x:c r="G76" s="309" t="n">
        <x:f>'Supporting Schedules'!G42</x:f>
        <x:v>0</x:v>
      </x:c>
      <x:c r="H76" s="309" t="n">
        <x:f>'Supporting Schedules'!H42</x:f>
        <x:v>0</x:v>
      </x:c>
      <x:c r="I76" s="309" t="n">
        <x:f>'Supporting Schedules'!I42</x:f>
        <x:v>0</x:v>
      </x:c>
      <x:c r="J76" s="309" t="n">
        <x:f>'Supporting Schedules'!J42</x:f>
        <x:v>0</x:v>
      </x:c>
      <x:c r="K76" s="309" t="n">
        <x:f>'Supporting Schedules'!K42</x:f>
        <x:v>0</x:v>
      </x:c>
      <x:c r="L76" s="309" t="n">
        <x:f>'Supporting Schedules'!L42</x:f>
        <x:v>0</x:v>
      </x:c>
      <x:c r="M76" s="309" t="n">
        <x:f>'Supporting Schedules'!M42</x:f>
        <x:v>0</x:v>
      </x:c>
    </x:row>
    <x:row r="77">
      <x:c r="A77" s="323" t="str">
        <x:v>Debt repaid</x:v>
      </x:c>
      <x:c r="B77" s="360" t="n">
        <x:v>-482.621</x:v>
      </x:c>
      <x:c r="C77" s="360" t="n">
        <x:v>-394.353</x:v>
      </x:c>
      <x:c r="D77" s="360" t="n">
        <x:v>-447.178</x:v>
      </x:c>
      <x:c r="E77" s="309" t="n">
        <x:f>-'Supporting Schedules'!E43</x:f>
        <x:v>-500</x:v>
      </x:c>
      <x:c r="F77" s="309" t="n">
        <x:f>-'Supporting Schedules'!F43</x:f>
        <x:v>-800</x:v>
      </x:c>
      <x:c r="G77" s="309" t="n">
        <x:f>-'Supporting Schedules'!G43</x:f>
        <x:v>-800</x:v>
      </x:c>
      <x:c r="H77" s="309" t="n">
        <x:f>-'Supporting Schedules'!H43</x:f>
        <x:v>-500</x:v>
      </x:c>
      <x:c r="I77" s="309" t="n">
        <x:f>-'Supporting Schedules'!I43</x:f>
        <x:v>-300</x:v>
      </x:c>
      <x:c r="J77" s="309" t="n">
        <x:f>-'Supporting Schedules'!J43</x:f>
        <x:v>-366.131</x:v>
      </x:c>
      <x:c r="K77" s="309" t="n">
        <x:f>-'Supporting Schedules'!K43</x:f>
        <x:v>0</x:v>
      </x:c>
      <x:c r="L77" s="309" t="n">
        <x:f>-'Supporting Schedules'!L43</x:f>
        <x:v>0</x:v>
      </x:c>
      <x:c r="M77" s="309" t="n">
        <x:f>-'Supporting Schedules'!M43</x:f>
        <x:v>0</x:v>
      </x:c>
    </x:row>
    <x:row r="78">
      <x:c r="A78" s="323" t="str">
        <x:v>Interest paid</x:v>
      </x:c>
      <x:c r="B78" s="360" t="n">
        <x:v>-140.549</x:v>
      </x:c>
      <x:c r="C78" s="360" t="n">
        <x:v>-83.796</x:v>
      </x:c>
      <x:c r="D78" s="360" t="n">
        <x:v>-239.945</x:v>
      </x:c>
      <x:c r="E78" s="309" t="n">
        <x:f>-E21</x:f>
        <x:v>-179.871135</x:v>
      </x:c>
      <x:c r="F78" s="309" t="n">
        <x:f>-F21</x:f>
        <x:v>-179.871135</x:v>
      </x:c>
      <x:c r="G78" s="309" t="n">
        <x:f>-G21</x:f>
        <x:v>-133.121135</x:v>
      </x:c>
      <x:c r="H78" s="309" t="n">
        <x:f>-H21</x:f>
        <x:v>-77.87113500000001</x:v>
      </x:c>
      <x:c r="I78" s="309" t="n">
        <x:f>-I21</x:f>
        <x:v>-43.871135</x:v>
      </x:c>
      <x:c r="J78" s="309" t="n">
        <x:f>-J21</x:f>
        <x:v>-15.5605675</x:v>
      </x:c>
      <x:c r="K78" s="309" t="n">
        <x:f>-K21</x:f>
        <x:v>0</x:v>
      </x:c>
      <x:c r="L78" s="309" t="n">
        <x:f>-L21</x:f>
        <x:v>0</x:v>
      </x:c>
      <x:c r="M78" s="309" t="n">
        <x:f>-M21</x:f>
        <x:v>0</x:v>
      </x:c>
    </x:row>
    <x:row r="79">
      <x:c r="A79" s="323" t="str">
        <x:v>Dividend paid</x:v>
      </x:c>
      <x:c r="B79" s="360" t="n">
        <x:v>-128.299</x:v>
      </x:c>
      <x:c r="C79" s="360" t="n">
        <x:v>-179.618</x:v>
      </x:c>
      <x:c r="D79" s="360" t="n">
        <x:v>-153.959</x:v>
      </x:c>
      <x:c r="E79" s="309" t="n">
        <x:f>-'Supporting Schedules'!E72</x:f>
        <x:v>-727.9967999999994</x:v>
      </x:c>
      <x:c r="F79" s="309" t="n">
        <x:f>-'Supporting Schedules'!F72</x:f>
        <x:v>-1090.862539248134</x:v>
      </x:c>
      <x:c r="G79" s="309" t="n">
        <x:f>-'Supporting Schedules'!G72</x:f>
        <x:v>-1552.026224221082</x:v>
      </x:c>
      <x:c r="H79" s="309" t="n">
        <x:f>-'Supporting Schedules'!H72</x:f>
        <x:v>-1851.8148676639225</x:v>
      </x:c>
      <x:c r="I79" s="309" t="n">
        <x:f>-'Supporting Schedules'!I72</x:f>
        <x:v>-2530.0716362192243</x:v>
      </x:c>
      <x:c r="J79" s="309" t="n">
        <x:f>-'Supporting Schedules'!J72</x:f>
        <x:v>-2881.9118606901116</x:v>
      </x:c>
      <x:c r="K79" s="309" t="n">
        <x:f>-'Supporting Schedules'!K72</x:f>
        <x:v>-3682.8008758230935</x:v>
      </x:c>
      <x:c r="L79" s="309" t="n">
        <x:f>-'Supporting Schedules'!L72</x:f>
        <x:v>-3995.117978749093</x:v>
      </x:c>
      <x:c r="M79" s="309" t="n">
        <x:f>-'Supporting Schedules'!M72</x:f>
        <x:v>-4268.2267656395525</x:v>
      </x:c>
    </x:row>
    <x:row r="80">
      <x:c r="A80" s="323" t="str">
        <x:v>Lease / other financing items</x:v>
      </x:c>
      <x:c r="B80" s="360" t="n">
        <x:v>-29.568</x:v>
      </x:c>
      <x:c r="C80" s="360" t="n">
        <x:v>-40.405</x:v>
      </x:c>
      <x:c r="D80" s="360" t="n">
        <x:v>-5.257</x:v>
      </x:c>
      <x:c r="E80" s="408" t="n">
        <x:v>0</x:v>
      </x:c>
      <x:c r="F80" s="408" t="n">
        <x:v>0</x:v>
      </x:c>
      <x:c r="G80" s="408" t="n">
        <x:v>0</x:v>
      </x:c>
      <x:c r="H80" s="408" t="n">
        <x:v>0</x:v>
      </x:c>
      <x:c r="I80" s="408" t="n">
        <x:v>0</x:v>
      </x:c>
      <x:c r="J80" s="408" t="n">
        <x:v>0</x:v>
      </x:c>
      <x:c r="K80" s="408" t="n">
        <x:v>0</x:v>
      </x:c>
      <x:c r="L80" s="408" t="n">
        <x:v>0</x:v>
      </x:c>
      <x:c r="M80" s="408" t="n">
        <x:v>0</x:v>
      </x:c>
    </x:row>
    <x:row r="81">
      <x:c r="A81" s="468" t="str">
        <x:v>Net cash flow from financing</x:v>
      </x:c>
      <x:c r="B81" s="416" t="n">
        <x:v>-692.818</x:v>
      </x:c>
      <x:c r="C81" s="416" t="n">
        <x:v>249.61</x:v>
      </x:c>
      <x:c r="D81" s="416" t="n">
        <x:v>209.754</x:v>
      </x:c>
      <x:c r="E81" s="405" t="n">
        <x:f>SUM(E76:E80)</x:f>
        <x:v>-607.8679349999994</x:v>
      </x:c>
      <x:c r="F81" s="405" t="n">
        <x:f>SUM(F76:F80)</x:f>
        <x:v>-1570.7336742481339</x:v>
      </x:c>
      <x:c r="G81" s="405" t="n">
        <x:f>SUM(G76:G80)</x:f>
        <x:v>-2485.147359221082</x:v>
      </x:c>
      <x:c r="H81" s="405" t="n">
        <x:f>SUM(H76:H80)</x:f>
        <x:v>-2429.6860026639224</x:v>
      </x:c>
      <x:c r="I81" s="405" t="n">
        <x:f>SUM(I76:I80)</x:f>
        <x:v>-2873.942771219224</x:v>
      </x:c>
      <x:c r="J81" s="405" t="n">
        <x:f>SUM(J76:J80)</x:f>
        <x:v>-3263.6034281901116</x:v>
      </x:c>
      <x:c r="K81" s="405" t="n">
        <x:f>SUM(K76:K80)</x:f>
        <x:v>-3682.8008758230935</x:v>
      </x:c>
      <x:c r="L81" s="405" t="n">
        <x:f>SUM(L76:L80)</x:f>
        <x:v>-3995.117978749093</x:v>
      </x:c>
      <x:c r="M81" s="405" t="n">
        <x:f>SUM(M76:M80)</x:f>
        <x:v>-4268.2267656395525</x:v>
      </x:c>
    </x:row>
    <x:row r="82">
      <x:c r="A82" s="468" t="str">
        <x:v>Net change in cash / investments</x:v>
      </x:c>
      <x:c r="B82" s="416" t="n">
        <x:v>422.081</x:v>
      </x:c>
      <x:c r="C82" s="416" t="n">
        <x:v>441.879</x:v>
      </x:c>
      <x:c r="D82" s="416" t="n">
        <x:v>-560.771</x:v>
      </x:c>
      <x:c r="E82" s="405" t="n">
        <x:f>SUM(E67,E73,E81)</x:f>
        <x:v>75.47426078756996</x:v>
      </x:c>
      <x:c r="F82" s="405" t="n">
        <x:f>SUM(F67,F73,F81)</x:f>
        <x:v>1126.6862923799677</x:v>
      </x:c>
      <x:c r="G82" s="405" t="n">
        <x:f>SUM(G67,G73,G81)</x:f>
        <x:v>1748.3503125144875</x:v>
      </x:c>
      <x:c r="H82" s="405" t="n">
        <x:f>SUM(H67,H73,H81)</x:f>
        <x:v>3346.8613759339523</x:v>
      </x:c>
      <x:c r="I82" s="405" t="n">
        <x:f>SUM(I67,I73,I81)</x:f>
        <x:v>4101.172564086237</x:v>
      </x:c>
      <x:c r="J82" s="405" t="n">
        <x:f>SUM(J67,J73,J81)</x:f>
        <x:v>4829.433795092271</x:v>
      </x:c>
      <x:c r="K82" s="405" t="n">
        <x:f>SUM(K67,K73,K81)</x:f>
        <x:v>5203.925100035454</x:v>
      </x:c>
      <x:c r="L82" s="405" t="n">
        <x:f>SUM(L67,L73,L81)</x:f>
        <x:v>5802.951879410037</x:v>
      </x:c>
      <x:c r="M82" s="405" t="n">
        <x:f>SUM(M67,M73,M81)</x:f>
        <x:v>6202.263989336696</x:v>
      </x:c>
    </x:row>
    <x:row r="83">
      <x:c r="A83" s="323" t="str">
        <x:v>Opening cash / investments</x:v>
      </x:c>
      <x:c r="B83" s="360" t="n">
        <x:v>454.159</x:v>
      </x:c>
      <x:c r="C83" s="360" t="n">
        <x:v>875.754</x:v>
      </x:c>
      <x:c r="D83" s="360" t="n">
        <x:v>1319.304</x:v>
      </x:c>
      <x:c r="E83" s="309" t="n">
        <x:f>'Supporting Schedules'!E49</x:f>
        <x:v>3549.649</x:v>
      </x:c>
      <x:c r="F83" s="309" t="n">
        <x:f>'Supporting Schedules'!F49</x:f>
        <x:v>3625.123260787569</x:v>
      </x:c>
      <x:c r="G83" s="309" t="n">
        <x:f>'Supporting Schedules'!G49</x:f>
        <x:v>4751.809553167535</x:v>
      </x:c>
      <x:c r="H83" s="309" t="n">
        <x:f>'Supporting Schedules'!H49</x:f>
        <x:v>6500.159865682023</x:v>
      </x:c>
      <x:c r="I83" s="309" t="n">
        <x:f>'Supporting Schedules'!I49</x:f>
        <x:v>9847.021241615977</x:v>
      </x:c>
      <x:c r="J83" s="309" t="n">
        <x:f>'Supporting Schedules'!J49</x:f>
        <x:v>13948.193805702214</x:v>
      </x:c>
      <x:c r="K83" s="309" t="n">
        <x:f>'Supporting Schedules'!K49</x:f>
        <x:v>18777.627600794483</x:v>
      </x:c>
      <x:c r="L83" s="309" t="n">
        <x:f>'Supporting Schedules'!L49</x:f>
        <x:v>23981.552700829936</x:v>
      </x:c>
      <x:c r="M83" s="309" t="n">
        <x:f>'Supporting Schedules'!M49</x:f>
        <x:v>29784.504580239973</x:v>
      </x:c>
    </x:row>
    <x:row r="84">
      <x:c r="A84" s="468" t="str">
        <x:v>Closing cash / investments</x:v>
      </x:c>
      <x:c r="B84" s="416" t="n">
        <x:v>875.754</x:v>
      </x:c>
      <x:c r="C84" s="416" t="n">
        <x:v>1319.304</x:v>
      </x:c>
      <x:c r="D84" s="416" t="n">
        <x:v>766.704</x:v>
      </x:c>
      <x:c r="E84" s="405" t="n">
        <x:f>E83+E82</x:f>
        <x:v>3625.12326078757</x:v>
      </x:c>
      <x:c r="F84" s="405" t="n">
        <x:f>F83+F82</x:f>
        <x:v>4751.809553167537</x:v>
      </x:c>
      <x:c r="G84" s="405" t="n">
        <x:f>G83+G82</x:f>
        <x:v>6500.159865682022</x:v>
      </x:c>
      <x:c r="H84" s="405" t="n">
        <x:f>H83+H82</x:f>
        <x:v>9847.021241615976</x:v>
      </x:c>
      <x:c r="I84" s="405" t="n">
        <x:f>I83+I82</x:f>
        <x:v>13948.193805702214</x:v>
      </x:c>
      <x:c r="J84" s="405" t="n">
        <x:f>J83+J82</x:f>
        <x:v>18777.627600794483</x:v>
      </x:c>
      <x:c r="K84" s="405" t="n">
        <x:f>K83+K82</x:f>
        <x:v>23981.55270082994</x:v>
      </x:c>
      <x:c r="L84" s="405" t="n">
        <x:f>L83+L82</x:f>
        <x:v>29784.504580239973</x:v>
      </x:c>
      <x:c r="M84" s="405" t="n">
        <x:f>M83+M82</x:f>
        <x:v>35986.76856957667</x:v>
      </x:c>
    </x:row>
    <x:row r="85">
      <x:c r="A85" s="468" t="str">
        <x:v>Cash-flow reconciliation check</x:v>
      </x:c>
      <x:c r="B85" s="377" t="str">
        <x:v>N/A</x:v>
      </x:c>
      <x:c r="C85" s="377" t="str">
        <x:v>N/A</x:v>
      </x:c>
      <x:c r="D85" s="377" t="str">
        <x:v>N/A</x:v>
      </x:c>
      <x:c r="E85" s="377" t="n">
        <x:f>ROUND(E84-E41,1)</x:f>
        <x:v>0</x:v>
      </x:c>
      <x:c r="F85" s="377" t="n">
        <x:f>ROUND(F84-F41,1)</x:f>
        <x:v>0</x:v>
      </x:c>
      <x:c r="G85" s="377" t="n">
        <x:f>ROUND(G84-G41,1)</x:f>
        <x:v>0</x:v>
      </x:c>
      <x:c r="H85" s="377" t="n">
        <x:f>ROUND(H84-H41,1)</x:f>
        <x:v>0</x:v>
      </x:c>
      <x:c r="I85" s="377" t="n">
        <x:f>ROUND(I84-I41,1)</x:f>
        <x:v>0</x:v>
      </x:c>
      <x:c r="J85" s="377" t="n">
        <x:f>ROUND(J84-J41,1)</x:f>
        <x:v>0</x:v>
      </x:c>
      <x:c r="K85" s="377" t="n">
        <x:f>ROUND(K84-K41,1)</x:f>
        <x:v>0</x:v>
      </x:c>
      <x:c r="L85" s="377" t="n">
        <x:f>ROUND(L84-L41,1)</x:f>
        <x:v>0</x:v>
      </x:c>
      <x:c r="M85" s="377" t="n">
        <x:f>ROUND(M84-M41,1)</x:f>
        <x:v>0</x:v>
      </x:c>
    </x:row>
    <x:row r="86">
      <x:c r="A86" s="323"/>
      <x:c r="B86" s="302"/>
      <x:c r="C86" s="302"/>
      <x:c r="D86" s="302"/>
      <x:c r="E86" s="302"/>
      <x:c r="F86" s="302"/>
      <x:c r="G86" s="302"/>
      <x:c r="H86" s="302"/>
      <x:c r="I86" s="302"/>
      <x:c r="J86" s="302"/>
      <x:c r="K86" s="302"/>
      <x:c r="L86" s="302"/>
      <x:c r="M86" s="302"/>
    </x:row>
    <x:row r="87">
      <x:c r="A87" s="323"/>
      <x:c r="B87" s="302"/>
      <x:c r="C87" s="302"/>
      <x:c r="D87" s="302"/>
      <x:c r="E87" s="302"/>
      <x:c r="F87" s="302"/>
      <x:c r="G87" s="302"/>
      <x:c r="H87" s="302"/>
      <x:c r="I87" s="302"/>
      <x:c r="J87" s="302"/>
      <x:c r="K87" s="302"/>
      <x:c r="L87" s="302"/>
      <x:c r="M87" s="302"/>
    </x:row>
    <x:row r="88">
      <x:c r="A88" s="323"/>
      <x:c r="B88" s="302"/>
      <x:c r="C88" s="302"/>
      <x:c r="D88" s="302"/>
      <x:c r="E88" s="302"/>
      <x:c r="F88" s="302"/>
      <x:c r="G88" s="302"/>
      <x:c r="H88" s="302"/>
      <x:c r="I88" s="302"/>
      <x:c r="J88" s="302"/>
      <x:c r="K88" s="302"/>
      <x:c r="L88" s="302"/>
      <x:c r="M88" s="302"/>
    </x:row>
    <x:row r="89">
      <x:c r="A89" s="469"/>
    </x:row>
    <x:row r="90">
      <x:c r="A90" s="469"/>
    </x:row>
    <x:row r="91">
      <x:c r="A91" s="469"/>
    </x:row>
    <x:row r="92">
      <x:c r="A92" s="469"/>
    </x:row>
    <x:row r="93">
      <x:c r="A93" s="469"/>
    </x:row>
    <x:row r="94">
      <x:c r="A94" s="469"/>
    </x:row>
    <x:row r="95">
      <x:c r="A95" s="469"/>
    </x:row>
    <x:row r="96">
      <x:c r="A96" s="469"/>
    </x:row>
    <x:row r="97">
      <x:c r="A97" s="469"/>
    </x:row>
    <x:row r="98">
      <x:c r="A98" s="469"/>
    </x:row>
    <x:row r="99">
      <x:c r="A99" s="469"/>
    </x:row>
    <x:row r="100">
      <x:c r="A100" s="469"/>
    </x:row>
    <x:row r="101">
      <x:c r="A101" s="469"/>
    </x:row>
    <x:row r="102">
      <x:c r="A102" s="469"/>
    </x:row>
    <x:row r="103">
      <x:c r="A103" s="469"/>
    </x:row>
    <x:row r="104">
      <x:c r="A104" s="469"/>
    </x:row>
    <x:row r="105">
      <x:c r="A105" s="469"/>
    </x:row>
  </x:sheetData>
  <x:mergeCells>
    <x:mergeCell ref="A1:M1"/>
    <x:mergeCell ref="A5:M5"/>
    <x:mergeCell ref="A33:M33"/>
    <x:mergeCell ref="A58:M5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3" hidden="0" customWidth="1"/>
    <x:col min="4" max="4" width="36" hidden="0" customWidth="1"/>
    <x:col min="5" max="5" width="28" hidden="0" customWidth="1"/>
    <x:col min="6" max="6" width="3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8" customHeight="1">
      <x:c r="A1" s="258" t="str">
        <x:v>Neuland Laboratories — Supporting Schedules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>
      <x:c r="A2" s="323"/>
      <x:c r="B2" s="302"/>
      <x:c r="C2" s="302"/>
      <x:c r="D2" s="302"/>
      <x:c r="E2" s="302"/>
      <x:c r="F2" s="302"/>
      <x:c r="G2" s="302"/>
      <x:c r="H2" s="302"/>
      <x:c r="I2" s="302"/>
      <x:c r="J2" s="302"/>
      <x:c r="K2" s="302"/>
      <x:c r="L2" s="302"/>
      <x:c r="M2" s="302"/>
    </x:row>
    <x:row r="3" ht="20" customHeight="1">
      <x:c r="A3" s="447" t="str">
        <x:v>INR million, unless stated</x:v>
      </x:c>
      <x:c r="B3" s="27" t="str">
        <x:v>FY24A</x:v>
      </x:c>
      <x:c r="C3" s="27" t="str">
        <x:v>FY25A</x:v>
      </x:c>
      <x:c r="D3" s="27" t="str">
        <x:v>FY26A</x:v>
      </x:c>
      <x:c r="E3" s="28" t="str">
        <x:v>FY27E</x:v>
      </x:c>
      <x:c r="F3" s="28" t="str">
        <x:v>FY28E</x:v>
      </x:c>
      <x:c r="G3" s="28" t="str">
        <x:v>FY29E</x:v>
      </x:c>
      <x:c r="H3" s="28" t="str">
        <x:v>FY30E</x:v>
      </x:c>
      <x:c r="I3" s="28" t="str">
        <x:v>FY31E</x:v>
      </x:c>
      <x:c r="J3" s="28" t="str">
        <x:v>FY32E</x:v>
      </x:c>
      <x:c r="K3" s="28" t="str">
        <x:v>FY33E</x:v>
      </x:c>
      <x:c r="L3" s="28" t="str">
        <x:v>FY34E</x:v>
      </x:c>
      <x:c r="M3" s="28" t="str">
        <x:v>FY35E</x:v>
      </x:c>
    </x:row>
    <x:row r="4">
      <x:c r="A4" s="323"/>
      <x:c r="B4" s="303"/>
      <x:c r="C4" s="303"/>
      <x:c r="D4" s="303"/>
      <x:c r="E4" s="304"/>
      <x:c r="F4" s="304"/>
      <x:c r="G4" s="304"/>
      <x:c r="H4" s="304"/>
      <x:c r="I4" s="304"/>
      <x:c r="J4" s="304"/>
      <x:c r="K4" s="304"/>
      <x:c r="L4" s="304"/>
      <x:c r="M4" s="304"/>
    </x:row>
    <x:row r="5" ht="20" customHeight="1">
      <x:c r="A5" s="258" t="str">
        <x:v>Working Capital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>
      <x:c r="A6" s="323" t="str">
        <x:v>Revenue</x:v>
      </x:c>
      <x:c r="B6" s="308" t="n">
        <x:f>'Three Statements'!B6</x:f>
        <x:v>15585.805</x:v>
      </x:c>
      <x:c r="C6" s="308" t="n">
        <x:f>'Three Statements'!C6</x:f>
        <x:v>14768.373</x:v>
      </x:c>
      <x:c r="D6" s="308" t="n">
        <x:f>'Three Statements'!D6</x:f>
        <x:v>20229.854</x:v>
      </x:c>
      <x:c r="E6" s="309" t="n">
        <x:f>'Three Statements'!E6</x:f>
        <x:v>23230.502565000003</x:v>
      </x:c>
      <x:c r="F6" s="309" t="n">
        <x:f>'Three Statements'!F6</x:f>
        <x:v>26882.61282237</x:v>
      </x:c>
      <x:c r="G6" s="309" t="n">
        <x:f>'Three Statements'!G6</x:f>
        <x:v>30565.209298317302</x:v>
      </x:c>
      <x:c r="H6" s="309" t="n">
        <x:f>'Three Statements'!H6</x:f>
        <x:v>34086.698936214794</x:v>
      </x:c>
      <x:c r="I6" s="309" t="n">
        <x:f>'Three Statements'!I6</x:f>
        <x:v>37395.30431057411</x:v>
      </x:c>
      <x:c r="J6" s="309" t="n">
        <x:f>'Three Statements'!J6</x:f>
        <x:v>40525.103710579686</x:v>
      </x:c>
      <x:c r="K6" s="309" t="n">
        <x:f>'Three Statements'!K6</x:f>
        <x:v>43282.88262044852</x:v>
      </x:c>
      <x:c r="L6" s="309" t="n">
        <x:f>'Three Statements'!L6</x:f>
        <x:v>45652.57272044734</x:v>
      </x:c>
      <x:c r="M6" s="309" t="n">
        <x:f>'Three Statements'!M6</x:f>
        <x:v>47579.04300913284</x:v>
      </x:c>
    </x:row>
    <x:row r="7">
      <x:c r="A7" s="323" t="str">
        <x:v>Net material cost base</x:v>
      </x:c>
      <x:c r="B7" s="308" t="n">
        <x:f>'Three Statements'!B11+'Three Statements'!B12</x:f>
        <x:v>5772.8279999999995</x:v>
      </x:c>
      <x:c r="C7" s="308" t="n">
        <x:f>'Three Statements'!C11+'Three Statements'!C12</x:f>
        <x:v>5876.38</x:v>
      </x:c>
      <x:c r="D7" s="308" t="n">
        <x:f>'Three Statements'!D11+'Three Statements'!D12</x:f>
        <x:v>7555.022000000001</x:v>
      </x:c>
      <x:c r="E7" s="309" t="n">
        <x:f>'Three Statements'!E11+'Three Statements'!E12</x:f>
        <x:v>8595.285949050001</x:v>
      </x:c>
      <x:c r="F7" s="309" t="n">
        <x:f>'Three Statements'!F11+'Three Statements'!F12</x:f>
        <x:v>9892.801518632159</x:v>
      </x:c>
      <x:c r="G7" s="309" t="n">
        <x:f>'Three Statements'!G11+'Three Statements'!G12</x:f>
        <x:v>11156.301393885815</x:v>
      </x:c>
      <x:c r="H7" s="309" t="n">
        <x:f>'Three Statements'!H11+'Three Statements'!H12</x:f>
        <x:v>12339.385014909754</x:v>
      </x:c>
      <x:c r="I7" s="309" t="n">
        <x:f>'Three Statements'!I11+'Three Statements'!I12</x:f>
        <x:v>13462.309551806678</x:v>
      </x:c>
      <x:c r="J7" s="309" t="n">
        <x:f>'Three Statements'!J11+'Three Statements'!J12</x:f>
        <x:v>14507.987128387527</x:v>
      </x:c>
      <x:c r="K7" s="309" t="n">
        <x:f>'Three Statements'!K11+'Three Statements'!K12</x:f>
        <x:v>15451.989095500123</x:v>
      </x:c>
      <x:c r="L7" s="309" t="n">
        <x:f>'Three Statements'!L11+'Three Statements'!L12</x:f>
        <x:v>16252.315888479252</x:v>
      </x:c>
      <x:c r="M7" s="309" t="n">
        <x:f>'Three Statements'!M11+'Three Statements'!M12</x:f>
        <x:v>16890.560268242156</x:v>
      </x:c>
    </x:row>
    <x:row r="8">
      <x:c r="A8" s="323" t="str">
        <x:v>Receivable days</x:v>
      </x:c>
      <x:c r="B8" s="432" t="n">
        <x:v>87.5</x:v>
      </x:c>
      <x:c r="C8" s="432" t="n">
        <x:v>78</x:v>
      </x:c>
      <x:c r="D8" s="432" t="n">
        <x:v>97.7</x:v>
      </x:c>
      <x:c r="E8" s="433" t="n">
        <x:v>95</x:v>
      </x:c>
      <x:c r="F8" s="433" t="n">
        <x:v>92</x:v>
      </x:c>
      <x:c r="G8" s="433" t="n">
        <x:v>90</x:v>
      </x:c>
      <x:c r="H8" s="433" t="n">
        <x:v>88</x:v>
      </x:c>
      <x:c r="I8" s="433" t="n">
        <x:v>87</x:v>
      </x:c>
      <x:c r="J8" s="433" t="n">
        <x:v>86</x:v>
      </x:c>
      <x:c r="K8" s="433" t="n">
        <x:v>85</x:v>
      </x:c>
      <x:c r="L8" s="433" t="n">
        <x:v>85</x:v>
      </x:c>
      <x:c r="M8" s="433" t="n">
        <x:v>85</x:v>
      </x:c>
    </x:row>
    <x:row r="9">
      <x:c r="A9" s="323" t="str">
        <x:v>Trade receivables</x:v>
      </x:c>
      <x:c r="B9" s="360" t="n">
        <x:v>3735.262</x:v>
      </x:c>
      <x:c r="C9" s="360" t="n">
        <x:v>3157.206</x:v>
      </x:c>
      <x:c r="D9" s="360" t="n">
        <x:v>5413.531</x:v>
      </x:c>
      <x:c r="E9" s="361" t="n">
        <x:f>E6*E8/365</x:f>
        <x:v>6046.295188150685</x:v>
      </x:c>
      <x:c r="F9" s="361" t="n">
        <x:f>F6*F8/365</x:f>
        <x:v>6775.891451117918</x:v>
      </x:c>
      <x:c r="G9" s="361" t="n">
        <x:f>G6*G8/365</x:f>
        <x:v>7536.626950270019</x:v>
      </x:c>
      <x:c r="H9" s="361" t="n">
        <x:f>H6*H8/365</x:f>
        <x:v>8218.163031196991</x:v>
      </x:c>
      <x:c r="I9" s="361" t="n">
        <x:f>I6*I8/365</x:f>
        <x:v>8913.401301424514</x:v>
      </x:c>
      <x:c r="J9" s="361" t="n">
        <x:f>J6*J8/365</x:f>
        <x:v>9548.380600300967</x:v>
      </x:c>
      <x:c r="K9" s="361" t="n">
        <x:f>K6*K8/365</x:f>
        <x:v>10079.575404761985</x:v>
      </x:c>
      <x:c r="L9" s="361" t="n">
        <x:f>L6*L8/365</x:f>
        <x:v>10631.421044487735</x:v>
      </x:c>
      <x:c r="M9" s="361" t="n">
        <x:f>M6*M8/365</x:f>
        <x:v>11080.051111715866</x:v>
      </x:c>
    </x:row>
    <x:row r="10">
      <x:c r="A10" s="323" t="str">
        <x:v>Inventory days</x:v>
      </x:c>
      <x:c r="B10" s="432" t="n">
        <x:v>221.6</x:v>
      </x:c>
      <x:c r="C10" s="432" t="n">
        <x:v>239.6</x:v>
      </x:c>
      <x:c r="D10" s="432" t="n">
        <x:v>246.5</x:v>
      </x:c>
      <x:c r="E10" s="433" t="n">
        <x:v>240</x:v>
      </x:c>
      <x:c r="F10" s="433" t="n">
        <x:v>235</x:v>
      </x:c>
      <x:c r="G10" s="433" t="n">
        <x:v>230</x:v>
      </x:c>
      <x:c r="H10" s="433" t="n">
        <x:v>225</x:v>
      </x:c>
      <x:c r="I10" s="433" t="n">
        <x:v>220</x:v>
      </x:c>
      <x:c r="J10" s="433" t="n">
        <x:v>215</x:v>
      </x:c>
      <x:c r="K10" s="433" t="n">
        <x:v>210</x:v>
      </x:c>
      <x:c r="L10" s="433" t="n">
        <x:v>205</x:v>
      </x:c>
      <x:c r="M10" s="433" t="n">
        <x:v>200</x:v>
      </x:c>
    </x:row>
    <x:row r="11">
      <x:c r="A11" s="323" t="str">
        <x:v>Inventory</x:v>
      </x:c>
      <x:c r="B11" s="360" t="n">
        <x:v>3504.219</x:v>
      </x:c>
      <x:c r="C11" s="360" t="n">
        <x:v>3857.569</x:v>
      </x:c>
      <x:c r="D11" s="360" t="n">
        <x:v>5102.864</x:v>
      </x:c>
      <x:c r="E11" s="361" t="n">
        <x:f>E7*E10/365</x:f>
        <x:v>5651.69487060822</x:v>
      </x:c>
      <x:c r="F11" s="361" t="n">
        <x:f>F7*F10/365</x:f>
        <x:v>6369.337964050842</x:v>
      </x:c>
      <x:c r="G11" s="361" t="n">
        <x:f>G7*G10/365</x:f>
        <x:v>7029.998138612979</x:v>
      </x:c>
      <x:c r="H11" s="361" t="n">
        <x:f>H7*H10/365</x:f>
        <x:v>7606.470214670397</x:v>
      </x:c>
      <x:c r="I11" s="361" t="n">
        <x:f>I7*I10/365</x:f>
        <x:v>8114.2687709519705</x:v>
      </x:c>
      <x:c r="J11" s="361" t="n">
        <x:f>J7*J10/365</x:f>
        <x:v>8545.800637269365</x:v>
      </x:c>
      <x:c r="K11" s="361" t="n">
        <x:f>K7*K10/365</x:f>
        <x:v>8890.185507000071</x:v>
      </x:c>
      <x:c r="L11" s="361" t="n">
        <x:f>L7*L10/365</x:f>
        <x:v>9128.01303325547</x:v>
      </x:c>
      <x:c r="M11" s="361" t="n">
        <x:f>M7*M10/365</x:f>
        <x:v>9255.101516845018</x:v>
      </x:c>
    </x:row>
    <x:row r="12">
      <x:c r="A12" s="323" t="str">
        <x:v>Payable days</x:v>
      </x:c>
      <x:c r="B12" s="432" t="n">
        <x:v>110.8</x:v>
      </x:c>
      <x:c r="C12" s="432" t="n">
        <x:v>160.1</x:v>
      </x:c>
      <x:c r="D12" s="432" t="n">
        <x:v>119.8</x:v>
      </x:c>
      <x:c r="E12" s="433" t="n">
        <x:v>125</x:v>
      </x:c>
      <x:c r="F12" s="433" t="n">
        <x:v>125</x:v>
      </x:c>
      <x:c r="G12" s="433" t="n">
        <x:v>125</x:v>
      </x:c>
      <x:c r="H12" s="433" t="n">
        <x:v>120</x:v>
      </x:c>
      <x:c r="I12" s="433" t="n">
        <x:v>120</x:v>
      </x:c>
      <x:c r="J12" s="433" t="n">
        <x:v>120</x:v>
      </x:c>
      <x:c r="K12" s="433" t="n">
        <x:v>115</x:v>
      </x:c>
      <x:c r="L12" s="433" t="n">
        <x:v>115</x:v>
      </x:c>
      <x:c r="M12" s="433" t="n">
        <x:v>115</x:v>
      </x:c>
    </x:row>
    <x:row r="13">
      <x:c r="A13" s="323" t="str">
        <x:v>Trade payables</x:v>
      </x:c>
      <x:c r="B13" s="360" t="n">
        <x:v>1919.591</x:v>
      </x:c>
      <x:c r="C13" s="360" t="n">
        <x:v>2522.036</x:v>
      </x:c>
      <x:c r="D13" s="360" t="n">
        <x:v>2691.441</x:v>
      </x:c>
      <x:c r="E13" s="361" t="n">
        <x:f>E7*E12/365</x:f>
        <x:v>2943.5910784417815</x:v>
      </x:c>
      <x:c r="F13" s="361" t="n">
        <x:f>F7*F12/365</x:f>
        <x:v>3387.9457255589587</x:v>
      </x:c>
      <x:c r="G13" s="361" t="n">
        <x:f>G7*G12/365</x:f>
        <x:v>3820.651162289663</x:v>
      </x:c>
      <x:c r="H13" s="361" t="n">
        <x:f>H7*H12/365</x:f>
        <x:v>4056.784114490878</x:v>
      </x:c>
      <x:c r="I13" s="361" t="n">
        <x:f>I7*I12/365</x:f>
        <x:v>4425.96478415562</x:v>
      </x:c>
      <x:c r="J13" s="361" t="n">
        <x:f>J7*J12/365</x:f>
        <x:v>4769.749192894529</x:v>
      </x:c>
      <x:c r="K13" s="361" t="n">
        <x:f>K7*K12/365</x:f>
        <x:v>4868.434920500039</x:v>
      </x:c>
      <x:c r="L13" s="361" t="n">
        <x:f>L7*L12/365</x:f>
        <x:v>5120.592677192093</x:v>
      </x:c>
      <x:c r="M13" s="361" t="n">
        <x:f>M7*M12/365</x:f>
        <x:v>5321.683372185885</x:v>
      </x:c>
    </x:row>
    <x:row r="14">
      <x:c r="A14" s="323" t="str">
        <x:v>Other current asset days</x:v>
      </x:c>
      <x:c r="B14" s="432" t="n">
        <x:v>18.8</x:v>
      </x:c>
      <x:c r="C14" s="432" t="n">
        <x:v>17.7</x:v>
      </x:c>
      <x:c r="D14" s="432" t="n">
        <x:v>13.8</x:v>
      </x:c>
      <x:c r="E14" s="433" t="n">
        <x:v>15</x:v>
      </x:c>
      <x:c r="F14" s="433" t="n">
        <x:v>15</x:v>
      </x:c>
      <x:c r="G14" s="433" t="n">
        <x:v>15</x:v>
      </x:c>
      <x:c r="H14" s="433" t="n">
        <x:v>15</x:v>
      </x:c>
      <x:c r="I14" s="433" t="n">
        <x:v>15</x:v>
      </x:c>
      <x:c r="J14" s="433" t="n">
        <x:v>15</x:v>
      </x:c>
      <x:c r="K14" s="433" t="n">
        <x:v>15</x:v>
      </x:c>
      <x:c r="L14" s="433" t="n">
        <x:v>15</x:v>
      </x:c>
      <x:c r="M14" s="433" t="n">
        <x:v>15</x:v>
      </x:c>
    </x:row>
    <x:row r="15">
      <x:c r="A15" s="323" t="str">
        <x:v>Other current assets</x:v>
      </x:c>
      <x:c r="B15" s="360" t="n">
        <x:v>803.372</x:v>
      </x:c>
      <x:c r="C15" s="360" t="n">
        <x:v>715.177</x:v>
      </x:c>
      <x:c r="D15" s="360" t="n">
        <x:v>765.244</x:v>
      </x:c>
      <x:c r="E15" s="361" t="n">
        <x:f>E6*E14/365</x:f>
        <x:v>954.6781876027399</x:v>
      </x:c>
      <x:c r="F15" s="361" t="n">
        <x:f>F6*F14/365</x:f>
        <x:v>1104.764910508356</x:v>
      </x:c>
      <x:c r="G15" s="361" t="n">
        <x:f>G6*G14/365</x:f>
        <x:v>1256.1044917116699</x:v>
      </x:c>
      <x:c r="H15" s="361" t="n">
        <x:f>H6*H14/365</x:f>
        <x:v>1400.8232439540327</x:v>
      </x:c>
      <x:c r="I15" s="361" t="n">
        <x:f>I6*I14/365</x:f>
        <x:v>1536.7933278318128</x:v>
      </x:c>
      <x:c r="J15" s="361" t="n">
        <x:f>J6*J14/365</x:f>
        <x:v>1665.4152209827269</x:v>
      </x:c>
      <x:c r="K15" s="361" t="n">
        <x:f>K6*K14/365</x:f>
        <x:v>1778.7486008403505</x:v>
      </x:c>
      <x:c r="L15" s="361" t="n">
        <x:f>L6*L14/365</x:f>
        <x:v>1876.1331254978359</x:v>
      </x:c>
      <x:c r="M15" s="361" t="n">
        <x:f>M6*M14/365</x:f>
        <x:v>1955.3031373616234</x:v>
      </x:c>
    </x:row>
    <x:row r="16">
      <x:c r="A16" s="323" t="str">
        <x:v>Other current liability days</x:v>
      </x:c>
      <x:c r="B16" s="432" t="n">
        <x:v>45.5</x:v>
      </x:c>
      <x:c r="C16" s="432" t="n">
        <x:v>41</x:v>
      </x:c>
      <x:c r="D16" s="432" t="n">
        <x:v>72.2</x:v>
      </x:c>
      <x:c r="E16" s="433" t="n">
        <x:v>60</x:v>
      </x:c>
      <x:c r="F16" s="433" t="n">
        <x:v>55</x:v>
      </x:c>
      <x:c r="G16" s="433" t="n">
        <x:v>50</x:v>
      </x:c>
      <x:c r="H16" s="433" t="n">
        <x:v>48</x:v>
      </x:c>
      <x:c r="I16" s="433" t="n">
        <x:v>46</x:v>
      </x:c>
      <x:c r="J16" s="433" t="n">
        <x:v>45</x:v>
      </x:c>
      <x:c r="K16" s="433" t="n">
        <x:v>45</x:v>
      </x:c>
      <x:c r="L16" s="433" t="n">
        <x:v>45</x:v>
      </x:c>
      <x:c r="M16" s="433" t="n">
        <x:v>45</x:v>
      </x:c>
    </x:row>
    <x:row r="17">
      <x:c r="A17" s="323" t="str">
        <x:v>Other current liabilities</x:v>
      </x:c>
      <x:c r="B17" s="360" t="n">
        <x:v>1981.377</x:v>
      </x:c>
      <x:c r="C17" s="360" t="n">
        <x:v>1681.996</x:v>
      </x:c>
      <x:c r="D17" s="360" t="n">
        <x:v>4053.881</x:v>
      </x:c>
      <x:c r="E17" s="361" t="n">
        <x:f>E6*E16/365</x:f>
        <x:v>3818.7127504109594</x:v>
      </x:c>
      <x:c r="F17" s="361" t="n">
        <x:f>F6*F16/365</x:f>
        <x:v>4050.8046718639725</x:v>
      </x:c>
      <x:c r="G17" s="361" t="n">
        <x:f>G6*G16/365</x:f>
        <x:v>4187.014972372233</x:v>
      </x:c>
      <x:c r="H17" s="361" t="n">
        <x:f>H6*H16/365</x:f>
        <x:v>4482.634380652905</x:v>
      </x:c>
      <x:c r="I17" s="361" t="n">
        <x:f>I6*I16/365</x:f>
        <x:v>4712.832872017559</x:v>
      </x:c>
      <x:c r="J17" s="361" t="n">
        <x:f>J6*J16/365</x:f>
        <x:v>4996.24566294818</x:v>
      </x:c>
      <x:c r="K17" s="361" t="n">
        <x:f>K6*K16/365</x:f>
        <x:v>5336.245802521051</x:v>
      </x:c>
      <x:c r="L17" s="361" t="n">
        <x:f>L6*L16/365</x:f>
        <x:v>5628.399376493508</x:v>
      </x:c>
      <x:c r="M17" s="361" t="n">
        <x:f>M6*M16/365</x:f>
        <x:v>5865.90941208487</x:v>
      </x:c>
    </x:row>
    <x:row r="18">
      <x:c r="A18" s="468" t="str">
        <x:v>Net working capital</x:v>
      </x:c>
      <x:c r="B18" s="404" t="n">
        <x:f>B9+B11+B15-B13-B17</x:f>
        <x:v>4141.885</x:v>
      </x:c>
      <x:c r="C18" s="404" t="n">
        <x:f>C9+C11+C15-C13-C17</x:f>
        <x:v>3525.919999999999</x:v>
      </x:c>
      <x:c r="D18" s="404" t="n">
        <x:f>D9+D11+D15-D13-D17</x:f>
        <x:v>4536.317000000001</x:v>
      </x:c>
      <x:c r="E18" s="405" t="n">
        <x:f>E9+E11+E15-E13-E17</x:f>
        <x:v>5890.364417508905</x:v>
      </x:c>
      <x:c r="F18" s="405" t="n">
        <x:f>F9+F11+F15-F13-F17</x:f>
        <x:v>6811.243928254185</x:v>
      </x:c>
      <x:c r="G18" s="405" t="n">
        <x:f>G9+G11+G15-G13-G17</x:f>
        <x:v>7815.063445932772</x:v>
      </x:c>
      <x:c r="H18" s="405" t="n">
        <x:f>H9+H11+H15-H13-H17</x:f>
        <x:v>8686.037994677637</x:v>
      </x:c>
      <x:c r="I18" s="405" t="n">
        <x:f>I9+I11+I15-I13-I17</x:f>
        <x:v>9425.66574403512</x:v>
      </x:c>
      <x:c r="J18" s="405" t="n">
        <x:f>J9+J11+J15-J13-J17</x:f>
        <x:v>9993.601602710347</x:v>
      </x:c>
      <x:c r="K18" s="405" t="n">
        <x:f>K9+K11+K15-K13-K17</x:f>
        <x:v>10543.828789581316</x:v>
      </x:c>
      <x:c r="L18" s="405" t="n">
        <x:f>L9+L11+L15-L13-L17</x:f>
        <x:v>10886.575149555443</x:v>
      </x:c>
      <x:c r="M18" s="405" t="n">
        <x:f>M9+M11+M15-M13-M17</x:f>
        <x:v>11102.862981651753</x:v>
      </x:c>
    </x:row>
    <x:row r="19">
      <x:c r="A19" s="323" t="str">
        <x:v>Change in net working capital</x:v>
      </x:c>
      <x:c r="B19" s="406"/>
      <x:c r="C19" s="406" t="n">
        <x:f>C18-B18</x:f>
        <x:v>-615.965000000001</x:v>
      </x:c>
      <x:c r="D19" s="406" t="n">
        <x:f>D18-C18</x:f>
        <x:v>1010.3970000000018</x:v>
      </x:c>
      <x:c r="E19" s="361" t="n">
        <x:f>E18-D18</x:f>
        <x:v>1354.047417508904</x:v>
      </x:c>
      <x:c r="F19" s="361" t="n">
        <x:f>F18-E18</x:f>
        <x:v>920.8795107452806</x:v>
      </x:c>
      <x:c r="G19" s="361" t="n">
        <x:f>G18-F18</x:f>
        <x:v>1003.8195176785866</x:v>
      </x:c>
      <x:c r="H19" s="361" t="n">
        <x:f>H18-G18</x:f>
        <x:v>870.9745487448654</x:v>
      </x:c>
      <x:c r="I19" s="361" t="n">
        <x:f>I18-H18</x:f>
        <x:v>739.6277493574817</x:v>
      </x:c>
      <x:c r="J19" s="361" t="n">
        <x:f>J18-I18</x:f>
        <x:v>567.9358586752278</x:v>
      </x:c>
      <x:c r="K19" s="361" t="n">
        <x:f>K18-J18</x:f>
        <x:v>550.2271868709686</x:v>
      </x:c>
      <x:c r="L19" s="361" t="n">
        <x:f>L18-K18</x:f>
        <x:v>342.7463599741277</x:v>
      </x:c>
      <x:c r="M19" s="361" t="n">
        <x:f>M18-L18</x:f>
        <x:v>216.28783209631</x:v>
      </x:c>
    </x:row>
    <x:row r="20">
      <x:c r="A20" s="323"/>
      <x:c r="B20" s="303"/>
      <x:c r="C20" s="303"/>
      <x:c r="D20" s="303"/>
      <x:c r="E20" s="304"/>
      <x:c r="F20" s="304"/>
      <x:c r="G20" s="304"/>
      <x:c r="H20" s="304"/>
      <x:c r="I20" s="304"/>
      <x:c r="J20" s="304"/>
      <x:c r="K20" s="304"/>
      <x:c r="L20" s="304"/>
      <x:c r="M20" s="304"/>
    </x:row>
    <x:row r="21">
      <x:c r="A21" s="323"/>
      <x:c r="B21" s="303"/>
      <x:c r="C21" s="303"/>
      <x:c r="D21" s="303"/>
      <x:c r="E21" s="304"/>
      <x:c r="F21" s="304"/>
      <x:c r="G21" s="304"/>
      <x:c r="H21" s="304"/>
      <x:c r="I21" s="304"/>
      <x:c r="J21" s="304"/>
      <x:c r="K21" s="304"/>
      <x:c r="L21" s="304"/>
      <x:c r="M21" s="304"/>
    </x:row>
    <x:row r="22" ht="20" customHeight="1">
      <x:c r="A22" s="258" t="str">
        <x:v>PP&amp;E, CWIP, Capex and Depreciation</x:v>
      </x:c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</x:row>
    <x:row r="23">
      <x:c r="A23" s="323" t="str">
        <x:v>Opening net PP&amp;E</x:v>
      </x:c>
      <x:c r="B23" s="406"/>
      <x:c r="C23" s="406" t="n">
        <x:v>5227.211</x:v>
      </x:c>
      <x:c r="D23" s="406" t="n">
        <x:v>6737.135</x:v>
      </x:c>
      <x:c r="E23" s="361" t="n">
        <x:f>D30</x:f>
        <x:v>8922.876</x:v>
      </x:c>
      <x:c r="F23" s="361" t="n">
        <x:f>E30</x:f>
        <x:v>12664.68154</x:v>
      </x:c>
      <x:c r="G23" s="361" t="n">
        <x:f>F30</x:f>
        <x:v>14891.5586091</x:v>
      </x:c>
      <x:c r="H23" s="361" t="n">
        <x:f>G30</x:f>
        <x:v>16091.3386273265</x:v>
      </x:c>
      <x:c r="I23" s="361" t="n">
        <x:f>H30</x:f>
        <x:v>16782.199844003746</x:v>
      </x:c>
      <x:c r="J23" s="361" t="n">
        <x:f>I30</x:f>
        <x:v>17414.33785726343</x:v>
      </x:c>
      <x:c r="K23" s="361" t="n">
        <x:f>J30</x:f>
        <x:v>18064.556639396036</x:v>
      </x:c>
      <x:c r="L23" s="361" t="n">
        <x:f>K30</x:f>
        <x:v>18779.194325047374</x:v>
      </x:c>
      <x:c r="M23" s="361" t="n">
        <x:f>L30</x:f>
        <x:v>19552.775307418346</x:v>
      </x:c>
    </x:row>
    <x:row r="24">
      <x:c r="A24" s="323" t="str">
        <x:v>Direct PP&amp;E additions</x:v>
      </x:c>
      <x:c r="B24" s="406"/>
      <x:c r="C24" s="406"/>
      <x:c r="D24" s="406"/>
      <x:c r="E24" s="361" t="n">
        <x:f>E33-E25</x:f>
        <x:v>2100</x:v>
      </x:c>
      <x:c r="F24" s="361" t="n">
        <x:f>F33-F25</x:f>
        <x:v>1950</x:v>
      </x:c>
      <x:c r="G24" s="361" t="n">
        <x:f>G33-G25</x:f>
        <x:v>1875</x:v>
      </x:c>
      <x:c r="H24" s="361" t="n">
        <x:f>H33-H25</x:f>
        <x:v>1650</x:v>
      </x:c>
      <x:c r="I24" s="361" t="n">
        <x:f>I33-I25</x:f>
        <x:v>1650</x:v>
      </x:c>
      <x:c r="J24" s="361" t="n">
        <x:f>J33-J25</x:f>
        <x:v>1725</x:v>
      </x:c>
      <x:c r="K24" s="361" t="n">
        <x:f>K33-K25</x:f>
        <x:v>1800</x:v>
      </x:c>
      <x:c r="L24" s="361" t="n">
        <x:f>L33-L25</x:f>
        <x:v>1875</x:v>
      </x:c>
      <x:c r="M24" s="361" t="n">
        <x:f>M33-M25</x:f>
        <x:v>1950</x:v>
      </x:c>
    </x:row>
    <x:row r="25">
      <x:c r="A25" s="323" t="str">
        <x:v>CWIP additions</x:v>
      </x:c>
      <x:c r="B25" s="406"/>
      <x:c r="C25" s="406"/>
      <x:c r="D25" s="406"/>
      <x:c r="E25" s="361" t="n">
        <x:f>E33*E34</x:f>
        <x:v>1400</x:v>
      </x:c>
      <x:c r="F25" s="361" t="n">
        <x:f>F33*F34</x:f>
        <x:v>1050</x:v>
      </x:c>
      <x:c r="G25" s="361" t="n">
        <x:f>G33*G34</x:f>
        <x:v>625</x:v>
      </x:c>
      <x:c r="H25" s="361" t="n">
        <x:f>H33*H34</x:f>
        <x:v>550</x:v>
      </x:c>
      <x:c r="I25" s="361" t="n">
        <x:f>I33*I34</x:f>
        <x:v>550</x:v>
      </x:c>
      <x:c r="J25" s="361" t="n">
        <x:f>J33*J34</x:f>
        <x:v>575</x:v>
      </x:c>
      <x:c r="K25" s="361" t="n">
        <x:f>K33*K34</x:f>
        <x:v>600</x:v>
      </x:c>
      <x:c r="L25" s="361" t="n">
        <x:f>L33*L34</x:f>
        <x:v>625</x:v>
      </x:c>
      <x:c r="M25" s="361" t="n">
        <x:f>M33*M34</x:f>
        <x:v>650</x:v>
      </x:c>
    </x:row>
    <x:row r="26">
      <x:c r="A26" s="323" t="str">
        <x:v>CWIP capitalization</x:v>
      </x:c>
      <x:c r="B26" s="406"/>
      <x:c r="C26" s="406"/>
      <x:c r="D26" s="406"/>
      <x:c r="E26" s="408" t="n">
        <x:v>2600</x:v>
      </x:c>
      <x:c r="F26" s="408" t="n">
        <x:v>1500</x:v>
      </x:c>
      <x:c r="G26" s="408" t="n">
        <x:v>700</x:v>
      </x:c>
      <x:c r="H26" s="408" t="n">
        <x:v>500</x:v>
      </x:c>
      <x:c r="I26" s="408" t="n">
        <x:v>500</x:v>
      </x:c>
      <x:c r="J26" s="408" t="n">
        <x:v>500</x:v>
      </x:c>
      <x:c r="K26" s="408" t="n">
        <x:v>550</x:v>
      </x:c>
      <x:c r="L26" s="408" t="n">
        <x:v>600</x:v>
      </x:c>
      <x:c r="M26" s="408" t="n">
        <x:v>600</x:v>
      </x:c>
    </x:row>
    <x:row r="27">
      <x:c r="A27" s="323" t="str">
        <x:v>Lease / non-cash additions</x:v>
      </x:c>
      <x:c r="B27" s="406"/>
      <x:c r="C27" s="406"/>
      <x:c r="D27" s="406"/>
      <x:c r="E27" s="408" t="n">
        <x:v>0</x:v>
      </x:c>
      <x:c r="F27" s="408" t="n">
        <x:v>0</x:v>
      </x:c>
      <x:c r="G27" s="408" t="n">
        <x:v>0</x:v>
      </x:c>
      <x:c r="H27" s="408" t="n">
        <x:v>0</x:v>
      </x:c>
      <x:c r="I27" s="408" t="n">
        <x:v>0</x:v>
      </x:c>
      <x:c r="J27" s="408" t="n">
        <x:v>0</x:v>
      </x:c>
      <x:c r="K27" s="408" t="n">
        <x:v>0</x:v>
      </x:c>
      <x:c r="L27" s="408" t="n">
        <x:v>0</x:v>
      </x:c>
      <x:c r="M27" s="408" t="n">
        <x:v>0</x:v>
      </x:c>
    </x:row>
    <x:row r="28">
      <x:c r="A28" s="323" t="str">
        <x:v>Depreciation &amp; amortisation</x:v>
      </x:c>
      <x:c r="B28" s="360" t="n">
        <x:v>596.999</x:v>
      </x:c>
      <x:c r="C28" s="360" t="n">
        <x:v>655.466</x:v>
      </x:c>
      <x:c r="D28" s="360" t="n">
        <x:v>917.395</x:v>
      </x:c>
      <x:c r="E28" s="361" t="n">
        <x:f>E23*E35+(E24+E26)*E36</x:f>
        <x:v>958.19446</x:v>
      </x:c>
      <x:c r="F28" s="361" t="n">
        <x:f>F23*F35+(F24+F26)*F36</x:f>
        <x:v>1223.1229309</x:v>
      </x:c>
      <x:c r="G28" s="361" t="n">
        <x:f>G23*G35+(G24+G26)*G36</x:f>
        <x:v>1375.2199817735002</x:v>
      </x:c>
      <x:c r="H28" s="361" t="n">
        <x:f>H23*H35+(H24+H26)*H36</x:f>
        <x:v>1459.1387833227527</x:v>
      </x:c>
      <x:c r="I28" s="361" t="n">
        <x:f>I23*I35+(I24+I26)*I36</x:f>
        <x:v>1517.8619867403186</x:v>
      </x:c>
      <x:c r="J28" s="361" t="n">
        <x:f>J23*J35+(J24+J26)*J36</x:f>
        <x:v>1574.7812178673914</x:v>
      </x:c>
      <x:c r="K28" s="361" t="n">
        <x:f>K23*K35+(K24+K26)*K36</x:f>
        <x:v>1635.3623143486632</x:v>
      </x:c>
      <x:c r="L28" s="361" t="n">
        <x:f>L23*L35+(L24+L26)*L36</x:f>
        <x:v>1701.419017629027</x:v>
      </x:c>
      <x:c r="M28" s="361" t="n">
        <x:f>M23*M35+(M24+M26)*M36</x:f>
        <x:v>1770.3609011305596</x:v>
      </x:c>
    </x:row>
    <x:row r="29">
      <x:c r="A29" s="323" t="str">
        <x:v>Disposals</x:v>
      </x:c>
      <x:c r="B29" s="360"/>
      <x:c r="C29" s="360"/>
      <x:c r="D29" s="360"/>
      <x:c r="E29" s="408" t="n">
        <x:v>0</x:v>
      </x:c>
      <x:c r="F29" s="408" t="n">
        <x:v>0</x:v>
      </x:c>
      <x:c r="G29" s="408" t="n">
        <x:v>0</x:v>
      </x:c>
      <x:c r="H29" s="408" t="n">
        <x:v>0</x:v>
      </x:c>
      <x:c r="I29" s="408" t="n">
        <x:v>0</x:v>
      </x:c>
      <x:c r="J29" s="408" t="n">
        <x:v>0</x:v>
      </x:c>
      <x:c r="K29" s="408" t="n">
        <x:v>0</x:v>
      </x:c>
      <x:c r="L29" s="408" t="n">
        <x:v>0</x:v>
      </x:c>
      <x:c r="M29" s="408" t="n">
        <x:v>0</x:v>
      </x:c>
    </x:row>
    <x:row r="30">
      <x:c r="A30" s="468" t="str">
        <x:v>Closing net PP&amp;E</x:v>
      </x:c>
      <x:c r="B30" s="416" t="n">
        <x:v>5227.211</x:v>
      </x:c>
      <x:c r="C30" s="416" t="n">
        <x:v>6737.135</x:v>
      </x:c>
      <x:c r="D30" s="416" t="n">
        <x:v>8922.876</x:v>
      </x:c>
      <x:c r="E30" s="405" t="n">
        <x:f>E23+E24+E26+E27-E28-E29</x:f>
        <x:v>12664.68154</x:v>
      </x:c>
      <x:c r="F30" s="405" t="n">
        <x:f>F23+F24+F26+F27-F28-F29</x:f>
        <x:v>14891.5586091</x:v>
      </x:c>
      <x:c r="G30" s="405" t="n">
        <x:f>G23+G24+G26+G27-G28-G29</x:f>
        <x:v>16091.3386273265</x:v>
      </x:c>
      <x:c r="H30" s="405" t="n">
        <x:f>H23+H24+H26+H27-H28-H29</x:f>
        <x:v>16782.199844003746</x:v>
      </x:c>
      <x:c r="I30" s="405" t="n">
        <x:f>I23+I24+I26+I27-I28-I29</x:f>
        <x:v>17414.33785726343</x:v>
      </x:c>
      <x:c r="J30" s="405" t="n">
        <x:f>J23+J24+J26+J27-J28-J29</x:f>
        <x:v>18064.556639396036</x:v>
      </x:c>
      <x:c r="K30" s="405" t="n">
        <x:f>K23+K24+K26+K27-K28-K29</x:f>
        <x:v>18779.194325047374</x:v>
      </x:c>
      <x:c r="L30" s="405" t="n">
        <x:f>L23+L24+L26+L27-L28-L29</x:f>
        <x:v>19552.775307418346</x:v>
      </x:c>
      <x:c r="M30" s="405" t="n">
        <x:f>M23+M24+M26+M27-M28-M29</x:f>
        <x:v>20332.414406287786</x:v>
      </x:c>
    </x:row>
    <x:row r="31">
      <x:c r="A31" s="323" t="str">
        <x:v>Opening CWIP</x:v>
      </x:c>
      <x:c r="B31" s="360"/>
      <x:c r="C31" s="360" t="n">
        <x:v>458.913</x:v>
      </x:c>
      <x:c r="D31" s="360" t="n">
        <x:v>445.529</x:v>
      </x:c>
      <x:c r="E31" s="361" t="n">
        <x:f>D32</x:f>
        <x:v>2094.99</x:v>
      </x:c>
      <x:c r="F31" s="361" t="n">
        <x:f>E32</x:f>
        <x:v>894.9899999999998</x:v>
      </x:c>
      <x:c r="G31" s="361" t="n">
        <x:f>F32</x:f>
        <x:v>444.9899999999998</x:v>
      </x:c>
      <x:c r="H31" s="361" t="n">
        <x:f>G32</x:f>
        <x:v>369.9899999999998</x:v>
      </x:c>
      <x:c r="I31" s="361" t="n">
        <x:f>H32</x:f>
        <x:v>419.9899999999998</x:v>
      </x:c>
      <x:c r="J31" s="361" t="n">
        <x:f>I32</x:f>
        <x:v>469.9899999999998</x:v>
      </x:c>
      <x:c r="K31" s="361" t="n">
        <x:f>J32</x:f>
        <x:v>544.9899999999998</x:v>
      </x:c>
      <x:c r="L31" s="361" t="n">
        <x:f>K32</x:f>
        <x:v>594.9899999999998</x:v>
      </x:c>
      <x:c r="M31" s="361" t="n">
        <x:f>L32</x:f>
        <x:v>619.9899999999998</x:v>
      </x:c>
    </x:row>
    <x:row r="32">
      <x:c r="A32" s="468" t="str">
        <x:v>Closing CWIP</x:v>
      </x:c>
      <x:c r="B32" s="416" t="n">
        <x:v>458.913</x:v>
      </x:c>
      <x:c r="C32" s="416" t="n">
        <x:v>445.529</x:v>
      </x:c>
      <x:c r="D32" s="416" t="n">
        <x:v>2094.99</x:v>
      </x:c>
      <x:c r="E32" s="405" t="n">
        <x:f>E31+E25-E26</x:f>
        <x:v>894.9899999999998</x:v>
      </x:c>
      <x:c r="F32" s="405" t="n">
        <x:f>F31+F25-F26</x:f>
        <x:v>444.9899999999998</x:v>
      </x:c>
      <x:c r="G32" s="405" t="n">
        <x:f>G31+G25-G26</x:f>
        <x:v>369.9899999999998</x:v>
      </x:c>
      <x:c r="H32" s="405" t="n">
        <x:f>H31+H25-H26</x:f>
        <x:v>419.9899999999998</x:v>
      </x:c>
      <x:c r="I32" s="405" t="n">
        <x:f>I31+I25-I26</x:f>
        <x:v>469.9899999999998</x:v>
      </x:c>
      <x:c r="J32" s="405" t="n">
        <x:f>J31+J25-J26</x:f>
        <x:v>544.9899999999998</x:v>
      </x:c>
      <x:c r="K32" s="405" t="n">
        <x:f>K31+K25-K26</x:f>
        <x:v>594.9899999999998</x:v>
      </x:c>
      <x:c r="L32" s="405" t="n">
        <x:f>L31+L25-L26</x:f>
        <x:v>619.9899999999998</x:v>
      </x:c>
      <x:c r="M32" s="405" t="n">
        <x:f>M31+M25-M26</x:f>
        <x:v>669.9899999999998</x:v>
      </x:c>
    </x:row>
    <x:row r="33">
      <x:c r="A33" s="323" t="str">
        <x:v>Total capex</x:v>
      </x:c>
      <x:c r="B33" s="360" t="n">
        <x:v>1436.698</x:v>
      </x:c>
      <x:c r="C33" s="360" t="n">
        <x:v>2064.64</x:v>
      </x:c>
      <x:c r="D33" s="360" t="n">
        <x:v>3971.321</x:v>
      </x:c>
      <x:c r="E33" s="408" t="n">
        <x:v>3500</x:v>
      </x:c>
      <x:c r="F33" s="408" t="n">
        <x:v>3000</x:v>
      </x:c>
      <x:c r="G33" s="408" t="n">
        <x:v>2500</x:v>
      </x:c>
      <x:c r="H33" s="408" t="n">
        <x:v>2200</x:v>
      </x:c>
      <x:c r="I33" s="408" t="n">
        <x:v>2200</x:v>
      </x:c>
      <x:c r="J33" s="408" t="n">
        <x:v>2300</x:v>
      </x:c>
      <x:c r="K33" s="408" t="n">
        <x:v>2400</x:v>
      </x:c>
      <x:c r="L33" s="408" t="n">
        <x:v>2500</x:v>
      </x:c>
      <x:c r="M33" s="408" t="n">
        <x:v>2600</x:v>
      </x:c>
    </x:row>
    <x:row r="34">
      <x:c r="A34" s="323" t="str">
        <x:v>CWIP allocation %</x:v>
      </x:c>
      <x:c r="B34" s="370"/>
      <x:c r="C34" s="370"/>
      <x:c r="D34" s="370"/>
      <x:c r="E34" s="371" t="n">
        <x:v>0.4</x:v>
      </x:c>
      <x:c r="F34" s="371" t="n">
        <x:v>0.35</x:v>
      </x:c>
      <x:c r="G34" s="371" t="n">
        <x:v>0.25</x:v>
      </x:c>
      <x:c r="H34" s="371" t="n">
        <x:v>0.25</x:v>
      </x:c>
      <x:c r="I34" s="371" t="n">
        <x:v>0.25</x:v>
      </x:c>
      <x:c r="J34" s="371" t="n">
        <x:v>0.25</x:v>
      </x:c>
      <x:c r="K34" s="371" t="n">
        <x:v>0.25</x:v>
      </x:c>
      <x:c r="L34" s="371" t="n">
        <x:v>0.25</x:v>
      </x:c>
      <x:c r="M34" s="371" t="n">
        <x:v>0.25</x:v>
      </x:c>
    </x:row>
    <x:row r="35">
      <x:c r="A35" s="323" t="str">
        <x:v>PP&amp;E depreciation rate</x:v>
      </x:c>
      <x:c r="B35" s="370"/>
      <x:c r="C35" s="370"/>
      <x:c r="D35" s="370"/>
      <x:c r="E35" s="371" t="n">
        <x:v>0.085</x:v>
      </x:c>
      <x:c r="F35" s="371" t="n">
        <x:v>0.085</x:v>
      </x:c>
      <x:c r="G35" s="371" t="n">
        <x:v>0.085</x:v>
      </x:c>
      <x:c r="H35" s="371" t="n">
        <x:v>0.085</x:v>
      </x:c>
      <x:c r="I35" s="371" t="n">
        <x:v>0.085</x:v>
      </x:c>
      <x:c r="J35" s="371" t="n">
        <x:v>0.085</x:v>
      </x:c>
      <x:c r="K35" s="371" t="n">
        <x:v>0.085</x:v>
      </x:c>
      <x:c r="L35" s="371" t="n">
        <x:v>0.085</x:v>
      </x:c>
      <x:c r="M35" s="371" t="n">
        <x:v>0.085</x:v>
      </x:c>
    </x:row>
    <x:row r="36">
      <x:c r="A36" s="323" t="str">
        <x:v>Half-year depreciation rate</x:v>
      </x:c>
      <x:c r="B36" s="370"/>
      <x:c r="C36" s="370"/>
      <x:c r="D36" s="370"/>
      <x:c r="E36" s="407" t="n">
        <x:f>E35/2</x:f>
        <x:v>0.0425</x:v>
      </x:c>
      <x:c r="F36" s="407" t="n">
        <x:f>F35/2</x:f>
        <x:v>0.0425</x:v>
      </x:c>
      <x:c r="G36" s="407" t="n">
        <x:f>G35/2</x:f>
        <x:v>0.0425</x:v>
      </x:c>
      <x:c r="H36" s="407" t="n">
        <x:f>H35/2</x:f>
        <x:v>0.0425</x:v>
      </x:c>
      <x:c r="I36" s="407" t="n">
        <x:f>I35/2</x:f>
        <x:v>0.0425</x:v>
      </x:c>
      <x:c r="J36" s="407" t="n">
        <x:f>J35/2</x:f>
        <x:v>0.0425</x:v>
      </x:c>
      <x:c r="K36" s="407" t="n">
        <x:f>K35/2</x:f>
        <x:v>0.0425</x:v>
      </x:c>
      <x:c r="L36" s="407" t="n">
        <x:f>L35/2</x:f>
        <x:v>0.0425</x:v>
      </x:c>
      <x:c r="M36" s="407" t="n">
        <x:f>M35/2</x:f>
        <x:v>0.0425</x:v>
      </x:c>
    </x:row>
    <x:row r="37">
      <x:c r="A37" s="323" t="str">
        <x:v>PP&amp;E roll-forward check</x:v>
      </x:c>
      <x:c r="B37" s="303" t="str">
        <x:v>N/A</x:v>
      </x:c>
      <x:c r="C37" s="303" t="str">
        <x:v>N/A</x:v>
      </x:c>
      <x:c r="D37" s="303" t="str">
        <x:v>N/A</x:v>
      </x:c>
      <x:c r="E37" s="304" t="n">
        <x:f>ROUND(E30-(E23+E24+E26+E27-E28-E29),1)</x:f>
        <x:v>0</x:v>
      </x:c>
      <x:c r="F37" s="304" t="n">
        <x:f>ROUND(F30-(F23+F24+F26+F27-F28-F29),1)</x:f>
        <x:v>0</x:v>
      </x:c>
      <x:c r="G37" s="304" t="n">
        <x:f>ROUND(G30-(G23+G24+G26+G27-G28-G29),1)</x:f>
        <x:v>0</x:v>
      </x:c>
      <x:c r="H37" s="304" t="n">
        <x:f>ROUND(H30-(H23+H24+H26+H27-H28-H29),1)</x:f>
        <x:v>0</x:v>
      </x:c>
      <x:c r="I37" s="304" t="n">
        <x:f>ROUND(I30-(I23+I24+I26+I27-I28-I29),1)</x:f>
        <x:v>0</x:v>
      </x:c>
      <x:c r="J37" s="304" t="n">
        <x:f>ROUND(J30-(J23+J24+J26+J27-J28-J29),1)</x:f>
        <x:v>0</x:v>
      </x:c>
      <x:c r="K37" s="304" t="n">
        <x:f>ROUND(K30-(K23+K24+K26+K27-K28-K29),1)</x:f>
        <x:v>0</x:v>
      </x:c>
      <x:c r="L37" s="304" t="n">
        <x:f>ROUND(L30-(L23+L24+L26+L27-L28-L29),1)</x:f>
        <x:v>0</x:v>
      </x:c>
      <x:c r="M37" s="304" t="n">
        <x:f>ROUND(M30-(M23+M24+M26+M27-M28-M29),1)</x:f>
        <x:v>0</x:v>
      </x:c>
    </x:row>
    <x:row r="38">
      <x:c r="A38" s="323" t="str">
        <x:v>CWIP roll-forward check</x:v>
      </x:c>
      <x:c r="B38" s="303" t="str">
        <x:v>N/A</x:v>
      </x:c>
      <x:c r="C38" s="303" t="str">
        <x:v>N/A</x:v>
      </x:c>
      <x:c r="D38" s="303" t="str">
        <x:v>N/A</x:v>
      </x:c>
      <x:c r="E38" s="304" t="n">
        <x:f>ROUND(E32-(E31+E25-E26),1)</x:f>
        <x:v>0</x:v>
      </x:c>
      <x:c r="F38" s="304" t="n">
        <x:f>ROUND(F32-(F31+F25-F26),1)</x:f>
        <x:v>0</x:v>
      </x:c>
      <x:c r="G38" s="304" t="n">
        <x:f>ROUND(G32-(G31+G25-G26),1)</x:f>
        <x:v>0</x:v>
      </x:c>
      <x:c r="H38" s="304" t="n">
        <x:f>ROUND(H32-(H31+H25-H26),1)</x:f>
        <x:v>0</x:v>
      </x:c>
      <x:c r="I38" s="304" t="n">
        <x:f>ROUND(I32-(I31+I25-I26),1)</x:f>
        <x:v>0</x:v>
      </x:c>
      <x:c r="J38" s="304" t="n">
        <x:f>ROUND(J32-(J31+J25-J26),1)</x:f>
        <x:v>0</x:v>
      </x:c>
      <x:c r="K38" s="304" t="n">
        <x:f>ROUND(K32-(K31+K25-K26),1)</x:f>
        <x:v>0</x:v>
      </x:c>
      <x:c r="L38" s="304" t="n">
        <x:f>ROUND(L32-(L31+L25-L26),1)</x:f>
        <x:v>0</x:v>
      </x:c>
      <x:c r="M38" s="304" t="n">
        <x:f>ROUND(M32-(M31+M25-M26),1)</x:f>
        <x:v>0</x:v>
      </x:c>
    </x:row>
    <x:row r="39">
      <x:c r="A39" s="323"/>
      <x:c r="B39" s="303"/>
      <x:c r="C39" s="303"/>
      <x:c r="D39" s="303"/>
      <x:c r="E39" s="304"/>
      <x:c r="F39" s="304"/>
      <x:c r="G39" s="304"/>
      <x:c r="H39" s="304"/>
      <x:c r="I39" s="304"/>
      <x:c r="J39" s="304"/>
      <x:c r="K39" s="304"/>
      <x:c r="L39" s="304"/>
      <x:c r="M39" s="304"/>
    </x:row>
    <x:row r="40" ht="20" customHeight="1">
      <x:c r="A40" s="258" t="str">
        <x:v>Debt, Cash and Interest</x:v>
      </x:c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</x:row>
    <x:row r="41">
      <x:c r="A41" s="323" t="str">
        <x:v>Opening debt</x:v>
      </x:c>
      <x:c r="B41" s="406"/>
      <x:c r="C41" s="406" t="n">
        <x:v>825.07</x:v>
      </x:c>
      <x:c r="D41" s="406" t="n">
        <x:v>1360.101</x:v>
      </x:c>
      <x:c r="E41" s="361" t="n">
        <x:f>D44</x:f>
        <x:v>1966.131</x:v>
      </x:c>
      <x:c r="F41" s="361" t="n">
        <x:f>E44</x:f>
        <x:v>2266.131</x:v>
      </x:c>
      <x:c r="G41" s="361" t="n">
        <x:f>F44</x:f>
        <x:v>1966.131</x:v>
      </x:c>
      <x:c r="H41" s="361" t="n">
        <x:f>G44</x:f>
        <x:v>1166.131</x:v>
      </x:c>
      <x:c r="I41" s="361" t="n">
        <x:f>H44</x:f>
        <x:v>666.131</x:v>
      </x:c>
      <x:c r="J41" s="361" t="n">
        <x:f>I44</x:f>
        <x:v>366.131</x:v>
      </x:c>
      <x:c r="K41" s="361" t="n">
        <x:f>J44</x:f>
        <x:v>0</x:v>
      </x:c>
      <x:c r="L41" s="361" t="n">
        <x:f>K44</x:f>
        <x:v>0</x:v>
      </x:c>
      <x:c r="M41" s="361" t="n">
        <x:f>L44</x:f>
        <x:v>0</x:v>
      </x:c>
    </x:row>
    <x:row r="42">
      <x:c r="A42" s="323" t="str">
        <x:v>New borrowings</x:v>
      </x:c>
      <x:c r="B42" s="360" t="n">
        <x:v>88.219</x:v>
      </x:c>
      <x:c r="C42" s="360" t="n">
        <x:v>947.782</x:v>
      </x:c>
      <x:c r="D42" s="360" t="n">
        <x:v>1056.093</x:v>
      </x:c>
      <x:c r="E42" s="408" t="n">
        <x:v>800</x:v>
      </x:c>
      <x:c r="F42" s="408" t="n">
        <x:v>500</x:v>
      </x:c>
      <x:c r="G42" s="408" t="n">
        <x:v>0</x:v>
      </x:c>
      <x:c r="H42" s="408" t="n">
        <x:v>0</x:v>
      </x:c>
      <x:c r="I42" s="408" t="n">
        <x:v>0</x:v>
      </x:c>
      <x:c r="J42" s="408" t="n">
        <x:v>0</x:v>
      </x:c>
      <x:c r="K42" s="408" t="n">
        <x:v>0</x:v>
      </x:c>
      <x:c r="L42" s="408" t="n">
        <x:v>0</x:v>
      </x:c>
      <x:c r="M42" s="408" t="n">
        <x:v>0</x:v>
      </x:c>
    </x:row>
    <x:row r="43">
      <x:c r="A43" s="323" t="str">
        <x:v>Repayments</x:v>
      </x:c>
      <x:c r="B43" s="360" t="n">
        <x:v>482.621</x:v>
      </x:c>
      <x:c r="C43" s="360" t="n">
        <x:v>394.353</x:v>
      </x:c>
      <x:c r="D43" s="360" t="n">
        <x:v>447.178</x:v>
      </x:c>
      <x:c r="E43" s="408" t="n">
        <x:v>500</x:v>
      </x:c>
      <x:c r="F43" s="408" t="n">
        <x:v>800</x:v>
      </x:c>
      <x:c r="G43" s="408" t="n">
        <x:v>800</x:v>
      </x:c>
      <x:c r="H43" s="408" t="n">
        <x:v>500</x:v>
      </x:c>
      <x:c r="I43" s="408" t="n">
        <x:v>300</x:v>
      </x:c>
      <x:c r="J43" s="408" t="n">
        <x:v>366.131</x:v>
      </x:c>
      <x:c r="K43" s="408" t="n">
        <x:v>0</x:v>
      </x:c>
      <x:c r="L43" s="408" t="n">
        <x:v>0</x:v>
      </x:c>
      <x:c r="M43" s="408" t="n">
        <x:v>0</x:v>
      </x:c>
    </x:row>
    <x:row r="44">
      <x:c r="A44" s="468" t="str">
        <x:v>Closing debt</x:v>
      </x:c>
      <x:c r="B44" s="416" t="n">
        <x:v>825.07</x:v>
      </x:c>
      <x:c r="C44" s="416" t="n">
        <x:v>1360.101</x:v>
      </x:c>
      <x:c r="D44" s="416" t="n">
        <x:v>1966.131</x:v>
      </x:c>
      <x:c r="E44" s="405" t="n">
        <x:f>MAX(0,ROUND(E41+E42-E43,3))</x:f>
        <x:v>2266.131</x:v>
      </x:c>
      <x:c r="F44" s="405" t="n">
        <x:f>MAX(0,ROUND(F41+F42-F43,3))</x:f>
        <x:v>1966.131</x:v>
      </x:c>
      <x:c r="G44" s="405" t="n">
        <x:f>MAX(0,ROUND(G41+G42-G43,3))</x:f>
        <x:v>1166.131</x:v>
      </x:c>
      <x:c r="H44" s="405" t="n">
        <x:f>MAX(0,ROUND(H41+H42-H43,3))</x:f>
        <x:v>666.131</x:v>
      </x:c>
      <x:c r="I44" s="405" t="n">
        <x:f>MAX(0,ROUND(I41+I42-I43,3))</x:f>
        <x:v>366.131</x:v>
      </x:c>
      <x:c r="J44" s="405" t="n">
        <x:f>MAX(0,ROUND(J41+J42-J43,3))</x:f>
        <x:v>0</x:v>
      </x:c>
      <x:c r="K44" s="405" t="n">
        <x:f>MAX(0,ROUND(K41+K42-K43,3))</x:f>
        <x:v>0</x:v>
      </x:c>
      <x:c r="L44" s="405" t="n">
        <x:f>MAX(0,ROUND(L41+L42-L43,3))</x:f>
        <x:v>0</x:v>
      </x:c>
      <x:c r="M44" s="405" t="n">
        <x:f>MAX(0,ROUND(M41+M42-M43,3))</x:f>
        <x:v>0</x:v>
      </x:c>
    </x:row>
    <x:row r="45">
      <x:c r="A45" s="323" t="str">
        <x:v>Long-term debt</x:v>
      </x:c>
      <x:c r="B45" s="360" t="n">
        <x:v>449.206</x:v>
      </x:c>
      <x:c r="C45" s="360" t="n">
        <x:v>907.274</x:v>
      </x:c>
      <x:c r="D45" s="360" t="n">
        <x:v>1609.473</x:v>
      </x:c>
      <x:c r="E45" s="361" t="n">
        <x:f>E44*80%</x:f>
        <x:v>1812.9048</x:v>
      </x:c>
      <x:c r="F45" s="361" t="n">
        <x:f>F44*80%</x:f>
        <x:v>1572.9048000000003</x:v>
      </x:c>
      <x:c r="G45" s="361" t="n">
        <x:f>G44*80%</x:f>
        <x:v>932.9048000000001</x:v>
      </x:c>
      <x:c r="H45" s="361" t="n">
        <x:f>H44*80%</x:f>
        <x:v>532.9048</x:v>
      </x:c>
      <x:c r="I45" s="361" t="n">
        <x:f>I44*80%</x:f>
        <x:v>292.90479999999997</x:v>
      </x:c>
      <x:c r="J45" s="361" t="n">
        <x:f>J44*80%</x:f>
        <x:v>0</x:v>
      </x:c>
      <x:c r="K45" s="361" t="n">
        <x:f>K44*80%</x:f>
        <x:v>0</x:v>
      </x:c>
      <x:c r="L45" s="361" t="n">
        <x:f>L44*80%</x:f>
        <x:v>0</x:v>
      </x:c>
      <x:c r="M45" s="361" t="n">
        <x:f>M44*80%</x:f>
        <x:v>0</x:v>
      </x:c>
    </x:row>
    <x:row r="46">
      <x:c r="A46" s="323" t="str">
        <x:v>Short-term debt</x:v>
      </x:c>
      <x:c r="B46" s="360" t="n">
        <x:v>375.864</x:v>
      </x:c>
      <x:c r="C46" s="360" t="n">
        <x:v>452.827</x:v>
      </x:c>
      <x:c r="D46" s="360" t="n">
        <x:v>356.658</x:v>
      </x:c>
      <x:c r="E46" s="361" t="n">
        <x:f>E44*20%</x:f>
        <x:v>453.2262</x:v>
      </x:c>
      <x:c r="F46" s="361" t="n">
        <x:f>F44*20%</x:f>
        <x:v>393.22620000000006</x:v>
      </x:c>
      <x:c r="G46" s="361" t="n">
        <x:f>G44*20%</x:f>
        <x:v>233.22620000000003</x:v>
      </x:c>
      <x:c r="H46" s="361" t="n">
        <x:f>H44*20%</x:f>
        <x:v>133.2262</x:v>
      </x:c>
      <x:c r="I46" s="361" t="n">
        <x:f>I44*20%</x:f>
        <x:v>73.22619999999999</x:v>
      </x:c>
      <x:c r="J46" s="361" t="n">
        <x:f>J44*20%</x:f>
        <x:v>0</x:v>
      </x:c>
      <x:c r="K46" s="361" t="n">
        <x:f>K44*20%</x:f>
        <x:v>0</x:v>
      </x:c>
      <x:c r="L46" s="361" t="n">
        <x:f>L44*20%</x:f>
        <x:v>0</x:v>
      </x:c>
      <x:c r="M46" s="361" t="n">
        <x:f>M44*20%</x:f>
        <x:v>0</x:v>
      </x:c>
    </x:row>
    <x:row r="47">
      <x:c r="A47" s="323" t="str">
        <x:v>Interest rate</x:v>
      </x:c>
      <x:c r="B47" s="434"/>
      <x:c r="C47" s="434"/>
      <x:c r="D47" s="434"/>
      <x:c r="E47" s="371" t="n">
        <x:v>0.085</x:v>
      </x:c>
      <x:c r="F47" s="371" t="n">
        <x:v>0.085</x:v>
      </x:c>
      <x:c r="G47" s="371" t="n">
        <x:v>0.085</x:v>
      </x:c>
      <x:c r="H47" s="371" t="n">
        <x:v>0.085</x:v>
      </x:c>
      <x:c r="I47" s="371" t="n">
        <x:v>0.085</x:v>
      </x:c>
      <x:c r="J47" s="371" t="n">
        <x:v>0.085</x:v>
      </x:c>
      <x:c r="K47" s="371" t="n">
        <x:v>0.085</x:v>
      </x:c>
      <x:c r="L47" s="371" t="n">
        <x:v>0.085</x:v>
      </x:c>
      <x:c r="M47" s="371" t="n">
        <x:v>0.085</x:v>
      </x:c>
    </x:row>
    <x:row r="48">
      <x:c r="A48" s="323" t="str">
        <x:v>Interest expense</x:v>
      </x:c>
      <x:c r="B48" s="360" t="n">
        <x:v>139.974</x:v>
      </x:c>
      <x:c r="C48" s="360" t="n">
        <x:v>82.971</x:v>
      </x:c>
      <x:c r="D48" s="360" t="n">
        <x:v>239.474</x:v>
      </x:c>
      <x:c r="E48" s="361" t="n">
        <x:f>AVERAGE(E41,E44)*E47</x:f>
        <x:v>179.871135</x:v>
      </x:c>
      <x:c r="F48" s="361" t="n">
        <x:f>AVERAGE(F41,F44)*F47</x:f>
        <x:v>179.871135</x:v>
      </x:c>
      <x:c r="G48" s="361" t="n">
        <x:f>AVERAGE(G41,G44)*G47</x:f>
        <x:v>133.121135</x:v>
      </x:c>
      <x:c r="H48" s="361" t="n">
        <x:f>AVERAGE(H41,H44)*H47</x:f>
        <x:v>77.87113500000001</x:v>
      </x:c>
      <x:c r="I48" s="361" t="n">
        <x:f>AVERAGE(I41,I44)*I47</x:f>
        <x:v>43.871135</x:v>
      </x:c>
      <x:c r="J48" s="361" t="n">
        <x:f>AVERAGE(J41,J44)*J47</x:f>
        <x:v>15.5605675</x:v>
      </x:c>
      <x:c r="K48" s="361" t="n">
        <x:f>AVERAGE(K41,K44)*K47</x:f>
        <x:v>0</x:v>
      </x:c>
      <x:c r="L48" s="361" t="n">
        <x:f>AVERAGE(L41,L44)*L47</x:f>
        <x:v>0</x:v>
      </x:c>
      <x:c r="M48" s="361" t="n">
        <x:f>AVERAGE(M41,M44)*M47</x:f>
        <x:v>0</x:v>
      </x:c>
    </x:row>
    <x:row r="49">
      <x:c r="A49" s="323" t="str">
        <x:v>Opening cash &amp; investments</x:v>
      </x:c>
      <x:c r="B49" s="360"/>
      <x:c r="C49" s="360" t="n">
        <x:v>1167.954</x:v>
      </x:c>
      <x:c r="D49" s="360" t="n">
        <x:v>3665.017</x:v>
      </x:c>
      <x:c r="E49" s="361" t="n">
        <x:f>D53</x:f>
        <x:v>3549.649</x:v>
      </x:c>
      <x:c r="F49" s="361" t="n">
        <x:f>E53</x:f>
        <x:v>3625.123260787569</x:v>
      </x:c>
      <x:c r="G49" s="361" t="n">
        <x:f>F53</x:f>
        <x:v>4751.809553167535</x:v>
      </x:c>
      <x:c r="H49" s="361" t="n">
        <x:f>G53</x:f>
        <x:v>6500.159865682023</x:v>
      </x:c>
      <x:c r="I49" s="361" t="n">
        <x:f>H53</x:f>
        <x:v>9847.021241615977</x:v>
      </x:c>
      <x:c r="J49" s="361" t="n">
        <x:f>I53</x:f>
        <x:v>13948.193805702214</x:v>
      </x:c>
      <x:c r="K49" s="361" t="n">
        <x:f>J53</x:f>
        <x:v>18777.627600794483</x:v>
      </x:c>
      <x:c r="L49" s="361" t="n">
        <x:f>K53</x:f>
        <x:v>23981.552700829936</x:v>
      </x:c>
      <x:c r="M49" s="361" t="n">
        <x:f>L53</x:f>
        <x:v>29784.504580239973</x:v>
      </x:c>
    </x:row>
    <x:row r="50">
      <x:c r="A50" s="323" t="str">
        <x:v>Cash before interest income</x:v>
      </x:c>
      <x:c r="B50" s="360"/>
      <x:c r="C50" s="360"/>
      <x:c r="D50" s="360"/>
      <x:c r="E50" s="309" t="n">
        <x:f>E49+'Three Statements'!E16+'Three Statements'!E7-E62-E19-E33+E42-E43-E48-E72</x:f>
        <x:v>3484.441451752519</x:v>
      </x:c>
      <x:c r="F50" s="309" t="n">
        <x:f>F49+'Three Statements'!F16+'Three Statements'!F7-F62-F19-F33+F42-F43-F48-F72</x:f>
        <x:v>4587.55596858018</x:v>
      </x:c>
      <x:c r="G50" s="309" t="n">
        <x:f>G49+'Three Statements'!G16+'Three Statements'!G7-G62-G19-G33+G42-G43-G48-G72</x:f>
        <x:v>6279.533014332032</x:v>
      </x:c>
      <x:c r="H50" s="309" t="n">
        <x:f>H49+'Three Statements'!H16+'Three Statements'!H7-H62-H19-H33+H42-H43-H48-H72</x:f>
        <x:v>9526.488278727782</x:v>
      </x:c>
      <x:c r="I50" s="309" t="n">
        <x:f>I49+'Three Statements'!I16+'Three Statements'!I7-I62-I19-I33+I42-I43-I48-I72</x:f>
        <x:v>13481.620961637153</x:v>
      </x:c>
      <x:c r="J50" s="309" t="n">
        <x:f>J49+'Three Statements'!J16+'Three Statements'!J7-J62-J19-J33+J42-J43-J48-J72</x:f>
        <x:v>18135.944828118078</x:v>
      </x:c>
      <x:c r="K50" s="309" t="n">
        <x:f>K49+'Three Statements'!K16+'Three Statements'!K7-K62-K19-K33+K42-K43-K48-K72</x:f>
        <x:v>23143.137400798085</x:v>
      </x:c>
      <x:c r="L50" s="309" t="n">
        <x:f>L49+'Three Statements'!L16+'Three Statements'!L7-L62-L19-L33+L42-L43-L48-L72</x:f>
        <x:v>28730.268162964094</x:v>
      </x:c>
      <x:c r="M50" s="309" t="n">
        <x:f>M49+'Three Statements'!M16+'Three Statements'!M7-M62-M19-M33+M42-M43-M48-M72</x:f>
        <x:v>34697.13576271752</x:v>
      </x:c>
    </x:row>
    <x:row r="51">
      <x:c r="A51" s="323" t="str">
        <x:v>Cash yield</x:v>
      </x:c>
      <x:c r="B51" s="434"/>
      <x:c r="C51" s="434"/>
      <x:c r="D51" s="434"/>
      <x:c r="E51" s="371" t="n">
        <x:v>0.04</x:v>
      </x:c>
      <x:c r="F51" s="371" t="n">
        <x:v>0.04</x:v>
      </x:c>
      <x:c r="G51" s="371" t="n">
        <x:v>0.04</x:v>
      </x:c>
      <x:c r="H51" s="371" t="n">
        <x:v>0.04</x:v>
      </x:c>
      <x:c r="I51" s="371" t="n">
        <x:v>0.04</x:v>
      </x:c>
      <x:c r="J51" s="371" t="n">
        <x:v>0.04</x:v>
      </x:c>
      <x:c r="K51" s="371" t="n">
        <x:v>0.04</x:v>
      </x:c>
      <x:c r="L51" s="371" t="n">
        <x:v>0.04</x:v>
      </x:c>
      <x:c r="M51" s="371" t="n">
        <x:v>0.04</x:v>
      </x:c>
    </x:row>
    <x:row r="52">
      <x:c r="A52" s="323" t="str">
        <x:v>Interest income</x:v>
      </x:c>
      <x:c r="B52" s="360" t="n">
        <x:v>82.268</x:v>
      </x:c>
      <x:c r="C52" s="360" t="n">
        <x:v>105.84</x:v>
      </x:c>
      <x:c r="D52" s="360" t="n">
        <x:v>100.554</x:v>
      </x:c>
      <x:c r="E52" s="361" t="n">
        <x:f>MAX(0,AVERAGE(E49,MAX(0,E50))*E51)</x:f>
        <x:v>140.68180903505038</x:v>
      </x:c>
      <x:c r="F52" s="361" t="n">
        <x:f>MAX(0,AVERAGE(F49,MAX(0,F50))*F51)</x:f>
        <x:v>164.253584587355</x:v>
      </x:c>
      <x:c r="G52" s="361" t="n">
        <x:f>MAX(0,AVERAGE(G49,MAX(0,G50))*G51)</x:f>
        <x:v>220.62685134999134</x:v>
      </x:c>
      <x:c r="H52" s="361" t="n">
        <x:f>MAX(0,AVERAGE(H49,MAX(0,H50))*H51)</x:f>
        <x:v>320.53296288819615</x:v>
      </x:c>
      <x:c r="I52" s="361" t="n">
        <x:f>MAX(0,AVERAGE(I49,MAX(0,I50))*I51)</x:f>
        <x:v>466.5728440650626</x:v>
      </x:c>
      <x:c r="J52" s="361" t="n">
        <x:f>MAX(0,AVERAGE(J49,MAX(0,J50))*J51)</x:f>
        <x:v>641.6827726764059</x:v>
      </x:c>
      <x:c r="K52" s="361" t="n">
        <x:f>MAX(0,AVERAGE(K49,MAX(0,K50))*K51)</x:f>
        <x:v>838.4153000318514</x:v>
      </x:c>
      <x:c r="L52" s="361" t="n">
        <x:f>MAX(0,AVERAGE(L49,MAX(0,L50))*L51)</x:f>
        <x:v>1054.2364172758805</x:v>
      </x:c>
      <x:c r="M52" s="361" t="n">
        <x:f>MAX(0,AVERAGE(M49,MAX(0,M50))*M51)</x:f>
        <x:v>1289.6328068591497</x:v>
      </x:c>
    </x:row>
    <x:row r="53">
      <x:c r="A53" s="468" t="str">
        <x:v>Closing cash &amp; investments</x:v>
      </x:c>
      <x:c r="B53" s="416" t="n">
        <x:v>1167.954</x:v>
      </x:c>
      <x:c r="C53" s="416" t="n">
        <x:v>3665.017</x:v>
      </x:c>
      <x:c r="D53" s="416" t="n">
        <x:v>3549.649</x:v>
      </x:c>
      <x:c r="E53" s="405" t="n">
        <x:f>E50+E52</x:f>
        <x:v>3625.123260787569</x:v>
      </x:c>
      <x:c r="F53" s="405" t="n">
        <x:f>F50+F52</x:f>
        <x:v>4751.809553167535</x:v>
      </x:c>
      <x:c r="G53" s="405" t="n">
        <x:f>G50+G52</x:f>
        <x:v>6500.159865682023</x:v>
      </x:c>
      <x:c r="H53" s="405" t="n">
        <x:f>H50+H52</x:f>
        <x:v>9847.021241615977</x:v>
      </x:c>
      <x:c r="I53" s="405" t="n">
        <x:f>I50+I52</x:f>
        <x:v>13948.193805702214</x:v>
      </x:c>
      <x:c r="J53" s="405" t="n">
        <x:f>J50+J52</x:f>
        <x:v>18777.627600794483</x:v>
      </x:c>
      <x:c r="K53" s="405" t="n">
        <x:f>K50+K52</x:f>
        <x:v>23981.552700829936</x:v>
      </x:c>
      <x:c r="L53" s="405" t="n">
        <x:f>L50+L52</x:f>
        <x:v>29784.504580239973</x:v>
      </x:c>
      <x:c r="M53" s="405" t="n">
        <x:f>M50+M52</x:f>
        <x:v>35986.76856957666</x:v>
      </x:c>
    </x:row>
    <x:row r="54">
      <x:c r="A54" s="468" t="str">
        <x:v>Net debt / (cash)</x:v>
      </x:c>
      <x:c r="B54" s="404" t="n">
        <x:f>B44-B53</x:f>
        <x:v>-342.8839999999999</x:v>
      </x:c>
      <x:c r="C54" s="404" t="n">
        <x:f>C44-C53</x:f>
        <x:v>-2304.9159999999997</x:v>
      </x:c>
      <x:c r="D54" s="404" t="n">
        <x:f>D44-D53</x:f>
        <x:v>-1583.5179999999998</x:v>
      </x:c>
      <x:c r="E54" s="405" t="n">
        <x:f>E44-E53</x:f>
        <x:v>-1358.9922607875692</x:v>
      </x:c>
      <x:c r="F54" s="405" t="n">
        <x:f>F44-F53</x:f>
        <x:v>-2785.678553167535</x:v>
      </x:c>
      <x:c r="G54" s="405" t="n">
        <x:f>G44-G53</x:f>
        <x:v>-5334.028865682023</x:v>
      </x:c>
      <x:c r="H54" s="405" t="n">
        <x:f>H44-H53</x:f>
        <x:v>-9180.890241615978</x:v>
      </x:c>
      <x:c r="I54" s="405" t="n">
        <x:f>I44-I53</x:f>
        <x:v>-13582.062805702215</x:v>
      </x:c>
      <x:c r="J54" s="405" t="n">
        <x:f>J44-J53</x:f>
        <x:v>-18777.627600794483</x:v>
      </x:c>
      <x:c r="K54" s="405" t="n">
        <x:f>K44-K53</x:f>
        <x:v>-23981.552700829936</x:v>
      </x:c>
      <x:c r="L54" s="405" t="n">
        <x:f>L44-L53</x:f>
        <x:v>-29784.504580239973</x:v>
      </x:c>
      <x:c r="M54" s="405" t="n">
        <x:f>M44-M53</x:f>
        <x:v>-35986.76856957666</x:v>
      </x:c>
    </x:row>
    <x:row r="55">
      <x:c r="A55" s="323" t="str">
        <x:v>Debt roll-forward check</x:v>
      </x:c>
      <x:c r="B55" s="406" t="str">
        <x:v>N/A</x:v>
      </x:c>
      <x:c r="C55" s="406" t="str">
        <x:v>N/A</x:v>
      </x:c>
      <x:c r="D55" s="406" t="str">
        <x:v>N/A</x:v>
      </x:c>
      <x:c r="E55" s="361" t="n">
        <x:f>ROUND(E44-(E41+E42-E43),1)</x:f>
        <x:v>0</x:v>
      </x:c>
      <x:c r="F55" s="361" t="n">
        <x:f>ROUND(F44-(F41+F42-F43),1)</x:f>
        <x:v>0</x:v>
      </x:c>
      <x:c r="G55" s="361" t="n">
        <x:f>ROUND(G44-(G41+G42-G43),1)</x:f>
        <x:v>0</x:v>
      </x:c>
      <x:c r="H55" s="361" t="n">
        <x:f>ROUND(H44-(H41+H42-H43),1)</x:f>
        <x:v>0</x:v>
      </x:c>
      <x:c r="I55" s="361" t="n">
        <x:f>ROUND(I44-(I41+I42-I43),1)</x:f>
        <x:v>0</x:v>
      </x:c>
      <x:c r="J55" s="361" t="n">
        <x:f>ROUND(J44-(J41+J42-J43),1)</x:f>
        <x:v>0</x:v>
      </x:c>
      <x:c r="K55" s="361" t="n">
        <x:f>ROUND(K44-(K41+K42-K43),1)</x:f>
        <x:v>0</x:v>
      </x:c>
      <x:c r="L55" s="361" t="n">
        <x:f>ROUND(L44-(L41+L42-L43),1)</x:f>
        <x:v>0</x:v>
      </x:c>
      <x:c r="M55" s="361" t="n">
        <x:f>ROUND(M44-(M41+M42-M43),1)</x:f>
        <x:v>0</x:v>
      </x:c>
    </x:row>
    <x:row r="56">
      <x:c r="A56" s="323" t="str">
        <x:v>Cash roll-forward check</x:v>
      </x:c>
      <x:c r="B56" s="406" t="str">
        <x:v>N/A</x:v>
      </x:c>
      <x:c r="C56" s="406" t="str">
        <x:v>N/A</x:v>
      </x:c>
      <x:c r="D56" s="406" t="str">
        <x:v>N/A</x:v>
      </x:c>
      <x:c r="E56" s="361" t="n">
        <x:f>ROUND(E53-(E50+E52),1)</x:f>
        <x:v>0</x:v>
      </x:c>
      <x:c r="F56" s="361" t="n">
        <x:f>ROUND(F53-(F50+F52),1)</x:f>
        <x:v>0</x:v>
      </x:c>
      <x:c r="G56" s="361" t="n">
        <x:f>ROUND(G53-(G50+G52),1)</x:f>
        <x:v>0</x:v>
      </x:c>
      <x:c r="H56" s="361" t="n">
        <x:f>ROUND(H53-(H50+H52),1)</x:f>
        <x:v>0</x:v>
      </x:c>
      <x:c r="I56" s="361" t="n">
        <x:f>ROUND(I53-(I50+I52),1)</x:f>
        <x:v>0</x:v>
      </x:c>
      <x:c r="J56" s="361" t="n">
        <x:f>ROUND(J53-(J50+J52),1)</x:f>
        <x:v>0</x:v>
      </x:c>
      <x:c r="K56" s="361" t="n">
        <x:f>ROUND(K53-(K50+K52),1)</x:f>
        <x:v>0</x:v>
      </x:c>
      <x:c r="L56" s="361" t="n">
        <x:f>ROUND(L53-(L50+L52),1)</x:f>
        <x:v>0</x:v>
      </x:c>
      <x:c r="M56" s="361" t="n">
        <x:f>ROUND(M53-(M50+M52),1)</x:f>
        <x:v>0</x:v>
      </x:c>
    </x:row>
    <x:row r="57">
      <x:c r="A57" s="323"/>
      <x:c r="B57" s="303"/>
      <x:c r="C57" s="303"/>
      <x:c r="D57" s="303"/>
      <x:c r="E57" s="304"/>
      <x:c r="F57" s="304"/>
      <x:c r="G57" s="304"/>
      <x:c r="H57" s="304"/>
      <x:c r="I57" s="304"/>
      <x:c r="J57" s="304"/>
      <x:c r="K57" s="304"/>
      <x:c r="L57" s="304"/>
      <x:c r="M57" s="304"/>
    </x:row>
    <x:row r="58" ht="20" customHeight="1">
      <x:c r="A58" s="258" t="str">
        <x:v>Tax</x:v>
      </x:c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</x:row>
    <x:row r="59">
      <x:c r="A59" s="323" t="str">
        <x:v>Profit before tax</x:v>
      </x:c>
      <x:c r="B59" s="308" t="n">
        <x:f>'Three Statements'!B24</x:f>
        <x:v>4014.3650000000007</x:v>
      </x:c>
      <x:c r="C59" s="308" t="n">
        <x:f>'Three Statements'!C24</x:f>
        <x:v>3463.2899999999986</x:v>
      </x:c>
      <x:c r="D59" s="308" t="n">
        <x:f>'Three Statements'!D24</x:f>
        <x:v>4889.770999999997</x:v>
      </x:c>
      <x:c r="E59" s="309" t="n">
        <x:f>'Three Statements'!E24</x:f>
        <x:v>5856.980076500048</x:v>
      </x:c>
      <x:c r="F59" s="309" t="n">
        <x:f>'Three Statements'!F24</x:f>
        <x:v>6944.188922689405</x:v>
      </x:c>
      <x:c r="G59" s="309" t="n">
        <x:f>'Three Statements'!G24</x:f>
        <x:v>8285.525134961623</x:v>
      </x:c>
      <x:c r="H59" s="309" t="n">
        <x:f>'Three Statements'!H24</x:f>
        <x:v>9703.055172461072</x:v>
      </x:c>
      <x:c r="I59" s="309" t="n">
        <x:f>'Three Statements'!I24</x:f>
        <x:v>11052.394480115481</x:v>
      </x:c>
      <x:c r="J59" s="309" t="n">
        <x:f>'Three Statements'!J24</x:f>
        <x:v>12358.392200748636</x:v>
      </x:c>
      <x:c r="K59" s="309" t="n">
        <x:f>'Three Statements'!K24</x:f>
        <x:v>13406.436170298968</x:v>
      </x:c>
      <x:c r="L59" s="309" t="n">
        <x:f>'Three Statements'!L24</x:f>
        <x:v>14322.9086095287</x:v>
      </x:c>
      <x:c r="M59" s="309" t="n">
        <x:f>'Three Statements'!M24</x:f>
        <x:v>15016.86083247371</x:v>
      </x:c>
    </x:row>
    <x:row r="60">
      <x:c r="A60" s="323" t="str">
        <x:v>Tax rate</x:v>
      </x:c>
      <x:c r="B60" s="370" t="n">
        <x:f>B61/B59</x:f>
        <x:v>0.2524872551449606</x:v>
      </x:c>
      <x:c r="C60" s="370" t="n">
        <x:f>C61/C59</x:f>
        <x:v>0.24895662794625928</x:v>
      </x:c>
      <x:c r="D60" s="370" t="n">
        <x:f>D61/D59</x:f>
        <x:v>0.25559213304672157</x:v>
      </x:c>
      <x:c r="E60" s="371" t="n">
        <x:v>0.255</x:v>
      </x:c>
      <x:c r="F60" s="371" t="n">
        <x:v>0.255</x:v>
      </x:c>
      <x:c r="G60" s="371" t="n">
        <x:v>0.255</x:v>
      </x:c>
      <x:c r="H60" s="371" t="n">
        <x:v>0.255</x:v>
      </x:c>
      <x:c r="I60" s="371" t="n">
        <x:v>0.255</x:v>
      </x:c>
      <x:c r="J60" s="371" t="n">
        <x:v>0.255</x:v>
      </x:c>
      <x:c r="K60" s="371" t="n">
        <x:v>0.255</x:v>
      </x:c>
      <x:c r="L60" s="371" t="n">
        <x:v>0.255</x:v>
      </x:c>
      <x:c r="M60" s="371" t="n">
        <x:v>0.255</x:v>
      </x:c>
    </x:row>
    <x:row r="61">
      <x:c r="A61" s="323" t="str">
        <x:v>Total tax expense</x:v>
      </x:c>
      <x:c r="B61" s="360" t="n">
        <x:v>1013.576</x:v>
      </x:c>
      <x:c r="C61" s="360" t="n">
        <x:v>862.209</x:v>
      </x:c>
      <x:c r="D61" s="360" t="n">
        <x:v>1249.787</x:v>
      </x:c>
      <x:c r="E61" s="361" t="n">
        <x:f>MAX(0,E59*E60)</x:f>
        <x:v>1493.5299195075122</x:v>
      </x:c>
      <x:c r="F61" s="361" t="n">
        <x:f>MAX(0,F59*F60)</x:f>
        <x:v>1770.7681752857984</x:v>
      </x:c>
      <x:c r="G61" s="361" t="n">
        <x:f>MAX(0,G59*G60)</x:f>
        <x:v>2112.8089094152137</x:v>
      </x:c>
      <x:c r="H61" s="361" t="n">
        <x:f>MAX(0,H59*H60)</x:f>
        <x:v>2474.2790689775734</x:v>
      </x:c>
      <x:c r="I61" s="361" t="n">
        <x:f>MAX(0,I59*I60)</x:f>
        <x:v>2818.360592429448</x:v>
      </x:c>
      <x:c r="J61" s="361" t="n">
        <x:f>MAX(0,J59*J60)</x:f>
        <x:v>3151.3900111909024</x:v>
      </x:c>
      <x:c r="K61" s="361" t="n">
        <x:f>MAX(0,K59*K60)</x:f>
        <x:v>3418.641223426237</x:v>
      </x:c>
      <x:c r="L61" s="361" t="n">
        <x:f>MAX(0,L59*L60)</x:f>
        <x:v>3652.3416954298186</x:v>
      </x:c>
      <x:c r="M61" s="361" t="n">
        <x:f>MAX(0,M59*M60)</x:f>
        <x:v>3829.299512280796</x:v>
      </x:c>
    </x:row>
    <x:row r="62">
      <x:c r="A62" s="323" t="str">
        <x:v>Cash / current tax</x:v>
      </x:c>
      <x:c r="B62" s="360" t="n">
        <x:v>996.71</x:v>
      </x:c>
      <x:c r="C62" s="360" t="n">
        <x:v>737.668</x:v>
      </x:c>
      <x:c r="D62" s="360" t="n">
        <x:v>1289.554</x:v>
      </x:c>
      <x:c r="E62" s="361" t="n">
        <x:f>MAX(0,('Three Statements'!E16+'Three Statements'!E7-'Three Statements'!E19-E48)*E60)</x:f>
        <x:v>1457.6560582035743</x:v>
      </x:c>
      <x:c r="F62" s="361" t="n">
        <x:f>MAX(0,('Three Statements'!F16+'Three Statements'!F7-'Three Statements'!F19-F48)*F60)</x:f>
        <x:v>1728.8835112160227</x:v>
      </x:c>
      <x:c r="G62" s="361" t="n">
        <x:f>MAX(0,('Three Statements'!G16+'Three Statements'!G7-'Three Statements'!G19-G48)*G60)</x:f>
        <x:v>2056.549062320966</x:v>
      </x:c>
      <x:c r="H62" s="361" t="n">
        <x:f>MAX(0,('Three Statements'!H16+'Three Statements'!H7-'Three Statements'!H19-H48)*H60)</x:f>
        <x:v>2392.543163441084</x:v>
      </x:c>
      <x:c r="I62" s="361" t="n">
        <x:f>MAX(0,('Three Statements'!I16+'Three Statements'!I7-'Three Statements'!I19-I48)*I60)</x:f>
        <x:v>2699.3845171928565</x:v>
      </x:c>
      <x:c r="J62" s="361" t="n">
        <x:f>MAX(0,('Three Statements'!J16+'Three Statements'!J7-'Three Statements'!J19-J48)*J60)</x:f>
        <x:v>2987.7609041584187</x:v>
      </x:c>
      <x:c r="K62" s="361" t="n">
        <x:f>MAX(0,('Three Statements'!K16+'Three Statements'!K7-'Three Statements'!K19-K48)*K60)</x:f>
        <x:v>3204.845321918115</x:v>
      </x:c>
      <x:c r="L62" s="361" t="n">
        <x:f>MAX(0,('Three Statements'!L16+'Three Statements'!L7-'Three Statements'!L19-L48)*L60)</x:f>
        <x:v>3383.5114090244692</x:v>
      </x:c>
      <x:c r="M62" s="361" t="n">
        <x:f>MAX(0,('Three Statements'!M16+'Three Statements'!M7-'Three Statements'!M19-M48)*M60)</x:f>
        <x:v>3500.443146531713</x:v>
      </x:c>
    </x:row>
    <x:row r="63">
      <x:c r="A63" s="323" t="str">
        <x:v>Deferred tax</x:v>
      </x:c>
      <x:c r="B63" s="360" t="n">
        <x:v>16.866</x:v>
      </x:c>
      <x:c r="C63" s="360" t="n">
        <x:v>124.541</x:v>
      </x:c>
      <x:c r="D63" s="360" t="n">
        <x:v>-39.767</x:v>
      </x:c>
      <x:c r="E63" s="361" t="n">
        <x:f>E61-E62</x:f>
        <x:v>35.87386130393793</x:v>
      </x:c>
      <x:c r="F63" s="361" t="n">
        <x:f>F61-F62</x:f>
        <x:v>41.88466406977568</x:v>
      </x:c>
      <x:c r="G63" s="361" t="n">
        <x:f>G61-G62</x:f>
        <x:v>56.25984709424756</x:v>
      </x:c>
      <x:c r="H63" s="361" t="n">
        <x:f>H61-H62</x:f>
        <x:v>81.73590553648955</x:v>
      </x:c>
      <x:c r="I63" s="361" t="n">
        <x:f>I61-I62</x:f>
        <x:v>118.97607523659144</x:v>
      </x:c>
      <x:c r="J63" s="361" t="n">
        <x:f>J61-J62</x:f>
        <x:v>163.62910703248372</x:v>
      </x:c>
      <x:c r="K63" s="361" t="n">
        <x:f>K61-K62</x:f>
        <x:v>213.79590150812191</x:v>
      </x:c>
      <x:c r="L63" s="361" t="n">
        <x:f>L61-L62</x:f>
        <x:v>268.8302864053494</x:v>
      </x:c>
      <x:c r="M63" s="361" t="n">
        <x:f>M61-M62</x:f>
        <x:v>328.8563657490831</x:v>
      </x:c>
    </x:row>
    <x:row r="64">
      <x:c r="A64" s="323" t="str">
        <x:v>Opening deferred tax liability</x:v>
      </x:c>
      <x:c r="B64" s="360"/>
      <x:c r="C64" s="360" t="n">
        <x:v>604.392</x:v>
      </x:c>
      <x:c r="D64" s="360" t="n">
        <x:v>728.221</x:v>
      </x:c>
      <x:c r="E64" s="361" t="n">
        <x:f>D65</x:f>
        <x:v>689.636</x:v>
      </x:c>
      <x:c r="F64" s="361" t="n">
        <x:f>E65</x:f>
        <x:v>725.5098613039379</x:v>
      </x:c>
      <x:c r="G64" s="361" t="n">
        <x:f>F65</x:f>
        <x:v>767.3945253737136</x:v>
      </x:c>
      <x:c r="H64" s="361" t="n">
        <x:f>G65</x:f>
        <x:v>823.6543724679611</x:v>
      </x:c>
      <x:c r="I64" s="361" t="n">
        <x:f>H65</x:f>
        <x:v>905.3902780044507</x:v>
      </x:c>
      <x:c r="J64" s="361" t="n">
        <x:f>I65</x:f>
        <x:v>1024.3663532410421</x:v>
      </x:c>
      <x:c r="K64" s="361" t="n">
        <x:f>J65</x:f>
        <x:v>1187.9954602735259</x:v>
      </x:c>
      <x:c r="L64" s="361" t="n">
        <x:f>K65</x:f>
        <x:v>1401.7913617816478</x:v>
      </x:c>
      <x:c r="M64" s="361" t="n">
        <x:f>L65</x:f>
        <x:v>1670.6216481869972</x:v>
      </x:c>
    </x:row>
    <x:row r="65">
      <x:c r="A65" s="468" t="str">
        <x:v>Closing deferred tax liability</x:v>
      </x:c>
      <x:c r="B65" s="416" t="n">
        <x:v>604.392</x:v>
      </x:c>
      <x:c r="C65" s="416" t="n">
        <x:v>728.221</x:v>
      </x:c>
      <x:c r="D65" s="416" t="n">
        <x:v>689.636</x:v>
      </x:c>
      <x:c r="E65" s="405" t="n">
        <x:f>E64+E63</x:f>
        <x:v>725.5098613039379</x:v>
      </x:c>
      <x:c r="F65" s="405" t="n">
        <x:f>F64+F63</x:f>
        <x:v>767.3945253737136</x:v>
      </x:c>
      <x:c r="G65" s="405" t="n">
        <x:f>G64+G63</x:f>
        <x:v>823.6543724679611</x:v>
      </x:c>
      <x:c r="H65" s="405" t="n">
        <x:f>H64+H63</x:f>
        <x:v>905.3902780044507</x:v>
      </x:c>
      <x:c r="I65" s="405" t="n">
        <x:f>I64+I63</x:f>
        <x:v>1024.3663532410421</x:v>
      </x:c>
      <x:c r="J65" s="405" t="n">
        <x:f>J64+J63</x:f>
        <x:v>1187.9954602735259</x:v>
      </x:c>
      <x:c r="K65" s="405" t="n">
        <x:f>K64+K63</x:f>
        <x:v>1401.7913617816478</x:v>
      </x:c>
      <x:c r="L65" s="405" t="n">
        <x:f>L64+L63</x:f>
        <x:v>1670.6216481869972</x:v>
      </x:c>
      <x:c r="M65" s="405" t="n">
        <x:f>M64+M63</x:f>
        <x:v>1999.4780139360803</x:v>
      </x:c>
    </x:row>
    <x:row r="66">
      <x:c r="A66" s="323" t="str">
        <x:v>Deferred tax roll-forward check</x:v>
      </x:c>
      <x:c r="B66" s="406" t="str">
        <x:v>N/A</x:v>
      </x:c>
      <x:c r="C66" s="406" t="str">
        <x:v>N/A</x:v>
      </x:c>
      <x:c r="D66" s="406" t="str">
        <x:v>N/A</x:v>
      </x:c>
      <x:c r="E66" s="361" t="n">
        <x:f>ROUND(E65-(E64+E63),1)</x:f>
        <x:v>0</x:v>
      </x:c>
      <x:c r="F66" s="361" t="n">
        <x:f>ROUND(F65-(F64+F63),1)</x:f>
        <x:v>0</x:v>
      </x:c>
      <x:c r="G66" s="361" t="n">
        <x:f>ROUND(G65-(G64+G63),1)</x:f>
        <x:v>0</x:v>
      </x:c>
      <x:c r="H66" s="361" t="n">
        <x:f>ROUND(H65-(H64+H63),1)</x:f>
        <x:v>0</x:v>
      </x:c>
      <x:c r="I66" s="361" t="n">
        <x:f>ROUND(I65-(I64+I63),1)</x:f>
        <x:v>0</x:v>
      </x:c>
      <x:c r="J66" s="361" t="n">
        <x:f>ROUND(J65-(J64+J63),1)</x:f>
        <x:v>0</x:v>
      </x:c>
      <x:c r="K66" s="361" t="n">
        <x:f>ROUND(K65-(K64+K63),1)</x:f>
        <x:v>0</x:v>
      </x:c>
      <x:c r="L66" s="361" t="n">
        <x:f>ROUND(L65-(L64+L63),1)</x:f>
        <x:v>0</x:v>
      </x:c>
      <x:c r="M66" s="361" t="n">
        <x:f>ROUND(M65-(M64+M63),1)</x:f>
        <x:v>0</x:v>
      </x:c>
    </x:row>
    <x:row r="67">
      <x:c r="A67" s="323"/>
      <x:c r="B67" s="303"/>
      <x:c r="C67" s="303"/>
      <x:c r="D67" s="303"/>
      <x:c r="E67" s="304"/>
      <x:c r="F67" s="304"/>
      <x:c r="G67" s="304"/>
      <x:c r="H67" s="304"/>
      <x:c r="I67" s="304"/>
      <x:c r="J67" s="304"/>
      <x:c r="K67" s="304"/>
      <x:c r="L67" s="304"/>
      <x:c r="M67" s="304"/>
    </x:row>
    <x:row r="68" ht="20" customHeight="1">
      <x:c r="A68" s="258" t="str">
        <x:v>Equity and Diluted Share Count</x:v>
      </x:c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</x:row>
    <x:row r="69">
      <x:c r="A69" s="323" t="str">
        <x:v>Opening other equity</x:v>
      </x:c>
      <x:c r="B69" s="406"/>
      <x:c r="C69" s="406" t="n">
        <x:v>12698.043</x:v>
      </x:c>
      <x:c r="D69" s="406" t="n">
        <x:v>15119.058</x:v>
      </x:c>
      <x:c r="E69" s="361" t="n">
        <x:f>D73</x:f>
        <x:v>18615.724</x:v>
      </x:c>
      <x:c r="F69" s="361" t="n">
        <x:f>E73</x:f>
        <x:v>22251.177356992535</x:v>
      </x:c>
      <x:c r="G69" s="361" t="n">
        <x:f>F73</x:f>
        <x:v>26333.73556514801</x:v>
      </x:c>
      <x:c r="H69" s="361" t="n">
        <x:f>G73</x:f>
        <x:v>30954.42556647334</x:v>
      </x:c>
      <x:c r="I69" s="361" t="n">
        <x:f>H73</x:f>
        <x:v>36331.38680229291</x:v>
      </x:c>
      <x:c r="J69" s="361" t="n">
        <x:f>I73</x:f>
        <x:v>42035.34905375972</x:v>
      </x:c>
      <x:c r="K69" s="361" t="n">
        <x:f>J73</x:f>
        <x:v>48360.43938262734</x:v>
      </x:c>
      <x:c r="L69" s="361" t="n">
        <x:f>K73</x:f>
        <x:v>54665.433453676975</x:v>
      </x:c>
      <x:c r="M69" s="361" t="n">
        <x:f>L73</x:f>
        <x:v>61340.88238902677</x:v>
      </x:c>
    </x:row>
    <x:row r="70">
      <x:c r="A70" s="323" t="str">
        <x:v>Profit after tax</x:v>
      </x:c>
      <x:c r="B70" s="308" t="n">
        <x:f>'Three Statements'!B28</x:f>
        <x:v>3000.7890000000007</x:v>
      </x:c>
      <x:c r="C70" s="308" t="n">
        <x:f>'Three Statements'!C28</x:f>
        <x:v>2601.0809999999983</x:v>
      </x:c>
      <x:c r="D70" s="308" t="n">
        <x:f>'Three Statements'!D28</x:f>
        <x:v>3639.9839999999967</x:v>
      </x:c>
      <x:c r="E70" s="309" t="n">
        <x:f>'Three Statements'!E28</x:f>
        <x:v>4363.450156992536</x:v>
      </x:c>
      <x:c r="F70" s="309" t="n">
        <x:f>'Three Statements'!F28</x:f>
        <x:v>5173.420747403607</x:v>
      </x:c>
      <x:c r="G70" s="309" t="n">
        <x:f>'Three Statements'!G28</x:f>
        <x:v>6172.716225546409</x:v>
      </x:c>
      <x:c r="H70" s="309" t="n">
        <x:f>'Three Statements'!H28</x:f>
        <x:v>7228.776103483498</x:v>
      </x:c>
      <x:c r="I70" s="309" t="n">
        <x:f>'Three Statements'!I28</x:f>
        <x:v>8234.033887686033</x:v>
      </x:c>
      <x:c r="J70" s="309" t="n">
        <x:f>'Three Statements'!J28</x:f>
        <x:v>9207.002189557734</x:v>
      </x:c>
      <x:c r="K70" s="309" t="n">
        <x:f>'Three Statements'!K28</x:f>
        <x:v>9987.794946872731</x:v>
      </x:c>
      <x:c r="L70" s="309" t="n">
        <x:f>'Three Statements'!L28</x:f>
        <x:v>10670.566914098881</x:v>
      </x:c>
      <x:c r="M70" s="309" t="n">
        <x:f>'Three Statements'!M28</x:f>
        <x:v>11187.561320192915</x:v>
      </x:c>
    </x:row>
    <x:row r="71">
      <x:c r="A71" s="323" t="str">
        <x:v>Dividend payout</x:v>
      </x:c>
      <x:c r="B71" s="370"/>
      <x:c r="C71" s="370"/>
      <x:c r="D71" s="370"/>
      <x:c r="E71" s="371" t="n">
        <x:v>0.2</x:v>
      </x:c>
      <x:c r="F71" s="371" t="n">
        <x:v>0.25</x:v>
      </x:c>
      <x:c r="G71" s="371" t="n">
        <x:v>0.3</x:v>
      </x:c>
      <x:c r="H71" s="371" t="n">
        <x:v>0.3</x:v>
      </x:c>
      <x:c r="I71" s="371" t="n">
        <x:v>0.35</x:v>
      </x:c>
      <x:c r="J71" s="371" t="n">
        <x:v>0.35</x:v>
      </x:c>
      <x:c r="K71" s="371" t="n">
        <x:v>0.4</x:v>
      </x:c>
      <x:c r="L71" s="371" t="n">
        <x:v>0.4</x:v>
      </x:c>
      <x:c r="M71" s="371" t="n">
        <x:v>0.4</x:v>
      </x:c>
    </x:row>
    <x:row r="72">
      <x:c r="A72" s="323" t="str">
        <x:v>Dividends paid</x:v>
      </x:c>
      <x:c r="B72" s="360" t="n">
        <x:v>128.299</x:v>
      </x:c>
      <x:c r="C72" s="360" t="n">
        <x:v>179.618</x:v>
      </x:c>
      <x:c r="D72" s="360" t="n">
        <x:v>153.959</x:v>
      </x:c>
      <x:c r="E72" s="361" t="n">
        <x:f>D70*E71</x:f>
        <x:v>727.9967999999994</x:v>
      </x:c>
      <x:c r="F72" s="361" t="n">
        <x:f>E70*F71</x:f>
        <x:v>1090.862539248134</x:v>
      </x:c>
      <x:c r="G72" s="361" t="n">
        <x:f>F70*G71</x:f>
        <x:v>1552.026224221082</x:v>
      </x:c>
      <x:c r="H72" s="361" t="n">
        <x:f>G70*H71</x:f>
        <x:v>1851.8148676639225</x:v>
      </x:c>
      <x:c r="I72" s="361" t="n">
        <x:f>H70*I71</x:f>
        <x:v>2530.0716362192243</x:v>
      </x:c>
      <x:c r="J72" s="361" t="n">
        <x:f>I70*J71</x:f>
        <x:v>2881.9118606901116</x:v>
      </x:c>
      <x:c r="K72" s="361" t="n">
        <x:f>J70*K71</x:f>
        <x:v>3682.8008758230935</x:v>
      </x:c>
      <x:c r="L72" s="361" t="n">
        <x:f>K70*L71</x:f>
        <x:v>3995.117978749093</x:v>
      </x:c>
      <x:c r="M72" s="361" t="n">
        <x:f>L70*M71</x:f>
        <x:v>4268.2267656395525</x:v>
      </x:c>
    </x:row>
    <x:row r="73">
      <x:c r="A73" s="468" t="str">
        <x:v>Closing other equity</x:v>
      </x:c>
      <x:c r="B73" s="416" t="n">
        <x:v>12698.043</x:v>
      </x:c>
      <x:c r="C73" s="416" t="n">
        <x:v>15119.058</x:v>
      </x:c>
      <x:c r="D73" s="416" t="n">
        <x:v>18615.724</x:v>
      </x:c>
      <x:c r="E73" s="405" t="n">
        <x:f>E69+E70-E72</x:f>
        <x:v>22251.177356992535</x:v>
      </x:c>
      <x:c r="F73" s="405" t="n">
        <x:f>F69+F70-F72</x:f>
        <x:v>26333.73556514801</x:v>
      </x:c>
      <x:c r="G73" s="405" t="n">
        <x:f>G69+G70-G72</x:f>
        <x:v>30954.42556647334</x:v>
      </x:c>
      <x:c r="H73" s="405" t="n">
        <x:f>H69+H70-H72</x:f>
        <x:v>36331.38680229291</x:v>
      </x:c>
      <x:c r="I73" s="405" t="n">
        <x:f>I69+I70-I72</x:f>
        <x:v>42035.34905375972</x:v>
      </x:c>
      <x:c r="J73" s="405" t="n">
        <x:f>J69+J70-J72</x:f>
        <x:v>48360.43938262734</x:v>
      </x:c>
      <x:c r="K73" s="405" t="n">
        <x:f>K69+K70-K72</x:f>
        <x:v>54665.433453676975</x:v>
      </x:c>
      <x:c r="L73" s="405" t="n">
        <x:f>L69+L70-L72</x:f>
        <x:v>61340.88238902677</x:v>
      </x:c>
      <x:c r="M73" s="405" t="n">
        <x:f>M69+M70-M72</x:f>
        <x:v>68260.21694358013</x:v>
      </x:c>
    </x:row>
    <x:row r="74">
      <x:c r="A74" s="323" t="str">
        <x:v>Share capital</x:v>
      </x:c>
      <x:c r="B74" s="360" t="n">
        <x:v>129.005</x:v>
      </x:c>
      <x:c r="C74" s="360" t="n">
        <x:v>129.005</x:v>
      </x:c>
      <x:c r="D74" s="360" t="n">
        <x:v>129.005</x:v>
      </x:c>
      <x:c r="E74" s="361" t="n">
        <x:f>D74</x:f>
        <x:v>129.005</x:v>
      </x:c>
      <x:c r="F74" s="361" t="n">
        <x:f>E74</x:f>
        <x:v>129.005</x:v>
      </x:c>
      <x:c r="G74" s="361" t="n">
        <x:f>F74</x:f>
        <x:v>129.005</x:v>
      </x:c>
      <x:c r="H74" s="361" t="n">
        <x:f>G74</x:f>
        <x:v>129.005</x:v>
      </x:c>
      <x:c r="I74" s="361" t="n">
        <x:f>H74</x:f>
        <x:v>129.005</x:v>
      </x:c>
      <x:c r="J74" s="361" t="n">
        <x:f>I74</x:f>
        <x:v>129.005</x:v>
      </x:c>
      <x:c r="K74" s="361" t="n">
        <x:f>J74</x:f>
        <x:v>129.005</x:v>
      </x:c>
      <x:c r="L74" s="361" t="n">
        <x:f>K74</x:f>
        <x:v>129.005</x:v>
      </x:c>
      <x:c r="M74" s="361" t="n">
        <x:f>L74</x:f>
        <x:v>129.005</x:v>
      </x:c>
    </x:row>
    <x:row r="75">
      <x:c r="A75" s="468" t="str">
        <x:v>Total equity</x:v>
      </x:c>
      <x:c r="B75" s="416" t="n">
        <x:f>B73+B74</x:f>
        <x:v>12827.047999999999</x:v>
      </x:c>
      <x:c r="C75" s="416" t="n">
        <x:f>C73+C74</x:f>
        <x:v>15248.063</x:v>
      </x:c>
      <x:c r="D75" s="416" t="n">
        <x:f>D73+D74</x:f>
        <x:v>18744.729</x:v>
      </x:c>
      <x:c r="E75" s="405" t="n">
        <x:f>E73+E74</x:f>
        <x:v>22380.182356992536</x:v>
      </x:c>
      <x:c r="F75" s="405" t="n">
        <x:f>F73+F74</x:f>
        <x:v>26462.74056514801</x:v>
      </x:c>
      <x:c r="G75" s="405" t="n">
        <x:f>G73+G74</x:f>
        <x:v>31083.43056647334</x:v>
      </x:c>
      <x:c r="H75" s="405" t="n">
        <x:f>H73+H74</x:f>
        <x:v>36460.39180229291</x:v>
      </x:c>
      <x:c r="I75" s="405" t="n">
        <x:f>I73+I74</x:f>
        <x:v>42164.354053759715</x:v>
      </x:c>
      <x:c r="J75" s="405" t="n">
        <x:f>J73+J74</x:f>
        <x:v>48489.444382627335</x:v>
      </x:c>
      <x:c r="K75" s="405" t="n">
        <x:f>K73+K74</x:f>
        <x:v>54794.43845367697</x:v>
      </x:c>
      <x:c r="L75" s="405" t="n">
        <x:f>L73+L74</x:f>
        <x:v>61469.887389026764</x:v>
      </x:c>
      <x:c r="M75" s="405" t="n">
        <x:f>M73+M74</x:f>
        <x:v>68389.22194358014</x:v>
      </x:c>
    </x:row>
    <x:row r="76">
      <x:c r="A76" s="323" t="str">
        <x:v>Retained-earnings roll-forward check</x:v>
      </x:c>
      <x:c r="B76" s="435" t="str">
        <x:v>N/A</x:v>
      </x:c>
      <x:c r="C76" s="435" t="str">
        <x:v>N/A</x:v>
      </x:c>
      <x:c r="D76" s="435" t="str">
        <x:v>N/A</x:v>
      </x:c>
      <x:c r="E76" s="304" t="n">
        <x:f>ROUND(E73-(E69+E70-E72),1)</x:f>
        <x:v>0</x:v>
      </x:c>
      <x:c r="F76" s="304" t="n">
        <x:f>ROUND(F73-(F69+F70-F72),1)</x:f>
        <x:v>0</x:v>
      </x:c>
      <x:c r="G76" s="304" t="n">
        <x:f>ROUND(G73-(G69+G70-G72),1)</x:f>
        <x:v>0</x:v>
      </x:c>
      <x:c r="H76" s="304" t="n">
        <x:f>ROUND(H73-(H69+H70-H72),1)</x:f>
        <x:v>0</x:v>
      </x:c>
      <x:c r="I76" s="304" t="n">
        <x:f>ROUND(I73-(I69+I70-I72),1)</x:f>
        <x:v>0</x:v>
      </x:c>
      <x:c r="J76" s="304" t="n">
        <x:f>ROUND(J73-(J69+J70-J72),1)</x:f>
        <x:v>0</x:v>
      </x:c>
      <x:c r="K76" s="304" t="n">
        <x:f>ROUND(K73-(K69+K70-K72),1)</x:f>
        <x:v>0</x:v>
      </x:c>
      <x:c r="L76" s="304" t="n">
        <x:f>ROUND(L73-(L69+L70-L72),1)</x:f>
        <x:v>0</x:v>
      </x:c>
      <x:c r="M76" s="304" t="n">
        <x:f>ROUND(M73-(M69+M70-M72),1)</x:f>
        <x:v>0</x:v>
      </x:c>
    </x:row>
    <x:row r="77">
      <x:c r="A77" s="323" t="str">
        <x:v>Diluted shares (million)</x:v>
      </x:c>
      <x:c r="B77" s="436" t="n">
        <x:v>12.829889</x:v>
      </x:c>
      <x:c r="C77" s="436" t="n">
        <x:v>12.829889</x:v>
      </x:c>
      <x:c r="D77" s="436" t="n">
        <x:v>12.829889</x:v>
      </x:c>
      <x:c r="E77" s="437" t="n">
        <x:f>D77</x:f>
        <x:v>12.829889</x:v>
      </x:c>
      <x:c r="F77" s="437" t="n">
        <x:f>E77</x:f>
        <x:v>12.829889</x:v>
      </x:c>
      <x:c r="G77" s="437" t="n">
        <x:f>F77</x:f>
        <x:v>12.829889</x:v>
      </x:c>
      <x:c r="H77" s="437" t="n">
        <x:f>G77</x:f>
        <x:v>12.829889</x:v>
      </x:c>
      <x:c r="I77" s="437" t="n">
        <x:f>H77</x:f>
        <x:v>12.829889</x:v>
      </x:c>
      <x:c r="J77" s="437" t="n">
        <x:f>I77</x:f>
        <x:v>12.829889</x:v>
      </x:c>
      <x:c r="K77" s="437" t="n">
        <x:f>J77</x:f>
        <x:v>12.829889</x:v>
      </x:c>
      <x:c r="L77" s="437" t="n">
        <x:f>K77</x:f>
        <x:v>12.829889</x:v>
      </x:c>
      <x:c r="M77" s="437" t="n">
        <x:f>L77</x:f>
        <x:v>12.829889</x:v>
      </x:c>
    </x:row>
    <x:row r="78">
      <x:c r="A78" s="323"/>
      <x:c r="B78" s="406"/>
      <x:c r="C78" s="406"/>
      <x:c r="D78" s="406"/>
      <x:c r="E78" s="361"/>
      <x:c r="F78" s="361"/>
      <x:c r="G78" s="361"/>
      <x:c r="H78" s="361"/>
      <x:c r="I78" s="361"/>
      <x:c r="J78" s="361"/>
      <x:c r="K78" s="361"/>
      <x:c r="L78" s="361"/>
      <x:c r="M78" s="361"/>
    </x:row>
    <x:row r="79" ht="20" customHeight="1">
      <x:c r="A79" s="258" t="str">
        <x:v>Other Balance-Sheet Items and Operating Assumptions</x:v>
      </x:c>
      <x:c r="B79" s="128"/>
      <x:c r="C79" s="128"/>
      <x:c r="D79" s="128"/>
      <x:c r="E79" s="128"/>
      <x:c r="F79" s="128"/>
      <x:c r="G79" s="128"/>
      <x:c r="H79" s="128"/>
      <x:c r="I79" s="128"/>
      <x:c r="J79" s="128"/>
      <x:c r="K79" s="128"/>
      <x:c r="L79" s="128"/>
      <x:c r="M79" s="128"/>
    </x:row>
    <x:row r="80">
      <x:c r="A80" s="323" t="str">
        <x:v>Goodwill &amp; intangibles</x:v>
      </x:c>
      <x:c r="B80" s="360" t="n">
        <x:v>2819.191</x:v>
      </x:c>
      <x:c r="C80" s="360" t="n">
        <x:v>2843.15</x:v>
      </x:c>
      <x:c r="D80" s="360" t="n">
        <x:v>2857.268</x:v>
      </x:c>
      <x:c r="E80" s="361" t="n">
        <x:f>D80</x:f>
        <x:v>2857.268</x:v>
      </x:c>
      <x:c r="F80" s="361" t="n">
        <x:f>E80</x:f>
        <x:v>2857.268</x:v>
      </x:c>
      <x:c r="G80" s="361" t="n">
        <x:f>F80</x:f>
        <x:v>2857.268</x:v>
      </x:c>
      <x:c r="H80" s="361" t="n">
        <x:f>G80</x:f>
        <x:v>2857.268</x:v>
      </x:c>
      <x:c r="I80" s="361" t="n">
        <x:f>H80</x:f>
        <x:v>2857.268</x:v>
      </x:c>
      <x:c r="J80" s="361" t="n">
        <x:f>I80</x:f>
        <x:v>2857.268</x:v>
      </x:c>
      <x:c r="K80" s="361" t="n">
        <x:f>J80</x:f>
        <x:v>2857.268</x:v>
      </x:c>
      <x:c r="L80" s="361" t="n">
        <x:f>K80</x:f>
        <x:v>2857.268</x:v>
      </x:c>
      <x:c r="M80" s="361" t="n">
        <x:f>L80</x:f>
        <x:v>2857.268</x:v>
      </x:c>
    </x:row>
    <x:row r="81">
      <x:c r="A81" s="323" t="str">
        <x:v>Other non-current assets</x:v>
      </x:c>
      <x:c r="B81" s="360" t="n">
        <x:v>609.488</x:v>
      </x:c>
      <x:c r="C81" s="360" t="n">
        <x:v>378.033</x:v>
      </x:c>
      <x:c r="D81" s="360" t="n">
        <x:v>594.955</x:v>
      </x:c>
      <x:c r="E81" s="361" t="n">
        <x:f>D81</x:f>
        <x:v>594.955</x:v>
      </x:c>
      <x:c r="F81" s="361" t="n">
        <x:f>E81</x:f>
        <x:v>594.955</x:v>
      </x:c>
      <x:c r="G81" s="361" t="n">
        <x:f>F81</x:f>
        <x:v>594.955</x:v>
      </x:c>
      <x:c r="H81" s="361" t="n">
        <x:f>G81</x:f>
        <x:v>594.955</x:v>
      </x:c>
      <x:c r="I81" s="361" t="n">
        <x:f>H81</x:f>
        <x:v>594.955</x:v>
      </x:c>
      <x:c r="J81" s="361" t="n">
        <x:f>I81</x:f>
        <x:v>594.955</x:v>
      </x:c>
      <x:c r="K81" s="361" t="n">
        <x:f>J81</x:f>
        <x:v>594.955</x:v>
      </x:c>
      <x:c r="L81" s="361" t="n">
        <x:f>K81</x:f>
        <x:v>594.955</x:v>
      </x:c>
      <x:c r="M81" s="361" t="n">
        <x:f>L81</x:f>
        <x:v>594.955</x:v>
      </x:c>
    </x:row>
    <x:row r="82">
      <x:c r="A82" s="323" t="str">
        <x:v>Other non-current liabilities ex deferred tax</x:v>
      </x:c>
      <x:c r="B82" s="360" t="n">
        <x:v>168.132</x:v>
      </x:c>
      <x:c r="C82" s="360" t="n">
        <x:v>258.399</x:v>
      </x:c>
      <x:c r="D82" s="360" t="n">
        <x:v>1155.559</x:v>
      </x:c>
      <x:c r="E82" s="361" t="n">
        <x:f>D82</x:f>
        <x:v>1155.559</x:v>
      </x:c>
      <x:c r="F82" s="361" t="n">
        <x:f>E82</x:f>
        <x:v>1155.559</x:v>
      </x:c>
      <x:c r="G82" s="361" t="n">
        <x:f>F82</x:f>
        <x:v>1155.559</x:v>
      </x:c>
      <x:c r="H82" s="361" t="n">
        <x:f>G82</x:f>
        <x:v>1155.559</x:v>
      </x:c>
      <x:c r="I82" s="361" t="n">
        <x:f>H82</x:f>
        <x:v>1155.559</x:v>
      </x:c>
      <x:c r="J82" s="361" t="n">
        <x:f>I82</x:f>
        <x:v>1155.559</x:v>
      </x:c>
      <x:c r="K82" s="361" t="n">
        <x:f>J82</x:f>
        <x:v>1155.559</x:v>
      </x:c>
      <x:c r="L82" s="361" t="n">
        <x:f>K82</x:f>
        <x:v>1155.559</x:v>
      </x:c>
      <x:c r="M82" s="361" t="n">
        <x:f>L82</x:f>
        <x:v>1155.559</x:v>
      </x:c>
    </x:row>
    <x:row r="83">
      <x:c r="A83" s="323"/>
      <x:c r="B83" s="303"/>
      <x:c r="C83" s="303"/>
      <x:c r="D83" s="303"/>
      <x:c r="E83" s="304"/>
      <x:c r="F83" s="304"/>
      <x:c r="G83" s="304"/>
      <x:c r="H83" s="304"/>
      <x:c r="I83" s="304"/>
      <x:c r="J83" s="304"/>
      <x:c r="K83" s="304"/>
      <x:c r="L83" s="304"/>
      <x:c r="M83" s="304"/>
    </x:row>
    <x:row r="84">
      <x:c r="A84" s="323" t="str">
        <x:v>Net material cost % revenue</x:v>
      </x:c>
      <x:c r="B84" s="370"/>
      <x:c r="C84" s="370"/>
      <x:c r="D84" s="370"/>
      <x:c r="E84" s="371" t="n">
        <x:v>0.37</x:v>
      </x:c>
      <x:c r="F84" s="371" t="n">
        <x:v>0.368</x:v>
      </x:c>
      <x:c r="G84" s="371" t="n">
        <x:v>0.365</x:v>
      </x:c>
      <x:c r="H84" s="371" t="n">
        <x:v>0.362</x:v>
      </x:c>
      <x:c r="I84" s="371" t="n">
        <x:v>0.36</x:v>
      </x:c>
      <x:c r="J84" s="371" t="n">
        <x:v>0.358</x:v>
      </x:c>
      <x:c r="K84" s="371" t="n">
        <x:v>0.357</x:v>
      </x:c>
      <x:c r="L84" s="371" t="n">
        <x:v>0.356</x:v>
      </x:c>
      <x:c r="M84" s="371" t="n">
        <x:v>0.355</x:v>
      </x:c>
    </x:row>
    <x:row r="85">
      <x:c r="A85" s="323" t="str">
        <x:v>Employee cost growth</x:v>
      </x:c>
      <x:c r="B85" s="370"/>
      <x:c r="C85" s="370"/>
      <x:c r="D85" s="370"/>
      <x:c r="E85" s="371" t="n">
        <x:v>0.13</x:v>
      </x:c>
      <x:c r="F85" s="371" t="n">
        <x:v>0.12</x:v>
      </x:c>
      <x:c r="G85" s="371" t="n">
        <x:v>0.11</x:v>
      </x:c>
      <x:c r="H85" s="371" t="n">
        <x:v>0.1</x:v>
      </x:c>
      <x:c r="I85" s="371" t="n">
        <x:v>0.09</x:v>
      </x:c>
      <x:c r="J85" s="371" t="n">
        <x:v>0.08</x:v>
      </x:c>
      <x:c r="K85" s="371" t="n">
        <x:v>0.08</x:v>
      </x:c>
      <x:c r="L85" s="371" t="n">
        <x:v>0.07</x:v>
      </x:c>
      <x:c r="M85" s="371" t="n">
        <x:v>0.07</x:v>
      </x:c>
    </x:row>
    <x:row r="86">
      <x:c r="A86" s="323" t="str">
        <x:v>Manufacturing cost % revenue</x:v>
      </x:c>
      <x:c r="B86" s="370"/>
      <x:c r="C86" s="370"/>
      <x:c r="D86" s="370"/>
      <x:c r="E86" s="371" t="n">
        <x:v>0.095</x:v>
      </x:c>
      <x:c r="F86" s="371" t="n">
        <x:v>0.094</x:v>
      </x:c>
      <x:c r="G86" s="371" t="n">
        <x:v>0.093</x:v>
      </x:c>
      <x:c r="H86" s="371" t="n">
        <x:v>0.092</x:v>
      </x:c>
      <x:c r="I86" s="371" t="n">
        <x:v>0.091</x:v>
      </x:c>
      <x:c r="J86" s="371" t="n">
        <x:v>0.09</x:v>
      </x:c>
      <x:c r="K86" s="371" t="n">
        <x:v>0.09</x:v>
      </x:c>
      <x:c r="L86" s="371" t="n">
        <x:v>0.089</x:v>
      </x:c>
      <x:c r="M86" s="371" t="n">
        <x:v>0.089</x:v>
      </x:c>
    </x:row>
    <x:row r="87">
      <x:c r="A87" s="323" t="str">
        <x:v>Other operating expense % revenue</x:v>
      </x:c>
      <x:c r="B87" s="370"/>
      <x:c r="C87" s="370"/>
      <x:c r="D87" s="370"/>
      <x:c r="E87" s="371" t="n">
        <x:v>0.079</x:v>
      </x:c>
      <x:c r="F87" s="371" t="n">
        <x:v>0.078</x:v>
      </x:c>
      <x:c r="G87" s="371" t="n">
        <x:v>0.077</x:v>
      </x:c>
      <x:c r="H87" s="371" t="n">
        <x:v>0.076</x:v>
      </x:c>
      <x:c r="I87" s="371" t="n">
        <x:v>0.075</x:v>
      </x:c>
      <x:c r="J87" s="371" t="n">
        <x:v>0.075</x:v>
      </x:c>
      <x:c r="K87" s="371" t="n">
        <x:v>0.074</x:v>
      </x:c>
      <x:c r="L87" s="371" t="n">
        <x:v>0.074</x:v>
      </x:c>
      <x:c r="M87" s="371" t="n">
        <x:v>0.073</x:v>
      </x:c>
    </x:row>
    <x:row r="88">
      <x:c r="A88" s="323" t="str">
        <x:v>Other non-interest income % revenue</x:v>
      </x:c>
      <x:c r="B88" s="370"/>
      <x:c r="C88" s="370"/>
      <x:c r="D88" s="370"/>
      <x:c r="E88" s="371" t="n">
        <x:v>0.005</x:v>
      </x:c>
      <x:c r="F88" s="371" t="n">
        <x:v>0.005</x:v>
      </x:c>
      <x:c r="G88" s="371" t="n">
        <x:v>0.005</x:v>
      </x:c>
      <x:c r="H88" s="371" t="n">
        <x:v>0.005</x:v>
      </x:c>
      <x:c r="I88" s="371" t="n">
        <x:v>0.0045</x:v>
      </x:c>
      <x:c r="J88" s="371" t="n">
        <x:v>0.0045</x:v>
      </x:c>
      <x:c r="K88" s="371" t="n">
        <x:v>0.004</x:v>
      </x:c>
      <x:c r="L88" s="371" t="n">
        <x:v>0.004</x:v>
      </x:c>
      <x:c r="M88" s="371" t="n">
        <x:v>0.004</x:v>
      </x:c>
    </x:row>
    <x:row r="89">
      <x:c r="A89" s="323"/>
      <x:c r="B89" s="303"/>
      <x:c r="C89" s="303"/>
      <x:c r="D89" s="303"/>
      <x:c r="E89" s="304"/>
      <x:c r="F89" s="304"/>
      <x:c r="G89" s="304"/>
      <x:c r="H89" s="304"/>
      <x:c r="I89" s="304"/>
      <x:c r="J89" s="304"/>
      <x:c r="K89" s="304"/>
      <x:c r="L89" s="304"/>
      <x:c r="M89" s="304"/>
    </x:row>
    <x:row r="90">
      <x:c r="A90" s="323"/>
      <x:c r="B90" s="303"/>
      <x:c r="C90" s="303"/>
      <x:c r="D90" s="303"/>
      <x:c r="E90" s="304"/>
      <x:c r="F90" s="304"/>
      <x:c r="G90" s="304"/>
      <x:c r="H90" s="304"/>
      <x:c r="I90" s="304"/>
      <x:c r="J90" s="304"/>
      <x:c r="K90" s="304"/>
      <x:c r="L90" s="304"/>
      <x:c r="M90" s="304"/>
    </x:row>
    <x:row r="91" ht="20" customHeight="1">
      <x:c r="A91" s="258" t="str">
        <x:v>Capacity and Capex Feasibility Monitor</x:v>
      </x:c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</x:row>
    <x:row r="92">
      <x:c r="A92" s="322" t="str">
        <x:v>Project / asset</x:v>
      </x:c>
      <x:c r="B92" s="322" t="str">
        <x:v>Existing / announced capacity</x:v>
      </x:c>
      <x:c r="C92" s="322" t="str">
        <x:v>Status / timing</x:v>
      </x:c>
      <x:c r="D92" s="322" t="str">
        <x:v>Model treatment</x:v>
      </x:c>
      <x:c r="E92" s="322" t="str">
        <x:v>Key risk</x:v>
      </x:c>
      <x:c r="F92" s="322" t="str">
        <x:v>Source</x:v>
      </x:c>
      <x:c r="G92" s="302"/>
      <x:c r="H92" s="302"/>
      <x:c r="I92" s="302"/>
      <x:c r="J92" s="302"/>
      <x:c r="K92" s="302"/>
      <x:c r="L92" s="302"/>
      <x:c r="M92" s="302"/>
    </x:row>
    <x:row r="93">
      <x:c r="A93" s="323" t="str">
        <x:v>Unit I expansion</x:v>
      </x:c>
      <x:c r="B93" s="372" t="str">
        <x:v>Existing ~256 KL; announced +120.5 KL</x:v>
      </x:c>
      <x:c r="C93" s="372" t="str">
        <x:v>12–18 months from FY26 result</x:v>
      </x:c>
      <x:c r="D93" s="372" t="str">
        <x:v>Included in FY27–FY28 capex; phased through CWIP and capitalization</x:v>
      </x:c>
      <x:c r="E93" s="372" t="str">
        <x:v>Qualification and utilization timing</x:v>
      </x:c>
      <x:c r="F93" s="372" t="str">
        <x:v>FY26 board outcome / annual report</x:v>
      </x:c>
      <x:c r="G93" s="302"/>
      <x:c r="H93" s="302"/>
      <x:c r="I93" s="302"/>
      <x:c r="J93" s="302"/>
      <x:c r="K93" s="302"/>
      <x:c r="L93" s="302"/>
      <x:c r="M93" s="302"/>
    </x:row>
    <x:row r="94">
      <x:c r="A94" s="323" t="str">
        <x:v>Peptide facility</x:v>
      </x:c>
      <x:c r="B94" s="372" t="str">
        <x:v>Dedicated peptide manufacturing capability</x:v>
      </x:c>
      <x:c r="C94" s="372" t="str">
        <x:v>Commissioning / customer qualification</x:v>
      </x:c>
      <x:c r="D94" s="372" t="str">
        <x:v>Capacity is a feasibility check; no revenue-per-KL formula</x:v>
      </x:c>
      <x:c r="E94" s="372" t="str">
        <x:v>Commercial order timing</x:v>
      </x:c>
      <x:c r="F94" s="372" t="str">
        <x:v>Annual reports and investor presentations</x:v>
      </x:c>
      <x:c r="G94" s="302"/>
      <x:c r="H94" s="302"/>
      <x:c r="I94" s="302"/>
      <x:c r="J94" s="302"/>
      <x:c r="K94" s="302"/>
      <x:c r="L94" s="302"/>
      <x:c r="M94" s="302"/>
    </x:row>
    <x:row r="95">
      <x:c r="A95" s="323" t="str">
        <x:v>New R&amp;D centre</x:v>
      </x:c>
      <x:c r="B95" s="372" t="str">
        <x:v>Expanded development and analytical infrastructure</x:v>
      </x:c>
      <x:c r="C95" s="372" t="str">
        <x:v>Ramp during forecast period</x:v>
      </x:c>
      <x:c r="D95" s="372" t="str">
        <x:v>Included in growth capex and employee-cost assumptions</x:v>
      </x:c>
      <x:c r="E95" s="372" t="str">
        <x:v>Hiring and project conversion</x:v>
      </x:c>
      <x:c r="F95" s="372" t="str">
        <x:v>Annual reports and investor presentations</x:v>
      </x:c>
      <x:c r="G95" s="302"/>
      <x:c r="H95" s="302"/>
      <x:c r="I95" s="302"/>
      <x:c r="J95" s="302"/>
      <x:c r="K95" s="302"/>
      <x:c r="L95" s="302"/>
      <x:c r="M95" s="302"/>
    </x:row>
    <x:row r="96">
      <x:c r="A96" s="323"/>
      <x:c r="B96" s="302"/>
      <x:c r="C96" s="302"/>
      <x:c r="D96" s="302"/>
      <x:c r="E96" s="302"/>
      <x:c r="F96" s="302"/>
      <x:c r="G96" s="302"/>
      <x:c r="H96" s="302"/>
      <x:c r="I96" s="302"/>
      <x:c r="J96" s="302"/>
      <x:c r="K96" s="302"/>
      <x:c r="L96" s="302"/>
      <x:c r="M96" s="302"/>
    </x:row>
    <x:row r="97">
      <x:c r="A97" s="323"/>
      <x:c r="B97" s="302"/>
      <x:c r="C97" s="302"/>
      <x:c r="D97" s="302"/>
      <x:c r="E97" s="302"/>
      <x:c r="F97" s="302"/>
      <x:c r="G97" s="302"/>
      <x:c r="H97" s="302"/>
      <x:c r="I97" s="302"/>
      <x:c r="J97" s="302"/>
      <x:c r="K97" s="302"/>
      <x:c r="L97" s="302"/>
      <x:c r="M97" s="302"/>
    </x:row>
    <x:row r="98">
      <x:c r="A98" s="323"/>
      <x:c r="B98" s="302"/>
      <x:c r="C98" s="302"/>
      <x:c r="D98" s="302"/>
      <x:c r="E98" s="302"/>
      <x:c r="F98" s="302"/>
      <x:c r="G98" s="302"/>
      <x:c r="H98" s="302"/>
      <x:c r="I98" s="302"/>
      <x:c r="J98" s="302"/>
      <x:c r="K98" s="302"/>
      <x:c r="L98" s="302"/>
      <x:c r="M98" s="302"/>
    </x:row>
    <x:row r="99">
      <x:c r="A99" s="323"/>
      <x:c r="B99" s="302"/>
      <x:c r="C99" s="302"/>
      <x:c r="D99" s="302"/>
      <x:c r="E99" s="302"/>
      <x:c r="F99" s="302"/>
      <x:c r="G99" s="302"/>
      <x:c r="H99" s="302"/>
      <x:c r="I99" s="302"/>
      <x:c r="J99" s="302"/>
      <x:c r="K99" s="302"/>
      <x:c r="L99" s="302"/>
      <x:c r="M99" s="302"/>
    </x:row>
    <x:row r="100">
      <x:c r="A100" s="323"/>
      <x:c r="B100" s="302"/>
      <x:c r="C100" s="302"/>
      <x:c r="D100" s="302"/>
      <x:c r="E100" s="302"/>
      <x:c r="F100" s="302"/>
      <x:c r="G100" s="302"/>
      <x:c r="H100" s="302"/>
      <x:c r="I100" s="302"/>
      <x:c r="J100" s="302"/>
      <x:c r="K100" s="302"/>
      <x:c r="L100" s="302"/>
      <x:c r="M100" s="302"/>
    </x:row>
    <x:row r="101">
      <x:c r="A101" s="323"/>
      <x:c r="B101" s="302"/>
      <x:c r="C101" s="302"/>
      <x:c r="D101" s="302"/>
      <x:c r="E101" s="302"/>
      <x:c r="F101" s="302"/>
      <x:c r="G101" s="302"/>
      <x:c r="H101" s="302"/>
      <x:c r="I101" s="302"/>
      <x:c r="J101" s="302"/>
      <x:c r="K101" s="302"/>
      <x:c r="L101" s="302"/>
      <x:c r="M101" s="302"/>
    </x:row>
    <x:row r="102">
      <x:c r="A102" s="323"/>
      <x:c r="B102" s="302"/>
      <x:c r="C102" s="302"/>
      <x:c r="D102" s="302"/>
      <x:c r="E102" s="302"/>
      <x:c r="F102" s="302"/>
      <x:c r="G102" s="302"/>
      <x:c r="H102" s="302"/>
      <x:c r="I102" s="302"/>
      <x:c r="J102" s="302"/>
      <x:c r="K102" s="302"/>
      <x:c r="L102" s="302"/>
      <x:c r="M102" s="302"/>
    </x:row>
    <x:row r="103">
      <x:c r="A103" s="323"/>
      <x:c r="B103" s="302"/>
      <x:c r="C103" s="302"/>
      <x:c r="D103" s="302"/>
      <x:c r="E103" s="302"/>
      <x:c r="F103" s="302"/>
      <x:c r="G103" s="302"/>
      <x:c r="H103" s="302"/>
      <x:c r="I103" s="302"/>
      <x:c r="J103" s="302"/>
      <x:c r="K103" s="302"/>
      <x:c r="L103" s="302"/>
      <x:c r="M103" s="302"/>
    </x:row>
    <x:row r="104">
      <x:c r="A104" s="323"/>
      <x:c r="B104" s="302"/>
      <x:c r="C104" s="302"/>
      <x:c r="D104" s="302"/>
      <x:c r="E104" s="302"/>
      <x:c r="F104" s="302"/>
      <x:c r="G104" s="302"/>
      <x:c r="H104" s="302"/>
      <x:c r="I104" s="302"/>
      <x:c r="J104" s="302"/>
      <x:c r="K104" s="302"/>
      <x:c r="L104" s="302"/>
      <x:c r="M104" s="302"/>
    </x:row>
    <x:row r="105">
      <x:c r="A105" s="323"/>
      <x:c r="B105" s="302"/>
      <x:c r="C105" s="302"/>
      <x:c r="D105" s="302"/>
      <x:c r="E105" s="302"/>
      <x:c r="F105" s="302"/>
      <x:c r="G105" s="302"/>
      <x:c r="H105" s="302"/>
      <x:c r="I105" s="302"/>
      <x:c r="J105" s="302"/>
      <x:c r="K105" s="302"/>
      <x:c r="L105" s="302"/>
      <x:c r="M105" s="302"/>
    </x:row>
  </x:sheetData>
  <x:mergeCells>
    <x:mergeCell ref="A1:M1"/>
    <x:mergeCell ref="A5:M5"/>
    <x:mergeCell ref="A22:M22"/>
    <x:mergeCell ref="A40:M40"/>
    <x:mergeCell ref="A58:M58"/>
    <x:mergeCell ref="A68:M68"/>
    <x:mergeCell ref="A79:M79"/>
    <x:mergeCell ref="A91:M9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75" hidden="0" customWidth="1"/>
    <x:col min="4" max="4" width="38" hidden="0" customWidth="1"/>
    <x:col min="5" max="5" width="20" hidden="0" customWidth="1"/>
    <x:col min="6" max="6" width="15" hidden="0" customWidth="1"/>
    <x:col min="7" max="7" width="25" hidden="0" customWidth="1"/>
    <x:col min="8" max="8" width="42" hidden="0" customWidth="1"/>
    <x:col min="9" max="9" width="20" hidden="0" customWidth="1"/>
    <x:col min="10" max="10" width="34" hidden="0" customWidth="1"/>
  </x:cols>
  <x:sheetData>
    <x:row r="1" ht="28" customHeight="1">
      <x:c r="A1" s="258" t="str">
        <x:v>Neuland Laboratories — Sources, Assumptions and Audit Checks</x:v>
      </x:c>
      <x:c r="B1" s="259"/>
      <x:c r="C1" s="259"/>
      <x:c r="D1" s="259"/>
      <x:c r="E1" s="259"/>
      <x:c r="F1" s="259"/>
      <x:c r="G1" s="259"/>
      <x:c r="H1" s="259"/>
      <x:c r="I1" s="259"/>
      <x:c r="J1" s="259"/>
      <x:c r="K1" s="444"/>
      <x:c r="L1" s="444"/>
      <x:c r="M1" s="444"/>
    </x:row>
    <x:row r="2">
      <x:c r="A2" s="445" t="str">
        <x:v>Historical financials are consolidated and sourced from official filings. Segment and molecule estimates are clearly separated from reported data.</x:v>
      </x:c>
      <x:c r="B2" s="446"/>
      <x:c r="C2" s="446"/>
      <x:c r="D2" s="446"/>
      <x:c r="E2" s="446"/>
      <x:c r="F2" s="446"/>
      <x:c r="G2" s="446"/>
      <x:c r="H2" s="446"/>
      <x:c r="I2" s="446"/>
      <x:c r="J2" s="446"/>
      <x:c r="K2" s="444"/>
      <x:c r="L2" s="444"/>
      <x:c r="M2" s="444"/>
    </x:row>
    <x:row r="3">
      <x:c r="A3" s="323"/>
      <x:c r="B3" s="372"/>
      <x:c r="C3" s="372"/>
      <x:c r="D3" s="372"/>
      <x:c r="E3" s="372"/>
      <x:c r="F3" s="372"/>
      <x:c r="G3" s="372"/>
      <x:c r="H3" s="372"/>
      <x:c r="I3" s="372"/>
      <x:c r="J3" s="372"/>
      <x:c r="K3" s="444"/>
      <x:c r="L3" s="444"/>
      <x:c r="M3" s="444"/>
    </x:row>
    <x:row r="4" ht="20" customHeight="1">
      <x:c r="A4" s="258" t="str">
        <x:v>Source Register</x:v>
      </x:c>
      <x:c r="B4" s="258"/>
      <x:c r="C4" s="258"/>
      <x:c r="D4" s="258"/>
      <x:c r="E4" s="258"/>
      <x:c r="F4" s="258"/>
      <x:c r="G4" s="258"/>
      <x:c r="H4" s="258"/>
      <x:c r="I4" s="258"/>
      <x:c r="J4" s="258"/>
      <x:c r="K4" s="444"/>
      <x:c r="L4" s="444"/>
      <x:c r="M4" s="444"/>
    </x:row>
    <x:row r="5">
      <x:c r="A5" s="322" t="str">
        <x:v>ID</x:v>
      </x:c>
      <x:c r="B5" s="322" t="str">
        <x:v>Source type</x:v>
      </x:c>
      <x:c r="C5" s="322" t="str">
        <x:v>Document / webpage</x:v>
      </x:c>
      <x:c r="D5" s="322" t="str">
        <x:v>Period</x:v>
      </x:c>
      <x:c r="E5" s="322" t="str">
        <x:v>Primary model use</x:v>
      </x:c>
      <x:c r="F5" s="322" t="str">
        <x:v>Source URL</x:v>
      </x:c>
      <x:c r="G5" s="322" t="str">
        <x:v>Evidence quality</x:v>
      </x:c>
      <x:c r="H5" s="322" t="str">
        <x:v>Notes</x:v>
      </x:c>
      <x:c r="I5" s="322" t="str">
        <x:v>Uploaded file</x:v>
      </x:c>
      <x:c r="J5" s="322" t="str">
        <x:v>Last reviewed</x:v>
      </x:c>
      <x:c r="K5" s="444"/>
      <x:c r="L5" s="444"/>
      <x:c r="M5" s="444"/>
    </x:row>
    <x:row r="6">
      <x:c r="A6" s="323" t="str">
        <x:v>S1</x:v>
      </x:c>
      <x:c r="B6" s="372" t="str">
        <x:v>Company filing</x:v>
      </x:c>
      <x:c r="C6" s="372" t="str">
        <x:v>Integrated Annual Report</x:v>
      </x:c>
      <x:c r="D6" s="372" t="str">
        <x:v>FY2023-24</x:v>
      </x:c>
      <x:c r="E6" s="372" t="str">
        <x:v>FY24 consolidated financial statements, capex and business disclosures</x:v>
      </x:c>
      <x:c r="F6" s="372" t="str">
        <x:v>https://www.neulandlabs.com/en/investors/financials-and-reports/annual-report</x:v>
      </x:c>
      <x:c r="G6" s="372" t="str">
        <x:v>Primary</x:v>
      </x:c>
      <x:c r="H6" s="372" t="str">
        <x:v>Official audited filing</x:v>
      </x:c>
      <x:c r="I6" s="372" t="str">
        <x:v>FY24 annual report PDF</x:v>
      </x:c>
      <x:c r="J6" s="372" t="str">
        <x:v>5-Aug-2026</x:v>
      </x:c>
      <x:c r="K6" s="444"/>
      <x:c r="L6" s="444"/>
      <x:c r="M6" s="444"/>
    </x:row>
    <x:row r="7">
      <x:c r="A7" s="323" t="str">
        <x:v>S2</x:v>
      </x:c>
      <x:c r="B7" s="372" t="str">
        <x:v>Company filing</x:v>
      </x:c>
      <x:c r="C7" s="372" t="str">
        <x:v>Integrated Annual Report</x:v>
      </x:c>
      <x:c r="D7" s="372" t="str">
        <x:v>FY2024-25</x:v>
      </x:c>
      <x:c r="E7" s="372" t="str">
        <x:v>FY25 consolidated financial statements and FY24 comparatives</x:v>
      </x:c>
      <x:c r="F7" s="372" t="str">
        <x:v>https://www.neulandlabs.com/sites/neulandlabs/files/neuland-labs/Investors/financials-and-reports/annual-report/NLL_AnnualReport2024-25.pdf</x:v>
      </x:c>
      <x:c r="G7" s="372" t="str">
        <x:v>Primary</x:v>
      </x:c>
      <x:c r="H7" s="372" t="str">
        <x:v>Official audited filing</x:v>
      </x:c>
      <x:c r="I7" s="372" t="str">
        <x:v>FY25 annual report PDF</x:v>
      </x:c>
      <x:c r="J7" s="372" t="str">
        <x:v>5-Aug-2026</x:v>
      </x:c>
      <x:c r="K7" s="444"/>
      <x:c r="L7" s="444"/>
      <x:c r="M7" s="444"/>
    </x:row>
    <x:row r="8">
      <x:c r="A8" s="323" t="str">
        <x:v>S3</x:v>
      </x:c>
      <x:c r="B8" s="372" t="str">
        <x:v>Company filing</x:v>
      </x:c>
      <x:c r="C8" s="372" t="str">
        <x:v>Integrated Annual Report</x:v>
      </x:c>
      <x:c r="D8" s="372" t="str">
        <x:v>FY2025-26</x:v>
      </x:c>
      <x:c r="E8" s="372" t="str">
        <x:v>FY26 consolidated financial statements, capacity and capex</x:v>
      </x:c>
      <x:c r="F8" s="372" t="str">
        <x:v>https://www.neulandlabs.com/en/investors/financials-and-reports/annual-report</x:v>
      </x:c>
      <x:c r="G8" s="372" t="str">
        <x:v>Primary</x:v>
      </x:c>
      <x:c r="H8" s="372" t="str">
        <x:v>Official audited filing</x:v>
      </x:c>
      <x:c r="I8" s="372" t="str">
        <x:v>FY26 annual report PDF</x:v>
      </x:c>
      <x:c r="J8" s="372" t="str">
        <x:v>5-Aug-2026</x:v>
      </x:c>
      <x:c r="K8" s="444"/>
      <x:c r="L8" s="444"/>
      <x:c r="M8" s="444"/>
    </x:row>
    <x:row r="9">
      <x:c r="A9" s="323" t="str">
        <x:v>S4</x:v>
      </x:c>
      <x:c r="B9" s="372" t="str">
        <x:v>Company filing</x:v>
      </x:c>
      <x:c r="C9" s="372" t="str">
        <x:v>Quarterly financial results</x:v>
      </x:c>
      <x:c r="D9" s="372" t="str">
        <x:v>FY25–FY26</x:v>
      </x:c>
      <x:c r="E9" s="372" t="str">
        <x:v>Quarterly revenue, profit and cash-flow data</x:v>
      </x:c>
      <x:c r="F9" s="372" t="str">
        <x:v>https://www.neulandlabs.com/en/investors/financials-and-reports/quarterly-results</x:v>
      </x:c>
      <x:c r="G9" s="372" t="str">
        <x:v>Primary</x:v>
      </x:c>
      <x:c r="H9" s="372" t="str">
        <x:v>Official exchange-filed results</x:v>
      </x:c>
      <x:c r="I9" s="372" t="str">
        <x:v>8 quarterly PDFs</x:v>
      </x:c>
      <x:c r="J9" s="372" t="str">
        <x:v>5-Aug-2026</x:v>
      </x:c>
      <x:c r="K9" s="444"/>
      <x:c r="L9" s="444"/>
      <x:c r="M9" s="444"/>
    </x:row>
    <x:row r="10">
      <x:c r="A10" s="323" t="str">
        <x:v>S5</x:v>
      </x:c>
      <x:c r="B10" s="372" t="str">
        <x:v>Company presentation</x:v>
      </x:c>
      <x:c r="C10" s="372" t="str">
        <x:v>Investor presentations</x:v>
      </x:c>
      <x:c r="D10" s="372" t="str">
        <x:v>FY25–FY26</x:v>
      </x:c>
      <x:c r="E10" s="372" t="str">
        <x:v>Segment mix, CMS split, capex and KPI tracker</x:v>
      </x:c>
      <x:c r="F10" s="372" t="str">
        <x:v>https://www.neulandlabs.com/en/investors/investor-meetings/investor-presentations</x:v>
      </x:c>
      <x:c r="G10" s="372" t="str">
        <x:v>Primary</x:v>
      </x:c>
      <x:c r="H10" s="372" t="str">
        <x:v>Reported mixes are rounded; residual used to reconcile</x:v>
      </x:c>
      <x:c r="I10" s="372" t="str">
        <x:v>8 presentation PDFs</x:v>
      </x:c>
      <x:c r="J10" s="372" t="str">
        <x:v>5-Aug-2026</x:v>
      </x:c>
      <x:c r="K10" s="444"/>
      <x:c r="L10" s="444"/>
      <x:c r="M10" s="444"/>
    </x:row>
    <x:row r="11">
      <x:c r="A11" s="323" t="str">
        <x:v>S6</x:v>
      </x:c>
      <x:c r="B11" s="372" t="str">
        <x:v>Company transcript</x:v>
      </x:c>
      <x:c r="C11" s="372" t="str">
        <x:v>Earnings-call transcripts</x:v>
      </x:c>
      <x:c r="D11" s="372" t="str">
        <x:v>FY25–FY26</x:v>
      </x:c>
      <x:c r="E11" s="372" t="str">
        <x:v>Management commentary, molecule and capacity context</x:v>
      </x:c>
      <x:c r="F11" s="372" t="str">
        <x:v>https://www.neulandlabs.com/en/investors/investor-meetings/transcripts</x:v>
      </x:c>
      <x:c r="G11" s="372" t="str">
        <x:v>Primary / supporting</x:v>
      </x:c>
      <x:c r="H11" s="372" t="str">
        <x:v>Company does not disclose molecule-level revenue</x:v>
      </x:c>
      <x:c r="I11" s="372" t="str">
        <x:v>6 transcript PDFs</x:v>
      </x:c>
      <x:c r="J11" s="372" t="str">
        <x:v>5-Aug-2026</x:v>
      </x:c>
      <x:c r="K11" s="444"/>
      <x:c r="L11" s="444"/>
      <x:c r="M11" s="444"/>
    </x:row>
    <x:row r="12">
      <x:c r="A12" s="323" t="str">
        <x:v>S7</x:v>
      </x:c>
      <x:c r="B12" s="372" t="str">
        <x:v>Company case study</x:v>
      </x:c>
      <x:c r="C12" s="372" t="str">
        <x:v>Neuland–Esperion bempedoic acid supply case study</x:v>
      </x:c>
      <x:c r="D12" s="372" t="str">
        <x:v>2019 onward</x:v>
      </x:c>
      <x:c r="E12" s="372" t="str">
        <x:v>Confirms technology transfer and commercial API supply</x:v>
      </x:c>
      <x:c r="F12" s="372" t="str">
        <x:v>https://www.neulandlabs.com/en/insights/stories/advancing-cholesterol-lowering-drug-height-pandemic</x:v>
      </x:c>
      <x:c r="G12" s="372" t="str">
        <x:v>Primary</x:v>
      </x:c>
      <x:c r="H12" s="372" t="str">
        <x:v>High-confidence CMS molecule link</x:v>
      </x:c>
      <x:c r="I12" s="372" t="str">
        <x:v>External webpage</x:v>
      </x:c>
      <x:c r="J12" s="372" t="str">
        <x:v>5-Aug-2026</x:v>
      </x:c>
      <x:c r="K12" s="444"/>
      <x:c r="L12" s="444"/>
      <x:c r="M12" s="444"/>
    </x:row>
    <x:row r="13">
      <x:c r="A13" s="323" t="str">
        <x:v>S8</x:v>
      </x:c>
      <x:c r="B13" s="372" t="str">
        <x:v>Innovator disclosure</x:v>
      </x:c>
      <x:c r="C13" s="372" t="str">
        <x:v>Esperion FY2025 results</x:v>
      </x:c>
      <x:c r="D13" s="372" t="str">
        <x:v>FY2025</x:v>
      </x:c>
      <x:c r="E13" s="372" t="str">
        <x:v>Bempedoic franchise growth and lifecycle context</x:v>
      </x:c>
      <x:c r="F13" s="372" t="str">
        <x:v>https://www.esperion.com/news-releases/news-release-details/esperion-reports-fourth-quarter-and-full-year-2025-financial</x:v>
      </x:c>
      <x:c r="G13" s="372" t="str">
        <x:v>Primary</x:v>
      </x:c>
      <x:c r="H13" s="372" t="str">
        <x:v>Used directionally; no unsupported cost-share tree</x:v>
      </x:c>
      <x:c r="I13" s="372" t="str">
        <x:v>External webpage</x:v>
      </x:c>
      <x:c r="J13" s="372" t="str">
        <x:v>5-Aug-2026</x:v>
      </x:c>
      <x:c r="K13" s="444"/>
      <x:c r="L13" s="444"/>
      <x:c r="M13" s="444"/>
    </x:row>
    <x:row r="14">
      <x:c r="A14" s="323" t="str">
        <x:v>S9</x:v>
      </x:c>
      <x:c r="B14" s="372" t="str">
        <x:v>Regulatory</x:v>
      </x:c>
      <x:c r="C14" s="372" t="str">
        <x:v>FDA Cobenfy approval</x:v>
      </x:c>
      <x:c r="D14" s="372" t="str">
        <x:v>26-Sep-2024</x:v>
      </x:c>
      <x:c r="E14" s="372" t="str">
        <x:v>Confirms xanomeline/trospium approval and indication</x:v>
      </x:c>
      <x:c r="F14" s="372" t="str">
        <x:v>https://www.fda.gov/news-events/press-announcements/fda-approves-drug-new-mechanism-action-treatment-schizophrenia</x:v>
      </x:c>
      <x:c r="G14" s="372" t="str">
        <x:v>Primary</x:v>
      </x:c>
      <x:c r="H14" s="372" t="str">
        <x:v>Does not confirm Neuland supply</x:v>
      </x:c>
      <x:c r="I14" s="372" t="str">
        <x:v>External webpage</x:v>
      </x:c>
      <x:c r="J14" s="372" t="str">
        <x:v>5-Aug-2026</x:v>
      </x:c>
      <x:c r="K14" s="444"/>
      <x:c r="L14" s="444"/>
      <x:c r="M14" s="444"/>
    </x:row>
    <x:row r="15">
      <x:c r="A15" s="323" t="str">
        <x:v>S10</x:v>
      </x:c>
      <x:c r="B15" s="372" t="str">
        <x:v>Innovator disclosure</x:v>
      </x:c>
      <x:c r="C15" s="372" t="str">
        <x:v>BMS key facts</x:v>
      </x:c>
      <x:c r="D15" s="372" t="str">
        <x:v>FY2025</x:v>
      </x:c>
      <x:c r="E15" s="372" t="str">
        <x:v>Cobenfy commercial-sales context</x:v>
      </x:c>
      <x:c r="F15" s="372" t="str">
        <x:v>https://www.bms.com/investors/financial-reporting/key-facts.html</x:v>
      </x:c>
      <x:c r="G15" s="372" t="str">
        <x:v>Primary</x:v>
      </x:c>
      <x:c r="H15" s="372" t="str">
        <x:v>Supply relationship remains medium confidence</x:v>
      </x:c>
      <x:c r="I15" s="372" t="str">
        <x:v>External webpage</x:v>
      </x:c>
      <x:c r="J15" s="372" t="str">
        <x:v>5-Aug-2026</x:v>
      </x:c>
      <x:c r="K15" s="444"/>
      <x:c r="L15" s="444"/>
      <x:c r="M15" s="444"/>
    </x:row>
    <x:row r="16">
      <x:c r="A16" s="323" t="str">
        <x:v>S11</x:v>
      </x:c>
      <x:c r="B16" s="372" t="str">
        <x:v>Innovator disclosure</x:v>
      </x:c>
      <x:c r="C16" s="372" t="str">
        <x:v>Merck LIPFENDRA approval</x:v>
      </x:c>
      <x:c r="D16" s="372" t="str">
        <x:v>16-Jul-2026</x:v>
      </x:c>
      <x:c r="E16" s="372" t="str">
        <x:v>Watchlist: oral macrocyclic-peptide PCSK9 programme</x:v>
      </x:c>
      <x:c r="F16" s="372" t="str">
        <x:v>https://www.merck.com/news/mercks-lipfendra-enlicitide-is-the-first-and-only-once-daily-oral-pcsk9-inhibitor-approved-by-the-u-s-fda-to-reduce-ldl-c-in-adults-with-hypercholesterolemia/</x:v>
      </x:c>
      <x:c r="G16" s="372" t="str">
        <x:v>Primary</x:v>
      </x:c>
      <x:c r="H16" s="372" t="str">
        <x:v>No public evidence linking Neuland; excluded from core</x:v>
      </x:c>
      <x:c r="I16" s="372" t="str">
        <x:v>External webpage</x:v>
      </x:c>
      <x:c r="J16" s="372" t="str">
        <x:v>5-Aug-2026</x:v>
      </x:c>
      <x:c r="K16" s="444"/>
      <x:c r="L16" s="444"/>
      <x:c r="M16" s="444"/>
    </x:row>
    <x:row r="17">
      <x:c r="A17" s="323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444"/>
      <x:c r="L17" s="444"/>
      <x:c r="M17" s="444"/>
    </x:row>
    <x:row r="18">
      <x:c r="A18" s="323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444"/>
      <x:c r="L18" s="444"/>
      <x:c r="M18" s="444"/>
    </x:row>
    <x:row r="19" ht="20" customHeight="1">
      <x:c r="A19" s="258" t="str">
        <x:v>Assumption Log and Confidence Classification</x:v>
      </x:c>
      <x:c r="B19" s="258"/>
      <x:c r="C19" s="258"/>
      <x:c r="D19" s="258"/>
      <x:c r="E19" s="258"/>
      <x:c r="F19" s="258"/>
      <x:c r="G19" s="258"/>
      <x:c r="H19" s="258"/>
      <x:c r="I19" s="258"/>
      <x:c r="J19" s="258"/>
      <x:c r="K19" s="444"/>
      <x:c r="L19" s="444"/>
      <x:c r="M19" s="444"/>
    </x:row>
    <x:row r="20">
      <x:c r="A20" s="322" t="str">
        <x:v>ID</x:v>
      </x:c>
      <x:c r="B20" s="322" t="str">
        <x:v>Area</x:v>
      </x:c>
      <x:c r="C20" s="322" t="str">
        <x:v>Assumption / treatment</x:v>
      </x:c>
      <x:c r="D20" s="322" t="str">
        <x:v>Reported / estimate / inference</x:v>
      </x:c>
      <x:c r="E20" s="322" t="str">
        <x:v>Confidence</x:v>
      </x:c>
      <x:c r="F20" s="322" t="str">
        <x:v>Reason</x:v>
      </x:c>
      <x:c r="G20" s="322" t="str">
        <x:v>Model location</x:v>
      </x:c>
      <x:c r="H20" s="322" t="str">
        <x:v>Update trigger</x:v>
      </x:c>
      <x:c r="I20" s="322" t="str">
        <x:v>Risk</x:v>
      </x:c>
      <x:c r="J20" s="322" t="str">
        <x:v>Source IDs</x:v>
      </x:c>
      <x:c r="K20" s="444"/>
      <x:c r="L20" s="444"/>
      <x:c r="M20" s="444"/>
    </x:row>
    <x:row r="21">
      <x:c r="A21" s="323" t="str">
        <x:v>A1</x:v>
      </x:c>
      <x:c r="B21" s="372" t="str">
        <x:v>Segment history</x:v>
      </x:c>
      <x:c r="C21" s="372" t="str">
        <x:v>Prime/Specialty estimated from reported rounded mix; CMS uses disclosed development + commercial split; Others is residual</x:v>
      </x:c>
      <x:c r="D21" s="372" t="str">
        <x:v>Estimate based on reported data</x:v>
      </x:c>
      <x:c r="E21" s="372" t="str">
        <x:v>Medium-high</x:v>
      </x:c>
      <x:c r="F21" s="372" t="str">
        <x:v>Rounded mixes otherwise do not sum exactly</x:v>
      </x:c>
      <x:c r="G21" s="372" t="str">
        <x:v>Revenue Model rows 7–10</x:v>
      </x:c>
      <x:c r="H21" s="372" t="str">
        <x:v>Quarterly or annual mix disclosure</x:v>
      </x:c>
      <x:c r="I21" s="372" t="str">
        <x:v>Segment restatement / rounding</x:v>
      </x:c>
      <x:c r="J21" s="372" t="str">
        <x:v>S3,S5</x:v>
      </x:c>
      <x:c r="K21" s="444"/>
      <x:c r="L21" s="444"/>
      <x:c r="M21" s="444"/>
    </x:row>
    <x:row r="22">
      <x:c r="A22" s="323" t="str">
        <x:v>A2</x:v>
      </x:c>
      <x:c r="B22" s="372" t="str">
        <x:v>Ezetimibe revenue</x:v>
      </x:c>
      <x:c r="C22" s="372" t="str">
        <x:v>FY24–FY26 molecule revenue is analyst-estimated within reported Prime revenue</x:v>
      </x:c>
      <x:c r="D22" s="372" t="str">
        <x:v>Analyst estimate</x:v>
      </x:c>
      <x:c r="E22" s="372" t="str">
        <x:v>High relationship / medium revenue</x:v>
      </x:c>
      <x:c r="F22" s="372" t="str">
        <x:v>Company identifies product, but not molecule revenue</x:v>
      </x:c>
      <x:c r="G22" s="372" t="str">
        <x:v>Revenue Model row 15</x:v>
      </x:c>
      <x:c r="H22" s="372" t="str">
        <x:v>Product commentary, shipment or channel evidence</x:v>
      </x:c>
      <x:c r="I22" s="372" t="str">
        <x:v>Pricing and customer concentration</x:v>
      </x:c>
      <x:c r="J22" s="372" t="str">
        <x:v>S5,S6</x:v>
      </x:c>
      <x:c r="K22" s="444"/>
      <x:c r="L22" s="444"/>
      <x:c r="M22" s="444"/>
    </x:row>
    <x:row r="23">
      <x:c r="A23" s="323" t="str">
        <x:v>A3</x:v>
      </x:c>
      <x:c r="B23" s="372" t="str">
        <x:v>Paliperidone revenue</x:v>
      </x:c>
      <x:c r="C23" s="372" t="str">
        <x:v>FY24–FY26 molecule revenue is analyst-estimated; forecast assumes stabilization and modest recovery</x:v>
      </x:c>
      <x:c r="D23" s="372" t="str">
        <x:v>Analyst estimate</x:v>
      </x:c>
      <x:c r="E23" s="372" t="str">
        <x:v>High relationship / medium revenue</x:v>
      </x:c>
      <x:c r="F23" s="372" t="str">
        <x:v>Product is disclosed but revenue is not</x:v>
      </x:c>
      <x:c r="G23" s="372" t="str">
        <x:v>Revenue Model row 22</x:v>
      </x:c>
      <x:c r="H23" s="372" t="str">
        <x:v>Management product commentary</x:v>
      </x:c>
      <x:c r="I23" s="372" t="str">
        <x:v>Continued weakness / competition</x:v>
      </x:c>
      <x:c r="J23" s="372" t="str">
        <x:v>S5,S6</x:v>
      </x:c>
      <x:c r="K23" s="444"/>
      <x:c r="L23" s="444"/>
      <x:c r="M23" s="444"/>
    </x:row>
    <x:row r="24">
      <x:c r="A24" s="323" t="str">
        <x:v>A4</x:v>
      </x:c>
      <x:c r="B24" s="372" t="str">
        <x:v>Bempedoic acid revenue</x:v>
      </x:c>
      <x:c r="C24" s="372" t="str">
        <x:v>Commercial CMS revenue estimated and grown using one annual growth assumption</x:v>
      </x:c>
      <x:c r="D24" s="372" t="str">
        <x:v>Analyst estimate</x:v>
      </x:c>
      <x:c r="E24" s="372" t="str">
        <x:v>High</x:v>
      </x:c>
      <x:c r="F24" s="372" t="str">
        <x:v>Neuland confirms commercial API agreement with Esperion</x:v>
      </x:c>
      <x:c r="G24" s="372" t="str">
        <x:v>Revenue Model row 29</x:v>
      </x:c>
      <x:c r="H24" s="372" t="str">
        <x:v>Esperion sales, shipment and Neuland CMS commentary</x:v>
      </x:c>
      <x:c r="I24" s="372" t="str">
        <x:v>Demand, share and patent litigation</x:v>
      </x:c>
      <x:c r="J24" s="372" t="str">
        <x:v>S7,S8</x:v>
      </x:c>
      <x:c r="K24" s="444"/>
      <x:c r="L24" s="444"/>
      <x:c r="M24" s="444"/>
    </x:row>
    <x:row r="25">
      <x:c r="A25" s="323" t="str">
        <x:v>A5</x:v>
      </x:c>
      <x:c r="B25" s="372" t="str">
        <x:v>Xanomeline revenue</x:v>
      </x:c>
      <x:c r="C25" s="372" t="str">
        <x:v>Conservative direct revenue ramp; relationship is probable but not company-confirmed</x:v>
      </x:c>
      <x:c r="D25" s="372" t="str">
        <x:v>Inference / analyst estimate</x:v>
      </x:c>
      <x:c r="E25" s="372" t="str">
        <x:v>Medium</x:v>
      </x:c>
      <x:c r="F25" s="372" t="str">
        <x:v>Customs/channel evidence and timing are supportive, but no direct confirmation</x:v>
      </x:c>
      <x:c r="G25" s="372" t="str">
        <x:v>Revenue Model row 30</x:v>
      </x:c>
      <x:c r="H25" s="372" t="str">
        <x:v>Company confirmation, shipment trends or BMS sales</x:v>
      </x:c>
      <x:c r="I25" s="372" t="str">
        <x:v>Supplier attribution and ramp timing</x:v>
      </x:c>
      <x:c r="J25" s="372" t="str">
        <x:v>S6,S9,S10</x:v>
      </x:c>
      <x:c r="K25" s="444"/>
      <x:c r="L25" s="444"/>
      <x:c r="M25" s="444"/>
    </x:row>
    <x:row r="26">
      <x:c r="A26" s="323" t="str">
        <x:v>A6</x:v>
      </x:c>
      <x:c r="B26" s="372" t="str">
        <x:v>Cost model</x:v>
      </x:c>
      <x:c r="C26" s="372" t="str">
        <x:v>EBITDA is built from material, employee, manufacturing and other operating costs</x:v>
      </x:c>
      <x:c r="D26" s="372" t="str">
        <x:v>Analyst forecast</x:v>
      </x:c>
      <x:c r="E26" s="372" t="str">
        <x:v>Medium-high</x:v>
      </x:c>
      <x:c r="F26" s="372" t="str">
        <x:v>Simple, auditable operating-cost build</x:v>
      </x:c>
      <x:c r="G26" s="372" t="str">
        <x:v>Three Statements rows 11–17</x:v>
      </x:c>
      <x:c r="H26" s="372" t="str">
        <x:v>Quarterly result and margin commentary</x:v>
      </x:c>
      <x:c r="I26" s="372" t="str">
        <x:v>Mix, campaign timing and raw materials</x:v>
      </x:c>
      <x:c r="J26" s="372" t="str">
        <x:v>S3,S4,S5</x:v>
      </x:c>
      <x:c r="K26" s="444"/>
      <x:c r="L26" s="444"/>
      <x:c r="M26" s="444"/>
    </x:row>
    <x:row r="27">
      <x:c r="A27" s="323" t="str">
        <x:v>A7</x:v>
      </x:c>
      <x:c r="B27" s="372" t="str">
        <x:v>Capacity</x:v>
      </x:c>
      <x:c r="C27" s="372" t="str">
        <x:v>Capacity is used as a feasibility check, not revenue-per-KL</x:v>
      </x:c>
      <x:c r="D27" s="372" t="str">
        <x:v>Model policy</x:v>
      </x:c>
      <x:c r="E27" s="372" t="str">
        <x:v>High</x:v>
      </x:c>
      <x:c r="F27" s="372" t="str">
        <x:v>Product economics vary materially by chemistry and containment</x:v>
      </x:c>
      <x:c r="G27" s="372" t="str">
        <x:v>Supporting Schedules rows 91–95</x:v>
      </x:c>
      <x:c r="H27" s="372" t="str">
        <x:v>Commissioning and qualification updates</x:v>
      </x:c>
      <x:c r="I27" s="372" t="str">
        <x:v>Delay or under-utilization</x:v>
      </x:c>
      <x:c r="J27" s="372" t="str">
        <x:v>S3,S5,S6</x:v>
      </x:c>
      <x:c r="K27" s="444"/>
      <x:c r="L27" s="444"/>
      <x:c r="M27" s="444"/>
    </x:row>
    <x:row r="28">
      <x:c r="A28" s="323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444"/>
      <x:c r="L28" s="444"/>
      <x:c r="M28" s="444"/>
    </x:row>
    <x:row r="29">
      <x:c r="A29" s="323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444"/>
      <x:c r="L29" s="444"/>
      <x:c r="M29" s="444"/>
    </x:row>
    <x:row r="30" ht="20" customHeight="1">
      <x:c r="A30" s="258" t="str">
        <x:v>Molecule Confidence and Exclusion Table</x:v>
      </x:c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444"/>
      <x:c r="L30" s="444"/>
      <x:c r="M30" s="444"/>
    </x:row>
    <x:row r="31">
      <x:c r="A31" s="322" t="str">
        <x:v>Molecule / programme</x:v>
      </x:c>
      <x:c r="B31" s="322" t="str">
        <x:v>Core / watchlist</x:v>
      </x:c>
      <x:c r="C31" s="322" t="str">
        <x:v>Segment</x:v>
      </x:c>
      <x:c r="D31" s="322" t="str">
        <x:v>Evidence of Neuland link</x:v>
      </x:c>
      <x:c r="E31" s="322" t="str">
        <x:v>Commercial status</x:v>
      </x:c>
      <x:c r="F31" s="322" t="str">
        <x:v>Confidence</x:v>
      </x:c>
      <x:c r="G31" s="322" t="str">
        <x:v>Model treatment</x:v>
      </x:c>
      <x:c r="H31" s="322" t="str">
        <x:v>Why included / excluded</x:v>
      </x:c>
      <x:c r="I31" s="322" t="str">
        <x:v>Primary sources</x:v>
      </x:c>
      <x:c r="J31" s="322" t="str">
        <x:v>Key next datapoint</x:v>
      </x:c>
      <x:c r="K31" s="444"/>
      <x:c r="L31" s="444"/>
      <x:c r="M31" s="444"/>
    </x:row>
    <x:row r="32">
      <x:c r="A32" s="323" t="str">
        <x:v>Ezetimibe</x:v>
      </x:c>
      <x:c r="B32" s="372" t="str">
        <x:v>Core</x:v>
      </x:c>
      <x:c r="C32" s="372" t="str">
        <x:v>Prime</x:v>
      </x:c>
      <x:c r="D32" s="372" t="str">
        <x:v>Company-disclosed product</x:v>
      </x:c>
      <x:c r="E32" s="372" t="str">
        <x:v>Commercial</x:v>
      </x:c>
      <x:c r="F32" s="372" t="str">
        <x:v>High</x:v>
      </x:c>
      <x:c r="G32" s="372" t="str">
        <x:v>Named molecule</x:v>
      </x:c>
      <x:c r="H32" s="372" t="str">
        <x:v>Material and trackable Prime product</x:v>
      </x:c>
      <x:c r="I32" s="372" t="str">
        <x:v>S5,S6</x:v>
      </x:c>
      <x:c r="J32" s="372" t="str">
        <x:v>Product-specific commentary / shipment data</x:v>
      </x:c>
      <x:c r="K32" s="444"/>
      <x:c r="L32" s="444"/>
      <x:c r="M32" s="444"/>
    </x:row>
    <x:row r="33">
      <x:c r="A33" s="323" t="str">
        <x:v>Paliperidone</x:v>
      </x:c>
      <x:c r="B33" s="372" t="str">
        <x:v>Core</x:v>
      </x:c>
      <x:c r="C33" s="372" t="str">
        <x:v>Specialty</x:v>
      </x:c>
      <x:c r="D33" s="372" t="str">
        <x:v>Company-disclosed product</x:v>
      </x:c>
      <x:c r="E33" s="372" t="str">
        <x:v>Commercial</x:v>
      </x:c>
      <x:c r="F33" s="372" t="str">
        <x:v>High</x:v>
      </x:c>
      <x:c r="G33" s="372" t="str">
        <x:v>Named molecule</x:v>
      </x:c>
      <x:c r="H33" s="372" t="str">
        <x:v>Material Specialty product with visible cycle</x:v>
      </x:c>
      <x:c r="I33" s="372" t="str">
        <x:v>S5,S6</x:v>
      </x:c>
      <x:c r="J33" s="372" t="str">
        <x:v>Evidence of demand recovery</x:v>
      </x:c>
      <x:c r="K33" s="444"/>
      <x:c r="L33" s="444"/>
      <x:c r="M33" s="444"/>
    </x:row>
    <x:row r="34">
      <x:c r="A34" s="323" t="str">
        <x:v>Bempedoic acid / Nexletol / Nexlizet</x:v>
      </x:c>
      <x:c r="B34" s="372" t="str">
        <x:v>Core</x:v>
      </x:c>
      <x:c r="C34" s="372" t="str">
        <x:v>CMS</x:v>
      </x:c>
      <x:c r="D34" s="372" t="str">
        <x:v>Direct Neuland–Esperion commercial API disclosure</x:v>
      </x:c>
      <x:c r="E34" s="372" t="str">
        <x:v>Commercial</x:v>
      </x:c>
      <x:c r="F34" s="372" t="str">
        <x:v>High</x:v>
      </x:c>
      <x:c r="G34" s="372" t="str">
        <x:v>Named molecule</x:v>
      </x:c>
      <x:c r="H34" s="372" t="str">
        <x:v>Strongest publicly confirmed innovator relationship</x:v>
      </x:c>
      <x:c r="I34" s="372" t="str">
        <x:v>S7,S8</x:v>
      </x:c>
      <x:c r="J34" s="372" t="str">
        <x:v>Esperion sales and Neuland CMS commercial revenue</x:v>
      </x:c>
      <x:c r="K34" s="444"/>
      <x:c r="L34" s="444"/>
      <x:c r="M34" s="444"/>
    </x:row>
    <x:row r="35">
      <x:c r="A35" s="323" t="str">
        <x:v>Xanomeline / Cobenfy</x:v>
      </x:c>
      <x:c r="B35" s="372" t="str">
        <x:v>Core, conservatively</x:v>
      </x:c>
      <x:c r="C35" s="372" t="str">
        <x:v>CMS</x:v>
      </x:c>
      <x:c r="D35" s="372" t="str">
        <x:v>Channel/customs inference; company not explicit</x:v>
      </x:c>
      <x:c r="E35" s="372" t="str">
        <x:v>Commercial</x:v>
      </x:c>
      <x:c r="F35" s="372" t="str">
        <x:v>Medium</x:v>
      </x:c>
      <x:c r="G35" s="372" t="str">
        <x:v>Named molecule with conservative ramp</x:v>
      </x:c>
      <x:c r="H35" s="372" t="str">
        <x:v>Potentially material and programme is approved</x:v>
      </x:c>
      <x:c r="I35" s="372" t="str">
        <x:v>S6,S9,S10</x:v>
      </x:c>
      <x:c r="J35" s="372" t="str">
        <x:v>Direct supply confirmation or sustained shipment evidence</x:v>
      </x:c>
      <x:c r="K35" s="444"/>
      <x:c r="L35" s="444"/>
      <x:c r="M35" s="444"/>
    </x:row>
    <x:row r="36">
      <x:c r="A36" s="323" t="str">
        <x:v>Enlicitide / LIPFENDRA</x:v>
      </x:c>
      <x:c r="B36" s="372" t="str">
        <x:v>Watchlist</x:v>
      </x:c>
      <x:c r="C36" s="372" t="str">
        <x:v>CMS / peptide</x:v>
      </x:c>
      <x:c r="D36" s="372" t="str">
        <x:v>No public Neuland linkage identified</x:v>
      </x:c>
      <x:c r="E36" s="372" t="str">
        <x:v>Approved July 2026</x:v>
      </x:c>
      <x:c r="F36" s="372" t="str">
        <x:v>Low</x:v>
      </x:c>
      <x:c r="G36" s="372" t="str">
        <x:v>Excluded from core</x:v>
      </x:c>
      <x:c r="H36" s="372" t="str">
        <x:v>Approval and chemistry are relevant, but supplier link is unproven</x:v>
      </x:c>
      <x:c r="I36" s="372" t="str">
        <x:v>S11</x:v>
      </x:c>
      <x:c r="J36" s="372" t="str">
        <x:v>Primary supplier evidence</x:v>
      </x:c>
      <x:c r="K36" s="444"/>
      <x:c r="L36" s="444"/>
      <x:c r="M36" s="444"/>
    </x:row>
    <x:row r="37">
      <x:c r="A37" s="323" t="str">
        <x:v>Inclisiran-related chemistry</x:v>
      </x:c>
      <x:c r="B37" s="372" t="str">
        <x:v>Watchlist</x:v>
      </x:c>
      <x:c r="C37" s="372" t="str">
        <x:v>CMS</x:v>
      </x:c>
      <x:c r="D37" s="372" t="str">
        <x:v>No public Neuland linkage identified</x:v>
      </x:c>
      <x:c r="E37" s="372" t="str">
        <x:v>Commercial</x:v>
      </x:c>
      <x:c r="F37" s="372" t="str">
        <x:v>Low</x:v>
      </x:c>
      <x:c r="G37" s="372" t="str">
        <x:v>Excluded from core</x:v>
      </x:c>
      <x:c r="H37" s="372" t="str">
        <x:v>Relationship remains speculative</x:v>
      </x:c>
      <x:c r="I37" s="372" t="str">
        <x:v>S6</x:v>
      </x:c>
      <x:c r="J37" s="372" t="str">
        <x:v>Primary supplier evidence</x:v>
      </x:c>
      <x:c r="K37" s="444"/>
      <x:c r="L37" s="444"/>
      <x:c r="M37" s="444"/>
    </x:row>
    <x:row r="38">
      <x:c r="A38" s="323" t="str">
        <x:v>Vonoprazan / Edoxaban DMFs</x:v>
      </x:c>
      <x:c r="B38" s="372" t="str">
        <x:v>Watchlist</x:v>
      </x:c>
      <x:c r="C38" s="372" t="str">
        <x:v>Specialty / pipeline</x:v>
      </x:c>
      <x:c r="D38" s="372" t="str">
        <x:v>DMF or product-list evidence only</x:v>
      </x:c>
      <x:c r="E38" s="372" t="str">
        <x:v>Pipeline / generic opportunity</x:v>
      </x:c>
      <x:c r="F38" s="372" t="str">
        <x:v>Medium-low</x:v>
      </x:c>
      <x:c r="G38" s="372" t="str">
        <x:v>Qualitative indicator</x:v>
      </x:c>
      <x:c r="H38" s="372" t="str">
        <x:v>Insufficient timing and revenue visibility</x:v>
      </x:c>
      <x:c r="I38" s="372" t="str">
        <x:v>S3,S5</x:v>
      </x:c>
      <x:c r="J38" s="372" t="str">
        <x:v>Customer filing, launch or material order</x:v>
      </x:c>
      <x:c r="K38" s="444"/>
      <x:c r="L38" s="444"/>
      <x:c r="M38" s="444"/>
    </x:row>
    <x:row r="39">
      <x:c r="A39" s="323" t="str">
        <x:v>Other cyclic / macrocyclic peptides</x:v>
      </x:c>
      <x:c r="B39" s="372" t="str">
        <x:v>Watchlist</x:v>
      </x:c>
      <x:c r="C39" s="372" t="str">
        <x:v>CMS / peptide</x:v>
      </x:c>
      <x:c r="D39" s="372" t="str">
        <x:v>Capability evidence, no named customer programme</x:v>
      </x:c>
      <x:c r="E39" s="372" t="str">
        <x:v>Development</x:v>
      </x:c>
      <x:c r="F39" s="372" t="str">
        <x:v>Low</x:v>
      </x:c>
      <x:c r="G39" s="372" t="str">
        <x:v>Excluded from core</x:v>
      </x:c>
      <x:c r="H39" s="372" t="str">
        <x:v>Capability does not establish a specific revenue stream</x:v>
      </x:c>
      <x:c r="I39" s="372" t="str">
        <x:v>S3,S5,S6</x:v>
      </x:c>
      <x:c r="J39" s="372" t="str">
        <x:v>Named contract, validation or commercial order</x:v>
      </x:c>
      <x:c r="K39" s="444"/>
      <x:c r="L39" s="444"/>
      <x:c r="M39" s="444"/>
    </x:row>
    <x:row r="40">
      <x:c r="A40" s="323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444"/>
      <x:c r="L40" s="444"/>
      <x:c r="M40" s="444"/>
    </x:row>
    <x:row r="41">
      <x:c r="A41" s="323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444"/>
      <x:c r="L41" s="444"/>
      <x:c r="M41" s="444"/>
    </x:row>
    <x:row r="42" ht="20" customHeight="1">
      <x:c r="A42" s="258" t="str">
        <x:v>Annual Audit Checks</x:v>
      </x:c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76"/>
      <x:c r="L42" s="276"/>
      <x:c r="M42" s="276"/>
    </x:row>
    <x:row r="43">
      <x:c r="A43" s="447" t="str">
        <x:v>Check</x:v>
      </x:c>
      <x:c r="B43" s="448" t="str">
        <x:v>FY24A</x:v>
      </x:c>
      <x:c r="C43" s="448" t="str">
        <x:v>FY25A</x:v>
      </x:c>
      <x:c r="D43" s="448" t="str">
        <x:v>FY26A</x:v>
      </x:c>
      <x:c r="E43" s="448" t="str">
        <x:v>FY27E</x:v>
      </x:c>
      <x:c r="F43" s="448" t="str">
        <x:v>FY28E</x:v>
      </x:c>
      <x:c r="G43" s="448" t="str">
        <x:v>FY29E</x:v>
      </x:c>
      <x:c r="H43" s="448" t="str">
        <x:v>FY30E</x:v>
      </x:c>
      <x:c r="I43" s="448" t="str">
        <x:v>FY31E</x:v>
      </x:c>
      <x:c r="J43" s="448" t="str">
        <x:v>FY32E</x:v>
      </x:c>
      <x:c r="K43" s="13" t="str">
        <x:v>FY33E</x:v>
      </x:c>
      <x:c r="L43" s="13" t="str">
        <x:v>FY34E</x:v>
      </x:c>
      <x:c r="M43" s="13" t="str">
        <x:v>FY35E</x:v>
      </x:c>
    </x:row>
    <x:row r="44">
      <x:c r="A44" s="323" t="str">
        <x:v>Segment revenue reconciliation</x:v>
      </x:c>
      <x:c r="B44" s="449" t="n">
        <x:f>'Revenue Model'!B79</x:f>
        <x:v>0</x:v>
      </x:c>
      <x:c r="C44" s="449" t="n">
        <x:f>'Revenue Model'!C79</x:f>
        <x:v>0</x:v>
      </x:c>
      <x:c r="D44" s="449" t="n">
        <x:f>'Revenue Model'!D79</x:f>
        <x:v>0</x:v>
      </x:c>
      <x:c r="E44" s="449" t="n">
        <x:f>'Revenue Model'!E79</x:f>
        <x:v>0</x:v>
      </x:c>
      <x:c r="F44" s="449" t="n">
        <x:f>'Revenue Model'!F79</x:f>
        <x:v>0</x:v>
      </x:c>
      <x:c r="G44" s="449" t="n">
        <x:f>'Revenue Model'!G79</x:f>
        <x:v>0</x:v>
      </x:c>
      <x:c r="H44" s="449" t="n">
        <x:f>'Revenue Model'!H79</x:f>
        <x:v>0</x:v>
      </x:c>
      <x:c r="I44" s="449" t="n">
        <x:f>'Revenue Model'!I79</x:f>
        <x:v>0</x:v>
      </x:c>
      <x:c r="J44" s="449" t="n">
        <x:f>'Revenue Model'!J79</x:f>
        <x:v>0</x:v>
      </x:c>
      <x:c r="K44" s="450" t="n">
        <x:f>'Revenue Model'!K79</x:f>
        <x:v>0</x:v>
      </x:c>
      <x:c r="L44" s="450" t="n">
        <x:f>'Revenue Model'!L79</x:f>
        <x:v>0</x:v>
      </x:c>
      <x:c r="M44" s="450" t="n">
        <x:f>'Revenue Model'!M79</x:f>
        <x:v>0</x:v>
      </x:c>
    </x:row>
    <x:row r="45">
      <x:c r="A45" s="323" t="str">
        <x:v>Prime molecule + residual</x:v>
      </x:c>
      <x:c r="B45" s="449" t="n">
        <x:f>'Revenue Model'!B76</x:f>
        <x:v>0</x:v>
      </x:c>
      <x:c r="C45" s="449" t="n">
        <x:f>'Revenue Model'!C76</x:f>
        <x:v>0</x:v>
      </x:c>
      <x:c r="D45" s="449" t="n">
        <x:f>'Revenue Model'!D76</x:f>
        <x:v>0</x:v>
      </x:c>
      <x:c r="E45" s="449" t="n">
        <x:f>'Revenue Model'!E76</x:f>
        <x:v>0</x:v>
      </x:c>
      <x:c r="F45" s="449" t="n">
        <x:f>'Revenue Model'!F76</x:f>
        <x:v>0</x:v>
      </x:c>
      <x:c r="G45" s="449" t="n">
        <x:f>'Revenue Model'!G76</x:f>
        <x:v>0</x:v>
      </x:c>
      <x:c r="H45" s="449" t="n">
        <x:f>'Revenue Model'!H76</x:f>
        <x:v>0</x:v>
      </x:c>
      <x:c r="I45" s="449" t="n">
        <x:f>'Revenue Model'!I76</x:f>
        <x:v>0</x:v>
      </x:c>
      <x:c r="J45" s="449" t="n">
        <x:f>'Revenue Model'!J76</x:f>
        <x:v>0</x:v>
      </x:c>
      <x:c r="K45" s="450" t="n">
        <x:f>'Revenue Model'!K76</x:f>
        <x:v>0</x:v>
      </x:c>
      <x:c r="L45" s="450" t="n">
        <x:f>'Revenue Model'!L76</x:f>
        <x:v>0</x:v>
      </x:c>
      <x:c r="M45" s="450" t="n">
        <x:f>'Revenue Model'!M76</x:f>
        <x:v>0</x:v>
      </x:c>
    </x:row>
    <x:row r="46">
      <x:c r="A46" s="323" t="str">
        <x:v>Specialty molecule + residual</x:v>
      </x:c>
      <x:c r="B46" s="449" t="n">
        <x:f>'Revenue Model'!B77</x:f>
        <x:v>0</x:v>
      </x:c>
      <x:c r="C46" s="449" t="n">
        <x:f>'Revenue Model'!C77</x:f>
        <x:v>0</x:v>
      </x:c>
      <x:c r="D46" s="449" t="n">
        <x:f>'Revenue Model'!D77</x:f>
        <x:v>0</x:v>
      </x:c>
      <x:c r="E46" s="449" t="n">
        <x:f>'Revenue Model'!E77</x:f>
        <x:v>0</x:v>
      </x:c>
      <x:c r="F46" s="449" t="n">
        <x:f>'Revenue Model'!F77</x:f>
        <x:v>0</x:v>
      </x:c>
      <x:c r="G46" s="449" t="n">
        <x:f>'Revenue Model'!G77</x:f>
        <x:v>0</x:v>
      </x:c>
      <x:c r="H46" s="449" t="n">
        <x:f>'Revenue Model'!H77</x:f>
        <x:v>0</x:v>
      </x:c>
      <x:c r="I46" s="449" t="n">
        <x:f>'Revenue Model'!I77</x:f>
        <x:v>0</x:v>
      </x:c>
      <x:c r="J46" s="449" t="n">
        <x:f>'Revenue Model'!J77</x:f>
        <x:v>0</x:v>
      </x:c>
      <x:c r="K46" s="450" t="n">
        <x:f>'Revenue Model'!K77</x:f>
        <x:v>0</x:v>
      </x:c>
      <x:c r="L46" s="450" t="n">
        <x:f>'Revenue Model'!L77</x:f>
        <x:v>0</x:v>
      </x:c>
      <x:c r="M46" s="450" t="n">
        <x:f>'Revenue Model'!M77</x:f>
        <x:v>0</x:v>
      </x:c>
    </x:row>
    <x:row r="47">
      <x:c r="A47" s="323" t="str">
        <x:v>CMS molecule + residual</x:v>
      </x:c>
      <x:c r="B47" s="449" t="n">
        <x:f>'Revenue Model'!B78</x:f>
        <x:v>0</x:v>
      </x:c>
      <x:c r="C47" s="449" t="n">
        <x:f>'Revenue Model'!C78</x:f>
        <x:v>0</x:v>
      </x:c>
      <x:c r="D47" s="449" t="n">
        <x:f>'Revenue Model'!D78</x:f>
        <x:v>0</x:v>
      </x:c>
      <x:c r="E47" s="449" t="n">
        <x:f>'Revenue Model'!E78</x:f>
        <x:v>0</x:v>
      </x:c>
      <x:c r="F47" s="449" t="n">
        <x:f>'Revenue Model'!F78</x:f>
        <x:v>0</x:v>
      </x:c>
      <x:c r="G47" s="449" t="n">
        <x:f>'Revenue Model'!G78</x:f>
        <x:v>0</x:v>
      </x:c>
      <x:c r="H47" s="449" t="n">
        <x:f>'Revenue Model'!H78</x:f>
        <x:v>0</x:v>
      </x:c>
      <x:c r="I47" s="449" t="n">
        <x:f>'Revenue Model'!I78</x:f>
        <x:v>0</x:v>
      </x:c>
      <x:c r="J47" s="449" t="n">
        <x:f>'Revenue Model'!J78</x:f>
        <x:v>0</x:v>
      </x:c>
      <x:c r="K47" s="450" t="n">
        <x:f>'Revenue Model'!K78</x:f>
        <x:v>0</x:v>
      </x:c>
      <x:c r="L47" s="450" t="n">
        <x:f>'Revenue Model'!L78</x:f>
        <x:v>0</x:v>
      </x:c>
      <x:c r="M47" s="450" t="n">
        <x:f>'Revenue Model'!M78</x:f>
        <x:v>0</x:v>
      </x:c>
    </x:row>
    <x:row r="48">
      <x:c r="A48" s="323" t="str">
        <x:v>Balance sheet</x:v>
      </x:c>
      <x:c r="B48" s="449" t="n">
        <x:f>'Three Statements'!B55</x:f>
        <x:v>0</x:v>
      </x:c>
      <x:c r="C48" s="449" t="n">
        <x:f>'Three Statements'!C55</x:f>
        <x:v>0</x:v>
      </x:c>
      <x:c r="D48" s="449" t="n">
        <x:f>'Three Statements'!D55</x:f>
        <x:v>0</x:v>
      </x:c>
      <x:c r="E48" s="449" t="n">
        <x:f>'Three Statements'!E55</x:f>
        <x:v>0</x:v>
      </x:c>
      <x:c r="F48" s="449" t="n">
        <x:f>'Three Statements'!F55</x:f>
        <x:v>0</x:v>
      </x:c>
      <x:c r="G48" s="449" t="n">
        <x:f>'Three Statements'!G55</x:f>
        <x:v>0</x:v>
      </x:c>
      <x:c r="H48" s="449" t="n">
        <x:f>'Three Statements'!H55</x:f>
        <x:v>0</x:v>
      </x:c>
      <x:c r="I48" s="449" t="n">
        <x:f>'Three Statements'!I55</x:f>
        <x:v>0</x:v>
      </x:c>
      <x:c r="J48" s="449" t="n">
        <x:f>'Three Statements'!J55</x:f>
        <x:v>0</x:v>
      </x:c>
      <x:c r="K48" s="450" t="n">
        <x:f>'Three Statements'!K55</x:f>
        <x:v>0</x:v>
      </x:c>
      <x:c r="L48" s="450" t="n">
        <x:f>'Three Statements'!L55</x:f>
        <x:v>0</x:v>
      </x:c>
      <x:c r="M48" s="450" t="n">
        <x:f>'Three Statements'!M55</x:f>
        <x:v>0</x:v>
      </x:c>
    </x:row>
    <x:row r="49">
      <x:c r="A49" s="323" t="str">
        <x:v>Cash flow</x:v>
      </x:c>
      <x:c r="B49" s="449" t="str">
        <x:f>'Three Statements'!B85</x:f>
        <x:v>N/A</x:v>
      </x:c>
      <x:c r="C49" s="449" t="str">
        <x:f>'Three Statements'!C85</x:f>
        <x:v>N/A</x:v>
      </x:c>
      <x:c r="D49" s="449" t="str">
        <x:f>'Three Statements'!D85</x:f>
        <x:v>N/A</x:v>
      </x:c>
      <x:c r="E49" s="449" t="n">
        <x:f>'Three Statements'!E85</x:f>
        <x:v>0</x:v>
      </x:c>
      <x:c r="F49" s="449" t="n">
        <x:f>'Three Statements'!F85</x:f>
        <x:v>0</x:v>
      </x:c>
      <x:c r="G49" s="449" t="n">
        <x:f>'Three Statements'!G85</x:f>
        <x:v>0</x:v>
      </x:c>
      <x:c r="H49" s="449" t="n">
        <x:f>'Three Statements'!H85</x:f>
        <x:v>0</x:v>
      </x:c>
      <x:c r="I49" s="449" t="n">
        <x:f>'Three Statements'!I85</x:f>
        <x:v>0</x:v>
      </x:c>
      <x:c r="J49" s="449" t="n">
        <x:f>'Three Statements'!J85</x:f>
        <x:v>0</x:v>
      </x:c>
      <x:c r="K49" s="450" t="n">
        <x:f>'Three Statements'!K85</x:f>
        <x:v>0</x:v>
      </x:c>
      <x:c r="L49" s="450" t="n">
        <x:f>'Three Statements'!L85</x:f>
        <x:v>0</x:v>
      </x:c>
      <x:c r="M49" s="450" t="n">
        <x:f>'Three Statements'!M85</x:f>
        <x:v>0</x:v>
      </x:c>
    </x:row>
    <x:row r="50">
      <x:c r="A50" s="323" t="str">
        <x:v>PP&amp;E roll-forward</x:v>
      </x:c>
      <x:c r="B50" s="449" t="str">
        <x:f>'Supporting Schedules'!B37</x:f>
        <x:v>N/A</x:v>
      </x:c>
      <x:c r="C50" s="449" t="str">
        <x:f>'Supporting Schedules'!C37</x:f>
        <x:v>N/A</x:v>
      </x:c>
      <x:c r="D50" s="449" t="str">
        <x:f>'Supporting Schedules'!D37</x:f>
        <x:v>N/A</x:v>
      </x:c>
      <x:c r="E50" s="449" t="n">
        <x:f>'Supporting Schedules'!E37</x:f>
        <x:v>0</x:v>
      </x:c>
      <x:c r="F50" s="449" t="n">
        <x:f>'Supporting Schedules'!F37</x:f>
        <x:v>0</x:v>
      </x:c>
      <x:c r="G50" s="449" t="n">
        <x:f>'Supporting Schedules'!G37</x:f>
        <x:v>0</x:v>
      </x:c>
      <x:c r="H50" s="449" t="n">
        <x:f>'Supporting Schedules'!H37</x:f>
        <x:v>0</x:v>
      </x:c>
      <x:c r="I50" s="449" t="n">
        <x:f>'Supporting Schedules'!I37</x:f>
        <x:v>0</x:v>
      </x:c>
      <x:c r="J50" s="449" t="n">
        <x:f>'Supporting Schedules'!J37</x:f>
        <x:v>0</x:v>
      </x:c>
      <x:c r="K50" s="450" t="n">
        <x:f>'Supporting Schedules'!K37</x:f>
        <x:v>0</x:v>
      </x:c>
      <x:c r="L50" s="450" t="n">
        <x:f>'Supporting Schedules'!L37</x:f>
        <x:v>0</x:v>
      </x:c>
      <x:c r="M50" s="450" t="n">
        <x:f>'Supporting Schedules'!M37</x:f>
        <x:v>0</x:v>
      </x:c>
    </x:row>
    <x:row r="51">
      <x:c r="A51" s="323" t="str">
        <x:v>CWIP roll-forward</x:v>
      </x:c>
      <x:c r="B51" s="449" t="str">
        <x:f>'Supporting Schedules'!B38</x:f>
        <x:v>N/A</x:v>
      </x:c>
      <x:c r="C51" s="449" t="str">
        <x:f>'Supporting Schedules'!C38</x:f>
        <x:v>N/A</x:v>
      </x:c>
      <x:c r="D51" s="449" t="str">
        <x:f>'Supporting Schedules'!D38</x:f>
        <x:v>N/A</x:v>
      </x:c>
      <x:c r="E51" s="449" t="n">
        <x:f>'Supporting Schedules'!E38</x:f>
        <x:v>0</x:v>
      </x:c>
      <x:c r="F51" s="449" t="n">
        <x:f>'Supporting Schedules'!F38</x:f>
        <x:v>0</x:v>
      </x:c>
      <x:c r="G51" s="449" t="n">
        <x:f>'Supporting Schedules'!G38</x:f>
        <x:v>0</x:v>
      </x:c>
      <x:c r="H51" s="449" t="n">
        <x:f>'Supporting Schedules'!H38</x:f>
        <x:v>0</x:v>
      </x:c>
      <x:c r="I51" s="449" t="n">
        <x:f>'Supporting Schedules'!I38</x:f>
        <x:v>0</x:v>
      </x:c>
      <x:c r="J51" s="449" t="n">
        <x:f>'Supporting Schedules'!J38</x:f>
        <x:v>0</x:v>
      </x:c>
      <x:c r="K51" s="450" t="n">
        <x:f>'Supporting Schedules'!K38</x:f>
        <x:v>0</x:v>
      </x:c>
      <x:c r="L51" s="450" t="n">
        <x:f>'Supporting Schedules'!L38</x:f>
        <x:v>0</x:v>
      </x:c>
      <x:c r="M51" s="450" t="n">
        <x:f>'Supporting Schedules'!M38</x:f>
        <x:v>0</x:v>
      </x:c>
    </x:row>
    <x:row r="52">
      <x:c r="A52" s="323" t="str">
        <x:v>Debt roll-forward</x:v>
      </x:c>
      <x:c r="B52" s="449" t="str">
        <x:f>'Supporting Schedules'!B55</x:f>
        <x:v>N/A</x:v>
      </x:c>
      <x:c r="C52" s="449" t="str">
        <x:f>'Supporting Schedules'!C55</x:f>
        <x:v>N/A</x:v>
      </x:c>
      <x:c r="D52" s="449" t="str">
        <x:f>'Supporting Schedules'!D55</x:f>
        <x:v>N/A</x:v>
      </x:c>
      <x:c r="E52" s="449" t="n">
        <x:f>'Supporting Schedules'!E55</x:f>
        <x:v>0</x:v>
      </x:c>
      <x:c r="F52" s="449" t="n">
        <x:f>'Supporting Schedules'!F55</x:f>
        <x:v>0</x:v>
      </x:c>
      <x:c r="G52" s="449" t="n">
        <x:f>'Supporting Schedules'!G55</x:f>
        <x:v>0</x:v>
      </x:c>
      <x:c r="H52" s="449" t="n">
        <x:f>'Supporting Schedules'!H55</x:f>
        <x:v>0</x:v>
      </x:c>
      <x:c r="I52" s="449" t="n">
        <x:f>'Supporting Schedules'!I55</x:f>
        <x:v>0</x:v>
      </x:c>
      <x:c r="J52" s="449" t="n">
        <x:f>'Supporting Schedules'!J55</x:f>
        <x:v>0</x:v>
      </x:c>
      <x:c r="K52" s="450" t="n">
        <x:f>'Supporting Schedules'!K55</x:f>
        <x:v>0</x:v>
      </x:c>
      <x:c r="L52" s="450" t="n">
        <x:f>'Supporting Schedules'!L55</x:f>
        <x:v>0</x:v>
      </x:c>
      <x:c r="M52" s="450" t="n">
        <x:f>'Supporting Schedules'!M55</x:f>
        <x:v>0</x:v>
      </x:c>
    </x:row>
    <x:row r="53">
      <x:c r="A53" s="323" t="str">
        <x:v>Deferred tax roll-forward</x:v>
      </x:c>
      <x:c r="B53" s="449" t="str">
        <x:f>'Supporting Schedules'!B66</x:f>
        <x:v>N/A</x:v>
      </x:c>
      <x:c r="C53" s="449" t="str">
        <x:f>'Supporting Schedules'!C66</x:f>
        <x:v>N/A</x:v>
      </x:c>
      <x:c r="D53" s="449" t="str">
        <x:f>'Supporting Schedules'!D66</x:f>
        <x:v>N/A</x:v>
      </x:c>
      <x:c r="E53" s="449" t="n">
        <x:f>'Supporting Schedules'!E66</x:f>
        <x:v>0</x:v>
      </x:c>
      <x:c r="F53" s="449" t="n">
        <x:f>'Supporting Schedules'!F66</x:f>
        <x:v>0</x:v>
      </x:c>
      <x:c r="G53" s="449" t="n">
        <x:f>'Supporting Schedules'!G66</x:f>
        <x:v>0</x:v>
      </x:c>
      <x:c r="H53" s="449" t="n">
        <x:f>'Supporting Schedules'!H66</x:f>
        <x:v>0</x:v>
      </x:c>
      <x:c r="I53" s="449" t="n">
        <x:f>'Supporting Schedules'!I66</x:f>
        <x:v>0</x:v>
      </x:c>
      <x:c r="J53" s="449" t="n">
        <x:f>'Supporting Schedules'!J66</x:f>
        <x:v>0</x:v>
      </x:c>
      <x:c r="K53" s="450" t="n">
        <x:f>'Supporting Schedules'!K66</x:f>
        <x:v>0</x:v>
      </x:c>
      <x:c r="L53" s="450" t="n">
        <x:f>'Supporting Schedules'!L66</x:f>
        <x:v>0</x:v>
      </x:c>
      <x:c r="M53" s="450" t="n">
        <x:f>'Supporting Schedules'!M66</x:f>
        <x:v>0</x:v>
      </x:c>
    </x:row>
    <x:row r="54">
      <x:c r="A54" s="323" t="str">
        <x:v>Retained earnings roll-forward</x:v>
      </x:c>
      <x:c r="B54" s="449" t="str">
        <x:f>'Supporting Schedules'!B76</x:f>
        <x:v>N/A</x:v>
      </x:c>
      <x:c r="C54" s="449" t="str">
        <x:f>'Supporting Schedules'!C76</x:f>
        <x:v>N/A</x:v>
      </x:c>
      <x:c r="D54" s="449" t="str">
        <x:f>'Supporting Schedules'!D76</x:f>
        <x:v>N/A</x:v>
      </x:c>
      <x:c r="E54" s="449" t="n">
        <x:f>'Supporting Schedules'!E76</x:f>
        <x:v>0</x:v>
      </x:c>
      <x:c r="F54" s="449" t="n">
        <x:f>'Supporting Schedules'!F76</x:f>
        <x:v>0</x:v>
      </x:c>
      <x:c r="G54" s="449" t="n">
        <x:f>'Supporting Schedules'!G76</x:f>
        <x:v>0</x:v>
      </x:c>
      <x:c r="H54" s="449" t="n">
        <x:f>'Supporting Schedules'!H76</x:f>
        <x:v>0</x:v>
      </x:c>
      <x:c r="I54" s="449" t="n">
        <x:f>'Supporting Schedules'!I76</x:f>
        <x:v>0</x:v>
      </x:c>
      <x:c r="J54" s="449" t="n">
        <x:f>'Supporting Schedules'!J76</x:f>
        <x:v>0</x:v>
      </x:c>
      <x:c r="K54" s="450" t="n">
        <x:f>'Supporting Schedules'!K76</x:f>
        <x:v>0</x:v>
      </x:c>
      <x:c r="L54" s="450" t="n">
        <x:f>'Supporting Schedules'!L76</x:f>
        <x:v>0</x:v>
      </x:c>
      <x:c r="M54" s="450" t="n">
        <x:f>'Supporting Schedules'!M76</x:f>
        <x:v>0</x:v>
      </x:c>
    </x:row>
    <x:row r="55">
      <x:c r="A55" s="323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444"/>
      <x:c r="L55" s="444"/>
      <x:c r="M55" s="444"/>
    </x:row>
    <x:row r="56">
      <x:c r="A56" s="323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444"/>
      <x:c r="L56" s="444"/>
      <x:c r="M56" s="444"/>
    </x:row>
    <x:row r="57" ht="20" customHeight="1">
      <x:c r="A57" s="258" t="str">
        <x:v>Final Audit Confirmation</x:v>
      </x:c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444"/>
      <x:c r="L57" s="444"/>
      <x:c r="M57" s="444"/>
    </x:row>
    <x:row r="58">
      <x:c r="A58" s="451" t="str">
        <x:v>One central forecast only</x:v>
      </x:c>
      <x:c r="B58" s="452" t="str">
        <x:v>YES</x:v>
      </x:c>
      <x:c r="C58" s="453" t="str">
        <x:v>No scenario selector, Base/Bull/Bear case or scenario multiplier</x:v>
      </x:c>
      <x:c r="D58" s="372"/>
      <x:c r="E58" s="372"/>
      <x:c r="F58" s="372"/>
      <x:c r="G58" s="372"/>
      <x:c r="H58" s="372"/>
      <x:c r="I58" s="372"/>
      <x:c r="J58" s="372"/>
      <x:c r="K58" s="444"/>
      <x:c r="L58" s="444"/>
      <x:c r="M58" s="444"/>
    </x:row>
    <x:row r="59">
      <x:c r="A59" s="323" t="str">
        <x:v>Units</x:v>
      </x:c>
      <x:c r="B59" s="454" t="str">
        <x:v>YES</x:v>
      </x:c>
      <x:c r="C59" s="372" t="str">
        <x:v>All main model values are INR million</x:v>
      </x:c>
      <x:c r="D59" s="372"/>
      <x:c r="E59" s="372"/>
      <x:c r="F59" s="372"/>
      <x:c r="G59" s="372"/>
      <x:c r="H59" s="372"/>
      <x:c r="I59" s="372"/>
      <x:c r="J59" s="372"/>
      <x:c r="K59" s="444"/>
      <x:c r="L59" s="444"/>
      <x:c r="M59" s="444"/>
    </x:row>
    <x:row r="60">
      <x:c r="A60" s="323" t="str">
        <x:v>Segment revenue reconciles</x:v>
      </x:c>
      <x:c r="B60" s="454" t="str">
        <x:v>YES</x:v>
      </x:c>
      <x:c r="C60" s="372" t="str">
        <x:v>Named molecules plus residual portfolios reconcile to reported segments</x:v>
      </x:c>
      <x:c r="D60" s="372"/>
      <x:c r="E60" s="372"/>
      <x:c r="F60" s="372"/>
      <x:c r="G60" s="372"/>
      <x:c r="H60" s="372"/>
      <x:c r="I60" s="372"/>
      <x:c r="J60" s="372"/>
      <x:c r="K60" s="444"/>
      <x:c r="L60" s="444"/>
      <x:c r="M60" s="444"/>
    </x:row>
    <x:row r="61">
      <x:c r="A61" s="323" t="str">
        <x:v>No molecule double-counting</x:v>
      </x:c>
      <x:c r="B61" s="454" t="str">
        <x:v>YES</x:v>
      </x:c>
      <x:c r="C61" s="372" t="str">
        <x:v>Historical residuals are reported segment revenue less named molecules</x:v>
      </x:c>
      <x:c r="D61" s="372"/>
      <x:c r="E61" s="372"/>
      <x:c r="F61" s="372"/>
      <x:c r="G61" s="372"/>
      <x:c r="H61" s="372"/>
      <x:c r="I61" s="372"/>
      <x:c r="J61" s="372"/>
      <x:c r="K61" s="444"/>
      <x:c r="L61" s="444"/>
      <x:c r="M61" s="444"/>
    </x:row>
    <x:row r="62">
      <x:c r="A62" s="323" t="str">
        <x:v>Income statement linked</x:v>
      </x:c>
      <x:c r="B62" s="454" t="str">
        <x:v>YES</x:v>
      </x:c>
      <x:c r="C62" s="372" t="str">
        <x:v>Revenue and schedules flow into earnings</x:v>
      </x:c>
      <x:c r="D62" s="372"/>
      <x:c r="E62" s="372"/>
      <x:c r="F62" s="372"/>
      <x:c r="G62" s="372"/>
      <x:c r="H62" s="372"/>
      <x:c r="I62" s="372"/>
      <x:c r="J62" s="372"/>
      <x:c r="K62" s="444"/>
      <x:c r="L62" s="444"/>
      <x:c r="M62" s="444"/>
    </x:row>
    <x:row r="63">
      <x:c r="A63" s="323" t="str">
        <x:v>Balance sheet balances</x:v>
      </x:c>
      <x:c r="B63" s="454" t="str">
        <x:v>YES</x:v>
      </x:c>
      <x:c r="C63" s="372" t="str">
        <x:v>Forecast balance check is zero</x:v>
      </x:c>
      <x:c r="D63" s="372"/>
      <x:c r="E63" s="372"/>
      <x:c r="F63" s="372"/>
      <x:c r="G63" s="372"/>
      <x:c r="H63" s="372"/>
      <x:c r="I63" s="372"/>
      <x:c r="J63" s="372"/>
      <x:c r="K63" s="444"/>
      <x:c r="L63" s="444"/>
      <x:c r="M63" s="444"/>
    </x:row>
    <x:row r="64">
      <x:c r="A64" s="323" t="str">
        <x:v>Cash flow reconciles</x:v>
      </x:c>
      <x:c r="B64" s="454" t="str">
        <x:v>YES</x:v>
      </x:c>
      <x:c r="C64" s="372" t="str">
        <x:v>Forecast closing liquidity links to the balance sheet</x:v>
      </x:c>
      <x:c r="D64" s="372"/>
      <x:c r="E64" s="372"/>
      <x:c r="F64" s="372"/>
      <x:c r="G64" s="372"/>
      <x:c r="H64" s="372"/>
      <x:c r="I64" s="372"/>
      <x:c r="J64" s="372"/>
      <x:c r="K64" s="444"/>
      <x:c r="L64" s="444"/>
      <x:c r="M64" s="444"/>
    </x:row>
    <x:row r="65">
      <x:c r="A65" s="323" t="str">
        <x:v>Formula review</x:v>
      </x:c>
      <x:c r="B65" s="454" t="str">
        <x:v>YES</x:v>
      </x:c>
      <x:c r="C65" s="372" t="str">
        <x:v>Simple formulas, no macros, no circular references or external workbook links</x:v>
      </x:c>
      <x:c r="D65" s="372"/>
      <x:c r="E65" s="372"/>
      <x:c r="F65" s="372"/>
      <x:c r="G65" s="372"/>
      <x:c r="H65" s="372"/>
      <x:c r="I65" s="372"/>
      <x:c r="J65" s="372"/>
      <x:c r="K65" s="444"/>
      <x:c r="L65" s="444"/>
      <x:c r="M65" s="444"/>
    </x:row>
    <x:row r="66">
      <x:c r="A66" s="373" t="str">
        <x:v>Model limitation</x:v>
      </x:c>
      <x:c r="B66" s="455" t="str">
        <x:v>DISCLOSED</x:v>
      </x:c>
      <x:c r="C66" s="374" t="str">
        <x:v>Molecule-level historical revenue is analyst-estimated because company does not disclose it</x:v>
      </x:c>
      <x:c r="D66" s="372"/>
      <x:c r="E66" s="372"/>
      <x:c r="F66" s="372"/>
      <x:c r="G66" s="372"/>
      <x:c r="H66" s="372"/>
      <x:c r="I66" s="372"/>
      <x:c r="J66" s="372"/>
      <x:c r="K66" s="444"/>
      <x:c r="L66" s="444"/>
      <x:c r="M66" s="444"/>
    </x:row>
    <x:row r="67">
      <x:c r="A67" s="323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444"/>
      <x:c r="L67" s="444"/>
      <x:c r="M67" s="444"/>
    </x:row>
    <x:row r="68">
      <x:c r="A68" s="323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444"/>
      <x:c r="L68" s="444"/>
      <x:c r="M68" s="444"/>
    </x:row>
    <x:row r="69">
      <x:c r="A69" s="323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444"/>
      <x:c r="L69" s="444"/>
      <x:c r="M69" s="444"/>
    </x:row>
    <x:row r="70">
      <x:c r="A70" s="323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444"/>
      <x:c r="L70" s="444"/>
      <x:c r="M70" s="444"/>
    </x:row>
    <x:row r="71">
      <x:c r="A71" s="323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444"/>
      <x:c r="L71" s="444"/>
      <x:c r="M71" s="444"/>
    </x:row>
    <x:row r="72">
      <x:c r="A72" s="323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444"/>
      <x:c r="L72" s="444"/>
      <x:c r="M72" s="444"/>
    </x:row>
    <x:row r="73">
      <x:c r="A73" s="323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444"/>
      <x:c r="L73" s="444"/>
      <x:c r="M73" s="444"/>
    </x:row>
    <x:row r="74">
      <x:c r="A74" s="323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444"/>
      <x:c r="L74" s="444"/>
      <x:c r="M74" s="444"/>
    </x:row>
    <x:row r="75">
      <x:c r="A75" s="323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444"/>
      <x:c r="L75" s="444"/>
      <x:c r="M75" s="444"/>
    </x:row>
    <x:row r="76">
      <x:c r="A76" s="323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444"/>
      <x:c r="L76" s="444"/>
      <x:c r="M76" s="444"/>
    </x:row>
    <x:row r="77">
      <x:c r="A77" s="323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444"/>
      <x:c r="L77" s="444"/>
      <x:c r="M77" s="444"/>
    </x:row>
    <x:row r="78">
      <x:c r="A78" s="323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444"/>
      <x:c r="L78" s="444"/>
      <x:c r="M78" s="444"/>
    </x:row>
    <x:row r="79">
      <x:c r="A79" s="323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444"/>
      <x:c r="L79" s="444"/>
      <x:c r="M79" s="444"/>
    </x:row>
    <x:row r="80">
      <x:c r="A80" s="323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444"/>
      <x:c r="L80" s="444"/>
      <x:c r="M80" s="444"/>
    </x:row>
    <x:row r="81">
      <x:c r="A81" s="323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444"/>
      <x:c r="L81" s="444"/>
      <x:c r="M81" s="444"/>
    </x:row>
    <x:row r="82">
      <x:c r="A82" s="323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444"/>
      <x:c r="L82" s="444"/>
      <x:c r="M82" s="444"/>
    </x:row>
    <x:row r="83">
      <x:c r="A83" s="323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444"/>
      <x:c r="L83" s="444"/>
      <x:c r="M83" s="444"/>
    </x:row>
    <x:row r="84">
      <x:c r="A84" s="323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444"/>
      <x:c r="L84" s="444"/>
      <x:c r="M84" s="444"/>
    </x:row>
    <x:row r="85">
      <x:c r="A85" s="323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444"/>
      <x:c r="L85" s="444"/>
      <x:c r="M85" s="444"/>
    </x:row>
    <x:row r="86">
      <x:c r="A86" s="323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444"/>
      <x:c r="L86" s="444"/>
      <x:c r="M86" s="444"/>
    </x:row>
    <x:row r="87">
      <x:c r="A87" s="323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444"/>
      <x:c r="L87" s="444"/>
      <x:c r="M87" s="444"/>
    </x:row>
    <x:row r="88">
      <x:c r="A88" s="323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444"/>
      <x:c r="L88" s="444"/>
      <x:c r="M88" s="444"/>
    </x:row>
    <x:row r="89">
      <x:c r="A89" s="323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444"/>
      <x:c r="L89" s="444"/>
      <x:c r="M89" s="444"/>
    </x:row>
    <x:row r="90">
      <x:c r="A90" s="323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444"/>
      <x:c r="L90" s="444"/>
      <x:c r="M90" s="444"/>
    </x:row>
    <x:row r="91">
      <x:c r="A91" s="323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444"/>
      <x:c r="L91" s="444"/>
      <x:c r="M91" s="444"/>
    </x:row>
    <x:row r="92">
      <x:c r="A92" s="323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444"/>
      <x:c r="L92" s="444"/>
      <x:c r="M92" s="444"/>
    </x:row>
    <x:row r="93">
      <x:c r="A93" s="323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444"/>
      <x:c r="L93" s="444"/>
      <x:c r="M93" s="444"/>
    </x:row>
    <x:row r="94">
      <x:c r="A94" s="323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444"/>
      <x:c r="L94" s="444"/>
      <x:c r="M94" s="444"/>
    </x:row>
    <x:row r="95">
      <x:c r="A95" s="323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444"/>
      <x:c r="L95" s="444"/>
      <x:c r="M95" s="444"/>
    </x:row>
    <x:row r="96">
      <x:c r="A96" s="323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444"/>
      <x:c r="L96" s="444"/>
      <x:c r="M96" s="444"/>
    </x:row>
    <x:row r="97">
      <x:c r="A97" s="323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444"/>
      <x:c r="L97" s="444"/>
      <x:c r="M97" s="444"/>
    </x:row>
    <x:row r="98">
      <x:c r="A98" s="323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444"/>
      <x:c r="L98" s="444"/>
      <x:c r="M98" s="444"/>
    </x:row>
    <x:row r="99">
      <x:c r="A99" s="323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444"/>
      <x:c r="L99" s="444"/>
      <x:c r="M99" s="444"/>
    </x:row>
    <x:row r="100">
      <x:c r="A100" s="323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444"/>
      <x:c r="L100" s="444"/>
      <x:c r="M100" s="444"/>
    </x:row>
    <x:row r="101">
      <x:c r="A101" s="323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444"/>
      <x:c r="L101" s="444"/>
      <x:c r="M101" s="444"/>
    </x:row>
    <x:row r="102">
      <x:c r="A102" s="323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444"/>
      <x:c r="L102" s="444"/>
      <x:c r="M102" s="444"/>
    </x:row>
    <x:row r="103">
      <x:c r="A103" s="323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444"/>
      <x:c r="L103" s="444"/>
      <x:c r="M103" s="444"/>
    </x:row>
    <x:row r="104">
      <x:c r="A104" s="323"/>
      <x:c r="B104" s="372"/>
      <x:c r="C104" s="372"/>
      <x:c r="D104" s="372"/>
      <x:c r="E104" s="372"/>
      <x:c r="F104" s="372"/>
      <x:c r="G104" s="372"/>
      <x:c r="H104" s="372"/>
      <x:c r="I104" s="372"/>
      <x:c r="J104" s="372"/>
      <x:c r="K104" s="444"/>
      <x:c r="L104" s="444"/>
      <x:c r="M104" s="444"/>
    </x:row>
    <x:row r="105">
      <x:c r="A105" s="323"/>
      <x:c r="B105" s="372"/>
      <x:c r="C105" s="372"/>
      <x:c r="D105" s="372"/>
      <x:c r="E105" s="372"/>
      <x:c r="F105" s="372"/>
      <x:c r="G105" s="372"/>
      <x:c r="H105" s="372"/>
      <x:c r="I105" s="372"/>
      <x:c r="J105" s="372"/>
      <x:c r="K105" s="444"/>
      <x:c r="L105" s="444"/>
      <x:c r="M105" s="444"/>
    </x:row>
    <x:row r="106">
      <x:c r="A106" s="323"/>
      <x:c r="B106" s="372"/>
      <x:c r="C106" s="372"/>
      <x:c r="D106" s="372"/>
      <x:c r="E106" s="372"/>
      <x:c r="F106" s="372"/>
      <x:c r="G106" s="372"/>
      <x:c r="H106" s="372"/>
      <x:c r="I106" s="372"/>
      <x:c r="J106" s="372"/>
      <x:c r="K106" s="444"/>
      <x:c r="L106" s="444"/>
      <x:c r="M106" s="444"/>
    </x:row>
    <x:row r="107">
      <x:c r="A107" s="323"/>
      <x:c r="B107" s="372"/>
      <x:c r="C107" s="372"/>
      <x:c r="D107" s="372"/>
      <x:c r="E107" s="372"/>
      <x:c r="F107" s="372"/>
      <x:c r="G107" s="372"/>
      <x:c r="H107" s="372"/>
      <x:c r="I107" s="372"/>
      <x:c r="J107" s="372"/>
      <x:c r="K107" s="444"/>
      <x:c r="L107" s="444"/>
      <x:c r="M107" s="444"/>
    </x:row>
    <x:row r="108">
      <x:c r="A108" s="323"/>
      <x:c r="B108" s="372"/>
      <x:c r="C108" s="372"/>
      <x:c r="D108" s="372"/>
      <x:c r="E108" s="372"/>
      <x:c r="F108" s="372"/>
      <x:c r="G108" s="372"/>
      <x:c r="H108" s="372"/>
      <x:c r="I108" s="372"/>
      <x:c r="J108" s="372"/>
      <x:c r="K108" s="444"/>
      <x:c r="L108" s="444"/>
      <x:c r="M108" s="444"/>
    </x:row>
    <x:row r="109">
      <x:c r="A109" s="323"/>
      <x:c r="B109" s="372"/>
      <x:c r="C109" s="372"/>
      <x:c r="D109" s="372"/>
      <x:c r="E109" s="372"/>
      <x:c r="F109" s="372"/>
      <x:c r="G109" s="372"/>
      <x:c r="H109" s="372"/>
      <x:c r="I109" s="372"/>
      <x:c r="J109" s="372"/>
      <x:c r="K109" s="444"/>
      <x:c r="L109" s="444"/>
      <x:c r="M109" s="444"/>
    </x:row>
    <x:row r="110">
      <x:c r="A110" s="323"/>
      <x:c r="B110" s="372"/>
      <x:c r="C110" s="372"/>
      <x:c r="D110" s="372"/>
      <x:c r="E110" s="372"/>
      <x:c r="F110" s="372"/>
      <x:c r="G110" s="372"/>
      <x:c r="H110" s="372"/>
      <x:c r="I110" s="372"/>
      <x:c r="J110" s="372"/>
      <x:c r="K110" s="444"/>
      <x:c r="L110" s="444"/>
      <x:c r="M110" s="444"/>
    </x:row>
    <x:row r="111">
      <x:c r="A111" s="323"/>
      <x:c r="B111" s="372"/>
      <x:c r="C111" s="372"/>
      <x:c r="D111" s="372"/>
      <x:c r="E111" s="372"/>
      <x:c r="F111" s="372"/>
      <x:c r="G111" s="372"/>
      <x:c r="H111" s="372"/>
      <x:c r="I111" s="372"/>
      <x:c r="J111" s="372"/>
      <x:c r="K111" s="444"/>
      <x:c r="L111" s="444"/>
      <x:c r="M111" s="444"/>
    </x:row>
    <x:row r="112">
      <x:c r="A112" s="323"/>
      <x:c r="B112" s="372"/>
      <x:c r="C112" s="372"/>
      <x:c r="D112" s="372"/>
      <x:c r="E112" s="372"/>
      <x:c r="F112" s="372"/>
      <x:c r="G112" s="372"/>
      <x:c r="H112" s="372"/>
      <x:c r="I112" s="372"/>
      <x:c r="J112" s="372"/>
      <x:c r="K112" s="444"/>
      <x:c r="L112" s="444"/>
      <x:c r="M112" s="444"/>
    </x:row>
    <x:row r="113">
      <x:c r="A113" s="323"/>
      <x:c r="B113" s="372"/>
      <x:c r="C113" s="372"/>
      <x:c r="D113" s="372"/>
      <x:c r="E113" s="372"/>
      <x:c r="F113" s="372"/>
      <x:c r="G113" s="372"/>
      <x:c r="H113" s="372"/>
      <x:c r="I113" s="372"/>
      <x:c r="J113" s="372"/>
      <x:c r="K113" s="444"/>
      <x:c r="L113" s="444"/>
      <x:c r="M113" s="444"/>
    </x:row>
    <x:row r="114">
      <x:c r="A114" s="323"/>
      <x:c r="B114" s="372"/>
      <x:c r="C114" s="372"/>
      <x:c r="D114" s="372"/>
      <x:c r="E114" s="372"/>
      <x:c r="F114" s="372"/>
      <x:c r="G114" s="372"/>
      <x:c r="H114" s="372"/>
      <x:c r="I114" s="372"/>
      <x:c r="J114" s="372"/>
      <x:c r="K114" s="444"/>
      <x:c r="L114" s="444"/>
      <x:c r="M114" s="444"/>
    </x:row>
    <x:row r="115">
      <x:c r="A115" s="323"/>
      <x:c r="B115" s="372"/>
      <x:c r="C115" s="372"/>
      <x:c r="D115" s="372"/>
      <x:c r="E115" s="372"/>
      <x:c r="F115" s="372"/>
      <x:c r="G115" s="372"/>
      <x:c r="H115" s="372"/>
      <x:c r="I115" s="372"/>
      <x:c r="J115" s="372"/>
      <x:c r="K115" s="444"/>
      <x:c r="L115" s="444"/>
      <x:c r="M115" s="444"/>
    </x:row>
    <x:row r="116">
      <x:c r="A116" s="323"/>
      <x:c r="B116" s="372"/>
      <x:c r="C116" s="372"/>
      <x:c r="D116" s="372"/>
      <x:c r="E116" s="372"/>
      <x:c r="F116" s="372"/>
      <x:c r="G116" s="372"/>
      <x:c r="H116" s="372"/>
      <x:c r="I116" s="372"/>
      <x:c r="J116" s="372"/>
      <x:c r="K116" s="444"/>
      <x:c r="L116" s="444"/>
      <x:c r="M116" s="444"/>
    </x:row>
    <x:row r="117">
      <x:c r="A117" s="323"/>
      <x:c r="B117" s="372"/>
      <x:c r="C117" s="372"/>
      <x:c r="D117" s="372"/>
      <x:c r="E117" s="372"/>
      <x:c r="F117" s="372"/>
      <x:c r="G117" s="372"/>
      <x:c r="H117" s="372"/>
      <x:c r="I117" s="372"/>
      <x:c r="J117" s="372"/>
      <x:c r="K117" s="444"/>
      <x:c r="L117" s="444"/>
      <x:c r="M117" s="444"/>
    </x:row>
    <x:row r="118">
      <x:c r="A118" s="323"/>
      <x:c r="B118" s="372"/>
      <x:c r="C118" s="372"/>
      <x:c r="D118" s="372"/>
      <x:c r="E118" s="372"/>
      <x:c r="F118" s="372"/>
      <x:c r="G118" s="372"/>
      <x:c r="H118" s="372"/>
      <x:c r="I118" s="372"/>
      <x:c r="J118" s="372"/>
      <x:c r="K118" s="444"/>
      <x:c r="L118" s="444"/>
      <x:c r="M118" s="444"/>
    </x:row>
    <x:row r="119">
      <x:c r="A119" s="323"/>
      <x:c r="B119" s="372"/>
      <x:c r="C119" s="372"/>
      <x:c r="D119" s="372"/>
      <x:c r="E119" s="372"/>
      <x:c r="F119" s="372"/>
      <x:c r="G119" s="372"/>
      <x:c r="H119" s="372"/>
      <x:c r="I119" s="372"/>
      <x:c r="J119" s="372"/>
      <x:c r="K119" s="444"/>
      <x:c r="L119" s="444"/>
      <x:c r="M119" s="444"/>
    </x:row>
    <x:row r="120">
      <x:c r="A120" s="323"/>
      <x:c r="B120" s="372"/>
      <x:c r="C120" s="372"/>
      <x:c r="D120" s="372"/>
      <x:c r="E120" s="372"/>
      <x:c r="F120" s="372"/>
      <x:c r="G120" s="372"/>
      <x:c r="H120" s="372"/>
      <x:c r="I120" s="372"/>
      <x:c r="J120" s="372"/>
      <x:c r="K120" s="444"/>
      <x:c r="L120" s="444"/>
      <x:c r="M120" s="444"/>
    </x:row>
  </x:sheetData>
  <x:mergeCells>
    <x:mergeCell ref="A1:J1"/>
    <x:mergeCell ref="A2:J2"/>
    <x:mergeCell ref="A4:J4"/>
    <x:mergeCell ref="A19:J19"/>
    <x:mergeCell ref="A30:J30"/>
    <x:mergeCell ref="A42:M42"/>
    <x:mergeCell ref="A57:J57"/>
  </x:mergeCells>
  <x:conditionalFormatting sqref="B44:M54">
    <x:cfRule type="expression" dxfId="3" priority="1">
      <x:formula>ABS(B44)&gt;0.1</x:formula>
    </x:cfRule>
  </x:conditionalFormatting>
  <x:pageMargins left="0.7" right="0.7" top="0.75" bottom="0.75" header="0.3" footer="0.3"/>
</x:worksheet>
</file>