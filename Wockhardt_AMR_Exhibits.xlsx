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hirshsawarna/Desktop/"/>
    </mc:Choice>
  </mc:AlternateContent>
  <xr:revisionPtr revIDLastSave="0" documentId="13_ncr:1_{EA53B4C3-B2F9-5744-A135-3A61BC347687}" xr6:coauthVersionLast="47" xr6:coauthVersionMax="47" xr10:uidLastSave="{00000000-0000-0000-0000-000000000000}"/>
  <bookViews>
    <workbookView xWindow="0" yWindow="600" windowWidth="28800" windowHeight="15620" xr2:uid="{00000000-000D-0000-FFFF-FFFF00000000}"/>
  </bookViews>
  <sheets>
    <sheet name="Zaynich Sales" sheetId="1" r:id="rId1"/>
    <sheet name="AMR Pipe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F12" i="1" s="1"/>
  <c r="D11" i="1"/>
  <c r="F11" i="1" s="1"/>
  <c r="D10" i="1"/>
  <c r="F10" i="1" s="1"/>
  <c r="D9" i="1"/>
  <c r="E9" i="1" s="1"/>
  <c r="H4" i="1"/>
  <c r="E10" i="1" l="1"/>
  <c r="B4" i="1"/>
  <c r="E11" i="1"/>
  <c r="E4" i="1"/>
  <c r="K4" i="1"/>
  <c r="E12" i="1"/>
</calcChain>
</file>

<file path=xl/sharedStrings.xml><?xml version="1.0" encoding="utf-8"?>
<sst xmlns="http://schemas.openxmlformats.org/spreadsheetml/2006/main" count="169" uniqueCount="155">
  <si>
    <t>Our Zaynich base case reaches $300mn by FY30E, still well below management's peak ambition</t>
  </si>
  <si>
    <t>FY30E sales</t>
  </si>
  <si>
    <t>FY27-FY30 cumulative</t>
  </si>
  <si>
    <t>US cumulative</t>
  </si>
  <si>
    <t>FY27-FY30 CAGR</t>
  </si>
  <si>
    <t>Plot-ready data</t>
  </si>
  <si>
    <t>Fiscal year</t>
  </si>
  <si>
    <t>US sales ($m)</t>
  </si>
  <si>
    <t>Ex-US sales ($m)</t>
  </si>
  <si>
    <t>Total sales ($m)</t>
  </si>
  <si>
    <t>US mix</t>
  </si>
  <si>
    <t>Total YoY growth</t>
  </si>
  <si>
    <t>Forecast type</t>
  </si>
  <si>
    <t>Analyst note</t>
  </si>
  <si>
    <t>FY27</t>
  </si>
  <si>
    <t>Base-case estimate</t>
  </si>
  <si>
    <t>Initial US hospital launch and selective ex-US access</t>
  </si>
  <si>
    <t>FY28</t>
  </si>
  <si>
    <t>Formulary access and launch execution drive the step-up</t>
  </si>
  <si>
    <t>FY29</t>
  </si>
  <si>
    <t>Broader institutional uptake and geographic scaling</t>
  </si>
  <si>
    <t>FY30E</t>
  </si>
  <si>
    <t>Ex-US mix rises as registrations and reimbursement broaden</t>
  </si>
  <si>
    <t>Management peak-sales ambition</t>
  </si>
  <si>
    <t>$1.5-2.0bn global</t>
  </si>
  <si>
    <t>FY30E base case as % of peak ambition</t>
  </si>
  <si>
    <t>15-20%</t>
  </si>
  <si>
    <t>Patients-served labels</t>
  </si>
  <si>
    <t>Omitted because the underlying cost-per-course assumption was not supplied</t>
  </si>
  <si>
    <t>Source / note</t>
  </si>
  <si>
    <t>Detail</t>
  </si>
  <si>
    <t>Sales forecast</t>
  </si>
  <si>
    <t>Bernstein base-case estimates transcribed from the manager-provided exhibit. These are analyst estimates, not company guidance.</t>
  </si>
  <si>
    <t>Management ambition</t>
  </si>
  <si>
    <t>Wockhardt management cited $1.5-2.0bn potential peak global sales. https://www.business-standard.com/companies/news/wockhardt-eyes-1-5-bn-peak-sales-from-zaynich-targets-us-launch-by-yr-end-126060101837_1.html</t>
  </si>
  <si>
    <t>Launch timing</t>
  </si>
  <si>
    <t>Management commentary points to a US launch around late CY2026 / early CY2027. Treat timing as an execution assumption.</t>
  </si>
  <si>
    <t>Zaynich validates Wockhardt's discovery platform; Odrate is the highest-value follow-on</t>
  </si>
  <si>
    <t>Selected novel-antibiotic landscape and regulatory status as of 11 September 2026</t>
  </si>
  <si>
    <t>Asset (generic)</t>
  </si>
  <si>
    <t>Company</t>
  </si>
  <si>
    <t>Mechanism / class</t>
  </si>
  <si>
    <t>Resistance or pathogen focus</t>
  </si>
  <si>
    <t>Indication / setting</t>
  </si>
  <si>
    <t>Regulatory / development status</t>
  </si>
  <si>
    <t>Strategic read-through</t>
  </si>
  <si>
    <t>Key caveat</t>
  </si>
  <si>
    <t>Source key</t>
  </si>
  <si>
    <t>Zaynich (cefepime / zidebactam)</t>
  </si>
  <si>
    <t>Wockhardt</t>
  </si>
  <si>
    <t>Dual-PBP beta-lactam enhancer combination. Cefepime targets PBP3 and zidebactam targets PBP2. The combination retains in-vitro activity across several beta-lactamase classes.</t>
  </si>
  <si>
    <t>MDR Gram-negative Enterobacterales and P. aeruginosa, including isolates with KPC, NDM/VIM/IMP and OXA-48-like enzymes</t>
  </si>
  <si>
    <t>IV treatment of adult cUTI, including pyelonephritis</t>
  </si>
  <si>
    <t>US FDA approved May 2026. India approved. EMA review disclosed by Wockhardt.</t>
  </si>
  <si>
    <t>Near-term US launch anchor and validation of the zidebactam platform</t>
  </si>
  <si>
    <t>The US label is susceptible-organism cUTI. It is not a blanket CRE or MBL indication.</t>
  </si>
  <si>
    <t>1, 2</t>
  </si>
  <si>
    <t>Odrate (zidebactam / ertapenem)</t>
  </si>
  <si>
    <t>Once-daily carbapenem plus beta-lactam enhancer</t>
  </si>
  <si>
    <t>MDR Gram-negative infections suitable for outpatient parenteral therapy</t>
  </si>
  <si>
    <t>Once-daily IV OPAT</t>
  </si>
  <si>
    <t>Phase 1 completed through NIAID. QIDP. Pre-Phase 3.</t>
  </si>
  <si>
    <t>Most attractive follow-on because once-daily dosing can extend the platform beyond the inpatient setting</t>
  </si>
  <si>
    <t>Early stage. Pivotal-trial design, timing and commercial rights remain key unknowns.</t>
  </si>
  <si>
    <t>2</t>
  </si>
  <si>
    <t>Foviscu (cefepime / tazobactam)</t>
  </si>
  <si>
    <t>High-dose cephalosporin / beta-lactamase inhibitor</t>
  </si>
  <si>
    <t>ESBL-producing Gram-negative pathogens. Carbapenem-sparing positioning.</t>
  </si>
  <si>
    <t>Hospitalized cUTI / acute pyelonephritis and other severe ESBL infections</t>
  </si>
  <si>
    <t>Global Phase 3 completed. QIDP. No US approval disclosed.</t>
  </si>
  <si>
    <t>Potentially broader volume than a reserve-only drug, but likely lower pricing and differentiation</t>
  </si>
  <si>
    <t>Filing status and final label path are not disclosed clearly enough to model launch timing.</t>
  </si>
  <si>
    <t>Miqnaf (nafithromycin)</t>
  </si>
  <si>
    <t>Lactone-ketolide / next-generation macrolide</t>
  </si>
  <si>
    <t>Typical and atypical respiratory pathogens</t>
  </si>
  <si>
    <t>Three-day oral treatment of community-acquired bacterial pneumonia</t>
  </si>
  <si>
    <t>Approved and launched in India. US QIDP. No active US filing disclosed.</t>
  </si>
  <si>
    <t>Short oral regimen offers differentiation and broadens the franchise beyond hospital Gram-negative disease</t>
  </si>
  <si>
    <t>Global commercial path is unclear and the pneumonia market has generic competition.</t>
  </si>
  <si>
    <t>EMROK / EMROK O (levonadifloxacin)</t>
  </si>
  <si>
    <t>Benzoquinolizine quinolone. IV and oral formulations.</t>
  </si>
  <si>
    <t>MRSA and other resistant Gram-positive pathogens</t>
  </si>
  <si>
    <t>ABSSSI and diabetic-foot infections, including bacteremia positioning in India</t>
  </si>
  <si>
    <t>Approved in India in 2019. QIDP. Selected emerging-market registrations.</t>
  </si>
  <si>
    <t>Proof that Wockhardt can discover and commercialize novel anti-infectives</t>
  </si>
  <si>
    <t>No visible US Phase 3 or filing path. Commercial relevance is mainly India and selected markets.</t>
  </si>
  <si>
    <t>Utebzi (tebipenem pivoxil hydrobromide)</t>
  </si>
  <si>
    <t>GSK / Spero</t>
  </si>
  <si>
    <t>Oral carbapenem prodrug</t>
  </si>
  <si>
    <t>Enterobacterales causing cUTI, including resistant isolates when oral options are limited</t>
  </si>
  <si>
    <t>Adult cUTI, including pyelonephritis, with limited or no alternative oral options</t>
  </si>
  <si>
    <t>US FDA approved 17 June 2026. Commercial availability expected by end-2026.</t>
  </si>
  <si>
    <t>Direct cUTI competitor and an oral step-down option that could reduce IV treatment days</t>
  </si>
  <si>
    <t>Pivotal trial established non-inferiority versus IV ertapenem, not superiority.</t>
  </si>
  <si>
    <t>3</t>
  </si>
  <si>
    <t>Exblifep (cefepime / enmetazobactam)</t>
  </si>
  <si>
    <t>ADVANZ / Allecra</t>
  </si>
  <si>
    <t>Cephalosporin plus beta-lactamase inhibitor</t>
  </si>
  <si>
    <t>ESBL-producing Enterobacterales</t>
  </si>
  <si>
    <t>Adult cUTI, including acute pyelonephritis</t>
  </si>
  <si>
    <t>US approved February 2024. EU approved March 2024.</t>
  </si>
  <si>
    <t>Direct ESBL-cUTI hospital comparator for Zaynich and Foviscu</t>
  </si>
  <si>
    <t>Less relevant to metallo-beta-lactamase organisms than Zaynich's in-vitro profile.</t>
  </si>
  <si>
    <t>4</t>
  </si>
  <si>
    <t>Emblaveo (aztreonam / avibactam)</t>
  </si>
  <si>
    <t>AbbVie / Pfizer</t>
  </si>
  <si>
    <t>Monobactam plus beta-lactamase inhibitor</t>
  </si>
  <si>
    <t>Serine beta-lactamases and metallo-beta-lactamase-producing Gram-negative pathogens</t>
  </si>
  <si>
    <t>US: cIAI with metronidazole in adults with limited or no alternatives. EU includes cUTI, HAP/VAP and other limited-option infections.</t>
  </si>
  <si>
    <t>US approved February 2025. EU approved April 2024.</t>
  </si>
  <si>
    <t>Key mechanistic benchmark for severe MBL-driven hospital infections</t>
  </si>
  <si>
    <t>US label does not currently overlap Zaynich's cUTI label directly.</t>
  </si>
  <si>
    <t>5, 6</t>
  </si>
  <si>
    <t>Blujepa (gepotidacin)</t>
  </si>
  <si>
    <t>GSK</t>
  </si>
  <si>
    <t>First-in-class triazaacenaphthylene bacterial topoisomerase inhibitor</t>
  </si>
  <si>
    <t>Uncomplicated E. coli UTI and drug-resistant N. gonorrhoeae</t>
  </si>
  <si>
    <t>Oral uUTI in female patients aged 12+; later expanded to uncomplicated urogenital gonorrhea with limited options</t>
  </si>
  <si>
    <t>US uUTI approval March 2025. US gonorrhea approval December 2025.</t>
  </si>
  <si>
    <t>Useful adjacent benchmark for new-class oral antibiotic adoption</t>
  </si>
  <si>
    <t>Not a direct Zaynich competitor because disease severity, pathogens and care setting differ.</t>
  </si>
  <si>
    <t>7, 8</t>
  </si>
  <si>
    <t>Client framing</t>
  </si>
  <si>
    <t>Conclusion</t>
  </si>
  <si>
    <t>Why it matters</t>
  </si>
  <si>
    <t>Near-term value driver</t>
  </si>
  <si>
    <t>Zaynich US launch</t>
  </si>
  <si>
    <t>Commercial execution now matters more than discovery risk.</t>
  </si>
  <si>
    <t>Best follow-on</t>
  </si>
  <si>
    <t>Odrate</t>
  </si>
  <si>
    <t>Once-daily OPAT could widen the addressable setting, but remains early stage.</t>
  </si>
  <si>
    <t>Evidence wording</t>
  </si>
  <si>
    <t>20.6-point composite-response advantage</t>
  </si>
  <si>
    <t>The result was driven by microbiological eradication. Clinical cure differed by 1.9 points.</t>
  </si>
  <si>
    <t>Commercial constraint</t>
  </si>
  <si>
    <t>Stewardship limits use</t>
  </si>
  <si>
    <t>Large AMR burden does not translate one-for-one into sales.</t>
  </si>
  <si>
    <t>Source and link</t>
  </si>
  <si>
    <t>1</t>
  </si>
  <si>
    <t>US FDA, Zaynich prescribing information, 2026. https://www.accessdata.fda.gov/drugsatfda_docs/label/2026/220787Orig1s000lbl.pdf</t>
  </si>
  <si>
    <t>Wockhardt, New Drug Discovery / Antibiotic Pipeline. https://www.wockhardt.com/about-us/our-business-verticals/new-drug-discovery/</t>
  </si>
  <si>
    <t>GSK, Utebzi US approval, 17 June 2026. https://us.gsk.com/en-us/media/press-releases/utebzi-tebipenem-pivoxil-approved-in-the-us-for-adults-with-complicated-urinary-tract-infections-cutis/</t>
  </si>
  <si>
    <t>EMA and public regulatory record for Exblifep. https://www.ema.europa.eu/en/medicines/human/EPAR/exblifep</t>
  </si>
  <si>
    <t>5</t>
  </si>
  <si>
    <t>AbbVie, US FDA approval of Emblaveo, 7 February 2025. https://news.abbvie.com/2025-02-07-U-S-FDA-Approves-EMBLAVEO-TM-aztreonam-and-avibactam-for-the-Treatment-of-Adults-With-Complicated-Intra-Abdominal-Infections-With-Limited-or-No-Treatment-Options</t>
  </si>
  <si>
    <t>6</t>
  </si>
  <si>
    <t>EMA, Emblaveo EPAR. https://www.ema.europa.eu/en/medicines/human/EPAR/emblaveo</t>
  </si>
  <si>
    <t>7</t>
  </si>
  <si>
    <t>Reuters, US FDA approval of Blujepa for uUTI, 25 March 2025. https://www.reuters.com/business/healthcare-pharmaceuticals/us-fda-approves-gsks-urinary-tract-infection-drug-2025-03-25/</t>
  </si>
  <si>
    <t>8</t>
  </si>
  <si>
    <t>Reuters, US FDA approval of Blujepa for gonorrhea, 11 December 2025. https://www.reuters.com/business/healthcare-pharmaceuticals/us-fda-approves-gsks-oral-treatment-gonorrhea-2025-12-11/</t>
  </si>
  <si>
    <t>AMR context</t>
  </si>
  <si>
    <t>WHO 2025 global AMR surveillance report. https://www.who.int/publications/i/item/9789240116337</t>
  </si>
  <si>
    <t>US context</t>
  </si>
  <si>
    <t>CDC antimicrobial-resistance threats. https://www.cdc.gov/antimicrobial-resistance/data-research/threats/index.html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</si>
</sst>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&quot;m&quot;"/>
    <numFmt numFmtId="165" formatCode="0.0%"/>
  </numFmts>
  <fonts count="9">
    <font>
      <sz val="11"/>
      <name val="Carlito"/>
    </font>
    <font>
      <sz val="10"/>
      <color rgb="FF0B1F3A"/>
      <name val="Arial"/>
    </font>
    <font>
      <b/>
      <sz val="15"/>
      <color rgb="FF0B1F3A"/>
      <name val="Arial"/>
    </font>
    <font>
      <b/>
      <sz val="10"/>
      <color rgb="FF46515C"/>
      <name val="Arial"/>
    </font>
    <font>
      <b/>
      <sz val="12"/>
      <color rgb="FF0057B8"/>
      <name val="Arial"/>
    </font>
    <font>
      <b/>
      <sz val="10"/>
      <color rgb="FF0B1F3A"/>
      <name val="Arial"/>
    </font>
    <font>
      <b/>
      <sz val="10"/>
      <color rgb="FFFFFFFF"/>
      <name val="Arial"/>
    </font>
    <font>
      <i/>
      <sz val="9"/>
      <color rgb="FF46515C"/>
      <name val="Arial"/>
    </font>
    <font>
      <i/>
      <sz val="10"/>
      <color rgb="FF46515C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A"/>
      </patternFill>
    </fill>
    <fill>
      <patternFill patternType="solid">
        <fgColor rgb="FF0B1F3A"/>
      </patternFill>
    </fill>
    <fill>
      <patternFill patternType="solid">
        <fgColor rgb="FFF3F5F7"/>
      </patternFill>
    </fill>
    <fill>
      <patternFill patternType="solid">
        <fgColor rgb="FFFFF4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57B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E0E6"/>
      </bottom>
      <diagonal/>
    </border>
    <border>
      <left/>
      <right/>
      <top style="thin">
        <color rgb="FFD9E0E6"/>
      </top>
      <bottom style="thin">
        <color rgb="FFD9E0E6"/>
      </bottom>
      <diagonal/>
    </border>
    <border>
      <left/>
      <right/>
      <top style="thin">
        <color rgb="FFD9E0E6"/>
      </top>
      <bottom style="thin">
        <color rgb="FFA7B0BA"/>
      </bottom>
      <diagonal/>
    </border>
    <border>
      <left/>
      <right/>
      <top/>
      <bottom style="thin">
        <color rgb="FFE2E7E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164" fontId="1" fillId="0" borderId="3" xfId="0" applyNumberFormat="1" applyFont="1" applyBorder="1" applyAlignment="1">
      <alignment horizontal="right" vertical="top" wrapText="1"/>
    </xf>
    <xf numFmtId="165" fontId="1" fillId="0" borderId="3" xfId="0" applyNumberFormat="1" applyFont="1" applyBorder="1" applyAlignment="1">
      <alignment horizontal="right" vertical="top" wrapText="1"/>
    </xf>
    <xf numFmtId="164" fontId="1" fillId="0" borderId="4" xfId="0" applyNumberFormat="1" applyFont="1" applyBorder="1" applyAlignment="1">
      <alignment horizontal="right" vertical="top" wrapText="1"/>
    </xf>
    <xf numFmtId="165" fontId="1" fillId="0" borderId="4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165" fontId="1" fillId="0" borderId="5" xfId="0" applyNumberFormat="1" applyFont="1" applyBorder="1" applyAlignment="1">
      <alignment horizontal="right"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164" fontId="1" fillId="4" borderId="4" xfId="0" applyNumberFormat="1" applyFont="1" applyFill="1" applyBorder="1" applyAlignment="1">
      <alignment horizontal="right" vertical="top" wrapText="1"/>
    </xf>
    <xf numFmtId="165" fontId="1" fillId="4" borderId="4" xfId="0" applyNumberFormat="1" applyFont="1" applyFill="1" applyBorder="1" applyAlignment="1">
      <alignment horizontal="right" vertical="top" wrapText="1"/>
    </xf>
    <xf numFmtId="0" fontId="1" fillId="4" borderId="4" xfId="0" applyFont="1" applyFill="1" applyBorder="1" applyAlignment="1">
      <alignment vertical="top" wrapText="1"/>
    </xf>
    <xf numFmtId="0" fontId="1" fillId="5" borderId="0" xfId="0" applyFont="1" applyFill="1" applyAlignment="1">
      <alignment vertical="center"/>
    </xf>
    <xf numFmtId="0" fontId="3" fillId="0" borderId="3" xfId="0" applyFont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5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center" vertical="top" wrapText="1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>
                <a:latin typeface="Arial"/>
                <a:ea typeface="Arial"/>
                <a:cs typeface="Arial"/>
              </a:rPr>
              <a:t>Zaynich sales ramp by geography ($m)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US sales ($m)</c:v>
          </c:tx>
          <c:spPr>
            <a:solidFill>
              <a:srgbClr val="0057B8"/>
            </a:solidFill>
          </c:spPr>
          <c:invertIfNegative val="1"/>
          <c:cat>
            <c:strRef>
              <c:f>'Zaynich Sales'!$A$9:$A$12</c:f>
              <c:strCache>
                <c:ptCount val="4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FY30E</c:v>
                </c:pt>
              </c:strCache>
            </c:strRef>
          </c:cat>
          <c:val>
            <c:numRef>
              <c:f>'Zaynich Sales'!$B$9:$B$12</c:f>
              <c:numCache>
                <c:formatCode>\$#,##0"m"</c:formatCode>
                <c:ptCount val="4"/>
                <c:pt idx="0">
                  <c:v>15</c:v>
                </c:pt>
                <c:pt idx="1">
                  <c:v>60</c:v>
                </c:pt>
                <c:pt idx="2">
                  <c:v>160</c:v>
                </c:pt>
                <c:pt idx="3">
                  <c:v>170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08F-4543-9F5B-4E31F273D598}"/>
            </c:ext>
          </c:extLst>
        </c:ser>
        <c:ser>
          <c:idx val="1"/>
          <c:order val="1"/>
          <c:tx>
            <c:v>Ex-US sales ($m)</c:v>
          </c:tx>
          <c:spPr>
            <a:solidFill>
              <a:srgbClr val="65BCE8"/>
            </a:solidFill>
          </c:spPr>
          <c:invertIfNegative val="1"/>
          <c:cat>
            <c:strRef>
              <c:f>'Zaynich Sales'!$A$9:$A$12</c:f>
              <c:strCache>
                <c:ptCount val="4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FY30E</c:v>
                </c:pt>
              </c:strCache>
            </c:strRef>
          </c:cat>
          <c:val>
            <c:numRef>
              <c:f>'Zaynich Sales'!$C$9:$C$12</c:f>
              <c:numCache>
                <c:formatCode>\$#,##0"m"</c:formatCode>
                <c:ptCount val="4"/>
                <c:pt idx="0">
                  <c:v>10</c:v>
                </c:pt>
                <c:pt idx="1">
                  <c:v>40</c:v>
                </c:pt>
                <c:pt idx="2">
                  <c:v>90</c:v>
                </c:pt>
                <c:pt idx="3">
                  <c:v>130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608F-4543-9F5B-4E31F273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&quot;m&quot;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50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685800</xdr:colOff>
      <xdr:row>7</xdr:row>
      <xdr:rowOff>0</xdr:rowOff>
    </xdr:from>
    <xdr:to>
      <xdr:col>12</xdr:col>
      <xdr:colOff>762000</xdr:colOff>
      <xdr:row>19</xdr:row>
      <xdr:rowOff>177800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F3A"/>
  </sheetPr>
  <dimension ref="A1:R24"/>
  <sheetViews>
    <sheetView showGridLines="0" tabSelected="1" workbookViewId="0">
      <pane ySplit="8" topLeftCell="A9" activePane="bottomLeft" state="frozen"/>
      <selection pane="bottomLeft"/>
    </sheetView>
  </sheetViews>
  <sheetFormatPr baseColWidth="10" defaultColWidth="8.83203125" defaultRowHeight="14"/>
  <cols>
    <col min="1" max="1" width="31" customWidth="1"/>
    <col min="2" max="6" width="15" customWidth="1"/>
    <col min="7" max="7" width="20" customWidth="1"/>
    <col min="8" max="8" width="48" customWidth="1"/>
    <col min="9" max="9" width="3" customWidth="1"/>
    <col min="10" max="18" width="12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6">
      <c r="A4" s="4" t="s">
        <v>1</v>
      </c>
      <c r="B4" s="5">
        <f>D12</f>
        <v>300</v>
      </c>
      <c r="C4" s="4"/>
      <c r="D4" s="4" t="s">
        <v>2</v>
      </c>
      <c r="E4" s="5">
        <f>SUM(D9:D12)</f>
        <v>675</v>
      </c>
      <c r="F4" s="4"/>
      <c r="G4" s="4" t="s">
        <v>3</v>
      </c>
      <c r="H4" s="5">
        <f>SUM(B9:B12)</f>
        <v>405</v>
      </c>
      <c r="I4" s="4"/>
      <c r="J4" s="4" t="s">
        <v>4</v>
      </c>
      <c r="K4" s="6">
        <f>(D12/D9)^(1/3)-1</f>
        <v>1.2894284851066637</v>
      </c>
      <c r="L4" s="1"/>
      <c r="M4" s="1"/>
      <c r="N4" s="1"/>
      <c r="O4" s="1"/>
      <c r="P4" s="1"/>
      <c r="Q4" s="1"/>
      <c r="R4" s="1"/>
    </row>
    <row r="5" spans="1: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7" t="s">
        <v>5</v>
      </c>
      <c r="B6" s="7"/>
      <c r="C6" s="7"/>
      <c r="D6" s="7"/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31" customHeight="1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31" customHeight="1">
      <c r="A9" s="18" t="s">
        <v>14</v>
      </c>
      <c r="B9" s="12">
        <v>15</v>
      </c>
      <c r="C9" s="12">
        <v>10</v>
      </c>
      <c r="D9" s="12">
        <f>SUM(B9:C9)</f>
        <v>25</v>
      </c>
      <c r="E9" s="13">
        <f>B9/D9</f>
        <v>0.6</v>
      </c>
      <c r="F9" s="13"/>
      <c r="G9" s="9" t="s">
        <v>15</v>
      </c>
      <c r="H9" s="9" t="s">
        <v>16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31" customHeight="1">
      <c r="A10" s="21" t="s">
        <v>17</v>
      </c>
      <c r="B10" s="22">
        <v>60</v>
      </c>
      <c r="C10" s="22">
        <v>40</v>
      </c>
      <c r="D10" s="22">
        <f>SUM(B10:C10)</f>
        <v>100</v>
      </c>
      <c r="E10" s="23">
        <f>B10/D10</f>
        <v>0.6</v>
      </c>
      <c r="F10" s="23">
        <f>D10/D9-1</f>
        <v>3</v>
      </c>
      <c r="G10" s="24" t="s">
        <v>15</v>
      </c>
      <c r="H10" s="24" t="s">
        <v>18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31" customHeight="1">
      <c r="A11" s="19" t="s">
        <v>19</v>
      </c>
      <c r="B11" s="14">
        <v>160</v>
      </c>
      <c r="C11" s="14">
        <v>90</v>
      </c>
      <c r="D11" s="14">
        <f>SUM(B11:C11)</f>
        <v>250</v>
      </c>
      <c r="E11" s="15">
        <f>B11/D11</f>
        <v>0.64</v>
      </c>
      <c r="F11" s="15">
        <f>D11/D10-1</f>
        <v>1.5</v>
      </c>
      <c r="G11" s="10" t="s">
        <v>15</v>
      </c>
      <c r="H11" s="10" t="s">
        <v>20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31" customHeight="1">
      <c r="A12" s="20" t="s">
        <v>21</v>
      </c>
      <c r="B12" s="16">
        <v>170</v>
      </c>
      <c r="C12" s="16">
        <v>130</v>
      </c>
      <c r="D12" s="16">
        <f>SUM(B12:C12)</f>
        <v>300</v>
      </c>
      <c r="E12" s="17">
        <f>B12/D12</f>
        <v>0.56666666666666665</v>
      </c>
      <c r="F12" s="17">
        <f>D12/D11-1</f>
        <v>0.19999999999999996</v>
      </c>
      <c r="G12" s="11" t="s">
        <v>15</v>
      </c>
      <c r="H12" s="11" t="s">
        <v>22</v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2" customHeight="1">
      <c r="A14" s="4" t="s">
        <v>23</v>
      </c>
      <c r="B14" s="25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2" customHeight="1">
      <c r="A15" s="4" t="s">
        <v>25</v>
      </c>
      <c r="B15" s="25" t="s">
        <v>26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2" customHeight="1">
      <c r="A16" s="26" t="s">
        <v>27</v>
      </c>
      <c r="B16" s="27" t="s">
        <v>28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29" t="s">
        <v>29</v>
      </c>
      <c r="B19" s="29" t="s">
        <v>30</v>
      </c>
      <c r="C19" s="29"/>
      <c r="D19" s="29"/>
      <c r="E19" s="29"/>
      <c r="F19" s="29"/>
      <c r="G19" s="29"/>
      <c r="H19" s="29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2" customHeight="1">
      <c r="A20" s="28" t="s">
        <v>31</v>
      </c>
      <c r="B20" s="28" t="s">
        <v>32</v>
      </c>
      <c r="C20" s="28"/>
      <c r="D20" s="28"/>
      <c r="E20" s="28"/>
      <c r="F20" s="28"/>
      <c r="G20" s="28"/>
      <c r="H20" s="28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2" customHeight="1">
      <c r="A21" s="28" t="s">
        <v>33</v>
      </c>
      <c r="B21" s="28" t="s">
        <v>34</v>
      </c>
      <c r="C21" s="28"/>
      <c r="D21" s="28"/>
      <c r="E21" s="28"/>
      <c r="F21" s="28"/>
      <c r="G21" s="28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2" customHeight="1">
      <c r="A22" s="28" t="s">
        <v>35</v>
      </c>
      <c r="B22" s="28" t="s">
        <v>36</v>
      </c>
      <c r="C22" s="28"/>
      <c r="D22" s="28"/>
      <c r="E22" s="28"/>
      <c r="F22" s="28"/>
      <c r="G22" s="28"/>
      <c r="H22" s="28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7B8"/>
  </sheetPr>
  <dimension ref="A1:I33"/>
  <sheetViews>
    <sheetView showGridLines="0" zoomScale="85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29" customWidth="1"/>
    <col min="2" max="2" width="20" customWidth="1"/>
    <col min="3" max="3" width="34" customWidth="1"/>
    <col min="4" max="4" width="31" customWidth="1"/>
    <col min="5" max="5" width="30" customWidth="1"/>
    <col min="6" max="6" width="29" customWidth="1"/>
    <col min="7" max="7" width="31" customWidth="1"/>
    <col min="8" max="8" width="34" customWidth="1"/>
    <col min="9" max="9" width="12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25" customHeight="1">
      <c r="A2" s="2" t="s">
        <v>37</v>
      </c>
      <c r="B2" s="2"/>
      <c r="C2" s="2"/>
      <c r="D2" s="2"/>
      <c r="E2" s="2"/>
      <c r="F2" s="2"/>
      <c r="G2" s="2"/>
      <c r="H2" s="2"/>
      <c r="I2" s="2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>
      <c r="A4" s="30" t="s">
        <v>38</v>
      </c>
      <c r="B4" s="30"/>
      <c r="C4" s="30"/>
      <c r="D4" s="30"/>
      <c r="E4" s="30"/>
      <c r="F4" s="30"/>
      <c r="G4" s="30"/>
      <c r="H4" s="30"/>
      <c r="I4" s="30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 ht="38" customHeight="1">
      <c r="A6" s="8" t="s">
        <v>39</v>
      </c>
      <c r="B6" s="8" t="s">
        <v>40</v>
      </c>
      <c r="C6" s="8" t="s">
        <v>41</v>
      </c>
      <c r="D6" s="8" t="s">
        <v>42</v>
      </c>
      <c r="E6" s="8" t="s">
        <v>43</v>
      </c>
      <c r="F6" s="8" t="s">
        <v>44</v>
      </c>
      <c r="G6" s="8" t="s">
        <v>45</v>
      </c>
      <c r="H6" s="8" t="s">
        <v>46</v>
      </c>
      <c r="I6" s="8" t="s">
        <v>47</v>
      </c>
    </row>
    <row r="7" spans="1:9" ht="86" customHeight="1">
      <c r="A7" s="31" t="s">
        <v>48</v>
      </c>
      <c r="B7" s="32" t="s">
        <v>49</v>
      </c>
      <c r="C7" s="32" t="s">
        <v>50</v>
      </c>
      <c r="D7" s="32" t="s">
        <v>51</v>
      </c>
      <c r="E7" s="32" t="s">
        <v>52</v>
      </c>
      <c r="F7" s="32" t="s">
        <v>53</v>
      </c>
      <c r="G7" s="32" t="s">
        <v>54</v>
      </c>
      <c r="H7" s="32" t="s">
        <v>55</v>
      </c>
      <c r="I7" s="32" t="s">
        <v>56</v>
      </c>
    </row>
    <row r="8" spans="1:9" ht="86" customHeight="1">
      <c r="A8" s="33" t="s">
        <v>57</v>
      </c>
      <c r="B8" s="34" t="s">
        <v>49</v>
      </c>
      <c r="C8" s="34" t="s">
        <v>58</v>
      </c>
      <c r="D8" s="34" t="s">
        <v>59</v>
      </c>
      <c r="E8" s="34" t="s">
        <v>60</v>
      </c>
      <c r="F8" s="34" t="s">
        <v>61</v>
      </c>
      <c r="G8" s="34" t="s">
        <v>62</v>
      </c>
      <c r="H8" s="34" t="s">
        <v>63</v>
      </c>
      <c r="I8" s="34" t="s">
        <v>64</v>
      </c>
    </row>
    <row r="9" spans="1:9" ht="86" customHeight="1">
      <c r="A9" s="33" t="s">
        <v>65</v>
      </c>
      <c r="B9" s="34" t="s">
        <v>49</v>
      </c>
      <c r="C9" s="34" t="s">
        <v>66</v>
      </c>
      <c r="D9" s="34" t="s">
        <v>67</v>
      </c>
      <c r="E9" s="34" t="s">
        <v>68</v>
      </c>
      <c r="F9" s="34" t="s">
        <v>69</v>
      </c>
      <c r="G9" s="34" t="s">
        <v>70</v>
      </c>
      <c r="H9" s="34" t="s">
        <v>71</v>
      </c>
      <c r="I9" s="34" t="s">
        <v>64</v>
      </c>
    </row>
    <row r="10" spans="1:9" ht="86" customHeight="1">
      <c r="A10" s="33" t="s">
        <v>72</v>
      </c>
      <c r="B10" s="34" t="s">
        <v>49</v>
      </c>
      <c r="C10" s="34" t="s">
        <v>73</v>
      </c>
      <c r="D10" s="34" t="s">
        <v>74</v>
      </c>
      <c r="E10" s="34" t="s">
        <v>75</v>
      </c>
      <c r="F10" s="34" t="s">
        <v>76</v>
      </c>
      <c r="G10" s="34" t="s">
        <v>77</v>
      </c>
      <c r="H10" s="34" t="s">
        <v>78</v>
      </c>
      <c r="I10" s="34" t="s">
        <v>64</v>
      </c>
    </row>
    <row r="11" spans="1:9" ht="86" customHeight="1">
      <c r="A11" s="33" t="s">
        <v>79</v>
      </c>
      <c r="B11" s="34" t="s">
        <v>49</v>
      </c>
      <c r="C11" s="34" t="s">
        <v>80</v>
      </c>
      <c r="D11" s="34" t="s">
        <v>81</v>
      </c>
      <c r="E11" s="34" t="s">
        <v>82</v>
      </c>
      <c r="F11" s="34" t="s">
        <v>83</v>
      </c>
      <c r="G11" s="34" t="s">
        <v>84</v>
      </c>
      <c r="H11" s="34" t="s">
        <v>85</v>
      </c>
      <c r="I11" s="34" t="s">
        <v>64</v>
      </c>
    </row>
    <row r="12" spans="1:9" ht="86" customHeight="1">
      <c r="A12" s="21" t="s">
        <v>86</v>
      </c>
      <c r="B12" s="24" t="s">
        <v>87</v>
      </c>
      <c r="C12" s="24" t="s">
        <v>88</v>
      </c>
      <c r="D12" s="24" t="s">
        <v>89</v>
      </c>
      <c r="E12" s="24" t="s">
        <v>90</v>
      </c>
      <c r="F12" s="24" t="s">
        <v>91</v>
      </c>
      <c r="G12" s="24" t="s">
        <v>92</v>
      </c>
      <c r="H12" s="24" t="s">
        <v>93</v>
      </c>
      <c r="I12" s="24" t="s">
        <v>94</v>
      </c>
    </row>
    <row r="13" spans="1:9" ht="86" customHeight="1">
      <c r="A13" s="21" t="s">
        <v>95</v>
      </c>
      <c r="B13" s="24" t="s">
        <v>96</v>
      </c>
      <c r="C13" s="24" t="s">
        <v>97</v>
      </c>
      <c r="D13" s="24" t="s">
        <v>98</v>
      </c>
      <c r="E13" s="24" t="s">
        <v>99</v>
      </c>
      <c r="F13" s="24" t="s">
        <v>100</v>
      </c>
      <c r="G13" s="24" t="s">
        <v>101</v>
      </c>
      <c r="H13" s="24" t="s">
        <v>102</v>
      </c>
      <c r="I13" s="24" t="s">
        <v>103</v>
      </c>
    </row>
    <row r="14" spans="1:9" ht="86" customHeight="1">
      <c r="A14" s="21" t="s">
        <v>104</v>
      </c>
      <c r="B14" s="24" t="s">
        <v>105</v>
      </c>
      <c r="C14" s="24" t="s">
        <v>106</v>
      </c>
      <c r="D14" s="24" t="s">
        <v>107</v>
      </c>
      <c r="E14" s="24" t="s">
        <v>108</v>
      </c>
      <c r="F14" s="24" t="s">
        <v>109</v>
      </c>
      <c r="G14" s="24" t="s">
        <v>110</v>
      </c>
      <c r="H14" s="24" t="s">
        <v>111</v>
      </c>
      <c r="I14" s="24" t="s">
        <v>112</v>
      </c>
    </row>
    <row r="15" spans="1:9" ht="86" customHeight="1">
      <c r="A15" s="35" t="s">
        <v>113</v>
      </c>
      <c r="B15" s="36" t="s">
        <v>114</v>
      </c>
      <c r="C15" s="36" t="s">
        <v>115</v>
      </c>
      <c r="D15" s="36" t="s">
        <v>116</v>
      </c>
      <c r="E15" s="36" t="s">
        <v>117</v>
      </c>
      <c r="F15" s="36" t="s">
        <v>118</v>
      </c>
      <c r="G15" s="36" t="s">
        <v>119</v>
      </c>
      <c r="H15" s="36" t="s">
        <v>120</v>
      </c>
      <c r="I15" s="36" t="s">
        <v>121</v>
      </c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 ht="34" customHeight="1">
      <c r="A17" s="8" t="s">
        <v>122</v>
      </c>
      <c r="B17" s="8" t="s">
        <v>123</v>
      </c>
      <c r="C17" s="8" t="s">
        <v>124</v>
      </c>
      <c r="D17" s="1"/>
      <c r="E17" s="1"/>
      <c r="F17" s="1"/>
      <c r="G17" s="1"/>
      <c r="H17" s="1"/>
      <c r="I17" s="1"/>
    </row>
    <row r="18" spans="1:9" ht="34" customHeight="1">
      <c r="A18" s="37" t="s">
        <v>125</v>
      </c>
      <c r="B18" s="37" t="s">
        <v>126</v>
      </c>
      <c r="C18" s="37" t="s">
        <v>127</v>
      </c>
      <c r="D18" s="1"/>
      <c r="E18" s="1"/>
      <c r="F18" s="1"/>
      <c r="G18" s="1"/>
      <c r="H18" s="1"/>
      <c r="I18" s="1"/>
    </row>
    <row r="19" spans="1:9" ht="34" customHeight="1">
      <c r="A19" s="10" t="s">
        <v>128</v>
      </c>
      <c r="B19" s="10" t="s">
        <v>129</v>
      </c>
      <c r="C19" s="10" t="s">
        <v>130</v>
      </c>
      <c r="D19" s="1"/>
      <c r="E19" s="1"/>
      <c r="F19" s="1"/>
      <c r="G19" s="1"/>
      <c r="H19" s="1"/>
      <c r="I19" s="1"/>
    </row>
    <row r="20" spans="1:9" ht="34" customHeight="1">
      <c r="A20" s="10" t="s">
        <v>131</v>
      </c>
      <c r="B20" s="10" t="s">
        <v>132</v>
      </c>
      <c r="C20" s="10" t="s">
        <v>133</v>
      </c>
      <c r="D20" s="1"/>
      <c r="E20" s="1"/>
      <c r="F20" s="1"/>
      <c r="G20" s="1"/>
      <c r="H20" s="1"/>
      <c r="I20" s="1"/>
    </row>
    <row r="21" spans="1:9" ht="34" customHeight="1">
      <c r="A21" s="11" t="s">
        <v>134</v>
      </c>
      <c r="B21" s="11" t="s">
        <v>135</v>
      </c>
      <c r="C21" s="11" t="s">
        <v>136</v>
      </c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38" t="s">
        <v>47</v>
      </c>
      <c r="B23" s="38" t="s">
        <v>137</v>
      </c>
      <c r="C23" s="1"/>
      <c r="D23" s="1"/>
      <c r="E23" s="1"/>
      <c r="F23" s="1"/>
      <c r="G23" s="1"/>
      <c r="H23" s="1"/>
      <c r="I23" s="1"/>
    </row>
    <row r="24" spans="1:9" ht="22" customHeight="1">
      <c r="A24" s="39" t="s">
        <v>138</v>
      </c>
      <c r="B24" s="39" t="s">
        <v>139</v>
      </c>
      <c r="C24" s="1"/>
      <c r="D24" s="1"/>
      <c r="E24" s="1"/>
      <c r="F24" s="1"/>
      <c r="G24" s="1"/>
      <c r="H24" s="1"/>
      <c r="I24" s="1"/>
    </row>
    <row r="25" spans="1:9" ht="22" customHeight="1">
      <c r="A25" s="39" t="s">
        <v>64</v>
      </c>
      <c r="B25" s="39" t="s">
        <v>140</v>
      </c>
      <c r="C25" s="1"/>
      <c r="D25" s="1"/>
      <c r="E25" s="1"/>
      <c r="F25" s="1"/>
      <c r="G25" s="1"/>
      <c r="H25" s="1"/>
      <c r="I25" s="1"/>
    </row>
    <row r="26" spans="1:9" ht="22" customHeight="1">
      <c r="A26" s="39" t="s">
        <v>94</v>
      </c>
      <c r="B26" s="39" t="s">
        <v>141</v>
      </c>
      <c r="C26" s="1"/>
      <c r="D26" s="1"/>
      <c r="E26" s="1"/>
      <c r="F26" s="1"/>
      <c r="G26" s="1"/>
      <c r="H26" s="1"/>
      <c r="I26" s="1"/>
    </row>
    <row r="27" spans="1:9" ht="22" customHeight="1">
      <c r="A27" s="39" t="s">
        <v>103</v>
      </c>
      <c r="B27" s="39" t="s">
        <v>142</v>
      </c>
      <c r="C27" s="1"/>
      <c r="D27" s="1"/>
      <c r="E27" s="1"/>
      <c r="F27" s="1"/>
      <c r="G27" s="1"/>
      <c r="H27" s="1"/>
      <c r="I27" s="1"/>
    </row>
    <row r="28" spans="1:9" ht="22" customHeight="1">
      <c r="A28" s="39" t="s">
        <v>143</v>
      </c>
      <c r="B28" s="39" t="s">
        <v>144</v>
      </c>
      <c r="C28" s="1"/>
      <c r="D28" s="1"/>
      <c r="E28" s="1"/>
      <c r="F28" s="1"/>
      <c r="G28" s="1"/>
      <c r="H28" s="1"/>
      <c r="I28" s="1"/>
    </row>
    <row r="29" spans="1:9" ht="22" customHeight="1">
      <c r="A29" s="39" t="s">
        <v>145</v>
      </c>
      <c r="B29" s="39" t="s">
        <v>146</v>
      </c>
      <c r="C29" s="1"/>
      <c r="D29" s="1"/>
      <c r="E29" s="1"/>
      <c r="F29" s="1"/>
      <c r="G29" s="1"/>
      <c r="H29" s="1"/>
      <c r="I29" s="1"/>
    </row>
    <row r="30" spans="1:9" ht="22" customHeight="1">
      <c r="A30" s="39" t="s">
        <v>147</v>
      </c>
      <c r="B30" s="39" t="s">
        <v>148</v>
      </c>
      <c r="C30" s="1"/>
      <c r="D30" s="1"/>
      <c r="E30" s="1"/>
      <c r="F30" s="1"/>
      <c r="G30" s="1"/>
      <c r="H30" s="1"/>
      <c r="I30" s="1"/>
    </row>
    <row r="31" spans="1:9" ht="22" customHeight="1">
      <c r="A31" s="39" t="s">
        <v>149</v>
      </c>
      <c r="B31" s="39" t="s">
        <v>150</v>
      </c>
      <c r="C31" s="1"/>
      <c r="D31" s="1"/>
      <c r="E31" s="1"/>
      <c r="F31" s="1"/>
      <c r="G31" s="1"/>
      <c r="H31" s="1"/>
      <c r="I31" s="1"/>
    </row>
    <row r="32" spans="1:9" ht="22" customHeight="1">
      <c r="A32" s="39" t="s">
        <v>151</v>
      </c>
      <c r="B32" s="39" t="s">
        <v>152</v>
      </c>
      <c r="C32" s="1"/>
      <c r="D32" s="1"/>
      <c r="E32" s="1"/>
      <c r="F32" s="1"/>
      <c r="G32" s="1"/>
      <c r="H32" s="1"/>
      <c r="I32" s="1"/>
    </row>
    <row r="33" spans="1:2" ht="22" customHeight="1">
      <c r="A33" s="40" t="s">
        <v>153</v>
      </c>
      <c r="B33" s="40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Zaynich Sales</vt:lpstr>
      <vt:lpstr>AMR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Shirsh Sawarna</cp:lastModifiedBy>
  <dcterms:modified xsi:type="dcterms:W3CDTF">2026-09-11T03:14:01Z</dcterms:modified>
</cp:coreProperties>
</file>