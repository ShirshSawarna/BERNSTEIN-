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2258541a1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Assumptions" sheetId="1" r:id="R54ef9b387a4340af"/>
    <x:sheet xmlns:r="http://schemas.openxmlformats.org/officeDocument/2006/relationships" name="Revenue Model" sheetId="2" r:id="Rb8398538153b4381"/>
    <x:sheet xmlns:r="http://schemas.openxmlformats.org/officeDocument/2006/relationships" name="Three Statements" sheetId="3" r:id="Re54ed4b2feea45fd"/>
    <x:sheet xmlns:r="http://schemas.openxmlformats.org/officeDocument/2006/relationships" name="Supporting Schedules" sheetId="4" r:id="R76b554d1686c4b6d"/>
    <x:sheet xmlns:r="http://schemas.openxmlformats.org/officeDocument/2006/relationships" name="Sources &amp; Checks" sheetId="5" r:id="Rc661865b0f4b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0.00;[Red](0.00);-"/>
    <x:numFmt numFmtId="203" formatCode="#,##0;[Red](#,##0);-"/>
  </x:numFmts>
  <x:fonts count="17">
    <x:font>
      <x:sz val="11"/>
      <x:name val="Carlito"/>
    </x:font>
    <x:font>
      <x:b/>
      <x:sz val="15"/>
      <x:color rgb="FFFFFFFF"/>
      <x:name val="Arial"/>
    </x:font>
    <x:font>
      <x:i/>
      <x:sz val="9"/>
      <x:color rgb="FF0B1F3A"/>
      <x:name val="Arial"/>
    </x:font>
    <x:font>
      <x:b/>
      <x:sz val="9"/>
      <x:color rgb="FFFFFFFF"/>
      <x:name val="Arial"/>
    </x:font>
    <x:font>
      <x:b/>
      <x:sz val="8"/>
      <x:color rgb="FF0B1F3A"/>
      <x:name val="Arial"/>
    </x:font>
    <x:font>
      <x:b/>
      <x:sz val="10"/>
      <x:color rgb="FFFFFFFF"/>
      <x:name val="Arial"/>
    </x:font>
    <x:font>
      <x:sz val="9"/>
      <x:color rgb="FF000000"/>
      <x:name val="Arial"/>
    </x:font>
    <x:font>
      <x:i/>
      <x:sz val="8"/>
      <x:color rgb="FF666666"/>
      <x:name val="Arial"/>
    </x:font>
    <x:font>
      <x:sz val="9"/>
      <x:color rgb="FF008000"/>
      <x:name val="Arial"/>
    </x:font>
    <x:font>
      <x:b/>
      <x:sz val="9"/>
      <x:color rgb="FF000000"/>
      <x:name val="Arial"/>
    </x:font>
    <x:font>
      <x:b/>
      <x:i/>
      <x:sz val="9"/>
      <x:color rgb="FF000000"/>
      <x:name val="Arial"/>
    </x:font>
    <x:font>
      <x:sz val="9"/>
      <x:color rgb="FF0000FF"/>
      <x:name val="Arial"/>
    </x:font>
    <x:font>
      <x:sz val="9"/>
      <x:color rgb="FF777777"/>
      <x:name val="Arial"/>
    </x:font>
    <x:font>
      <x:sz val="8"/>
      <x:color rgb="FF008000"/>
      <x:name val="Arial"/>
    </x:font>
    <x:font>
      <x:b/>
      <x:sz val="9"/>
      <x:color rgb="FF0B1F3A"/>
      <x:name val="Arial"/>
    </x:font>
    <x:font>
      <x:sz val="8"/>
      <x:color rgb="FF000000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8F8F8"/>
      </x:patternFill>
    </x:fill>
  </x:fills>
  <x:borders count="8">
    <x:border/>
    <x:border/>
    <x:border>
      <x:bottom style="thin">
        <x:color rgb="FF0B1F3A"/>
      </x:bottom>
    </x:border>
    <x:border>
      <x:bottom style="thin">
        <x:color rgb="FF0B1F3A"/>
      </x:bottom>
    </x:border>
    <x:border>
      <x:top style="thin">
        <x:color rgb="FF0B1F3A"/>
      </x:top>
    </x:border>
    <x:border>
      <x:top style="thin">
        <x:color rgb="FF0B1F3A"/>
      </x:top>
    </x:border>
    <x:border>
      <x:bottom style="thin">
        <x:color rgb="FF1F4E78"/>
      </x:bottom>
    </x:border>
    <x:border>
      <x:bottom style="thin">
        <x:color rgb="FF1F4E78"/>
      </x:bottom>
    </x:border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right"/>
    </x:xf>
    <x:xf numFmtId="0" fontId="3" fillId="4" borderId="2" xfId="0" applyNumberFormat="1" applyFont="1" applyFill="1" applyBorder="1" applyAlignment="1">
      <x:alignment horizontal="righ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right"/>
    </x:xf>
    <x:xf numFmtId="0" fontId="3" fillId="4" borderId="3" xfId="0" applyNumberFormat="1" applyFont="1" applyFill="1" applyBorder="1" applyAlignment="1">
      <x:alignment horizontal="righ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left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left"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0" fontId="8" fillId="0" borderId="1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201" fontId="8" fillId="0" borderId="1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 applyAlignment="1">
      <x:alignment horizontal="right"/>
    </x:xf>
    <x:xf numFmtId="202" fontId="8" fillId="0" borderId="1" xfId="0" applyNumberFormat="1" applyFont="1" applyFill="1" applyBorder="1" applyAlignment="1">
      <x:alignment horizontal="right"/>
    </x:xf>
    <x:xf numFmtId="0" fontId="6" fillId="0" borderId="4" xfId="0" applyNumberFormat="1" applyFont="1" applyFill="1" applyBorder="1" applyAlignment="1">
      <x:alignment horizontal="left"/>
    </x:xf>
    <x:xf numFmtId="0" fontId="7" fillId="0" borderId="4" xfId="0" applyNumberFormat="1" applyFont="1" applyFill="1" applyBorder="1" applyAlignment="1">
      <x:alignment horizontal="left" wrapText="1"/>
    </x:xf>
    <x:xf numFmtId="200" fontId="8" fillId="0" borderId="4" xfId="0" applyNumberFormat="1" applyFont="1" applyFill="1" applyBorder="1" applyAlignment="1">
      <x:alignment horizontal="right"/>
    </x:xf>
    <x:xf numFmtId="0" fontId="6" fillId="0" borderId="5" xfId="0" applyNumberFormat="1" applyFont="1" applyFill="1" applyBorder="1" applyAlignment="1">
      <x:alignment horizontal="left"/>
    </x:xf>
    <x:xf numFmtId="0" fontId="7" fillId="0" borderId="5" xfId="0" applyNumberFormat="1" applyFont="1" applyFill="1" applyBorder="1" applyAlignment="1">
      <x:alignment horizontal="left" wrapText="1"/>
    </x:xf>
    <x:xf numFmtId="200" fontId="8" fillId="0" borderId="5" xfId="0" applyNumberFormat="1" applyFont="1" applyFill="1" applyBorder="1" applyAlignment="1">
      <x:alignment horizontal="right"/>
    </x:xf>
    <x:xf numFmtId="0" fontId="9" fillId="0" borderId="4" xfId="0" applyNumberFormat="1" applyFont="1" applyFill="1" applyBorder="1" applyAlignment="1">
      <x:alignment horizontal="left"/>
    </x:xf>
    <x:xf numFmtId="0" fontId="10" fillId="0" borderId="4" xfId="0" applyNumberFormat="1" applyFont="1" applyFill="1" applyBorder="1" applyAlignment="1">
      <x:alignment horizontal="left" wrapText="1"/>
    </x:xf>
    <x:xf numFmtId="200" fontId="9" fillId="0" borderId="4" xfId="0" applyNumberFormat="1" applyFont="1" applyFill="1" applyBorder="1" applyAlignment="1">
      <x:alignment horizontal="right"/>
    </x:xf>
    <x:xf numFmtId="0" fontId="9" fillId="0" borderId="5" xfId="0" applyNumberFormat="1" applyFont="1" applyFill="1" applyBorder="1" applyAlignment="1">
      <x:alignment horizontal="left"/>
    </x:xf>
    <x:xf numFmtId="0" fontId="10" fillId="0" borderId="5" xfId="0" applyNumberFormat="1" applyFont="1" applyFill="1" applyBorder="1" applyAlignment="1">
      <x:alignment horizontal="left" wrapText="1"/>
    </x:xf>
    <x:xf numFmtId="200" fontId="9" fillId="0" borderId="5" xfId="0" applyNumberFormat="1" applyFont="1" applyFill="1" applyBorder="1" applyAlignment="1">
      <x:alignment horizontal="right"/>
    </x:xf>
    <x:xf numFmtId="0" fontId="11" fillId="0" borderId="0" xfId="0" applyNumberFormat="1" applyFont="1" applyFill="1" applyBorder="1"/>
    <x:xf numFmtId="203" fontId="11" fillId="0" borderId="0" xfId="0" applyNumberFormat="1" applyFont="1" applyFill="1" applyBorder="1"/>
    <x:xf numFmtId="203" fontId="11" fillId="0" borderId="0" xfId="0" applyNumberFormat="1" applyFont="1" applyFill="1" applyBorder="1" applyAlignment="1">
      <x:alignment horizontal="right"/>
    </x:xf>
    <x:xf numFmtId="0" fontId="11" fillId="0" borderId="1" xfId="0" applyNumberFormat="1" applyFont="1" applyFill="1" applyBorder="1"/>
    <x:xf numFmtId="203" fontId="11" fillId="0" borderId="1" xfId="0" applyNumberFormat="1" applyFont="1" applyFill="1" applyBorder="1"/>
    <x:xf numFmtId="203" fontId="11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203" fontId="11" fillId="6" borderId="0" xfId="0" applyNumberFormat="1" applyFont="1" applyFill="1" applyBorder="1"/>
    <x:xf numFmtId="203" fontId="11" fillId="6" borderId="0" xfId="0" applyNumberFormat="1" applyFont="1" applyFill="1" applyBorder="1" applyAlignment="1">
      <x:alignment horizontal="right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203" fontId="11" fillId="6" borderId="1" xfId="0" applyNumberFormat="1" applyFont="1" applyFill="1" applyBorder="1"/>
    <x:xf numFmtId="203" fontId="11" fillId="6" borderId="1" xfId="0" applyNumberFormat="1" applyFont="1" applyFill="1" applyBorder="1" applyAlignment="1">
      <x:alignment horizontal="right"/>
    </x:xf>
    <x:xf numFmtId="201" fontId="11" fillId="0" borderId="0" xfId="0" applyNumberFormat="1" applyFont="1" applyFill="1" applyBorder="1"/>
    <x:xf numFmtId="201" fontId="11" fillId="0" borderId="0" xfId="0" applyNumberFormat="1" applyFont="1" applyFill="1" applyBorder="1" applyAlignment="1">
      <x:alignment horizontal="right"/>
    </x:xf>
    <x:xf numFmtId="201" fontId="11" fillId="0" borderId="1" xfId="0" applyNumberFormat="1" applyFont="1" applyFill="1" applyBorder="1"/>
    <x:xf numFmtId="201" fontId="11" fillId="0" borderId="1" xfId="0" applyNumberFormat="1" applyFont="1" applyFill="1" applyBorder="1" applyAlignment="1">
      <x:alignment horizontal="right"/>
    </x:xf>
    <x:xf numFmtId="201" fontId="11" fillId="6" borderId="0" xfId="0" applyNumberFormat="1" applyFont="1" applyFill="1" applyBorder="1"/>
    <x:xf numFmtId="201" fontId="11" fillId="6" borderId="0" xfId="0" applyNumberFormat="1" applyFont="1" applyFill="1" applyBorder="1" applyAlignment="1">
      <x:alignment horizontal="right"/>
    </x:xf>
    <x:xf numFmtId="201" fontId="11" fillId="6" borderId="1" xfId="0" applyNumberFormat="1" applyFont="1" applyFill="1" applyBorder="1"/>
    <x:xf numFmtId="201" fontId="11" fillId="6" borderId="1" xfId="0" applyNumberFormat="1" applyFont="1" applyFill="1" applyBorder="1" applyAlignment="1">
      <x:alignment horizontal="right"/>
    </x:xf>
    <x:xf numFmtId="200" fontId="11" fillId="0" borderId="0" xfId="0" applyNumberFormat="1" applyFont="1" applyFill="1" applyBorder="1"/>
    <x:xf numFmtId="200" fontId="11" fillId="0" borderId="0" xfId="0" applyNumberFormat="1" applyFont="1" applyFill="1" applyBorder="1" applyAlignment="1">
      <x:alignment horizontal="right"/>
    </x:xf>
    <x:xf numFmtId="200" fontId="11" fillId="0" borderId="1" xfId="0" applyNumberFormat="1" applyFont="1" applyFill="1" applyBorder="1"/>
    <x:xf numFmtId="200" fontId="11" fillId="0" borderId="1" xfId="0" applyNumberFormat="1" applyFont="1" applyFill="1" applyBorder="1" applyAlignment="1">
      <x:alignment horizontal="right"/>
    </x:xf>
    <x:xf numFmtId="200" fontId="11" fillId="6" borderId="0" xfId="0" applyNumberFormat="1" applyFont="1" applyFill="1" applyBorder="1"/>
    <x:xf numFmtId="200" fontId="11" fillId="6" borderId="0" xfId="0" applyNumberFormat="1" applyFont="1" applyFill="1" applyBorder="1" applyAlignment="1">
      <x:alignment horizontal="right"/>
    </x:xf>
    <x:xf numFmtId="200" fontId="11" fillId="6" borderId="1" xfId="0" applyNumberFormat="1" applyFont="1" applyFill="1" applyBorder="1"/>
    <x:xf numFmtId="200" fontId="11" fillId="6" borderId="1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0" fontId="6" fillId="6" borderId="0" xfId="0" applyNumberFormat="1" applyFont="1" applyFill="1" applyBorder="1" applyAlignment="1">
      <x:alignment horizontal="right"/>
    </x:xf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200" fontId="6" fillId="6" borderId="1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12" fillId="0" borderId="1" xfId="0" applyNumberFormat="1" applyFont="1" applyFill="1" applyBorder="1"/>
    <x:xf numFmtId="203" fontId="12" fillId="0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200" fontId="6" fillId="0" borderId="1" xfId="0" applyNumberFormat="1" applyFont="1" applyFill="1" applyBorder="1"/>
    <x:xf numFmtId="200" fontId="6" fillId="0" borderId="1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/>
    </x:xf>
    <x:xf numFmtId="201" fontId="6" fillId="0" borderId="1" xfId="0" applyNumberFormat="1" applyFont="1" applyFill="1" applyBorder="1" applyAlignment="1">
      <x:alignment horizontal="right"/>
    </x:xf>
    <x:xf numFmtId="200" fontId="6" fillId="0" borderId="4" xfId="0" applyNumberFormat="1" applyFont="1" applyFill="1" applyBorder="1" applyAlignment="1">
      <x:alignment horizontal="right"/>
    </x:xf>
    <x:xf numFmtId="200" fontId="6" fillId="0" borderId="5" xfId="0" applyNumberFormat="1" applyFont="1" applyFill="1" applyBorder="1" applyAlignment="1">
      <x:alignment horizontal="right"/>
    </x:xf>
    <x:xf numFmtId="200" fontId="11" fillId="0" borderId="4" xfId="0" applyNumberFormat="1" applyFont="1" applyFill="1" applyBorder="1" applyAlignment="1">
      <x:alignment horizontal="right"/>
    </x:xf>
    <x:xf numFmtId="200" fontId="11" fillId="0" borderId="5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6" xfId="0" applyNumberFormat="1" applyFont="1" applyFill="1" applyBorder="1"/>
    <x:xf numFmtId="0" fontId="0" fillId="7" borderId="1" xfId="0" applyNumberFormat="1" applyFont="1" applyFill="1" applyBorder="1"/>
    <x:xf numFmtId="0" fontId="14" fillId="7" borderId="1" xfId="0" applyNumberFormat="1" applyFont="1" applyFill="1" applyBorder="1"/>
    <x:xf numFmtId="0" fontId="14" fillId="7" borderId="7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1" fontId="0" fillId="0" borderId="0" xfId="0" applyNumberFormat="1" applyFont="1" applyFill="1" applyBorder="1"/>
    <x:xf numFmtId="201" fontId="6" fillId="0" borderId="0" xfId="0" applyNumberFormat="1" applyFont="1" applyFill="1" applyBorder="1"/>
    <x:xf numFmtId="201" fontId="0" fillId="0" borderId="1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2" fontId="6" fillId="0" borderId="1" xfId="0" applyNumberFormat="1" applyFont="1" applyFill="1" applyBorder="1" applyAlignment="1">
      <x:alignment horizontal="right"/>
    </x:xf>
    <x:xf numFmtId="200" fontId="15" fillId="0" borderId="0" xfId="0" applyNumberFormat="1" applyFont="1" applyFill="1" applyBorder="1"/>
    <x:xf numFmtId="200" fontId="15" fillId="0" borderId="1" xfId="0" applyNumberFormat="1" applyFont="1" applyFill="1" applyBorder="1"/>
    <x:xf numFmtId="201" fontId="15" fillId="0" borderId="0" xfId="0" applyNumberFormat="1" applyFont="1" applyFill="1" applyBorder="1"/>
    <x:xf numFmtId="201" fontId="15" fillId="0" borderId="1" xfId="0" applyNumberFormat="1" applyFont="1" applyFill="1" applyBorder="1"/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201" fontId="16" fillId="0" borderId="0" xfId="0" applyNumberFormat="1" applyFont="1" applyFill="1" applyBorder="1"/>
    <x:xf numFmtId="201" fontId="16" fillId="0" borderId="1" xfId="0" applyNumberFormat="1" applyFont="1" applyFill="1" applyBorder="1"/>
    <x:xf numFmtId="0" fontId="3" fillId="8" borderId="2" xfId="0" applyNumberFormat="1" applyFont="1" applyFill="1" applyBorder="1" applyAlignment="1">
      <x:alignment horizontal="right" vertical="center"/>
    </x:xf>
    <x:xf numFmtId="0" fontId="4" fillId="8" borderId="0" xfId="0" applyNumberFormat="1" applyFont="1" applyFill="1" applyBorder="1" applyAlignment="1">
      <x:alignment horizontal="right"/>
    </x:xf>
    <x:xf numFmtId="0" fontId="16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 vertical="center"/>
    </x:xf>
    <x:xf numFmtId="200" fontId="9" fillId="8" borderId="4" xfId="0" applyNumberFormat="1" applyFont="1" applyFill="1" applyBorder="1" applyAlignment="1">
      <x:alignment horizontal="right"/>
    </x:xf>
    <x:xf numFmtId="201" fontId="8" fillId="8" borderId="0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 applyAlignment="1">
      <x:alignment horizontal="right"/>
    </x:xf>
    <x:xf numFmtId="202" fontId="8" fillId="8" borderId="0" xfId="0" applyNumberFormat="1" applyFont="1" applyFill="1" applyBorder="1" applyAlignment="1">
      <x:alignment horizontal="right"/>
    </x:xf>
    <x:xf numFmtId="203" fontId="11" fillId="8" borderId="0" xfId="0" applyNumberFormat="1" applyFont="1" applyFill="1" applyBorder="1" applyAlignment="1">
      <x:alignment horizontal="right"/>
    </x:xf>
    <x:xf numFmtId="201" fontId="11" fillId="8" borderId="0" xfId="0" applyNumberFormat="1" applyFont="1" applyFill="1" applyBorder="1" applyAlignment="1">
      <x:alignment horizontal="right"/>
    </x:xf>
    <x:xf numFmtId="200" fontId="11" fillId="8" borderId="0" xfId="0" applyNumberFormat="1" applyFont="1" applyFill="1" applyBorder="1" applyAlignment="1">
      <x:alignment horizontal="right"/>
    </x:xf>
    <x:xf numFmtId="0" fontId="6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right" vertical="center"/>
    </x:xf>
    <x:xf numFmtId="0" fontId="4" fillId="8" borderId="1" xfId="0" applyNumberFormat="1" applyFont="1" applyFill="1" applyBorder="1" applyAlignment="1">
      <x:alignment horizontal="right"/>
    </x:xf>
    <x:xf numFmtId="0" fontId="16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left" vertical="center"/>
    </x:xf>
    <x:xf numFmtId="200" fontId="9" fillId="8" borderId="5" xfId="0" applyNumberFormat="1" applyFont="1" applyFill="1" applyBorder="1" applyAlignment="1">
      <x:alignment horizontal="right"/>
    </x:xf>
    <x:xf numFmtId="201" fontId="8" fillId="8" borderId="1" xfId="0" applyNumberFormat="1" applyFont="1" applyFill="1" applyBorder="1" applyAlignment="1">
      <x:alignment horizontal="right"/>
    </x:xf>
    <x:xf numFmtId="200" fontId="8" fillId="8" borderId="1" xfId="0" applyNumberFormat="1" applyFont="1" applyFill="1" applyBorder="1" applyAlignment="1">
      <x:alignment horizontal="right"/>
    </x:xf>
    <x:xf numFmtId="202" fontId="8" fillId="8" borderId="1" xfId="0" applyNumberFormat="1" applyFont="1" applyFill="1" applyBorder="1" applyAlignment="1">
      <x:alignment horizontal="right"/>
    </x:xf>
    <x:xf numFmtId="203" fontId="11" fillId="8" borderId="1" xfId="0" applyNumberFormat="1" applyFont="1" applyFill="1" applyBorder="1" applyAlignment="1">
      <x:alignment horizontal="right"/>
    </x:xf>
    <x:xf numFmtId="201" fontId="11" fillId="8" borderId="1" xfId="0" applyNumberFormat="1" applyFont="1" applyFill="1" applyBorder="1" applyAlignment="1">
      <x:alignment horizontal="right"/>
    </x:xf>
    <x:xf numFmtId="200" fontId="11" fillId="8" borderId="1" xfId="0" applyNumberFormat="1" applyFont="1" applyFill="1" applyBorder="1" applyAlignment="1">
      <x:alignment horizontal="right"/>
    </x:xf>
    <x:xf numFmtId="0" fontId="6" fillId="8" borderId="1" xfId="0" applyNumberFormat="1" applyFont="1" applyFill="1" applyBorder="1" applyAlignment="1">
      <x:alignment wrapText="1"/>
    </x:xf>
    <x:xf numFmtId="0" fontId="13" fillId="8" borderId="1" xfId="0" applyNumberFormat="1" applyFont="1" applyFill="1" applyBorder="1" applyAlignment="1">
      <x:alignment horizontal="center"/>
    </x:xf>
    <x:xf numFmtId="200" fontId="6" fillId="8" borderId="0" xfId="0" applyNumberFormat="1" applyFont="1" applyFill="1" applyBorder="1" applyAlignment="1">
      <x:alignment horizontal="right"/>
    </x:xf>
    <x:xf numFmtId="201" fontId="6" fillId="8" borderId="0" xfId="0" applyNumberFormat="1" applyFont="1" applyFill="1" applyBorder="1" applyAlignment="1">
      <x:alignment horizontal="right"/>
    </x:xf>
    <x:xf numFmtId="0" fontId="14" fillId="8" borderId="6" xfId="0" applyNumberFormat="1" applyFont="1" applyFill="1" applyBorder="1"/>
    <x:xf numFmtId="0" fontId="15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right"/>
    </x:xf>
    <x:xf numFmtId="200" fontId="6" fillId="8" borderId="1" xfId="0" applyNumberFormat="1" applyFont="1" applyFill="1" applyBorder="1" applyAlignment="1">
      <x:alignment horizontal="right"/>
    </x:xf>
    <x:xf numFmtId="201" fontId="6" fillId="8" borderId="1" xfId="0" applyNumberFormat="1" applyFont="1" applyFill="1" applyBorder="1" applyAlignment="1">
      <x:alignment horizontal="right"/>
    </x:xf>
    <x:xf numFmtId="0" fontId="14" fillId="8" borderId="7" xfId="0" applyNumberFormat="1" applyFont="1" applyFill="1" applyBorder="1"/>
    <x:xf numFmtId="0" fontId="15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right"/>
    </x:xf>
    <x:xf numFmtId="202" fontId="6" fillId="8" borderId="0" xfId="0" applyNumberFormat="1" applyFont="1" applyFill="1" applyBorder="1" applyAlignment="1">
      <x:alignment horizontal="right"/>
    </x:xf>
    <x:xf numFmtId="202" fontId="6" fillId="8" borderId="1" xfId="0" applyNumberFormat="1" applyFont="1" applyFill="1" applyBorder="1" applyAlignment="1">
      <x:alignment horizontal="right"/>
    </x:xf>
    <x:xf numFmtId="200" fontId="8" fillId="8" borderId="0" xfId="0" applyNumberFormat="1" applyFont="1" applyFill="1" applyBorder="1"/>
    <x:xf numFmtId="201" fontId="16" fillId="8" borderId="0" xfId="0" applyNumberFormat="1" applyFont="1" applyFill="1" applyBorder="1"/>
    <x:xf numFmtId="200" fontId="8" fillId="8" borderId="1" xfId="0" applyNumberFormat="1" applyFont="1" applyFill="1" applyBorder="1"/>
    <x:xf numFmtId="201" fontId="16" fillId="8" borderId="1" xfId="0" applyNumberFormat="1" applyFont="1" applyFill="1" applyBorder="1"/>
  </x:cellXfs>
  <x:cellStyles count="1">
    <x:cellStyle name="Normal" xfId="0"/>
  </x:cellStyles>
  <x:dxfs count="10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087897ca7480f" /><Relationship Type="http://schemas.openxmlformats.org/officeDocument/2006/relationships/theme" Target="/xl/theme/theme1.xml" Id="Rd8963fa7bb0e45a6" /><Relationship Type="http://schemas.openxmlformats.org/officeDocument/2006/relationships/sharedStrings" Target="/xl/sharedStrings.xml" Id="R557001a3a5e44ba4" /><Relationship Type="http://schemas.openxmlformats.org/officeDocument/2006/relationships/worksheet" Target="/xl/worksheets/sheet1.xml" Id="R54ef9b387a4340af" /><Relationship Type="http://schemas.openxmlformats.org/officeDocument/2006/relationships/worksheet" Target="/xl/worksheets/sheet2.xml" Id="Rb8398538153b4381" /><Relationship Type="http://schemas.openxmlformats.org/officeDocument/2006/relationships/worksheet" Target="/xl/worksheets/sheet3.xml" Id="Re54ed4b2feea45fd" /><Relationship Type="http://schemas.openxmlformats.org/officeDocument/2006/relationships/worksheet" Target="/xl/worksheets/sheet4.xml" Id="R76b554d1686c4b6d" /><Relationship Type="http://schemas.openxmlformats.org/officeDocument/2006/relationships/worksheet" Target="/xl/worksheets/sheet5.xml" Id="Rc661865b0f4b47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32d2d39b6f4f4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 &amp; Assumptions'!$C$4:$N$4</c:f>
              <c:strCache>
                <c:ptCount val="0"/>
              </c:strCache>
            </c:strRef>
          </c:cat>
          <c:val>
            <c:numRef>
              <c:f>'Summary &amp; Assumptions'!$C$8:$N$8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Reported EBITDA</c:v>
          </c:tx>
          <c:cat>
            <c:strRef>
              <c:f>'Summary &amp; Assumptions'!$C$4:$N$4</c:f>
              <c:strCache>
                <c:ptCount val="0"/>
              </c:strCache>
            </c:strRef>
          </c:cat>
          <c:val>
            <c:numRef>
              <c:f>'Summary &amp; Assumptions'!$C$14:$N$14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D9E1F2"/>
              </a:solidFill>
              <a:prstDash val="solid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32d2d39b6f4f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b49797e92b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Anthem Biosciences – Integrated Three-Statement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4" t="str">
        <x:v>One central forecast | FY24A–FY26A historical | FY27E–FY35E forecast | All financial values in INR million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</x:row>
    <x:row r="4" ht="20" customHeight="1">
      <x:c r="A4" s="30" t="str">
        <x:v>INR million, except per-share / operating data</x:v>
      </x:c>
      <x:c r="B4" s="30" t="str">
        <x:v>Classification</x:v>
      </x:c>
      <x:c r="C4" s="24" t="str">
        <x:v>FY24</x:v>
      </x:c>
      <x:c r="D4" s="24" t="str">
        <x:v>FY25</x:v>
      </x:c>
      <x:c r="E4" s="24" t="str">
        <x:v>FY26</x:v>
      </x:c>
      <x:c r="F4" s="24" t="str">
        <x:v>FY27</x:v>
      </x:c>
      <x:c r="G4" s="24" t="str">
        <x:v>FY28</x:v>
      </x:c>
      <x:c r="H4" s="24" t="str">
        <x:v>FY29</x:v>
      </x:c>
      <x:c r="I4" s="24" t="str">
        <x:v>FY30</x:v>
      </x:c>
      <x:c r="J4" s="24" t="str">
        <x:v>FY31</x:v>
      </x:c>
      <x:c r="K4" s="24" t="str">
        <x:v>FY32</x:v>
      </x:c>
      <x:c r="L4" s="24" t="str">
        <x:v>FY33</x:v>
      </x:c>
      <x:c r="M4" s="24" t="str">
        <x:v>FY34</x:v>
      </x:c>
      <x:c r="N4" s="24" t="str">
        <x:v>FY35</x:v>
      </x:c>
    </x:row>
    <x:row r="5">
      <x:c r="A5" s="158"/>
      <x:c r="B5" s="158"/>
      <x:c r="C5" s="163" t="str">
        <x:v>A</x:v>
      </x:c>
      <x:c r="D5" s="163" t="str">
        <x:v>A</x:v>
      </x:c>
      <x:c r="E5" s="163" t="str">
        <x:v>A</x:v>
      </x:c>
      <x:c r="F5" s="34" t="str">
        <x:v>E</x:v>
      </x:c>
      <x:c r="G5" s="34" t="str">
        <x:v>E</x:v>
      </x:c>
      <x:c r="H5" s="34" t="str">
        <x:v>E</x:v>
      </x:c>
      <x:c r="I5" s="34" t="str">
        <x:v>E</x:v>
      </x:c>
      <x:c r="J5" s="34" t="str">
        <x:v>E</x:v>
      </x:c>
      <x:c r="K5" s="34" t="str">
        <x:v>E</x:v>
      </x:c>
      <x:c r="L5" s="34" t="str">
        <x:v>E</x:v>
      </x:c>
      <x:c r="M5" s="34" t="str">
        <x:v>E</x:v>
      </x:c>
      <x:c r="N5" s="34" t="str">
        <x:v>E</x:v>
      </x:c>
    </x:row>
    <x:row r="6">
      <x:c r="A6" s="158"/>
      <x:c r="B6" s="158"/>
      <x:c r="C6" s="164"/>
      <x:c r="D6" s="164"/>
      <x:c r="E6" s="164"/>
      <x:c r="F6" s="158"/>
      <x:c r="G6" s="158"/>
      <x:c r="H6" s="158"/>
      <x:c r="I6" s="158"/>
      <x:c r="J6" s="158"/>
      <x:c r="K6" s="158"/>
      <x:c r="L6" s="158"/>
      <x:c r="M6" s="158"/>
      <x:c r="N6" s="158"/>
    </x:row>
    <x:row r="7" ht="20" customHeight="1">
      <x:c r="A7" s="40" t="str">
        <x:v>Key Financial Summary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70" t="str">
        <x:v>Revenue from operations</x:v>
      </x:c>
      <x:c r="B8" s="71" t="str">
        <x:v>Reported / forecast</x:v>
      </x:c>
      <x:c r="C8" s="166" t="n">
        <x:f>'Revenue Model'!C11</x:f>
        <x:v>14193.699999999999</x:v>
      </x:c>
      <x:c r="D8" s="166" t="n">
        <x:f>'Revenue Model'!D11</x:f>
        <x:v>18445.52</x:v>
      </x:c>
      <x:c r="E8" s="166" t="n">
        <x:f>'Revenue Model'!E11</x:f>
        <x:v>21243.33</x:v>
      </x:c>
      <x:c r="F8" s="72" t="n">
        <x:f>'Revenue Model'!F11</x:f>
        <x:v>24834.127433962265</x:v>
      </x:c>
      <x:c r="G8" s="72" t="n">
        <x:f>'Revenue Model'!G11</x:f>
        <x:v>28972.018156408107</x:v>
      </x:c>
      <x:c r="H8" s="72" t="n">
        <x:f>'Revenue Model'!H11</x:f>
        <x:v>33958.18405732732</x:v>
      </x:c>
      <x:c r="I8" s="72" t="n">
        <x:f>'Revenue Model'!I11</x:f>
        <x:v>39103.32135192696</x:v>
      </x:c>
      <x:c r="J8" s="72" t="n">
        <x:f>'Revenue Model'!J11</x:f>
        <x:v>44003.65494147529</x:v>
      </x:c>
      <x:c r="K8" s="72" t="n">
        <x:f>'Revenue Model'!K11</x:f>
        <x:v>48966.89435491728</x:v>
      </x:c>
      <x:c r="L8" s="72" t="n">
        <x:f>'Revenue Model'!L11</x:f>
        <x:v>54258.427925258875</x:v>
      </x:c>
      <x:c r="M8" s="72" t="n">
        <x:f>'Revenue Model'!M11</x:f>
        <x:v>59617.714205415876</x:v>
      </x:c>
      <x:c r="N8" s="72" t="n">
        <x:f>'Revenue Model'!N11</x:f>
        <x:v>65047.061248513266</x:v>
      </x:c>
    </x:row>
    <x:row r="9">
      <x:c r="A9" s="45" t="str">
        <x:v>Revenue growth</x:v>
      </x:c>
      <x:c r="B9" s="50" t="str">
        <x:v>Calculated</x:v>
      </x:c>
      <x:c r="C9" s="167" t="n">
        <x:f>'Revenue Model'!C12</x:f>
        <x:v>0</x:v>
      </x:c>
      <x:c r="D9" s="167" t="n">
        <x:f>'Revenue Model'!D12</x:f>
        <x:v>0.2995568456427853</x:v>
      </x:c>
      <x:c r="E9" s="167" t="n">
        <x:f>'Revenue Model'!E12</x:f>
        <x:v>0.15167964904215236</x:v>
      </x:c>
      <x:c r="F9" s="60" t="n">
        <x:f>'Revenue Model'!F12</x:f>
        <x:v>0.16903175886088784</x:v>
      </x:c>
      <x:c r="G9" s="60" t="n">
        <x:f>'Revenue Model'!G12</x:f>
        <x:v>0.16662114396606542</x:v>
      </x:c>
      <x:c r="H9" s="60" t="n">
        <x:f>'Revenue Model'!H12</x:f>
        <x:v>0.1721028156892952</x:v>
      </x:c>
      <x:c r="I9" s="60" t="n">
        <x:f>'Revenue Model'!I12</x:f>
        <x:v>0.1515139115187596</x:v>
      </x:c>
      <x:c r="J9" s="60" t="n">
        <x:f>'Revenue Model'!J12</x:f>
        <x:v>0.12531757968704738</x:v>
      </x:c>
      <x:c r="K9" s="60" t="n">
        <x:f>'Revenue Model'!K12</x:f>
        <x:v>0.11279152652303748</x:v>
      </x:c>
      <x:c r="L9" s="60" t="n">
        <x:f>'Revenue Model'!L12</x:f>
        <x:v>0.10806349146809247</x:v>
      </x:c>
      <x:c r="M9" s="60" t="n">
        <x:f>'Revenue Model'!M12</x:f>
        <x:v>0.0987733424112367</x:v>
      </x:c>
      <x:c r="N9" s="60" t="n">
        <x:f>'Revenue Model'!N12</x:f>
        <x:v>0.09106935942546035</x:v>
      </x:c>
    </x:row>
    <x:row r="10">
      <x:c r="A10" s="45" t="str">
        <x:v>CRDMO revenue</x:v>
      </x:c>
      <x:c r="B10" s="50" t="str">
        <x:v>Reported / forecast</x:v>
      </x:c>
      <x:c r="C10" s="168" t="n">
        <x:f>'Revenue Model'!C9</x:f>
        <x:v>10831.689999999999</x:v>
      </x:c>
      <x:c r="D10" s="168" t="n">
        <x:f>'Revenue Model'!D9</x:f>
        <x:v>15060.92</x:v>
      </x:c>
      <x:c r="E10" s="168" t="n">
        <x:f>'Revenue Model'!E9</x:f>
        <x:v>17727.68</x:v>
      </x:c>
      <x:c r="F10" s="56" t="n">
        <x:f>'Revenue Model'!F9</x:f>
        <x:v>21037.225433962263</x:v>
      </x:c>
      <x:c r="G10" s="56" t="n">
        <x:f>'Revenue Model'!G9</x:f>
        <x:v>24833.394976408104</x:v>
      </x:c>
      <x:c r="H10" s="56" t="n">
        <x:f>'Revenue Model'!H9</x:f>
        <x:v>29347.08479112732</x:v>
      </x:c>
      <x:c r="I10" s="56" t="n">
        <x:f>'Revenue Model'!I9</x:f>
        <x:v>33981.33414443096</x:v>
      </x:c>
      <x:c r="J10" s="56" t="n">
        <x:f>'Revenue Model'!J9</x:f>
        <x:v>38391.908757379606</x:v>
      </x:c>
      <x:c r="K10" s="56" t="n">
        <x:f>'Revenue Model'!K9</x:f>
        <x:v>42936.825937934904</x:v>
      </x:c>
      <x:c r="L10" s="56" t="n">
        <x:f>'Revenue Model'!L9</x:f>
        <x:v>47934.25471908773</x:v>
      </x:c>
      <x:c r="M10" s="56" t="n">
        <x:f>'Revenue Model'!M9</x:f>
        <x:v>53032.09060687446</x:v>
      </x:c>
      <x:c r="N10" s="56" t="n">
        <x:f>'Revenue Model'!N9</x:f>
        <x:v>58178.30023405937</x:v>
      </x:c>
    </x:row>
    <x:row r="11">
      <x:c r="A11" s="45" t="str">
        <x:v>R&amp;D revenue</x:v>
      </x:c>
      <x:c r="B11" s="50" t="str">
        <x:v>Reported / FY26 derived / forecast</x:v>
      </x:c>
      <x:c r="C11" s="168" t="n">
        <x:f>'Revenue Model'!C7</x:f>
        <x:v>1855.72</x:v>
      </x:c>
      <x:c r="D11" s="168" t="n">
        <x:f>'Revenue Model'!D7</x:f>
        <x:v>2005.78</x:v>
      </x:c>
      <x:c r="E11" s="168" t="n">
        <x:f>'Revenue Model'!E7</x:f>
        <x:v>2300</x:v>
      </x:c>
      <x:c r="F11" s="56" t="n">
        <x:f>'Revenue Model'!F7</x:f>
        <x:v>2640.009433962264</x:v>
      </x:c>
      <x:c r="G11" s="56" t="n">
        <x:f>'Revenue Model'!G7</x:f>
        <x:v>3038.147936408106</x:v>
      </x:c>
      <x:c r="H11" s="56" t="n">
        <x:f>'Revenue Model'!H7</x:f>
        <x:v>3470.449283927324</x:v>
      </x:c>
      <x:c r="I11" s="56" t="n">
        <x:f>'Revenue Model'!I7</x:f>
        <x:v>3937.3843800789655</x:v>
      </x:c>
      <x:c r="J11" s="56" t="n">
        <x:f>'Revenue Model'!J7</x:f>
        <x:v>4417.481862178326</x:v>
      </x:c>
      <x:c r="K11" s="56" t="n">
        <x:f>'Revenue Model'!K7</x:f>
        <x:v>4905.563724495072</x:v>
      </x:c>
      <x:c r="L11" s="56" t="n">
        <x:f>'Revenue Model'!L7</x:f>
        <x:v>5395.957170669353</x:v>
      </x:c>
      <x:c r="M11" s="56" t="n">
        <x:f>'Revenue Model'!M7</x:f>
        <x:v>5876.968071827716</x:v>
      </x:c>
      <x:c r="N11" s="56" t="n">
        <x:f>'Revenue Model'!N7</x:f>
        <x:v>6341.6667658231745</x:v>
      </x:c>
    </x:row>
    <x:row r="12">
      <x:c r="A12" s="45" t="str">
        <x:v>D&amp;M revenue</x:v>
      </x:c>
      <x:c r="B12" s="50" t="str">
        <x:v>Reported / FY26 derived / forecast</x:v>
      </x:c>
      <x:c r="C12" s="168" t="n">
        <x:f>'Revenue Model'!C8</x:f>
        <x:v>8975.97</x:v>
      </x:c>
      <x:c r="D12" s="168" t="n">
        <x:f>'Revenue Model'!D8</x:f>
        <x:v>13055.14</x:v>
      </x:c>
      <x:c r="E12" s="168" t="n">
        <x:f>'Revenue Model'!E8</x:f>
        <x:v>15427.68</x:v>
      </x:c>
      <x:c r="F12" s="56" t="n">
        <x:f>'Revenue Model'!F8</x:f>
        <x:v>18397.216</x:v>
      </x:c>
      <x:c r="G12" s="56" t="n">
        <x:f>'Revenue Model'!G8</x:f>
        <x:v>21795.24704</x:v>
      </x:c>
      <x:c r="H12" s="56" t="n">
        <x:f>'Revenue Model'!H8</x:f>
        <x:v>25876.635507199997</x:v>
      </x:c>
      <x:c r="I12" s="56" t="n">
        <x:f>'Revenue Model'!I8</x:f>
        <x:v>30043.949764351994</x:v>
      </x:c>
      <x:c r="J12" s="56" t="n">
        <x:f>'Revenue Model'!J8</x:f>
        <x:v>33974.42689520128</x:v>
      </x:c>
      <x:c r="K12" s="56" t="n">
        <x:f>'Revenue Model'!K8</x:f>
        <x:v>38031.26221343983</x:v>
      </x:c>
      <x:c r="L12" s="56" t="n">
        <x:f>'Revenue Model'!L8</x:f>
        <x:v>42538.29754841838</x:v>
      </x:c>
      <x:c r="M12" s="56" t="n">
        <x:f>'Revenue Model'!M8</x:f>
        <x:v>47155.12253504674</x:v>
      </x:c>
      <x:c r="N12" s="56" t="n">
        <x:f>'Revenue Model'!N8</x:f>
        <x:v>51836.63346823619</x:v>
      </x:c>
    </x:row>
    <x:row r="13">
      <x:c r="A13" s="45" t="str">
        <x:v>Specialty Ingredients revenue</x:v>
      </x:c>
      <x:c r="B13" s="50" t="str">
        <x:v>Reported / forecast</x:v>
      </x:c>
      <x:c r="C13" s="168" t="n">
        <x:f>'Revenue Model'!C10</x:f>
        <x:v>3362.01</x:v>
      </x:c>
      <x:c r="D13" s="168" t="n">
        <x:f>'Revenue Model'!D10</x:f>
        <x:v>3384.6</x:v>
      </x:c>
      <x:c r="E13" s="168" t="n">
        <x:f>'Revenue Model'!E10</x:f>
        <x:v>3515.65</x:v>
      </x:c>
      <x:c r="F13" s="56" t="n">
        <x:f>'Revenue Model'!F10</x:f>
        <x:v>3796.9020000000005</x:v>
      </x:c>
      <x:c r="G13" s="56" t="n">
        <x:f>'Revenue Model'!G10</x:f>
        <x:v>4138.6231800000005</x:v>
      </x:c>
      <x:c r="H13" s="56" t="n">
        <x:f>'Revenue Model'!H10</x:f>
        <x:v>4611.099266200001</x:v>
      </x:c>
      <x:c r="I13" s="56" t="n">
        <x:f>'Revenue Model'!I10</x:f>
        <x:v>5121.987207496001</x:v>
      </x:c>
      <x:c r="J13" s="56" t="n">
        <x:f>'Revenue Model'!J10</x:f>
        <x:v>5611.746184095682</x:v>
      </x:c>
      <x:c r="K13" s="56" t="n">
        <x:f>'Revenue Model'!K10</x:f>
        <x:v>6030.06841698238</x:v>
      </x:c>
      <x:c r="L13" s="56" t="n">
        <x:f>'Revenue Model'!L10</x:f>
        <x:v>6324.173206171146</x:v>
      </x:c>
      <x:c r="M13" s="56" t="n">
        <x:f>'Revenue Model'!M10</x:f>
        <x:v>6585.623598541415</x:v>
      </x:c>
      <x:c r="N13" s="56" t="n">
        <x:f>'Revenue Model'!N10</x:f>
        <x:v>6868.7610144539</x:v>
      </x:c>
    </x:row>
    <x:row r="14">
      <x:c r="A14" s="70" t="str">
        <x:v>Reported EBITDA (including other income)</x:v>
      </x:c>
      <x:c r="B14" s="71" t="str">
        <x:v>Calculated</x:v>
      </x:c>
      <x:c r="C14" s="166" t="n">
        <x:f>'Three Statements'!C16</x:f>
        <x:v>5686.778</x:v>
      </x:c>
      <x:c r="D14" s="166" t="n">
        <x:f>'Three Statements'!D16</x:f>
        <x:v>7565.6799999999985</x:v>
      </x:c>
      <x:c r="E14" s="166" t="n">
        <x:f>'Three Statements'!E16</x:f>
        <x:v>9895.950000000003</x:v>
      </x:c>
      <x:c r="F14" s="72" t="n">
        <x:f>'Three Statements'!F16</x:f>
        <x:v>11163.541038377356</x:v>
      </x:c>
      <x:c r="G14" s="72" t="n">
        <x:f>'Three Statements'!G16</x:f>
        <x:v>13047.064826174454</x:v>
      </x:c>
      <x:c r="H14" s="72" t="n">
        <x:f>'Three Statements'!H16</x:f>
        <x:v>15522.831313965758</x:v>
      </x:c>
      <x:c r="I14" s="72" t="n">
        <x:f>'Three Statements'!I16</x:f>
        <x:v>18301.97125417261</x:v>
      </x:c>
      <x:c r="J14" s="72" t="n">
        <x:f>'Three Statements'!J16</x:f>
        <x:v>21101.56779229392</x:v>
      </x:c>
      <x:c r="K14" s="72" t="n">
        <x:f>'Three Statements'!K16</x:f>
        <x:v>23887.299643151004</x:v>
      </x:c>
      <x:c r="L14" s="72" t="n">
        <x:f>'Three Statements'!L16</x:f>
        <x:v>26901.70677333235</x:v>
      </x:c>
      <x:c r="M14" s="72" t="n">
        <x:f>'Three Statements'!M16</x:f>
        <x:v>30027.194479592672</x:v>
      </x:c>
      <x:c r="N14" s="72" t="n">
        <x:f>'Three Statements'!N16</x:f>
        <x:v>33314.66957824378</x:v>
      </x:c>
    </x:row>
    <x:row r="15">
      <x:c r="A15" s="45" t="str">
        <x:v>Reported EBITDA margin</x:v>
      </x:c>
      <x:c r="B15" s="50" t="str">
        <x:v>Calculated</x:v>
      </x:c>
      <x:c r="C15" s="167" t="n">
        <x:f>'Three Statements'!C17</x:f>
        <x:v>0.3834466748946509</x:v>
      </x:c>
      <x:c r="D15" s="167" t="n">
        <x:f>'Three Statements'!D17</x:f>
        <x:v>0.39194636852754083</x:v>
      </x:c>
      <x:c r="E15" s="167" t="n">
        <x:f>'Three Statements'!E17</x:f>
        <x:v>0.434010813484928</x:v>
      </x:c>
      <x:c r="F15" s="60" t="n">
        <x:f>'Three Statements'!F17</x:f>
        <x:v>0.42673648187425317</x:v>
      </x:c>
      <x:c r="G15" s="60" t="n">
        <x:f>'Three Statements'!G17</x:f>
        <x:v>0.4297468552529928</x:v>
      </x:c>
      <x:c r="H15" s="60" t="n">
        <x:f>'Three Statements'!H17</x:f>
        <x:v>0.4362758420873359</x:v>
      </x:c>
      <x:c r="I15" s="60" t="n">
        <x:f>'Three Statements'!I17</x:f>
        <x:v>0.4445096558124666</x:v>
      </x:c>
      <x:c r="J15" s="60" t="n">
        <x:f>'Three Statements'!J17</x:f>
        <x:v>0.4524550419541598</x:v>
      </x:c>
      <x:c r="K15" s="60" t="n">
        <x:f>'Three Statements'!K17</x:f>
        <x:v>0.45737006567360594</x:v>
      </x:c>
      <x:c r="L15" s="60" t="n">
        <x:f>'Three Statements'!L17</x:f>
        <x:v>0.4622436237934993</x:v>
      </x:c>
      <x:c r="M15" s="60" t="n">
        <x:f>'Three Statements'!M17</x:f>
        <x:v>0.46653506563085617</x:v>
      </x:c>
      <x:c r="N15" s="60" t="n">
        <x:f>'Three Statements'!N17</x:f>
        <x:v>0.4714473503261134</x:v>
      </x:c>
    </x:row>
    <x:row r="16">
      <x:c r="A16" s="45" t="str">
        <x:v>Operating EBITDA (excluding other income)</x:v>
      </x:c>
      <x:c r="B16" s="50" t="str">
        <x:v>Calculated</x:v>
      </x:c>
      <x:c r="C16" s="168" t="n">
        <x:f>'Three Statements'!C14</x:f>
        <x:v>5049.786</x:v>
      </x:c>
      <x:c r="D16" s="168" t="n">
        <x:f>'Three Statements'!D14</x:f>
        <x:v>6708.361999999999</x:v>
      </x:c>
      <x:c r="E16" s="168" t="n">
        <x:f>'Three Statements'!E14</x:f>
        <x:v>8338.12</x:v>
      </x:c>
      <x:c r="F16" s="56" t="n">
        <x:f>'Three Statements'!F14</x:f>
        <x:v>9837.399752528301</x:v>
      </x:c>
      <x:c r="G16" s="56" t="n">
        <x:f>'Three Statements'!G14</x:f>
        <x:v>11659.198630447809</x:v>
      </x:c>
      <x:c r="H16" s="56" t="n">
        <x:f>'Three Statements'!H14</x:f>
        <x:v>13900.701687872763</x:v>
      </x:c>
      <x:c r="I16" s="56" t="n">
        <x:f>'Three Statements'!I14</x:f>
        <x:v>16231.898474265463</x:v>
      </x:c>
      <x:c r="J16" s="56" t="n">
        <x:f>'Three Statements'!J14</x:f>
        <x:v>18467.290042918983</x:v>
      </x:c>
      <x:c r="K16" s="56" t="n">
        <x:f>'Three Statements'!K14</x:f>
        <x:v>20626.684075725112</x:v>
      </x:c>
      <x:c r="L16" s="56" t="n">
        <x:f>'Three Statements'!L14</x:f>
        <x:v>22962.021434079652</x:v>
      </x:c>
      <x:c r="M16" s="56" t="n">
        <x:f>'Three Statements'!M14</x:f>
        <x:v>25282.770248555935</x:v>
      </x:c>
      <x:c r="N16" s="56" t="n">
        <x:f>'Three Statements'!N14</x:f>
        <x:v>27697.064761290585</x:v>
      </x:c>
    </x:row>
    <x:row r="17">
      <x:c r="A17" s="70" t="str">
        <x:v>Profit after tax</x:v>
      </x:c>
      <x:c r="B17" s="71" t="str">
        <x:v>Reported / forecast</x:v>
      </x:c>
      <x:c r="C17" s="166" t="n">
        <x:f>'Three Statements'!C26</x:f>
        <x:v>3673.1020000000003</x:v>
      </x:c>
      <x:c r="D17" s="166" t="n">
        <x:f>'Three Statements'!D26</x:f>
        <x:v>4512.592999999999</x:v>
      </x:c>
      <x:c r="E17" s="166" t="n">
        <x:f>'Three Statements'!E26</x:f>
        <x:v>5917.930000000001</x:v>
      </x:c>
      <x:c r="F17" s="72" t="n">
        <x:f>'Three Statements'!F26</x:f>
        <x:v>7175.897688399243</x:v>
      </x:c>
      <x:c r="G17" s="72" t="n">
        <x:f>'Three Statements'!G26</x:f>
        <x:v>8099.776674089095</x:v>
      </x:c>
      <x:c r="H17" s="72" t="n">
        <x:f>'Three Statements'!H26</x:f>
        <x:v>9449.346083251918</x:v>
      </x:c>
      <x:c r="I17" s="72" t="n">
        <x:f>'Three Statements'!I26</x:f>
        <x:v>11344.140980803764</x:v>
      </x:c>
      <x:c r="J17" s="72" t="n">
        <x:f>'Three Statements'!J26</x:f>
        <x:v>13435.107289046324</x:v>
      </x:c>
      <x:c r="K17" s="72" t="n">
        <x:f>'Three Statements'!K26</x:f>
        <x:v>15542.71715529714</x:v>
      </x:c>
      <x:c r="L17" s="72" t="n">
        <x:f>'Three Statements'!L26</x:f>
        <x:v>17778.75587100097</x:v>
      </x:c>
      <x:c r="M17" s="72" t="n">
        <x:f>'Three Statements'!M26</x:f>
        <x:v>20061.44324210841</x:v>
      </x:c>
      <x:c r="N17" s="72" t="n">
        <x:f>'Three Statements'!N26</x:f>
        <x:v>22433.69204959857</x:v>
      </x:c>
    </x:row>
    <x:row r="18">
      <x:c r="A18" s="45" t="str">
        <x:v>Diluted EPS (INR)</x:v>
      </x:c>
      <x:c r="B18" s="50" t="str">
        <x:v>Reported / forecast</x:v>
      </x:c>
      <x:c r="C18" s="169" t="n">
        <x:f>'Three Statements'!C29</x:f>
        <x:v>6.470032234767752</x:v>
      </x:c>
      <x:c r="D18" s="169" t="n">
        <x:f>'Three Statements'!D29</x:f>
        <x:v>8.039968286208062</x:v>
      </x:c>
      <x:c r="E18" s="169" t="n">
        <x:f>'Three Statements'!E29</x:f>
        <x:v>10.60010030629243</x:v>
      </x:c>
      <x:c r="F18" s="62" t="n">
        <x:f>'Three Statements'!F29</x:f>
        <x:v>12.6846516150345</x:v>
      </x:c>
      <x:c r="G18" s="62" t="n">
        <x:f>'Three Statements'!G29</x:f>
        <x:v>14.292504475951924</x:v>
      </x:c>
      <x:c r="H18" s="62" t="n">
        <x:f>'Three Statements'!H29</x:f>
        <x:v>16.64452424764524</x:v>
      </x:c>
      <x:c r="I18" s="62" t="n">
        <x:f>'Three Statements'!I29</x:f>
        <x:v>19.964522198118253</x:v>
      </x:c>
      <x:c r="J18" s="62" t="n">
        <x:f>'Three Statements'!J29</x:f>
        <x:v>23.644407995294603</x:v>
      </x:c>
      <x:c r="K18" s="62" t="n">
        <x:f>'Three Statements'!K29</x:f>
        <x:v>27.37767569167124</x:v>
      </x:c>
      <x:c r="L18" s="62" t="n">
        <x:f>'Three Statements'!L29</x:f>
        <x:v>31.371599253594784</x:v>
      </x:c>
      <x:c r="M18" s="62" t="n">
        <x:f>'Three Statements'!M29</x:f>
        <x:v>35.46210236975934</x:v>
      </x:c>
      <x:c r="N18" s="62" t="n">
        <x:f>'Three Statements'!N29</x:f>
        <x:v>39.725688266822324</x:v>
      </x:c>
    </x:row>
    <x:row r="19">
      <x:c r="A19" s="45" t="str">
        <x:v>Cash flow from operations</x:v>
      </x:c>
      <x:c r="B19" s="50" t="str">
        <x:v>Reported / forecast</x:v>
      </x:c>
      <x:c r="C19" s="168" t="n">
        <x:f>'Three Statements'!C75</x:f>
        <x:v>1401.507</x:v>
      </x:c>
      <x:c r="D19" s="168" t="n">
        <x:f>'Three Statements'!D75</x:f>
        <x:v>4183.365</x:v>
      </x:c>
      <x:c r="E19" s="168" t="n">
        <x:f>'Three Statements'!E75</x:f>
        <x:v>8444.55</x:v>
      </x:c>
      <x:c r="F19" s="56" t="n">
        <x:f>'Three Statements'!F75</x:f>
        <x:v>7439.12266883032</x:v>
      </x:c>
      <x:c r="G19" s="56" t="n">
        <x:f>'Three Statements'!G75</x:f>
        <x:v>8569.207664955638</x:v>
      </x:c>
      <x:c r="H19" s="56" t="n">
        <x:f>'Three Statements'!H75</x:f>
        <x:v>10394.916505516756</x:v>
      </x:c>
      <x:c r="I19" s="56" t="n">
        <x:f>'Three Statements'!I75</x:f>
        <x:v>11990.001238773428</x:v>
      </x:c>
      <x:c r="J19" s="56" t="n">
        <x:f>'Three Statements'!J75</x:f>
        <x:v>13696.480034391556</x:v>
      </x:c>
      <x:c r="K19" s="56" t="n">
        <x:f>'Three Statements'!K75</x:f>
        <x:v>15118.462137861781</x:v>
      </x:c>
      <x:c r="L19" s="56" t="n">
        <x:f>'Three Statements'!L75</x:f>
        <x:v>16584.148473019057</x:v>
      </x:c>
      <x:c r="M19" s="56" t="n">
        <x:f>'Three Statements'!M75</x:f>
        <x:v>18237.61291787868</x:v>
      </x:c>
      <x:c r="N19" s="56" t="n">
        <x:f>'Three Statements'!N75</x:f>
        <x:v>20036.927882022228</x:v>
      </x:c>
    </x:row>
    <x:row r="20">
      <x:c r="A20" s="70" t="str">
        <x:v>Free cash flow</x:v>
      </x:c>
      <x:c r="B20" s="71" t="str">
        <x:v>CFO less capex</x:v>
      </x:c>
      <x:c r="C20" s="166" t="n">
        <x:f>'Three Statements'!C75+'Three Statements'!C76</x:f>
        <x:v>-1498.899</x:v>
      </x:c>
      <x:c r="D20" s="166" t="n">
        <x:f>'Three Statements'!D75+'Three Statements'!D76</x:f>
        <x:v>1516.2039999999997</x:v>
      </x:c>
      <x:c r="E20" s="166" t="n">
        <x:f>'Three Statements'!E75+'Three Statements'!E76</x:f>
        <x:v>6332.859999999999</x:v>
      </x:c>
      <x:c r="F20" s="72" t="n">
        <x:f>'Three Statements'!F75+'Three Statements'!F76</x:f>
        <x:v>439.12266883032044</x:v>
      </x:c>
      <x:c r="G20" s="72" t="n">
        <x:f>'Three Statements'!G75+'Three Statements'!G76</x:f>
        <x:v>3569.2076649556384</x:v>
      </x:c>
      <x:c r="H20" s="72" t="n">
        <x:f>'Three Statements'!H75+'Three Statements'!H76</x:f>
        <x:v>7894.916505516756</x:v>
      </x:c>
      <x:c r="I20" s="72" t="n">
        <x:f>'Three Statements'!I75+'Three Statements'!I76</x:f>
        <x:v>9790.001238773428</x:v>
      </x:c>
      <x:c r="J20" s="72" t="n">
        <x:f>'Three Statements'!J75+'Three Statements'!J76</x:f>
        <x:v>11276.279012610416</x:v>
      </x:c>
      <x:c r="K20" s="72" t="n">
        <x:f>'Three Statements'!K75+'Three Statements'!K76</x:f>
        <x:v>12425.28294834133</x:v>
      </x:c>
      <x:c r="L20" s="72" t="n">
        <x:f>'Three Statements'!L75+'Three Statements'!L76</x:f>
        <x:v>13599.93493712982</x:v>
      </x:c>
      <x:c r="M20" s="72" t="n">
        <x:f>'Three Statements'!M75+'Three Statements'!M76</x:f>
        <x:v>14958.638636580807</x:v>
      </x:c>
      <x:c r="N20" s="72" t="n">
        <x:f>'Three Statements'!N75+'Three Statements'!N76</x:f>
        <x:v>16459.339513354</x:v>
      </x:c>
    </x:row>
    <x:row r="21">
      <x:c r="A21" s="45" t="str">
        <x:v>Capital expenditure</x:v>
      </x:c>
      <x:c r="B21" s="50" t="str">
        <x:v>Reported / assumption</x:v>
      </x:c>
      <x:c r="C21" s="168" t="n">
        <x:f>-'Three Statements'!C76</x:f>
        <x:v>2900.406</x:v>
      </x:c>
      <x:c r="D21" s="168" t="n">
        <x:f>-'Three Statements'!D76</x:f>
        <x:v>2667.161</x:v>
      </x:c>
      <x:c r="E21" s="168" t="n">
        <x:f>-'Three Statements'!E76</x:f>
        <x:v>2111.69</x:v>
      </x:c>
      <x:c r="F21" s="56" t="n">
        <x:f>-'Three Statements'!F76</x:f>
        <x:v>7000</x:v>
      </x:c>
      <x:c r="G21" s="56" t="n">
        <x:f>-'Three Statements'!G76</x:f>
        <x:v>5000</x:v>
      </x:c>
      <x:c r="H21" s="56" t="n">
        <x:f>-'Three Statements'!H76</x:f>
        <x:v>2500</x:v>
      </x:c>
      <x:c r="I21" s="56" t="n">
        <x:f>-'Three Statements'!I76</x:f>
        <x:v>2200</x:v>
      </x:c>
      <x:c r="J21" s="56" t="n">
        <x:f>-'Three Statements'!J76</x:f>
        <x:v>2420.2010217811408</x:v>
      </x:c>
      <x:c r="K21" s="56" t="n">
        <x:f>-'Three Statements'!K76</x:f>
        <x:v>2693.1791895204506</x:v>
      </x:c>
      <x:c r="L21" s="56" t="n">
        <x:f>-'Three Statements'!L76</x:f>
        <x:v>2984.2135358892383</x:v>
      </x:c>
      <x:c r="M21" s="56" t="n">
        <x:f>-'Three Statements'!M76</x:f>
        <x:v>3278.9742812978734</x:v>
      </x:c>
      <x:c r="N21" s="56" t="n">
        <x:f>-'Three Statements'!N76</x:f>
        <x:v>3577.5883686682296</x:v>
      </x:c>
    </x:row>
    <x:row r="22">
      <x:c r="A22" s="45" t="str">
        <x:v>Net cash</x:v>
      </x:c>
      <x:c r="B22" s="50" t="str">
        <x:v>Cash + investments – debt – leases</x:v>
      </x:c>
      <x:c r="C22" s="168" t="n">
        <x:f>'Supporting Schedules'!C70</x:f>
        <x:v>4174.651</x:v>
      </x:c>
      <x:c r="D22" s="168" t="n">
        <x:f>'Supporting Schedules'!D70</x:f>
        <x:v>6367.346</x:v>
      </x:c>
      <x:c r="E22" s="168" t="n">
        <x:f>'Supporting Schedules'!E70</x:f>
        <x:v>12494.18</x:v>
      </x:c>
      <x:c r="F22" s="56" t="n">
        <x:f>'Supporting Schedules'!F70</x:f>
        <x:v>13626.563568830321</x:v>
      </x:c>
      <x:c r="G22" s="56" t="n">
        <x:f>'Supporting Schedules'!G70</x:f>
        <x:v>17136.275362662716</x:v>
      </x:c>
      <x:c r="H22" s="56" t="n">
        <x:f>'Supporting Schedules'!H70</x:f>
        <x:v>24840.23628313569</x:v>
      </x:c>
      <x:c r="I22" s="56" t="n">
        <x:f>'Supporting Schedules'!I70</x:f>
        <x:v>34294.82937036102</x:v>
      </x:c>
      <x:c r="J22" s="56" t="n">
        <x:f>'Supporting Schedules'!J70</x:f>
        <x:v>45039.00468631295</x:v>
      </x:c>
      <x:c r="K22" s="56" t="n">
        <x:f>'Supporting Schedules'!K70</x:f>
        <x:v>56832.88946134206</x:v>
      </x:c>
      <x:c r="L22" s="56" t="n">
        <x:f>'Supporting Schedules'!L70</x:f>
        <x:v>70002.8821446455</x:v>
      </x:c>
      <x:c r="M22" s="56" t="n">
        <x:f>'Supporting Schedules'!M70</x:f>
        <x:v>84398.16178591797</x:v>
      </x:c>
      <x:c r="N22" s="56" t="n">
        <x:f>'Supporting Schedules'!N70</x:f>
        <x:v>100563.98794658577</x:v>
      </x:c>
    </x:row>
    <x:row r="23">
      <x:c r="A23" s="45" t="str">
        <x:v>Pre-tax ROCE</x:v>
      </x:c>
      <x:c r="B23" s="50" t="str">
        <x:v>EBIT / operating capital employed</x:v>
      </x:c>
      <x:c r="C23" s="167" t="n">
        <x:f>IF(('Three Statements'!C35+'Three Statements'!C36+'Three Statements'!C41+'Three Statements'!C43+'Three Statements'!C45-'Three Statements'!C53-'Supporting Schedules'!C18-'Supporting Schedules'!C20)=0,0,'Three Statements'!C19/('Three Statements'!C35+'Three Statements'!C36+'Three Statements'!C41+'Three Statements'!C43+'Three Statements'!C45-'Three Statements'!C53-'Supporting Schedules'!C18-'Supporting Schedules'!C20))</x:f>
        <x:v>0.3373566608582758</x:v>
      </x:c>
      <x:c r="D23" s="167" t="n">
        <x:f>IF(('Three Statements'!D35+'Three Statements'!D36+'Three Statements'!D41+'Three Statements'!D43+'Three Statements'!D45-'Three Statements'!D53-'Supporting Schedules'!D18-'Supporting Schedules'!D20)=0,0,'Three Statements'!D19/('Three Statements'!D35+'Three Statements'!D36+'Three Statements'!D41+'Three Statements'!D43+'Three Statements'!D45-'Three Statements'!D53-'Supporting Schedules'!D18-'Supporting Schedules'!D20))</x:f>
        <x:v>0.37970460861349814</x:v>
      </x:c>
      <x:c r="E23" s="167" t="n">
        <x:f>IF(('Three Statements'!E35+'Three Statements'!E36+'Three Statements'!E41+'Three Statements'!E43+'Three Statements'!E45-'Three Statements'!E53-'Supporting Schedules'!E18-'Supporting Schedules'!E20)=0,0,'Three Statements'!E19/('Three Statements'!E35+'Three Statements'!E36+'Three Statements'!E41+'Three Statements'!E43+'Three Statements'!E45-'Three Statements'!E53-'Supporting Schedules'!E18-'Supporting Schedules'!E20))</x:f>
        <x:v>0.5270656148251739</x:v>
      </x:c>
      <x:c r="F23" s="60" t="n">
        <x:f>IF(('Three Statements'!F35+'Three Statements'!F36+'Three Statements'!F41+'Three Statements'!F43+'Three Statements'!F45-'Three Statements'!F53-'Supporting Schedules'!F18-'Supporting Schedules'!F20)=0,0,'Three Statements'!F19/('Three Statements'!F35+'Three Statements'!F36+'Three Statements'!F41+'Three Statements'!F43+'Three Statements'!F45-'Three Statements'!F53-'Supporting Schedules'!F18-'Supporting Schedules'!F20))</x:f>
        <x:v>0.4342681821747698</x:v>
      </x:c>
      <x:c r="G23" s="60" t="n">
        <x:f>IF(('Three Statements'!G35+'Three Statements'!G36+'Three Statements'!G41+'Three Statements'!G43+'Three Statements'!G45-'Three Statements'!G53-'Supporting Schedules'!G18-'Supporting Schedules'!G20)=0,0,'Three Statements'!G19/('Three Statements'!G35+'Three Statements'!G36+'Three Statements'!G41+'Three Statements'!G43+'Three Statements'!G45-'Three Statements'!G53-'Supporting Schedules'!G18-'Supporting Schedules'!G20))</x:f>
        <x:v>0.4193478968493839</x:v>
      </x:c>
      <x:c r="H23" s="60" t="n">
        <x:f>IF(('Three Statements'!H35+'Three Statements'!H36+'Three Statements'!H41+'Three Statements'!H43+'Three Statements'!H45-'Three Statements'!H53-'Supporting Schedules'!H18-'Supporting Schedules'!H20)=0,0,'Three Statements'!H19/('Three Statements'!H35+'Three Statements'!H36+'Three Statements'!H41+'Three Statements'!H43+'Three Statements'!H45-'Three Statements'!H53-'Supporting Schedules'!H18-'Supporting Schedules'!H20))</x:f>
        <x:v>0.47656869926716433</x:v>
      </x:c>
      <x:c r="I23" s="60" t="n">
        <x:f>IF(('Three Statements'!I35+'Three Statements'!I36+'Three Statements'!I41+'Three Statements'!I43+'Three Statements'!I45-'Three Statements'!I53-'Supporting Schedules'!I18-'Supporting Schedules'!I20)=0,0,'Three Statements'!I19/('Three Statements'!I35+'Three Statements'!I36+'Three Statements'!I41+'Three Statements'!I43+'Three Statements'!I45-'Three Statements'!I53-'Supporting Schedules'!I18-'Supporting Schedules'!I20))</x:f>
        <x:v>0.5692624829360086</x:v>
      </x:c>
      <x:c r="J23" s="60" t="n">
        <x:f>IF(('Three Statements'!J35+'Three Statements'!J36+'Three Statements'!J41+'Three Statements'!J43+'Three Statements'!J45-'Three Statements'!J53-'Supporting Schedules'!J18-'Supporting Schedules'!J20)=0,0,'Three Statements'!J19/('Three Statements'!J35+'Three Statements'!J36+'Three Statements'!J41+'Three Statements'!J43+'Three Statements'!J45-'Three Statements'!J53-'Supporting Schedules'!J18-'Supporting Schedules'!J20))</x:f>
        <x:v>0.6648466401616616</x:v>
      </x:c>
      <x:c r="K23" s="60" t="n">
        <x:f>IF(('Three Statements'!K35+'Three Statements'!K36+'Three Statements'!K41+'Three Statements'!K43+'Three Statements'!K45-'Three Statements'!K53-'Supporting Schedules'!K18-'Supporting Schedules'!K20)=0,0,'Three Statements'!K19/('Three Statements'!K35+'Three Statements'!K36+'Three Statements'!K41+'Three Statements'!K43+'Three Statements'!K45-'Three Statements'!K53-'Supporting Schedules'!K18-'Supporting Schedules'!K20))</x:f>
        <x:v>0.7481604637099855</x:v>
      </x:c>
      <x:c r="L23" s="60" t="n">
        <x:f>IF(('Three Statements'!L35+'Three Statements'!L36+'Three Statements'!L41+'Three Statements'!L43+'Three Statements'!L45-'Three Statements'!L53-'Supporting Schedules'!L18-'Supporting Schedules'!L20)=0,0,'Three Statements'!L19/('Three Statements'!L35+'Three Statements'!L36+'Three Statements'!L41+'Three Statements'!L43+'Three Statements'!L45-'Three Statements'!L53-'Supporting Schedules'!L18-'Supporting Schedules'!L20))</x:f>
        <x:v>0.8210566685905274</x:v>
      </x:c>
      <x:c r="M23" s="60" t="n">
        <x:f>IF(('Three Statements'!M35+'Three Statements'!M36+'Three Statements'!M41+'Three Statements'!M43+'Three Statements'!M45-'Three Statements'!M53-'Supporting Schedules'!M18-'Supporting Schedules'!M20)=0,0,'Three Statements'!M19/('Three Statements'!M35+'Three Statements'!M36+'Three Statements'!M41+'Three Statements'!M43+'Three Statements'!M45-'Three Statements'!M53-'Supporting Schedules'!M18-'Supporting Schedules'!M20))</x:f>
        <x:v>0.8841350830750286</x:v>
      </x:c>
      <x:c r="N23" s="60" t="n">
        <x:f>IF(('Three Statements'!N35+'Three Statements'!N36+'Three Statements'!N41+'Three Statements'!N43+'Three Statements'!N45-'Three Statements'!N53-'Supporting Schedules'!N18-'Supporting Schedules'!N20)=0,0,'Three Statements'!N19/('Three Statements'!N35+'Three Statements'!N36+'Three Statements'!N41+'Three Statements'!N43+'Three Statements'!N45-'Three Statements'!N53-'Supporting Schedules'!N18-'Supporting Schedules'!N20))</x:f>
        <x:v>0.941657080735025</x:v>
      </x:c>
    </x:row>
    <x:row r="24">
      <x:c r="A24" s="45" t="str">
        <x:v>CRDMO mix</x:v>
      </x:c>
      <x:c r="B24" s="50" t="str">
        <x:v>Calculated</x:v>
      </x:c>
      <x:c r="C24" s="167" t="n">
        <x:f>IF(C8=0,0,C10/C8)</x:f>
        <x:v>0.7631336437997139</x:v>
      </x:c>
      <x:c r="D24" s="167" t="n">
        <x:f>IF(D8=0,0,D10/D8)</x:f>
        <x:v>0.8165082903599357</x:v>
      </x:c>
      <x:c r="E24" s="167" t="n">
        <x:f>IF(E8=0,0,E10/E8)</x:f>
        <x:v>0.8345057013189551</x:v>
      </x:c>
      <x:c r="F24" s="60" t="n">
        <x:f>IF(F8=0,0,F10/F8)</x:f>
        <x:v>0.8471095064605534</x:v>
      </x:c>
      <x:c r="G24" s="60" t="n">
        <x:f>IF(G8=0,0,G10/G8)</x:f>
        <x:v>0.8571510221463599</x:v>
      </x:c>
      <x:c r="H24" s="60" t="n">
        <x:f>IF(H8=0,0,H10/H8)</x:f>
        <x:v>0.8642124308409523</x:v>
      </x:c>
      <x:c r="I24" s="60" t="n">
        <x:f>IF(I8=0,0,I10/I8)</x:f>
        <x:v>0.8690140113317102</x:v>
      </x:c>
      <x:c r="J24" s="60" t="n">
        <x:f>IF(J8=0,0,J10/J8)</x:f>
        <x:v>0.8724709074380461</x:v>
      </x:c>
      <x:c r="K24" s="60" t="n">
        <x:f>IF(K8=0,0,K10/K8)</x:f>
        <x:v>0.8768541787993374</x:v>
      </x:c>
      <x:c r="L24" s="60" t="n">
        <x:f>IF(L8=0,0,L10/L8)</x:f>
        <x:v>0.883443486145918</x:v>
      </x:c>
      <x:c r="M24" s="60" t="n">
        <x:f>IF(M8=0,0,M10/M8)</x:f>
        <x:v>0.8895357917304525</x:v>
      </x:c>
      <x:c r="N24" s="60" t="n">
        <x:f>IF(N8=0,0,N10/N8)</x:f>
        <x:v>0.8944032077296821</x:v>
      </x:c>
    </x:row>
    <x:row r="25">
      <x:c r="A25" s="45" t="str">
        <x:v>Specialty Ingredients mix</x:v>
      </x:c>
      <x:c r="B25" s="50" t="str">
        <x:v>Calculated</x:v>
      </x:c>
      <x:c r="C25" s="167" t="n">
        <x:f>IF(C8=0,0,C13/C8)</x:f>
        <x:v>0.23686635620028607</x:v>
      </x:c>
      <x:c r="D25" s="167" t="n">
        <x:f>IF(D8=0,0,D13/D8)</x:f>
        <x:v>0.18349170964006437</x:v>
      </x:c>
      <x:c r="E25" s="167" t="n">
        <x:f>IF(E8=0,0,E13/E8)</x:f>
        <x:v>0.16549429868104482</x:v>
      </x:c>
      <x:c r="F25" s="60" t="n">
        <x:f>IF(F8=0,0,F13/F8)</x:f>
        <x:v>0.15289049353944656</x:v>
      </x:c>
      <x:c r="G25" s="60" t="n">
        <x:f>IF(G8=0,0,G13/G8)</x:f>
        <x:v>0.1428489778536401</x:v>
      </x:c>
      <x:c r="H25" s="60" t="n">
        <x:f>IF(H8=0,0,H13/H8)</x:f>
        <x:v>0.13578756915904758</x:v>
      </x:c>
      <x:c r="I25" s="60" t="n">
        <x:f>IF(I8=0,0,I13/I8)</x:f>
        <x:v>0.13098598866828984</x:v>
      </x:c>
      <x:c r="J25" s="60" t="n">
        <x:f>IF(J8=0,0,J13/J8)</x:f>
        <x:v>0.1275290925619539</x:v>
      </x:c>
      <x:c r="K25" s="60" t="n">
        <x:f>IF(K8=0,0,K13/K8)</x:f>
        <x:v>0.12314582120066263</x:v>
      </x:c>
      <x:c r="L25" s="60" t="n">
        <x:f>IF(L8=0,0,L13/L8)</x:f>
        <x:v>0.11655651385408201</x:v>
      </x:c>
      <x:c r="M25" s="60" t="n">
        <x:f>IF(M8=0,0,M13/M8)</x:f>
        <x:v>0.11046420826954742</x:v>
      </x:c>
      <x:c r="N25" s="60" t="n">
        <x:f>IF(N8=0,0,N13/N8)</x:f>
        <x:v>0.10559679227031789</x:v>
      </x:c>
    </x:row>
    <x:row r="26">
      <x:c r="A26" s="70" t="str">
        <x:v>Balance-sheet check</x:v>
      </x:c>
      <x:c r="B26" s="71" t="str">
        <x:v>Must equal zero</x:v>
      </x:c>
      <x:c r="C26" s="166" t="n">
        <x:f>'Three Statements'!C58</x:f>
        <x:v>-0.0039999999971769284</x:v>
      </x:c>
      <x:c r="D26" s="166" t="n">
        <x:f>'Three Statements'!D58</x:f>
        <x:v>0.008000000001629815</x:v>
      </x:c>
      <x:c r="E26" s="166" t="n">
        <x:f>'Three Statements'!E58</x:f>
        <x:v>-7.275957614183426e-12</x:v>
      </x:c>
      <x:c r="F26" s="72" t="n">
        <x:f>'Three Statements'!F58</x:f>
        <x:v>0</x:v>
      </x:c>
      <x:c r="G26" s="72" t="n">
        <x:f>'Three Statements'!G58</x:f>
        <x:v>7.275957614183426e-12</x:v>
      </x:c>
      <x:c r="H26" s="72" t="n">
        <x:f>'Three Statements'!H58</x:f>
        <x:v>7.275957614183426e-12</x:v>
      </x:c>
      <x:c r="I26" s="72" t="n">
        <x:f>'Three Statements'!I58</x:f>
        <x:v>0</x:v>
      </x:c>
      <x:c r="J26" s="72" t="n">
        <x:f>'Three Statements'!J58</x:f>
        <x:v>2.9103830456733704e-11</x:v>
      </x:c>
      <x:c r="K26" s="72" t="n">
        <x:f>'Three Statements'!K58</x:f>
        <x:v>1.4551915228366852e-11</x:v>
      </x:c>
      <x:c r="L26" s="72" t="n">
        <x:f>'Three Statements'!L58</x:f>
        <x:v>2.9103830456733704e-11</x:v>
      </x:c>
      <x:c r="M26" s="72" t="n">
        <x:f>'Three Statements'!M58</x:f>
        <x:v>4.3655745685100555e-11</x:v>
      </x:c>
      <x:c r="N26" s="72" t="n">
        <x:f>'Three Statements'!N58</x:f>
        <x:v>2.9103830456733704e-11</x:v>
      </x:c>
    </x:row>
    <x:row r="27">
      <x:c r="A27" s="158"/>
      <x:c r="B27" s="158"/>
      <x:c r="C27" s="164"/>
      <x:c r="D27" s="164"/>
      <x:c r="E27" s="164"/>
      <x:c r="F27" s="158"/>
      <x:c r="G27" s="158"/>
      <x:c r="H27" s="158"/>
      <x:c r="I27" s="158"/>
      <x:c r="J27" s="158"/>
      <x:c r="K27" s="158"/>
      <x:c r="L27" s="158"/>
      <x:c r="M27" s="158"/>
      <x:c r="N27" s="158"/>
    </x:row>
    <x:row r="28">
      <x:c r="A28" s="158"/>
      <x:c r="B28" s="158"/>
      <x:c r="C28" s="164"/>
      <x:c r="D28" s="164"/>
      <x:c r="E28" s="164"/>
      <x:c r="F28" s="158"/>
      <x:c r="G28" s="158"/>
      <x:c r="H28" s="158"/>
      <x:c r="I28" s="158"/>
      <x:c r="J28" s="158"/>
      <x:c r="K28" s="158"/>
      <x:c r="L28" s="158"/>
      <x:c r="M28" s="158"/>
      <x:c r="N28" s="158"/>
    </x:row>
    <x:row r="29" ht="20" customHeight="1">
      <x:c r="A29" s="40" t="str">
        <x:v>Nine Principal Portfolio-Level Revenue Assumptions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</x:row>
    <x:row r="30">
      <x:c r="A30" s="158"/>
      <x:c r="B30" s="158"/>
      <x:c r="C30" s="164"/>
      <x:c r="D30" s="164"/>
      <x:c r="E30" s="164"/>
      <x:c r="F30" s="158"/>
      <x:c r="G30" s="158"/>
      <x:c r="H30" s="158"/>
      <x:c r="I30" s="158"/>
      <x:c r="J30" s="158"/>
      <x:c r="K30" s="158"/>
      <x:c r="L30" s="158"/>
      <x:c r="M30" s="158"/>
      <x:c r="N30" s="158"/>
    </x:row>
    <x:row r="31">
      <x:c r="A31" s="45" t="str">
        <x:v>Net billable FTE additions</x:v>
      </x:c>
      <x:c r="B31" s="50" t="str">
        <x:v>Analyst estimate</x:v>
      </x:c>
      <x:c r="C31" s="170" t="n">
        <x:v>-15</x:v>
      </x:c>
      <x:c r="D31" s="170" t="n">
        <x:v>-14</x:v>
      </x:c>
      <x:c r="E31" s="170" t="n">
        <x:v>12</x:v>
      </x:c>
      <x:c r="F31" s="85" t="n">
        <x:v>15</x:v>
      </x:c>
      <x:c r="G31" s="85" t="n">
        <x:v>20</x:v>
      </x:c>
      <x:c r="H31" s="85" t="n">
        <x:v>25</x:v>
      </x:c>
      <x:c r="I31" s="85" t="n">
        <x:v>25</x:v>
      </x:c>
      <x:c r="J31" s="85" t="n">
        <x:v>20</x:v>
      </x:c>
      <x:c r="K31" s="85" t="n">
        <x:v>20</x:v>
      </x:c>
      <x:c r="L31" s="85" t="n">
        <x:v>15</x:v>
      </x:c>
      <x:c r="M31" s="85" t="n">
        <x:v>15</x:v>
      </x:c>
      <x:c r="N31" s="85" t="n">
        <x:v>10</x:v>
      </x:c>
    </x:row>
    <x:row r="32">
      <x:c r="A32" s="45" t="str">
        <x:v>FTE utilisation</x:v>
      </x:c>
      <x:c r="B32" s="50" t="str">
        <x:v>Analyst estimate</x:v>
      </x:c>
      <x:c r="C32" s="171" t="n">
        <x:v>0.9</x:v>
      </x:c>
      <x:c r="D32" s="171" t="n">
        <x:v>0.89</x:v>
      </x:c>
      <x:c r="E32" s="171" t="n">
        <x:v>0.9</x:v>
      </x:c>
      <x:c r="F32" s="95" t="n">
        <x:v>0.9</x:v>
      </x:c>
      <x:c r="G32" s="95" t="n">
        <x:v>0.91</x:v>
      </x:c>
      <x:c r="H32" s="95" t="n">
        <x:v>0.91</x:v>
      </x:c>
      <x:c r="I32" s="95" t="n">
        <x:v>0.92</x:v>
      </x:c>
      <x:c r="J32" s="95" t="n">
        <x:v>0.92</x:v>
      </x:c>
      <x:c r="K32" s="95" t="n">
        <x:v>0.92</x:v>
      </x:c>
      <x:c r="L32" s="95" t="n">
        <x:v>0.92</x:v>
      </x:c>
      <x:c r="M32" s="95" t="n">
        <x:v>0.92</x:v>
      </x:c>
      <x:c r="N32" s="95" t="n">
        <x:v>0.92</x:v>
      </x:c>
    </x:row>
    <x:row r="33">
      <x:c r="A33" s="45" t="str">
        <x:v>Revenue per billable FTE growth</x:v>
      </x:c>
      <x:c r="B33" s="50" t="str">
        <x:v>Analyst estimate</x:v>
      </x:c>
      <x:c r="C33" s="171"/>
      <x:c r="D33" s="171" t="n">
        <x:v>-0.327</x:v>
      </x:c>
      <x:c r="E33" s="171" t="n">
        <x:v>0.102</x:v>
      </x:c>
      <x:c r="F33" s="95" t="n">
        <x:v>0.04</x:v>
      </x:c>
      <x:c r="G33" s="95" t="n">
        <x:v>0.04</x:v>
      </x:c>
      <x:c r="H33" s="95" t="n">
        <x:v>0.04</x:v>
      </x:c>
      <x:c r="I33" s="95" t="n">
        <x:v>0.04</x:v>
      </x:c>
      <x:c r="J33" s="95" t="n">
        <x:v>0.04</x:v>
      </x:c>
      <x:c r="K33" s="95" t="n">
        <x:v>0.035</x:v>
      </x:c>
      <x:c r="L33" s="95" t="n">
        <x:v>0.035</x:v>
      </x:c>
      <x:c r="M33" s="95" t="n">
        <x:v>0.03</x:v>
      </x:c>
      <x:c r="N33" s="95" t="n">
        <x:v>0.03</x:v>
      </x:c>
    </x:row>
    <x:row r="34">
      <x:c r="A34" s="45" t="str">
        <x:v>FFS revenue growth</x:v>
      </x:c>
      <x:c r="B34" s="50" t="str">
        <x:v>Analyst estimate</x:v>
      </x:c>
      <x:c r="C34" s="171"/>
      <x:c r="D34" s="171" t="n">
        <x:v>0.186</x:v>
      </x:c>
      <x:c r="E34" s="171" t="n">
        <x:v>0.151</x:v>
      </x:c>
      <x:c r="F34" s="95" t="n">
        <x:v>0.15</x:v>
      </x:c>
      <x:c r="G34" s="95" t="n">
        <x:v>0.15</x:v>
      </x:c>
      <x:c r="H34" s="95" t="n">
        <x:v>0.14</x:v>
      </x:c>
      <x:c r="I34" s="95" t="n">
        <x:v>0.13</x:v>
      </x:c>
      <x:c r="J34" s="95" t="n">
        <x:v>0.12</x:v>
      </x:c>
      <x:c r="K34" s="95" t="n">
        <x:v>0.11</x:v>
      </x:c>
      <x:c r="L34" s="95" t="n">
        <x:v>0.1</x:v>
      </x:c>
      <x:c r="M34" s="95" t="n">
        <x:v>0.09</x:v>
      </x:c>
      <x:c r="N34" s="95" t="n">
        <x:v>0.08</x:v>
      </x:c>
    </x:row>
    <x:row r="35">
      <x:c r="A35" s="45" t="str">
        <x:v>Other commercial &amp; late-stage portfolio growth</x:v>
      </x:c>
      <x:c r="B35" s="50" t="str">
        <x:v>Analyst estimate</x:v>
      </x:c>
      <x:c r="C35" s="171"/>
      <x:c r="D35" s="171" t="n">
        <x:v>0.499</x:v>
      </x:c>
      <x:c r="E35" s="171" t="n">
        <x:v>0.184</x:v>
      </x:c>
      <x:c r="F35" s="95" t="n">
        <x:v>0.2</x:v>
      </x:c>
      <x:c r="G35" s="95" t="n">
        <x:v>0.19</x:v>
      </x:c>
      <x:c r="H35" s="95" t="n">
        <x:v>0.18</x:v>
      </x:c>
      <x:c r="I35" s="95" t="n">
        <x:v>0.16</x:v>
      </x:c>
      <x:c r="J35" s="95" t="n">
        <x:v>0.14</x:v>
      </x:c>
      <x:c r="K35" s="95" t="n">
        <x:v>0.13</x:v>
      </x:c>
      <x:c r="L35" s="95" t="n">
        <x:v>0.12</x:v>
      </x:c>
      <x:c r="M35" s="95" t="n">
        <x:v>0.11</x:v>
      </x:c>
      <x:c r="N35" s="95" t="n">
        <x:v>0.1</x:v>
      </x:c>
    </x:row>
    <x:row r="36">
      <x:c r="A36" s="45" t="str">
        <x:v>Early-phase development portfolio growth</x:v>
      </x:c>
      <x:c r="B36" s="50" t="str">
        <x:v>Analyst estimate</x:v>
      </x:c>
      <x:c r="C36" s="171"/>
      <x:c r="D36" s="171" t="n">
        <x:v>0.136</x:v>
      </x:c>
      <x:c r="E36" s="171" t="n">
        <x:v>0.16</x:v>
      </x:c>
      <x:c r="F36" s="95" t="n">
        <x:v>0.12</x:v>
      </x:c>
      <x:c r="G36" s="95" t="n">
        <x:v>0.13</x:v>
      </x:c>
      <x:c r="H36" s="95" t="n">
        <x:v>0.13</x:v>
      </x:c>
      <x:c r="I36" s="95" t="n">
        <x:v>0.12</x:v>
      </x:c>
      <x:c r="J36" s="95" t="n">
        <x:v>0.11</x:v>
      </x:c>
      <x:c r="K36" s="95" t="n">
        <x:v>0.1</x:v>
      </x:c>
      <x:c r="L36" s="95" t="n">
        <x:v>0.1</x:v>
      </x:c>
      <x:c r="M36" s="95" t="n">
        <x:v>0.09</x:v>
      </x:c>
      <x:c r="N36" s="95" t="n">
        <x:v>0.09</x:v>
      </x:c>
    </x:row>
    <x:row r="37">
      <x:c r="A37" s="45" t="str">
        <x:v>Capacity / campaign adjustment</x:v>
      </x:c>
      <x:c r="B37" s="50" t="str">
        <x:v>Analyst estimate; INR million</x:v>
      </x:c>
      <x:c r="C37" s="170" t="n">
        <x:v>0</x:v>
      </x:c>
      <x:c r="D37" s="170" t="n">
        <x:v>0</x:v>
      </x:c>
      <x:c r="E37" s="170" t="n">
        <x:v>0</x:v>
      </x:c>
      <x:c r="F37" s="85" t="n">
        <x:v>0</x:v>
      </x:c>
      <x:c r="G37" s="85" t="n">
        <x:v>0</x:v>
      </x:c>
      <x:c r="H37" s="85" t="n">
        <x:v>250</x:v>
      </x:c>
      <x:c r="I37" s="85" t="n">
        <x:v>400</x:v>
      </x:c>
      <x:c r="J37" s="85" t="n">
        <x:v>250</x:v>
      </x:c>
      <x:c r="K37" s="85" t="n">
        <x:v>0</x:v>
      </x:c>
      <x:c r="L37" s="85" t="n">
        <x:v>0</x:v>
      </x:c>
      <x:c r="M37" s="85" t="n">
        <x:v>0</x:v>
      </x:c>
      <x:c r="N37" s="85" t="n">
        <x:v>0</x:v>
      </x:c>
    </x:row>
    <x:row r="38">
      <x:c r="A38" s="45" t="str">
        <x:v>Core Specialty Ingredients portfolio growth</x:v>
      </x:c>
      <x:c r="B38" s="50" t="str">
        <x:v>Analyst estimate</x:v>
      </x:c>
      <x:c r="C38" s="171"/>
      <x:c r="D38" s="171" t="n">
        <x:v>0.007</x:v>
      </x:c>
      <x:c r="E38" s="171" t="n">
        <x:v>0.039</x:v>
      </x:c>
      <x:c r="F38" s="95" t="n">
        <x:v>0.08</x:v>
      </x:c>
      <x:c r="G38" s="95" t="n">
        <x:v>0.09</x:v>
      </x:c>
      <x:c r="H38" s="95" t="n">
        <x:v>0.09</x:v>
      </x:c>
      <x:c r="I38" s="95" t="n">
        <x:v>0.08</x:v>
      </x:c>
      <x:c r="J38" s="95" t="n">
        <x:v>0.08</x:v>
      </x:c>
      <x:c r="K38" s="95" t="n">
        <x:v>0.07</x:v>
      </x:c>
      <x:c r="L38" s="95" t="n">
        <x:v>0.07</x:v>
      </x:c>
      <x:c r="M38" s="95" t="n">
        <x:v>0.06</x:v>
      </x:c>
      <x:c r="N38" s="95" t="n">
        <x:v>0.06</x:v>
      </x:c>
    </x:row>
    <x:row r="39">
      <x:c r="A39" s="45" t="str">
        <x:v>New-product / capacity contribution</x:v>
      </x:c>
      <x:c r="B39" s="50" t="str">
        <x:v>Analyst estimate; INR million</x:v>
      </x:c>
      <x:c r="C39" s="170" t="n">
        <x:v>0</x:v>
      </x:c>
      <x:c r="D39" s="170" t="n">
        <x:v>0</x:v>
      </x:c>
      <x:c r="E39" s="170" t="n">
        <x:v>0</x:v>
      </x:c>
      <x:c r="F39" s="85" t="n">
        <x:v>0</x:v>
      </x:c>
      <x:c r="G39" s="85" t="n">
        <x:v>0</x:v>
      </x:c>
      <x:c r="H39" s="85" t="n">
        <x:v>100</x:v>
      </x:c>
      <x:c r="I39" s="85" t="n">
        <x:v>250</x:v>
      </x:c>
      <x:c r="J39" s="85" t="n">
        <x:v>350</x:v>
      </x:c>
      <x:c r="K39" s="85" t="n">
        <x:v>400</x:v>
      </x:c>
      <x:c r="L39" s="85" t="n">
        <x:v>300</x:v>
      </x:c>
      <x:c r="M39" s="85" t="n">
        <x:v>200</x:v>
      </x:c>
      <x:c r="N39" s="85" t="n">
        <x:v>100</x:v>
      </x:c>
    </x:row>
    <x:row r="40">
      <x:c r="A40" s="158"/>
      <x:c r="B40" s="158"/>
      <x:c r="C40" s="164"/>
      <x:c r="D40" s="164"/>
      <x:c r="E40" s="164"/>
      <x:c r="F40" s="158"/>
      <x:c r="G40" s="158"/>
      <x:c r="H40" s="158"/>
      <x:c r="I40" s="158"/>
      <x:c r="J40" s="158"/>
      <x:c r="K40" s="158"/>
      <x:c r="L40" s="158"/>
      <x:c r="M40" s="158"/>
      <x:c r="N40" s="158"/>
    </x:row>
    <x:row r="41">
      <x:c r="A41" s="158"/>
      <x:c r="B41" s="158"/>
      <x:c r="C41" s="164"/>
      <x:c r="D41" s="164"/>
      <x:c r="E41" s="164"/>
      <x:c r="F41" s="158"/>
      <x:c r="G41" s="158"/>
      <x:c r="H41" s="158"/>
      <x:c r="I41" s="158"/>
      <x:c r="J41" s="158"/>
      <x:c r="K41" s="158"/>
      <x:c r="L41" s="158"/>
      <x:c r="M41" s="158"/>
      <x:c r="N41" s="158"/>
    </x:row>
    <x:row r="42" ht="20" customHeight="1">
      <x:c r="A42" s="40" t="str">
        <x:v>Financial, Margin, Working-Capital and Capital-Allocation Assumptions</x:v>
      </x:c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>
      <x:c r="A43" s="45" t="str">
        <x:v>CRDMO gross-profit margin</x:v>
      </x:c>
      <x:c r="B43" s="50" t="str">
        <x:v>Reported where disclosed / analyst estimate</x:v>
      </x:c>
      <x:c r="C43" s="171"/>
      <x:c r="D43" s="171" t="n">
        <x:v>0.6177</x:v>
      </x:c>
      <x:c r="E43" s="171" t="n">
        <x:v>0.6391</x:v>
      </x:c>
      <x:c r="F43" s="95" t="n">
        <x:v>0.64</x:v>
      </x:c>
      <x:c r="G43" s="95" t="n">
        <x:v>0.642</x:v>
      </x:c>
      <x:c r="H43" s="95" t="n">
        <x:v>0.645</x:v>
      </x:c>
      <x:c r="I43" s="95" t="n">
        <x:v>0.647</x:v>
      </x:c>
      <x:c r="J43" s="95" t="n">
        <x:v>0.648</x:v>
      </x:c>
      <x:c r="K43" s="95" t="n">
        <x:v>0.648</x:v>
      </x:c>
      <x:c r="L43" s="95" t="n">
        <x:v>0.647</x:v>
      </x:c>
      <x:c r="M43" s="95" t="n">
        <x:v>0.646</x:v>
      </x:c>
      <x:c r="N43" s="95" t="n">
        <x:v>0.645</x:v>
      </x:c>
    </x:row>
    <x:row r="44">
      <x:c r="A44" s="45" t="str">
        <x:v>Specialty Ingredients gross-profit margin</x:v>
      </x:c>
      <x:c r="B44" s="50" t="str">
        <x:v>Reported where disclosed / analyst estimate</x:v>
      </x:c>
      <x:c r="C44" s="171"/>
      <x:c r="D44" s="171" t="n">
        <x:v>0.5032</x:v>
      </x:c>
      <x:c r="E44" s="171" t="n">
        <x:v>0.5093</x:v>
      </x:c>
      <x:c r="F44" s="95" t="n">
        <x:v>0.51</x:v>
      </x:c>
      <x:c r="G44" s="95" t="n">
        <x:v>0.512</x:v>
      </x:c>
      <x:c r="H44" s="95" t="n">
        <x:v>0.515</x:v>
      </x:c>
      <x:c r="I44" s="95" t="n">
        <x:v>0.518</x:v>
      </x:c>
      <x:c r="J44" s="95" t="n">
        <x:v>0.52</x:v>
      </x:c>
      <x:c r="K44" s="95" t="n">
        <x:v>0.52</x:v>
      </x:c>
      <x:c r="L44" s="95" t="n">
        <x:v>0.52</x:v>
      </x:c>
      <x:c r="M44" s="95" t="n">
        <x:v>0.52</x:v>
      </x:c>
      <x:c r="N44" s="95" t="n">
        <x:v>0.52</x:v>
      </x:c>
    </x:row>
    <x:row r="45">
      <x:c r="A45" s="45" t="str">
        <x:v>Employee cost / revenue</x:v>
      </x:c>
      <x:c r="B45" s="50" t="str">
        <x:v>Calculated / analyst estimate</x:v>
      </x:c>
      <x:c r="C45" s="171" t="n">
        <x:v>0.1289</x:v>
      </x:c>
      <x:c r="D45" s="171" t="n">
        <x:v>0.1412</x:v>
      </x:c>
      <x:c r="E45" s="171" t="n">
        <x:v>0.1331</x:v>
      </x:c>
      <x:c r="F45" s="95" t="n">
        <x:v>0.132</x:v>
      </x:c>
      <x:c r="G45" s="95" t="n">
        <x:v>0.13</x:v>
      </x:c>
      <x:c r="H45" s="95" t="n">
        <x:v>0.128</x:v>
      </x:c>
      <x:c r="I45" s="95" t="n">
        <x:v>0.126</x:v>
      </x:c>
      <x:c r="J45" s="95" t="n">
        <x:v>0.124</x:v>
      </x:c>
      <x:c r="K45" s="95" t="n">
        <x:v>0.123</x:v>
      </x:c>
      <x:c r="L45" s="95" t="n">
        <x:v>0.122</x:v>
      </x:c>
      <x:c r="M45" s="95" t="n">
        <x:v>0.121</x:v>
      </x:c>
      <x:c r="N45" s="95" t="n">
        <x:v>0.12</x:v>
      </x:c>
    </x:row>
    <x:row r="46">
      <x:c r="A46" s="45" t="str">
        <x:v>Other operating expenses / revenue</x:v>
      </x:c>
      <x:c r="B46" s="50" t="str">
        <x:v>Calculated / analyst estimate</x:v>
      </x:c>
      <x:c r="C46" s="171" t="n">
        <x:v>0.0929</x:v>
      </x:c>
      <x:c r="D46" s="171" t="n">
        <x:v>0.0918</x:v>
      </x:c>
      <x:c r="E46" s="171" t="n">
        <x:v>0.092</x:v>
      </x:c>
      <x:c r="F46" s="95" t="n">
        <x:v>0.092</x:v>
      </x:c>
      <x:c r="G46" s="95" t="n">
        <x:v>0.091</x:v>
      </x:c>
      <x:c r="H46" s="95" t="n">
        <x:v>0.09</x:v>
      </x:c>
      <x:c r="I46" s="95" t="n">
        <x:v>0.089</x:v>
      </x:c>
      <x:c r="J46" s="95" t="n">
        <x:v>0.088</x:v>
      </x:c>
      <x:c r="K46" s="95" t="n">
        <x:v>0.088</x:v>
      </x:c>
      <x:c r="L46" s="95" t="n">
        <x:v>0.087</x:v>
      </x:c>
      <x:c r="M46" s="95" t="n">
        <x:v>0.087</x:v>
      </x:c>
      <x:c r="N46" s="95" t="n">
        <x:v>0.086</x:v>
      </x:c>
    </x:row>
    <x:row r="47">
      <x:c r="A47" s="45" t="str">
        <x:v>Change in inventories / revenue</x:v>
      </x:c>
      <x:c r="B47" s="50" t="str">
        <x:v>Calculated / analyst estimate</x:v>
      </x:c>
      <x:c r="C47" s="171" t="n">
        <x:v>-0.0291</x:v>
      </x:c>
      <x:c r="D47" s="171" t="n">
        <x:v>-0.047</x:v>
      </x:c>
      <x:c r="E47" s="171" t="n">
        <x:v>0.0465</x:v>
      </x:c>
      <x:c r="F47" s="95" t="n">
        <x:v>-0.015</x:v>
      </x:c>
      <x:c r="G47" s="95" t="n">
        <x:v>-0.012</x:v>
      </x:c>
      <x:c r="H47" s="95" t="n">
        <x:v>-0.01</x:v>
      </x:c>
      <x:c r="I47" s="95" t="n">
        <x:v>-0.008</x:v>
      </x:c>
      <x:c r="J47" s="95" t="n">
        <x:v>-0.006</x:v>
      </x:c>
      <x:c r="K47" s="95" t="n">
        <x:v>-0.005</x:v>
      </x:c>
      <x:c r="L47" s="95" t="n">
        <x:v>-0.005</x:v>
      </x:c>
      <x:c r="M47" s="95" t="n">
        <x:v>-0.004</x:v>
      </x:c>
      <x:c r="N47" s="95" t="n">
        <x:v>-0.004</x:v>
      </x:c>
    </x:row>
    <x:row r="48">
      <x:c r="A48" s="45" t="str">
        <x:v>Other operating income / revenue</x:v>
      </x:c>
      <x:c r="B48" s="50" t="str">
        <x:v>Analyst estimate</x:v>
      </x:c>
      <x:c r="C48" s="171" t="n">
        <x:v>0.0161</x:v>
      </x:c>
      <x:c r="D48" s="171" t="n">
        <x:v>0.0114</x:v>
      </x:c>
      <x:c r="E48" s="171" t="n">
        <x:v>0.036</x:v>
      </x:c>
      <x:c r="F48" s="95" t="n">
        <x:v>0.025</x:v>
      </x:c>
      <x:c r="G48" s="95" t="n">
        <x:v>0.022</x:v>
      </x:c>
      <x:c r="H48" s="95" t="n">
        <x:v>0.02</x:v>
      </x:c>
      <x:c r="I48" s="95" t="n">
        <x:v>0.018</x:v>
      </x:c>
      <x:c r="J48" s="95" t="n">
        <x:v>0.017</x:v>
      </x:c>
      <x:c r="K48" s="95" t="n">
        <x:v>0.016</x:v>
      </x:c>
      <x:c r="L48" s="95" t="n">
        <x:v>0.015</x:v>
      </x:c>
      <x:c r="M48" s="95" t="n">
        <x:v>0.015</x:v>
      </x:c>
      <x:c r="N48" s="95" t="n">
        <x:v>0.015</x:v>
      </x:c>
    </x:row>
    <x:row r="49">
      <x:c r="A49" s="45" t="str">
        <x:v>Cash and investment yield</x:v>
      </x:c>
      <x:c r="B49" s="50" t="str">
        <x:v>Analyst estimate</x:v>
      </x:c>
      <x:c r="C49" s="171" t="n">
        <x:v>0.06</x:v>
      </x:c>
      <x:c r="D49" s="171" t="n">
        <x:v>0.06</x:v>
      </x:c>
      <x:c r="E49" s="171" t="n">
        <x:v>0.055</x:v>
      </x:c>
      <x:c r="F49" s="95" t="n">
        <x:v>0.055</x:v>
      </x:c>
      <x:c r="G49" s="95" t="n">
        <x:v>0.055</x:v>
      </x:c>
      <x:c r="H49" s="95" t="n">
        <x:v>0.055</x:v>
      </x:c>
      <x:c r="I49" s="95" t="n">
        <x:v>0.055</x:v>
      </x:c>
      <x:c r="J49" s="95" t="n">
        <x:v>0.055</x:v>
      </x:c>
      <x:c r="K49" s="95" t="n">
        <x:v>0.055</x:v>
      </x:c>
      <x:c r="L49" s="95" t="n">
        <x:v>0.055</x:v>
      </x:c>
      <x:c r="M49" s="95" t="n">
        <x:v>0.055</x:v>
      </x:c>
      <x:c r="N49" s="95" t="n">
        <x:v>0.055</x:v>
      </x:c>
    </x:row>
    <x:row r="50">
      <x:c r="A50" s="45" t="str">
        <x:v>Cost of debt</x:v>
      </x:c>
      <x:c r="B50" s="50" t="str">
        <x:v>Analyst estimate</x:v>
      </x:c>
      <x:c r="C50" s="171" t="n">
        <x:v>0.041</x:v>
      </x:c>
      <x:c r="D50" s="171" t="n">
        <x:v>0.061</x:v>
      </x:c>
      <x:c r="E50" s="171" t="n">
        <x:v>0.05</x:v>
      </x:c>
      <x:c r="F50" s="95" t="n">
        <x:v>0.08</x:v>
      </x:c>
      <x:c r="G50" s="95" t="n">
        <x:v>0.08</x:v>
      </x:c>
      <x:c r="H50" s="95" t="n">
        <x:v>0.08</x:v>
      </x:c>
      <x:c r="I50" s="95" t="n">
        <x:v>0.08</x:v>
      </x:c>
      <x:c r="J50" s="95" t="n">
        <x:v>0.08</x:v>
      </x:c>
      <x:c r="K50" s="95" t="n">
        <x:v>0.08</x:v>
      </x:c>
      <x:c r="L50" s="95" t="n">
        <x:v>0.08</x:v>
      </x:c>
      <x:c r="M50" s="95" t="n">
        <x:v>0.08</x:v>
      </x:c>
      <x:c r="N50" s="95" t="n">
        <x:v>0.08</x:v>
      </x:c>
    </x:row>
    <x:row r="51">
      <x:c r="A51" s="45" t="str">
        <x:v>Current tax rate</x:v>
      </x:c>
      <x:c r="B51" s="50" t="str">
        <x:v>Analyst estimate</x:v>
      </x:c>
      <x:c r="C51" s="171" t="n">
        <x:v>0.2648</x:v>
      </x:c>
      <x:c r="D51" s="171" t="n">
        <x:v>0.2771</x:v>
      </x:c>
      <x:c r="E51" s="171" t="n">
        <x:v>0.2928</x:v>
      </x:c>
      <x:c r="F51" s="95" t="n">
        <x:v>0.265</x:v>
      </x:c>
      <x:c r="G51" s="95" t="n">
        <x:v>0.265</x:v>
      </x:c>
      <x:c r="H51" s="95" t="n">
        <x:v>0.26</x:v>
      </x:c>
      <x:c r="I51" s="95" t="n">
        <x:v>0.26</x:v>
      </x:c>
      <x:c r="J51" s="95" t="n">
        <x:v>0.26</x:v>
      </x:c>
      <x:c r="K51" s="95" t="n">
        <x:v>0.26</x:v>
      </x:c>
      <x:c r="L51" s="95" t="n">
        <x:v>0.26</x:v>
      </x:c>
      <x:c r="M51" s="95" t="n">
        <x:v>0.26</x:v>
      </x:c>
      <x:c r="N51" s="95" t="n">
        <x:v>0.26</x:v>
      </x:c>
    </x:row>
    <x:row r="52">
      <x:c r="A52" s="45" t="str">
        <x:v>Deferred tax rate</x:v>
      </x:c>
      <x:c r="B52" s="50" t="str">
        <x:v>Analyst estimate</x:v>
      </x:c>
      <x:c r="C52" s="171" t="n">
        <x:v>-0.0344</x:v>
      </x:c>
      <x:c r="D52" s="171" t="n">
        <x:v>0.0359</x:v>
      </x:c>
      <x:c r="E52" s="171" t="n">
        <x:v>-0.0107</x:v>
      </x:c>
      <x:c r="F52" s="95" t="n">
        <x:v>-0.005</x:v>
      </x:c>
      <x:c r="G52" s="95" t="n">
        <x:v>-0.005</x:v>
      </x:c>
      <x:c r="H52" s="95" t="n">
        <x:v>-0.003</x:v>
      </x:c>
      <x:c r="I52" s="95" t="n">
        <x:v>0</x:v>
      </x:c>
      <x:c r="J52" s="95" t="n">
        <x:v>0</x:v>
      </x:c>
      <x:c r="K52" s="95" t="n">
        <x:v>0</x:v>
      </x:c>
      <x:c r="L52" s="95" t="n">
        <x:v>0</x:v>
      </x:c>
      <x:c r="M52" s="95" t="n">
        <x:v>0</x:v>
      </x:c>
      <x:c r="N52" s="95" t="n">
        <x:v>0</x:v>
      </x:c>
    </x:row>
    <x:row r="53">
      <x:c r="A53" s="45" t="str">
        <x:v>Capital expenditure</x:v>
      </x:c>
      <x:c r="B53" s="50" t="str">
        <x:v>Reported / management guidance / analyst estimate</x:v>
      </x:c>
      <x:c r="C53" s="172" t="n">
        <x:v>2900.4</x:v>
      </x:c>
      <x:c r="D53" s="172" t="n">
        <x:v>2667.2</x:v>
      </x:c>
      <x:c r="E53" s="172" t="n">
        <x:v>2111.7</x:v>
      </x:c>
      <x:c r="F53" s="103" t="n">
        <x:v>7000</x:v>
      </x:c>
      <x:c r="G53" s="103" t="n">
        <x:v>5000</x:v>
      </x:c>
      <x:c r="H53" s="103" t="n">
        <x:v>2500</x:v>
      </x:c>
      <x:c r="I53" s="103" t="n">
        <x:v>2200</x:v>
      </x:c>
      <x:c r="J53" s="108" t="n">
        <x:f>J8*5.5%</x:f>
        <x:v>2420.2010217811408</x:v>
      </x:c>
      <x:c r="K53" s="108" t="n">
        <x:f>K8*5.5%</x:f>
        <x:v>2693.1791895204506</x:v>
      </x:c>
      <x:c r="L53" s="108" t="n">
        <x:f>L8*5.5%</x:f>
        <x:v>2984.2135358892383</x:v>
      </x:c>
      <x:c r="M53" s="108" t="n">
        <x:f>M8*5.5%</x:f>
        <x:v>3278.9742812978734</x:v>
      </x:c>
      <x:c r="N53" s="108" t="n">
        <x:f>N8*5.5%</x:f>
        <x:v>3577.5883686682296</x:v>
      </x:c>
    </x:row>
    <x:row r="54">
      <x:c r="A54" s="45" t="str">
        <x:v>Trade-receivable days</x:v>
      </x:c>
      <x:c r="B54" s="50" t="str">
        <x:v>Calculated / analyst estimate</x:v>
      </x:c>
      <x:c r="C54" s="172" t="n">
        <x:v>126.1</x:v>
      </x:c>
      <x:c r="D54" s="172" t="n">
        <x:v>89.1</x:v>
      </x:c>
      <x:c r="E54" s="172" t="n">
        <x:v>101.5</x:v>
      </x:c>
      <x:c r="F54" s="103" t="n">
        <x:v>95</x:v>
      </x:c>
      <x:c r="G54" s="103" t="n">
        <x:v>92</x:v>
      </x:c>
      <x:c r="H54" s="103" t="n">
        <x:v>90</x:v>
      </x:c>
      <x:c r="I54" s="103" t="n">
        <x:v>88</x:v>
      </x:c>
      <x:c r="J54" s="103" t="n">
        <x:v>86</x:v>
      </x:c>
      <x:c r="K54" s="103" t="n">
        <x:v>85</x:v>
      </x:c>
      <x:c r="L54" s="103" t="n">
        <x:v>84</x:v>
      </x:c>
      <x:c r="M54" s="103" t="n">
        <x:v>83</x:v>
      </x:c>
      <x:c r="N54" s="103" t="n">
        <x:v>82</x:v>
      </x:c>
    </x:row>
    <x:row r="55">
      <x:c r="A55" s="45" t="str">
        <x:v>Inventory days</x:v>
      </x:c>
      <x:c r="B55" s="50" t="str">
        <x:v>Calculated / analyst estimate</x:v>
      </x:c>
      <x:c r="C55" s="172" t="n">
        <x:v>128.6</x:v>
      </x:c>
      <x:c r="D55" s="172" t="n">
        <x:v>166.9</x:v>
      </x:c>
      <x:c r="E55" s="172" t="n">
        <x:v>55.9</x:v>
      </x:c>
      <x:c r="F55" s="103" t="n">
        <x:v>70</x:v>
      </x:c>
      <x:c r="G55" s="103" t="n">
        <x:v>75</x:v>
      </x:c>
      <x:c r="H55" s="103" t="n">
        <x:v>70</x:v>
      </x:c>
      <x:c r="I55" s="103" t="n">
        <x:v>65</x:v>
      </x:c>
      <x:c r="J55" s="103" t="n">
        <x:v>62</x:v>
      </x:c>
      <x:c r="K55" s="103" t="n">
        <x:v>60</x:v>
      </x:c>
      <x:c r="L55" s="103" t="n">
        <x:v>58</x:v>
      </x:c>
      <x:c r="M55" s="103" t="n">
        <x:v>57</x:v>
      </x:c>
      <x:c r="N55" s="103" t="n">
        <x:v>56</x:v>
      </x:c>
    </x:row>
    <x:row r="56">
      <x:c r="A56" s="45" t="str">
        <x:v>Trade-payable days</x:v>
      </x:c>
      <x:c r="B56" s="50" t="str">
        <x:v>Calculated / analyst estimate</x:v>
      </x:c>
      <x:c r="C56" s="172" t="n">
        <x:v>57.4</x:v>
      </x:c>
      <x:c r="D56" s="172" t="n">
        <x:v>48.4</x:v>
      </x:c>
      <x:c r="E56" s="172" t="n">
        <x:v>49.2</x:v>
      </x:c>
      <x:c r="F56" s="103" t="n">
        <x:v>50</x:v>
      </x:c>
      <x:c r="G56" s="103" t="n">
        <x:v>52</x:v>
      </x:c>
      <x:c r="H56" s="103" t="n">
        <x:v>52</x:v>
      </x:c>
      <x:c r="I56" s="103" t="n">
        <x:v>50</x:v>
      </x:c>
      <x:c r="J56" s="103" t="n">
        <x:v>50</x:v>
      </x:c>
      <x:c r="K56" s="103" t="n">
        <x:v>49</x:v>
      </x:c>
      <x:c r="L56" s="103" t="n">
        <x:v>49</x:v>
      </x:c>
      <x:c r="M56" s="103" t="n">
        <x:v>48</x:v>
      </x:c>
      <x:c r="N56" s="103" t="n">
        <x:v>48</x:v>
      </x:c>
    </x:row>
    <x:row r="57">
      <x:c r="A57" s="45" t="str">
        <x:v>Other current asset days</x:v>
      </x:c>
      <x:c r="B57" s="50" t="str">
        <x:v>Calculated / analyst estimate</x:v>
      </x:c>
      <x:c r="C57" s="172" t="n">
        <x:v>35.1</x:v>
      </x:c>
      <x:c r="D57" s="172" t="n">
        <x:v>42.1</x:v>
      </x:c>
      <x:c r="E57" s="172" t="n">
        <x:v>25.4</x:v>
      </x:c>
      <x:c r="F57" s="103" t="n">
        <x:v>25</x:v>
      </x:c>
      <x:c r="G57" s="103" t="n">
        <x:v>25</x:v>
      </x:c>
      <x:c r="H57" s="103" t="n">
        <x:v>25</x:v>
      </x:c>
      <x:c r="I57" s="103" t="n">
        <x:v>25</x:v>
      </x:c>
      <x:c r="J57" s="103" t="n">
        <x:v>25</x:v>
      </x:c>
      <x:c r="K57" s="103" t="n">
        <x:v>25</x:v>
      </x:c>
      <x:c r="L57" s="103" t="n">
        <x:v>25</x:v>
      </x:c>
      <x:c r="M57" s="103" t="n">
        <x:v>25</x:v>
      </x:c>
      <x:c r="N57" s="103" t="n">
        <x:v>25</x:v>
      </x:c>
    </x:row>
    <x:row r="58">
      <x:c r="A58" s="45" t="str">
        <x:v>Other current liability days</x:v>
      </x:c>
      <x:c r="B58" s="50" t="str">
        <x:v>Calculated / analyst estimate</x:v>
      </x:c>
      <x:c r="C58" s="172" t="n">
        <x:v>27.2</x:v>
      </x:c>
      <x:c r="D58" s="172" t="n">
        <x:v>24.9</x:v>
      </x:c>
      <x:c r="E58" s="172" t="n">
        <x:v>28.7</x:v>
      </x:c>
      <x:c r="F58" s="103" t="n">
        <x:v>30</x:v>
      </x:c>
      <x:c r="G58" s="103" t="n">
        <x:v>31</x:v>
      </x:c>
      <x:c r="H58" s="103" t="n">
        <x:v>31</x:v>
      </x:c>
      <x:c r="I58" s="103" t="n">
        <x:v>30</x:v>
      </x:c>
      <x:c r="J58" s="103" t="n">
        <x:v>29</x:v>
      </x:c>
      <x:c r="K58" s="103" t="n">
        <x:v>29</x:v>
      </x:c>
      <x:c r="L58" s="103" t="n">
        <x:v>28</x:v>
      </x:c>
      <x:c r="M58" s="103" t="n">
        <x:v>28</x:v>
      </x:c>
      <x:c r="N58" s="103" t="n">
        <x:v>28</x:v>
      </x:c>
    </x:row>
    <x:row r="59">
      <x:c r="A59" s="45" t="str">
        <x:v>Dividend payout</x:v>
      </x:c>
      <x:c r="B59" s="50" t="str">
        <x:v>Analyst estimate</x:v>
      </x:c>
      <x:c r="C59" s="171" t="n">
        <x:v>0</x:v>
      </x:c>
      <x:c r="D59" s="171" t="n">
        <x:v>0</x:v>
      </x:c>
      <x:c r="E59" s="171" t="n">
        <x:v>0</x:v>
      </x:c>
      <x:c r="F59" s="95" t="n">
        <x:v>0</x:v>
      </x:c>
      <x:c r="G59" s="95" t="n">
        <x:v>0.1</x:v>
      </x:c>
      <x:c r="H59" s="95" t="n">
        <x:v>0.12</x:v>
      </x:c>
      <x:c r="I59" s="95" t="n">
        <x:v>0.15</x:v>
      </x:c>
      <x:c r="J59" s="95" t="n">
        <x:v>0.18</x:v>
      </x:c>
      <x:c r="K59" s="95" t="n">
        <x:v>0.2</x:v>
      </x:c>
      <x:c r="L59" s="95" t="n">
        <x:v>0.2</x:v>
      </x:c>
      <x:c r="M59" s="95" t="n">
        <x:v>0.22</x:v>
      </x:c>
      <x:c r="N59" s="95" t="n">
        <x:v>0.22</x:v>
      </x:c>
    </x:row>
    <x:row r="60">
      <x:c r="A60" s="45" t="str">
        <x:v>ESOP expense / employee cost</x:v>
      </x:c>
      <x:c r="B60" s="50" t="str">
        <x:v>Reported / analyst estimate</x:v>
      </x:c>
      <x:c r="C60" s="171" t="n">
        <x:v>0</x:v>
      </x:c>
      <x:c r="D60" s="171" t="n">
        <x:v>0.1319</x:v>
      </x:c>
      <x:c r="E60" s="171" t="n">
        <x:v>0.0561</x:v>
      </x:c>
      <x:c r="F60" s="95" t="n">
        <x:v>0.04</x:v>
      </x:c>
      <x:c r="G60" s="95" t="n">
        <x:v>0.035</x:v>
      </x:c>
      <x:c r="H60" s="95" t="n">
        <x:v>0.03</x:v>
      </x:c>
      <x:c r="I60" s="95" t="n">
        <x:v>0.02</x:v>
      </x:c>
      <x:c r="J60" s="95" t="n">
        <x:v>0.015</x:v>
      </x:c>
      <x:c r="K60" s="95" t="n">
        <x:v>0.01</x:v>
      </x:c>
      <x:c r="L60" s="95" t="n">
        <x:v>0.005</x:v>
      </x:c>
      <x:c r="M60" s="95" t="n">
        <x:v>0</x:v>
      </x:c>
      <x:c r="N60" s="95" t="n">
        <x:v>0</x:v>
      </x:c>
    </x:row>
    <x:row r="61">
      <x:c r="A61" s="45" t="str">
        <x:v>Minimum cash / revenue</x:v>
      </x:c>
      <x:c r="B61" s="50" t="str">
        <x:v>Cash-sweep control</x:v>
      </x:c>
      <x:c r="C61" s="171"/>
      <x:c r="D61" s="171"/>
      <x:c r="E61" s="171"/>
      <x:c r="F61" s="95" t="n">
        <x:v>0.05</x:v>
      </x:c>
      <x:c r="G61" s="95" t="n">
        <x:v>0.05</x:v>
      </x:c>
      <x:c r="H61" s="95" t="n">
        <x:v>0.05</x:v>
      </x:c>
      <x:c r="I61" s="95" t="n">
        <x:v>0.05</x:v>
      </x:c>
      <x:c r="J61" s="95" t="n">
        <x:v>0.05</x:v>
      </x:c>
      <x:c r="K61" s="95" t="n">
        <x:v>0.05</x:v>
      </x:c>
      <x:c r="L61" s="95" t="n">
        <x:v>0.05</x:v>
      </x:c>
      <x:c r="M61" s="95" t="n">
        <x:v>0.05</x:v>
      </x:c>
      <x:c r="N61" s="95" t="n">
        <x:v>0.05</x:v>
      </x:c>
    </x:row>
    <x:row r="62">
      <x:c r="A62" s="158"/>
      <x:c r="B62" s="158"/>
      <x:c r="C62" s="164"/>
      <x:c r="D62" s="164"/>
      <x:c r="E62" s="164"/>
      <x:c r="F62" s="158"/>
      <x:c r="G62" s="158"/>
      <x:c r="H62" s="158"/>
      <x:c r="I62" s="158"/>
      <x:c r="J62" s="158"/>
      <x:c r="K62" s="158"/>
      <x:c r="L62" s="158"/>
      <x:c r="M62" s="158"/>
      <x:c r="N62" s="158"/>
    </x:row>
    <x:row r="63">
      <x:c r="A63" s="158"/>
      <x:c r="B63" s="158"/>
      <x:c r="C63" s="164"/>
      <x:c r="D63" s="164"/>
      <x:c r="E63" s="164"/>
      <x:c r="F63" s="158"/>
      <x:c r="G63" s="158"/>
      <x:c r="H63" s="158"/>
      <x:c r="I63" s="158"/>
      <x:c r="J63" s="158"/>
      <x:c r="K63" s="158"/>
      <x:c r="L63" s="158"/>
      <x:c r="M63" s="158"/>
      <x:c r="N63" s="158"/>
    </x:row>
    <x:row r="64" ht="20" customHeight="1">
      <x:c r="A64" s="40" t="str">
        <x:v>Selective Molecule Analysis – Central Forecast Treatment</x:v>
      </x:c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</x:row>
    <x:row r="65">
      <x:c r="A65" s="45" t="str">
        <x:v>Named molecules included in central forecast</x:v>
      </x:c>
      <x:c r="B65" s="50" t="str">
        <x:v>Count</x:v>
      </x:c>
      <x:c r="C65" s="170" t="n">
        <x:v>0</x:v>
      </x:c>
      <x:c r="D65" s="170" t="n">
        <x:v>0</x:v>
      </x:c>
      <x:c r="E65" s="170" t="n">
        <x:v>0</x:v>
      </x:c>
      <x:c r="F65" s="78" t="n">
        <x:v>0</x:v>
      </x:c>
      <x:c r="G65" s="78" t="n">
        <x:v>0</x:v>
      </x:c>
      <x:c r="H65" s="78" t="n">
        <x:v>0</x:v>
      </x:c>
      <x:c r="I65" s="78" t="n">
        <x:v>0</x:v>
      </x:c>
      <x:c r="J65" s="78" t="n">
        <x:v>0</x:v>
      </x:c>
      <x:c r="K65" s="78" t="n">
        <x:v>0</x:v>
      </x:c>
      <x:c r="L65" s="78" t="n">
        <x:v>0</x:v>
      </x:c>
      <x:c r="M65" s="78" t="n">
        <x:v>0</x:v>
      </x:c>
      <x:c r="N65" s="78" t="n">
        <x:v>0</x:v>
      </x:c>
    </x:row>
    <x:row r="66" ht="42" customHeight="1">
      <x:c r="A66" s="45" t="str">
        <x:v>Central-forecast treatment</x:v>
      </x:c>
      <x:c r="B66" s="50" t="str">
        <x:v>Evidence discipline</x:v>
      </x:c>
      <x:c r="C66" s="173" t="str">
        <x:v>No named molecule is included. Public filings confirm commercial and late-stage portfolios, but do not disclose molecule/customer identities with sufficient evidence for a defensible named forecast. Revenue remains in the residual D&amp;M portfolio.</x:v>
      </x:c>
      <x:c r="D66" s="173"/>
      <x:c r="E66" s="173"/>
      <x:c r="F66" s="112"/>
      <x:c r="G66" s="112"/>
      <x:c r="H66" s="112"/>
      <x:c r="I66" s="112"/>
      <x:c r="J66" s="112"/>
      <x:c r="K66" s="112"/>
      <x:c r="L66" s="112"/>
      <x:c r="M66" s="112"/>
      <x:c r="N66" s="112"/>
    </x:row>
    <x:row r="67">
      <x:c r="A67" s="158"/>
      <x:c r="B67" s="158"/>
      <x:c r="C67" s="164"/>
      <x:c r="D67" s="164"/>
      <x:c r="E67" s="164"/>
      <x:c r="F67" s="158"/>
      <x:c r="G67" s="158"/>
      <x:c r="H67" s="158"/>
      <x:c r="I67" s="158"/>
      <x:c r="J67" s="158"/>
      <x:c r="K67" s="158"/>
      <x:c r="L67" s="158"/>
      <x:c r="M67" s="158"/>
      <x:c r="N67" s="158"/>
    </x:row>
    <x:row r="68">
      <x:c r="A68" s="158"/>
      <x:c r="B68" s="158"/>
      <x:c r="C68" s="164"/>
      <x:c r="D68" s="164"/>
      <x:c r="E68" s="164"/>
      <x:c r="F68" s="158"/>
      <x:c r="G68" s="158"/>
      <x:c r="H68" s="158"/>
      <x:c r="I68" s="158"/>
      <x:c r="J68" s="158"/>
      <x:c r="K68" s="158"/>
      <x:c r="L68" s="158"/>
      <x:c r="M68" s="158"/>
      <x:c r="N68" s="158"/>
    </x:row>
    <x:row r="69" ht="20" customHeight="1">
      <x:c r="A69" s="40" t="str">
        <x:v>Capacity and Project-Pipeline Summary</x:v>
      </x:c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</x:row>
    <x:row r="70">
      <x:c r="A70" s="45" t="str">
        <x:v>Custom-synthesis capacity (kL)</x:v>
      </x:c>
      <x:c r="B70" s="50" t="str">
        <x:v>Reported / announced</x:v>
      </x:c>
      <x:c r="C70" s="170" t="n">
        <x:v>270</x:v>
      </x:c>
      <x:c r="D70" s="170" t="n">
        <x:v>270</x:v>
      </x:c>
      <x:c r="E70" s="170" t="n">
        <x:v>425</x:v>
      </x:c>
      <x:c r="F70" s="85" t="n">
        <x:v>425</x:v>
      </x:c>
      <x:c r="G70" s="85" t="n">
        <x:v>790</x:v>
      </x:c>
      <x:c r="H70" s="85" t="n">
        <x:v>790</x:v>
      </x:c>
      <x:c r="I70" s="85" t="n">
        <x:v>790</x:v>
      </x:c>
      <x:c r="J70" s="85" t="n">
        <x:v>790</x:v>
      </x:c>
      <x:c r="K70" s="85" t="n">
        <x:v>790</x:v>
      </x:c>
      <x:c r="L70" s="85" t="n">
        <x:v>790</x:v>
      </x:c>
      <x:c r="M70" s="85" t="n">
        <x:v>790</x:v>
      </x:c>
      <x:c r="N70" s="85" t="n">
        <x:v>790</x:v>
      </x:c>
    </x:row>
    <x:row r="71">
      <x:c r="A71" s="45" t="str">
        <x:v>Fermentation capacity (kL)</x:v>
      </x:c>
      <x:c r="B71" s="50" t="str">
        <x:v>Reported / announced</x:v>
      </x:c>
      <x:c r="C71" s="170" t="n">
        <x:v>142</x:v>
      </x:c>
      <x:c r="D71" s="170" t="n">
        <x:v>142</x:v>
      </x:c>
      <x:c r="E71" s="170" t="n">
        <x:v>180</x:v>
      </x:c>
      <x:c r="F71" s="85" t="n">
        <x:v>180</x:v>
      </x:c>
      <x:c r="G71" s="85" t="n">
        <x:v>280</x:v>
      </x:c>
      <x:c r="H71" s="85" t="n">
        <x:v>280</x:v>
      </x:c>
      <x:c r="I71" s="85" t="n">
        <x:v>280</x:v>
      </x:c>
      <x:c r="J71" s="85" t="n">
        <x:v>280</x:v>
      </x:c>
      <x:c r="K71" s="85" t="n">
        <x:v>280</x:v>
      </x:c>
      <x:c r="L71" s="85" t="n">
        <x:v>280</x:v>
      </x:c>
      <x:c r="M71" s="85" t="n">
        <x:v>280</x:v>
      </x:c>
      <x:c r="N71" s="85" t="n">
        <x:v>280</x:v>
      </x:c>
    </x:row>
    <x:row r="72">
      <x:c r="A72" s="45" t="str">
        <x:v>Commercial molecules</x:v>
      </x:c>
      <x:c r="B72" s="50" t="str">
        <x:v>Reported</x:v>
      </x:c>
      <x:c r="C72" s="170"/>
      <x:c r="D72" s="170" t="n">
        <x:v>10</x:v>
      </x:c>
      <x:c r="E72" s="170" t="n">
        <x:v>14</x:v>
      </x:c>
      <x:c r="F72" s="115"/>
      <x:c r="G72" s="115"/>
      <x:c r="H72" s="115"/>
      <x:c r="I72" s="115"/>
      <x:c r="J72" s="115"/>
      <x:c r="K72" s="115"/>
      <x:c r="L72" s="115"/>
      <x:c r="M72" s="115"/>
      <x:c r="N72" s="115"/>
    </x:row>
    <x:row r="73">
      <x:c r="A73" s="45" t="str">
        <x:v>Late-phase molecules</x:v>
      </x:c>
      <x:c r="B73" s="50" t="str">
        <x:v>Reported</x:v>
      </x:c>
      <x:c r="C73" s="170"/>
      <x:c r="D73" s="170" t="n">
        <x:v>10</x:v>
      </x:c>
      <x:c r="E73" s="170" t="n">
        <x:v>10</x:v>
      </x:c>
      <x:c r="F73" s="115"/>
      <x:c r="G73" s="115"/>
      <x:c r="H73" s="115"/>
      <x:c r="I73" s="115"/>
      <x:c r="J73" s="115"/>
      <x:c r="K73" s="115"/>
      <x:c r="L73" s="115"/>
      <x:c r="M73" s="115"/>
      <x:c r="N73" s="115"/>
    </x:row>
    <x:row r="74">
      <x:c r="A74" s="45" t="str">
        <x:v>Early-stage active programmes</x:v>
      </x:c>
      <x:c r="B74" s="50" t="str">
        <x:v>Reported</x:v>
      </x:c>
      <x:c r="C74" s="170"/>
      <x:c r="D74" s="170"/>
      <x:c r="E74" s="170" t="n">
        <x:v>100</x:v>
      </x:c>
      <x:c r="F74" s="115"/>
      <x:c r="G74" s="115"/>
      <x:c r="H74" s="115"/>
      <x:c r="I74" s="115"/>
      <x:c r="J74" s="115"/>
      <x:c r="K74" s="115"/>
      <x:c r="L74" s="115"/>
      <x:c r="M74" s="115"/>
      <x:c r="N74" s="115"/>
    </x:row>
    <x:row r="75">
      <x:c r="A75" s="45" t="str">
        <x:v>Employees</x:v>
      </x:c>
      <x:c r="B75" s="50" t="str">
        <x:v>Reported</x:v>
      </x:c>
      <x:c r="C75" s="170"/>
      <x:c r="D75" s="170" t="n">
        <x:v>2062</x:v>
      </x:c>
      <x:c r="E75" s="170" t="n">
        <x:v>2282</x:v>
      </x:c>
      <x:c r="F75" s="115"/>
      <x:c r="G75" s="115"/>
      <x:c r="H75" s="115"/>
      <x:c r="I75" s="115"/>
      <x:c r="J75" s="115"/>
      <x:c r="K75" s="115"/>
      <x:c r="L75" s="115"/>
      <x:c r="M75" s="115"/>
      <x:c r="N75" s="115"/>
    </x:row>
    <x:row r="76">
      <x:c r="A76" s="45" t="str">
        <x:v>Scientific staff</x:v>
      </x:c>
      <x:c r="B76" s="50" t="str">
        <x:v>Reported</x:v>
      </x:c>
      <x:c r="C76" s="170"/>
      <x:c r="D76" s="170" t="n">
        <x:v>1015</x:v>
      </x:c>
      <x:c r="E76" s="170" t="n">
        <x:v>1117</x:v>
      </x:c>
      <x:c r="F76" s="115"/>
      <x:c r="G76" s="115"/>
      <x:c r="H76" s="115"/>
      <x:c r="I76" s="115"/>
      <x:c r="J76" s="115"/>
      <x:c r="K76" s="115"/>
      <x:c r="L76" s="115"/>
      <x:c r="M76" s="115"/>
      <x:c r="N76" s="115"/>
    </x:row>
    <x:row r="77">
      <x:c r="A77" s="158"/>
      <x:c r="B77" s="158"/>
      <x:c r="C77" s="164"/>
      <x:c r="D77" s="164"/>
      <x:c r="E77" s="164"/>
      <x:c r="F77" s="158"/>
      <x:c r="G77" s="158"/>
      <x:c r="H77" s="158"/>
      <x:c r="I77" s="158"/>
      <x:c r="J77" s="158"/>
      <x:c r="K77" s="158"/>
      <x:c r="L77" s="158"/>
      <x:c r="M77" s="158"/>
      <x:c r="N77" s="158"/>
    </x:row>
    <x:row r="78">
      <x:c r="A78" s="158"/>
      <x:c r="B78" s="158"/>
      <x:c r="C78" s="164"/>
      <x:c r="D78" s="164"/>
      <x:c r="E78" s="164"/>
      <x:c r="F78" s="158"/>
      <x:c r="G78" s="158"/>
      <x:c r="H78" s="158"/>
      <x:c r="I78" s="158"/>
      <x:c r="J78" s="158"/>
      <x:c r="K78" s="158"/>
      <x:c r="L78" s="158"/>
      <x:c r="M78" s="158"/>
      <x:c r="N78" s="158"/>
    </x:row>
    <x:row r="79" ht="20" customHeight="1">
      <x:c r="A79" s="40" t="str">
        <x:v>Key Model Checks</x:v>
      </x:c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</x:row>
    <x:row r="80">
      <x:c r="A80" s="45" t="str">
        <x:v>R&amp;D + D&amp;M = CRDMO</x:v>
      </x:c>
      <x:c r="B80" s="50" t="str">
        <x:v>Must be zero / OK</x:v>
      </x:c>
      <x:c r="C80" s="168" t="n">
        <x:f>'Revenue Model'!C30</x:f>
        <x:v>0</x:v>
      </x:c>
      <x:c r="D80" s="168" t="n">
        <x:f>'Revenue Model'!D30</x:f>
        <x:v>0</x:v>
      </x:c>
      <x:c r="E80" s="168" t="n">
        <x:f>'Revenue Model'!E30</x:f>
        <x:v>0</x:v>
      </x:c>
      <x:c r="F80" s="56" t="n">
        <x:f>'Revenue Model'!F30</x:f>
        <x:v>0</x:v>
      </x:c>
      <x:c r="G80" s="56" t="n">
        <x:f>'Revenue Model'!G30</x:f>
        <x:v>0</x:v>
      </x:c>
      <x:c r="H80" s="56" t="n">
        <x:f>'Revenue Model'!H30</x:f>
        <x:v>0</x:v>
      </x:c>
      <x:c r="I80" s="56" t="n">
        <x:f>'Revenue Model'!I30</x:f>
        <x:v>0</x:v>
      </x:c>
      <x:c r="J80" s="56" t="n">
        <x:f>'Revenue Model'!J30</x:f>
        <x:v>0</x:v>
      </x:c>
      <x:c r="K80" s="56" t="n">
        <x:f>'Revenue Model'!K30</x:f>
        <x:v>0</x:v>
      </x:c>
      <x:c r="L80" s="56" t="n">
        <x:f>'Revenue Model'!L30</x:f>
        <x:v>0</x:v>
      </x:c>
      <x:c r="M80" s="56" t="n">
        <x:f>'Revenue Model'!M30</x:f>
        <x:v>0</x:v>
      </x:c>
      <x:c r="N80" s="56" t="n">
        <x:f>'Revenue Model'!N30</x:f>
        <x:v>0</x:v>
      </x:c>
    </x:row>
    <x:row r="81">
      <x:c r="A81" s="45" t="str">
        <x:v>CRDMO + Specialty Ingredients = revenue</x:v>
      </x:c>
      <x:c r="B81" s="50" t="str">
        <x:v>Must be zero / OK</x:v>
      </x:c>
      <x:c r="C81" s="168" t="n">
        <x:f>'Revenue Model'!C13</x:f>
        <x:v>0</x:v>
      </x:c>
      <x:c r="D81" s="168" t="n">
        <x:f>'Revenue Model'!D13</x:f>
        <x:v>4.547473508864641e-13</x:v>
      </x:c>
      <x:c r="E81" s="168" t="n">
        <x:f>'Revenue Model'!E13</x:f>
        <x:v>1.3642420526593924e-12</x:v>
      </x:c>
      <x:c r="F81" s="56" t="n">
        <x:f>'Revenue Model'!F13</x:f>
        <x:v>1.3642420526593924e-12</x:v>
      </x:c>
      <x:c r="G81" s="56" t="n">
        <x:f>'Revenue Model'!G13</x:f>
        <x:v>1.8189894035458565e-12</x:v>
      </x:c>
      <x:c r="H81" s="56" t="n">
        <x:f>'Revenue Model'!H13</x:f>
        <x:v>1.8189894035458565e-12</x:v>
      </x:c>
      <x:c r="I81" s="56" t="n">
        <x:f>'Revenue Model'!I13</x:f>
        <x:v>-9.094947017729282e-13</x:v>
      </x:c>
      <x:c r="J81" s="56" t="n">
        <x:f>'Revenue Model'!J13</x:f>
        <x:v>0</x:v>
      </x:c>
      <x:c r="K81" s="56" t="n">
        <x:f>'Revenue Model'!K13</x:f>
        <x:v>0</x:v>
      </x:c>
      <x:c r="L81" s="56" t="n">
        <x:f>'Revenue Model'!L13</x:f>
        <x:v>-1.8189894035458565e-12</x:v>
      </x:c>
      <x:c r="M81" s="56" t="n">
        <x:f>'Revenue Model'!M13</x:f>
        <x:v>1.8189894035458565e-12</x:v>
      </x:c>
      <x:c r="N81" s="56" t="n">
        <x:f>'Revenue Model'!N13</x:f>
        <x:v>-9.094947017729282e-13</x:v>
      </x:c>
    </x:row>
    <x:row r="82">
      <x:c r="A82" s="45" t="str">
        <x:v>Named molecules + residual D&amp;M = D&amp;M</x:v>
      </x:c>
      <x:c r="B82" s="50" t="str">
        <x:v>Must be zero / OK</x:v>
      </x:c>
      <x:c r="C82" s="168" t="n">
        <x:f>'Revenue Model'!C43</x:f>
        <x:v>0</x:v>
      </x:c>
      <x:c r="D82" s="168" t="n">
        <x:f>'Revenue Model'!D43</x:f>
        <x:v>0</x:v>
      </x:c>
      <x:c r="E82" s="168" t="n">
        <x:f>'Revenue Model'!E43</x:f>
        <x:v>0</x:v>
      </x:c>
      <x:c r="F82" s="56" t="n">
        <x:f>'Revenue Model'!F43</x:f>
        <x:v>0</x:v>
      </x:c>
      <x:c r="G82" s="56" t="n">
        <x:f>'Revenue Model'!G43</x:f>
        <x:v>0</x:v>
      </x:c>
      <x:c r="H82" s="56" t="n">
        <x:f>'Revenue Model'!H43</x:f>
        <x:v>0</x:v>
      </x:c>
      <x:c r="I82" s="56" t="n">
        <x:f>'Revenue Model'!I43</x:f>
        <x:v>0</x:v>
      </x:c>
      <x:c r="J82" s="56" t="n">
        <x:f>'Revenue Model'!J43</x:f>
        <x:v>0</x:v>
      </x:c>
      <x:c r="K82" s="56" t="n">
        <x:f>'Revenue Model'!K43</x:f>
        <x:v>0</x:v>
      </x:c>
      <x:c r="L82" s="56" t="n">
        <x:f>'Revenue Model'!L43</x:f>
        <x:v>0</x:v>
      </x:c>
      <x:c r="M82" s="56" t="n">
        <x:f>'Revenue Model'!M43</x:f>
        <x:v>0</x:v>
      </x:c>
      <x:c r="N82" s="56" t="n">
        <x:f>'Revenue Model'!N43</x:f>
        <x:v>0</x:v>
      </x:c>
    </x:row>
    <x:row r="83">
      <x:c r="A83" s="45" t="str">
        <x:v>Balance sheet balances</x:v>
      </x:c>
      <x:c r="B83" s="50" t="str">
        <x:v>Must be zero / OK</x:v>
      </x:c>
      <x:c r="C83" s="168" t="n">
        <x:f>'Three Statements'!C58</x:f>
        <x:v>-0.0039999999971769284</x:v>
      </x:c>
      <x:c r="D83" s="168" t="n">
        <x:f>'Three Statements'!D58</x:f>
        <x:v>0.008000000001629815</x:v>
      </x:c>
      <x:c r="E83" s="168" t="n">
        <x:f>'Three Statements'!E58</x:f>
        <x:v>-7.275957614183426e-12</x:v>
      </x:c>
      <x:c r="F83" s="56" t="n">
        <x:f>'Three Statements'!F58</x:f>
        <x:v>0</x:v>
      </x:c>
      <x:c r="G83" s="56" t="n">
        <x:f>'Three Statements'!G58</x:f>
        <x:v>7.275957614183426e-12</x:v>
      </x:c>
      <x:c r="H83" s="56" t="n">
        <x:f>'Three Statements'!H58</x:f>
        <x:v>7.275957614183426e-12</x:v>
      </x:c>
      <x:c r="I83" s="56" t="n">
        <x:f>'Three Statements'!I58</x:f>
        <x:v>0</x:v>
      </x:c>
      <x:c r="J83" s="56" t="n">
        <x:f>'Three Statements'!J58</x:f>
        <x:v>2.9103830456733704e-11</x:v>
      </x:c>
      <x:c r="K83" s="56" t="n">
        <x:f>'Three Statements'!K58</x:f>
        <x:v>1.4551915228366852e-11</x:v>
      </x:c>
      <x:c r="L83" s="56" t="n">
        <x:f>'Three Statements'!L58</x:f>
        <x:v>2.9103830456733704e-11</x:v>
      </x:c>
      <x:c r="M83" s="56" t="n">
        <x:f>'Three Statements'!M58</x:f>
        <x:v>4.3655745685100555e-11</x:v>
      </x:c>
      <x:c r="N83" s="56" t="n">
        <x:f>'Three Statements'!N58</x:f>
        <x:v>2.9103830456733704e-11</x:v>
      </x:c>
    </x:row>
    <x:row r="84">
      <x:c r="A84" s="45" t="str">
        <x:v>Cash-flow statement reconciles</x:v>
      </x:c>
      <x:c r="B84" s="50" t="str">
        <x:v>Must be zero / OK</x:v>
      </x:c>
      <x:c r="C84" s="168" t="n">
        <x:f>'Three Statements'!C92</x:f>
        <x:v>0</x:v>
      </x:c>
      <x:c r="D84" s="168" t="n">
        <x:f>'Three Statements'!D92</x:f>
        <x:v>0</x:v>
      </x:c>
      <x:c r="E84" s="168" t="n">
        <x:f>'Three Statements'!E92</x:f>
        <x:v>-9.094947017729282e-13</x:v>
      </x:c>
      <x:c r="F84" s="56" t="n">
        <x:f>'Three Statements'!F92</x:f>
        <x:v>-1.5916157281026244e-12</x:v>
      </x:c>
      <x:c r="G84" s="56" t="n">
        <x:f>'Three Statements'!G92</x:f>
        <x:v>-1.8189894035458565e-12</x:v>
      </x:c>
      <x:c r="H84" s="56" t="n">
        <x:f>'Three Statements'!H92</x:f>
        <x:v>-4.320099833421409e-12</x:v>
      </x:c>
      <x:c r="I84" s="56" t="n">
        <x:f>'Three Statements'!I92</x:f>
        <x:v>-3.637978807091713e-12</x:v>
      </x:c>
      <x:c r="J84" s="56" t="n">
        <x:f>'Three Statements'!J92</x:f>
        <x:v>-4.092726157978177e-12</x:v>
      </x:c>
      <x:c r="K84" s="56" t="n">
        <x:f>'Three Statements'!K92</x:f>
        <x:v>-4.547473508864641e-13</x:v>
      </x:c>
      <x:c r="L84" s="56" t="n">
        <x:f>'Three Statements'!L92</x:f>
        <x:v>-4.547473508864641e-12</x:v>
      </x:c>
      <x:c r="M84" s="56" t="n">
        <x:f>'Three Statements'!M92</x:f>
        <x:v>-7.275957614183426e-12</x:v>
      </x:c>
      <x:c r="N84" s="56" t="n">
        <x:f>'Three Statements'!N92</x:f>
        <x:v>-8.185452315956354e-12</x:v>
      </x:c>
    </x:row>
    <x:row r="85">
      <x:c r="A85" s="45" t="str">
        <x:v>IPO OFS proceeds recorded as company cash</x:v>
      </x:c>
      <x:c r="B85" s="50" t="str">
        <x:v>Must be zero / OK</x:v>
      </x:c>
      <x:c r="C85" s="174" t="str">
        <x:v>OK – no OFS proceeds</x:v>
      </x:c>
      <x:c r="D85" s="174" t="str">
        <x:v>OK – no OFS proceeds</x:v>
      </x:c>
      <x:c r="E85" s="174" t="str">
        <x:v>OK – no OFS proceeds</x:v>
      </x:c>
      <x:c r="F85" s="119" t="str">
        <x:v>OK – no OFS proceeds</x:v>
      </x:c>
      <x:c r="G85" s="119" t="str">
        <x:v>OK – no OFS proceeds</x:v>
      </x:c>
      <x:c r="H85" s="119" t="str">
        <x:v>OK – no OFS proceeds</x:v>
      </x:c>
      <x:c r="I85" s="119" t="str">
        <x:v>OK – no OFS proceeds</x:v>
      </x:c>
      <x:c r="J85" s="119" t="str">
        <x:v>OK – no OFS proceeds</x:v>
      </x:c>
      <x:c r="K85" s="119" t="str">
        <x:v>OK – no OFS proceeds</x:v>
      </x:c>
      <x:c r="L85" s="119" t="str">
        <x:v>OK – no OFS proceeds</x:v>
      </x:c>
      <x:c r="M85" s="119" t="str">
        <x:v>OK – no OFS proceeds</x:v>
      </x:c>
      <x:c r="N85" s="119" t="str">
        <x:v>OK – no OFS proceeds</x:v>
      </x:c>
    </x:row>
    <x:row r="86">
      <x:c r="A86" s="158"/>
      <x:c r="B86" s="158"/>
      <x:c r="C86" s="164"/>
      <x:c r="D86" s="164"/>
      <x:c r="E86" s="164"/>
      <x:c r="F86" s="158"/>
      <x:c r="G86" s="158"/>
      <x:c r="H86" s="158"/>
      <x:c r="I86" s="158"/>
      <x:c r="J86" s="158"/>
      <x:c r="K86" s="158"/>
      <x:c r="L86" s="158"/>
      <x:c r="M86" s="158"/>
      <x:c r="N86" s="158"/>
    </x:row>
    <x:row r="87">
      <x:c r="A87" s="158"/>
      <x:c r="B87" s="158"/>
      <x:c r="C87" s="164"/>
      <x:c r="D87" s="164"/>
      <x:c r="E87" s="164"/>
      <x:c r="F87" s="158"/>
      <x:c r="G87" s="158"/>
      <x:c r="H87" s="158"/>
      <x:c r="I87" s="158"/>
      <x:c r="J87" s="158"/>
      <x:c r="K87" s="158"/>
      <x:c r="L87" s="158"/>
      <x:c r="M87" s="158"/>
      <x:c r="N87" s="158"/>
    </x:row>
    <x:row r="88">
      <x:c r="A88" s="158"/>
      <x:c r="B88" s="158"/>
      <x:c r="C88" s="164"/>
      <x:c r="D88" s="164"/>
      <x:c r="E88" s="164"/>
      <x:c r="F88" s="158"/>
      <x:c r="G88" s="158"/>
      <x:c r="H88" s="158"/>
      <x:c r="I88" s="158"/>
      <x:c r="J88" s="158"/>
      <x:c r="K88" s="158"/>
      <x:c r="L88" s="158"/>
      <x:c r="M88" s="158"/>
      <x:c r="N88" s="158"/>
    </x:row>
    <x:row r="89">
      <x:c r="A89" s="158"/>
      <x:c r="B89" s="158"/>
      <x:c r="C89" s="164"/>
      <x:c r="D89" s="164"/>
      <x:c r="E89" s="164"/>
      <x:c r="F89" s="158"/>
      <x:c r="G89" s="158"/>
      <x:c r="H89" s="158"/>
      <x:c r="I89" s="158"/>
      <x:c r="J89" s="158"/>
      <x:c r="K89" s="158"/>
      <x:c r="L89" s="158"/>
      <x:c r="M89" s="158"/>
      <x:c r="N89" s="158"/>
    </x:row>
    <x:row r="90">
      <x:c r="A90" s="158"/>
      <x:c r="B90" s="158"/>
      <x:c r="C90" s="164"/>
      <x:c r="D90" s="164"/>
      <x:c r="E90" s="164"/>
      <x:c r="F90" s="158"/>
      <x:c r="G90" s="158"/>
      <x:c r="H90" s="158"/>
      <x:c r="I90" s="158"/>
      <x:c r="J90" s="158"/>
      <x:c r="K90" s="158"/>
      <x:c r="L90" s="158"/>
      <x:c r="M90" s="158"/>
      <x:c r="N90" s="158"/>
    </x:row>
    <x:row r="91">
      <x:c r="A91" s="158"/>
      <x:c r="B91" s="158"/>
      <x:c r="C91" s="164"/>
      <x:c r="D91" s="164"/>
      <x:c r="E91" s="164"/>
      <x:c r="F91" s="158"/>
      <x:c r="G91" s="158"/>
      <x:c r="H91" s="158"/>
      <x:c r="I91" s="158"/>
      <x:c r="J91" s="158"/>
      <x:c r="K91" s="158"/>
      <x:c r="L91" s="158"/>
      <x:c r="M91" s="158"/>
      <x:c r="N91" s="158"/>
    </x:row>
    <x:row r="92">
      <x:c r="A92" s="158"/>
      <x:c r="B92" s="158"/>
      <x:c r="C92" s="164"/>
      <x:c r="D92" s="164"/>
      <x:c r="E92" s="164"/>
      <x:c r="F92" s="158"/>
      <x:c r="G92" s="158"/>
      <x:c r="H92" s="158"/>
      <x:c r="I92" s="158"/>
      <x:c r="J92" s="158"/>
      <x:c r="K92" s="158"/>
      <x:c r="L92" s="158"/>
      <x:c r="M92" s="158"/>
      <x:c r="N92" s="158"/>
    </x:row>
    <x:row r="93">
      <x:c r="A93" s="158"/>
      <x:c r="B93" s="158"/>
      <x:c r="C93" s="164"/>
      <x:c r="D93" s="164"/>
      <x:c r="E93" s="164"/>
      <x:c r="F93" s="158"/>
      <x:c r="G93" s="158"/>
      <x:c r="H93" s="158"/>
      <x:c r="I93" s="158"/>
      <x:c r="J93" s="158"/>
      <x:c r="K93" s="158"/>
      <x:c r="L93" s="158"/>
      <x:c r="M93" s="158"/>
      <x:c r="N93" s="158"/>
    </x:row>
    <x:row r="94">
      <x:c r="A94" s="158"/>
      <x:c r="B94" s="158"/>
      <x:c r="C94" s="164"/>
      <x:c r="D94" s="164"/>
      <x:c r="E94" s="164"/>
      <x:c r="F94" s="158"/>
      <x:c r="G94" s="158"/>
      <x:c r="H94" s="158"/>
      <x:c r="I94" s="158"/>
      <x:c r="J94" s="158"/>
      <x:c r="K94" s="158"/>
      <x:c r="L94" s="158"/>
      <x:c r="M94" s="158"/>
      <x:c r="N94" s="158"/>
    </x:row>
    <x:row r="95">
      <x:c r="A95" s="158"/>
      <x:c r="B95" s="158"/>
      <x:c r="C95" s="164"/>
      <x:c r="D95" s="164"/>
      <x:c r="E95" s="164"/>
      <x:c r="F95" s="158"/>
      <x:c r="G95" s="158"/>
      <x:c r="H95" s="158"/>
      <x:c r="I95" s="158"/>
      <x:c r="J95" s="158"/>
      <x:c r="K95" s="158"/>
      <x:c r="L95" s="158"/>
      <x:c r="M95" s="158"/>
      <x:c r="N95" s="158"/>
    </x:row>
    <x:row r="96">
      <x:c r="A96" s="158"/>
      <x:c r="B96" s="158"/>
      <x:c r="C96" s="164"/>
      <x:c r="D96" s="164"/>
      <x:c r="E96" s="164"/>
      <x:c r="F96" s="158"/>
      <x:c r="G96" s="158"/>
      <x:c r="H96" s="158"/>
      <x:c r="I96" s="158"/>
      <x:c r="J96" s="158"/>
      <x:c r="K96" s="158"/>
      <x:c r="L96" s="158"/>
      <x:c r="M96" s="158"/>
      <x:c r="N96" s="158"/>
    </x:row>
    <x:row r="97">
      <x:c r="A97" s="158"/>
      <x:c r="B97" s="158"/>
      <x:c r="C97" s="164"/>
      <x:c r="D97" s="164"/>
      <x:c r="E97" s="164"/>
      <x:c r="F97" s="158"/>
      <x:c r="G97" s="158"/>
      <x:c r="H97" s="158"/>
      <x:c r="I97" s="158"/>
      <x:c r="J97" s="158"/>
      <x:c r="K97" s="158"/>
      <x:c r="L97" s="158"/>
      <x:c r="M97" s="158"/>
      <x:c r="N97" s="158"/>
    </x:row>
    <x:row r="98">
      <x:c r="A98" s="158"/>
      <x:c r="B98" s="158"/>
      <x:c r="C98" s="164"/>
      <x:c r="D98" s="164"/>
      <x:c r="E98" s="164"/>
      <x:c r="F98" s="158"/>
      <x:c r="G98" s="158"/>
      <x:c r="H98" s="158"/>
      <x:c r="I98" s="158"/>
      <x:c r="J98" s="158"/>
      <x:c r="K98" s="158"/>
      <x:c r="L98" s="158"/>
      <x:c r="M98" s="158"/>
      <x:c r="N98" s="158"/>
    </x:row>
    <x:row r="99">
      <x:c r="A99" s="158"/>
      <x:c r="B99" s="158"/>
      <x:c r="C99" s="164"/>
      <x:c r="D99" s="164"/>
      <x:c r="E99" s="164"/>
      <x:c r="F99" s="158"/>
      <x:c r="G99" s="158"/>
      <x:c r="H99" s="158"/>
      <x:c r="I99" s="158"/>
      <x:c r="J99" s="158"/>
      <x:c r="K99" s="158"/>
      <x:c r="L99" s="158"/>
      <x:c r="M99" s="158"/>
      <x:c r="N99" s="158"/>
    </x:row>
    <x:row r="100">
      <x:c r="A100" s="158"/>
      <x:c r="B100" s="158"/>
      <x:c r="C100" s="164"/>
      <x:c r="D100" s="164"/>
      <x:c r="E100" s="164"/>
      <x:c r="F100" s="158"/>
      <x:c r="G100" s="158"/>
      <x:c r="H100" s="158"/>
      <x:c r="I100" s="158"/>
      <x:c r="J100" s="158"/>
      <x:c r="K100" s="158"/>
      <x:c r="L100" s="158"/>
      <x:c r="M100" s="158"/>
      <x:c r="N100" s="158"/>
    </x:row>
    <x:row r="101">
      <x:c r="A101" s="158"/>
      <x:c r="B101" s="158"/>
      <x:c r="C101" s="164"/>
      <x:c r="D101" s="164"/>
      <x:c r="E101" s="164"/>
      <x:c r="F101" s="158"/>
      <x:c r="G101" s="158"/>
      <x:c r="H101" s="158"/>
      <x:c r="I101" s="158"/>
      <x:c r="J101" s="158"/>
      <x:c r="K101" s="158"/>
      <x:c r="L101" s="158"/>
      <x:c r="M101" s="158"/>
      <x:c r="N101" s="158"/>
    </x:row>
    <x:row r="102">
      <x:c r="A102" s="158"/>
      <x:c r="B102" s="158"/>
      <x:c r="C102" s="164"/>
      <x:c r="D102" s="164"/>
      <x:c r="E102" s="164"/>
      <x:c r="F102" s="158"/>
      <x:c r="G102" s="158"/>
      <x:c r="H102" s="158"/>
      <x:c r="I102" s="158"/>
      <x:c r="J102" s="158"/>
      <x:c r="K102" s="158"/>
      <x:c r="L102" s="158"/>
      <x:c r="M102" s="158"/>
      <x:c r="N102" s="158"/>
    </x:row>
    <x:row r="103">
      <x:c r="A103" s="158"/>
      <x:c r="B103" s="158"/>
      <x:c r="C103" s="164"/>
      <x:c r="D103" s="164"/>
      <x:c r="E103" s="164"/>
      <x:c r="F103" s="158"/>
      <x:c r="G103" s="158"/>
      <x:c r="H103" s="158"/>
      <x:c r="I103" s="158"/>
      <x:c r="J103" s="158"/>
      <x:c r="K103" s="158"/>
      <x:c r="L103" s="158"/>
      <x:c r="M103" s="158"/>
      <x:c r="N103" s="158"/>
    </x:row>
    <x:row r="104">
      <x:c r="A104" s="158"/>
      <x:c r="B104" s="158"/>
      <x:c r="C104" s="164"/>
      <x:c r="D104" s="164"/>
      <x:c r="E104" s="164"/>
      <x:c r="F104" s="158"/>
      <x:c r="G104" s="158"/>
      <x:c r="H104" s="158"/>
      <x:c r="I104" s="158"/>
      <x:c r="J104" s="158"/>
      <x:c r="K104" s="158"/>
      <x:c r="L104" s="158"/>
      <x:c r="M104" s="158"/>
      <x:c r="N104" s="158"/>
    </x:row>
    <x:row r="105">
      <x:c r="A105" s="158"/>
      <x:c r="B105" s="158"/>
      <x:c r="C105" s="164"/>
      <x:c r="D105" s="164"/>
      <x:c r="E105" s="164"/>
      <x:c r="F105" s="158"/>
      <x:c r="G105" s="158"/>
      <x:c r="H105" s="158"/>
      <x:c r="I105" s="158"/>
      <x:c r="J105" s="158"/>
      <x:c r="K105" s="158"/>
      <x:c r="L105" s="158"/>
      <x:c r="M105" s="158"/>
      <x:c r="N105" s="158"/>
    </x:row>
    <x:row r="106">
      <x:c r="A106" s="158"/>
      <x:c r="B106" s="158"/>
      <x:c r="C106" s="164"/>
      <x:c r="D106" s="164"/>
      <x:c r="E106" s="164"/>
      <x:c r="F106" s="158"/>
      <x:c r="G106" s="158"/>
      <x:c r="H106" s="158"/>
      <x:c r="I106" s="158"/>
      <x:c r="J106" s="158"/>
      <x:c r="K106" s="158"/>
      <x:c r="L106" s="158"/>
      <x:c r="M106" s="158"/>
      <x:c r="N106" s="158"/>
    </x:row>
    <x:row r="107">
      <x:c r="A107" s="158"/>
      <x:c r="B107" s="158"/>
      <x:c r="C107" s="164"/>
      <x:c r="D107" s="164"/>
      <x:c r="E107" s="164"/>
      <x:c r="F107" s="158"/>
      <x:c r="G107" s="158"/>
      <x:c r="H107" s="158"/>
      <x:c r="I107" s="158"/>
      <x:c r="J107" s="158"/>
      <x:c r="K107" s="158"/>
      <x:c r="L107" s="158"/>
      <x:c r="M107" s="158"/>
      <x:c r="N107" s="158"/>
    </x:row>
    <x:row r="108">
      <x:c r="A108" s="158"/>
      <x:c r="B108" s="158"/>
      <x:c r="C108" s="164"/>
      <x:c r="D108" s="164"/>
      <x:c r="E108" s="164"/>
      <x:c r="F108" s="158"/>
      <x:c r="G108" s="158"/>
      <x:c r="H108" s="158"/>
      <x:c r="I108" s="158"/>
      <x:c r="J108" s="158"/>
      <x:c r="K108" s="158"/>
      <x:c r="L108" s="158"/>
      <x:c r="M108" s="158"/>
      <x:c r="N108" s="158"/>
    </x:row>
    <x:row r="109">
      <x:c r="A109" s="158"/>
      <x:c r="B109" s="158"/>
      <x:c r="C109" s="164"/>
      <x:c r="D109" s="164"/>
      <x:c r="E109" s="164"/>
      <x:c r="F109" s="158"/>
      <x:c r="G109" s="158"/>
      <x:c r="H109" s="158"/>
      <x:c r="I109" s="158"/>
      <x:c r="J109" s="158"/>
      <x:c r="K109" s="158"/>
      <x:c r="L109" s="158"/>
      <x:c r="M109" s="158"/>
      <x:c r="N109" s="158"/>
    </x:row>
    <x:row r="110">
      <x:c r="A110" s="158"/>
      <x:c r="B110" s="158"/>
      <x:c r="C110" s="164"/>
      <x:c r="D110" s="164"/>
      <x:c r="E110" s="164"/>
      <x:c r="F110" s="158"/>
      <x:c r="G110" s="158"/>
      <x:c r="H110" s="158"/>
      <x:c r="I110" s="158"/>
      <x:c r="J110" s="158"/>
      <x:c r="K110" s="158"/>
      <x:c r="L110" s="158"/>
      <x:c r="M110" s="158"/>
      <x:c r="N110" s="158"/>
    </x:row>
    <x:row r="111">
      <x:c r="A111" s="158"/>
      <x:c r="B111" s="158"/>
      <x:c r="C111" s="164"/>
      <x:c r="D111" s="164"/>
      <x:c r="E111" s="164"/>
      <x:c r="F111" s="158"/>
      <x:c r="G111" s="158"/>
      <x:c r="H111" s="158"/>
      <x:c r="I111" s="158"/>
      <x:c r="J111" s="158"/>
      <x:c r="K111" s="158"/>
      <x:c r="L111" s="158"/>
      <x:c r="M111" s="158"/>
      <x:c r="N111" s="158"/>
    </x:row>
    <x:row r="112">
      <x:c r="A112" s="158"/>
      <x:c r="B112" s="158"/>
      <x:c r="C112" s="164"/>
      <x:c r="D112" s="164"/>
      <x:c r="E112" s="164"/>
      <x:c r="F112" s="158"/>
      <x:c r="G112" s="158"/>
      <x:c r="H112" s="158"/>
      <x:c r="I112" s="158"/>
      <x:c r="J112" s="158"/>
      <x:c r="K112" s="158"/>
      <x:c r="L112" s="158"/>
      <x:c r="M112" s="158"/>
      <x:c r="N112" s="158"/>
    </x:row>
    <x:row r="113">
      <x:c r="A113" s="158"/>
      <x:c r="B113" s="158"/>
      <x:c r="C113" s="164"/>
      <x:c r="D113" s="164"/>
      <x:c r="E113" s="164"/>
      <x:c r="F113" s="158"/>
      <x:c r="G113" s="158"/>
      <x:c r="H113" s="158"/>
      <x:c r="I113" s="158"/>
      <x:c r="J113" s="158"/>
      <x:c r="K113" s="158"/>
      <x:c r="L113" s="158"/>
      <x:c r="M113" s="158"/>
      <x:c r="N113" s="158"/>
    </x:row>
    <x:row r="114">
      <x:c r="A114" s="158"/>
      <x:c r="B114" s="158"/>
      <x:c r="C114" s="164"/>
      <x:c r="D114" s="164"/>
      <x:c r="E114" s="164"/>
      <x:c r="F114" s="158"/>
      <x:c r="G114" s="158"/>
      <x:c r="H114" s="158"/>
      <x:c r="I114" s="158"/>
      <x:c r="J114" s="158"/>
      <x:c r="K114" s="158"/>
      <x:c r="L114" s="158"/>
      <x:c r="M114" s="158"/>
      <x:c r="N114" s="158"/>
    </x:row>
    <x:row r="115">
      <x:c r="A115" s="158"/>
      <x:c r="B115" s="158"/>
      <x:c r="C115" s="164"/>
      <x:c r="D115" s="164"/>
      <x:c r="E115" s="164"/>
      <x:c r="F115" s="158"/>
      <x:c r="G115" s="158"/>
      <x:c r="H115" s="158"/>
      <x:c r="I115" s="158"/>
      <x:c r="J115" s="158"/>
      <x:c r="K115" s="158"/>
      <x:c r="L115" s="158"/>
      <x:c r="M115" s="158"/>
      <x:c r="N115" s="158"/>
    </x:row>
    <x:row r="116">
      <x:c r="A116" s="158"/>
      <x:c r="B116" s="158"/>
      <x:c r="C116" s="164"/>
      <x:c r="D116" s="164"/>
      <x:c r="E116" s="164"/>
      <x:c r="F116" s="158"/>
      <x:c r="G116" s="158"/>
      <x:c r="H116" s="158"/>
      <x:c r="I116" s="158"/>
      <x:c r="J116" s="158"/>
      <x:c r="K116" s="158"/>
      <x:c r="L116" s="158"/>
      <x:c r="M116" s="158"/>
      <x:c r="N116" s="158"/>
    </x:row>
    <x:row r="117">
      <x:c r="A117" s="158"/>
      <x:c r="B117" s="158"/>
      <x:c r="C117" s="164"/>
      <x:c r="D117" s="164"/>
      <x:c r="E117" s="164"/>
      <x:c r="F117" s="158"/>
      <x:c r="G117" s="158"/>
      <x:c r="H117" s="158"/>
      <x:c r="I117" s="158"/>
      <x:c r="J117" s="158"/>
      <x:c r="K117" s="158"/>
      <x:c r="L117" s="158"/>
      <x:c r="M117" s="158"/>
      <x:c r="N117" s="158"/>
    </x:row>
    <x:row r="118">
      <x:c r="A118" s="158"/>
      <x:c r="B118" s="158"/>
      <x:c r="C118" s="164"/>
      <x:c r="D118" s="164"/>
      <x:c r="E118" s="164"/>
      <x:c r="F118" s="158"/>
      <x:c r="G118" s="158"/>
      <x:c r="H118" s="158"/>
      <x:c r="I118" s="158"/>
      <x:c r="J118" s="158"/>
      <x:c r="K118" s="158"/>
      <x:c r="L118" s="158"/>
      <x:c r="M118" s="158"/>
      <x:c r="N118" s="158"/>
    </x:row>
    <x:row r="119">
      <x:c r="A119" s="158"/>
      <x:c r="B119" s="158"/>
      <x:c r="C119" s="164"/>
      <x:c r="D119" s="164"/>
      <x:c r="E119" s="164"/>
      <x:c r="F119" s="158"/>
      <x:c r="G119" s="158"/>
      <x:c r="H119" s="158"/>
      <x:c r="I119" s="158"/>
      <x:c r="J119" s="158"/>
      <x:c r="K119" s="158"/>
      <x:c r="L119" s="158"/>
      <x:c r="M119" s="158"/>
      <x:c r="N119" s="158"/>
    </x:row>
    <x:row r="120">
      <x:c r="A120" s="158"/>
      <x:c r="B120" s="158"/>
      <x:c r="C120" s="164"/>
      <x:c r="D120" s="164"/>
      <x:c r="E120" s="164"/>
      <x:c r="F120" s="158"/>
      <x:c r="G120" s="158"/>
      <x:c r="H120" s="158"/>
      <x:c r="I120" s="158"/>
      <x:c r="J120" s="158"/>
      <x:c r="K120" s="158"/>
      <x:c r="L120" s="158"/>
      <x:c r="M120" s="158"/>
      <x:c r="N120" s="158"/>
    </x:row>
    <x:row r="121">
      <x:c r="A121" s="158"/>
      <x:c r="B121" s="158"/>
      <x:c r="C121" s="164"/>
      <x:c r="D121" s="164"/>
      <x:c r="E121" s="164"/>
      <x:c r="F121" s="158"/>
      <x:c r="G121" s="158"/>
      <x:c r="H121" s="158"/>
      <x:c r="I121" s="158"/>
      <x:c r="J121" s="158"/>
      <x:c r="K121" s="158"/>
      <x:c r="L121" s="158"/>
      <x:c r="M121" s="158"/>
      <x:c r="N121" s="158"/>
    </x:row>
    <x:row r="122">
      <x:c r="A122" s="158"/>
      <x:c r="B122" s="158"/>
      <x:c r="C122" s="164"/>
      <x:c r="D122" s="164"/>
      <x:c r="E122" s="164"/>
      <x:c r="F122" s="158"/>
      <x:c r="G122" s="158"/>
      <x:c r="H122" s="158"/>
      <x:c r="I122" s="158"/>
      <x:c r="J122" s="158"/>
      <x:c r="K122" s="158"/>
      <x:c r="L122" s="158"/>
      <x:c r="M122" s="158"/>
      <x:c r="N122" s="158"/>
    </x:row>
    <x:row r="123">
      <x:c r="A123" s="158"/>
      <x:c r="B123" s="158"/>
      <x:c r="C123" s="164"/>
      <x:c r="D123" s="164"/>
      <x:c r="E123" s="164"/>
      <x:c r="F123" s="158"/>
      <x:c r="G123" s="158"/>
      <x:c r="H123" s="158"/>
      <x:c r="I123" s="158"/>
      <x:c r="J123" s="158"/>
      <x:c r="K123" s="158"/>
      <x:c r="L123" s="158"/>
      <x:c r="M123" s="158"/>
      <x:c r="N123" s="158"/>
    </x:row>
    <x:row r="124">
      <x:c r="A124" s="158"/>
      <x:c r="B124" s="158"/>
      <x:c r="C124" s="164"/>
      <x:c r="D124" s="164"/>
      <x:c r="E124" s="164"/>
      <x:c r="F124" s="158"/>
      <x:c r="G124" s="158"/>
      <x:c r="H124" s="158"/>
      <x:c r="I124" s="158"/>
      <x:c r="J124" s="158"/>
      <x:c r="K124" s="158"/>
      <x:c r="L124" s="158"/>
      <x:c r="M124" s="158"/>
      <x:c r="N124" s="158"/>
    </x:row>
    <x:row r="125">
      <x:c r="A125" s="158"/>
      <x:c r="B125" s="158"/>
      <x:c r="C125" s="164"/>
      <x:c r="D125" s="164"/>
      <x:c r="E125" s="164"/>
      <x:c r="F125" s="158"/>
      <x:c r="G125" s="158"/>
      <x:c r="H125" s="158"/>
      <x:c r="I125" s="158"/>
      <x:c r="J125" s="158"/>
      <x:c r="K125" s="158"/>
      <x:c r="L125" s="158"/>
      <x:c r="M125" s="158"/>
      <x:c r="N125" s="158"/>
    </x:row>
    <x:row r="126">
      <x:c r="A126" s="158"/>
      <x:c r="B126" s="158"/>
      <x:c r="C126" s="164"/>
      <x:c r="D126" s="164"/>
      <x:c r="E126" s="164"/>
      <x:c r="F126" s="158"/>
      <x:c r="G126" s="158"/>
      <x:c r="H126" s="158"/>
      <x:c r="I126" s="158"/>
      <x:c r="J126" s="158"/>
      <x:c r="K126" s="158"/>
      <x:c r="L126" s="158"/>
      <x:c r="M126" s="158"/>
      <x:c r="N126" s="158"/>
    </x:row>
    <x:row r="127">
      <x:c r="A127" s="158"/>
      <x:c r="B127" s="158"/>
      <x:c r="C127" s="164"/>
      <x:c r="D127" s="164"/>
      <x:c r="E127" s="164"/>
      <x:c r="F127" s="158"/>
      <x:c r="G127" s="158"/>
      <x:c r="H127" s="158"/>
      <x:c r="I127" s="158"/>
      <x:c r="J127" s="158"/>
      <x:c r="K127" s="158"/>
      <x:c r="L127" s="158"/>
      <x:c r="M127" s="158"/>
      <x:c r="N127" s="158"/>
    </x:row>
    <x:row r="128">
      <x:c r="A128" s="158"/>
      <x:c r="B128" s="158"/>
      <x:c r="C128" s="164"/>
      <x:c r="D128" s="164"/>
      <x:c r="E128" s="164"/>
      <x:c r="F128" s="158"/>
      <x:c r="G128" s="158"/>
      <x:c r="H128" s="158"/>
      <x:c r="I128" s="158"/>
      <x:c r="J128" s="158"/>
      <x:c r="K128" s="158"/>
      <x:c r="L128" s="158"/>
      <x:c r="M128" s="158"/>
      <x:c r="N128" s="158"/>
    </x:row>
    <x:row r="129">
      <x:c r="A129" s="158"/>
      <x:c r="B129" s="158"/>
      <x:c r="C129" s="164"/>
      <x:c r="D129" s="164"/>
      <x:c r="E129" s="164"/>
      <x:c r="F129" s="158"/>
      <x:c r="G129" s="158"/>
      <x:c r="H129" s="158"/>
      <x:c r="I129" s="158"/>
      <x:c r="J129" s="158"/>
      <x:c r="K129" s="158"/>
      <x:c r="L129" s="158"/>
      <x:c r="M129" s="158"/>
      <x:c r="N129" s="158"/>
    </x:row>
    <x:row r="130">
      <x:c r="A130" s="158"/>
      <x:c r="B130" s="158"/>
      <x:c r="C130" s="164"/>
      <x:c r="D130" s="164"/>
      <x:c r="E130" s="164"/>
      <x:c r="F130" s="158"/>
      <x:c r="G130" s="158"/>
      <x:c r="H130" s="158"/>
      <x:c r="I130" s="158"/>
      <x:c r="J130" s="158"/>
      <x:c r="K130" s="158"/>
      <x:c r="L130" s="158"/>
      <x:c r="M130" s="158"/>
      <x:c r="N130" s="158"/>
    </x:row>
    <x:row r="131">
      <x:c r="A131" s="158"/>
      <x:c r="B131" s="158"/>
      <x:c r="C131" s="164"/>
      <x:c r="D131" s="164"/>
      <x:c r="E131" s="164"/>
      <x:c r="F131" s="158"/>
      <x:c r="G131" s="158"/>
      <x:c r="H131" s="158"/>
      <x:c r="I131" s="158"/>
      <x:c r="J131" s="158"/>
      <x:c r="K131" s="158"/>
      <x:c r="L131" s="158"/>
      <x:c r="M131" s="158"/>
      <x:c r="N131" s="158"/>
    </x:row>
    <x:row r="132">
      <x:c r="A132" s="158"/>
      <x:c r="B132" s="158"/>
      <x:c r="C132" s="164"/>
      <x:c r="D132" s="164"/>
      <x:c r="E132" s="164"/>
      <x:c r="F132" s="158"/>
      <x:c r="G132" s="158"/>
      <x:c r="H132" s="158"/>
      <x:c r="I132" s="158"/>
      <x:c r="J132" s="158"/>
      <x:c r="K132" s="158"/>
      <x:c r="L132" s="158"/>
      <x:c r="M132" s="158"/>
      <x:c r="N132" s="158"/>
    </x:row>
    <x:row r="133">
      <x:c r="A133" s="158"/>
      <x:c r="B133" s="158"/>
      <x:c r="C133" s="164"/>
      <x:c r="D133" s="164"/>
      <x:c r="E133" s="164"/>
      <x:c r="F133" s="158"/>
      <x:c r="G133" s="158"/>
      <x:c r="H133" s="158"/>
      <x:c r="I133" s="158"/>
      <x:c r="J133" s="158"/>
      <x:c r="K133" s="158"/>
      <x:c r="L133" s="158"/>
      <x:c r="M133" s="158"/>
      <x:c r="N133" s="158"/>
    </x:row>
    <x:row r="134">
      <x:c r="A134" s="158"/>
      <x:c r="B134" s="158"/>
      <x:c r="C134" s="164"/>
      <x:c r="D134" s="164"/>
      <x:c r="E134" s="164"/>
      <x:c r="F134" s="158"/>
      <x:c r="G134" s="158"/>
      <x:c r="H134" s="158"/>
      <x:c r="I134" s="158"/>
      <x:c r="J134" s="158"/>
      <x:c r="K134" s="158"/>
      <x:c r="L134" s="158"/>
      <x:c r="M134" s="158"/>
      <x:c r="N134" s="158"/>
    </x:row>
    <x:row r="135">
      <x:c r="A135" s="158"/>
      <x:c r="B135" s="158"/>
      <x:c r="C135" s="164"/>
      <x:c r="D135" s="164"/>
      <x:c r="E135" s="164"/>
      <x:c r="F135" s="158"/>
      <x:c r="G135" s="158"/>
      <x:c r="H135" s="158"/>
      <x:c r="I135" s="158"/>
      <x:c r="J135" s="158"/>
      <x:c r="K135" s="158"/>
      <x:c r="L135" s="158"/>
      <x:c r="M135" s="158"/>
      <x:c r="N135" s="158"/>
    </x:row>
    <x:row r="136">
      <x:c r="A136" s="158"/>
      <x:c r="B136" s="158"/>
      <x:c r="C136" s="164"/>
      <x:c r="D136" s="164"/>
      <x:c r="E136" s="164"/>
      <x:c r="F136" s="158"/>
      <x:c r="G136" s="158"/>
      <x:c r="H136" s="158"/>
      <x:c r="I136" s="158"/>
      <x:c r="J136" s="158"/>
      <x:c r="K136" s="158"/>
      <x:c r="L136" s="158"/>
      <x:c r="M136" s="158"/>
      <x:c r="N136" s="158"/>
    </x:row>
    <x:row r="137">
      <x:c r="A137" s="158"/>
      <x:c r="B137" s="158"/>
      <x:c r="C137" s="164"/>
      <x:c r="D137" s="164"/>
      <x:c r="E137" s="164"/>
      <x:c r="F137" s="158"/>
      <x:c r="G137" s="158"/>
      <x:c r="H137" s="158"/>
      <x:c r="I137" s="158"/>
      <x:c r="J137" s="158"/>
      <x:c r="K137" s="158"/>
      <x:c r="L137" s="158"/>
      <x:c r="M137" s="158"/>
      <x:c r="N137" s="158"/>
    </x:row>
    <x:row r="138">
      <x:c r="A138" s="158"/>
      <x:c r="B138" s="158"/>
      <x:c r="C138" s="164"/>
      <x:c r="D138" s="164"/>
      <x:c r="E138" s="164"/>
      <x:c r="F138" s="158"/>
      <x:c r="G138" s="158"/>
      <x:c r="H138" s="158"/>
      <x:c r="I138" s="158"/>
      <x:c r="J138" s="158"/>
      <x:c r="K138" s="158"/>
      <x:c r="L138" s="158"/>
      <x:c r="M138" s="158"/>
      <x:c r="N138" s="158"/>
    </x:row>
    <x:row r="139">
      <x:c r="A139" s="158"/>
      <x:c r="B139" s="158"/>
      <x:c r="C139" s="164"/>
      <x:c r="D139" s="164"/>
      <x:c r="E139" s="164"/>
      <x:c r="F139" s="158"/>
      <x:c r="G139" s="158"/>
      <x:c r="H139" s="158"/>
      <x:c r="I139" s="158"/>
      <x:c r="J139" s="158"/>
      <x:c r="K139" s="158"/>
      <x:c r="L139" s="158"/>
      <x:c r="M139" s="158"/>
      <x:c r="N139" s="158"/>
    </x:row>
    <x:row r="140">
      <x:c r="A140" s="158"/>
      <x:c r="B140" s="158"/>
      <x:c r="C140" s="164"/>
      <x:c r="D140" s="164"/>
      <x:c r="E140" s="164"/>
      <x:c r="F140" s="158"/>
      <x:c r="G140" s="158"/>
      <x:c r="H140" s="158"/>
      <x:c r="I140" s="158"/>
      <x:c r="J140" s="158"/>
      <x:c r="K140" s="158"/>
      <x:c r="L140" s="158"/>
      <x:c r="M140" s="158"/>
      <x:c r="N140" s="158"/>
    </x:row>
    <x:row r="141">
      <x:c r="A141" s="158"/>
      <x:c r="B141" s="158"/>
      <x:c r="C141" s="164"/>
      <x:c r="D141" s="164"/>
      <x:c r="E141" s="164"/>
      <x:c r="F141" s="158"/>
      <x:c r="G141" s="158"/>
      <x:c r="H141" s="158"/>
      <x:c r="I141" s="158"/>
      <x:c r="J141" s="158"/>
      <x:c r="K141" s="158"/>
      <x:c r="L141" s="158"/>
      <x:c r="M141" s="158"/>
      <x:c r="N141" s="158"/>
    </x:row>
    <x:row r="142">
      <x:c r="A142" s="158"/>
      <x:c r="B142" s="158"/>
      <x:c r="C142" s="164"/>
      <x:c r="D142" s="164"/>
      <x:c r="E142" s="164"/>
      <x:c r="F142" s="158"/>
      <x:c r="G142" s="158"/>
      <x:c r="H142" s="158"/>
      <x:c r="I142" s="158"/>
      <x:c r="J142" s="158"/>
      <x:c r="K142" s="158"/>
      <x:c r="L142" s="158"/>
      <x:c r="M142" s="158"/>
      <x:c r="N142" s="158"/>
    </x:row>
    <x:row r="143">
      <x:c r="A143" s="158"/>
      <x:c r="B143" s="158"/>
      <x:c r="C143" s="164"/>
      <x:c r="D143" s="164"/>
      <x:c r="E143" s="164"/>
      <x:c r="F143" s="158"/>
      <x:c r="G143" s="158"/>
      <x:c r="H143" s="158"/>
      <x:c r="I143" s="158"/>
      <x:c r="J143" s="158"/>
      <x:c r="K143" s="158"/>
      <x:c r="L143" s="158"/>
      <x:c r="M143" s="158"/>
      <x:c r="N143" s="158"/>
    </x:row>
    <x:row r="144">
      <x:c r="A144" s="158"/>
      <x:c r="B144" s="158"/>
      <x:c r="C144" s="164"/>
      <x:c r="D144" s="164"/>
      <x:c r="E144" s="164"/>
      <x:c r="F144" s="158"/>
      <x:c r="G144" s="158"/>
      <x:c r="H144" s="158"/>
      <x:c r="I144" s="158"/>
      <x:c r="J144" s="158"/>
      <x:c r="K144" s="158"/>
      <x:c r="L144" s="158"/>
      <x:c r="M144" s="158"/>
      <x:c r="N144" s="158"/>
    </x:row>
    <x:row r="145">
      <x:c r="A145" s="158"/>
      <x:c r="B145" s="158"/>
      <x:c r="C145" s="164"/>
      <x:c r="D145" s="164"/>
      <x:c r="E145" s="164"/>
      <x:c r="F145" s="158"/>
      <x:c r="G145" s="158"/>
      <x:c r="H145" s="158"/>
      <x:c r="I145" s="158"/>
      <x:c r="J145" s="158"/>
      <x:c r="K145" s="158"/>
      <x:c r="L145" s="158"/>
      <x:c r="M145" s="158"/>
      <x:c r="N145" s="158"/>
    </x:row>
    <x:row r="146">
      <x:c r="A146" s="158"/>
      <x:c r="B146" s="158"/>
      <x:c r="C146" s="164"/>
      <x:c r="D146" s="164"/>
      <x:c r="E146" s="164"/>
      <x:c r="F146" s="158"/>
      <x:c r="G146" s="158"/>
      <x:c r="H146" s="158"/>
      <x:c r="I146" s="158"/>
      <x:c r="J146" s="158"/>
      <x:c r="K146" s="158"/>
      <x:c r="L146" s="158"/>
      <x:c r="M146" s="158"/>
      <x:c r="N146" s="158"/>
    </x:row>
    <x:row r="147">
      <x:c r="A147" s="158"/>
      <x:c r="B147" s="158"/>
      <x:c r="C147" s="164"/>
      <x:c r="D147" s="164"/>
      <x:c r="E147" s="164"/>
      <x:c r="F147" s="158"/>
      <x:c r="G147" s="158"/>
      <x:c r="H147" s="158"/>
      <x:c r="I147" s="158"/>
      <x:c r="J147" s="158"/>
      <x:c r="K147" s="158"/>
      <x:c r="L147" s="158"/>
      <x:c r="M147" s="158"/>
      <x:c r="N147" s="158"/>
    </x:row>
    <x:row r="148">
      <x:c r="A148" s="158"/>
      <x:c r="B148" s="158"/>
      <x:c r="C148" s="164"/>
      <x:c r="D148" s="164"/>
      <x:c r="E148" s="164"/>
      <x:c r="F148" s="158"/>
      <x:c r="G148" s="158"/>
      <x:c r="H148" s="158"/>
      <x:c r="I148" s="158"/>
      <x:c r="J148" s="158"/>
      <x:c r="K148" s="158"/>
      <x:c r="L148" s="158"/>
      <x:c r="M148" s="158"/>
      <x:c r="N148" s="158"/>
    </x:row>
    <x:row r="149">
      <x:c r="A149" s="158"/>
      <x:c r="B149" s="158"/>
      <x:c r="C149" s="164"/>
      <x:c r="D149" s="164"/>
      <x:c r="E149" s="164"/>
      <x:c r="F149" s="158"/>
      <x:c r="G149" s="158"/>
      <x:c r="H149" s="158"/>
      <x:c r="I149" s="158"/>
      <x:c r="J149" s="158"/>
      <x:c r="K149" s="158"/>
      <x:c r="L149" s="158"/>
      <x:c r="M149" s="158"/>
      <x:c r="N149" s="158"/>
    </x:row>
    <x:row r="150">
      <x:c r="A150" s="158"/>
      <x:c r="B150" s="158"/>
      <x:c r="C150" s="164"/>
      <x:c r="D150" s="164"/>
      <x:c r="E150" s="164"/>
      <x:c r="F150" s="158"/>
      <x:c r="G150" s="158"/>
      <x:c r="H150" s="158"/>
      <x:c r="I150" s="158"/>
      <x:c r="J150" s="158"/>
      <x:c r="K150" s="158"/>
      <x:c r="L150" s="158"/>
      <x:c r="M150" s="158"/>
      <x:c r="N150" s="158"/>
    </x:row>
    <x:row r="151">
      <x:c r="A151" s="158"/>
      <x:c r="B151" s="158"/>
      <x:c r="C151" s="164"/>
      <x:c r="D151" s="164"/>
      <x:c r="E151" s="164"/>
      <x:c r="F151" s="158"/>
      <x:c r="G151" s="158"/>
      <x:c r="H151" s="158"/>
      <x:c r="I151" s="158"/>
      <x:c r="J151" s="158"/>
      <x:c r="K151" s="158"/>
      <x:c r="L151" s="158"/>
      <x:c r="M151" s="158"/>
      <x:c r="N151" s="158"/>
    </x:row>
    <x:row r="152">
      <x:c r="A152" s="158"/>
      <x:c r="B152" s="158"/>
      <x:c r="C152" s="164"/>
      <x:c r="D152" s="164"/>
      <x:c r="E152" s="164"/>
      <x:c r="F152" s="158"/>
      <x:c r="G152" s="158"/>
      <x:c r="H152" s="158"/>
      <x:c r="I152" s="158"/>
      <x:c r="J152" s="158"/>
      <x:c r="K152" s="158"/>
      <x:c r="L152" s="158"/>
      <x:c r="M152" s="158"/>
      <x:c r="N152" s="158"/>
    </x:row>
    <x:row r="153">
      <x:c r="A153" s="158"/>
      <x:c r="B153" s="158"/>
      <x:c r="C153" s="164"/>
      <x:c r="D153" s="164"/>
      <x:c r="E153" s="164"/>
      <x:c r="F153" s="158"/>
      <x:c r="G153" s="158"/>
      <x:c r="H153" s="158"/>
      <x:c r="I153" s="158"/>
      <x:c r="J153" s="158"/>
      <x:c r="K153" s="158"/>
      <x:c r="L153" s="158"/>
      <x:c r="M153" s="158"/>
      <x:c r="N153" s="158"/>
    </x:row>
    <x:row r="154">
      <x:c r="A154" s="158"/>
      <x:c r="B154" s="158"/>
      <x:c r="C154" s="164"/>
      <x:c r="D154" s="164"/>
      <x:c r="E154" s="164"/>
      <x:c r="F154" s="158"/>
      <x:c r="G154" s="158"/>
      <x:c r="H154" s="158"/>
      <x:c r="I154" s="158"/>
      <x:c r="J154" s="158"/>
      <x:c r="K154" s="158"/>
      <x:c r="L154" s="158"/>
      <x:c r="M154" s="158"/>
      <x:c r="N154" s="158"/>
    </x:row>
    <x:row r="155">
      <x:c r="A155" s="158"/>
      <x:c r="B155" s="158"/>
      <x:c r="C155" s="164"/>
      <x:c r="D155" s="164"/>
      <x:c r="E155" s="164"/>
      <x:c r="F155" s="158"/>
      <x:c r="G155" s="158"/>
      <x:c r="H155" s="158"/>
      <x:c r="I155" s="158"/>
      <x:c r="J155" s="158"/>
      <x:c r="K155" s="158"/>
      <x:c r="L155" s="158"/>
      <x:c r="M155" s="158"/>
      <x:c r="N155" s="158"/>
    </x:row>
    <x:row r="156">
      <x:c r="A156" s="158"/>
      <x:c r="B156" s="158"/>
      <x:c r="C156" s="164"/>
      <x:c r="D156" s="164"/>
      <x:c r="E156" s="164"/>
      <x:c r="F156" s="158"/>
      <x:c r="G156" s="158"/>
      <x:c r="H156" s="158"/>
      <x:c r="I156" s="158"/>
      <x:c r="J156" s="158"/>
      <x:c r="K156" s="158"/>
      <x:c r="L156" s="158"/>
      <x:c r="M156" s="158"/>
      <x:c r="N156" s="158"/>
    </x:row>
    <x:row r="157">
      <x:c r="A157" s="158"/>
      <x:c r="B157" s="158"/>
      <x:c r="C157" s="164"/>
      <x:c r="D157" s="164"/>
      <x:c r="E157" s="164"/>
      <x:c r="F157" s="158"/>
      <x:c r="G157" s="158"/>
      <x:c r="H157" s="158"/>
      <x:c r="I157" s="158"/>
      <x:c r="J157" s="158"/>
      <x:c r="K157" s="158"/>
      <x:c r="L157" s="158"/>
      <x:c r="M157" s="158"/>
      <x:c r="N157" s="158"/>
    </x:row>
    <x:row r="158">
      <x:c r="A158" s="158"/>
      <x:c r="B158" s="158"/>
      <x:c r="C158" s="164"/>
      <x:c r="D158" s="164"/>
      <x:c r="E158" s="164"/>
      <x:c r="F158" s="158"/>
      <x:c r="G158" s="158"/>
      <x:c r="H158" s="158"/>
      <x:c r="I158" s="158"/>
      <x:c r="J158" s="158"/>
      <x:c r="K158" s="158"/>
      <x:c r="L158" s="158"/>
      <x:c r="M158" s="158"/>
      <x:c r="N158" s="158"/>
    </x:row>
    <x:row r="159">
      <x:c r="A159" s="158"/>
      <x:c r="B159" s="158"/>
      <x:c r="C159" s="164"/>
      <x:c r="D159" s="164"/>
      <x:c r="E159" s="164"/>
      <x:c r="F159" s="158"/>
      <x:c r="G159" s="158"/>
      <x:c r="H159" s="158"/>
      <x:c r="I159" s="158"/>
      <x:c r="J159" s="158"/>
      <x:c r="K159" s="158"/>
      <x:c r="L159" s="158"/>
      <x:c r="M159" s="158"/>
      <x:c r="N159" s="158"/>
    </x:row>
    <x:row r="160">
      <x:c r="A160" s="158"/>
      <x:c r="B160" s="158"/>
      <x:c r="C160" s="164"/>
      <x:c r="D160" s="164"/>
      <x:c r="E160" s="164"/>
      <x:c r="F160" s="158"/>
      <x:c r="G160" s="158"/>
      <x:c r="H160" s="158"/>
      <x:c r="I160" s="158"/>
      <x:c r="J160" s="158"/>
      <x:c r="K160" s="158"/>
      <x:c r="L160" s="158"/>
      <x:c r="M160" s="158"/>
      <x:c r="N160" s="158"/>
    </x:row>
    <x:row r="161">
      <x:c r="A161" s="158"/>
      <x:c r="B161" s="158"/>
      <x:c r="C161" s="164"/>
      <x:c r="D161" s="164"/>
      <x:c r="E161" s="164"/>
      <x:c r="F161" s="158"/>
      <x:c r="G161" s="158"/>
      <x:c r="H161" s="158"/>
      <x:c r="I161" s="158"/>
      <x:c r="J161" s="158"/>
      <x:c r="K161" s="158"/>
      <x:c r="L161" s="158"/>
      <x:c r="M161" s="158"/>
      <x:c r="N161" s="158"/>
    </x:row>
    <x:row r="162">
      <x:c r="A162" s="158"/>
      <x:c r="B162" s="158"/>
      <x:c r="C162" s="164"/>
      <x:c r="D162" s="164"/>
      <x:c r="E162" s="164"/>
      <x:c r="F162" s="158"/>
      <x:c r="G162" s="158"/>
      <x:c r="H162" s="158"/>
      <x:c r="I162" s="158"/>
      <x:c r="J162" s="158"/>
      <x:c r="K162" s="158"/>
      <x:c r="L162" s="158"/>
      <x:c r="M162" s="158"/>
      <x:c r="N162" s="158"/>
    </x:row>
    <x:row r="163">
      <x:c r="A163" s="158"/>
      <x:c r="B163" s="158"/>
      <x:c r="C163" s="164"/>
      <x:c r="D163" s="164"/>
      <x:c r="E163" s="164"/>
      <x:c r="F163" s="158"/>
      <x:c r="G163" s="158"/>
      <x:c r="H163" s="158"/>
      <x:c r="I163" s="158"/>
      <x:c r="J163" s="158"/>
      <x:c r="K163" s="158"/>
      <x:c r="L163" s="158"/>
      <x:c r="M163" s="158"/>
      <x:c r="N163" s="158"/>
    </x:row>
    <x:row r="164">
      <x:c r="A164" s="158"/>
      <x:c r="B164" s="158"/>
      <x:c r="C164" s="164"/>
      <x:c r="D164" s="164"/>
      <x:c r="E164" s="164"/>
      <x:c r="F164" s="158"/>
      <x:c r="G164" s="158"/>
      <x:c r="H164" s="158"/>
      <x:c r="I164" s="158"/>
      <x:c r="J164" s="158"/>
      <x:c r="K164" s="158"/>
      <x:c r="L164" s="158"/>
      <x:c r="M164" s="158"/>
      <x:c r="N164" s="158"/>
    </x:row>
    <x:row r="165">
      <x:c r="A165" s="158"/>
      <x:c r="B165" s="158"/>
      <x:c r="C165" s="164"/>
      <x:c r="D165" s="164"/>
      <x:c r="E165" s="164"/>
      <x:c r="F165" s="158"/>
      <x:c r="G165" s="158"/>
      <x:c r="H165" s="158"/>
      <x:c r="I165" s="158"/>
      <x:c r="J165" s="158"/>
      <x:c r="K165" s="158"/>
      <x:c r="L165" s="158"/>
      <x:c r="M165" s="158"/>
      <x:c r="N165" s="158"/>
    </x:row>
    <x:row r="166">
      <x:c r="A166" s="158"/>
      <x:c r="B166" s="158"/>
      <x:c r="C166" s="164"/>
      <x:c r="D166" s="164"/>
      <x:c r="E166" s="164"/>
      <x:c r="F166" s="158"/>
      <x:c r="G166" s="158"/>
      <x:c r="H166" s="158"/>
      <x:c r="I166" s="158"/>
      <x:c r="J166" s="158"/>
      <x:c r="K166" s="158"/>
      <x:c r="L166" s="158"/>
      <x:c r="M166" s="158"/>
      <x:c r="N166" s="158"/>
    </x:row>
    <x:row r="167">
      <x:c r="A167" s="158"/>
      <x:c r="B167" s="158"/>
      <x:c r="C167" s="164"/>
      <x:c r="D167" s="164"/>
      <x:c r="E167" s="164"/>
      <x:c r="F167" s="158"/>
      <x:c r="G167" s="158"/>
      <x:c r="H167" s="158"/>
      <x:c r="I167" s="158"/>
      <x:c r="J167" s="158"/>
      <x:c r="K167" s="158"/>
      <x:c r="L167" s="158"/>
      <x:c r="M167" s="158"/>
      <x:c r="N167" s="158"/>
    </x:row>
    <x:row r="168">
      <x:c r="A168" s="158"/>
      <x:c r="B168" s="158"/>
      <x:c r="C168" s="164"/>
      <x:c r="D168" s="164"/>
      <x:c r="E168" s="164"/>
      <x:c r="F168" s="158"/>
      <x:c r="G168" s="158"/>
      <x:c r="H168" s="158"/>
      <x:c r="I168" s="158"/>
      <x:c r="J168" s="158"/>
      <x:c r="K168" s="158"/>
      <x:c r="L168" s="158"/>
      <x:c r="M168" s="158"/>
      <x:c r="N168" s="158"/>
    </x:row>
    <x:row r="169">
      <x:c r="A169" s="158"/>
      <x:c r="B169" s="158"/>
      <x:c r="C169" s="164"/>
      <x:c r="D169" s="164"/>
      <x:c r="E169" s="164"/>
      <x:c r="F169" s="158"/>
      <x:c r="G169" s="158"/>
      <x:c r="H169" s="158"/>
      <x:c r="I169" s="158"/>
      <x:c r="J169" s="158"/>
      <x:c r="K169" s="158"/>
      <x:c r="L169" s="158"/>
      <x:c r="M169" s="158"/>
      <x:c r="N169" s="158"/>
    </x:row>
    <x:row r="170">
      <x:c r="A170" s="158"/>
      <x:c r="B170" s="158"/>
      <x:c r="C170" s="164"/>
      <x:c r="D170" s="164"/>
      <x:c r="E170" s="164"/>
      <x:c r="F170" s="158"/>
      <x:c r="G170" s="158"/>
      <x:c r="H170" s="158"/>
      <x:c r="I170" s="158"/>
      <x:c r="J170" s="158"/>
      <x:c r="K170" s="158"/>
      <x:c r="L170" s="158"/>
      <x:c r="M170" s="158"/>
      <x:c r="N170" s="158"/>
    </x:row>
    <x:row r="171">
      <x:c r="A171" s="158"/>
      <x:c r="B171" s="158"/>
      <x:c r="C171" s="164"/>
      <x:c r="D171" s="164"/>
      <x:c r="E171" s="164"/>
      <x:c r="F171" s="158"/>
      <x:c r="G171" s="158"/>
      <x:c r="H171" s="158"/>
      <x:c r="I171" s="158"/>
      <x:c r="J171" s="158"/>
      <x:c r="K171" s="158"/>
      <x:c r="L171" s="158"/>
      <x:c r="M171" s="158"/>
      <x:c r="N171" s="158"/>
    </x:row>
    <x:row r="172">
      <x:c r="A172" s="158"/>
      <x:c r="B172" s="158"/>
      <x:c r="C172" s="164"/>
      <x:c r="D172" s="164"/>
      <x:c r="E172" s="164"/>
      <x:c r="F172" s="158"/>
      <x:c r="G172" s="158"/>
      <x:c r="H172" s="158"/>
      <x:c r="I172" s="158"/>
      <x:c r="J172" s="158"/>
      <x:c r="K172" s="158"/>
      <x:c r="L172" s="158"/>
      <x:c r="M172" s="158"/>
      <x:c r="N172" s="158"/>
    </x:row>
    <x:row r="173">
      <x:c r="A173" s="158"/>
      <x:c r="B173" s="158"/>
      <x:c r="C173" s="164"/>
      <x:c r="D173" s="164"/>
      <x:c r="E173" s="164"/>
      <x:c r="F173" s="158"/>
      <x:c r="G173" s="158"/>
      <x:c r="H173" s="158"/>
      <x:c r="I173" s="158"/>
      <x:c r="J173" s="158"/>
      <x:c r="K173" s="158"/>
      <x:c r="L173" s="158"/>
      <x:c r="M173" s="158"/>
      <x:c r="N173" s="158"/>
    </x:row>
    <x:row r="174">
      <x:c r="A174" s="158"/>
      <x:c r="B174" s="158"/>
      <x:c r="C174" s="164"/>
      <x:c r="D174" s="164"/>
      <x:c r="E174" s="164"/>
      <x:c r="F174" s="158"/>
      <x:c r="G174" s="158"/>
      <x:c r="H174" s="158"/>
      <x:c r="I174" s="158"/>
      <x:c r="J174" s="158"/>
      <x:c r="K174" s="158"/>
      <x:c r="L174" s="158"/>
      <x:c r="M174" s="158"/>
      <x:c r="N174" s="158"/>
    </x:row>
    <x:row r="175">
      <x:c r="A175" s="158"/>
      <x:c r="B175" s="158"/>
      <x:c r="C175" s="164"/>
      <x:c r="D175" s="164"/>
      <x:c r="E175" s="164"/>
      <x:c r="F175" s="158"/>
      <x:c r="G175" s="158"/>
      <x:c r="H175" s="158"/>
      <x:c r="I175" s="158"/>
      <x:c r="J175" s="158"/>
      <x:c r="K175" s="158"/>
      <x:c r="L175" s="158"/>
      <x:c r="M175" s="158"/>
      <x:c r="N175" s="158"/>
    </x:row>
    <x:row r="176">
      <x:c r="A176" s="158"/>
      <x:c r="B176" s="158"/>
      <x:c r="C176" s="164"/>
      <x:c r="D176" s="164"/>
      <x:c r="E176" s="164"/>
      <x:c r="F176" s="158"/>
      <x:c r="G176" s="158"/>
      <x:c r="H176" s="158"/>
      <x:c r="I176" s="158"/>
      <x:c r="J176" s="158"/>
      <x:c r="K176" s="158"/>
      <x:c r="L176" s="158"/>
      <x:c r="M176" s="158"/>
      <x:c r="N176" s="158"/>
    </x:row>
    <x:row r="177">
      <x:c r="A177" s="158"/>
      <x:c r="B177" s="158"/>
      <x:c r="C177" s="164"/>
      <x:c r="D177" s="164"/>
      <x:c r="E177" s="164"/>
      <x:c r="F177" s="158"/>
      <x:c r="G177" s="158"/>
      <x:c r="H177" s="158"/>
      <x:c r="I177" s="158"/>
      <x:c r="J177" s="158"/>
      <x:c r="K177" s="158"/>
      <x:c r="L177" s="158"/>
      <x:c r="M177" s="158"/>
      <x:c r="N177" s="158"/>
    </x:row>
    <x:row r="178">
      <x:c r="A178" s="158"/>
      <x:c r="B178" s="158"/>
      <x:c r="C178" s="164"/>
      <x:c r="D178" s="164"/>
      <x:c r="E178" s="164"/>
      <x:c r="F178" s="158"/>
      <x:c r="G178" s="158"/>
      <x:c r="H178" s="158"/>
      <x:c r="I178" s="158"/>
      <x:c r="J178" s="158"/>
      <x:c r="K178" s="158"/>
      <x:c r="L178" s="158"/>
      <x:c r="M178" s="158"/>
      <x:c r="N178" s="158"/>
    </x:row>
    <x:row r="179">
      <x:c r="A179" s="158"/>
      <x:c r="B179" s="158"/>
      <x:c r="C179" s="164"/>
      <x:c r="D179" s="164"/>
      <x:c r="E179" s="164"/>
      <x:c r="F179" s="158"/>
      <x:c r="G179" s="158"/>
      <x:c r="H179" s="158"/>
      <x:c r="I179" s="158"/>
      <x:c r="J179" s="158"/>
      <x:c r="K179" s="158"/>
      <x:c r="L179" s="158"/>
      <x:c r="M179" s="158"/>
      <x:c r="N179" s="158"/>
    </x:row>
    <x:row r="180">
      <x:c r="A180" s="158"/>
      <x:c r="B180" s="158"/>
      <x:c r="C180" s="164"/>
      <x:c r="D180" s="164"/>
      <x:c r="E180" s="164"/>
      <x:c r="F180" s="158"/>
      <x:c r="G180" s="158"/>
      <x:c r="H180" s="158"/>
      <x:c r="I180" s="158"/>
      <x:c r="J180" s="158"/>
      <x:c r="K180" s="158"/>
      <x:c r="L180" s="158"/>
      <x:c r="M180" s="158"/>
      <x:c r="N180" s="158"/>
    </x:row>
    <x:row r="181">
      <x:c r="A181" s="158"/>
      <x:c r="B181" s="158"/>
      <x:c r="C181" s="164"/>
      <x:c r="D181" s="164"/>
      <x:c r="E181" s="164"/>
      <x:c r="F181" s="158"/>
      <x:c r="G181" s="158"/>
      <x:c r="H181" s="158"/>
      <x:c r="I181" s="158"/>
      <x:c r="J181" s="158"/>
      <x:c r="K181" s="158"/>
      <x:c r="L181" s="158"/>
      <x:c r="M181" s="158"/>
      <x:c r="N181" s="158"/>
    </x:row>
    <x:row r="182">
      <x:c r="A182" s="158"/>
      <x:c r="B182" s="158"/>
      <x:c r="C182" s="164"/>
      <x:c r="D182" s="164"/>
      <x:c r="E182" s="164"/>
      <x:c r="F182" s="158"/>
      <x:c r="G182" s="158"/>
      <x:c r="H182" s="158"/>
      <x:c r="I182" s="158"/>
      <x:c r="J182" s="158"/>
      <x:c r="K182" s="158"/>
      <x:c r="L182" s="158"/>
      <x:c r="M182" s="158"/>
      <x:c r="N182" s="158"/>
    </x:row>
    <x:row r="183">
      <x:c r="A183" s="158"/>
      <x:c r="B183" s="158"/>
      <x:c r="C183" s="164"/>
      <x:c r="D183" s="164"/>
      <x:c r="E183" s="164"/>
      <x:c r="F183" s="158"/>
      <x:c r="G183" s="158"/>
      <x:c r="H183" s="158"/>
      <x:c r="I183" s="158"/>
      <x:c r="J183" s="158"/>
      <x:c r="K183" s="158"/>
      <x:c r="L183" s="158"/>
      <x:c r="M183" s="158"/>
      <x:c r="N183" s="158"/>
    </x:row>
    <x:row r="184">
      <x:c r="A184" s="158"/>
      <x:c r="B184" s="158"/>
      <x:c r="C184" s="164"/>
      <x:c r="D184" s="164"/>
      <x:c r="E184" s="164"/>
      <x:c r="F184" s="158"/>
      <x:c r="G184" s="158"/>
      <x:c r="H184" s="158"/>
      <x:c r="I184" s="158"/>
      <x:c r="J184" s="158"/>
      <x:c r="K184" s="158"/>
      <x:c r="L184" s="158"/>
      <x:c r="M184" s="158"/>
      <x:c r="N184" s="158"/>
    </x:row>
    <x:row r="185">
      <x:c r="A185" s="158"/>
      <x:c r="B185" s="158"/>
      <x:c r="C185" s="164"/>
      <x:c r="D185" s="164"/>
      <x:c r="E185" s="164"/>
      <x:c r="F185" s="158"/>
      <x:c r="G185" s="158"/>
      <x:c r="H185" s="158"/>
      <x:c r="I185" s="158"/>
      <x:c r="J185" s="158"/>
      <x:c r="K185" s="158"/>
      <x:c r="L185" s="158"/>
      <x:c r="M185" s="158"/>
      <x:c r="N185" s="158"/>
    </x:row>
    <x:row r="186">
      <x:c r="A186" s="158"/>
      <x:c r="B186" s="158"/>
      <x:c r="C186" s="164"/>
      <x:c r="D186" s="164"/>
      <x:c r="E186" s="164"/>
      <x:c r="F186" s="158"/>
      <x:c r="G186" s="158"/>
      <x:c r="H186" s="158"/>
      <x:c r="I186" s="158"/>
      <x:c r="J186" s="158"/>
      <x:c r="K186" s="158"/>
      <x:c r="L186" s="158"/>
      <x:c r="M186" s="158"/>
      <x:c r="N186" s="158"/>
    </x:row>
    <x:row r="187">
      <x:c r="A187" s="158"/>
      <x:c r="B187" s="158"/>
      <x:c r="C187" s="164"/>
      <x:c r="D187" s="164"/>
      <x:c r="E187" s="164"/>
      <x:c r="F187" s="158"/>
      <x:c r="G187" s="158"/>
      <x:c r="H187" s="158"/>
      <x:c r="I187" s="158"/>
      <x:c r="J187" s="158"/>
      <x:c r="K187" s="158"/>
      <x:c r="L187" s="158"/>
      <x:c r="M187" s="158"/>
      <x:c r="N187" s="158"/>
    </x:row>
    <x:row r="188">
      <x:c r="A188" s="158"/>
      <x:c r="B188" s="158"/>
      <x:c r="C188" s="164"/>
      <x:c r="D188" s="164"/>
      <x:c r="E188" s="164"/>
      <x:c r="F188" s="158"/>
      <x:c r="G188" s="158"/>
      <x:c r="H188" s="158"/>
      <x:c r="I188" s="158"/>
      <x:c r="J188" s="158"/>
      <x:c r="K188" s="158"/>
      <x:c r="L188" s="158"/>
      <x:c r="M188" s="158"/>
      <x:c r="N188" s="158"/>
    </x:row>
    <x:row r="189">
      <x:c r="A189" s="158"/>
      <x:c r="B189" s="158"/>
      <x:c r="C189" s="164"/>
      <x:c r="D189" s="164"/>
      <x:c r="E189" s="164"/>
      <x:c r="F189" s="158"/>
      <x:c r="G189" s="158"/>
      <x:c r="H189" s="158"/>
      <x:c r="I189" s="158"/>
      <x:c r="J189" s="158"/>
      <x:c r="K189" s="158"/>
      <x:c r="L189" s="158"/>
      <x:c r="M189" s="158"/>
      <x:c r="N189" s="158"/>
    </x:row>
    <x:row r="190">
      <x:c r="A190" s="158"/>
      <x:c r="B190" s="158"/>
      <x:c r="C190" s="164"/>
      <x:c r="D190" s="164"/>
      <x:c r="E190" s="164"/>
      <x:c r="F190" s="158"/>
      <x:c r="G190" s="158"/>
      <x:c r="H190" s="158"/>
      <x:c r="I190" s="158"/>
      <x:c r="J190" s="158"/>
      <x:c r="K190" s="158"/>
      <x:c r="L190" s="158"/>
      <x:c r="M190" s="158"/>
      <x:c r="N190" s="158"/>
    </x:row>
    <x:row r="191">
      <x:c r="A191" s="158"/>
      <x:c r="B191" s="158"/>
      <x:c r="C191" s="164"/>
      <x:c r="D191" s="164"/>
      <x:c r="E191" s="164"/>
      <x:c r="F191" s="158"/>
      <x:c r="G191" s="158"/>
      <x:c r="H191" s="158"/>
      <x:c r="I191" s="158"/>
      <x:c r="J191" s="158"/>
      <x:c r="K191" s="158"/>
      <x:c r="L191" s="158"/>
      <x:c r="M191" s="158"/>
      <x:c r="N191" s="158"/>
    </x:row>
    <x:row r="192">
      <x:c r="A192" s="158"/>
      <x:c r="B192" s="158"/>
      <x:c r="C192" s="164"/>
      <x:c r="D192" s="164"/>
      <x:c r="E192" s="164"/>
      <x:c r="F192" s="158"/>
      <x:c r="G192" s="158"/>
      <x:c r="H192" s="158"/>
      <x:c r="I192" s="158"/>
      <x:c r="J192" s="158"/>
      <x:c r="K192" s="158"/>
      <x:c r="L192" s="158"/>
      <x:c r="M192" s="158"/>
      <x:c r="N192" s="158"/>
    </x:row>
    <x:row r="193">
      <x:c r="A193" s="158"/>
      <x:c r="B193" s="158"/>
      <x:c r="C193" s="164"/>
      <x:c r="D193" s="164"/>
      <x:c r="E193" s="164"/>
      <x:c r="F193" s="158"/>
      <x:c r="G193" s="158"/>
      <x:c r="H193" s="158"/>
      <x:c r="I193" s="158"/>
      <x:c r="J193" s="158"/>
      <x:c r="K193" s="158"/>
      <x:c r="L193" s="158"/>
      <x:c r="M193" s="158"/>
      <x:c r="N193" s="158"/>
    </x:row>
    <x:row r="194">
      <x:c r="A194" s="158"/>
      <x:c r="B194" s="158"/>
      <x:c r="C194" s="164"/>
      <x:c r="D194" s="164"/>
      <x:c r="E194" s="164"/>
      <x:c r="F194" s="158"/>
      <x:c r="G194" s="158"/>
      <x:c r="H194" s="158"/>
      <x:c r="I194" s="158"/>
      <x:c r="J194" s="158"/>
      <x:c r="K194" s="158"/>
      <x:c r="L194" s="158"/>
      <x:c r="M194" s="158"/>
      <x:c r="N194" s="158"/>
    </x:row>
    <x:row r="195">
      <x:c r="A195" s="158"/>
      <x:c r="B195" s="158"/>
      <x:c r="C195" s="164"/>
      <x:c r="D195" s="164"/>
      <x:c r="E195" s="164"/>
      <x:c r="F195" s="158"/>
      <x:c r="G195" s="158"/>
      <x:c r="H195" s="158"/>
      <x:c r="I195" s="158"/>
      <x:c r="J195" s="158"/>
      <x:c r="K195" s="158"/>
      <x:c r="L195" s="158"/>
      <x:c r="M195" s="158"/>
      <x:c r="N195" s="158"/>
    </x:row>
    <x:row r="196">
      <x:c r="A196" s="158"/>
      <x:c r="B196" s="158"/>
      <x:c r="C196" s="164"/>
      <x:c r="D196" s="164"/>
      <x:c r="E196" s="164"/>
      <x:c r="F196" s="158"/>
      <x:c r="G196" s="158"/>
      <x:c r="H196" s="158"/>
      <x:c r="I196" s="158"/>
      <x:c r="J196" s="158"/>
      <x:c r="K196" s="158"/>
      <x:c r="L196" s="158"/>
      <x:c r="M196" s="158"/>
      <x:c r="N196" s="158"/>
    </x:row>
    <x:row r="197">
      <x:c r="A197" s="158"/>
      <x:c r="B197" s="158"/>
      <x:c r="C197" s="164"/>
      <x:c r="D197" s="164"/>
      <x:c r="E197" s="164"/>
      <x:c r="F197" s="158"/>
      <x:c r="G197" s="158"/>
      <x:c r="H197" s="158"/>
      <x:c r="I197" s="158"/>
      <x:c r="J197" s="158"/>
      <x:c r="K197" s="158"/>
      <x:c r="L197" s="158"/>
      <x:c r="M197" s="158"/>
      <x:c r="N197" s="158"/>
    </x:row>
    <x:row r="198">
      <x:c r="A198" s="158"/>
      <x:c r="B198" s="158"/>
      <x:c r="C198" s="164"/>
      <x:c r="D198" s="164"/>
      <x:c r="E198" s="164"/>
      <x:c r="F198" s="158"/>
      <x:c r="G198" s="158"/>
      <x:c r="H198" s="158"/>
      <x:c r="I198" s="158"/>
      <x:c r="J198" s="158"/>
      <x:c r="K198" s="158"/>
      <x:c r="L198" s="158"/>
      <x:c r="M198" s="158"/>
      <x:c r="N198" s="158"/>
    </x:row>
    <x:row r="199">
      <x:c r="A199" s="158"/>
      <x:c r="B199" s="158"/>
      <x:c r="C199" s="164"/>
      <x:c r="D199" s="164"/>
      <x:c r="E199" s="164"/>
      <x:c r="F199" s="158"/>
      <x:c r="G199" s="158"/>
      <x:c r="H199" s="158"/>
      <x:c r="I199" s="158"/>
      <x:c r="J199" s="158"/>
      <x:c r="K199" s="158"/>
      <x:c r="L199" s="158"/>
      <x:c r="M199" s="158"/>
      <x:c r="N199" s="158"/>
    </x:row>
    <x:row r="200">
      <x:c r="A200" s="158"/>
      <x:c r="B200" s="158"/>
      <x:c r="C200" s="164"/>
      <x:c r="D200" s="164"/>
      <x:c r="E200" s="164"/>
      <x:c r="F200" s="158"/>
      <x:c r="G200" s="158"/>
      <x:c r="H200" s="158"/>
      <x:c r="I200" s="158"/>
      <x:c r="J200" s="158"/>
      <x:c r="K200" s="158"/>
      <x:c r="L200" s="158"/>
      <x:c r="M200" s="158"/>
      <x:c r="N200" s="158"/>
    </x:row>
  </x:sheetData>
  <x:mergeCells>
    <x:mergeCell ref="A1:N1"/>
    <x:mergeCell ref="A2:N2"/>
    <x:mergeCell ref="A7:N7"/>
    <x:mergeCell ref="A29:N29"/>
    <x:mergeCell ref="A42:N42"/>
    <x:mergeCell ref="A64:N64"/>
    <x:mergeCell ref="C66:N66"/>
    <x:mergeCell ref="A69:N69"/>
    <x:mergeCell ref="A79:N79"/>
  </x:mergeCells>
  <x:conditionalFormatting sqref="C26:N26">
    <x:cfRule type="expression" dxfId="0" priority="1">
      <x:formula>ABS(C26)&gt;0.5</x:formula>
    </x:cfRule>
  </x:conditionalFormatting>
  <x:conditionalFormatting sqref="C80:N84">
    <x:cfRule type="expression" dxfId="1" priority="2">
      <x:formula>ABS(C80)&gt;0.5</x:formula>
    </x:cfRule>
  </x:conditionalFormatting>
  <x:pageMargins left="0.7" right="0.7" top="0.75" bottom="0.75" header="0.3" footer="0.3"/>
  <x:drawing xmlns:r="http://schemas.openxmlformats.org/officeDocument/2006/relationships" r:id="Rffb49797e92b4b8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Revenue 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4" t="str">
        <x:v>Primary operating build: R&amp;D (FTE + FFS), D&amp;M residual portfolios, Specialty Ingredients and quarterly monitoring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</x:row>
    <x:row r="4" ht="20" customHeight="1">
      <x:c r="A4" s="30" t="str">
        <x:v>INR million, except per-share / operating data</x:v>
      </x:c>
      <x:c r="B4" s="30" t="str">
        <x:v>Classification</x:v>
      </x:c>
      <x:c r="C4" s="24" t="str">
        <x:v>FY24</x:v>
      </x:c>
      <x:c r="D4" s="24" t="str">
        <x:v>FY25</x:v>
      </x:c>
      <x:c r="E4" s="24" t="str">
        <x:v>FY26</x:v>
      </x:c>
      <x:c r="F4" s="24" t="str">
        <x:v>FY27</x:v>
      </x:c>
      <x:c r="G4" s="24" t="str">
        <x:v>FY28</x:v>
      </x:c>
      <x:c r="H4" s="24" t="str">
        <x:v>FY29</x:v>
      </x:c>
      <x:c r="I4" s="24" t="str">
        <x:v>FY30</x:v>
      </x:c>
      <x:c r="J4" s="24" t="str">
        <x:v>FY31</x:v>
      </x:c>
      <x:c r="K4" s="24" t="str">
        <x:v>FY32</x:v>
      </x:c>
      <x:c r="L4" s="24" t="str">
        <x:v>FY33</x:v>
      </x:c>
      <x:c r="M4" s="24" t="str">
        <x:v>FY34</x:v>
      </x:c>
      <x:c r="N4" s="24" t="str">
        <x:v>FY35</x:v>
      </x:c>
    </x:row>
    <x:row r="5">
      <x:c r="A5" s="158"/>
      <x:c r="B5" s="158"/>
      <x:c r="C5" s="164"/>
      <x:c r="D5" s="164"/>
      <x:c r="E5" s="164"/>
      <x:c r="F5" s="158"/>
      <x:c r="G5" s="158"/>
      <x:c r="H5" s="158"/>
      <x:c r="I5" s="158"/>
      <x:c r="J5" s="158"/>
      <x:c r="K5" s="158"/>
      <x:c r="L5" s="158"/>
      <x:c r="M5" s="158"/>
      <x:c r="N5" s="158"/>
    </x:row>
    <x:row r="6" ht="20" customHeight="1">
      <x:c r="A6" s="40" t="str">
        <x:v>Revenue Summary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5" t="str">
        <x:v>R&amp;D revenue</x:v>
      </x:c>
      <x:c r="B7" s="50" t="str">
        <x:v>Reported / FY26 analyst estimate / forecast</x:v>
      </x:c>
      <x:c r="C7" s="188" t="n">
        <x:f>C26</x:f>
        <x:v>1855.72</x:v>
      </x:c>
      <x:c r="D7" s="188" t="n">
        <x:f>D26</x:f>
        <x:v>2005.78</x:v>
      </x:c>
      <x:c r="E7" s="188" t="n">
        <x:f>E26</x:f>
        <x:v>2300</x:v>
      </x:c>
      <x:c r="F7" s="123" t="n">
        <x:f>F26</x:f>
        <x:v>2640.009433962264</x:v>
      </x:c>
      <x:c r="G7" s="123" t="n">
        <x:f>G26</x:f>
        <x:v>3038.147936408106</x:v>
      </x:c>
      <x:c r="H7" s="123" t="n">
        <x:f>H26</x:f>
        <x:v>3470.449283927324</x:v>
      </x:c>
      <x:c r="I7" s="123" t="n">
        <x:f>I26</x:f>
        <x:v>3937.3843800789655</x:v>
      </x:c>
      <x:c r="J7" s="123" t="n">
        <x:f>J26</x:f>
        <x:v>4417.481862178326</x:v>
      </x:c>
      <x:c r="K7" s="123" t="n">
        <x:f>K26</x:f>
        <x:v>4905.563724495072</x:v>
      </x:c>
      <x:c r="L7" s="123" t="n">
        <x:f>L26</x:f>
        <x:v>5395.957170669353</x:v>
      </x:c>
      <x:c r="M7" s="123" t="n">
        <x:f>M26</x:f>
        <x:v>5876.968071827716</x:v>
      </x:c>
      <x:c r="N7" s="123" t="n">
        <x:f>N26</x:f>
        <x:v>6341.6667658231745</x:v>
      </x:c>
    </x:row>
    <x:row r="8">
      <x:c r="A8" s="45" t="str">
        <x:v>D&amp;M revenue</x:v>
      </x:c>
      <x:c r="B8" s="50" t="str">
        <x:v>Reported / FY26 derived / forecast</x:v>
      </x:c>
      <x:c r="C8" s="188" t="n">
        <x:f>C41</x:f>
        <x:v>8975.97</x:v>
      </x:c>
      <x:c r="D8" s="188" t="n">
        <x:f>D41</x:f>
        <x:v>13055.14</x:v>
      </x:c>
      <x:c r="E8" s="188" t="n">
        <x:f>E41</x:f>
        <x:v>15427.68</x:v>
      </x:c>
      <x:c r="F8" s="123" t="n">
        <x:f>F41</x:f>
        <x:v>18397.216</x:v>
      </x:c>
      <x:c r="G8" s="123" t="n">
        <x:f>G41</x:f>
        <x:v>21795.24704</x:v>
      </x:c>
      <x:c r="H8" s="123" t="n">
        <x:f>H41</x:f>
        <x:v>25876.635507199997</x:v>
      </x:c>
      <x:c r="I8" s="123" t="n">
        <x:f>I41</x:f>
        <x:v>30043.949764351994</x:v>
      </x:c>
      <x:c r="J8" s="123" t="n">
        <x:f>J41</x:f>
        <x:v>33974.42689520128</x:v>
      </x:c>
      <x:c r="K8" s="123" t="n">
        <x:f>K41</x:f>
        <x:v>38031.26221343983</x:v>
      </x:c>
      <x:c r="L8" s="123" t="n">
        <x:f>L41</x:f>
        <x:v>42538.29754841838</x:v>
      </x:c>
      <x:c r="M8" s="123" t="n">
        <x:f>M41</x:f>
        <x:v>47155.12253504674</x:v>
      </x:c>
      <x:c r="N8" s="123" t="n">
        <x:f>N41</x:f>
        <x:v>51836.63346823619</x:v>
      </x:c>
    </x:row>
    <x:row r="9">
      <x:c r="A9" s="70" t="str">
        <x:v>CRDMO revenue</x:v>
      </x:c>
      <x:c r="B9" s="71" t="str">
        <x:v>Reported / forecast</x:v>
      </x:c>
      <x:c r="C9" s="166" t="n">
        <x:f>C7+C8</x:f>
        <x:v>10831.689999999999</x:v>
      </x:c>
      <x:c r="D9" s="166" t="n">
        <x:f>D7+D8</x:f>
        <x:v>15060.92</x:v>
      </x:c>
      <x:c r="E9" s="166" t="n">
        <x:f>E7+E8</x:f>
        <x:v>17727.68</x:v>
      </x:c>
      <x:c r="F9" s="72" t="n">
        <x:f>F7+F8</x:f>
        <x:v>21037.225433962263</x:v>
      </x:c>
      <x:c r="G9" s="72" t="n">
        <x:f>G7+G8</x:f>
        <x:v>24833.394976408104</x:v>
      </x:c>
      <x:c r="H9" s="72" t="n">
        <x:f>H7+H8</x:f>
        <x:v>29347.08479112732</x:v>
      </x:c>
      <x:c r="I9" s="72" t="n">
        <x:f>I7+I8</x:f>
        <x:v>33981.33414443096</x:v>
      </x:c>
      <x:c r="J9" s="72" t="n">
        <x:f>J7+J8</x:f>
        <x:v>38391.908757379606</x:v>
      </x:c>
      <x:c r="K9" s="72" t="n">
        <x:f>K7+K8</x:f>
        <x:v>42936.825937934904</x:v>
      </x:c>
      <x:c r="L9" s="72" t="n">
        <x:f>L7+L8</x:f>
        <x:v>47934.25471908773</x:v>
      </x:c>
      <x:c r="M9" s="72" t="n">
        <x:f>M7+M8</x:f>
        <x:v>53032.09060687446</x:v>
      </x:c>
      <x:c r="N9" s="72" t="n">
        <x:f>N7+N8</x:f>
        <x:v>58178.30023405937</x:v>
      </x:c>
    </x:row>
    <x:row r="10">
      <x:c r="A10" s="45" t="str">
        <x:v>Specialty Ingredients revenue</x:v>
      </x:c>
      <x:c r="B10" s="50" t="str">
        <x:v>Reported / forecast</x:v>
      </x:c>
      <x:c r="C10" s="188" t="n">
        <x:f>C51</x:f>
        <x:v>3362.01</x:v>
      </x:c>
      <x:c r="D10" s="188" t="n">
        <x:f>D51</x:f>
        <x:v>3384.6</x:v>
      </x:c>
      <x:c r="E10" s="188" t="n">
        <x:f>E51</x:f>
        <x:v>3515.65</x:v>
      </x:c>
      <x:c r="F10" s="123" t="n">
        <x:f>F51</x:f>
        <x:v>3796.9020000000005</x:v>
      </x:c>
      <x:c r="G10" s="123" t="n">
        <x:f>G51</x:f>
        <x:v>4138.6231800000005</x:v>
      </x:c>
      <x:c r="H10" s="123" t="n">
        <x:f>H51</x:f>
        <x:v>4611.099266200001</x:v>
      </x:c>
      <x:c r="I10" s="123" t="n">
        <x:f>I51</x:f>
        <x:v>5121.987207496001</x:v>
      </x:c>
      <x:c r="J10" s="123" t="n">
        <x:f>J51</x:f>
        <x:v>5611.746184095682</x:v>
      </x:c>
      <x:c r="K10" s="123" t="n">
        <x:f>K51</x:f>
        <x:v>6030.06841698238</x:v>
      </x:c>
      <x:c r="L10" s="123" t="n">
        <x:f>L51</x:f>
        <x:v>6324.173206171146</x:v>
      </x:c>
      <x:c r="M10" s="123" t="n">
        <x:f>M51</x:f>
        <x:v>6585.623598541415</x:v>
      </x:c>
      <x:c r="N10" s="123" t="n">
        <x:f>N51</x:f>
        <x:v>6868.7610144539</x:v>
      </x:c>
    </x:row>
    <x:row r="11">
      <x:c r="A11" s="70" t="str">
        <x:v>Revenue from operations</x:v>
      </x:c>
      <x:c r="B11" s="71" t="str">
        <x:v>Reported / forecast</x:v>
      </x:c>
      <x:c r="C11" s="166" t="n">
        <x:f>C9+C10</x:f>
        <x:v>14193.699999999999</x:v>
      </x:c>
      <x:c r="D11" s="166" t="n">
        <x:f>D9+D10</x:f>
        <x:v>18445.52</x:v>
      </x:c>
      <x:c r="E11" s="166" t="n">
        <x:f>E9+E10</x:f>
        <x:v>21243.33</x:v>
      </x:c>
      <x:c r="F11" s="72" t="n">
        <x:f>F9+F10</x:f>
        <x:v>24834.127433962265</x:v>
      </x:c>
      <x:c r="G11" s="72" t="n">
        <x:f>G9+G10</x:f>
        <x:v>28972.018156408107</x:v>
      </x:c>
      <x:c r="H11" s="72" t="n">
        <x:f>H9+H10</x:f>
        <x:v>33958.18405732732</x:v>
      </x:c>
      <x:c r="I11" s="72" t="n">
        <x:f>I9+I10</x:f>
        <x:v>39103.32135192696</x:v>
      </x:c>
      <x:c r="J11" s="72" t="n">
        <x:f>J9+J10</x:f>
        <x:v>44003.65494147529</x:v>
      </x:c>
      <x:c r="K11" s="72" t="n">
        <x:f>K9+K10</x:f>
        <x:v>48966.89435491728</x:v>
      </x:c>
      <x:c r="L11" s="72" t="n">
        <x:f>L9+L10</x:f>
        <x:v>54258.427925258875</x:v>
      </x:c>
      <x:c r="M11" s="72" t="n">
        <x:f>M9+M10</x:f>
        <x:v>59617.714205415876</x:v>
      </x:c>
      <x:c r="N11" s="72" t="n">
        <x:f>N9+N10</x:f>
        <x:v>65047.061248513266</x:v>
      </x:c>
    </x:row>
    <x:row r="12">
      <x:c r="A12" s="45" t="str">
        <x:v>Revenue growth</x:v>
      </x:c>
      <x:c r="B12" s="50" t="str">
        <x:v>Calculated</x:v>
      </x:c>
      <x:c r="C12" s="189" t="n">
        <x:f>0</x:f>
        <x:v>0</x:v>
      </x:c>
      <x:c r="D12" s="189" t="n">
        <x:f>IF(C11=0,0,D11/C11-1)</x:f>
        <x:v>0.2995568456427853</x:v>
      </x:c>
      <x:c r="E12" s="189" t="n">
        <x:f>IF(D11=0,0,E11/D11-1)</x:f>
        <x:v>0.15167964904215236</x:v>
      </x:c>
      <x:c r="F12" s="126" t="n">
        <x:f>IF(E11=0,0,F11/E11-1)</x:f>
        <x:v>0.16903175886088784</x:v>
      </x:c>
      <x:c r="G12" s="126" t="n">
        <x:f>IF(F11=0,0,G11/F11-1)</x:f>
        <x:v>0.16662114396606542</x:v>
      </x:c>
      <x:c r="H12" s="126" t="n">
        <x:f>IF(G11=0,0,H11/G11-1)</x:f>
        <x:v>0.1721028156892952</x:v>
      </x:c>
      <x:c r="I12" s="126" t="n">
        <x:f>IF(H11=0,0,I11/H11-1)</x:f>
        <x:v>0.1515139115187596</x:v>
      </x:c>
      <x:c r="J12" s="126" t="n">
        <x:f>IF(I11=0,0,J11/I11-1)</x:f>
        <x:v>0.12531757968704738</x:v>
      </x:c>
      <x:c r="K12" s="126" t="n">
        <x:f>IF(J11=0,0,K11/J11-1)</x:f>
        <x:v>0.11279152652303748</x:v>
      </x:c>
      <x:c r="L12" s="126" t="n">
        <x:f>IF(K11=0,0,L11/K11-1)</x:f>
        <x:v>0.10806349146809247</x:v>
      </x:c>
      <x:c r="M12" s="126" t="n">
        <x:f>IF(L11=0,0,M11/L11-1)</x:f>
        <x:v>0.0987733424112367</x:v>
      </x:c>
      <x:c r="N12" s="126" t="n">
        <x:f>IF(M11=0,0,N11/M11-1)</x:f>
        <x:v>0.09106935942546035</x:v>
      </x:c>
    </x:row>
    <x:row r="13">
      <x:c r="A13" s="45" t="str">
        <x:v>Revenue reconciliation check</x:v>
      </x:c>
      <x:c r="B13" s="50" t="str">
        <x:v>Must equal zero</x:v>
      </x:c>
      <x:c r="C13" s="188" t="n">
        <x:f>C11-C9-C10</x:f>
        <x:v>0</x:v>
      </x:c>
      <x:c r="D13" s="188" t="n">
        <x:f>D11-D9-D10</x:f>
        <x:v>4.547473508864641e-13</x:v>
      </x:c>
      <x:c r="E13" s="188" t="n">
        <x:f>E11-E9-E10</x:f>
        <x:v>1.3642420526593924e-12</x:v>
      </x:c>
      <x:c r="F13" s="123" t="n">
        <x:f>F11-F9-F10</x:f>
        <x:v>1.3642420526593924e-12</x:v>
      </x:c>
      <x:c r="G13" s="123" t="n">
        <x:f>G11-G9-G10</x:f>
        <x:v>1.8189894035458565e-12</x:v>
      </x:c>
      <x:c r="H13" s="123" t="n">
        <x:f>H11-H9-H10</x:f>
        <x:v>1.8189894035458565e-12</x:v>
      </x:c>
      <x:c r="I13" s="123" t="n">
        <x:f>I11-I9-I10</x:f>
        <x:v>-9.094947017729282e-13</x:v>
      </x:c>
      <x:c r="J13" s="123" t="n">
        <x:f>J11-J9-J10</x:f>
        <x:v>0</x:v>
      </x:c>
      <x:c r="K13" s="123" t="n">
        <x:f>K11-K9-K10</x:f>
        <x:v>0</x:v>
      </x:c>
      <x:c r="L13" s="123" t="n">
        <x:f>L11-L9-L10</x:f>
        <x:v>-1.8189894035458565e-12</x:v>
      </x:c>
      <x:c r="M13" s="123" t="n">
        <x:f>M11-M9-M10</x:f>
        <x:v>1.8189894035458565e-12</x:v>
      </x:c>
      <x:c r="N13" s="123" t="n">
        <x:f>N11-N9-N10</x:f>
        <x:v>-9.094947017729282e-13</x:v>
      </x:c>
    </x:row>
    <x:row r="14">
      <x:c r="A14" s="158"/>
      <x:c r="B14" s="158"/>
      <x:c r="C14" s="164"/>
      <x:c r="D14" s="164"/>
      <x:c r="E14" s="164"/>
      <x:c r="F14" s="158"/>
      <x:c r="G14" s="158"/>
      <x:c r="H14" s="158"/>
      <x:c r="I14" s="158"/>
      <x:c r="J14" s="158"/>
      <x:c r="K14" s="158"/>
      <x:c r="L14" s="158"/>
      <x:c r="M14" s="158"/>
      <x:c r="N14" s="158"/>
    </x:row>
    <x:row r="15">
      <x:c r="A15" s="158"/>
      <x:c r="B15" s="158"/>
      <x:c r="C15" s="164"/>
      <x:c r="D15" s="164"/>
      <x:c r="E15" s="164"/>
      <x:c r="F15" s="158"/>
      <x:c r="G15" s="158"/>
      <x:c r="H15" s="158"/>
      <x:c r="I15" s="158"/>
      <x:c r="J15" s="158"/>
      <x:c r="K15" s="158"/>
      <x:c r="L15" s="158"/>
      <x:c r="M15" s="158"/>
      <x:c r="N15" s="158"/>
    </x:row>
    <x:row r="16" ht="20" customHeight="1">
      <x:c r="A16" s="40" t="str">
        <x:v>R&amp;D Revenue Build</x:v>
      </x:c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</x:row>
    <x:row r="17">
      <x:c r="A17" s="45" t="str">
        <x:v>Opening billable FTE capacity</x:v>
      </x:c>
      <x:c r="B17" s="50" t="str">
        <x:v>Analyst estimate</x:v>
      </x:c>
      <x:c r="C17" s="170" t="n">
        <x:v>182</x:v>
      </x:c>
      <x:c r="D17" s="170" t="n">
        <x:v>167</x:v>
      </x:c>
      <x:c r="E17" s="170" t="n">
        <x:v>153</x:v>
      </x:c>
      <x:c r="F17" s="123" t="n">
        <x:f>E17+E18</x:f>
        <x:v>165</x:v>
      </x:c>
      <x:c r="G17" s="123" t="n">
        <x:f>F17+F18</x:f>
        <x:v>180</x:v>
      </x:c>
      <x:c r="H17" s="123" t="n">
        <x:f>G17+G18</x:f>
        <x:v>200</x:v>
      </x:c>
      <x:c r="I17" s="123" t="n">
        <x:f>H17+H18</x:f>
        <x:v>225</x:v>
      </x:c>
      <x:c r="J17" s="123" t="n">
        <x:f>I17+I18</x:f>
        <x:v>250</x:v>
      </x:c>
      <x:c r="K17" s="123" t="n">
        <x:f>J17+J18</x:f>
        <x:v>270</x:v>
      </x:c>
      <x:c r="L17" s="123" t="n">
        <x:f>K17+K18</x:f>
        <x:v>290</x:v>
      </x:c>
      <x:c r="M17" s="123" t="n">
        <x:f>L17+L18</x:f>
        <x:v>305</x:v>
      </x:c>
      <x:c r="N17" s="123" t="n">
        <x:f>M17+M18</x:f>
        <x:v>320</x:v>
      </x:c>
    </x:row>
    <x:row r="18">
      <x:c r="A18" s="45" t="str">
        <x:v>Net billable FTE additions</x:v>
      </x:c>
      <x:c r="B18" s="50" t="str">
        <x:v>Analyst estimate</x:v>
      </x:c>
      <x:c r="C18" s="170" t="n">
        <x:v>-15</x:v>
      </x:c>
      <x:c r="D18" s="170" t="n">
        <x:v>-14</x:v>
      </x:c>
      <x:c r="E18" s="170" t="n">
        <x:v>12</x:v>
      </x:c>
      <x:c r="F18" s="56" t="n">
        <x:f>'Summary &amp; Assumptions'!F31</x:f>
        <x:v>15</x:v>
      </x:c>
      <x:c r="G18" s="56" t="n">
        <x:f>'Summary &amp; Assumptions'!G31</x:f>
        <x:v>20</x:v>
      </x:c>
      <x:c r="H18" s="56" t="n">
        <x:f>'Summary &amp; Assumptions'!H31</x:f>
        <x:v>25</x:v>
      </x:c>
      <x:c r="I18" s="56" t="n">
        <x:f>'Summary &amp; Assumptions'!I31</x:f>
        <x:v>25</x:v>
      </x:c>
      <x:c r="J18" s="56" t="n">
        <x:f>'Summary &amp; Assumptions'!J31</x:f>
        <x:v>20</x:v>
      </x:c>
      <x:c r="K18" s="56" t="n">
        <x:f>'Summary &amp; Assumptions'!K31</x:f>
        <x:v>20</x:v>
      </x:c>
      <x:c r="L18" s="56" t="n">
        <x:f>'Summary &amp; Assumptions'!L31</x:f>
        <x:v>15</x:v>
      </x:c>
      <x:c r="M18" s="56" t="n">
        <x:f>'Summary &amp; Assumptions'!M31</x:f>
        <x:v>15</x:v>
      </x:c>
      <x:c r="N18" s="56" t="n">
        <x:f>'Summary &amp; Assumptions'!N31</x:f>
        <x:v>10</x:v>
      </x:c>
    </x:row>
    <x:row r="19">
      <x:c r="A19" s="45" t="str">
        <x:v>Average billable FTE capacity</x:v>
      </x:c>
      <x:c r="B19" s="50" t="str">
        <x:v>Calculated</x:v>
      </x:c>
      <x:c r="C19" s="172" t="n">
        <x:v>174.5</x:v>
      </x:c>
      <x:c r="D19" s="172" t="n">
        <x:v>160</x:v>
      </x:c>
      <x:c r="E19" s="172" t="n">
        <x:v>159</x:v>
      </x:c>
      <x:c r="F19" s="123" t="n">
        <x:f>F17+0.5*F18</x:f>
        <x:v>172.5</x:v>
      </x:c>
      <x:c r="G19" s="123" t="n">
        <x:f>G17+0.5*G18</x:f>
        <x:v>190</x:v>
      </x:c>
      <x:c r="H19" s="123" t="n">
        <x:f>H17+0.5*H18</x:f>
        <x:v>212.5</x:v>
      </x:c>
      <x:c r="I19" s="123" t="n">
        <x:f>I17+0.5*I18</x:f>
        <x:v>237.5</x:v>
      </x:c>
      <x:c r="J19" s="123" t="n">
        <x:f>J17+0.5*J18</x:f>
        <x:v>260</x:v>
      </x:c>
      <x:c r="K19" s="123" t="n">
        <x:f>K17+0.5*K18</x:f>
        <x:v>280</x:v>
      </x:c>
      <x:c r="L19" s="123" t="n">
        <x:f>L17+0.5*L18</x:f>
        <x:v>297.5</x:v>
      </x:c>
      <x:c r="M19" s="123" t="n">
        <x:f>M17+0.5*M18</x:f>
        <x:v>312.5</x:v>
      </x:c>
      <x:c r="N19" s="123" t="n">
        <x:f>N17+0.5*N18</x:f>
        <x:v>325</x:v>
      </x:c>
    </x:row>
    <x:row r="20">
      <x:c r="A20" s="45" t="str">
        <x:v>Utilisation</x:v>
      </x:c>
      <x:c r="B20" s="50" t="str">
        <x:v>Analyst estimate</x:v>
      </x:c>
      <x:c r="C20" s="171" t="n">
        <x:v>0.9</x:v>
      </x:c>
      <x:c r="D20" s="171" t="n">
        <x:v>0.89</x:v>
      </x:c>
      <x:c r="E20" s="171" t="n">
        <x:v>0.9</x:v>
      </x:c>
      <x:c r="F20" s="60" t="n">
        <x:f>'Summary &amp; Assumptions'!F32</x:f>
        <x:v>0.9</x:v>
      </x:c>
      <x:c r="G20" s="60" t="n">
        <x:f>'Summary &amp; Assumptions'!G32</x:f>
        <x:v>0.91</x:v>
      </x:c>
      <x:c r="H20" s="60" t="n">
        <x:f>'Summary &amp; Assumptions'!H32</x:f>
        <x:v>0.91</x:v>
      </x:c>
      <x:c r="I20" s="60" t="n">
        <x:f>'Summary &amp; Assumptions'!I32</x:f>
        <x:v>0.92</x:v>
      </x:c>
      <x:c r="J20" s="60" t="n">
        <x:f>'Summary &amp; Assumptions'!J32</x:f>
        <x:v>0.92</x:v>
      </x:c>
      <x:c r="K20" s="60" t="n">
        <x:f>'Summary &amp; Assumptions'!K32</x:f>
        <x:v>0.92</x:v>
      </x:c>
      <x:c r="L20" s="60" t="n">
        <x:f>'Summary &amp; Assumptions'!L32</x:f>
        <x:v>0.92</x:v>
      </x:c>
      <x:c r="M20" s="60" t="n">
        <x:f>'Summary &amp; Assumptions'!M32</x:f>
        <x:v>0.92</x:v>
      </x:c>
      <x:c r="N20" s="60" t="n">
        <x:f>'Summary &amp; Assumptions'!N32</x:f>
        <x:v>0.92</x:v>
      </x:c>
    </x:row>
    <x:row r="21">
      <x:c r="A21" s="45" t="str">
        <x:v>Revenue per billable FTE</x:v>
      </x:c>
      <x:c r="B21" s="50" t="str">
        <x:v>Derived / analyst estimate</x:v>
      </x:c>
      <x:c r="C21" s="172" t="n">
        <x:v>2.165892874880611</x:v>
      </x:c>
      <x:c r="D21" s="172" t="n">
        <x:v>1.4578527387640452</x:v>
      </x:c>
      <x:c r="E21" s="172" t="n">
        <x:v>1.6072676450034942</x:v>
      </x:c>
      <x:c r="F21" s="123" t="n">
        <x:f>E21*(1+'Summary &amp; Assumptions'!F33)</x:f>
        <x:v>1.671558350803634</x:v>
      </x:c>
      <x:c r="G21" s="123" t="n">
        <x:f>F21*(1+'Summary &amp; Assumptions'!G33)</x:f>
        <x:v>1.7384206848357795</x:v>
      </x:c>
      <x:c r="H21" s="123" t="n">
        <x:f>G21*(1+'Summary &amp; Assumptions'!H33)</x:f>
        <x:v>1.8079575122292106</x:v>
      </x:c>
      <x:c r="I21" s="123" t="n">
        <x:f>H21*(1+'Summary &amp; Assumptions'!I33)</x:f>
        <x:v>1.8802758127183792</x:v>
      </x:c>
      <x:c r="J21" s="123" t="n">
        <x:f>I21*(1+'Summary &amp; Assumptions'!J33)</x:f>
        <x:v>1.9554868452271144</x:v>
      </x:c>
      <x:c r="K21" s="123" t="n">
        <x:f>J21*(1+'Summary &amp; Assumptions'!K33)</x:f>
        <x:v>2.023928884810063</x:v>
      </x:c>
      <x:c r="L21" s="123" t="n">
        <x:f>K21*(1+'Summary &amp; Assumptions'!L33)</x:f>
        <x:v>2.0947663957784153</x:v>
      </x:c>
      <x:c r="M21" s="123" t="n">
        <x:f>L21*(1+'Summary &amp; Assumptions'!M33)</x:f>
        <x:v>2.157609387651768</x:v>
      </x:c>
      <x:c r="N21" s="123" t="n">
        <x:f>M21*(1+'Summary &amp; Assumptions'!N33)</x:f>
        <x:v>2.222337669281321</x:v>
      </x:c>
    </x:row>
    <x:row r="22">
      <x:c r="A22" s="45" t="str">
        <x:v>Revenue per billable FTE growth</x:v>
      </x:c>
      <x:c r="B22" s="50" t="str">
        <x:v>Calculated</x:v>
      </x:c>
      <x:c r="C22" s="171"/>
      <x:c r="D22" s="171" t="n">
        <x:v>-0.32690450406306204</x:v>
      </x:c>
      <x:c r="E22" s="171" t="n">
        <x:v>0.10248971124897133</x:v>
      </x:c>
      <x:c r="F22" s="126" t="n">
        <x:f>IF(E21=0,0,F21/E21-1)</x:f>
        <x:v>0.040000000000000036</x:v>
      </x:c>
      <x:c r="G22" s="126" t="n">
        <x:f>IF(F21=0,0,G21/F21-1)</x:f>
        <x:v>0.040000000000000036</x:v>
      </x:c>
      <x:c r="H22" s="126" t="n">
        <x:f>IF(G21=0,0,H21/G21-1)</x:f>
        <x:v>0.040000000000000036</x:v>
      </x:c>
      <x:c r="I22" s="126" t="n">
        <x:f>IF(H21=0,0,I21/H21-1)</x:f>
        <x:v>0.040000000000000036</x:v>
      </x:c>
      <x:c r="J22" s="126" t="n">
        <x:f>IF(I21=0,0,J21/I21-1)</x:f>
        <x:v>0.040000000000000036</x:v>
      </x:c>
      <x:c r="K22" s="126" t="n">
        <x:f>IF(J21=0,0,K21/J21-1)</x:f>
        <x:v>0.03499999999999992</x:v>
      </x:c>
      <x:c r="L22" s="126" t="n">
        <x:f>IF(K21=0,0,L21/K21-1)</x:f>
        <x:v>0.03499999999999992</x:v>
      </x:c>
      <x:c r="M22" s="126" t="n">
        <x:f>IF(L21=0,0,M21/L21-1)</x:f>
        <x:v>0.030000000000000027</x:v>
      </x:c>
      <x:c r="N22" s="126" t="n">
        <x:f>IF(M21=0,0,N21/M21-1)</x:f>
        <x:v>0.030000000000000027</x:v>
      </x:c>
    </x:row>
    <x:row r="23">
      <x:c r="A23" s="45" t="str">
        <x:v>FTE revenue</x:v>
      </x:c>
      <x:c r="B23" s="50" t="str">
        <x:v>Calculated</x:v>
      </x:c>
      <x:c r="C23" s="172" t="n">
        <x:v>340.15347599999996</x:v>
      </x:c>
      <x:c r="D23" s="172" t="n">
        <x:v>207.59823000000006</x:v>
      </x:c>
      <x:c r="E23" s="172" t="n">
        <x:v>230</x:v>
      </x:c>
      <x:c r="F23" s="123" t="n">
        <x:f>F19*F20*F21</x:f>
        <x:v>259.50943396226415</x:v>
      </x:c>
      <x:c r="G23" s="123" t="n">
        <x:f>G19*G20*G21</x:f>
        <x:v>300.5729364081063</x:v>
      </x:c>
      <x:c r="H23" s="123" t="n">
        <x:f>H19*H20*H21</x:f>
        <x:v>349.6137839273236</x:v>
      </x:c>
      <x:c r="I23" s="123" t="n">
        <x:f>I19*I20*I21</x:f>
        <x:v>410.84026507896584</x:v>
      </x:c>
      <x:c r="J23" s="123" t="n">
        <x:f>J19*J20*J21</x:f>
        <x:v>467.7524533783258</x:v>
      </x:c>
      <x:c r="K23" s="123" t="n">
        <x:f>K19*K20*K21</x:f>
        <x:v>521.3640807270723</x:v>
      </x:c>
      <x:c r="L23" s="123" t="n">
        <x:f>L19*L20*L21</x:f>
        <x:v>573.3375625245523</x:v>
      </x:c>
      <x:c r="M23" s="123" t="n">
        <x:f>M19*M20*M21</x:f>
        <x:v>620.3126989498833</x:v>
      </x:c>
      <x:c r="N23" s="123" t="n">
        <x:f>N19*N20*N21</x:f>
        <x:v>664.478963115115</x:v>
      </x:c>
    </x:row>
    <x:row r="24">
      <x:c r="A24" s="45" t="str">
        <x:v>FFS revenue growth</x:v>
      </x:c>
      <x:c r="B24" s="50" t="str">
        <x:v>Analyst estimate</x:v>
      </x:c>
      <x:c r="C24" s="171"/>
      <x:c r="D24" s="171" t="n">
        <x:v>0.18647498577238286</x:v>
      </x:c>
      <x:c r="E24" s="171" t="n">
        <x:v>0.15116282154278537</x:v>
      </x:c>
      <x:c r="F24" s="60" t="n">
        <x:f>'Summary &amp; Assumptions'!F34</x:f>
        <x:v>0.15</x:v>
      </x:c>
      <x:c r="G24" s="60" t="n">
        <x:f>'Summary &amp; Assumptions'!G34</x:f>
        <x:v>0.15</x:v>
      </x:c>
      <x:c r="H24" s="60" t="n">
        <x:f>'Summary &amp; Assumptions'!H34</x:f>
        <x:v>0.14</x:v>
      </x:c>
      <x:c r="I24" s="60" t="n">
        <x:f>'Summary &amp; Assumptions'!I34</x:f>
        <x:v>0.13</x:v>
      </x:c>
      <x:c r="J24" s="60" t="n">
        <x:f>'Summary &amp; Assumptions'!J34</x:f>
        <x:v>0.12</x:v>
      </x:c>
      <x:c r="K24" s="60" t="n">
        <x:f>'Summary &amp; Assumptions'!K34</x:f>
        <x:v>0.11</x:v>
      </x:c>
      <x:c r="L24" s="60" t="n">
        <x:f>'Summary &amp; Assumptions'!L34</x:f>
        <x:v>0.1</x:v>
      </x:c>
      <x:c r="M24" s="60" t="n">
        <x:f>'Summary &amp; Assumptions'!M34</x:f>
        <x:v>0.09</x:v>
      </x:c>
      <x:c r="N24" s="60" t="n">
        <x:f>'Summary &amp; Assumptions'!N34</x:f>
        <x:v>0.08</x:v>
      </x:c>
    </x:row>
    <x:row r="25">
      <x:c r="A25" s="45" t="str">
        <x:v>FFS revenue</x:v>
      </x:c>
      <x:c r="B25" s="50" t="str">
        <x:v>Reported split / forecast</x:v>
      </x:c>
      <x:c r="C25" s="172" t="n">
        <x:v>1515.566524</x:v>
      </x:c>
      <x:c r="D25" s="172" t="n">
        <x:v>1798.18177</x:v>
      </x:c>
      <x:c r="E25" s="172" t="n">
        <x:v>2070</x:v>
      </x:c>
      <x:c r="F25" s="123" t="n">
        <x:f>E25*(1+F24)</x:f>
        <x:v>2380.5</x:v>
      </x:c>
      <x:c r="G25" s="123" t="n">
        <x:f>F25*(1+G24)</x:f>
        <x:v>2737.575</x:v>
      </x:c>
      <x:c r="H25" s="123" t="n">
        <x:f>G25*(1+H24)</x:f>
        <x:v>3120.8355</x:v>
      </x:c>
      <x:c r="I25" s="123" t="n">
        <x:f>H25*(1+I24)</x:f>
        <x:v>3526.5441149999997</x:v>
      </x:c>
      <x:c r="J25" s="123" t="n">
        <x:f>I25*(1+J24)</x:f>
        <x:v>3949.7294088</x:v>
      </x:c>
      <x:c r="K25" s="123" t="n">
        <x:f>J25*(1+K24)</x:f>
        <x:v>4384.199643768</x:v>
      </x:c>
      <x:c r="L25" s="123" t="n">
        <x:f>K25*(1+L24)</x:f>
        <x:v>4822.619608144801</x:v>
      </x:c>
      <x:c r="M25" s="123" t="n">
        <x:f>L25*(1+M24)</x:f>
        <x:v>5256.655372877833</x:v>
      </x:c>
      <x:c r="N25" s="123" t="n">
        <x:f>M25*(1+N24)</x:f>
        <x:v>5677.187802708059</x:v>
      </x:c>
    </x:row>
    <x:row r="26">
      <x:c r="A26" s="70" t="str">
        <x:v>Total R&amp;D revenue</x:v>
      </x:c>
      <x:c r="B26" s="71" t="str">
        <x:v>Reported / FY26 analyst estimate / forecast</x:v>
      </x:c>
      <x:c r="C26" s="166" t="n">
        <x:v>1855.72</x:v>
      </x:c>
      <x:c r="D26" s="166" t="n">
        <x:v>2005.78</x:v>
      </x:c>
      <x:c r="E26" s="166" t="n">
        <x:v>2300</x:v>
      </x:c>
      <x:c r="F26" s="72" t="n">
        <x:f>F23+F25</x:f>
        <x:v>2640.009433962264</x:v>
      </x:c>
      <x:c r="G26" s="72" t="n">
        <x:f>G23+G25</x:f>
        <x:v>3038.147936408106</x:v>
      </x:c>
      <x:c r="H26" s="72" t="n">
        <x:f>H23+H25</x:f>
        <x:v>3470.449283927324</x:v>
      </x:c>
      <x:c r="I26" s="72" t="n">
        <x:f>I23+I25</x:f>
        <x:v>3937.3843800789655</x:v>
      </x:c>
      <x:c r="J26" s="72" t="n">
        <x:f>J23+J25</x:f>
        <x:v>4417.481862178326</x:v>
      </x:c>
      <x:c r="K26" s="72" t="n">
        <x:f>K23+K25</x:f>
        <x:v>4905.563724495072</x:v>
      </x:c>
      <x:c r="L26" s="72" t="n">
        <x:f>L23+L25</x:f>
        <x:v>5395.957170669353</x:v>
      </x:c>
      <x:c r="M26" s="72" t="n">
        <x:f>M23+M25</x:f>
        <x:v>5876.968071827716</x:v>
      </x:c>
      <x:c r="N26" s="72" t="n">
        <x:f>N23+N25</x:f>
        <x:v>6341.6667658231745</x:v>
      </x:c>
    </x:row>
    <x:row r="27">
      <x:c r="A27" s="45" t="str">
        <x:v>R&amp;D growth</x:v>
      </x:c>
      <x:c r="B27" s="50" t="str">
        <x:v>Calculated</x:v>
      </x:c>
      <x:c r="C27" s="171"/>
      <x:c r="D27" s="171" t="n">
        <x:v>0.08086349233720602</x:v>
      </x:c>
      <x:c r="E27" s="171" t="n">
        <x:v>0.14668607723678573</x:v>
      </x:c>
      <x:c r="F27" s="126" t="n">
        <x:f>IF(E26=0,0,F26/E26-1)</x:f>
        <x:v>0.14783018867924524</x:v>
      </x:c>
      <x:c r="G27" s="126" t="n">
        <x:f>IF(F26=0,0,G26/F26-1)</x:f>
        <x:v>0.15080949989193582</x:v>
      </x:c>
      <x:c r="H27" s="126" t="n">
        <x:f>IF(G26=0,0,H26/G26-1)</x:f>
        <x:v>0.14229107883084602</x:v>
      </x:c>
      <x:c r="I27" s="126" t="n">
        <x:f>IF(H26=0,0,I26/H26-1)</x:f>
        <x:v>0.134546007721293</x:v>
      </x:c>
      <x:c r="J27" s="126" t="n">
        <x:f>IF(I26=0,0,J26/I26-1)</x:f>
        <x:v>0.12193309968119803</x:v>
      </x:c>
      <x:c r="K27" s="126" t="n">
        <x:f>IF(J26=0,0,K26/J26-1)</x:f>
        <x:v>0.11048870771731156</x:v>
      </x:c>
      <x:c r="L27" s="126" t="n">
        <x:f>IF(K26=0,0,L26/K26-1)</x:f>
        <x:v>0.09996678745107057</x:v>
      </x:c>
      <x:c r="M27" s="126" t="n">
        <x:f>IF(L26=0,0,M26/L26-1)</x:f>
        <x:v>0.08914283155785219</x:v>
      </x:c>
      <x:c r="N27" s="126" t="n">
        <x:f>IF(M26=0,0,N26/M26-1)</x:f>
        <x:v>0.0790711619181792</x:v>
      </x:c>
    </x:row>
    <x:row r="28">
      <x:c r="A28" s="45" t="str">
        <x:v>FTE mix</x:v>
      </x:c>
      <x:c r="B28" s="50" t="str">
        <x:v>Calculated</x:v>
      </x:c>
      <x:c r="C28" s="171" t="n">
        <x:v>0.18329999999999996</x:v>
      </x:c>
      <x:c r="D28" s="171" t="n">
        <x:v>0.10350000000000004</x:v>
      </x:c>
      <x:c r="E28" s="171" t="n">
        <x:v>0.1</x:v>
      </x:c>
      <x:c r="F28" s="126" t="n">
        <x:f>IF(F26=0,0,F23/F26)</x:f>
        <x:v>0.09829867674858223</x:v>
      </x:c>
      <x:c r="G28" s="126" t="n">
        <x:f>IF(G26=0,0,G23/G26)</x:f>
        <x:v>0.09893294951379587</x:v>
      </x:c>
      <x:c r="H28" s="126" t="n">
        <x:f>IF(H26=0,0,H23/H26)</x:f>
        <x:v>0.10074020834895595</x:v>
      </x:c>
      <x:c r="I28" s="126" t="n">
        <x:f>IF(I26=0,0,I23/I26)</x:f>
        <x:v>0.10434344870101972</x:v>
      </x:c>
      <x:c r="J28" s="126" t="n">
        <x:f>IF(J26=0,0,J23/J26)</x:f>
        <x:v>0.10588667208418828</x:v>
      </x:c>
      <x:c r="K28" s="126" t="n">
        <x:f>IF(K26=0,0,K23/K26)</x:f>
        <x:v>0.1062801565748157</x:v>
      </x:c>
      <x:c r="L28" s="126" t="n">
        <x:f>IF(L26=0,0,L23/L26)</x:f>
        <x:v>0.10625317147456738</x:v>
      </x:c>
      <x:c r="M28" s="126" t="n">
        <x:f>IF(M26=0,0,M23/M26)</x:f>
        <x:v>0.10554978202509925</x:v>
      </x:c>
      <x:c r="N28" s="126" t="n">
        <x:f>IF(N26=0,0,N23/N26)</x:f>
        <x:v>0.10477986113937081</x:v>
      </x:c>
    </x:row>
    <x:row r="29">
      <x:c r="A29" s="45" t="str">
        <x:v>FFS mix</x:v>
      </x:c>
      <x:c r="B29" s="50" t="str">
        <x:v>Calculated</x:v>
      </x:c>
      <x:c r="C29" s="171" t="n">
        <x:v>0.8167</x:v>
      </x:c>
      <x:c r="D29" s="171" t="n">
        <x:v>0.8965</x:v>
      </x:c>
      <x:c r="E29" s="171" t="n">
        <x:v>0.9</x:v>
      </x:c>
      <x:c r="F29" s="126" t="n">
        <x:f>IF(F26=0,0,F25/F26)</x:f>
        <x:v>0.9017013232514177</x:v>
      </x:c>
      <x:c r="G29" s="126" t="n">
        <x:f>IF(G26=0,0,G25/G26)</x:f>
        <x:v>0.9010670504862042</x:v>
      </x:c>
      <x:c r="H29" s="126" t="n">
        <x:f>IF(H26=0,0,H25/H26)</x:f>
        <x:v>0.899259791651044</x:v>
      </x:c>
      <x:c r="I29" s="126" t="n">
        <x:f>IF(I26=0,0,I25/I26)</x:f>
        <x:v>0.8956565512989803</x:v>
      </x:c>
      <x:c r="J29" s="126" t="n">
        <x:f>IF(J26=0,0,J25/J26)</x:f>
        <x:v>0.8941133279158117</x:v>
      </x:c>
      <x:c r="K29" s="126" t="n">
        <x:f>IF(K26=0,0,K25/K26)</x:f>
        <x:v>0.8937198434251843</x:v>
      </x:c>
      <x:c r="L29" s="126" t="n">
        <x:f>IF(L26=0,0,L25/L26)</x:f>
        <x:v>0.8937468285254325</x:v>
      </x:c>
      <x:c r="M29" s="126" t="n">
        <x:f>IF(M26=0,0,M25/M26)</x:f>
        <x:v>0.8944502179749008</x:v>
      </x:c>
      <x:c r="N29" s="126" t="n">
        <x:f>IF(N26=0,0,N25/N26)</x:f>
        <x:v>0.8952201388606291</x:v>
      </x:c>
    </x:row>
    <x:row r="30">
      <x:c r="A30" s="45" t="str">
        <x:v>R&amp;D + D&amp;M = CRDMO check</x:v>
      </x:c>
      <x:c r="B30" s="50" t="str">
        <x:v>Must equal zero</x:v>
      </x:c>
      <x:c r="C30" s="188" t="n">
        <x:f>C7+C8-C9</x:f>
        <x:v>0</x:v>
      </x:c>
      <x:c r="D30" s="188" t="n">
        <x:f>D7+D8-D9</x:f>
        <x:v>0</x:v>
      </x:c>
      <x:c r="E30" s="188" t="n">
        <x:f>E7+E8-E9</x:f>
        <x:v>0</x:v>
      </x:c>
      <x:c r="F30" s="123" t="n">
        <x:f>F7+F8-F9</x:f>
        <x:v>0</x:v>
      </x:c>
      <x:c r="G30" s="123" t="n">
        <x:f>G7+G8-G9</x:f>
        <x:v>0</x:v>
      </x:c>
      <x:c r="H30" s="123" t="n">
        <x:f>H7+H8-H9</x:f>
        <x:v>0</x:v>
      </x:c>
      <x:c r="I30" s="123" t="n">
        <x:f>I7+I8-I9</x:f>
        <x:v>0</x:v>
      </x:c>
      <x:c r="J30" s="123" t="n">
        <x:f>J7+J8-J9</x:f>
        <x:v>0</x:v>
      </x:c>
      <x:c r="K30" s="123" t="n">
        <x:f>K7+K8-K9</x:f>
        <x:v>0</x:v>
      </x:c>
      <x:c r="L30" s="123" t="n">
        <x:f>L7+L8-L9</x:f>
        <x:v>0</x:v>
      </x:c>
      <x:c r="M30" s="123" t="n">
        <x:f>M7+M8-M9</x:f>
        <x:v>0</x:v>
      </x:c>
      <x:c r="N30" s="123" t="n">
        <x:f>N7+N8-N9</x:f>
        <x:v>0</x:v>
      </x:c>
    </x:row>
    <x:row r="31">
      <x:c r="A31" s="158"/>
      <x:c r="B31" s="158"/>
      <x:c r="C31" s="164"/>
      <x:c r="D31" s="164"/>
      <x:c r="E31" s="164"/>
      <x:c r="F31" s="158"/>
      <x:c r="G31" s="158"/>
      <x:c r="H31" s="158"/>
      <x:c r="I31" s="158"/>
      <x:c r="J31" s="158"/>
      <x:c r="K31" s="158"/>
      <x:c r="L31" s="158"/>
      <x:c r="M31" s="158"/>
      <x:c r="N31" s="158"/>
    </x:row>
    <x:row r="32">
      <x:c r="A32" s="158"/>
      <x:c r="B32" s="158"/>
      <x:c r="C32" s="164"/>
      <x:c r="D32" s="164"/>
      <x:c r="E32" s="164"/>
      <x:c r="F32" s="158"/>
      <x:c r="G32" s="158"/>
      <x:c r="H32" s="158"/>
      <x:c r="I32" s="158"/>
      <x:c r="J32" s="158"/>
      <x:c r="K32" s="158"/>
      <x:c r="L32" s="158"/>
      <x:c r="M32" s="158"/>
      <x:c r="N32" s="158"/>
    </x:row>
    <x:row r="33">
      <x:c r="A33" s="158"/>
      <x:c r="B33" s="158"/>
      <x:c r="C33" s="164"/>
      <x:c r="D33" s="164"/>
      <x:c r="E33" s="164"/>
      <x:c r="F33" s="158"/>
      <x:c r="G33" s="158"/>
      <x:c r="H33" s="158"/>
      <x:c r="I33" s="158"/>
      <x:c r="J33" s="158"/>
      <x:c r="K33" s="158"/>
      <x:c r="L33" s="158"/>
      <x:c r="M33" s="158"/>
      <x:c r="N33" s="158"/>
    </x:row>
    <x:row r="34" ht="20" customHeight="1">
      <x:c r="A34" s="40" t="str">
        <x:v>D&amp;M Revenue Build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</x:row>
    <x:row r="35">
      <x:c r="A35" s="45" t="str">
        <x:v>Selected named molecules</x:v>
      </x:c>
      <x:c r="B35" s="50" t="str">
        <x:v>None included; evidence insufficient</x:v>
      </x:c>
      <x:c r="C35" s="172" t="n">
        <x:v>0</x:v>
      </x:c>
      <x:c r="D35" s="172" t="n">
        <x:v>0</x:v>
      </x:c>
      <x:c r="E35" s="172" t="n">
        <x:v>0</x:v>
      </x:c>
      <x:c r="F35" s="123" t="n">
        <x:v>0</x:v>
      </x:c>
      <x:c r="G35" s="123" t="n">
        <x:v>0</x:v>
      </x:c>
      <x:c r="H35" s="123" t="n">
        <x:v>0</x:v>
      </x:c>
      <x:c r="I35" s="123" t="n">
        <x:v>0</x:v>
      </x:c>
      <x:c r="J35" s="123" t="n">
        <x:v>0</x:v>
      </x:c>
      <x:c r="K35" s="123" t="n">
        <x:v>0</x:v>
      </x:c>
      <x:c r="L35" s="123" t="n">
        <x:v>0</x:v>
      </x:c>
      <x:c r="M35" s="123" t="n">
        <x:v>0</x:v>
      </x:c>
      <x:c r="N35" s="123" t="n">
        <x:v>0</x:v>
      </x:c>
    </x:row>
    <x:row r="36">
      <x:c r="A36" s="45" t="str">
        <x:v>Other commercial &amp; late-stage portfolio</x:v>
      </x:c>
      <x:c r="B36" s="50" t="str">
        <x:v>Residual portfolio</x:v>
      </x:c>
      <x:c r="C36" s="172" t="n">
        <x:v>7875.969999999999</x:v>
      </x:c>
      <x:c r="D36" s="172" t="n">
        <x:v>11805.14</x:v>
      </x:c>
      <x:c r="E36" s="172" t="n">
        <x:v>13977.68</x:v>
      </x:c>
      <x:c r="F36" s="123" t="n">
        <x:f>E36*(1+'Summary &amp; Assumptions'!F35)</x:f>
        <x:v>16773.216</x:v>
      </x:c>
      <x:c r="G36" s="123" t="n">
        <x:f>F36*(1+'Summary &amp; Assumptions'!G35)</x:f>
        <x:v>19960.12704</x:v>
      </x:c>
      <x:c r="H36" s="123" t="n">
        <x:f>G36*(1+'Summary &amp; Assumptions'!H35)</x:f>
        <x:v>23552.949907199996</x:v>
      </x:c>
      <x:c r="I36" s="123" t="n">
        <x:f>H36*(1+'Summary &amp; Assumptions'!I35)</x:f>
        <x:v>27321.421892351995</x:v>
      </x:c>
      <x:c r="J36" s="123" t="n">
        <x:f>I36*(1+'Summary &amp; Assumptions'!J35)</x:f>
        <x:v>31146.420957281276</x:v>
      </x:c>
      <x:c r="K36" s="123" t="n">
        <x:f>J36*(1+'Summary &amp; Assumptions'!K35)</x:f>
        <x:v>35195.455681727835</x:v>
      </x:c>
      <x:c r="L36" s="123" t="n">
        <x:f>K36*(1+'Summary &amp; Assumptions'!L35)</x:f>
        <x:v>39418.91036353518</x:v>
      </x:c>
      <x:c r="M36" s="123" t="n">
        <x:f>L36*(1+'Summary &amp; Assumptions'!M35)</x:f>
        <x:v>43754.99050352405</x:v>
      </x:c>
      <x:c r="N36" s="123" t="n">
        <x:f>M36*(1+'Summary &amp; Assumptions'!N35)</x:f>
        <x:v>48130.48955387646</x:v>
      </x:c>
    </x:row>
    <x:row r="37">
      <x:c r="A37" s="45" t="str">
        <x:v>Portfolio growth</x:v>
      </x:c>
      <x:c r="B37" s="50" t="str">
        <x:v>Analyst estimate</x:v>
      </x:c>
      <x:c r="C37" s="171"/>
      <x:c r="D37" s="171" t="n">
        <x:v>0.4988807727810036</x:v>
      </x:c>
      <x:c r="E37" s="171" t="n">
        <x:v>0.1840333956225848</x:v>
      </x:c>
      <x:c r="F37" s="60" t="n">
        <x:f>'Summary &amp; Assumptions'!F35</x:f>
        <x:v>0.2</x:v>
      </x:c>
      <x:c r="G37" s="60" t="n">
        <x:f>'Summary &amp; Assumptions'!G35</x:f>
        <x:v>0.19</x:v>
      </x:c>
      <x:c r="H37" s="60" t="n">
        <x:f>'Summary &amp; Assumptions'!H35</x:f>
        <x:v>0.18</x:v>
      </x:c>
      <x:c r="I37" s="60" t="n">
        <x:f>'Summary &amp; Assumptions'!I35</x:f>
        <x:v>0.16</x:v>
      </x:c>
      <x:c r="J37" s="60" t="n">
        <x:f>'Summary &amp; Assumptions'!J35</x:f>
        <x:v>0.14</x:v>
      </x:c>
      <x:c r="K37" s="60" t="n">
        <x:f>'Summary &amp; Assumptions'!K35</x:f>
        <x:v>0.13</x:v>
      </x:c>
      <x:c r="L37" s="60" t="n">
        <x:f>'Summary &amp; Assumptions'!L35</x:f>
        <x:v>0.12</x:v>
      </x:c>
      <x:c r="M37" s="60" t="n">
        <x:f>'Summary &amp; Assumptions'!M35</x:f>
        <x:v>0.11</x:v>
      </x:c>
      <x:c r="N37" s="60" t="n">
        <x:f>'Summary &amp; Assumptions'!N35</x:f>
        <x:v>0.1</x:v>
      </x:c>
    </x:row>
    <x:row r="38">
      <x:c r="A38" s="45" t="str">
        <x:v>Early-phase development portfolio</x:v>
      </x:c>
      <x:c r="B38" s="50" t="str">
        <x:v>Analyst estimate</x:v>
      </x:c>
      <x:c r="C38" s="172" t="n">
        <x:v>1100</x:v>
      </x:c>
      <x:c r="D38" s="172" t="n">
        <x:v>1250</x:v>
      </x:c>
      <x:c r="E38" s="172" t="n">
        <x:v>1450</x:v>
      </x:c>
      <x:c r="F38" s="123" t="n">
        <x:f>E38*(1+'Summary &amp; Assumptions'!F36)</x:f>
        <x:v>1624.0000000000002</x:v>
      </x:c>
      <x:c r="G38" s="123" t="n">
        <x:f>F38*(1+'Summary &amp; Assumptions'!G36)</x:f>
        <x:v>1835.1200000000001</x:v>
      </x:c>
      <x:c r="H38" s="123" t="n">
        <x:f>G38*(1+'Summary &amp; Assumptions'!H36)</x:f>
        <x:v>2073.6856</x:v>
      </x:c>
      <x:c r="I38" s="123" t="n">
        <x:f>H38*(1+'Summary &amp; Assumptions'!I36)</x:f>
        <x:v>2322.527872</x:v>
      </x:c>
      <x:c r="J38" s="123" t="n">
        <x:f>I38*(1+'Summary &amp; Assumptions'!J36)</x:f>
        <x:v>2578.00593792</x:v>
      </x:c>
      <x:c r="K38" s="123" t="n">
        <x:f>J38*(1+'Summary &amp; Assumptions'!K36)</x:f>
        <x:v>2835.8065317120004</x:v>
      </x:c>
      <x:c r="L38" s="123" t="n">
        <x:f>K38*(1+'Summary &amp; Assumptions'!L36)</x:f>
        <x:v>3119.3871848832005</x:v>
      </x:c>
      <x:c r="M38" s="123" t="n">
        <x:f>L38*(1+'Summary &amp; Assumptions'!M36)</x:f>
        <x:v>3400.132031522689</x:v>
      </x:c>
      <x:c r="N38" s="123" t="n">
        <x:f>M38*(1+'Summary &amp; Assumptions'!N36)</x:f>
        <x:v>3706.1439143597313</x:v>
      </x:c>
    </x:row>
    <x:row r="39">
      <x:c r="A39" s="45" t="str">
        <x:v>Portfolio growth</x:v>
      </x:c>
      <x:c r="B39" s="50" t="str">
        <x:v>Analyst estimate</x:v>
      </x:c>
      <x:c r="C39" s="171"/>
      <x:c r="D39" s="171" t="n">
        <x:v>0.13636363636363646</x:v>
      </x:c>
      <x:c r="E39" s="171" t="n">
        <x:v>0.15999999999999992</x:v>
      </x:c>
      <x:c r="F39" s="60" t="n">
        <x:f>'Summary &amp; Assumptions'!F36</x:f>
        <x:v>0.12</x:v>
      </x:c>
      <x:c r="G39" s="60" t="n">
        <x:f>'Summary &amp; Assumptions'!G36</x:f>
        <x:v>0.13</x:v>
      </x:c>
      <x:c r="H39" s="60" t="n">
        <x:f>'Summary &amp; Assumptions'!H36</x:f>
        <x:v>0.13</x:v>
      </x:c>
      <x:c r="I39" s="60" t="n">
        <x:f>'Summary &amp; Assumptions'!I36</x:f>
        <x:v>0.12</x:v>
      </x:c>
      <x:c r="J39" s="60" t="n">
        <x:f>'Summary &amp; Assumptions'!J36</x:f>
        <x:v>0.11</x:v>
      </x:c>
      <x:c r="K39" s="60" t="n">
        <x:f>'Summary &amp; Assumptions'!K36</x:f>
        <x:v>0.1</x:v>
      </x:c>
      <x:c r="L39" s="60" t="n">
        <x:f>'Summary &amp; Assumptions'!L36</x:f>
        <x:v>0.1</x:v>
      </x:c>
      <x:c r="M39" s="60" t="n">
        <x:f>'Summary &amp; Assumptions'!M36</x:f>
        <x:v>0.09</x:v>
      </x:c>
      <x:c r="N39" s="60" t="n">
        <x:f>'Summary &amp; Assumptions'!N36</x:f>
        <x:v>0.09</x:v>
      </x:c>
    </x:row>
    <x:row r="40">
      <x:c r="A40" s="45" t="str">
        <x:v>Capacity / campaign adjustment</x:v>
      </x:c>
      <x:c r="B40" s="50" t="str">
        <x:v>Specific event adjustment</x:v>
      </x:c>
      <x:c r="C40" s="172" t="n">
        <x:v>0</x:v>
      </x:c>
      <x:c r="D40" s="172" t="n">
        <x:v>0</x:v>
      </x:c>
      <x:c r="E40" s="172" t="n">
        <x:v>0</x:v>
      </x:c>
      <x:c r="F40" s="56" t="n">
        <x:f>'Summary &amp; Assumptions'!F37</x:f>
        <x:v>0</x:v>
      </x:c>
      <x:c r="G40" s="56" t="n">
        <x:f>'Summary &amp; Assumptions'!G37</x:f>
        <x:v>0</x:v>
      </x:c>
      <x:c r="H40" s="56" t="n">
        <x:f>'Summary &amp; Assumptions'!H37</x:f>
        <x:v>250</x:v>
      </x:c>
      <x:c r="I40" s="56" t="n">
        <x:f>'Summary &amp; Assumptions'!I37</x:f>
        <x:v>400</x:v>
      </x:c>
      <x:c r="J40" s="56" t="n">
        <x:f>'Summary &amp; Assumptions'!J37</x:f>
        <x:v>250</x:v>
      </x:c>
      <x:c r="K40" s="56" t="n">
        <x:f>'Summary &amp; Assumptions'!K37</x:f>
        <x:v>0</x:v>
      </x:c>
      <x:c r="L40" s="56" t="n">
        <x:f>'Summary &amp; Assumptions'!L37</x:f>
        <x:v>0</x:v>
      </x:c>
      <x:c r="M40" s="56" t="n">
        <x:f>'Summary &amp; Assumptions'!M37</x:f>
        <x:v>0</x:v>
      </x:c>
      <x:c r="N40" s="56" t="n">
        <x:f>'Summary &amp; Assumptions'!N37</x:f>
        <x:v>0</x:v>
      </x:c>
    </x:row>
    <x:row r="41">
      <x:c r="A41" s="70" t="str">
        <x:v>D&amp;M revenue</x:v>
      </x:c>
      <x:c r="B41" s="71" t="str">
        <x:v>Reported / FY26 derived / forecast</x:v>
      </x:c>
      <x:c r="C41" s="166" t="n">
        <x:v>8975.97</x:v>
      </x:c>
      <x:c r="D41" s="166" t="n">
        <x:v>13055.14</x:v>
      </x:c>
      <x:c r="E41" s="166" t="n">
        <x:v>15427.68</x:v>
      </x:c>
      <x:c r="F41" s="72" t="n">
        <x:f>SUM(F35,F36,F38,F40)</x:f>
        <x:v>18397.216</x:v>
      </x:c>
      <x:c r="G41" s="72" t="n">
        <x:f>SUM(G35,G36,G38,G40)</x:f>
        <x:v>21795.24704</x:v>
      </x:c>
      <x:c r="H41" s="72" t="n">
        <x:f>SUM(H35,H36,H38,H40)</x:f>
        <x:v>25876.635507199997</x:v>
      </x:c>
      <x:c r="I41" s="72" t="n">
        <x:f>SUM(I35,I36,I38,I40)</x:f>
        <x:v>30043.949764351994</x:v>
      </x:c>
      <x:c r="J41" s="72" t="n">
        <x:f>SUM(J35,J36,J38,J40)</x:f>
        <x:v>33974.42689520128</x:v>
      </x:c>
      <x:c r="K41" s="72" t="n">
        <x:f>SUM(K35,K36,K38,K40)</x:f>
        <x:v>38031.26221343983</x:v>
      </x:c>
      <x:c r="L41" s="72" t="n">
        <x:f>SUM(L35,L36,L38,L40)</x:f>
        <x:v>42538.29754841838</x:v>
      </x:c>
      <x:c r="M41" s="72" t="n">
        <x:f>SUM(M35,M36,M38,M40)</x:f>
        <x:v>47155.12253504674</x:v>
      </x:c>
      <x:c r="N41" s="72" t="n">
        <x:f>SUM(N35,N36,N38,N40)</x:f>
        <x:v>51836.63346823619</x:v>
      </x:c>
    </x:row>
    <x:row r="42">
      <x:c r="A42" s="45" t="str">
        <x:v>D&amp;M growth</x:v>
      </x:c>
      <x:c r="B42" s="50" t="str">
        <x:v>Calculated</x:v>
      </x:c>
      <x:c r="C42" s="171"/>
      <x:c r="D42" s="171" t="n">
        <x:v>0.454454504638496</x:v>
      </x:c>
      <x:c r="E42" s="171" t="n">
        <x:v>0.1817322525840397</x:v>
      </x:c>
      <x:c r="F42" s="126" t="n">
        <x:f>IF(E41=0,0,F41/E41-1)</x:f>
        <x:v>0.19248104705308888</x:v>
      </x:c>
      <x:c r="G42" s="126" t="n">
        <x:f>IF(F41=0,0,G41/F41-1)</x:f>
        <x:v>0.1847035464496367</x:v>
      </x:c>
      <x:c r="H42" s="126" t="n">
        <x:f>IF(G41=0,0,H41/G41-1)</x:f>
        <x:v>0.18726048205416435</x:v>
      </x:c>
      <x:c r="I42" s="126" t="n">
        <x:f>IF(H41=0,0,I41/H41-1)</x:f>
        <x:v>0.1610454441031357</x:v>
      </x:c>
      <x:c r="J42" s="126" t="n">
        <x:f>IF(I41=0,0,J41/I41-1)</x:f>
        <x:v>0.13082424786613478</x:v>
      </x:c>
      <x:c r="K42" s="126" t="n">
        <x:f>IF(J41=0,0,K41/J41-1)</x:f>
        <x:v>0.11940849894988403</x:v>
      </x:c>
      <x:c r="L42" s="126" t="n">
        <x:f>IF(K41=0,0,L41/K41-1)</x:f>
        <x:v>0.11850869712617129</x:v>
      </x:c>
      <x:c r="M42" s="126" t="n">
        <x:f>IF(L41=0,0,M41/L41-1)</x:f>
        <x:v>0.10853337469308344</x:v>
      </x:c>
      <x:c r="N42" s="126" t="n">
        <x:f>IF(M41=0,0,N41/M41-1)</x:f>
        <x:v>0.09927894747193267</x:v>
      </x:c>
    </x:row>
    <x:row r="43">
      <x:c r="A43" s="45" t="str">
        <x:v>Named molecules + residual D&amp;M check</x:v>
      </x:c>
      <x:c r="B43" s="50" t="str">
        <x:v>Must equal zero</x:v>
      </x:c>
      <x:c r="C43" s="188" t="n">
        <x:f>C35+C36+C38+C40-C41</x:f>
        <x:v>0</x:v>
      </x:c>
      <x:c r="D43" s="188" t="n">
        <x:f>D35+D36+D38+D40-D41</x:f>
        <x:v>0</x:v>
      </x:c>
      <x:c r="E43" s="188" t="n">
        <x:f>E35+E36+E38+E40-E41</x:f>
        <x:v>0</x:v>
      </x:c>
      <x:c r="F43" s="123" t="n">
        <x:f>F35+F36+F38+F40-F41</x:f>
        <x:v>0</x:v>
      </x:c>
      <x:c r="G43" s="123" t="n">
        <x:f>G35+G36+G38+G40-G41</x:f>
        <x:v>0</x:v>
      </x:c>
      <x:c r="H43" s="123" t="n">
        <x:f>H35+H36+H38+H40-H41</x:f>
        <x:v>0</x:v>
      </x:c>
      <x:c r="I43" s="123" t="n">
        <x:f>I35+I36+I38+I40-I41</x:f>
        <x:v>0</x:v>
      </x:c>
      <x:c r="J43" s="123" t="n">
        <x:f>J35+J36+J38+J40-J41</x:f>
        <x:v>0</x:v>
      </x:c>
      <x:c r="K43" s="123" t="n">
        <x:f>K35+K36+K38+K40-K41</x:f>
        <x:v>0</x:v>
      </x:c>
      <x:c r="L43" s="123" t="n">
        <x:f>L35+L36+L38+L40-L41</x:f>
        <x:v>0</x:v>
      </x:c>
      <x:c r="M43" s="123" t="n">
        <x:f>M35+M36+M38+M40-M41</x:f>
        <x:v>0</x:v>
      </x:c>
      <x:c r="N43" s="123" t="n">
        <x:f>N35+N36+N38+N40-N41</x:f>
        <x:v>0</x:v>
      </x:c>
    </x:row>
    <x:row r="44">
      <x:c r="A44" s="45" t="str">
        <x:v>Named-molecule double-counting check</x:v>
      </x:c>
      <x:c r="B44" s="50" t="str">
        <x:v>Must equal zero</x:v>
      </x:c>
      <x:c r="C44" s="188" t="n">
        <x:f>C35</x:f>
        <x:v>0</x:v>
      </x:c>
      <x:c r="D44" s="188" t="n">
        <x:f>D35</x:f>
        <x:v>0</x:v>
      </x:c>
      <x:c r="E44" s="188" t="n">
        <x:f>E35</x:f>
        <x:v>0</x:v>
      </x:c>
      <x:c r="F44" s="123" t="n">
        <x:f>F35</x:f>
        <x:v>0</x:v>
      </x:c>
      <x:c r="G44" s="123" t="n">
        <x:f>G35</x:f>
        <x:v>0</x:v>
      </x:c>
      <x:c r="H44" s="123" t="n">
        <x:f>H35</x:f>
        <x:v>0</x:v>
      </x:c>
      <x:c r="I44" s="123" t="n">
        <x:f>I35</x:f>
        <x:v>0</x:v>
      </x:c>
      <x:c r="J44" s="123" t="n">
        <x:f>J35</x:f>
        <x:v>0</x:v>
      </x:c>
      <x:c r="K44" s="123" t="n">
        <x:f>K35</x:f>
        <x:v>0</x:v>
      </x:c>
      <x:c r="L44" s="123" t="n">
        <x:f>L35</x:f>
        <x:v>0</x:v>
      </x:c>
      <x:c r="M44" s="123" t="n">
        <x:f>M35</x:f>
        <x:v>0</x:v>
      </x:c>
      <x:c r="N44" s="123" t="n">
        <x:f>N35</x:f>
        <x:v>0</x:v>
      </x:c>
    </x:row>
    <x:row r="45">
      <x:c r="A45" s="158"/>
      <x:c r="B45" s="158"/>
      <x:c r="C45" s="164"/>
      <x:c r="D45" s="164"/>
      <x:c r="E45" s="164"/>
      <x:c r="F45" s="158"/>
      <x:c r="G45" s="158"/>
      <x:c r="H45" s="158"/>
      <x:c r="I45" s="158"/>
      <x:c r="J45" s="158"/>
      <x:c r="K45" s="158"/>
      <x:c r="L45" s="158"/>
      <x:c r="M45" s="158"/>
      <x:c r="N45" s="158"/>
    </x:row>
    <x:row r="46">
      <x:c r="A46" s="158"/>
      <x:c r="B46" s="158"/>
      <x:c r="C46" s="164"/>
      <x:c r="D46" s="164"/>
      <x:c r="E46" s="164"/>
      <x:c r="F46" s="158"/>
      <x:c r="G46" s="158"/>
      <x:c r="H46" s="158"/>
      <x:c r="I46" s="158"/>
      <x:c r="J46" s="158"/>
      <x:c r="K46" s="158"/>
      <x:c r="L46" s="158"/>
      <x:c r="M46" s="158"/>
      <x:c r="N46" s="158"/>
    </x:row>
    <x:row r="47" ht="20" customHeight="1">
      <x:c r="A47" s="40" t="str">
        <x:v>Specialty Ingredients Revenue Build</x:v>
      </x:c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</x:row>
    <x:row r="48">
      <x:c r="A48" s="45" t="str">
        <x:v>Core Specialty Ingredients portfolio</x:v>
      </x:c>
      <x:c r="B48" s="50" t="str">
        <x:v>Reported / forecast</x:v>
      </x:c>
      <x:c r="C48" s="172" t="n">
        <x:v>3362.01</x:v>
      </x:c>
      <x:c r="D48" s="172" t="n">
        <x:v>3384.6</x:v>
      </x:c>
      <x:c r="E48" s="172" t="n">
        <x:v>3515.65</x:v>
      </x:c>
      <x:c r="F48" s="123" t="n">
        <x:f>E48*(1+'Summary &amp; Assumptions'!F38)</x:f>
        <x:v>3796.9020000000005</x:v>
      </x:c>
      <x:c r="G48" s="123" t="n">
        <x:f>F48*(1+'Summary &amp; Assumptions'!G38)</x:f>
        <x:v>4138.6231800000005</x:v>
      </x:c>
      <x:c r="H48" s="123" t="n">
        <x:f>G48*(1+'Summary &amp; Assumptions'!H38)</x:f>
        <x:v>4511.099266200001</x:v>
      </x:c>
      <x:c r="I48" s="123" t="n">
        <x:f>H48*(1+'Summary &amp; Assumptions'!I38)</x:f>
        <x:v>4871.987207496001</x:v>
      </x:c>
      <x:c r="J48" s="123" t="n">
        <x:f>I48*(1+'Summary &amp; Assumptions'!J38)</x:f>
        <x:v>5261.746184095682</x:v>
      </x:c>
      <x:c r="K48" s="123" t="n">
        <x:f>J48*(1+'Summary &amp; Assumptions'!K38)</x:f>
        <x:v>5630.06841698238</x:v>
      </x:c>
      <x:c r="L48" s="123" t="n">
        <x:f>K48*(1+'Summary &amp; Assumptions'!L38)</x:f>
        <x:v>6024.173206171146</x:v>
      </x:c>
      <x:c r="M48" s="123" t="n">
        <x:f>L48*(1+'Summary &amp; Assumptions'!M38)</x:f>
        <x:v>6385.623598541415</x:v>
      </x:c>
      <x:c r="N48" s="123" t="n">
        <x:f>M48*(1+'Summary &amp; Assumptions'!N38)</x:f>
        <x:v>6768.7610144539</x:v>
      </x:c>
    </x:row>
    <x:row r="49">
      <x:c r="A49" s="45" t="str">
        <x:v>Core portfolio growth</x:v>
      </x:c>
      <x:c r="B49" s="50" t="str">
        <x:v>Analyst estimate</x:v>
      </x:c>
      <x:c r="C49" s="171"/>
      <x:c r="D49" s="171" t="n">
        <x:v>0.0067191947674158925</x:v>
      </x:c>
      <x:c r="E49" s="171" t="n">
        <x:v>0.03871949417951903</x:v>
      </x:c>
      <x:c r="F49" s="60" t="n">
        <x:f>'Summary &amp; Assumptions'!F38</x:f>
        <x:v>0.08</x:v>
      </x:c>
      <x:c r="G49" s="60" t="n">
        <x:f>'Summary &amp; Assumptions'!G38</x:f>
        <x:v>0.09</x:v>
      </x:c>
      <x:c r="H49" s="60" t="n">
        <x:f>'Summary &amp; Assumptions'!H38</x:f>
        <x:v>0.09</x:v>
      </x:c>
      <x:c r="I49" s="60" t="n">
        <x:f>'Summary &amp; Assumptions'!I38</x:f>
        <x:v>0.08</x:v>
      </x:c>
      <x:c r="J49" s="60" t="n">
        <x:f>'Summary &amp; Assumptions'!J38</x:f>
        <x:v>0.08</x:v>
      </x:c>
      <x:c r="K49" s="60" t="n">
        <x:f>'Summary &amp; Assumptions'!K38</x:f>
        <x:v>0.07</x:v>
      </x:c>
      <x:c r="L49" s="60" t="n">
        <x:f>'Summary &amp; Assumptions'!L38</x:f>
        <x:v>0.07</x:v>
      </x:c>
      <x:c r="M49" s="60" t="n">
        <x:f>'Summary &amp; Assumptions'!M38</x:f>
        <x:v>0.06</x:v>
      </x:c>
      <x:c r="N49" s="60" t="n">
        <x:f>'Summary &amp; Assumptions'!N38</x:f>
        <x:v>0.06</x:v>
      </x:c>
    </x:row>
    <x:row r="50">
      <x:c r="A50" s="45" t="str">
        <x:v>New-product / capacity contribution</x:v>
      </x:c>
      <x:c r="B50" s="50" t="str">
        <x:v>Specific event adjustment</x:v>
      </x:c>
      <x:c r="C50" s="172" t="n">
        <x:v>0</x:v>
      </x:c>
      <x:c r="D50" s="172" t="n">
        <x:v>0</x:v>
      </x:c>
      <x:c r="E50" s="172" t="n">
        <x:v>0</x:v>
      </x:c>
      <x:c r="F50" s="56" t="n">
        <x:f>'Summary &amp; Assumptions'!F39</x:f>
        <x:v>0</x:v>
      </x:c>
      <x:c r="G50" s="56" t="n">
        <x:f>'Summary &amp; Assumptions'!G39</x:f>
        <x:v>0</x:v>
      </x:c>
      <x:c r="H50" s="56" t="n">
        <x:f>'Summary &amp; Assumptions'!H39</x:f>
        <x:v>100</x:v>
      </x:c>
      <x:c r="I50" s="56" t="n">
        <x:f>'Summary &amp; Assumptions'!I39</x:f>
        <x:v>250</x:v>
      </x:c>
      <x:c r="J50" s="56" t="n">
        <x:f>'Summary &amp; Assumptions'!J39</x:f>
        <x:v>350</x:v>
      </x:c>
      <x:c r="K50" s="56" t="n">
        <x:f>'Summary &amp; Assumptions'!K39</x:f>
        <x:v>400</x:v>
      </x:c>
      <x:c r="L50" s="56" t="n">
        <x:f>'Summary &amp; Assumptions'!L39</x:f>
        <x:v>300</x:v>
      </x:c>
      <x:c r="M50" s="56" t="n">
        <x:f>'Summary &amp; Assumptions'!M39</x:f>
        <x:v>200</x:v>
      </x:c>
      <x:c r="N50" s="56" t="n">
        <x:f>'Summary &amp; Assumptions'!N39</x:f>
        <x:v>100</x:v>
      </x:c>
    </x:row>
    <x:row r="51">
      <x:c r="A51" s="70" t="str">
        <x:v>Specialty Ingredients revenue</x:v>
      </x:c>
      <x:c r="B51" s="71" t="str">
        <x:v>Reported / forecast</x:v>
      </x:c>
      <x:c r="C51" s="166" t="n">
        <x:v>3362.01</x:v>
      </x:c>
      <x:c r="D51" s="166" t="n">
        <x:v>3384.6</x:v>
      </x:c>
      <x:c r="E51" s="166" t="n">
        <x:v>3515.65</x:v>
      </x:c>
      <x:c r="F51" s="72" t="n">
        <x:f>F48+F50</x:f>
        <x:v>3796.9020000000005</x:v>
      </x:c>
      <x:c r="G51" s="72" t="n">
        <x:f>G48+G50</x:f>
        <x:v>4138.6231800000005</x:v>
      </x:c>
      <x:c r="H51" s="72" t="n">
        <x:f>H48+H50</x:f>
        <x:v>4611.099266200001</x:v>
      </x:c>
      <x:c r="I51" s="72" t="n">
        <x:f>I48+I50</x:f>
        <x:v>5121.987207496001</x:v>
      </x:c>
      <x:c r="J51" s="72" t="n">
        <x:f>J48+J50</x:f>
        <x:v>5611.746184095682</x:v>
      </x:c>
      <x:c r="K51" s="72" t="n">
        <x:f>K48+K50</x:f>
        <x:v>6030.06841698238</x:v>
      </x:c>
      <x:c r="L51" s="72" t="n">
        <x:f>L48+L50</x:f>
        <x:v>6324.173206171146</x:v>
      </x:c>
      <x:c r="M51" s="72" t="n">
        <x:f>M48+M50</x:f>
        <x:v>6585.623598541415</x:v>
      </x:c>
      <x:c r="N51" s="72" t="n">
        <x:f>N48+N50</x:f>
        <x:v>6868.7610144539</x:v>
      </x:c>
    </x:row>
    <x:row r="52">
      <x:c r="A52" s="45" t="str">
        <x:v>Specialty Ingredients growth</x:v>
      </x:c>
      <x:c r="B52" s="50" t="str">
        <x:v>Calculated</x:v>
      </x:c>
      <x:c r="C52" s="171"/>
      <x:c r="D52" s="171" t="n">
        <x:v>0.0067191947674158925</x:v>
      </x:c>
      <x:c r="E52" s="171" t="n">
        <x:v>0.03871949417951903</x:v>
      </x:c>
      <x:c r="F52" s="126" t="n">
        <x:f>IF(E51=0,0,F51/E51-1)</x:f>
        <x:v>0.08000000000000007</x:v>
      </x:c>
      <x:c r="G52" s="126" t="n">
        <x:f>IF(F51=0,0,G51/F51-1)</x:f>
        <x:v>0.09000000000000008</x:v>
      </x:c>
      <x:c r="H52" s="126" t="n">
        <x:f>IF(G51=0,0,H51/G51-1)</x:f>
        <x:v>0.11416262502062335</x:v>
      </x:c>
      <x:c r="I52" s="126" t="n">
        <x:f>IF(H51=0,0,I51/H51-1)</x:f>
        <x:v>0.11079525982901295</x:v>
      </x:c>
      <x:c r="J52" s="126" t="n">
        <x:f>IF(I51=0,0,J51/I51-1)</x:f>
        <x:v>0.09561893787686948</x:v>
      </x:c>
      <x:c r="K52" s="126" t="n">
        <x:f>IF(J51=0,0,K51/J51-1)</x:f>
        <x:v>0.07454404015496463</x:v>
      </x:c>
      <x:c r="L52" s="126" t="n">
        <x:f>IF(K51=0,0,L51/K51-1)</x:f>
        <x:v>0.048773043496568746</x:v>
      </x:c>
      <x:c r="M52" s="126" t="n">
        <x:f>IF(L51=0,0,M51/L51-1)</x:f>
        <x:v>0.041341434500109076</x:v>
      </x:c>
      <x:c r="N52" s="126" t="n">
        <x:f>IF(M51=0,0,N51/M51-1)</x:f>
        <x:v>0.04299325822010158</x:v>
      </x:c>
    </x:row>
    <x:row r="53">
      <x:c r="A53" s="45" t="str">
        <x:v>Specialty Ingredients check</x:v>
      </x:c>
      <x:c r="B53" s="50" t="str">
        <x:v>Must equal zero</x:v>
      </x:c>
      <x:c r="C53" s="188" t="n">
        <x:f>C48+C50-C51</x:f>
        <x:v>0</x:v>
      </x:c>
      <x:c r="D53" s="188" t="n">
        <x:f>D48+D50-D51</x:f>
        <x:v>0</x:v>
      </x:c>
      <x:c r="E53" s="188" t="n">
        <x:f>E48+E50-E51</x:f>
        <x:v>0</x:v>
      </x:c>
      <x:c r="F53" s="123" t="n">
        <x:f>F48+F50-F51</x:f>
        <x:v>0</x:v>
      </x:c>
      <x:c r="G53" s="123" t="n">
        <x:f>G48+G50-G51</x:f>
        <x:v>0</x:v>
      </x:c>
      <x:c r="H53" s="123" t="n">
        <x:f>H48+H50-H51</x:f>
        <x:v>0</x:v>
      </x:c>
      <x:c r="I53" s="123" t="n">
        <x:f>I48+I50-I51</x:f>
        <x:v>0</x:v>
      </x:c>
      <x:c r="J53" s="123" t="n">
        <x:f>J48+J50-J51</x:f>
        <x:v>0</x:v>
      </x:c>
      <x:c r="K53" s="123" t="n">
        <x:f>K48+K50-K51</x:f>
        <x:v>0</x:v>
      </x:c>
      <x:c r="L53" s="123" t="n">
        <x:f>L48+L50-L51</x:f>
        <x:v>0</x:v>
      </x:c>
      <x:c r="M53" s="123" t="n">
        <x:f>M48+M50-M51</x:f>
        <x:v>0</x:v>
      </x:c>
      <x:c r="N53" s="123" t="n">
        <x:f>N48+N50-N51</x:f>
        <x:v>0</x:v>
      </x:c>
    </x:row>
    <x:row r="54">
      <x:c r="A54" s="158"/>
      <x:c r="B54" s="158"/>
      <x:c r="C54" s="164"/>
      <x:c r="D54" s="164"/>
      <x:c r="E54" s="164"/>
      <x:c r="F54" s="158"/>
      <x:c r="G54" s="158"/>
      <x:c r="H54" s="158"/>
      <x:c r="I54" s="158"/>
      <x:c r="J54" s="158"/>
      <x:c r="K54" s="158"/>
      <x:c r="L54" s="158"/>
      <x:c r="M54" s="158"/>
      <x:c r="N54" s="158"/>
    </x:row>
    <x:row r="55">
      <x:c r="A55" s="158"/>
      <x:c r="B55" s="158"/>
      <x:c r="C55" s="164"/>
      <x:c r="D55" s="164"/>
      <x:c r="E55" s="164"/>
      <x:c r="F55" s="158"/>
      <x:c r="G55" s="158"/>
      <x:c r="H55" s="158"/>
      <x:c r="I55" s="158"/>
      <x:c r="J55" s="158"/>
      <x:c r="K55" s="158"/>
      <x:c r="L55" s="158"/>
      <x:c r="M55" s="158"/>
      <x:c r="N55" s="158"/>
    </x:row>
    <x:row r="56">
      <x:c r="A56" s="158"/>
      <x:c r="B56" s="158"/>
      <x:c r="C56" s="164"/>
      <x:c r="D56" s="164"/>
      <x:c r="E56" s="164"/>
      <x:c r="F56" s="158"/>
      <x:c r="G56" s="158"/>
      <x:c r="H56" s="158"/>
      <x:c r="I56" s="158"/>
      <x:c r="J56" s="158"/>
      <x:c r="K56" s="158"/>
      <x:c r="L56" s="158"/>
      <x:c r="M56" s="158"/>
      <x:c r="N56" s="158"/>
    </x:row>
    <x:row r="57" ht="20" customHeight="1">
      <x:c r="A57" s="40" t="str">
        <x:v>Operating KPI Monitor</x:v>
      </x:c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</x:row>
    <x:row r="58">
      <x:c r="A58" s="45" t="str">
        <x:v>Early-stage active programmes</x:v>
      </x:c>
      <x:c r="B58" s="50" t="str">
        <x:v>Reported / monitoring KPI</x:v>
      </x:c>
      <x:c r="C58" s="170"/>
      <x:c r="D58" s="170"/>
      <x:c r="E58" s="170" t="n">
        <x:v>100</x:v>
      </x:c>
      <x:c r="F58" s="158"/>
      <x:c r="G58" s="158"/>
      <x:c r="H58" s="158"/>
      <x:c r="I58" s="158"/>
      <x:c r="J58" s="158"/>
      <x:c r="K58" s="158"/>
      <x:c r="L58" s="158"/>
      <x:c r="M58" s="158"/>
      <x:c r="N58" s="158"/>
    </x:row>
    <x:row r="59">
      <x:c r="A59" s="45" t="str">
        <x:v>Late-phase molecules</x:v>
      </x:c>
      <x:c r="B59" s="50" t="str">
        <x:v>Reported / monitoring KPI</x:v>
      </x:c>
      <x:c r="C59" s="170"/>
      <x:c r="D59" s="170" t="n">
        <x:v>10</x:v>
      </x:c>
      <x:c r="E59" s="170" t="n">
        <x:v>10</x:v>
      </x:c>
      <x:c r="F59" s="158"/>
      <x:c r="G59" s="158"/>
      <x:c r="H59" s="158"/>
      <x:c r="I59" s="158"/>
      <x:c r="J59" s="158"/>
      <x:c r="K59" s="158"/>
      <x:c r="L59" s="158"/>
      <x:c r="M59" s="158"/>
      <x:c r="N59" s="158"/>
    </x:row>
    <x:row r="60">
      <x:c r="A60" s="45" t="str">
        <x:v>Commercial molecules</x:v>
      </x:c>
      <x:c r="B60" s="50" t="str">
        <x:v>Reported / monitoring KPI</x:v>
      </x:c>
      <x:c r="C60" s="170"/>
      <x:c r="D60" s="170" t="n">
        <x:v>10</x:v>
      </x:c>
      <x:c r="E60" s="170" t="n">
        <x:v>14</x:v>
      </x:c>
      <x:c r="F60" s="158"/>
      <x:c r="G60" s="158"/>
      <x:c r="H60" s="158"/>
      <x:c r="I60" s="158"/>
      <x:c r="J60" s="158"/>
      <x:c r="K60" s="158"/>
      <x:c r="L60" s="158"/>
      <x:c r="M60" s="158"/>
      <x:c r="N60" s="158"/>
    </x:row>
    <x:row r="61">
      <x:c r="A61" s="45" t="str">
        <x:v>Customers</x:v>
      </x:c>
      <x:c r="B61" s="50" t="str">
        <x:v>Reported / monitoring KPI</x:v>
      </x:c>
      <x:c r="C61" s="170"/>
      <x:c r="D61" s="170" t="n">
        <x:v>500</x:v>
      </x:c>
      <x:c r="E61" s="170" t="n">
        <x:v>500</x:v>
      </x:c>
      <x:c r="F61" s="158"/>
      <x:c r="G61" s="158"/>
      <x:c r="H61" s="158"/>
      <x:c r="I61" s="158"/>
      <x:c r="J61" s="158"/>
      <x:c r="K61" s="158"/>
      <x:c r="L61" s="158"/>
      <x:c r="M61" s="158"/>
      <x:c r="N61" s="158"/>
    </x:row>
    <x:row r="62">
      <x:c r="A62" s="45" t="str">
        <x:v>Largest-customer concentration</x:v>
      </x:c>
      <x:c r="B62" s="50" t="str">
        <x:v>Reported</x:v>
      </x:c>
      <x:c r="C62" s="171"/>
      <x:c r="D62" s="171" t="n">
        <x:v>0.2422</x:v>
      </x:c>
      <x:c r="E62" s="171"/>
      <x:c r="F62" s="158"/>
      <x:c r="G62" s="158"/>
      <x:c r="H62" s="158"/>
      <x:c r="I62" s="158"/>
      <x:c r="J62" s="158"/>
      <x:c r="K62" s="158"/>
      <x:c r="L62" s="158"/>
      <x:c r="M62" s="158"/>
      <x:c r="N62" s="158"/>
    </x:row>
    <x:row r="63">
      <x:c r="A63" s="45" t="str">
        <x:v>Top-ten customer concentration</x:v>
      </x:c>
      <x:c r="B63" s="50" t="str">
        <x:v>Reported</x:v>
      </x:c>
      <x:c r="C63" s="171"/>
      <x:c r="D63" s="171" t="n">
        <x:v>0.7733</x:v>
      </x:c>
      <x:c r="E63" s="171"/>
      <x:c r="F63" s="158"/>
      <x:c r="G63" s="158"/>
      <x:c r="H63" s="158"/>
      <x:c r="I63" s="158"/>
      <x:c r="J63" s="158"/>
      <x:c r="K63" s="158"/>
      <x:c r="L63" s="158"/>
      <x:c r="M63" s="158"/>
      <x:c r="N63" s="158"/>
    </x:row>
    <x:row r="64">
      <x:c r="A64" s="45" t="str">
        <x:v>Custom-synthesis capacity (kL)</x:v>
      </x:c>
      <x:c r="B64" s="50" t="str">
        <x:v>Reported / announced</x:v>
      </x:c>
      <x:c r="C64" s="170" t="n">
        <x:v>270</x:v>
      </x:c>
      <x:c r="D64" s="170" t="n">
        <x:v>270</x:v>
      </x:c>
      <x:c r="E64" s="170" t="n">
        <x:v>425</x:v>
      </x:c>
      <x:c r="F64" s="85" t="n">
        <x:v>425</x:v>
      </x:c>
      <x:c r="G64" s="85" t="n">
        <x:v>790</x:v>
      </x:c>
      <x:c r="H64" s="85" t="n">
        <x:v>790</x:v>
      </x:c>
      <x:c r="I64" s="85" t="n">
        <x:v>790</x:v>
      </x:c>
      <x:c r="J64" s="85" t="n">
        <x:v>790</x:v>
      </x:c>
      <x:c r="K64" s="85" t="n">
        <x:v>790</x:v>
      </x:c>
      <x:c r="L64" s="85" t="n">
        <x:v>790</x:v>
      </x:c>
      <x:c r="M64" s="85" t="n">
        <x:v>790</x:v>
      </x:c>
      <x:c r="N64" s="85" t="n">
        <x:v>790</x:v>
      </x:c>
    </x:row>
    <x:row r="65">
      <x:c r="A65" s="45" t="str">
        <x:v>Fermentation capacity (kL)</x:v>
      </x:c>
      <x:c r="B65" s="50" t="str">
        <x:v>Reported / announced</x:v>
      </x:c>
      <x:c r="C65" s="170" t="n">
        <x:v>142</x:v>
      </x:c>
      <x:c r="D65" s="170" t="n">
        <x:v>142</x:v>
      </x:c>
      <x:c r="E65" s="170" t="n">
        <x:v>180</x:v>
      </x:c>
      <x:c r="F65" s="85" t="n">
        <x:v>180</x:v>
      </x:c>
      <x:c r="G65" s="85" t="n">
        <x:v>280</x:v>
      </x:c>
      <x:c r="H65" s="85" t="n">
        <x:v>280</x:v>
      </x:c>
      <x:c r="I65" s="85" t="n">
        <x:v>280</x:v>
      </x:c>
      <x:c r="J65" s="85" t="n">
        <x:v>280</x:v>
      </x:c>
      <x:c r="K65" s="85" t="n">
        <x:v>280</x:v>
      </x:c>
      <x:c r="L65" s="85" t="n">
        <x:v>280</x:v>
      </x:c>
      <x:c r="M65" s="85" t="n">
        <x:v>280</x:v>
      </x:c>
      <x:c r="N65" s="85" t="n">
        <x:v>280</x:v>
      </x:c>
    </x:row>
    <x:row r="66">
      <x:c r="A66" s="45" t="str">
        <x:v>Employees</x:v>
      </x:c>
      <x:c r="B66" s="50" t="str">
        <x:v>Reported</x:v>
      </x:c>
      <x:c r="C66" s="170"/>
      <x:c r="D66" s="170" t="n">
        <x:v>2062</x:v>
      </x:c>
      <x:c r="E66" s="170" t="n">
        <x:v>2282</x:v>
      </x:c>
      <x:c r="F66" s="158"/>
      <x:c r="G66" s="158"/>
      <x:c r="H66" s="158"/>
      <x:c r="I66" s="158"/>
      <x:c r="J66" s="158"/>
      <x:c r="K66" s="158"/>
      <x:c r="L66" s="158"/>
      <x:c r="M66" s="158"/>
      <x:c r="N66" s="158"/>
    </x:row>
    <x:row r="67">
      <x:c r="A67" s="45" t="str">
        <x:v>Scientific staff</x:v>
      </x:c>
      <x:c r="B67" s="50" t="str">
        <x:v>Reported</x:v>
      </x:c>
      <x:c r="C67" s="170"/>
      <x:c r="D67" s="170" t="n">
        <x:v>1015</x:v>
      </x:c>
      <x:c r="E67" s="170" t="n">
        <x:v>1117</x:v>
      </x:c>
      <x:c r="F67" s="158"/>
      <x:c r="G67" s="158"/>
      <x:c r="H67" s="158"/>
      <x:c r="I67" s="158"/>
      <x:c r="J67" s="158"/>
      <x:c r="K67" s="158"/>
      <x:c r="L67" s="158"/>
      <x:c r="M67" s="158"/>
      <x:c r="N67" s="158"/>
    </x:row>
    <x:row r="68">
      <x:c r="A68" s="45" t="str">
        <x:v>Annual capex</x:v>
      </x:c>
      <x:c r="B68" s="50" t="str">
        <x:v>Reported / forecast</x:v>
      </x:c>
      <x:c r="C68" s="168" t="n">
        <x:f>'Summary &amp; Assumptions'!C53</x:f>
        <x:v>2900.4</x:v>
      </x:c>
      <x:c r="D68" s="168" t="n">
        <x:f>'Summary &amp; Assumptions'!D53</x:f>
        <x:v>2667.2</x:v>
      </x:c>
      <x:c r="E68" s="168" t="n">
        <x:f>'Summary &amp; Assumptions'!E53</x:f>
        <x:v>2111.7</x:v>
      </x:c>
      <x:c r="F68" s="56" t="n">
        <x:f>'Summary &amp; Assumptions'!F53</x:f>
        <x:v>7000</x:v>
      </x:c>
      <x:c r="G68" s="56" t="n">
        <x:f>'Summary &amp; Assumptions'!G53</x:f>
        <x:v>5000</x:v>
      </x:c>
      <x:c r="H68" s="56" t="n">
        <x:f>'Summary &amp; Assumptions'!H53</x:f>
        <x:v>2500</x:v>
      </x:c>
      <x:c r="I68" s="56" t="n">
        <x:f>'Summary &amp; Assumptions'!I53</x:f>
        <x:v>2200</x:v>
      </x:c>
      <x:c r="J68" s="56" t="n">
        <x:f>'Summary &amp; Assumptions'!J53</x:f>
        <x:v>2420.2010217811408</x:v>
      </x:c>
      <x:c r="K68" s="56" t="n">
        <x:f>'Summary &amp; Assumptions'!K53</x:f>
        <x:v>2693.1791895204506</x:v>
      </x:c>
      <x:c r="L68" s="56" t="n">
        <x:f>'Summary &amp; Assumptions'!L53</x:f>
        <x:v>2984.2135358892383</x:v>
      </x:c>
      <x:c r="M68" s="56" t="n">
        <x:f>'Summary &amp; Assumptions'!M53</x:f>
        <x:v>3278.9742812978734</x:v>
      </x:c>
      <x:c r="N68" s="56" t="n">
        <x:f>'Summary &amp; Assumptions'!N53</x:f>
        <x:v>3577.5883686682296</x:v>
      </x:c>
    </x:row>
    <x:row r="69">
      <x:c r="A69" s="158"/>
      <x:c r="B69" s="158"/>
      <x:c r="C69" s="164"/>
      <x:c r="D69" s="164"/>
      <x:c r="E69" s="164"/>
      <x:c r="F69" s="158"/>
      <x:c r="G69" s="158"/>
      <x:c r="H69" s="158"/>
      <x:c r="I69" s="158"/>
      <x:c r="J69" s="158"/>
      <x:c r="K69" s="158"/>
      <x:c r="L69" s="158"/>
      <x:c r="M69" s="158"/>
      <x:c r="N69" s="158"/>
    </x:row>
    <x:row r="70">
      <x:c r="A70" s="158"/>
      <x:c r="B70" s="158"/>
      <x:c r="C70" s="164"/>
      <x:c r="D70" s="164"/>
      <x:c r="E70" s="164"/>
      <x:c r="F70" s="158"/>
      <x:c r="G70" s="158"/>
      <x:c r="H70" s="158"/>
      <x:c r="I70" s="158"/>
      <x:c r="J70" s="158"/>
      <x:c r="K70" s="158"/>
      <x:c r="L70" s="158"/>
      <x:c r="M70" s="158"/>
      <x:c r="N70" s="158"/>
    </x:row>
    <x:row r="71">
      <x:c r="A71" s="158"/>
      <x:c r="B71" s="158"/>
      <x:c r="C71" s="164"/>
      <x:c r="D71" s="164"/>
      <x:c r="E71" s="164"/>
      <x:c r="F71" s="158"/>
      <x:c r="G71" s="158"/>
      <x:c r="H71" s="158"/>
      <x:c r="I71" s="158"/>
      <x:c r="J71" s="158"/>
      <x:c r="K71" s="158"/>
      <x:c r="L71" s="158"/>
      <x:c r="M71" s="158"/>
      <x:c r="N71" s="158"/>
    </x:row>
    <x:row r="72" ht="20" customHeight="1">
      <x:c r="A72" s="40" t="str">
        <x:v>Programmes Examined but Excluded from Named-Molecule Forecast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</x:row>
    <x:row r="73">
      <x:c r="A73" s="134" t="str">
        <x:v>Programme / evidence clue</x:v>
      </x:c>
      <x:c r="B73" s="134" t="str">
        <x:v>Evidence</x:v>
      </x:c>
      <x:c r="C73" s="190" t="str">
        <x:v>Stage</x:v>
      </x:c>
      <x:c r="D73" s="190" t="str">
        <x:v>Probable Anthem role</x:v>
      </x:c>
      <x:c r="E73" s="190" t="str">
        <x:v>Confidence</x:v>
      </x:c>
      <x:c r="F73" s="134" t="str">
        <x:v>Central forecast</x:v>
      </x:c>
      <x:c r="G73" s="134" t="str">
        <x:v>Reason for exclusion</x:v>
      </x:c>
      <x:c r="H73" s="134" t="str">
        <x:v>Source</x:v>
      </x:c>
      <x:c r="I73" s="158"/>
      <x:c r="J73" s="158"/>
      <x:c r="K73" s="158"/>
      <x:c r="L73" s="158"/>
      <x:c r="M73" s="158"/>
      <x:c r="N73" s="158"/>
    </x:row>
    <x:row r="74" ht="40" customHeight="1">
      <x:c r="A74" s="140" t="str">
        <x:v>ADC linker programme</x:v>
      </x:c>
      <x:c r="B74" s="140" t="str">
        <x:v>Company states work began in 2016 and reached late-stage development by Mar-25</x:v>
      </x:c>
      <x:c r="C74" s="191" t="str">
        <x:v>Late stage</x:v>
      </x:c>
      <x:c r="D74" s="191" t="str">
        <x:v>Linker development / supply</x:v>
      </x:c>
      <x:c r="E74" s="191" t="str">
        <x:v>Medium</x:v>
      </x:c>
      <x:c r="F74" s="140" t="str">
        <x:v>Included in residual D&amp;M</x:v>
      </x:c>
      <x:c r="G74" s="140" t="str">
        <x:v>Molecule and customer identity not publicly disclosed</x:v>
      </x:c>
      <x:c r="H74" s="140" t="str">
        <x:v>FY25 Annual Report, p.24</x:v>
      </x:c>
      <x:c r="I74" s="158"/>
      <x:c r="J74" s="158"/>
      <x:c r="K74" s="158"/>
      <x:c r="L74" s="158"/>
      <x:c r="M74" s="158"/>
      <x:c r="N74" s="158"/>
    </x:row>
    <x:row r="75" ht="40" customHeight="1">
      <x:c r="A75" s="140" t="str">
        <x:v>RNAi glycolipid delivery programmes</x:v>
      </x:c>
      <x:c r="B75" s="140" t="str">
        <x:v>Company-disclosed platform capability since 2016</x:v>
      </x:c>
      <x:c r="C75" s="191" t="str">
        <x:v>Multiple stages</x:v>
      </x:c>
      <x:c r="D75" s="191" t="str">
        <x:v>R&amp;D / process development / supply</x:v>
      </x:c>
      <x:c r="E75" s="191" t="str">
        <x:v>Medium</x:v>
      </x:c>
      <x:c r="F75" s="140" t="str">
        <x:v>Included in R&amp;D / residual D&amp;M</x:v>
      </x:c>
      <x:c r="G75" s="140" t="str">
        <x:v>Platform evidence does not identify a specific revenue-generating molecule</x:v>
      </x:c>
      <x:c r="H75" s="140" t="str">
        <x:v>FY25 Annual Report, p.24</x:v>
      </x:c>
      <x:c r="I75" s="158"/>
      <x:c r="J75" s="158"/>
      <x:c r="K75" s="158"/>
      <x:c r="L75" s="158"/>
      <x:c r="M75" s="158"/>
      <x:c r="N75" s="158"/>
    </x:row>
    <x:row r="76" ht="40" customHeight="1">
      <x:c r="A76" s="140" t="str">
        <x:v>P29 peptide / fermentation programme</x:v>
      </x:c>
      <x:c r="B76" s="140" t="str">
        <x:v>Management discussed a 29-amino-acid peptide process</x:v>
      </x:c>
      <x:c r="C76" s="191" t="str">
        <x:v>Development / scale-up</x:v>
      </x:c>
      <x:c r="D76" s="191" t="str">
        <x:v>Peptide intermediate / fermentation process</x:v>
      </x:c>
      <x:c r="E76" s="191" t="str">
        <x:v>Low</x:v>
      </x:c>
      <x:c r="F76" s="140" t="str">
        <x:v>Qualitative watchlist</x:v>
      </x:c>
      <x:c r="G76" s="140" t="str">
        <x:v>No disclosed generic molecule, customer or economics</x:v>
      </x:c>
      <x:c r="H76" s="140" t="str">
        <x:v>FY26 earnings call</x:v>
      </x:c>
      <x:c r="I76" s="158"/>
      <x:c r="J76" s="158"/>
      <x:c r="K76" s="158"/>
      <x:c r="L76" s="158"/>
      <x:c r="M76" s="158"/>
      <x:c r="N76" s="158"/>
    </x:row>
    <x:row r="77" ht="40" customHeight="1">
      <x:c r="A77" s="140" t="str">
        <x:v>Backward-integrated key commercial intermediate</x:v>
      </x:c>
      <x:c r="B77" s="140" t="str">
        <x:v>Management confirmed backward integration completed</x:v>
      </x:c>
      <x:c r="C77" s="191" t="str">
        <x:v>Commercial</x:v>
      </x:c>
      <x:c r="D77" s="191" t="str">
        <x:v>Intermediate manufacturing</x:v>
      </x:c>
      <x:c r="E77" s="191" t="str">
        <x:v>Medium</x:v>
      </x:c>
      <x:c r="F77" s="140" t="str">
        <x:v>Included in residual D&amp;M</x:v>
      </x:c>
      <x:c r="G77" s="140" t="str">
        <x:v>Product identity and customer remain undisclosed</x:v>
      </x:c>
      <x:c r="H77" s="140" t="str">
        <x:v>Q1 FY26 earnings call</x:v>
      </x:c>
      <x:c r="I77" s="158"/>
      <x:c r="J77" s="158"/>
      <x:c r="K77" s="158"/>
      <x:c r="L77" s="158"/>
      <x:c r="M77" s="158"/>
      <x:c r="N77" s="158"/>
    </x:row>
    <x:row r="78">
      <x:c r="A78" s="158"/>
      <x:c r="B78" s="158"/>
      <x:c r="C78" s="164"/>
      <x:c r="D78" s="164"/>
      <x:c r="E78" s="164"/>
      <x:c r="F78" s="158"/>
      <x:c r="G78" s="158"/>
      <x:c r="H78" s="158"/>
      <x:c r="I78" s="158"/>
      <x:c r="J78" s="158"/>
      <x:c r="K78" s="158"/>
      <x:c r="L78" s="158"/>
      <x:c r="M78" s="158"/>
      <x:c r="N78" s="158"/>
    </x:row>
    <x:row r="79">
      <x:c r="A79" s="158"/>
      <x:c r="B79" s="158"/>
      <x:c r="C79" s="164"/>
      <x:c r="D79" s="164"/>
      <x:c r="E79" s="164"/>
      <x:c r="F79" s="158"/>
      <x:c r="G79" s="158"/>
      <x:c r="H79" s="158"/>
      <x:c r="I79" s="158"/>
      <x:c r="J79" s="158"/>
      <x:c r="K79" s="158"/>
      <x:c r="L79" s="158"/>
      <x:c r="M79" s="158"/>
      <x:c r="N79" s="158"/>
    </x:row>
    <x:row r="80">
      <x:c r="A80" s="158"/>
      <x:c r="B80" s="158"/>
      <x:c r="C80" s="164"/>
      <x:c r="D80" s="164"/>
      <x:c r="E80" s="164"/>
      <x:c r="F80" s="158"/>
      <x:c r="G80" s="158"/>
      <x:c r="H80" s="158"/>
      <x:c r="I80" s="158"/>
      <x:c r="J80" s="158"/>
      <x:c r="K80" s="158"/>
      <x:c r="L80" s="158"/>
      <x:c r="M80" s="158"/>
      <x:c r="N80" s="158"/>
    </x:row>
    <x:row r="81" ht="20" customHeight="1">
      <x:c r="A81" s="40" t="str">
        <x:v>Quarterly Monitoring – Latest Eight Reported Quarters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</x:row>
    <x:row r="82">
      <x:c r="A82" s="158"/>
      <x:c r="B82" s="158"/>
      <x:c r="C82" s="192" t="str">
        <x:v>Q2FY25</x:v>
      </x:c>
      <x:c r="D82" s="192" t="str">
        <x:v>Q3FY25</x:v>
      </x:c>
      <x:c r="E82" s="192" t="str">
        <x:v>Q4FY25</x:v>
      </x:c>
      <x:c r="F82" s="144" t="str">
        <x:v>Q1FY26</x:v>
      </x:c>
      <x:c r="G82" s="144" t="str">
        <x:v>Q2FY26</x:v>
      </x:c>
      <x:c r="H82" s="144" t="str">
        <x:v>Q3FY26</x:v>
      </x:c>
      <x:c r="I82" s="144" t="str">
        <x:v>Q4FY26</x:v>
      </x:c>
      <x:c r="J82" s="144" t="str">
        <x:v>Q1FY27</x:v>
      </x:c>
      <x:c r="K82" s="158"/>
      <x:c r="L82" s="158"/>
      <x:c r="M82" s="158"/>
      <x:c r="N82" s="158"/>
    </x:row>
    <x:row r="83">
      <x:c r="A83" s="45" t="str">
        <x:v>Revenue from operations</x:v>
      </x:c>
      <x:c r="B83" s="50" t="str">
        <x:v>Reported</x:v>
      </x:c>
      <x:c r="C83" s="172" t="n">
        <x:v>5250</x:v>
      </x:c>
      <x:c r="D83" s="172" t="n">
        <x:v>4978</x:v>
      </x:c>
      <x:c r="E83" s="172" t="n">
        <x:v>4832</x:v>
      </x:c>
      <x:c r="F83" s="99" t="n">
        <x:v>5402</x:v>
      </x:c>
      <x:c r="G83" s="99" t="n">
        <x:v>5500</x:v>
      </x:c>
      <x:c r="H83" s="99" t="n">
        <x:v>4232</x:v>
      </x:c>
      <x:c r="I83" s="99" t="n">
        <x:v>6109</x:v>
      </x:c>
      <x:c r="J83" s="99" t="n">
        <x:v>4182</x:v>
      </x:c>
      <x:c r="K83" s="158"/>
      <x:c r="L83" s="158"/>
      <x:c r="M83" s="158"/>
      <x:c r="N83" s="158"/>
    </x:row>
    <x:row r="84">
      <x:c r="A84" s="45" t="str">
        <x:v>CRDMO</x:v>
      </x:c>
      <x:c r="B84" s="50" t="str">
        <x:v>Reported</x:v>
      </x:c>
      <x:c r="C84" s="172" t="n">
        <x:v>4351</x:v>
      </x:c>
      <x:c r="D84" s="172" t="n">
        <x:v>4135</x:v>
      </x:c>
      <x:c r="E84" s="172" t="n">
        <x:v>3923</x:v>
      </x:c>
      <x:c r="F84" s="99" t="n">
        <x:v>4527</x:v>
      </x:c>
      <x:c r="G84" s="99" t="n">
        <x:v>4719</x:v>
      </x:c>
      <x:c r="H84" s="99" t="n">
        <x:v>3332</x:v>
      </x:c>
      <x:c r="I84" s="99" t="n">
        <x:v>5128</x:v>
      </x:c>
      <x:c r="J84" s="99" t="n">
        <x:v>3408</x:v>
      </x:c>
      <x:c r="K84" s="158"/>
      <x:c r="L84" s="158"/>
      <x:c r="M84" s="158"/>
      <x:c r="N84" s="158"/>
    </x:row>
    <x:row r="85">
      <x:c r="A85" s="45" t="str">
        <x:v>Specialty Ingredients</x:v>
      </x:c>
      <x:c r="B85" s="50" t="str">
        <x:v>Reported</x:v>
      </x:c>
      <x:c r="C85" s="172" t="n">
        <x:v>899</x:v>
      </x:c>
      <x:c r="D85" s="172" t="n">
        <x:v>843</x:v>
      </x:c>
      <x:c r="E85" s="172" t="n">
        <x:v>909</x:v>
      </x:c>
      <x:c r="F85" s="99" t="n">
        <x:v>875</x:v>
      </x:c>
      <x:c r="G85" s="99" t="n">
        <x:v>781</x:v>
      </x:c>
      <x:c r="H85" s="99" t="n">
        <x:v>899</x:v>
      </x:c>
      <x:c r="I85" s="99" t="n">
        <x:v>981</x:v>
      </x:c>
      <x:c r="J85" s="99" t="n">
        <x:v>774</x:v>
      </x:c>
      <x:c r="K85" s="158"/>
      <x:c r="L85" s="158"/>
      <x:c r="M85" s="158"/>
      <x:c r="N85" s="158"/>
    </x:row>
    <x:row r="86">
      <x:c r="A86" s="45" t="str">
        <x:v>Other income</x:v>
      </x:c>
      <x:c r="B86" s="50" t="str">
        <x:v>Reported</x:v>
      </x:c>
      <x:c r="C86" s="172" t="n">
        <x:v>278</x:v>
      </x:c>
      <x:c r="D86" s="172" t="n">
        <x:v>244</x:v>
      </x:c>
      <x:c r="E86" s="172" t="n">
        <x:v>141</x:v>
      </x:c>
      <x:c r="F86" s="99" t="n">
        <x:v>228</x:v>
      </x:c>
      <x:c r="G86" s="99" t="n">
        <x:v>482</x:v>
      </x:c>
      <x:c r="H86" s="99" t="n">
        <x:v>335</x:v>
      </x:c>
      <x:c r="I86" s="99" t="n">
        <x:v>512</x:v>
      </x:c>
      <x:c r="J86" s="99" t="n">
        <x:v>249</x:v>
      </x:c>
      <x:c r="K86" s="158"/>
      <x:c r="L86" s="158"/>
      <x:c r="M86" s="158"/>
      <x:c r="N86" s="158"/>
    </x:row>
    <x:row r="87">
      <x:c r="A87" s="45" t="str">
        <x:v>Reported EBITDA</x:v>
      </x:c>
      <x:c r="B87" s="50" t="str">
        <x:v>Reported</x:v>
      </x:c>
      <x:c r="C87" s="172" t="n">
        <x:v>2231</x:v>
      </x:c>
      <x:c r="D87" s="172" t="n">
        <x:v>1839</x:v>
      </x:c>
      <x:c r="E87" s="172" t="n">
        <x:v>2092</x:v>
      </x:c>
      <x:c r="F87" s="99" t="n">
        <x:v>2143</x:v>
      </x:c>
      <x:c r="G87" s="99" t="n">
        <x:v>2661</x:v>
      </x:c>
      <x:c r="H87" s="99" t="n">
        <x:v>1907</x:v>
      </x:c>
      <x:c r="I87" s="99" t="n">
        <x:v>3184</x:v>
      </x:c>
      <x:c r="J87" s="99" t="n">
        <x:v>1755</x:v>
      </x:c>
      <x:c r="K87" s="158"/>
      <x:c r="L87" s="158"/>
      <x:c r="M87" s="158"/>
      <x:c r="N87" s="158"/>
    </x:row>
    <x:row r="88">
      <x:c r="A88" s="45" t="str">
        <x:v>Reported EBITDA margin</x:v>
      </x:c>
      <x:c r="B88" s="50" t="str">
        <x:v>Reported</x:v>
      </x:c>
      <x:c r="C88" s="171" t="n">
        <x:v>0.404</x:v>
      </x:c>
      <x:c r="D88" s="171" t="n">
        <x:v>0.352</x:v>
      </x:c>
      <x:c r="E88" s="171" t="n">
        <x:v>0.421</x:v>
      </x:c>
      <x:c r="F88" s="91" t="n">
        <x:v>0.381</x:v>
      </x:c>
      <x:c r="G88" s="91" t="n">
        <x:v>0.445</x:v>
      </x:c>
      <x:c r="H88" s="91" t="n">
        <x:v>0.418</x:v>
      </x:c>
      <x:c r="I88" s="91" t="n">
        <x:v>0.481</x:v>
      </x:c>
      <x:c r="J88" s="91" t="n">
        <x:v>0.396</x:v>
      </x:c>
      <x:c r="K88" s="158"/>
      <x:c r="L88" s="158"/>
      <x:c r="M88" s="158"/>
      <x:c r="N88" s="158"/>
    </x:row>
    <x:row r="89">
      <x:c r="A89" s="45" t="str">
        <x:v>Profit after tax</x:v>
      </x:c>
      <x:c r="B89" s="50" t="str">
        <x:v>Reported</x:v>
      </x:c>
      <x:c r="C89" s="172" t="n">
        <x:v>1619</x:v>
      </x:c>
      <x:c r="D89" s="172" t="n">
        <x:v>1243</x:v>
      </x:c>
      <x:c r="E89" s="172" t="n">
        <x:v>826</x:v>
      </x:c>
      <x:c r="F89" s="99" t="n">
        <x:v>1358</x:v>
      </x:c>
      <x:c r="G89" s="99" t="n">
        <x:v>1734</x:v>
      </x:c>
      <x:c r="H89" s="99" t="n">
        <x:v>928</x:v>
      </x:c>
      <x:c r="I89" s="99" t="n">
        <x:v>1898</x:v>
      </x:c>
      <x:c r="J89" s="99" t="n">
        <x:v>1199</x:v>
      </x:c>
      <x:c r="K89" s="158"/>
      <x:c r="L89" s="158"/>
      <x:c r="M89" s="158"/>
      <x:c r="N89" s="158"/>
    </x:row>
    <x:row r="90">
      <x:c r="A90" s="45" t="str">
        <x:v>PAT margin</x:v>
      </x:c>
      <x:c r="B90" s="50" t="str">
        <x:v>Reported</x:v>
      </x:c>
      <x:c r="C90" s="171" t="n">
        <x:v>0.293</x:v>
      </x:c>
      <x:c r="D90" s="171" t="n">
        <x:v>0.238</x:v>
      </x:c>
      <x:c r="E90" s="171" t="n">
        <x:v>0.166</x:v>
      </x:c>
      <x:c r="F90" s="91" t="n">
        <x:v>0.241</x:v>
      </x:c>
      <x:c r="G90" s="91" t="n">
        <x:v>0.29</x:v>
      </x:c>
      <x:c r="H90" s="91" t="n">
        <x:v>0.203</x:v>
      </x:c>
      <x:c r="I90" s="91" t="n">
        <x:v>0.287</x:v>
      </x:c>
      <x:c r="J90" s="91" t="n">
        <x:v>0.271</x:v>
      </x:c>
      <x:c r="K90" s="158"/>
      <x:c r="L90" s="158"/>
      <x:c r="M90" s="158"/>
      <x:c r="N90" s="158"/>
    </x:row>
    <x:row r="91">
      <x:c r="A91" s="45" t="str">
        <x:v>Revenue reconciliation check</x:v>
      </x:c>
      <x:c r="B91" s="50" t="str">
        <x:v>Reported</x:v>
      </x:c>
      <x:c r="C91" s="188" t="n">
        <x:f>C83-C84-C85</x:f>
        <x:v>0</x:v>
      </x:c>
      <x:c r="D91" s="188" t="n">
        <x:f>D83-D84-D85</x:f>
        <x:v>0</x:v>
      </x:c>
      <x:c r="E91" s="188" t="n">
        <x:f>E83-E84-E85</x:f>
        <x:v>0</x:v>
      </x:c>
      <x:c r="F91" s="123" t="n">
        <x:f>F83-F84-F85</x:f>
        <x:v>0</x:v>
      </x:c>
      <x:c r="G91" s="123" t="n">
        <x:f>G83-G84-G85</x:f>
        <x:v>0</x:v>
      </x:c>
      <x:c r="H91" s="123" t="n">
        <x:f>H83-H84-H85</x:f>
        <x:v>1</x:v>
      </x:c>
      <x:c r="I91" s="123" t="n">
        <x:f>I83-I84-I85</x:f>
        <x:v>0</x:v>
      </x:c>
      <x:c r="J91" s="123" t="n">
        <x:f>J83-J84-J85</x:f>
        <x:v>0</x:v>
      </x:c>
      <x:c r="K91" s="158"/>
      <x:c r="L91" s="158"/>
      <x:c r="M91" s="158"/>
      <x:c r="N91" s="158"/>
    </x:row>
    <x:row r="92">
      <x:c r="A92" s="158"/>
      <x:c r="B92" s="158"/>
      <x:c r="C92" s="164"/>
      <x:c r="D92" s="164"/>
      <x:c r="E92" s="164"/>
      <x:c r="F92" s="158"/>
      <x:c r="G92" s="158"/>
      <x:c r="H92" s="158"/>
      <x:c r="I92" s="158"/>
      <x:c r="J92" s="158"/>
      <x:c r="K92" s="158"/>
      <x:c r="L92" s="158"/>
      <x:c r="M92" s="158"/>
      <x:c r="N92" s="158"/>
    </x:row>
    <x:row r="93">
      <x:c r="A93" s="45" t="str">
        <x:v>FY27 revenue forecast</x:v>
      </x:c>
      <x:c r="B93" s="50" t="str">
        <x:v>Annual model</x:v>
      </x:c>
      <x:c r="C93" s="164"/>
      <x:c r="D93" s="164"/>
      <x:c r="E93" s="164"/>
      <x:c r="F93" s="158"/>
      <x:c r="G93" s="158"/>
      <x:c r="H93" s="158"/>
      <x:c r="I93" s="158"/>
      <x:c r="J93" s="55" t="n">
        <x:f>'Revenue Model'!F11</x:f>
        <x:v>24834.127433962265</x:v>
      </x:c>
      <x:c r="K93" s="158"/>
      <x:c r="L93" s="158"/>
      <x:c r="M93" s="158"/>
      <x:c r="N93" s="158"/>
    </x:row>
    <x:row r="94">
      <x:c r="A94" s="45" t="str">
        <x:v>Revenue required in Q2–Q4 FY27</x:v>
      </x:c>
      <x:c r="B94" s="50" t="str">
        <x:v>FY27 forecast less Q1 reported</x:v>
      </x:c>
      <x:c r="C94" s="164"/>
      <x:c r="D94" s="164"/>
      <x:c r="E94" s="164"/>
      <x:c r="F94" s="158"/>
      <x:c r="G94" s="158"/>
      <x:c r="H94" s="158"/>
      <x:c r="I94" s="158"/>
      <x:c r="J94" s="122" t="n">
        <x:f>J93-J83</x:f>
        <x:v>20652.127433962265</x:v>
      </x:c>
      <x:c r="K94" s="158"/>
      <x:c r="L94" s="158"/>
      <x:c r="M94" s="158"/>
      <x:c r="N94" s="158"/>
    </x:row>
    <x:row r="95">
      <x:c r="A95" s="45" t="str">
        <x:v>Implied average quarterly revenue, Q2–Q4</x:v>
      </x:c>
      <x:c r="B95" s="50" t="str">
        <x:v>Calculated</x:v>
      </x:c>
      <x:c r="C95" s="164"/>
      <x:c r="D95" s="164"/>
      <x:c r="E95" s="164"/>
      <x:c r="F95" s="158"/>
      <x:c r="G95" s="158"/>
      <x:c r="H95" s="158"/>
      <x:c r="I95" s="158"/>
      <x:c r="J95" s="122" t="n">
        <x:f>J94/3</x:f>
        <x:v>6884.042477987422</x:v>
      </x:c>
      <x:c r="K95" s="158"/>
      <x:c r="L95" s="158"/>
      <x:c r="M95" s="158"/>
      <x:c r="N95" s="158"/>
    </x:row>
    <x:row r="96">
      <x:c r="A96" s="158"/>
      <x:c r="B96" s="158"/>
      <x:c r="C96" s="164"/>
      <x:c r="D96" s="164"/>
      <x:c r="E96" s="164"/>
      <x:c r="F96" s="158"/>
      <x:c r="G96" s="158"/>
      <x:c r="H96" s="158"/>
      <x:c r="I96" s="158"/>
      <x:c r="J96" s="158"/>
      <x:c r="K96" s="158"/>
      <x:c r="L96" s="158"/>
      <x:c r="M96" s="158"/>
      <x:c r="N96" s="158"/>
    </x:row>
    <x:row r="97">
      <x:c r="A97" s="158"/>
      <x:c r="B97" s="158"/>
      <x:c r="C97" s="164"/>
      <x:c r="D97" s="164"/>
      <x:c r="E97" s="164"/>
      <x:c r="F97" s="158"/>
      <x:c r="G97" s="158"/>
      <x:c r="H97" s="158"/>
      <x:c r="I97" s="158"/>
      <x:c r="J97" s="158"/>
      <x:c r="K97" s="158"/>
      <x:c r="L97" s="158"/>
      <x:c r="M97" s="158"/>
      <x:c r="N97" s="158"/>
    </x:row>
    <x:row r="98">
      <x:c r="A98" s="158"/>
      <x:c r="B98" s="158"/>
      <x:c r="C98" s="164"/>
      <x:c r="D98" s="164"/>
      <x:c r="E98" s="164"/>
      <x:c r="F98" s="158"/>
      <x:c r="G98" s="158"/>
      <x:c r="H98" s="158"/>
      <x:c r="I98" s="158"/>
      <x:c r="J98" s="158"/>
      <x:c r="K98" s="158"/>
      <x:c r="L98" s="158"/>
      <x:c r="M98" s="158"/>
      <x:c r="N98" s="158"/>
    </x:row>
    <x:row r="99">
      <x:c r="A99" s="158"/>
      <x:c r="B99" s="158"/>
      <x:c r="C99" s="164"/>
      <x:c r="D99" s="164"/>
      <x:c r="E99" s="164"/>
      <x:c r="F99" s="158"/>
      <x:c r="G99" s="158"/>
      <x:c r="H99" s="158"/>
      <x:c r="I99" s="158"/>
      <x:c r="J99" s="158"/>
      <x:c r="K99" s="158"/>
      <x:c r="L99" s="158"/>
      <x:c r="M99" s="158"/>
      <x:c r="N99" s="158"/>
    </x:row>
    <x:row r="100">
      <x:c r="A100" s="158"/>
      <x:c r="B100" s="158"/>
      <x:c r="C100" s="164"/>
      <x:c r="D100" s="164"/>
      <x:c r="E100" s="164"/>
      <x:c r="F100" s="158"/>
      <x:c r="G100" s="158"/>
      <x:c r="H100" s="158"/>
      <x:c r="I100" s="158"/>
      <x:c r="J100" s="158"/>
      <x:c r="K100" s="158"/>
      <x:c r="L100" s="158"/>
      <x:c r="M100" s="158"/>
      <x:c r="N100" s="158"/>
    </x:row>
    <x:row r="101">
      <x:c r="A101" s="158"/>
      <x:c r="B101" s="158"/>
      <x:c r="C101" s="164"/>
      <x:c r="D101" s="164"/>
      <x:c r="E101" s="164"/>
      <x:c r="F101" s="158"/>
      <x:c r="G101" s="158"/>
      <x:c r="H101" s="158"/>
      <x:c r="I101" s="158"/>
      <x:c r="J101" s="158"/>
      <x:c r="K101" s="158"/>
      <x:c r="L101" s="158"/>
      <x:c r="M101" s="158"/>
      <x:c r="N101" s="158"/>
    </x:row>
    <x:row r="102">
      <x:c r="A102" s="158"/>
      <x:c r="B102" s="158"/>
      <x:c r="C102" s="164"/>
      <x:c r="D102" s="164"/>
      <x:c r="E102" s="164"/>
      <x:c r="F102" s="158"/>
      <x:c r="G102" s="158"/>
      <x:c r="H102" s="158"/>
      <x:c r="I102" s="158"/>
      <x:c r="J102" s="158"/>
      <x:c r="K102" s="158"/>
      <x:c r="L102" s="158"/>
      <x:c r="M102" s="158"/>
      <x:c r="N102" s="158"/>
    </x:row>
    <x:row r="103">
      <x:c r="A103" s="158"/>
      <x:c r="B103" s="158"/>
      <x:c r="C103" s="164"/>
      <x:c r="D103" s="164"/>
      <x:c r="E103" s="164"/>
      <x:c r="F103" s="158"/>
      <x:c r="G103" s="158"/>
      <x:c r="H103" s="158"/>
      <x:c r="I103" s="158"/>
      <x:c r="J103" s="158"/>
      <x:c r="K103" s="158"/>
      <x:c r="L103" s="158"/>
      <x:c r="M103" s="158"/>
      <x:c r="N103" s="158"/>
    </x:row>
    <x:row r="104">
      <x:c r="A104" s="158"/>
      <x:c r="B104" s="158"/>
      <x:c r="C104" s="164"/>
      <x:c r="D104" s="164"/>
      <x:c r="E104" s="164"/>
      <x:c r="F104" s="158"/>
      <x:c r="G104" s="158"/>
      <x:c r="H104" s="158"/>
      <x:c r="I104" s="158"/>
      <x:c r="J104" s="158"/>
      <x:c r="K104" s="158"/>
      <x:c r="L104" s="158"/>
      <x:c r="M104" s="158"/>
      <x:c r="N104" s="158"/>
    </x:row>
    <x:row r="105">
      <x:c r="A105" s="158"/>
      <x:c r="B105" s="158"/>
      <x:c r="C105" s="164"/>
      <x:c r="D105" s="164"/>
      <x:c r="E105" s="164"/>
      <x:c r="F105" s="158"/>
      <x:c r="G105" s="158"/>
      <x:c r="H105" s="158"/>
      <x:c r="I105" s="158"/>
      <x:c r="J105" s="158"/>
      <x:c r="K105" s="158"/>
      <x:c r="L105" s="158"/>
      <x:c r="M105" s="158"/>
      <x:c r="N105" s="158"/>
    </x:row>
    <x:row r="106">
      <x:c r="A106" s="158"/>
      <x:c r="B106" s="158"/>
      <x:c r="C106" s="164"/>
      <x:c r="D106" s="164"/>
      <x:c r="E106" s="164"/>
      <x:c r="F106" s="158"/>
      <x:c r="G106" s="158"/>
      <x:c r="H106" s="158"/>
      <x:c r="I106" s="158"/>
      <x:c r="J106" s="158"/>
      <x:c r="K106" s="158"/>
      <x:c r="L106" s="158"/>
      <x:c r="M106" s="158"/>
      <x:c r="N106" s="158"/>
    </x:row>
    <x:row r="107">
      <x:c r="A107" s="158"/>
      <x:c r="B107" s="158"/>
      <x:c r="C107" s="164"/>
      <x:c r="D107" s="164"/>
      <x:c r="E107" s="164"/>
      <x:c r="F107" s="158"/>
      <x:c r="G107" s="158"/>
      <x:c r="H107" s="158"/>
      <x:c r="I107" s="158"/>
      <x:c r="J107" s="158"/>
      <x:c r="K107" s="158"/>
      <x:c r="L107" s="158"/>
      <x:c r="M107" s="158"/>
      <x:c r="N107" s="158"/>
    </x:row>
    <x:row r="108">
      <x:c r="A108" s="158"/>
      <x:c r="B108" s="158"/>
      <x:c r="C108" s="164"/>
      <x:c r="D108" s="164"/>
      <x:c r="E108" s="164"/>
      <x:c r="F108" s="158"/>
      <x:c r="G108" s="158"/>
      <x:c r="H108" s="158"/>
      <x:c r="I108" s="158"/>
      <x:c r="J108" s="158"/>
      <x:c r="K108" s="158"/>
      <x:c r="L108" s="158"/>
      <x:c r="M108" s="158"/>
      <x:c r="N108" s="158"/>
    </x:row>
    <x:row r="109">
      <x:c r="A109" s="158"/>
      <x:c r="B109" s="158"/>
      <x:c r="C109" s="164"/>
      <x:c r="D109" s="164"/>
      <x:c r="E109" s="164"/>
      <x:c r="F109" s="158"/>
      <x:c r="G109" s="158"/>
      <x:c r="H109" s="158"/>
      <x:c r="I109" s="158"/>
      <x:c r="J109" s="158"/>
      <x:c r="K109" s="158"/>
      <x:c r="L109" s="158"/>
      <x:c r="M109" s="158"/>
      <x:c r="N109" s="158"/>
    </x:row>
    <x:row r="110">
      <x:c r="A110" s="158"/>
      <x:c r="B110" s="158"/>
      <x:c r="C110" s="164"/>
      <x:c r="D110" s="164"/>
      <x:c r="E110" s="164"/>
      <x:c r="F110" s="158"/>
      <x:c r="G110" s="158"/>
      <x:c r="H110" s="158"/>
      <x:c r="I110" s="158"/>
      <x:c r="J110" s="158"/>
      <x:c r="K110" s="158"/>
      <x:c r="L110" s="158"/>
      <x:c r="M110" s="158"/>
      <x:c r="N110" s="158"/>
    </x:row>
    <x:row r="111">
      <x:c r="A111" s="158"/>
      <x:c r="B111" s="158"/>
      <x:c r="C111" s="164"/>
      <x:c r="D111" s="164"/>
      <x:c r="E111" s="164"/>
      <x:c r="F111" s="158"/>
      <x:c r="G111" s="158"/>
      <x:c r="H111" s="158"/>
      <x:c r="I111" s="158"/>
      <x:c r="J111" s="158"/>
      <x:c r="K111" s="158"/>
      <x:c r="L111" s="158"/>
      <x:c r="M111" s="158"/>
      <x:c r="N111" s="158"/>
    </x:row>
    <x:row r="112">
      <x:c r="A112" s="158"/>
      <x:c r="B112" s="158"/>
      <x:c r="C112" s="164"/>
      <x:c r="D112" s="164"/>
      <x:c r="E112" s="164"/>
      <x:c r="F112" s="158"/>
      <x:c r="G112" s="158"/>
      <x:c r="H112" s="158"/>
      <x:c r="I112" s="158"/>
      <x:c r="J112" s="158"/>
      <x:c r="K112" s="158"/>
      <x:c r="L112" s="158"/>
      <x:c r="M112" s="158"/>
      <x:c r="N112" s="158"/>
    </x:row>
    <x:row r="113">
      <x:c r="A113" s="158"/>
      <x:c r="B113" s="158"/>
      <x:c r="C113" s="164"/>
      <x:c r="D113" s="164"/>
      <x:c r="E113" s="164"/>
      <x:c r="F113" s="158"/>
      <x:c r="G113" s="158"/>
      <x:c r="H113" s="158"/>
      <x:c r="I113" s="158"/>
      <x:c r="J113" s="158"/>
      <x:c r="K113" s="158"/>
      <x:c r="L113" s="158"/>
      <x:c r="M113" s="158"/>
      <x:c r="N113" s="158"/>
    </x:row>
    <x:row r="114">
      <x:c r="A114" s="158"/>
      <x:c r="B114" s="158"/>
      <x:c r="C114" s="164"/>
      <x:c r="D114" s="164"/>
      <x:c r="E114" s="164"/>
      <x:c r="F114" s="158"/>
      <x:c r="G114" s="158"/>
      <x:c r="H114" s="158"/>
      <x:c r="I114" s="158"/>
      <x:c r="J114" s="158"/>
      <x:c r="K114" s="158"/>
      <x:c r="L114" s="158"/>
      <x:c r="M114" s="158"/>
      <x:c r="N114" s="158"/>
    </x:row>
    <x:row r="115">
      <x:c r="A115" s="158"/>
      <x:c r="B115" s="158"/>
      <x:c r="C115" s="164"/>
      <x:c r="D115" s="164"/>
      <x:c r="E115" s="164"/>
      <x:c r="F115" s="158"/>
      <x:c r="G115" s="158"/>
      <x:c r="H115" s="158"/>
      <x:c r="I115" s="158"/>
      <x:c r="J115" s="158"/>
      <x:c r="K115" s="158"/>
      <x:c r="L115" s="158"/>
      <x:c r="M115" s="158"/>
      <x:c r="N115" s="158"/>
    </x:row>
    <x:row r="116">
      <x:c r="A116" s="158"/>
      <x:c r="B116" s="158"/>
      <x:c r="C116" s="164"/>
      <x:c r="D116" s="164"/>
      <x:c r="E116" s="164"/>
      <x:c r="F116" s="158"/>
      <x:c r="G116" s="158"/>
      <x:c r="H116" s="158"/>
      <x:c r="I116" s="158"/>
      <x:c r="J116" s="158"/>
      <x:c r="K116" s="158"/>
      <x:c r="L116" s="158"/>
      <x:c r="M116" s="158"/>
      <x:c r="N116" s="158"/>
    </x:row>
    <x:row r="117">
      <x:c r="A117" s="158"/>
      <x:c r="B117" s="158"/>
      <x:c r="C117" s="164"/>
      <x:c r="D117" s="164"/>
      <x:c r="E117" s="164"/>
      <x:c r="F117" s="158"/>
      <x:c r="G117" s="158"/>
      <x:c r="H117" s="158"/>
      <x:c r="I117" s="158"/>
      <x:c r="J117" s="158"/>
      <x:c r="K117" s="158"/>
      <x:c r="L117" s="158"/>
      <x:c r="M117" s="158"/>
      <x:c r="N117" s="158"/>
    </x:row>
    <x:row r="118">
      <x:c r="A118" s="158"/>
      <x:c r="B118" s="158"/>
      <x:c r="C118" s="164"/>
      <x:c r="D118" s="164"/>
      <x:c r="E118" s="164"/>
      <x:c r="F118" s="158"/>
      <x:c r="G118" s="158"/>
      <x:c r="H118" s="158"/>
      <x:c r="I118" s="158"/>
      <x:c r="J118" s="158"/>
      <x:c r="K118" s="158"/>
      <x:c r="L118" s="158"/>
      <x:c r="M118" s="158"/>
      <x:c r="N118" s="158"/>
    </x:row>
    <x:row r="119">
      <x:c r="A119" s="158"/>
      <x:c r="B119" s="158"/>
      <x:c r="C119" s="164"/>
      <x:c r="D119" s="164"/>
      <x:c r="E119" s="164"/>
      <x:c r="F119" s="158"/>
      <x:c r="G119" s="158"/>
      <x:c r="H119" s="158"/>
      <x:c r="I119" s="158"/>
      <x:c r="J119" s="158"/>
      <x:c r="K119" s="158"/>
      <x:c r="L119" s="158"/>
      <x:c r="M119" s="158"/>
      <x:c r="N119" s="158"/>
    </x:row>
    <x:row r="120">
      <x:c r="A120" s="158"/>
      <x:c r="B120" s="158"/>
      <x:c r="C120" s="164"/>
      <x:c r="D120" s="164"/>
      <x:c r="E120" s="164"/>
      <x:c r="F120" s="158"/>
      <x:c r="G120" s="158"/>
      <x:c r="H120" s="158"/>
      <x:c r="I120" s="158"/>
      <x:c r="J120" s="158"/>
      <x:c r="K120" s="158"/>
      <x:c r="L120" s="158"/>
      <x:c r="M120" s="158"/>
      <x:c r="N120" s="158"/>
    </x:row>
    <x:row r="121">
      <x:c r="A121" s="158"/>
      <x:c r="B121" s="158"/>
      <x:c r="C121" s="164"/>
      <x:c r="D121" s="164"/>
      <x:c r="E121" s="164"/>
      <x:c r="F121" s="158"/>
      <x:c r="G121" s="158"/>
      <x:c r="H121" s="158"/>
      <x:c r="I121" s="158"/>
      <x:c r="J121" s="158"/>
      <x:c r="K121" s="158"/>
      <x:c r="L121" s="158"/>
      <x:c r="M121" s="158"/>
      <x:c r="N121" s="158"/>
    </x:row>
    <x:row r="122">
      <x:c r="A122" s="158"/>
      <x:c r="B122" s="158"/>
      <x:c r="C122" s="164"/>
      <x:c r="D122" s="164"/>
      <x:c r="E122" s="164"/>
      <x:c r="F122" s="158"/>
      <x:c r="G122" s="158"/>
      <x:c r="H122" s="158"/>
      <x:c r="I122" s="158"/>
      <x:c r="J122" s="158"/>
      <x:c r="K122" s="158"/>
      <x:c r="L122" s="158"/>
      <x:c r="M122" s="158"/>
      <x:c r="N122" s="158"/>
    </x:row>
    <x:row r="123">
      <x:c r="A123" s="158"/>
      <x:c r="B123" s="158"/>
      <x:c r="C123" s="164"/>
      <x:c r="D123" s="164"/>
      <x:c r="E123" s="164"/>
      <x:c r="F123" s="158"/>
      <x:c r="G123" s="158"/>
      <x:c r="H123" s="158"/>
      <x:c r="I123" s="158"/>
      <x:c r="J123" s="158"/>
      <x:c r="K123" s="158"/>
      <x:c r="L123" s="158"/>
      <x:c r="M123" s="158"/>
      <x:c r="N123" s="158"/>
    </x:row>
    <x:row r="124">
      <x:c r="A124" s="158"/>
      <x:c r="B124" s="158"/>
      <x:c r="C124" s="164"/>
      <x:c r="D124" s="164"/>
      <x:c r="E124" s="164"/>
      <x:c r="F124" s="158"/>
      <x:c r="G124" s="158"/>
      <x:c r="H124" s="158"/>
      <x:c r="I124" s="158"/>
      <x:c r="J124" s="158"/>
      <x:c r="K124" s="158"/>
      <x:c r="L124" s="158"/>
      <x:c r="M124" s="158"/>
      <x:c r="N124" s="158"/>
    </x:row>
    <x:row r="125">
      <x:c r="A125" s="158"/>
      <x:c r="B125" s="158"/>
      <x:c r="C125" s="164"/>
      <x:c r="D125" s="164"/>
      <x:c r="E125" s="164"/>
      <x:c r="F125" s="158"/>
      <x:c r="G125" s="158"/>
      <x:c r="H125" s="158"/>
      <x:c r="I125" s="158"/>
      <x:c r="J125" s="158"/>
      <x:c r="K125" s="158"/>
      <x:c r="L125" s="158"/>
      <x:c r="M125" s="158"/>
      <x:c r="N125" s="158"/>
    </x:row>
    <x:row r="126">
      <x:c r="A126" s="158"/>
      <x:c r="B126" s="158"/>
      <x:c r="C126" s="164"/>
      <x:c r="D126" s="164"/>
      <x:c r="E126" s="164"/>
      <x:c r="F126" s="158"/>
      <x:c r="G126" s="158"/>
      <x:c r="H126" s="158"/>
      <x:c r="I126" s="158"/>
      <x:c r="J126" s="158"/>
      <x:c r="K126" s="158"/>
      <x:c r="L126" s="158"/>
      <x:c r="M126" s="158"/>
      <x:c r="N126" s="158"/>
    </x:row>
    <x:row r="127">
      <x:c r="A127" s="158"/>
      <x:c r="B127" s="158"/>
      <x:c r="C127" s="164"/>
      <x:c r="D127" s="164"/>
      <x:c r="E127" s="164"/>
      <x:c r="F127" s="158"/>
      <x:c r="G127" s="158"/>
      <x:c r="H127" s="158"/>
      <x:c r="I127" s="158"/>
      <x:c r="J127" s="158"/>
      <x:c r="K127" s="158"/>
      <x:c r="L127" s="158"/>
      <x:c r="M127" s="158"/>
      <x:c r="N127" s="158"/>
    </x:row>
    <x:row r="128">
      <x:c r="A128" s="158"/>
      <x:c r="B128" s="158"/>
      <x:c r="C128" s="164"/>
      <x:c r="D128" s="164"/>
      <x:c r="E128" s="164"/>
      <x:c r="F128" s="158"/>
      <x:c r="G128" s="158"/>
      <x:c r="H128" s="158"/>
      <x:c r="I128" s="158"/>
      <x:c r="J128" s="158"/>
      <x:c r="K128" s="158"/>
      <x:c r="L128" s="158"/>
      <x:c r="M128" s="158"/>
      <x:c r="N128" s="158"/>
    </x:row>
    <x:row r="129">
      <x:c r="A129" s="158"/>
      <x:c r="B129" s="158"/>
      <x:c r="C129" s="164"/>
      <x:c r="D129" s="164"/>
      <x:c r="E129" s="164"/>
      <x:c r="F129" s="158"/>
      <x:c r="G129" s="158"/>
      <x:c r="H129" s="158"/>
      <x:c r="I129" s="158"/>
      <x:c r="J129" s="158"/>
      <x:c r="K129" s="158"/>
      <x:c r="L129" s="158"/>
      <x:c r="M129" s="158"/>
      <x:c r="N129" s="158"/>
    </x:row>
    <x:row r="130">
      <x:c r="A130" s="158"/>
      <x:c r="B130" s="158"/>
      <x:c r="C130" s="164"/>
      <x:c r="D130" s="164"/>
      <x:c r="E130" s="164"/>
      <x:c r="F130" s="158"/>
      <x:c r="G130" s="158"/>
      <x:c r="H130" s="158"/>
      <x:c r="I130" s="158"/>
      <x:c r="J130" s="158"/>
      <x:c r="K130" s="158"/>
      <x:c r="L130" s="158"/>
      <x:c r="M130" s="158"/>
      <x:c r="N130" s="158"/>
    </x:row>
    <x:row r="131">
      <x:c r="A131" s="158"/>
      <x:c r="B131" s="158"/>
      <x:c r="C131" s="164"/>
      <x:c r="D131" s="164"/>
      <x:c r="E131" s="164"/>
      <x:c r="F131" s="158"/>
      <x:c r="G131" s="158"/>
      <x:c r="H131" s="158"/>
      <x:c r="I131" s="158"/>
      <x:c r="J131" s="158"/>
      <x:c r="K131" s="158"/>
      <x:c r="L131" s="158"/>
      <x:c r="M131" s="158"/>
      <x:c r="N131" s="158"/>
    </x:row>
    <x:row r="132">
      <x:c r="A132" s="158"/>
      <x:c r="B132" s="158"/>
      <x:c r="C132" s="164"/>
      <x:c r="D132" s="164"/>
      <x:c r="E132" s="164"/>
      <x:c r="F132" s="158"/>
      <x:c r="G132" s="158"/>
      <x:c r="H132" s="158"/>
      <x:c r="I132" s="158"/>
      <x:c r="J132" s="158"/>
      <x:c r="K132" s="158"/>
      <x:c r="L132" s="158"/>
      <x:c r="M132" s="158"/>
      <x:c r="N132" s="158"/>
    </x:row>
    <x:row r="133">
      <x:c r="A133" s="158"/>
      <x:c r="B133" s="158"/>
      <x:c r="C133" s="164"/>
      <x:c r="D133" s="164"/>
      <x:c r="E133" s="164"/>
      <x:c r="F133" s="158"/>
      <x:c r="G133" s="158"/>
      <x:c r="H133" s="158"/>
      <x:c r="I133" s="158"/>
      <x:c r="J133" s="158"/>
      <x:c r="K133" s="158"/>
      <x:c r="L133" s="158"/>
      <x:c r="M133" s="158"/>
      <x:c r="N133" s="158"/>
    </x:row>
    <x:row r="134">
      <x:c r="A134" s="158"/>
      <x:c r="B134" s="158"/>
      <x:c r="C134" s="164"/>
      <x:c r="D134" s="164"/>
      <x:c r="E134" s="164"/>
      <x:c r="F134" s="158"/>
      <x:c r="G134" s="158"/>
      <x:c r="H134" s="158"/>
      <x:c r="I134" s="158"/>
      <x:c r="J134" s="158"/>
      <x:c r="K134" s="158"/>
      <x:c r="L134" s="158"/>
      <x:c r="M134" s="158"/>
      <x:c r="N134" s="158"/>
    </x:row>
    <x:row r="135">
      <x:c r="A135" s="158"/>
      <x:c r="B135" s="158"/>
      <x:c r="C135" s="164"/>
      <x:c r="D135" s="164"/>
      <x:c r="E135" s="164"/>
      <x:c r="F135" s="158"/>
      <x:c r="G135" s="158"/>
      <x:c r="H135" s="158"/>
      <x:c r="I135" s="158"/>
      <x:c r="J135" s="158"/>
      <x:c r="K135" s="158"/>
      <x:c r="L135" s="158"/>
      <x:c r="M135" s="158"/>
      <x:c r="N135" s="158"/>
    </x:row>
    <x:row r="136">
      <x:c r="A136" s="158"/>
      <x:c r="B136" s="158"/>
      <x:c r="C136" s="164"/>
      <x:c r="D136" s="164"/>
      <x:c r="E136" s="164"/>
      <x:c r="F136" s="158"/>
      <x:c r="G136" s="158"/>
      <x:c r="H136" s="158"/>
      <x:c r="I136" s="158"/>
      <x:c r="J136" s="158"/>
      <x:c r="K136" s="158"/>
      <x:c r="L136" s="158"/>
      <x:c r="M136" s="158"/>
      <x:c r="N136" s="158"/>
    </x:row>
    <x:row r="137">
      <x:c r="A137" s="158"/>
      <x:c r="B137" s="158"/>
      <x:c r="C137" s="164"/>
      <x:c r="D137" s="164"/>
      <x:c r="E137" s="164"/>
      <x:c r="F137" s="158"/>
      <x:c r="G137" s="158"/>
      <x:c r="H137" s="158"/>
      <x:c r="I137" s="158"/>
      <x:c r="J137" s="158"/>
      <x:c r="K137" s="158"/>
      <x:c r="L137" s="158"/>
      <x:c r="M137" s="158"/>
      <x:c r="N137" s="158"/>
    </x:row>
    <x:row r="138">
      <x:c r="A138" s="158"/>
      <x:c r="B138" s="158"/>
      <x:c r="C138" s="164"/>
      <x:c r="D138" s="164"/>
      <x:c r="E138" s="164"/>
      <x:c r="F138" s="158"/>
      <x:c r="G138" s="158"/>
      <x:c r="H138" s="158"/>
      <x:c r="I138" s="158"/>
      <x:c r="J138" s="158"/>
      <x:c r="K138" s="158"/>
      <x:c r="L138" s="158"/>
      <x:c r="M138" s="158"/>
      <x:c r="N138" s="158"/>
    </x:row>
    <x:row r="139">
      <x:c r="A139" s="158"/>
      <x:c r="B139" s="158"/>
      <x:c r="C139" s="164"/>
      <x:c r="D139" s="164"/>
      <x:c r="E139" s="164"/>
      <x:c r="F139" s="158"/>
      <x:c r="G139" s="158"/>
      <x:c r="H139" s="158"/>
      <x:c r="I139" s="158"/>
      <x:c r="J139" s="158"/>
      <x:c r="K139" s="158"/>
      <x:c r="L139" s="158"/>
      <x:c r="M139" s="158"/>
      <x:c r="N139" s="158"/>
    </x:row>
    <x:row r="140">
      <x:c r="A140" s="158"/>
      <x:c r="B140" s="158"/>
      <x:c r="C140" s="164"/>
      <x:c r="D140" s="164"/>
      <x:c r="E140" s="164"/>
      <x:c r="F140" s="158"/>
      <x:c r="G140" s="158"/>
      <x:c r="H140" s="158"/>
      <x:c r="I140" s="158"/>
      <x:c r="J140" s="158"/>
      <x:c r="K140" s="158"/>
      <x:c r="L140" s="158"/>
      <x:c r="M140" s="158"/>
      <x:c r="N140" s="158"/>
    </x:row>
    <x:row r="141">
      <x:c r="A141" s="158"/>
      <x:c r="B141" s="158"/>
      <x:c r="C141" s="164"/>
      <x:c r="D141" s="164"/>
      <x:c r="E141" s="164"/>
      <x:c r="F141" s="158"/>
      <x:c r="G141" s="158"/>
      <x:c r="H141" s="158"/>
      <x:c r="I141" s="158"/>
      <x:c r="J141" s="158"/>
      <x:c r="K141" s="158"/>
      <x:c r="L141" s="158"/>
      <x:c r="M141" s="158"/>
      <x:c r="N141" s="158"/>
    </x:row>
    <x:row r="142">
      <x:c r="A142" s="158"/>
      <x:c r="B142" s="158"/>
      <x:c r="C142" s="164"/>
      <x:c r="D142" s="164"/>
      <x:c r="E142" s="164"/>
      <x:c r="F142" s="158"/>
      <x:c r="G142" s="158"/>
      <x:c r="H142" s="158"/>
      <x:c r="I142" s="158"/>
      <x:c r="J142" s="158"/>
      <x:c r="K142" s="158"/>
      <x:c r="L142" s="158"/>
      <x:c r="M142" s="158"/>
      <x:c r="N142" s="158"/>
    </x:row>
    <x:row r="143">
      <x:c r="A143" s="158"/>
      <x:c r="B143" s="158"/>
      <x:c r="C143" s="164"/>
      <x:c r="D143" s="164"/>
      <x:c r="E143" s="164"/>
      <x:c r="F143" s="158"/>
      <x:c r="G143" s="158"/>
      <x:c r="H143" s="158"/>
      <x:c r="I143" s="158"/>
      <x:c r="J143" s="158"/>
      <x:c r="K143" s="158"/>
      <x:c r="L143" s="158"/>
      <x:c r="M143" s="158"/>
      <x:c r="N143" s="158"/>
    </x:row>
    <x:row r="144">
      <x:c r="A144" s="158"/>
      <x:c r="B144" s="158"/>
      <x:c r="C144" s="164"/>
      <x:c r="D144" s="164"/>
      <x:c r="E144" s="164"/>
      <x:c r="F144" s="158"/>
      <x:c r="G144" s="158"/>
      <x:c r="H144" s="158"/>
      <x:c r="I144" s="158"/>
      <x:c r="J144" s="158"/>
      <x:c r="K144" s="158"/>
      <x:c r="L144" s="158"/>
      <x:c r="M144" s="158"/>
      <x:c r="N144" s="158"/>
    </x:row>
    <x:row r="145">
      <x:c r="A145" s="158"/>
      <x:c r="B145" s="158"/>
      <x:c r="C145" s="164"/>
      <x:c r="D145" s="164"/>
      <x:c r="E145" s="164"/>
      <x:c r="F145" s="158"/>
      <x:c r="G145" s="158"/>
      <x:c r="H145" s="158"/>
      <x:c r="I145" s="158"/>
      <x:c r="J145" s="158"/>
      <x:c r="K145" s="158"/>
      <x:c r="L145" s="158"/>
      <x:c r="M145" s="158"/>
      <x:c r="N145" s="158"/>
    </x:row>
    <x:row r="146">
      <x:c r="A146" s="158"/>
      <x:c r="B146" s="158"/>
      <x:c r="C146" s="164"/>
      <x:c r="D146" s="164"/>
      <x:c r="E146" s="164"/>
      <x:c r="F146" s="158"/>
      <x:c r="G146" s="158"/>
      <x:c r="H146" s="158"/>
      <x:c r="I146" s="158"/>
      <x:c r="J146" s="158"/>
      <x:c r="K146" s="158"/>
      <x:c r="L146" s="158"/>
      <x:c r="M146" s="158"/>
      <x:c r="N146" s="158"/>
    </x:row>
    <x:row r="147">
      <x:c r="A147" s="158"/>
      <x:c r="B147" s="158"/>
      <x:c r="C147" s="164"/>
      <x:c r="D147" s="164"/>
      <x:c r="E147" s="164"/>
      <x:c r="F147" s="158"/>
      <x:c r="G147" s="158"/>
      <x:c r="H147" s="158"/>
      <x:c r="I147" s="158"/>
      <x:c r="J147" s="158"/>
      <x:c r="K147" s="158"/>
      <x:c r="L147" s="158"/>
      <x:c r="M147" s="158"/>
      <x:c r="N147" s="158"/>
    </x:row>
    <x:row r="148">
      <x:c r="A148" s="158"/>
      <x:c r="B148" s="158"/>
      <x:c r="C148" s="164"/>
      <x:c r="D148" s="164"/>
      <x:c r="E148" s="164"/>
      <x:c r="F148" s="158"/>
      <x:c r="G148" s="158"/>
      <x:c r="H148" s="158"/>
      <x:c r="I148" s="158"/>
      <x:c r="J148" s="158"/>
      <x:c r="K148" s="158"/>
      <x:c r="L148" s="158"/>
      <x:c r="M148" s="158"/>
      <x:c r="N148" s="158"/>
    </x:row>
    <x:row r="149">
      <x:c r="A149" s="158"/>
      <x:c r="B149" s="158"/>
      <x:c r="C149" s="164"/>
      <x:c r="D149" s="164"/>
      <x:c r="E149" s="164"/>
      <x:c r="F149" s="158"/>
      <x:c r="G149" s="158"/>
      <x:c r="H149" s="158"/>
      <x:c r="I149" s="158"/>
      <x:c r="J149" s="158"/>
      <x:c r="K149" s="158"/>
      <x:c r="L149" s="158"/>
      <x:c r="M149" s="158"/>
      <x:c r="N149" s="158"/>
    </x:row>
    <x:row r="150">
      <x:c r="A150" s="158"/>
      <x:c r="B150" s="158"/>
      <x:c r="C150" s="164"/>
      <x:c r="D150" s="164"/>
      <x:c r="E150" s="164"/>
      <x:c r="F150" s="158"/>
      <x:c r="G150" s="158"/>
      <x:c r="H150" s="158"/>
      <x:c r="I150" s="158"/>
      <x:c r="J150" s="158"/>
      <x:c r="K150" s="158"/>
      <x:c r="L150" s="158"/>
      <x:c r="M150" s="158"/>
      <x:c r="N150" s="158"/>
    </x:row>
    <x:row r="151">
      <x:c r="A151" s="158"/>
      <x:c r="B151" s="158"/>
      <x:c r="C151" s="164"/>
      <x:c r="D151" s="164"/>
      <x:c r="E151" s="164"/>
      <x:c r="F151" s="158"/>
      <x:c r="G151" s="158"/>
      <x:c r="H151" s="158"/>
      <x:c r="I151" s="158"/>
      <x:c r="J151" s="158"/>
      <x:c r="K151" s="158"/>
      <x:c r="L151" s="158"/>
      <x:c r="M151" s="158"/>
      <x:c r="N151" s="158"/>
    </x:row>
    <x:row r="152">
      <x:c r="A152" s="158"/>
      <x:c r="B152" s="158"/>
      <x:c r="C152" s="164"/>
      <x:c r="D152" s="164"/>
      <x:c r="E152" s="164"/>
      <x:c r="F152" s="158"/>
      <x:c r="G152" s="158"/>
      <x:c r="H152" s="158"/>
      <x:c r="I152" s="158"/>
      <x:c r="J152" s="158"/>
      <x:c r="K152" s="158"/>
      <x:c r="L152" s="158"/>
      <x:c r="M152" s="158"/>
      <x:c r="N152" s="158"/>
    </x:row>
    <x:row r="153">
      <x:c r="A153" s="158"/>
      <x:c r="B153" s="158"/>
      <x:c r="C153" s="164"/>
      <x:c r="D153" s="164"/>
      <x:c r="E153" s="164"/>
      <x:c r="F153" s="158"/>
      <x:c r="G153" s="158"/>
      <x:c r="H153" s="158"/>
      <x:c r="I153" s="158"/>
      <x:c r="J153" s="158"/>
      <x:c r="K153" s="158"/>
      <x:c r="L153" s="158"/>
      <x:c r="M153" s="158"/>
      <x:c r="N153" s="158"/>
    </x:row>
    <x:row r="154">
      <x:c r="A154" s="158"/>
      <x:c r="B154" s="158"/>
      <x:c r="C154" s="164"/>
      <x:c r="D154" s="164"/>
      <x:c r="E154" s="164"/>
      <x:c r="F154" s="158"/>
      <x:c r="G154" s="158"/>
      <x:c r="H154" s="158"/>
      <x:c r="I154" s="158"/>
      <x:c r="J154" s="158"/>
      <x:c r="K154" s="158"/>
      <x:c r="L154" s="158"/>
      <x:c r="M154" s="158"/>
      <x:c r="N154" s="158"/>
    </x:row>
    <x:row r="155">
      <x:c r="A155" s="158"/>
      <x:c r="B155" s="158"/>
      <x:c r="C155" s="164"/>
      <x:c r="D155" s="164"/>
      <x:c r="E155" s="164"/>
      <x:c r="F155" s="158"/>
      <x:c r="G155" s="158"/>
      <x:c r="H155" s="158"/>
      <x:c r="I155" s="158"/>
      <x:c r="J155" s="158"/>
      <x:c r="K155" s="158"/>
      <x:c r="L155" s="158"/>
      <x:c r="M155" s="158"/>
      <x:c r="N155" s="158"/>
    </x:row>
    <x:row r="156">
      <x:c r="A156" s="158"/>
      <x:c r="B156" s="158"/>
      <x:c r="C156" s="164"/>
      <x:c r="D156" s="164"/>
      <x:c r="E156" s="164"/>
      <x:c r="F156" s="158"/>
      <x:c r="G156" s="158"/>
      <x:c r="H156" s="158"/>
      <x:c r="I156" s="158"/>
      <x:c r="J156" s="158"/>
      <x:c r="K156" s="158"/>
      <x:c r="L156" s="158"/>
      <x:c r="M156" s="158"/>
      <x:c r="N156" s="158"/>
    </x:row>
    <x:row r="157">
      <x:c r="A157" s="158"/>
      <x:c r="B157" s="158"/>
      <x:c r="C157" s="164"/>
      <x:c r="D157" s="164"/>
      <x:c r="E157" s="164"/>
      <x:c r="F157" s="158"/>
      <x:c r="G157" s="158"/>
      <x:c r="H157" s="158"/>
      <x:c r="I157" s="158"/>
      <x:c r="J157" s="158"/>
      <x:c r="K157" s="158"/>
      <x:c r="L157" s="158"/>
      <x:c r="M157" s="158"/>
      <x:c r="N157" s="158"/>
    </x:row>
    <x:row r="158">
      <x:c r="A158" s="158"/>
      <x:c r="B158" s="158"/>
      <x:c r="C158" s="164"/>
      <x:c r="D158" s="164"/>
      <x:c r="E158" s="164"/>
      <x:c r="F158" s="158"/>
      <x:c r="G158" s="158"/>
      <x:c r="H158" s="158"/>
      <x:c r="I158" s="158"/>
      <x:c r="J158" s="158"/>
      <x:c r="K158" s="158"/>
      <x:c r="L158" s="158"/>
      <x:c r="M158" s="158"/>
      <x:c r="N158" s="158"/>
    </x:row>
    <x:row r="159">
      <x:c r="A159" s="158"/>
      <x:c r="B159" s="158"/>
      <x:c r="C159" s="164"/>
      <x:c r="D159" s="164"/>
      <x:c r="E159" s="164"/>
      <x:c r="F159" s="158"/>
      <x:c r="G159" s="158"/>
      <x:c r="H159" s="158"/>
      <x:c r="I159" s="158"/>
      <x:c r="J159" s="158"/>
      <x:c r="K159" s="158"/>
      <x:c r="L159" s="158"/>
      <x:c r="M159" s="158"/>
      <x:c r="N159" s="158"/>
    </x:row>
    <x:row r="160">
      <x:c r="A160" s="158"/>
      <x:c r="B160" s="158"/>
      <x:c r="C160" s="164"/>
      <x:c r="D160" s="164"/>
      <x:c r="E160" s="164"/>
      <x:c r="F160" s="158"/>
      <x:c r="G160" s="158"/>
      <x:c r="H160" s="158"/>
      <x:c r="I160" s="158"/>
      <x:c r="J160" s="158"/>
      <x:c r="K160" s="158"/>
      <x:c r="L160" s="158"/>
      <x:c r="M160" s="158"/>
      <x:c r="N160" s="158"/>
    </x:row>
    <x:row r="161">
      <x:c r="A161" s="158"/>
      <x:c r="B161" s="158"/>
      <x:c r="C161" s="164"/>
      <x:c r="D161" s="164"/>
      <x:c r="E161" s="164"/>
      <x:c r="F161" s="158"/>
      <x:c r="G161" s="158"/>
      <x:c r="H161" s="158"/>
      <x:c r="I161" s="158"/>
      <x:c r="J161" s="158"/>
      <x:c r="K161" s="158"/>
      <x:c r="L161" s="158"/>
      <x:c r="M161" s="158"/>
      <x:c r="N161" s="158"/>
    </x:row>
    <x:row r="162">
      <x:c r="A162" s="158"/>
      <x:c r="B162" s="158"/>
      <x:c r="C162" s="164"/>
      <x:c r="D162" s="164"/>
      <x:c r="E162" s="164"/>
      <x:c r="F162" s="158"/>
      <x:c r="G162" s="158"/>
      <x:c r="H162" s="158"/>
      <x:c r="I162" s="158"/>
      <x:c r="J162" s="158"/>
      <x:c r="K162" s="158"/>
      <x:c r="L162" s="158"/>
      <x:c r="M162" s="158"/>
      <x:c r="N162" s="158"/>
    </x:row>
    <x:row r="163">
      <x:c r="A163" s="158"/>
      <x:c r="B163" s="158"/>
      <x:c r="C163" s="164"/>
      <x:c r="D163" s="164"/>
      <x:c r="E163" s="164"/>
      <x:c r="F163" s="158"/>
      <x:c r="G163" s="158"/>
      <x:c r="H163" s="158"/>
      <x:c r="I163" s="158"/>
      <x:c r="J163" s="158"/>
      <x:c r="K163" s="158"/>
      <x:c r="L163" s="158"/>
      <x:c r="M163" s="158"/>
      <x:c r="N163" s="158"/>
    </x:row>
    <x:row r="164">
      <x:c r="A164" s="158"/>
      <x:c r="B164" s="158"/>
      <x:c r="C164" s="164"/>
      <x:c r="D164" s="164"/>
      <x:c r="E164" s="164"/>
      <x:c r="F164" s="158"/>
      <x:c r="G164" s="158"/>
      <x:c r="H164" s="158"/>
      <x:c r="I164" s="158"/>
      <x:c r="J164" s="158"/>
      <x:c r="K164" s="158"/>
      <x:c r="L164" s="158"/>
      <x:c r="M164" s="158"/>
      <x:c r="N164" s="158"/>
    </x:row>
    <x:row r="165">
      <x:c r="A165" s="158"/>
      <x:c r="B165" s="158"/>
      <x:c r="C165" s="164"/>
      <x:c r="D165" s="164"/>
      <x:c r="E165" s="164"/>
      <x:c r="F165" s="158"/>
      <x:c r="G165" s="158"/>
      <x:c r="H165" s="158"/>
      <x:c r="I165" s="158"/>
      <x:c r="J165" s="158"/>
      <x:c r="K165" s="158"/>
      <x:c r="L165" s="158"/>
      <x:c r="M165" s="158"/>
      <x:c r="N165" s="158"/>
    </x:row>
    <x:row r="166">
      <x:c r="A166" s="158"/>
      <x:c r="B166" s="158"/>
      <x:c r="C166" s="164"/>
      <x:c r="D166" s="164"/>
      <x:c r="E166" s="164"/>
      <x:c r="F166" s="158"/>
      <x:c r="G166" s="158"/>
      <x:c r="H166" s="158"/>
      <x:c r="I166" s="158"/>
      <x:c r="J166" s="158"/>
      <x:c r="K166" s="158"/>
      <x:c r="L166" s="158"/>
      <x:c r="M166" s="158"/>
      <x:c r="N166" s="158"/>
    </x:row>
    <x:row r="167">
      <x:c r="A167" s="158"/>
      <x:c r="B167" s="158"/>
      <x:c r="C167" s="164"/>
      <x:c r="D167" s="164"/>
      <x:c r="E167" s="164"/>
      <x:c r="F167" s="158"/>
      <x:c r="G167" s="158"/>
      <x:c r="H167" s="158"/>
      <x:c r="I167" s="158"/>
      <x:c r="J167" s="158"/>
      <x:c r="K167" s="158"/>
      <x:c r="L167" s="158"/>
      <x:c r="M167" s="158"/>
      <x:c r="N167" s="158"/>
    </x:row>
    <x:row r="168">
      <x:c r="A168" s="158"/>
      <x:c r="B168" s="158"/>
      <x:c r="C168" s="164"/>
      <x:c r="D168" s="164"/>
      <x:c r="E168" s="164"/>
      <x:c r="F168" s="158"/>
      <x:c r="G168" s="158"/>
      <x:c r="H168" s="158"/>
      <x:c r="I168" s="158"/>
      <x:c r="J168" s="158"/>
      <x:c r="K168" s="158"/>
      <x:c r="L168" s="158"/>
      <x:c r="M168" s="158"/>
      <x:c r="N168" s="158"/>
    </x:row>
    <x:row r="169">
      <x:c r="A169" s="158"/>
      <x:c r="B169" s="158"/>
      <x:c r="C169" s="164"/>
      <x:c r="D169" s="164"/>
      <x:c r="E169" s="164"/>
      <x:c r="F169" s="158"/>
      <x:c r="G169" s="158"/>
      <x:c r="H169" s="158"/>
      <x:c r="I169" s="158"/>
      <x:c r="J169" s="158"/>
      <x:c r="K169" s="158"/>
      <x:c r="L169" s="158"/>
      <x:c r="M169" s="158"/>
      <x:c r="N169" s="158"/>
    </x:row>
    <x:row r="170">
      <x:c r="A170" s="158"/>
      <x:c r="B170" s="158"/>
      <x:c r="C170" s="164"/>
      <x:c r="D170" s="164"/>
      <x:c r="E170" s="164"/>
      <x:c r="F170" s="158"/>
      <x:c r="G170" s="158"/>
      <x:c r="H170" s="158"/>
      <x:c r="I170" s="158"/>
      <x:c r="J170" s="158"/>
      <x:c r="K170" s="158"/>
      <x:c r="L170" s="158"/>
      <x:c r="M170" s="158"/>
      <x:c r="N170" s="158"/>
    </x:row>
    <x:row r="171">
      <x:c r="A171" s="158"/>
      <x:c r="B171" s="158"/>
      <x:c r="C171" s="164"/>
      <x:c r="D171" s="164"/>
      <x:c r="E171" s="164"/>
      <x:c r="F171" s="158"/>
      <x:c r="G171" s="158"/>
      <x:c r="H171" s="158"/>
      <x:c r="I171" s="158"/>
      <x:c r="J171" s="158"/>
      <x:c r="K171" s="158"/>
      <x:c r="L171" s="158"/>
      <x:c r="M171" s="158"/>
      <x:c r="N171" s="158"/>
    </x:row>
    <x:row r="172">
      <x:c r="A172" s="158"/>
      <x:c r="B172" s="158"/>
      <x:c r="C172" s="164"/>
      <x:c r="D172" s="164"/>
      <x:c r="E172" s="164"/>
      <x:c r="F172" s="158"/>
      <x:c r="G172" s="158"/>
      <x:c r="H172" s="158"/>
      <x:c r="I172" s="158"/>
      <x:c r="J172" s="158"/>
      <x:c r="K172" s="158"/>
      <x:c r="L172" s="158"/>
      <x:c r="M172" s="158"/>
      <x:c r="N172" s="158"/>
    </x:row>
    <x:row r="173">
      <x:c r="A173" s="158"/>
      <x:c r="B173" s="158"/>
      <x:c r="C173" s="164"/>
      <x:c r="D173" s="164"/>
      <x:c r="E173" s="164"/>
      <x:c r="F173" s="158"/>
      <x:c r="G173" s="158"/>
      <x:c r="H173" s="158"/>
      <x:c r="I173" s="158"/>
      <x:c r="J173" s="158"/>
      <x:c r="K173" s="158"/>
      <x:c r="L173" s="158"/>
      <x:c r="M173" s="158"/>
      <x:c r="N173" s="158"/>
    </x:row>
    <x:row r="174">
      <x:c r="A174" s="158"/>
      <x:c r="B174" s="158"/>
      <x:c r="C174" s="164"/>
      <x:c r="D174" s="164"/>
      <x:c r="E174" s="164"/>
      <x:c r="F174" s="158"/>
      <x:c r="G174" s="158"/>
      <x:c r="H174" s="158"/>
      <x:c r="I174" s="158"/>
      <x:c r="J174" s="158"/>
      <x:c r="K174" s="158"/>
      <x:c r="L174" s="158"/>
      <x:c r="M174" s="158"/>
      <x:c r="N174" s="158"/>
    </x:row>
    <x:row r="175">
      <x:c r="A175" s="158"/>
      <x:c r="B175" s="158"/>
      <x:c r="C175" s="164"/>
      <x:c r="D175" s="164"/>
      <x:c r="E175" s="164"/>
      <x:c r="F175" s="158"/>
      <x:c r="G175" s="158"/>
      <x:c r="H175" s="158"/>
      <x:c r="I175" s="158"/>
      <x:c r="J175" s="158"/>
      <x:c r="K175" s="158"/>
      <x:c r="L175" s="158"/>
      <x:c r="M175" s="158"/>
      <x:c r="N175" s="158"/>
    </x:row>
    <x:row r="176">
      <x:c r="A176" s="158"/>
      <x:c r="B176" s="158"/>
      <x:c r="C176" s="164"/>
      <x:c r="D176" s="164"/>
      <x:c r="E176" s="164"/>
      <x:c r="F176" s="158"/>
      <x:c r="G176" s="158"/>
      <x:c r="H176" s="158"/>
      <x:c r="I176" s="158"/>
      <x:c r="J176" s="158"/>
      <x:c r="K176" s="158"/>
      <x:c r="L176" s="158"/>
      <x:c r="M176" s="158"/>
      <x:c r="N176" s="158"/>
    </x:row>
    <x:row r="177">
      <x:c r="A177" s="158"/>
      <x:c r="B177" s="158"/>
      <x:c r="C177" s="164"/>
      <x:c r="D177" s="164"/>
      <x:c r="E177" s="164"/>
      <x:c r="F177" s="158"/>
      <x:c r="G177" s="158"/>
      <x:c r="H177" s="158"/>
      <x:c r="I177" s="158"/>
      <x:c r="J177" s="158"/>
      <x:c r="K177" s="158"/>
      <x:c r="L177" s="158"/>
      <x:c r="M177" s="158"/>
      <x:c r="N177" s="158"/>
    </x:row>
    <x:row r="178">
      <x:c r="A178" s="158"/>
      <x:c r="B178" s="158"/>
      <x:c r="C178" s="164"/>
      <x:c r="D178" s="164"/>
      <x:c r="E178" s="164"/>
      <x:c r="F178" s="158"/>
      <x:c r="G178" s="158"/>
      <x:c r="H178" s="158"/>
      <x:c r="I178" s="158"/>
      <x:c r="J178" s="158"/>
      <x:c r="K178" s="158"/>
      <x:c r="L178" s="158"/>
      <x:c r="M178" s="158"/>
      <x:c r="N178" s="158"/>
    </x:row>
    <x:row r="179">
      <x:c r="A179" s="158"/>
      <x:c r="B179" s="158"/>
      <x:c r="C179" s="164"/>
      <x:c r="D179" s="164"/>
      <x:c r="E179" s="164"/>
      <x:c r="F179" s="158"/>
      <x:c r="G179" s="158"/>
      <x:c r="H179" s="158"/>
      <x:c r="I179" s="158"/>
      <x:c r="J179" s="158"/>
      <x:c r="K179" s="158"/>
      <x:c r="L179" s="158"/>
      <x:c r="M179" s="158"/>
      <x:c r="N179" s="158"/>
    </x:row>
    <x:row r="180">
      <x:c r="A180" s="158"/>
      <x:c r="B180" s="158"/>
      <x:c r="C180" s="164"/>
      <x:c r="D180" s="164"/>
      <x:c r="E180" s="164"/>
      <x:c r="F180" s="158"/>
      <x:c r="G180" s="158"/>
      <x:c r="H180" s="158"/>
      <x:c r="I180" s="158"/>
      <x:c r="J180" s="158"/>
      <x:c r="K180" s="158"/>
      <x:c r="L180" s="158"/>
      <x:c r="M180" s="158"/>
      <x:c r="N180" s="158"/>
    </x:row>
    <x:row r="181">
      <x:c r="A181" s="158"/>
      <x:c r="B181" s="158"/>
      <x:c r="C181" s="164"/>
      <x:c r="D181" s="164"/>
      <x:c r="E181" s="164"/>
      <x:c r="F181" s="158"/>
      <x:c r="G181" s="158"/>
      <x:c r="H181" s="158"/>
      <x:c r="I181" s="158"/>
      <x:c r="J181" s="158"/>
      <x:c r="K181" s="158"/>
      <x:c r="L181" s="158"/>
      <x:c r="M181" s="158"/>
      <x:c r="N181" s="158"/>
    </x:row>
    <x:row r="182">
      <x:c r="A182" s="158"/>
      <x:c r="B182" s="158"/>
      <x:c r="C182" s="164"/>
      <x:c r="D182" s="164"/>
      <x:c r="E182" s="164"/>
      <x:c r="F182" s="158"/>
      <x:c r="G182" s="158"/>
      <x:c r="H182" s="158"/>
      <x:c r="I182" s="158"/>
      <x:c r="J182" s="158"/>
      <x:c r="K182" s="158"/>
      <x:c r="L182" s="158"/>
      <x:c r="M182" s="158"/>
      <x:c r="N182" s="158"/>
    </x:row>
    <x:row r="183">
      <x:c r="A183" s="158"/>
      <x:c r="B183" s="158"/>
      <x:c r="C183" s="164"/>
      <x:c r="D183" s="164"/>
      <x:c r="E183" s="164"/>
      <x:c r="F183" s="158"/>
      <x:c r="G183" s="158"/>
      <x:c r="H183" s="158"/>
      <x:c r="I183" s="158"/>
      <x:c r="J183" s="158"/>
      <x:c r="K183" s="158"/>
      <x:c r="L183" s="158"/>
      <x:c r="M183" s="158"/>
      <x:c r="N183" s="158"/>
    </x:row>
    <x:row r="184">
      <x:c r="A184" s="158"/>
      <x:c r="B184" s="158"/>
      <x:c r="C184" s="164"/>
      <x:c r="D184" s="164"/>
      <x:c r="E184" s="164"/>
      <x:c r="F184" s="158"/>
      <x:c r="G184" s="158"/>
      <x:c r="H184" s="158"/>
      <x:c r="I184" s="158"/>
      <x:c r="J184" s="158"/>
      <x:c r="K184" s="158"/>
      <x:c r="L184" s="158"/>
      <x:c r="M184" s="158"/>
      <x:c r="N184" s="158"/>
    </x:row>
    <x:row r="185">
      <x:c r="A185" s="158"/>
      <x:c r="B185" s="158"/>
      <x:c r="C185" s="164"/>
      <x:c r="D185" s="164"/>
      <x:c r="E185" s="164"/>
      <x:c r="F185" s="158"/>
      <x:c r="G185" s="158"/>
      <x:c r="H185" s="158"/>
      <x:c r="I185" s="158"/>
      <x:c r="J185" s="158"/>
      <x:c r="K185" s="158"/>
      <x:c r="L185" s="158"/>
      <x:c r="M185" s="158"/>
      <x:c r="N185" s="158"/>
    </x:row>
    <x:row r="186">
      <x:c r="A186" s="158"/>
      <x:c r="B186" s="158"/>
      <x:c r="C186" s="164"/>
      <x:c r="D186" s="164"/>
      <x:c r="E186" s="164"/>
      <x:c r="F186" s="158"/>
      <x:c r="G186" s="158"/>
      <x:c r="H186" s="158"/>
      <x:c r="I186" s="158"/>
      <x:c r="J186" s="158"/>
      <x:c r="K186" s="158"/>
      <x:c r="L186" s="158"/>
      <x:c r="M186" s="158"/>
      <x:c r="N186" s="158"/>
    </x:row>
    <x:row r="187">
      <x:c r="A187" s="158"/>
      <x:c r="B187" s="158"/>
      <x:c r="C187" s="164"/>
      <x:c r="D187" s="164"/>
      <x:c r="E187" s="164"/>
      <x:c r="F187" s="158"/>
      <x:c r="G187" s="158"/>
      <x:c r="H187" s="158"/>
      <x:c r="I187" s="158"/>
      <x:c r="J187" s="158"/>
      <x:c r="K187" s="158"/>
      <x:c r="L187" s="158"/>
      <x:c r="M187" s="158"/>
      <x:c r="N187" s="158"/>
    </x:row>
    <x:row r="188">
      <x:c r="A188" s="158"/>
      <x:c r="B188" s="158"/>
      <x:c r="C188" s="164"/>
      <x:c r="D188" s="164"/>
      <x:c r="E188" s="164"/>
      <x:c r="F188" s="158"/>
      <x:c r="G188" s="158"/>
      <x:c r="H188" s="158"/>
      <x:c r="I188" s="158"/>
      <x:c r="J188" s="158"/>
      <x:c r="K188" s="158"/>
      <x:c r="L188" s="158"/>
      <x:c r="M188" s="158"/>
      <x:c r="N188" s="158"/>
    </x:row>
    <x:row r="189">
      <x:c r="A189" s="158"/>
      <x:c r="B189" s="158"/>
      <x:c r="C189" s="164"/>
      <x:c r="D189" s="164"/>
      <x:c r="E189" s="164"/>
      <x:c r="F189" s="158"/>
      <x:c r="G189" s="158"/>
      <x:c r="H189" s="158"/>
      <x:c r="I189" s="158"/>
      <x:c r="J189" s="158"/>
      <x:c r="K189" s="158"/>
      <x:c r="L189" s="158"/>
      <x:c r="M189" s="158"/>
      <x:c r="N189" s="158"/>
    </x:row>
    <x:row r="190">
      <x:c r="A190" s="158"/>
      <x:c r="B190" s="158"/>
      <x:c r="C190" s="164"/>
      <x:c r="D190" s="164"/>
      <x:c r="E190" s="164"/>
      <x:c r="F190" s="158"/>
      <x:c r="G190" s="158"/>
      <x:c r="H190" s="158"/>
      <x:c r="I190" s="158"/>
      <x:c r="J190" s="158"/>
      <x:c r="K190" s="158"/>
      <x:c r="L190" s="158"/>
      <x:c r="M190" s="158"/>
      <x:c r="N190" s="158"/>
    </x:row>
    <x:row r="191">
      <x:c r="A191" s="158"/>
      <x:c r="B191" s="158"/>
      <x:c r="C191" s="164"/>
      <x:c r="D191" s="164"/>
      <x:c r="E191" s="164"/>
      <x:c r="F191" s="158"/>
      <x:c r="G191" s="158"/>
      <x:c r="H191" s="158"/>
      <x:c r="I191" s="158"/>
      <x:c r="J191" s="158"/>
      <x:c r="K191" s="158"/>
      <x:c r="L191" s="158"/>
      <x:c r="M191" s="158"/>
      <x:c r="N191" s="158"/>
    </x:row>
    <x:row r="192">
      <x:c r="A192" s="158"/>
      <x:c r="B192" s="158"/>
      <x:c r="C192" s="164"/>
      <x:c r="D192" s="164"/>
      <x:c r="E192" s="164"/>
      <x:c r="F192" s="158"/>
      <x:c r="G192" s="158"/>
      <x:c r="H192" s="158"/>
      <x:c r="I192" s="158"/>
      <x:c r="J192" s="158"/>
      <x:c r="K192" s="158"/>
      <x:c r="L192" s="158"/>
      <x:c r="M192" s="158"/>
      <x:c r="N192" s="158"/>
    </x:row>
    <x:row r="193">
      <x:c r="A193" s="158"/>
      <x:c r="B193" s="158"/>
      <x:c r="C193" s="164"/>
      <x:c r="D193" s="164"/>
      <x:c r="E193" s="164"/>
      <x:c r="F193" s="158"/>
      <x:c r="G193" s="158"/>
      <x:c r="H193" s="158"/>
      <x:c r="I193" s="158"/>
      <x:c r="J193" s="158"/>
      <x:c r="K193" s="158"/>
      <x:c r="L193" s="158"/>
      <x:c r="M193" s="158"/>
      <x:c r="N193" s="158"/>
    </x:row>
    <x:row r="194">
      <x:c r="A194" s="158"/>
      <x:c r="B194" s="158"/>
      <x:c r="C194" s="164"/>
      <x:c r="D194" s="164"/>
      <x:c r="E194" s="164"/>
      <x:c r="F194" s="158"/>
      <x:c r="G194" s="158"/>
      <x:c r="H194" s="158"/>
      <x:c r="I194" s="158"/>
      <x:c r="J194" s="158"/>
      <x:c r="K194" s="158"/>
      <x:c r="L194" s="158"/>
      <x:c r="M194" s="158"/>
      <x:c r="N194" s="158"/>
    </x:row>
    <x:row r="195">
      <x:c r="A195" s="158"/>
      <x:c r="B195" s="158"/>
      <x:c r="C195" s="164"/>
      <x:c r="D195" s="164"/>
      <x:c r="E195" s="164"/>
      <x:c r="F195" s="158"/>
      <x:c r="G195" s="158"/>
      <x:c r="H195" s="158"/>
      <x:c r="I195" s="158"/>
      <x:c r="J195" s="158"/>
      <x:c r="K195" s="158"/>
      <x:c r="L195" s="158"/>
      <x:c r="M195" s="158"/>
      <x:c r="N195" s="158"/>
    </x:row>
    <x:row r="196">
      <x:c r="A196" s="158"/>
      <x:c r="B196" s="158"/>
      <x:c r="C196" s="164"/>
      <x:c r="D196" s="164"/>
      <x:c r="E196" s="164"/>
      <x:c r="F196" s="158"/>
      <x:c r="G196" s="158"/>
      <x:c r="H196" s="158"/>
      <x:c r="I196" s="158"/>
      <x:c r="J196" s="158"/>
      <x:c r="K196" s="158"/>
      <x:c r="L196" s="158"/>
      <x:c r="M196" s="158"/>
      <x:c r="N196" s="158"/>
    </x:row>
    <x:row r="197">
      <x:c r="A197" s="158"/>
      <x:c r="B197" s="158"/>
      <x:c r="C197" s="164"/>
      <x:c r="D197" s="164"/>
      <x:c r="E197" s="164"/>
      <x:c r="F197" s="158"/>
      <x:c r="G197" s="158"/>
      <x:c r="H197" s="158"/>
      <x:c r="I197" s="158"/>
      <x:c r="J197" s="158"/>
      <x:c r="K197" s="158"/>
      <x:c r="L197" s="158"/>
      <x:c r="M197" s="158"/>
      <x:c r="N197" s="158"/>
    </x:row>
    <x:row r="198">
      <x:c r="A198" s="158"/>
      <x:c r="B198" s="158"/>
      <x:c r="C198" s="164"/>
      <x:c r="D198" s="164"/>
      <x:c r="E198" s="164"/>
      <x:c r="F198" s="158"/>
      <x:c r="G198" s="158"/>
      <x:c r="H198" s="158"/>
      <x:c r="I198" s="158"/>
      <x:c r="J198" s="158"/>
      <x:c r="K198" s="158"/>
      <x:c r="L198" s="158"/>
      <x:c r="M198" s="158"/>
      <x:c r="N198" s="158"/>
    </x:row>
    <x:row r="199">
      <x:c r="A199" s="158"/>
      <x:c r="B199" s="158"/>
      <x:c r="C199" s="164"/>
      <x:c r="D199" s="164"/>
      <x:c r="E199" s="164"/>
      <x:c r="F199" s="158"/>
      <x:c r="G199" s="158"/>
      <x:c r="H199" s="158"/>
      <x:c r="I199" s="158"/>
      <x:c r="J199" s="158"/>
      <x:c r="K199" s="158"/>
      <x:c r="L199" s="158"/>
      <x:c r="M199" s="158"/>
      <x:c r="N199" s="158"/>
    </x:row>
    <x:row r="200">
      <x:c r="A200" s="158"/>
      <x:c r="B200" s="158"/>
      <x:c r="C200" s="164"/>
      <x:c r="D200" s="164"/>
      <x:c r="E200" s="164"/>
      <x:c r="F200" s="158"/>
      <x:c r="G200" s="158"/>
      <x:c r="H200" s="158"/>
      <x:c r="I200" s="158"/>
      <x:c r="J200" s="158"/>
      <x:c r="K200" s="158"/>
      <x:c r="L200" s="158"/>
      <x:c r="M200" s="158"/>
      <x:c r="N200" s="158"/>
    </x:row>
  </x:sheetData>
  <x:mergeCells>
    <x:mergeCell ref="A1:N1"/>
    <x:mergeCell ref="A2:N2"/>
    <x:mergeCell ref="A6:N6"/>
    <x:mergeCell ref="A16:N16"/>
    <x:mergeCell ref="A34:N34"/>
    <x:mergeCell ref="A47:N47"/>
    <x:mergeCell ref="A57:N57"/>
    <x:mergeCell ref="A72:N72"/>
    <x:mergeCell ref="A81:N81"/>
  </x:mergeCells>
  <x:conditionalFormatting sqref="C13:N13">
    <x:cfRule type="expression" dxfId="2" priority="1">
      <x:formula>ABS(C13)&gt;0.5</x:formula>
    </x:cfRule>
  </x:conditionalFormatting>
  <x:conditionalFormatting sqref="C30:N30">
    <x:cfRule type="expression" dxfId="3" priority="2">
      <x:formula>ABS(C30)&gt;0.5</x:formula>
    </x:cfRule>
  </x:conditionalFormatting>
  <x:conditionalFormatting sqref="C43:N43">
    <x:cfRule type="expression" dxfId="4" priority="3">
      <x:formula>ABS(C43)&gt;0.5</x:formula>
    </x:cfRule>
  </x:conditionalFormatting>
  <x:conditionalFormatting sqref="C44:N44">
    <x:cfRule type="expression" dxfId="5" priority="4">
      <x:formula>ABS(C44)&gt;0.5</x:formula>
    </x:cfRule>
  </x:conditionalFormatting>
  <x:conditionalFormatting sqref="C53:N53">
    <x:cfRule type="expression" dxfId="6" priority="5">
      <x:formula>ABS(C53)&gt;0.5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Three Statements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4" t="str">
        <x:v>Consolidated income statement, balance sheet and cash-flow statement; forecast periods link to operating and supporting schedules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</x:row>
    <x:row r="4" ht="20" customHeight="1">
      <x:c r="A4" s="30" t="str">
        <x:v>INR million, except per-share / operating data</x:v>
      </x:c>
      <x:c r="B4" s="30" t="str">
        <x:v>Classification</x:v>
      </x:c>
      <x:c r="C4" s="24" t="str">
        <x:v>FY24</x:v>
      </x:c>
      <x:c r="D4" s="24" t="str">
        <x:v>FY25</x:v>
      </x:c>
      <x:c r="E4" s="24" t="str">
        <x:v>FY26</x:v>
      </x:c>
      <x:c r="F4" s="24" t="str">
        <x:v>FY27</x:v>
      </x:c>
      <x:c r="G4" s="24" t="str">
        <x:v>FY28</x:v>
      </x:c>
      <x:c r="H4" s="24" t="str">
        <x:v>FY29</x:v>
      </x:c>
      <x:c r="I4" s="24" t="str">
        <x:v>FY30</x:v>
      </x:c>
      <x:c r="J4" s="24" t="str">
        <x:v>FY31</x:v>
      </x:c>
      <x:c r="K4" s="24" t="str">
        <x:v>FY32</x:v>
      </x:c>
      <x:c r="L4" s="24" t="str">
        <x:v>FY33</x:v>
      </x:c>
      <x:c r="M4" s="24" t="str">
        <x:v>FY34</x:v>
      </x:c>
      <x:c r="N4" s="24" t="str">
        <x:v>FY35</x:v>
      </x:c>
    </x:row>
    <x:row r="5">
      <x:c r="A5" s="158"/>
      <x:c r="B5" s="158"/>
      <x:c r="C5" s="164"/>
      <x:c r="D5" s="164"/>
      <x:c r="E5" s="164"/>
      <x:c r="F5" s="158"/>
      <x:c r="G5" s="158"/>
      <x:c r="H5" s="158"/>
      <x:c r="I5" s="158"/>
      <x:c r="J5" s="158"/>
      <x:c r="K5" s="158"/>
      <x:c r="L5" s="158"/>
      <x:c r="M5" s="158"/>
      <x:c r="N5" s="158"/>
    </x:row>
    <x:row r="6" ht="20" customHeight="1">
      <x:c r="A6" s="40" t="str">
        <x:v>Consolidated Income Statement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5" t="str">
        <x:v>Revenue from operations</x:v>
      </x:c>
      <x:c r="B7" s="50" t="str">
        <x:v>Reported / forecast</x:v>
      </x:c>
      <x:c r="C7" s="172" t="n">
        <x:v>14193.696</x:v>
      </x:c>
      <x:c r="D7" s="172" t="n">
        <x:v>18445.527</x:v>
      </x:c>
      <x:c r="E7" s="172" t="n">
        <x:v>21243.33</x:v>
      </x:c>
      <x:c r="F7" s="56" t="n">
        <x:f>'Revenue Model'!F11</x:f>
        <x:v>24834.127433962265</x:v>
      </x:c>
      <x:c r="G7" s="56" t="n">
        <x:f>'Revenue Model'!G11</x:f>
        <x:v>28972.018156408107</x:v>
      </x:c>
      <x:c r="H7" s="56" t="n">
        <x:f>'Revenue Model'!H11</x:f>
        <x:v>33958.18405732732</x:v>
      </x:c>
      <x:c r="I7" s="56" t="n">
        <x:f>'Revenue Model'!I11</x:f>
        <x:v>39103.32135192696</x:v>
      </x:c>
      <x:c r="J7" s="56" t="n">
        <x:f>'Revenue Model'!J11</x:f>
        <x:v>44003.65494147529</x:v>
      </x:c>
      <x:c r="K7" s="56" t="n">
        <x:f>'Revenue Model'!K11</x:f>
        <x:v>48966.89435491728</x:v>
      </x:c>
      <x:c r="L7" s="56" t="n">
        <x:f>'Revenue Model'!L11</x:f>
        <x:v>54258.427925258875</x:v>
      </x:c>
      <x:c r="M7" s="56" t="n">
        <x:f>'Revenue Model'!M11</x:f>
        <x:v>59617.714205415876</x:v>
      </x:c>
      <x:c r="N7" s="56" t="n">
        <x:f>'Revenue Model'!N11</x:f>
        <x:v>65047.061248513266</x:v>
      </x:c>
    </x:row>
    <x:row r="8">
      <x:c r="A8" s="45" t="str">
        <x:v>Other income</x:v>
      </x:c>
      <x:c r="B8" s="50" t="str">
        <x:v>Reported / forecast</x:v>
      </x:c>
      <x:c r="C8" s="172" t="n">
        <x:v>636.992</x:v>
      </x:c>
      <x:c r="D8" s="172" t="n">
        <x:v>857.318</x:v>
      </x:c>
      <x:c r="E8" s="172" t="n">
        <x:v>1557.83</x:v>
      </x:c>
      <x:c r="F8" s="56" t="n">
        <x:f>'Supporting Schedules'!F62</x:f>
        <x:v>1326.1412858490567</x:v>
      </x:c>
      <x:c r="G8" s="56" t="n">
        <x:f>'Supporting Schedules'!G62</x:f>
        <x:v>1387.8661957266459</x:v>
      </x:c>
      <x:c r="H8" s="56" t="n">
        <x:f>'Supporting Schedules'!H62</x:f>
        <x:v>1622.1296260929957</x:v>
      </x:c>
      <x:c r="I8" s="56" t="n">
        <x:f>'Supporting Schedules'!I62</x:f>
        <x:v>2070.0727799071483</x:v>
      </x:c>
      <x:c r="J8" s="56" t="n">
        <x:f>'Supporting Schedules'!J62</x:f>
        <x:v>2634.2777493749363</x:v>
      </x:c>
      <x:c r="K8" s="56" t="n">
        <x:f>'Supporting Schedules'!K62</x:f>
        <x:v>3260.6155674258885</x:v>
      </x:c>
      <x:c r="L8" s="56" t="n">
        <x:f>'Supporting Schedules'!L62</x:f>
        <x:v>3939.685339252697</x:v>
      </x:c>
      <x:c r="M8" s="56" t="n">
        <x:f>'Supporting Schedules'!M62</x:f>
        <x:v>4744.424231036741</x:v>
      </x:c>
      <x:c r="N8" s="56" t="n">
        <x:f>'Supporting Schedules'!N62</x:f>
        <x:v>5617.604816953188</x:v>
      </x:c>
    </x:row>
    <x:row r="9">
      <x:c r="A9" s="70" t="str">
        <x:v>Total income</x:v>
      </x:c>
      <x:c r="B9" s="71" t="str">
        <x:v>Calculated</x:v>
      </x:c>
      <x:c r="C9" s="166" t="n">
        <x:f>C7+C8</x:f>
        <x:v>14830.688</x:v>
      </x:c>
      <x:c r="D9" s="166" t="n">
        <x:f>D7+D8</x:f>
        <x:v>19302.844999999998</x:v>
      </x:c>
      <x:c r="E9" s="166" t="n">
        <x:f>E7+E8</x:f>
        <x:v>22801.160000000003</x:v>
      </x:c>
      <x:c r="F9" s="72" t="n">
        <x:f>F7+F8</x:f>
        <x:v>26160.26871981132</x:v>
      </x:c>
      <x:c r="G9" s="72" t="n">
        <x:f>G7+G8</x:f>
        <x:v>30359.88435213475</x:v>
      </x:c>
      <x:c r="H9" s="72" t="n">
        <x:f>H7+H8</x:f>
        <x:v>35580.31368342032</x:v>
      </x:c>
      <x:c r="I9" s="72" t="n">
        <x:f>I7+I8</x:f>
        <x:v>41173.39413183411</x:v>
      </x:c>
      <x:c r="J9" s="72" t="n">
        <x:f>J7+J8</x:f>
        <x:v>46637.932690850226</x:v>
      </x:c>
      <x:c r="K9" s="72" t="n">
        <x:f>K7+K8</x:f>
        <x:v>52227.509922343175</x:v>
      </x:c>
      <x:c r="L9" s="72" t="n">
        <x:f>L7+L8</x:f>
        <x:v>58198.11326451157</x:v>
      </x:c>
      <x:c r="M9" s="72" t="n">
        <x:f>M7+M8</x:f>
        <x:v>64362.13843645262</x:v>
      </x:c>
      <x:c r="N9" s="72" t="n">
        <x:f>N7+N8</x:f>
        <x:v>70664.66606546646</x:v>
      </x:c>
    </x:row>
    <x:row r="10">
      <x:c r="A10" s="45" t="str">
        <x:v>Cost of materials consumed</x:v>
      </x:c>
      <x:c r="B10" s="50" t="str">
        <x:v>Reported / forecast</x:v>
      </x:c>
      <x:c r="C10" s="172" t="n">
        <x:v>6407.864</x:v>
      </x:c>
      <x:c r="D10" s="172" t="n">
        <x:v>8306.167</x:v>
      </x:c>
      <x:c r="E10" s="172" t="n">
        <x:v>7135.92</x:v>
      </x:c>
      <x:c r="F10" s="56" t="n">
        <x:f>'Supporting Schedules'!F107</x:f>
        <x:v>9806.395047735852</x:v>
      </x:c>
      <x:c r="G10" s="56" t="n">
        <x:f>'Supporting Schedules'!G107</x:f>
        <x:v>11257.667731271</x:v>
      </x:c>
      <x:c r="H10" s="56" t="n">
        <x:f>'Supporting Schedules'!H107</x:f>
        <x:v>12994.180085530474</x:v>
      </x:c>
      <x:c r="I10" s="56" t="n">
        <x:f>'Supporting Schedules'!I107</x:f>
        <x:v>14777.035357812618</x:v>
      </x:c>
      <x:c r="J10" s="56" t="n">
        <x:f>'Supporting Schedules'!J107</x:f>
        <x:v>16471.611980612397</x:v>
      </x:c>
      <x:c r="K10" s="56" t="n">
        <x:f>'Supporting Schedules'!K107</x:f>
        <x:v>18253.030042079212</x:v>
      </x:c>
      <x:c r="L10" s="56" t="n">
        <x:f>'Supporting Schedules'!L107</x:f>
        <x:v>20227.68719442641</x:v>
      </x:c>
      <x:c r="M10" s="56" t="n">
        <x:f>'Supporting Schedules'!M107</x:f>
        <x:v>22172.930258955104</x:v>
      </x:c>
      <x:c r="N10" s="56" t="n">
        <x:f>'Supporting Schedules'!N107</x:f>
        <x:v>24210.490115023</x:v>
      </x:c>
    </x:row>
    <x:row r="11">
      <x:c r="A11" s="45" t="str">
        <x:v>Change in inventories</x:v>
      </x:c>
      <x:c r="B11" s="50" t="str">
        <x:v>Reported / forecast</x:v>
      </x:c>
      <x:c r="C11" s="172" t="n">
        <x:v>-412.347</x:v>
      </x:c>
      <x:c r="D11" s="172" t="n">
        <x:v>-867.047</x:v>
      </x:c>
      <x:c r="E11" s="172" t="n">
        <x:v>986.91</x:v>
      </x:c>
      <x:c r="F11" s="56" t="n">
        <x:f>'Supporting Schedules'!F106</x:f>
        <x:v>-372.51191150943396</x:v>
      </x:c>
      <x:c r="G11" s="56" t="n">
        <x:f>'Supporting Schedules'!G106</x:f>
        <x:v>-347.6642178768973</x:v>
      </x:c>
      <x:c r="H11" s="56" t="n">
        <x:f>'Supporting Schedules'!H106</x:f>
        <x:v>-339.5818405732732</x:v>
      </x:c>
      <x:c r="I11" s="56" t="n">
        <x:f>'Supporting Schedules'!I106</x:f>
        <x:v>-312.8265708154157</x:v>
      </x:c>
      <x:c r="J11" s="56" t="n">
        <x:f>'Supporting Schedules'!J106</x:f>
        <x:v>-264.0219296488517</x:v>
      </x:c>
      <x:c r="K11" s="56" t="n">
        <x:f>'Supporting Schedules'!K106</x:f>
        <x:v>-244.83447177458643</x:v>
      </x:c>
      <x:c r="L11" s="56" t="n">
        <x:f>'Supporting Schedules'!L106</x:f>
        <x:v>-271.2921396262944</x:v>
      </x:c>
      <x:c r="M11" s="56" t="n">
        <x:f>'Supporting Schedules'!M106</x:f>
        <x:v>-238.47085682166352</x:v>
      </x:c>
      <x:c r="N11" s="56" t="n">
        <x:f>'Supporting Schedules'!N106</x:f>
        <x:v>-260.1882449940531</x:v>
      </x:c>
    </x:row>
    <x:row r="12">
      <x:c r="A12" s="45" t="str">
        <x:v>Employee expenses</x:v>
      </x:c>
      <x:c r="B12" s="50" t="str">
        <x:v>Reported / forecast</x:v>
      </x:c>
      <x:c r="C12" s="172" t="n">
        <x:v>1829.269</x:v>
      </x:c>
      <x:c r="D12" s="172" t="n">
        <x:v>2604.938</x:v>
      </x:c>
      <x:c r="E12" s="172" t="n">
        <x:v>2827.05</x:v>
      </x:c>
      <x:c r="F12" s="56" t="n">
        <x:f>'Supporting Schedules'!F109</x:f>
        <x:v>3278.104821283019</x:v>
      </x:c>
      <x:c r="G12" s="56" t="n">
        <x:f>'Supporting Schedules'!G109</x:f>
        <x:v>3766.362360333054</x:v>
      </x:c>
      <x:c r="H12" s="56" t="n">
        <x:f>'Supporting Schedules'!H109</x:f>
        <x:v>4346.647559337897</x:v>
      </x:c>
      <x:c r="I12" s="56" t="n">
        <x:f>'Supporting Schedules'!I109</x:f>
        <x:v>4927.018490342797</x:v>
      </x:c>
      <x:c r="J12" s="56" t="n">
        <x:f>'Supporting Schedules'!J109</x:f>
        <x:v>5456.453212742936</x:v>
      </x:c>
      <x:c r="K12" s="56" t="n">
        <x:f>'Supporting Schedules'!K109</x:f>
        <x:v>6022.928005654826</x:v>
      </x:c>
      <x:c r="L12" s="56" t="n">
        <x:f>'Supporting Schedules'!L109</x:f>
        <x:v>6619.528206881582</x:v>
      </x:c>
      <x:c r="M12" s="56" t="n">
        <x:f>'Supporting Schedules'!M109</x:f>
        <x:v>7213.743418855321</x:v>
      </x:c>
      <x:c r="N12" s="56" t="n">
        <x:f>'Supporting Schedules'!N109</x:f>
        <x:v>7805.647349821592</x:v>
      </x:c>
    </x:row>
    <x:row r="13">
      <x:c r="A13" s="45" t="str">
        <x:v>Other operating expenses</x:v>
      </x:c>
      <x:c r="B13" s="50" t="str">
        <x:v>Reported / forecast</x:v>
      </x:c>
      <x:c r="C13" s="172" t="n">
        <x:v>1319.124</x:v>
      </x:c>
      <x:c r="D13" s="172" t="n">
        <x:v>1693.107</x:v>
      </x:c>
      <x:c r="E13" s="172" t="n">
        <x:v>1955.33</x:v>
      </x:c>
      <x:c r="F13" s="56" t="n">
        <x:f>'Supporting Schedules'!F111</x:f>
        <x:v>2284.7397239245283</x:v>
      </x:c>
      <x:c r="G13" s="56" t="n">
        <x:f>'Supporting Schedules'!G111</x:f>
        <x:v>2636.4536522331377</x:v>
      </x:c>
      <x:c r="H13" s="56" t="n">
        <x:f>'Supporting Schedules'!H111</x:f>
        <x:v>3056.2365651594587</x:v>
      </x:c>
      <x:c r="I13" s="56" t="n">
        <x:f>'Supporting Schedules'!I111</x:f>
        <x:v>3480.1956003214996</x:v>
      </x:c>
      <x:c r="J13" s="56" t="n">
        <x:f>'Supporting Schedules'!J111</x:f>
        <x:v>3872.321634849825</x:v>
      </x:c>
      <x:c r="K13" s="56" t="n">
        <x:f>'Supporting Schedules'!K111</x:f>
        <x:v>4309.0867032327205</x:v>
      </x:c>
      <x:c r="L13" s="56" t="n">
        <x:f>'Supporting Schedules'!L111</x:f>
        <x:v>4720.483229497522</x:v>
      </x:c>
      <x:c r="M13" s="56" t="n">
        <x:f>'Supporting Schedules'!M111</x:f>
        <x:v>5186.741135871181</x:v>
      </x:c>
      <x:c r="N13" s="56" t="n">
        <x:f>'Supporting Schedules'!N111</x:f>
        <x:v>5594.047267372141</x:v>
      </x:c>
    </x:row>
    <x:row r="14">
      <x:c r="A14" s="70" t="str">
        <x:v>Operating EBITDA (excluding other income)</x:v>
      </x:c>
      <x:c r="B14" s="71" t="str">
        <x:v>Calculated</x:v>
      </x:c>
      <x:c r="C14" s="166" t="n">
        <x:f>C7-C10-C11-C12-C13</x:f>
        <x:v>5049.786</x:v>
      </x:c>
      <x:c r="D14" s="166" t="n">
        <x:f>D7-D10-D11-D12-D13</x:f>
        <x:v>6708.361999999999</x:v>
      </x:c>
      <x:c r="E14" s="166" t="n">
        <x:f>E7-E10-E11-E12-E13</x:f>
        <x:v>8338.12</x:v>
      </x:c>
      <x:c r="F14" s="72" t="n">
        <x:f>F7-F10-F11-F12-F13</x:f>
        <x:v>9837.399752528301</x:v>
      </x:c>
      <x:c r="G14" s="72" t="n">
        <x:f>G7-G10-G11-G12-G13</x:f>
        <x:v>11659.198630447809</x:v>
      </x:c>
      <x:c r="H14" s="72" t="n">
        <x:f>H7-H10-H11-H12-H13</x:f>
        <x:v>13900.701687872763</x:v>
      </x:c>
      <x:c r="I14" s="72" t="n">
        <x:f>I7-I10-I11-I12-I13</x:f>
        <x:v>16231.898474265463</x:v>
      </x:c>
      <x:c r="J14" s="72" t="n">
        <x:f>J7-J10-J11-J12-J13</x:f>
        <x:v>18467.290042918983</x:v>
      </x:c>
      <x:c r="K14" s="72" t="n">
        <x:f>K7-K10-K11-K12-K13</x:f>
        <x:v>20626.684075725112</x:v>
      </x:c>
      <x:c r="L14" s="72" t="n">
        <x:f>L7-L10-L11-L12-L13</x:f>
        <x:v>22962.021434079652</x:v>
      </x:c>
      <x:c r="M14" s="72" t="n">
        <x:f>M7-M10-M11-M12-M13</x:f>
        <x:v>25282.770248555935</x:v>
      </x:c>
      <x:c r="N14" s="72" t="n">
        <x:f>N7-N10-N11-N12-N13</x:f>
        <x:v>27697.064761290585</x:v>
      </x:c>
    </x:row>
    <x:row r="15">
      <x:c r="A15" s="45" t="str">
        <x:v>Operating EBITDA margin</x:v>
      </x:c>
      <x:c r="B15" s="50" t="str">
        <x:v>Calculated</x:v>
      </x:c>
      <x:c r="C15" s="189" t="n">
        <x:f>IF(C7=0,0,C14/C7)</x:f>
        <x:v>0.35577667719528444</x:v>
      </x:c>
      <x:c r="D15" s="189" t="n">
        <x:f>IF(D7=0,0,D14/D7)</x:f>
        <x:v>0.3636850278118917</x:v>
      </x:c>
      <x:c r="E15" s="189" t="n">
        <x:f>IF(E7=0,0,E14/E7)</x:f>
        <x:v>0.3925053181398585</x:v>
      </x:c>
      <x:c r="F15" s="126" t="n">
        <x:f>IF(F7=0,0,F14/F7)</x:f>
        <x:v>0.3961242358398719</x:v>
      </x:c>
      <x:c r="G15" s="126" t="n">
        <x:f>IF(G7=0,0,G14/G7)</x:f>
        <x:v>0.40242963287902667</x:v>
      </x:c>
      <x:c r="H15" s="126" t="n">
        <x:f>IF(H7=0,0,H14/H7)</x:f>
        <x:v>0.4093476160093237</x:v>
      </x:c>
      <x:c r="I15" s="126" t="n">
        <x:f>IF(I7=0,0,I14/I7)</x:f>
        <x:v>0.41510280746179057</x:v>
      </x:c>
      <x:c r="J15" s="126" t="n">
        <x:f>IF(J7=0,0,J14/J7)</x:f>
        <x:v>0.41967627615207</x:v>
      </x:c>
      <x:c r="K15" s="126" t="n">
        <x:f>IF(K7=0,0,K14/K7)</x:f>
        <x:v>0.42123733488631526</x:v>
      </x:c>
      <x:c r="L15" s="126" t="n">
        <x:f>IF(L7=0,0,L14/L7)</x:f>
        <x:v>0.42319732274053157</x:v>
      </x:c>
      <x:c r="M15" s="126" t="n">
        <x:f>IF(M7=0,0,M14/M7)</x:f>
        <x:v>0.424081509758037</x:v>
      </x:c>
      <x:c r="N15" s="126" t="n">
        <x:f>IF(N7=0,0,N14/N7)</x:f>
        <x:v>0.42580040096621025</x:v>
      </x:c>
    </x:row>
    <x:row r="16">
      <x:c r="A16" s="70" t="str">
        <x:v>Reported EBITDA (including other income)</x:v>
      </x:c>
      <x:c r="B16" s="71" t="str">
        <x:v>Calculated</x:v>
      </x:c>
      <x:c r="C16" s="166" t="n">
        <x:f>C9-C10-C11-C12-C13</x:f>
        <x:v>5686.778</x:v>
      </x:c>
      <x:c r="D16" s="166" t="n">
        <x:f>D9-D10-D11-D12-D13</x:f>
        <x:v>7565.6799999999985</x:v>
      </x:c>
      <x:c r="E16" s="166" t="n">
        <x:f>E9-E10-E11-E12-E13</x:f>
        <x:v>9895.950000000003</x:v>
      </x:c>
      <x:c r="F16" s="72" t="n">
        <x:f>F9-F10-F11-F12-F13</x:f>
        <x:v>11163.541038377356</x:v>
      </x:c>
      <x:c r="G16" s="72" t="n">
        <x:f>G9-G10-G11-G12-G13</x:f>
        <x:v>13047.064826174454</x:v>
      </x:c>
      <x:c r="H16" s="72" t="n">
        <x:f>H9-H10-H11-H12-H13</x:f>
        <x:v>15522.831313965758</x:v>
      </x:c>
      <x:c r="I16" s="72" t="n">
        <x:f>I9-I10-I11-I12-I13</x:f>
        <x:v>18301.97125417261</x:v>
      </x:c>
      <x:c r="J16" s="72" t="n">
        <x:f>J9-J10-J11-J12-J13</x:f>
        <x:v>21101.56779229392</x:v>
      </x:c>
      <x:c r="K16" s="72" t="n">
        <x:f>K9-K10-K11-K12-K13</x:f>
        <x:v>23887.299643151004</x:v>
      </x:c>
      <x:c r="L16" s="72" t="n">
        <x:f>L9-L10-L11-L12-L13</x:f>
        <x:v>26901.70677333235</x:v>
      </x:c>
      <x:c r="M16" s="72" t="n">
        <x:f>M9-M10-M11-M12-M13</x:f>
        <x:v>30027.194479592672</x:v>
      </x:c>
      <x:c r="N16" s="72" t="n">
        <x:f>N9-N10-N11-N12-N13</x:f>
        <x:v>33314.66957824378</x:v>
      </x:c>
    </x:row>
    <x:row r="17">
      <x:c r="A17" s="45" t="str">
        <x:v>Reported EBITDA margin</x:v>
      </x:c>
      <x:c r="B17" s="50" t="str">
        <x:v>Calculated on total income</x:v>
      </x:c>
      <x:c r="C17" s="189" t="n">
        <x:f>IF(C9=0,0,C16/C9)</x:f>
        <x:v>0.3834466748946509</x:v>
      </x:c>
      <x:c r="D17" s="189" t="n">
        <x:f>IF(D9=0,0,D16/D9)</x:f>
        <x:v>0.39194636852754083</x:v>
      </x:c>
      <x:c r="E17" s="189" t="n">
        <x:f>IF(E9=0,0,E16/E9)</x:f>
        <x:v>0.434010813484928</x:v>
      </x:c>
      <x:c r="F17" s="126" t="n">
        <x:f>IF(F9=0,0,F16/F9)</x:f>
        <x:v>0.42673648187425317</x:v>
      </x:c>
      <x:c r="G17" s="126" t="n">
        <x:f>IF(G9=0,0,G16/G9)</x:f>
        <x:v>0.4297468552529928</x:v>
      </x:c>
      <x:c r="H17" s="126" t="n">
        <x:f>IF(H9=0,0,H16/H9)</x:f>
        <x:v>0.4362758420873359</x:v>
      </x:c>
      <x:c r="I17" s="126" t="n">
        <x:f>IF(I9=0,0,I16/I9)</x:f>
        <x:v>0.4445096558124666</x:v>
      </x:c>
      <x:c r="J17" s="126" t="n">
        <x:f>IF(J9=0,0,J16/J9)</x:f>
        <x:v>0.4524550419541598</x:v>
      </x:c>
      <x:c r="K17" s="126" t="n">
        <x:f>IF(K9=0,0,K16/K9)</x:f>
        <x:v>0.45737006567360594</x:v>
      </x:c>
      <x:c r="L17" s="126" t="n">
        <x:f>IF(L9=0,0,L16/L9)</x:f>
        <x:v>0.4622436237934993</x:v>
      </x:c>
      <x:c r="M17" s="126" t="n">
        <x:f>IF(M9=0,0,M16/M9)</x:f>
        <x:v>0.46653506563085617</x:v>
      </x:c>
      <x:c r="N17" s="126" t="n">
        <x:f>IF(N9=0,0,N16/N9)</x:f>
        <x:v>0.4714473503261134</x:v>
      </x:c>
    </x:row>
    <x:row r="18">
      <x:c r="A18" s="45" t="str">
        <x:v>Depreciation and amortisation</x:v>
      </x:c>
      <x:c r="B18" s="50" t="str">
        <x:v>Reported / forecast</x:v>
      </x:c>
      <x:c r="C18" s="172" t="n">
        <x:v>818.242</x:v>
      </x:c>
      <x:c r="D18" s="172" t="n">
        <x:v>893.713</x:v>
      </x:c>
      <x:c r="E18" s="172" t="n">
        <x:v>1340.7</x:v>
      </x:c>
      <x:c r="F18" s="56" t="n">
        <x:f>'Supporting Schedules'!F45</x:f>
        <x:v>1454.3548</x:v>
      </x:c>
      <x:c r="G18" s="56" t="n">
        <x:f>'Supporting Schedules'!G45</x:f>
        <x:v>2101.420672</x:v>
      </x:c>
      <x:c r="H18" s="56" t="n">
        <x:f>'Supporting Schedules'!H45</x:f>
        <x:v>2805.0034764800002</x:v>
      </x:c>
      <x:c r="I18" s="56" t="n">
        <x:f>'Supporting Schedules'!I45</x:f>
        <x:v>2972.0510098432005</x:v>
      </x:c>
      <x:c r="J18" s="56" t="n">
        <x:f>'Supporting Schedules'!J45</x:f>
        <x:v>2946.0174016907795</x:v>
      </x:c>
      <x:c r="K18" s="56" t="n">
        <x:f>'Supporting Schedules'!K45</x:f>
        <x:v>2883.627811668383</x:v>
      </x:c>
      <x:c r="L18" s="56" t="n">
        <x:f>'Supporting Schedules'!L45</x:f>
        <x:v>2876.3610017094165</x:v>
      </x:c>
      <x:c r="M18" s="56" t="n">
        <x:f>'Supporting Schedules'!M45</x:f>
        <x:v>2917.1360443110384</x:v>
      </x:c>
      <x:c r="N18" s="56" t="n">
        <x:f>'Supporting Schedules'!N45</x:f>
        <x:v>2998.8695112186883</x:v>
      </x:c>
    </x:row>
    <x:row r="19">
      <x:c r="A19" s="70" t="str">
        <x:v>EBIT</x:v>
      </x:c>
      <x:c r="B19" s="71" t="str">
        <x:v>Calculated</x:v>
      </x:c>
      <x:c r="C19" s="166" t="n">
        <x:f>C16-C18</x:f>
        <x:v>4868.536</x:v>
      </x:c>
      <x:c r="D19" s="166" t="n">
        <x:f>D16-D18</x:f>
        <x:v>6671.966999999999</x:v>
      </x:c>
      <x:c r="E19" s="166" t="n">
        <x:f>E16-E18</x:f>
        <x:v>8555.250000000002</x:v>
      </x:c>
      <x:c r="F19" s="72" t="n">
        <x:f>F16-F18</x:f>
        <x:v>9709.186238377355</x:v>
      </x:c>
      <x:c r="G19" s="72" t="n">
        <x:f>G16-G18</x:f>
        <x:v>10945.644154174453</x:v>
      </x:c>
      <x:c r="H19" s="72" t="n">
        <x:f>H16-H18</x:f>
        <x:v>12717.827837485758</x:v>
      </x:c>
      <x:c r="I19" s="72" t="n">
        <x:f>I16-I18</x:f>
        <x:v>15329.92024432941</x:v>
      </x:c>
      <x:c r="J19" s="72" t="n">
        <x:f>J16-J18</x:f>
        <x:v>18155.55039060314</x:v>
      </x:c>
      <x:c r="K19" s="72" t="n">
        <x:f>K16-K18</x:f>
        <x:v>21003.67183148262</x:v>
      </x:c>
      <x:c r="L19" s="72" t="n">
        <x:f>L16-L18</x:f>
        <x:v>24025.34577162293</x:v>
      </x:c>
      <x:c r="M19" s="72" t="n">
        <x:f>M16-M18</x:f>
        <x:v>27110.058435281633</x:v>
      </x:c>
      <x:c r="N19" s="72" t="n">
        <x:f>N16-N18</x:f>
        <x:v>30315.800067025095</x:v>
      </x:c>
    </x:row>
    <x:row r="20">
      <x:c r="A20" s="45" t="str">
        <x:v>Finance costs</x:v>
      </x:c>
      <x:c r="B20" s="50" t="str">
        <x:v>Reported / forecast</x:v>
      </x:c>
      <x:c r="C20" s="172" t="n">
        <x:v>95.355</x:v>
      </x:c>
      <x:c r="D20" s="172" t="n">
        <x:v>103.29</x:v>
      </x:c>
      <x:c r="E20" s="172" t="n">
        <x:v>68.94</x:v>
      </x:c>
      <x:c r="F20" s="56" t="n">
        <x:f>'Supporting Schedules'!F55</x:f>
        <x:v>12.0272</x:v>
      </x:c>
      <x:c r="G20" s="56" t="n">
        <x:f>'Supporting Schedules'!G55</x:f>
        <x:v>0</x:v>
      </x:c>
      <x:c r="H20" s="56" t="n">
        <x:f>'Supporting Schedules'!H55</x:f>
        <x:v>0</x:v>
      </x:c>
      <x:c r="I20" s="56" t="n">
        <x:f>'Supporting Schedules'!I55</x:f>
        <x:v>0</x:v>
      </x:c>
      <x:c r="J20" s="56" t="n">
        <x:f>'Supporting Schedules'!J55</x:f>
        <x:v>0</x:v>
      </x:c>
      <x:c r="K20" s="56" t="n">
        <x:f>'Supporting Schedules'!K55</x:f>
        <x:v>0</x:v>
      </x:c>
      <x:c r="L20" s="56" t="n">
        <x:f>'Supporting Schedules'!L55</x:f>
        <x:v>0</x:v>
      </x:c>
      <x:c r="M20" s="56" t="n">
        <x:f>'Supporting Schedules'!M55</x:f>
        <x:v>0</x:v>
      </x:c>
      <x:c r="N20" s="56" t="n">
        <x:f>'Supporting Schedules'!N55</x:f>
        <x:v>0</x:v>
      </x:c>
    </x:row>
    <x:row r="21">
      <x:c r="A21" s="45" t="str">
        <x:v>PBT before exceptional items</x:v>
      </x:c>
      <x:c r="B21" s="50" t="str">
        <x:v>Calculated</x:v>
      </x:c>
      <x:c r="C21" s="188" t="n">
        <x:f>C19-C20</x:f>
        <x:v>4773.1810000000005</x:v>
      </x:c>
      <x:c r="D21" s="188" t="n">
        <x:f>D19-D20</x:f>
        <x:v>6568.676999999999</x:v>
      </x:c>
      <x:c r="E21" s="188" t="n">
        <x:f>E19-E20</x:f>
        <x:v>8486.310000000001</x:v>
      </x:c>
      <x:c r="F21" s="123" t="n">
        <x:f>F19-F20</x:f>
        <x:v>9697.159038377355</x:v>
      </x:c>
      <x:c r="G21" s="123" t="n">
        <x:f>G19-G20</x:f>
        <x:v>10945.644154174453</x:v>
      </x:c>
      <x:c r="H21" s="123" t="n">
        <x:f>H19-H20</x:f>
        <x:v>12717.827837485758</x:v>
      </x:c>
      <x:c r="I21" s="123" t="n">
        <x:f>I19-I20</x:f>
        <x:v>15329.92024432941</x:v>
      </x:c>
      <x:c r="J21" s="123" t="n">
        <x:f>J19-J20</x:f>
        <x:v>18155.55039060314</x:v>
      </x:c>
      <x:c r="K21" s="123" t="n">
        <x:f>K19-K20</x:f>
        <x:v>21003.67183148262</x:v>
      </x:c>
      <x:c r="L21" s="123" t="n">
        <x:f>L19-L20</x:f>
        <x:v>24025.34577162293</x:v>
      </x:c>
      <x:c r="M21" s="123" t="n">
        <x:f>M19-M20</x:f>
        <x:v>27110.058435281633</x:v>
      </x:c>
      <x:c r="N21" s="123" t="n">
        <x:f>N19-N20</x:f>
        <x:v>30315.800067025095</x:v>
      </x:c>
    </x:row>
    <x:row r="22">
      <x:c r="A22" s="45" t="str">
        <x:v>Exceptional items</x:v>
      </x:c>
      <x:c r="B22" s="50" t="str">
        <x:v>Reported / forecast</x:v>
      </x:c>
      <x:c r="C22" s="172" t="n">
        <x:v>0</x:v>
      </x:c>
      <x:c r="D22" s="172" t="n">
        <x:v>0</x:v>
      </x:c>
      <x:c r="E22" s="172" t="n">
        <x:v>243.91</x:v>
      </x:c>
      <x:c r="F22" s="123" t="n">
        <x:v>0</x:v>
      </x:c>
      <x:c r="G22" s="123" t="n">
        <x:v>0</x:v>
      </x:c>
      <x:c r="H22" s="123" t="n">
        <x:v>0</x:v>
      </x:c>
      <x:c r="I22" s="123" t="n">
        <x:v>0</x:v>
      </x:c>
      <x:c r="J22" s="123" t="n">
        <x:v>0</x:v>
      </x:c>
      <x:c r="K22" s="123" t="n">
        <x:v>0</x:v>
      </x:c>
      <x:c r="L22" s="123" t="n">
        <x:v>0</x:v>
      </x:c>
      <x:c r="M22" s="123" t="n">
        <x:v>0</x:v>
      </x:c>
      <x:c r="N22" s="123" t="n">
        <x:v>0</x:v>
      </x:c>
    </x:row>
    <x:row r="23">
      <x:c r="A23" s="70" t="str">
        <x:v>Profit before tax</x:v>
      </x:c>
      <x:c r="B23" s="71" t="str">
        <x:v>Calculated</x:v>
      </x:c>
      <x:c r="C23" s="166" t="n">
        <x:f>C21-C22</x:f>
        <x:v>4773.1810000000005</x:v>
      </x:c>
      <x:c r="D23" s="166" t="n">
        <x:f>D21-D22</x:f>
        <x:v>6568.676999999999</x:v>
      </x:c>
      <x:c r="E23" s="166" t="n">
        <x:f>E21-E22</x:f>
        <x:v>8242.400000000001</x:v>
      </x:c>
      <x:c r="F23" s="72" t="n">
        <x:f>F21-F22</x:f>
        <x:v>9697.159038377355</x:v>
      </x:c>
      <x:c r="G23" s="72" t="n">
        <x:f>G21-G22</x:f>
        <x:v>10945.644154174453</x:v>
      </x:c>
      <x:c r="H23" s="72" t="n">
        <x:f>H21-H22</x:f>
        <x:v>12717.827837485758</x:v>
      </x:c>
      <x:c r="I23" s="72" t="n">
        <x:f>I21-I22</x:f>
        <x:v>15329.92024432941</x:v>
      </x:c>
      <x:c r="J23" s="72" t="n">
        <x:f>J21-J22</x:f>
        <x:v>18155.55039060314</x:v>
      </x:c>
      <x:c r="K23" s="72" t="n">
        <x:f>K21-K22</x:f>
        <x:v>21003.67183148262</x:v>
      </x:c>
      <x:c r="L23" s="72" t="n">
        <x:f>L21-L22</x:f>
        <x:v>24025.34577162293</x:v>
      </x:c>
      <x:c r="M23" s="72" t="n">
        <x:f>M21-M22</x:f>
        <x:v>27110.058435281633</x:v>
      </x:c>
      <x:c r="N23" s="72" t="n">
        <x:f>N21-N22</x:f>
        <x:v>30315.800067025095</x:v>
      </x:c>
    </x:row>
    <x:row r="24">
      <x:c r="A24" s="45" t="str">
        <x:v>Current tax</x:v>
      </x:c>
      <x:c r="B24" s="50" t="str">
        <x:v>Reported / forecast</x:v>
      </x:c>
      <x:c r="C24" s="172" t="n">
        <x:v>1264.108</x:v>
      </x:c>
      <x:c r="D24" s="172" t="n">
        <x:v>1820.271</x:v>
      </x:c>
      <x:c r="E24" s="172" t="n">
        <x:v>2413.05</x:v>
      </x:c>
      <x:c r="F24" s="56" t="n">
        <x:f>'Supporting Schedules'!F75</x:f>
        <x:v>2569.747145169999</x:v>
      </x:c>
      <x:c r="G24" s="56" t="n">
        <x:f>'Supporting Schedules'!G75</x:f>
        <x:v>2900.5957008562305</x:v>
      </x:c>
      <x:c r="H24" s="56" t="n">
        <x:f>'Supporting Schedules'!H75</x:f>
        <x:v>3306.635237746297</x:v>
      </x:c>
      <x:c r="I24" s="56" t="n">
        <x:f>'Supporting Schedules'!I75</x:f>
        <x:v>3985.779263525647</x:v>
      </x:c>
      <x:c r="J24" s="56" t="n">
        <x:f>'Supporting Schedules'!J75</x:f>
        <x:v>4720.443101556817</x:v>
      </x:c>
      <x:c r="K24" s="56" t="n">
        <x:f>'Supporting Schedules'!K75</x:f>
        <x:v>5460.954676185482</x:v>
      </x:c>
      <x:c r="L24" s="56" t="n">
        <x:f>'Supporting Schedules'!L75</x:f>
        <x:v>6246.589900621962</x:v>
      </x:c>
      <x:c r="M24" s="56" t="n">
        <x:f>'Supporting Schedules'!M75</x:f>
        <x:v>7048.615193173225</x:v>
      </x:c>
      <x:c r="N24" s="56" t="n">
        <x:f>'Supporting Schedules'!N75</x:f>
        <x:v>7882.108017426525</x:v>
      </x:c>
    </x:row>
    <x:row r="25">
      <x:c r="A25" s="45" t="str">
        <x:v>Deferred tax</x:v>
      </x:c>
      <x:c r="B25" s="50" t="str">
        <x:v>Reported / forecast</x:v>
      </x:c>
      <x:c r="C25" s="172" t="n">
        <x:v>-164.029</x:v>
      </x:c>
      <x:c r="D25" s="172" t="n">
        <x:v>235.813</x:v>
      </x:c>
      <x:c r="E25" s="172" t="n">
        <x:v>-88.58</x:v>
      </x:c>
      <x:c r="F25" s="56" t="n">
        <x:f>'Supporting Schedules'!F77</x:f>
        <x:v>-48.48579519188677</x:v>
      </x:c>
      <x:c r="G25" s="56" t="n">
        <x:f>'Supporting Schedules'!G77</x:f>
        <x:v>-54.72822077087227</x:v>
      </x:c>
      <x:c r="H25" s="56" t="n">
        <x:f>'Supporting Schedules'!H77</x:f>
        <x:v>-38.15348351245728</x:v>
      </x:c>
      <x:c r="I25" s="56" t="n">
        <x:f>'Supporting Schedules'!I77</x:f>
        <x:v>0</x:v>
      </x:c>
      <x:c r="J25" s="56" t="n">
        <x:f>'Supporting Schedules'!J77</x:f>
        <x:v>0</x:v>
      </x:c>
      <x:c r="K25" s="56" t="n">
        <x:f>'Supporting Schedules'!K77</x:f>
        <x:v>0</x:v>
      </x:c>
      <x:c r="L25" s="56" t="n">
        <x:f>'Supporting Schedules'!L77</x:f>
        <x:v>0</x:v>
      </x:c>
      <x:c r="M25" s="56" t="n">
        <x:f>'Supporting Schedules'!M77</x:f>
        <x:v>0</x:v>
      </x:c>
      <x:c r="N25" s="56" t="n">
        <x:f>'Supporting Schedules'!N77</x:f>
        <x:v>0</x:v>
      </x:c>
    </x:row>
    <x:row r="26">
      <x:c r="A26" s="70" t="str">
        <x:v>Profit after tax</x:v>
      </x:c>
      <x:c r="B26" s="71" t="str">
        <x:v>Calculated</x:v>
      </x:c>
      <x:c r="C26" s="166" t="n">
        <x:f>C23-C24-C25</x:f>
        <x:v>3673.1020000000003</x:v>
      </x:c>
      <x:c r="D26" s="166" t="n">
        <x:f>D23-D24-D25</x:f>
        <x:v>4512.592999999999</x:v>
      </x:c>
      <x:c r="E26" s="166" t="n">
        <x:f>E23-E24-E25</x:f>
        <x:v>5917.930000000001</x:v>
      </x:c>
      <x:c r="F26" s="72" t="n">
        <x:f>F23-F24-F25</x:f>
        <x:v>7175.897688399243</x:v>
      </x:c>
      <x:c r="G26" s="72" t="n">
        <x:f>G23-G24-G25</x:f>
        <x:v>8099.776674089095</x:v>
      </x:c>
      <x:c r="H26" s="72" t="n">
        <x:f>H23-H24-H25</x:f>
        <x:v>9449.346083251918</x:v>
      </x:c>
      <x:c r="I26" s="72" t="n">
        <x:f>I23-I24-I25</x:f>
        <x:v>11344.140980803764</x:v>
      </x:c>
      <x:c r="J26" s="72" t="n">
        <x:f>J23-J24-J25</x:f>
        <x:v>13435.107289046324</x:v>
      </x:c>
      <x:c r="K26" s="72" t="n">
        <x:f>K23-K24-K25</x:f>
        <x:v>15542.71715529714</x:v>
      </x:c>
      <x:c r="L26" s="72" t="n">
        <x:f>L23-L24-L25</x:f>
        <x:v>17778.75587100097</x:v>
      </x:c>
      <x:c r="M26" s="72" t="n">
        <x:f>M23-M24-M25</x:f>
        <x:v>20061.44324210841</x:v>
      </x:c>
      <x:c r="N26" s="72" t="n">
        <x:f>N23-N24-N25</x:f>
        <x:v>22433.69204959857</x:v>
      </x:c>
    </x:row>
    <x:row r="27">
      <x:c r="A27" s="45" t="str">
        <x:v>PAT margin</x:v>
      </x:c>
      <x:c r="B27" s="50" t="str">
        <x:v>Calculated</x:v>
      </x:c>
      <x:c r="C27" s="189" t="n">
        <x:f>IF(C7=0,0,C26/C7)</x:f>
        <x:v>0.25878404046416104</x:v>
      </x:c>
      <x:c r="D27" s="189" t="n">
        <x:f>IF(D7=0,0,D26/D7)</x:f>
        <x:v>0.24464429777473962</x:v>
      </x:c>
      <x:c r="E27" s="189" t="n">
        <x:f>IF(E7=0,0,E26/E7)</x:f>
        <x:v>0.27857826433049815</x:v>
      </x:c>
      <x:c r="F27" s="126" t="n">
        <x:f>IF(F7=0,0,F26/F7)</x:f>
        <x:v>0.288953083110371</x:v>
      </x:c>
      <x:c r="G27" s="126" t="n">
        <x:f>IF(G7=0,0,G26/G7)</x:f>
        <x:v>0.27957240087182417</x:v>
      </x:c>
      <x:c r="H27" s="126" t="n">
        <x:f>IF(H7=0,0,H26/H7)</x:f>
        <x:v>0.2782641753546002</x:v>
      </x:c>
      <x:c r="I27" s="126" t="n">
        <x:f>IF(I7=0,0,I26/I7)</x:f>
        <x:v>0.2901068397414978</x:v>
      </x:c>
      <x:c r="J27" s="126" t="n">
        <x:f>IF(J7=0,0,J26/J7)</x:f>
        <x:v>0.3053179856744848</x:v>
      </x:c>
      <x:c r="K27" s="126" t="n">
        <x:f>IF(K7=0,0,K26/K7)</x:f>
        <x:v>0.317412761418804</x:v>
      </x:c>
      <x:c r="L27" s="126" t="n">
        <x:f>IF(L7=0,0,L26/L7)</x:f>
        <x:v>0.32766809785737344</x:v>
      </x:c>
      <x:c r="M27" s="126" t="n">
        <x:f>IF(M7=0,0,M26/M7)</x:f>
        <x:v>0.33650138234058563</x:v>
      </x:c>
      <x:c r="N27" s="126" t="n">
        <x:f>IF(N7=0,0,N26/N7)</x:f>
        <x:v>0.34488402118414413</x:v>
      </x:c>
    </x:row>
    <x:row r="28">
      <x:c r="A28" s="45" t="str">
        <x:v>Diluted weighted-average shares</x:v>
      </x:c>
      <x:c r="B28" s="50" t="str">
        <x:v>Reported / forecast</x:v>
      </x:c>
      <x:c r="C28" s="172" t="n">
        <x:v>567.71</x:v>
      </x:c>
      <x:c r="D28" s="172" t="n">
        <x:v>561.27</x:v>
      </x:c>
      <x:c r="E28" s="172" t="n">
        <x:v>558.29</x:v>
      </x:c>
      <x:c r="F28" s="56" t="n">
        <x:f>'Supporting Schedules'!F96</x:f>
        <x:v>565.715</x:v>
      </x:c>
      <x:c r="G28" s="56" t="n">
        <x:f>'Supporting Schedules'!G96</x:f>
        <x:v>566.715</x:v>
      </x:c>
      <x:c r="H28" s="56" t="n">
        <x:f>'Supporting Schedules'!H96</x:f>
        <x:v>567.715</x:v>
      </x:c>
      <x:c r="I28" s="56" t="n">
        <x:f>'Supporting Schedules'!I96</x:f>
        <x:v>568.215</x:v>
      </x:c>
      <x:c r="J28" s="56" t="n">
        <x:f>'Supporting Schedules'!J96</x:f>
        <x:v>568.215</x:v>
      </x:c>
      <x:c r="K28" s="56" t="n">
        <x:f>'Supporting Schedules'!K96</x:f>
        <x:v>567.715</x:v>
      </x:c>
      <x:c r="L28" s="56" t="n">
        <x:f>'Supporting Schedules'!L96</x:f>
        <x:v>566.715</x:v>
      </x:c>
      <x:c r="M28" s="56" t="n">
        <x:f>'Supporting Schedules'!M96</x:f>
        <x:v>565.715</x:v>
      </x:c>
      <x:c r="N28" s="56" t="n">
        <x:f>'Supporting Schedules'!N96</x:f>
        <x:v>564.715</x:v>
      </x:c>
    </x:row>
    <x:row r="29">
      <x:c r="A29" s="45" t="str">
        <x:v>Diluted EPS (INR)</x:v>
      </x:c>
      <x:c r="B29" s="50" t="str">
        <x:v>Calculated</x:v>
      </x:c>
      <x:c r="C29" s="198" t="n">
        <x:f>IF(C28=0,0,C26/C28)</x:f>
        <x:v>6.470032234767752</x:v>
      </x:c>
      <x:c r="D29" s="198" t="n">
        <x:f>IF(D28=0,0,D26/D28)</x:f>
        <x:v>8.039968286208062</x:v>
      </x:c>
      <x:c r="E29" s="198" t="n">
        <x:f>IF(E28=0,0,E26/E28)</x:f>
        <x:v>10.60010030629243</x:v>
      </x:c>
      <x:c r="F29" s="152" t="n">
        <x:f>IF(F28=0,0,F26/F28)</x:f>
        <x:v>12.6846516150345</x:v>
      </x:c>
      <x:c r="G29" s="152" t="n">
        <x:f>IF(G28=0,0,G26/G28)</x:f>
        <x:v>14.292504475951924</x:v>
      </x:c>
      <x:c r="H29" s="152" t="n">
        <x:f>IF(H28=0,0,H26/H28)</x:f>
        <x:v>16.64452424764524</x:v>
      </x:c>
      <x:c r="I29" s="152" t="n">
        <x:f>IF(I28=0,0,I26/I28)</x:f>
        <x:v>19.964522198118253</x:v>
      </x:c>
      <x:c r="J29" s="152" t="n">
        <x:f>IF(J28=0,0,J26/J28)</x:f>
        <x:v>23.644407995294603</x:v>
      </x:c>
      <x:c r="K29" s="152" t="n">
        <x:f>IF(K28=0,0,K26/K28)</x:f>
        <x:v>27.37767569167124</x:v>
      </x:c>
      <x:c r="L29" s="152" t="n">
        <x:f>IF(L28=0,0,L26/L28)</x:f>
        <x:v>31.371599253594784</x:v>
      </x:c>
      <x:c r="M29" s="152" t="n">
        <x:f>IF(M28=0,0,M26/M28)</x:f>
        <x:v>35.46210236975934</x:v>
      </x:c>
      <x:c r="N29" s="152" t="n">
        <x:f>IF(N28=0,0,N26/N28)</x:f>
        <x:v>39.725688266822324</x:v>
      </x:c>
    </x:row>
    <x:row r="30">
      <x:c r="A30" s="45" t="str">
        <x:v>Effective tax rate</x:v>
      </x:c>
      <x:c r="B30" s="50" t="str">
        <x:v>Calculated</x:v>
      </x:c>
      <x:c r="C30" s="189" t="n">
        <x:f>IF(C23=0,0,(C24+C25)/C23)</x:f>
        <x:v>0.23047083276330813</x:v>
      </x:c>
      <x:c r="D30" s="189" t="n">
        <x:f>IF(D23=0,0,(D24+D25)/D23)</x:f>
        <x:v>0.3130134119853968</x:v>
      </x:c>
      <x:c r="E30" s="189" t="n">
        <x:f>IF(E23=0,0,(E24+E25)/E23)</x:f>
        <x:v>0.2820137338639231</x:v>
      </x:c>
      <x:c r="F30" s="126" t="n">
        <x:f>IF(F23=0,0,(F24+F25)/F23)</x:f>
        <x:v>0.26</x:v>
      </x:c>
      <x:c r="G30" s="126" t="n">
        <x:f>IF(G23=0,0,(G24+G25)/G23)</x:f>
        <x:v>0.26</x:v>
      </x:c>
      <x:c r="H30" s="126" t="n">
        <x:f>IF(H23=0,0,(H24+H25)/H23)</x:f>
        <x:v>0.257</x:v>
      </x:c>
      <x:c r="I30" s="126" t="n">
        <x:f>IF(I23=0,0,(I24+I25)/I23)</x:f>
        <x:v>0.26</x:v>
      </x:c>
      <x:c r="J30" s="126" t="n">
        <x:f>IF(J23=0,0,(J24+J25)/J23)</x:f>
        <x:v>0.26</x:v>
      </x:c>
      <x:c r="K30" s="126" t="n">
        <x:f>IF(K23=0,0,(K24+K25)/K23)</x:f>
        <x:v>0.26</x:v>
      </x:c>
      <x:c r="L30" s="126" t="n">
        <x:f>IF(L23=0,0,(L24+L25)/L23)</x:f>
        <x:v>0.26</x:v>
      </x:c>
      <x:c r="M30" s="126" t="n">
        <x:f>IF(M23=0,0,(M24+M25)/M23)</x:f>
        <x:v>0.26</x:v>
      </x:c>
      <x:c r="N30" s="126" t="n">
        <x:f>IF(N23=0,0,(N24+N25)/N23)</x:f>
        <x:v>0.26</x:v>
      </x:c>
    </x:row>
    <x:row r="31">
      <x:c r="A31" s="158"/>
      <x:c r="B31" s="158"/>
      <x:c r="C31" s="164"/>
      <x:c r="D31" s="164"/>
      <x:c r="E31" s="164"/>
      <x:c r="F31" s="158"/>
      <x:c r="G31" s="158"/>
      <x:c r="H31" s="158"/>
      <x:c r="I31" s="158"/>
      <x:c r="J31" s="158"/>
      <x:c r="K31" s="158"/>
      <x:c r="L31" s="158"/>
      <x:c r="M31" s="158"/>
      <x:c r="N31" s="158"/>
    </x:row>
    <x:row r="32">
      <x:c r="A32" s="158"/>
      <x:c r="B32" s="158"/>
      <x:c r="C32" s="164"/>
      <x:c r="D32" s="164"/>
      <x:c r="E32" s="164"/>
      <x:c r="F32" s="158"/>
      <x:c r="G32" s="158"/>
      <x:c r="H32" s="158"/>
      <x:c r="I32" s="158"/>
      <x:c r="J32" s="158"/>
      <x:c r="K32" s="158"/>
      <x:c r="L32" s="158"/>
      <x:c r="M32" s="158"/>
      <x:c r="N32" s="158"/>
    </x:row>
    <x:row r="33">
      <x:c r="A33" s="158"/>
      <x:c r="B33" s="158"/>
      <x:c r="C33" s="164"/>
      <x:c r="D33" s="164"/>
      <x:c r="E33" s="164"/>
      <x:c r="F33" s="158"/>
      <x:c r="G33" s="158"/>
      <x:c r="H33" s="158"/>
      <x:c r="I33" s="158"/>
      <x:c r="J33" s="158"/>
      <x:c r="K33" s="158"/>
      <x:c r="L33" s="158"/>
      <x:c r="M33" s="158"/>
      <x:c r="N33" s="158"/>
    </x:row>
    <x:row r="34" ht="20" customHeight="1">
      <x:c r="A34" s="40" t="str">
        <x:v>Consolidated Balance Sheet</x:v>
      </x:c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</x:row>
    <x:row r="35">
      <x:c r="A35" s="45" t="str">
        <x:v>Net PP&amp;E</x:v>
      </x:c>
      <x:c r="B35" s="50" t="str">
        <x:v>Reported / forecast</x:v>
      </x:c>
      <x:c r="C35" s="172" t="n">
        <x:v>4699.865</x:v>
      </x:c>
      <x:c r="D35" s="172" t="n">
        <x:v>6964.422</x:v>
      </x:c>
      <x:c r="E35" s="172" t="n">
        <x:v>7802.63</x:v>
      </x:c>
      <x:c r="F35" s="56" t="n">
        <x:f>'Supporting Schedules'!F34</x:f>
        <x:v>8854.209200000001</x:v>
      </x:c>
      <x:c r="G35" s="56" t="n">
        <x:f>'Supporting Schedules'!G34</x:f>
        <x:v>15257.535728</x:v>
      </x:c>
      <x:c r="H35" s="56" t="n">
        <x:f>'Supporting Schedules'!H34</x:f>
        <x:v>16956.330011520004</x:v>
      </x:c>
      <x:c r="I35" s="56" t="n">
        <x:f>'Supporting Schedules'!I34</x:f>
        <x:v>17187.317209676803</x:v>
      </x:c>
      <x:c r="J35" s="56" t="n">
        <x:f>'Supporting Schedules'!J34</x:f>
        <x:v>16663.931396167165</x:v>
      </x:c>
      <x:c r="K35" s="56" t="n">
        <x:f>'Supporting Schedules'!K34</x:f>
        <x:v>16475.427227139233</x:v>
      </x:c>
      <x:c r="L35" s="56" t="n">
        <x:f>'Supporting Schedules'!L34</x:f>
        <x:v>16584.835323815052</x:v>
      </x:c>
      <x:c r="M35" s="56" t="n">
        <x:f>'Supporting Schedules'!M34</x:f>
        <x:v>16947.918010798687</x:v>
      </x:c>
      <x:c r="N35" s="56" t="n">
        <x:f>'Supporting Schedules'!N34</x:f>
        <x:v>17527.632428245666</x:v>
      </x:c>
    </x:row>
    <x:row r="36">
      <x:c r="A36" s="45" t="str">
        <x:v>Capital work-in-progress</x:v>
      </x:c>
      <x:c r="B36" s="50" t="str">
        <x:v>Reported / forecast</x:v>
      </x:c>
      <x:c r="C36" s="172" t="n">
        <x:v>3446.939</x:v>
      </x:c>
      <x:c r="D36" s="172" t="n">
        <x:v>2968.811</x:v>
      </x:c>
      <x:c r="E36" s="172" t="n">
        <x:v>2643.46</x:v>
      </x:c>
      <x:c r="F36" s="56" t="n">
        <x:f>'Supporting Schedules'!F38</x:f>
        <x:v>7143.46</x:v>
      </x:c>
      <x:c r="G36" s="56" t="n">
        <x:f>'Supporting Schedules'!G38</x:f>
        <x:v>3643.459999999999</x:v>
      </x:c>
      <x:c r="H36" s="56" t="n">
        <x:f>'Supporting Schedules'!H38</x:f>
        <x:v>1643.4599999999991</x:v>
      </x:c>
      <x:c r="I36" s="56" t="n">
        <x:f>'Supporting Schedules'!I38</x:f>
        <x:v>643.4599999999991</x:v>
      </x:c>
      <x:c r="J36" s="56" t="n">
        <x:f>'Supporting Schedules'!J38</x:f>
        <x:v>643.4599999999991</x:v>
      </x:c>
      <x:c r="K36" s="56" t="n">
        <x:f>'Supporting Schedules'!K38</x:f>
        <x:v>643.4599999999991</x:v>
      </x:c>
      <x:c r="L36" s="56" t="n">
        <x:f>'Supporting Schedules'!L38</x:f>
        <x:v>643.4599999999991</x:v>
      </x:c>
      <x:c r="M36" s="56" t="n">
        <x:f>'Supporting Schedules'!M38</x:f>
        <x:v>643.4599999999991</x:v>
      </x:c>
      <x:c r="N36" s="56" t="n">
        <x:f>'Supporting Schedules'!N38</x:f>
        <x:v>643.4599999999991</x:v>
      </x:c>
    </x:row>
    <x:row r="37">
      <x:c r="A37" s="45" t="str">
        <x:v>ROU and intangible assets</x:v>
      </x:c>
      <x:c r="B37" s="50" t="str">
        <x:v>Reported / forecast</x:v>
      </x:c>
      <x:c r="C37" s="172" t="n">
        <x:v>125.303</x:v>
      </x:c>
      <x:c r="D37" s="172" t="n">
        <x:v>86.611</x:v>
      </x:c>
      <x:c r="E37" s="172" t="n">
        <x:v>29.67</x:v>
      </x:c>
      <x:c r="F37" s="56" t="n">
        <x:f>'Supporting Schedules'!F42</x:f>
        <x:v>23.736</x:v>
      </x:c>
      <x:c r="G37" s="56" t="n">
        <x:f>'Supporting Schedules'!G42</x:f>
        <x:v>18.9888</x:v>
      </x:c>
      <x:c r="H37" s="56" t="n">
        <x:f>'Supporting Schedules'!H42</x:f>
        <x:v>15.191040000000001</x:v>
      </x:c>
      <x:c r="I37" s="56" t="n">
        <x:f>'Supporting Schedules'!I42</x:f>
        <x:v>12.152832</x:v>
      </x:c>
      <x:c r="J37" s="56" t="n">
        <x:f>'Supporting Schedules'!J42</x:f>
        <x:v>9.7222656</x:v>
      </x:c>
      <x:c r="K37" s="56" t="n">
        <x:f>'Supporting Schedules'!K42</x:f>
        <x:v>7.77781248</x:v>
      </x:c>
      <x:c r="L37" s="56" t="n">
        <x:f>'Supporting Schedules'!L42</x:f>
        <x:v>6.222249983999999</x:v>
      </x:c>
      <x:c r="M37" s="56" t="n">
        <x:f>'Supporting Schedules'!M42</x:f>
        <x:v>4.977799987199999</x:v>
      </x:c>
      <x:c r="N37" s="56" t="n">
        <x:f>'Supporting Schedules'!N42</x:f>
        <x:v>3.982239989759999</x:v>
      </x:c>
    </x:row>
    <x:row r="38">
      <x:c r="A38" s="45" t="str">
        <x:v>Non-current investments</x:v>
      </x:c>
      <x:c r="B38" s="50" t="str">
        <x:v>Reported / forecast</x:v>
      </x:c>
      <x:c r="C38" s="172" t="n">
        <x:v>125.531</x:v>
      </x:c>
      <x:c r="D38" s="172" t="n">
        <x:v>169.282</x:v>
      </x:c>
      <x:c r="E38" s="172" t="n">
        <x:v>3418.75</x:v>
      </x:c>
      <x:c r="F38" s="56" t="n">
        <x:f>'Supporting Schedules'!F69</x:f>
        <x:v>3418.75</x:v>
      </x:c>
      <x:c r="G38" s="56" t="n">
        <x:f>'Supporting Schedules'!G69</x:f>
        <x:v>3418.75</x:v>
      </x:c>
      <x:c r="H38" s="56" t="n">
        <x:f>'Supporting Schedules'!H69</x:f>
        <x:v>3418.75</x:v>
      </x:c>
      <x:c r="I38" s="56" t="n">
        <x:f>'Supporting Schedules'!I69</x:f>
        <x:v>3418.75</x:v>
      </x:c>
      <x:c r="J38" s="56" t="n">
        <x:f>'Supporting Schedules'!J69</x:f>
        <x:v>3418.75</x:v>
      </x:c>
      <x:c r="K38" s="56" t="n">
        <x:f>'Supporting Schedules'!K69</x:f>
        <x:v>3418.75</x:v>
      </x:c>
      <x:c r="L38" s="56" t="n">
        <x:f>'Supporting Schedules'!L69</x:f>
        <x:v>3418.75</x:v>
      </x:c>
      <x:c r="M38" s="56" t="n">
        <x:f>'Supporting Schedules'!M69</x:f>
        <x:v>3418.75</x:v>
      </x:c>
      <x:c r="N38" s="56" t="n">
        <x:f>'Supporting Schedules'!N69</x:f>
        <x:v>3418.75</x:v>
      </x:c>
    </x:row>
    <x:row r="39">
      <x:c r="A39" s="45" t="str">
        <x:v>Deferred tax assets</x:v>
      </x:c>
      <x:c r="B39" s="50" t="str">
        <x:v>Reported / forecast</x:v>
      </x:c>
      <x:c r="C39" s="172" t="n">
        <x:v>413.946</x:v>
      </x:c>
      <x:c r="D39" s="172" t="n">
        <x:v>179.466</x:v>
      </x:c>
      <x:c r="E39" s="172" t="n">
        <x:v>273.22</x:v>
      </x:c>
      <x:c r="F39" s="123" t="n">
        <x:f>E39-F25</x:f>
        <x:v>321.7057951918868</x:v>
      </x:c>
      <x:c r="G39" s="123" t="n">
        <x:f>F39-G25</x:f>
        <x:v>376.4340159627591</x:v>
      </x:c>
      <x:c r="H39" s="123" t="n">
        <x:f>G39-H25</x:f>
        <x:v>414.58749947521636</x:v>
      </x:c>
      <x:c r="I39" s="123" t="n">
        <x:f>H39-I25</x:f>
        <x:v>414.58749947521636</x:v>
      </x:c>
      <x:c r="J39" s="123" t="n">
        <x:f>I39-J25</x:f>
        <x:v>414.58749947521636</x:v>
      </x:c>
      <x:c r="K39" s="123" t="n">
        <x:f>J39-K25</x:f>
        <x:v>414.58749947521636</x:v>
      </x:c>
      <x:c r="L39" s="123" t="n">
        <x:f>K39-L25</x:f>
        <x:v>414.58749947521636</x:v>
      </x:c>
      <x:c r="M39" s="123" t="n">
        <x:f>L39-M25</x:f>
        <x:v>414.58749947521636</x:v>
      </x:c>
      <x:c r="N39" s="123" t="n">
        <x:f>M39-N25</x:f>
        <x:v>414.58749947521636</x:v>
      </x:c>
    </x:row>
    <x:row r="40">
      <x:c r="A40" s="45" t="str">
        <x:v>Other non-current assets</x:v>
      </x:c>
      <x:c r="B40" s="50" t="str">
        <x:v>Reported / forecast</x:v>
      </x:c>
      <x:c r="C40" s="172" t="n">
        <x:v>354.009</x:v>
      </x:c>
      <x:c r="D40" s="172" t="n">
        <x:v>340.047</x:v>
      </x:c>
      <x:c r="E40" s="172" t="n">
        <x:v>2093.73</x:v>
      </x:c>
      <x:c r="F40" s="56" t="n">
        <x:f>'Supporting Schedules'!F23</x:f>
        <x:v>2110.9008318867927</x:v>
      </x:c>
      <x:c r="G40" s="56" t="n">
        <x:f>'Supporting Schedules'!G23</x:f>
        <x:v>2317.7614525126487</x:v>
      </x:c>
      <x:c r="H40" s="56" t="n">
        <x:f>'Supporting Schedules'!H23</x:f>
        <x:v>2546.863804299549</x:v>
      </x:c>
      <x:c r="I40" s="56" t="n">
        <x:f>'Supporting Schedules'!I23</x:f>
        <x:v>2737.2324946348876</x:v>
      </x:c>
      <x:c r="J40" s="56" t="n">
        <x:f>'Supporting Schedules'!J23</x:f>
        <x:v>2860.237571195894</x:v>
      </x:c>
      <x:c r="K40" s="56" t="n">
        <x:f>'Supporting Schedules'!K23</x:f>
        <x:v>2938.013661295037</x:v>
      </x:c>
      <x:c r="L40" s="56" t="n">
        <x:f>'Supporting Schedules'!L23</x:f>
        <x:v>2984.2135358892383</x:v>
      </x:c>
      <x:c r="M40" s="56" t="n">
        <x:f>'Supporting Schedules'!M23</x:f>
        <x:v>2980.885710270794</x:v>
      </x:c>
      <x:c r="N40" s="56" t="n">
        <x:f>'Supporting Schedules'!N23</x:f>
        <x:v>2927.117756183097</x:v>
      </x:c>
    </x:row>
    <x:row r="41">
      <x:c r="A41" s="45" t="str">
        <x:v>Inventory</x:v>
      </x:c>
      <x:c r="B41" s="50" t="str">
        <x:v>Reported / forecast</x:v>
      </x:c>
      <x:c r="C41" s="172" t="n">
        <x:v>2113.474</x:v>
      </x:c>
      <x:c r="D41" s="172" t="n">
        <x:v>3404.341</x:v>
      </x:c>
      <x:c r="E41" s="172" t="n">
        <x:v>1245.16</x:v>
      </x:c>
      <x:c r="F41" s="56" t="n">
        <x:f>'Supporting Schedules'!F12</x:f>
        <x:v>1809.2378617420525</x:v>
      </x:c>
      <x:c r="G41" s="56" t="n">
        <x:f>'Supporting Schedules'!G12</x:f>
        <x:v>2241.781543848103</x:v>
      </x:c>
      <x:c r="H41" s="56" t="n">
        <x:f>'Supporting Schedules'!H12</x:f>
        <x:v>2426.9092524575453</x:v>
      </x:c>
      <x:c r="I41" s="56" t="n">
        <x:f>'Supporting Schedules'!I12</x:f>
        <x:v>2575.8180031638854</x:v>
      </x:c>
      <x:c r="J41" s="56" t="n">
        <x:f>'Supporting Schedules'!J12</x:f>
        <x:v>2753.070090848602</x:v>
      </x:c>
      <x:c r="K41" s="56" t="n">
        <x:f>'Supporting Schedules'!K12</x:f>
        <x:v>2960.2513266254177</x:v>
      </x:c>
      <x:c r="L41" s="56" t="n">
        <x:f>'Supporting Schedules'!L12</x:f>
        <x:v>3171.1531867901554</x:v>
      </x:c>
      <x:c r="M41" s="56" t="n">
        <x:f>'Supporting Schedules'!M12</x:f>
        <x:v>3425.3813312920715</x:v>
      </x:c>
      <x:c r="N41" s="56" t="n">
        <x:f>'Supporting Schedules'!N12</x:f>
        <x:v>3674.566862251016</x:v>
      </x:c>
    </x:row>
    <x:row r="42">
      <x:c r="A42" s="45" t="str">
        <x:v>Current investments</x:v>
      </x:c>
      <x:c r="B42" s="50" t="str">
        <x:v>Reported / forecast</x:v>
      </x:c>
      <x:c r="C42" s="172" t="n">
        <x:v>4590.703</x:v>
      </x:c>
      <x:c r="D42" s="172" t="n">
        <x:v>4161.418</x:v>
      </x:c>
      <x:c r="E42" s="172" t="n">
        <x:v>6655.87</x:v>
      </x:c>
      <x:c r="F42" s="56" t="n">
        <x:f>'Supporting Schedules'!F67</x:f>
        <x:v>8984.667197132207</x:v>
      </x:c>
      <x:c r="G42" s="56" t="n">
        <x:f>'Supporting Schedules'!G67</x:f>
        <x:v>12277.484454842312</x:v>
      </x:c>
      <x:c r="H42" s="56" t="n">
        <x:f>'Supporting Schedules'!H67</x:f>
        <x:v>19723.577080269326</x:v>
      </x:c>
      <x:c r="I42" s="56" t="n">
        <x:f>'Supporting Schedules'!I67</x:f>
        <x:v>28920.913302764668</x:v>
      </x:c>
      <x:c r="J42" s="56" t="n">
        <x:f>'Supporting Schedules'!J67</x:f>
        <x:v>39420.071939239184</x:v>
      </x:c>
      <x:c r="K42" s="56" t="n">
        <x:f>'Supporting Schedules'!K67</x:f>
        <x:v>50965.7947435962</x:v>
      </x:c>
      <x:c r="L42" s="56" t="n">
        <x:f>'Supporting Schedules'!L67</x:f>
        <x:v>63871.21074838256</x:v>
      </x:c>
      <x:c r="M42" s="56" t="n">
        <x:f>'Supporting Schedules'!M67</x:f>
        <x:v>77998.52607564717</x:v>
      </x:c>
      <x:c r="N42" s="56" t="n">
        <x:f>'Supporting Schedules'!N67</x:f>
        <x:v>93892.8848841601</x:v>
      </x:c>
    </x:row>
    <x:row r="43">
      <x:c r="A43" s="45" t="str">
        <x:v>Trade receivables</x:v>
      </x:c>
      <x:c r="B43" s="50" t="str">
        <x:v>Reported / forecast</x:v>
      </x:c>
      <x:c r="C43" s="172" t="n">
        <x:v>4904.478</x:v>
      </x:c>
      <x:c r="D43" s="172" t="n">
        <x:v>4503.963</x:v>
      </x:c>
      <x:c r="E43" s="172" t="n">
        <x:v>5905.88</x:v>
      </x:c>
      <x:c r="F43" s="56" t="n">
        <x:f>'Supporting Schedules'!F10</x:f>
        <x:v>6463.677003360042</x:v>
      </x:c>
      <x:c r="G43" s="56" t="n">
        <x:f>'Supporting Schedules'!G10</x:f>
        <x:v>7302.5360832590295</x:v>
      </x:c>
      <x:c r="H43" s="56" t="n">
        <x:f>'Supporting Schedules'!H10</x:f>
        <x:v>8373.250863450572</x:v>
      </x:c>
      <x:c r="I43" s="56" t="n">
        <x:f>'Supporting Schedules'!I10</x:f>
        <x:v>9427.650079368692</x:v>
      </x:c>
      <x:c r="J43" s="56" t="n">
        <x:f>'Supporting Schedules'!J10</x:f>
        <x:v>10367.984451964041</x:v>
      </x:c>
      <x:c r="K43" s="56" t="n">
        <x:f>'Supporting Schedules'!K10</x:f>
        <x:v>11403.249370323203</x:v>
      </x:c>
      <x:c r="L43" s="56" t="n">
        <x:f>'Supporting Schedules'!L10</x:f>
        <x:v>12486.871084169166</x:v>
      </x:c>
      <x:c r="M43" s="56" t="n">
        <x:f>'Supporting Schedules'!M10</x:f>
        <x:v>13556.904874108268</x:v>
      </x:c>
      <x:c r="N43" s="56" t="n">
        <x:f>'Supporting Schedules'!N10</x:f>
        <x:v>14613.312390076953</x:v>
      </x:c>
    </x:row>
    <x:row r="44">
      <x:c r="A44" s="45" t="str">
        <x:v>Cash and bank balances</x:v>
      </x:c>
      <x:c r="B44" s="50" t="str">
        <x:v>Reported / forecast</x:v>
      </x:c>
      <x:c r="C44" s="172" t="n">
        <x:v>1843.579</x:v>
      </x:c>
      <x:c r="D44" s="172" t="n">
        <x:v>3169.816</x:v>
      </x:c>
      <x:c r="E44" s="172" t="n">
        <x:v>2748.8</x:v>
      </x:c>
      <x:c r="F44" s="56" t="n">
        <x:f>'Supporting Schedules'!F68</x:f>
        <x:v>1241.7063716981133</x:v>
      </x:c>
      <x:c r="G44" s="56" t="n">
        <x:f>'Supporting Schedules'!G68</x:f>
        <x:v>1448.6009078204052</x:v>
      </x:c>
      <x:c r="H44" s="56" t="n">
        <x:f>'Supporting Schedules'!H68</x:f>
        <x:v>1697.9092028663663</x:v>
      </x:c>
      <x:c r="I44" s="56" t="n">
        <x:f>'Supporting Schedules'!I68</x:f>
        <x:v>1955.1660675963485</x:v>
      </x:c>
      <x:c r="J44" s="56" t="n">
        <x:f>'Supporting Schedules'!J68</x:f>
        <x:v>2200.1827470737644</x:v>
      </x:c>
      <x:c r="K44" s="56" t="n">
        <x:f>'Supporting Schedules'!K68</x:f>
        <x:v>2448.344717745864</x:v>
      </x:c>
      <x:c r="L44" s="56" t="n">
        <x:f>'Supporting Schedules'!L68</x:f>
        <x:v>2712.9213962629437</x:v>
      </x:c>
      <x:c r="M44" s="56" t="n">
        <x:f>'Supporting Schedules'!M68</x:f>
        <x:v>2980.8857102707934</x:v>
      </x:c>
      <x:c r="N44" s="56" t="n">
        <x:f>'Supporting Schedules'!N68</x:f>
        <x:v>3252.3530624256637</x:v>
      </x:c>
    </x:row>
    <x:row r="45">
      <x:c r="A45" s="45" t="str">
        <x:v>Other current assets</x:v>
      </x:c>
      <x:c r="B45" s="50" t="str">
        <x:v>Reported / forecast</x:v>
      </x:c>
      <x:c r="C45" s="172" t="n">
        <x:v>1363.307</x:v>
      </x:c>
      <x:c r="D45" s="172" t="n">
        <x:v>2127.657</x:v>
      </x:c>
      <x:c r="E45" s="172" t="n">
        <x:v>1475.74</x:v>
      </x:c>
      <x:c r="F45" s="56" t="n">
        <x:f>'Supporting Schedules'!F16</x:f>
        <x:v>1700.9676324631687</x:v>
      </x:c>
      <x:c r="G45" s="56" t="n">
        <x:f>'Supporting Schedules'!G16</x:f>
        <x:v>1984.3848052334322</x:v>
      </x:c>
      <x:c r="H45" s="56" t="n">
        <x:f>'Supporting Schedules'!H16</x:f>
        <x:v>2325.903017625159</x:v>
      </x:c>
      <x:c r="I45" s="56" t="n">
        <x:f>'Supporting Schedules'!I16</x:f>
        <x:v>2678.3096816388334</x:v>
      </x:c>
      <x:c r="J45" s="56" t="n">
        <x:f>'Supporting Schedules'!J16</x:f>
        <x:v>3013.948968594198</x:v>
      </x:c>
      <x:c r="K45" s="56" t="n">
        <x:f>'Supporting Schedules'!K16</x:f>
        <x:v>3353.8968736244715</x:v>
      </x:c>
      <x:c r="L45" s="56" t="n">
        <x:f>'Supporting Schedules'!L16</x:f>
        <x:v>3716.3306798122517</x:v>
      </x:c>
      <x:c r="M45" s="56" t="n">
        <x:f>'Supporting Schedules'!M16</x:f>
        <x:v>4083.405082562731</x:v>
      </x:c>
      <x:c r="N45" s="56" t="n">
        <x:f>'Supporting Schedules'!N16</x:f>
        <x:v>4455.278167706388</x:v>
      </x:c>
    </x:row>
    <x:row r="46">
      <x:c r="A46" s="70" t="str">
        <x:v>Total assets</x:v>
      </x:c>
      <x:c r="B46" s="71" t="str">
        <x:v>Calculated</x:v>
      </x:c>
      <x:c r="C46" s="166" t="n">
        <x:f>SUM(C35:C45)</x:f>
        <x:v>23981.134000000002</x:v>
      </x:c>
      <x:c r="D46" s="166" t="n">
        <x:f>SUM(D35:D45)</x:f>
        <x:v>28075.834</x:v>
      </x:c>
      <x:c r="E46" s="166" t="n">
        <x:f>SUM(E35:E45)</x:f>
        <x:v>34292.909999999996</x:v>
      </x:c>
      <x:c r="F46" s="72" t="n">
        <x:f>SUM(F35:F45)</x:f>
        <x:v>42073.01789347426</x:v>
      </x:c>
      <x:c r="G46" s="72" t="n">
        <x:f>SUM(G35:G45)</x:f>
        <x:v>50287.717791478695</x:v>
      </x:c>
      <x:c r="H46" s="72" t="n">
        <x:f>SUM(H35:H45)</x:f>
        <x:v>59542.73177196374</x:v>
      </x:c>
      <x:c r="I46" s="72" t="n">
        <x:f>SUM(I35:I45)</x:f>
        <x:v>69971.35717031933</x:v>
      </x:c>
      <x:c r="J46" s="72" t="n">
        <x:f>SUM(J35:J45)</x:f>
        <x:v>81765.94693015807</x:v>
      </x:c>
      <x:c r="K46" s="72" t="n">
        <x:f>SUM(K35:K45)</x:f>
        <x:v>95029.55323230464</x:v>
      </x:c>
      <x:c r="L46" s="72" t="n">
        <x:f>SUM(L35:L45)</x:f>
        <x:v>110010.55570458058</x:v>
      </x:c>
      <x:c r="M46" s="72" t="n">
        <x:f>SUM(M35:M45)</x:f>
        <x:v>126455.68209441293</x:v>
      </x:c>
      <x:c r="N46" s="72" t="n">
        <x:f>SUM(N35:N45)</x:f>
        <x:v>144823.92529051384</x:v>
      </x:c>
    </x:row>
    <x:row r="47">
      <x:c r="A47" s="158"/>
      <x:c r="B47" s="158"/>
      <x:c r="C47" s="188"/>
      <x:c r="D47" s="188"/>
      <x:c r="E47" s="188"/>
      <x:c r="F47" s="123"/>
      <x:c r="G47" s="123"/>
      <x:c r="H47" s="123"/>
      <x:c r="I47" s="123"/>
      <x:c r="J47" s="123"/>
      <x:c r="K47" s="123"/>
      <x:c r="L47" s="123"/>
      <x:c r="M47" s="123"/>
      <x:c r="N47" s="123"/>
    </x:row>
    <x:row r="48">
      <x:c r="A48" s="45" t="str">
        <x:v>Equity share capital</x:v>
      </x:c>
      <x:c r="B48" s="50" t="str">
        <x:v>Reported / forecast</x:v>
      </x:c>
      <x:c r="C48" s="172" t="n">
        <x:v>1118.154</x:v>
      </x:c>
      <x:c r="D48" s="172" t="n">
        <x:v>1118.154</x:v>
      </x:c>
      <x:c r="E48" s="172" t="n">
        <x:v>1123.43</x:v>
      </x:c>
      <x:c r="F48" s="56" t="n">
        <x:f>'Supporting Schedules'!F85</x:f>
        <x:v>1123.43</x:v>
      </x:c>
      <x:c r="G48" s="56" t="n">
        <x:f>'Supporting Schedules'!G85</x:f>
        <x:v>1123.43</x:v>
      </x:c>
      <x:c r="H48" s="56" t="n">
        <x:f>'Supporting Schedules'!H85</x:f>
        <x:v>1123.43</x:v>
      </x:c>
      <x:c r="I48" s="56" t="n">
        <x:f>'Supporting Schedules'!I85</x:f>
        <x:v>1123.43</x:v>
      </x:c>
      <x:c r="J48" s="56" t="n">
        <x:f>'Supporting Schedules'!J85</x:f>
        <x:v>1123.43</x:v>
      </x:c>
      <x:c r="K48" s="56" t="n">
        <x:f>'Supporting Schedules'!K85</x:f>
        <x:v>1123.43</x:v>
      </x:c>
      <x:c r="L48" s="56" t="n">
        <x:f>'Supporting Schedules'!L85</x:f>
        <x:v>1123.43</x:v>
      </x:c>
      <x:c r="M48" s="56" t="n">
        <x:f>'Supporting Schedules'!M85</x:f>
        <x:v>1123.43</x:v>
      </x:c>
      <x:c r="N48" s="56" t="n">
        <x:f>'Supporting Schedules'!N85</x:f>
        <x:v>1123.43</x:v>
      </x:c>
    </x:row>
    <x:row r="49">
      <x:c r="A49" s="45" t="str">
        <x:v>Other equity</x:v>
      </x:c>
      <x:c r="B49" s="50" t="str">
        <x:v>Reported / forecast</x:v>
      </x:c>
      <x:c r="C49" s="172" t="n">
        <x:v>18128.391</x:v>
      </x:c>
      <x:c r="D49" s="172" t="n">
        <x:v>22980.484</x:v>
      </x:c>
      <x:c r="E49" s="172" t="n">
        <x:v>29301.73</x:v>
      </x:c>
      <x:c r="F49" s="56" t="n">
        <x:f>'Supporting Schedules'!F93</x:f>
        <x:v>36608.75188125056</x:v>
      </x:c>
      <x:c r="G49" s="56" t="n">
        <x:f>'Supporting Schedules'!G93</x:f>
        <x:v>44030.373570542404</x:v>
      </x:c>
      <x:c r="H49" s="56" t="n">
        <x:f>'Supporting Schedules'!H93</x:f>
        <x:v>52476.197550584235</x:v>
      </x:c>
      <x:c r="I49" s="56" t="n">
        <x:f>'Supporting Schedules'!I93</x:f>
        <x:v>62217.257754074286</x:v>
      </x:c>
      <x:c r="J49" s="56" t="n">
        <x:f>'Supporting Schedules'!J93</x:f>
        <x:v>73315.8925292834</x:v>
      </x:c>
      <x:c r="K49" s="56" t="n">
        <x:f>'Supporting Schedules'!K93</x:f>
        <x:v>85810.29553357766</x:v>
      </x:c>
      <x:c r="L49" s="56" t="n">
        <x:f>'Supporting Schedules'!L93</x:f>
        <x:v>100066.39787141285</x:v>
      </x:c>
      <x:c r="M49" s="56" t="n">
        <x:f>'Supporting Schedules'!M93</x:f>
        <x:v>115714.3236002574</x:v>
      </x:c>
      <x:c r="N49" s="56" t="n">
        <x:f>'Supporting Schedules'!N93</x:f>
        <x:v>133212.60339894428</x:v>
      </x:c>
    </x:row>
    <x:row r="50">
      <x:c r="A50" s="70" t="str">
        <x:v>Total equity</x:v>
      </x:c>
      <x:c r="B50" s="71" t="str">
        <x:v>Calculated</x:v>
      </x:c>
      <x:c r="C50" s="166" t="n">
        <x:f>C48+C49</x:f>
        <x:v>19246.545</x:v>
      </x:c>
      <x:c r="D50" s="166" t="n">
        <x:f>D48+D49</x:f>
        <x:v>24098.638</x:v>
      </x:c>
      <x:c r="E50" s="166" t="n">
        <x:f>E48+E49</x:f>
        <x:v>30425.16</x:v>
      </x:c>
      <x:c r="F50" s="72" t="n">
        <x:f>F48+F49</x:f>
        <x:v>37732.18188125056</x:v>
      </x:c>
      <x:c r="G50" s="72" t="n">
        <x:f>G48+G49</x:f>
        <x:v>45153.803570542404</x:v>
      </x:c>
      <x:c r="H50" s="72" t="n">
        <x:f>H48+H49</x:f>
        <x:v>53599.627550584235</x:v>
      </x:c>
      <x:c r="I50" s="72" t="n">
        <x:f>I48+I49</x:f>
        <x:v>63340.687754074286</x:v>
      </x:c>
      <x:c r="J50" s="72" t="n">
        <x:f>J48+J49</x:f>
        <x:v>74439.3225292834</x:v>
      </x:c>
      <x:c r="K50" s="72" t="n">
        <x:f>K48+K49</x:f>
        <x:v>86933.72553357766</x:v>
      </x:c>
      <x:c r="L50" s="72" t="n">
        <x:f>L48+L49</x:f>
        <x:v>101189.82787141284</x:v>
      </x:c>
      <x:c r="M50" s="72" t="n">
        <x:f>M48+M49</x:f>
        <x:v>116837.75360025739</x:v>
      </x:c>
      <x:c r="N50" s="72" t="n">
        <x:f>N48+N49</x:f>
        <x:v>134336.03339894427</x:v>
      </x:c>
    </x:row>
    <x:row r="51">
      <x:c r="A51" s="45" t="str">
        <x:v>Borrowings</x:v>
      </x:c>
      <x:c r="B51" s="50" t="str">
        <x:v>Reported / forecast</x:v>
      </x:c>
      <x:c r="C51" s="172" t="n">
        <x:v>2325.254</x:v>
      </x:c>
      <x:c r="D51" s="172" t="n">
        <x:v>1089.547</x:v>
      </x:c>
      <x:c r="E51" s="172" t="n">
        <x:v>300.68</x:v>
      </x:c>
      <x:c r="F51" s="56" t="n">
        <x:f>'Supporting Schedules'!F52</x:f>
        <x:v>0</x:v>
      </x:c>
      <x:c r="G51" s="56" t="n">
        <x:f>'Supporting Schedules'!G52</x:f>
        <x:v>0</x:v>
      </x:c>
      <x:c r="H51" s="56" t="n">
        <x:f>'Supporting Schedules'!H52</x:f>
        <x:v>0</x:v>
      </x:c>
      <x:c r="I51" s="56" t="n">
        <x:f>'Supporting Schedules'!I52</x:f>
        <x:v>0</x:v>
      </x:c>
      <x:c r="J51" s="56" t="n">
        <x:f>'Supporting Schedules'!J52</x:f>
        <x:v>0</x:v>
      </x:c>
      <x:c r="K51" s="56" t="n">
        <x:f>'Supporting Schedules'!K52</x:f>
        <x:v>0</x:v>
      </x:c>
      <x:c r="L51" s="56" t="n">
        <x:f>'Supporting Schedules'!L52</x:f>
        <x:v>0</x:v>
      </x:c>
      <x:c r="M51" s="56" t="n">
        <x:f>'Supporting Schedules'!M52</x:f>
        <x:v>0</x:v>
      </x:c>
      <x:c r="N51" s="56" t="n">
        <x:f>'Supporting Schedules'!N52</x:f>
        <x:v>0</x:v>
      </x:c>
    </x:row>
    <x:row r="52">
      <x:c r="A52" s="45" t="str">
        <x:v>Lease liabilities</x:v>
      </x:c>
      <x:c r="B52" s="50" t="str">
        <x:v>Reported / forecast</x:v>
      </x:c>
      <x:c r="C52" s="172" t="n">
        <x:v>59.908</x:v>
      </x:c>
      <x:c r="D52" s="172" t="n">
        <x:v>43.623</x:v>
      </x:c>
      <x:c r="E52" s="172" t="n">
        <x:v>28.56</x:v>
      </x:c>
      <x:c r="F52" s="123" t="n">
        <x:f>IF(E52&gt;10,E52-10,0)</x:f>
        <x:v>18.56</x:v>
      </x:c>
      <x:c r="G52" s="123" t="n">
        <x:f>IF(F52&gt;10,F52-10,0)</x:f>
        <x:v>8.559999999999999</x:v>
      </x:c>
      <x:c r="H52" s="123" t="n">
        <x:f>IF(G52&gt;10,G52-10,0)</x:f>
        <x:v>0</x:v>
      </x:c>
      <x:c r="I52" s="123" t="n">
        <x:f>IF(H52&gt;10,H52-10,0)</x:f>
        <x:v>0</x:v>
      </x:c>
      <x:c r="J52" s="123" t="n">
        <x:f>IF(I52&gt;10,I52-10,0)</x:f>
        <x:v>0</x:v>
      </x:c>
      <x:c r="K52" s="123" t="n">
        <x:f>IF(J52&gt;10,J52-10,0)</x:f>
        <x:v>0</x:v>
      </x:c>
      <x:c r="L52" s="123" t="n">
        <x:f>IF(K52&gt;10,K52-10,0)</x:f>
        <x:v>0</x:v>
      </x:c>
      <x:c r="M52" s="123" t="n">
        <x:f>IF(L52&gt;10,L52-10,0)</x:f>
        <x:v>0</x:v>
      </x:c>
      <x:c r="N52" s="123" t="n">
        <x:f>IF(M52&gt;10,M52-10,0)</x:f>
        <x:v>0</x:v>
      </x:c>
    </x:row>
    <x:row r="53">
      <x:c r="A53" s="45" t="str">
        <x:v>Trade payables</x:v>
      </x:c>
      <x:c r="B53" s="50" t="str">
        <x:v>Reported / forecast</x:v>
      </x:c>
      <x:c r="C53" s="172" t="n">
        <x:v>1007.411</x:v>
      </x:c>
      <x:c r="D53" s="172" t="n">
        <x:v>1100.87</x:v>
      </x:c>
      <x:c r="E53" s="172" t="n">
        <x:v>962.17</x:v>
      </x:c>
      <x:c r="F53" s="56" t="n">
        <x:f>'Supporting Schedules'!F14</x:f>
        <x:v>1343.3417873610756</x:v>
      </x:c>
      <x:c r="G53" s="56" t="n">
        <x:f>'Supporting Schedules'!G14</x:f>
        <x:v>1603.832115139978</x:v>
      </x:c>
      <x:c r="H53" s="56" t="n">
        <x:f>'Supporting Schedules'!H14</x:f>
        <x:v>1851.2256560207798</x:v>
      </x:c>
      <x:c r="I53" s="56" t="n">
        <x:f>'Supporting Schedules'!I14</x:f>
        <x:v>2024.2514188784407</x:v>
      </x:c>
      <x:c r="J53" s="56" t="n">
        <x:f>'Supporting Schedules'!J14</x:f>
        <x:v>2256.385202823616</x:v>
      </x:c>
      <x:c r="K53" s="56" t="n">
        <x:f>'Supporting Schedules'!K14</x:f>
        <x:v>2450.4067727722777</x:v>
      </x:c>
      <x:c r="L53" s="56" t="n">
        <x:f>'Supporting Schedules'!L14</x:f>
        <x:v>2715.4977329503945</x:v>
      </x:c>
      <x:c r="M53" s="56" t="n">
        <x:f>'Supporting Schedules'!M14</x:f>
        <x:v>2915.8921984379313</x:v>
      </x:c>
      <x:c r="N53" s="56" t="n">
        <x:f>'Supporting Schedules'!N14</x:f>
        <x:v>3183.845275400285</x:v>
      </x:c>
    </x:row>
    <x:row r="54">
      <x:c r="A54" s="45" t="str">
        <x:v>Other current liabilities</x:v>
      </x:c>
      <x:c r="B54" s="50" t="str">
        <x:v>Reported / forecast</x:v>
      </x:c>
      <x:c r="C54" s="172" t="n">
        <x:v>1153.339</x:v>
      </x:c>
      <x:c r="D54" s="172" t="n">
        <x:v>1527.128</x:v>
      </x:c>
      <x:c r="E54" s="172" t="n">
        <x:v>2251.9</x:v>
      </x:c>
      <x:c r="F54" s="56" t="n">
        <x:f>'Supporting Schedules'!F18+'Supporting Schedules'!F20+'Supporting Schedules'!F21</x:f>
        <x:v>2656.0905682211137</x:v>
      </x:c>
      <x:c r="G54" s="56" t="n">
        <x:f>'Supporting Schedules'!G18+'Supporting Schedules'!G20+'Supporting Schedules'!G21</x:f>
        <x:v>3159.3718788412034</x:v>
      </x:c>
      <x:c r="H54" s="56" t="n">
        <x:f>'Supporting Schedules'!H18+'Supporting Schedules'!H20+'Supporting Schedules'!H21</x:f>
        <x:v>3684.3803566707948</x:v>
      </x:c>
      <x:c r="I54" s="56" t="n">
        <x:f>'Supporting Schedules'!I18+'Supporting Schedules'!I20+'Supporting Schedules'!I21</x:f>
        <x:v>4156.7298018194415</x:v>
      </x:c>
      <x:c r="J54" s="56" t="n">
        <x:f>'Supporting Schedules'!J18+'Supporting Schedules'!J20+'Supporting Schedules'!J21</x:f>
        <x:v>4586.1989936947975</x:v>
      </x:c>
      <x:c r="K54" s="56" t="n">
        <x:f>'Supporting Schedules'!K18+'Supporting Schedules'!K20+'Supporting Schedules'!K21</x:f>
        <x:v>5131.268535228048</x:v>
      </x:c>
      <x:c r="L54" s="56" t="n">
        <x:f>'Supporting Schedules'!L18+'Supporting Schedules'!L20+'Supporting Schedules'!L21</x:f>
        <x:v>5562.645820964726</x:v>
      </x:c>
      <x:c r="M54" s="56" t="n">
        <x:f>'Supporting Schedules'!M18+'Supporting Schedules'!M20+'Supporting Schedules'!M21</x:f>
        <x:v>6135.668010766114</x:v>
      </x:c>
      <x:c r="N54" s="56" t="n">
        <x:f>'Supporting Schedules'!N18+'Supporting Schedules'!N20+'Supporting Schedules'!N21</x:f>
        <x:v>6718.623064932644</x:v>
      </x:c>
    </x:row>
    <x:row r="55">
      <x:c r="A55" s="45" t="str">
        <x:v>Other non-current liabilities</x:v>
      </x:c>
      <x:c r="B55" s="50" t="str">
        <x:v>Reported / forecast</x:v>
      </x:c>
      <x:c r="C55" s="172" t="n">
        <x:v>188.681</x:v>
      </x:c>
      <x:c r="D55" s="172" t="n">
        <x:v>216.02</x:v>
      </x:c>
      <x:c r="E55" s="172" t="n">
        <x:v>324.44</x:v>
      </x:c>
      <x:c r="F55" s="56" t="n">
        <x:f>'Supporting Schedules'!F25</x:f>
        <x:v>322.8436566415094</x:v>
      </x:c>
      <x:c r="G55" s="56" t="n">
        <x:f>'Supporting Schedules'!G25</x:f>
        <x:v>362.15022695510135</x:v>
      </x:c>
      <x:c r="H55" s="56" t="n">
        <x:f>'Supporting Schedules'!H25</x:f>
        <x:v>407.4982086879279</x:v>
      </x:c>
      <x:c r="I55" s="56" t="n">
        <x:f>'Supporting Schedules'!I25</x:f>
        <x:v>449.6881955471601</x:v>
      </x:c>
      <x:c r="J55" s="56" t="n">
        <x:f>'Supporting Schedules'!J25</x:f>
        <x:v>484.0402043562281</x:v>
      </x:c>
      <x:c r="K55" s="56" t="n">
        <x:f>'Supporting Schedules'!K25</x:f>
        <x:v>514.1523907266316</x:v>
      </x:c>
      <x:c r="L55" s="56" t="n">
        <x:f>'Supporting Schedules'!L25</x:f>
        <x:v>542.5842792525888</x:v>
      </x:c>
      <x:c r="M55" s="56" t="n">
        <x:f>'Supporting Schedules'!M25</x:f>
        <x:v>566.3682849514508</x:v>
      </x:c>
      <x:c r="N55" s="56" t="n">
        <x:f>'Supporting Schedules'!N25</x:f>
        <x:v>585.4235512366193</x:v>
      </x:c>
    </x:row>
    <x:row r="56">
      <x:c r="A56" s="70" t="str">
        <x:v>Total liabilities</x:v>
      </x:c>
      <x:c r="B56" s="71" t="str">
        <x:v>Calculated</x:v>
      </x:c>
      <x:c r="C56" s="166" t="n">
        <x:f>SUM(C51:C55)</x:f>
        <x:v>4734.593</x:v>
      </x:c>
      <x:c r="D56" s="166" t="n">
        <x:f>SUM(D51:D55)</x:f>
        <x:v>3977.1879999999996</x:v>
      </x:c>
      <x:c r="E56" s="166" t="n">
        <x:f>SUM(E51:E55)</x:f>
        <x:v>3867.75</x:v>
      </x:c>
      <x:c r="F56" s="72" t="n">
        <x:f>SUM(F51:F55)</x:f>
        <x:v>4340.836012223699</x:v>
      </x:c>
      <x:c r="G56" s="72" t="n">
        <x:f>SUM(G51:G55)</x:f>
        <x:v>5133.914220936283</x:v>
      </x:c>
      <x:c r="H56" s="72" t="n">
        <x:f>SUM(H51:H55)</x:f>
        <x:v>5943.104221379503</x:v>
      </x:c>
      <x:c r="I56" s="72" t="n">
        <x:f>SUM(I51:I55)</x:f>
        <x:v>6630.669416245042</x:v>
      </x:c>
      <x:c r="J56" s="72" t="n">
        <x:f>SUM(J51:J55)</x:f>
        <x:v>7326.624400874642</x:v>
      </x:c>
      <x:c r="K56" s="72" t="n">
        <x:f>SUM(K51:K55)</x:f>
        <x:v>8095.827698726957</x:v>
      </x:c>
      <x:c r="L56" s="72" t="n">
        <x:f>SUM(L51:L55)</x:f>
        <x:v>8820.72783316771</x:v>
      </x:c>
      <x:c r="M56" s="72" t="n">
        <x:f>SUM(M51:M55)</x:f>
        <x:v>9617.928494155498</x:v>
      </x:c>
      <x:c r="N56" s="72" t="n">
        <x:f>SUM(N51:N55)</x:f>
        <x:v>10487.891891569549</x:v>
      </x:c>
    </x:row>
    <x:row r="57">
      <x:c r="A57" s="70" t="str">
        <x:v>Total equity and liabilities</x:v>
      </x:c>
      <x:c r="B57" s="71" t="str">
        <x:v>Calculated</x:v>
      </x:c>
      <x:c r="C57" s="166" t="n">
        <x:f>C50+C56</x:f>
        <x:v>23981.138</x:v>
      </x:c>
      <x:c r="D57" s="166" t="n">
        <x:f>D50+D56</x:f>
        <x:v>28075.825999999997</x:v>
      </x:c>
      <x:c r="E57" s="166" t="n">
        <x:f>E50+E56</x:f>
        <x:v>34292.91</x:v>
      </x:c>
      <x:c r="F57" s="72" t="n">
        <x:f>F50+F56</x:f>
        <x:v>42073.01789347426</x:v>
      </x:c>
      <x:c r="G57" s="72" t="n">
        <x:f>G50+G56</x:f>
        <x:v>50287.71779147869</x:v>
      </x:c>
      <x:c r="H57" s="72" t="n">
        <x:f>H50+H56</x:f>
        <x:v>59542.731771963736</x:v>
      </x:c>
      <x:c r="I57" s="72" t="n">
        <x:f>I50+I56</x:f>
        <x:v>69971.35717031933</x:v>
      </x:c>
      <x:c r="J57" s="72" t="n">
        <x:f>J50+J56</x:f>
        <x:v>81765.94693015804</x:v>
      </x:c>
      <x:c r="K57" s="72" t="n">
        <x:f>K50+K56</x:f>
        <x:v>95029.55323230462</x:v>
      </x:c>
      <x:c r="L57" s="72" t="n">
        <x:f>L50+L56</x:f>
        <x:v>110010.55570458055</x:v>
      </x:c>
      <x:c r="M57" s="72" t="n">
        <x:f>M50+M56</x:f>
        <x:v>126455.68209441288</x:v>
      </x:c>
      <x:c r="N57" s="72" t="n">
        <x:f>N50+N56</x:f>
        <x:v>144823.9252905138</x:v>
      </x:c>
    </x:row>
    <x:row r="58">
      <x:c r="A58" s="70" t="str">
        <x:v>Balance-sheet check</x:v>
      </x:c>
      <x:c r="B58" s="71" t="str">
        <x:v>Must equal zero</x:v>
      </x:c>
      <x:c r="C58" s="166" t="n">
        <x:f>C46-C57</x:f>
        <x:v>-0.0039999999971769284</x:v>
      </x:c>
      <x:c r="D58" s="166" t="n">
        <x:f>D46-D57</x:f>
        <x:v>0.008000000001629815</x:v>
      </x:c>
      <x:c r="E58" s="166" t="n">
        <x:f>E46-E57</x:f>
        <x:v>-7.275957614183426e-12</x:v>
      </x:c>
      <x:c r="F58" s="72" t="n">
        <x:f>F46-F57</x:f>
        <x:v>0</x:v>
      </x:c>
      <x:c r="G58" s="72" t="n">
        <x:f>G46-G57</x:f>
        <x:v>7.275957614183426e-12</x:v>
      </x:c>
      <x:c r="H58" s="72" t="n">
        <x:f>H46-H57</x:f>
        <x:v>7.275957614183426e-12</x:v>
      </x:c>
      <x:c r="I58" s="72" t="n">
        <x:f>I46-I57</x:f>
        <x:v>0</x:v>
      </x:c>
      <x:c r="J58" s="72" t="n">
        <x:f>J46-J57</x:f>
        <x:v>2.9103830456733704e-11</x:v>
      </x:c>
      <x:c r="K58" s="72" t="n">
        <x:f>K46-K57</x:f>
        <x:v>1.4551915228366852e-11</x:v>
      </x:c>
      <x:c r="L58" s="72" t="n">
        <x:f>L46-L57</x:f>
        <x:v>2.9103830456733704e-11</x:v>
      </x:c>
      <x:c r="M58" s="72" t="n">
        <x:f>M46-M57</x:f>
        <x:v>4.3655745685100555e-11</x:v>
      </x:c>
      <x:c r="N58" s="72" t="n">
        <x:f>N46-N57</x:f>
        <x:v>2.9103830456733704e-11</x:v>
      </x:c>
    </x:row>
    <x:row r="59">
      <x:c r="A59" s="158"/>
      <x:c r="B59" s="158"/>
      <x:c r="C59" s="164"/>
      <x:c r="D59" s="164"/>
      <x:c r="E59" s="164"/>
      <x:c r="F59" s="158"/>
      <x:c r="G59" s="158"/>
      <x:c r="H59" s="158"/>
      <x:c r="I59" s="158"/>
      <x:c r="J59" s="158"/>
      <x:c r="K59" s="158"/>
      <x:c r="L59" s="158"/>
      <x:c r="M59" s="158"/>
      <x:c r="N59" s="158"/>
    </x:row>
    <x:row r="60">
      <x:c r="A60" s="158"/>
      <x:c r="B60" s="158"/>
      <x:c r="C60" s="164"/>
      <x:c r="D60" s="164"/>
      <x:c r="E60" s="164"/>
      <x:c r="F60" s="158"/>
      <x:c r="G60" s="158"/>
      <x:c r="H60" s="158"/>
      <x:c r="I60" s="158"/>
      <x:c r="J60" s="158"/>
      <x:c r="K60" s="158"/>
      <x:c r="L60" s="158"/>
      <x:c r="M60" s="158"/>
      <x:c r="N60" s="158"/>
    </x:row>
    <x:row r="61">
      <x:c r="A61" s="158"/>
      <x:c r="B61" s="158"/>
      <x:c r="C61" s="164"/>
      <x:c r="D61" s="164"/>
      <x:c r="E61" s="164"/>
      <x:c r="F61" s="158"/>
      <x:c r="G61" s="158"/>
      <x:c r="H61" s="158"/>
      <x:c r="I61" s="158"/>
      <x:c r="J61" s="158"/>
      <x:c r="K61" s="158"/>
      <x:c r="L61" s="158"/>
      <x:c r="M61" s="158"/>
      <x:c r="N61" s="158"/>
    </x:row>
    <x:row r="62" ht="20" customHeight="1">
      <x:c r="A62" s="40" t="str">
        <x:v>Consolidated Cash-Flow Statement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</x:row>
    <x:row r="63">
      <x:c r="A63" s="45" t="str">
        <x:v>Profit after tax</x:v>
      </x:c>
      <x:c r="B63" s="50" t="str">
        <x:v>Link to income statement</x:v>
      </x:c>
      <x:c r="C63" s="172" t="n">
        <x:v>3673.102</x:v>
      </x:c>
      <x:c r="D63" s="172" t="n">
        <x:v>4512.593</x:v>
      </x:c>
      <x:c r="E63" s="172" t="n">
        <x:v>5917.92</x:v>
      </x:c>
      <x:c r="F63" s="123" t="n">
        <x:f>F26</x:f>
        <x:v>7175.897688399243</x:v>
      </x:c>
      <x:c r="G63" s="123" t="n">
        <x:f>G26</x:f>
        <x:v>8099.776674089095</x:v>
      </x:c>
      <x:c r="H63" s="123" t="n">
        <x:f>H26</x:f>
        <x:v>9449.346083251918</x:v>
      </x:c>
      <x:c r="I63" s="123" t="n">
        <x:f>I26</x:f>
        <x:v>11344.140980803764</x:v>
      </x:c>
      <x:c r="J63" s="123" t="n">
        <x:f>J26</x:f>
        <x:v>13435.107289046324</x:v>
      </x:c>
      <x:c r="K63" s="123" t="n">
        <x:f>K26</x:f>
        <x:v>15542.71715529714</x:v>
      </x:c>
      <x:c r="L63" s="123" t="n">
        <x:f>L26</x:f>
        <x:v>17778.75587100097</x:v>
      </x:c>
      <x:c r="M63" s="123" t="n">
        <x:f>M26</x:f>
        <x:v>20061.44324210841</x:v>
      </x:c>
      <x:c r="N63" s="123" t="n">
        <x:f>N26</x:f>
        <x:v>22433.69204959857</x:v>
      </x:c>
    </x:row>
    <x:row r="64">
      <x:c r="A64" s="45" t="str">
        <x:v>Depreciation and amortisation</x:v>
      </x:c>
      <x:c r="B64" s="50" t="str">
        <x:v>Non-cash addback</x:v>
      </x:c>
      <x:c r="C64" s="172" t="n">
        <x:v>818.242</x:v>
      </x:c>
      <x:c r="D64" s="172" t="n">
        <x:v>893.713</x:v>
      </x:c>
      <x:c r="E64" s="172" t="n">
        <x:v>1340.7</x:v>
      </x:c>
      <x:c r="F64" s="123" t="n">
        <x:f>F18</x:f>
        <x:v>1454.3548</x:v>
      </x:c>
      <x:c r="G64" s="123" t="n">
        <x:f>G18</x:f>
        <x:v>2101.420672</x:v>
      </x:c>
      <x:c r="H64" s="123" t="n">
        <x:f>H18</x:f>
        <x:v>2805.0034764800002</x:v>
      </x:c>
      <x:c r="I64" s="123" t="n">
        <x:f>I18</x:f>
        <x:v>2972.0510098432005</x:v>
      </x:c>
      <x:c r="J64" s="123" t="n">
        <x:f>J18</x:f>
        <x:v>2946.0174016907795</x:v>
      </x:c>
      <x:c r="K64" s="123" t="n">
        <x:f>K18</x:f>
        <x:v>2883.627811668383</x:v>
      </x:c>
      <x:c r="L64" s="123" t="n">
        <x:f>L18</x:f>
        <x:v>2876.3610017094165</x:v>
      </x:c>
      <x:c r="M64" s="123" t="n">
        <x:f>M18</x:f>
        <x:v>2917.1360443110384</x:v>
      </x:c>
      <x:c r="N64" s="123" t="n">
        <x:f>N18</x:f>
        <x:v>2998.8695112186883</x:v>
      </x:c>
    </x:row>
    <x:row r="65">
      <x:c r="A65" s="45" t="str">
        <x:v>ESOP and other non-cash costs</x:v>
      </x:c>
      <x:c r="B65" s="50" t="str">
        <x:v>Reported / forecast</x:v>
      </x:c>
      <x:c r="C65" s="172" t="n">
        <x:v>0</x:v>
      </x:c>
      <x:c r="D65" s="172" t="n">
        <x:v>343.464</x:v>
      </x:c>
      <x:c r="E65" s="172" t="n">
        <x:v>158.59</x:v>
      </x:c>
      <x:c r="F65" s="56" t="n">
        <x:f>'Supporting Schedules'!F91</x:f>
        <x:v>131.12419285132077</x:v>
      </x:c>
      <x:c r="G65" s="56" t="n">
        <x:f>'Supporting Schedules'!G91</x:f>
        <x:v>131.8226826116569</x:v>
      </x:c>
      <x:c r="H65" s="56" t="n">
        <x:f>'Supporting Schedules'!H91</x:f>
        <x:v>130.3994267801369</x:v>
      </x:c>
      <x:c r="I65" s="56" t="n">
        <x:f>'Supporting Schedules'!I91</x:f>
        <x:v>98.54036980685595</x:v>
      </x:c>
      <x:c r="J65" s="56" t="n">
        <x:f>'Supporting Schedules'!J91</x:f>
        <x:v>81.84679819114403</x:v>
      </x:c>
      <x:c r="K65" s="56" t="n">
        <x:f>'Supporting Schedules'!K91</x:f>
        <x:v>60.22928005654826</x:v>
      </x:c>
      <x:c r="L65" s="56" t="n">
        <x:f>'Supporting Schedules'!L91</x:f>
        <x:v>33.097641034407914</x:v>
      </x:c>
      <x:c r="M65" s="56" t="n">
        <x:f>'Supporting Schedules'!M91</x:f>
        <x:v>0</x:v>
      </x:c>
      <x:c r="N65" s="56" t="n">
        <x:f>'Supporting Schedules'!N91</x:f>
        <x:v>0</x:v>
      </x:c>
    </x:row>
    <x:row r="66">
      <x:c r="A66" s="45" t="str">
        <x:v>Finance costs addback</x:v>
      </x:c>
      <x:c r="B66" s="50" t="str">
        <x:v>Calculated</x:v>
      </x:c>
      <x:c r="C66" s="172" t="n">
        <x:v>95.355</x:v>
      </x:c>
      <x:c r="D66" s="172" t="n">
        <x:v>103.29</x:v>
      </x:c>
      <x:c r="E66" s="172" t="n">
        <x:v>68.94</x:v>
      </x:c>
      <x:c r="F66" s="123" t="n">
        <x:f>F20</x:f>
        <x:v>12.0272</x:v>
      </x:c>
      <x:c r="G66" s="123" t="n">
        <x:f>G20</x:f>
        <x:v>0</x:v>
      </x:c>
      <x:c r="H66" s="123" t="n">
        <x:f>H20</x:f>
        <x:v>0</x:v>
      </x:c>
      <x:c r="I66" s="123" t="n">
        <x:f>I20</x:f>
        <x:v>0</x:v>
      </x:c>
      <x:c r="J66" s="123" t="n">
        <x:f>J20</x:f>
        <x:v>0</x:v>
      </x:c>
      <x:c r="K66" s="123" t="n">
        <x:f>K20</x:f>
        <x:v>0</x:v>
      </x:c>
      <x:c r="L66" s="123" t="n">
        <x:f>L20</x:f>
        <x:v>0</x:v>
      </x:c>
      <x:c r="M66" s="123" t="n">
        <x:f>M20</x:f>
        <x:v>0</x:v>
      </x:c>
      <x:c r="N66" s="123" t="n">
        <x:f>N20</x:f>
        <x:v>0</x:v>
      </x:c>
    </x:row>
    <x:row r="67">
      <x:c r="A67" s="45" t="str">
        <x:v>Interest income adjustment</x:v>
      </x:c>
      <x:c r="B67" s="50" t="str">
        <x:v>Calculated</x:v>
      </x:c>
      <x:c r="C67" s="172" t="n">
        <x:v>-408.617</x:v>
      </x:c>
      <x:c r="D67" s="172" t="n">
        <x:v>-646.995</x:v>
      </x:c>
      <x:c r="E67" s="172" t="n">
        <x:v>-792.7</x:v>
      </x:c>
      <x:c r="F67" s="56" t="n">
        <x:f>-'Supporting Schedules'!F60</x:f>
        <x:v>-705.2881</x:v>
      </x:c>
      <x:c r="G67" s="56" t="n">
        <x:f>-'Supporting Schedules'!G60</x:f>
        <x:v>-750.4817962856677</x:v>
      </x:c>
      <x:c r="H67" s="56" t="n">
        <x:f>-'Supporting Schedules'!H60</x:f>
        <x:v>-942.9659449464494</x:v>
      </x:c>
      <x:c r="I67" s="56" t="n">
        <x:f>-'Supporting Schedules'!I60</x:f>
        <x:v>-1366.2129955724631</x:v>
      </x:c>
      <x:c r="J67" s="56" t="n">
        <x:f>-'Supporting Schedules'!J60</x:f>
        <x:v>-1886.215615369856</x:v>
      </x:c>
      <x:c r="K67" s="56" t="n">
        <x:f>-'Supporting Schedules'!K60</x:f>
        <x:v>-2477.145257747212</x:v>
      </x:c>
      <x:c r="L67" s="56" t="n">
        <x:f>-'Supporting Schedules'!L60</x:f>
        <x:v>-3125.8089203738136</x:v>
      </x:c>
      <x:c r="M67" s="56" t="n">
        <x:f>-'Supporting Schedules'!M60</x:f>
        <x:v>-3850.1585179555022</x:v>
      </x:c>
      <x:c r="N67" s="56" t="n">
        <x:f>-'Supporting Schedules'!N60</x:f>
        <x:v>-4641.898898225489</x:v>
      </x:c>
    </x:row>
    <x:row r="68">
      <x:c r="A68" s="45" t="str">
        <x:v>Deferred tax</x:v>
      </x:c>
      <x:c r="B68" s="50" t="str">
        <x:v>Non-cash</x:v>
      </x:c>
      <x:c r="C68" s="172" t="n">
        <x:v>-164.029</x:v>
      </x:c>
      <x:c r="D68" s="172" t="n">
        <x:v>235.813</x:v>
      </x:c>
      <x:c r="E68" s="172" t="n">
        <x:v>-88.58</x:v>
      </x:c>
      <x:c r="F68" s="123" t="n">
        <x:f>F25</x:f>
        <x:v>-48.48579519188677</x:v>
      </x:c>
      <x:c r="G68" s="123" t="n">
        <x:f>G25</x:f>
        <x:v>-54.72822077087227</x:v>
      </x:c>
      <x:c r="H68" s="123" t="n">
        <x:f>H25</x:f>
        <x:v>-38.15348351245728</x:v>
      </x:c>
      <x:c r="I68" s="123" t="n">
        <x:f>I25</x:f>
        <x:v>0</x:v>
      </x:c>
      <x:c r="J68" s="123" t="n">
        <x:f>J25</x:f>
        <x:v>0</x:v>
      </x:c>
      <x:c r="K68" s="123" t="n">
        <x:f>K25</x:f>
        <x:v>0</x:v>
      </x:c>
      <x:c r="L68" s="123" t="n">
        <x:f>L25</x:f>
        <x:v>0</x:v>
      </x:c>
      <x:c r="M68" s="123" t="n">
        <x:f>M25</x:f>
        <x:v>0</x:v>
      </x:c>
      <x:c r="N68" s="123" t="n">
        <x:f>N25</x:f>
        <x:v>0</x:v>
      </x:c>
    </x:row>
    <x:row r="69">
      <x:c r="A69" s="45" t="str">
        <x:v>Change in trade receivables</x:v>
      </x:c>
      <x:c r="B69" s="50" t="str">
        <x:v>Calculated</x:v>
      </x:c>
      <x:c r="C69" s="188"/>
      <x:c r="D69" s="188"/>
      <x:c r="E69" s="188"/>
      <x:c r="F69" s="123" t="n">
        <x:f>E43-F43</x:f>
        <x:v>-557.7970033600423</x:v>
      </x:c>
      <x:c r="G69" s="123" t="n">
        <x:f>F43-G43</x:f>
        <x:v>-838.8590798989871</x:v>
      </x:c>
      <x:c r="H69" s="123" t="n">
        <x:f>G43-H43</x:f>
        <x:v>-1070.7147801915426</x:v>
      </x:c>
      <x:c r="I69" s="123" t="n">
        <x:f>H43-I43</x:f>
        <x:v>-1054.3992159181198</x:v>
      </x:c>
      <x:c r="J69" s="123" t="n">
        <x:f>I43-J43</x:f>
        <x:v>-940.3343725953491</x:v>
      </x:c>
      <x:c r="K69" s="123" t="n">
        <x:f>J43-K43</x:f>
        <x:v>-1035.264918359162</x:v>
      </x:c>
      <x:c r="L69" s="123" t="n">
        <x:f>K43-L43</x:f>
        <x:v>-1083.6217138459633</x:v>
      </x:c>
      <x:c r="M69" s="123" t="n">
        <x:f>L43-M43</x:f>
        <x:v>-1070.0337899391016</x:v>
      </x:c>
      <x:c r="N69" s="123" t="n">
        <x:f>M43-N43</x:f>
        <x:v>-1056.4075159686854</x:v>
      </x:c>
    </x:row>
    <x:row r="70">
      <x:c r="A70" s="45" t="str">
        <x:v>Change in inventory</x:v>
      </x:c>
      <x:c r="B70" s="50" t="str">
        <x:v>Calculated</x:v>
      </x:c>
      <x:c r="C70" s="188"/>
      <x:c r="D70" s="188"/>
      <x:c r="E70" s="188"/>
      <x:c r="F70" s="123" t="n">
        <x:f>E41-F41</x:f>
        <x:v>-564.0778617420524</x:v>
      </x:c>
      <x:c r="G70" s="123" t="n">
        <x:f>F41-G41</x:f>
        <x:v>-432.5436821060505</x:v>
      </x:c>
      <x:c r="H70" s="123" t="n">
        <x:f>G41-H41</x:f>
        <x:v>-185.12770860944238</x:v>
      </x:c>
      <x:c r="I70" s="123" t="n">
        <x:f>H41-I41</x:f>
        <x:v>-148.90875070634002</x:v>
      </x:c>
      <x:c r="J70" s="123" t="n">
        <x:f>I41-J41</x:f>
        <x:v>-177.25208768471657</x:v>
      </x:c>
      <x:c r="K70" s="123" t="n">
        <x:f>J41-K41</x:f>
        <x:v>-207.1812357768158</x:v>
      </x:c>
      <x:c r="L70" s="123" t="n">
        <x:f>K41-L41</x:f>
        <x:v>-210.90186016473763</x:v>
      </x:c>
      <x:c r="M70" s="123" t="n">
        <x:f>L41-M41</x:f>
        <x:v>-254.22814450191618</x:v>
      </x:c>
      <x:c r="N70" s="123" t="n">
        <x:f>M41-N41</x:f>
        <x:v>-249.18553095894458</x:v>
      </x:c>
    </x:row>
    <x:row r="71">
      <x:c r="A71" s="45" t="str">
        <x:v>Change in other current assets</x:v>
      </x:c>
      <x:c r="B71" s="50" t="str">
        <x:v>Calculated</x:v>
      </x:c>
      <x:c r="C71" s="188"/>
      <x:c r="D71" s="188"/>
      <x:c r="E71" s="188"/>
      <x:c r="F71" s="123" t="n">
        <x:f>E45-F45</x:f>
        <x:v>-225.22763246316867</x:v>
      </x:c>
      <x:c r="G71" s="123" t="n">
        <x:f>F45-G45</x:f>
        <x:v>-283.4171727702635</x:v>
      </x:c>
      <x:c r="H71" s="123" t="n">
        <x:f>G45-H45</x:f>
        <x:v>-341.5182123917268</x:v>
      </x:c>
      <x:c r="I71" s="123" t="n">
        <x:f>H45-I45</x:f>
        <x:v>-352.40666401367434</x:v>
      </x:c>
      <x:c r="J71" s="123" t="n">
        <x:f>I45-J45</x:f>
        <x:v>-335.6392869553647</x:v>
      </x:c>
      <x:c r="K71" s="123" t="n">
        <x:f>J45-K45</x:f>
        <x:v>-339.94790503027343</x:v>
      </x:c>
      <x:c r="L71" s="123" t="n">
        <x:f>K45-L45</x:f>
        <x:v>-362.4338061877802</x:v>
      </x:c>
      <x:c r="M71" s="123" t="n">
        <x:f>L45-M45</x:f>
        <x:v>-367.0744027504793</x:v>
      </x:c>
      <x:c r="N71" s="123" t="n">
        <x:f>M45-N45</x:f>
        <x:v>-371.8730851436567</x:v>
      </x:c>
    </x:row>
    <x:row r="72">
      <x:c r="A72" s="45" t="str">
        <x:v>Change in trade payables</x:v>
      </x:c>
      <x:c r="B72" s="50" t="str">
        <x:v>Calculated</x:v>
      </x:c>
      <x:c r="C72" s="188"/>
      <x:c r="D72" s="188"/>
      <x:c r="E72" s="188"/>
      <x:c r="F72" s="123" t="n">
        <x:f>F53-E53</x:f>
        <x:v>381.17178736107564</x:v>
      </x:c>
      <x:c r="G72" s="123" t="n">
        <x:f>G53-F53</x:f>
        <x:v>260.4903277789024</x:v>
      </x:c>
      <x:c r="H72" s="123" t="n">
        <x:f>H53-G53</x:f>
        <x:v>247.39354088080177</x:v>
      </x:c>
      <x:c r="I72" s="123" t="n">
        <x:f>I53-H53</x:f>
        <x:v>173.025762857661</x:v>
      </x:c>
      <x:c r="J72" s="123" t="n">
        <x:f>J53-I53</x:f>
        <x:v>232.1337839451753</x:v>
      </x:c>
      <x:c r="K72" s="123" t="n">
        <x:f>K53-J53</x:f>
        <x:v>194.02156994866164</x:v>
      </x:c>
      <x:c r="L72" s="123" t="n">
        <x:f>L53-K53</x:f>
        <x:v>265.0909601781168</x:v>
      </x:c>
      <x:c r="M72" s="123" t="n">
        <x:f>M53-L53</x:f>
        <x:v>200.39446548753676</x:v>
      </x:c>
      <x:c r="N72" s="123" t="n">
        <x:f>N53-M53</x:f>
        <x:v>267.95307696235386</x:v>
      </x:c>
    </x:row>
    <x:row r="73">
      <x:c r="A73" s="45" t="str">
        <x:v>Change in other current liabilities and provisions</x:v>
      </x:c>
      <x:c r="B73" s="50" t="str">
        <x:v>Calculated</x:v>
      </x:c>
      <x:c r="C73" s="188"/>
      <x:c r="D73" s="188"/>
      <x:c r="E73" s="188"/>
      <x:c r="F73" s="123" t="n">
        <x:f>('Supporting Schedules'!F18-'Supporting Schedules'!E18)+('Supporting Schedules'!F20-'Supporting Schedules'!E20)+('Supporting Schedules'!F21-'Supporting Schedules'!E21)</x:f>
        <x:v>404.19056822111384</x:v>
      </x:c>
      <x:c r="G73" s="123" t="n">
        <x:f>('Supporting Schedules'!G18-'Supporting Schedules'!F18)+('Supporting Schedules'!G20-'Supporting Schedules'!F20)+('Supporting Schedules'!G21-'Supporting Schedules'!F21)</x:f>
        <x:v>503.2813106200899</x:v>
      </x:c>
      <x:c r="H73" s="123" t="n">
        <x:f>('Supporting Schedules'!H18-'Supporting Schedules'!G18)+('Supporting Schedules'!H20-'Supporting Schedules'!G20)+('Supporting Schedules'!H21-'Supporting Schedules'!G21)</x:f>
        <x:v>525.0084778295909</x:v>
      </x:c>
      <x:c r="I73" s="123" t="n">
        <x:f>('Supporting Schedules'!I18-'Supporting Schedules'!H18)+('Supporting Schedules'!I20-'Supporting Schedules'!H20)+('Supporting Schedules'!I21-'Supporting Schedules'!H21)</x:f>
        <x:v>472.34944514864736</x:v>
      </x:c>
      <x:c r="J73" s="123" t="n">
        <x:f>('Supporting Schedules'!J18-'Supporting Schedules'!I18)+('Supporting Schedules'!J20-'Supporting Schedules'!I20)+('Supporting Schedules'!J21-'Supporting Schedules'!I21)</x:f>
        <x:v>429.4691918753557</x:v>
      </x:c>
      <x:c r="K73" s="123" t="n">
        <x:f>('Supporting Schedules'!K18-'Supporting Schedules'!J18)+('Supporting Schedules'!K20-'Supporting Schedules'!J20)+('Supporting Schedules'!K21-'Supporting Schedules'!J21)</x:f>
        <x:v>545.0695415332493</x:v>
      </x:c>
      <x:c r="L73" s="123" t="n">
        <x:f>('Supporting Schedules'!L18-'Supporting Schedules'!K18)+('Supporting Schedules'!L20-'Supporting Schedules'!K20)+('Supporting Schedules'!L21-'Supporting Schedules'!K21)</x:f>
        <x:v>431.37728573667954</x:v>
      </x:c>
      <x:c r="M73" s="123" t="n">
        <x:f>('Supporting Schedules'!M18-'Supporting Schedules'!L18)+('Supporting Schedules'!M20-'Supporting Schedules'!L20)+('Supporting Schedules'!M21-'Supporting Schedules'!L21)</x:f>
        <x:v>573.0221898013883</x:v>
      </x:c>
      <x:c r="N73" s="123" t="n">
        <x:f>('Supporting Schedules'!N18-'Supporting Schedules'!M18)+('Supporting Schedules'!N20-'Supporting Schedules'!M20)+('Supporting Schedules'!N21-'Supporting Schedules'!M21)</x:f>
        <x:v>582.9550541665293</x:v>
      </x:c>
    </x:row>
    <x:row r="74">
      <x:c r="A74" s="45" t="str">
        <x:v>Change in other non-current assets / liabilities</x:v>
      </x:c>
      <x:c r="B74" s="50" t="str">
        <x:v>Calculated</x:v>
      </x:c>
      <x:c r="C74" s="188"/>
      <x:c r="D74" s="188"/>
      <x:c r="E74" s="188"/>
      <x:c r="F74" s="123" t="n">
        <x:f>('Supporting Schedules'!E23-'Supporting Schedules'!F23)+('Supporting Schedules'!F25-'Supporting Schedules'!E25)</x:f>
        <x:v>-18.767175245283283</x:v>
      </x:c>
      <x:c r="G74" s="123" t="n">
        <x:f>('Supporting Schedules'!F23-'Supporting Schedules'!G23)+('Supporting Schedules'!G25-'Supporting Schedules'!F25)</x:f>
        <x:v>-167.55405031226405</x:v>
      </x:c>
      <x:c r="H74" s="123" t="n">
        <x:f>('Supporting Schedules'!G23-'Supporting Schedules'!H23)+('Supporting Schedules'!H25-'Supporting Schedules'!G25)</x:f>
        <x:v>-183.75437005407372</x:v>
      </x:c>
      <x:c r="I74" s="123" t="n">
        <x:f>('Supporting Schedules'!H23-'Supporting Schedules'!I23)+('Supporting Schedules'!I25-'Supporting Schedules'!H25)</x:f>
        <x:v>-148.17870347610648</x:v>
      </x:c>
      <x:c r="J74" s="123" t="n">
        <x:f>('Supporting Schedules'!I23-'Supporting Schedules'!J23)+('Supporting Schedules'!J25-'Supporting Schedules'!I25)</x:f>
        <x:v>-88.65306775193824</x:v>
      </x:c>
      <x:c r="K74" s="123" t="n">
        <x:f>('Supporting Schedules'!J23-'Supporting Schedules'!K23)+('Supporting Schedules'!K25-'Supporting Schedules'!J25)</x:f>
        <x:v>-47.66390372873951</x:v>
      </x:c>
      <x:c r="L74" s="123" t="n">
        <x:f>('Supporting Schedules'!K23-'Supporting Schedules'!L23)+('Supporting Schedules'!L25-'Supporting Schedules'!K25)</x:f>
        <x:v>-17.767986068244227</x:v>
      </x:c>
      <x:c r="M74" s="123" t="n">
        <x:f>('Supporting Schedules'!L23-'Supporting Schedules'!M23)+('Supporting Schedules'!M25-'Supporting Schedules'!L25)</x:f>
        <x:v>27.111831317306496</x:v>
      </x:c>
      <x:c r="N74" s="123" t="n">
        <x:f>('Supporting Schedules'!M23-'Supporting Schedules'!N23)+('Supporting Schedules'!N25-'Supporting Schedules'!M25)</x:f>
        <x:v>72.82322037286553</x:v>
      </x:c>
    </x:row>
    <x:row r="75">
      <x:c r="A75" s="70" t="str">
        <x:v>Cash flow from operations</x:v>
      </x:c>
      <x:c r="B75" s="71" t="str">
        <x:v>Reported / forecast</x:v>
      </x:c>
      <x:c r="C75" s="166" t="n">
        <x:v>1401.507</x:v>
      </x:c>
      <x:c r="D75" s="166" t="n">
        <x:v>4183.365</x:v>
      </x:c>
      <x:c r="E75" s="166" t="n">
        <x:v>8444.55</x:v>
      </x:c>
      <x:c r="F75" s="72" t="n">
        <x:f>SUM(F63:F74)</x:f>
        <x:v>7439.12266883032</x:v>
      </x:c>
      <x:c r="G75" s="72" t="n">
        <x:f>SUM(G63:G74)</x:f>
        <x:v>8569.207664955638</x:v>
      </x:c>
      <x:c r="H75" s="72" t="n">
        <x:f>SUM(H63:H74)</x:f>
        <x:v>10394.916505516756</x:v>
      </x:c>
      <x:c r="I75" s="72" t="n">
        <x:f>SUM(I63:I74)</x:f>
        <x:v>11990.001238773428</x:v>
      </x:c>
      <x:c r="J75" s="72" t="n">
        <x:f>SUM(J63:J74)</x:f>
        <x:v>13696.480034391556</x:v>
      </x:c>
      <x:c r="K75" s="72" t="n">
        <x:f>SUM(K63:K74)</x:f>
        <x:v>15118.462137861781</x:v>
      </x:c>
      <x:c r="L75" s="72" t="n">
        <x:f>SUM(L63:L74)</x:f>
        <x:v>16584.148473019057</x:v>
      </x:c>
      <x:c r="M75" s="72" t="n">
        <x:f>SUM(M63:M74)</x:f>
        <x:v>18237.61291787868</x:v>
      </x:c>
      <x:c r="N75" s="72" t="n">
        <x:f>SUM(N63:N74)</x:f>
        <x:v>20036.927882022228</x:v>
      </x:c>
    </x:row>
    <x:row r="76">
      <x:c r="A76" s="45" t="str">
        <x:v>Capital expenditure</x:v>
      </x:c>
      <x:c r="B76" s="50" t="str">
        <x:v>Reported / forecast</x:v>
      </x:c>
      <x:c r="C76" s="172" t="n">
        <x:v>-2900.406</x:v>
      </x:c>
      <x:c r="D76" s="172" t="n">
        <x:v>-2667.161</x:v>
      </x:c>
      <x:c r="E76" s="172" t="n">
        <x:v>-2111.69</x:v>
      </x:c>
      <x:c r="F76" s="56" t="n">
        <x:f>-'Supporting Schedules'!F43</x:f>
        <x:v>-7000</x:v>
      </x:c>
      <x:c r="G76" s="56" t="n">
        <x:f>-'Supporting Schedules'!G43</x:f>
        <x:v>-5000</x:v>
      </x:c>
      <x:c r="H76" s="56" t="n">
        <x:f>-'Supporting Schedules'!H43</x:f>
        <x:v>-2500</x:v>
      </x:c>
      <x:c r="I76" s="56" t="n">
        <x:f>-'Supporting Schedules'!I43</x:f>
        <x:v>-2200</x:v>
      </x:c>
      <x:c r="J76" s="56" t="n">
        <x:f>-'Supporting Schedules'!J43</x:f>
        <x:v>-2420.2010217811408</x:v>
      </x:c>
      <x:c r="K76" s="56" t="n">
        <x:f>-'Supporting Schedules'!K43</x:f>
        <x:v>-2693.1791895204506</x:v>
      </x:c>
      <x:c r="L76" s="56" t="n">
        <x:f>-'Supporting Schedules'!L43</x:f>
        <x:v>-2984.2135358892383</x:v>
      </x:c>
      <x:c r="M76" s="56" t="n">
        <x:f>-'Supporting Schedules'!M43</x:f>
        <x:v>-3278.9742812978734</x:v>
      </x:c>
      <x:c r="N76" s="56" t="n">
        <x:f>-'Supporting Schedules'!N43</x:f>
        <x:v>-3577.5883686682296</x:v>
      </x:c>
    </x:row>
    <x:row r="77">
      <x:c r="A77" s="45" t="str">
        <x:v>Net investment purchases / maturities</x:v>
      </x:c>
      <x:c r="B77" s="50" t="str">
        <x:v>Reported / forecast</x:v>
      </x:c>
      <x:c r="C77" s="172" t="n">
        <x:v>274.074</x:v>
      </x:c>
      <x:c r="D77" s="172" t="n">
        <x:v>385.535</x:v>
      </x:c>
      <x:c r="E77" s="172" t="n">
        <x:v>-5783.02</x:v>
      </x:c>
      <x:c r="F77" s="56" t="n">
        <x:f>-'Supporting Schedules'!F66</x:f>
        <x:v>-2328.797197132207</x:v>
      </x:c>
      <x:c r="G77" s="56" t="n">
        <x:f>-'Supporting Schedules'!G66</x:f>
        <x:v>-3292.817257710105</x:v>
      </x:c>
      <x:c r="H77" s="56" t="n">
        <x:f>-'Supporting Schedules'!H66</x:f>
        <x:v>-7446.092625427015</x:v>
      </x:c>
      <x:c r="I77" s="56" t="n">
        <x:f>-'Supporting Schedules'!I66</x:f>
        <x:v>-9197.336222495343</x:v>
      </x:c>
      <x:c r="J77" s="56" t="n">
        <x:f>-'Supporting Schedules'!J66</x:f>
        <x:v>-10499.158636474518</x:v>
      </x:c>
      <x:c r="K77" s="56" t="n">
        <x:f>-'Supporting Schedules'!K66</x:f>
        <x:v>-11545.722804357012</x:v>
      </x:c>
      <x:c r="L77" s="56" t="n">
        <x:f>-'Supporting Schedules'!L66</x:f>
        <x:v>-12905.41600478636</x:v>
      </x:c>
      <x:c r="M77" s="56" t="n">
        <x:f>-'Supporting Schedules'!M66</x:f>
        <x:v>-14127.31532726461</x:v>
      </x:c>
      <x:c r="N77" s="56" t="n">
        <x:f>-'Supporting Schedules'!N66</x:f>
        <x:v>-15894.358808512934</x:v>
      </x:c>
    </x:row>
    <x:row r="78">
      <x:c r="A78" s="45" t="str">
        <x:v>Interest income received</x:v>
      </x:c>
      <x:c r="B78" s="50" t="str">
        <x:v>Reported / forecast</x:v>
      </x:c>
      <x:c r="C78" s="172" t="n">
        <x:v>408.617</x:v>
      </x:c>
      <x:c r="D78" s="172" t="n">
        <x:v>646.995</x:v>
      </x:c>
      <x:c r="E78" s="172" t="n">
        <x:v>792.7</x:v>
      </x:c>
      <x:c r="F78" s="56" t="n">
        <x:f>'Supporting Schedules'!F60</x:f>
        <x:v>705.2881</x:v>
      </x:c>
      <x:c r="G78" s="56" t="n">
        <x:f>'Supporting Schedules'!G60</x:f>
        <x:v>750.4817962856677</x:v>
      </x:c>
      <x:c r="H78" s="56" t="n">
        <x:f>'Supporting Schedules'!H60</x:f>
        <x:v>942.9659449464494</x:v>
      </x:c>
      <x:c r="I78" s="56" t="n">
        <x:f>'Supporting Schedules'!I60</x:f>
        <x:v>1366.2129955724631</x:v>
      </x:c>
      <x:c r="J78" s="56" t="n">
        <x:f>'Supporting Schedules'!J60</x:f>
        <x:v>1886.215615369856</x:v>
      </x:c>
      <x:c r="K78" s="56" t="n">
        <x:f>'Supporting Schedules'!K60</x:f>
        <x:v>2477.145257747212</x:v>
      </x:c>
      <x:c r="L78" s="56" t="n">
        <x:f>'Supporting Schedules'!L60</x:f>
        <x:v>3125.8089203738136</x:v>
      </x:c>
      <x:c r="M78" s="56" t="n">
        <x:f>'Supporting Schedules'!M60</x:f>
        <x:v>3850.1585179555022</x:v>
      </x:c>
      <x:c r="N78" s="56" t="n">
        <x:f>'Supporting Schedules'!N60</x:f>
        <x:v>4641.898898225489</x:v>
      </x:c>
    </x:row>
    <x:row r="79">
      <x:c r="A79" s="45" t="str">
        <x:v>Other investing cash flow</x:v>
      </x:c>
      <x:c r="B79" s="50" t="str">
        <x:v>Reported / forecast</x:v>
      </x:c>
      <x:c r="C79" s="188" t="n">
        <x:f>C80-C76-C77-C78</x:f>
        <x:v>3.1249999999997726</x:v>
      </x:c>
      <x:c r="D79" s="188" t="n">
        <x:f>D80-D76-D77-D78</x:f>
        <x:v>113.49799999999993</x:v>
      </x:c>
      <x:c r="E79" s="188" t="n">
        <x:f>E80-E76-E77-E78</x:f>
        <x:v>85.79999999999995</x:v>
      </x:c>
      <x:c r="F79" s="99" t="n">
        <x:v>0</x:v>
      </x:c>
      <x:c r="G79" s="99" t="n">
        <x:v>0</x:v>
      </x:c>
      <x:c r="H79" s="99" t="n">
        <x:v>0</x:v>
      </x:c>
      <x:c r="I79" s="99" t="n">
        <x:v>0</x:v>
      </x:c>
      <x:c r="J79" s="99" t="n">
        <x:v>0</x:v>
      </x:c>
      <x:c r="K79" s="99" t="n">
        <x:v>0</x:v>
      </x:c>
      <x:c r="L79" s="99" t="n">
        <x:v>0</x:v>
      </x:c>
      <x:c r="M79" s="99" t="n">
        <x:v>0</x:v>
      </x:c>
      <x:c r="N79" s="99" t="n">
        <x:v>0</x:v>
      </x:c>
    </x:row>
    <x:row r="80">
      <x:c r="A80" s="70" t="str">
        <x:v>Cash flow from investing</x:v>
      </x:c>
      <x:c r="B80" s="71" t="str">
        <x:v>Calculated</x:v>
      </x:c>
      <x:c r="C80" s="166" t="n">
        <x:v>-2214.59</x:v>
      </x:c>
      <x:c r="D80" s="166" t="n">
        <x:v>-1521.133</x:v>
      </x:c>
      <x:c r="E80" s="166" t="n">
        <x:v>-7016.21</x:v>
      </x:c>
      <x:c r="F80" s="72" t="n">
        <x:f>SUM(F76:F79)</x:f>
        <x:v>-8623.509097132208</x:v>
      </x:c>
      <x:c r="G80" s="72" t="n">
        <x:f>SUM(G76:G79)</x:f>
        <x:v>-7542.335461424437</x:v>
      </x:c>
      <x:c r="H80" s="72" t="n">
        <x:f>SUM(H76:H79)</x:f>
        <x:v>-9003.126680480567</x:v>
      </x:c>
      <x:c r="I80" s="72" t="n">
        <x:f>SUM(I76:I79)</x:f>
        <x:v>-10031.12322692288</x:v>
      </x:c>
      <x:c r="J80" s="72" t="n">
        <x:f>SUM(J76:J79)</x:f>
        <x:v>-11033.144042885802</x:v>
      </x:c>
      <x:c r="K80" s="72" t="n">
        <x:f>SUM(K76:K79)</x:f>
        <x:v>-11761.75673613025</x:v>
      </x:c>
      <x:c r="L80" s="72" t="n">
        <x:f>SUM(L76:L79)</x:f>
        <x:v>-12763.820620301787</x:v>
      </x:c>
      <x:c r="M80" s="72" t="n">
        <x:f>SUM(M76:M79)</x:f>
        <x:v>-13556.131090606983</x:v>
      </x:c>
      <x:c r="N80" s="72" t="n">
        <x:f>SUM(N76:N79)</x:f>
        <x:v>-14830.048278955674</x:v>
      </x:c>
    </x:row>
    <x:row r="81">
      <x:c r="A81" s="45" t="str">
        <x:v>Debt raised / (repaid)</x:v>
      </x:c>
      <x:c r="B81" s="50" t="str">
        <x:v>Reported / forecast</x:v>
      </x:c>
      <x:c r="C81" s="172" t="n">
        <x:v>1074.807</x:v>
      </x:c>
      <x:c r="D81" s="172" t="n">
        <x:v>-1238.072</x:v>
      </x:c>
      <x:c r="E81" s="172" t="n">
        <x:v>-578.92</x:v>
      </x:c>
      <x:c r="F81" s="123" t="n">
        <x:f>F51-E51</x:f>
        <x:v>-300.68</x:v>
      </x:c>
      <x:c r="G81" s="123" t="n">
        <x:f>G51-F51</x:f>
        <x:v>0</x:v>
      </x:c>
      <x:c r="H81" s="123" t="n">
        <x:f>H51-G51</x:f>
        <x:v>0</x:v>
      </x:c>
      <x:c r="I81" s="123" t="n">
        <x:f>I51-H51</x:f>
        <x:v>0</x:v>
      </x:c>
      <x:c r="J81" s="123" t="n">
        <x:f>J51-I51</x:f>
        <x:v>0</x:v>
      </x:c>
      <x:c r="K81" s="123" t="n">
        <x:f>K51-J51</x:f>
        <x:v>0</x:v>
      </x:c>
      <x:c r="L81" s="123" t="n">
        <x:f>L51-K51</x:f>
        <x:v>0</x:v>
      </x:c>
      <x:c r="M81" s="123" t="n">
        <x:f>M51-L51</x:f>
        <x:v>0</x:v>
      </x:c>
      <x:c r="N81" s="123" t="n">
        <x:f>N51-M51</x:f>
        <x:v>0</x:v>
      </x:c>
    </x:row>
    <x:row r="82">
      <x:c r="A82" s="45" t="str">
        <x:v>Lease principal payments</x:v>
      </x:c>
      <x:c r="B82" s="50" t="str">
        <x:v>Reported / forecast</x:v>
      </x:c>
      <x:c r="C82" s="172" t="n">
        <x:v>-16.849</x:v>
      </x:c>
      <x:c r="D82" s="172" t="n">
        <x:v>-16.29</x:v>
      </x:c>
      <x:c r="E82" s="172" t="n">
        <x:v>-18.05</x:v>
      </x:c>
      <x:c r="F82" s="123" t="n">
        <x:f>F52-E52</x:f>
        <x:v>-10</x:v>
      </x:c>
      <x:c r="G82" s="123" t="n">
        <x:f>G52-F52</x:f>
        <x:v>-10</x:v>
      </x:c>
      <x:c r="H82" s="123" t="n">
        <x:f>H52-G52</x:f>
        <x:v>-8.559999999999999</x:v>
      </x:c>
      <x:c r="I82" s="123" t="n">
        <x:f>I52-H52</x:f>
        <x:v>0</x:v>
      </x:c>
      <x:c r="J82" s="123" t="n">
        <x:f>J52-I52</x:f>
        <x:v>0</x:v>
      </x:c>
      <x:c r="K82" s="123" t="n">
        <x:f>K52-J52</x:f>
        <x:v>0</x:v>
      </x:c>
      <x:c r="L82" s="123" t="n">
        <x:f>L52-K52</x:f>
        <x:v>0</x:v>
      </x:c>
      <x:c r="M82" s="123" t="n">
        <x:f>M52-L52</x:f>
        <x:v>0</x:v>
      </x:c>
      <x:c r="N82" s="123" t="n">
        <x:f>N52-M52</x:f>
        <x:v>0</x:v>
      </x:c>
    </x:row>
    <x:row r="83">
      <x:c r="A83" s="45" t="str">
        <x:v>Equity issuance</x:v>
      </x:c>
      <x:c r="B83" s="50" t="str">
        <x:v>Reported / forecast</x:v>
      </x:c>
      <x:c r="C83" s="172" t="n">
        <x:v>0</x:v>
      </x:c>
      <x:c r="D83" s="172" t="n">
        <x:v>0</x:v>
      </x:c>
      <x:c r="E83" s="172" t="n">
        <x:v>265.65</x:v>
      </x:c>
      <x:c r="F83" s="56" t="n">
        <x:f>'Supporting Schedules'!F84</x:f>
        <x:v>0</x:v>
      </x:c>
      <x:c r="G83" s="56" t="n">
        <x:f>'Supporting Schedules'!G84</x:f>
        <x:v>0</x:v>
      </x:c>
      <x:c r="H83" s="56" t="n">
        <x:f>'Supporting Schedules'!H84</x:f>
        <x:v>0</x:v>
      </x:c>
      <x:c r="I83" s="56" t="n">
        <x:f>'Supporting Schedules'!I84</x:f>
        <x:v>0</x:v>
      </x:c>
      <x:c r="J83" s="56" t="n">
        <x:f>'Supporting Schedules'!J84</x:f>
        <x:v>0</x:v>
      </x:c>
      <x:c r="K83" s="56" t="n">
        <x:f>'Supporting Schedules'!K84</x:f>
        <x:v>0</x:v>
      </x:c>
      <x:c r="L83" s="56" t="n">
        <x:f>'Supporting Schedules'!L84</x:f>
        <x:v>0</x:v>
      </x:c>
      <x:c r="M83" s="56" t="n">
        <x:f>'Supporting Schedules'!M84</x:f>
        <x:v>0</x:v>
      </x:c>
      <x:c r="N83" s="56" t="n">
        <x:f>'Supporting Schedules'!N84</x:f>
        <x:v>0</x:v>
      </x:c>
    </x:row>
    <x:row r="84">
      <x:c r="A84" s="45" t="str">
        <x:v>Dividend paid</x:v>
      </x:c>
      <x:c r="B84" s="50" t="str">
        <x:v>Reported / forecast</x:v>
      </x:c>
      <x:c r="C84" s="172" t="n">
        <x:v>0</x:v>
      </x:c>
      <x:c r="D84" s="172" t="n">
        <x:v>0</x:v>
      </x:c>
      <x:c r="E84" s="172" t="n">
        <x:v>0</x:v>
      </x:c>
      <x:c r="F84" s="56" t="n">
        <x:f>-'Supporting Schedules'!F89</x:f>
        <x:v>0</x:v>
      </x:c>
      <x:c r="G84" s="56" t="n">
        <x:f>-'Supporting Schedules'!G89</x:f>
        <x:v>-809.9776674089095</x:v>
      </x:c>
      <x:c r="H84" s="56" t="n">
        <x:f>-'Supporting Schedules'!H89</x:f>
        <x:v>-1133.92152999023</x:v>
      </x:c>
      <x:c r="I84" s="56" t="n">
        <x:f>-'Supporting Schedules'!I89</x:f>
        <x:v>-1701.6211471205645</x:v>
      </x:c>
      <x:c r="J84" s="56" t="n">
        <x:f>-'Supporting Schedules'!J89</x:f>
        <x:v>-2418.319312028338</x:v>
      </x:c>
      <x:c r="K84" s="56" t="n">
        <x:f>-'Supporting Schedules'!K89</x:f>
        <x:v>-3108.5434310594283</x:v>
      </x:c>
      <x:c r="L84" s="56" t="n">
        <x:f>-'Supporting Schedules'!L89</x:f>
        <x:v>-3555.751174200194</x:v>
      </x:c>
      <x:c r="M84" s="56" t="n">
        <x:f>-'Supporting Schedules'!M89</x:f>
        <x:v>-4413.51751326385</x:v>
      </x:c>
      <x:c r="N84" s="56" t="n">
        <x:f>-'Supporting Schedules'!N89</x:f>
        <x:v>-4935.412250911685</x:v>
      </x:c>
    </x:row>
    <x:row r="85">
      <x:c r="A85" s="45" t="str">
        <x:v>Interest paid</x:v>
      </x:c>
      <x:c r="B85" s="50" t="str">
        <x:v>Reported / forecast</x:v>
      </x:c>
      <x:c r="C85" s="172" t="n">
        <x:v>-95.355</x:v>
      </x:c>
      <x:c r="D85" s="172" t="n">
        <x:v>-96.728</x:v>
      </x:c>
      <x:c r="E85" s="172" t="n">
        <x:v>-68.94</x:v>
      </x:c>
      <x:c r="F85" s="123" t="n">
        <x:f>-F20</x:f>
        <x:v>-12.0272</x:v>
      </x:c>
      <x:c r="G85" s="123" t="n">
        <x:f>-G20</x:f>
        <x:v>0</x:v>
      </x:c>
      <x:c r="H85" s="123" t="n">
        <x:f>-H20</x:f>
        <x:v>0</x:v>
      </x:c>
      <x:c r="I85" s="123" t="n">
        <x:f>-I20</x:f>
        <x:v>0</x:v>
      </x:c>
      <x:c r="J85" s="123" t="n">
        <x:f>-J20</x:f>
        <x:v>0</x:v>
      </x:c>
      <x:c r="K85" s="123" t="n">
        <x:f>-K20</x:f>
        <x:v>0</x:v>
      </x:c>
      <x:c r="L85" s="123" t="n">
        <x:f>-L20</x:f>
        <x:v>0</x:v>
      </x:c>
      <x:c r="M85" s="123" t="n">
        <x:f>-M20</x:f>
        <x:v>0</x:v>
      </x:c>
      <x:c r="N85" s="123" t="n">
        <x:f>-N20</x:f>
        <x:v>0</x:v>
      </x:c>
    </x:row>
    <x:row r="86">
      <x:c r="A86" s="45" t="str">
        <x:v>Other financing cash flow</x:v>
      </x:c>
      <x:c r="B86" s="50" t="str">
        <x:v>Reported / forecast</x:v>
      </x:c>
      <x:c r="C86" s="188" t="n">
        <x:f>C87-C81-C82-C83-C84-C85</x:f>
        <x:v>-1734.41</x:v>
      </x:c>
      <x:c r="D86" s="188" t="n">
        <x:f>D87-D81-D82-D83-D84-D85</x:f>
        <x:v>15.094999999999985</x:v>
      </x:c>
      <x:c r="E86" s="188" t="n">
        <x:f>E87-E81-E82-E83-E84-E85</x:f>
        <x:v>0.2699999999999818</x:v>
      </x:c>
      <x:c r="F86" s="99" t="n">
        <x:v>0</x:v>
      </x:c>
      <x:c r="G86" s="99" t="n">
        <x:v>0</x:v>
      </x:c>
      <x:c r="H86" s="99" t="n">
        <x:v>0</x:v>
      </x:c>
      <x:c r="I86" s="99" t="n">
        <x:v>0</x:v>
      </x:c>
      <x:c r="J86" s="99" t="n">
        <x:v>0</x:v>
      </x:c>
      <x:c r="K86" s="99" t="n">
        <x:v>0</x:v>
      </x:c>
      <x:c r="L86" s="99" t="n">
        <x:v>0</x:v>
      </x:c>
      <x:c r="M86" s="99" t="n">
        <x:v>0</x:v>
      </x:c>
      <x:c r="N86" s="99" t="n">
        <x:v>0</x:v>
      </x:c>
    </x:row>
    <x:row r="87">
      <x:c r="A87" s="70" t="str">
        <x:v>Cash flow from financing</x:v>
      </x:c>
      <x:c r="B87" s="71" t="str">
        <x:v>Calculated</x:v>
      </x:c>
      <x:c r="C87" s="166" t="n">
        <x:v>-771.807</x:v>
      </x:c>
      <x:c r="D87" s="166" t="n">
        <x:v>-1335.995</x:v>
      </x:c>
      <x:c r="E87" s="166" t="n">
        <x:v>-399.99</x:v>
      </x:c>
      <x:c r="F87" s="72" t="n">
        <x:f>SUM(F81:F86)</x:f>
        <x:v>-322.7072</x:v>
      </x:c>
      <x:c r="G87" s="72" t="n">
        <x:f>SUM(G81:G86)</x:f>
        <x:v>-819.9776674089095</x:v>
      </x:c>
      <x:c r="H87" s="72" t="n">
        <x:f>SUM(H81:H86)</x:f>
        <x:v>-1142.48152999023</x:v>
      </x:c>
      <x:c r="I87" s="72" t="n">
        <x:f>SUM(I81:I86)</x:f>
        <x:v>-1701.6211471205645</x:v>
      </x:c>
      <x:c r="J87" s="72" t="n">
        <x:f>SUM(J81:J86)</x:f>
        <x:v>-2418.319312028338</x:v>
      </x:c>
      <x:c r="K87" s="72" t="n">
        <x:f>SUM(K81:K86)</x:f>
        <x:v>-3108.5434310594283</x:v>
      </x:c>
      <x:c r="L87" s="72" t="n">
        <x:f>SUM(L81:L86)</x:f>
        <x:v>-3555.751174200194</x:v>
      </x:c>
      <x:c r="M87" s="72" t="n">
        <x:f>SUM(M81:M86)</x:f>
        <x:v>-4413.51751326385</x:v>
      </x:c>
      <x:c r="N87" s="72" t="n">
        <x:f>SUM(N81:N86)</x:f>
        <x:v>-4935.412250911685</x:v>
      </x:c>
    </x:row>
    <x:row r="88">
      <x:c r="A88" s="45" t="str">
        <x:v>Cash reclassification / FX / other</x:v>
      </x:c>
      <x:c r="B88" s="50" t="str">
        <x:v>Reported</x:v>
      </x:c>
      <x:c r="C88" s="172" t="n">
        <x:v>0</x:v>
      </x:c>
      <x:c r="D88" s="172" t="n">
        <x:v>0</x:v>
      </x:c>
      <x:c r="E88" s="172" t="n">
        <x:v>-1449.366</x:v>
      </x:c>
      <x:c r="F88" s="99" t="n">
        <x:v>0</x:v>
      </x:c>
      <x:c r="G88" s="99" t="n">
        <x:v>0</x:v>
      </x:c>
      <x:c r="H88" s="99" t="n">
        <x:v>0</x:v>
      </x:c>
      <x:c r="I88" s="99" t="n">
        <x:v>0</x:v>
      </x:c>
      <x:c r="J88" s="99" t="n">
        <x:v>0</x:v>
      </x:c>
      <x:c r="K88" s="99" t="n">
        <x:v>0</x:v>
      </x:c>
      <x:c r="L88" s="99" t="n">
        <x:v>0</x:v>
      </x:c>
      <x:c r="M88" s="99" t="n">
        <x:v>0</x:v>
      </x:c>
      <x:c r="N88" s="99" t="n">
        <x:v>0</x:v>
      </x:c>
    </x:row>
    <x:row r="89">
      <x:c r="A89" s="70" t="str">
        <x:v>Net change in cash</x:v>
      </x:c>
      <x:c r="B89" s="71" t="str">
        <x:v>Calculated</x:v>
      </x:c>
      <x:c r="C89" s="166" t="n">
        <x:f>C75+C80+C87+C88</x:f>
        <x:v>-1584.89</x:v>
      </x:c>
      <x:c r="D89" s="166" t="n">
        <x:f>D75+D80+D87+D88</x:f>
        <x:v>1326.237</x:v>
      </x:c>
      <x:c r="E89" s="166" t="n">
        <x:f>E75+E80+E87+E88</x:f>
        <x:v>-421.01600000000076</x:v>
      </x:c>
      <x:c r="F89" s="72" t="n">
        <x:f>F75+F80+F87+F88</x:f>
        <x:v>-1507.0936283018875</x:v>
      </x:c>
      <x:c r="G89" s="72" t="n">
        <x:f>G75+G80+G87+G88</x:f>
        <x:v>206.8945361222917</x:v>
      </x:c>
      <x:c r="H89" s="72" t="n">
        <x:f>H75+H80+H87+H88</x:f>
        <x:v>249.30829504595863</x:v>
      </x:c>
      <x:c r="I89" s="72" t="n">
        <x:f>I75+I80+I87+I88</x:f>
        <x:v>257.2568647299829</x:v>
      </x:c>
      <x:c r="J89" s="72" t="n">
        <x:f>J75+J80+J87+J88</x:f>
        <x:v>245.01667947741544</x:v>
      </x:c>
      <x:c r="K89" s="72" t="n">
        <x:f>K75+K80+K87+K88</x:f>
        <x:v>248.16197067210305</x:v>
      </x:c>
      <x:c r="L89" s="72" t="n">
        <x:f>L75+L80+L87+L88</x:f>
        <x:v>264.57667851707583</x:v>
      </x:c>
      <x:c r="M89" s="72" t="n">
        <x:f>M75+M80+M87+M88</x:f>
        <x:v>267.96431400784695</x:v>
      </x:c>
      <x:c r="N89" s="72" t="n">
        <x:f>N75+N80+N87+N88</x:f>
        <x:v>271.46735215486933</x:v>
      </x:c>
    </x:row>
    <x:row r="90">
      <x:c r="A90" s="45" t="str">
        <x:v>Opening cash</x:v>
      </x:c>
      <x:c r="B90" s="50" t="str">
        <x:v>Calculated</x:v>
      </x:c>
      <x:c r="C90" s="172" t="n">
        <x:v>3428.469</x:v>
      </x:c>
      <x:c r="D90" s="172" t="n">
        <x:v>1843.579</x:v>
      </x:c>
      <x:c r="E90" s="172" t="n">
        <x:v>3169.816</x:v>
      </x:c>
      <x:c r="F90" s="123" t="n">
        <x:f>E91</x:f>
        <x:v>2748.7999999999993</x:v>
      </x:c>
      <x:c r="G90" s="123" t="n">
        <x:f>F91</x:f>
        <x:v>1241.7063716981118</x:v>
      </x:c>
      <x:c r="H90" s="123" t="n">
        <x:f>G91</x:f>
        <x:v>1448.6009078204033</x:v>
      </x:c>
      <x:c r="I90" s="123" t="n">
        <x:f>H91</x:f>
        <x:v>1697.909202866362</x:v>
      </x:c>
      <x:c r="J90" s="123" t="n">
        <x:f>I91</x:f>
        <x:v>1955.1660675963449</x:v>
      </x:c>
      <x:c r="K90" s="123" t="n">
        <x:f>J91</x:f>
        <x:v>2200.1827470737603</x:v>
      </x:c>
      <x:c r="L90" s="123" t="n">
        <x:f>K91</x:f>
        <x:v>2448.3447177458634</x:v>
      </x:c>
      <x:c r="M90" s="123" t="n">
        <x:f>L91</x:f>
        <x:v>2712.921396262939</x:v>
      </x:c>
      <x:c r="N90" s="123" t="n">
        <x:f>M91</x:f>
        <x:v>2980.885710270786</x:v>
      </x:c>
    </x:row>
    <x:row r="91">
      <x:c r="A91" s="70" t="str">
        <x:v>Closing cash</x:v>
      </x:c>
      <x:c r="B91" s="71" t="str">
        <x:v>Calculated</x:v>
      </x:c>
      <x:c r="C91" s="166" t="n">
        <x:f>C90+C89</x:f>
        <x:v>1843.579</x:v>
      </x:c>
      <x:c r="D91" s="166" t="n">
        <x:f>D90+D89</x:f>
        <x:v>3169.816</x:v>
      </x:c>
      <x:c r="E91" s="166" t="n">
        <x:f>E90+E89</x:f>
        <x:v>2748.7999999999993</x:v>
      </x:c>
      <x:c r="F91" s="72" t="n">
        <x:f>F90+F89</x:f>
        <x:v>1241.7063716981118</x:v>
      </x:c>
      <x:c r="G91" s="72" t="n">
        <x:f>G90+G89</x:f>
        <x:v>1448.6009078204033</x:v>
      </x:c>
      <x:c r="H91" s="72" t="n">
        <x:f>H90+H89</x:f>
        <x:v>1697.909202866362</x:v>
      </x:c>
      <x:c r="I91" s="72" t="n">
        <x:f>I90+I89</x:f>
        <x:v>1955.1660675963449</x:v>
      </x:c>
      <x:c r="J91" s="72" t="n">
        <x:f>J90+J89</x:f>
        <x:v>2200.1827470737603</x:v>
      </x:c>
      <x:c r="K91" s="72" t="n">
        <x:f>K90+K89</x:f>
        <x:v>2448.3447177458634</x:v>
      </x:c>
      <x:c r="L91" s="72" t="n">
        <x:f>L90+L89</x:f>
        <x:v>2712.921396262939</x:v>
      </x:c>
      <x:c r="M91" s="72" t="n">
        <x:f>M90+M89</x:f>
        <x:v>2980.885710270786</x:v>
      </x:c>
      <x:c r="N91" s="72" t="n">
        <x:f>N90+N89</x:f>
        <x:v>3252.3530624256555</x:v>
      </x:c>
    </x:row>
    <x:row r="92">
      <x:c r="A92" s="70" t="str">
        <x:v>Cash-flow reconciliation check</x:v>
      </x:c>
      <x:c r="B92" s="71" t="str">
        <x:v>Must equal zero</x:v>
      </x:c>
      <x:c r="C92" s="166" t="n">
        <x:f>C91-C44</x:f>
        <x:v>0</x:v>
      </x:c>
      <x:c r="D92" s="166" t="n">
        <x:f>D91-D44</x:f>
        <x:v>0</x:v>
      </x:c>
      <x:c r="E92" s="166" t="n">
        <x:f>E91-E44</x:f>
        <x:v>-9.094947017729282e-13</x:v>
      </x:c>
      <x:c r="F92" s="72" t="n">
        <x:f>F91-F44</x:f>
        <x:v>-1.5916157281026244e-12</x:v>
      </x:c>
      <x:c r="G92" s="72" t="n">
        <x:f>G91-G44</x:f>
        <x:v>-1.8189894035458565e-12</x:v>
      </x:c>
      <x:c r="H92" s="72" t="n">
        <x:f>H91-H44</x:f>
        <x:v>-4.320099833421409e-12</x:v>
      </x:c>
      <x:c r="I92" s="72" t="n">
        <x:f>I91-I44</x:f>
        <x:v>-3.637978807091713e-12</x:v>
      </x:c>
      <x:c r="J92" s="72" t="n">
        <x:f>J91-J44</x:f>
        <x:v>-4.092726157978177e-12</x:v>
      </x:c>
      <x:c r="K92" s="72" t="n">
        <x:f>K91-K44</x:f>
        <x:v>-4.547473508864641e-13</x:v>
      </x:c>
      <x:c r="L92" s="72" t="n">
        <x:f>L91-L44</x:f>
        <x:v>-4.547473508864641e-12</x:v>
      </x:c>
      <x:c r="M92" s="72" t="n">
        <x:f>M91-M44</x:f>
        <x:v>-7.275957614183426e-12</x:v>
      </x:c>
      <x:c r="N92" s="72" t="n">
        <x:f>N91-N44</x:f>
        <x:v>-8.185452315956354e-12</x:v>
      </x:c>
    </x:row>
    <x:row r="93">
      <x:c r="A93" s="158"/>
      <x:c r="B93" s="158"/>
      <x:c r="C93" s="164"/>
      <x:c r="D93" s="164"/>
      <x:c r="E93" s="164"/>
      <x:c r="F93" s="158"/>
      <x:c r="G93" s="158"/>
      <x:c r="H93" s="158"/>
      <x:c r="I93" s="158"/>
      <x:c r="J93" s="158"/>
      <x:c r="K93" s="158"/>
      <x:c r="L93" s="158"/>
      <x:c r="M93" s="158"/>
      <x:c r="N93" s="158"/>
    </x:row>
    <x:row r="94">
      <x:c r="A94" s="158"/>
      <x:c r="B94" s="158"/>
      <x:c r="C94" s="164"/>
      <x:c r="D94" s="164"/>
      <x:c r="E94" s="164"/>
      <x:c r="F94" s="158"/>
      <x:c r="G94" s="158"/>
      <x:c r="H94" s="158"/>
      <x:c r="I94" s="158"/>
      <x:c r="J94" s="158"/>
      <x:c r="K94" s="158"/>
      <x:c r="L94" s="158"/>
      <x:c r="M94" s="158"/>
      <x:c r="N94" s="158"/>
    </x:row>
    <x:row r="95">
      <x:c r="A95" s="158"/>
      <x:c r="B95" s="158"/>
      <x:c r="C95" s="164"/>
      <x:c r="D95" s="164"/>
      <x:c r="E95" s="164"/>
      <x:c r="F95" s="158"/>
      <x:c r="G95" s="158"/>
      <x:c r="H95" s="158"/>
      <x:c r="I95" s="158"/>
      <x:c r="J95" s="158"/>
      <x:c r="K95" s="158"/>
      <x:c r="L95" s="158"/>
      <x:c r="M95" s="158"/>
      <x:c r="N95" s="158"/>
    </x:row>
    <x:row r="96">
      <x:c r="A96" s="158"/>
      <x:c r="B96" s="158"/>
      <x:c r="C96" s="164"/>
      <x:c r="D96" s="164"/>
      <x:c r="E96" s="164"/>
      <x:c r="F96" s="158"/>
      <x:c r="G96" s="158"/>
      <x:c r="H96" s="158"/>
      <x:c r="I96" s="158"/>
      <x:c r="J96" s="158"/>
      <x:c r="K96" s="158"/>
      <x:c r="L96" s="158"/>
      <x:c r="M96" s="158"/>
      <x:c r="N96" s="158"/>
    </x:row>
    <x:row r="97">
      <x:c r="A97" s="158"/>
      <x:c r="B97" s="158"/>
      <x:c r="C97" s="164"/>
      <x:c r="D97" s="164"/>
      <x:c r="E97" s="164"/>
      <x:c r="F97" s="158"/>
      <x:c r="G97" s="158"/>
      <x:c r="H97" s="158"/>
      <x:c r="I97" s="158"/>
      <x:c r="J97" s="158"/>
      <x:c r="K97" s="158"/>
      <x:c r="L97" s="158"/>
      <x:c r="M97" s="158"/>
      <x:c r="N97" s="158"/>
    </x:row>
    <x:row r="98">
      <x:c r="A98" s="158"/>
      <x:c r="B98" s="158"/>
      <x:c r="C98" s="164"/>
      <x:c r="D98" s="164"/>
      <x:c r="E98" s="164"/>
      <x:c r="F98" s="158"/>
      <x:c r="G98" s="158"/>
      <x:c r="H98" s="158"/>
      <x:c r="I98" s="158"/>
      <x:c r="J98" s="158"/>
      <x:c r="K98" s="158"/>
      <x:c r="L98" s="158"/>
      <x:c r="M98" s="158"/>
      <x:c r="N98" s="158"/>
    </x:row>
    <x:row r="99">
      <x:c r="A99" s="158"/>
      <x:c r="B99" s="158"/>
      <x:c r="C99" s="164"/>
      <x:c r="D99" s="164"/>
      <x:c r="E99" s="164"/>
      <x:c r="F99" s="158"/>
      <x:c r="G99" s="158"/>
      <x:c r="H99" s="158"/>
      <x:c r="I99" s="158"/>
      <x:c r="J99" s="158"/>
      <x:c r="K99" s="158"/>
      <x:c r="L99" s="158"/>
      <x:c r="M99" s="158"/>
      <x:c r="N99" s="158"/>
    </x:row>
    <x:row r="100">
      <x:c r="A100" s="158"/>
      <x:c r="B100" s="158"/>
      <x:c r="C100" s="164"/>
      <x:c r="D100" s="164"/>
      <x:c r="E100" s="164"/>
      <x:c r="F100" s="158"/>
      <x:c r="G100" s="158"/>
      <x:c r="H100" s="158"/>
      <x:c r="I100" s="158"/>
      <x:c r="J100" s="158"/>
      <x:c r="K100" s="158"/>
      <x:c r="L100" s="158"/>
      <x:c r="M100" s="158"/>
      <x:c r="N100" s="158"/>
    </x:row>
    <x:row r="101">
      <x:c r="A101" s="158"/>
      <x:c r="B101" s="158"/>
      <x:c r="C101" s="164"/>
      <x:c r="D101" s="164"/>
      <x:c r="E101" s="164"/>
      <x:c r="F101" s="158"/>
      <x:c r="G101" s="158"/>
      <x:c r="H101" s="158"/>
      <x:c r="I101" s="158"/>
      <x:c r="J101" s="158"/>
      <x:c r="K101" s="158"/>
      <x:c r="L101" s="158"/>
      <x:c r="M101" s="158"/>
      <x:c r="N101" s="158"/>
    </x:row>
    <x:row r="102">
      <x:c r="A102" s="158"/>
      <x:c r="B102" s="158"/>
      <x:c r="C102" s="164"/>
      <x:c r="D102" s="164"/>
      <x:c r="E102" s="164"/>
      <x:c r="F102" s="158"/>
      <x:c r="G102" s="158"/>
      <x:c r="H102" s="158"/>
      <x:c r="I102" s="158"/>
      <x:c r="J102" s="158"/>
      <x:c r="K102" s="158"/>
      <x:c r="L102" s="158"/>
      <x:c r="M102" s="158"/>
      <x:c r="N102" s="158"/>
    </x:row>
    <x:row r="103">
      <x:c r="A103" s="158"/>
      <x:c r="B103" s="158"/>
      <x:c r="C103" s="164"/>
      <x:c r="D103" s="164"/>
      <x:c r="E103" s="164"/>
      <x:c r="F103" s="158"/>
      <x:c r="G103" s="158"/>
      <x:c r="H103" s="158"/>
      <x:c r="I103" s="158"/>
      <x:c r="J103" s="158"/>
      <x:c r="K103" s="158"/>
      <x:c r="L103" s="158"/>
      <x:c r="M103" s="158"/>
      <x:c r="N103" s="158"/>
    </x:row>
    <x:row r="104">
      <x:c r="A104" s="158"/>
      <x:c r="B104" s="158"/>
      <x:c r="C104" s="164"/>
      <x:c r="D104" s="164"/>
      <x:c r="E104" s="164"/>
      <x:c r="F104" s="158"/>
      <x:c r="G104" s="158"/>
      <x:c r="H104" s="158"/>
      <x:c r="I104" s="158"/>
      <x:c r="J104" s="158"/>
      <x:c r="K104" s="158"/>
      <x:c r="L104" s="158"/>
      <x:c r="M104" s="158"/>
      <x:c r="N104" s="158"/>
    </x:row>
    <x:row r="105">
      <x:c r="A105" s="158"/>
      <x:c r="B105" s="158"/>
      <x:c r="C105" s="164"/>
      <x:c r="D105" s="164"/>
      <x:c r="E105" s="164"/>
      <x:c r="F105" s="158"/>
      <x:c r="G105" s="158"/>
      <x:c r="H105" s="158"/>
      <x:c r="I105" s="158"/>
      <x:c r="J105" s="158"/>
      <x:c r="K105" s="158"/>
      <x:c r="L105" s="158"/>
      <x:c r="M105" s="158"/>
      <x:c r="N105" s="158"/>
    </x:row>
    <x:row r="106">
      <x:c r="A106" s="158"/>
      <x:c r="B106" s="158"/>
      <x:c r="C106" s="164"/>
      <x:c r="D106" s="164"/>
      <x:c r="E106" s="164"/>
      <x:c r="F106" s="158"/>
      <x:c r="G106" s="158"/>
      <x:c r="H106" s="158"/>
      <x:c r="I106" s="158"/>
      <x:c r="J106" s="158"/>
      <x:c r="K106" s="158"/>
      <x:c r="L106" s="158"/>
      <x:c r="M106" s="158"/>
      <x:c r="N106" s="158"/>
    </x:row>
    <x:row r="107">
      <x:c r="A107" s="158"/>
      <x:c r="B107" s="158"/>
      <x:c r="C107" s="164"/>
      <x:c r="D107" s="164"/>
      <x:c r="E107" s="164"/>
      <x:c r="F107" s="158"/>
      <x:c r="G107" s="158"/>
      <x:c r="H107" s="158"/>
      <x:c r="I107" s="158"/>
      <x:c r="J107" s="158"/>
      <x:c r="K107" s="158"/>
      <x:c r="L107" s="158"/>
      <x:c r="M107" s="158"/>
      <x:c r="N107" s="158"/>
    </x:row>
    <x:row r="108">
      <x:c r="A108" s="158"/>
      <x:c r="B108" s="158"/>
      <x:c r="C108" s="164"/>
      <x:c r="D108" s="164"/>
      <x:c r="E108" s="164"/>
      <x:c r="F108" s="158"/>
      <x:c r="G108" s="158"/>
      <x:c r="H108" s="158"/>
      <x:c r="I108" s="158"/>
      <x:c r="J108" s="158"/>
      <x:c r="K108" s="158"/>
      <x:c r="L108" s="158"/>
      <x:c r="M108" s="158"/>
      <x:c r="N108" s="158"/>
    </x:row>
    <x:row r="109">
      <x:c r="A109" s="158"/>
      <x:c r="B109" s="158"/>
      <x:c r="C109" s="164"/>
      <x:c r="D109" s="164"/>
      <x:c r="E109" s="164"/>
      <x:c r="F109" s="158"/>
      <x:c r="G109" s="158"/>
      <x:c r="H109" s="158"/>
      <x:c r="I109" s="158"/>
      <x:c r="J109" s="158"/>
      <x:c r="K109" s="158"/>
      <x:c r="L109" s="158"/>
      <x:c r="M109" s="158"/>
      <x:c r="N109" s="158"/>
    </x:row>
    <x:row r="110">
      <x:c r="A110" s="158"/>
      <x:c r="B110" s="158"/>
      <x:c r="C110" s="164"/>
      <x:c r="D110" s="164"/>
      <x:c r="E110" s="164"/>
      <x:c r="F110" s="158"/>
      <x:c r="G110" s="158"/>
      <x:c r="H110" s="158"/>
      <x:c r="I110" s="158"/>
      <x:c r="J110" s="158"/>
      <x:c r="K110" s="158"/>
      <x:c r="L110" s="158"/>
      <x:c r="M110" s="158"/>
      <x:c r="N110" s="158"/>
    </x:row>
    <x:row r="111">
      <x:c r="A111" s="158"/>
      <x:c r="B111" s="158"/>
      <x:c r="C111" s="164"/>
      <x:c r="D111" s="164"/>
      <x:c r="E111" s="164"/>
      <x:c r="F111" s="158"/>
      <x:c r="G111" s="158"/>
      <x:c r="H111" s="158"/>
      <x:c r="I111" s="158"/>
      <x:c r="J111" s="158"/>
      <x:c r="K111" s="158"/>
      <x:c r="L111" s="158"/>
      <x:c r="M111" s="158"/>
      <x:c r="N111" s="158"/>
    </x:row>
    <x:row r="112">
      <x:c r="A112" s="158"/>
      <x:c r="B112" s="158"/>
      <x:c r="C112" s="164"/>
      <x:c r="D112" s="164"/>
      <x:c r="E112" s="164"/>
      <x:c r="F112" s="158"/>
      <x:c r="G112" s="158"/>
      <x:c r="H112" s="158"/>
      <x:c r="I112" s="158"/>
      <x:c r="J112" s="158"/>
      <x:c r="K112" s="158"/>
      <x:c r="L112" s="158"/>
      <x:c r="M112" s="158"/>
      <x:c r="N112" s="158"/>
    </x:row>
    <x:row r="113">
      <x:c r="A113" s="158"/>
      <x:c r="B113" s="158"/>
      <x:c r="C113" s="164"/>
      <x:c r="D113" s="164"/>
      <x:c r="E113" s="164"/>
      <x:c r="F113" s="158"/>
      <x:c r="G113" s="158"/>
      <x:c r="H113" s="158"/>
      <x:c r="I113" s="158"/>
      <x:c r="J113" s="158"/>
      <x:c r="K113" s="158"/>
      <x:c r="L113" s="158"/>
      <x:c r="M113" s="158"/>
      <x:c r="N113" s="158"/>
    </x:row>
    <x:row r="114">
      <x:c r="A114" s="158"/>
      <x:c r="B114" s="158"/>
      <x:c r="C114" s="164"/>
      <x:c r="D114" s="164"/>
      <x:c r="E114" s="164"/>
      <x:c r="F114" s="158"/>
      <x:c r="G114" s="158"/>
      <x:c r="H114" s="158"/>
      <x:c r="I114" s="158"/>
      <x:c r="J114" s="158"/>
      <x:c r="K114" s="158"/>
      <x:c r="L114" s="158"/>
      <x:c r="M114" s="158"/>
      <x:c r="N114" s="158"/>
    </x:row>
    <x:row r="115">
      <x:c r="A115" s="158"/>
      <x:c r="B115" s="158"/>
      <x:c r="C115" s="164"/>
      <x:c r="D115" s="164"/>
      <x:c r="E115" s="164"/>
      <x:c r="F115" s="158"/>
      <x:c r="G115" s="158"/>
      <x:c r="H115" s="158"/>
      <x:c r="I115" s="158"/>
      <x:c r="J115" s="158"/>
      <x:c r="K115" s="158"/>
      <x:c r="L115" s="158"/>
      <x:c r="M115" s="158"/>
      <x:c r="N115" s="158"/>
    </x:row>
    <x:row r="116">
      <x:c r="A116" s="158"/>
      <x:c r="B116" s="158"/>
      <x:c r="C116" s="164"/>
      <x:c r="D116" s="164"/>
      <x:c r="E116" s="164"/>
      <x:c r="F116" s="158"/>
      <x:c r="G116" s="158"/>
      <x:c r="H116" s="158"/>
      <x:c r="I116" s="158"/>
      <x:c r="J116" s="158"/>
      <x:c r="K116" s="158"/>
      <x:c r="L116" s="158"/>
      <x:c r="M116" s="158"/>
      <x:c r="N116" s="158"/>
    </x:row>
    <x:row r="117">
      <x:c r="A117" s="158"/>
      <x:c r="B117" s="158"/>
      <x:c r="C117" s="164"/>
      <x:c r="D117" s="164"/>
      <x:c r="E117" s="164"/>
      <x:c r="F117" s="158"/>
      <x:c r="G117" s="158"/>
      <x:c r="H117" s="158"/>
      <x:c r="I117" s="158"/>
      <x:c r="J117" s="158"/>
      <x:c r="K117" s="158"/>
      <x:c r="L117" s="158"/>
      <x:c r="M117" s="158"/>
      <x:c r="N117" s="158"/>
    </x:row>
    <x:row r="118">
      <x:c r="A118" s="158"/>
      <x:c r="B118" s="158"/>
      <x:c r="C118" s="164"/>
      <x:c r="D118" s="164"/>
      <x:c r="E118" s="164"/>
      <x:c r="F118" s="158"/>
      <x:c r="G118" s="158"/>
      <x:c r="H118" s="158"/>
      <x:c r="I118" s="158"/>
      <x:c r="J118" s="158"/>
      <x:c r="K118" s="158"/>
      <x:c r="L118" s="158"/>
      <x:c r="M118" s="158"/>
      <x:c r="N118" s="158"/>
    </x:row>
    <x:row r="119">
      <x:c r="A119" s="158"/>
      <x:c r="B119" s="158"/>
      <x:c r="C119" s="164"/>
      <x:c r="D119" s="164"/>
      <x:c r="E119" s="164"/>
      <x:c r="F119" s="158"/>
      <x:c r="G119" s="158"/>
      <x:c r="H119" s="158"/>
      <x:c r="I119" s="158"/>
      <x:c r="J119" s="158"/>
      <x:c r="K119" s="158"/>
      <x:c r="L119" s="158"/>
      <x:c r="M119" s="158"/>
      <x:c r="N119" s="158"/>
    </x:row>
    <x:row r="120">
      <x:c r="A120" s="158"/>
      <x:c r="B120" s="158"/>
      <x:c r="C120" s="164"/>
      <x:c r="D120" s="164"/>
      <x:c r="E120" s="164"/>
      <x:c r="F120" s="158"/>
      <x:c r="G120" s="158"/>
      <x:c r="H120" s="158"/>
      <x:c r="I120" s="158"/>
      <x:c r="J120" s="158"/>
      <x:c r="K120" s="158"/>
      <x:c r="L120" s="158"/>
      <x:c r="M120" s="158"/>
      <x:c r="N120" s="158"/>
    </x:row>
    <x:row r="121">
      <x:c r="A121" s="158"/>
      <x:c r="B121" s="158"/>
      <x:c r="C121" s="164"/>
      <x:c r="D121" s="164"/>
      <x:c r="E121" s="164"/>
      <x:c r="F121" s="158"/>
      <x:c r="G121" s="158"/>
      <x:c r="H121" s="158"/>
      <x:c r="I121" s="158"/>
      <x:c r="J121" s="158"/>
      <x:c r="K121" s="158"/>
      <x:c r="L121" s="158"/>
      <x:c r="M121" s="158"/>
      <x:c r="N121" s="158"/>
    </x:row>
    <x:row r="122">
      <x:c r="A122" s="158"/>
      <x:c r="B122" s="158"/>
      <x:c r="C122" s="164"/>
      <x:c r="D122" s="164"/>
      <x:c r="E122" s="164"/>
      <x:c r="F122" s="158"/>
      <x:c r="G122" s="158"/>
      <x:c r="H122" s="158"/>
      <x:c r="I122" s="158"/>
      <x:c r="J122" s="158"/>
      <x:c r="K122" s="158"/>
      <x:c r="L122" s="158"/>
      <x:c r="M122" s="158"/>
      <x:c r="N122" s="158"/>
    </x:row>
    <x:row r="123">
      <x:c r="A123" s="158"/>
      <x:c r="B123" s="158"/>
      <x:c r="C123" s="164"/>
      <x:c r="D123" s="164"/>
      <x:c r="E123" s="164"/>
      <x:c r="F123" s="158"/>
      <x:c r="G123" s="158"/>
      <x:c r="H123" s="158"/>
      <x:c r="I123" s="158"/>
      <x:c r="J123" s="158"/>
      <x:c r="K123" s="158"/>
      <x:c r="L123" s="158"/>
      <x:c r="M123" s="158"/>
      <x:c r="N123" s="158"/>
    </x:row>
    <x:row r="124">
      <x:c r="A124" s="158"/>
      <x:c r="B124" s="158"/>
      <x:c r="C124" s="164"/>
      <x:c r="D124" s="164"/>
      <x:c r="E124" s="164"/>
      <x:c r="F124" s="158"/>
      <x:c r="G124" s="158"/>
      <x:c r="H124" s="158"/>
      <x:c r="I124" s="158"/>
      <x:c r="J124" s="158"/>
      <x:c r="K124" s="158"/>
      <x:c r="L124" s="158"/>
      <x:c r="M124" s="158"/>
      <x:c r="N124" s="158"/>
    </x:row>
    <x:row r="125">
      <x:c r="A125" s="158"/>
      <x:c r="B125" s="158"/>
      <x:c r="C125" s="164"/>
      <x:c r="D125" s="164"/>
      <x:c r="E125" s="164"/>
      <x:c r="F125" s="158"/>
      <x:c r="G125" s="158"/>
      <x:c r="H125" s="158"/>
      <x:c r="I125" s="158"/>
      <x:c r="J125" s="158"/>
      <x:c r="K125" s="158"/>
      <x:c r="L125" s="158"/>
      <x:c r="M125" s="158"/>
      <x:c r="N125" s="158"/>
    </x:row>
    <x:row r="126">
      <x:c r="A126" s="158"/>
      <x:c r="B126" s="158"/>
      <x:c r="C126" s="164"/>
      <x:c r="D126" s="164"/>
      <x:c r="E126" s="164"/>
      <x:c r="F126" s="158"/>
      <x:c r="G126" s="158"/>
      <x:c r="H126" s="158"/>
      <x:c r="I126" s="158"/>
      <x:c r="J126" s="158"/>
      <x:c r="K126" s="158"/>
      <x:c r="L126" s="158"/>
      <x:c r="M126" s="158"/>
      <x:c r="N126" s="158"/>
    </x:row>
    <x:row r="127">
      <x:c r="A127" s="158"/>
      <x:c r="B127" s="158"/>
      <x:c r="C127" s="164"/>
      <x:c r="D127" s="164"/>
      <x:c r="E127" s="164"/>
      <x:c r="F127" s="158"/>
      <x:c r="G127" s="158"/>
      <x:c r="H127" s="158"/>
      <x:c r="I127" s="158"/>
      <x:c r="J127" s="158"/>
      <x:c r="K127" s="158"/>
      <x:c r="L127" s="158"/>
      <x:c r="M127" s="158"/>
      <x:c r="N127" s="158"/>
    </x:row>
    <x:row r="128">
      <x:c r="A128" s="158"/>
      <x:c r="B128" s="158"/>
      <x:c r="C128" s="164"/>
      <x:c r="D128" s="164"/>
      <x:c r="E128" s="164"/>
      <x:c r="F128" s="158"/>
      <x:c r="G128" s="158"/>
      <x:c r="H128" s="158"/>
      <x:c r="I128" s="158"/>
      <x:c r="J128" s="158"/>
      <x:c r="K128" s="158"/>
      <x:c r="L128" s="158"/>
      <x:c r="M128" s="158"/>
      <x:c r="N128" s="158"/>
    </x:row>
    <x:row r="129">
      <x:c r="A129" s="158"/>
      <x:c r="B129" s="158"/>
      <x:c r="C129" s="164"/>
      <x:c r="D129" s="164"/>
      <x:c r="E129" s="164"/>
      <x:c r="F129" s="158"/>
      <x:c r="G129" s="158"/>
      <x:c r="H129" s="158"/>
      <x:c r="I129" s="158"/>
      <x:c r="J129" s="158"/>
      <x:c r="K129" s="158"/>
      <x:c r="L129" s="158"/>
      <x:c r="M129" s="158"/>
      <x:c r="N129" s="158"/>
    </x:row>
    <x:row r="130">
      <x:c r="A130" s="158"/>
      <x:c r="B130" s="158"/>
      <x:c r="C130" s="164"/>
      <x:c r="D130" s="164"/>
      <x:c r="E130" s="164"/>
      <x:c r="F130" s="158"/>
      <x:c r="G130" s="158"/>
      <x:c r="H130" s="158"/>
      <x:c r="I130" s="158"/>
      <x:c r="J130" s="158"/>
      <x:c r="K130" s="158"/>
      <x:c r="L130" s="158"/>
      <x:c r="M130" s="158"/>
      <x:c r="N130" s="158"/>
    </x:row>
    <x:row r="131">
      <x:c r="A131" s="158"/>
      <x:c r="B131" s="158"/>
      <x:c r="C131" s="164"/>
      <x:c r="D131" s="164"/>
      <x:c r="E131" s="164"/>
      <x:c r="F131" s="158"/>
      <x:c r="G131" s="158"/>
      <x:c r="H131" s="158"/>
      <x:c r="I131" s="158"/>
      <x:c r="J131" s="158"/>
      <x:c r="K131" s="158"/>
      <x:c r="L131" s="158"/>
      <x:c r="M131" s="158"/>
      <x:c r="N131" s="158"/>
    </x:row>
    <x:row r="132">
      <x:c r="A132" s="158"/>
      <x:c r="B132" s="158"/>
      <x:c r="C132" s="164"/>
      <x:c r="D132" s="164"/>
      <x:c r="E132" s="164"/>
      <x:c r="F132" s="158"/>
      <x:c r="G132" s="158"/>
      <x:c r="H132" s="158"/>
      <x:c r="I132" s="158"/>
      <x:c r="J132" s="158"/>
      <x:c r="K132" s="158"/>
      <x:c r="L132" s="158"/>
      <x:c r="M132" s="158"/>
      <x:c r="N132" s="158"/>
    </x:row>
    <x:row r="133">
      <x:c r="A133" s="158"/>
      <x:c r="B133" s="158"/>
      <x:c r="C133" s="164"/>
      <x:c r="D133" s="164"/>
      <x:c r="E133" s="164"/>
      <x:c r="F133" s="158"/>
      <x:c r="G133" s="158"/>
      <x:c r="H133" s="158"/>
      <x:c r="I133" s="158"/>
      <x:c r="J133" s="158"/>
      <x:c r="K133" s="158"/>
      <x:c r="L133" s="158"/>
      <x:c r="M133" s="158"/>
      <x:c r="N133" s="158"/>
    </x:row>
    <x:row r="134">
      <x:c r="A134" s="158"/>
      <x:c r="B134" s="158"/>
      <x:c r="C134" s="164"/>
      <x:c r="D134" s="164"/>
      <x:c r="E134" s="164"/>
      <x:c r="F134" s="158"/>
      <x:c r="G134" s="158"/>
      <x:c r="H134" s="158"/>
      <x:c r="I134" s="158"/>
      <x:c r="J134" s="158"/>
      <x:c r="K134" s="158"/>
      <x:c r="L134" s="158"/>
      <x:c r="M134" s="158"/>
      <x:c r="N134" s="158"/>
    </x:row>
    <x:row r="135">
      <x:c r="A135" s="158"/>
      <x:c r="B135" s="158"/>
      <x:c r="C135" s="164"/>
      <x:c r="D135" s="164"/>
      <x:c r="E135" s="164"/>
      <x:c r="F135" s="158"/>
      <x:c r="G135" s="158"/>
      <x:c r="H135" s="158"/>
      <x:c r="I135" s="158"/>
      <x:c r="J135" s="158"/>
      <x:c r="K135" s="158"/>
      <x:c r="L135" s="158"/>
      <x:c r="M135" s="158"/>
      <x:c r="N135" s="158"/>
    </x:row>
    <x:row r="136">
      <x:c r="A136" s="158"/>
      <x:c r="B136" s="158"/>
      <x:c r="C136" s="164"/>
      <x:c r="D136" s="164"/>
      <x:c r="E136" s="164"/>
      <x:c r="F136" s="158"/>
      <x:c r="G136" s="158"/>
      <x:c r="H136" s="158"/>
      <x:c r="I136" s="158"/>
      <x:c r="J136" s="158"/>
      <x:c r="K136" s="158"/>
      <x:c r="L136" s="158"/>
      <x:c r="M136" s="158"/>
      <x:c r="N136" s="158"/>
    </x:row>
    <x:row r="137">
      <x:c r="A137" s="158"/>
      <x:c r="B137" s="158"/>
      <x:c r="C137" s="164"/>
      <x:c r="D137" s="164"/>
      <x:c r="E137" s="164"/>
      <x:c r="F137" s="158"/>
      <x:c r="G137" s="158"/>
      <x:c r="H137" s="158"/>
      <x:c r="I137" s="158"/>
      <x:c r="J137" s="158"/>
      <x:c r="K137" s="158"/>
      <x:c r="L137" s="158"/>
      <x:c r="M137" s="158"/>
      <x:c r="N137" s="158"/>
    </x:row>
    <x:row r="138">
      <x:c r="A138" s="158"/>
      <x:c r="B138" s="158"/>
      <x:c r="C138" s="164"/>
      <x:c r="D138" s="164"/>
      <x:c r="E138" s="164"/>
      <x:c r="F138" s="158"/>
      <x:c r="G138" s="158"/>
      <x:c r="H138" s="158"/>
      <x:c r="I138" s="158"/>
      <x:c r="J138" s="158"/>
      <x:c r="K138" s="158"/>
      <x:c r="L138" s="158"/>
      <x:c r="M138" s="158"/>
      <x:c r="N138" s="158"/>
    </x:row>
    <x:row r="139">
      <x:c r="A139" s="158"/>
      <x:c r="B139" s="158"/>
      <x:c r="C139" s="164"/>
      <x:c r="D139" s="164"/>
      <x:c r="E139" s="164"/>
      <x:c r="F139" s="158"/>
      <x:c r="G139" s="158"/>
      <x:c r="H139" s="158"/>
      <x:c r="I139" s="158"/>
      <x:c r="J139" s="158"/>
      <x:c r="K139" s="158"/>
      <x:c r="L139" s="158"/>
      <x:c r="M139" s="158"/>
      <x:c r="N139" s="158"/>
    </x:row>
    <x:row r="140">
      <x:c r="A140" s="158"/>
      <x:c r="B140" s="158"/>
      <x:c r="C140" s="164"/>
      <x:c r="D140" s="164"/>
      <x:c r="E140" s="164"/>
      <x:c r="F140" s="158"/>
      <x:c r="G140" s="158"/>
      <x:c r="H140" s="158"/>
      <x:c r="I140" s="158"/>
      <x:c r="J140" s="158"/>
      <x:c r="K140" s="158"/>
      <x:c r="L140" s="158"/>
      <x:c r="M140" s="158"/>
      <x:c r="N140" s="158"/>
    </x:row>
    <x:row r="141">
      <x:c r="A141" s="158"/>
      <x:c r="B141" s="158"/>
      <x:c r="C141" s="164"/>
      <x:c r="D141" s="164"/>
      <x:c r="E141" s="164"/>
      <x:c r="F141" s="158"/>
      <x:c r="G141" s="158"/>
      <x:c r="H141" s="158"/>
      <x:c r="I141" s="158"/>
      <x:c r="J141" s="158"/>
      <x:c r="K141" s="158"/>
      <x:c r="L141" s="158"/>
      <x:c r="M141" s="158"/>
      <x:c r="N141" s="158"/>
    </x:row>
    <x:row r="142">
      <x:c r="A142" s="158"/>
      <x:c r="B142" s="158"/>
      <x:c r="C142" s="164"/>
      <x:c r="D142" s="164"/>
      <x:c r="E142" s="164"/>
      <x:c r="F142" s="158"/>
      <x:c r="G142" s="158"/>
      <x:c r="H142" s="158"/>
      <x:c r="I142" s="158"/>
      <x:c r="J142" s="158"/>
      <x:c r="K142" s="158"/>
      <x:c r="L142" s="158"/>
      <x:c r="M142" s="158"/>
      <x:c r="N142" s="158"/>
    </x:row>
    <x:row r="143">
      <x:c r="A143" s="158"/>
      <x:c r="B143" s="158"/>
      <x:c r="C143" s="164"/>
      <x:c r="D143" s="164"/>
      <x:c r="E143" s="164"/>
      <x:c r="F143" s="158"/>
      <x:c r="G143" s="158"/>
      <x:c r="H143" s="158"/>
      <x:c r="I143" s="158"/>
      <x:c r="J143" s="158"/>
      <x:c r="K143" s="158"/>
      <x:c r="L143" s="158"/>
      <x:c r="M143" s="158"/>
      <x:c r="N143" s="158"/>
    </x:row>
    <x:row r="144">
      <x:c r="A144" s="158"/>
      <x:c r="B144" s="158"/>
      <x:c r="C144" s="164"/>
      <x:c r="D144" s="164"/>
      <x:c r="E144" s="164"/>
      <x:c r="F144" s="158"/>
      <x:c r="G144" s="158"/>
      <x:c r="H144" s="158"/>
      <x:c r="I144" s="158"/>
      <x:c r="J144" s="158"/>
      <x:c r="K144" s="158"/>
      <x:c r="L144" s="158"/>
      <x:c r="M144" s="158"/>
      <x:c r="N144" s="158"/>
    </x:row>
    <x:row r="145">
      <x:c r="A145" s="158"/>
      <x:c r="B145" s="158"/>
      <x:c r="C145" s="164"/>
      <x:c r="D145" s="164"/>
      <x:c r="E145" s="164"/>
      <x:c r="F145" s="158"/>
      <x:c r="G145" s="158"/>
      <x:c r="H145" s="158"/>
      <x:c r="I145" s="158"/>
      <x:c r="J145" s="158"/>
      <x:c r="K145" s="158"/>
      <x:c r="L145" s="158"/>
      <x:c r="M145" s="158"/>
      <x:c r="N145" s="158"/>
    </x:row>
    <x:row r="146">
      <x:c r="A146" s="158"/>
      <x:c r="B146" s="158"/>
      <x:c r="C146" s="164"/>
      <x:c r="D146" s="164"/>
      <x:c r="E146" s="164"/>
      <x:c r="F146" s="158"/>
      <x:c r="G146" s="158"/>
      <x:c r="H146" s="158"/>
      <x:c r="I146" s="158"/>
      <x:c r="J146" s="158"/>
      <x:c r="K146" s="158"/>
      <x:c r="L146" s="158"/>
      <x:c r="M146" s="158"/>
      <x:c r="N146" s="158"/>
    </x:row>
    <x:row r="147">
      <x:c r="A147" s="158"/>
      <x:c r="B147" s="158"/>
      <x:c r="C147" s="164"/>
      <x:c r="D147" s="164"/>
      <x:c r="E147" s="164"/>
      <x:c r="F147" s="158"/>
      <x:c r="G147" s="158"/>
      <x:c r="H147" s="158"/>
      <x:c r="I147" s="158"/>
      <x:c r="J147" s="158"/>
      <x:c r="K147" s="158"/>
      <x:c r="L147" s="158"/>
      <x:c r="M147" s="158"/>
      <x:c r="N147" s="158"/>
    </x:row>
    <x:row r="148">
      <x:c r="A148" s="158"/>
      <x:c r="B148" s="158"/>
      <x:c r="C148" s="164"/>
      <x:c r="D148" s="164"/>
      <x:c r="E148" s="164"/>
      <x:c r="F148" s="158"/>
      <x:c r="G148" s="158"/>
      <x:c r="H148" s="158"/>
      <x:c r="I148" s="158"/>
      <x:c r="J148" s="158"/>
      <x:c r="K148" s="158"/>
      <x:c r="L148" s="158"/>
      <x:c r="M148" s="158"/>
      <x:c r="N148" s="158"/>
    </x:row>
    <x:row r="149">
      <x:c r="A149" s="158"/>
      <x:c r="B149" s="158"/>
      <x:c r="C149" s="164"/>
      <x:c r="D149" s="164"/>
      <x:c r="E149" s="164"/>
      <x:c r="F149" s="158"/>
      <x:c r="G149" s="158"/>
      <x:c r="H149" s="158"/>
      <x:c r="I149" s="158"/>
      <x:c r="J149" s="158"/>
      <x:c r="K149" s="158"/>
      <x:c r="L149" s="158"/>
      <x:c r="M149" s="158"/>
      <x:c r="N149" s="158"/>
    </x:row>
    <x:row r="150">
      <x:c r="A150" s="158"/>
      <x:c r="B150" s="158"/>
      <x:c r="C150" s="164"/>
      <x:c r="D150" s="164"/>
      <x:c r="E150" s="164"/>
      <x:c r="F150" s="158"/>
      <x:c r="G150" s="158"/>
      <x:c r="H150" s="158"/>
      <x:c r="I150" s="158"/>
      <x:c r="J150" s="158"/>
      <x:c r="K150" s="158"/>
      <x:c r="L150" s="158"/>
      <x:c r="M150" s="158"/>
      <x:c r="N150" s="158"/>
    </x:row>
    <x:row r="151">
      <x:c r="A151" s="158"/>
      <x:c r="B151" s="158"/>
      <x:c r="C151" s="164"/>
      <x:c r="D151" s="164"/>
      <x:c r="E151" s="164"/>
      <x:c r="F151" s="158"/>
      <x:c r="G151" s="158"/>
      <x:c r="H151" s="158"/>
      <x:c r="I151" s="158"/>
      <x:c r="J151" s="158"/>
      <x:c r="K151" s="158"/>
      <x:c r="L151" s="158"/>
      <x:c r="M151" s="158"/>
      <x:c r="N151" s="158"/>
    </x:row>
    <x:row r="152">
      <x:c r="A152" s="158"/>
      <x:c r="B152" s="158"/>
      <x:c r="C152" s="164"/>
      <x:c r="D152" s="164"/>
      <x:c r="E152" s="164"/>
      <x:c r="F152" s="158"/>
      <x:c r="G152" s="158"/>
      <x:c r="H152" s="158"/>
      <x:c r="I152" s="158"/>
      <x:c r="J152" s="158"/>
      <x:c r="K152" s="158"/>
      <x:c r="L152" s="158"/>
      <x:c r="M152" s="158"/>
      <x:c r="N152" s="158"/>
    </x:row>
    <x:row r="153">
      <x:c r="A153" s="158"/>
      <x:c r="B153" s="158"/>
      <x:c r="C153" s="164"/>
      <x:c r="D153" s="164"/>
      <x:c r="E153" s="164"/>
      <x:c r="F153" s="158"/>
      <x:c r="G153" s="158"/>
      <x:c r="H153" s="158"/>
      <x:c r="I153" s="158"/>
      <x:c r="J153" s="158"/>
      <x:c r="K153" s="158"/>
      <x:c r="L153" s="158"/>
      <x:c r="M153" s="158"/>
      <x:c r="N153" s="158"/>
    </x:row>
    <x:row r="154">
      <x:c r="A154" s="158"/>
      <x:c r="B154" s="158"/>
      <x:c r="C154" s="164"/>
      <x:c r="D154" s="164"/>
      <x:c r="E154" s="164"/>
      <x:c r="F154" s="158"/>
      <x:c r="G154" s="158"/>
      <x:c r="H154" s="158"/>
      <x:c r="I154" s="158"/>
      <x:c r="J154" s="158"/>
      <x:c r="K154" s="158"/>
      <x:c r="L154" s="158"/>
      <x:c r="M154" s="158"/>
      <x:c r="N154" s="158"/>
    </x:row>
    <x:row r="155">
      <x:c r="A155" s="158"/>
      <x:c r="B155" s="158"/>
      <x:c r="C155" s="164"/>
      <x:c r="D155" s="164"/>
      <x:c r="E155" s="164"/>
      <x:c r="F155" s="158"/>
      <x:c r="G155" s="158"/>
      <x:c r="H155" s="158"/>
      <x:c r="I155" s="158"/>
      <x:c r="J155" s="158"/>
      <x:c r="K155" s="158"/>
      <x:c r="L155" s="158"/>
      <x:c r="M155" s="158"/>
      <x:c r="N155" s="158"/>
    </x:row>
    <x:row r="156">
      <x:c r="A156" s="158"/>
      <x:c r="B156" s="158"/>
      <x:c r="C156" s="164"/>
      <x:c r="D156" s="164"/>
      <x:c r="E156" s="164"/>
      <x:c r="F156" s="158"/>
      <x:c r="G156" s="158"/>
      <x:c r="H156" s="158"/>
      <x:c r="I156" s="158"/>
      <x:c r="J156" s="158"/>
      <x:c r="K156" s="158"/>
      <x:c r="L156" s="158"/>
      <x:c r="M156" s="158"/>
      <x:c r="N156" s="158"/>
    </x:row>
    <x:row r="157">
      <x:c r="A157" s="158"/>
      <x:c r="B157" s="158"/>
      <x:c r="C157" s="164"/>
      <x:c r="D157" s="164"/>
      <x:c r="E157" s="164"/>
      <x:c r="F157" s="158"/>
      <x:c r="G157" s="158"/>
      <x:c r="H157" s="158"/>
      <x:c r="I157" s="158"/>
      <x:c r="J157" s="158"/>
      <x:c r="K157" s="158"/>
      <x:c r="L157" s="158"/>
      <x:c r="M157" s="158"/>
      <x:c r="N157" s="158"/>
    </x:row>
    <x:row r="158">
      <x:c r="A158" s="158"/>
      <x:c r="B158" s="158"/>
      <x:c r="C158" s="164"/>
      <x:c r="D158" s="164"/>
      <x:c r="E158" s="164"/>
      <x:c r="F158" s="158"/>
      <x:c r="G158" s="158"/>
      <x:c r="H158" s="158"/>
      <x:c r="I158" s="158"/>
      <x:c r="J158" s="158"/>
      <x:c r="K158" s="158"/>
      <x:c r="L158" s="158"/>
      <x:c r="M158" s="158"/>
      <x:c r="N158" s="158"/>
    </x:row>
    <x:row r="159">
      <x:c r="A159" s="158"/>
      <x:c r="B159" s="158"/>
      <x:c r="C159" s="164"/>
      <x:c r="D159" s="164"/>
      <x:c r="E159" s="164"/>
      <x:c r="F159" s="158"/>
      <x:c r="G159" s="158"/>
      <x:c r="H159" s="158"/>
      <x:c r="I159" s="158"/>
      <x:c r="J159" s="158"/>
      <x:c r="K159" s="158"/>
      <x:c r="L159" s="158"/>
      <x:c r="M159" s="158"/>
      <x:c r="N159" s="158"/>
    </x:row>
    <x:row r="160">
      <x:c r="A160" s="158"/>
      <x:c r="B160" s="158"/>
      <x:c r="C160" s="164"/>
      <x:c r="D160" s="164"/>
      <x:c r="E160" s="164"/>
      <x:c r="F160" s="158"/>
      <x:c r="G160" s="158"/>
      <x:c r="H160" s="158"/>
      <x:c r="I160" s="158"/>
      <x:c r="J160" s="158"/>
      <x:c r="K160" s="158"/>
      <x:c r="L160" s="158"/>
      <x:c r="M160" s="158"/>
      <x:c r="N160" s="158"/>
    </x:row>
    <x:row r="161">
      <x:c r="A161" s="158"/>
      <x:c r="B161" s="158"/>
      <x:c r="C161" s="164"/>
      <x:c r="D161" s="164"/>
      <x:c r="E161" s="164"/>
      <x:c r="F161" s="158"/>
      <x:c r="G161" s="158"/>
      <x:c r="H161" s="158"/>
      <x:c r="I161" s="158"/>
      <x:c r="J161" s="158"/>
      <x:c r="K161" s="158"/>
      <x:c r="L161" s="158"/>
      <x:c r="M161" s="158"/>
      <x:c r="N161" s="158"/>
    </x:row>
    <x:row r="162">
      <x:c r="A162" s="158"/>
      <x:c r="B162" s="158"/>
      <x:c r="C162" s="164"/>
      <x:c r="D162" s="164"/>
      <x:c r="E162" s="164"/>
      <x:c r="F162" s="158"/>
      <x:c r="G162" s="158"/>
      <x:c r="H162" s="158"/>
      <x:c r="I162" s="158"/>
      <x:c r="J162" s="158"/>
      <x:c r="K162" s="158"/>
      <x:c r="L162" s="158"/>
      <x:c r="M162" s="158"/>
      <x:c r="N162" s="158"/>
    </x:row>
    <x:row r="163">
      <x:c r="A163" s="158"/>
      <x:c r="B163" s="158"/>
      <x:c r="C163" s="164"/>
      <x:c r="D163" s="164"/>
      <x:c r="E163" s="164"/>
      <x:c r="F163" s="158"/>
      <x:c r="G163" s="158"/>
      <x:c r="H163" s="158"/>
      <x:c r="I163" s="158"/>
      <x:c r="J163" s="158"/>
      <x:c r="K163" s="158"/>
      <x:c r="L163" s="158"/>
      <x:c r="M163" s="158"/>
      <x:c r="N163" s="158"/>
    </x:row>
    <x:row r="164">
      <x:c r="A164" s="158"/>
      <x:c r="B164" s="158"/>
      <x:c r="C164" s="164"/>
      <x:c r="D164" s="164"/>
      <x:c r="E164" s="164"/>
      <x:c r="F164" s="158"/>
      <x:c r="G164" s="158"/>
      <x:c r="H164" s="158"/>
      <x:c r="I164" s="158"/>
      <x:c r="J164" s="158"/>
      <x:c r="K164" s="158"/>
      <x:c r="L164" s="158"/>
      <x:c r="M164" s="158"/>
      <x:c r="N164" s="158"/>
    </x:row>
    <x:row r="165">
      <x:c r="A165" s="158"/>
      <x:c r="B165" s="158"/>
      <x:c r="C165" s="164"/>
      <x:c r="D165" s="164"/>
      <x:c r="E165" s="164"/>
      <x:c r="F165" s="158"/>
      <x:c r="G165" s="158"/>
      <x:c r="H165" s="158"/>
      <x:c r="I165" s="158"/>
      <x:c r="J165" s="158"/>
      <x:c r="K165" s="158"/>
      <x:c r="L165" s="158"/>
      <x:c r="M165" s="158"/>
      <x:c r="N165" s="158"/>
    </x:row>
    <x:row r="166">
      <x:c r="A166" s="158"/>
      <x:c r="B166" s="158"/>
      <x:c r="C166" s="164"/>
      <x:c r="D166" s="164"/>
      <x:c r="E166" s="164"/>
      <x:c r="F166" s="158"/>
      <x:c r="G166" s="158"/>
      <x:c r="H166" s="158"/>
      <x:c r="I166" s="158"/>
      <x:c r="J166" s="158"/>
      <x:c r="K166" s="158"/>
      <x:c r="L166" s="158"/>
      <x:c r="M166" s="158"/>
      <x:c r="N166" s="158"/>
    </x:row>
    <x:row r="167">
      <x:c r="A167" s="158"/>
      <x:c r="B167" s="158"/>
      <x:c r="C167" s="164"/>
      <x:c r="D167" s="164"/>
      <x:c r="E167" s="164"/>
      <x:c r="F167" s="158"/>
      <x:c r="G167" s="158"/>
      <x:c r="H167" s="158"/>
      <x:c r="I167" s="158"/>
      <x:c r="J167" s="158"/>
      <x:c r="K167" s="158"/>
      <x:c r="L167" s="158"/>
      <x:c r="M167" s="158"/>
      <x:c r="N167" s="158"/>
    </x:row>
    <x:row r="168">
      <x:c r="A168" s="158"/>
      <x:c r="B168" s="158"/>
      <x:c r="C168" s="164"/>
      <x:c r="D168" s="164"/>
      <x:c r="E168" s="164"/>
      <x:c r="F168" s="158"/>
      <x:c r="G168" s="158"/>
      <x:c r="H168" s="158"/>
      <x:c r="I168" s="158"/>
      <x:c r="J168" s="158"/>
      <x:c r="K168" s="158"/>
      <x:c r="L168" s="158"/>
      <x:c r="M168" s="158"/>
      <x:c r="N168" s="158"/>
    </x:row>
    <x:row r="169">
      <x:c r="A169" s="158"/>
      <x:c r="B169" s="158"/>
      <x:c r="C169" s="164"/>
      <x:c r="D169" s="164"/>
      <x:c r="E169" s="164"/>
      <x:c r="F169" s="158"/>
      <x:c r="G169" s="158"/>
      <x:c r="H169" s="158"/>
      <x:c r="I169" s="158"/>
      <x:c r="J169" s="158"/>
      <x:c r="K169" s="158"/>
      <x:c r="L169" s="158"/>
      <x:c r="M169" s="158"/>
      <x:c r="N169" s="158"/>
    </x:row>
    <x:row r="170">
      <x:c r="A170" s="158"/>
      <x:c r="B170" s="158"/>
      <x:c r="C170" s="164"/>
      <x:c r="D170" s="164"/>
      <x:c r="E170" s="164"/>
      <x:c r="F170" s="158"/>
      <x:c r="G170" s="158"/>
      <x:c r="H170" s="158"/>
      <x:c r="I170" s="158"/>
      <x:c r="J170" s="158"/>
      <x:c r="K170" s="158"/>
      <x:c r="L170" s="158"/>
      <x:c r="M170" s="158"/>
      <x:c r="N170" s="158"/>
    </x:row>
    <x:row r="171">
      <x:c r="A171" s="158"/>
      <x:c r="B171" s="158"/>
      <x:c r="C171" s="164"/>
      <x:c r="D171" s="164"/>
      <x:c r="E171" s="164"/>
      <x:c r="F171" s="158"/>
      <x:c r="G171" s="158"/>
      <x:c r="H171" s="158"/>
      <x:c r="I171" s="158"/>
      <x:c r="J171" s="158"/>
      <x:c r="K171" s="158"/>
      <x:c r="L171" s="158"/>
      <x:c r="M171" s="158"/>
      <x:c r="N171" s="158"/>
    </x:row>
    <x:row r="172">
      <x:c r="A172" s="158"/>
      <x:c r="B172" s="158"/>
      <x:c r="C172" s="164"/>
      <x:c r="D172" s="164"/>
      <x:c r="E172" s="164"/>
      <x:c r="F172" s="158"/>
      <x:c r="G172" s="158"/>
      <x:c r="H172" s="158"/>
      <x:c r="I172" s="158"/>
      <x:c r="J172" s="158"/>
      <x:c r="K172" s="158"/>
      <x:c r="L172" s="158"/>
      <x:c r="M172" s="158"/>
      <x:c r="N172" s="158"/>
    </x:row>
    <x:row r="173">
      <x:c r="A173" s="158"/>
      <x:c r="B173" s="158"/>
      <x:c r="C173" s="164"/>
      <x:c r="D173" s="164"/>
      <x:c r="E173" s="164"/>
      <x:c r="F173" s="158"/>
      <x:c r="G173" s="158"/>
      <x:c r="H173" s="158"/>
      <x:c r="I173" s="158"/>
      <x:c r="J173" s="158"/>
      <x:c r="K173" s="158"/>
      <x:c r="L173" s="158"/>
      <x:c r="M173" s="158"/>
      <x:c r="N173" s="158"/>
    </x:row>
    <x:row r="174">
      <x:c r="A174" s="158"/>
      <x:c r="B174" s="158"/>
      <x:c r="C174" s="164"/>
      <x:c r="D174" s="164"/>
      <x:c r="E174" s="164"/>
      <x:c r="F174" s="158"/>
      <x:c r="G174" s="158"/>
      <x:c r="H174" s="158"/>
      <x:c r="I174" s="158"/>
      <x:c r="J174" s="158"/>
      <x:c r="K174" s="158"/>
      <x:c r="L174" s="158"/>
      <x:c r="M174" s="158"/>
      <x:c r="N174" s="158"/>
    </x:row>
    <x:row r="175">
      <x:c r="A175" s="158"/>
      <x:c r="B175" s="158"/>
      <x:c r="C175" s="164"/>
      <x:c r="D175" s="164"/>
      <x:c r="E175" s="164"/>
      <x:c r="F175" s="158"/>
      <x:c r="G175" s="158"/>
      <x:c r="H175" s="158"/>
      <x:c r="I175" s="158"/>
      <x:c r="J175" s="158"/>
      <x:c r="K175" s="158"/>
      <x:c r="L175" s="158"/>
      <x:c r="M175" s="158"/>
      <x:c r="N175" s="158"/>
    </x:row>
    <x:row r="176">
      <x:c r="A176" s="158"/>
      <x:c r="B176" s="158"/>
      <x:c r="C176" s="164"/>
      <x:c r="D176" s="164"/>
      <x:c r="E176" s="164"/>
      <x:c r="F176" s="158"/>
      <x:c r="G176" s="158"/>
      <x:c r="H176" s="158"/>
      <x:c r="I176" s="158"/>
      <x:c r="J176" s="158"/>
      <x:c r="K176" s="158"/>
      <x:c r="L176" s="158"/>
      <x:c r="M176" s="158"/>
      <x:c r="N176" s="158"/>
    </x:row>
    <x:row r="177">
      <x:c r="A177" s="158"/>
      <x:c r="B177" s="158"/>
      <x:c r="C177" s="164"/>
      <x:c r="D177" s="164"/>
      <x:c r="E177" s="164"/>
      <x:c r="F177" s="158"/>
      <x:c r="G177" s="158"/>
      <x:c r="H177" s="158"/>
      <x:c r="I177" s="158"/>
      <x:c r="J177" s="158"/>
      <x:c r="K177" s="158"/>
      <x:c r="L177" s="158"/>
      <x:c r="M177" s="158"/>
      <x:c r="N177" s="158"/>
    </x:row>
    <x:row r="178">
      <x:c r="A178" s="158"/>
      <x:c r="B178" s="158"/>
      <x:c r="C178" s="164"/>
      <x:c r="D178" s="164"/>
      <x:c r="E178" s="164"/>
      <x:c r="F178" s="158"/>
      <x:c r="G178" s="158"/>
      <x:c r="H178" s="158"/>
      <x:c r="I178" s="158"/>
      <x:c r="J178" s="158"/>
      <x:c r="K178" s="158"/>
      <x:c r="L178" s="158"/>
      <x:c r="M178" s="158"/>
      <x:c r="N178" s="158"/>
    </x:row>
    <x:row r="179">
      <x:c r="A179" s="158"/>
      <x:c r="B179" s="158"/>
      <x:c r="C179" s="164"/>
      <x:c r="D179" s="164"/>
      <x:c r="E179" s="164"/>
      <x:c r="F179" s="158"/>
      <x:c r="G179" s="158"/>
      <x:c r="H179" s="158"/>
      <x:c r="I179" s="158"/>
      <x:c r="J179" s="158"/>
      <x:c r="K179" s="158"/>
      <x:c r="L179" s="158"/>
      <x:c r="M179" s="158"/>
      <x:c r="N179" s="158"/>
    </x:row>
    <x:row r="180">
      <x:c r="A180" s="158"/>
      <x:c r="B180" s="158"/>
      <x:c r="C180" s="164"/>
      <x:c r="D180" s="164"/>
      <x:c r="E180" s="164"/>
      <x:c r="F180" s="158"/>
      <x:c r="G180" s="158"/>
      <x:c r="H180" s="158"/>
      <x:c r="I180" s="158"/>
      <x:c r="J180" s="158"/>
      <x:c r="K180" s="158"/>
      <x:c r="L180" s="158"/>
      <x:c r="M180" s="158"/>
      <x:c r="N180" s="158"/>
    </x:row>
    <x:row r="181">
      <x:c r="A181" s="158"/>
      <x:c r="B181" s="158"/>
      <x:c r="C181" s="164"/>
      <x:c r="D181" s="164"/>
      <x:c r="E181" s="164"/>
      <x:c r="F181" s="158"/>
      <x:c r="G181" s="158"/>
      <x:c r="H181" s="158"/>
      <x:c r="I181" s="158"/>
      <x:c r="J181" s="158"/>
      <x:c r="K181" s="158"/>
      <x:c r="L181" s="158"/>
      <x:c r="M181" s="158"/>
      <x:c r="N181" s="158"/>
    </x:row>
    <x:row r="182">
      <x:c r="A182" s="158"/>
      <x:c r="B182" s="158"/>
      <x:c r="C182" s="164"/>
      <x:c r="D182" s="164"/>
      <x:c r="E182" s="164"/>
      <x:c r="F182" s="158"/>
      <x:c r="G182" s="158"/>
      <x:c r="H182" s="158"/>
      <x:c r="I182" s="158"/>
      <x:c r="J182" s="158"/>
      <x:c r="K182" s="158"/>
      <x:c r="L182" s="158"/>
      <x:c r="M182" s="158"/>
      <x:c r="N182" s="158"/>
    </x:row>
    <x:row r="183">
      <x:c r="A183" s="158"/>
      <x:c r="B183" s="158"/>
      <x:c r="C183" s="164"/>
      <x:c r="D183" s="164"/>
      <x:c r="E183" s="164"/>
      <x:c r="F183" s="158"/>
      <x:c r="G183" s="158"/>
      <x:c r="H183" s="158"/>
      <x:c r="I183" s="158"/>
      <x:c r="J183" s="158"/>
      <x:c r="K183" s="158"/>
      <x:c r="L183" s="158"/>
      <x:c r="M183" s="158"/>
      <x:c r="N183" s="158"/>
    </x:row>
    <x:row r="184">
      <x:c r="A184" s="158"/>
      <x:c r="B184" s="158"/>
      <x:c r="C184" s="164"/>
      <x:c r="D184" s="164"/>
      <x:c r="E184" s="164"/>
      <x:c r="F184" s="158"/>
      <x:c r="G184" s="158"/>
      <x:c r="H184" s="158"/>
      <x:c r="I184" s="158"/>
      <x:c r="J184" s="158"/>
      <x:c r="K184" s="158"/>
      <x:c r="L184" s="158"/>
      <x:c r="M184" s="158"/>
      <x:c r="N184" s="158"/>
    </x:row>
    <x:row r="185">
      <x:c r="A185" s="158"/>
      <x:c r="B185" s="158"/>
      <x:c r="C185" s="164"/>
      <x:c r="D185" s="164"/>
      <x:c r="E185" s="164"/>
      <x:c r="F185" s="158"/>
      <x:c r="G185" s="158"/>
      <x:c r="H185" s="158"/>
      <x:c r="I185" s="158"/>
      <x:c r="J185" s="158"/>
      <x:c r="K185" s="158"/>
      <x:c r="L185" s="158"/>
      <x:c r="M185" s="158"/>
      <x:c r="N185" s="158"/>
    </x:row>
    <x:row r="186">
      <x:c r="A186" s="158"/>
      <x:c r="B186" s="158"/>
      <x:c r="C186" s="164"/>
      <x:c r="D186" s="164"/>
      <x:c r="E186" s="164"/>
      <x:c r="F186" s="158"/>
      <x:c r="G186" s="158"/>
      <x:c r="H186" s="158"/>
      <x:c r="I186" s="158"/>
      <x:c r="J186" s="158"/>
      <x:c r="K186" s="158"/>
      <x:c r="L186" s="158"/>
      <x:c r="M186" s="158"/>
      <x:c r="N186" s="158"/>
    </x:row>
    <x:row r="187">
      <x:c r="A187" s="158"/>
      <x:c r="B187" s="158"/>
      <x:c r="C187" s="164"/>
      <x:c r="D187" s="164"/>
      <x:c r="E187" s="164"/>
      <x:c r="F187" s="158"/>
      <x:c r="G187" s="158"/>
      <x:c r="H187" s="158"/>
      <x:c r="I187" s="158"/>
      <x:c r="J187" s="158"/>
      <x:c r="K187" s="158"/>
      <x:c r="L187" s="158"/>
      <x:c r="M187" s="158"/>
      <x:c r="N187" s="158"/>
    </x:row>
    <x:row r="188">
      <x:c r="A188" s="158"/>
      <x:c r="B188" s="158"/>
      <x:c r="C188" s="164"/>
      <x:c r="D188" s="164"/>
      <x:c r="E188" s="164"/>
      <x:c r="F188" s="158"/>
      <x:c r="G188" s="158"/>
      <x:c r="H188" s="158"/>
      <x:c r="I188" s="158"/>
      <x:c r="J188" s="158"/>
      <x:c r="K188" s="158"/>
      <x:c r="L188" s="158"/>
      <x:c r="M188" s="158"/>
      <x:c r="N188" s="158"/>
    </x:row>
    <x:row r="189">
      <x:c r="A189" s="158"/>
      <x:c r="B189" s="158"/>
      <x:c r="C189" s="164"/>
      <x:c r="D189" s="164"/>
      <x:c r="E189" s="164"/>
      <x:c r="F189" s="158"/>
      <x:c r="G189" s="158"/>
      <x:c r="H189" s="158"/>
      <x:c r="I189" s="158"/>
      <x:c r="J189" s="158"/>
      <x:c r="K189" s="158"/>
      <x:c r="L189" s="158"/>
      <x:c r="M189" s="158"/>
      <x:c r="N189" s="158"/>
    </x:row>
    <x:row r="190">
      <x:c r="A190" s="158"/>
      <x:c r="B190" s="158"/>
      <x:c r="C190" s="164"/>
      <x:c r="D190" s="164"/>
      <x:c r="E190" s="164"/>
      <x:c r="F190" s="158"/>
      <x:c r="G190" s="158"/>
      <x:c r="H190" s="158"/>
      <x:c r="I190" s="158"/>
      <x:c r="J190" s="158"/>
      <x:c r="K190" s="158"/>
      <x:c r="L190" s="158"/>
      <x:c r="M190" s="158"/>
      <x:c r="N190" s="158"/>
    </x:row>
    <x:row r="191">
      <x:c r="A191" s="158"/>
      <x:c r="B191" s="158"/>
      <x:c r="C191" s="164"/>
      <x:c r="D191" s="164"/>
      <x:c r="E191" s="164"/>
      <x:c r="F191" s="158"/>
      <x:c r="G191" s="158"/>
      <x:c r="H191" s="158"/>
      <x:c r="I191" s="158"/>
      <x:c r="J191" s="158"/>
      <x:c r="K191" s="158"/>
      <x:c r="L191" s="158"/>
      <x:c r="M191" s="158"/>
      <x:c r="N191" s="158"/>
    </x:row>
    <x:row r="192">
      <x:c r="A192" s="158"/>
      <x:c r="B192" s="158"/>
      <x:c r="C192" s="164"/>
      <x:c r="D192" s="164"/>
      <x:c r="E192" s="164"/>
      <x:c r="F192" s="158"/>
      <x:c r="G192" s="158"/>
      <x:c r="H192" s="158"/>
      <x:c r="I192" s="158"/>
      <x:c r="J192" s="158"/>
      <x:c r="K192" s="158"/>
      <x:c r="L192" s="158"/>
      <x:c r="M192" s="158"/>
      <x:c r="N192" s="158"/>
    </x:row>
    <x:row r="193">
      <x:c r="A193" s="158"/>
      <x:c r="B193" s="158"/>
      <x:c r="C193" s="164"/>
      <x:c r="D193" s="164"/>
      <x:c r="E193" s="164"/>
      <x:c r="F193" s="158"/>
      <x:c r="G193" s="158"/>
      <x:c r="H193" s="158"/>
      <x:c r="I193" s="158"/>
      <x:c r="J193" s="158"/>
      <x:c r="K193" s="158"/>
      <x:c r="L193" s="158"/>
      <x:c r="M193" s="158"/>
      <x:c r="N193" s="158"/>
    </x:row>
    <x:row r="194">
      <x:c r="A194" s="158"/>
      <x:c r="B194" s="158"/>
      <x:c r="C194" s="164"/>
      <x:c r="D194" s="164"/>
      <x:c r="E194" s="164"/>
      <x:c r="F194" s="158"/>
      <x:c r="G194" s="158"/>
      <x:c r="H194" s="158"/>
      <x:c r="I194" s="158"/>
      <x:c r="J194" s="158"/>
      <x:c r="K194" s="158"/>
      <x:c r="L194" s="158"/>
      <x:c r="M194" s="158"/>
      <x:c r="N194" s="158"/>
    </x:row>
    <x:row r="195">
      <x:c r="A195" s="158"/>
      <x:c r="B195" s="158"/>
      <x:c r="C195" s="164"/>
      <x:c r="D195" s="164"/>
      <x:c r="E195" s="164"/>
      <x:c r="F195" s="158"/>
      <x:c r="G195" s="158"/>
      <x:c r="H195" s="158"/>
      <x:c r="I195" s="158"/>
      <x:c r="J195" s="158"/>
      <x:c r="K195" s="158"/>
      <x:c r="L195" s="158"/>
      <x:c r="M195" s="158"/>
      <x:c r="N195" s="158"/>
    </x:row>
    <x:row r="196">
      <x:c r="A196" s="158"/>
      <x:c r="B196" s="158"/>
      <x:c r="C196" s="164"/>
      <x:c r="D196" s="164"/>
      <x:c r="E196" s="164"/>
      <x:c r="F196" s="158"/>
      <x:c r="G196" s="158"/>
      <x:c r="H196" s="158"/>
      <x:c r="I196" s="158"/>
      <x:c r="J196" s="158"/>
      <x:c r="K196" s="158"/>
      <x:c r="L196" s="158"/>
      <x:c r="M196" s="158"/>
      <x:c r="N196" s="158"/>
    </x:row>
    <x:row r="197">
      <x:c r="A197" s="158"/>
      <x:c r="B197" s="158"/>
      <x:c r="C197" s="164"/>
      <x:c r="D197" s="164"/>
      <x:c r="E197" s="164"/>
      <x:c r="F197" s="158"/>
      <x:c r="G197" s="158"/>
      <x:c r="H197" s="158"/>
      <x:c r="I197" s="158"/>
      <x:c r="J197" s="158"/>
      <x:c r="K197" s="158"/>
      <x:c r="L197" s="158"/>
      <x:c r="M197" s="158"/>
      <x:c r="N197" s="158"/>
    </x:row>
    <x:row r="198">
      <x:c r="A198" s="158"/>
      <x:c r="B198" s="158"/>
      <x:c r="C198" s="164"/>
      <x:c r="D198" s="164"/>
      <x:c r="E198" s="164"/>
      <x:c r="F198" s="158"/>
      <x:c r="G198" s="158"/>
      <x:c r="H198" s="158"/>
      <x:c r="I198" s="158"/>
      <x:c r="J198" s="158"/>
      <x:c r="K198" s="158"/>
      <x:c r="L198" s="158"/>
      <x:c r="M198" s="158"/>
      <x:c r="N198" s="158"/>
    </x:row>
    <x:row r="199">
      <x:c r="A199" s="158"/>
      <x:c r="B199" s="158"/>
      <x:c r="C199" s="164"/>
      <x:c r="D199" s="164"/>
      <x:c r="E199" s="164"/>
      <x:c r="F199" s="158"/>
      <x:c r="G199" s="158"/>
      <x:c r="H199" s="158"/>
      <x:c r="I199" s="158"/>
      <x:c r="J199" s="158"/>
      <x:c r="K199" s="158"/>
      <x:c r="L199" s="158"/>
      <x:c r="M199" s="158"/>
      <x:c r="N199" s="158"/>
    </x:row>
    <x:row r="200">
      <x:c r="A200" s="158"/>
      <x:c r="B200" s="158"/>
      <x:c r="C200" s="164"/>
      <x:c r="D200" s="164"/>
      <x:c r="E200" s="164"/>
      <x:c r="F200" s="158"/>
      <x:c r="G200" s="158"/>
      <x:c r="H200" s="158"/>
      <x:c r="I200" s="158"/>
      <x:c r="J200" s="158"/>
      <x:c r="K200" s="158"/>
      <x:c r="L200" s="158"/>
      <x:c r="M200" s="158"/>
      <x:c r="N200" s="158"/>
    </x:row>
  </x:sheetData>
  <x:mergeCells>
    <x:mergeCell ref="A1:N1"/>
    <x:mergeCell ref="A2:N2"/>
    <x:mergeCell ref="A6:N6"/>
    <x:mergeCell ref="A34:N34"/>
    <x:mergeCell ref="A62:N62"/>
  </x:mergeCells>
  <x:conditionalFormatting sqref="C58:N58">
    <x:cfRule type="expression" dxfId="7" priority="1">
      <x:formula>ABS(C58)&gt;0.5</x:formula>
    </x:cfRule>
  </x:conditionalFormatting>
  <x:conditionalFormatting sqref="C92:N92">
    <x:cfRule type="expression" dxfId="8" priority="2">
      <x:formula>ABS(C92)&gt;0.5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Supporting Schedules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4" t="str">
        <x:v>Working capital, PP&amp;E / CWIP, debt and cash, tax, equity, diluted shares and segment-margin schedules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</x:row>
    <x:row r="4" ht="20" customHeight="1">
      <x:c r="A4" s="30" t="str">
        <x:v>INR million, except per-share / operating data</x:v>
      </x:c>
      <x:c r="B4" s="30" t="str">
        <x:v>Classification</x:v>
      </x:c>
      <x:c r="C4" s="24" t="str">
        <x:v>FY24</x:v>
      </x:c>
      <x:c r="D4" s="24" t="str">
        <x:v>FY25</x:v>
      </x:c>
      <x:c r="E4" s="24" t="str">
        <x:v>FY26</x:v>
      </x:c>
      <x:c r="F4" s="24" t="str">
        <x:v>FY27</x:v>
      </x:c>
      <x:c r="G4" s="24" t="str">
        <x:v>FY28</x:v>
      </x:c>
      <x:c r="H4" s="24" t="str">
        <x:v>FY29</x:v>
      </x:c>
      <x:c r="I4" s="24" t="str">
        <x:v>FY30</x:v>
      </x:c>
      <x:c r="J4" s="24" t="str">
        <x:v>FY31</x:v>
      </x:c>
      <x:c r="K4" s="24" t="str">
        <x:v>FY32</x:v>
      </x:c>
      <x:c r="L4" s="24" t="str">
        <x:v>FY33</x:v>
      </x:c>
      <x:c r="M4" s="24" t="str">
        <x:v>FY34</x:v>
      </x:c>
      <x:c r="N4" s="24" t="str">
        <x:v>FY35</x:v>
      </x:c>
    </x:row>
    <x:row r="5">
      <x:c r="A5" s="158"/>
      <x:c r="B5" s="158"/>
      <x:c r="C5" s="164"/>
      <x:c r="D5" s="164"/>
      <x:c r="E5" s="164"/>
      <x:c r="F5" s="158"/>
      <x:c r="G5" s="158"/>
      <x:c r="H5" s="158"/>
      <x:c r="I5" s="158"/>
      <x:c r="J5" s="158"/>
      <x:c r="K5" s="158"/>
      <x:c r="L5" s="158"/>
      <x:c r="M5" s="158"/>
      <x:c r="N5" s="158"/>
    </x:row>
    <x:row r="6" ht="20" customHeight="1">
      <x:c r="A6" s="40" t="str">
        <x:v>Working Capital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5" t="str">
        <x:v>Revenue from operations</x:v>
      </x:c>
      <x:c r="B7" s="50" t="str">
        <x:v>Link to Three Statements</x:v>
      </x:c>
      <x:c r="C7" s="168" t="n">
        <x:f>'Three Statements'!C7</x:f>
        <x:v>14193.696</x:v>
      </x:c>
      <x:c r="D7" s="168" t="n">
        <x:f>'Three Statements'!D7</x:f>
        <x:v>18445.527</x:v>
      </x:c>
      <x:c r="E7" s="168" t="n">
        <x:f>'Three Statements'!E7</x:f>
        <x:v>21243.33</x:v>
      </x:c>
      <x:c r="F7" s="56" t="n">
        <x:f>'Three Statements'!F7</x:f>
        <x:v>24834.127433962265</x:v>
      </x:c>
      <x:c r="G7" s="56" t="n">
        <x:f>'Three Statements'!G7</x:f>
        <x:v>28972.018156408107</x:v>
      </x:c>
      <x:c r="H7" s="56" t="n">
        <x:f>'Three Statements'!H7</x:f>
        <x:v>33958.18405732732</x:v>
      </x:c>
      <x:c r="I7" s="56" t="n">
        <x:f>'Three Statements'!I7</x:f>
        <x:v>39103.32135192696</x:v>
      </x:c>
      <x:c r="J7" s="56" t="n">
        <x:f>'Three Statements'!J7</x:f>
        <x:v>44003.65494147529</x:v>
      </x:c>
      <x:c r="K7" s="56" t="n">
        <x:f>'Three Statements'!K7</x:f>
        <x:v>48966.89435491728</x:v>
      </x:c>
      <x:c r="L7" s="56" t="n">
        <x:f>'Three Statements'!L7</x:f>
        <x:v>54258.427925258875</x:v>
      </x:c>
      <x:c r="M7" s="56" t="n">
        <x:f>'Three Statements'!M7</x:f>
        <x:v>59617.714205415876</x:v>
      </x:c>
      <x:c r="N7" s="56" t="n">
        <x:f>'Three Statements'!N7</x:f>
        <x:v>65047.061248513266</x:v>
      </x:c>
    </x:row>
    <x:row r="8">
      <x:c r="A8" s="45" t="str">
        <x:v>COGS (materials + inventory change)</x:v>
      </x:c>
      <x:c r="B8" s="50" t="str">
        <x:v>Link to Three Statements</x:v>
      </x:c>
      <x:c r="C8" s="168" t="n">
        <x:f>'Three Statements'!C10+'Three Statements'!C11</x:f>
        <x:v>5995.517</x:v>
      </x:c>
      <x:c r="D8" s="168" t="n">
        <x:f>'Three Statements'!D10+'Three Statements'!D11</x:f>
        <x:v>7439.119999999999</x:v>
      </x:c>
      <x:c r="E8" s="168" t="n">
        <x:f>'Three Statements'!E10+'Three Statements'!E11</x:f>
        <x:v>8122.83</x:v>
      </x:c>
      <x:c r="F8" s="56" t="n">
        <x:f>'Three Statements'!F10+'Three Statements'!F11</x:f>
        <x:v>9433.883136226417</x:v>
      </x:c>
      <x:c r="G8" s="56" t="n">
        <x:f>'Three Statements'!G10+'Three Statements'!G11</x:f>
        <x:v>10910.003513394102</x:v>
      </x:c>
      <x:c r="H8" s="56" t="n">
        <x:f>'Three Statements'!H10+'Three Statements'!H11</x:f>
        <x:v>12654.5982449572</x:v>
      </x:c>
      <x:c r="I8" s="56" t="n">
        <x:f>'Three Statements'!I10+'Three Statements'!I11</x:f>
        <x:v>14464.208786997202</x:v>
      </x:c>
      <x:c r="J8" s="56" t="n">
        <x:f>'Three Statements'!J10+'Three Statements'!J11</x:f>
        <x:v>16207.590050963545</x:v>
      </x:c>
      <x:c r="K8" s="56" t="n">
        <x:f>'Three Statements'!K10+'Three Statements'!K11</x:f>
        <x:v>18008.195570304626</x:v>
      </x:c>
      <x:c r="L8" s="56" t="n">
        <x:f>'Three Statements'!L10+'Three Statements'!L11</x:f>
        <x:v>19956.395054800116</x:v>
      </x:c>
      <x:c r="M8" s="56" t="n">
        <x:f>'Three Statements'!M10+'Three Statements'!M11</x:f>
        <x:v>21934.45940213344</x:v>
      </x:c>
      <x:c r="N8" s="56" t="n">
        <x:f>'Three Statements'!N10+'Three Statements'!N11</x:f>
        <x:v>23950.301870028947</x:v>
      </x:c>
    </x:row>
    <x:row r="9">
      <x:c r="A9" s="45" t="str">
        <x:v>Trade-receivable days</x:v>
      </x:c>
      <x:c r="B9" s="50" t="str">
        <x:v>Assumption</x:v>
      </x:c>
      <x:c r="C9" s="172" t="n">
        <x:v>126.1</x:v>
      </x:c>
      <x:c r="D9" s="172" t="n">
        <x:v>89.1</x:v>
      </x:c>
      <x:c r="E9" s="172" t="n">
        <x:v>101.5</x:v>
      </x:c>
      <x:c r="F9" s="56" t="n">
        <x:f>'Summary &amp; Assumptions'!F54</x:f>
        <x:v>95</x:v>
      </x:c>
      <x:c r="G9" s="56" t="n">
        <x:f>'Summary &amp; Assumptions'!G54</x:f>
        <x:v>92</x:v>
      </x:c>
      <x:c r="H9" s="56" t="n">
        <x:f>'Summary &amp; Assumptions'!H54</x:f>
        <x:v>90</x:v>
      </x:c>
      <x:c r="I9" s="56" t="n">
        <x:f>'Summary &amp; Assumptions'!I54</x:f>
        <x:v>88</x:v>
      </x:c>
      <x:c r="J9" s="56" t="n">
        <x:f>'Summary &amp; Assumptions'!J54</x:f>
        <x:v>86</x:v>
      </x:c>
      <x:c r="K9" s="56" t="n">
        <x:f>'Summary &amp; Assumptions'!K54</x:f>
        <x:v>85</x:v>
      </x:c>
      <x:c r="L9" s="56" t="n">
        <x:f>'Summary &amp; Assumptions'!L54</x:f>
        <x:v>84</x:v>
      </x:c>
      <x:c r="M9" s="56" t="n">
        <x:f>'Summary &amp; Assumptions'!M54</x:f>
        <x:v>83</x:v>
      </x:c>
      <x:c r="N9" s="56" t="n">
        <x:f>'Summary &amp; Assumptions'!N54</x:f>
        <x:v>82</x:v>
      </x:c>
    </x:row>
    <x:row r="10">
      <x:c r="A10" s="45" t="str">
        <x:v>Trade receivables</x:v>
      </x:c>
      <x:c r="B10" s="50" t="str">
        <x:v>Calculated</x:v>
      </x:c>
      <x:c r="C10" s="172" t="n">
        <x:v>4904.478</x:v>
      </x:c>
      <x:c r="D10" s="172" t="n">
        <x:v>4503.963</x:v>
      </x:c>
      <x:c r="E10" s="172" t="n">
        <x:v>5905.88</x:v>
      </x:c>
      <x:c r="F10" s="123" t="n">
        <x:f>F7*F9/365</x:f>
        <x:v>6463.677003360042</x:v>
      </x:c>
      <x:c r="G10" s="123" t="n">
        <x:f>G7*G9/365</x:f>
        <x:v>7302.5360832590295</x:v>
      </x:c>
      <x:c r="H10" s="123" t="n">
        <x:f>H7*H9/365</x:f>
        <x:v>8373.250863450572</x:v>
      </x:c>
      <x:c r="I10" s="123" t="n">
        <x:f>I7*I9/365</x:f>
        <x:v>9427.650079368692</x:v>
      </x:c>
      <x:c r="J10" s="123" t="n">
        <x:f>J7*J9/365</x:f>
        <x:v>10367.984451964041</x:v>
      </x:c>
      <x:c r="K10" s="123" t="n">
        <x:f>K7*K9/365</x:f>
        <x:v>11403.249370323203</x:v>
      </x:c>
      <x:c r="L10" s="123" t="n">
        <x:f>L7*L9/365</x:f>
        <x:v>12486.871084169166</x:v>
      </x:c>
      <x:c r="M10" s="123" t="n">
        <x:f>M7*M9/365</x:f>
        <x:v>13556.904874108268</x:v>
      </x:c>
      <x:c r="N10" s="123" t="n">
        <x:f>N7*N9/365</x:f>
        <x:v>14613.312390076953</x:v>
      </x:c>
    </x:row>
    <x:row r="11">
      <x:c r="A11" s="45" t="str">
        <x:v>Inventory days</x:v>
      </x:c>
      <x:c r="B11" s="50" t="str">
        <x:v>Assumption</x:v>
      </x:c>
      <x:c r="C11" s="172" t="n">
        <x:v>128.6</x:v>
      </x:c>
      <x:c r="D11" s="172" t="n">
        <x:v>166.9</x:v>
      </x:c>
      <x:c r="E11" s="172" t="n">
        <x:v>55.9</x:v>
      </x:c>
      <x:c r="F11" s="56" t="n">
        <x:f>'Summary &amp; Assumptions'!F55</x:f>
        <x:v>70</x:v>
      </x:c>
      <x:c r="G11" s="56" t="n">
        <x:f>'Summary &amp; Assumptions'!G55</x:f>
        <x:v>75</x:v>
      </x:c>
      <x:c r="H11" s="56" t="n">
        <x:f>'Summary &amp; Assumptions'!H55</x:f>
        <x:v>70</x:v>
      </x:c>
      <x:c r="I11" s="56" t="n">
        <x:f>'Summary &amp; Assumptions'!I55</x:f>
        <x:v>65</x:v>
      </x:c>
      <x:c r="J11" s="56" t="n">
        <x:f>'Summary &amp; Assumptions'!J55</x:f>
        <x:v>62</x:v>
      </x:c>
      <x:c r="K11" s="56" t="n">
        <x:f>'Summary &amp; Assumptions'!K55</x:f>
        <x:v>60</x:v>
      </x:c>
      <x:c r="L11" s="56" t="n">
        <x:f>'Summary &amp; Assumptions'!L55</x:f>
        <x:v>58</x:v>
      </x:c>
      <x:c r="M11" s="56" t="n">
        <x:f>'Summary &amp; Assumptions'!M55</x:f>
        <x:v>57</x:v>
      </x:c>
      <x:c r="N11" s="56" t="n">
        <x:f>'Summary &amp; Assumptions'!N55</x:f>
        <x:v>56</x:v>
      </x:c>
    </x:row>
    <x:row r="12">
      <x:c r="A12" s="45" t="str">
        <x:v>Inventory</x:v>
      </x:c>
      <x:c r="B12" s="50" t="str">
        <x:v>Calculated</x:v>
      </x:c>
      <x:c r="C12" s="172" t="n">
        <x:v>2113.474</x:v>
      </x:c>
      <x:c r="D12" s="172" t="n">
        <x:v>3404.341</x:v>
      </x:c>
      <x:c r="E12" s="172" t="n">
        <x:v>1245.16</x:v>
      </x:c>
      <x:c r="F12" s="123" t="n">
        <x:f>F8*F11/365</x:f>
        <x:v>1809.2378617420525</x:v>
      </x:c>
      <x:c r="G12" s="123" t="n">
        <x:f>G8*G11/365</x:f>
        <x:v>2241.781543848103</x:v>
      </x:c>
      <x:c r="H12" s="123" t="n">
        <x:f>H8*H11/365</x:f>
        <x:v>2426.9092524575453</x:v>
      </x:c>
      <x:c r="I12" s="123" t="n">
        <x:f>I8*I11/365</x:f>
        <x:v>2575.8180031638854</x:v>
      </x:c>
      <x:c r="J12" s="123" t="n">
        <x:f>J8*J11/365</x:f>
        <x:v>2753.070090848602</x:v>
      </x:c>
      <x:c r="K12" s="123" t="n">
        <x:f>K8*K11/365</x:f>
        <x:v>2960.2513266254177</x:v>
      </x:c>
      <x:c r="L12" s="123" t="n">
        <x:f>L8*L11/365</x:f>
        <x:v>3171.1531867901554</x:v>
      </x:c>
      <x:c r="M12" s="123" t="n">
        <x:f>M8*M11/365</x:f>
        <x:v>3425.3813312920715</x:v>
      </x:c>
      <x:c r="N12" s="123" t="n">
        <x:f>N8*N11/365</x:f>
        <x:v>3674.566862251016</x:v>
      </x:c>
    </x:row>
    <x:row r="13">
      <x:c r="A13" s="45" t="str">
        <x:v>Trade-payable days</x:v>
      </x:c>
      <x:c r="B13" s="50" t="str">
        <x:v>Assumption</x:v>
      </x:c>
      <x:c r="C13" s="172" t="n">
        <x:v>57.4</x:v>
      </x:c>
      <x:c r="D13" s="172" t="n">
        <x:v>48.4</x:v>
      </x:c>
      <x:c r="E13" s="172" t="n">
        <x:v>49.2</x:v>
      </x:c>
      <x:c r="F13" s="56" t="n">
        <x:f>'Summary &amp; Assumptions'!F56</x:f>
        <x:v>50</x:v>
      </x:c>
      <x:c r="G13" s="56" t="n">
        <x:f>'Summary &amp; Assumptions'!G56</x:f>
        <x:v>52</x:v>
      </x:c>
      <x:c r="H13" s="56" t="n">
        <x:f>'Summary &amp; Assumptions'!H56</x:f>
        <x:v>52</x:v>
      </x:c>
      <x:c r="I13" s="56" t="n">
        <x:f>'Summary &amp; Assumptions'!I56</x:f>
        <x:v>50</x:v>
      </x:c>
      <x:c r="J13" s="56" t="n">
        <x:f>'Summary &amp; Assumptions'!J56</x:f>
        <x:v>50</x:v>
      </x:c>
      <x:c r="K13" s="56" t="n">
        <x:f>'Summary &amp; Assumptions'!K56</x:f>
        <x:v>49</x:v>
      </x:c>
      <x:c r="L13" s="56" t="n">
        <x:f>'Summary &amp; Assumptions'!L56</x:f>
        <x:v>49</x:v>
      </x:c>
      <x:c r="M13" s="56" t="n">
        <x:f>'Summary &amp; Assumptions'!M56</x:f>
        <x:v>48</x:v>
      </x:c>
      <x:c r="N13" s="56" t="n">
        <x:f>'Summary &amp; Assumptions'!N56</x:f>
        <x:v>48</x:v>
      </x:c>
    </x:row>
    <x:row r="14">
      <x:c r="A14" s="45" t="str">
        <x:v>Trade payables</x:v>
      </x:c>
      <x:c r="B14" s="50" t="str">
        <x:v>Calculated</x:v>
      </x:c>
      <x:c r="C14" s="172" t="n">
        <x:v>1007.411</x:v>
      </x:c>
      <x:c r="D14" s="172" t="n">
        <x:v>1100.87</x:v>
      </x:c>
      <x:c r="E14" s="172" t="n">
        <x:v>962.17</x:v>
      </x:c>
      <x:c r="F14" s="123" t="n">
        <x:f>'Three Statements'!F10*F13/365</x:f>
        <x:v>1343.3417873610756</x:v>
      </x:c>
      <x:c r="G14" s="123" t="n">
        <x:f>'Three Statements'!G10*G13/365</x:f>
        <x:v>1603.832115139978</x:v>
      </x:c>
      <x:c r="H14" s="123" t="n">
        <x:f>'Three Statements'!H10*H13/365</x:f>
        <x:v>1851.2256560207798</x:v>
      </x:c>
      <x:c r="I14" s="123" t="n">
        <x:f>'Three Statements'!I10*I13/365</x:f>
        <x:v>2024.2514188784407</x:v>
      </x:c>
      <x:c r="J14" s="123" t="n">
        <x:f>'Three Statements'!J10*J13/365</x:f>
        <x:v>2256.385202823616</x:v>
      </x:c>
      <x:c r="K14" s="123" t="n">
        <x:f>'Three Statements'!K10*K13/365</x:f>
        <x:v>2450.4067727722777</x:v>
      </x:c>
      <x:c r="L14" s="123" t="n">
        <x:f>'Three Statements'!L10*L13/365</x:f>
        <x:v>2715.4977329503945</x:v>
      </x:c>
      <x:c r="M14" s="123" t="n">
        <x:f>'Three Statements'!M10*M13/365</x:f>
        <x:v>2915.8921984379313</x:v>
      </x:c>
      <x:c r="N14" s="123" t="n">
        <x:f>'Three Statements'!N10*N13/365</x:f>
        <x:v>3183.845275400285</x:v>
      </x:c>
    </x:row>
    <x:row r="15">
      <x:c r="A15" s="45" t="str">
        <x:v>Other current asset days</x:v>
      </x:c>
      <x:c r="B15" s="50" t="str">
        <x:v>Assumption</x:v>
      </x:c>
      <x:c r="C15" s="172" t="n">
        <x:v>35.1</x:v>
      </x:c>
      <x:c r="D15" s="172" t="n">
        <x:v>42.1</x:v>
      </x:c>
      <x:c r="E15" s="172" t="n">
        <x:v>25.4</x:v>
      </x:c>
      <x:c r="F15" s="56" t="n">
        <x:f>'Summary &amp; Assumptions'!F57</x:f>
        <x:v>25</x:v>
      </x:c>
      <x:c r="G15" s="56" t="n">
        <x:f>'Summary &amp; Assumptions'!G57</x:f>
        <x:v>25</x:v>
      </x:c>
      <x:c r="H15" s="56" t="n">
        <x:f>'Summary &amp; Assumptions'!H57</x:f>
        <x:v>25</x:v>
      </x:c>
      <x:c r="I15" s="56" t="n">
        <x:f>'Summary &amp; Assumptions'!I57</x:f>
        <x:v>25</x:v>
      </x:c>
      <x:c r="J15" s="56" t="n">
        <x:f>'Summary &amp; Assumptions'!J57</x:f>
        <x:v>25</x:v>
      </x:c>
      <x:c r="K15" s="56" t="n">
        <x:f>'Summary &amp; Assumptions'!K57</x:f>
        <x:v>25</x:v>
      </x:c>
      <x:c r="L15" s="56" t="n">
        <x:f>'Summary &amp; Assumptions'!L57</x:f>
        <x:v>25</x:v>
      </x:c>
      <x:c r="M15" s="56" t="n">
        <x:f>'Summary &amp; Assumptions'!M57</x:f>
        <x:v>25</x:v>
      </x:c>
      <x:c r="N15" s="56" t="n">
        <x:f>'Summary &amp; Assumptions'!N57</x:f>
        <x:v>25</x:v>
      </x:c>
    </x:row>
    <x:row r="16">
      <x:c r="A16" s="45" t="str">
        <x:v>Other current assets</x:v>
      </x:c>
      <x:c r="B16" s="50" t="str">
        <x:v>Calculated</x:v>
      </x:c>
      <x:c r="C16" s="172" t="n">
        <x:v>1363.307</x:v>
      </x:c>
      <x:c r="D16" s="172" t="n">
        <x:v>2127.657</x:v>
      </x:c>
      <x:c r="E16" s="172" t="n">
        <x:v>1475.74</x:v>
      </x:c>
      <x:c r="F16" s="123" t="n">
        <x:f>F7*F15/365</x:f>
        <x:v>1700.9676324631687</x:v>
      </x:c>
      <x:c r="G16" s="123" t="n">
        <x:f>G7*G15/365</x:f>
        <x:v>1984.3848052334322</x:v>
      </x:c>
      <x:c r="H16" s="123" t="n">
        <x:f>H7*H15/365</x:f>
        <x:v>2325.903017625159</x:v>
      </x:c>
      <x:c r="I16" s="123" t="n">
        <x:f>I7*I15/365</x:f>
        <x:v>2678.3096816388334</x:v>
      </x:c>
      <x:c r="J16" s="123" t="n">
        <x:f>J7*J15/365</x:f>
        <x:v>3013.948968594198</x:v>
      </x:c>
      <x:c r="K16" s="123" t="n">
        <x:f>K7*K15/365</x:f>
        <x:v>3353.8968736244715</x:v>
      </x:c>
      <x:c r="L16" s="123" t="n">
        <x:f>L7*L15/365</x:f>
        <x:v>3716.3306798122517</x:v>
      </x:c>
      <x:c r="M16" s="123" t="n">
        <x:f>M7*M15/365</x:f>
        <x:v>4083.405082562731</x:v>
      </x:c>
      <x:c r="N16" s="123" t="n">
        <x:f>N7*N15/365</x:f>
        <x:v>4455.278167706388</x:v>
      </x:c>
    </x:row>
    <x:row r="17">
      <x:c r="A17" s="45" t="str">
        <x:v>Other current liability days</x:v>
      </x:c>
      <x:c r="B17" s="50" t="str">
        <x:v>Assumption</x:v>
      </x:c>
      <x:c r="C17" s="172" t="n">
        <x:v>27.2</x:v>
      </x:c>
      <x:c r="D17" s="172" t="n">
        <x:v>24.9</x:v>
      </x:c>
      <x:c r="E17" s="172" t="n">
        <x:v>28.7</x:v>
      </x:c>
      <x:c r="F17" s="56" t="n">
        <x:f>'Summary &amp; Assumptions'!F58</x:f>
        <x:v>30</x:v>
      </x:c>
      <x:c r="G17" s="56" t="n">
        <x:f>'Summary &amp; Assumptions'!G58</x:f>
        <x:v>31</x:v>
      </x:c>
      <x:c r="H17" s="56" t="n">
        <x:f>'Summary &amp; Assumptions'!H58</x:f>
        <x:v>31</x:v>
      </x:c>
      <x:c r="I17" s="56" t="n">
        <x:f>'Summary &amp; Assumptions'!I58</x:f>
        <x:v>30</x:v>
      </x:c>
      <x:c r="J17" s="56" t="n">
        <x:f>'Summary &amp; Assumptions'!J58</x:f>
        <x:v>29</x:v>
      </x:c>
      <x:c r="K17" s="56" t="n">
        <x:f>'Summary &amp; Assumptions'!K58</x:f>
        <x:v>29</x:v>
      </x:c>
      <x:c r="L17" s="56" t="n">
        <x:f>'Summary &amp; Assumptions'!L58</x:f>
        <x:v>28</x:v>
      </x:c>
      <x:c r="M17" s="56" t="n">
        <x:f>'Summary &amp; Assumptions'!M58</x:f>
        <x:v>28</x:v>
      </x:c>
      <x:c r="N17" s="56" t="n">
        <x:f>'Summary &amp; Assumptions'!N58</x:f>
        <x:v>28</x:v>
      </x:c>
    </x:row>
    <x:row r="18">
      <x:c r="A18" s="45" t="str">
        <x:v>Other current liabilities excluding tax and provisions</x:v>
      </x:c>
      <x:c r="B18" s="50" t="str">
        <x:v>Calculated</x:v>
      </x:c>
      <x:c r="C18" s="172" t="n">
        <x:v>1055.723</x:v>
      </x:c>
      <x:c r="D18" s="172" t="n">
        <x:v>1257.97</x:v>
      </x:c>
      <x:c r="E18" s="172" t="n">
        <x:v>1669.19</x:v>
      </x:c>
      <x:c r="F18" s="123" t="n">
        <x:f>F7*F17/365</x:f>
        <x:v>2041.1611589558026</x:v>
      </x:c>
      <x:c r="G18" s="123" t="n">
        <x:f>G7*G17/365</x:f>
        <x:v>2460.6371584894555</x:v>
      </x:c>
      <x:c r="H18" s="123" t="n">
        <x:f>H7*H17/365</x:f>
        <x:v>2884.1197418551974</x:v>
      </x:c>
      <x:c r="I18" s="123" t="n">
        <x:f>I7*I17/365</x:f>
        <x:v>3213.9716179665993</x:v>
      </x:c>
      <x:c r="J18" s="123" t="n">
        <x:f>J7*J17/365</x:f>
        <x:v>3496.1808035692698</x:v>
      </x:c>
      <x:c r="K18" s="123" t="n">
        <x:f>K7*K17/365</x:f>
        <x:v>3890.520373404387</x:v>
      </x:c>
      <x:c r="L18" s="123" t="n">
        <x:f>L7*L17/365</x:f>
        <x:v>4162.2903613897215</x:v>
      </x:c>
      <x:c r="M18" s="123" t="n">
        <x:f>M7*M17/365</x:f>
        <x:v>4573.413692470259</x:v>
      </x:c>
      <x:c r="N18" s="123" t="n">
        <x:f>N7*N17/365</x:f>
        <x:v>4989.911547831154</x:v>
      </x:c>
    </x:row>
    <x:row r="19">
      <x:c r="A19" s="45" t="str">
        <x:v>Provisions / employee cost</x:v>
      </x:c>
      <x:c r="B19" s="50" t="str">
        <x:v>Assumption</x:v>
      </x:c>
      <x:c r="C19" s="171" t="n">
        <x:v>0.0183</x:v>
      </x:c>
      <x:c r="D19" s="171" t="n">
        <x:v>0.0149</x:v>
      </x:c>
      <x:c r="E19" s="171" t="n">
        <x:v>0.0742</x:v>
      </x:c>
      <x:c r="F19" s="91" t="n">
        <x:v>0.07</x:v>
      </x:c>
      <x:c r="G19" s="91" t="n">
        <x:v>0.07</x:v>
      </x:c>
      <x:c r="H19" s="91" t="n">
        <x:v>0.07</x:v>
      </x:c>
      <x:c r="I19" s="91" t="n">
        <x:v>0.07</x:v>
      </x:c>
      <x:c r="J19" s="91" t="n">
        <x:v>0.07</x:v>
      </x:c>
      <x:c r="K19" s="91" t="n">
        <x:v>0.07</x:v>
      </x:c>
      <x:c r="L19" s="91" t="n">
        <x:v>0.07</x:v>
      </x:c>
      <x:c r="M19" s="91" t="n">
        <x:v>0.07</x:v>
      </x:c>
      <x:c r="N19" s="91" t="n">
        <x:v>0.07</x:v>
      </x:c>
    </x:row>
    <x:row r="20">
      <x:c r="A20" s="45" t="str">
        <x:v>Provisions</x:v>
      </x:c>
      <x:c r="B20" s="50" t="str">
        <x:v>Calculated</x:v>
      </x:c>
      <x:c r="C20" s="172" t="n">
        <x:v>33.508</x:v>
      </x:c>
      <x:c r="D20" s="172" t="n">
        <x:v>38.887</x:v>
      </x:c>
      <x:c r="E20" s="172" t="n">
        <x:v>209.66</x:v>
      </x:c>
      <x:c r="F20" s="123" t="n">
        <x:f>'Three Statements'!F12*F19</x:f>
        <x:v>229.46733748981137</x:v>
      </x:c>
      <x:c r="G20" s="123" t="n">
        <x:f>'Three Statements'!G12*G19</x:f>
        <x:v>263.6453652233138</x:v>
      </x:c>
      <x:c r="H20" s="123" t="n">
        <x:f>'Three Statements'!H12*H19</x:f>
        <x:v>304.26532915365283</x:v>
      </x:c>
      <x:c r="I20" s="123" t="n">
        <x:f>'Three Statements'!I12*I19</x:f>
        <x:v>344.89129432399585</x:v>
      </x:c>
      <x:c r="J20" s="123" t="n">
        <x:f>'Three Statements'!J12*J19</x:f>
        <x:v>381.95172489200553</x:v>
      </x:c>
      <x:c r="K20" s="123" t="n">
        <x:f>'Three Statements'!K12*K19</x:f>
        <x:v>421.60496039583785</x:v>
      </x:c>
      <x:c r="L20" s="123" t="n">
        <x:f>'Three Statements'!L12*L19</x:f>
        <x:v>463.3669744817108</x:v>
      </x:c>
      <x:c r="M20" s="123" t="n">
        <x:f>'Three Statements'!M12*M19</x:f>
        <x:v>504.9620393198725</x:v>
      </x:c>
      <x:c r="N20" s="123" t="n">
        <x:f>'Three Statements'!N12*N19</x:f>
        <x:v>546.3953144875114</x:v>
      </x:c>
    </x:row>
    <x:row r="21">
      <x:c r="A21" s="45" t="str">
        <x:v>Current tax liability</x:v>
      </x:c>
      <x:c r="B21" s="50" t="str">
        <x:v>Calculated</x:v>
      </x:c>
      <x:c r="C21" s="172" t="n">
        <x:v>64.108</x:v>
      </x:c>
      <x:c r="D21" s="172" t="n">
        <x:v>230.271</x:v>
      </x:c>
      <x:c r="E21" s="172" t="n">
        <x:v>373.05</x:v>
      </x:c>
      <x:c r="F21" s="123" t="n">
        <x:f>F75*15%</x:f>
        <x:v>385.46207177549985</x:v>
      </x:c>
      <x:c r="G21" s="123" t="n">
        <x:f>G75*15%</x:f>
        <x:v>435.08935512843453</x:v>
      </x:c>
      <x:c r="H21" s="123" t="n">
        <x:f>H75*15%</x:f>
        <x:v>495.99528566194454</x:v>
      </x:c>
      <x:c r="I21" s="123" t="n">
        <x:f>I75*15%</x:f>
        <x:v>597.866889528847</x:v>
      </x:c>
      <x:c r="J21" s="123" t="n">
        <x:f>J75*15%</x:f>
        <x:v>708.0664652335225</x:v>
      </x:c>
      <x:c r="K21" s="123" t="n">
        <x:f>K75*15%</x:f>
        <x:v>819.1432014278222</x:v>
      </x:c>
      <x:c r="L21" s="123" t="n">
        <x:f>L75*15%</x:f>
        <x:v>936.9884850932943</x:v>
      </x:c>
      <x:c r="M21" s="123" t="n">
        <x:f>M75*15%</x:f>
        <x:v>1057.2922789759837</x:v>
      </x:c>
      <x:c r="N21" s="123" t="n">
        <x:f>N75*15%</x:f>
        <x:v>1182.3162026139787</x:v>
      </x:c>
    </x:row>
    <x:row r="22">
      <x:c r="A22" s="45" t="str">
        <x:v>Other non-current assets / revenue</x:v>
      </x:c>
      <x:c r="B22" s="50" t="str">
        <x:v>Assumption</x:v>
      </x:c>
      <x:c r="C22" s="171" t="n">
        <x:v>0.0249</x:v>
      </x:c>
      <x:c r="D22" s="171" t="n">
        <x:v>0.0184</x:v>
      </x:c>
      <x:c r="E22" s="171" t="n">
        <x:v>0.0986</x:v>
      </x:c>
      <x:c r="F22" s="91" t="n">
        <x:v>0.085</x:v>
      </x:c>
      <x:c r="G22" s="91" t="n">
        <x:v>0.08</x:v>
      </x:c>
      <x:c r="H22" s="91" t="n">
        <x:v>0.075</x:v>
      </x:c>
      <x:c r="I22" s="91" t="n">
        <x:v>0.07</x:v>
      </x:c>
      <x:c r="J22" s="91" t="n">
        <x:v>0.065</x:v>
      </x:c>
      <x:c r="K22" s="91" t="n">
        <x:v>0.06</x:v>
      </x:c>
      <x:c r="L22" s="91" t="n">
        <x:v>0.055</x:v>
      </x:c>
      <x:c r="M22" s="91" t="n">
        <x:v>0.05</x:v>
      </x:c>
      <x:c r="N22" s="91" t="n">
        <x:v>0.045</x:v>
      </x:c>
    </x:row>
    <x:row r="23">
      <x:c r="A23" s="45" t="str">
        <x:v>Other non-current assets</x:v>
      </x:c>
      <x:c r="B23" s="50" t="str">
        <x:v>Calculated</x:v>
      </x:c>
      <x:c r="C23" s="172" t="n">
        <x:v>354.009</x:v>
      </x:c>
      <x:c r="D23" s="172" t="n">
        <x:v>340.047</x:v>
      </x:c>
      <x:c r="E23" s="172" t="n">
        <x:v>2093.73</x:v>
      </x:c>
      <x:c r="F23" s="123" t="n">
        <x:f>F7*F22</x:f>
        <x:v>2110.9008318867927</x:v>
      </x:c>
      <x:c r="G23" s="123" t="n">
        <x:f>G7*G22</x:f>
        <x:v>2317.7614525126487</x:v>
      </x:c>
      <x:c r="H23" s="123" t="n">
        <x:f>H7*H22</x:f>
        <x:v>2546.863804299549</x:v>
      </x:c>
      <x:c r="I23" s="123" t="n">
        <x:f>I7*I22</x:f>
        <x:v>2737.2324946348876</x:v>
      </x:c>
      <x:c r="J23" s="123" t="n">
        <x:f>J7*J22</x:f>
        <x:v>2860.237571195894</x:v>
      </x:c>
      <x:c r="K23" s="123" t="n">
        <x:f>K7*K22</x:f>
        <x:v>2938.013661295037</x:v>
      </x:c>
      <x:c r="L23" s="123" t="n">
        <x:f>L7*L22</x:f>
        <x:v>2984.2135358892383</x:v>
      </x:c>
      <x:c r="M23" s="123" t="n">
        <x:f>M7*M22</x:f>
        <x:v>2980.885710270794</x:v>
      </x:c>
      <x:c r="N23" s="123" t="n">
        <x:f>N7*N22</x:f>
        <x:v>2927.117756183097</x:v>
      </x:c>
    </x:row>
    <x:row r="24">
      <x:c r="A24" s="45" t="str">
        <x:v>Other non-current liabilities / revenue</x:v>
      </x:c>
      <x:c r="B24" s="50" t="str">
        <x:v>Assumption</x:v>
      </x:c>
      <x:c r="C24" s="171" t="n">
        <x:v>0.0133</x:v>
      </x:c>
      <x:c r="D24" s="171" t="n">
        <x:v>0.0117</x:v>
      </x:c>
      <x:c r="E24" s="171" t="n">
        <x:v>0.0153</x:v>
      </x:c>
      <x:c r="F24" s="91" t="n">
        <x:v>0.013</x:v>
      </x:c>
      <x:c r="G24" s="91" t="n">
        <x:v>0.0125</x:v>
      </x:c>
      <x:c r="H24" s="91" t="n">
        <x:v>0.012</x:v>
      </x:c>
      <x:c r="I24" s="91" t="n">
        <x:v>0.0115</x:v>
      </x:c>
      <x:c r="J24" s="91" t="n">
        <x:v>0.011</x:v>
      </x:c>
      <x:c r="K24" s="91" t="n">
        <x:v>0.0105</x:v>
      </x:c>
      <x:c r="L24" s="91" t="n">
        <x:v>0.01</x:v>
      </x:c>
      <x:c r="M24" s="91" t="n">
        <x:v>0.0095</x:v>
      </x:c>
      <x:c r="N24" s="91" t="n">
        <x:v>0.009</x:v>
      </x:c>
    </x:row>
    <x:row r="25">
      <x:c r="A25" s="45" t="str">
        <x:v>Other non-current liabilities</x:v>
      </x:c>
      <x:c r="B25" s="50" t="str">
        <x:v>Calculated</x:v>
      </x:c>
      <x:c r="C25" s="172" t="n">
        <x:v>188.681</x:v>
      </x:c>
      <x:c r="D25" s="172" t="n">
        <x:v>216.02</x:v>
      </x:c>
      <x:c r="E25" s="172" t="n">
        <x:v>324.44</x:v>
      </x:c>
      <x:c r="F25" s="123" t="n">
        <x:f>F7*F24</x:f>
        <x:v>322.8436566415094</x:v>
      </x:c>
      <x:c r="G25" s="123" t="n">
        <x:f>G7*G24</x:f>
        <x:v>362.15022695510135</x:v>
      </x:c>
      <x:c r="H25" s="123" t="n">
        <x:f>H7*H24</x:f>
        <x:v>407.4982086879279</x:v>
      </x:c>
      <x:c r="I25" s="123" t="n">
        <x:f>I7*I24</x:f>
        <x:v>449.6881955471601</x:v>
      </x:c>
      <x:c r="J25" s="123" t="n">
        <x:f>J7*J24</x:f>
        <x:v>484.0402043562281</x:v>
      </x:c>
      <x:c r="K25" s="123" t="n">
        <x:f>K7*K24</x:f>
        <x:v>514.1523907266316</x:v>
      </x:c>
      <x:c r="L25" s="123" t="n">
        <x:f>L7*L24</x:f>
        <x:v>542.5842792525888</x:v>
      </x:c>
      <x:c r="M25" s="123" t="n">
        <x:f>M7*M24</x:f>
        <x:v>566.3682849514508</x:v>
      </x:c>
      <x:c r="N25" s="123" t="n">
        <x:f>N7*N24</x:f>
        <x:v>585.4235512366193</x:v>
      </x:c>
    </x:row>
    <x:row r="26">
      <x:c r="A26" s="158"/>
      <x:c r="B26" s="158"/>
      <x:c r="C26" s="164"/>
      <x:c r="D26" s="164"/>
      <x:c r="E26" s="164"/>
      <x:c r="F26" s="158"/>
      <x:c r="G26" s="158"/>
      <x:c r="H26" s="158"/>
      <x:c r="I26" s="158"/>
      <x:c r="J26" s="158"/>
      <x:c r="K26" s="158"/>
      <x:c r="L26" s="158"/>
      <x:c r="M26" s="158"/>
      <x:c r="N26" s="158"/>
    </x:row>
    <x:row r="27">
      <x:c r="A27" s="158"/>
      <x:c r="B27" s="158"/>
      <x:c r="C27" s="164"/>
      <x:c r="D27" s="164"/>
      <x:c r="E27" s="164"/>
      <x:c r="F27" s="158"/>
      <x:c r="G27" s="158"/>
      <x:c r="H27" s="158"/>
      <x:c r="I27" s="158"/>
      <x:c r="J27" s="158"/>
      <x:c r="K27" s="158"/>
      <x:c r="L27" s="158"/>
      <x:c r="M27" s="158"/>
      <x:c r="N27" s="158"/>
    </x:row>
    <x:row r="28">
      <x:c r="A28" s="158"/>
      <x:c r="B28" s="158"/>
      <x:c r="C28" s="164"/>
      <x:c r="D28" s="164"/>
      <x:c r="E28" s="164"/>
      <x:c r="F28" s="158"/>
      <x:c r="G28" s="158"/>
      <x:c r="H28" s="158"/>
      <x:c r="I28" s="158"/>
      <x:c r="J28" s="158"/>
      <x:c r="K28" s="158"/>
      <x:c r="L28" s="158"/>
      <x:c r="M28" s="158"/>
      <x:c r="N28" s="158"/>
    </x:row>
    <x:row r="29" ht="20" customHeight="1">
      <x:c r="A29" s="40" t="str">
        <x:v>PP&amp;E, CWIP, Capex and Depreciation</x:v>
      </x:c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</x:row>
    <x:row r="30">
      <x:c r="A30" s="45" t="str">
        <x:v>Opening net PP&amp;E</x:v>
      </x:c>
      <x:c r="B30" s="50" t="str">
        <x:v>Calculated</x:v>
      </x:c>
      <x:c r="C30" s="164"/>
      <x:c r="D30" s="164"/>
      <x:c r="E30" s="164"/>
      <x:c r="F30" s="123" t="n">
        <x:f>E34</x:f>
        <x:v>7802.63</x:v>
      </x:c>
      <x:c r="G30" s="123" t="n">
        <x:f>F34</x:f>
        <x:v>8854.209200000001</x:v>
      </x:c>
      <x:c r="H30" s="123" t="n">
        <x:f>G34</x:f>
        <x:v>15257.535728</x:v>
      </x:c>
      <x:c r="I30" s="123" t="n">
        <x:f>H34</x:f>
        <x:v>16956.330011520004</x:v>
      </x:c>
      <x:c r="J30" s="123" t="n">
        <x:f>I34</x:f>
        <x:v>17187.317209676803</x:v>
      </x:c>
      <x:c r="K30" s="123" t="n">
        <x:f>J34</x:f>
        <x:v>16663.931396167165</x:v>
      </x:c>
      <x:c r="L30" s="123" t="n">
        <x:f>K34</x:f>
        <x:v>16475.427227139233</x:v>
      </x:c>
      <x:c r="M30" s="123" t="n">
        <x:f>L34</x:f>
        <x:v>16584.835323815052</x:v>
      </x:c>
      <x:c r="N30" s="123" t="n">
        <x:f>M34</x:f>
        <x:v>16947.918010798687</x:v>
      </x:c>
    </x:row>
    <x:row r="31">
      <x:c r="A31" s="45" t="str">
        <x:v>Direct PP&amp;E additions</x:v>
      </x:c>
      <x:c r="B31" s="50" t="str">
        <x:v>Capex allocation</x:v>
      </x:c>
      <x:c r="C31" s="164"/>
      <x:c r="D31" s="164"/>
      <x:c r="E31" s="164"/>
      <x:c r="F31" s="123" t="n">
        <x:f>F43-F36</x:f>
        <x:v>1500</x:v>
      </x:c>
      <x:c r="G31" s="123" t="n">
        <x:f>G43-G36</x:f>
        <x:v>500</x:v>
      </x:c>
      <x:c r="H31" s="123" t="n">
        <x:f>H43-H36</x:f>
        <x:v>1000</x:v>
      </x:c>
      <x:c r="I31" s="123" t="n">
        <x:f>I43-I36</x:f>
        <x:v>1700</x:v>
      </x:c>
      <x:c r="J31" s="123" t="n">
        <x:f>J43-J36</x:f>
        <x:v>1920.2010217811408</x:v>
      </x:c>
      <x:c r="K31" s="123" t="n">
        <x:f>K43-K36</x:f>
        <x:v>2193.1791895204506</x:v>
      </x:c>
      <x:c r="L31" s="123" t="n">
        <x:f>L43-L36</x:f>
        <x:v>2484.2135358892383</x:v>
      </x:c>
      <x:c r="M31" s="123" t="n">
        <x:f>M43-M36</x:f>
        <x:v>2778.9742812978734</x:v>
      </x:c>
      <x:c r="N31" s="123" t="n">
        <x:f>N43-N36</x:f>
        <x:v>3077.5883686682296</x:v>
      </x:c>
    </x:row>
    <x:row r="32">
      <x:c r="A32" s="45" t="str">
        <x:v>CWIP capitalisation</x:v>
      </x:c>
      <x:c r="B32" s="50" t="str">
        <x:v>Capex allocation</x:v>
      </x:c>
      <x:c r="C32" s="164"/>
      <x:c r="D32" s="164"/>
      <x:c r="E32" s="164"/>
      <x:c r="F32" s="123" t="n">
        <x:f>F37</x:f>
        <x:v>1000</x:v>
      </x:c>
      <x:c r="G32" s="123" t="n">
        <x:f>G37</x:f>
        <x:v>8000</x:v>
      </x:c>
      <x:c r="H32" s="123" t="n">
        <x:f>H37</x:f>
        <x:v>3500</x:v>
      </x:c>
      <x:c r="I32" s="123" t="n">
        <x:f>I37</x:f>
        <x:v>1500</x:v>
      </x:c>
      <x:c r="J32" s="123" t="n">
        <x:f>J37</x:f>
        <x:v>500</x:v>
      </x:c>
      <x:c r="K32" s="123" t="n">
        <x:f>K37</x:f>
        <x:v>500</x:v>
      </x:c>
      <x:c r="L32" s="123" t="n">
        <x:f>L37</x:f>
        <x:v>500</x:v>
      </x:c>
      <x:c r="M32" s="123" t="n">
        <x:f>M37</x:f>
        <x:v>500</x:v>
      </x:c>
      <x:c r="N32" s="123" t="n">
        <x:f>N37</x:f>
        <x:v>500</x:v>
      </x:c>
    </x:row>
    <x:row r="33">
      <x:c r="A33" s="45" t="str">
        <x:v>Depreciation on PP&amp;E</x:v>
      </x:c>
      <x:c r="B33" s="50" t="str">
        <x:v>Calculated</x:v>
      </x:c>
      <x:c r="C33" s="164"/>
      <x:c r="D33" s="164"/>
      <x:c r="E33" s="164"/>
      <x:c r="F33" s="123" t="n">
        <x:f>16%*F30+8%*(F31+F32)</x:f>
        <x:v>1448.4208</x:v>
      </x:c>
      <x:c r="G33" s="123" t="n">
        <x:f>16%*G30+8%*(G31+G32)</x:f>
        <x:v>2096.6734720000004</x:v>
      </x:c>
      <x:c r="H33" s="123" t="n">
        <x:f>16%*H30+8%*(H31+H32)</x:f>
        <x:v>2801.2057164800003</x:v>
      </x:c>
      <x:c r="I33" s="123" t="n">
        <x:f>16%*I30+8%*(I31+I32)</x:f>
        <x:v>2969.0128018432006</x:v>
      </x:c>
      <x:c r="J33" s="123" t="n">
        <x:f>16%*J30+8%*(J31+J32)</x:f>
        <x:v>2943.5868352907796</x:v>
      </x:c>
      <x:c r="K33" s="123" t="n">
        <x:f>16%*K30+8%*(K31+K32)</x:f>
        <x:v>2881.683358548383</x:v>
      </x:c>
      <x:c r="L33" s="123" t="n">
        <x:f>16%*L30+8%*(L31+L32)</x:f>
        <x:v>2874.8054392134163</x:v>
      </x:c>
      <x:c r="M33" s="123" t="n">
        <x:f>16%*M30+8%*(M31+M32)</x:f>
        <x:v>2915.8915943142383</x:v>
      </x:c>
      <x:c r="N33" s="123" t="n">
        <x:f>16%*N30+8%*(N31+N32)</x:f>
        <x:v>2997.8739512212483</x:v>
      </x:c>
    </x:row>
    <x:row r="34">
      <x:c r="A34" s="45" t="str">
        <x:v>Closing net PP&amp;E</x:v>
      </x:c>
      <x:c r="B34" s="50" t="str">
        <x:v>Calculated</x:v>
      </x:c>
      <x:c r="C34" s="172" t="n">
        <x:v>4699.865</x:v>
      </x:c>
      <x:c r="D34" s="172" t="n">
        <x:v>6964.422</x:v>
      </x:c>
      <x:c r="E34" s="172" t="n">
        <x:v>7802.63</x:v>
      </x:c>
      <x:c r="F34" s="123" t="n">
        <x:f>F30+F31+F32-F33</x:f>
        <x:v>8854.209200000001</x:v>
      </x:c>
      <x:c r="G34" s="123" t="n">
        <x:f>G30+G31+G32-G33</x:f>
        <x:v>15257.535728</x:v>
      </x:c>
      <x:c r="H34" s="123" t="n">
        <x:f>H30+H31+H32-H33</x:f>
        <x:v>16956.330011520004</x:v>
      </x:c>
      <x:c r="I34" s="123" t="n">
        <x:f>I30+I31+I32-I33</x:f>
        <x:v>17187.317209676803</x:v>
      </x:c>
      <x:c r="J34" s="123" t="n">
        <x:f>J30+J31+J32-J33</x:f>
        <x:v>16663.931396167165</x:v>
      </x:c>
      <x:c r="K34" s="123" t="n">
        <x:f>K30+K31+K32-K33</x:f>
        <x:v>16475.427227139233</x:v>
      </x:c>
      <x:c r="L34" s="123" t="n">
        <x:f>L30+L31+L32-L33</x:f>
        <x:v>16584.835323815052</x:v>
      </x:c>
      <x:c r="M34" s="123" t="n">
        <x:f>M30+M31+M32-M33</x:f>
        <x:v>16947.918010798687</x:v>
      </x:c>
      <x:c r="N34" s="123" t="n">
        <x:f>N30+N31+N32-N33</x:f>
        <x:v>17527.632428245666</x:v>
      </x:c>
    </x:row>
    <x:row r="35">
      <x:c r="A35" s="45" t="str">
        <x:v>Opening CWIP</x:v>
      </x:c>
      <x:c r="B35" s="50" t="str">
        <x:v>Calculated</x:v>
      </x:c>
      <x:c r="C35" s="164"/>
      <x:c r="D35" s="164"/>
      <x:c r="E35" s="164"/>
      <x:c r="F35" s="123" t="n">
        <x:f>E38</x:f>
        <x:v>2643.46</x:v>
      </x:c>
      <x:c r="G35" s="123" t="n">
        <x:f>F38</x:f>
        <x:v>7143.46</x:v>
      </x:c>
      <x:c r="H35" s="123" t="n">
        <x:f>G38</x:f>
        <x:v>3643.459999999999</x:v>
      </x:c>
      <x:c r="I35" s="123" t="n">
        <x:f>H38</x:f>
        <x:v>1643.4599999999991</x:v>
      </x:c>
      <x:c r="J35" s="123" t="n">
        <x:f>I38</x:f>
        <x:v>643.4599999999991</x:v>
      </x:c>
      <x:c r="K35" s="123" t="n">
        <x:f>J38</x:f>
        <x:v>643.4599999999991</x:v>
      </x:c>
      <x:c r="L35" s="123" t="n">
        <x:f>K38</x:f>
        <x:v>643.4599999999991</x:v>
      </x:c>
      <x:c r="M35" s="123" t="n">
        <x:f>L38</x:f>
        <x:v>643.4599999999991</x:v>
      </x:c>
      <x:c r="N35" s="123" t="n">
        <x:f>M38</x:f>
        <x:v>643.4599999999991</x:v>
      </x:c>
    </x:row>
    <x:row r="36">
      <x:c r="A36" s="45" t="str">
        <x:v>CWIP additions</x:v>
      </x:c>
      <x:c r="B36" s="50" t="str">
        <x:v>Capex allocation</x:v>
      </x:c>
      <x:c r="C36" s="164"/>
      <x:c r="D36" s="164"/>
      <x:c r="E36" s="164"/>
      <x:c r="F36" s="103" t="n">
        <x:v>5500</x:v>
      </x:c>
      <x:c r="G36" s="103" t="n">
        <x:v>4500</x:v>
      </x:c>
      <x:c r="H36" s="103" t="n">
        <x:v>1500</x:v>
      </x:c>
      <x:c r="I36" s="103" t="n">
        <x:v>500</x:v>
      </x:c>
      <x:c r="J36" s="103" t="n">
        <x:v>500</x:v>
      </x:c>
      <x:c r="K36" s="103" t="n">
        <x:v>500</x:v>
      </x:c>
      <x:c r="L36" s="103" t="n">
        <x:v>500</x:v>
      </x:c>
      <x:c r="M36" s="103" t="n">
        <x:v>500</x:v>
      </x:c>
      <x:c r="N36" s="103" t="n">
        <x:v>500</x:v>
      </x:c>
    </x:row>
    <x:row r="37">
      <x:c r="A37" s="45" t="str">
        <x:v>CWIP capitalisation</x:v>
      </x:c>
      <x:c r="B37" s="50" t="str">
        <x:v>Calculated</x:v>
      </x:c>
      <x:c r="C37" s="164"/>
      <x:c r="D37" s="164"/>
      <x:c r="E37" s="164"/>
      <x:c r="F37" s="103" t="n">
        <x:v>1000</x:v>
      </x:c>
      <x:c r="G37" s="103" t="n">
        <x:v>8000</x:v>
      </x:c>
      <x:c r="H37" s="103" t="n">
        <x:v>3500</x:v>
      </x:c>
      <x:c r="I37" s="103" t="n">
        <x:v>1500</x:v>
      </x:c>
      <x:c r="J37" s="103" t="n">
        <x:v>500</x:v>
      </x:c>
      <x:c r="K37" s="103" t="n">
        <x:v>500</x:v>
      </x:c>
      <x:c r="L37" s="103" t="n">
        <x:v>500</x:v>
      </x:c>
      <x:c r="M37" s="103" t="n">
        <x:v>500</x:v>
      </x:c>
      <x:c r="N37" s="103" t="n">
        <x:v>500</x:v>
      </x:c>
    </x:row>
    <x:row r="38">
      <x:c r="A38" s="45" t="str">
        <x:v>Closing CWIP</x:v>
      </x:c>
      <x:c r="B38" s="50" t="str">
        <x:v>Calculated</x:v>
      </x:c>
      <x:c r="C38" s="172" t="n">
        <x:v>3446.939</x:v>
      </x:c>
      <x:c r="D38" s="172" t="n">
        <x:v>2968.811</x:v>
      </x:c>
      <x:c r="E38" s="172" t="n">
        <x:v>2643.46</x:v>
      </x:c>
      <x:c r="F38" s="123" t="n">
        <x:f>F35+F36-F37</x:f>
        <x:v>7143.46</x:v>
      </x:c>
      <x:c r="G38" s="123" t="n">
        <x:f>G35+G36-G37</x:f>
        <x:v>3643.459999999999</x:v>
      </x:c>
      <x:c r="H38" s="123" t="n">
        <x:f>H35+H36-H37</x:f>
        <x:v>1643.4599999999991</x:v>
      </x:c>
      <x:c r="I38" s="123" t="n">
        <x:f>I35+I36-I37</x:f>
        <x:v>643.4599999999991</x:v>
      </x:c>
      <x:c r="J38" s="123" t="n">
        <x:f>J35+J36-J37</x:f>
        <x:v>643.4599999999991</x:v>
      </x:c>
      <x:c r="K38" s="123" t="n">
        <x:f>K35+K36-K37</x:f>
        <x:v>643.4599999999991</x:v>
      </x:c>
      <x:c r="L38" s="123" t="n">
        <x:f>L35+L36-L37</x:f>
        <x:v>643.4599999999991</x:v>
      </x:c>
      <x:c r="M38" s="123" t="n">
        <x:f>M35+M36-M37</x:f>
        <x:v>643.4599999999991</x:v>
      </x:c>
      <x:c r="N38" s="123" t="n">
        <x:f>N35+N36-N37</x:f>
        <x:v>643.4599999999991</x:v>
      </x:c>
    </x:row>
    <x:row r="39">
      <x:c r="A39" s="45" t="str">
        <x:v>Opening ROU and intangible assets</x:v>
      </x:c>
      <x:c r="B39" s="50" t="str">
        <x:v>Calculated</x:v>
      </x:c>
      <x:c r="C39" s="164"/>
      <x:c r="D39" s="164"/>
      <x:c r="E39" s="164"/>
      <x:c r="F39" s="123" t="n">
        <x:f>E42</x:f>
        <x:v>29.67</x:v>
      </x:c>
      <x:c r="G39" s="123" t="n">
        <x:f>F42</x:f>
        <x:v>23.736</x:v>
      </x:c>
      <x:c r="H39" s="123" t="n">
        <x:f>G42</x:f>
        <x:v>18.9888</x:v>
      </x:c>
      <x:c r="I39" s="123" t="n">
        <x:f>H42</x:f>
        <x:v>15.191040000000001</x:v>
      </x:c>
      <x:c r="J39" s="123" t="n">
        <x:f>I42</x:f>
        <x:v>12.152832</x:v>
      </x:c>
      <x:c r="K39" s="123" t="n">
        <x:f>J42</x:f>
        <x:v>9.7222656</x:v>
      </x:c>
      <x:c r="L39" s="123" t="n">
        <x:f>K42</x:f>
        <x:v>7.77781248</x:v>
      </x:c>
      <x:c r="M39" s="123" t="n">
        <x:f>L42</x:f>
        <x:v>6.222249983999999</x:v>
      </x:c>
      <x:c r="N39" s="123" t="n">
        <x:f>M42</x:f>
        <x:v>4.977799987199999</x:v>
      </x:c>
    </x:row>
    <x:row r="40">
      <x:c r="A40" s="45" t="str">
        <x:v>ROU / intangible additions</x:v>
      </x:c>
      <x:c r="B40" s="50" t="str">
        <x:v>Assumption</x:v>
      </x:c>
      <x:c r="C40" s="164"/>
      <x:c r="D40" s="164"/>
      <x:c r="E40" s="164"/>
      <x:c r="F40" s="103" t="n">
        <x:v>0</x:v>
      </x:c>
      <x:c r="G40" s="103" t="n">
        <x:v>0</x:v>
      </x:c>
      <x:c r="H40" s="103" t="n">
        <x:v>0</x:v>
      </x:c>
      <x:c r="I40" s="103" t="n">
        <x:v>0</x:v>
      </x:c>
      <x:c r="J40" s="103" t="n">
        <x:v>0</x:v>
      </x:c>
      <x:c r="K40" s="103" t="n">
        <x:v>0</x:v>
      </x:c>
      <x:c r="L40" s="103" t="n">
        <x:v>0</x:v>
      </x:c>
      <x:c r="M40" s="103" t="n">
        <x:v>0</x:v>
      </x:c>
      <x:c r="N40" s="103" t="n">
        <x:v>0</x:v>
      </x:c>
    </x:row>
    <x:row r="41">
      <x:c r="A41" s="45" t="str">
        <x:v>ROU / intangible amortisation</x:v>
      </x:c>
      <x:c r="B41" s="50" t="str">
        <x:v>Calculated</x:v>
      </x:c>
      <x:c r="C41" s="164"/>
      <x:c r="D41" s="164"/>
      <x:c r="E41" s="164"/>
      <x:c r="F41" s="123" t="n">
        <x:f>20%*F39+10%*F40</x:f>
        <x:v>5.934000000000001</x:v>
      </x:c>
      <x:c r="G41" s="123" t="n">
        <x:f>20%*G39+10%*G40</x:f>
        <x:v>4.7472</x:v>
      </x:c>
      <x:c r="H41" s="123" t="n">
        <x:f>20%*H39+10%*H40</x:f>
        <x:v>3.7977600000000002</x:v>
      </x:c>
      <x:c r="I41" s="123" t="n">
        <x:f>20%*I39+10%*I40</x:f>
        <x:v>3.0382080000000005</x:v>
      </x:c>
      <x:c r="J41" s="123" t="n">
        <x:f>20%*J39+10%*J40</x:f>
        <x:v>2.4305664</x:v>
      </x:c>
      <x:c r="K41" s="123" t="n">
        <x:f>20%*K39+10%*K40</x:f>
        <x:v>1.9444531200000001</x:v>
      </x:c>
      <x:c r="L41" s="123" t="n">
        <x:f>20%*L39+10%*L40</x:f>
        <x:v>1.555562496</x:v>
      </x:c>
      <x:c r="M41" s="123" t="n">
        <x:f>20%*M39+10%*M40</x:f>
        <x:v>1.2444499968</x:v>
      </x:c>
      <x:c r="N41" s="123" t="n">
        <x:f>20%*N39+10%*N40</x:f>
        <x:v>0.9955599974399999</x:v>
      </x:c>
    </x:row>
    <x:row r="42">
      <x:c r="A42" s="45" t="str">
        <x:v>Closing ROU and intangible assets</x:v>
      </x:c>
      <x:c r="B42" s="50" t="str">
        <x:v>Calculated</x:v>
      </x:c>
      <x:c r="C42" s="172" t="n">
        <x:v>125.303</x:v>
      </x:c>
      <x:c r="D42" s="172" t="n">
        <x:v>86.611</x:v>
      </x:c>
      <x:c r="E42" s="172" t="n">
        <x:v>29.67</x:v>
      </x:c>
      <x:c r="F42" s="123" t="n">
        <x:f>F39+F40-F41</x:f>
        <x:v>23.736</x:v>
      </x:c>
      <x:c r="G42" s="123" t="n">
        <x:f>G39+G40-G41</x:f>
        <x:v>18.9888</x:v>
      </x:c>
      <x:c r="H42" s="123" t="n">
        <x:f>H39+H40-H41</x:f>
        <x:v>15.191040000000001</x:v>
      </x:c>
      <x:c r="I42" s="123" t="n">
        <x:f>I39+I40-I41</x:f>
        <x:v>12.152832</x:v>
      </x:c>
      <x:c r="J42" s="123" t="n">
        <x:f>J39+J40-J41</x:f>
        <x:v>9.7222656</x:v>
      </x:c>
      <x:c r="K42" s="123" t="n">
        <x:f>K39+K40-K41</x:f>
        <x:v>7.77781248</x:v>
      </x:c>
      <x:c r="L42" s="123" t="n">
        <x:f>L39+L40-L41</x:f>
        <x:v>6.222249983999999</x:v>
      </x:c>
      <x:c r="M42" s="123" t="n">
        <x:f>M39+M40-M41</x:f>
        <x:v>4.977799987199999</x:v>
      </x:c>
      <x:c r="N42" s="123" t="n">
        <x:f>N39+N40-N41</x:f>
        <x:v>3.982239989759999</x:v>
      </x:c>
    </x:row>
    <x:row r="43">
      <x:c r="A43" s="45" t="str">
        <x:v>Total capital expenditure</x:v>
      </x:c>
      <x:c r="B43" s="50" t="str">
        <x:v>Reported / assumption</x:v>
      </x:c>
      <x:c r="C43" s="172" t="n">
        <x:v>2900.406</x:v>
      </x:c>
      <x:c r="D43" s="172" t="n">
        <x:v>2667.161</x:v>
      </x:c>
      <x:c r="E43" s="172" t="n">
        <x:v>2111.69</x:v>
      </x:c>
      <x:c r="F43" s="56" t="n">
        <x:f>'Summary &amp; Assumptions'!F53</x:f>
        <x:v>7000</x:v>
      </x:c>
      <x:c r="G43" s="56" t="n">
        <x:f>'Summary &amp; Assumptions'!G53</x:f>
        <x:v>5000</x:v>
      </x:c>
      <x:c r="H43" s="56" t="n">
        <x:f>'Summary &amp; Assumptions'!H53</x:f>
        <x:v>2500</x:v>
      </x:c>
      <x:c r="I43" s="56" t="n">
        <x:f>'Summary &amp; Assumptions'!I53</x:f>
        <x:v>2200</x:v>
      </x:c>
      <x:c r="J43" s="56" t="n">
        <x:f>'Summary &amp; Assumptions'!J53</x:f>
        <x:v>2420.2010217811408</x:v>
      </x:c>
      <x:c r="K43" s="56" t="n">
        <x:f>'Summary &amp; Assumptions'!K53</x:f>
        <x:v>2693.1791895204506</x:v>
      </x:c>
      <x:c r="L43" s="56" t="n">
        <x:f>'Summary &amp; Assumptions'!L53</x:f>
        <x:v>2984.2135358892383</x:v>
      </x:c>
      <x:c r="M43" s="56" t="n">
        <x:f>'Summary &amp; Assumptions'!M53</x:f>
        <x:v>3278.9742812978734</x:v>
      </x:c>
      <x:c r="N43" s="56" t="n">
        <x:f>'Summary &amp; Assumptions'!N53</x:f>
        <x:v>3577.5883686682296</x:v>
      </x:c>
    </x:row>
    <x:row r="44">
      <x:c r="A44" s="45" t="str">
        <x:v>Capex / revenue</x:v>
      </x:c>
      <x:c r="B44" s="50" t="str">
        <x:v>Calculated</x:v>
      </x:c>
      <x:c r="C44" s="164"/>
      <x:c r="D44" s="164"/>
      <x:c r="E44" s="164"/>
      <x:c r="F44" s="126" t="n">
        <x:f>IF(F7=0,0,F43/F7)</x:f>
        <x:v>0.2818701812098721</x:v>
      </x:c>
      <x:c r="G44" s="126" t="n">
        <x:f>IF(G7=0,0,G43/G7)</x:f>
        <x:v>0.17258031432284213</x:v>
      </x:c>
      <x:c r="H44" s="126" t="n">
        <x:f>IF(H7=0,0,H43/H7)</x:f>
        <x:v>0.07361995552469959</x:v>
      </x:c>
      <x:c r="I44" s="126" t="n">
        <x:f>IF(I7=0,0,I43/I7)</x:f>
        <x:v>0.05626120554313443</x:v>
      </x:c>
      <x:c r="J44" s="126" t="n">
        <x:f>IF(J7=0,0,J43/J7)</x:f>
        <x:v>0.055</x:v>
      </x:c>
      <x:c r="K44" s="126" t="n">
        <x:f>IF(K7=0,0,K43/K7)</x:f>
        <x:v>0.055</x:v>
      </x:c>
      <x:c r="L44" s="126" t="n">
        <x:f>IF(L7=0,0,L43/L7)</x:f>
        <x:v>0.055</x:v>
      </x:c>
      <x:c r="M44" s="126" t="n">
        <x:f>IF(M7=0,0,M43/M7)</x:f>
        <x:v>0.05500000000000001</x:v>
      </x:c>
      <x:c r="N44" s="126" t="n">
        <x:f>IF(N7=0,0,N43/N7)</x:f>
        <x:v>0.055</x:v>
      </x:c>
    </x:row>
    <x:row r="45">
      <x:c r="A45" s="45" t="str">
        <x:v>Total depreciation and amortisation</x:v>
      </x:c>
      <x:c r="B45" s="50" t="str">
        <x:v>Calculated</x:v>
      </x:c>
      <x:c r="C45" s="172" t="n">
        <x:v>818.242</x:v>
      </x:c>
      <x:c r="D45" s="172" t="n">
        <x:v>893.713</x:v>
      </x:c>
      <x:c r="E45" s="172" t="n">
        <x:v>1340.7</x:v>
      </x:c>
      <x:c r="F45" s="123" t="n">
        <x:f>F33+F41</x:f>
        <x:v>1454.3548</x:v>
      </x:c>
      <x:c r="G45" s="123" t="n">
        <x:f>G33+G41</x:f>
        <x:v>2101.420672</x:v>
      </x:c>
      <x:c r="H45" s="123" t="n">
        <x:f>H33+H41</x:f>
        <x:v>2805.0034764800002</x:v>
      </x:c>
      <x:c r="I45" s="123" t="n">
        <x:f>I33+I41</x:f>
        <x:v>2972.0510098432005</x:v>
      </x:c>
      <x:c r="J45" s="123" t="n">
        <x:f>J33+J41</x:f>
        <x:v>2946.0174016907795</x:v>
      </x:c>
      <x:c r="K45" s="123" t="n">
        <x:f>K33+K41</x:f>
        <x:v>2883.627811668383</x:v>
      </x:c>
      <x:c r="L45" s="123" t="n">
        <x:f>L33+L41</x:f>
        <x:v>2876.3610017094165</x:v>
      </x:c>
      <x:c r="M45" s="123" t="n">
        <x:f>M33+M41</x:f>
        <x:v>2917.1360443110384</x:v>
      </x:c>
      <x:c r="N45" s="123" t="n">
        <x:f>N33+N41</x:f>
        <x:v>2998.8695112186883</x:v>
      </x:c>
    </x:row>
    <x:row r="46">
      <x:c r="A46" s="158"/>
      <x:c r="B46" s="158"/>
      <x:c r="C46" s="164"/>
      <x:c r="D46" s="164"/>
      <x:c r="E46" s="164"/>
      <x:c r="F46" s="158"/>
      <x:c r="G46" s="158"/>
      <x:c r="H46" s="158"/>
      <x:c r="I46" s="158"/>
      <x:c r="J46" s="158"/>
      <x:c r="K46" s="158"/>
      <x:c r="L46" s="158"/>
      <x:c r="M46" s="158"/>
      <x:c r="N46" s="158"/>
    </x:row>
    <x:row r="47">
      <x:c r="A47" s="158"/>
      <x:c r="B47" s="158"/>
      <x:c r="C47" s="164"/>
      <x:c r="D47" s="164"/>
      <x:c r="E47" s="164"/>
      <x:c r="F47" s="158"/>
      <x:c r="G47" s="158"/>
      <x:c r="H47" s="158"/>
      <x:c r="I47" s="158"/>
      <x:c r="J47" s="158"/>
      <x:c r="K47" s="158"/>
      <x:c r="L47" s="158"/>
      <x:c r="M47" s="158"/>
      <x:c r="N47" s="158"/>
    </x:row>
    <x:row r="48" ht="20" customHeight="1">
      <x:c r="A48" s="40" t="str">
        <x:v>Debt, Cash, Investments and Interest</x:v>
      </x:c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</x:row>
    <x:row r="49">
      <x:c r="A49" s="45" t="str">
        <x:v>Opening debt</x:v>
      </x:c>
      <x:c r="B49" s="50" t="str">
        <x:v>Calculated</x:v>
      </x:c>
      <x:c r="C49" s="164"/>
      <x:c r="D49" s="164"/>
      <x:c r="E49" s="164"/>
      <x:c r="F49" s="123" t="n">
        <x:f>E52</x:f>
        <x:v>300.68</x:v>
      </x:c>
      <x:c r="G49" s="123" t="n">
        <x:f>F52</x:f>
        <x:v>0</x:v>
      </x:c>
      <x:c r="H49" s="123" t="n">
        <x:f>G52</x:f>
        <x:v>0</x:v>
      </x:c>
      <x:c r="I49" s="123" t="n">
        <x:f>H52</x:f>
        <x:v>0</x:v>
      </x:c>
      <x:c r="J49" s="123" t="n">
        <x:f>I52</x:f>
        <x:v>0</x:v>
      </x:c>
      <x:c r="K49" s="123" t="n">
        <x:f>J52</x:f>
        <x:v>0</x:v>
      </x:c>
      <x:c r="L49" s="123" t="n">
        <x:f>K52</x:f>
        <x:v>0</x:v>
      </x:c>
      <x:c r="M49" s="123" t="n">
        <x:f>L52</x:f>
        <x:v>0</x:v>
      </x:c>
      <x:c r="N49" s="123" t="n">
        <x:f>M52</x:f>
        <x:v>0</x:v>
      </x:c>
    </x:row>
    <x:row r="50">
      <x:c r="A50" s="45" t="str">
        <x:v>New borrowings</x:v>
      </x:c>
      <x:c r="B50" s="50" t="str">
        <x:v>Assumption</x:v>
      </x:c>
      <x:c r="C50" s="164"/>
      <x:c r="D50" s="164"/>
      <x:c r="E50" s="164"/>
      <x:c r="F50" s="103" t="n">
        <x:v>0</x:v>
      </x:c>
      <x:c r="G50" s="103" t="n">
        <x:v>0</x:v>
      </x:c>
      <x:c r="H50" s="103" t="n">
        <x:v>0</x:v>
      </x:c>
      <x:c r="I50" s="103" t="n">
        <x:v>0</x:v>
      </x:c>
      <x:c r="J50" s="103" t="n">
        <x:v>0</x:v>
      </x:c>
      <x:c r="K50" s="103" t="n">
        <x:v>0</x:v>
      </x:c>
      <x:c r="L50" s="103" t="n">
        <x:v>0</x:v>
      </x:c>
      <x:c r="M50" s="103" t="n">
        <x:v>0</x:v>
      </x:c>
      <x:c r="N50" s="103" t="n">
        <x:v>0</x:v>
      </x:c>
    </x:row>
    <x:row r="51">
      <x:c r="A51" s="45" t="str">
        <x:v>Debt repayments</x:v>
      </x:c>
      <x:c r="B51" s="50" t="str">
        <x:v>Assumption</x:v>
      </x:c>
      <x:c r="C51" s="164"/>
      <x:c r="D51" s="164"/>
      <x:c r="E51" s="164"/>
      <x:c r="F51" s="123" t="n">
        <x:f>-F49</x:f>
        <x:v>-300.68</x:v>
      </x:c>
      <x:c r="G51" s="123" t="n">
        <x:f>-G49</x:f>
        <x:v>0</x:v>
      </x:c>
      <x:c r="H51" s="123" t="n">
        <x:f>-H49</x:f>
        <x:v>0</x:v>
      </x:c>
      <x:c r="I51" s="123" t="n">
        <x:f>-I49</x:f>
        <x:v>0</x:v>
      </x:c>
      <x:c r="J51" s="123" t="n">
        <x:f>-J49</x:f>
        <x:v>0</x:v>
      </x:c>
      <x:c r="K51" s="123" t="n">
        <x:f>-K49</x:f>
        <x:v>0</x:v>
      </x:c>
      <x:c r="L51" s="123" t="n">
        <x:f>-L49</x:f>
        <x:v>0</x:v>
      </x:c>
      <x:c r="M51" s="123" t="n">
        <x:f>-M49</x:f>
        <x:v>0</x:v>
      </x:c>
      <x:c r="N51" s="123" t="n">
        <x:f>-N49</x:f>
        <x:v>0</x:v>
      </x:c>
    </x:row>
    <x:row r="52">
      <x:c r="A52" s="45" t="str">
        <x:v>Closing debt</x:v>
      </x:c>
      <x:c r="B52" s="50" t="str">
        <x:v>Calculated</x:v>
      </x:c>
      <x:c r="C52" s="172" t="n">
        <x:v>2325.254</x:v>
      </x:c>
      <x:c r="D52" s="172" t="n">
        <x:v>1089.547</x:v>
      </x:c>
      <x:c r="E52" s="172" t="n">
        <x:v>300.68</x:v>
      </x:c>
      <x:c r="F52" s="123" t="n">
        <x:f>F49+F50+F51</x:f>
        <x:v>0</x:v>
      </x:c>
      <x:c r="G52" s="123" t="n">
        <x:f>G49+G50+G51</x:f>
        <x:v>0</x:v>
      </x:c>
      <x:c r="H52" s="123" t="n">
        <x:f>H49+H50+H51</x:f>
        <x:v>0</x:v>
      </x:c>
      <x:c r="I52" s="123" t="n">
        <x:f>I49+I50+I51</x:f>
        <x:v>0</x:v>
      </x:c>
      <x:c r="J52" s="123" t="n">
        <x:f>J49+J50+J51</x:f>
        <x:v>0</x:v>
      </x:c>
      <x:c r="K52" s="123" t="n">
        <x:f>K49+K50+K51</x:f>
        <x:v>0</x:v>
      </x:c>
      <x:c r="L52" s="123" t="n">
        <x:f>L49+L50+L51</x:f>
        <x:v>0</x:v>
      </x:c>
      <x:c r="M52" s="123" t="n">
        <x:f>M49+M50+M51</x:f>
        <x:v>0</x:v>
      </x:c>
      <x:c r="N52" s="123" t="n">
        <x:f>N49+N50+N51</x:f>
        <x:v>0</x:v>
      </x:c>
    </x:row>
    <x:row r="53">
      <x:c r="A53" s="45" t="str">
        <x:v>Average debt</x:v>
      </x:c>
      <x:c r="B53" s="50" t="str">
        <x:v>Calculated</x:v>
      </x:c>
      <x:c r="C53" s="164"/>
      <x:c r="D53" s="164"/>
      <x:c r="E53" s="164"/>
      <x:c r="F53" s="123" t="n">
        <x:f>(F49+F52)/2</x:f>
        <x:v>150.34</x:v>
      </x:c>
      <x:c r="G53" s="123" t="n">
        <x:f>(G49+G52)/2</x:f>
        <x:v>0</x:v>
      </x:c>
      <x:c r="H53" s="123" t="n">
        <x:f>(H49+H52)/2</x:f>
        <x:v>0</x:v>
      </x:c>
      <x:c r="I53" s="123" t="n">
        <x:f>(I49+I52)/2</x:f>
        <x:v>0</x:v>
      </x:c>
      <x:c r="J53" s="123" t="n">
        <x:f>(J49+J52)/2</x:f>
        <x:v>0</x:v>
      </x:c>
      <x:c r="K53" s="123" t="n">
        <x:f>(K49+K52)/2</x:f>
        <x:v>0</x:v>
      </x:c>
      <x:c r="L53" s="123" t="n">
        <x:f>(L49+L52)/2</x:f>
        <x:v>0</x:v>
      </x:c>
      <x:c r="M53" s="123" t="n">
        <x:f>(M49+M52)/2</x:f>
        <x:v>0</x:v>
      </x:c>
      <x:c r="N53" s="123" t="n">
        <x:f>(N49+N52)/2</x:f>
        <x:v>0</x:v>
      </x:c>
    </x:row>
    <x:row r="54">
      <x:c r="A54" s="45" t="str">
        <x:v>Cost of debt</x:v>
      </x:c>
      <x:c r="B54" s="50" t="str">
        <x:v>Assumption</x:v>
      </x:c>
      <x:c r="C54" s="164"/>
      <x:c r="D54" s="164"/>
      <x:c r="E54" s="164"/>
      <x:c r="F54" s="60" t="n">
        <x:f>'Summary &amp; Assumptions'!F50</x:f>
        <x:v>0.08</x:v>
      </x:c>
      <x:c r="G54" s="60" t="n">
        <x:f>'Summary &amp; Assumptions'!G50</x:f>
        <x:v>0.08</x:v>
      </x:c>
      <x:c r="H54" s="60" t="n">
        <x:f>'Summary &amp; Assumptions'!H50</x:f>
        <x:v>0.08</x:v>
      </x:c>
      <x:c r="I54" s="60" t="n">
        <x:f>'Summary &amp; Assumptions'!I50</x:f>
        <x:v>0.08</x:v>
      </x:c>
      <x:c r="J54" s="60" t="n">
        <x:f>'Summary &amp; Assumptions'!J50</x:f>
        <x:v>0.08</x:v>
      </x:c>
      <x:c r="K54" s="60" t="n">
        <x:f>'Summary &amp; Assumptions'!K50</x:f>
        <x:v>0.08</x:v>
      </x:c>
      <x:c r="L54" s="60" t="n">
        <x:f>'Summary &amp; Assumptions'!L50</x:f>
        <x:v>0.08</x:v>
      </x:c>
      <x:c r="M54" s="60" t="n">
        <x:f>'Summary &amp; Assumptions'!M50</x:f>
        <x:v>0.08</x:v>
      </x:c>
      <x:c r="N54" s="60" t="n">
        <x:f>'Summary &amp; Assumptions'!N50</x:f>
        <x:v>0.08</x:v>
      </x:c>
    </x:row>
    <x:row r="55">
      <x:c r="A55" s="45" t="str">
        <x:v>Finance cost</x:v>
      </x:c>
      <x:c r="B55" s="50" t="str">
        <x:v>Calculated</x:v>
      </x:c>
      <x:c r="C55" s="172" t="n">
        <x:v>95.355</x:v>
      </x:c>
      <x:c r="D55" s="172" t="n">
        <x:v>103.29</x:v>
      </x:c>
      <x:c r="E55" s="172" t="n">
        <x:v>68.94</x:v>
      </x:c>
      <x:c r="F55" s="123" t="n">
        <x:f>F53*F54</x:f>
        <x:v>12.0272</x:v>
      </x:c>
      <x:c r="G55" s="123" t="n">
        <x:f>G53*G54</x:f>
        <x:v>0</x:v>
      </x:c>
      <x:c r="H55" s="123" t="n">
        <x:f>H53*H54</x:f>
        <x:v>0</x:v>
      </x:c>
      <x:c r="I55" s="123" t="n">
        <x:f>I53*I54</x:f>
        <x:v>0</x:v>
      </x:c>
      <x:c r="J55" s="123" t="n">
        <x:f>J53*J54</x:f>
        <x:v>0</x:v>
      </x:c>
      <x:c r="K55" s="123" t="n">
        <x:f>K53*K54</x:f>
        <x:v>0</x:v>
      </x:c>
      <x:c r="L55" s="123" t="n">
        <x:f>L53*L54</x:f>
        <x:v>0</x:v>
      </x:c>
      <x:c r="M55" s="123" t="n">
        <x:f>M53*M54</x:f>
        <x:v>0</x:v>
      </x:c>
      <x:c r="N55" s="123" t="n">
        <x:f>N53*N54</x:f>
        <x:v>0</x:v>
      </x:c>
    </x:row>
    <x:row r="56">
      <x:c r="A56" s="45" t="str">
        <x:v>Opening cash</x:v>
      </x:c>
      <x:c r="B56" s="50" t="str">
        <x:v>Calculated</x:v>
      </x:c>
      <x:c r="C56" s="164"/>
      <x:c r="D56" s="164"/>
      <x:c r="E56" s="164"/>
      <x:c r="F56" s="123" t="n">
        <x:f>E68</x:f>
        <x:v>2748.8</x:v>
      </x:c>
      <x:c r="G56" s="123" t="n">
        <x:f>F68</x:f>
        <x:v>1241.7063716981133</x:v>
      </x:c>
      <x:c r="H56" s="123" t="n">
        <x:f>G68</x:f>
        <x:v>1448.6009078204052</x:v>
      </x:c>
      <x:c r="I56" s="123" t="n">
        <x:f>H68</x:f>
        <x:v>1697.9092028663663</x:v>
      </x:c>
      <x:c r="J56" s="123" t="n">
        <x:f>I68</x:f>
        <x:v>1955.1660675963485</x:v>
      </x:c>
      <x:c r="K56" s="123" t="n">
        <x:f>J68</x:f>
        <x:v>2200.1827470737644</x:v>
      </x:c>
      <x:c r="L56" s="123" t="n">
        <x:f>K68</x:f>
        <x:v>2448.344717745864</x:v>
      </x:c>
      <x:c r="M56" s="123" t="n">
        <x:f>L68</x:f>
        <x:v>2712.9213962629437</x:v>
      </x:c>
      <x:c r="N56" s="123" t="n">
        <x:f>M68</x:f>
        <x:v>2980.8857102707934</x:v>
      </x:c>
    </x:row>
    <x:row r="57">
      <x:c r="A57" s="45" t="str">
        <x:v>Opening current investments</x:v>
      </x:c>
      <x:c r="B57" s="50" t="str">
        <x:v>Calculated</x:v>
      </x:c>
      <x:c r="C57" s="164"/>
      <x:c r="D57" s="164"/>
      <x:c r="E57" s="164"/>
      <x:c r="F57" s="123" t="n">
        <x:f>E67</x:f>
        <x:v>6655.87</x:v>
      </x:c>
      <x:c r="G57" s="123" t="n">
        <x:f>F67</x:f>
        <x:v>8984.667197132207</x:v>
      </x:c>
      <x:c r="H57" s="123" t="n">
        <x:f>G67</x:f>
        <x:v>12277.484454842312</x:v>
      </x:c>
      <x:c r="I57" s="123" t="n">
        <x:f>H67</x:f>
        <x:v>19723.577080269326</x:v>
      </x:c>
      <x:c r="J57" s="123" t="n">
        <x:f>I67</x:f>
        <x:v>28920.913302764668</x:v>
      </x:c>
      <x:c r="K57" s="123" t="n">
        <x:f>J67</x:f>
        <x:v>39420.071939239184</x:v>
      </x:c>
      <x:c r="L57" s="123" t="n">
        <x:f>K67</x:f>
        <x:v>50965.7947435962</x:v>
      </x:c>
      <x:c r="M57" s="123" t="n">
        <x:f>L67</x:f>
        <x:v>63871.21074838256</x:v>
      </x:c>
      <x:c r="N57" s="123" t="n">
        <x:f>M67</x:f>
        <x:v>77998.52607564717</x:v>
      </x:c>
    </x:row>
    <x:row r="58">
      <x:c r="A58" s="45" t="str">
        <x:v>Opening non-current investments</x:v>
      </x:c>
      <x:c r="B58" s="50" t="str">
        <x:v>Calculated</x:v>
      </x:c>
      <x:c r="C58" s="164"/>
      <x:c r="D58" s="164"/>
      <x:c r="E58" s="164"/>
      <x:c r="F58" s="123" t="n">
        <x:f>E69</x:f>
        <x:v>3418.75</x:v>
      </x:c>
      <x:c r="G58" s="123" t="n">
        <x:f>F69</x:f>
        <x:v>3418.75</x:v>
      </x:c>
      <x:c r="H58" s="123" t="n">
        <x:f>G69</x:f>
        <x:v>3418.75</x:v>
      </x:c>
      <x:c r="I58" s="123" t="n">
        <x:f>H69</x:f>
        <x:v>3418.75</x:v>
      </x:c>
      <x:c r="J58" s="123" t="n">
        <x:f>I69</x:f>
        <x:v>3418.75</x:v>
      </x:c>
      <x:c r="K58" s="123" t="n">
        <x:f>J69</x:f>
        <x:v>3418.75</x:v>
      </x:c>
      <x:c r="L58" s="123" t="n">
        <x:f>K69</x:f>
        <x:v>3418.75</x:v>
      </x:c>
      <x:c r="M58" s="123" t="n">
        <x:f>L69</x:f>
        <x:v>3418.75</x:v>
      </x:c>
      <x:c r="N58" s="123" t="n">
        <x:f>M69</x:f>
        <x:v>3418.75</x:v>
      </x:c>
    </x:row>
    <x:row r="59">
      <x:c r="A59" s="45" t="str">
        <x:v>Cash and investment yield</x:v>
      </x:c>
      <x:c r="B59" s="50" t="str">
        <x:v>Assumption</x:v>
      </x:c>
      <x:c r="C59" s="164"/>
      <x:c r="D59" s="164"/>
      <x:c r="E59" s="164"/>
      <x:c r="F59" s="60" t="n">
        <x:f>'Summary &amp; Assumptions'!F49</x:f>
        <x:v>0.055</x:v>
      </x:c>
      <x:c r="G59" s="60" t="n">
        <x:f>'Summary &amp; Assumptions'!G49</x:f>
        <x:v>0.055</x:v>
      </x:c>
      <x:c r="H59" s="60" t="n">
        <x:f>'Summary &amp; Assumptions'!H49</x:f>
        <x:v>0.055</x:v>
      </x:c>
      <x:c r="I59" s="60" t="n">
        <x:f>'Summary &amp; Assumptions'!I49</x:f>
        <x:v>0.055</x:v>
      </x:c>
      <x:c r="J59" s="60" t="n">
        <x:f>'Summary &amp; Assumptions'!J49</x:f>
        <x:v>0.055</x:v>
      </x:c>
      <x:c r="K59" s="60" t="n">
        <x:f>'Summary &amp; Assumptions'!K49</x:f>
        <x:v>0.055</x:v>
      </x:c>
      <x:c r="L59" s="60" t="n">
        <x:f>'Summary &amp; Assumptions'!L49</x:f>
        <x:v>0.055</x:v>
      </x:c>
      <x:c r="M59" s="60" t="n">
        <x:f>'Summary &amp; Assumptions'!M49</x:f>
        <x:v>0.055</x:v>
      </x:c>
      <x:c r="N59" s="60" t="n">
        <x:f>'Summary &amp; Assumptions'!N49</x:f>
        <x:v>0.055</x:v>
      </x:c>
    </x:row>
    <x:row r="60">
      <x:c r="A60" s="45" t="str">
        <x:v>Interest income</x:v>
      </x:c>
      <x:c r="B60" s="50" t="str">
        <x:v>Calculated</x:v>
      </x:c>
      <x:c r="C60" s="172" t="n">
        <x:v>408.617</x:v>
      </x:c>
      <x:c r="D60" s="172" t="n">
        <x:v>646.995</x:v>
      </x:c>
      <x:c r="E60" s="172" t="n">
        <x:v>792.7</x:v>
      </x:c>
      <x:c r="F60" s="123" t="n">
        <x:f>(F56+F57+F58)*F59</x:f>
        <x:v>705.2881</x:v>
      </x:c>
      <x:c r="G60" s="123" t="n">
        <x:f>(G56+G57+G58)*G59</x:f>
        <x:v>750.4817962856677</x:v>
      </x:c>
      <x:c r="H60" s="123" t="n">
        <x:f>(H56+H57+H58)*H59</x:f>
        <x:v>942.9659449464494</x:v>
      </x:c>
      <x:c r="I60" s="123" t="n">
        <x:f>(I56+I57+I58)*I59</x:f>
        <x:v>1366.2129955724631</x:v>
      </x:c>
      <x:c r="J60" s="123" t="n">
        <x:f>(J56+J57+J58)*J59</x:f>
        <x:v>1886.215615369856</x:v>
      </x:c>
      <x:c r="K60" s="123" t="n">
        <x:f>(K56+K57+K58)*K59</x:f>
        <x:v>2477.145257747212</x:v>
      </x:c>
      <x:c r="L60" s="123" t="n">
        <x:f>(L56+L57+L58)*L59</x:f>
        <x:v>3125.8089203738136</x:v>
      </x:c>
      <x:c r="M60" s="123" t="n">
        <x:f>(M56+M57+M58)*M59</x:f>
        <x:v>3850.1585179555022</x:v>
      </x:c>
      <x:c r="N60" s="123" t="n">
        <x:f>(N56+N57+N58)*N59</x:f>
        <x:v>4641.898898225489</x:v>
      </x:c>
    </x:row>
    <x:row r="61">
      <x:c r="A61" s="45" t="str">
        <x:v>Other operating / non-financial income</x:v>
      </x:c>
      <x:c r="B61" s="50" t="str">
        <x:v>Calculated</x:v>
      </x:c>
      <x:c r="C61" s="172" t="n">
        <x:v>228.375</x:v>
      </x:c>
      <x:c r="D61" s="172" t="n">
        <x:v>210.323</x:v>
      </x:c>
      <x:c r="E61" s="172" t="n">
        <x:v>765.13</x:v>
      </x:c>
      <x:c r="F61" s="123" t="n">
        <x:f>'Three Statements'!F7*'Summary &amp; Assumptions'!F48</x:f>
        <x:v>620.8531858490567</x:v>
      </x:c>
      <x:c r="G61" s="123" t="n">
        <x:f>'Three Statements'!G7*'Summary &amp; Assumptions'!G48</x:f>
        <x:v>637.3843994409783</x:v>
      </x:c>
      <x:c r="H61" s="123" t="n">
        <x:f>'Three Statements'!H7*'Summary &amp; Assumptions'!H48</x:f>
        <x:v>679.1636811465464</x:v>
      </x:c>
      <x:c r="I61" s="123" t="n">
        <x:f>'Three Statements'!I7*'Summary &amp; Assumptions'!I48</x:f>
        <x:v>703.8597843346853</x:v>
      </x:c>
      <x:c r="J61" s="123" t="n">
        <x:f>'Three Statements'!J7*'Summary &amp; Assumptions'!J48</x:f>
        <x:v>748.06213400508</x:v>
      </x:c>
      <x:c r="K61" s="123" t="n">
        <x:f>'Three Statements'!K7*'Summary &amp; Assumptions'!K48</x:f>
        <x:v>783.4703096786766</x:v>
      </x:c>
      <x:c r="L61" s="123" t="n">
        <x:f>'Three Statements'!L7*'Summary &amp; Assumptions'!L48</x:f>
        <x:v>813.8764188788831</x:v>
      </x:c>
      <x:c r="M61" s="123" t="n">
        <x:f>'Three Statements'!M7*'Summary &amp; Assumptions'!M48</x:f>
        <x:v>894.2657130812381</x:v>
      </x:c>
      <x:c r="N61" s="123" t="n">
        <x:f>'Three Statements'!N7*'Summary &amp; Assumptions'!N48</x:f>
        <x:v>975.705918727699</x:v>
      </x:c>
    </x:row>
    <x:row r="62">
      <x:c r="A62" s="45" t="str">
        <x:v>Total other income</x:v>
      </x:c>
      <x:c r="B62" s="50" t="str">
        <x:v>Calculated</x:v>
      </x:c>
      <x:c r="C62" s="172" t="n">
        <x:v>636.992</x:v>
      </x:c>
      <x:c r="D62" s="172" t="n">
        <x:v>857.318</x:v>
      </x:c>
      <x:c r="E62" s="172" t="n">
        <x:v>1557.83</x:v>
      </x:c>
      <x:c r="F62" s="123" t="n">
        <x:f>F60+F61</x:f>
        <x:v>1326.1412858490567</x:v>
      </x:c>
      <x:c r="G62" s="123" t="n">
        <x:f>G60+G61</x:f>
        <x:v>1387.8661957266459</x:v>
      </x:c>
      <x:c r="H62" s="123" t="n">
        <x:f>H60+H61</x:f>
        <x:v>1622.1296260929957</x:v>
      </x:c>
      <x:c r="I62" s="123" t="n">
        <x:f>I60+I61</x:f>
        <x:v>2070.0727799071483</x:v>
      </x:c>
      <x:c r="J62" s="123" t="n">
        <x:f>J60+J61</x:f>
        <x:v>2634.2777493749363</x:v>
      </x:c>
      <x:c r="K62" s="123" t="n">
        <x:f>K60+K61</x:f>
        <x:v>3260.6155674258885</x:v>
      </x:c>
      <x:c r="L62" s="123" t="n">
        <x:f>L60+L61</x:f>
        <x:v>3939.685339252697</x:v>
      </x:c>
      <x:c r="M62" s="123" t="n">
        <x:f>M60+M61</x:f>
        <x:v>4744.424231036741</x:v>
      </x:c>
      <x:c r="N62" s="123" t="n">
        <x:f>N60+N61</x:f>
        <x:v>5617.604816953188</x:v>
      </x:c>
    </x:row>
    <x:row r="63">
      <x:c r="A63" s="45" t="str">
        <x:v>Minimum cash / revenue</x:v>
      </x:c>
      <x:c r="B63" s="50" t="str">
        <x:v>Cash-sweep control</x:v>
      </x:c>
      <x:c r="C63" s="164"/>
      <x:c r="D63" s="164"/>
      <x:c r="E63" s="164"/>
      <x:c r="F63" s="60" t="n">
        <x:f>'Summary &amp; Assumptions'!F61</x:f>
        <x:v>0.05</x:v>
      </x:c>
      <x:c r="G63" s="60" t="n">
        <x:f>'Summary &amp; Assumptions'!G61</x:f>
        <x:v>0.05</x:v>
      </x:c>
      <x:c r="H63" s="60" t="n">
        <x:f>'Summary &amp; Assumptions'!H61</x:f>
        <x:v>0.05</x:v>
      </x:c>
      <x:c r="I63" s="60" t="n">
        <x:f>'Summary &amp; Assumptions'!I61</x:f>
        <x:v>0.05</x:v>
      </x:c>
      <x:c r="J63" s="60" t="n">
        <x:f>'Summary &amp; Assumptions'!J61</x:f>
        <x:v>0.05</x:v>
      </x:c>
      <x:c r="K63" s="60" t="n">
        <x:f>'Summary &amp; Assumptions'!K61</x:f>
        <x:v>0.05</x:v>
      </x:c>
      <x:c r="L63" s="60" t="n">
        <x:f>'Summary &amp; Assumptions'!L61</x:f>
        <x:v>0.05</x:v>
      </x:c>
      <x:c r="M63" s="60" t="n">
        <x:f>'Summary &amp; Assumptions'!M61</x:f>
        <x:v>0.05</x:v>
      </x:c>
      <x:c r="N63" s="60" t="n">
        <x:f>'Summary &amp; Assumptions'!N61</x:f>
        <x:v>0.05</x:v>
      </x:c>
    </x:row>
    <x:row r="64">
      <x:c r="A64" s="45" t="str">
        <x:v>Minimum cash</x:v>
      </x:c>
      <x:c r="B64" s="50" t="str">
        <x:v>Calculated</x:v>
      </x:c>
      <x:c r="C64" s="164"/>
      <x:c r="D64" s="164"/>
      <x:c r="E64" s="164"/>
      <x:c r="F64" s="123" t="n">
        <x:f>'Three Statements'!F7*F63</x:f>
        <x:v>1241.7063716981133</x:v>
      </x:c>
      <x:c r="G64" s="123" t="n">
        <x:f>'Three Statements'!G7*G63</x:f>
        <x:v>1448.6009078204054</x:v>
      </x:c>
      <x:c r="H64" s="123" t="n">
        <x:f>'Three Statements'!H7*H63</x:f>
        <x:v>1697.9092028663663</x:v>
      </x:c>
      <x:c r="I64" s="123" t="n">
        <x:f>'Three Statements'!I7*I63</x:f>
        <x:v>1955.1660675963483</x:v>
      </x:c>
      <x:c r="J64" s="123" t="n">
        <x:f>'Three Statements'!J7*J63</x:f>
        <x:v>2200.1827470737644</x:v>
      </x:c>
      <x:c r="K64" s="123" t="n">
        <x:f>'Three Statements'!K7*K63</x:f>
        <x:v>2448.3447177458643</x:v>
      </x:c>
      <x:c r="L64" s="123" t="n">
        <x:f>'Three Statements'!L7*L63</x:f>
        <x:v>2712.9213962629437</x:v>
      </x:c>
      <x:c r="M64" s="123" t="n">
        <x:f>'Three Statements'!M7*M63</x:f>
        <x:v>2980.885710270794</x:v>
      </x:c>
      <x:c r="N64" s="123" t="n">
        <x:f>'Three Statements'!N7*N63</x:f>
        <x:v>3252.3530624256637</x:v>
      </x:c>
    </x:row>
    <x:row r="65">
      <x:c r="A65" s="45" t="str">
        <x:v>Pre-investment closing cash</x:v>
      </x:c>
      <x:c r="B65" s="50" t="str">
        <x:v>Calculated</x:v>
      </x:c>
      <x:c r="C65" s="164"/>
      <x:c r="D65" s="164"/>
      <x:c r="E65" s="164"/>
      <x:c r="F65" s="123" t="n">
        <x:f>F56+'Three Statements'!F75+'Three Statements'!F76+F60+'Three Statements'!F81+'Three Statements'!F82+'Three Statements'!F83+'Three Statements'!F84+'Three Statements'!F85</x:f>
        <x:v>3570.5035688303205</x:v>
      </x:c>
      <x:c r="G65" s="123" t="n">
        <x:f>G56+'Three Statements'!G75+'Three Statements'!G76+G60+'Three Statements'!G81+'Three Statements'!G82+'Three Statements'!G83+'Three Statements'!G84+'Three Statements'!G85</x:f>
        <x:v>4741.41816553051</x:v>
      </x:c>
      <x:c r="H65" s="123" t="n">
        <x:f>H56+'Three Statements'!H75+'Three Statements'!H76+H60+'Three Statements'!H81+'Three Statements'!H82+'Three Statements'!H83+'Three Statements'!H84+'Three Statements'!H85</x:f>
        <x:v>9144.001828293382</x:v>
      </x:c>
      <x:c r="I65" s="123" t="n">
        <x:f>I56+'Three Statements'!I75+'Three Statements'!I76+I60+'Three Statements'!I81+'Three Statements'!I82+'Three Statements'!I83+'Three Statements'!I84+'Three Statements'!I85</x:f>
        <x:v>11152.502290091692</x:v>
      </x:c>
      <x:c r="J65" s="123" t="n">
        <x:f>J56+'Three Statements'!J75+'Three Statements'!J76+J60+'Three Statements'!J81+'Three Statements'!J82+'Three Statements'!J83+'Three Statements'!J84+'Three Statements'!J85</x:f>
        <x:v>12699.341383548282</x:v>
      </x:c>
      <x:c r="K65" s="123" t="n">
        <x:f>K56+'Three Statements'!K75+'Three Statements'!K76+K60+'Three Statements'!K81+'Three Statements'!K82+'Three Statements'!K83+'Three Statements'!K84+'Three Statements'!K85</x:f>
        <x:v>13994.067522102876</x:v>
      </x:c>
      <x:c r="L65" s="123" t="n">
        <x:f>L56+'Three Statements'!L75+'Three Statements'!L76+L60+'Three Statements'!L81+'Three Statements'!L82+'Three Statements'!L83+'Three Statements'!L84+'Three Statements'!L85</x:f>
        <x:v>15618.337401049304</x:v>
      </x:c>
      <x:c r="M65" s="123" t="n">
        <x:f>M56+'Three Statements'!M75+'Three Statements'!M76+M60+'Three Statements'!M81+'Three Statements'!M82+'Three Statements'!M83+'Three Statements'!M84+'Three Statements'!M85</x:f>
        <x:v>17108.201037535404</x:v>
      </x:c>
      <x:c r="N65" s="123" t="n">
        <x:f>N56+'Three Statements'!N75+'Three Statements'!N76+N60+'Three Statements'!N81+'Three Statements'!N82+'Three Statements'!N83+'Three Statements'!N84+'Three Statements'!N85</x:f>
        <x:v>19146.711870938598</x:v>
      </x:c>
    </x:row>
    <x:row r="66">
      <x:c r="A66" s="45" t="str">
        <x:v>Net investment purchases</x:v>
      </x:c>
      <x:c r="B66" s="50" t="str">
        <x:v>Calculated sweep</x:v>
      </x:c>
      <x:c r="C66" s="164"/>
      <x:c r="D66" s="164"/>
      <x:c r="E66" s="164"/>
      <x:c r="F66" s="123" t="n">
        <x:f>F65-F64</x:f>
        <x:v>2328.797197132207</x:v>
      </x:c>
      <x:c r="G66" s="123" t="n">
        <x:f>G65-G64</x:f>
        <x:v>3292.817257710105</x:v>
      </x:c>
      <x:c r="H66" s="123" t="n">
        <x:f>H65-H64</x:f>
        <x:v>7446.092625427015</x:v>
      </x:c>
      <x:c r="I66" s="123" t="n">
        <x:f>I65-I64</x:f>
        <x:v>9197.336222495343</x:v>
      </x:c>
      <x:c r="J66" s="123" t="n">
        <x:f>J65-J64</x:f>
        <x:v>10499.158636474518</x:v>
      </x:c>
      <x:c r="K66" s="123" t="n">
        <x:f>K65-K64</x:f>
        <x:v>11545.722804357012</x:v>
      </x:c>
      <x:c r="L66" s="123" t="n">
        <x:f>L65-L64</x:f>
        <x:v>12905.41600478636</x:v>
      </x:c>
      <x:c r="M66" s="123" t="n">
        <x:f>M65-M64</x:f>
        <x:v>14127.31532726461</x:v>
      </x:c>
      <x:c r="N66" s="123" t="n">
        <x:f>N65-N64</x:f>
        <x:v>15894.358808512934</x:v>
      </x:c>
    </x:row>
    <x:row r="67">
      <x:c r="A67" s="45" t="str">
        <x:v>Closing current investments</x:v>
      </x:c>
      <x:c r="B67" s="50" t="str">
        <x:v>Calculated</x:v>
      </x:c>
      <x:c r="C67" s="172" t="n">
        <x:v>4590.703</x:v>
      </x:c>
      <x:c r="D67" s="172" t="n">
        <x:v>4161.418</x:v>
      </x:c>
      <x:c r="E67" s="172" t="n">
        <x:v>6655.87</x:v>
      </x:c>
      <x:c r="F67" s="123" t="n">
        <x:f>F57+F66</x:f>
        <x:v>8984.667197132207</x:v>
      </x:c>
      <x:c r="G67" s="123" t="n">
        <x:f>G57+G66</x:f>
        <x:v>12277.484454842312</x:v>
      </x:c>
      <x:c r="H67" s="123" t="n">
        <x:f>H57+H66</x:f>
        <x:v>19723.577080269326</x:v>
      </x:c>
      <x:c r="I67" s="123" t="n">
        <x:f>I57+I66</x:f>
        <x:v>28920.913302764668</x:v>
      </x:c>
      <x:c r="J67" s="123" t="n">
        <x:f>J57+J66</x:f>
        <x:v>39420.071939239184</x:v>
      </x:c>
      <x:c r="K67" s="123" t="n">
        <x:f>K57+K66</x:f>
        <x:v>50965.7947435962</x:v>
      </x:c>
      <x:c r="L67" s="123" t="n">
        <x:f>L57+L66</x:f>
        <x:v>63871.21074838256</x:v>
      </x:c>
      <x:c r="M67" s="123" t="n">
        <x:f>M57+M66</x:f>
        <x:v>77998.52607564717</x:v>
      </x:c>
      <x:c r="N67" s="123" t="n">
        <x:f>N57+N66</x:f>
        <x:v>93892.8848841601</x:v>
      </x:c>
    </x:row>
    <x:row r="68">
      <x:c r="A68" s="45" t="str">
        <x:v>Closing cash</x:v>
      </x:c>
      <x:c r="B68" s="50" t="str">
        <x:v>Calculated</x:v>
      </x:c>
      <x:c r="C68" s="172" t="n">
        <x:v>1843.579</x:v>
      </x:c>
      <x:c r="D68" s="172" t="n">
        <x:v>3169.816</x:v>
      </x:c>
      <x:c r="E68" s="172" t="n">
        <x:v>2748.8</x:v>
      </x:c>
      <x:c r="F68" s="123" t="n">
        <x:f>F65-F66</x:f>
        <x:v>1241.7063716981133</x:v>
      </x:c>
      <x:c r="G68" s="123" t="n">
        <x:f>G65-G66</x:f>
        <x:v>1448.6009078204052</x:v>
      </x:c>
      <x:c r="H68" s="123" t="n">
        <x:f>H65-H66</x:f>
        <x:v>1697.9092028663663</x:v>
      </x:c>
      <x:c r="I68" s="123" t="n">
        <x:f>I65-I66</x:f>
        <x:v>1955.1660675963485</x:v>
      </x:c>
      <x:c r="J68" s="123" t="n">
        <x:f>J65-J66</x:f>
        <x:v>2200.1827470737644</x:v>
      </x:c>
      <x:c r="K68" s="123" t="n">
        <x:f>K65-K66</x:f>
        <x:v>2448.344717745864</x:v>
      </x:c>
      <x:c r="L68" s="123" t="n">
        <x:f>L65-L66</x:f>
        <x:v>2712.9213962629437</x:v>
      </x:c>
      <x:c r="M68" s="123" t="n">
        <x:f>M65-M66</x:f>
        <x:v>2980.8857102707934</x:v>
      </x:c>
      <x:c r="N68" s="123" t="n">
        <x:f>N65-N66</x:f>
        <x:v>3252.3530624256637</x:v>
      </x:c>
    </x:row>
    <x:row r="69">
      <x:c r="A69" s="45" t="str">
        <x:v>Closing non-current investments</x:v>
      </x:c>
      <x:c r="B69" s="50" t="str">
        <x:v>Assumption</x:v>
      </x:c>
      <x:c r="C69" s="172" t="n">
        <x:v>125.531</x:v>
      </x:c>
      <x:c r="D69" s="172" t="n">
        <x:v>169.282</x:v>
      </x:c>
      <x:c r="E69" s="172" t="n">
        <x:v>3418.75</x:v>
      </x:c>
      <x:c r="F69" s="123" t="n">
        <x:f>F58</x:f>
        <x:v>3418.75</x:v>
      </x:c>
      <x:c r="G69" s="123" t="n">
        <x:f>G58</x:f>
        <x:v>3418.75</x:v>
      </x:c>
      <x:c r="H69" s="123" t="n">
        <x:f>H58</x:f>
        <x:v>3418.75</x:v>
      </x:c>
      <x:c r="I69" s="123" t="n">
        <x:f>I58</x:f>
        <x:v>3418.75</x:v>
      </x:c>
      <x:c r="J69" s="123" t="n">
        <x:f>J58</x:f>
        <x:v>3418.75</x:v>
      </x:c>
      <x:c r="K69" s="123" t="n">
        <x:f>K58</x:f>
        <x:v>3418.75</x:v>
      </x:c>
      <x:c r="L69" s="123" t="n">
        <x:f>L58</x:f>
        <x:v>3418.75</x:v>
      </x:c>
      <x:c r="M69" s="123" t="n">
        <x:f>M58</x:f>
        <x:v>3418.75</x:v>
      </x:c>
      <x:c r="N69" s="123" t="n">
        <x:f>N58</x:f>
        <x:v>3418.75</x:v>
      </x:c>
    </x:row>
    <x:row r="70">
      <x:c r="A70" s="45" t="str">
        <x:v>Net cash</x:v>
      </x:c>
      <x:c r="B70" s="50" t="str">
        <x:v>Calculated</x:v>
      </x:c>
      <x:c r="C70" s="172" t="n">
        <x:v>4174.651</x:v>
      </x:c>
      <x:c r="D70" s="172" t="n">
        <x:v>6367.346</x:v>
      </x:c>
      <x:c r="E70" s="172" t="n">
        <x:v>12494.18</x:v>
      </x:c>
      <x:c r="F70" s="123" t="n">
        <x:f>F68+F67+F69-F52-'Three Statements'!F52</x:f>
        <x:v>13626.563568830321</x:v>
      </x:c>
      <x:c r="G70" s="123" t="n">
        <x:f>G68+G67+G69-G52-'Three Statements'!G52</x:f>
        <x:v>17136.275362662716</x:v>
      </x:c>
      <x:c r="H70" s="123" t="n">
        <x:f>H68+H67+H69-H52-'Three Statements'!H52</x:f>
        <x:v>24840.23628313569</x:v>
      </x:c>
      <x:c r="I70" s="123" t="n">
        <x:f>I68+I67+I69-I52-'Three Statements'!I52</x:f>
        <x:v>34294.82937036102</x:v>
      </x:c>
      <x:c r="J70" s="123" t="n">
        <x:f>J68+J67+J69-J52-'Three Statements'!J52</x:f>
        <x:v>45039.00468631295</x:v>
      </x:c>
      <x:c r="K70" s="123" t="n">
        <x:f>K68+K67+K69-K52-'Three Statements'!K52</x:f>
        <x:v>56832.88946134206</x:v>
      </x:c>
      <x:c r="L70" s="123" t="n">
        <x:f>L68+L67+L69-L52-'Three Statements'!L52</x:f>
        <x:v>70002.8821446455</x:v>
      </x:c>
      <x:c r="M70" s="123" t="n">
        <x:f>M68+M67+M69-M52-'Three Statements'!M52</x:f>
        <x:v>84398.16178591797</x:v>
      </x:c>
      <x:c r="N70" s="123" t="n">
        <x:f>N68+N67+N69-N52-'Three Statements'!N52</x:f>
        <x:v>100563.98794658577</x:v>
      </x:c>
    </x:row>
    <x:row r="71">
      <x:c r="A71" s="158"/>
      <x:c r="B71" s="158"/>
      <x:c r="C71" s="164"/>
      <x:c r="D71" s="164"/>
      <x:c r="E71" s="164"/>
      <x:c r="F71" s="158"/>
      <x:c r="G71" s="158"/>
      <x:c r="H71" s="158"/>
      <x:c r="I71" s="158"/>
      <x:c r="J71" s="158"/>
      <x:c r="K71" s="158"/>
      <x:c r="L71" s="158"/>
      <x:c r="M71" s="158"/>
      <x:c r="N71" s="158"/>
    </x:row>
    <x:row r="72" ht="20" customHeight="1">
      <x:c r="A72" s="40" t="str">
        <x:v>Tax Schedule</x:v>
      </x:c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</x:row>
    <x:row r="73">
      <x:c r="A73" s="45" t="str">
        <x:v>Profit before tax</x:v>
      </x:c>
      <x:c r="B73" s="50" t="str">
        <x:v>Link to Three Statements</x:v>
      </x:c>
      <x:c r="C73" s="200" t="n">
        <x:f>'Three Statements'!C23</x:f>
        <x:v>4773.1810000000005</x:v>
      </x:c>
      <x:c r="D73" s="200" t="n">
        <x:f>'Three Statements'!D23</x:f>
        <x:v>6568.676999999999</x:v>
      </x:c>
      <x:c r="E73" s="200" t="n">
        <x:f>'Three Statements'!E23</x:f>
        <x:v>8242.400000000001</x:v>
      </x:c>
      <x:c r="F73" s="55" t="n">
        <x:f>'Three Statements'!F23</x:f>
        <x:v>9697.159038377355</x:v>
      </x:c>
      <x:c r="G73" s="55" t="n">
        <x:f>'Three Statements'!G23</x:f>
        <x:v>10945.644154174453</x:v>
      </x:c>
      <x:c r="H73" s="55" t="n">
        <x:f>'Three Statements'!H23</x:f>
        <x:v>12717.827837485758</x:v>
      </x:c>
      <x:c r="I73" s="55" t="n">
        <x:f>'Three Statements'!I23</x:f>
        <x:v>15329.92024432941</x:v>
      </x:c>
      <x:c r="J73" s="55" t="n">
        <x:f>'Three Statements'!J23</x:f>
        <x:v>18155.55039060314</x:v>
      </x:c>
      <x:c r="K73" s="55" t="n">
        <x:f>'Three Statements'!K23</x:f>
        <x:v>21003.67183148262</x:v>
      </x:c>
      <x:c r="L73" s="55" t="n">
        <x:f>'Three Statements'!L23</x:f>
        <x:v>24025.34577162293</x:v>
      </x:c>
      <x:c r="M73" s="55" t="n">
        <x:f>'Three Statements'!M23</x:f>
        <x:v>27110.058435281633</x:v>
      </x:c>
      <x:c r="N73" s="55" t="n">
        <x:f>'Three Statements'!N23</x:f>
        <x:v>30315.800067025095</x:v>
      </x:c>
    </x:row>
    <x:row r="74">
      <x:c r="A74" s="45" t="str">
        <x:v>Current tax rate</x:v>
      </x:c>
      <x:c r="B74" s="50" t="str">
        <x:v>Assumption</x:v>
      </x:c>
      <x:c r="C74" s="164"/>
      <x:c r="D74" s="164"/>
      <x:c r="E74" s="164"/>
      <x:c r="F74" s="146" t="n">
        <x:f>'Summary &amp; Assumptions'!F51</x:f>
        <x:v>0.265</x:v>
      </x:c>
      <x:c r="G74" s="146" t="n">
        <x:f>'Summary &amp; Assumptions'!G51</x:f>
        <x:v>0.265</x:v>
      </x:c>
      <x:c r="H74" s="146" t="n">
        <x:f>'Summary &amp; Assumptions'!H51</x:f>
        <x:v>0.26</x:v>
      </x:c>
      <x:c r="I74" s="146" t="n">
        <x:f>'Summary &amp; Assumptions'!I51</x:f>
        <x:v>0.26</x:v>
      </x:c>
      <x:c r="J74" s="146" t="n">
        <x:f>'Summary &amp; Assumptions'!J51</x:f>
        <x:v>0.26</x:v>
      </x:c>
      <x:c r="K74" s="146" t="n">
        <x:f>'Summary &amp; Assumptions'!K51</x:f>
        <x:v>0.26</x:v>
      </x:c>
      <x:c r="L74" s="146" t="n">
        <x:f>'Summary &amp; Assumptions'!L51</x:f>
        <x:v>0.26</x:v>
      </x:c>
      <x:c r="M74" s="146" t="n">
        <x:f>'Summary &amp; Assumptions'!M51</x:f>
        <x:v>0.26</x:v>
      </x:c>
      <x:c r="N74" s="146" t="n">
        <x:f>'Summary &amp; Assumptions'!N51</x:f>
        <x:v>0.26</x:v>
      </x:c>
    </x:row>
    <x:row r="75">
      <x:c r="A75" s="45" t="str">
        <x:v>Current tax</x:v>
      </x:c>
      <x:c r="B75" s="50" t="str">
        <x:v>Calculated</x:v>
      </x:c>
      <x:c r="C75" s="172" t="n">
        <x:v>1264.108</x:v>
      </x:c>
      <x:c r="D75" s="172" t="n">
        <x:v>1820.271</x:v>
      </x:c>
      <x:c r="E75" s="172" t="n">
        <x:v>2413.05</x:v>
      </x:c>
      <x:c r="F75" s="122" t="n">
        <x:f>F73*F74</x:f>
        <x:v>2569.747145169999</x:v>
      </x:c>
      <x:c r="G75" s="122" t="n">
        <x:f>G73*G74</x:f>
        <x:v>2900.5957008562305</x:v>
      </x:c>
      <x:c r="H75" s="122" t="n">
        <x:f>H73*H74</x:f>
        <x:v>3306.635237746297</x:v>
      </x:c>
      <x:c r="I75" s="122" t="n">
        <x:f>I73*I74</x:f>
        <x:v>3985.779263525647</x:v>
      </x:c>
      <x:c r="J75" s="122" t="n">
        <x:f>J73*J74</x:f>
        <x:v>4720.443101556817</x:v>
      </x:c>
      <x:c r="K75" s="122" t="n">
        <x:f>K73*K74</x:f>
        <x:v>5460.954676185482</x:v>
      </x:c>
      <x:c r="L75" s="122" t="n">
        <x:f>L73*L74</x:f>
        <x:v>6246.589900621962</x:v>
      </x:c>
      <x:c r="M75" s="122" t="n">
        <x:f>M73*M74</x:f>
        <x:v>7048.615193173225</x:v>
      </x:c>
      <x:c r="N75" s="122" t="n">
        <x:f>N73*N74</x:f>
        <x:v>7882.108017426525</x:v>
      </x:c>
    </x:row>
    <x:row r="76">
      <x:c r="A76" s="45" t="str">
        <x:v>Deferred tax rate</x:v>
      </x:c>
      <x:c r="B76" s="50" t="str">
        <x:v>Assumption</x:v>
      </x:c>
      <x:c r="C76" s="164"/>
      <x:c r="D76" s="164"/>
      <x:c r="E76" s="164"/>
      <x:c r="F76" s="146" t="n">
        <x:f>'Summary &amp; Assumptions'!F52</x:f>
        <x:v>-0.005</x:v>
      </x:c>
      <x:c r="G76" s="146" t="n">
        <x:f>'Summary &amp; Assumptions'!G52</x:f>
        <x:v>-0.005</x:v>
      </x:c>
      <x:c r="H76" s="146" t="n">
        <x:f>'Summary &amp; Assumptions'!H52</x:f>
        <x:v>-0.003</x:v>
      </x:c>
      <x:c r="I76" s="146" t="n">
        <x:f>'Summary &amp; Assumptions'!I52</x:f>
        <x:v>0</x:v>
      </x:c>
      <x:c r="J76" s="146" t="n">
        <x:f>'Summary &amp; Assumptions'!J52</x:f>
        <x:v>0</x:v>
      </x:c>
      <x:c r="K76" s="146" t="n">
        <x:f>'Summary &amp; Assumptions'!K52</x:f>
        <x:v>0</x:v>
      </x:c>
      <x:c r="L76" s="146" t="n">
        <x:f>'Summary &amp; Assumptions'!L52</x:f>
        <x:v>0</x:v>
      </x:c>
      <x:c r="M76" s="146" t="n">
        <x:f>'Summary &amp; Assumptions'!M52</x:f>
        <x:v>0</x:v>
      </x:c>
      <x:c r="N76" s="146" t="n">
        <x:f>'Summary &amp; Assumptions'!N52</x:f>
        <x:v>0</x:v>
      </x:c>
    </x:row>
    <x:row r="77">
      <x:c r="A77" s="45" t="str">
        <x:v>Deferred tax</x:v>
      </x:c>
      <x:c r="B77" s="50" t="str">
        <x:v>Calculated</x:v>
      </x:c>
      <x:c r="C77" s="172" t="n">
        <x:v>-164.029</x:v>
      </x:c>
      <x:c r="D77" s="172" t="n">
        <x:v>235.813</x:v>
      </x:c>
      <x:c r="E77" s="172" t="n">
        <x:v>-88.58</x:v>
      </x:c>
      <x:c r="F77" s="122" t="n">
        <x:f>F73*F76</x:f>
        <x:v>-48.48579519188677</x:v>
      </x:c>
      <x:c r="G77" s="122" t="n">
        <x:f>G73*G76</x:f>
        <x:v>-54.72822077087227</x:v>
      </x:c>
      <x:c r="H77" s="122" t="n">
        <x:f>H73*H76</x:f>
        <x:v>-38.15348351245728</x:v>
      </x:c>
      <x:c r="I77" s="122" t="n">
        <x:f>I73*I76</x:f>
        <x:v>0</x:v>
      </x:c>
      <x:c r="J77" s="122" t="n">
        <x:f>J73*J76</x:f>
        <x:v>0</x:v>
      </x:c>
      <x:c r="K77" s="122" t="n">
        <x:f>K73*K76</x:f>
        <x:v>0</x:v>
      </x:c>
      <x:c r="L77" s="122" t="n">
        <x:f>L73*L76</x:f>
        <x:v>0</x:v>
      </x:c>
      <x:c r="M77" s="122" t="n">
        <x:f>M73*M76</x:f>
        <x:v>0</x:v>
      </x:c>
      <x:c r="N77" s="122" t="n">
        <x:f>N73*N76</x:f>
        <x:v>0</x:v>
      </x:c>
    </x:row>
    <x:row r="78">
      <x:c r="A78" s="45" t="str">
        <x:v>Effective tax rate</x:v>
      </x:c>
      <x:c r="B78" s="50" t="str">
        <x:v>Calculated</x:v>
      </x:c>
      <x:c r="C78" s="201" t="n">
        <x:f>IF(C73=0,0,(C75+C77)/C73)</x:f>
        <x:v>0.23047083276330813</x:v>
      </x:c>
      <x:c r="D78" s="201" t="n">
        <x:f>IF(D73=0,0,(D75+D77)/D73)</x:f>
        <x:v>0.3130134119853968</x:v>
      </x:c>
      <x:c r="E78" s="201" t="n">
        <x:f>IF(E73=0,0,(E75+E77)/E73)</x:f>
        <x:v>0.2820137338639231</x:v>
      </x:c>
      <x:c r="F78" s="149" t="n">
        <x:f>IF(F73=0,0,(F75+F77)/F73)</x:f>
        <x:v>0.26</x:v>
      </x:c>
      <x:c r="G78" s="149" t="n">
        <x:f>IF(G73=0,0,(G75+G77)/G73)</x:f>
        <x:v>0.26</x:v>
      </x:c>
      <x:c r="H78" s="149" t="n">
        <x:f>IF(H73=0,0,(H75+H77)/H73)</x:f>
        <x:v>0.257</x:v>
      </x:c>
      <x:c r="I78" s="149" t="n">
        <x:f>IF(I73=0,0,(I75+I77)/I73)</x:f>
        <x:v>0.26</x:v>
      </x:c>
      <x:c r="J78" s="149" t="n">
        <x:f>IF(J73=0,0,(J75+J77)/J73)</x:f>
        <x:v>0.26</x:v>
      </x:c>
      <x:c r="K78" s="149" t="n">
        <x:f>IF(K73=0,0,(K75+K77)/K73)</x:f>
        <x:v>0.26</x:v>
      </x:c>
      <x:c r="L78" s="149" t="n">
        <x:f>IF(L73=0,0,(L75+L77)/L73)</x:f>
        <x:v>0.26</x:v>
      </x:c>
      <x:c r="M78" s="149" t="n">
        <x:f>IF(M73=0,0,(M75+M77)/M73)</x:f>
        <x:v>0.26</x:v>
      </x:c>
      <x:c r="N78" s="149" t="n">
        <x:f>IF(N73=0,0,(N75+N77)/N73)</x:f>
        <x:v>0.26</x:v>
      </x:c>
    </x:row>
    <x:row r="79">
      <x:c r="A79" s="158"/>
      <x:c r="B79" s="158"/>
      <x:c r="C79" s="164"/>
      <x:c r="D79" s="164"/>
      <x:c r="E79" s="164"/>
      <x:c r="F79" s="158"/>
      <x:c r="G79" s="158"/>
      <x:c r="H79" s="158"/>
      <x:c r="I79" s="158"/>
      <x:c r="J79" s="158"/>
      <x:c r="K79" s="158"/>
      <x:c r="L79" s="158"/>
      <x:c r="M79" s="158"/>
      <x:c r="N79" s="158"/>
    </x:row>
    <x:row r="80">
      <x:c r="A80" s="158"/>
      <x:c r="B80" s="158"/>
      <x:c r="C80" s="164"/>
      <x:c r="D80" s="164"/>
      <x:c r="E80" s="164"/>
      <x:c r="F80" s="158"/>
      <x:c r="G80" s="158"/>
      <x:c r="H80" s="158"/>
      <x:c r="I80" s="158"/>
      <x:c r="J80" s="158"/>
      <x:c r="K80" s="158"/>
      <x:c r="L80" s="158"/>
      <x:c r="M80" s="158"/>
      <x:c r="N80" s="158"/>
    </x:row>
    <x:row r="81" ht="20" customHeight="1">
      <x:c r="A81" s="40" t="str">
        <x:v>Equity, Retained Earnings, ESOP and Diluted Shares</x:v>
      </x:c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</x:row>
    <x:row r="82">
      <x:c r="A82" s="45" t="str">
        <x:v>Opening share capital</x:v>
      </x:c>
      <x:c r="B82" s="50" t="str">
        <x:v>Calculated</x:v>
      </x:c>
      <x:c r="C82" s="164"/>
      <x:c r="D82" s="164"/>
      <x:c r="E82" s="164"/>
      <x:c r="F82" s="123" t="n">
        <x:f>E85</x:f>
        <x:v>1123.43</x:v>
      </x:c>
      <x:c r="G82" s="123" t="n">
        <x:f>F85</x:f>
        <x:v>1123.43</x:v>
      </x:c>
      <x:c r="H82" s="123" t="n">
        <x:f>G85</x:f>
        <x:v>1123.43</x:v>
      </x:c>
      <x:c r="I82" s="123" t="n">
        <x:f>H85</x:f>
        <x:v>1123.43</x:v>
      </x:c>
      <x:c r="J82" s="123" t="n">
        <x:f>I85</x:f>
        <x:v>1123.43</x:v>
      </x:c>
      <x:c r="K82" s="123" t="n">
        <x:f>J85</x:f>
        <x:v>1123.43</x:v>
      </x:c>
      <x:c r="L82" s="123" t="n">
        <x:f>K85</x:f>
        <x:v>1123.43</x:v>
      </x:c>
      <x:c r="M82" s="123" t="n">
        <x:f>L85</x:f>
        <x:v>1123.43</x:v>
      </x:c>
      <x:c r="N82" s="123" t="n">
        <x:f>M85</x:f>
        <x:v>1123.43</x:v>
      </x:c>
    </x:row>
    <x:row r="83">
      <x:c r="A83" s="45" t="str">
        <x:v>Share-capital additions</x:v>
      </x:c>
      <x:c r="B83" s="50" t="str">
        <x:v>Assumption / reported</x:v>
      </x:c>
      <x:c r="C83" s="164"/>
      <x:c r="D83" s="164"/>
      <x:c r="E83" s="164"/>
      <x:c r="F83" s="103" t="n">
        <x:v>0</x:v>
      </x:c>
      <x:c r="G83" s="103" t="n">
        <x:v>0</x:v>
      </x:c>
      <x:c r="H83" s="103" t="n">
        <x:v>0</x:v>
      </x:c>
      <x:c r="I83" s="103" t="n">
        <x:v>0</x:v>
      </x:c>
      <x:c r="J83" s="103" t="n">
        <x:v>0</x:v>
      </x:c>
      <x:c r="K83" s="103" t="n">
        <x:v>0</x:v>
      </x:c>
      <x:c r="L83" s="103" t="n">
        <x:v>0</x:v>
      </x:c>
      <x:c r="M83" s="103" t="n">
        <x:v>0</x:v>
      </x:c>
      <x:c r="N83" s="103" t="n">
        <x:v>0</x:v>
      </x:c>
    </x:row>
    <x:row r="84">
      <x:c r="A84" s="45" t="str">
        <x:v>Equity-issuance cash proceeds</x:v>
      </x:c>
      <x:c r="B84" s="50" t="str">
        <x:v>Reported / assumption</x:v>
      </x:c>
      <x:c r="C84" s="172" t="n">
        <x:v>0</x:v>
      </x:c>
      <x:c r="D84" s="172" t="n">
        <x:v>0</x:v>
      </x:c>
      <x:c r="E84" s="172" t="n">
        <x:v>265.65</x:v>
      </x:c>
      <x:c r="F84" s="103" t="n">
        <x:v>0</x:v>
      </x:c>
      <x:c r="G84" s="103" t="n">
        <x:v>0</x:v>
      </x:c>
      <x:c r="H84" s="103" t="n">
        <x:v>0</x:v>
      </x:c>
      <x:c r="I84" s="103" t="n">
        <x:v>0</x:v>
      </x:c>
      <x:c r="J84" s="103" t="n">
        <x:v>0</x:v>
      </x:c>
      <x:c r="K84" s="103" t="n">
        <x:v>0</x:v>
      </x:c>
      <x:c r="L84" s="103" t="n">
        <x:v>0</x:v>
      </x:c>
      <x:c r="M84" s="103" t="n">
        <x:v>0</x:v>
      </x:c>
      <x:c r="N84" s="103" t="n">
        <x:v>0</x:v>
      </x:c>
    </x:row>
    <x:row r="85">
      <x:c r="A85" s="45" t="str">
        <x:v>Closing share capital</x:v>
      </x:c>
      <x:c r="B85" s="50" t="str">
        <x:v>Calculated</x:v>
      </x:c>
      <x:c r="C85" s="172" t="n">
        <x:v>1118.154</x:v>
      </x:c>
      <x:c r="D85" s="172" t="n">
        <x:v>1118.154</x:v>
      </x:c>
      <x:c r="E85" s="172" t="n">
        <x:v>1123.43</x:v>
      </x:c>
      <x:c r="F85" s="123" t="n">
        <x:f>F82+F83</x:f>
        <x:v>1123.43</x:v>
      </x:c>
      <x:c r="G85" s="123" t="n">
        <x:f>G82+G83</x:f>
        <x:v>1123.43</x:v>
      </x:c>
      <x:c r="H85" s="123" t="n">
        <x:f>H82+H83</x:f>
        <x:v>1123.43</x:v>
      </x:c>
      <x:c r="I85" s="123" t="n">
        <x:f>I82+I83</x:f>
        <x:v>1123.43</x:v>
      </x:c>
      <x:c r="J85" s="123" t="n">
        <x:f>J82+J83</x:f>
        <x:v>1123.43</x:v>
      </x:c>
      <x:c r="K85" s="123" t="n">
        <x:f>K82+K83</x:f>
        <x:v>1123.43</x:v>
      </x:c>
      <x:c r="L85" s="123" t="n">
        <x:f>L82+L83</x:f>
        <x:v>1123.43</x:v>
      </x:c>
      <x:c r="M85" s="123" t="n">
        <x:f>M82+M83</x:f>
        <x:v>1123.43</x:v>
      </x:c>
      <x:c r="N85" s="123" t="n">
        <x:f>N82+N83</x:f>
        <x:v>1123.43</x:v>
      </x:c>
    </x:row>
    <x:row r="86">
      <x:c r="A86" s="45" t="str">
        <x:v>Opening other equity</x:v>
      </x:c>
      <x:c r="B86" s="50" t="str">
        <x:v>Calculated</x:v>
      </x:c>
      <x:c r="C86" s="164"/>
      <x:c r="D86" s="164"/>
      <x:c r="E86" s="164"/>
      <x:c r="F86" s="123" t="n">
        <x:f>E93</x:f>
        <x:v>29301.73</x:v>
      </x:c>
      <x:c r="G86" s="123" t="n">
        <x:f>F93</x:f>
        <x:v>36608.75188125056</x:v>
      </x:c>
      <x:c r="H86" s="123" t="n">
        <x:f>G93</x:f>
        <x:v>44030.373570542404</x:v>
      </x:c>
      <x:c r="I86" s="123" t="n">
        <x:f>H93</x:f>
        <x:v>52476.197550584235</x:v>
      </x:c>
      <x:c r="J86" s="123" t="n">
        <x:f>I93</x:f>
        <x:v>62217.257754074286</x:v>
      </x:c>
      <x:c r="K86" s="123" t="n">
        <x:f>J93</x:f>
        <x:v>73315.8925292834</x:v>
      </x:c>
      <x:c r="L86" s="123" t="n">
        <x:f>K93</x:f>
        <x:v>85810.29553357766</x:v>
      </x:c>
      <x:c r="M86" s="123" t="n">
        <x:f>L93</x:f>
        <x:v>100066.39787141285</x:v>
      </x:c>
      <x:c r="N86" s="123" t="n">
        <x:f>M93</x:f>
        <x:v>115714.3236002574</x:v>
      </x:c>
    </x:row>
    <x:row r="87">
      <x:c r="A87" s="45" t="str">
        <x:v>Profit after tax</x:v>
      </x:c>
      <x:c r="B87" s="50" t="str">
        <x:v>Link to Three Statements</x:v>
      </x:c>
      <x:c r="C87" s="164"/>
      <x:c r="D87" s="164"/>
      <x:c r="E87" s="164"/>
      <x:c r="F87" s="56" t="n">
        <x:f>'Three Statements'!F26</x:f>
        <x:v>7175.897688399243</x:v>
      </x:c>
      <x:c r="G87" s="56" t="n">
        <x:f>'Three Statements'!G26</x:f>
        <x:v>8099.776674089095</x:v>
      </x:c>
      <x:c r="H87" s="56" t="n">
        <x:f>'Three Statements'!H26</x:f>
        <x:v>9449.346083251918</x:v>
      </x:c>
      <x:c r="I87" s="56" t="n">
        <x:f>'Three Statements'!I26</x:f>
        <x:v>11344.140980803764</x:v>
      </x:c>
      <x:c r="J87" s="56" t="n">
        <x:f>'Three Statements'!J26</x:f>
        <x:v>13435.107289046324</x:v>
      </x:c>
      <x:c r="K87" s="56" t="n">
        <x:f>'Three Statements'!K26</x:f>
        <x:v>15542.71715529714</x:v>
      </x:c>
      <x:c r="L87" s="56" t="n">
        <x:f>'Three Statements'!L26</x:f>
        <x:v>17778.75587100097</x:v>
      </x:c>
      <x:c r="M87" s="56" t="n">
        <x:f>'Three Statements'!M26</x:f>
        <x:v>20061.44324210841</x:v>
      </x:c>
      <x:c r="N87" s="56" t="n">
        <x:f>'Three Statements'!N26</x:f>
        <x:v>22433.69204959857</x:v>
      </x:c>
    </x:row>
    <x:row r="88">
      <x:c r="A88" s="45" t="str">
        <x:v>Dividend payout</x:v>
      </x:c>
      <x:c r="B88" s="50" t="str">
        <x:v>Assumption</x:v>
      </x:c>
      <x:c r="C88" s="164"/>
      <x:c r="D88" s="164"/>
      <x:c r="E88" s="164"/>
      <x:c r="F88" s="60" t="n">
        <x:f>'Summary &amp; Assumptions'!F59</x:f>
        <x:v>0</x:v>
      </x:c>
      <x:c r="G88" s="60" t="n">
        <x:f>'Summary &amp; Assumptions'!G59</x:f>
        <x:v>0.1</x:v>
      </x:c>
      <x:c r="H88" s="60" t="n">
        <x:f>'Summary &amp; Assumptions'!H59</x:f>
        <x:v>0.12</x:v>
      </x:c>
      <x:c r="I88" s="60" t="n">
        <x:f>'Summary &amp; Assumptions'!I59</x:f>
        <x:v>0.15</x:v>
      </x:c>
      <x:c r="J88" s="60" t="n">
        <x:f>'Summary &amp; Assumptions'!J59</x:f>
        <x:v>0.18</x:v>
      </x:c>
      <x:c r="K88" s="60" t="n">
        <x:f>'Summary &amp; Assumptions'!K59</x:f>
        <x:v>0.2</x:v>
      </x:c>
      <x:c r="L88" s="60" t="n">
        <x:f>'Summary &amp; Assumptions'!L59</x:f>
        <x:v>0.2</x:v>
      </x:c>
      <x:c r="M88" s="60" t="n">
        <x:f>'Summary &amp; Assumptions'!M59</x:f>
        <x:v>0.22</x:v>
      </x:c>
      <x:c r="N88" s="60" t="n">
        <x:f>'Summary &amp; Assumptions'!N59</x:f>
        <x:v>0.22</x:v>
      </x:c>
    </x:row>
    <x:row r="89">
      <x:c r="A89" s="45" t="str">
        <x:v>Dividend</x:v>
      </x:c>
      <x:c r="B89" s="50" t="str">
        <x:v>Calculated</x:v>
      </x:c>
      <x:c r="C89" s="164"/>
      <x:c r="D89" s="164"/>
      <x:c r="E89" s="164"/>
      <x:c r="F89" s="123" t="n">
        <x:f>F87*F88</x:f>
        <x:v>0</x:v>
      </x:c>
      <x:c r="G89" s="123" t="n">
        <x:f>G87*G88</x:f>
        <x:v>809.9776674089095</x:v>
      </x:c>
      <x:c r="H89" s="123" t="n">
        <x:f>H87*H88</x:f>
        <x:v>1133.92152999023</x:v>
      </x:c>
      <x:c r="I89" s="123" t="n">
        <x:f>I87*I88</x:f>
        <x:v>1701.6211471205645</x:v>
      </x:c>
      <x:c r="J89" s="123" t="n">
        <x:f>J87*J88</x:f>
        <x:v>2418.319312028338</x:v>
      </x:c>
      <x:c r="K89" s="123" t="n">
        <x:f>K87*K88</x:f>
        <x:v>3108.5434310594283</x:v>
      </x:c>
      <x:c r="L89" s="123" t="n">
        <x:f>L87*L88</x:f>
        <x:v>3555.751174200194</x:v>
      </x:c>
      <x:c r="M89" s="123" t="n">
        <x:f>M87*M88</x:f>
        <x:v>4413.51751326385</x:v>
      </x:c>
      <x:c r="N89" s="123" t="n">
        <x:f>N87*N88</x:f>
        <x:v>4935.412250911685</x:v>
      </x:c>
    </x:row>
    <x:row r="90">
      <x:c r="A90" s="45" t="str">
        <x:v>ESOP expense / employee cost</x:v>
      </x:c>
      <x:c r="B90" s="50" t="str">
        <x:v>Assumption</x:v>
      </x:c>
      <x:c r="C90" s="164"/>
      <x:c r="D90" s="164"/>
      <x:c r="E90" s="164"/>
      <x:c r="F90" s="60" t="n">
        <x:f>'Summary &amp; Assumptions'!F60</x:f>
        <x:v>0.04</x:v>
      </x:c>
      <x:c r="G90" s="60" t="n">
        <x:f>'Summary &amp; Assumptions'!G60</x:f>
        <x:v>0.035</x:v>
      </x:c>
      <x:c r="H90" s="60" t="n">
        <x:f>'Summary &amp; Assumptions'!H60</x:f>
        <x:v>0.03</x:v>
      </x:c>
      <x:c r="I90" s="60" t="n">
        <x:f>'Summary &amp; Assumptions'!I60</x:f>
        <x:v>0.02</x:v>
      </x:c>
      <x:c r="J90" s="60" t="n">
        <x:f>'Summary &amp; Assumptions'!J60</x:f>
        <x:v>0.015</x:v>
      </x:c>
      <x:c r="K90" s="60" t="n">
        <x:f>'Summary &amp; Assumptions'!K60</x:f>
        <x:v>0.01</x:v>
      </x:c>
      <x:c r="L90" s="60" t="n">
        <x:f>'Summary &amp; Assumptions'!L60</x:f>
        <x:v>0.005</x:v>
      </x:c>
      <x:c r="M90" s="60" t="n">
        <x:f>'Summary &amp; Assumptions'!M60</x:f>
        <x:v>0</x:v>
      </x:c>
      <x:c r="N90" s="60" t="n">
        <x:f>'Summary &amp; Assumptions'!N60</x:f>
        <x:v>0</x:v>
      </x:c>
    </x:row>
    <x:row r="91">
      <x:c r="A91" s="45" t="str">
        <x:v>ESOP expense</x:v>
      </x:c>
      <x:c r="B91" s="50" t="str">
        <x:v>Calculated</x:v>
      </x:c>
      <x:c r="C91" s="172" t="n">
        <x:v>0</x:v>
      </x:c>
      <x:c r="D91" s="172" t="n">
        <x:v>343.464</x:v>
      </x:c>
      <x:c r="E91" s="172" t="n">
        <x:v>158.59</x:v>
      </x:c>
      <x:c r="F91" s="123" t="n">
        <x:f>'Three Statements'!F12*F90</x:f>
        <x:v>131.12419285132077</x:v>
      </x:c>
      <x:c r="G91" s="123" t="n">
        <x:f>'Three Statements'!G12*G90</x:f>
        <x:v>131.8226826116569</x:v>
      </x:c>
      <x:c r="H91" s="123" t="n">
        <x:f>'Three Statements'!H12*H90</x:f>
        <x:v>130.3994267801369</x:v>
      </x:c>
      <x:c r="I91" s="123" t="n">
        <x:f>'Three Statements'!I12*I90</x:f>
        <x:v>98.54036980685595</x:v>
      </x:c>
      <x:c r="J91" s="123" t="n">
        <x:f>'Three Statements'!J12*J90</x:f>
        <x:v>81.84679819114403</x:v>
      </x:c>
      <x:c r="K91" s="123" t="n">
        <x:f>'Three Statements'!K12*K90</x:f>
        <x:v>60.22928005654826</x:v>
      </x:c>
      <x:c r="L91" s="123" t="n">
        <x:f>'Three Statements'!L12*L90</x:f>
        <x:v>33.097641034407914</x:v>
      </x:c>
      <x:c r="M91" s="123" t="n">
        <x:f>'Three Statements'!M12*M90</x:f>
        <x:v>0</x:v>
      </x:c>
      <x:c r="N91" s="123" t="n">
        <x:f>'Three Statements'!N12*N90</x:f>
        <x:v>0</x:v>
      </x:c>
    </x:row>
    <x:row r="92">
      <x:c r="A92" s="45" t="str">
        <x:v>Other OCI / direct equity adjustments</x:v>
      </x:c>
      <x:c r="B92" s="50" t="str">
        <x:v>Assumption</x:v>
      </x:c>
      <x:c r="C92" s="164"/>
      <x:c r="D92" s="164"/>
      <x:c r="E92" s="164"/>
      <x:c r="F92" s="103" t="n">
        <x:v>0</x:v>
      </x:c>
      <x:c r="G92" s="103" t="n">
        <x:v>0</x:v>
      </x:c>
      <x:c r="H92" s="103" t="n">
        <x:v>0</x:v>
      </x:c>
      <x:c r="I92" s="103" t="n">
        <x:v>0</x:v>
      </x:c>
      <x:c r="J92" s="103" t="n">
        <x:v>0</x:v>
      </x:c>
      <x:c r="K92" s="103" t="n">
        <x:v>0</x:v>
      </x:c>
      <x:c r="L92" s="103" t="n">
        <x:v>0</x:v>
      </x:c>
      <x:c r="M92" s="103" t="n">
        <x:v>0</x:v>
      </x:c>
      <x:c r="N92" s="103" t="n">
        <x:v>0</x:v>
      </x:c>
    </x:row>
    <x:row r="93">
      <x:c r="A93" s="45" t="str">
        <x:v>Closing other equity</x:v>
      </x:c>
      <x:c r="B93" s="50" t="str">
        <x:v>Calculated</x:v>
      </x:c>
      <x:c r="C93" s="172" t="n">
        <x:v>18128.391</x:v>
      </x:c>
      <x:c r="D93" s="172" t="n">
        <x:v>22980.484</x:v>
      </x:c>
      <x:c r="E93" s="172" t="n">
        <x:v>29301.73</x:v>
      </x:c>
      <x:c r="F93" s="123" t="n">
        <x:f>F86+F87-F89+F91+F92</x:f>
        <x:v>36608.75188125056</x:v>
      </x:c>
      <x:c r="G93" s="123" t="n">
        <x:f>G86+G87-G89+G91+G92</x:f>
        <x:v>44030.373570542404</x:v>
      </x:c>
      <x:c r="H93" s="123" t="n">
        <x:f>H86+H87-H89+H91+H92</x:f>
        <x:v>52476.197550584235</x:v>
      </x:c>
      <x:c r="I93" s="123" t="n">
        <x:f>I86+I87-I89+I91+I92</x:f>
        <x:v>62217.257754074286</x:v>
      </x:c>
      <x:c r="J93" s="123" t="n">
        <x:f>J86+J87-J89+J91+J92</x:f>
        <x:v>73315.8925292834</x:v>
      </x:c>
      <x:c r="K93" s="123" t="n">
        <x:f>K86+K87-K89+K91+K92</x:f>
        <x:v>85810.29553357766</x:v>
      </x:c>
      <x:c r="L93" s="123" t="n">
        <x:f>L86+L87-L89+L91+L92</x:f>
        <x:v>100066.39787141285</x:v>
      </x:c>
      <x:c r="M93" s="123" t="n">
        <x:f>M86+M87-M89+M91+M92</x:f>
        <x:v>115714.3236002574</x:v>
      </x:c>
      <x:c r="N93" s="123" t="n">
        <x:f>N86+N87-N89+N91+N92</x:f>
        <x:v>133212.60339894428</x:v>
      </x:c>
    </x:row>
    <x:row r="94">
      <x:c r="A94" s="45" t="str">
        <x:v>Basic shares outstanding</x:v>
      </x:c>
      <x:c r="B94" s="50" t="str">
        <x:v>Calculated</x:v>
      </x:c>
      <x:c r="C94" s="164"/>
      <x:c r="D94" s="164"/>
      <x:c r="E94" s="164"/>
      <x:c r="F94" s="123" t="n">
        <x:f>F85/2</x:f>
        <x:v>561.715</x:v>
      </x:c>
      <x:c r="G94" s="123" t="n">
        <x:f>G85/2</x:f>
        <x:v>561.715</x:v>
      </x:c>
      <x:c r="H94" s="123" t="n">
        <x:f>H85/2</x:f>
        <x:v>561.715</x:v>
      </x:c>
      <x:c r="I94" s="123" t="n">
        <x:f>I85/2</x:f>
        <x:v>561.715</x:v>
      </x:c>
      <x:c r="J94" s="123" t="n">
        <x:f>J85/2</x:f>
        <x:v>561.715</x:v>
      </x:c>
      <x:c r="K94" s="123" t="n">
        <x:f>K85/2</x:f>
        <x:v>561.715</x:v>
      </x:c>
      <x:c r="L94" s="123" t="n">
        <x:f>L85/2</x:f>
        <x:v>561.715</x:v>
      </x:c>
      <x:c r="M94" s="123" t="n">
        <x:f>M85/2</x:f>
        <x:v>561.715</x:v>
      </x:c>
      <x:c r="N94" s="123" t="n">
        <x:f>N85/2</x:f>
        <x:v>561.715</x:v>
      </x:c>
    </x:row>
    <x:row r="95">
      <x:c r="A95" s="45" t="str">
        <x:v>ESOP dilution</x:v>
      </x:c>
      <x:c r="B95" s="50" t="str">
        <x:v>Analyst estimate</x:v>
      </x:c>
      <x:c r="C95" s="164"/>
      <x:c r="D95" s="164"/>
      <x:c r="E95" s="164"/>
      <x:c r="F95" s="103" t="n">
        <x:v>4</x:v>
      </x:c>
      <x:c r="G95" s="103" t="n">
        <x:v>5</x:v>
      </x:c>
      <x:c r="H95" s="103" t="n">
        <x:v>6</x:v>
      </x:c>
      <x:c r="I95" s="103" t="n">
        <x:v>6.5</x:v>
      </x:c>
      <x:c r="J95" s="103" t="n">
        <x:v>6.5</x:v>
      </x:c>
      <x:c r="K95" s="103" t="n">
        <x:v>6</x:v>
      </x:c>
      <x:c r="L95" s="103" t="n">
        <x:v>5</x:v>
      </x:c>
      <x:c r="M95" s="103" t="n">
        <x:v>4</x:v>
      </x:c>
      <x:c r="N95" s="103" t="n">
        <x:v>3</x:v>
      </x:c>
    </x:row>
    <x:row r="96">
      <x:c r="A96" s="45" t="str">
        <x:v>Diluted shares</x:v>
      </x:c>
      <x:c r="B96" s="50" t="str">
        <x:v>Calculated</x:v>
      </x:c>
      <x:c r="C96" s="172" t="n">
        <x:v>567.71</x:v>
      </x:c>
      <x:c r="D96" s="172" t="n">
        <x:v>561.27</x:v>
      </x:c>
      <x:c r="E96" s="172" t="n">
        <x:v>558.29</x:v>
      </x:c>
      <x:c r="F96" s="123" t="n">
        <x:f>F94+F95</x:f>
        <x:v>565.715</x:v>
      </x:c>
      <x:c r="G96" s="123" t="n">
        <x:f>G94+G95</x:f>
        <x:v>566.715</x:v>
      </x:c>
      <x:c r="H96" s="123" t="n">
        <x:f>H94+H95</x:f>
        <x:v>567.715</x:v>
      </x:c>
      <x:c r="I96" s="123" t="n">
        <x:f>I94+I95</x:f>
        <x:v>568.215</x:v>
      </x:c>
      <x:c r="J96" s="123" t="n">
        <x:f>J94+J95</x:f>
        <x:v>568.215</x:v>
      </x:c>
      <x:c r="K96" s="123" t="n">
        <x:f>K94+K95</x:f>
        <x:v>567.715</x:v>
      </x:c>
      <x:c r="L96" s="123" t="n">
        <x:f>L94+L95</x:f>
        <x:v>566.715</x:v>
      </x:c>
      <x:c r="M96" s="123" t="n">
        <x:f>M94+M95</x:f>
        <x:v>565.715</x:v>
      </x:c>
      <x:c r="N96" s="123" t="n">
        <x:f>N94+N95</x:f>
        <x:v>564.715</x:v>
      </x:c>
    </x:row>
    <x:row r="97">
      <x:c r="A97" s="158"/>
      <x:c r="B97" s="158"/>
      <x:c r="C97" s="164"/>
      <x:c r="D97" s="164"/>
      <x:c r="E97" s="164"/>
      <x:c r="F97" s="158"/>
      <x:c r="G97" s="158"/>
      <x:c r="H97" s="158"/>
      <x:c r="I97" s="158"/>
      <x:c r="J97" s="158"/>
      <x:c r="K97" s="158"/>
      <x:c r="L97" s="158"/>
      <x:c r="M97" s="158"/>
      <x:c r="N97" s="158"/>
    </x:row>
    <x:row r="98">
      <x:c r="A98" s="158"/>
      <x:c r="B98" s="158"/>
      <x:c r="C98" s="164"/>
      <x:c r="D98" s="164"/>
      <x:c r="E98" s="164"/>
      <x:c r="F98" s="158"/>
      <x:c r="G98" s="158"/>
      <x:c r="H98" s="158"/>
      <x:c r="I98" s="158"/>
      <x:c r="J98" s="158"/>
      <x:c r="K98" s="158"/>
      <x:c r="L98" s="158"/>
      <x:c r="M98" s="158"/>
      <x:c r="N98" s="158"/>
    </x:row>
    <x:row r="99" ht="20" customHeight="1">
      <x:c r="A99" s="40" t="str">
        <x:v>Segment Gross Profit and Operating-Cost Build</x:v>
      </x:c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</x:row>
    <x:row r="100">
      <x:c r="A100" s="45" t="str">
        <x:v>CRDMO gross-profit margin</x:v>
      </x:c>
      <x:c r="B100" s="50" t="str">
        <x:v>Assumption</x:v>
      </x:c>
      <x:c r="C100" s="171"/>
      <x:c r="D100" s="171" t="n">
        <x:v>0.6177</x:v>
      </x:c>
      <x:c r="E100" s="171" t="n">
        <x:v>0.6391</x:v>
      </x:c>
      <x:c r="F100" s="60" t="n">
        <x:f>'Summary &amp; Assumptions'!F43</x:f>
        <x:v>0.64</x:v>
      </x:c>
      <x:c r="G100" s="60" t="n">
        <x:f>'Summary &amp; Assumptions'!G43</x:f>
        <x:v>0.642</x:v>
      </x:c>
      <x:c r="H100" s="60" t="n">
        <x:f>'Summary &amp; Assumptions'!H43</x:f>
        <x:v>0.645</x:v>
      </x:c>
      <x:c r="I100" s="60" t="n">
        <x:f>'Summary &amp; Assumptions'!I43</x:f>
        <x:v>0.647</x:v>
      </x:c>
      <x:c r="J100" s="60" t="n">
        <x:f>'Summary &amp; Assumptions'!J43</x:f>
        <x:v>0.648</x:v>
      </x:c>
      <x:c r="K100" s="60" t="n">
        <x:f>'Summary &amp; Assumptions'!K43</x:f>
        <x:v>0.648</x:v>
      </x:c>
      <x:c r="L100" s="60" t="n">
        <x:f>'Summary &amp; Assumptions'!L43</x:f>
        <x:v>0.647</x:v>
      </x:c>
      <x:c r="M100" s="60" t="n">
        <x:f>'Summary &amp; Assumptions'!M43</x:f>
        <x:v>0.646</x:v>
      </x:c>
      <x:c r="N100" s="60" t="n">
        <x:f>'Summary &amp; Assumptions'!N43</x:f>
        <x:v>0.645</x:v>
      </x:c>
    </x:row>
    <x:row r="101">
      <x:c r="A101" s="45" t="str">
        <x:v>Specialty Ingredients gross-profit margin</x:v>
      </x:c>
      <x:c r="B101" s="50" t="str">
        <x:v>Assumption</x:v>
      </x:c>
      <x:c r="C101" s="171"/>
      <x:c r="D101" s="171" t="n">
        <x:v>0.5032</x:v>
      </x:c>
      <x:c r="E101" s="171" t="n">
        <x:v>0.5093</x:v>
      </x:c>
      <x:c r="F101" s="60" t="n">
        <x:f>'Summary &amp; Assumptions'!F44</x:f>
        <x:v>0.51</x:v>
      </x:c>
      <x:c r="G101" s="60" t="n">
        <x:f>'Summary &amp; Assumptions'!G44</x:f>
        <x:v>0.512</x:v>
      </x:c>
      <x:c r="H101" s="60" t="n">
        <x:f>'Summary &amp; Assumptions'!H44</x:f>
        <x:v>0.515</x:v>
      </x:c>
      <x:c r="I101" s="60" t="n">
        <x:f>'Summary &amp; Assumptions'!I44</x:f>
        <x:v>0.518</x:v>
      </x:c>
      <x:c r="J101" s="60" t="n">
        <x:f>'Summary &amp; Assumptions'!J44</x:f>
        <x:v>0.52</x:v>
      </x:c>
      <x:c r="K101" s="60" t="n">
        <x:f>'Summary &amp; Assumptions'!K44</x:f>
        <x:v>0.52</x:v>
      </x:c>
      <x:c r="L101" s="60" t="n">
        <x:f>'Summary &amp; Assumptions'!L44</x:f>
        <x:v>0.52</x:v>
      </x:c>
      <x:c r="M101" s="60" t="n">
        <x:f>'Summary &amp; Assumptions'!M44</x:f>
        <x:v>0.52</x:v>
      </x:c>
      <x:c r="N101" s="60" t="n">
        <x:f>'Summary &amp; Assumptions'!N44</x:f>
        <x:v>0.52</x:v>
      </x:c>
    </x:row>
    <x:row r="102">
      <x:c r="A102" s="45" t="str">
        <x:v>CRDMO gross profit</x:v>
      </x:c>
      <x:c r="B102" s="50" t="str">
        <x:v>Calculated</x:v>
      </x:c>
      <x:c r="C102" s="164"/>
      <x:c r="D102" s="164"/>
      <x:c r="E102" s="164"/>
      <x:c r="F102" s="123" t="n">
        <x:f>'Revenue Model'!F9*F100</x:f>
        <x:v>13463.824277735848</x:v>
      </x:c>
      <x:c r="G102" s="123" t="n">
        <x:f>'Revenue Model'!G9*G100</x:f>
        <x:v>15943.039574854003</x:v>
      </x:c>
      <x:c r="H102" s="123" t="n">
        <x:f>'Revenue Model'!H9*H100</x:f>
        <x:v>18928.869690277123</x:v>
      </x:c>
      <x:c r="I102" s="123" t="n">
        <x:f>'Revenue Model'!I9*I100</x:f>
        <x:v>21985.923191446833</x:v>
      </x:c>
      <x:c r="J102" s="123" t="n">
        <x:f>'Revenue Model'!J9*J100</x:f>
        <x:v>24877.956874781987</x:v>
      </x:c>
      <x:c r="K102" s="123" t="n">
        <x:f>'Revenue Model'!K9*K100</x:f>
        <x:v>27823.06320778182</x:v>
      </x:c>
      <x:c r="L102" s="123" t="n">
        <x:f>'Revenue Model'!L9*L100</x:f>
        <x:v>31013.462803249764</x:v>
      </x:c>
      <x:c r="M102" s="123" t="n">
        <x:f>'Revenue Model'!M9*M100</x:f>
        <x:v>34258.7305320409</x:v>
      </x:c>
      <x:c r="N102" s="123" t="n">
        <x:f>'Revenue Model'!N9*N100</x:f>
        <x:v>37525.00365096829</x:v>
      </x:c>
    </x:row>
    <x:row r="103">
      <x:c r="A103" s="45" t="str">
        <x:v>Specialty Ingredients gross profit</x:v>
      </x:c>
      <x:c r="B103" s="50" t="str">
        <x:v>Calculated</x:v>
      </x:c>
      <x:c r="C103" s="164"/>
      <x:c r="D103" s="164"/>
      <x:c r="E103" s="164"/>
      <x:c r="F103" s="123" t="n">
        <x:f>'Revenue Model'!F10*F101</x:f>
        <x:v>1936.4200200000002</x:v>
      </x:c>
      <x:c r="G103" s="123" t="n">
        <x:f>'Revenue Model'!G10*G101</x:f>
        <x:v>2118.9750681600003</x:v>
      </x:c>
      <x:c r="H103" s="123" t="n">
        <x:f>'Revenue Model'!H10*H101</x:f>
        <x:v>2374.7161220930006</x:v>
      </x:c>
      <x:c r="I103" s="123" t="n">
        <x:f>'Revenue Model'!I10*I101</x:f>
        <x:v>2653.1893734829287</x:v>
      </x:c>
      <x:c r="J103" s="123" t="n">
        <x:f>'Revenue Model'!J10*J101</x:f>
        <x:v>2918.1080157297547</x:v>
      </x:c>
      <x:c r="K103" s="123" t="n">
        <x:f>'Revenue Model'!K10*K101</x:f>
        <x:v>3135.6355768308376</x:v>
      </x:c>
      <x:c r="L103" s="123" t="n">
        <x:f>'Revenue Model'!L10*L101</x:f>
        <x:v>3288.570067208996</x:v>
      </x:c>
      <x:c r="M103" s="123" t="n">
        <x:f>'Revenue Model'!M10*M101</x:f>
        <x:v>3424.524271241536</x:v>
      </x:c>
      <x:c r="N103" s="123" t="n">
        <x:f>'Revenue Model'!N10*N101</x:f>
        <x:v>3571.7557275160284</x:v>
      </x:c>
    </x:row>
    <x:row r="104">
      <x:c r="A104" s="45" t="str">
        <x:v>Total gross profit</x:v>
      </x:c>
      <x:c r="B104" s="50" t="str">
        <x:v>Calculated</x:v>
      </x:c>
      <x:c r="C104" s="164"/>
      <x:c r="D104" s="164"/>
      <x:c r="E104" s="164"/>
      <x:c r="F104" s="123" t="n">
        <x:f>F102+F103</x:f>
        <x:v>15400.244297735848</x:v>
      </x:c>
      <x:c r="G104" s="123" t="n">
        <x:f>G102+G103</x:f>
        <x:v>18062.014643014005</x:v>
      </x:c>
      <x:c r="H104" s="123" t="n">
        <x:f>H102+H103</x:f>
        <x:v>21303.585812370122</x:v>
      </x:c>
      <x:c r="I104" s="123" t="n">
        <x:f>I102+I103</x:f>
        <x:v>24639.11256492976</x:v>
      </x:c>
      <x:c r="J104" s="123" t="n">
        <x:f>J102+J103</x:f>
        <x:v>27796.06489051174</x:v>
      </x:c>
      <x:c r="K104" s="123" t="n">
        <x:f>K102+K103</x:f>
        <x:v>30958.698784612658</x:v>
      </x:c>
      <x:c r="L104" s="123" t="n">
        <x:f>L102+L103</x:f>
        <x:v>34302.03287045876</x:v>
      </x:c>
      <x:c r="M104" s="123" t="n">
        <x:f>M102+M103</x:f>
        <x:v>37683.254803282434</x:v>
      </x:c>
      <x:c r="N104" s="123" t="n">
        <x:f>N102+N103</x:f>
        <x:v>41096.75937848432</x:v>
      </x:c>
    </x:row>
    <x:row r="105">
      <x:c r="A105" s="45" t="str">
        <x:v>COGS</x:v>
      </x:c>
      <x:c r="B105" s="50" t="str">
        <x:v>Calculated</x:v>
      </x:c>
      <x:c r="C105" s="164"/>
      <x:c r="D105" s="164"/>
      <x:c r="E105" s="164"/>
      <x:c r="F105" s="123" t="n">
        <x:f>'Revenue Model'!F11-F104</x:f>
        <x:v>9433.883136226417</x:v>
      </x:c>
      <x:c r="G105" s="123" t="n">
        <x:f>'Revenue Model'!G11-G104</x:f>
        <x:v>10910.003513394102</x:v>
      </x:c>
      <x:c r="H105" s="123" t="n">
        <x:f>'Revenue Model'!H11-H104</x:f>
        <x:v>12654.5982449572</x:v>
      </x:c>
      <x:c r="I105" s="123" t="n">
        <x:f>'Revenue Model'!I11-I104</x:f>
        <x:v>14464.208786997202</x:v>
      </x:c>
      <x:c r="J105" s="123" t="n">
        <x:f>'Revenue Model'!J11-J104</x:f>
        <x:v>16207.590050963547</x:v>
      </x:c>
      <x:c r="K105" s="123" t="n">
        <x:f>'Revenue Model'!K11-K104</x:f>
        <x:v>18008.195570304626</x:v>
      </x:c>
      <x:c r="L105" s="123" t="n">
        <x:f>'Revenue Model'!L11-L104</x:f>
        <x:v>19956.395054800116</x:v>
      </x:c>
      <x:c r="M105" s="123" t="n">
        <x:f>'Revenue Model'!M11-M104</x:f>
        <x:v>21934.45940213344</x:v>
      </x:c>
      <x:c r="N105" s="123" t="n">
        <x:f>'Revenue Model'!N11-N104</x:f>
        <x:v>23950.301870028947</x:v>
      </x:c>
    </x:row>
    <x:row r="106">
      <x:c r="A106" s="45" t="str">
        <x:v>Change in inventories</x:v>
      </x:c>
      <x:c r="B106" s="50" t="str">
        <x:v>Assumption-driven</x:v>
      </x:c>
      <x:c r="C106" s="172" t="n">
        <x:v>-412.347</x:v>
      </x:c>
      <x:c r="D106" s="172" t="n">
        <x:v>-867.047</x:v>
      </x:c>
      <x:c r="E106" s="172" t="n">
        <x:v>986.91</x:v>
      </x:c>
      <x:c r="F106" s="123" t="n">
        <x:f>'Revenue Model'!F11*'Summary &amp; Assumptions'!F47</x:f>
        <x:v>-372.51191150943396</x:v>
      </x:c>
      <x:c r="G106" s="123" t="n">
        <x:f>'Revenue Model'!G11*'Summary &amp; Assumptions'!G47</x:f>
        <x:v>-347.6642178768973</x:v>
      </x:c>
      <x:c r="H106" s="123" t="n">
        <x:f>'Revenue Model'!H11*'Summary &amp; Assumptions'!H47</x:f>
        <x:v>-339.5818405732732</x:v>
      </x:c>
      <x:c r="I106" s="123" t="n">
        <x:f>'Revenue Model'!I11*'Summary &amp; Assumptions'!I47</x:f>
        <x:v>-312.8265708154157</x:v>
      </x:c>
      <x:c r="J106" s="123" t="n">
        <x:f>'Revenue Model'!J11*'Summary &amp; Assumptions'!J47</x:f>
        <x:v>-264.0219296488517</x:v>
      </x:c>
      <x:c r="K106" s="123" t="n">
        <x:f>'Revenue Model'!K11*'Summary &amp; Assumptions'!K47</x:f>
        <x:v>-244.83447177458643</x:v>
      </x:c>
      <x:c r="L106" s="123" t="n">
        <x:f>'Revenue Model'!L11*'Summary &amp; Assumptions'!L47</x:f>
        <x:v>-271.2921396262944</x:v>
      </x:c>
      <x:c r="M106" s="123" t="n">
        <x:f>'Revenue Model'!M11*'Summary &amp; Assumptions'!M47</x:f>
        <x:v>-238.47085682166352</x:v>
      </x:c>
      <x:c r="N106" s="123" t="n">
        <x:f>'Revenue Model'!N11*'Summary &amp; Assumptions'!N47</x:f>
        <x:v>-260.1882449940531</x:v>
      </x:c>
    </x:row>
    <x:row r="107">
      <x:c r="A107" s="45" t="str">
        <x:v>Cost of materials consumed</x:v>
      </x:c>
      <x:c r="B107" s="50" t="str">
        <x:v>Calculated</x:v>
      </x:c>
      <x:c r="C107" s="172" t="n">
        <x:v>6407.864</x:v>
      </x:c>
      <x:c r="D107" s="172" t="n">
        <x:v>8306.167</x:v>
      </x:c>
      <x:c r="E107" s="172" t="n">
        <x:v>7135.92</x:v>
      </x:c>
      <x:c r="F107" s="123" t="n">
        <x:f>F105-F106</x:f>
        <x:v>9806.395047735852</x:v>
      </x:c>
      <x:c r="G107" s="123" t="n">
        <x:f>G105-G106</x:f>
        <x:v>11257.667731271</x:v>
      </x:c>
      <x:c r="H107" s="123" t="n">
        <x:f>H105-H106</x:f>
        <x:v>12994.180085530474</x:v>
      </x:c>
      <x:c r="I107" s="123" t="n">
        <x:f>I105-I106</x:f>
        <x:v>14777.035357812618</x:v>
      </x:c>
      <x:c r="J107" s="123" t="n">
        <x:f>J105-J106</x:f>
        <x:v>16471.611980612397</x:v>
      </x:c>
      <x:c r="K107" s="123" t="n">
        <x:f>K105-K106</x:f>
        <x:v>18253.030042079212</x:v>
      </x:c>
      <x:c r="L107" s="123" t="n">
        <x:f>L105-L106</x:f>
        <x:v>20227.68719442641</x:v>
      </x:c>
      <x:c r="M107" s="123" t="n">
        <x:f>M105-M106</x:f>
        <x:v>22172.930258955104</x:v>
      </x:c>
      <x:c r="N107" s="123" t="n">
        <x:f>N105-N106</x:f>
        <x:v>24210.490115023</x:v>
      </x:c>
    </x:row>
    <x:row r="108">
      <x:c r="A108" s="45" t="str">
        <x:v>Employee cost / revenue</x:v>
      </x:c>
      <x:c r="B108" s="50" t="str">
        <x:v>Assumption</x:v>
      </x:c>
      <x:c r="C108" s="164"/>
      <x:c r="D108" s="164"/>
      <x:c r="E108" s="164"/>
      <x:c r="F108" s="60" t="n">
        <x:f>'Summary &amp; Assumptions'!F45</x:f>
        <x:v>0.132</x:v>
      </x:c>
      <x:c r="G108" s="60" t="n">
        <x:f>'Summary &amp; Assumptions'!G45</x:f>
        <x:v>0.13</x:v>
      </x:c>
      <x:c r="H108" s="60" t="n">
        <x:f>'Summary &amp; Assumptions'!H45</x:f>
        <x:v>0.128</x:v>
      </x:c>
      <x:c r="I108" s="60" t="n">
        <x:f>'Summary &amp; Assumptions'!I45</x:f>
        <x:v>0.126</x:v>
      </x:c>
      <x:c r="J108" s="60" t="n">
        <x:f>'Summary &amp; Assumptions'!J45</x:f>
        <x:v>0.124</x:v>
      </x:c>
      <x:c r="K108" s="60" t="n">
        <x:f>'Summary &amp; Assumptions'!K45</x:f>
        <x:v>0.123</x:v>
      </x:c>
      <x:c r="L108" s="60" t="n">
        <x:f>'Summary &amp; Assumptions'!L45</x:f>
        <x:v>0.122</x:v>
      </x:c>
      <x:c r="M108" s="60" t="n">
        <x:f>'Summary &amp; Assumptions'!M45</x:f>
        <x:v>0.121</x:v>
      </x:c>
      <x:c r="N108" s="60" t="n">
        <x:f>'Summary &amp; Assumptions'!N45</x:f>
        <x:v>0.12</x:v>
      </x:c>
    </x:row>
    <x:row r="109">
      <x:c r="A109" s="45" t="str">
        <x:v>Employee expense</x:v>
      </x:c>
      <x:c r="B109" s="50" t="str">
        <x:v>Calculated</x:v>
      </x:c>
      <x:c r="C109" s="172" t="n">
        <x:v>1829.269</x:v>
      </x:c>
      <x:c r="D109" s="172" t="n">
        <x:v>2604.938</x:v>
      </x:c>
      <x:c r="E109" s="172" t="n">
        <x:v>2827.05</x:v>
      </x:c>
      <x:c r="F109" s="123" t="n">
        <x:f>'Revenue Model'!F11*F108</x:f>
        <x:v>3278.104821283019</x:v>
      </x:c>
      <x:c r="G109" s="123" t="n">
        <x:f>'Revenue Model'!G11*G108</x:f>
        <x:v>3766.362360333054</x:v>
      </x:c>
      <x:c r="H109" s="123" t="n">
        <x:f>'Revenue Model'!H11*H108</x:f>
        <x:v>4346.647559337897</x:v>
      </x:c>
      <x:c r="I109" s="123" t="n">
        <x:f>'Revenue Model'!I11*I108</x:f>
        <x:v>4927.018490342797</x:v>
      </x:c>
      <x:c r="J109" s="123" t="n">
        <x:f>'Revenue Model'!J11*J108</x:f>
        <x:v>5456.453212742936</x:v>
      </x:c>
      <x:c r="K109" s="123" t="n">
        <x:f>'Revenue Model'!K11*K108</x:f>
        <x:v>6022.928005654826</x:v>
      </x:c>
      <x:c r="L109" s="123" t="n">
        <x:f>'Revenue Model'!L11*L108</x:f>
        <x:v>6619.528206881582</x:v>
      </x:c>
      <x:c r="M109" s="123" t="n">
        <x:f>'Revenue Model'!M11*M108</x:f>
        <x:v>7213.743418855321</x:v>
      </x:c>
      <x:c r="N109" s="123" t="n">
        <x:f>'Revenue Model'!N11*N108</x:f>
        <x:v>7805.647349821592</x:v>
      </x:c>
    </x:row>
    <x:row r="110">
      <x:c r="A110" s="45" t="str">
        <x:v>Other operating expenses / revenue</x:v>
      </x:c>
      <x:c r="B110" s="50" t="str">
        <x:v>Assumption</x:v>
      </x:c>
      <x:c r="C110" s="164"/>
      <x:c r="D110" s="164"/>
      <x:c r="E110" s="164"/>
      <x:c r="F110" s="60" t="n">
        <x:f>'Summary &amp; Assumptions'!F46</x:f>
        <x:v>0.092</x:v>
      </x:c>
      <x:c r="G110" s="60" t="n">
        <x:f>'Summary &amp; Assumptions'!G46</x:f>
        <x:v>0.091</x:v>
      </x:c>
      <x:c r="H110" s="60" t="n">
        <x:f>'Summary &amp; Assumptions'!H46</x:f>
        <x:v>0.09</x:v>
      </x:c>
      <x:c r="I110" s="60" t="n">
        <x:f>'Summary &amp; Assumptions'!I46</x:f>
        <x:v>0.089</x:v>
      </x:c>
      <x:c r="J110" s="60" t="n">
        <x:f>'Summary &amp; Assumptions'!J46</x:f>
        <x:v>0.088</x:v>
      </x:c>
      <x:c r="K110" s="60" t="n">
        <x:f>'Summary &amp; Assumptions'!K46</x:f>
        <x:v>0.088</x:v>
      </x:c>
      <x:c r="L110" s="60" t="n">
        <x:f>'Summary &amp; Assumptions'!L46</x:f>
        <x:v>0.087</x:v>
      </x:c>
      <x:c r="M110" s="60" t="n">
        <x:f>'Summary &amp; Assumptions'!M46</x:f>
        <x:v>0.087</x:v>
      </x:c>
      <x:c r="N110" s="60" t="n">
        <x:f>'Summary &amp; Assumptions'!N46</x:f>
        <x:v>0.086</x:v>
      </x:c>
    </x:row>
    <x:row r="111">
      <x:c r="A111" s="45" t="str">
        <x:v>Other operating expenses</x:v>
      </x:c>
      <x:c r="B111" s="50" t="str">
        <x:v>Calculated</x:v>
      </x:c>
      <x:c r="C111" s="172" t="n">
        <x:v>1319.124</x:v>
      </x:c>
      <x:c r="D111" s="172" t="n">
        <x:v>1693.107</x:v>
      </x:c>
      <x:c r="E111" s="172" t="n">
        <x:v>1955.33</x:v>
      </x:c>
      <x:c r="F111" s="123" t="n">
        <x:f>'Revenue Model'!F11*F110</x:f>
        <x:v>2284.7397239245283</x:v>
      </x:c>
      <x:c r="G111" s="123" t="n">
        <x:f>'Revenue Model'!G11*G110</x:f>
        <x:v>2636.4536522331377</x:v>
      </x:c>
      <x:c r="H111" s="123" t="n">
        <x:f>'Revenue Model'!H11*H110</x:f>
        <x:v>3056.2365651594587</x:v>
      </x:c>
      <x:c r="I111" s="123" t="n">
        <x:f>'Revenue Model'!I11*I110</x:f>
        <x:v>3480.1956003214996</x:v>
      </x:c>
      <x:c r="J111" s="123" t="n">
        <x:f>'Revenue Model'!J11*J110</x:f>
        <x:v>3872.321634849825</x:v>
      </x:c>
      <x:c r="K111" s="123" t="n">
        <x:f>'Revenue Model'!K11*K110</x:f>
        <x:v>4309.0867032327205</x:v>
      </x:c>
      <x:c r="L111" s="123" t="n">
        <x:f>'Revenue Model'!L11*L110</x:f>
        <x:v>4720.483229497522</x:v>
      </x:c>
      <x:c r="M111" s="123" t="n">
        <x:f>'Revenue Model'!M11*M110</x:f>
        <x:v>5186.741135871181</x:v>
      </x:c>
      <x:c r="N111" s="123" t="n">
        <x:f>'Revenue Model'!N11*N110</x:f>
        <x:v>5594.047267372141</x:v>
      </x:c>
    </x:row>
    <x:row r="112">
      <x:c r="A112" s="158"/>
      <x:c r="B112" s="158"/>
      <x:c r="C112" s="164"/>
      <x:c r="D112" s="164"/>
      <x:c r="E112" s="164"/>
      <x:c r="F112" s="158"/>
      <x:c r="G112" s="158"/>
      <x:c r="H112" s="158"/>
      <x:c r="I112" s="158"/>
      <x:c r="J112" s="158"/>
      <x:c r="K112" s="158"/>
      <x:c r="L112" s="158"/>
      <x:c r="M112" s="158"/>
      <x:c r="N112" s="158"/>
    </x:row>
    <x:row r="113">
      <x:c r="A113" s="158"/>
      <x:c r="B113" s="158"/>
      <x:c r="C113" s="164"/>
      <x:c r="D113" s="164"/>
      <x:c r="E113" s="164"/>
      <x:c r="F113" s="158"/>
      <x:c r="G113" s="158"/>
      <x:c r="H113" s="158"/>
      <x:c r="I113" s="158"/>
      <x:c r="J113" s="158"/>
      <x:c r="K113" s="158"/>
      <x:c r="L113" s="158"/>
      <x:c r="M113" s="158"/>
      <x:c r="N113" s="158"/>
    </x:row>
    <x:row r="114">
      <x:c r="A114" s="158"/>
      <x:c r="B114" s="158"/>
      <x:c r="C114" s="164"/>
      <x:c r="D114" s="164"/>
      <x:c r="E114" s="164"/>
      <x:c r="F114" s="158"/>
      <x:c r="G114" s="158"/>
      <x:c r="H114" s="158"/>
      <x:c r="I114" s="158"/>
      <x:c r="J114" s="158"/>
      <x:c r="K114" s="158"/>
      <x:c r="L114" s="158"/>
      <x:c r="M114" s="158"/>
      <x:c r="N114" s="158"/>
    </x:row>
    <x:row r="115">
      <x:c r="A115" s="158"/>
      <x:c r="B115" s="158"/>
      <x:c r="C115" s="164"/>
      <x:c r="D115" s="164"/>
      <x:c r="E115" s="164"/>
      <x:c r="F115" s="158"/>
      <x:c r="G115" s="158"/>
      <x:c r="H115" s="158"/>
      <x:c r="I115" s="158"/>
      <x:c r="J115" s="158"/>
      <x:c r="K115" s="158"/>
      <x:c r="L115" s="158"/>
      <x:c r="M115" s="158"/>
      <x:c r="N115" s="158"/>
    </x:row>
    <x:row r="116">
      <x:c r="A116" s="158"/>
      <x:c r="B116" s="158"/>
      <x:c r="C116" s="164"/>
      <x:c r="D116" s="164"/>
      <x:c r="E116" s="164"/>
      <x:c r="F116" s="158"/>
      <x:c r="G116" s="158"/>
      <x:c r="H116" s="158"/>
      <x:c r="I116" s="158"/>
      <x:c r="J116" s="158"/>
      <x:c r="K116" s="158"/>
      <x:c r="L116" s="158"/>
      <x:c r="M116" s="158"/>
      <x:c r="N116" s="158"/>
    </x:row>
    <x:row r="117">
      <x:c r="A117" s="158"/>
      <x:c r="B117" s="158"/>
      <x:c r="C117" s="164"/>
      <x:c r="D117" s="164"/>
      <x:c r="E117" s="164"/>
      <x:c r="F117" s="158"/>
      <x:c r="G117" s="158"/>
      <x:c r="H117" s="158"/>
      <x:c r="I117" s="158"/>
      <x:c r="J117" s="158"/>
      <x:c r="K117" s="158"/>
      <x:c r="L117" s="158"/>
      <x:c r="M117" s="158"/>
      <x:c r="N117" s="158"/>
    </x:row>
    <x:row r="118">
      <x:c r="A118" s="158"/>
      <x:c r="B118" s="158"/>
      <x:c r="C118" s="164"/>
      <x:c r="D118" s="164"/>
      <x:c r="E118" s="164"/>
      <x:c r="F118" s="158"/>
      <x:c r="G118" s="158"/>
      <x:c r="H118" s="158"/>
      <x:c r="I118" s="158"/>
      <x:c r="J118" s="158"/>
      <x:c r="K118" s="158"/>
      <x:c r="L118" s="158"/>
      <x:c r="M118" s="158"/>
      <x:c r="N118" s="158"/>
    </x:row>
    <x:row r="119">
      <x:c r="A119" s="158"/>
      <x:c r="B119" s="158"/>
      <x:c r="C119" s="164"/>
      <x:c r="D119" s="164"/>
      <x:c r="E119" s="164"/>
      <x:c r="F119" s="158"/>
      <x:c r="G119" s="158"/>
      <x:c r="H119" s="158"/>
      <x:c r="I119" s="158"/>
      <x:c r="J119" s="158"/>
      <x:c r="K119" s="158"/>
      <x:c r="L119" s="158"/>
      <x:c r="M119" s="158"/>
      <x:c r="N119" s="158"/>
    </x:row>
    <x:row r="120">
      <x:c r="A120" s="158"/>
      <x:c r="B120" s="158"/>
      <x:c r="C120" s="164"/>
      <x:c r="D120" s="164"/>
      <x:c r="E120" s="164"/>
      <x:c r="F120" s="158"/>
      <x:c r="G120" s="158"/>
      <x:c r="H120" s="158"/>
      <x:c r="I120" s="158"/>
      <x:c r="J120" s="158"/>
      <x:c r="K120" s="158"/>
      <x:c r="L120" s="158"/>
      <x:c r="M120" s="158"/>
      <x:c r="N120" s="158"/>
    </x:row>
    <x:row r="121">
      <x:c r="A121" s="158"/>
      <x:c r="B121" s="158"/>
      <x:c r="C121" s="164"/>
      <x:c r="D121" s="164"/>
      <x:c r="E121" s="164"/>
      <x:c r="F121" s="158"/>
      <x:c r="G121" s="158"/>
      <x:c r="H121" s="158"/>
      <x:c r="I121" s="158"/>
      <x:c r="J121" s="158"/>
      <x:c r="K121" s="158"/>
      <x:c r="L121" s="158"/>
      <x:c r="M121" s="158"/>
      <x:c r="N121" s="158"/>
    </x:row>
    <x:row r="122">
      <x:c r="A122" s="158"/>
      <x:c r="B122" s="158"/>
      <x:c r="C122" s="164"/>
      <x:c r="D122" s="164"/>
      <x:c r="E122" s="164"/>
      <x:c r="F122" s="158"/>
      <x:c r="G122" s="158"/>
      <x:c r="H122" s="158"/>
      <x:c r="I122" s="158"/>
      <x:c r="J122" s="158"/>
      <x:c r="K122" s="158"/>
      <x:c r="L122" s="158"/>
      <x:c r="M122" s="158"/>
      <x:c r="N122" s="158"/>
    </x:row>
    <x:row r="123">
      <x:c r="A123" s="158"/>
      <x:c r="B123" s="158"/>
      <x:c r="C123" s="164"/>
      <x:c r="D123" s="164"/>
      <x:c r="E123" s="164"/>
      <x:c r="F123" s="158"/>
      <x:c r="G123" s="158"/>
      <x:c r="H123" s="158"/>
      <x:c r="I123" s="158"/>
      <x:c r="J123" s="158"/>
      <x:c r="K123" s="158"/>
      <x:c r="L123" s="158"/>
      <x:c r="M123" s="158"/>
      <x:c r="N123" s="158"/>
    </x:row>
    <x:row r="124">
      <x:c r="A124" s="158"/>
      <x:c r="B124" s="158"/>
      <x:c r="C124" s="164"/>
      <x:c r="D124" s="164"/>
      <x:c r="E124" s="164"/>
      <x:c r="F124" s="158"/>
      <x:c r="G124" s="158"/>
      <x:c r="H124" s="158"/>
      <x:c r="I124" s="158"/>
      <x:c r="J124" s="158"/>
      <x:c r="K124" s="158"/>
      <x:c r="L124" s="158"/>
      <x:c r="M124" s="158"/>
      <x:c r="N124" s="158"/>
    </x:row>
    <x:row r="125">
      <x:c r="A125" s="158"/>
      <x:c r="B125" s="158"/>
      <x:c r="C125" s="164"/>
      <x:c r="D125" s="164"/>
      <x:c r="E125" s="164"/>
      <x:c r="F125" s="158"/>
      <x:c r="G125" s="158"/>
      <x:c r="H125" s="158"/>
      <x:c r="I125" s="158"/>
      <x:c r="J125" s="158"/>
      <x:c r="K125" s="158"/>
      <x:c r="L125" s="158"/>
      <x:c r="M125" s="158"/>
      <x:c r="N125" s="158"/>
    </x:row>
    <x:row r="126">
      <x:c r="A126" s="158"/>
      <x:c r="B126" s="158"/>
      <x:c r="C126" s="164"/>
      <x:c r="D126" s="164"/>
      <x:c r="E126" s="164"/>
      <x:c r="F126" s="158"/>
      <x:c r="G126" s="158"/>
      <x:c r="H126" s="158"/>
      <x:c r="I126" s="158"/>
      <x:c r="J126" s="158"/>
      <x:c r="K126" s="158"/>
      <x:c r="L126" s="158"/>
      <x:c r="M126" s="158"/>
      <x:c r="N126" s="158"/>
    </x:row>
    <x:row r="127">
      <x:c r="A127" s="158"/>
      <x:c r="B127" s="158"/>
      <x:c r="C127" s="164"/>
      <x:c r="D127" s="164"/>
      <x:c r="E127" s="164"/>
      <x:c r="F127" s="158"/>
      <x:c r="G127" s="158"/>
      <x:c r="H127" s="158"/>
      <x:c r="I127" s="158"/>
      <x:c r="J127" s="158"/>
      <x:c r="K127" s="158"/>
      <x:c r="L127" s="158"/>
      <x:c r="M127" s="158"/>
      <x:c r="N127" s="158"/>
    </x:row>
    <x:row r="128">
      <x:c r="A128" s="158"/>
      <x:c r="B128" s="158"/>
      <x:c r="C128" s="164"/>
      <x:c r="D128" s="164"/>
      <x:c r="E128" s="164"/>
      <x:c r="F128" s="158"/>
      <x:c r="G128" s="158"/>
      <x:c r="H128" s="158"/>
      <x:c r="I128" s="158"/>
      <x:c r="J128" s="158"/>
      <x:c r="K128" s="158"/>
      <x:c r="L128" s="158"/>
      <x:c r="M128" s="158"/>
      <x:c r="N128" s="158"/>
    </x:row>
    <x:row r="129">
      <x:c r="A129" s="158"/>
      <x:c r="B129" s="158"/>
      <x:c r="C129" s="164"/>
      <x:c r="D129" s="164"/>
      <x:c r="E129" s="164"/>
      <x:c r="F129" s="158"/>
      <x:c r="G129" s="158"/>
      <x:c r="H129" s="158"/>
      <x:c r="I129" s="158"/>
      <x:c r="J129" s="158"/>
      <x:c r="K129" s="158"/>
      <x:c r="L129" s="158"/>
      <x:c r="M129" s="158"/>
      <x:c r="N129" s="158"/>
    </x:row>
    <x:row r="130">
      <x:c r="A130" s="158"/>
      <x:c r="B130" s="158"/>
      <x:c r="C130" s="164"/>
      <x:c r="D130" s="164"/>
      <x:c r="E130" s="164"/>
      <x:c r="F130" s="158"/>
      <x:c r="G130" s="158"/>
      <x:c r="H130" s="158"/>
      <x:c r="I130" s="158"/>
      <x:c r="J130" s="158"/>
      <x:c r="K130" s="158"/>
      <x:c r="L130" s="158"/>
      <x:c r="M130" s="158"/>
      <x:c r="N130" s="158"/>
    </x:row>
    <x:row r="131">
      <x:c r="A131" s="158"/>
      <x:c r="B131" s="158"/>
      <x:c r="C131" s="164"/>
      <x:c r="D131" s="164"/>
      <x:c r="E131" s="164"/>
      <x:c r="F131" s="158"/>
      <x:c r="G131" s="158"/>
      <x:c r="H131" s="158"/>
      <x:c r="I131" s="158"/>
      <x:c r="J131" s="158"/>
      <x:c r="K131" s="158"/>
      <x:c r="L131" s="158"/>
      <x:c r="M131" s="158"/>
      <x:c r="N131" s="158"/>
    </x:row>
    <x:row r="132">
      <x:c r="A132" s="158"/>
      <x:c r="B132" s="158"/>
      <x:c r="C132" s="164"/>
      <x:c r="D132" s="164"/>
      <x:c r="E132" s="164"/>
      <x:c r="F132" s="158"/>
      <x:c r="G132" s="158"/>
      <x:c r="H132" s="158"/>
      <x:c r="I132" s="158"/>
      <x:c r="J132" s="158"/>
      <x:c r="K132" s="158"/>
      <x:c r="L132" s="158"/>
      <x:c r="M132" s="158"/>
      <x:c r="N132" s="158"/>
    </x:row>
    <x:row r="133">
      <x:c r="A133" s="158"/>
      <x:c r="B133" s="158"/>
      <x:c r="C133" s="164"/>
      <x:c r="D133" s="164"/>
      <x:c r="E133" s="164"/>
      <x:c r="F133" s="158"/>
      <x:c r="G133" s="158"/>
      <x:c r="H133" s="158"/>
      <x:c r="I133" s="158"/>
      <x:c r="J133" s="158"/>
      <x:c r="K133" s="158"/>
      <x:c r="L133" s="158"/>
      <x:c r="M133" s="158"/>
      <x:c r="N133" s="158"/>
    </x:row>
    <x:row r="134">
      <x:c r="A134" s="158"/>
      <x:c r="B134" s="158"/>
      <x:c r="C134" s="164"/>
      <x:c r="D134" s="164"/>
      <x:c r="E134" s="164"/>
      <x:c r="F134" s="158"/>
      <x:c r="G134" s="158"/>
      <x:c r="H134" s="158"/>
      <x:c r="I134" s="158"/>
      <x:c r="J134" s="158"/>
      <x:c r="K134" s="158"/>
      <x:c r="L134" s="158"/>
      <x:c r="M134" s="158"/>
      <x:c r="N134" s="158"/>
    </x:row>
    <x:row r="135">
      <x:c r="A135" s="158"/>
      <x:c r="B135" s="158"/>
      <x:c r="C135" s="164"/>
      <x:c r="D135" s="164"/>
      <x:c r="E135" s="164"/>
      <x:c r="F135" s="158"/>
      <x:c r="G135" s="158"/>
      <x:c r="H135" s="158"/>
      <x:c r="I135" s="158"/>
      <x:c r="J135" s="158"/>
      <x:c r="K135" s="158"/>
      <x:c r="L135" s="158"/>
      <x:c r="M135" s="158"/>
      <x:c r="N135" s="158"/>
    </x:row>
    <x:row r="136">
      <x:c r="A136" s="158"/>
      <x:c r="B136" s="158"/>
      <x:c r="C136" s="164"/>
      <x:c r="D136" s="164"/>
      <x:c r="E136" s="164"/>
      <x:c r="F136" s="158"/>
      <x:c r="G136" s="158"/>
      <x:c r="H136" s="158"/>
      <x:c r="I136" s="158"/>
      <x:c r="J136" s="158"/>
      <x:c r="K136" s="158"/>
      <x:c r="L136" s="158"/>
      <x:c r="M136" s="158"/>
      <x:c r="N136" s="158"/>
    </x:row>
    <x:row r="137">
      <x:c r="A137" s="158"/>
      <x:c r="B137" s="158"/>
      <x:c r="C137" s="164"/>
      <x:c r="D137" s="164"/>
      <x:c r="E137" s="164"/>
      <x:c r="F137" s="158"/>
      <x:c r="G137" s="158"/>
      <x:c r="H137" s="158"/>
      <x:c r="I137" s="158"/>
      <x:c r="J137" s="158"/>
      <x:c r="K137" s="158"/>
      <x:c r="L137" s="158"/>
      <x:c r="M137" s="158"/>
      <x:c r="N137" s="158"/>
    </x:row>
    <x:row r="138">
      <x:c r="A138" s="158"/>
      <x:c r="B138" s="158"/>
      <x:c r="C138" s="164"/>
      <x:c r="D138" s="164"/>
      <x:c r="E138" s="164"/>
      <x:c r="F138" s="158"/>
      <x:c r="G138" s="158"/>
      <x:c r="H138" s="158"/>
      <x:c r="I138" s="158"/>
      <x:c r="J138" s="158"/>
      <x:c r="K138" s="158"/>
      <x:c r="L138" s="158"/>
      <x:c r="M138" s="158"/>
      <x:c r="N138" s="158"/>
    </x:row>
    <x:row r="139">
      <x:c r="A139" s="158"/>
      <x:c r="B139" s="158"/>
      <x:c r="C139" s="164"/>
      <x:c r="D139" s="164"/>
      <x:c r="E139" s="164"/>
      <x:c r="F139" s="158"/>
      <x:c r="G139" s="158"/>
      <x:c r="H139" s="158"/>
      <x:c r="I139" s="158"/>
      <x:c r="J139" s="158"/>
      <x:c r="K139" s="158"/>
      <x:c r="L139" s="158"/>
      <x:c r="M139" s="158"/>
      <x:c r="N139" s="158"/>
    </x:row>
    <x:row r="140">
      <x:c r="A140" s="158"/>
      <x:c r="B140" s="158"/>
      <x:c r="C140" s="164"/>
      <x:c r="D140" s="164"/>
      <x:c r="E140" s="164"/>
      <x:c r="F140" s="158"/>
      <x:c r="G140" s="158"/>
      <x:c r="H140" s="158"/>
      <x:c r="I140" s="158"/>
      <x:c r="J140" s="158"/>
      <x:c r="K140" s="158"/>
      <x:c r="L140" s="158"/>
      <x:c r="M140" s="158"/>
      <x:c r="N140" s="158"/>
    </x:row>
    <x:row r="141">
      <x:c r="A141" s="158"/>
      <x:c r="B141" s="158"/>
      <x:c r="C141" s="164"/>
      <x:c r="D141" s="164"/>
      <x:c r="E141" s="164"/>
      <x:c r="F141" s="158"/>
      <x:c r="G141" s="158"/>
      <x:c r="H141" s="158"/>
      <x:c r="I141" s="158"/>
      <x:c r="J141" s="158"/>
      <x:c r="K141" s="158"/>
      <x:c r="L141" s="158"/>
      <x:c r="M141" s="158"/>
      <x:c r="N141" s="158"/>
    </x:row>
    <x:row r="142">
      <x:c r="A142" s="158"/>
      <x:c r="B142" s="158"/>
      <x:c r="C142" s="164"/>
      <x:c r="D142" s="164"/>
      <x:c r="E142" s="164"/>
      <x:c r="F142" s="158"/>
      <x:c r="G142" s="158"/>
      <x:c r="H142" s="158"/>
      <x:c r="I142" s="158"/>
      <x:c r="J142" s="158"/>
      <x:c r="K142" s="158"/>
      <x:c r="L142" s="158"/>
      <x:c r="M142" s="158"/>
      <x:c r="N142" s="158"/>
    </x:row>
    <x:row r="143">
      <x:c r="A143" s="158"/>
      <x:c r="B143" s="158"/>
      <x:c r="C143" s="164"/>
      <x:c r="D143" s="164"/>
      <x:c r="E143" s="164"/>
      <x:c r="F143" s="158"/>
      <x:c r="G143" s="158"/>
      <x:c r="H143" s="158"/>
      <x:c r="I143" s="158"/>
      <x:c r="J143" s="158"/>
      <x:c r="K143" s="158"/>
      <x:c r="L143" s="158"/>
      <x:c r="M143" s="158"/>
      <x:c r="N143" s="158"/>
    </x:row>
    <x:row r="144">
      <x:c r="A144" s="158"/>
      <x:c r="B144" s="158"/>
      <x:c r="C144" s="164"/>
      <x:c r="D144" s="164"/>
      <x:c r="E144" s="164"/>
      <x:c r="F144" s="158"/>
      <x:c r="G144" s="158"/>
      <x:c r="H144" s="158"/>
      <x:c r="I144" s="158"/>
      <x:c r="J144" s="158"/>
      <x:c r="K144" s="158"/>
      <x:c r="L144" s="158"/>
      <x:c r="M144" s="158"/>
      <x:c r="N144" s="158"/>
    </x:row>
    <x:row r="145">
      <x:c r="A145" s="158"/>
      <x:c r="B145" s="158"/>
      <x:c r="C145" s="164"/>
      <x:c r="D145" s="164"/>
      <x:c r="E145" s="164"/>
      <x:c r="F145" s="158"/>
      <x:c r="G145" s="158"/>
      <x:c r="H145" s="158"/>
      <x:c r="I145" s="158"/>
      <x:c r="J145" s="158"/>
      <x:c r="K145" s="158"/>
      <x:c r="L145" s="158"/>
      <x:c r="M145" s="158"/>
      <x:c r="N145" s="158"/>
    </x:row>
    <x:row r="146">
      <x:c r="A146" s="158"/>
      <x:c r="B146" s="158"/>
      <x:c r="C146" s="164"/>
      <x:c r="D146" s="164"/>
      <x:c r="E146" s="164"/>
      <x:c r="F146" s="158"/>
      <x:c r="G146" s="158"/>
      <x:c r="H146" s="158"/>
      <x:c r="I146" s="158"/>
      <x:c r="J146" s="158"/>
      <x:c r="K146" s="158"/>
      <x:c r="L146" s="158"/>
      <x:c r="M146" s="158"/>
      <x:c r="N146" s="158"/>
    </x:row>
    <x:row r="147">
      <x:c r="A147" s="158"/>
      <x:c r="B147" s="158"/>
      <x:c r="C147" s="164"/>
      <x:c r="D147" s="164"/>
      <x:c r="E147" s="164"/>
      <x:c r="F147" s="158"/>
      <x:c r="G147" s="158"/>
      <x:c r="H147" s="158"/>
      <x:c r="I147" s="158"/>
      <x:c r="J147" s="158"/>
      <x:c r="K147" s="158"/>
      <x:c r="L147" s="158"/>
      <x:c r="M147" s="158"/>
      <x:c r="N147" s="158"/>
    </x:row>
    <x:row r="148">
      <x:c r="A148" s="158"/>
      <x:c r="B148" s="158"/>
      <x:c r="C148" s="164"/>
      <x:c r="D148" s="164"/>
      <x:c r="E148" s="164"/>
      <x:c r="F148" s="158"/>
      <x:c r="G148" s="158"/>
      <x:c r="H148" s="158"/>
      <x:c r="I148" s="158"/>
      <x:c r="J148" s="158"/>
      <x:c r="K148" s="158"/>
      <x:c r="L148" s="158"/>
      <x:c r="M148" s="158"/>
      <x:c r="N148" s="158"/>
    </x:row>
    <x:row r="149">
      <x:c r="A149" s="158"/>
      <x:c r="B149" s="158"/>
      <x:c r="C149" s="164"/>
      <x:c r="D149" s="164"/>
      <x:c r="E149" s="164"/>
      <x:c r="F149" s="158"/>
      <x:c r="G149" s="158"/>
      <x:c r="H149" s="158"/>
      <x:c r="I149" s="158"/>
      <x:c r="J149" s="158"/>
      <x:c r="K149" s="158"/>
      <x:c r="L149" s="158"/>
      <x:c r="M149" s="158"/>
      <x:c r="N149" s="158"/>
    </x:row>
    <x:row r="150">
      <x:c r="A150" s="158"/>
      <x:c r="B150" s="158"/>
      <x:c r="C150" s="164"/>
      <x:c r="D150" s="164"/>
      <x:c r="E150" s="164"/>
      <x:c r="F150" s="158"/>
      <x:c r="G150" s="158"/>
      <x:c r="H150" s="158"/>
      <x:c r="I150" s="158"/>
      <x:c r="J150" s="158"/>
      <x:c r="K150" s="158"/>
      <x:c r="L150" s="158"/>
      <x:c r="M150" s="158"/>
      <x:c r="N150" s="158"/>
    </x:row>
    <x:row r="151">
      <x:c r="A151" s="158"/>
      <x:c r="B151" s="158"/>
      <x:c r="C151" s="164"/>
      <x:c r="D151" s="164"/>
      <x:c r="E151" s="164"/>
      <x:c r="F151" s="158"/>
      <x:c r="G151" s="158"/>
      <x:c r="H151" s="158"/>
      <x:c r="I151" s="158"/>
      <x:c r="J151" s="158"/>
      <x:c r="K151" s="158"/>
      <x:c r="L151" s="158"/>
      <x:c r="M151" s="158"/>
      <x:c r="N151" s="158"/>
    </x:row>
    <x:row r="152">
      <x:c r="A152" s="158"/>
      <x:c r="B152" s="158"/>
      <x:c r="C152" s="164"/>
      <x:c r="D152" s="164"/>
      <x:c r="E152" s="164"/>
      <x:c r="F152" s="158"/>
      <x:c r="G152" s="158"/>
      <x:c r="H152" s="158"/>
      <x:c r="I152" s="158"/>
      <x:c r="J152" s="158"/>
      <x:c r="K152" s="158"/>
      <x:c r="L152" s="158"/>
      <x:c r="M152" s="158"/>
      <x:c r="N152" s="158"/>
    </x:row>
    <x:row r="153">
      <x:c r="A153" s="158"/>
      <x:c r="B153" s="158"/>
      <x:c r="C153" s="164"/>
      <x:c r="D153" s="164"/>
      <x:c r="E153" s="164"/>
      <x:c r="F153" s="158"/>
      <x:c r="G153" s="158"/>
      <x:c r="H153" s="158"/>
      <x:c r="I153" s="158"/>
      <x:c r="J153" s="158"/>
      <x:c r="K153" s="158"/>
      <x:c r="L153" s="158"/>
      <x:c r="M153" s="158"/>
      <x:c r="N153" s="158"/>
    </x:row>
    <x:row r="154">
      <x:c r="A154" s="158"/>
      <x:c r="B154" s="158"/>
      <x:c r="C154" s="164"/>
      <x:c r="D154" s="164"/>
      <x:c r="E154" s="164"/>
      <x:c r="F154" s="158"/>
      <x:c r="G154" s="158"/>
      <x:c r="H154" s="158"/>
      <x:c r="I154" s="158"/>
      <x:c r="J154" s="158"/>
      <x:c r="K154" s="158"/>
      <x:c r="L154" s="158"/>
      <x:c r="M154" s="158"/>
      <x:c r="N154" s="158"/>
    </x:row>
    <x:row r="155">
      <x:c r="A155" s="158"/>
      <x:c r="B155" s="158"/>
      <x:c r="C155" s="164"/>
      <x:c r="D155" s="164"/>
      <x:c r="E155" s="164"/>
      <x:c r="F155" s="158"/>
      <x:c r="G155" s="158"/>
      <x:c r="H155" s="158"/>
      <x:c r="I155" s="158"/>
      <x:c r="J155" s="158"/>
      <x:c r="K155" s="158"/>
      <x:c r="L155" s="158"/>
      <x:c r="M155" s="158"/>
      <x:c r="N155" s="158"/>
    </x:row>
    <x:row r="156">
      <x:c r="A156" s="158"/>
      <x:c r="B156" s="158"/>
      <x:c r="C156" s="164"/>
      <x:c r="D156" s="164"/>
      <x:c r="E156" s="164"/>
      <x:c r="F156" s="158"/>
      <x:c r="G156" s="158"/>
      <x:c r="H156" s="158"/>
      <x:c r="I156" s="158"/>
      <x:c r="J156" s="158"/>
      <x:c r="K156" s="158"/>
      <x:c r="L156" s="158"/>
      <x:c r="M156" s="158"/>
      <x:c r="N156" s="158"/>
    </x:row>
    <x:row r="157">
      <x:c r="A157" s="158"/>
      <x:c r="B157" s="158"/>
      <x:c r="C157" s="164"/>
      <x:c r="D157" s="164"/>
      <x:c r="E157" s="164"/>
      <x:c r="F157" s="158"/>
      <x:c r="G157" s="158"/>
      <x:c r="H157" s="158"/>
      <x:c r="I157" s="158"/>
      <x:c r="J157" s="158"/>
      <x:c r="K157" s="158"/>
      <x:c r="L157" s="158"/>
      <x:c r="M157" s="158"/>
      <x:c r="N157" s="158"/>
    </x:row>
    <x:row r="158">
      <x:c r="A158" s="158"/>
      <x:c r="B158" s="158"/>
      <x:c r="C158" s="164"/>
      <x:c r="D158" s="164"/>
      <x:c r="E158" s="164"/>
      <x:c r="F158" s="158"/>
      <x:c r="G158" s="158"/>
      <x:c r="H158" s="158"/>
      <x:c r="I158" s="158"/>
      <x:c r="J158" s="158"/>
      <x:c r="K158" s="158"/>
      <x:c r="L158" s="158"/>
      <x:c r="M158" s="158"/>
      <x:c r="N158" s="158"/>
    </x:row>
    <x:row r="159">
      <x:c r="A159" s="158"/>
      <x:c r="B159" s="158"/>
      <x:c r="C159" s="164"/>
      <x:c r="D159" s="164"/>
      <x:c r="E159" s="164"/>
      <x:c r="F159" s="158"/>
      <x:c r="G159" s="158"/>
      <x:c r="H159" s="158"/>
      <x:c r="I159" s="158"/>
      <x:c r="J159" s="158"/>
      <x:c r="K159" s="158"/>
      <x:c r="L159" s="158"/>
      <x:c r="M159" s="158"/>
      <x:c r="N159" s="158"/>
    </x:row>
    <x:row r="160">
      <x:c r="A160" s="158"/>
      <x:c r="B160" s="158"/>
      <x:c r="C160" s="164"/>
      <x:c r="D160" s="164"/>
      <x:c r="E160" s="164"/>
      <x:c r="F160" s="158"/>
      <x:c r="G160" s="158"/>
      <x:c r="H160" s="158"/>
      <x:c r="I160" s="158"/>
      <x:c r="J160" s="158"/>
      <x:c r="K160" s="158"/>
      <x:c r="L160" s="158"/>
      <x:c r="M160" s="158"/>
      <x:c r="N160" s="158"/>
    </x:row>
    <x:row r="161">
      <x:c r="A161" s="158"/>
      <x:c r="B161" s="158"/>
      <x:c r="C161" s="164"/>
      <x:c r="D161" s="164"/>
      <x:c r="E161" s="164"/>
      <x:c r="F161" s="158"/>
      <x:c r="G161" s="158"/>
      <x:c r="H161" s="158"/>
      <x:c r="I161" s="158"/>
      <x:c r="J161" s="158"/>
      <x:c r="K161" s="158"/>
      <x:c r="L161" s="158"/>
      <x:c r="M161" s="158"/>
      <x:c r="N161" s="158"/>
    </x:row>
    <x:row r="162">
      <x:c r="A162" s="158"/>
      <x:c r="B162" s="158"/>
      <x:c r="C162" s="164"/>
      <x:c r="D162" s="164"/>
      <x:c r="E162" s="164"/>
      <x:c r="F162" s="158"/>
      <x:c r="G162" s="158"/>
      <x:c r="H162" s="158"/>
      <x:c r="I162" s="158"/>
      <x:c r="J162" s="158"/>
      <x:c r="K162" s="158"/>
      <x:c r="L162" s="158"/>
      <x:c r="M162" s="158"/>
      <x:c r="N162" s="158"/>
    </x:row>
    <x:row r="163">
      <x:c r="A163" s="158"/>
      <x:c r="B163" s="158"/>
      <x:c r="C163" s="164"/>
      <x:c r="D163" s="164"/>
      <x:c r="E163" s="164"/>
      <x:c r="F163" s="158"/>
      <x:c r="G163" s="158"/>
      <x:c r="H163" s="158"/>
      <x:c r="I163" s="158"/>
      <x:c r="J163" s="158"/>
      <x:c r="K163" s="158"/>
      <x:c r="L163" s="158"/>
      <x:c r="M163" s="158"/>
      <x:c r="N163" s="158"/>
    </x:row>
    <x:row r="164">
      <x:c r="A164" s="158"/>
      <x:c r="B164" s="158"/>
      <x:c r="C164" s="164"/>
      <x:c r="D164" s="164"/>
      <x:c r="E164" s="164"/>
      <x:c r="F164" s="158"/>
      <x:c r="G164" s="158"/>
      <x:c r="H164" s="158"/>
      <x:c r="I164" s="158"/>
      <x:c r="J164" s="158"/>
      <x:c r="K164" s="158"/>
      <x:c r="L164" s="158"/>
      <x:c r="M164" s="158"/>
      <x:c r="N164" s="158"/>
    </x:row>
    <x:row r="165">
      <x:c r="A165" s="158"/>
      <x:c r="B165" s="158"/>
      <x:c r="C165" s="164"/>
      <x:c r="D165" s="164"/>
      <x:c r="E165" s="164"/>
      <x:c r="F165" s="158"/>
      <x:c r="G165" s="158"/>
      <x:c r="H165" s="158"/>
      <x:c r="I165" s="158"/>
      <x:c r="J165" s="158"/>
      <x:c r="K165" s="158"/>
      <x:c r="L165" s="158"/>
      <x:c r="M165" s="158"/>
      <x:c r="N165" s="158"/>
    </x:row>
    <x:row r="166">
      <x:c r="A166" s="158"/>
      <x:c r="B166" s="158"/>
      <x:c r="C166" s="164"/>
      <x:c r="D166" s="164"/>
      <x:c r="E166" s="164"/>
      <x:c r="F166" s="158"/>
      <x:c r="G166" s="158"/>
      <x:c r="H166" s="158"/>
      <x:c r="I166" s="158"/>
      <x:c r="J166" s="158"/>
      <x:c r="K166" s="158"/>
      <x:c r="L166" s="158"/>
      <x:c r="M166" s="158"/>
      <x:c r="N166" s="158"/>
    </x:row>
    <x:row r="167">
      <x:c r="A167" s="158"/>
      <x:c r="B167" s="158"/>
      <x:c r="C167" s="164"/>
      <x:c r="D167" s="164"/>
      <x:c r="E167" s="164"/>
      <x:c r="F167" s="158"/>
      <x:c r="G167" s="158"/>
      <x:c r="H167" s="158"/>
      <x:c r="I167" s="158"/>
      <x:c r="J167" s="158"/>
      <x:c r="K167" s="158"/>
      <x:c r="L167" s="158"/>
      <x:c r="M167" s="158"/>
      <x:c r="N167" s="158"/>
    </x:row>
    <x:row r="168">
      <x:c r="A168" s="158"/>
      <x:c r="B168" s="158"/>
      <x:c r="C168" s="164"/>
      <x:c r="D168" s="164"/>
      <x:c r="E168" s="164"/>
      <x:c r="F168" s="158"/>
      <x:c r="G168" s="158"/>
      <x:c r="H168" s="158"/>
      <x:c r="I168" s="158"/>
      <x:c r="J168" s="158"/>
      <x:c r="K168" s="158"/>
      <x:c r="L168" s="158"/>
      <x:c r="M168" s="158"/>
      <x:c r="N168" s="158"/>
    </x:row>
    <x:row r="169">
      <x:c r="A169" s="158"/>
      <x:c r="B169" s="158"/>
      <x:c r="C169" s="164"/>
      <x:c r="D169" s="164"/>
      <x:c r="E169" s="164"/>
      <x:c r="F169" s="158"/>
      <x:c r="G169" s="158"/>
      <x:c r="H169" s="158"/>
      <x:c r="I169" s="158"/>
      <x:c r="J169" s="158"/>
      <x:c r="K169" s="158"/>
      <x:c r="L169" s="158"/>
      <x:c r="M169" s="158"/>
      <x:c r="N169" s="158"/>
    </x:row>
    <x:row r="170">
      <x:c r="A170" s="158"/>
      <x:c r="B170" s="158"/>
      <x:c r="C170" s="164"/>
      <x:c r="D170" s="164"/>
      <x:c r="E170" s="164"/>
      <x:c r="F170" s="158"/>
      <x:c r="G170" s="158"/>
      <x:c r="H170" s="158"/>
      <x:c r="I170" s="158"/>
      <x:c r="J170" s="158"/>
      <x:c r="K170" s="158"/>
      <x:c r="L170" s="158"/>
      <x:c r="M170" s="158"/>
      <x:c r="N170" s="158"/>
    </x:row>
    <x:row r="171">
      <x:c r="A171" s="158"/>
      <x:c r="B171" s="158"/>
      <x:c r="C171" s="164"/>
      <x:c r="D171" s="164"/>
      <x:c r="E171" s="164"/>
      <x:c r="F171" s="158"/>
      <x:c r="G171" s="158"/>
      <x:c r="H171" s="158"/>
      <x:c r="I171" s="158"/>
      <x:c r="J171" s="158"/>
      <x:c r="K171" s="158"/>
      <x:c r="L171" s="158"/>
      <x:c r="M171" s="158"/>
      <x:c r="N171" s="158"/>
    </x:row>
    <x:row r="172">
      <x:c r="A172" s="158"/>
      <x:c r="B172" s="158"/>
      <x:c r="C172" s="164"/>
      <x:c r="D172" s="164"/>
      <x:c r="E172" s="164"/>
      <x:c r="F172" s="158"/>
      <x:c r="G172" s="158"/>
      <x:c r="H172" s="158"/>
      <x:c r="I172" s="158"/>
      <x:c r="J172" s="158"/>
      <x:c r="K172" s="158"/>
      <x:c r="L172" s="158"/>
      <x:c r="M172" s="158"/>
      <x:c r="N172" s="158"/>
    </x:row>
    <x:row r="173">
      <x:c r="A173" s="158"/>
      <x:c r="B173" s="158"/>
      <x:c r="C173" s="164"/>
      <x:c r="D173" s="164"/>
      <x:c r="E173" s="164"/>
      <x:c r="F173" s="158"/>
      <x:c r="G173" s="158"/>
      <x:c r="H173" s="158"/>
      <x:c r="I173" s="158"/>
      <x:c r="J173" s="158"/>
      <x:c r="K173" s="158"/>
      <x:c r="L173" s="158"/>
      <x:c r="M173" s="158"/>
      <x:c r="N173" s="158"/>
    </x:row>
    <x:row r="174">
      <x:c r="A174" s="158"/>
      <x:c r="B174" s="158"/>
      <x:c r="C174" s="164"/>
      <x:c r="D174" s="164"/>
      <x:c r="E174" s="164"/>
      <x:c r="F174" s="158"/>
      <x:c r="G174" s="158"/>
      <x:c r="H174" s="158"/>
      <x:c r="I174" s="158"/>
      <x:c r="J174" s="158"/>
      <x:c r="K174" s="158"/>
      <x:c r="L174" s="158"/>
      <x:c r="M174" s="158"/>
      <x:c r="N174" s="158"/>
    </x:row>
    <x:row r="175">
      <x:c r="A175" s="158"/>
      <x:c r="B175" s="158"/>
      <x:c r="C175" s="164"/>
      <x:c r="D175" s="164"/>
      <x:c r="E175" s="164"/>
      <x:c r="F175" s="158"/>
      <x:c r="G175" s="158"/>
      <x:c r="H175" s="158"/>
      <x:c r="I175" s="158"/>
      <x:c r="J175" s="158"/>
      <x:c r="K175" s="158"/>
      <x:c r="L175" s="158"/>
      <x:c r="M175" s="158"/>
      <x:c r="N175" s="158"/>
    </x:row>
    <x:row r="176">
      <x:c r="A176" s="158"/>
      <x:c r="B176" s="158"/>
      <x:c r="C176" s="164"/>
      <x:c r="D176" s="164"/>
      <x:c r="E176" s="164"/>
      <x:c r="F176" s="158"/>
      <x:c r="G176" s="158"/>
      <x:c r="H176" s="158"/>
      <x:c r="I176" s="158"/>
      <x:c r="J176" s="158"/>
      <x:c r="K176" s="158"/>
      <x:c r="L176" s="158"/>
      <x:c r="M176" s="158"/>
      <x:c r="N176" s="158"/>
    </x:row>
    <x:row r="177">
      <x:c r="A177" s="158"/>
      <x:c r="B177" s="158"/>
      <x:c r="C177" s="164"/>
      <x:c r="D177" s="164"/>
      <x:c r="E177" s="164"/>
      <x:c r="F177" s="158"/>
      <x:c r="G177" s="158"/>
      <x:c r="H177" s="158"/>
      <x:c r="I177" s="158"/>
      <x:c r="J177" s="158"/>
      <x:c r="K177" s="158"/>
      <x:c r="L177" s="158"/>
      <x:c r="M177" s="158"/>
      <x:c r="N177" s="158"/>
    </x:row>
    <x:row r="178">
      <x:c r="A178" s="158"/>
      <x:c r="B178" s="158"/>
      <x:c r="C178" s="164"/>
      <x:c r="D178" s="164"/>
      <x:c r="E178" s="164"/>
      <x:c r="F178" s="158"/>
      <x:c r="G178" s="158"/>
      <x:c r="H178" s="158"/>
      <x:c r="I178" s="158"/>
      <x:c r="J178" s="158"/>
      <x:c r="K178" s="158"/>
      <x:c r="L178" s="158"/>
      <x:c r="M178" s="158"/>
      <x:c r="N178" s="158"/>
    </x:row>
    <x:row r="179">
      <x:c r="A179" s="158"/>
      <x:c r="B179" s="158"/>
      <x:c r="C179" s="164"/>
      <x:c r="D179" s="164"/>
      <x:c r="E179" s="164"/>
      <x:c r="F179" s="158"/>
      <x:c r="G179" s="158"/>
      <x:c r="H179" s="158"/>
      <x:c r="I179" s="158"/>
      <x:c r="J179" s="158"/>
      <x:c r="K179" s="158"/>
      <x:c r="L179" s="158"/>
      <x:c r="M179" s="158"/>
      <x:c r="N179" s="158"/>
    </x:row>
    <x:row r="180">
      <x:c r="A180" s="158"/>
      <x:c r="B180" s="158"/>
      <x:c r="C180" s="164"/>
      <x:c r="D180" s="164"/>
      <x:c r="E180" s="164"/>
      <x:c r="F180" s="158"/>
      <x:c r="G180" s="158"/>
      <x:c r="H180" s="158"/>
      <x:c r="I180" s="158"/>
      <x:c r="J180" s="158"/>
      <x:c r="K180" s="158"/>
      <x:c r="L180" s="158"/>
      <x:c r="M180" s="158"/>
      <x:c r="N180" s="158"/>
    </x:row>
    <x:row r="181">
      <x:c r="A181" s="158"/>
      <x:c r="B181" s="158"/>
      <x:c r="C181" s="164"/>
      <x:c r="D181" s="164"/>
      <x:c r="E181" s="164"/>
      <x:c r="F181" s="158"/>
      <x:c r="G181" s="158"/>
      <x:c r="H181" s="158"/>
      <x:c r="I181" s="158"/>
      <x:c r="J181" s="158"/>
      <x:c r="K181" s="158"/>
      <x:c r="L181" s="158"/>
      <x:c r="M181" s="158"/>
      <x:c r="N181" s="158"/>
    </x:row>
    <x:row r="182">
      <x:c r="A182" s="158"/>
      <x:c r="B182" s="158"/>
      <x:c r="C182" s="164"/>
      <x:c r="D182" s="164"/>
      <x:c r="E182" s="164"/>
      <x:c r="F182" s="158"/>
      <x:c r="G182" s="158"/>
      <x:c r="H182" s="158"/>
      <x:c r="I182" s="158"/>
      <x:c r="J182" s="158"/>
      <x:c r="K182" s="158"/>
      <x:c r="L182" s="158"/>
      <x:c r="M182" s="158"/>
      <x:c r="N182" s="158"/>
    </x:row>
    <x:row r="183">
      <x:c r="A183" s="158"/>
      <x:c r="B183" s="158"/>
      <x:c r="C183" s="164"/>
      <x:c r="D183" s="164"/>
      <x:c r="E183" s="164"/>
      <x:c r="F183" s="158"/>
      <x:c r="G183" s="158"/>
      <x:c r="H183" s="158"/>
      <x:c r="I183" s="158"/>
      <x:c r="J183" s="158"/>
      <x:c r="K183" s="158"/>
      <x:c r="L183" s="158"/>
      <x:c r="M183" s="158"/>
      <x:c r="N183" s="158"/>
    </x:row>
    <x:row r="184">
      <x:c r="A184" s="158"/>
      <x:c r="B184" s="158"/>
      <x:c r="C184" s="164"/>
      <x:c r="D184" s="164"/>
      <x:c r="E184" s="164"/>
      <x:c r="F184" s="158"/>
      <x:c r="G184" s="158"/>
      <x:c r="H184" s="158"/>
      <x:c r="I184" s="158"/>
      <x:c r="J184" s="158"/>
      <x:c r="K184" s="158"/>
      <x:c r="L184" s="158"/>
      <x:c r="M184" s="158"/>
      <x:c r="N184" s="158"/>
    </x:row>
    <x:row r="185">
      <x:c r="A185" s="158"/>
      <x:c r="B185" s="158"/>
      <x:c r="C185" s="164"/>
      <x:c r="D185" s="164"/>
      <x:c r="E185" s="164"/>
      <x:c r="F185" s="158"/>
      <x:c r="G185" s="158"/>
      <x:c r="H185" s="158"/>
      <x:c r="I185" s="158"/>
      <x:c r="J185" s="158"/>
      <x:c r="K185" s="158"/>
      <x:c r="L185" s="158"/>
      <x:c r="M185" s="158"/>
      <x:c r="N185" s="158"/>
    </x:row>
    <x:row r="186">
      <x:c r="A186" s="158"/>
      <x:c r="B186" s="158"/>
      <x:c r="C186" s="164"/>
      <x:c r="D186" s="164"/>
      <x:c r="E186" s="164"/>
      <x:c r="F186" s="158"/>
      <x:c r="G186" s="158"/>
      <x:c r="H186" s="158"/>
      <x:c r="I186" s="158"/>
      <x:c r="J186" s="158"/>
      <x:c r="K186" s="158"/>
      <x:c r="L186" s="158"/>
      <x:c r="M186" s="158"/>
      <x:c r="N186" s="158"/>
    </x:row>
    <x:row r="187">
      <x:c r="A187" s="158"/>
      <x:c r="B187" s="158"/>
      <x:c r="C187" s="164"/>
      <x:c r="D187" s="164"/>
      <x:c r="E187" s="164"/>
      <x:c r="F187" s="158"/>
      <x:c r="G187" s="158"/>
      <x:c r="H187" s="158"/>
      <x:c r="I187" s="158"/>
      <x:c r="J187" s="158"/>
      <x:c r="K187" s="158"/>
      <x:c r="L187" s="158"/>
      <x:c r="M187" s="158"/>
      <x:c r="N187" s="158"/>
    </x:row>
    <x:row r="188">
      <x:c r="A188" s="158"/>
      <x:c r="B188" s="158"/>
      <x:c r="C188" s="164"/>
      <x:c r="D188" s="164"/>
      <x:c r="E188" s="164"/>
      <x:c r="F188" s="158"/>
      <x:c r="G188" s="158"/>
      <x:c r="H188" s="158"/>
      <x:c r="I188" s="158"/>
      <x:c r="J188" s="158"/>
      <x:c r="K188" s="158"/>
      <x:c r="L188" s="158"/>
      <x:c r="M188" s="158"/>
      <x:c r="N188" s="158"/>
    </x:row>
    <x:row r="189">
      <x:c r="A189" s="158"/>
      <x:c r="B189" s="158"/>
      <x:c r="C189" s="164"/>
      <x:c r="D189" s="164"/>
      <x:c r="E189" s="164"/>
      <x:c r="F189" s="158"/>
      <x:c r="G189" s="158"/>
      <x:c r="H189" s="158"/>
      <x:c r="I189" s="158"/>
      <x:c r="J189" s="158"/>
      <x:c r="K189" s="158"/>
      <x:c r="L189" s="158"/>
      <x:c r="M189" s="158"/>
      <x:c r="N189" s="158"/>
    </x:row>
    <x:row r="190">
      <x:c r="A190" s="158"/>
      <x:c r="B190" s="158"/>
      <x:c r="C190" s="164"/>
      <x:c r="D190" s="164"/>
      <x:c r="E190" s="164"/>
      <x:c r="F190" s="158"/>
      <x:c r="G190" s="158"/>
      <x:c r="H190" s="158"/>
      <x:c r="I190" s="158"/>
      <x:c r="J190" s="158"/>
      <x:c r="K190" s="158"/>
      <x:c r="L190" s="158"/>
      <x:c r="M190" s="158"/>
      <x:c r="N190" s="158"/>
    </x:row>
    <x:row r="191">
      <x:c r="A191" s="158"/>
      <x:c r="B191" s="158"/>
      <x:c r="C191" s="164"/>
      <x:c r="D191" s="164"/>
      <x:c r="E191" s="164"/>
      <x:c r="F191" s="158"/>
      <x:c r="G191" s="158"/>
      <x:c r="H191" s="158"/>
      <x:c r="I191" s="158"/>
      <x:c r="J191" s="158"/>
      <x:c r="K191" s="158"/>
      <x:c r="L191" s="158"/>
      <x:c r="M191" s="158"/>
      <x:c r="N191" s="158"/>
    </x:row>
    <x:row r="192">
      <x:c r="A192" s="158"/>
      <x:c r="B192" s="158"/>
      <x:c r="C192" s="164"/>
      <x:c r="D192" s="164"/>
      <x:c r="E192" s="164"/>
      <x:c r="F192" s="158"/>
      <x:c r="G192" s="158"/>
      <x:c r="H192" s="158"/>
      <x:c r="I192" s="158"/>
      <x:c r="J192" s="158"/>
      <x:c r="K192" s="158"/>
      <x:c r="L192" s="158"/>
      <x:c r="M192" s="158"/>
      <x:c r="N192" s="158"/>
    </x:row>
    <x:row r="193">
      <x:c r="A193" s="158"/>
      <x:c r="B193" s="158"/>
      <x:c r="C193" s="164"/>
      <x:c r="D193" s="164"/>
      <x:c r="E193" s="164"/>
      <x:c r="F193" s="158"/>
      <x:c r="G193" s="158"/>
      <x:c r="H193" s="158"/>
      <x:c r="I193" s="158"/>
      <x:c r="J193" s="158"/>
      <x:c r="K193" s="158"/>
      <x:c r="L193" s="158"/>
      <x:c r="M193" s="158"/>
      <x:c r="N193" s="158"/>
    </x:row>
    <x:row r="194">
      <x:c r="A194" s="158"/>
      <x:c r="B194" s="158"/>
      <x:c r="C194" s="164"/>
      <x:c r="D194" s="164"/>
      <x:c r="E194" s="164"/>
      <x:c r="F194" s="158"/>
      <x:c r="G194" s="158"/>
      <x:c r="H194" s="158"/>
      <x:c r="I194" s="158"/>
      <x:c r="J194" s="158"/>
      <x:c r="K194" s="158"/>
      <x:c r="L194" s="158"/>
      <x:c r="M194" s="158"/>
      <x:c r="N194" s="158"/>
    </x:row>
    <x:row r="195">
      <x:c r="A195" s="158"/>
      <x:c r="B195" s="158"/>
      <x:c r="C195" s="164"/>
      <x:c r="D195" s="164"/>
      <x:c r="E195" s="164"/>
      <x:c r="F195" s="158"/>
      <x:c r="G195" s="158"/>
      <x:c r="H195" s="158"/>
      <x:c r="I195" s="158"/>
      <x:c r="J195" s="158"/>
      <x:c r="K195" s="158"/>
      <x:c r="L195" s="158"/>
      <x:c r="M195" s="158"/>
      <x:c r="N195" s="158"/>
    </x:row>
    <x:row r="196">
      <x:c r="A196" s="158"/>
      <x:c r="B196" s="158"/>
      <x:c r="C196" s="164"/>
      <x:c r="D196" s="164"/>
      <x:c r="E196" s="164"/>
      <x:c r="F196" s="158"/>
      <x:c r="G196" s="158"/>
      <x:c r="H196" s="158"/>
      <x:c r="I196" s="158"/>
      <x:c r="J196" s="158"/>
      <x:c r="K196" s="158"/>
      <x:c r="L196" s="158"/>
      <x:c r="M196" s="158"/>
      <x:c r="N196" s="158"/>
    </x:row>
    <x:row r="197">
      <x:c r="A197" s="158"/>
      <x:c r="B197" s="158"/>
      <x:c r="C197" s="164"/>
      <x:c r="D197" s="164"/>
      <x:c r="E197" s="164"/>
      <x:c r="F197" s="158"/>
      <x:c r="G197" s="158"/>
      <x:c r="H197" s="158"/>
      <x:c r="I197" s="158"/>
      <x:c r="J197" s="158"/>
      <x:c r="K197" s="158"/>
      <x:c r="L197" s="158"/>
      <x:c r="M197" s="158"/>
      <x:c r="N197" s="158"/>
    </x:row>
    <x:row r="198">
      <x:c r="A198" s="158"/>
      <x:c r="B198" s="158"/>
      <x:c r="C198" s="164"/>
      <x:c r="D198" s="164"/>
      <x:c r="E198" s="164"/>
      <x:c r="F198" s="158"/>
      <x:c r="G198" s="158"/>
      <x:c r="H198" s="158"/>
      <x:c r="I198" s="158"/>
      <x:c r="J198" s="158"/>
      <x:c r="K198" s="158"/>
      <x:c r="L198" s="158"/>
      <x:c r="M198" s="158"/>
      <x:c r="N198" s="158"/>
    </x:row>
    <x:row r="199">
      <x:c r="A199" s="158"/>
      <x:c r="B199" s="158"/>
      <x:c r="C199" s="164"/>
      <x:c r="D199" s="164"/>
      <x:c r="E199" s="164"/>
      <x:c r="F199" s="158"/>
      <x:c r="G199" s="158"/>
      <x:c r="H199" s="158"/>
      <x:c r="I199" s="158"/>
      <x:c r="J199" s="158"/>
      <x:c r="K199" s="158"/>
      <x:c r="L199" s="158"/>
      <x:c r="M199" s="158"/>
      <x:c r="N199" s="158"/>
    </x:row>
    <x:row r="200">
      <x:c r="A200" s="158"/>
      <x:c r="B200" s="158"/>
      <x:c r="C200" s="164"/>
      <x:c r="D200" s="164"/>
      <x:c r="E200" s="164"/>
      <x:c r="F200" s="158"/>
      <x:c r="G200" s="158"/>
      <x:c r="H200" s="158"/>
      <x:c r="I200" s="158"/>
      <x:c r="J200" s="158"/>
      <x:c r="K200" s="158"/>
      <x:c r="L200" s="158"/>
      <x:c r="M200" s="158"/>
      <x:c r="N200" s="158"/>
    </x:row>
  </x:sheetData>
  <x:mergeCells>
    <x:mergeCell ref="A1:N1"/>
    <x:mergeCell ref="A2:N2"/>
    <x:mergeCell ref="A6:N6"/>
    <x:mergeCell ref="A29:N29"/>
    <x:mergeCell ref="A48:N48"/>
    <x:mergeCell ref="A72:N72"/>
    <x:mergeCell ref="A81:N81"/>
    <x:mergeCell ref="A99:N9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9" hidden="0" customWidth="1"/>
    <x:col min="4" max="4" width="28" hidden="0" customWidth="1"/>
    <x:col min="5" max="5" width="16" hidden="0" customWidth="1"/>
    <x:col min="6" max="6" width="35" hidden="0" customWidth="1"/>
    <x:col min="7" max="7" width="15" hidden="0" customWidth="1"/>
    <x:col min="8" max="8" width="28" hidden="0" customWidth="1"/>
    <x:col min="9" max="9" width="32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Sources, Assumption Log, Data Gaps and Model Checks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4" t="str">
        <x:v>Reported / derived / external / analyst-estimate classifications and audit trail for the central forecast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</x:row>
    <x:row r="4" ht="20" customHeight="1">
      <x:c r="A4" s="40" t="str">
        <x:v>Source Register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158"/>
      <x:c r="L4" s="158"/>
      <x:c r="M4" s="158"/>
      <x:c r="N4" s="158"/>
    </x:row>
    <x:row r="5">
      <x:c r="A5" s="134" t="str">
        <x:v>Area</x:v>
      </x:c>
      <x:c r="B5" s="134" t="str">
        <x:v>Period</x:v>
      </x:c>
      <x:c r="C5" s="134" t="str">
        <x:v>Classification</x:v>
      </x:c>
      <x:c r="D5" s="134" t="str">
        <x:v>Source document</x:v>
      </x:c>
      <x:c r="E5" s="134" t="str">
        <x:v>Page / slide</x:v>
      </x:c>
      <x:c r="F5" s="134" t="str">
        <x:v>Reference / URL</x:v>
      </x:c>
      <x:c r="G5" s="134" t="str">
        <x:v>Confidence</x:v>
      </x:c>
      <x:c r="H5" s="134" t="str">
        <x:v>Model treatment</x:v>
      </x:c>
      <x:c r="I5" s="134" t="str">
        <x:v>Notes</x:v>
      </x:c>
      <x:c r="J5" s="134" t="str">
        <x:v>Last checked</x:v>
      </x:c>
      <x:c r="K5" s="158"/>
      <x:c r="L5" s="158"/>
      <x:c r="M5" s="158"/>
      <x:c r="N5" s="158"/>
    </x:row>
    <x:row r="6" ht="34" customHeight="1">
      <x:c r="A6" s="140" t="str">
        <x:v>Historical financial statements</x:v>
      </x:c>
      <x:c r="B6" s="140" t="str">
        <x:v>FY24–FY25</x:v>
      </x:c>
      <x:c r="C6" s="140" t="str">
        <x:v>Reported</x:v>
      </x:c>
      <x:c r="D6" s="140" t="str">
        <x:v>Anthem Biosciences Annual Report 2024-25</x:v>
      </x:c>
      <x:c r="E6" s="140" t="str">
        <x:v>pp.158–160</x:v>
      </x:c>
      <x:c r="F6" s="140" t="str">
        <x:v>https://anthembio.com/investors/</x:v>
      </x:c>
      <x:c r="G6" s="140" t="str">
        <x:v>High</x:v>
      </x:c>
      <x:c r="H6" s="140" t="str">
        <x:v>Hardcoded consolidated statements</x:v>
      </x:c>
      <x:c r="I6" s="140" t="str">
        <x:v>INR lakh converted to INR million</x:v>
      </x:c>
      <x:c r="J6" s="140" t="str">
        <x:v>5-Aug-2026</x:v>
      </x:c>
      <x:c r="K6" s="158"/>
      <x:c r="L6" s="158"/>
      <x:c r="M6" s="158"/>
      <x:c r="N6" s="158"/>
    </x:row>
    <x:row r="7" ht="34" customHeight="1">
      <x:c r="A7" s="140" t="str">
        <x:v>FY26 financial statements</x:v>
      </x:c>
      <x:c r="B7" s="140" t="str">
        <x:v>FY26</x:v>
      </x:c>
      <x:c r="C7" s="140" t="str">
        <x:v>Reported</x:v>
      </x:c>
      <x:c r="D7" s="140" t="str">
        <x:v>Audited Consolidated Financial Results</x:v>
      </x:c>
      <x:c r="E7" s="140" t="str">
        <x:v>pp.15–17</x:v>
      </x:c>
      <x:c r="F7" s="140" t="str">
        <x:v>https://anthembio.com/wp-content/uploads/2026/05/Financial-Results.pdf</x:v>
      </x:c>
      <x:c r="G7" s="140" t="str">
        <x:v>High</x:v>
      </x:c>
      <x:c r="H7" s="140" t="str">
        <x:v>Hardcoded consolidated statements</x:v>
      </x:c>
      <x:c r="I7" s="140" t="str">
        <x:v>Includes INR243.91m labour-code exceptional item</x:v>
      </x:c>
      <x:c r="J7" s="140" t="str">
        <x:v>5-Aug-2026</x:v>
      </x:c>
      <x:c r="K7" s="158"/>
      <x:c r="L7" s="158"/>
      <x:c r="M7" s="158"/>
      <x:c r="N7" s="158"/>
    </x:row>
    <x:row r="8" ht="34" customHeight="1">
      <x:c r="A8" s="140" t="str">
        <x:v>CRDMO and Specialty Ingredients revenue</x:v>
      </x:c>
      <x:c r="B8" s="140" t="str">
        <x:v>FY24–FY26</x:v>
      </x:c>
      <x:c r="C8" s="140" t="str">
        <x:v>Reported</x:v>
      </x:c>
      <x:c r="D8" s="140" t="str">
        <x:v>Prospectus / FY26 earnings presentation</x:v>
      </x:c>
      <x:c r="E8" s="140" t="str">
        <x:v>Prospectus KPI tables; FY26 slide 7</x:v>
      </x:c>
      <x:c r="F8" s="140" t="str">
        <x:v>https://anthembio.com/investors/</x:v>
      </x:c>
      <x:c r="G8" s="140" t="str">
        <x:v>High</x:v>
      </x:c>
      <x:c r="H8" s="140" t="str">
        <x:v>Hardcoded segment revenue</x:v>
      </x:c>
      <x:c r="I8" s="140" t="str">
        <x:v>R&amp;D + D&amp;M reconciles to CRDMO</x:v>
      </x:c>
      <x:c r="J8" s="140" t="str">
        <x:v>5-Aug-2026</x:v>
      </x:c>
      <x:c r="K8" s="158"/>
      <x:c r="L8" s="158"/>
      <x:c r="M8" s="158"/>
      <x:c r="N8" s="158"/>
    </x:row>
    <x:row r="9" ht="34" customHeight="1">
      <x:c r="A9" s="140" t="str">
        <x:v>R&amp;D / D&amp;M split</x:v>
      </x:c>
      <x:c r="B9" s="140" t="str">
        <x:v>FY24–FY25</x:v>
      </x:c>
      <x:c r="C9" s="140" t="str">
        <x:v>Reported</x:v>
      </x:c>
      <x:c r="D9" s="140" t="str">
        <x:v>Prospectus dated 16-Jul-2025</x:v>
      </x:c>
      <x:c r="E9" s="140" t="str">
        <x:v>Operational KPI section</x:v>
      </x:c>
      <x:c r="F9" s="140" t="str">
        <x:v>https://anthembio.com/investors/</x:v>
      </x:c>
      <x:c r="G9" s="140" t="str">
        <x:v>High</x:v>
      </x:c>
      <x:c r="H9" s="140" t="str">
        <x:v>Hardcoded</x:v>
      </x:c>
      <x:c r="I9" s="140" t="str">
        <x:v>FY25 R&amp;D INR2,005.78m; D&amp;M INR13,055.14m</x:v>
      </x:c>
      <x:c r="J9" s="140" t="str">
        <x:v>5-Aug-2026</x:v>
      </x:c>
      <x:c r="K9" s="158"/>
      <x:c r="L9" s="158"/>
      <x:c r="M9" s="158"/>
      <x:c r="N9" s="158"/>
    </x:row>
    <x:row r="10" ht="34" customHeight="1">
      <x:c r="A10" s="140" t="str">
        <x:v>R&amp;D / D&amp;M split</x:v>
      </x:c>
      <x:c r="B10" s="140" t="str">
        <x:v>FY26</x:v>
      </x:c>
      <x:c r="C10" s="140" t="str">
        <x:v>Analyst estimate / derived</x:v>
      </x:c>
      <x:c r="D10" s="140" t="str">
        <x:v>FY26 CRDMO revenue and disclosed FFS-heavy mix</x:v>
      </x:c>
      <x:c r="E10" s="140" t="str">
        <x:v>n.a.</x:v>
      </x:c>
      <x:c r="F10" s="140" t="str">
        <x:v>https://anthembio.com/investors/</x:v>
      </x:c>
      <x:c r="G10" s="140" t="str">
        <x:v>Medium</x:v>
      </x:c>
      <x:c r="H10" s="140" t="str">
        <x:v>R&amp;D set at INR2,300m; D&amp;M is residual</x:v>
      </x:c>
      <x:c r="I10" s="140" t="str">
        <x:v>Company does not disclose FY26 annual R&amp;D/D&amp;M split</x:v>
      </x:c>
      <x:c r="J10" s="140" t="str">
        <x:v>5-Aug-2026</x:v>
      </x:c>
      <x:c r="K10" s="158"/>
      <x:c r="L10" s="158"/>
      <x:c r="M10" s="158"/>
      <x:c r="N10" s="158"/>
    </x:row>
    <x:row r="11" ht="34" customHeight="1">
      <x:c r="A11" s="140" t="str">
        <x:v>R&amp;D FFS / FTE mix</x:v>
      </x:c>
      <x:c r="B11" s="140" t="str">
        <x:v>FY24–FY25</x:v>
      </x:c>
      <x:c r="C11" s="140" t="str">
        <x:v>Reported</x:v>
      </x:c>
      <x:c r="D11" s="140" t="str">
        <x:v>Prospectus / Annual Report</x:v>
      </x:c>
      <x:c r="E11" s="140" t="str">
        <x:v>Annual Report p.24</x:v>
      </x:c>
      <x:c r="F11" s="140" t="str">
        <x:v>https://anthembio.com/investors/</x:v>
      </x:c>
      <x:c r="G11" s="140" t="str">
        <x:v>High</x:v>
      </x:c>
      <x:c r="H11" s="140" t="str">
        <x:v>Historical calibration</x:v>
      </x:c>
      <x:c r="I11" s="140" t="str">
        <x:v>FY25 R&amp;D mix approximately 90% FFS / 10% FTE</x:v>
      </x:c>
      <x:c r="J11" s="140" t="str">
        <x:v>5-Aug-2026</x:v>
      </x:c>
      <x:c r="K11" s="158"/>
      <x:c r="L11" s="158"/>
      <x:c r="M11" s="158"/>
      <x:c r="N11" s="158"/>
    </x:row>
    <x:row r="12" ht="34" customHeight="1">
      <x:c r="A12" s="140" t="str">
        <x:v>Capacity</x:v>
      </x:c>
      <x:c r="B12" s="140" t="str">
        <x:v>FY26 / FY28E</x:v>
      </x:c>
      <x:c r="C12" s="140" t="str">
        <x:v>Reported / announced</x:v>
      </x:c>
      <x:c r="D12" s="140" t="str">
        <x:v>FY26 and Q1FY27 earnings calls</x:v>
      </x:c>
      <x:c r="E12" s="140" t="str">
        <x:v>Capex and utilisation Q&amp;A</x:v>
      </x:c>
      <x:c r="F12" s="140" t="str">
        <x:v>https://anthembio.com/investors/</x:v>
      </x:c>
      <x:c r="G12" s="140" t="str">
        <x:v>High</x:v>
      </x:c>
      <x:c r="H12" s="140" t="str">
        <x:v>Feasibility check only</x:v>
      </x:c>
      <x:c r="I12" s="140" t="str">
        <x:v>425kL custom synthesis / 180kL fermentation; Unit IV adds 365kL / 100kL</x:v>
      </x:c>
      <x:c r="J12" s="140" t="str">
        <x:v>5-Aug-2026</x:v>
      </x:c>
      <x:c r="K12" s="158"/>
      <x:c r="L12" s="158"/>
      <x:c r="M12" s="158"/>
      <x:c r="N12" s="158"/>
    </x:row>
    <x:row r="13" ht="34" customHeight="1">
      <x:c r="A13" s="140" t="str">
        <x:v>Unit IV capex</x:v>
      </x:c>
      <x:c r="B13" s="140" t="str">
        <x:v>FY27E–FY28E</x:v>
      </x:c>
      <x:c r="C13" s="140" t="str">
        <x:v>Management guidance</x:v>
      </x:c>
      <x:c r="D13" s="140" t="str">
        <x:v>FY26 earnings call</x:v>
      </x:c>
      <x:c r="E13" s="140" t="str">
        <x:v>Capex Q&amp;A</x:v>
      </x:c>
      <x:c r="F13" s="140" t="str">
        <x:v>https://anthembio.com/investors/</x:v>
      </x:c>
      <x:c r="G13" s="140" t="str">
        <x:v>High</x:v>
      </x:c>
      <x:c r="H13" s="140" t="str">
        <x:v>INR7,000m FY27E; INR5,000m FY28E</x:v>
      </x:c>
      <x:c r="I13" s="140" t="str">
        <x:v>Phase 1 total roughly INR12,000m</x:v>
      </x:c>
      <x:c r="J13" s="140" t="str">
        <x:v>5-Aug-2026</x:v>
      </x:c>
      <x:c r="K13" s="158"/>
      <x:c r="L13" s="158"/>
      <x:c r="M13" s="158"/>
      <x:c r="N13" s="158"/>
    </x:row>
    <x:row r="14" ht="34" customHeight="1">
      <x:c r="A14" s="140" t="str">
        <x:v>Commercial / late-phase portfolio</x:v>
      </x:c>
      <x:c r="B14" s="140" t="str">
        <x:v>FY26 / Q1FY27</x:v>
      </x:c>
      <x:c r="C14" s="140" t="str">
        <x:v>Reported</x:v>
      </x:c>
      <x:c r="D14" s="140" t="str">
        <x:v>Q1FY27 earnings call</x:v>
      </x:c>
      <x:c r="E14" s="140" t="str">
        <x:v>Pipeline Q&amp;A</x:v>
      </x:c>
      <x:c r="F14" s="140" t="str">
        <x:v>https://anthembio.com/investors/</x:v>
      </x:c>
      <x:c r="G14" s="140" t="str">
        <x:v>High</x:v>
      </x:c>
      <x:c r="H14" s="140" t="str">
        <x:v>Monitoring KPI</x:v>
      </x:c>
      <x:c r="I14" s="140" t="str">
        <x:v>14 commercial molecules, 10 late-phase molecules, 100+ early programmes</x:v>
      </x:c>
      <x:c r="J14" s="140" t="str">
        <x:v>5-Aug-2026</x:v>
      </x:c>
      <x:c r="K14" s="158"/>
      <x:c r="L14" s="158"/>
      <x:c r="M14" s="158"/>
      <x:c r="N14" s="158"/>
    </x:row>
    <x:row r="15" ht="34" customHeight="1">
      <x:c r="A15" s="140" t="str">
        <x:v>IPO structure</x:v>
      </x:c>
      <x:c r="B15" s="140" t="str">
        <x:v>FY26</x:v>
      </x:c>
      <x:c r="C15" s="140" t="str">
        <x:v>Reported</x:v>
      </x:c>
      <x:c r="D15" s="140" t="str">
        <x:v>Prospectus dated 16-Jul-2025</x:v>
      </x:c>
      <x:c r="E15" s="140" t="str">
        <x:v>Cover page</x:v>
      </x:c>
      <x:c r="F15" s="140" t="str">
        <x:v>https://anthembio.com/investors/</x:v>
      </x:c>
      <x:c r="G15" s="140" t="str">
        <x:v>High</x:v>
      </x:c>
      <x:c r="H15" s="140" t="str">
        <x:v>No company cash inflow</x:v>
      </x:c>
      <x:c r="I15" s="140" t="str">
        <x:v>IPO was a pure Offer for Sale</x:v>
      </x:c>
      <x:c r="J15" s="140" t="str">
        <x:v>5-Aug-2026</x:v>
      </x:c>
      <x:c r="K15" s="158"/>
      <x:c r="L15" s="158"/>
      <x:c r="M15" s="158"/>
      <x:c r="N15" s="158"/>
    </x:row>
    <x:row r="16" ht="34" customHeight="1">
      <x:c r="A16" s="140" t="str">
        <x:v>Quarterly tracker</x:v>
      </x:c>
      <x:c r="B16" s="140" t="str">
        <x:v>Q2FY25–Q1FY27</x:v>
      </x:c>
      <x:c r="C16" s="140" t="str">
        <x:v>Reported</x:v>
      </x:c>
      <x:c r="D16" s="140" t="str">
        <x:v>Quarterly earnings presentations</x:v>
      </x:c>
      <x:c r="E16" s="140" t="str">
        <x:v>P&amp;L slides</x:v>
      </x:c>
      <x:c r="F16" s="140" t="str">
        <x:v>https://anthembio.com/investors/</x:v>
      </x:c>
      <x:c r="G16" s="140" t="str">
        <x:v>High</x:v>
      </x:c>
      <x:c r="H16" s="140" t="str">
        <x:v>Hardcoded quarterly data</x:v>
      </x:c>
      <x:c r="I16" s="140" t="str">
        <x:v>No fabricated quarterly R&amp;D/D&amp;M split</x:v>
      </x:c>
      <x:c r="J16" s="140" t="str">
        <x:v>5-Aug-2026</x:v>
      </x:c>
      <x:c r="K16" s="158"/>
      <x:c r="L16" s="158"/>
      <x:c r="M16" s="158"/>
      <x:c r="N16" s="158"/>
    </x:row>
    <x:row r="17" ht="34" customHeight="1">
      <x:c r="A17" s="140" t="str">
        <x:v>Molecule-level relationships</x:v>
      </x:c>
      <x:c r="B17" s="140" t="str">
        <x:v>Current</x:v>
      </x:c>
      <x:c r="C17" s="140" t="str">
        <x:v>Insufficient public evidence</x:v>
      </x:c>
      <x:c r="D17" s="140" t="str">
        <x:v>Annual report, prospectus and calls</x:v>
      </x:c>
      <x:c r="E17" s="140" t="str">
        <x:v>Various</x:v>
      </x:c>
      <x:c r="F17" s="140" t="str">
        <x:v>https://anthembio.com/investors/</x:v>
      </x:c>
      <x:c r="G17" s="140" t="str">
        <x:v>Low–Medium</x:v>
      </x:c>
      <x:c r="H17" s="140" t="str">
        <x:v>Excluded from named central forecast</x:v>
      </x:c>
      <x:c r="I17" s="140" t="str">
        <x:v>Programmes retained in residual portfolio / qualitative watchlist</x:v>
      </x:c>
      <x:c r="J17" s="140" t="str">
        <x:v>5-Aug-2026</x:v>
      </x:c>
      <x:c r="K17" s="158"/>
      <x:c r="L17" s="158"/>
      <x:c r="M17" s="158"/>
      <x:c r="N17" s="158"/>
    </x:row>
    <x:row r="18">
      <x:c r="A18" s="158"/>
      <x:c r="B18" s="158"/>
      <x:c r="C18" s="158"/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</x:row>
    <x:row r="19">
      <x:c r="A19" s="158"/>
      <x:c r="B19" s="158"/>
      <x:c r="C19" s="158"/>
      <x:c r="D19" s="158"/>
      <x:c r="E19" s="158"/>
      <x:c r="F19" s="158"/>
      <x:c r="G19" s="158"/>
      <x:c r="H19" s="158"/>
      <x:c r="I19" s="158"/>
      <x:c r="J19" s="158"/>
      <x:c r="K19" s="158"/>
      <x:c r="L19" s="158"/>
      <x:c r="M19" s="158"/>
      <x:c r="N19" s="158"/>
    </x:row>
    <x:row r="20" ht="20" customHeight="1">
      <x:c r="A20" s="40" t="str">
        <x:v>Final Nine Revenue Assumptions</x:v>
      </x:c>
      <x:c r="B20" s="40"/>
      <x:c r="C20" s="40"/>
      <x:c r="D20" s="40"/>
      <x:c r="E20" s="40"/>
      <x:c r="F20" s="40"/>
      <x:c r="G20" s="40"/>
      <x:c r="H20" s="40"/>
      <x:c r="I20" s="40"/>
      <x:c r="J20" s="40"/>
      <x:c r="K20" s="158"/>
      <x:c r="L20" s="158"/>
      <x:c r="M20" s="158"/>
      <x:c r="N20" s="158"/>
    </x:row>
    <x:row r="21">
      <x:c r="A21" s="134" t="str">
        <x:v>Assumption</x:v>
      </x:c>
      <x:c r="B21" s="134" t="str">
        <x:v>FY27E</x:v>
      </x:c>
      <x:c r="C21" s="134" t="str">
        <x:v>FY28E</x:v>
      </x:c>
      <x:c r="D21" s="134" t="str">
        <x:v>FY29E</x:v>
      </x:c>
      <x:c r="E21" s="134" t="str">
        <x:v>FY30E</x:v>
      </x:c>
      <x:c r="F21" s="134" t="str">
        <x:v>FY31E</x:v>
      </x:c>
      <x:c r="G21" s="134" t="str">
        <x:v>FY32E</x:v>
      </x:c>
      <x:c r="H21" s="134" t="str">
        <x:v>FY33E</x:v>
      </x:c>
      <x:c r="I21" s="134" t="str">
        <x:v>FY34E</x:v>
      </x:c>
      <x:c r="J21" s="134" t="str">
        <x:v>FY35E</x:v>
      </x:c>
      <x:c r="K21" s="158"/>
      <x:c r="L21" s="158"/>
      <x:c r="M21" s="158"/>
      <x:c r="N21" s="158"/>
    </x:row>
    <x:row r="22">
      <x:c r="A22" s="154" t="str">
        <x:v>Net billable FTE additions</x:v>
      </x:c>
      <x:c r="B22" s="154" t="n">
        <x:v>15</x:v>
      </x:c>
      <x:c r="C22" s="154" t="n">
        <x:v>20</x:v>
      </x:c>
      <x:c r="D22" s="154" t="n">
        <x:v>25</x:v>
      </x:c>
      <x:c r="E22" s="154" t="n">
        <x:v>25</x:v>
      </x:c>
      <x:c r="F22" s="154" t="n">
        <x:v>20</x:v>
      </x:c>
      <x:c r="G22" s="154" t="n">
        <x:v>20</x:v>
      </x:c>
      <x:c r="H22" s="154" t="n">
        <x:v>15</x:v>
      </x:c>
      <x:c r="I22" s="154" t="n">
        <x:v>15</x:v>
      </x:c>
      <x:c r="J22" s="154" t="n">
        <x:v>10</x:v>
      </x:c>
      <x:c r="K22" s="158"/>
      <x:c r="L22" s="158"/>
      <x:c r="M22" s="158"/>
      <x:c r="N22" s="158"/>
    </x:row>
    <x:row r="23">
      <x:c r="A23" s="154" t="str">
        <x:v>FTE utilisation</x:v>
      </x:c>
      <x:c r="B23" s="156" t="n">
        <x:v>0.9</x:v>
      </x:c>
      <x:c r="C23" s="156" t="n">
        <x:v>0.91</x:v>
      </x:c>
      <x:c r="D23" s="156" t="n">
        <x:v>0.91</x:v>
      </x:c>
      <x:c r="E23" s="156" t="n">
        <x:v>0.92</x:v>
      </x:c>
      <x:c r="F23" s="156" t="n">
        <x:v>0.92</x:v>
      </x:c>
      <x:c r="G23" s="156" t="n">
        <x:v>0.92</x:v>
      </x:c>
      <x:c r="H23" s="156" t="n">
        <x:v>0.92</x:v>
      </x:c>
      <x:c r="I23" s="156" t="n">
        <x:v>0.92</x:v>
      </x:c>
      <x:c r="J23" s="156" t="n">
        <x:v>0.92</x:v>
      </x:c>
      <x:c r="K23" s="158"/>
      <x:c r="L23" s="158"/>
      <x:c r="M23" s="158"/>
      <x:c r="N23" s="158"/>
    </x:row>
    <x:row r="24">
      <x:c r="A24" s="154" t="str">
        <x:v>Revenue per billable FTE growth</x:v>
      </x:c>
      <x:c r="B24" s="156" t="n">
        <x:v>0.04</x:v>
      </x:c>
      <x:c r="C24" s="156" t="n">
        <x:v>0.04</x:v>
      </x:c>
      <x:c r="D24" s="156" t="n">
        <x:v>0.04</x:v>
      </x:c>
      <x:c r="E24" s="156" t="n">
        <x:v>0.04</x:v>
      </x:c>
      <x:c r="F24" s="156" t="n">
        <x:v>0.04</x:v>
      </x:c>
      <x:c r="G24" s="156" t="n">
        <x:v>0.035</x:v>
      </x:c>
      <x:c r="H24" s="156" t="n">
        <x:v>0.035</x:v>
      </x:c>
      <x:c r="I24" s="156" t="n">
        <x:v>0.03</x:v>
      </x:c>
      <x:c r="J24" s="156" t="n">
        <x:v>0.03</x:v>
      </x:c>
      <x:c r="K24" s="158"/>
      <x:c r="L24" s="158"/>
      <x:c r="M24" s="158"/>
      <x:c r="N24" s="158"/>
    </x:row>
    <x:row r="25">
      <x:c r="A25" s="154" t="str">
        <x:v>FFS revenue growth</x:v>
      </x:c>
      <x:c r="B25" s="156" t="n">
        <x:v>0.15</x:v>
      </x:c>
      <x:c r="C25" s="156" t="n">
        <x:v>0.15</x:v>
      </x:c>
      <x:c r="D25" s="156" t="n">
        <x:v>0.14</x:v>
      </x:c>
      <x:c r="E25" s="156" t="n">
        <x:v>0.13</x:v>
      </x:c>
      <x:c r="F25" s="156" t="n">
        <x:v>0.12</x:v>
      </x:c>
      <x:c r="G25" s="156" t="n">
        <x:v>0.11</x:v>
      </x:c>
      <x:c r="H25" s="156" t="n">
        <x:v>0.1</x:v>
      </x:c>
      <x:c r="I25" s="156" t="n">
        <x:v>0.09</x:v>
      </x:c>
      <x:c r="J25" s="156" t="n">
        <x:v>0.08</x:v>
      </x:c>
      <x:c r="K25" s="158"/>
      <x:c r="L25" s="158"/>
      <x:c r="M25" s="158"/>
      <x:c r="N25" s="158"/>
    </x:row>
    <x:row r="26">
      <x:c r="A26" s="154" t="str">
        <x:v>Other commercial &amp; late-stage growth</x:v>
      </x:c>
      <x:c r="B26" s="156" t="n">
        <x:v>0.2</x:v>
      </x:c>
      <x:c r="C26" s="156" t="n">
        <x:v>0.19</x:v>
      </x:c>
      <x:c r="D26" s="156" t="n">
        <x:v>0.18</x:v>
      </x:c>
      <x:c r="E26" s="156" t="n">
        <x:v>0.16</x:v>
      </x:c>
      <x:c r="F26" s="156" t="n">
        <x:v>0.14</x:v>
      </x:c>
      <x:c r="G26" s="156" t="n">
        <x:v>0.13</x:v>
      </x:c>
      <x:c r="H26" s="156" t="n">
        <x:v>0.12</x:v>
      </x:c>
      <x:c r="I26" s="156" t="n">
        <x:v>0.11</x:v>
      </x:c>
      <x:c r="J26" s="156" t="n">
        <x:v>0.1</x:v>
      </x:c>
      <x:c r="K26" s="158"/>
      <x:c r="L26" s="158"/>
      <x:c r="M26" s="158"/>
      <x:c r="N26" s="158"/>
    </x:row>
    <x:row r="27">
      <x:c r="A27" s="154" t="str">
        <x:v>Early-phase development growth</x:v>
      </x:c>
      <x:c r="B27" s="156" t="n">
        <x:v>0.12</x:v>
      </x:c>
      <x:c r="C27" s="156" t="n">
        <x:v>0.13</x:v>
      </x:c>
      <x:c r="D27" s="156" t="n">
        <x:v>0.13</x:v>
      </x:c>
      <x:c r="E27" s="156" t="n">
        <x:v>0.12</x:v>
      </x:c>
      <x:c r="F27" s="156" t="n">
        <x:v>0.11</x:v>
      </x:c>
      <x:c r="G27" s="156" t="n">
        <x:v>0.1</x:v>
      </x:c>
      <x:c r="H27" s="156" t="n">
        <x:v>0.1</x:v>
      </x:c>
      <x:c r="I27" s="156" t="n">
        <x:v>0.09</x:v>
      </x:c>
      <x:c r="J27" s="156" t="n">
        <x:v>0.09</x:v>
      </x:c>
      <x:c r="K27" s="158"/>
      <x:c r="L27" s="158"/>
      <x:c r="M27" s="158"/>
      <x:c r="N27" s="158"/>
    </x:row>
    <x:row r="28">
      <x:c r="A28" s="154" t="str">
        <x:v>Capacity / campaign adjustment (INR m)</x:v>
      </x:c>
      <x:c r="B28" s="154" t="n">
        <x:v>0</x:v>
      </x:c>
      <x:c r="C28" s="154" t="n">
        <x:v>0</x:v>
      </x:c>
      <x:c r="D28" s="154" t="n">
        <x:v>250</x:v>
      </x:c>
      <x:c r="E28" s="154" t="n">
        <x:v>400</x:v>
      </x:c>
      <x:c r="F28" s="154" t="n">
        <x:v>250</x:v>
      </x:c>
      <x:c r="G28" s="154" t="n">
        <x:v>0</x:v>
      </x:c>
      <x:c r="H28" s="154" t="n">
        <x:v>0</x:v>
      </x:c>
      <x:c r="I28" s="154" t="n">
        <x:v>0</x:v>
      </x:c>
      <x:c r="J28" s="154" t="n">
        <x:v>0</x:v>
      </x:c>
      <x:c r="K28" s="158"/>
      <x:c r="L28" s="158"/>
      <x:c r="M28" s="158"/>
      <x:c r="N28" s="158"/>
    </x:row>
    <x:row r="29">
      <x:c r="A29" s="154" t="str">
        <x:v>Core Specialty Ingredients growth</x:v>
      </x:c>
      <x:c r="B29" s="156" t="n">
        <x:v>0.08</x:v>
      </x:c>
      <x:c r="C29" s="156" t="n">
        <x:v>0.09</x:v>
      </x:c>
      <x:c r="D29" s="156" t="n">
        <x:v>0.09</x:v>
      </x:c>
      <x:c r="E29" s="156" t="n">
        <x:v>0.08</x:v>
      </x:c>
      <x:c r="F29" s="156" t="n">
        <x:v>0.08</x:v>
      </x:c>
      <x:c r="G29" s="156" t="n">
        <x:v>0.07</x:v>
      </x:c>
      <x:c r="H29" s="156" t="n">
        <x:v>0.07</x:v>
      </x:c>
      <x:c r="I29" s="156" t="n">
        <x:v>0.06</x:v>
      </x:c>
      <x:c r="J29" s="156" t="n">
        <x:v>0.06</x:v>
      </x:c>
      <x:c r="K29" s="158"/>
      <x:c r="L29" s="158"/>
      <x:c r="M29" s="158"/>
      <x:c r="N29" s="158"/>
    </x:row>
    <x:row r="30">
      <x:c r="A30" s="154" t="str">
        <x:v>New-product / capacity contribution (INR m)</x:v>
      </x:c>
      <x:c r="B30" s="154" t="n">
        <x:v>0</x:v>
      </x:c>
      <x:c r="C30" s="154" t="n">
        <x:v>0</x:v>
      </x:c>
      <x:c r="D30" s="154" t="n">
        <x:v>100</x:v>
      </x:c>
      <x:c r="E30" s="154" t="n">
        <x:v>250</x:v>
      </x:c>
      <x:c r="F30" s="154" t="n">
        <x:v>350</x:v>
      </x:c>
      <x:c r="G30" s="154" t="n">
        <x:v>400</x:v>
      </x:c>
      <x:c r="H30" s="154" t="n">
        <x:v>300</x:v>
      </x:c>
      <x:c r="I30" s="154" t="n">
        <x:v>200</x:v>
      </x:c>
      <x:c r="J30" s="154" t="n">
        <x:v>100</x:v>
      </x:c>
      <x:c r="K30" s="158"/>
      <x:c r="L30" s="158"/>
      <x:c r="M30" s="158"/>
      <x:c r="N30" s="158"/>
    </x:row>
    <x:row r="31">
      <x:c r="A31" s="158"/>
      <x:c r="B31" s="158"/>
      <x:c r="C31" s="158"/>
      <x:c r="D31" s="158"/>
      <x:c r="E31" s="158"/>
      <x:c r="F31" s="158"/>
      <x:c r="G31" s="158"/>
      <x:c r="H31" s="158"/>
      <x:c r="I31" s="158"/>
      <x:c r="J31" s="158"/>
      <x:c r="K31" s="158"/>
      <x:c r="L31" s="158"/>
      <x:c r="M31" s="158"/>
      <x:c r="N31" s="158"/>
    </x:row>
    <x:row r="32">
      <x:c r="A32" s="158"/>
      <x:c r="B32" s="158"/>
      <x:c r="C32" s="158"/>
      <x:c r="D32" s="158"/>
      <x:c r="E32" s="158"/>
      <x:c r="F32" s="158"/>
      <x:c r="G32" s="158"/>
      <x:c r="H32" s="158"/>
      <x:c r="I32" s="158"/>
      <x:c r="J32" s="158"/>
      <x:c r="K32" s="158"/>
      <x:c r="L32" s="158"/>
      <x:c r="M32" s="158"/>
      <x:c r="N32" s="158"/>
    </x:row>
    <x:row r="33" ht="20" customHeight="1">
      <x:c r="A33" s="40" t="str">
        <x:v>Molecules / Programmes Examined and Excluded</x:v>
      </x:c>
      <x:c r="B33" s="40"/>
      <x:c r="C33" s="40"/>
      <x:c r="D33" s="40"/>
      <x:c r="E33" s="40"/>
      <x:c r="F33" s="40"/>
      <x:c r="G33" s="40"/>
      <x:c r="H33" s="40"/>
      <x:c r="I33" s="40"/>
      <x:c r="J33" s="40"/>
      <x:c r="K33" s="158"/>
      <x:c r="L33" s="158"/>
      <x:c r="M33" s="158"/>
      <x:c r="N33" s="158"/>
    </x:row>
    <x:row r="34">
      <x:c r="A34" s="134" t="str">
        <x:v>Programme</x:v>
      </x:c>
      <x:c r="B34" s="134" t="str">
        <x:v>Stage</x:v>
      </x:c>
      <x:c r="C34" s="134" t="str">
        <x:v>Evidence strength</x:v>
      </x:c>
      <x:c r="D34" s="134" t="str">
        <x:v>Probable role</x:v>
      </x:c>
      <x:c r="E34" s="134" t="str">
        <x:v>Forecast treatment</x:v>
      </x:c>
      <x:c r="F34" s="134" t="str">
        <x:v>Reason excluded</x:v>
      </x:c>
      <x:c r="G34" s="134" t="str">
        <x:v>Risk / next evidence required</x:v>
      </x:c>
      <x:c r="H34" s="158"/>
      <x:c r="I34" s="158"/>
      <x:c r="J34" s="158"/>
      <x:c r="K34" s="158"/>
      <x:c r="L34" s="158"/>
      <x:c r="M34" s="158"/>
      <x:c r="N34" s="158"/>
    </x:row>
    <x:row r="35" ht="34" customHeight="1">
      <x:c r="A35" s="140" t="str">
        <x:v>ADC linker programme</x:v>
      </x:c>
      <x:c r="B35" s="140" t="str">
        <x:v>Late stage</x:v>
      </x:c>
      <x:c r="C35" s="140" t="str">
        <x:v>Medium</x:v>
      </x:c>
      <x:c r="D35" s="140" t="str">
        <x:v>Linker development / supply</x:v>
      </x:c>
      <x:c r="E35" s="140" t="str">
        <x:v>Residual D&amp;M</x:v>
      </x:c>
      <x:c r="F35" s="140" t="str">
        <x:v>No molecule/customer identity</x:v>
      </x:c>
      <x:c r="G35" s="140" t="str">
        <x:v>Approval, customer qualification and disclosed commercial order</x:v>
      </x:c>
      <x:c r="H35" s="158"/>
      <x:c r="I35" s="158"/>
      <x:c r="J35" s="158"/>
      <x:c r="K35" s="158"/>
      <x:c r="L35" s="158"/>
      <x:c r="M35" s="158"/>
      <x:c r="N35" s="158"/>
    </x:row>
    <x:row r="36" ht="34" customHeight="1">
      <x:c r="A36" s="140" t="str">
        <x:v>RNAi glycolipid platform programmes</x:v>
      </x:c>
      <x:c r="B36" s="140" t="str">
        <x:v>Multiple stages</x:v>
      </x:c>
      <x:c r="C36" s="140" t="str">
        <x:v>Medium</x:v>
      </x:c>
      <x:c r="D36" s="140" t="str">
        <x:v>R&amp;D / process / supply</x:v>
      </x:c>
      <x:c r="E36" s="140" t="str">
        <x:v>R&amp;D and residual D&amp;M</x:v>
      </x:c>
      <x:c r="F36" s="140" t="str">
        <x:v>Platform evidence is not molecule-specific</x:v>
      </x:c>
      <x:c r="G36" s="140" t="str">
        <x:v>Product-specific filing or customer disclosure</x:v>
      </x:c>
      <x:c r="H36" s="158"/>
      <x:c r="I36" s="158"/>
      <x:c r="J36" s="158"/>
      <x:c r="K36" s="158"/>
      <x:c r="L36" s="158"/>
      <x:c r="M36" s="158"/>
      <x:c r="N36" s="158"/>
    </x:row>
    <x:row r="37" ht="34" customHeight="1">
      <x:c r="A37" s="140" t="str">
        <x:v>P29 peptide / fermentation programme</x:v>
      </x:c>
      <x:c r="B37" s="140" t="str">
        <x:v>Development</x:v>
      </x:c>
      <x:c r="C37" s="140" t="str">
        <x:v>Low</x:v>
      </x:c>
      <x:c r="D37" s="140" t="str">
        <x:v>Peptide intermediate / fermentation</x:v>
      </x:c>
      <x:c r="E37" s="140" t="str">
        <x:v>Qualitative watchlist</x:v>
      </x:c>
      <x:c r="F37" s="140" t="str">
        <x:v>No named molecule or customer economics</x:v>
      </x:c>
      <x:c r="G37" s="140" t="str">
        <x:v>Regulatory or customer filing</x:v>
      </x:c>
      <x:c r="H37" s="158"/>
      <x:c r="I37" s="158"/>
      <x:c r="J37" s="158"/>
      <x:c r="K37" s="158"/>
      <x:c r="L37" s="158"/>
      <x:c r="M37" s="158"/>
      <x:c r="N37" s="158"/>
    </x:row>
    <x:row r="38" ht="34" customHeight="1">
      <x:c r="A38" s="140" t="str">
        <x:v>Backward-integrated commercial intermediate</x:v>
      </x:c>
      <x:c r="B38" s="140" t="str">
        <x:v>Commercial</x:v>
      </x:c>
      <x:c r="C38" s="140" t="str">
        <x:v>Medium</x:v>
      </x:c>
      <x:c r="D38" s="140" t="str">
        <x:v>Intermediate manufacturing</x:v>
      </x:c>
      <x:c r="E38" s="140" t="str">
        <x:v>Residual D&amp;M</x:v>
      </x:c>
      <x:c r="F38" s="140" t="str">
        <x:v>Product identity undisclosed</x:v>
      </x:c>
      <x:c r="G38" s="140" t="str">
        <x:v>Shipment / patent / DMF corroboration</x:v>
      </x:c>
      <x:c r="H38" s="158"/>
      <x:c r="I38" s="158"/>
      <x:c r="J38" s="158"/>
      <x:c r="K38" s="158"/>
      <x:c r="L38" s="158"/>
      <x:c r="M38" s="158"/>
      <x:c r="N38" s="158"/>
    </x:row>
    <x:row r="39">
      <x:c r="A39" s="158"/>
      <x:c r="B39" s="158"/>
      <x:c r="C39" s="158"/>
      <x:c r="D39" s="158"/>
      <x:c r="E39" s="158"/>
      <x:c r="F39" s="158"/>
      <x:c r="G39" s="158"/>
      <x:c r="H39" s="158"/>
      <x:c r="I39" s="158"/>
      <x:c r="J39" s="158"/>
      <x:c r="K39" s="158"/>
      <x:c r="L39" s="158"/>
      <x:c r="M39" s="158"/>
      <x:c r="N39" s="158"/>
    </x:row>
    <x:row r="40">
      <x:c r="A40" s="158"/>
      <x:c r="B40" s="158"/>
      <x:c r="C40" s="158"/>
      <x:c r="D40" s="158"/>
      <x:c r="E40" s="158"/>
      <x:c r="F40" s="158"/>
      <x:c r="G40" s="158"/>
      <x:c r="H40" s="158"/>
      <x:c r="I40" s="158"/>
      <x:c r="J40" s="158"/>
      <x:c r="K40" s="158"/>
      <x:c r="L40" s="158"/>
      <x:c r="M40" s="158"/>
      <x:c r="N40" s="158"/>
    </x:row>
    <x:row r="41" ht="20" customHeight="1">
      <x:c r="A41" s="40" t="str">
        <x:v>Material Data Gaps and Forecast Risks</x:v>
      </x:c>
      <x:c r="B41" s="40"/>
      <x:c r="C41" s="40"/>
      <x:c r="D41" s="40"/>
      <x:c r="E41" s="40"/>
      <x:c r="F41" s="40"/>
      <x:c r="G41" s="40"/>
      <x:c r="H41" s="40"/>
      <x:c r="I41" s="40"/>
      <x:c r="J41" s="40"/>
      <x:c r="K41" s="158"/>
      <x:c r="L41" s="158"/>
      <x:c r="M41" s="158"/>
      <x:c r="N41" s="158"/>
    </x:row>
    <x:row r="42">
      <x:c r="A42" s="134" t="str">
        <x:v>Item</x:v>
      </x:c>
      <x:c r="B42" s="134" t="str">
        <x:v>Model treatment</x:v>
      </x:c>
      <x:c r="C42" s="134" t="str">
        <x:v>Risk</x:v>
      </x:c>
      <x:c r="D42" s="158"/>
      <x:c r="E42" s="158"/>
      <x:c r="F42" s="158"/>
      <x:c r="G42" s="158"/>
      <x:c r="H42" s="158"/>
      <x:c r="I42" s="158"/>
      <x:c r="J42" s="158"/>
      <x:c r="K42" s="158"/>
      <x:c r="L42" s="158"/>
      <x:c r="M42" s="158"/>
      <x:c r="N42" s="158"/>
    </x:row>
    <x:row r="43" ht="36" customHeight="1">
      <x:c r="A43" s="140" t="str">
        <x:v>FY26 R&amp;D / D&amp;M split not disclosed</x:v>
      </x:c>
      <x:c r="B43" s="140" t="str">
        <x:v>R&amp;D estimated at INR2,300m; D&amp;M derived as residual</x:v>
      </x:c>
      <x:c r="C43" s="140" t="str">
        <x:v>Revenue mix and margin sensitivity</x:v>
      </x:c>
      <x:c r="D43" s="158"/>
      <x:c r="E43" s="158"/>
      <x:c r="F43" s="158"/>
      <x:c r="G43" s="158"/>
      <x:c r="H43" s="158"/>
      <x:c r="I43" s="158"/>
      <x:c r="J43" s="158"/>
      <x:c r="K43" s="158"/>
      <x:c r="L43" s="158"/>
      <x:c r="M43" s="158"/>
      <x:c r="N43" s="158"/>
    </x:row>
    <x:row r="44" ht="36" customHeight="1">
      <x:c r="A44" s="140" t="str">
        <x:v>No disclosed named molecule/customer mapping</x:v>
      </x:c>
      <x:c r="B44" s="140" t="str">
        <x:v>No named molecule drives central forecast</x:v>
      </x:c>
      <x:c r="C44" s="140" t="str">
        <x:v>Upside/downside from individual launches remains in residual portfolio</x:v>
      </x:c>
      <x:c r="D44" s="158"/>
      <x:c r="E44" s="158"/>
      <x:c r="F44" s="158"/>
      <x:c r="G44" s="158"/>
      <x:c r="H44" s="158"/>
      <x:c r="I44" s="158"/>
      <x:c r="J44" s="158"/>
      <x:c r="K44" s="158"/>
      <x:c r="L44" s="158"/>
      <x:c r="M44" s="158"/>
      <x:c r="N44" s="158"/>
    </x:row>
    <x:row r="45" ht="36" customHeight="1">
      <x:c r="A45" s="140" t="str">
        <x:v>FTE billable headcount not disclosed</x:v>
      </x:c>
      <x:c r="B45" s="140" t="str">
        <x:v>Capacity inferred from FTE revenue and disclosed employee base</x:v>
      </x:c>
      <x:c r="C45" s="140" t="str">
        <x:v>R&amp;D productivity assumptions may differ from actual</x:v>
      </x:c>
      <x:c r="D45" s="158"/>
      <x:c r="E45" s="158"/>
      <x:c r="F45" s="158"/>
      <x:c r="G45" s="158"/>
      <x:c r="H45" s="158"/>
      <x:c r="I45" s="158"/>
      <x:c r="J45" s="158"/>
      <x:c r="K45" s="158"/>
      <x:c r="L45" s="158"/>
      <x:c r="M45" s="158"/>
      <x:c r="N45" s="158"/>
    </x:row>
    <x:row r="46" ht="36" customHeight="1">
      <x:c r="A46" s="140" t="str">
        <x:v>Unit IV qualification and customer-audit timing</x:v>
      </x:c>
      <x:c r="B46" s="140" t="str">
        <x:v>Revenue contribution begins only after FY28 commissioning</x:v>
      </x:c>
      <x:c r="C46" s="140" t="str">
        <x:v>Ramp delay or faster qualification</x:v>
      </x:c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</x:row>
    <x:row r="47" ht="36" customHeight="1">
      <x:c r="A47" s="140" t="str">
        <x:v>Quarterly delivery lumpiness</x:v>
      </x:c>
      <x:c r="B47" s="140" t="str">
        <x:v>Annual model remains primary; quarterly tracker used as monitoring tool</x:v>
      </x:c>
      <x:c r="C47" s="140" t="str">
        <x:v>Large customer campaigns can shift between quarters</x:v>
      </x:c>
      <x:c r="D47" s="158"/>
      <x:c r="E47" s="158"/>
      <x:c r="F47" s="158"/>
      <x:c r="G47" s="158"/>
      <x:c r="H47" s="158"/>
      <x:c r="I47" s="158"/>
      <x:c r="J47" s="158"/>
      <x:c r="K47" s="158"/>
      <x:c r="L47" s="158"/>
      <x:c r="M47" s="158"/>
      <x:c r="N47" s="158"/>
    </x:row>
    <x:row r="48" ht="36" customHeight="1">
      <x:c r="A48" s="140" t="str">
        <x:v>Customer concentration</x:v>
      </x:c>
      <x:c r="B48" s="140" t="str">
        <x:v>Captured within residual portfolio growth, not a separate driver</x:v>
      </x:c>
      <x:c r="C48" s="140" t="str">
        <x:v>Order timing and customer-specific product performance</x:v>
      </x:c>
      <x:c r="D48" s="158"/>
      <x:c r="E48" s="158"/>
      <x:c r="F48" s="158"/>
      <x:c r="G48" s="158"/>
      <x:c r="H48" s="158"/>
      <x:c r="I48" s="158"/>
      <x:c r="J48" s="158"/>
      <x:c r="K48" s="158"/>
      <x:c r="L48" s="158"/>
      <x:c r="M48" s="158"/>
      <x:c r="N48" s="158"/>
    </x:row>
    <x:row r="49" ht="36" customHeight="1">
      <x:c r="A49" s="140" t="str">
        <x:v>Other income volatility</x:v>
      </x:c>
      <x:c r="B49" s="140" t="str">
        <x:v>Interest based on opening cash/investments; non-financial income normalises</x:v>
      </x:c>
      <x:c r="C49" s="140" t="str">
        <x:v>FX and incentive income can vary materially</x:v>
      </x:c>
      <x:c r="D49" s="158"/>
      <x:c r="E49" s="158"/>
      <x:c r="F49" s="158"/>
      <x:c r="G49" s="158"/>
      <x:c r="H49" s="158"/>
      <x:c r="I49" s="158"/>
      <x:c r="J49" s="158"/>
      <x:c r="K49" s="158"/>
      <x:c r="L49" s="158"/>
      <x:c r="M49" s="158"/>
      <x:c r="N49" s="158"/>
    </x:row>
    <x:row r="50">
      <x:c r="A50" s="158"/>
      <x:c r="B50" s="158"/>
      <x:c r="C50" s="158"/>
      <x:c r="D50" s="158"/>
      <x:c r="E50" s="158"/>
      <x:c r="F50" s="158"/>
      <x:c r="G50" s="158"/>
      <x:c r="H50" s="158"/>
      <x:c r="I50" s="158"/>
      <x:c r="J50" s="158"/>
      <x:c r="K50" s="158"/>
      <x:c r="L50" s="158"/>
      <x:c r="M50" s="158"/>
      <x:c r="N50" s="158"/>
    </x:row>
    <x:row r="51">
      <x:c r="A51" s="158"/>
      <x:c r="B51" s="158"/>
      <x:c r="C51" s="158"/>
      <x:c r="D51" s="158"/>
      <x:c r="E51" s="158"/>
      <x:c r="F51" s="158"/>
      <x:c r="G51" s="158"/>
      <x:c r="H51" s="158"/>
      <x:c r="I51" s="158"/>
      <x:c r="J51" s="158"/>
      <x:c r="K51" s="158"/>
      <x:c r="L51" s="158"/>
      <x:c r="M51" s="158"/>
      <x:c r="N51" s="158"/>
    </x:row>
    <x:row r="52" ht="20" customHeight="1">
      <x:c r="A52" s="40" t="str">
        <x:v>Quarterly Update Guide</x:v>
      </x:c>
      <x:c r="B52" s="40"/>
      <x:c r="C52" s="40"/>
      <x:c r="D52" s="40"/>
      <x:c r="E52" s="40"/>
      <x:c r="F52" s="40"/>
      <x:c r="G52" s="40"/>
      <x:c r="H52" s="40"/>
      <x:c r="I52" s="40"/>
      <x:c r="J52" s="40"/>
      <x:c r="K52" s="158"/>
      <x:c r="L52" s="158"/>
      <x:c r="M52" s="158"/>
      <x:c r="N52" s="158"/>
    </x:row>
    <x:row r="53" ht="28" customHeight="1">
      <x:c r="A53" s="140" t="str">
        <x:v>1</x:v>
      </x:c>
      <x:c r="B53" s="140" t="str">
        <x:v>Replace reported quarterly P&amp;L and segment revenue in Revenue Model quarterly tracker.</x:v>
      </x:c>
      <x:c r="C53" s="158"/>
      <x:c r="D53" s="158"/>
      <x:c r="E53" s="158"/>
      <x:c r="F53" s="158"/>
      <x:c r="G53" s="158"/>
      <x:c r="H53" s="158"/>
      <x:c r="I53" s="158"/>
      <x:c r="J53" s="158"/>
      <x:c r="K53" s="158"/>
      <x:c r="L53" s="158"/>
      <x:c r="M53" s="158"/>
      <x:c r="N53" s="158"/>
    </x:row>
    <x:row r="54" ht="28" customHeight="1">
      <x:c r="A54" s="140" t="str">
        <x:v>2</x:v>
      </x:c>
      <x:c r="B54" s="140" t="str">
        <x:v>Update FY-to-date CRDMO and Specialty Ingredients revenue; do not fabricate quarterly R&amp;D/D&amp;M.</x:v>
      </x:c>
      <x:c r="C54" s="158"/>
      <x:c r="D54" s="158"/>
      <x:c r="E54" s="158"/>
      <x:c r="F54" s="158"/>
      <x:c r="G54" s="158"/>
      <x:c r="H54" s="158"/>
      <x:c r="I54" s="158"/>
      <x:c r="J54" s="158"/>
      <x:c r="K54" s="158"/>
      <x:c r="L54" s="158"/>
      <x:c r="M54" s="158"/>
      <x:c r="N54" s="158"/>
    </x:row>
    <x:row r="55" ht="28" customHeight="1">
      <x:c r="A55" s="140" t="str">
        <x:v>3</x:v>
      </x:c>
      <x:c r="B55" s="140" t="str">
        <x:v>Revise the nine revenue assumptions only where order timing, project progression or capacity evidence changes.</x:v>
      </x:c>
      <x:c r="C55" s="158"/>
      <x:c r="D55" s="158"/>
      <x:c r="E55" s="158"/>
      <x:c r="F55" s="158"/>
      <x:c r="G55" s="158"/>
      <x:c r="H55" s="158"/>
      <x:c r="I55" s="158"/>
      <x:c r="J55" s="158"/>
      <x:c r="K55" s="158"/>
      <x:c r="L55" s="158"/>
      <x:c r="M55" s="158"/>
      <x:c r="N55" s="158"/>
    </x:row>
    <x:row r="56" ht="28" customHeight="1">
      <x:c r="A56" s="140" t="str">
        <x:v>4</x:v>
      </x:c>
      <x:c r="B56" s="140" t="str">
        <x:v>Update capacity, utilisation, project-count and commercial / late-phase pipeline KPIs.</x:v>
      </x:c>
      <x:c r="C56" s="158"/>
      <x:c r="D56" s="158"/>
      <x:c r="E56" s="158"/>
      <x:c r="F56" s="158"/>
      <x:c r="G56" s="158"/>
      <x:c r="H56" s="158"/>
      <x:c r="I56" s="158"/>
      <x:c r="J56" s="158"/>
      <x:c r="K56" s="158"/>
      <x:c r="L56" s="158"/>
      <x:c r="M56" s="158"/>
      <x:c r="N56" s="158"/>
    </x:row>
    <x:row r="57" ht="28" customHeight="1">
      <x:c r="A57" s="140" t="str">
        <x:v>5</x:v>
      </x:c>
      <x:c r="B57" s="140" t="str">
        <x:v>Refresh working-capital days, capex, commissioning timing, cash, investments and debt.</x:v>
      </x:c>
      <x:c r="C57" s="158"/>
      <x:c r="D57" s="158"/>
      <x:c r="E57" s="158"/>
      <x:c r="F57" s="158"/>
      <x:c r="G57" s="158"/>
      <x:c r="H57" s="158"/>
      <x:c r="I57" s="158"/>
      <x:c r="J57" s="158"/>
      <x:c r="K57" s="158"/>
      <x:c r="L57" s="158"/>
      <x:c r="M57" s="158"/>
      <x:c r="N57" s="158"/>
    </x:row>
    <x:row r="58" ht="28" customHeight="1">
      <x:c r="A58" s="140" t="str">
        <x:v>6</x:v>
      </x:c>
      <x:c r="B58" s="140" t="str">
        <x:v>Review molecule evidence; add a named forecast only after customer/molecule/role and revenue method are supportable.</x:v>
      </x:c>
      <x:c r="C58" s="158"/>
      <x:c r="D58" s="158"/>
      <x:c r="E58" s="158"/>
      <x:c r="F58" s="158"/>
      <x:c r="G58" s="158"/>
      <x:c r="H58" s="158"/>
      <x:c r="I58" s="158"/>
      <x:c r="J58" s="158"/>
      <x:c r="K58" s="158"/>
      <x:c r="L58" s="158"/>
      <x:c r="M58" s="158"/>
      <x:c r="N58" s="158"/>
    </x:row>
    <x:row r="59" ht="28" customHeight="1">
      <x:c r="A59" s="140" t="str">
        <x:v>7</x:v>
      </x:c>
      <x:c r="B59" s="140" t="str">
        <x:v>Confirm all model checks show zero or OK and no FY27–FY35 hardcoded totals remain.</x:v>
      </x:c>
      <x:c r="C59" s="158"/>
      <x:c r="D59" s="158"/>
      <x:c r="E59" s="158"/>
      <x:c r="F59" s="158"/>
      <x:c r="G59" s="158"/>
      <x:c r="H59" s="158"/>
      <x:c r="I59" s="158"/>
      <x:c r="J59" s="158"/>
      <x:c r="K59" s="158"/>
      <x:c r="L59" s="158"/>
      <x:c r="M59" s="158"/>
      <x:c r="N59" s="158"/>
    </x:row>
    <x:row r="60">
      <x:c r="A60" s="158"/>
      <x:c r="B60" s="158"/>
      <x:c r="C60" s="158"/>
      <x:c r="D60" s="158"/>
      <x:c r="E60" s="158"/>
      <x:c r="F60" s="158"/>
      <x:c r="G60" s="158"/>
      <x:c r="H60" s="158"/>
      <x:c r="I60" s="158"/>
      <x:c r="J60" s="158"/>
      <x:c r="K60" s="158"/>
      <x:c r="L60" s="158"/>
      <x:c r="M60" s="158"/>
      <x:c r="N60" s="158"/>
    </x:row>
    <x:row r="61">
      <x:c r="A61" s="158"/>
      <x:c r="B61" s="158"/>
      <x:c r="C61" s="158"/>
      <x:c r="D61" s="158"/>
      <x:c r="E61" s="158"/>
      <x:c r="F61" s="158"/>
      <x:c r="G61" s="158"/>
      <x:c r="H61" s="158"/>
      <x:c r="I61" s="158"/>
      <x:c r="J61" s="158"/>
      <x:c r="K61" s="158"/>
      <x:c r="L61" s="158"/>
      <x:c r="M61" s="158"/>
      <x:c r="N61" s="158"/>
    </x:row>
    <x:row r="62" ht="20" customHeight="1">
      <x:c r="A62" s="40" t="str">
        <x:v>Model Checks</x:v>
      </x:c>
      <x:c r="B62" s="40"/>
      <x:c r="C62" s="40"/>
      <x:c r="D62" s="40"/>
      <x:c r="E62" s="40"/>
      <x:c r="F62" s="40"/>
      <x:c r="G62" s="40"/>
      <x:c r="H62" s="40"/>
      <x:c r="I62" s="40"/>
      <x:c r="J62" s="40"/>
      <x:c r="K62" s="158"/>
      <x:c r="L62" s="158"/>
      <x:c r="M62" s="158"/>
      <x:c r="N62" s="158"/>
    </x:row>
    <x:row r="63">
      <x:c r="A63" s="134" t="str">
        <x:v>Check</x:v>
      </x:c>
      <x:c r="B63" s="134" t="str">
        <x:v>Result</x:v>
      </x:c>
      <x:c r="C63" s="134" t="str">
        <x:v>Status</x:v>
      </x:c>
      <x:c r="D63" s="158"/>
      <x:c r="E63" s="158"/>
      <x:c r="F63" s="158"/>
      <x:c r="G63" s="158"/>
      <x:c r="H63" s="158"/>
      <x:c r="I63" s="158"/>
      <x:c r="J63" s="158"/>
      <x:c r="K63" s="158"/>
      <x:c r="L63" s="158"/>
      <x:c r="M63" s="158"/>
      <x:c r="N63" s="158"/>
    </x:row>
    <x:row r="64">
      <x:c r="A64" s="44" t="str">
        <x:v>R&amp;D + D&amp;M = CRDMO</x:v>
      </x:c>
      <x:c r="B64" s="122" t="n">
        <x:f>MAX(ABS('Revenue Model'!C30),ABS('Revenue Model'!D30),ABS('Revenue Model'!E30),ABS('Revenue Model'!F30),ABS('Revenue Model'!G30),ABS('Revenue Model'!H30),ABS('Revenue Model'!I30),ABS('Revenue Model'!J30),ABS('Revenue Model'!K30),ABS('Revenue Model'!L30),ABS('Revenue Model'!M30),ABS('Revenue Model'!N30))</x:f>
        <x:v>0</x:v>
      </x:c>
      <x:c r="C64" s="44" t="str">
        <x:f>IF(ABS(B64)&lt;0.5,"OK","ERROR")</x:f>
        <x:v>OK</x:v>
      </x:c>
      <x:c r="D64" s="158"/>
      <x:c r="E64" s="158"/>
      <x:c r="F64" s="158"/>
      <x:c r="G64" s="158"/>
      <x:c r="H64" s="158"/>
      <x:c r="I64" s="158"/>
      <x:c r="J64" s="158"/>
      <x:c r="K64" s="158"/>
      <x:c r="L64" s="158"/>
      <x:c r="M64" s="158"/>
      <x:c r="N64" s="158"/>
    </x:row>
    <x:row r="65">
      <x:c r="A65" s="44" t="str">
        <x:v>CRDMO + Specialty Ingredients = revenue</x:v>
      </x:c>
      <x:c r="B65" s="122" t="n">
        <x:f>MAX(ABS('Revenue Model'!C13),ABS('Revenue Model'!D13),ABS('Revenue Model'!E13),ABS('Revenue Model'!F13),ABS('Revenue Model'!G13),ABS('Revenue Model'!H13),ABS('Revenue Model'!I13),ABS('Revenue Model'!J13),ABS('Revenue Model'!K13),ABS('Revenue Model'!L13),ABS('Revenue Model'!M13),ABS('Revenue Model'!N13))</x:f>
        <x:v>1.8189894035458565e-12</x:v>
      </x:c>
      <x:c r="C65" s="44" t="str">
        <x:f>IF(ABS(B65)&lt;0.5,"OK","ERROR")</x:f>
        <x:v>OK</x:v>
      </x:c>
      <x:c r="D65" s="158"/>
      <x:c r="E65" s="158"/>
      <x:c r="F65" s="158"/>
      <x:c r="G65" s="158"/>
      <x:c r="H65" s="158"/>
      <x:c r="I65" s="158"/>
      <x:c r="J65" s="158"/>
      <x:c r="K65" s="158"/>
      <x:c r="L65" s="158"/>
      <x:c r="M65" s="158"/>
      <x:c r="N65" s="158"/>
    </x:row>
    <x:row r="66">
      <x:c r="A66" s="44" t="str">
        <x:v>Named molecules + residual D&amp;M = D&amp;M</x:v>
      </x:c>
      <x:c r="B66" s="122" t="n">
        <x:f>MAX(ABS('Revenue Model'!C43),ABS('Revenue Model'!D43),ABS('Revenue Model'!E43),ABS('Revenue Model'!F43),ABS('Revenue Model'!G43),ABS('Revenue Model'!H43),ABS('Revenue Model'!I43),ABS('Revenue Model'!J43),ABS('Revenue Model'!K43),ABS('Revenue Model'!L43),ABS('Revenue Model'!M43),ABS('Revenue Model'!N43))</x:f>
        <x:v>0</x:v>
      </x:c>
      <x:c r="C66" s="44" t="str">
        <x:f>IF(ABS(B66)&lt;0.5,"OK","ERROR")</x:f>
        <x:v>OK</x:v>
      </x:c>
      <x:c r="D66" s="158"/>
      <x:c r="E66" s="158"/>
      <x:c r="F66" s="158"/>
      <x:c r="G66" s="158"/>
      <x:c r="H66" s="158"/>
      <x:c r="I66" s="158"/>
      <x:c r="J66" s="158"/>
      <x:c r="K66" s="158"/>
      <x:c r="L66" s="158"/>
      <x:c r="M66" s="158"/>
      <x:c r="N66" s="158"/>
    </x:row>
    <x:row r="67">
      <x:c r="A67" s="44" t="str">
        <x:v>Named-molecule double counting</x:v>
      </x:c>
      <x:c r="B67" s="122" t="n">
        <x:f>MAX(ABS('Revenue Model'!C44),ABS('Revenue Model'!D44),ABS('Revenue Model'!E44),ABS('Revenue Model'!F44),ABS('Revenue Model'!G44),ABS('Revenue Model'!H44),ABS('Revenue Model'!I44),ABS('Revenue Model'!J44),ABS('Revenue Model'!K44),ABS('Revenue Model'!L44),ABS('Revenue Model'!M44),ABS('Revenue Model'!N44))</x:f>
        <x:v>0</x:v>
      </x:c>
      <x:c r="C67" s="44" t="str">
        <x:f>IF(ABS(B67)&lt;0.5,"OK","ERROR")</x:f>
        <x:v>OK</x:v>
      </x:c>
      <x:c r="D67" s="158"/>
      <x:c r="E67" s="158"/>
      <x:c r="F67" s="158"/>
      <x:c r="G67" s="158"/>
      <x:c r="H67" s="158"/>
      <x:c r="I67" s="158"/>
      <x:c r="J67" s="158"/>
      <x:c r="K67" s="158"/>
      <x:c r="L67" s="158"/>
      <x:c r="M67" s="158"/>
      <x:c r="N67" s="158"/>
    </x:row>
    <x:row r="68">
      <x:c r="A68" s="44" t="str">
        <x:v>Specialty Ingredients reconciliation</x:v>
      </x:c>
      <x:c r="B68" s="122" t="n">
        <x:f>MAX(ABS('Revenue Model'!C53),ABS('Revenue Model'!D53),ABS('Revenue Model'!E53),ABS('Revenue Model'!F53),ABS('Revenue Model'!G53),ABS('Revenue Model'!H53),ABS('Revenue Model'!I53),ABS('Revenue Model'!J53),ABS('Revenue Model'!K53),ABS('Revenue Model'!L53),ABS('Revenue Model'!M53),ABS('Revenue Model'!N53))</x:f>
        <x:v>0</x:v>
      </x:c>
      <x:c r="C68" s="44" t="str">
        <x:f>IF(ABS(B68)&lt;0.5,"OK","ERROR")</x:f>
        <x:v>OK</x:v>
      </x:c>
      <x:c r="D68" s="158"/>
      <x:c r="E68" s="158"/>
      <x:c r="F68" s="158"/>
      <x:c r="G68" s="158"/>
      <x:c r="H68" s="158"/>
      <x:c r="I68" s="158"/>
      <x:c r="J68" s="158"/>
      <x:c r="K68" s="158"/>
      <x:c r="L68" s="158"/>
      <x:c r="M68" s="158"/>
      <x:c r="N68" s="158"/>
    </x:row>
    <x:row r="69">
      <x:c r="A69" s="44" t="str">
        <x:v>Balance-sheet balance</x:v>
      </x:c>
      <x:c r="B69" s="122" t="n">
        <x:f>MAX(ABS('Three Statements'!C58),ABS('Three Statements'!D58),ABS('Three Statements'!E58),ABS('Three Statements'!F58),ABS('Three Statements'!G58),ABS('Three Statements'!H58),ABS('Three Statements'!I58),ABS('Three Statements'!J58),ABS('Three Statements'!K58),ABS('Three Statements'!L58),ABS('Three Statements'!M58),ABS('Three Statements'!N58))</x:f>
        <x:v>0.008000000001629815</x:v>
      </x:c>
      <x:c r="C69" s="44" t="str">
        <x:f>IF(ABS(B69)&lt;0.5,"OK","ERROR")</x:f>
        <x:v>OK</x:v>
      </x:c>
      <x:c r="D69" s="158"/>
      <x:c r="E69" s="158"/>
      <x:c r="F69" s="158"/>
      <x:c r="G69" s="158"/>
      <x:c r="H69" s="158"/>
      <x:c r="I69" s="158"/>
      <x:c r="J69" s="158"/>
      <x:c r="K69" s="158"/>
      <x:c r="L69" s="158"/>
      <x:c r="M69" s="158"/>
      <x:c r="N69" s="158"/>
    </x:row>
    <x:row r="70">
      <x:c r="A70" s="44" t="str">
        <x:v>Cash-flow reconciliation</x:v>
      </x:c>
      <x:c r="B70" s="122" t="n">
        <x:f>MAX(ABS('Three Statements'!C92),ABS('Three Statements'!D92),ABS('Three Statements'!E92),ABS('Three Statements'!F92),ABS('Three Statements'!G92),ABS('Three Statements'!H92),ABS('Three Statements'!I92),ABS('Three Statements'!J92),ABS('Three Statements'!K92),ABS('Three Statements'!L92),ABS('Three Statements'!M92),ABS('Three Statements'!N92))</x:f>
        <x:v>8.185452315956354e-12</x:v>
      </x:c>
      <x:c r="C70" s="44" t="str">
        <x:f>IF(ABS(B70)&lt;0.5,"OK","ERROR")</x:f>
        <x:v>OK</x:v>
      </x:c>
      <x:c r="D70" s="158"/>
      <x:c r="E70" s="158"/>
      <x:c r="F70" s="158"/>
      <x:c r="G70" s="158"/>
      <x:c r="H70" s="158"/>
      <x:c r="I70" s="158"/>
      <x:c r="J70" s="158"/>
      <x:c r="K70" s="158"/>
      <x:c r="L70" s="158"/>
      <x:c r="M70" s="158"/>
      <x:c r="N70" s="158"/>
    </x:row>
    <x:row r="71">
      <x:c r="A71" s="158"/>
      <x:c r="B71" s="158"/>
      <x:c r="C71" s="158"/>
      <x:c r="D71" s="158"/>
      <x:c r="E71" s="158"/>
      <x:c r="F71" s="158"/>
      <x:c r="G71" s="158"/>
      <x:c r="H71" s="158"/>
      <x:c r="I71" s="158"/>
      <x:c r="J71" s="158"/>
      <x:c r="K71" s="158"/>
      <x:c r="L71" s="158"/>
      <x:c r="M71" s="158"/>
      <x:c r="N71" s="158"/>
    </x:row>
    <x:row r="72">
      <x:c r="A72" s="158"/>
      <x:c r="B72" s="158"/>
      <x:c r="C72" s="158"/>
      <x:c r="D72" s="158"/>
      <x:c r="E72" s="158"/>
      <x:c r="F72" s="158"/>
      <x:c r="G72" s="158"/>
      <x:c r="H72" s="158"/>
      <x:c r="I72" s="158"/>
      <x:c r="J72" s="158"/>
      <x:c r="K72" s="158"/>
      <x:c r="L72" s="158"/>
      <x:c r="M72" s="158"/>
      <x:c r="N72" s="158"/>
    </x:row>
    <x:row r="73" ht="26" customHeight="1">
      <x:c r="A73" s="139" t="str">
        <x:v>IPO OFS proceeds not recorded as company cash</x:v>
      </x:c>
      <x:c r="B73" s="139" t="str">
        <x:v>OK</x:v>
      </x:c>
      <x:c r="C73" s="139" t="str">
        <x:v>Pure OFS; FY26 equity issuance relates to ESOP exercise, not IPO proceeds</x:v>
      </x:c>
      <x:c r="D73" s="158"/>
      <x:c r="E73" s="158"/>
      <x:c r="F73" s="158"/>
      <x:c r="G73" s="158"/>
      <x:c r="H73" s="158"/>
      <x:c r="I73" s="158"/>
      <x:c r="J73" s="158"/>
      <x:c r="K73" s="158"/>
      <x:c r="L73" s="158"/>
      <x:c r="M73" s="158"/>
      <x:c r="N73" s="158"/>
    </x:row>
    <x:row r="74" ht="26" customHeight="1">
      <x:c r="A74" s="139" t="str">
        <x:v>One central forecast only</x:v>
      </x:c>
      <x:c r="B74" s="139" t="str">
        <x:v>OK</x:v>
      </x:c>
      <x:c r="C74" s="139" t="str">
        <x:v>No scenario selector, base/bull/bear case or hidden scenario calculation</x:v>
      </x:c>
      <x:c r="D74" s="158"/>
      <x:c r="E74" s="158"/>
      <x:c r="F74" s="158"/>
      <x:c r="G74" s="158"/>
      <x:c r="H74" s="158"/>
      <x:c r="I74" s="158"/>
      <x:c r="J74" s="158"/>
      <x:c r="K74" s="158"/>
      <x:c r="L74" s="158"/>
      <x:c r="M74" s="158"/>
      <x:c r="N74" s="158"/>
    </x:row>
    <x:row r="75" ht="26" customHeight="1">
      <x:c r="A75" s="139" t="str">
        <x:v>All model values in INR million</x:v>
      </x:c>
      <x:c r="B75" s="139" t="str">
        <x:v>OK</x:v>
      </x:c>
      <x:c r="C75" s="139" t="str">
        <x:v>Operating KPIs retain natural units</x:v>
      </x:c>
      <x:c r="D75" s="158"/>
      <x:c r="E75" s="158"/>
      <x:c r="F75" s="158"/>
      <x:c r="G75" s="158"/>
      <x:c r="H75" s="158"/>
      <x:c r="I75" s="158"/>
      <x:c r="J75" s="158"/>
      <x:c r="K75" s="158"/>
      <x:c r="L75" s="158"/>
      <x:c r="M75" s="158"/>
      <x:c r="N75" s="158"/>
    </x:row>
    <x:row r="76" ht="26" customHeight="1">
      <x:c r="A76" s="139" t="str">
        <x:v>No named molecule included without sufficient evidence</x:v>
      </x:c>
      <x:c r="B76" s="139" t="str">
        <x:v>OK</x:v>
      </x:c>
      <x:c r="C76" s="139" t="str">
        <x:v>All identified programmes remain residual / watchlist</x:v>
      </x:c>
      <x:c r="D76" s="158"/>
      <x:c r="E76" s="158"/>
      <x:c r="F76" s="158"/>
      <x:c r="G76" s="158"/>
      <x:c r="H76" s="158"/>
      <x:c r="I76" s="158"/>
      <x:c r="J76" s="158"/>
      <x:c r="K76" s="158"/>
      <x:c r="L76" s="158"/>
      <x:c r="M76" s="158"/>
      <x:c r="N76" s="158"/>
    </x:row>
    <x:row r="77" ht="26" customHeight="1">
      <x:c r="A77" s="139" t="str">
        <x:v>No macros or circular references</x:v>
      </x:c>
      <x:c r="B77" s="139" t="str">
        <x:v>OK</x:v>
      </x:c>
      <x:c r="C77" s="139" t="str">
        <x:v>Simple formula structure and opening-balance interest calculations</x:v>
      </x:c>
      <x:c r="D77" s="158"/>
      <x:c r="E77" s="158"/>
      <x:c r="F77" s="158"/>
      <x:c r="G77" s="158"/>
      <x:c r="H77" s="158"/>
      <x:c r="I77" s="158"/>
      <x:c r="J77" s="158"/>
      <x:c r="K77" s="158"/>
      <x:c r="L77" s="158"/>
      <x:c r="M77" s="158"/>
      <x:c r="N77" s="158"/>
    </x:row>
    <x:row r="78">
      <x:c r="A78" s="158"/>
      <x:c r="B78" s="158"/>
      <x:c r="C78" s="158"/>
      <x:c r="D78" s="158"/>
      <x:c r="E78" s="158"/>
      <x:c r="F78" s="158"/>
      <x:c r="G78" s="158"/>
      <x:c r="H78" s="158"/>
      <x:c r="I78" s="158"/>
      <x:c r="J78" s="158"/>
      <x:c r="K78" s="158"/>
      <x:c r="L78" s="158"/>
      <x:c r="M78" s="158"/>
      <x:c r="N78" s="158"/>
    </x:row>
    <x:row r="79">
      <x:c r="A79" s="158"/>
      <x:c r="B79" s="158"/>
      <x:c r="C79" s="158"/>
      <x:c r="D79" s="158"/>
      <x:c r="E79" s="158"/>
      <x:c r="F79" s="158"/>
      <x:c r="G79" s="158"/>
      <x:c r="H79" s="158"/>
      <x:c r="I79" s="158"/>
      <x:c r="J79" s="158"/>
      <x:c r="K79" s="158"/>
      <x:c r="L79" s="158"/>
      <x:c r="M79" s="158"/>
      <x:c r="N79" s="158"/>
    </x:row>
    <x:row r="80">
      <x:c r="A80" s="158"/>
      <x:c r="B80" s="158"/>
      <x:c r="C80" s="158"/>
      <x:c r="D80" s="158"/>
      <x:c r="E80" s="158"/>
      <x:c r="F80" s="158"/>
      <x:c r="G80" s="158"/>
      <x:c r="H80" s="158"/>
      <x:c r="I80" s="158"/>
      <x:c r="J80" s="158"/>
      <x:c r="K80" s="158"/>
      <x:c r="L80" s="158"/>
      <x:c r="M80" s="158"/>
      <x:c r="N80" s="158"/>
    </x:row>
    <x:row r="81">
      <x:c r="A81" s="158"/>
      <x:c r="B81" s="158"/>
      <x:c r="C81" s="158"/>
      <x:c r="D81" s="158"/>
      <x:c r="E81" s="158"/>
      <x:c r="F81" s="158"/>
      <x:c r="G81" s="158"/>
      <x:c r="H81" s="158"/>
      <x:c r="I81" s="158"/>
      <x:c r="J81" s="158"/>
      <x:c r="K81" s="158"/>
      <x:c r="L81" s="158"/>
      <x:c r="M81" s="158"/>
      <x:c r="N81" s="158"/>
    </x:row>
    <x:row r="82">
      <x:c r="A82" s="158"/>
      <x:c r="B82" s="158"/>
      <x:c r="C82" s="158"/>
      <x:c r="D82" s="158"/>
      <x:c r="E82" s="158"/>
      <x:c r="F82" s="158"/>
      <x:c r="G82" s="158"/>
      <x:c r="H82" s="158"/>
      <x:c r="I82" s="158"/>
      <x:c r="J82" s="158"/>
      <x:c r="K82" s="158"/>
      <x:c r="L82" s="158"/>
      <x:c r="M82" s="158"/>
      <x:c r="N82" s="158"/>
    </x:row>
    <x:row r="83">
      <x:c r="A83" s="158"/>
      <x:c r="B83" s="158"/>
      <x:c r="C83" s="158"/>
      <x:c r="D83" s="158"/>
      <x:c r="E83" s="158"/>
      <x:c r="F83" s="158"/>
      <x:c r="G83" s="158"/>
      <x:c r="H83" s="158"/>
      <x:c r="I83" s="158"/>
      <x:c r="J83" s="158"/>
      <x:c r="K83" s="158"/>
      <x:c r="L83" s="158"/>
      <x:c r="M83" s="158"/>
      <x:c r="N83" s="158"/>
    </x:row>
    <x:row r="84">
      <x:c r="A84" s="158"/>
      <x:c r="B84" s="158"/>
      <x:c r="C84" s="158"/>
      <x:c r="D84" s="158"/>
      <x:c r="E84" s="158"/>
      <x:c r="F84" s="158"/>
      <x:c r="G84" s="158"/>
      <x:c r="H84" s="158"/>
      <x:c r="I84" s="158"/>
      <x:c r="J84" s="158"/>
      <x:c r="K84" s="158"/>
      <x:c r="L84" s="158"/>
      <x:c r="M84" s="158"/>
      <x:c r="N84" s="158"/>
    </x:row>
    <x:row r="85">
      <x:c r="A85" s="158"/>
      <x:c r="B85" s="158"/>
      <x:c r="C85" s="158"/>
      <x:c r="D85" s="158"/>
      <x:c r="E85" s="158"/>
      <x:c r="F85" s="158"/>
      <x:c r="G85" s="158"/>
      <x:c r="H85" s="158"/>
      <x:c r="I85" s="158"/>
      <x:c r="J85" s="158"/>
      <x:c r="K85" s="158"/>
      <x:c r="L85" s="158"/>
      <x:c r="M85" s="158"/>
      <x:c r="N85" s="158"/>
    </x:row>
    <x:row r="86">
      <x:c r="A86" s="158"/>
      <x:c r="B86" s="158"/>
      <x:c r="C86" s="158"/>
      <x:c r="D86" s="158"/>
      <x:c r="E86" s="158"/>
      <x:c r="F86" s="158"/>
      <x:c r="G86" s="158"/>
      <x:c r="H86" s="158"/>
      <x:c r="I86" s="158"/>
      <x:c r="J86" s="158"/>
      <x:c r="K86" s="158"/>
      <x:c r="L86" s="158"/>
      <x:c r="M86" s="158"/>
      <x:c r="N86" s="158"/>
    </x:row>
    <x:row r="87">
      <x:c r="A87" s="158"/>
      <x:c r="B87" s="158"/>
      <x:c r="C87" s="158"/>
      <x:c r="D87" s="158"/>
      <x:c r="E87" s="158"/>
      <x:c r="F87" s="158"/>
      <x:c r="G87" s="158"/>
      <x:c r="H87" s="158"/>
      <x:c r="I87" s="158"/>
      <x:c r="J87" s="158"/>
      <x:c r="K87" s="158"/>
      <x:c r="L87" s="158"/>
      <x:c r="M87" s="158"/>
      <x:c r="N87" s="158"/>
    </x:row>
    <x:row r="88">
      <x:c r="A88" s="158"/>
      <x:c r="B88" s="158"/>
      <x:c r="C88" s="158"/>
      <x:c r="D88" s="158"/>
      <x:c r="E88" s="158"/>
      <x:c r="F88" s="158"/>
      <x:c r="G88" s="158"/>
      <x:c r="H88" s="158"/>
      <x:c r="I88" s="158"/>
      <x:c r="J88" s="158"/>
      <x:c r="K88" s="158"/>
      <x:c r="L88" s="158"/>
      <x:c r="M88" s="158"/>
      <x:c r="N88" s="158"/>
    </x:row>
    <x:row r="89">
      <x:c r="A89" s="158"/>
      <x:c r="B89" s="158"/>
      <x:c r="C89" s="158"/>
      <x:c r="D89" s="158"/>
      <x:c r="E89" s="158"/>
      <x:c r="F89" s="158"/>
      <x:c r="G89" s="158"/>
      <x:c r="H89" s="158"/>
      <x:c r="I89" s="158"/>
      <x:c r="J89" s="158"/>
      <x:c r="K89" s="158"/>
      <x:c r="L89" s="158"/>
      <x:c r="M89" s="158"/>
      <x:c r="N89" s="158"/>
    </x:row>
    <x:row r="90">
      <x:c r="A90" s="158"/>
      <x:c r="B90" s="158"/>
      <x:c r="C90" s="158"/>
      <x:c r="D90" s="158"/>
      <x:c r="E90" s="158"/>
      <x:c r="F90" s="158"/>
      <x:c r="G90" s="158"/>
      <x:c r="H90" s="158"/>
      <x:c r="I90" s="158"/>
      <x:c r="J90" s="158"/>
      <x:c r="K90" s="158"/>
      <x:c r="L90" s="158"/>
      <x:c r="M90" s="158"/>
      <x:c r="N90" s="158"/>
    </x:row>
    <x:row r="91">
      <x:c r="A91" s="158"/>
      <x:c r="B91" s="158"/>
      <x:c r="C91" s="158"/>
      <x:c r="D91" s="158"/>
      <x:c r="E91" s="158"/>
      <x:c r="F91" s="158"/>
      <x:c r="G91" s="158"/>
      <x:c r="H91" s="158"/>
      <x:c r="I91" s="158"/>
      <x:c r="J91" s="158"/>
      <x:c r="K91" s="158"/>
      <x:c r="L91" s="158"/>
      <x:c r="M91" s="158"/>
      <x:c r="N91" s="158"/>
    </x:row>
    <x:row r="92">
      <x:c r="A92" s="158"/>
      <x:c r="B92" s="158"/>
      <x:c r="C92" s="158"/>
      <x:c r="D92" s="158"/>
      <x:c r="E92" s="158"/>
      <x:c r="F92" s="158"/>
      <x:c r="G92" s="158"/>
      <x:c r="H92" s="158"/>
      <x:c r="I92" s="158"/>
      <x:c r="J92" s="158"/>
      <x:c r="K92" s="158"/>
      <x:c r="L92" s="158"/>
      <x:c r="M92" s="158"/>
      <x:c r="N92" s="158"/>
    </x:row>
    <x:row r="93">
      <x:c r="A93" s="158"/>
      <x:c r="B93" s="158"/>
      <x:c r="C93" s="158"/>
      <x:c r="D93" s="158"/>
      <x:c r="E93" s="158"/>
      <x:c r="F93" s="158"/>
      <x:c r="G93" s="158"/>
      <x:c r="H93" s="158"/>
      <x:c r="I93" s="158"/>
      <x:c r="J93" s="158"/>
      <x:c r="K93" s="158"/>
      <x:c r="L93" s="158"/>
      <x:c r="M93" s="158"/>
      <x:c r="N93" s="158"/>
    </x:row>
    <x:row r="94">
      <x:c r="A94" s="158"/>
      <x:c r="B94" s="158"/>
      <x:c r="C94" s="158"/>
      <x:c r="D94" s="158"/>
      <x:c r="E94" s="158"/>
      <x:c r="F94" s="158"/>
      <x:c r="G94" s="158"/>
      <x:c r="H94" s="158"/>
      <x:c r="I94" s="158"/>
      <x:c r="J94" s="158"/>
      <x:c r="K94" s="158"/>
      <x:c r="L94" s="158"/>
      <x:c r="M94" s="158"/>
      <x:c r="N94" s="158"/>
    </x:row>
    <x:row r="95">
      <x:c r="A95" s="158"/>
      <x:c r="B95" s="158"/>
      <x:c r="C95" s="158"/>
      <x:c r="D95" s="158"/>
      <x:c r="E95" s="158"/>
      <x:c r="F95" s="158"/>
      <x:c r="G95" s="158"/>
      <x:c r="H95" s="158"/>
      <x:c r="I95" s="158"/>
      <x:c r="J95" s="158"/>
      <x:c r="K95" s="158"/>
      <x:c r="L95" s="158"/>
      <x:c r="M95" s="158"/>
      <x:c r="N95" s="158"/>
    </x:row>
    <x:row r="96">
      <x:c r="A96" s="158"/>
      <x:c r="B96" s="158"/>
      <x:c r="C96" s="158"/>
      <x:c r="D96" s="158"/>
      <x:c r="E96" s="158"/>
      <x:c r="F96" s="158"/>
      <x:c r="G96" s="158"/>
      <x:c r="H96" s="158"/>
      <x:c r="I96" s="158"/>
      <x:c r="J96" s="158"/>
      <x:c r="K96" s="158"/>
      <x:c r="L96" s="158"/>
      <x:c r="M96" s="158"/>
      <x:c r="N96" s="158"/>
    </x:row>
    <x:row r="97">
      <x:c r="A97" s="158"/>
      <x:c r="B97" s="158"/>
      <x:c r="C97" s="158"/>
      <x:c r="D97" s="158"/>
      <x:c r="E97" s="158"/>
      <x:c r="F97" s="158"/>
      <x:c r="G97" s="158"/>
      <x:c r="H97" s="158"/>
      <x:c r="I97" s="158"/>
      <x:c r="J97" s="158"/>
      <x:c r="K97" s="158"/>
      <x:c r="L97" s="158"/>
      <x:c r="M97" s="158"/>
      <x:c r="N97" s="158"/>
    </x:row>
    <x:row r="98">
      <x:c r="A98" s="158"/>
      <x:c r="B98" s="158"/>
      <x:c r="C98" s="158"/>
      <x:c r="D98" s="158"/>
      <x:c r="E98" s="158"/>
      <x:c r="F98" s="158"/>
      <x:c r="G98" s="158"/>
      <x:c r="H98" s="158"/>
      <x:c r="I98" s="158"/>
      <x:c r="J98" s="158"/>
      <x:c r="K98" s="158"/>
      <x:c r="L98" s="158"/>
      <x:c r="M98" s="158"/>
      <x:c r="N98" s="158"/>
    </x:row>
    <x:row r="99">
      <x:c r="A99" s="158"/>
      <x:c r="B99" s="158"/>
      <x:c r="C99" s="158"/>
      <x:c r="D99" s="158"/>
      <x:c r="E99" s="158"/>
      <x:c r="F99" s="158"/>
      <x:c r="G99" s="158"/>
      <x:c r="H99" s="158"/>
      <x:c r="I99" s="158"/>
      <x:c r="J99" s="158"/>
      <x:c r="K99" s="158"/>
      <x:c r="L99" s="158"/>
      <x:c r="M99" s="158"/>
      <x:c r="N99" s="158"/>
    </x:row>
    <x:row r="100">
      <x:c r="A100" s="158"/>
      <x:c r="B100" s="158"/>
      <x:c r="C100" s="158"/>
      <x:c r="D100" s="158"/>
      <x:c r="E100" s="158"/>
      <x:c r="F100" s="158"/>
      <x:c r="G100" s="158"/>
      <x:c r="H100" s="158"/>
      <x:c r="I100" s="158"/>
      <x:c r="J100" s="158"/>
      <x:c r="K100" s="158"/>
      <x:c r="L100" s="158"/>
      <x:c r="M100" s="158"/>
      <x:c r="N100" s="158"/>
    </x:row>
    <x:row r="101">
      <x:c r="A101" s="158"/>
      <x:c r="B101" s="158"/>
      <x:c r="C101" s="158"/>
      <x:c r="D101" s="158"/>
      <x:c r="E101" s="158"/>
      <x:c r="F101" s="158"/>
      <x:c r="G101" s="158"/>
      <x:c r="H101" s="158"/>
      <x:c r="I101" s="158"/>
      <x:c r="J101" s="158"/>
      <x:c r="K101" s="158"/>
      <x:c r="L101" s="158"/>
      <x:c r="M101" s="158"/>
      <x:c r="N101" s="158"/>
    </x:row>
    <x:row r="102">
      <x:c r="A102" s="158"/>
      <x:c r="B102" s="158"/>
      <x:c r="C102" s="158"/>
      <x:c r="D102" s="158"/>
      <x:c r="E102" s="158"/>
      <x:c r="F102" s="158"/>
      <x:c r="G102" s="158"/>
      <x:c r="H102" s="158"/>
      <x:c r="I102" s="158"/>
      <x:c r="J102" s="158"/>
      <x:c r="K102" s="158"/>
      <x:c r="L102" s="158"/>
      <x:c r="M102" s="158"/>
      <x:c r="N102" s="158"/>
    </x:row>
    <x:row r="103">
      <x:c r="A103" s="158"/>
      <x:c r="B103" s="158"/>
      <x:c r="C103" s="158"/>
      <x:c r="D103" s="158"/>
      <x:c r="E103" s="158"/>
      <x:c r="F103" s="158"/>
      <x:c r="G103" s="158"/>
      <x:c r="H103" s="158"/>
      <x:c r="I103" s="158"/>
      <x:c r="J103" s="158"/>
      <x:c r="K103" s="158"/>
      <x:c r="L103" s="158"/>
      <x:c r="M103" s="158"/>
      <x:c r="N103" s="158"/>
    </x:row>
    <x:row r="104">
      <x:c r="A104" s="158"/>
      <x:c r="B104" s="158"/>
      <x:c r="C104" s="158"/>
      <x:c r="D104" s="158"/>
      <x:c r="E104" s="158"/>
      <x:c r="F104" s="158"/>
      <x:c r="G104" s="158"/>
      <x:c r="H104" s="158"/>
      <x:c r="I104" s="158"/>
      <x:c r="J104" s="158"/>
      <x:c r="K104" s="158"/>
      <x:c r="L104" s="158"/>
      <x:c r="M104" s="158"/>
      <x:c r="N104" s="158"/>
    </x:row>
    <x:row r="105">
      <x:c r="A105" s="158"/>
      <x:c r="B105" s="158"/>
      <x:c r="C105" s="158"/>
      <x:c r="D105" s="158"/>
      <x:c r="E105" s="158"/>
      <x:c r="F105" s="158"/>
      <x:c r="G105" s="158"/>
      <x:c r="H105" s="158"/>
      <x:c r="I105" s="158"/>
      <x:c r="J105" s="158"/>
      <x:c r="K105" s="158"/>
      <x:c r="L105" s="158"/>
      <x:c r="M105" s="158"/>
      <x:c r="N105" s="158"/>
    </x:row>
    <x:row r="106">
      <x:c r="A106" s="158"/>
      <x:c r="B106" s="158"/>
      <x:c r="C106" s="158"/>
      <x:c r="D106" s="158"/>
      <x:c r="E106" s="158"/>
      <x:c r="F106" s="158"/>
      <x:c r="G106" s="158"/>
      <x:c r="H106" s="158"/>
      <x:c r="I106" s="158"/>
      <x:c r="J106" s="158"/>
      <x:c r="K106" s="158"/>
      <x:c r="L106" s="158"/>
      <x:c r="M106" s="158"/>
      <x:c r="N106" s="158"/>
    </x:row>
    <x:row r="107">
      <x:c r="A107" s="158"/>
      <x:c r="B107" s="158"/>
      <x:c r="C107" s="158"/>
      <x:c r="D107" s="158"/>
      <x:c r="E107" s="158"/>
      <x:c r="F107" s="158"/>
      <x:c r="G107" s="158"/>
      <x:c r="H107" s="158"/>
      <x:c r="I107" s="158"/>
      <x:c r="J107" s="158"/>
      <x:c r="K107" s="158"/>
      <x:c r="L107" s="158"/>
      <x:c r="M107" s="158"/>
      <x:c r="N107" s="158"/>
    </x:row>
    <x:row r="108">
      <x:c r="A108" s="158"/>
      <x:c r="B108" s="158"/>
      <x:c r="C108" s="158"/>
      <x:c r="D108" s="158"/>
      <x:c r="E108" s="158"/>
      <x:c r="F108" s="158"/>
      <x:c r="G108" s="158"/>
      <x:c r="H108" s="158"/>
      <x:c r="I108" s="158"/>
      <x:c r="J108" s="158"/>
      <x:c r="K108" s="158"/>
      <x:c r="L108" s="158"/>
      <x:c r="M108" s="158"/>
      <x:c r="N108" s="158"/>
    </x:row>
    <x:row r="109">
      <x:c r="A109" s="158"/>
      <x:c r="B109" s="158"/>
      <x:c r="C109" s="158"/>
      <x:c r="D109" s="158"/>
      <x:c r="E109" s="158"/>
      <x:c r="F109" s="158"/>
      <x:c r="G109" s="158"/>
      <x:c r="H109" s="158"/>
      <x:c r="I109" s="158"/>
      <x:c r="J109" s="158"/>
      <x:c r="K109" s="158"/>
      <x:c r="L109" s="158"/>
      <x:c r="M109" s="158"/>
      <x:c r="N109" s="158"/>
    </x:row>
    <x:row r="110">
      <x:c r="A110" s="158"/>
      <x:c r="B110" s="158"/>
      <x:c r="C110" s="158"/>
      <x:c r="D110" s="158"/>
      <x:c r="E110" s="158"/>
      <x:c r="F110" s="158"/>
      <x:c r="G110" s="158"/>
      <x:c r="H110" s="158"/>
      <x:c r="I110" s="158"/>
      <x:c r="J110" s="158"/>
      <x:c r="K110" s="158"/>
      <x:c r="L110" s="158"/>
      <x:c r="M110" s="158"/>
      <x:c r="N110" s="158"/>
    </x:row>
    <x:row r="111">
      <x:c r="A111" s="158"/>
      <x:c r="B111" s="158"/>
      <x:c r="C111" s="158"/>
      <x:c r="D111" s="158"/>
      <x:c r="E111" s="158"/>
      <x:c r="F111" s="158"/>
      <x:c r="G111" s="158"/>
      <x:c r="H111" s="158"/>
      <x:c r="I111" s="158"/>
      <x:c r="J111" s="158"/>
      <x:c r="K111" s="158"/>
      <x:c r="L111" s="158"/>
      <x:c r="M111" s="158"/>
      <x:c r="N111" s="158"/>
    </x:row>
    <x:row r="112">
      <x:c r="A112" s="158"/>
      <x:c r="B112" s="158"/>
      <x:c r="C112" s="158"/>
      <x:c r="D112" s="158"/>
      <x:c r="E112" s="158"/>
      <x:c r="F112" s="158"/>
      <x:c r="G112" s="158"/>
      <x:c r="H112" s="158"/>
      <x:c r="I112" s="158"/>
      <x:c r="J112" s="158"/>
      <x:c r="K112" s="158"/>
      <x:c r="L112" s="158"/>
      <x:c r="M112" s="158"/>
      <x:c r="N112" s="158"/>
    </x:row>
    <x:row r="113">
      <x:c r="A113" s="158"/>
      <x:c r="B113" s="158"/>
      <x:c r="C113" s="158"/>
      <x:c r="D113" s="158"/>
      <x:c r="E113" s="158"/>
      <x:c r="F113" s="158"/>
      <x:c r="G113" s="158"/>
      <x:c r="H113" s="158"/>
      <x:c r="I113" s="158"/>
      <x:c r="J113" s="158"/>
      <x:c r="K113" s="158"/>
      <x:c r="L113" s="158"/>
      <x:c r="M113" s="158"/>
      <x:c r="N113" s="158"/>
    </x:row>
    <x:row r="114">
      <x:c r="A114" s="158"/>
      <x:c r="B114" s="158"/>
      <x:c r="C114" s="158"/>
      <x:c r="D114" s="158"/>
      <x:c r="E114" s="158"/>
      <x:c r="F114" s="158"/>
      <x:c r="G114" s="158"/>
      <x:c r="H114" s="158"/>
      <x:c r="I114" s="158"/>
      <x:c r="J114" s="158"/>
      <x:c r="K114" s="158"/>
      <x:c r="L114" s="158"/>
      <x:c r="M114" s="158"/>
      <x:c r="N114" s="158"/>
    </x:row>
    <x:row r="115">
      <x:c r="A115" s="158"/>
      <x:c r="B115" s="158"/>
      <x:c r="C115" s="158"/>
      <x:c r="D115" s="158"/>
      <x:c r="E115" s="158"/>
      <x:c r="F115" s="158"/>
      <x:c r="G115" s="158"/>
      <x:c r="H115" s="158"/>
      <x:c r="I115" s="158"/>
      <x:c r="J115" s="158"/>
      <x:c r="K115" s="158"/>
      <x:c r="L115" s="158"/>
      <x:c r="M115" s="158"/>
      <x:c r="N115" s="158"/>
    </x:row>
    <x:row r="116">
      <x:c r="A116" s="158"/>
      <x:c r="B116" s="158"/>
      <x:c r="C116" s="158"/>
      <x:c r="D116" s="158"/>
      <x:c r="E116" s="158"/>
      <x:c r="F116" s="158"/>
      <x:c r="G116" s="158"/>
      <x:c r="H116" s="158"/>
      <x:c r="I116" s="158"/>
      <x:c r="J116" s="158"/>
      <x:c r="K116" s="158"/>
      <x:c r="L116" s="158"/>
      <x:c r="M116" s="158"/>
      <x:c r="N116" s="158"/>
    </x:row>
    <x:row r="117">
      <x:c r="A117" s="158"/>
      <x:c r="B117" s="158"/>
      <x:c r="C117" s="158"/>
      <x:c r="D117" s="158"/>
      <x:c r="E117" s="158"/>
      <x:c r="F117" s="158"/>
      <x:c r="G117" s="158"/>
      <x:c r="H117" s="158"/>
      <x:c r="I117" s="158"/>
      <x:c r="J117" s="158"/>
      <x:c r="K117" s="158"/>
      <x:c r="L117" s="158"/>
      <x:c r="M117" s="158"/>
      <x:c r="N117" s="158"/>
    </x:row>
    <x:row r="118">
      <x:c r="A118" s="158"/>
      <x:c r="B118" s="158"/>
      <x:c r="C118" s="158"/>
      <x:c r="D118" s="158"/>
      <x:c r="E118" s="158"/>
      <x:c r="F118" s="158"/>
      <x:c r="G118" s="158"/>
      <x:c r="H118" s="158"/>
      <x:c r="I118" s="158"/>
      <x:c r="J118" s="158"/>
      <x:c r="K118" s="158"/>
      <x:c r="L118" s="158"/>
      <x:c r="M118" s="158"/>
      <x:c r="N118" s="158"/>
    </x:row>
    <x:row r="119">
      <x:c r="A119" s="158"/>
      <x:c r="B119" s="158"/>
      <x:c r="C119" s="158"/>
      <x:c r="D119" s="158"/>
      <x:c r="E119" s="158"/>
      <x:c r="F119" s="158"/>
      <x:c r="G119" s="158"/>
      <x:c r="H119" s="158"/>
      <x:c r="I119" s="158"/>
      <x:c r="J119" s="158"/>
      <x:c r="K119" s="158"/>
      <x:c r="L119" s="158"/>
      <x:c r="M119" s="158"/>
      <x:c r="N119" s="158"/>
    </x:row>
    <x:row r="120">
      <x:c r="A120" s="158"/>
      <x:c r="B120" s="158"/>
      <x:c r="C120" s="158"/>
      <x:c r="D120" s="158"/>
      <x:c r="E120" s="158"/>
      <x:c r="F120" s="158"/>
      <x:c r="G120" s="158"/>
      <x:c r="H120" s="158"/>
      <x:c r="I120" s="158"/>
      <x:c r="J120" s="158"/>
      <x:c r="K120" s="158"/>
      <x:c r="L120" s="158"/>
      <x:c r="M120" s="158"/>
      <x:c r="N120" s="158"/>
    </x:row>
    <x:row r="121">
      <x:c r="A121" s="158"/>
      <x:c r="B121" s="158"/>
      <x:c r="C121" s="158"/>
      <x:c r="D121" s="158"/>
      <x:c r="E121" s="158"/>
      <x:c r="F121" s="158"/>
      <x:c r="G121" s="158"/>
      <x:c r="H121" s="158"/>
      <x:c r="I121" s="158"/>
      <x:c r="J121" s="158"/>
      <x:c r="K121" s="158"/>
      <x:c r="L121" s="158"/>
      <x:c r="M121" s="158"/>
      <x:c r="N121" s="158"/>
    </x:row>
    <x:row r="122">
      <x:c r="A122" s="158"/>
      <x:c r="B122" s="158"/>
      <x:c r="C122" s="158"/>
      <x:c r="D122" s="158"/>
      <x:c r="E122" s="158"/>
      <x:c r="F122" s="158"/>
      <x:c r="G122" s="158"/>
      <x:c r="H122" s="158"/>
      <x:c r="I122" s="158"/>
      <x:c r="J122" s="158"/>
      <x:c r="K122" s="158"/>
      <x:c r="L122" s="158"/>
      <x:c r="M122" s="158"/>
      <x:c r="N122" s="158"/>
    </x:row>
    <x:row r="123">
      <x:c r="A123" s="158"/>
      <x:c r="B123" s="158"/>
      <x:c r="C123" s="158"/>
      <x:c r="D123" s="158"/>
      <x:c r="E123" s="158"/>
      <x:c r="F123" s="158"/>
      <x:c r="G123" s="158"/>
      <x:c r="H123" s="158"/>
      <x:c r="I123" s="158"/>
      <x:c r="J123" s="158"/>
      <x:c r="K123" s="158"/>
      <x:c r="L123" s="158"/>
      <x:c r="M123" s="158"/>
      <x:c r="N123" s="158"/>
    </x:row>
    <x:row r="124">
      <x:c r="A124" s="158"/>
      <x:c r="B124" s="158"/>
      <x:c r="C124" s="158"/>
      <x:c r="D124" s="158"/>
      <x:c r="E124" s="158"/>
      <x:c r="F124" s="158"/>
      <x:c r="G124" s="158"/>
      <x:c r="H124" s="158"/>
      <x:c r="I124" s="158"/>
      <x:c r="J124" s="158"/>
      <x:c r="K124" s="158"/>
      <x:c r="L124" s="158"/>
      <x:c r="M124" s="158"/>
      <x:c r="N124" s="158"/>
    </x:row>
    <x:row r="125">
      <x:c r="A125" s="158"/>
      <x:c r="B125" s="158"/>
      <x:c r="C125" s="158"/>
      <x:c r="D125" s="158"/>
      <x:c r="E125" s="158"/>
      <x:c r="F125" s="158"/>
      <x:c r="G125" s="158"/>
      <x:c r="H125" s="158"/>
      <x:c r="I125" s="158"/>
      <x:c r="J125" s="158"/>
      <x:c r="K125" s="158"/>
      <x:c r="L125" s="158"/>
      <x:c r="M125" s="158"/>
      <x:c r="N125" s="158"/>
    </x:row>
    <x:row r="126">
      <x:c r="A126" s="158"/>
      <x:c r="B126" s="158"/>
      <x:c r="C126" s="158"/>
      <x:c r="D126" s="158"/>
      <x:c r="E126" s="158"/>
      <x:c r="F126" s="158"/>
      <x:c r="G126" s="158"/>
      <x:c r="H126" s="158"/>
      <x:c r="I126" s="158"/>
      <x:c r="J126" s="158"/>
      <x:c r="K126" s="158"/>
      <x:c r="L126" s="158"/>
      <x:c r="M126" s="158"/>
      <x:c r="N126" s="158"/>
    </x:row>
    <x:row r="127">
      <x:c r="A127" s="158"/>
      <x:c r="B127" s="158"/>
      <x:c r="C127" s="158"/>
      <x:c r="D127" s="158"/>
      <x:c r="E127" s="158"/>
      <x:c r="F127" s="158"/>
      <x:c r="G127" s="158"/>
      <x:c r="H127" s="158"/>
      <x:c r="I127" s="158"/>
      <x:c r="J127" s="158"/>
      <x:c r="K127" s="158"/>
      <x:c r="L127" s="158"/>
      <x:c r="M127" s="158"/>
      <x:c r="N127" s="158"/>
    </x:row>
    <x:row r="128">
      <x:c r="A128" s="158"/>
      <x:c r="B128" s="158"/>
      <x:c r="C128" s="158"/>
      <x:c r="D128" s="158"/>
      <x:c r="E128" s="158"/>
      <x:c r="F128" s="158"/>
      <x:c r="G128" s="158"/>
      <x:c r="H128" s="158"/>
      <x:c r="I128" s="158"/>
      <x:c r="J128" s="158"/>
      <x:c r="K128" s="158"/>
      <x:c r="L128" s="158"/>
      <x:c r="M128" s="158"/>
      <x:c r="N128" s="158"/>
    </x:row>
    <x:row r="129">
      <x:c r="A129" s="158"/>
      <x:c r="B129" s="158"/>
      <x:c r="C129" s="158"/>
      <x:c r="D129" s="158"/>
      <x:c r="E129" s="158"/>
      <x:c r="F129" s="158"/>
      <x:c r="G129" s="158"/>
      <x:c r="H129" s="158"/>
      <x:c r="I129" s="158"/>
      <x:c r="J129" s="158"/>
      <x:c r="K129" s="158"/>
      <x:c r="L129" s="158"/>
      <x:c r="M129" s="158"/>
      <x:c r="N129" s="158"/>
    </x:row>
    <x:row r="130">
      <x:c r="A130" s="158"/>
      <x:c r="B130" s="158"/>
      <x:c r="C130" s="158"/>
      <x:c r="D130" s="158"/>
      <x:c r="E130" s="158"/>
      <x:c r="F130" s="158"/>
      <x:c r="G130" s="158"/>
      <x:c r="H130" s="158"/>
      <x:c r="I130" s="158"/>
      <x:c r="J130" s="158"/>
      <x:c r="K130" s="158"/>
      <x:c r="L130" s="158"/>
      <x:c r="M130" s="158"/>
      <x:c r="N130" s="158"/>
    </x:row>
    <x:row r="131">
      <x:c r="A131" s="158"/>
      <x:c r="B131" s="158"/>
      <x:c r="C131" s="158"/>
      <x:c r="D131" s="158"/>
      <x:c r="E131" s="158"/>
      <x:c r="F131" s="158"/>
      <x:c r="G131" s="158"/>
      <x:c r="H131" s="158"/>
      <x:c r="I131" s="158"/>
      <x:c r="J131" s="158"/>
      <x:c r="K131" s="158"/>
      <x:c r="L131" s="158"/>
      <x:c r="M131" s="158"/>
      <x:c r="N131" s="158"/>
    </x:row>
    <x:row r="132">
      <x:c r="A132" s="158"/>
      <x:c r="B132" s="158"/>
      <x:c r="C132" s="158"/>
      <x:c r="D132" s="158"/>
      <x:c r="E132" s="158"/>
      <x:c r="F132" s="158"/>
      <x:c r="G132" s="158"/>
      <x:c r="H132" s="158"/>
      <x:c r="I132" s="158"/>
      <x:c r="J132" s="158"/>
      <x:c r="K132" s="158"/>
      <x:c r="L132" s="158"/>
      <x:c r="M132" s="158"/>
      <x:c r="N132" s="158"/>
    </x:row>
    <x:row r="133">
      <x:c r="A133" s="158"/>
      <x:c r="B133" s="158"/>
      <x:c r="C133" s="158"/>
      <x:c r="D133" s="158"/>
      <x:c r="E133" s="158"/>
      <x:c r="F133" s="158"/>
      <x:c r="G133" s="158"/>
      <x:c r="H133" s="158"/>
      <x:c r="I133" s="158"/>
      <x:c r="J133" s="158"/>
      <x:c r="K133" s="158"/>
      <x:c r="L133" s="158"/>
      <x:c r="M133" s="158"/>
      <x:c r="N133" s="158"/>
    </x:row>
    <x:row r="134">
      <x:c r="A134" s="158"/>
      <x:c r="B134" s="158"/>
      <x:c r="C134" s="158"/>
      <x:c r="D134" s="158"/>
      <x:c r="E134" s="158"/>
      <x:c r="F134" s="158"/>
      <x:c r="G134" s="158"/>
      <x:c r="H134" s="158"/>
      <x:c r="I134" s="158"/>
      <x:c r="J134" s="158"/>
      <x:c r="K134" s="158"/>
      <x:c r="L134" s="158"/>
      <x:c r="M134" s="158"/>
      <x:c r="N134" s="158"/>
    </x:row>
    <x:row r="135">
      <x:c r="A135" s="158"/>
      <x:c r="B135" s="158"/>
      <x:c r="C135" s="158"/>
      <x:c r="D135" s="158"/>
      <x:c r="E135" s="158"/>
      <x:c r="F135" s="158"/>
      <x:c r="G135" s="158"/>
      <x:c r="H135" s="158"/>
      <x:c r="I135" s="158"/>
      <x:c r="J135" s="158"/>
      <x:c r="K135" s="158"/>
      <x:c r="L135" s="158"/>
      <x:c r="M135" s="158"/>
      <x:c r="N135" s="158"/>
    </x:row>
    <x:row r="136">
      <x:c r="A136" s="158"/>
      <x:c r="B136" s="158"/>
      <x:c r="C136" s="158"/>
      <x:c r="D136" s="158"/>
      <x:c r="E136" s="158"/>
      <x:c r="F136" s="158"/>
      <x:c r="G136" s="158"/>
      <x:c r="H136" s="158"/>
      <x:c r="I136" s="158"/>
      <x:c r="J136" s="158"/>
      <x:c r="K136" s="158"/>
      <x:c r="L136" s="158"/>
      <x:c r="M136" s="158"/>
      <x:c r="N136" s="158"/>
    </x:row>
    <x:row r="137">
      <x:c r="A137" s="158"/>
      <x:c r="B137" s="158"/>
      <x:c r="C137" s="158"/>
      <x:c r="D137" s="158"/>
      <x:c r="E137" s="158"/>
      <x:c r="F137" s="158"/>
      <x:c r="G137" s="158"/>
      <x:c r="H137" s="158"/>
      <x:c r="I137" s="158"/>
      <x:c r="J137" s="158"/>
      <x:c r="K137" s="158"/>
      <x:c r="L137" s="158"/>
      <x:c r="M137" s="158"/>
      <x:c r="N137" s="158"/>
    </x:row>
    <x:row r="138">
      <x:c r="A138" s="158"/>
      <x:c r="B138" s="158"/>
      <x:c r="C138" s="158"/>
      <x:c r="D138" s="158"/>
      <x:c r="E138" s="158"/>
      <x:c r="F138" s="158"/>
      <x:c r="G138" s="158"/>
      <x:c r="H138" s="158"/>
      <x:c r="I138" s="158"/>
      <x:c r="J138" s="158"/>
      <x:c r="K138" s="158"/>
      <x:c r="L138" s="158"/>
      <x:c r="M138" s="158"/>
      <x:c r="N138" s="158"/>
    </x:row>
    <x:row r="139">
      <x:c r="A139" s="158"/>
      <x:c r="B139" s="158"/>
      <x:c r="C139" s="158"/>
      <x:c r="D139" s="158"/>
      <x:c r="E139" s="158"/>
      <x:c r="F139" s="158"/>
      <x:c r="G139" s="158"/>
      <x:c r="H139" s="158"/>
      <x:c r="I139" s="158"/>
      <x:c r="J139" s="158"/>
      <x:c r="K139" s="158"/>
      <x:c r="L139" s="158"/>
      <x:c r="M139" s="158"/>
      <x:c r="N139" s="158"/>
    </x:row>
    <x:row r="140">
      <x:c r="A140" s="158"/>
      <x:c r="B140" s="158"/>
      <x:c r="C140" s="158"/>
      <x:c r="D140" s="158"/>
      <x:c r="E140" s="158"/>
      <x:c r="F140" s="158"/>
      <x:c r="G140" s="158"/>
      <x:c r="H140" s="158"/>
      <x:c r="I140" s="158"/>
      <x:c r="J140" s="158"/>
      <x:c r="K140" s="158"/>
      <x:c r="L140" s="158"/>
      <x:c r="M140" s="158"/>
      <x:c r="N140" s="158"/>
    </x:row>
    <x:row r="141">
      <x:c r="A141" s="158"/>
      <x:c r="B141" s="158"/>
      <x:c r="C141" s="158"/>
      <x:c r="D141" s="158"/>
      <x:c r="E141" s="158"/>
      <x:c r="F141" s="158"/>
      <x:c r="G141" s="158"/>
      <x:c r="H141" s="158"/>
      <x:c r="I141" s="158"/>
      <x:c r="J141" s="158"/>
      <x:c r="K141" s="158"/>
      <x:c r="L141" s="158"/>
      <x:c r="M141" s="158"/>
      <x:c r="N141" s="158"/>
    </x:row>
    <x:row r="142">
      <x:c r="A142" s="158"/>
      <x:c r="B142" s="158"/>
      <x:c r="C142" s="158"/>
      <x:c r="D142" s="158"/>
      <x:c r="E142" s="158"/>
      <x:c r="F142" s="158"/>
      <x:c r="G142" s="158"/>
      <x:c r="H142" s="158"/>
      <x:c r="I142" s="158"/>
      <x:c r="J142" s="158"/>
      <x:c r="K142" s="158"/>
      <x:c r="L142" s="158"/>
      <x:c r="M142" s="158"/>
      <x:c r="N142" s="158"/>
    </x:row>
    <x:row r="143">
      <x:c r="A143" s="158"/>
      <x:c r="B143" s="158"/>
      <x:c r="C143" s="158"/>
      <x:c r="D143" s="158"/>
      <x:c r="E143" s="158"/>
      <x:c r="F143" s="158"/>
      <x:c r="G143" s="158"/>
      <x:c r="H143" s="158"/>
      <x:c r="I143" s="158"/>
      <x:c r="J143" s="158"/>
      <x:c r="K143" s="158"/>
      <x:c r="L143" s="158"/>
      <x:c r="M143" s="158"/>
      <x:c r="N143" s="158"/>
    </x:row>
    <x:row r="144">
      <x:c r="A144" s="158"/>
      <x:c r="B144" s="158"/>
      <x:c r="C144" s="158"/>
      <x:c r="D144" s="158"/>
      <x:c r="E144" s="158"/>
      <x:c r="F144" s="158"/>
      <x:c r="G144" s="158"/>
      <x:c r="H144" s="158"/>
      <x:c r="I144" s="158"/>
      <x:c r="J144" s="158"/>
      <x:c r="K144" s="158"/>
      <x:c r="L144" s="158"/>
      <x:c r="M144" s="158"/>
      <x:c r="N144" s="158"/>
    </x:row>
    <x:row r="145">
      <x:c r="A145" s="158"/>
      <x:c r="B145" s="158"/>
      <x:c r="C145" s="158"/>
      <x:c r="D145" s="158"/>
      <x:c r="E145" s="158"/>
      <x:c r="F145" s="158"/>
      <x:c r="G145" s="158"/>
      <x:c r="H145" s="158"/>
      <x:c r="I145" s="158"/>
      <x:c r="J145" s="158"/>
      <x:c r="K145" s="158"/>
      <x:c r="L145" s="158"/>
      <x:c r="M145" s="158"/>
      <x:c r="N145" s="158"/>
    </x:row>
    <x:row r="146">
      <x:c r="A146" s="158"/>
      <x:c r="B146" s="158"/>
      <x:c r="C146" s="158"/>
      <x:c r="D146" s="158"/>
      <x:c r="E146" s="158"/>
      <x:c r="F146" s="158"/>
      <x:c r="G146" s="158"/>
      <x:c r="H146" s="158"/>
      <x:c r="I146" s="158"/>
      <x:c r="J146" s="158"/>
      <x:c r="K146" s="158"/>
      <x:c r="L146" s="158"/>
      <x:c r="M146" s="158"/>
      <x:c r="N146" s="158"/>
    </x:row>
    <x:row r="147">
      <x:c r="A147" s="158"/>
      <x:c r="B147" s="158"/>
      <x:c r="C147" s="158"/>
      <x:c r="D147" s="158"/>
      <x:c r="E147" s="158"/>
      <x:c r="F147" s="158"/>
      <x:c r="G147" s="158"/>
      <x:c r="H147" s="158"/>
      <x:c r="I147" s="158"/>
      <x:c r="J147" s="158"/>
      <x:c r="K147" s="158"/>
      <x:c r="L147" s="158"/>
      <x:c r="M147" s="158"/>
      <x:c r="N147" s="158"/>
    </x:row>
    <x:row r="148">
      <x:c r="A148" s="158"/>
      <x:c r="B148" s="158"/>
      <x:c r="C148" s="158"/>
      <x:c r="D148" s="158"/>
      <x:c r="E148" s="158"/>
      <x:c r="F148" s="158"/>
      <x:c r="G148" s="158"/>
      <x:c r="H148" s="158"/>
      <x:c r="I148" s="158"/>
      <x:c r="J148" s="158"/>
      <x:c r="K148" s="158"/>
      <x:c r="L148" s="158"/>
      <x:c r="M148" s="158"/>
      <x:c r="N148" s="158"/>
    </x:row>
    <x:row r="149">
      <x:c r="A149" s="158"/>
      <x:c r="B149" s="158"/>
      <x:c r="C149" s="158"/>
      <x:c r="D149" s="158"/>
      <x:c r="E149" s="158"/>
      <x:c r="F149" s="158"/>
      <x:c r="G149" s="158"/>
      <x:c r="H149" s="158"/>
      <x:c r="I149" s="158"/>
      <x:c r="J149" s="158"/>
      <x:c r="K149" s="158"/>
      <x:c r="L149" s="158"/>
      <x:c r="M149" s="158"/>
      <x:c r="N149" s="158"/>
    </x:row>
    <x:row r="150">
      <x:c r="A150" s="158"/>
      <x:c r="B150" s="158"/>
      <x:c r="C150" s="158"/>
      <x:c r="D150" s="158"/>
      <x:c r="E150" s="158"/>
      <x:c r="F150" s="158"/>
      <x:c r="G150" s="158"/>
      <x:c r="H150" s="158"/>
      <x:c r="I150" s="158"/>
      <x:c r="J150" s="158"/>
      <x:c r="K150" s="158"/>
      <x:c r="L150" s="158"/>
      <x:c r="M150" s="158"/>
      <x:c r="N150" s="158"/>
    </x:row>
    <x:row r="151">
      <x:c r="A151" s="158"/>
      <x:c r="B151" s="158"/>
      <x:c r="C151" s="158"/>
      <x:c r="D151" s="158"/>
      <x:c r="E151" s="158"/>
      <x:c r="F151" s="158"/>
      <x:c r="G151" s="158"/>
      <x:c r="H151" s="158"/>
      <x:c r="I151" s="158"/>
      <x:c r="J151" s="158"/>
      <x:c r="K151" s="158"/>
      <x:c r="L151" s="158"/>
      <x:c r="M151" s="158"/>
      <x:c r="N151" s="158"/>
    </x:row>
    <x:row r="152">
      <x:c r="A152" s="158"/>
      <x:c r="B152" s="158"/>
      <x:c r="C152" s="158"/>
      <x:c r="D152" s="158"/>
      <x:c r="E152" s="158"/>
      <x:c r="F152" s="158"/>
      <x:c r="G152" s="158"/>
      <x:c r="H152" s="158"/>
      <x:c r="I152" s="158"/>
      <x:c r="J152" s="158"/>
      <x:c r="K152" s="158"/>
      <x:c r="L152" s="158"/>
      <x:c r="M152" s="158"/>
      <x:c r="N152" s="158"/>
    </x:row>
    <x:row r="153">
      <x:c r="A153" s="158"/>
      <x:c r="B153" s="158"/>
      <x:c r="C153" s="158"/>
      <x:c r="D153" s="158"/>
      <x:c r="E153" s="158"/>
      <x:c r="F153" s="158"/>
      <x:c r="G153" s="158"/>
      <x:c r="H153" s="158"/>
      <x:c r="I153" s="158"/>
      <x:c r="J153" s="158"/>
      <x:c r="K153" s="158"/>
      <x:c r="L153" s="158"/>
      <x:c r="M153" s="158"/>
      <x:c r="N153" s="158"/>
    </x:row>
    <x:row r="154">
      <x:c r="A154" s="158"/>
      <x:c r="B154" s="158"/>
      <x:c r="C154" s="158"/>
      <x:c r="D154" s="158"/>
      <x:c r="E154" s="158"/>
      <x:c r="F154" s="158"/>
      <x:c r="G154" s="158"/>
      <x:c r="H154" s="158"/>
      <x:c r="I154" s="158"/>
      <x:c r="J154" s="158"/>
      <x:c r="K154" s="158"/>
      <x:c r="L154" s="158"/>
      <x:c r="M154" s="158"/>
      <x:c r="N154" s="158"/>
    </x:row>
    <x:row r="155">
      <x:c r="A155" s="158"/>
      <x:c r="B155" s="158"/>
      <x:c r="C155" s="158"/>
      <x:c r="D155" s="158"/>
      <x:c r="E155" s="158"/>
      <x:c r="F155" s="158"/>
      <x:c r="G155" s="158"/>
      <x:c r="H155" s="158"/>
      <x:c r="I155" s="158"/>
      <x:c r="J155" s="158"/>
      <x:c r="K155" s="158"/>
      <x:c r="L155" s="158"/>
      <x:c r="M155" s="158"/>
      <x:c r="N155" s="158"/>
    </x:row>
    <x:row r="156">
      <x:c r="A156" s="158"/>
      <x:c r="B156" s="158"/>
      <x:c r="C156" s="158"/>
      <x:c r="D156" s="158"/>
      <x:c r="E156" s="158"/>
      <x:c r="F156" s="158"/>
      <x:c r="G156" s="158"/>
      <x:c r="H156" s="158"/>
      <x:c r="I156" s="158"/>
      <x:c r="J156" s="158"/>
      <x:c r="K156" s="158"/>
      <x:c r="L156" s="158"/>
      <x:c r="M156" s="158"/>
      <x:c r="N156" s="158"/>
    </x:row>
    <x:row r="157">
      <x:c r="A157" s="158"/>
      <x:c r="B157" s="158"/>
      <x:c r="C157" s="158"/>
      <x:c r="D157" s="158"/>
      <x:c r="E157" s="158"/>
      <x:c r="F157" s="158"/>
      <x:c r="G157" s="158"/>
      <x:c r="H157" s="158"/>
      <x:c r="I157" s="158"/>
      <x:c r="J157" s="158"/>
      <x:c r="K157" s="158"/>
      <x:c r="L157" s="158"/>
      <x:c r="M157" s="158"/>
      <x:c r="N157" s="158"/>
    </x:row>
    <x:row r="158">
      <x:c r="A158" s="158"/>
      <x:c r="B158" s="158"/>
      <x:c r="C158" s="158"/>
      <x:c r="D158" s="158"/>
      <x:c r="E158" s="158"/>
      <x:c r="F158" s="158"/>
      <x:c r="G158" s="158"/>
      <x:c r="H158" s="158"/>
      <x:c r="I158" s="158"/>
      <x:c r="J158" s="158"/>
      <x:c r="K158" s="158"/>
      <x:c r="L158" s="158"/>
      <x:c r="M158" s="158"/>
      <x:c r="N158" s="158"/>
    </x:row>
    <x:row r="159">
      <x:c r="A159" s="158"/>
      <x:c r="B159" s="158"/>
      <x:c r="C159" s="158"/>
      <x:c r="D159" s="158"/>
      <x:c r="E159" s="158"/>
      <x:c r="F159" s="158"/>
      <x:c r="G159" s="158"/>
      <x:c r="H159" s="158"/>
      <x:c r="I159" s="158"/>
      <x:c r="J159" s="158"/>
      <x:c r="K159" s="158"/>
      <x:c r="L159" s="158"/>
      <x:c r="M159" s="158"/>
      <x:c r="N159" s="158"/>
    </x:row>
    <x:row r="160">
      <x:c r="A160" s="158"/>
      <x:c r="B160" s="158"/>
      <x:c r="C160" s="158"/>
      <x:c r="D160" s="158"/>
      <x:c r="E160" s="158"/>
      <x:c r="F160" s="158"/>
      <x:c r="G160" s="158"/>
      <x:c r="H160" s="158"/>
      <x:c r="I160" s="158"/>
      <x:c r="J160" s="158"/>
      <x:c r="K160" s="158"/>
      <x:c r="L160" s="158"/>
      <x:c r="M160" s="158"/>
      <x:c r="N160" s="158"/>
    </x:row>
    <x:row r="161">
      <x:c r="A161" s="158"/>
      <x:c r="B161" s="158"/>
      <x:c r="C161" s="158"/>
      <x:c r="D161" s="158"/>
      <x:c r="E161" s="158"/>
      <x:c r="F161" s="158"/>
      <x:c r="G161" s="158"/>
      <x:c r="H161" s="158"/>
      <x:c r="I161" s="158"/>
      <x:c r="J161" s="158"/>
      <x:c r="K161" s="158"/>
      <x:c r="L161" s="158"/>
      <x:c r="M161" s="158"/>
      <x:c r="N161" s="158"/>
    </x:row>
    <x:row r="162">
      <x:c r="A162" s="158"/>
      <x:c r="B162" s="158"/>
      <x:c r="C162" s="158"/>
      <x:c r="D162" s="158"/>
      <x:c r="E162" s="158"/>
      <x:c r="F162" s="158"/>
      <x:c r="G162" s="158"/>
      <x:c r="H162" s="158"/>
      <x:c r="I162" s="158"/>
      <x:c r="J162" s="158"/>
      <x:c r="K162" s="158"/>
      <x:c r="L162" s="158"/>
      <x:c r="M162" s="158"/>
      <x:c r="N162" s="158"/>
    </x:row>
    <x:row r="163">
      <x:c r="A163" s="158"/>
      <x:c r="B163" s="158"/>
      <x:c r="C163" s="158"/>
      <x:c r="D163" s="158"/>
      <x:c r="E163" s="158"/>
      <x:c r="F163" s="158"/>
      <x:c r="G163" s="158"/>
      <x:c r="H163" s="158"/>
      <x:c r="I163" s="158"/>
      <x:c r="J163" s="158"/>
      <x:c r="K163" s="158"/>
      <x:c r="L163" s="158"/>
      <x:c r="M163" s="158"/>
      <x:c r="N163" s="158"/>
    </x:row>
    <x:row r="164">
      <x:c r="A164" s="158"/>
      <x:c r="B164" s="158"/>
      <x:c r="C164" s="158"/>
      <x:c r="D164" s="158"/>
      <x:c r="E164" s="158"/>
      <x:c r="F164" s="158"/>
      <x:c r="G164" s="158"/>
      <x:c r="H164" s="158"/>
      <x:c r="I164" s="158"/>
      <x:c r="J164" s="158"/>
      <x:c r="K164" s="158"/>
      <x:c r="L164" s="158"/>
      <x:c r="M164" s="158"/>
      <x:c r="N164" s="158"/>
    </x:row>
    <x:row r="165">
      <x:c r="A165" s="158"/>
      <x:c r="B165" s="158"/>
      <x:c r="C165" s="158"/>
      <x:c r="D165" s="158"/>
      <x:c r="E165" s="158"/>
      <x:c r="F165" s="158"/>
      <x:c r="G165" s="158"/>
      <x:c r="H165" s="158"/>
      <x:c r="I165" s="158"/>
      <x:c r="J165" s="158"/>
      <x:c r="K165" s="158"/>
      <x:c r="L165" s="158"/>
      <x:c r="M165" s="158"/>
      <x:c r="N165" s="158"/>
    </x:row>
    <x:row r="166">
      <x:c r="A166" s="158"/>
      <x:c r="B166" s="158"/>
      <x:c r="C166" s="158"/>
      <x:c r="D166" s="158"/>
      <x:c r="E166" s="158"/>
      <x:c r="F166" s="158"/>
      <x:c r="G166" s="158"/>
      <x:c r="H166" s="158"/>
      <x:c r="I166" s="158"/>
      <x:c r="J166" s="158"/>
      <x:c r="K166" s="158"/>
      <x:c r="L166" s="158"/>
      <x:c r="M166" s="158"/>
      <x:c r="N166" s="158"/>
    </x:row>
    <x:row r="167">
      <x:c r="A167" s="158"/>
      <x:c r="B167" s="158"/>
      <x:c r="C167" s="158"/>
      <x:c r="D167" s="158"/>
      <x:c r="E167" s="158"/>
      <x:c r="F167" s="158"/>
      <x:c r="G167" s="158"/>
      <x:c r="H167" s="158"/>
      <x:c r="I167" s="158"/>
      <x:c r="J167" s="158"/>
      <x:c r="K167" s="158"/>
      <x:c r="L167" s="158"/>
      <x:c r="M167" s="158"/>
      <x:c r="N167" s="158"/>
    </x:row>
    <x:row r="168">
      <x:c r="A168" s="158"/>
      <x:c r="B168" s="158"/>
      <x:c r="C168" s="158"/>
      <x:c r="D168" s="158"/>
      <x:c r="E168" s="158"/>
      <x:c r="F168" s="158"/>
      <x:c r="G168" s="158"/>
      <x:c r="H168" s="158"/>
      <x:c r="I168" s="158"/>
      <x:c r="J168" s="158"/>
      <x:c r="K168" s="158"/>
      <x:c r="L168" s="158"/>
      <x:c r="M168" s="158"/>
      <x:c r="N168" s="158"/>
    </x:row>
    <x:row r="169">
      <x:c r="A169" s="158"/>
      <x:c r="B169" s="158"/>
      <x:c r="C169" s="158"/>
      <x:c r="D169" s="158"/>
      <x:c r="E169" s="158"/>
      <x:c r="F169" s="158"/>
      <x:c r="G169" s="158"/>
      <x:c r="H169" s="158"/>
      <x:c r="I169" s="158"/>
      <x:c r="J169" s="158"/>
      <x:c r="K169" s="158"/>
      <x:c r="L169" s="158"/>
      <x:c r="M169" s="158"/>
      <x:c r="N169" s="158"/>
    </x:row>
    <x:row r="170">
      <x:c r="A170" s="158"/>
      <x:c r="B170" s="158"/>
      <x:c r="C170" s="158"/>
      <x:c r="D170" s="158"/>
      <x:c r="E170" s="158"/>
      <x:c r="F170" s="158"/>
      <x:c r="G170" s="158"/>
      <x:c r="H170" s="158"/>
      <x:c r="I170" s="158"/>
      <x:c r="J170" s="158"/>
      <x:c r="K170" s="158"/>
      <x:c r="L170" s="158"/>
      <x:c r="M170" s="158"/>
      <x:c r="N170" s="158"/>
    </x:row>
    <x:row r="171">
      <x:c r="A171" s="158"/>
      <x:c r="B171" s="158"/>
      <x:c r="C171" s="158"/>
      <x:c r="D171" s="158"/>
      <x:c r="E171" s="158"/>
      <x:c r="F171" s="158"/>
      <x:c r="G171" s="158"/>
      <x:c r="H171" s="158"/>
      <x:c r="I171" s="158"/>
      <x:c r="J171" s="158"/>
      <x:c r="K171" s="158"/>
      <x:c r="L171" s="158"/>
      <x:c r="M171" s="158"/>
      <x:c r="N171" s="158"/>
    </x:row>
    <x:row r="172">
      <x:c r="A172" s="158"/>
      <x:c r="B172" s="158"/>
      <x:c r="C172" s="158"/>
      <x:c r="D172" s="158"/>
      <x:c r="E172" s="158"/>
      <x:c r="F172" s="158"/>
      <x:c r="G172" s="158"/>
      <x:c r="H172" s="158"/>
      <x:c r="I172" s="158"/>
      <x:c r="J172" s="158"/>
      <x:c r="K172" s="158"/>
      <x:c r="L172" s="158"/>
      <x:c r="M172" s="158"/>
      <x:c r="N172" s="158"/>
    </x:row>
    <x:row r="173">
      <x:c r="A173" s="158"/>
      <x:c r="B173" s="158"/>
      <x:c r="C173" s="158"/>
      <x:c r="D173" s="158"/>
      <x:c r="E173" s="158"/>
      <x:c r="F173" s="158"/>
      <x:c r="G173" s="158"/>
      <x:c r="H173" s="158"/>
      <x:c r="I173" s="158"/>
      <x:c r="J173" s="158"/>
      <x:c r="K173" s="158"/>
      <x:c r="L173" s="158"/>
      <x:c r="M173" s="158"/>
      <x:c r="N173" s="158"/>
    </x:row>
    <x:row r="174">
      <x:c r="A174" s="158"/>
      <x:c r="B174" s="158"/>
      <x:c r="C174" s="158"/>
      <x:c r="D174" s="158"/>
      <x:c r="E174" s="158"/>
      <x:c r="F174" s="158"/>
      <x:c r="G174" s="158"/>
      <x:c r="H174" s="158"/>
      <x:c r="I174" s="158"/>
      <x:c r="J174" s="158"/>
      <x:c r="K174" s="158"/>
      <x:c r="L174" s="158"/>
      <x:c r="M174" s="158"/>
      <x:c r="N174" s="158"/>
    </x:row>
    <x:row r="175">
      <x:c r="A175" s="158"/>
      <x:c r="B175" s="158"/>
      <x:c r="C175" s="158"/>
      <x:c r="D175" s="158"/>
      <x:c r="E175" s="158"/>
      <x:c r="F175" s="158"/>
      <x:c r="G175" s="158"/>
      <x:c r="H175" s="158"/>
      <x:c r="I175" s="158"/>
      <x:c r="J175" s="158"/>
      <x:c r="K175" s="158"/>
      <x:c r="L175" s="158"/>
      <x:c r="M175" s="158"/>
      <x:c r="N175" s="158"/>
    </x:row>
    <x:row r="176">
      <x:c r="A176" s="158"/>
      <x:c r="B176" s="158"/>
      <x:c r="C176" s="158"/>
      <x:c r="D176" s="158"/>
      <x:c r="E176" s="158"/>
      <x:c r="F176" s="158"/>
      <x:c r="G176" s="158"/>
      <x:c r="H176" s="158"/>
      <x:c r="I176" s="158"/>
      <x:c r="J176" s="158"/>
      <x:c r="K176" s="158"/>
      <x:c r="L176" s="158"/>
      <x:c r="M176" s="158"/>
      <x:c r="N176" s="158"/>
    </x:row>
    <x:row r="177">
      <x:c r="A177" s="158"/>
      <x:c r="B177" s="158"/>
      <x:c r="C177" s="158"/>
      <x:c r="D177" s="158"/>
      <x:c r="E177" s="158"/>
      <x:c r="F177" s="158"/>
      <x:c r="G177" s="158"/>
      <x:c r="H177" s="158"/>
      <x:c r="I177" s="158"/>
      <x:c r="J177" s="158"/>
      <x:c r="K177" s="158"/>
      <x:c r="L177" s="158"/>
      <x:c r="M177" s="158"/>
      <x:c r="N177" s="158"/>
    </x:row>
    <x:row r="178">
      <x:c r="A178" s="158"/>
      <x:c r="B178" s="158"/>
      <x:c r="C178" s="158"/>
      <x:c r="D178" s="158"/>
      <x:c r="E178" s="158"/>
      <x:c r="F178" s="158"/>
      <x:c r="G178" s="158"/>
      <x:c r="H178" s="158"/>
      <x:c r="I178" s="158"/>
      <x:c r="J178" s="158"/>
      <x:c r="K178" s="158"/>
      <x:c r="L178" s="158"/>
      <x:c r="M178" s="158"/>
      <x:c r="N178" s="158"/>
    </x:row>
    <x:row r="179">
      <x:c r="A179" s="158"/>
      <x:c r="B179" s="158"/>
      <x:c r="C179" s="158"/>
      <x:c r="D179" s="158"/>
      <x:c r="E179" s="158"/>
      <x:c r="F179" s="158"/>
      <x:c r="G179" s="158"/>
      <x:c r="H179" s="158"/>
      <x:c r="I179" s="158"/>
      <x:c r="J179" s="158"/>
      <x:c r="K179" s="158"/>
      <x:c r="L179" s="158"/>
      <x:c r="M179" s="158"/>
      <x:c r="N179" s="158"/>
    </x:row>
    <x:row r="180">
      <x:c r="A180" s="158"/>
      <x:c r="B180" s="158"/>
      <x:c r="C180" s="158"/>
      <x:c r="D180" s="158"/>
      <x:c r="E180" s="158"/>
      <x:c r="F180" s="158"/>
      <x:c r="G180" s="158"/>
      <x:c r="H180" s="158"/>
      <x:c r="I180" s="158"/>
      <x:c r="J180" s="158"/>
      <x:c r="K180" s="158"/>
      <x:c r="L180" s="158"/>
      <x:c r="M180" s="158"/>
      <x:c r="N180" s="158"/>
    </x:row>
    <x:row r="181">
      <x:c r="A181" s="158"/>
      <x:c r="B181" s="158"/>
      <x:c r="C181" s="158"/>
      <x:c r="D181" s="158"/>
      <x:c r="E181" s="158"/>
      <x:c r="F181" s="158"/>
      <x:c r="G181" s="158"/>
      <x:c r="H181" s="158"/>
      <x:c r="I181" s="158"/>
      <x:c r="J181" s="158"/>
      <x:c r="K181" s="158"/>
      <x:c r="L181" s="158"/>
      <x:c r="M181" s="158"/>
      <x:c r="N181" s="158"/>
    </x:row>
    <x:row r="182">
      <x:c r="A182" s="158"/>
      <x:c r="B182" s="158"/>
      <x:c r="C182" s="158"/>
      <x:c r="D182" s="158"/>
      <x:c r="E182" s="158"/>
      <x:c r="F182" s="158"/>
      <x:c r="G182" s="158"/>
      <x:c r="H182" s="158"/>
      <x:c r="I182" s="158"/>
      <x:c r="J182" s="158"/>
      <x:c r="K182" s="158"/>
      <x:c r="L182" s="158"/>
      <x:c r="M182" s="158"/>
      <x:c r="N182" s="158"/>
    </x:row>
    <x:row r="183">
      <x:c r="A183" s="158"/>
      <x:c r="B183" s="158"/>
      <x:c r="C183" s="158"/>
      <x:c r="D183" s="158"/>
      <x:c r="E183" s="158"/>
      <x:c r="F183" s="158"/>
      <x:c r="G183" s="158"/>
      <x:c r="H183" s="158"/>
      <x:c r="I183" s="158"/>
      <x:c r="J183" s="158"/>
      <x:c r="K183" s="158"/>
      <x:c r="L183" s="158"/>
      <x:c r="M183" s="158"/>
      <x:c r="N183" s="158"/>
    </x:row>
    <x:row r="184">
      <x:c r="A184" s="158"/>
      <x:c r="B184" s="158"/>
      <x:c r="C184" s="158"/>
      <x:c r="D184" s="158"/>
      <x:c r="E184" s="158"/>
      <x:c r="F184" s="158"/>
      <x:c r="G184" s="158"/>
      <x:c r="H184" s="158"/>
      <x:c r="I184" s="158"/>
      <x:c r="J184" s="158"/>
      <x:c r="K184" s="158"/>
      <x:c r="L184" s="158"/>
      <x:c r="M184" s="158"/>
      <x:c r="N184" s="158"/>
    </x:row>
    <x:row r="185">
      <x:c r="A185" s="158"/>
      <x:c r="B185" s="158"/>
      <x:c r="C185" s="158"/>
      <x:c r="D185" s="158"/>
      <x:c r="E185" s="158"/>
      <x:c r="F185" s="158"/>
      <x:c r="G185" s="158"/>
      <x:c r="H185" s="158"/>
      <x:c r="I185" s="158"/>
      <x:c r="J185" s="158"/>
      <x:c r="K185" s="158"/>
      <x:c r="L185" s="158"/>
      <x:c r="M185" s="158"/>
      <x:c r="N185" s="158"/>
    </x:row>
    <x:row r="186">
      <x:c r="A186" s="158"/>
      <x:c r="B186" s="158"/>
      <x:c r="C186" s="158"/>
      <x:c r="D186" s="158"/>
      <x:c r="E186" s="158"/>
      <x:c r="F186" s="158"/>
      <x:c r="G186" s="158"/>
      <x:c r="H186" s="158"/>
      <x:c r="I186" s="158"/>
      <x:c r="J186" s="158"/>
      <x:c r="K186" s="158"/>
      <x:c r="L186" s="158"/>
      <x:c r="M186" s="158"/>
      <x:c r="N186" s="158"/>
    </x:row>
    <x:row r="187">
      <x:c r="A187" s="158"/>
      <x:c r="B187" s="158"/>
      <x:c r="C187" s="158"/>
      <x:c r="D187" s="158"/>
      <x:c r="E187" s="158"/>
      <x:c r="F187" s="158"/>
      <x:c r="G187" s="158"/>
      <x:c r="H187" s="158"/>
      <x:c r="I187" s="158"/>
      <x:c r="J187" s="158"/>
      <x:c r="K187" s="158"/>
      <x:c r="L187" s="158"/>
      <x:c r="M187" s="158"/>
      <x:c r="N187" s="158"/>
    </x:row>
    <x:row r="188">
      <x:c r="A188" s="158"/>
      <x:c r="B188" s="158"/>
      <x:c r="C188" s="158"/>
      <x:c r="D188" s="158"/>
      <x:c r="E188" s="158"/>
      <x:c r="F188" s="158"/>
      <x:c r="G188" s="158"/>
      <x:c r="H188" s="158"/>
      <x:c r="I188" s="158"/>
      <x:c r="J188" s="158"/>
      <x:c r="K188" s="158"/>
      <x:c r="L188" s="158"/>
      <x:c r="M188" s="158"/>
      <x:c r="N188" s="158"/>
    </x:row>
    <x:row r="189">
      <x:c r="A189" s="158"/>
      <x:c r="B189" s="158"/>
      <x:c r="C189" s="158"/>
      <x:c r="D189" s="158"/>
      <x:c r="E189" s="158"/>
      <x:c r="F189" s="158"/>
      <x:c r="G189" s="158"/>
      <x:c r="H189" s="158"/>
      <x:c r="I189" s="158"/>
      <x:c r="J189" s="158"/>
      <x:c r="K189" s="158"/>
      <x:c r="L189" s="158"/>
      <x:c r="M189" s="158"/>
      <x:c r="N189" s="158"/>
    </x:row>
    <x:row r="190">
      <x:c r="A190" s="158"/>
      <x:c r="B190" s="158"/>
      <x:c r="C190" s="158"/>
      <x:c r="D190" s="158"/>
      <x:c r="E190" s="158"/>
      <x:c r="F190" s="158"/>
      <x:c r="G190" s="158"/>
      <x:c r="H190" s="158"/>
      <x:c r="I190" s="158"/>
      <x:c r="J190" s="158"/>
      <x:c r="K190" s="158"/>
      <x:c r="L190" s="158"/>
      <x:c r="M190" s="158"/>
      <x:c r="N190" s="158"/>
    </x:row>
    <x:row r="191">
      <x:c r="A191" s="158"/>
      <x:c r="B191" s="158"/>
      <x:c r="C191" s="158"/>
      <x:c r="D191" s="158"/>
      <x:c r="E191" s="158"/>
      <x:c r="F191" s="158"/>
      <x:c r="G191" s="158"/>
      <x:c r="H191" s="158"/>
      <x:c r="I191" s="158"/>
      <x:c r="J191" s="158"/>
      <x:c r="K191" s="158"/>
      <x:c r="L191" s="158"/>
      <x:c r="M191" s="158"/>
      <x:c r="N191" s="158"/>
    </x:row>
    <x:row r="192">
      <x:c r="A192" s="158"/>
      <x:c r="B192" s="158"/>
      <x:c r="C192" s="158"/>
      <x:c r="D192" s="158"/>
      <x:c r="E192" s="158"/>
      <x:c r="F192" s="158"/>
      <x:c r="G192" s="158"/>
      <x:c r="H192" s="158"/>
      <x:c r="I192" s="158"/>
      <x:c r="J192" s="158"/>
      <x:c r="K192" s="158"/>
      <x:c r="L192" s="158"/>
      <x:c r="M192" s="158"/>
      <x:c r="N192" s="158"/>
    </x:row>
    <x:row r="193">
      <x:c r="A193" s="158"/>
      <x:c r="B193" s="158"/>
      <x:c r="C193" s="158"/>
      <x:c r="D193" s="158"/>
      <x:c r="E193" s="158"/>
      <x:c r="F193" s="158"/>
      <x:c r="G193" s="158"/>
      <x:c r="H193" s="158"/>
      <x:c r="I193" s="158"/>
      <x:c r="J193" s="158"/>
      <x:c r="K193" s="158"/>
      <x:c r="L193" s="158"/>
      <x:c r="M193" s="158"/>
      <x:c r="N193" s="158"/>
    </x:row>
    <x:row r="194">
      <x:c r="A194" s="158"/>
      <x:c r="B194" s="158"/>
      <x:c r="C194" s="158"/>
      <x:c r="D194" s="158"/>
      <x:c r="E194" s="158"/>
      <x:c r="F194" s="158"/>
      <x:c r="G194" s="158"/>
      <x:c r="H194" s="158"/>
      <x:c r="I194" s="158"/>
      <x:c r="J194" s="158"/>
      <x:c r="K194" s="158"/>
      <x:c r="L194" s="158"/>
      <x:c r="M194" s="158"/>
      <x:c r="N194" s="158"/>
    </x:row>
    <x:row r="195">
      <x:c r="A195" s="158"/>
      <x:c r="B195" s="158"/>
      <x:c r="C195" s="158"/>
      <x:c r="D195" s="158"/>
      <x:c r="E195" s="158"/>
      <x:c r="F195" s="158"/>
      <x:c r="G195" s="158"/>
      <x:c r="H195" s="158"/>
      <x:c r="I195" s="158"/>
      <x:c r="J195" s="158"/>
      <x:c r="K195" s="158"/>
      <x:c r="L195" s="158"/>
      <x:c r="M195" s="158"/>
      <x:c r="N195" s="158"/>
    </x:row>
    <x:row r="196">
      <x:c r="A196" s="158"/>
      <x:c r="B196" s="158"/>
      <x:c r="C196" s="158"/>
      <x:c r="D196" s="158"/>
      <x:c r="E196" s="158"/>
      <x:c r="F196" s="158"/>
      <x:c r="G196" s="158"/>
      <x:c r="H196" s="158"/>
      <x:c r="I196" s="158"/>
      <x:c r="J196" s="158"/>
      <x:c r="K196" s="158"/>
      <x:c r="L196" s="158"/>
      <x:c r="M196" s="158"/>
      <x:c r="N196" s="158"/>
    </x:row>
    <x:row r="197">
      <x:c r="A197" s="158"/>
      <x:c r="B197" s="158"/>
      <x:c r="C197" s="158"/>
      <x:c r="D197" s="158"/>
      <x:c r="E197" s="158"/>
      <x:c r="F197" s="158"/>
      <x:c r="G197" s="158"/>
      <x:c r="H197" s="158"/>
      <x:c r="I197" s="158"/>
      <x:c r="J197" s="158"/>
      <x:c r="K197" s="158"/>
      <x:c r="L197" s="158"/>
      <x:c r="M197" s="158"/>
      <x:c r="N197" s="158"/>
    </x:row>
    <x:row r="198">
      <x:c r="A198" s="158"/>
      <x:c r="B198" s="158"/>
      <x:c r="C198" s="158"/>
      <x:c r="D198" s="158"/>
      <x:c r="E198" s="158"/>
      <x:c r="F198" s="158"/>
      <x:c r="G198" s="158"/>
      <x:c r="H198" s="158"/>
      <x:c r="I198" s="158"/>
      <x:c r="J198" s="158"/>
      <x:c r="K198" s="158"/>
      <x:c r="L198" s="158"/>
      <x:c r="M198" s="158"/>
      <x:c r="N198" s="158"/>
    </x:row>
    <x:row r="199">
      <x:c r="A199" s="158"/>
      <x:c r="B199" s="158"/>
      <x:c r="C199" s="158"/>
      <x:c r="D199" s="158"/>
      <x:c r="E199" s="158"/>
      <x:c r="F199" s="158"/>
      <x:c r="G199" s="158"/>
      <x:c r="H199" s="158"/>
      <x:c r="I199" s="158"/>
      <x:c r="J199" s="158"/>
      <x:c r="K199" s="158"/>
      <x:c r="L199" s="158"/>
      <x:c r="M199" s="158"/>
      <x:c r="N199" s="158"/>
    </x:row>
    <x:row r="200">
      <x:c r="A200" s="158"/>
      <x:c r="B200" s="158"/>
      <x:c r="C200" s="158"/>
      <x:c r="D200" s="158"/>
      <x:c r="E200" s="158"/>
      <x:c r="F200" s="158"/>
      <x:c r="G200" s="158"/>
      <x:c r="H200" s="158"/>
      <x:c r="I200" s="158"/>
      <x:c r="J200" s="158"/>
      <x:c r="K200" s="158"/>
      <x:c r="L200" s="158"/>
      <x:c r="M200" s="158"/>
      <x:c r="N200" s="158"/>
    </x:row>
  </x:sheetData>
  <x:mergeCells>
    <x:mergeCell ref="A1:N1"/>
    <x:mergeCell ref="A2:N2"/>
    <x:mergeCell ref="A4:J4"/>
    <x:mergeCell ref="A20:J20"/>
    <x:mergeCell ref="A33:J33"/>
    <x:mergeCell ref="A41:J41"/>
    <x:mergeCell ref="A52:J52"/>
    <x:mergeCell ref="A62:J62"/>
  </x:mergeCells>
  <x:conditionalFormatting sqref="C64:C70">
    <x:cfRule type="expression" dxfId="9" priority="1">
      <x:formula>C64="ERROR"</x:formula>
    </x:cfRule>
  </x:conditionalFormatting>
  <x:pageMargins left="0.7" right="0.7" top="0.75" bottom="0.75" header="0.3" footer="0.3"/>
</x:worksheet>
</file>