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bb21d8b61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 data" sheetId="1" r:id="R4fd3988a3a904dcc"/>
    <x:sheet xmlns:r="http://schemas.openxmlformats.org/officeDocument/2006/relationships" name="Sources" sheetId="2" r:id="Rcdcfbf113e00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"/>
    <x:numFmt numFmtId="202" formatCode="#,##0"/>
  </x:numFmts>
  <x:fonts count="6">
    <x:font>
      <x:sz val="11"/>
      <x:name val="Carlito"/>
    </x:font>
    <x:font>
      <x:sz val="11"/>
      <x:color rgb="FF172D45"/>
      <x:name val="Arial"/>
    </x:font>
    <x:font>
      <x:b/>
      <x:sz val="16"/>
      <x:color rgb="FF003B71"/>
      <x:name val="Arial"/>
    </x:font>
    <x:font>
      <x:b/>
      <x:sz val="11"/>
      <x:color rgb="FF003B71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3B71"/>
      </x:patternFill>
    </x:fill>
    <x:fill>
      <x:patternFill patternType="solid">
        <x:fgColor rgb="FFEBF2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05ea8f6194c1f" /><Relationship Type="http://schemas.openxmlformats.org/officeDocument/2006/relationships/theme" Target="/xl/theme/theme1.xml" Id="Rb683a137e08d46b9" /><Relationship Type="http://schemas.openxmlformats.org/officeDocument/2006/relationships/sharedStrings" Target="/xl/sharedStrings.xml" Id="R8b24c195ec39453b" /><Relationship Type="http://schemas.openxmlformats.org/officeDocument/2006/relationships/worksheet" Target="/xl/worksheets/sheet1.xml" Id="R4fd3988a3a904dcc" /><Relationship Type="http://schemas.openxmlformats.org/officeDocument/2006/relationships/worksheet" Target="/xl/worksheets/sheet2.xml" Id="Rcdcfbf113e0045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3B71"/>
  </x:sheetPr>
  <x:sheetViews>
    <x:sheetView showGridLines="0" workbookViewId="0"/>
  </x:sheetViews>
  <x:sheetFormatPr defaultRowHeight="15"/>
  <x:cols>
    <x:col min="1" max="1" width="27" hidden="0" customWidth="1"/>
    <x:col min="2" max="2" width="22" hidden="0" customWidth="1"/>
    <x:col min="3" max="3" width="22" hidden="0" customWidth="1"/>
    <x:col min="4" max="4" width="24" hidden="0" customWidth="1"/>
    <x:col min="5" max="5" width="24" hidden="0" customWidth="1"/>
    <x:col min="6" max="6" width="3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Pfizer Limited: selected franchise growth versus IPM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 t="str">
        <x:v>FY26: April 2025–March 2026. Listed entity only. YoY secondary-sales value growth.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40" customHeight="1">
      <x:c r="A5" s="9" t="str">
        <x:v>Brand / franchise</x:v>
      </x:c>
      <x:c r="B5" s="9" t="str">
        <x:v>Pfizer growth</x:v>
      </x:c>
      <x:c r="C5" s="9" t="str">
        <x:v>IPM therapy growth*</x:v>
      </x:c>
      <x:c r="D5" s="9" t="str">
        <x:v>Outperformance (pp)</x:v>
      </x:c>
      <x:c r="E5" s="9" t="str">
        <x:v>IPM benchmark</x:v>
      </x:c>
      <x:c r="F5" s="9" t="str">
        <x:v>Products included</x:v>
      </x:c>
      <x:c r="G5" s="2"/>
      <x:c r="H5" s="2"/>
    </x:row>
    <x:row r="6" ht="32" customHeight="1">
      <x:c r="A6" s="2" t="str">
        <x:v>Magnex</x:v>
      </x:c>
      <x:c r="B6" s="4" t="n">
        <x:f>'Sources'!D5</x:f>
        <x:v>1.341</x:v>
      </x:c>
      <x:c r="C6" s="4" t="n">
        <x:f>'Sources'!B13</x:f>
        <x:v>0.05</x:v>
      </x:c>
      <x:c r="D6" s="5" t="n">
        <x:f>(B6-C6)*100</x:f>
        <x:v>129.1</x:v>
      </x:c>
      <x:c r="E6" s="2" t="str">
        <x:v>Anti-infectives</x:v>
      </x:c>
      <x:c r="F6" s="2" t="str">
        <x:v>Magnex</x:v>
      </x:c>
      <x:c r="G6" s="2"/>
      <x:c r="H6" s="2"/>
    </x:row>
    <x:row r="7" ht="32" customHeight="1">
      <x:c r="A7" s="2" t="str">
        <x:v>Meronem</x:v>
      </x:c>
      <x:c r="B7" s="4" t="n">
        <x:f>'Sources'!D6</x:f>
        <x:v>0.451</x:v>
      </x:c>
      <x:c r="C7" s="4" t="n">
        <x:f>'Sources'!B13</x:f>
        <x:v>0.05</x:v>
      </x:c>
      <x:c r="D7" s="5" t="n">
        <x:f>(B7-C7)*100</x:f>
        <x:v>40.1</x:v>
      </x:c>
      <x:c r="E7" s="2" t="str">
        <x:v>Anti-infectives</x:v>
      </x:c>
      <x:c r="F7" s="2" t="str">
        <x:v>Meronem</x:v>
      </x:c>
      <x:c r="G7" s="2"/>
      <x:c r="H7" s="2"/>
    </x:row>
    <x:row r="8" ht="32" customHeight="1">
      <x:c r="A8" s="2" t="str">
        <x:v>Zavicefta</x:v>
      </x:c>
      <x:c r="B8" s="4" t="n">
        <x:f>'Sources'!D7</x:f>
        <x:v>0.085</x:v>
      </x:c>
      <x:c r="C8" s="4" t="n">
        <x:f>'Sources'!B13</x:f>
        <x:v>0.05</x:v>
      </x:c>
      <x:c r="D8" s="5" t="n">
        <x:f>(B8-C8)*100</x:f>
        <x:v>3.5000000000000004</x:v>
      </x:c>
      <x:c r="E8" s="2" t="str">
        <x:v>Anti-infectives</x:v>
      </x:c>
      <x:c r="F8" s="2" t="str">
        <x:v>Zavicefta</x:v>
      </x:c>
      <x:c r="G8" s="2"/>
      <x:c r="H8" s="2"/>
    </x:row>
    <x:row r="9" ht="32" customHeight="1">
      <x:c r="A9" s="10" t="str">
        <x:v>Prevenar franchise</x:v>
      </x:c>
      <x:c r="B9" s="11" t="n">
        <x:f>SUM('Sources'!C8:C9)/SUM('Sources'!B8:B9)-1</x:f>
        <x:v>0.1707379134860052</x:v>
      </x:c>
      <x:c r="C9" s="11" t="n">
        <x:f>'Sources'!B14</x:f>
        <x:v>0.15</x:v>
      </x:c>
      <x:c r="D9" s="12" t="n">
        <x:f>(B9-C9)*100</x:f>
        <x:v>2.0737913486005204</x:v>
      </x:c>
      <x:c r="E9" s="10" t="str">
        <x:v>Vaccines</x:v>
      </x:c>
      <x:c r="F9" s="10" t="str">
        <x:v>Prevenar 13 + Prevenar 20</x:v>
      </x:c>
      <x:c r="G9" s="2"/>
      <x:c r="H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</x:row>
    <x:row r="12" ht="25" customHeight="1">
      <x:c r="A12" s="2" t="str">
        <x:v>Entity: all products above belong to Pfizer Limited, the Indian listed company.</x:v>
      </x:c>
      <x:c r="B12" s="2"/>
      <x:c r="C12" s="2"/>
      <x:c r="D12" s="2"/>
      <x:c r="E12" s="2"/>
      <x:c r="F12" s="2"/>
      <x:c r="G12" s="2"/>
      <x:c r="H12" s="2"/>
    </x:row>
    <x:row r="13" ht="25" customHeight="1">
      <x:c r="A13" s="2" t="str">
        <x:v>Scope: four selected brands/franchises across two therapies. These are not four separate therapy totals.</x:v>
      </x:c>
      <x:c r="B13" s="2"/>
      <x:c r="C13" s="2"/>
      <x:c r="D13" s="2"/>
      <x:c r="E13" s="2"/>
      <x:c r="F13" s="2"/>
      <x:c r="G13" s="2"/>
      <x:c r="H13" s="2"/>
    </x:row>
    <x:row r="14" ht="25" customHeight="1">
      <x:c r="A14" s="2" t="str">
        <x:v>* IPM percentages are rounded figures from the published source. Benchmarks represent broad therapies.</x:v>
      </x:c>
      <x:c r="B14" s="2"/>
      <x:c r="C14" s="2"/>
      <x:c r="D14" s="2"/>
      <x:c r="E14" s="2"/>
      <x:c r="F14" s="2"/>
      <x:c r="G14" s="2"/>
      <x:c r="H14" s="2"/>
    </x:row>
    <x:row r="15" ht="25" customHeight="1">
      <x:c r="A15" s="2" t="str">
        <x:v>Magnex, Meronem and Zavicefta use published brand growth. Prevenar growth is calculated from disclosed sales.</x:v>
      </x:c>
      <x:c r="B15" s="2"/>
      <x:c r="C15" s="2"/>
      <x:c r="D15" s="2"/>
      <x:c r="E15" s="2"/>
      <x:c r="F15" s="2"/>
      <x:c r="G15" s="2"/>
      <x:c r="H15" s="2"/>
    </x:row>
    <x:row r="16" ht="25" customHeight="1">
      <x:c r="A16" s="2" t="str">
        <x:v>Magnex grew against a low FY25 base. Brand growth does not imply outperformance across the whole portfolio.</x:v>
      </x:c>
      <x:c r="B16" s="2"/>
      <x:c r="C16" s="2"/>
      <x:c r="D16" s="2"/>
      <x:c r="E16" s="2"/>
      <x:c r="F16" s="2"/>
      <x:c r="G16" s="2"/>
      <x:c r="H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</x:row>
    <x:row r="18" ht="25" customHeight="1">
      <x:c r="A18" s="6" t="str">
        <x:v>Chart title: Selected Pfizer Limited franchises outpaced their therapy markets in FY26</x:v>
      </x:c>
      <x:c r="B18" s="2"/>
      <x:c r="C18" s="2"/>
      <x:c r="D18" s="2"/>
      <x:c r="E18" s="2"/>
      <x:c r="F18" s="2"/>
      <x:c r="G18" s="2"/>
      <x:c r="H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7DCCA"/>
  </x:sheetPr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24" hidden="0" customWidth="1"/>
    <x:col min="4" max="4" width="23" hidden="0" customWidth="1"/>
    <x:col min="5" max="5" width="23" hidden="0" customWidth="1"/>
    <x:col min="6" max="6" width="29" hidden="0" customWidth="1"/>
    <x:col min="7" max="7" width="6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Source data and calculation support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 t="str">
        <x:v>Sales in INR million. FY25/FY26 values represent MAT March 2025/2026 secondary sales.</x:v>
      </x:c>
      <x:c r="B3" s="2"/>
      <x:c r="C3" s="2"/>
      <x:c r="D3" s="2"/>
      <x:c r="E3" s="2"/>
      <x:c r="F3" s="2"/>
      <x:c r="G3" s="2"/>
      <x:c r="H3" s="2"/>
    </x:row>
    <x:row r="4" ht="38" customHeight="1">
      <x:c r="A4" s="9" t="str">
        <x:v>Listed product</x:v>
      </x:c>
      <x:c r="B4" s="9" t="str">
        <x:v>FY25 sales</x:v>
      </x:c>
      <x:c r="C4" s="9" t="str">
        <x:v>FY26 sales</x:v>
      </x:c>
      <x:c r="D4" s="9" t="str">
        <x:v>Published growth</x:v>
      </x:c>
      <x:c r="E4" s="9" t="str">
        <x:v>From rounded sales</x:v>
      </x:c>
      <x:c r="F4" s="9" t="str">
        <x:v>Entity</x:v>
      </x:c>
      <x:c r="G4" s="9" t="str">
        <x:v>Sales source</x:v>
      </x:c>
      <x:c r="H4" s="2"/>
    </x:row>
    <x:row r="5" ht="52" customHeight="1">
      <x:c r="A5" s="2" t="str">
        <x:v>Magnex</x:v>
      </x:c>
      <x:c r="B5" s="15" t="n">
        <x:v>757</x:v>
      </x:c>
      <x:c r="C5" s="15" t="n">
        <x:v>1771</x:v>
      </x:c>
      <x:c r="D5" s="16" t="n">
        <x:v>1.341</x:v>
      </x:c>
      <x:c r="E5" s="4" t="n">
        <x:f>C5/B5-1</x:f>
        <x:v>1.3394980184940555</x:v>
      </x:c>
      <x:c r="F5" s="2" t="str">
        <x:v>Pfizer Limited (listed)</x:v>
      </x:c>
      <x:c r="G5" s="14" t="str">
        <x:v>https://images.moneycontrol.com/static-mcnews/2026/07/20260713060119_Pfizer-1307026-icici.pdf</x:v>
      </x:c>
      <x:c r="H5" s="2"/>
    </x:row>
    <x:row r="6" ht="52" customHeight="1">
      <x:c r="A6" s="2" t="str">
        <x:v>Meronem</x:v>
      </x:c>
      <x:c r="B6" s="15" t="n">
        <x:v>932</x:v>
      </x:c>
      <x:c r="C6" s="15" t="n">
        <x:v>1353</x:v>
      </x:c>
      <x:c r="D6" s="16" t="n">
        <x:v>0.451</x:v>
      </x:c>
      <x:c r="E6" s="4" t="n">
        <x:f>C6/B6-1</x:f>
        <x:v>0.45171673819742497</x:v>
      </x:c>
      <x:c r="F6" s="2" t="str">
        <x:v>Pfizer Limited (listed)</x:v>
      </x:c>
      <x:c r="G6" s="14" t="str">
        <x:v>https://images.moneycontrol.com/static-mcnews/2026/07/20260713060119_Pfizer-1307026-icici.pdf</x:v>
      </x:c>
      <x:c r="H6" s="2"/>
    </x:row>
    <x:row r="7" ht="52" customHeight="1">
      <x:c r="A7" s="2" t="str">
        <x:v>Zavicefta</x:v>
      </x:c>
      <x:c r="B7" s="15" t="n">
        <x:v>1126</x:v>
      </x:c>
      <x:c r="C7" s="15" t="n">
        <x:v>1222</x:v>
      </x:c>
      <x:c r="D7" s="16" t="n">
        <x:v>0.085</x:v>
      </x:c>
      <x:c r="E7" s="4" t="n">
        <x:f>C7/B7-1</x:f>
        <x:v>0.08525754884547077</x:v>
      </x:c>
      <x:c r="F7" s="2" t="str">
        <x:v>Pfizer Limited (listed)</x:v>
      </x:c>
      <x:c r="G7" s="14" t="str">
        <x:v>https://images.moneycontrol.com/static-mcnews/2026/07/20260713060119_Pfizer-1307026-icici.pdf</x:v>
      </x:c>
      <x:c r="H7" s="2"/>
    </x:row>
    <x:row r="8" ht="52" customHeight="1">
      <x:c r="A8" s="2" t="str">
        <x:v>Prevenar 13</x:v>
      </x:c>
      <x:c r="B8" s="15" t="n">
        <x:v>3930</x:v>
      </x:c>
      <x:c r="C8" s="15" t="n">
        <x:v>3829</x:v>
      </x:c>
      <x:c r="D8" s="16" t="n">
        <x:v>-0.026</x:v>
      </x:c>
      <x:c r="E8" s="4" t="n">
        <x:f>C8/B8-1</x:f>
        <x:v>-0.02569974554707377</x:v>
      </x:c>
      <x:c r="F8" s="2" t="str">
        <x:v>Pfizer Limited (listed)</x:v>
      </x:c>
      <x:c r="G8" s="14" t="str">
        <x:v>https://images.moneycontrol.com/static-mcnews/2026/07/20260713060119_Pfizer-1307026-icici.pdf</x:v>
      </x:c>
      <x:c r="H8" s="2"/>
    </x:row>
    <x:row r="9" ht="52" customHeight="1">
      <x:c r="A9" s="2" t="str">
        <x:v>Prevenar 20</x:v>
      </x:c>
      <x:c r="B9" s="15" t="n">
        <x:v>0</x:v>
      </x:c>
      <x:c r="C9" s="15" t="n">
        <x:v>772</x:v>
      </x:c>
      <x:c r="D9" s="16" t="str">
        <x:v>New launch</x:v>
      </x:c>
      <x:c r="E9" s="4" t="str">
        <x:v>New launch</x:v>
      </x:c>
      <x:c r="F9" s="2" t="str">
        <x:v>Pfizer Limited (listed)</x:v>
      </x:c>
      <x:c r="G9" s="14" t="str">
        <x:v>https://images.moneycontrol.com/static-mcnews/2026/07/20260713060119_Pfizer-1307026-icici.pdf</x:v>
      </x:c>
      <x:c r="H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</x:row>
    <x:row r="12" ht="38" customHeight="1">
      <x:c r="A12" s="9" t="str">
        <x:v>IPM therapy</x:v>
      </x:c>
      <x:c r="B12" s="9" t="str">
        <x:v>FY26 growth (rounded)</x:v>
      </x:c>
      <x:c r="C12" s="9" t="str">
        <x:v>Market source</x:v>
      </x:c>
      <x:c r="D12" s="2"/>
      <x:c r="E12" s="2"/>
      <x:c r="F12" s="2"/>
      <x:c r="G12" s="2"/>
      <x:c r="H12" s="2"/>
    </x:row>
    <x:row r="13" ht="25" customHeight="1">
      <x:c r="A13" s="2" t="str">
        <x:v>Anti-infectives</x:v>
      </x:c>
      <x:c r="B13" s="16" t="n">
        <x:v>0.05</x:v>
      </x:c>
      <x:c r="C13" s="2" t="str">
        <x:v>https://www.hdfcsec.com/hsl.docs//Pharma%20-%20Sector%20Update%20-%20Apr26%20-%20HSIE-202604151005518703821.pdf</x:v>
      </x:c>
      <x:c r="D13" s="2"/>
      <x:c r="E13" s="2"/>
      <x:c r="F13" s="2"/>
      <x:c r="G13" s="2"/>
      <x:c r="H13" s="2"/>
    </x:row>
    <x:row r="14" ht="25" customHeight="1">
      <x:c r="A14" s="2" t="str">
        <x:v>Vaccines</x:v>
      </x:c>
      <x:c r="B14" s="16" t="n">
        <x:v>0.15</x:v>
      </x:c>
      <x:c r="C14" s="2" t="str">
        <x:v>https://www.hdfcsec.com/hsl.docs//Pharma%20-%20Sector%20Update%20-%20Apr26%20-%20HSIE-202604151005518703821.pdf</x:v>
      </x:c>
      <x:c r="D14" s="2"/>
      <x:c r="E14" s="2"/>
      <x:c r="F14" s="2"/>
      <x:c r="G14" s="2"/>
      <x:c r="H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</x:row>
    <x:row r="17" ht="25" customHeight="1">
      <x:c r="A17" s="2" t="str">
        <x:v>Entity verification</x:v>
      </x:c>
      <x:c r="B17" s="2" t="str">
        <x:v>https://www.pfizerltd.co.in/files/Pfizer_Ltd_Price_List_-_Effective_October_23rd_2026.pdf</x:v>
      </x:c>
      <x:c r="C17" s="2"/>
      <x:c r="D17" s="2"/>
      <x:c r="E17" s="2"/>
      <x:c r="F17" s="2"/>
      <x:c r="G17" s="2"/>
      <x:c r="H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</x:row>
    <x:row r="19" ht="25" customHeight="1">
      <x:c r="A19" s="2" t="str">
        <x:v>Sales source: ICICI Securities, Pfizer FY26 annual-report analysis, 10 July 2026; IQVIA brand tables on pages 3 and 5.</x:v>
      </x:c>
      <x:c r="B19" s="2"/>
      <x:c r="C19" s="2"/>
      <x:c r="D19" s="2"/>
      <x:c r="E19" s="2"/>
      <x:c r="F19" s="2"/>
      <x:c r="G19" s="2"/>
      <x:c r="H19" s="2"/>
    </x:row>
    <x:row r="20" ht="25" customHeight="1">
      <x:c r="A20" s="2" t="str">
        <x:v>Market source: HDFC Securities, Pharmaceuticals sector update, 15 April 2026; Exhibit 3 on page 2, FY26 column.</x:v>
      </x:c>
      <x:c r="B20" s="2"/>
      <x:c r="C20" s="2"/>
      <x:c r="D20" s="2"/>
      <x:c r="E20" s="2"/>
      <x:c r="F20" s="2"/>
      <x:c r="G20" s="2"/>
      <x:c r="H20" s="2"/>
    </x:row>
    <x:row r="21" ht="25" customHeight="1">
      <x:c r="A21" s="2" t="str">
        <x:v>Published growth can differ slightly from calculations using rounded disclosed sales. The main table retains published rates.</x:v>
      </x:c>
      <x:c r="B21" s="2"/>
      <x:c r="C21" s="2"/>
      <x:c r="D21" s="2"/>
      <x:c r="E21" s="2"/>
      <x:c r="F21" s="2"/>
      <x:c r="G21" s="2"/>
      <x:c r="H21" s="2"/>
    </x:row>
    <x:row r="22" ht="25" customHeight="1">
      <x:c r="A22" s="2" t="str">
        <x:v>Prevenar: (3,829 + 772) / 3,930 - 1 = 17.0738%. This is a calculated franchise rate, not a separately reported figure.</x:v>
      </x:c>
      <x:c r="B22" s="2"/>
      <x:c r="C22" s="2"/>
      <x:c r="D22" s="2"/>
      <x:c r="E22" s="2"/>
      <x:c r="F22" s="2"/>
      <x:c r="G22" s="2"/>
      <x:c r="H22" s="2"/>
    </x:row>
    <x:row r="23" ht="25" customHeight="1">
      <x:c r="A23" s="2" t="str">
        <x:v>All products are listed-entity products. No private-company brands or consolidated group therapy totals are used.</x:v>
      </x:c>
      <x:c r="B23" s="2"/>
      <x:c r="C23" s="2"/>
      <x:c r="D23" s="2"/>
      <x:c r="E23" s="2"/>
      <x:c r="F23" s="2"/>
      <x:c r="G23" s="2"/>
      <x:c r="H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</x:sheetData>
  <x:pageMargins left="0.7" right="0.7" top="0.75" bottom="0.75" header="0.3" footer="0.3"/>
</x:worksheet>
</file>