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1ec5f956e644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rterly Tracker" sheetId="1" r:id="Rf181e947a9364ebd"/>
    <x:sheet xmlns:r="http://schemas.openxmlformats.org/officeDocument/2006/relationships" name="Capex &amp; Returns" sheetId="2" r:id="R01f7fd473b1e46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;[Red](#,##0.0);-"/>
    <x:numFmt numFmtId="201" formatCode="0.0%;[Red](0.0%);-"/>
    <x:numFmt numFmtId="202" formatCode="0.00;[Red](0.00);-"/>
    <x:numFmt numFmtId="203" formatCode="#,##0;[Red](#,##0);-"/>
    <x:numFmt numFmtId="204" formatCode="0.0x;[Red](0.0x);-"/>
  </x:numFmts>
  <x:fonts count="10">
    <x:font>
      <x:sz val="11"/>
      <x:name val="Carlito"/>
    </x:font>
    <x:font>
      <x:b/>
      <x:sz val="14"/>
      <x:color rgb="FFFFFFFF"/>
      <x:name val="Arial"/>
    </x:font>
    <x:font>
      <x:i/>
      <x:sz val="9"/>
      <x:color rgb="FF666666"/>
      <x:name val="Arial"/>
    </x:font>
    <x:font>
      <x:b/>
      <x:sz val="9"/>
      <x:color rgb="FF000000"/>
      <x:name val="Arial"/>
    </x:font>
    <x:font>
      <x:sz val="9"/>
      <x:color rgb="FF0000FF"/>
      <x:name val="Arial"/>
    </x:font>
    <x:font>
      <x:b/>
      <x:sz val="10"/>
      <x:color rgb="FFFFFFFF"/>
      <x:name val="Arial"/>
    </x:font>
    <x:font>
      <x:sz val="9"/>
      <x:color rgb="FF000000"/>
      <x:name val="Arial"/>
    </x:font>
    <x:font>
      <x:i/>
      <x:sz val="9"/>
      <x:color rgb="FF000000"/>
      <x:name val="Arial"/>
    </x:font>
    <x:font>
      <x:i/>
      <x:sz val="8"/>
      <x:color rgb="FF666666"/>
      <x:name val="Arial"/>
    </x:font>
    <x:font>
      <x:b/>
      <x:sz val="9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E7E6E6"/>
      </x:patternFill>
    </x:fill>
  </x:fills>
  <x:borders count="10">
    <x:border/>
    <x:border/>
    <x:border>
      <x:bottom style="thin">
        <x:color rgb="FF17365D"/>
      </x:bottom>
    </x:border>
    <x:border>
      <x:bottom style="thin">
        <x:color rgb="FF17365D"/>
      </x:bottom>
    </x:border>
    <x:border>
      <x:left style="thin">
        <x:color rgb="FF17365D"/>
      </x:left>
      <x:right style="thin">
        <x:color rgb="FF17365D"/>
      </x:right>
      <x:bottom style="thin">
        <x:color rgb="FF17365D"/>
      </x:bottom>
    </x:border>
    <x:border>
      <x:left style="thin">
        <x:color rgb="FF17365D"/>
      </x:left>
      <x:right style="thin">
        <x:color rgb="FF17365D"/>
      </x:right>
    </x:border>
    <x:border>
      <x:left style="thin">
        <x:color rgb="FF17365D"/>
      </x:left>
      <x:right style="thin">
        <x:color rgb="FF17365D"/>
      </x:right>
      <x:bottom style="thin">
        <x:color rgb="FF17365D"/>
      </x:bottom>
    </x:border>
    <x:border>
      <x:left style="thin">
        <x:color rgb="FF17365D"/>
      </x:left>
      <x:right style="thin">
        <x:color rgb="FF17365D"/>
      </x:right>
    </x:border>
    <x:border>
      <x:top style="thin">
        <x:color rgb="FF17365D"/>
      </x:top>
    </x:border>
    <x:border>
      <x:top style="thin">
        <x:color rgb="FF17365D"/>
      </x:top>
    </x:border>
  </x:borders>
  <x:cellStyleXfs count="1">
    <x:xf numFmtId="0" fontId="0" fillId="0" borderId="0"/>
  </x:cellStyleXfs>
  <x:cellXfs count="4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left"/>
    </x:xf>
    <x:xf numFmtId="0" fontId="5" fillId="2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6" fillId="0" borderId="0" xfId="0" applyNumberFormat="1" applyFont="1" applyFill="1" applyBorder="1"/>
    <x:xf numFmtId="200" fontId="4" fillId="0" borderId="0" xfId="0" applyNumberFormat="1" applyFont="1" applyFill="1" applyBorder="1"/>
    <x:xf numFmtId="200" fontId="6" fillId="0" borderId="1" xfId="0" applyNumberFormat="1" applyFont="1" applyFill="1" applyBorder="1"/>
    <x:xf numFmtId="200" fontId="4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0" fontId="4" fillId="4" borderId="0" xfId="0" applyNumberFormat="1" applyFont="1" applyFill="1" applyBorder="1"/>
    <x:xf numFmtId="200" fontId="4" fillId="4" borderId="1" xfId="0" applyNumberFormat="1" applyFont="1" applyFill="1" applyBorder="1"/>
    <x:xf numFmtId="202" fontId="4" fillId="0" borderId="0" xfId="0" applyNumberFormat="1" applyFont="1" applyFill="1" applyBorder="1"/>
    <x:xf numFmtId="202" fontId="4" fillId="4" borderId="0" xfId="0" applyNumberFormat="1" applyFont="1" applyFill="1" applyBorder="1"/>
    <x:xf numFmtId="202" fontId="4" fillId="0" borderId="1" xfId="0" applyNumberFormat="1" applyFont="1" applyFill="1" applyBorder="1"/>
    <x:xf numFmtId="202" fontId="4" fillId="4" borderId="1" xfId="0" applyNumberFormat="1" applyFont="1" applyFill="1" applyBorder="1"/>
    <x:xf numFmtId="201" fontId="4" fillId="0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1" xfId="0" applyNumberFormat="1" applyFont="1" applyFill="1" applyBorder="1"/>
    <x:xf numFmtId="201" fontId="4" fillId="4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/>
    <x:xf numFmtId="203" fontId="4" fillId="4" borderId="0" xfId="0" applyNumberFormat="1" applyFont="1" applyFill="1" applyBorder="1"/>
    <x:xf numFmtId="203" fontId="4" fillId="0" borderId="1" xfId="0" applyNumberFormat="1" applyFont="1" applyFill="1" applyBorder="1"/>
    <x:xf numFmtId="203" fontId="4" fillId="4" borderId="1" xfId="0" applyNumberFormat="1" applyFont="1" applyFill="1" applyBorder="1"/>
    <x:xf numFmtId="0" fontId="3" fillId="2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left" vertical="center"/>
    </x:xf>
    <x:xf numFmtId="200" fontId="6" fillId="4" borderId="0" xfId="0" applyNumberFormat="1" applyFont="1" applyFill="1" applyBorder="1"/>
    <x:xf numFmtId="201" fontId="6" fillId="4" borderId="0" xfId="0" applyNumberFormat="1" applyFont="1" applyFill="1" applyBorder="1"/>
    <x:xf numFmtId="202" fontId="6" fillId="0" borderId="0" xfId="0" applyNumberFormat="1" applyFont="1" applyFill="1" applyBorder="1"/>
    <x:xf numFmtId="202" fontId="6" fillId="4" borderId="0" xfId="0" applyNumberFormat="1" applyFont="1" applyFill="1" applyBorder="1"/>
    <x:xf numFmtId="0" fontId="6" fillId="0" borderId="0" xfId="0" applyNumberFormat="1" applyFont="1" applyFill="1" applyBorder="1" applyAlignment="1">
      <x:alignment vertical="top" wrapText="1"/>
    </x:xf>
    <x:xf numFmtId="203" fontId="6" fillId="0" borderId="0" xfId="0" applyNumberFormat="1" applyFont="1" applyFill="1" applyBorder="1"/>
    <x:xf numFmtId="203" fontId="6" fillId="4" borderId="0" xfId="0" applyNumberFormat="1" applyFont="1" applyFill="1" applyBorder="1"/>
    <x:xf numFmtId="0" fontId="3" fillId="2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left" vertical="center"/>
    </x:xf>
    <x:xf numFmtId="200" fontId="6" fillId="4" borderId="1" xfId="0" applyNumberFormat="1" applyFont="1" applyFill="1" applyBorder="1"/>
    <x:xf numFmtId="201" fontId="6" fillId="4" borderId="1" xfId="0" applyNumberFormat="1" applyFont="1" applyFill="1" applyBorder="1"/>
    <x:xf numFmtId="202" fontId="6" fillId="0" borderId="1" xfId="0" applyNumberFormat="1" applyFont="1" applyFill="1" applyBorder="1"/>
    <x:xf numFmtId="202" fontId="6" fillId="4" borderId="1" xfId="0" applyNumberFormat="1" applyFont="1" applyFill="1" applyBorder="1"/>
    <x:xf numFmtId="0" fontId="6" fillId="0" borderId="1" xfId="0" applyNumberFormat="1" applyFont="1" applyFill="1" applyBorder="1" applyAlignment="1">
      <x:alignment vertical="top" wrapText="1"/>
    </x:xf>
    <x:xf numFmtId="203" fontId="6" fillId="0" borderId="1" xfId="0" applyNumberFormat="1" applyFont="1" applyFill="1" applyBorder="1"/>
    <x:xf numFmtId="203" fontId="6" fillId="4" borderId="1" xfId="0" applyNumberFormat="1" applyFont="1" applyFill="1" applyBorder="1"/>
    <x:xf numFmtId="0" fontId="3" fillId="3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wrapText="1"/>
    </x:xf>
    <x:xf numFmtId="0" fontId="6" fillId="0" borderId="5" xfId="0" applyNumberFormat="1" applyFont="1" applyFill="1" applyBorder="1"/>
    <x:xf numFmtId="0" fontId="5" fillId="2" borderId="5" xfId="0" applyNumberFormat="1" applyFont="1" applyFill="1" applyBorder="1" applyAlignment="1">
      <x:alignment horizontal="left" vertical="center"/>
    </x:xf>
    <x:xf numFmtId="200" fontId="6" fillId="0" borderId="5" xfId="0" applyNumberFormat="1" applyFont="1" applyFill="1" applyBorder="1"/>
    <x:xf numFmtId="201" fontId="6" fillId="0" borderId="5" xfId="0" applyNumberFormat="1" applyFont="1" applyFill="1" applyBorder="1"/>
    <x:xf numFmtId="200" fontId="4" fillId="0" borderId="5" xfId="0" applyNumberFormat="1" applyFont="1" applyFill="1" applyBorder="1"/>
    <x:xf numFmtId="201" fontId="4" fillId="0" borderId="5" xfId="0" applyNumberFormat="1" applyFont="1" applyFill="1" applyBorder="1"/>
    <x:xf numFmtId="202" fontId="4" fillId="0" borderId="5" xfId="0" applyNumberFormat="1" applyFont="1" applyFill="1" applyBorder="1"/>
    <x:xf numFmtId="203" fontId="4" fillId="0" borderId="5" xfId="0" applyNumberFormat="1" applyFont="1" applyFill="1" applyBorder="1"/>
    <x:xf numFmtId="200" fontId="4" fillId="0" borderId="4" xfId="0" applyNumberFormat="1" applyFont="1" applyFill="1" applyBorder="1"/>
    <x:xf numFmtId="0" fontId="3" fillId="3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wrapText="1"/>
    </x:xf>
    <x:xf numFmtId="0" fontId="6" fillId="0" borderId="7" xfId="0" applyNumberFormat="1" applyFont="1" applyFill="1" applyBorder="1"/>
    <x:xf numFmtId="0" fontId="5" fillId="2" borderId="7" xfId="0" applyNumberFormat="1" applyFont="1" applyFill="1" applyBorder="1" applyAlignment="1">
      <x:alignment horizontal="left" vertical="center"/>
    </x:xf>
    <x:xf numFmtId="200" fontId="6" fillId="0" borderId="7" xfId="0" applyNumberFormat="1" applyFont="1" applyFill="1" applyBorder="1"/>
    <x:xf numFmtId="201" fontId="6" fillId="0" borderId="7" xfId="0" applyNumberFormat="1" applyFont="1" applyFill="1" applyBorder="1"/>
    <x:xf numFmtId="200" fontId="4" fillId="0" borderId="7" xfId="0" applyNumberFormat="1" applyFont="1" applyFill="1" applyBorder="1"/>
    <x:xf numFmtId="201" fontId="4" fillId="0" borderId="7" xfId="0" applyNumberFormat="1" applyFont="1" applyFill="1" applyBorder="1"/>
    <x:xf numFmtId="202" fontId="4" fillId="0" borderId="7" xfId="0" applyNumberFormat="1" applyFont="1" applyFill="1" applyBorder="1"/>
    <x:xf numFmtId="203" fontId="4" fillId="0" borderId="7" xfId="0" applyNumberFormat="1" applyFont="1" applyFill="1" applyBorder="1"/>
    <x:xf numFmtId="200" fontId="4" fillId="0" borderId="6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0" fontId="6" fillId="0" borderId="5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1" fontId="6" fillId="0" borderId="5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4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  <x:xf numFmtId="203" fontId="4" fillId="4" borderId="0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  <x:xf numFmtId="200" fontId="6" fillId="0" borderId="7" xfId="0" applyNumberFormat="1" applyFont="1" applyFill="1" applyBorder="1" applyAlignment="1">
      <x:alignment vertical="center"/>
    </x:xf>
    <x:xf numFmtId="201" fontId="6" fillId="0" borderId="1" xfId="0" applyNumberFormat="1" applyFont="1" applyFill="1" applyBorder="1" applyAlignment="1">
      <x:alignment vertical="center"/>
    </x:xf>
    <x:xf numFmtId="201" fontId="6" fillId="0" borderId="7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0" fontId="4" fillId="4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201" fontId="4" fillId="4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202" fontId="4" fillId="0" borderId="7" xfId="0" applyNumberFormat="1" applyFont="1" applyFill="1" applyBorder="1" applyAlignment="1">
      <x:alignment vertical="center"/>
    </x:xf>
    <x:xf numFmtId="202" fontId="4" fillId="4" borderId="1" xfId="0" applyNumberFormat="1" applyFont="1" applyFill="1" applyBorder="1" applyAlignment="1">
      <x:alignment vertical="center"/>
    </x:xf>
    <x:xf numFmtId="203" fontId="4" fillId="0" borderId="1" xfId="0" applyNumberFormat="1" applyFont="1" applyFill="1" applyBorder="1" applyAlignment="1">
      <x:alignment vertical="center"/>
    </x:xf>
    <x:xf numFmtId="203" fontId="4" fillId="0" borderId="7" xfId="0" applyNumberFormat="1" applyFont="1" applyFill="1" applyBorder="1" applyAlignment="1">
      <x:alignment vertical="center"/>
    </x:xf>
    <x:xf numFmtId="203" fontId="4" fillId="4" borderId="1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 vertical="center" wrapText="1"/>
    </x:xf>
    <x:xf numFmtId="0" fontId="3" fillId="3" borderId="2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7" fillId="0" borderId="1" xfId="0" applyNumberFormat="1" applyFont="1" applyFill="1" applyBorder="1" applyAlignment="1">
      <x:alignment horizontal="left" vertical="center" wrapText="1"/>
    </x:xf>
    <x:xf numFmtId="0" fontId="3" fillId="3" borderId="3" xfId="0" applyNumberFormat="1" applyFont="1" applyFill="1" applyBorder="1" applyAlignment="1">
      <x:alignment horizontal="left" vertical="center" wrapText="1"/>
    </x:xf>
    <x:xf numFmtId="0" fontId="6" fillId="0" borderId="1" xfId="0" applyNumberFormat="1" applyFont="1" applyFill="1" applyBorder="1" applyAlignment="1">
      <x:alignment horizontal="left" vertical="center" wrapText="1"/>
    </x:xf>
    <x:xf numFmtId="0" fontId="6" fillId="0" borderId="1" xfId="0" applyNumberFormat="1" applyFont="1" applyFill="1" applyBorder="1" applyAlignment="1">
      <x:alignment horizontal="left" vertical="center"/>
    </x:xf>
    <x:xf numFmtId="0" fontId="3" fillId="3" borderId="2" xfId="0" applyNumberFormat="1" applyFont="1" applyFill="1" applyBorder="1" applyAlignment="1">
      <x:alignment horizontal="right" vertical="center" wrapText="1"/>
    </x:xf>
    <x:xf numFmtId="0" fontId="3" fillId="3" borderId="4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 applyAlignment="1">
      <x:alignment horizontal="right" vertical="center" wrapText="1"/>
    </x:xf>
    <x:xf numFmtId="0" fontId="4" fillId="0" borderId="5" xfId="0" applyNumberFormat="1" applyFont="1" applyFill="1" applyBorder="1" applyAlignment="1">
      <x:alignment horizontal="right" vertical="center" wrapText="1"/>
    </x:xf>
    <x:xf numFmtId="0" fontId="4" fillId="4" borderId="0" xfId="0" applyNumberFormat="1" applyFont="1" applyFill="1" applyBorder="1" applyAlignment="1">
      <x:alignment horizontal="right" vertical="center" wrapText="1"/>
    </x:xf>
    <x:xf numFmtId="0" fontId="6" fillId="0" borderId="0" xfId="0" applyNumberFormat="1" applyFont="1" applyFill="1" applyBorder="1" applyAlignment="1">
      <x:alignment horizontal="right" vertical="center"/>
    </x:xf>
    <x:xf numFmtId="0" fontId="6" fillId="0" borderId="5" xfId="0" applyNumberFormat="1" applyFont="1" applyFill="1" applyBorder="1" applyAlignment="1">
      <x:alignment horizontal="right" vertical="center"/>
    </x:xf>
    <x:xf numFmtId="0" fontId="5" fillId="2" borderId="0" xfId="0" applyNumberFormat="1" applyFont="1" applyFill="1" applyBorder="1" applyAlignment="1">
      <x:alignment horizontal="right" vertical="center"/>
    </x:xf>
    <x:xf numFmtId="0" fontId="5" fillId="2" borderId="5" xfId="0" applyNumberFormat="1" applyFont="1" applyFill="1" applyBorder="1" applyAlignment="1">
      <x:alignment horizontal="right" vertical="center"/>
    </x:xf>
    <x:xf numFmtId="200" fontId="6" fillId="0" borderId="0" xfId="0" applyNumberFormat="1" applyFont="1" applyFill="1" applyBorder="1" applyAlignment="1">
      <x:alignment horizontal="right" vertical="center"/>
    </x:xf>
    <x:xf numFmtId="200" fontId="6" fillId="0" borderId="5" xfId="0" applyNumberFormat="1" applyFont="1" applyFill="1" applyBorder="1" applyAlignment="1">
      <x:alignment horizontal="right" vertical="center"/>
    </x:xf>
    <x:xf numFmtId="201" fontId="6" fillId="0" borderId="0" xfId="0" applyNumberFormat="1" applyFont="1" applyFill="1" applyBorder="1" applyAlignment="1">
      <x:alignment horizontal="right" vertical="center"/>
    </x:xf>
    <x:xf numFmtId="201" fontId="6" fillId="0" borderId="5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0" fontId="4" fillId="0" borderId="5" xfId="0" applyNumberFormat="1" applyFont="1" applyFill="1" applyBorder="1" applyAlignment="1">
      <x:alignment horizontal="right" vertical="center"/>
    </x:xf>
    <x:xf numFmtId="200" fontId="4" fillId="4" borderId="0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horizontal="right" vertical="center"/>
    </x:xf>
    <x:xf numFmtId="201" fontId="4" fillId="0" borderId="5" xfId="0" applyNumberFormat="1" applyFont="1" applyFill="1" applyBorder="1" applyAlignment="1">
      <x:alignment horizontal="right" vertical="center"/>
    </x:xf>
    <x:xf numFmtId="201" fontId="4" fillId="4" borderId="0" xfId="0" applyNumberFormat="1" applyFont="1" applyFill="1" applyBorder="1" applyAlignment="1">
      <x:alignment horizontal="right" vertical="center"/>
    </x:xf>
    <x:xf numFmtId="202" fontId="4" fillId="0" borderId="0" xfId="0" applyNumberFormat="1" applyFont="1" applyFill="1" applyBorder="1" applyAlignment="1">
      <x:alignment horizontal="right" vertical="center"/>
    </x:xf>
    <x:xf numFmtId="202" fontId="4" fillId="0" borderId="5" xfId="0" applyNumberFormat="1" applyFont="1" applyFill="1" applyBorder="1" applyAlignment="1">
      <x:alignment horizontal="right" vertical="center"/>
    </x:xf>
    <x:xf numFmtId="202" fontId="4" fillId="4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horizontal="right" vertical="center" wrapText="1"/>
    </x:xf>
    <x:xf numFmtId="203" fontId="4" fillId="0" borderId="0" xfId="0" applyNumberFormat="1" applyFont="1" applyFill="1" applyBorder="1" applyAlignment="1">
      <x:alignment horizontal="right" vertical="center"/>
    </x:xf>
    <x:xf numFmtId="203" fontId="4" fillId="0" borderId="5" xfId="0" applyNumberFormat="1" applyFont="1" applyFill="1" applyBorder="1" applyAlignment="1">
      <x:alignment horizontal="right" vertical="center"/>
    </x:xf>
    <x:xf numFmtId="203" fontId="4" fillId="4" borderId="0" xfId="0" applyNumberFormat="1" applyFont="1" applyFill="1" applyBorder="1" applyAlignment="1">
      <x:alignment horizontal="right" vertical="center"/>
    </x:xf>
    <x:xf numFmtId="200" fontId="4" fillId="0" borderId="4" xfId="0" applyNumberFormat="1" applyFont="1" applyFill="1" applyBorder="1" applyAlignment="1">
      <x:alignment horizontal="right" vertical="center"/>
    </x:xf>
    <x:xf numFmtId="0" fontId="3" fillId="3" borderId="3" xfId="0" applyNumberFormat="1" applyFont="1" applyFill="1" applyBorder="1" applyAlignment="1">
      <x:alignment horizontal="right" vertical="center" wrapText="1"/>
    </x:xf>
    <x:xf numFmtId="0" fontId="3" fillId="3" borderId="6" xfId="0" applyNumberFormat="1" applyFont="1" applyFill="1" applyBorder="1" applyAlignment="1">
      <x:alignment horizontal="right" vertical="center" wrapText="1"/>
    </x:xf>
    <x:xf numFmtId="0" fontId="4" fillId="0" borderId="1" xfId="0" applyNumberFormat="1" applyFont="1" applyFill="1" applyBorder="1" applyAlignment="1">
      <x:alignment horizontal="right" vertical="center" wrapText="1"/>
    </x:xf>
    <x:xf numFmtId="0" fontId="4" fillId="0" borderId="7" xfId="0" applyNumberFormat="1" applyFont="1" applyFill="1" applyBorder="1" applyAlignment="1">
      <x:alignment horizontal="right" vertical="center" wrapText="1"/>
    </x:xf>
    <x:xf numFmtId="0" fontId="4" fillId="4" borderId="1" xfId="0" applyNumberFormat="1" applyFont="1" applyFill="1" applyBorder="1" applyAlignment="1">
      <x:alignment horizontal="right" vertical="center" wrapText="1"/>
    </x:xf>
    <x:xf numFmtId="0" fontId="6" fillId="0" borderId="1" xfId="0" applyNumberFormat="1" applyFont="1" applyFill="1" applyBorder="1" applyAlignment="1">
      <x:alignment horizontal="right" vertical="center"/>
    </x:xf>
    <x:xf numFmtId="0" fontId="6" fillId="0" borderId="7" xfId="0" applyNumberFormat="1" applyFont="1" applyFill="1" applyBorder="1" applyAlignment="1">
      <x:alignment horizontal="right" vertical="center"/>
    </x:xf>
    <x:xf numFmtId="0" fontId="5" fillId="2" borderId="1" xfId="0" applyNumberFormat="1" applyFont="1" applyFill="1" applyBorder="1" applyAlignment="1">
      <x:alignment horizontal="right" vertical="center"/>
    </x:xf>
    <x:xf numFmtId="0" fontId="5" fillId="2" borderId="7" xfId="0" applyNumberFormat="1" applyFont="1" applyFill="1" applyBorder="1" applyAlignment="1">
      <x:alignment horizontal="right" vertical="center"/>
    </x:xf>
    <x:xf numFmtId="200" fontId="6" fillId="0" borderId="1" xfId="0" applyNumberFormat="1" applyFont="1" applyFill="1" applyBorder="1" applyAlignment="1">
      <x:alignment horizontal="right" vertical="center"/>
    </x:xf>
    <x:xf numFmtId="200" fontId="6" fillId="0" borderId="7" xfId="0" applyNumberFormat="1" applyFont="1" applyFill="1" applyBorder="1" applyAlignment="1">
      <x:alignment horizontal="right" vertical="center"/>
    </x:xf>
    <x:xf numFmtId="201" fontId="6" fillId="0" borderId="1" xfId="0" applyNumberFormat="1" applyFont="1" applyFill="1" applyBorder="1" applyAlignment="1">
      <x:alignment horizontal="right" vertical="center"/>
    </x:xf>
    <x:xf numFmtId="201" fontId="6" fillId="0" borderId="7" xfId="0" applyNumberFormat="1" applyFont="1" applyFill="1" applyBorder="1" applyAlignment="1">
      <x:alignment horizontal="right" vertical="center"/>
    </x:xf>
    <x:xf numFmtId="200" fontId="4" fillId="0" borderId="1" xfId="0" applyNumberFormat="1" applyFont="1" applyFill="1" applyBorder="1" applyAlignment="1">
      <x:alignment horizontal="right" vertical="center"/>
    </x:xf>
    <x:xf numFmtId="200" fontId="4" fillId="0" borderId="7" xfId="0" applyNumberFormat="1" applyFont="1" applyFill="1" applyBorder="1" applyAlignment="1">
      <x:alignment horizontal="right" vertical="center"/>
    </x:xf>
    <x:xf numFmtId="200" fontId="4" fillId="4" borderId="1" xfId="0" applyNumberFormat="1" applyFont="1" applyFill="1" applyBorder="1" applyAlignment="1">
      <x:alignment horizontal="right" vertical="center"/>
    </x:xf>
    <x:xf numFmtId="201" fontId="4" fillId="0" borderId="1" xfId="0" applyNumberFormat="1" applyFont="1" applyFill="1" applyBorder="1" applyAlignment="1">
      <x:alignment horizontal="right" vertical="center"/>
    </x:xf>
    <x:xf numFmtId="201" fontId="4" fillId="0" borderId="7" xfId="0" applyNumberFormat="1" applyFont="1" applyFill="1" applyBorder="1" applyAlignment="1">
      <x:alignment horizontal="right" vertical="center"/>
    </x:xf>
    <x:xf numFmtId="201" fontId="4" fillId="4" borderId="1" xfId="0" applyNumberFormat="1" applyFont="1" applyFill="1" applyBorder="1" applyAlignment="1">
      <x:alignment horizontal="right" vertical="center"/>
    </x:xf>
    <x:xf numFmtId="202" fontId="4" fillId="0" borderId="1" xfId="0" applyNumberFormat="1" applyFont="1" applyFill="1" applyBorder="1" applyAlignment="1">
      <x:alignment horizontal="right" vertical="center"/>
    </x:xf>
    <x:xf numFmtId="202" fontId="4" fillId="0" borderId="7" xfId="0" applyNumberFormat="1" applyFont="1" applyFill="1" applyBorder="1" applyAlignment="1">
      <x:alignment horizontal="right" vertical="center"/>
    </x:xf>
    <x:xf numFmtId="202" fontId="4" fillId="4" borderId="1" xfId="0" applyNumberFormat="1" applyFont="1" applyFill="1" applyBorder="1" applyAlignment="1">
      <x:alignment horizontal="right" vertical="center"/>
    </x:xf>
    <x:xf numFmtId="0" fontId="6" fillId="0" borderId="1" xfId="0" applyNumberFormat="1" applyFont="1" applyFill="1" applyBorder="1" applyAlignment="1">
      <x:alignment horizontal="right" vertical="center" wrapText="1"/>
    </x:xf>
    <x:xf numFmtId="203" fontId="4" fillId="0" borderId="1" xfId="0" applyNumberFormat="1" applyFont="1" applyFill="1" applyBorder="1" applyAlignment="1">
      <x:alignment horizontal="right" vertical="center"/>
    </x:xf>
    <x:xf numFmtId="203" fontId="4" fillId="0" borderId="7" xfId="0" applyNumberFormat="1" applyFont="1" applyFill="1" applyBorder="1" applyAlignment="1">
      <x:alignment horizontal="right" vertical="center"/>
    </x:xf>
    <x:xf numFmtId="203" fontId="4" fillId="4" borderId="1" xfId="0" applyNumberFormat="1" applyFont="1" applyFill="1" applyBorder="1" applyAlignment="1">
      <x:alignment horizontal="right" vertical="center"/>
    </x:xf>
    <x:xf numFmtId="200" fontId="4" fillId="0" borderId="6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4" fontId="4" fillId="0" borderId="0" xfId="0" applyNumberFormat="1" applyFont="1" applyFill="1" applyBorder="1"/>
    <x:xf numFmtId="204" fontId="4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6" fillId="0" borderId="0" xfId="0" applyNumberFormat="1" applyFont="1" applyFill="1" applyBorder="1"/>
    <x:xf numFmtId="204" fontId="6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6" fillId="0" borderId="1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horizontal="right" vertical="center"/>
    </x:xf>
    <x:xf numFmtId="200" fontId="4" fillId="5" borderId="5" xfId="0" applyNumberFormat="1" applyFont="1" applyFill="1" applyBorder="1" applyAlignment="1">
      <x:alignment horizontal="right" vertical="center"/>
    </x:xf>
    <x:xf numFmtId="201" fontId="4" fillId="5" borderId="0" xfId="0" applyNumberFormat="1" applyFont="1" applyFill="1" applyBorder="1" applyAlignment="1">
      <x:alignment horizontal="right" vertical="center"/>
    </x:xf>
    <x:xf numFmtId="201" fontId="4" fillId="5" borderId="5" xfId="0" applyNumberFormat="1" applyFont="1" applyFill="1" applyBorder="1" applyAlignment="1">
      <x:alignment horizontal="right" vertical="center"/>
    </x:xf>
    <x:xf numFmtId="200" fontId="4" fillId="5" borderId="1" xfId="0" applyNumberFormat="1" applyFont="1" applyFill="1" applyBorder="1" applyAlignment="1">
      <x:alignment horizontal="right" vertical="center"/>
    </x:xf>
    <x:xf numFmtId="200" fontId="4" fillId="5" borderId="7" xfId="0" applyNumberFormat="1" applyFont="1" applyFill="1" applyBorder="1" applyAlignment="1">
      <x:alignment horizontal="right" vertical="center"/>
    </x:xf>
    <x:xf numFmtId="201" fontId="4" fillId="5" borderId="1" xfId="0" applyNumberFormat="1" applyFont="1" applyFill="1" applyBorder="1" applyAlignment="1">
      <x:alignment horizontal="right" vertical="center"/>
    </x:xf>
    <x:xf numFmtId="201" fontId="4" fillId="5" borderId="7" xfId="0" applyNumberFormat="1" applyFont="1" applyFill="1" applyBorder="1" applyAlignment="1">
      <x:alignment horizontal="right" vertical="center"/>
    </x:xf>
    <x:xf numFmtId="200" fontId="6" fillId="5" borderId="0" xfId="0" applyNumberFormat="1" applyFont="1" applyFill="1" applyBorder="1" applyAlignment="1">
      <x:alignment horizontal="right" vertical="center"/>
    </x:xf>
    <x:xf numFmtId="200" fontId="6" fillId="5" borderId="5" xfId="0" applyNumberFormat="1" applyFont="1" applyFill="1" applyBorder="1" applyAlignment="1">
      <x:alignment horizontal="right" vertical="center"/>
    </x:xf>
    <x:xf numFmtId="201" fontId="6" fillId="5" borderId="0" xfId="0" applyNumberFormat="1" applyFont="1" applyFill="1" applyBorder="1" applyAlignment="1">
      <x:alignment horizontal="right" vertical="center"/>
    </x:xf>
    <x:xf numFmtId="201" fontId="6" fillId="5" borderId="5" xfId="0" applyNumberFormat="1" applyFont="1" applyFill="1" applyBorder="1" applyAlignment="1">
      <x:alignment horizontal="right" vertical="center"/>
    </x:xf>
    <x:xf numFmtId="200" fontId="6" fillId="5" borderId="1" xfId="0" applyNumberFormat="1" applyFont="1" applyFill="1" applyBorder="1" applyAlignment="1">
      <x:alignment horizontal="right" vertical="center"/>
    </x:xf>
    <x:xf numFmtId="200" fontId="6" fillId="5" borderId="7" xfId="0" applyNumberFormat="1" applyFont="1" applyFill="1" applyBorder="1" applyAlignment="1">
      <x:alignment horizontal="right" vertical="center"/>
    </x:xf>
    <x:xf numFmtId="201" fontId="6" fillId="5" borderId="1" xfId="0" applyNumberFormat="1" applyFont="1" applyFill="1" applyBorder="1" applyAlignment="1">
      <x:alignment horizontal="right" vertical="center"/>
    </x:xf>
    <x:xf numFmtId="201" fontId="6" fillId="5" borderId="7" xfId="0" applyNumberFormat="1" applyFont="1" applyFill="1" applyBorder="1" applyAlignment="1">
      <x:alignment horizontal="right" vertical="center"/>
    </x:xf>
    <x:xf numFmtId="200" fontId="4" fillId="5" borderId="4" xfId="0" applyNumberFormat="1" applyFont="1" applyFill="1" applyBorder="1" applyAlignment="1">
      <x:alignment horizontal="right" vertical="center"/>
    </x:xf>
    <x:xf numFmtId="200" fontId="4" fillId="5" borderId="6" xfId="0" applyNumberFormat="1" applyFont="1" applyFill="1" applyBorder="1" applyAlignment="1">
      <x:alignment horizontal="right" vertical="center"/>
    </x:xf>
    <x:xf numFmtId="200" fontId="6" fillId="5" borderId="4" xfId="0" applyNumberFormat="1" applyFont="1" applyFill="1" applyBorder="1" applyAlignment="1">
      <x:alignment horizontal="right" vertical="center"/>
    </x:xf>
    <x:xf numFmtId="200" fontId="6" fillId="5" borderId="6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 wrapText="1"/>
    </x:xf>
    <x:xf numFmtId="204" fontId="4" fillId="0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4" fontId="4" fillId="0" borderId="1" xfId="0" applyNumberFormat="1" applyFont="1" applyFill="1" applyBorder="1" applyAlignment="1">
      <x:alignment vertical="center"/>
    </x:xf>
    <x:xf numFmtId="204" fontId="6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center" wrapText="1"/>
    </x:xf>
    <x:xf numFmtId="204" fontId="4" fillId="0" borderId="0" xfId="0" applyNumberFormat="1" applyFont="1" applyFill="1" applyBorder="1" applyAlignment="1">
      <x:alignment horizontal="right" vertical="center"/>
    </x:xf>
    <x:xf numFmtId="204" fontId="6" fillId="0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horizontal="right" vertical="center" wrapText="1"/>
    </x:xf>
    <x:xf numFmtId="200" fontId="6" fillId="0" borderId="0" xfId="0" applyNumberFormat="1" applyFont="1" applyFill="1" applyBorder="1" applyAlignment="1">
      <x:alignment horizontal="right" vertical="center" wrapText="1"/>
    </x:xf>
    <x:xf numFmtId="201" fontId="6" fillId="0" borderId="0" xfId="0" applyNumberFormat="1" applyFont="1" applyFill="1" applyBorder="1" applyAlignment="1">
      <x:alignment horizontal="right" vertical="center" wrapText="1"/>
    </x:xf>
    <x:xf numFmtId="204" fontId="4" fillId="0" borderId="1" xfId="0" applyNumberFormat="1" applyFont="1" applyFill="1" applyBorder="1" applyAlignment="1">
      <x:alignment horizontal="right" vertical="center"/>
    </x:xf>
    <x:xf numFmtId="204" fontId="6" fillId="0" borderId="1" xfId="0" applyNumberFormat="1" applyFont="1" applyFill="1" applyBorder="1" applyAlignment="1">
      <x:alignment horizontal="right" vertical="center"/>
    </x:xf>
    <x:xf numFmtId="200" fontId="4" fillId="0" borderId="1" xfId="0" applyNumberFormat="1" applyFont="1" applyFill="1" applyBorder="1" applyAlignment="1">
      <x:alignment horizontal="right" vertical="center" wrapText="1"/>
    </x:xf>
    <x:xf numFmtId="200" fontId="6" fillId="0" borderId="1" xfId="0" applyNumberFormat="1" applyFont="1" applyFill="1" applyBorder="1" applyAlignment="1">
      <x:alignment horizontal="right" vertical="center" wrapText="1"/>
    </x:xf>
    <x:xf numFmtId="201" fontId="6" fillId="0" borderId="1" xfId="0" applyNumberFormat="1" applyFont="1" applyFill="1" applyBorder="1" applyAlignment="1">
      <x:alignment horizontal="right" vertical="center" wrapText="1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8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horizontal="right" vertical="center"/>
    </x:xf>
    <x:xf numFmtId="0" fontId="6" fillId="0" borderId="9" xfId="0" applyNumberFormat="1" applyFont="1" applyFill="1" applyBorder="1" applyAlignment="1">
      <x:alignment horizontal="left" vertical="center"/>
    </x:xf>
    <x:xf numFmtId="0" fontId="6" fillId="0" borderId="9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horizontal="right" vertical="center"/>
    </x:xf>
    <x:xf numFmtId="200" fontId="6" fillId="0" borderId="8" xfId="0" applyNumberFormat="1" applyFont="1" applyFill="1" applyBorder="1" applyAlignment="1">
      <x:alignment horizontal="right" vertical="center"/>
    </x:xf>
    <x:xf numFmtId="200" fontId="6" fillId="0" borderId="9" xfId="0" applyNumberFormat="1" applyFont="1" applyFill="1" applyBorder="1" applyAlignment="1">
      <x:alignment horizontal="right" vertical="center"/>
    </x:xf>
    <x:xf numFmtId="204" fontId="6" fillId="0" borderId="8" xfId="0" applyNumberFormat="1" applyFont="1" applyFill="1" applyBorder="1" applyAlignment="1">
      <x:alignment horizontal="right" vertical="center"/>
    </x:xf>
    <x:xf numFmtId="204" fontId="6" fillId="0" borderId="9" xfId="0" applyNumberFormat="1" applyFont="1" applyFill="1" applyBorder="1" applyAlignment="1">
      <x:alignment horizontal="right" vertical="center"/>
    </x:xf>
    <x:xf numFmtId="201" fontId="6" fillId="0" borderId="8" xfId="0" applyNumberFormat="1" applyFont="1" applyFill="1" applyBorder="1" applyAlignment="1">
      <x:alignment horizontal="right" vertical="center"/>
    </x:xf>
    <x:xf numFmtId="201" fontId="6" fillId="0" borderId="9" xfId="0" applyNumberFormat="1" applyFont="1" applyFill="1" applyBorder="1" applyAlignment="1">
      <x:alignment horizontal="right" vertical="center"/>
    </x:xf>
    <x:xf numFmtId="0" fontId="6" fillId="0" borderId="8" xfId="0" applyNumberFormat="1" applyFont="1" applyFill="1" applyBorder="1" applyAlignment="1">
      <x:alignment horizontal="left" vertical="center" wrapText="1"/>
    </x:xf>
    <x:xf numFmtId="200" fontId="4" fillId="0" borderId="8" xfId="0" applyNumberFormat="1" applyFont="1" applyFill="1" applyBorder="1" applyAlignment="1">
      <x:alignment vertical="center" wrapText="1"/>
    </x:xf>
    <x:xf numFmtId="200" fontId="4" fillId="0" borderId="8" xfId="0" applyNumberFormat="1" applyFont="1" applyFill="1" applyBorder="1" applyAlignment="1">
      <x:alignment horizontal="right" vertical="center" wrapText="1"/>
    </x:xf>
    <x:xf numFmtId="0" fontId="6" fillId="0" borderId="8" xfId="0" applyNumberFormat="1" applyFont="1" applyFill="1" applyBorder="1" applyAlignment="1">
      <x:alignment horizontal="right" vertical="center" wrapText="1"/>
    </x:xf>
    <x:xf numFmtId="0" fontId="6" fillId="0" borderId="8" xfId="0" applyNumberFormat="1" applyFont="1" applyFill="1" applyBorder="1" applyAlignment="1">
      <x:alignment horizontal="right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200" fontId="4" fillId="0" borderId="9" xfId="0" applyNumberFormat="1" applyFont="1" applyFill="1" applyBorder="1" applyAlignment="1">
      <x:alignment vertical="center" wrapText="1"/>
    </x:xf>
    <x:xf numFmtId="200" fontId="4" fillId="0" borderId="9" xfId="0" applyNumberFormat="1" applyFont="1" applyFill="1" applyBorder="1" applyAlignment="1">
      <x:alignment horizontal="right" vertical="center" wrapText="1"/>
    </x:xf>
    <x:xf numFmtId="0" fontId="6" fillId="0" borderId="9" xfId="0" applyNumberFormat="1" applyFont="1" applyFill="1" applyBorder="1" applyAlignment="1">
      <x:alignment horizontal="right" vertical="center" wrapText="1"/>
    </x:xf>
    <x:xf numFmtId="0" fontId="6" fillId="0" borderId="9" xfId="0" applyNumberFormat="1" applyFont="1" applyFill="1" applyBorder="1" applyAlignment="1">
      <x:alignment horizontal="right" vertical="center"/>
    </x:xf>
    <x:xf numFmtId="200" fontId="6" fillId="0" borderId="8" xfId="0" applyNumberFormat="1" applyFont="1" applyFill="1" applyBorder="1" applyAlignment="1">
      <x:alignment vertical="center"/>
    </x:xf>
    <x:xf numFmtId="200" fontId="6" fillId="0" borderId="9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horizontal="left"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horizontal="left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right" vertical="center" wrapText="1"/>
    </x:xf>
    <x:xf numFmtId="0" fontId="3" fillId="5" borderId="4" xfId="0" applyNumberFormat="1" applyFont="1" applyFill="1" applyBorder="1" applyAlignment="1">
      <x:alignment horizontal="right" vertical="center" wrapText="1"/>
    </x:xf>
    <x:xf numFmtId="0" fontId="6" fillId="5" borderId="0" xfId="0" applyNumberFormat="1" applyFont="1" applyFill="1" applyBorder="1" applyAlignment="1">
      <x:alignment horizontal="left"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right" vertical="center" wrapText="1"/>
    </x:xf>
    <x:xf numFmtId="0" fontId="4" fillId="5" borderId="5" xfId="0" applyNumberFormat="1" applyFont="1" applyFill="1" applyBorder="1" applyAlignment="1">
      <x:alignment horizontal="right" vertical="center" wrapText="1"/>
    </x:xf>
    <x:xf numFmtId="0" fontId="6" fillId="5" borderId="0" xfId="0" applyNumberFormat="1" applyFont="1" applyFill="1" applyBorder="1" applyAlignment="1">
      <x:alignment horizontal="left"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right" vertical="center"/>
    </x:xf>
    <x:xf numFmtId="0" fontId="6" fillId="5" borderId="5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horizontal="left" vertical="center"/>
    </x:xf>
    <x:xf numFmtId="0" fontId="5" fillId="5" borderId="0" xfId="0" applyNumberFormat="1" applyFont="1" applyFill="1" applyBorder="1" applyAlignment="1">
      <x:alignment horizontal="right" vertical="center"/>
    </x:xf>
    <x:xf numFmtId="0" fontId="5" fillId="5" borderId="5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horizontal="left" vertical="center" wrapText="1"/>
    </x:xf>
    <x:xf numFmtId="200" fontId="6" fillId="5" borderId="0" xfId="0" applyNumberFormat="1" applyFont="1" applyFill="1" applyBorder="1" applyAlignment="1">
      <x:alignment vertical="center"/>
    </x:xf>
    <x:xf numFmtId="202" fontId="4" fillId="5" borderId="0" xfId="0" applyNumberFormat="1" applyFont="1" applyFill="1" applyBorder="1" applyAlignment="1">
      <x:alignment horizontal="right" vertical="center"/>
    </x:xf>
    <x:xf numFmtId="202" fontId="4" fillId="5" borderId="5" xfId="0" applyNumberFormat="1" applyFont="1" applyFill="1" applyBorder="1" applyAlignment="1">
      <x:alignment horizontal="right" vertical="center"/>
    </x:xf>
    <x:xf numFmtId="0" fontId="6" fillId="5" borderId="0" xfId="0" applyNumberFormat="1" applyFont="1" applyFill="1" applyBorder="1" applyAlignment="1">
      <x:alignment horizontal="right" vertical="center" wrapText="1"/>
    </x:xf>
    <x:xf numFmtId="203" fontId="4" fillId="5" borderId="0" xfId="0" applyNumberFormat="1" applyFont="1" applyFill="1" applyBorder="1" applyAlignment="1">
      <x:alignment horizontal="right" vertical="center"/>
    </x:xf>
    <x:xf numFmtId="203" fontId="4" fillId="5" borderId="5" xfId="0" applyNumberFormat="1" applyFont="1" applyFill="1" applyBorder="1" applyAlignment="1">
      <x:alignment horizontal="right" vertical="center"/>
    </x:xf>
    <x:xf numFmtId="0" fontId="1" fillId="5" borderId="1" xfId="0" applyNumberFormat="1" applyFont="1" applyFill="1" applyBorder="1" applyAlignment="1">
      <x:alignment horizontal="left" vertical="center"/>
    </x:xf>
    <x:xf numFmtId="0" fontId="1" fillId="5" borderId="1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horizontal="left"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horizontal="left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right" vertical="center" wrapText="1"/>
    </x:xf>
    <x:xf numFmtId="0" fontId="3" fillId="5" borderId="6" xfId="0" applyNumberFormat="1" applyFont="1" applyFill="1" applyBorder="1" applyAlignment="1">
      <x:alignment horizontal="right" vertical="center" wrapText="1"/>
    </x:xf>
    <x:xf numFmtId="0" fontId="6" fillId="5" borderId="1" xfId="0" applyNumberFormat="1" applyFont="1" applyFill="1" applyBorder="1" applyAlignment="1">
      <x:alignment horizontal="left"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horizontal="right" vertical="center" wrapText="1"/>
    </x:xf>
    <x:xf numFmtId="0" fontId="4" fillId="5" borderId="7" xfId="0" applyNumberFormat="1" applyFont="1" applyFill="1" applyBorder="1" applyAlignment="1">
      <x:alignment horizontal="right" vertical="center" wrapText="1"/>
    </x:xf>
    <x:xf numFmtId="0" fontId="6" fillId="5" borderId="1" xfId="0" applyNumberFormat="1" applyFont="1" applyFill="1" applyBorder="1" applyAlignment="1">
      <x:alignment horizontal="left" vertical="center"/>
    </x:xf>
    <x:xf numFmtId="0" fontId="6" fillId="5" borderId="1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horizontal="right" vertical="center"/>
    </x:xf>
    <x:xf numFmtId="0" fontId="6" fillId="5" borderId="7" xfId="0" applyNumberFormat="1" applyFont="1" applyFill="1" applyBorder="1" applyAlignment="1">
      <x:alignment horizontal="right" vertical="center"/>
    </x:xf>
    <x:xf numFmtId="0" fontId="5" fillId="5" borderId="1" xfId="0" applyNumberFormat="1" applyFont="1" applyFill="1" applyBorder="1" applyAlignment="1">
      <x:alignment horizontal="left" vertical="center"/>
    </x:xf>
    <x:xf numFmtId="0" fontId="5" fillId="5" borderId="1" xfId="0" applyNumberFormat="1" applyFont="1" applyFill="1" applyBorder="1" applyAlignment="1">
      <x:alignment horizontal="right" vertical="center"/>
    </x:xf>
    <x:xf numFmtId="0" fontId="5" fillId="5" borderId="7" xfId="0" applyNumberFormat="1" applyFont="1" applyFill="1" applyBorder="1" applyAlignment="1">
      <x:alignment horizontal="right" vertical="center"/>
    </x:xf>
    <x:xf numFmtId="0" fontId="5" fillId="5" borderId="1" xfId="0" applyNumberFormat="1" applyFont="1" applyFill="1" applyBorder="1" applyAlignment="1">
      <x:alignment horizontal="left" vertical="center" wrapText="1"/>
    </x:xf>
    <x:xf numFmtId="200" fontId="6" fillId="5" borderId="1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horizontal="right" vertical="center"/>
    </x:xf>
    <x:xf numFmtId="202" fontId="4" fillId="5" borderId="7" xfId="0" applyNumberFormat="1" applyFont="1" applyFill="1" applyBorder="1" applyAlignment="1">
      <x:alignment horizontal="right" vertical="center"/>
    </x:xf>
    <x:xf numFmtId="0" fontId="6" fillId="5" borderId="1" xfId="0" applyNumberFormat="1" applyFont="1" applyFill="1" applyBorder="1" applyAlignment="1">
      <x:alignment horizontal="right" vertical="center" wrapText="1"/>
    </x:xf>
    <x:xf numFmtId="203" fontId="4" fillId="5" borderId="1" xfId="0" applyNumberFormat="1" applyFont="1" applyFill="1" applyBorder="1" applyAlignment="1">
      <x:alignment horizontal="right" vertical="center"/>
    </x:xf>
    <x:xf numFmtId="203" fontId="4" fillId="5" borderId="7" xfId="0" applyNumberFormat="1" applyFont="1" applyFill="1" applyBorder="1" applyAlignment="1">
      <x:alignment horizontal="right" vertical="center"/>
    </x:xf>
    <x:xf numFmtId="0" fontId="6" fillId="5" borderId="8" xfId="0" applyNumberFormat="1" applyFont="1" applyFill="1" applyBorder="1" applyAlignment="1">
      <x:alignment horizontal="left" vertical="center"/>
    </x:xf>
    <x:xf numFmtId="0" fontId="6" fillId="5" borderId="8" xfId="0" applyNumberFormat="1" applyFont="1" applyFill="1" applyBorder="1" applyAlignment="1">
      <x:alignment vertical="center"/>
    </x:xf>
    <x:xf numFmtId="200" fontId="4" fillId="5" borderId="8" xfId="0" applyNumberFormat="1" applyFont="1" applyFill="1" applyBorder="1" applyAlignment="1">
      <x:alignment horizontal="right" vertical="center"/>
    </x:xf>
    <x:xf numFmtId="200" fontId="6" fillId="5" borderId="8" xfId="0" applyNumberFormat="1" applyFont="1" applyFill="1" applyBorder="1" applyAlignment="1">
      <x:alignment horizontal="right" vertical="center"/>
    </x:xf>
    <x:xf numFmtId="204" fontId="4" fillId="5" borderId="0" xfId="0" applyNumberFormat="1" applyFont="1" applyFill="1" applyBorder="1" applyAlignment="1">
      <x:alignment horizontal="right" vertical="center"/>
    </x:xf>
    <x:xf numFmtId="204" fontId="6" fillId="5" borderId="8" xfId="0" applyNumberFormat="1" applyFont="1" applyFill="1" applyBorder="1" applyAlignment="1">
      <x:alignment horizontal="right" vertical="center"/>
    </x:xf>
    <x:xf numFmtId="204" fontId="6" fillId="5" borderId="0" xfId="0" applyNumberFormat="1" applyFont="1" applyFill="1" applyBorder="1" applyAlignment="1">
      <x:alignment horizontal="right" vertical="center"/>
    </x:xf>
    <x:xf numFmtId="201" fontId="6" fillId="5" borderId="8" xfId="0" applyNumberFormat="1" applyFont="1" applyFill="1" applyBorder="1" applyAlignment="1">
      <x:alignment horizontal="right" vertical="center"/>
    </x:xf>
    <x:xf numFmtId="200" fontId="4" fillId="5" borderId="0" xfId="0" applyNumberFormat="1" applyFont="1" applyFill="1" applyBorder="1" applyAlignment="1">
      <x:alignment horizontal="right" vertical="center" wrapText="1"/>
    </x:xf>
    <x:xf numFmtId="200" fontId="6" fillId="5" borderId="0" xfId="0" applyNumberFormat="1" applyFont="1" applyFill="1" applyBorder="1" applyAlignment="1">
      <x:alignment vertical="center" wrapText="1"/>
    </x:xf>
    <x:xf numFmtId="200" fontId="6" fillId="5" borderId="0" xfId="0" applyNumberFormat="1" applyFont="1" applyFill="1" applyBorder="1" applyAlignment="1">
      <x:alignment horizontal="right" vertical="center" wrapText="1"/>
    </x:xf>
    <x:xf numFmtId="200" fontId="4" fillId="5" borderId="0" xfId="0" applyNumberFormat="1" applyFont="1" applyFill="1" applyBorder="1" applyAlignment="1">
      <x:alignment vertical="center" wrapText="1"/>
    </x:xf>
    <x:xf numFmtId="0" fontId="6" fillId="5" borderId="8" xfId="0" applyNumberFormat="1" applyFont="1" applyFill="1" applyBorder="1" applyAlignment="1">
      <x:alignment horizontal="left" vertical="center" wrapText="1"/>
    </x:xf>
    <x:xf numFmtId="200" fontId="4" fillId="5" borderId="8" xfId="0" applyNumberFormat="1" applyFont="1" applyFill="1" applyBorder="1" applyAlignment="1">
      <x:alignment vertical="center" wrapText="1"/>
    </x:xf>
    <x:xf numFmtId="200" fontId="4" fillId="5" borderId="8" xfId="0" applyNumberFormat="1" applyFont="1" applyFill="1" applyBorder="1" applyAlignment="1">
      <x:alignment horizontal="right" vertical="center" wrapText="1"/>
    </x:xf>
    <x:xf numFmtId="0" fontId="6" fillId="5" borderId="8" xfId="0" applyNumberFormat="1" applyFont="1" applyFill="1" applyBorder="1" applyAlignment="1">
      <x:alignment horizontal="right" vertical="center" wrapText="1"/>
    </x:xf>
    <x:xf numFmtId="0" fontId="6" fillId="5" borderId="8" xfId="0" applyNumberFormat="1" applyFont="1" applyFill="1" applyBorder="1" applyAlignment="1">
      <x:alignment horizontal="right" vertical="center"/>
    </x:xf>
    <x:xf numFmtId="201" fontId="6" fillId="5" borderId="0" xfId="0" applyNumberFormat="1" applyFont="1" applyFill="1" applyBorder="1" applyAlignment="1">
      <x:alignment vertical="center" wrapText="1"/>
    </x:xf>
    <x:xf numFmtId="201" fontId="6" fillId="5" borderId="0" xfId="0" applyNumberFormat="1" applyFont="1" applyFill="1" applyBorder="1" applyAlignment="1">
      <x:alignment horizontal="right"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200" fontId="6" fillId="5" borderId="8" xfId="0" applyNumberFormat="1" applyFont="1" applyFill="1" applyBorder="1" applyAlignment="1">
      <x:alignment vertical="center"/>
    </x:xf>
    <x:xf numFmtId="201" fontId="6" fillId="5" borderId="0" xfId="0" applyNumberFormat="1" applyFont="1" applyFill="1" applyBorder="1" applyAlignment="1">
      <x:alignment vertical="center"/>
    </x:xf>
    <x:xf numFmtId="204" fontId="4" fillId="5" borderId="0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0" fontId="6" fillId="5" borderId="9" xfId="0" applyNumberFormat="1" applyFont="1" applyFill="1" applyBorder="1" applyAlignment="1">
      <x:alignment horizontal="left" vertical="center"/>
    </x:xf>
    <x:xf numFmtId="0" fontId="6" fillId="5" borderId="9" xfId="0" applyNumberFormat="1" applyFont="1" applyFill="1" applyBorder="1" applyAlignment="1">
      <x:alignment vertical="center"/>
    </x:xf>
    <x:xf numFmtId="200" fontId="4" fillId="5" borderId="9" xfId="0" applyNumberFormat="1" applyFont="1" applyFill="1" applyBorder="1" applyAlignment="1">
      <x:alignment horizontal="right" vertical="center"/>
    </x:xf>
    <x:xf numFmtId="200" fontId="6" fillId="5" borderId="9" xfId="0" applyNumberFormat="1" applyFont="1" applyFill="1" applyBorder="1" applyAlignment="1">
      <x:alignment horizontal="right" vertical="center"/>
    </x:xf>
    <x:xf numFmtId="204" fontId="4" fillId="5" borderId="1" xfId="0" applyNumberFormat="1" applyFont="1" applyFill="1" applyBorder="1" applyAlignment="1">
      <x:alignment horizontal="right" vertical="center"/>
    </x:xf>
    <x:xf numFmtId="204" fontId="6" fillId="5" borderId="9" xfId="0" applyNumberFormat="1" applyFont="1" applyFill="1" applyBorder="1" applyAlignment="1">
      <x:alignment horizontal="right" vertical="center"/>
    </x:xf>
    <x:xf numFmtId="204" fontId="6" fillId="5" borderId="1" xfId="0" applyNumberFormat="1" applyFont="1" applyFill="1" applyBorder="1" applyAlignment="1">
      <x:alignment horizontal="right" vertical="center"/>
    </x:xf>
    <x:xf numFmtId="201" fontId="6" fillId="5" borderId="9" xfId="0" applyNumberFormat="1" applyFont="1" applyFill="1" applyBorder="1" applyAlignment="1">
      <x:alignment horizontal="right" vertical="center"/>
    </x:xf>
    <x:xf numFmtId="200" fontId="4" fillId="5" borderId="1" xfId="0" applyNumberFormat="1" applyFont="1" applyFill="1" applyBorder="1" applyAlignment="1">
      <x:alignment horizontal="right" vertical="center" wrapText="1"/>
    </x:xf>
    <x:xf numFmtId="200" fontId="6" fillId="5" borderId="1" xfId="0" applyNumberFormat="1" applyFont="1" applyFill="1" applyBorder="1" applyAlignment="1">
      <x:alignment vertical="center" wrapText="1"/>
    </x:xf>
    <x:xf numFmtId="200" fontId="6" fillId="5" borderId="1" xfId="0" applyNumberFormat="1" applyFont="1" applyFill="1" applyBorder="1" applyAlignment="1">
      <x:alignment horizontal="right"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0" fontId="6" fillId="5" borderId="9" xfId="0" applyNumberFormat="1" applyFont="1" applyFill="1" applyBorder="1" applyAlignment="1">
      <x:alignment horizontal="left" vertical="center" wrapText="1"/>
    </x:xf>
    <x:xf numFmtId="200" fontId="4" fillId="5" borderId="9" xfId="0" applyNumberFormat="1" applyFont="1" applyFill="1" applyBorder="1" applyAlignment="1">
      <x:alignment vertical="center" wrapText="1"/>
    </x:xf>
    <x:xf numFmtId="200" fontId="4" fillId="5" borderId="9" xfId="0" applyNumberFormat="1" applyFont="1" applyFill="1" applyBorder="1" applyAlignment="1">
      <x:alignment horizontal="right" vertical="center" wrapText="1"/>
    </x:xf>
    <x:xf numFmtId="0" fontId="6" fillId="5" borderId="9" xfId="0" applyNumberFormat="1" applyFont="1" applyFill="1" applyBorder="1" applyAlignment="1">
      <x:alignment horizontal="right" vertical="center" wrapText="1"/>
    </x:xf>
    <x:xf numFmtId="0" fontId="6" fillId="5" borderId="9" xfId="0" applyNumberFormat="1" applyFont="1" applyFill="1" applyBorder="1" applyAlignment="1">
      <x:alignment horizontal="right" vertical="center"/>
    </x:xf>
    <x:xf numFmtId="201" fontId="6" fillId="5" borderId="1" xfId="0" applyNumberFormat="1" applyFont="1" applyFill="1" applyBorder="1" applyAlignment="1">
      <x:alignment vertical="center" wrapText="1"/>
    </x:xf>
    <x:xf numFmtId="201" fontId="6" fillId="5" borderId="1" xfId="0" applyNumberFormat="1" applyFont="1" applyFill="1" applyBorder="1" applyAlignment="1">
      <x:alignment horizontal="right"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0" fontId="6" fillId="5" borderId="9" xfId="0" applyNumberFormat="1" applyFont="1" applyFill="1" applyBorder="1" applyAlignment="1">
      <x:alignment vertical="center"/>
    </x:xf>
    <x:xf numFmtId="201" fontId="6" fillId="5" borderId="1" xfId="0" applyNumberFormat="1" applyFont="1" applyFill="1" applyBorder="1" applyAlignment="1">
      <x:alignment vertical="center"/>
    </x:xf>
    <x:xf numFmtId="204" fontId="4" fillId="5" borderId="1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0" fontId="6" fillId="2" borderId="5" xfId="0" applyNumberFormat="1" applyFont="1" applyFill="1" applyBorder="1" applyAlignment="1">
      <x:alignment horizontal="right" vertical="center"/>
    </x:xf>
    <x:xf numFmtId="0" fontId="6" fillId="2" borderId="0" xfId="0" applyNumberFormat="1" applyFont="1" applyFill="1" applyBorder="1" applyAlignment="1">
      <x:alignment horizontal="right"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7" xfId="0" applyNumberFormat="1" applyFont="1" applyFill="1" applyBorder="1" applyAlignment="1">
      <x:alignment horizontal="right" vertical="center"/>
    </x:xf>
    <x:xf numFmtId="0" fontId="6" fillId="2" borderId="1" xfId="0" applyNumberFormat="1" applyFont="1" applyFill="1" applyBorder="1" applyAlignment="1">
      <x:alignment horizontal="right" vertical="center"/>
    </x:xf>
    <x:xf numFmtId="0" fontId="6" fillId="2" borderId="1" xfId="0" applyNumberFormat="1" applyFont="1" applyFill="1" applyBorder="1" applyAlignment="1">
      <x:alignment vertical="center" wrapText="1"/>
    </x:xf>
    <x:xf numFmtId="0" fontId="9" fillId="2" borderId="5" xfId="0" applyNumberFormat="1" applyFont="1" applyFill="1" applyBorder="1" applyAlignment="1">
      <x:alignment horizontal="right" vertical="center"/>
    </x:xf>
    <x:xf numFmtId="0" fontId="9" fillId="2" borderId="0" xfId="0" applyNumberFormat="1" applyFont="1" applyFill="1" applyBorder="1" applyAlignment="1">
      <x:alignment horizontal="right" vertical="center"/>
    </x:xf>
    <x:xf numFmtId="0" fontId="9" fillId="2" borderId="0" xfId="0" applyNumberFormat="1" applyFont="1" applyFill="1" applyBorder="1" applyAlignment="1">
      <x:alignment vertical="center" wrapText="1"/>
    </x:xf>
    <x:xf numFmtId="0" fontId="9" fillId="2" borderId="7" xfId="0" applyNumberFormat="1" applyFont="1" applyFill="1" applyBorder="1" applyAlignment="1">
      <x:alignment horizontal="right" vertical="center"/>
    </x:xf>
    <x:xf numFmtId="0" fontId="9" fillId="2" borderId="1" xfId="0" applyNumberFormat="1" applyFont="1" applyFill="1" applyBorder="1" applyAlignment="1">
      <x:alignment horizontal="right" vertical="center"/>
    </x:xf>
    <x:xf numFmtId="0" fontId="9" fillId="2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9" fillId="5" borderId="5" xfId="0" applyNumberFormat="1" applyFont="1" applyFill="1" applyBorder="1" applyAlignment="1">
      <x:alignment horizontal="right" vertical="center"/>
    </x:xf>
    <x:xf numFmtId="0" fontId="9" fillId="5" borderId="0" xfId="0" applyNumberFormat="1" applyFont="1" applyFill="1" applyBorder="1" applyAlignment="1">
      <x:alignment horizontal="right" vertical="center"/>
    </x:xf>
    <x:xf numFmtId="0" fontId="9" fillId="5" borderId="0" xfId="0" applyNumberFormat="1" applyFont="1" applyFill="1" applyBorder="1" applyAlignment="1">
      <x:alignment vertical="center" wrapText="1"/>
    </x:xf>
    <x:xf numFmtId="0" fontId="9" fillId="5" borderId="7" xfId="0" applyNumberFormat="1" applyFont="1" applyFill="1" applyBorder="1" applyAlignment="1">
      <x:alignment horizontal="right" vertical="center"/>
    </x:xf>
    <x:xf numFmtId="0" fontId="9" fillId="5" borderId="1" xfId="0" applyNumberFormat="1" applyFont="1" applyFill="1" applyBorder="1" applyAlignment="1">
      <x:alignment horizontal="right" vertical="center"/>
    </x:xf>
    <x:xf numFmtId="0" fontId="9" fillId="5" borderId="1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cd6f64c4af4bc5" /><Relationship Type="http://schemas.openxmlformats.org/officeDocument/2006/relationships/theme" Target="/xl/theme/theme1.xml" Id="R64f76add38dc407b" /><Relationship Type="http://schemas.openxmlformats.org/officeDocument/2006/relationships/sharedStrings" Target="/xl/sharedStrings.xml" Id="R155be642874844cc" /><Relationship Type="http://schemas.openxmlformats.org/officeDocument/2006/relationships/worksheet" Target="/xl/worksheets/sheet1.xml" Id="Rf181e947a9364ebd" /><Relationship Type="http://schemas.openxmlformats.org/officeDocument/2006/relationships/worksheet" Target="/xl/worksheets/sheet2.xml" Id="R01f7fd473b1e468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0a64021c0784f12" /><Relationship Type="http://schemas.openxmlformats.org/officeDocument/2006/relationships/chart" Target="/xl/drawings/charts/chart2.xml" Id="R18b83ccdbee84b46" /><Relationship Type="http://schemas.openxmlformats.org/officeDocument/2006/relationships/chart" Target="/xl/drawings/charts/chart3.xml" Id="R2c6f6cd058f74a1c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Lit>
              <c:ptCount val="8"/>
              <c:pt idx="0">
                <c:v>FY24A</c:v>
              </c:pt>
              <c:pt idx="1">
                <c:v>FY25A</c:v>
              </c:pt>
              <c:pt idx="2">
                <c:v>FY26A</c:v>
              </c:pt>
              <c:pt idx="3">
                <c:v>FY27E</c:v>
              </c:pt>
              <c:pt idx="4">
                <c:v>FY28E</c:v>
              </c:pt>
              <c:pt idx="5">
                <c:v>FY29E</c:v>
              </c:pt>
              <c:pt idx="6">
                <c:v>FY30E</c:v>
              </c:pt>
              <c:pt idx="7">
                <c:v>FY31E</c:v>
              </c:pt>
            </c:strLit>
          </c:cat>
          <c:val>
            <c:numLit>
              <c:formatCode>General</c:formatCode>
              <c:ptCount val="8"/>
              <c:pt idx="0">
                <c:v>15585.805</c:v>
              </c:pt>
              <c:pt idx="1">
                <c:v>14768.373</c:v>
              </c:pt>
              <c:pt idx="2">
                <c:v>20229.854</c:v>
              </c:pt>
              <c:pt idx="3">
                <c:v>23230.502565</c:v>
              </c:pt>
              <c:pt idx="4">
                <c:v>26882.61282237</c:v>
              </c:pt>
              <c:pt idx="5">
                <c:v>30565.2092983173</c:v>
              </c:pt>
              <c:pt idx="6">
                <c:v>34086.6989362148</c:v>
              </c:pt>
              <c:pt idx="7">
                <c:v>37395.3043105741</c:v>
              </c:pt>
            </c:numLit>
          </c:val>
        </c:ser>
        <c:ser>
          <c:idx val="1"/>
          <c:order val="1"/>
          <c:tx>
            <c:v>Capex</c:v>
          </c:tx>
          <c:cat>
            <c:strLit>
              <c:ptCount val="8"/>
              <c:pt idx="0">
                <c:v>FY24A</c:v>
              </c:pt>
              <c:pt idx="1">
                <c:v>FY25A</c:v>
              </c:pt>
              <c:pt idx="2">
                <c:v>FY26A</c:v>
              </c:pt>
              <c:pt idx="3">
                <c:v>FY27E</c:v>
              </c:pt>
              <c:pt idx="4">
                <c:v>FY28E</c:v>
              </c:pt>
              <c:pt idx="5">
                <c:v>FY29E</c:v>
              </c:pt>
              <c:pt idx="6">
                <c:v>FY30E</c:v>
              </c:pt>
              <c:pt idx="7">
                <c:v>FY31E</c:v>
              </c:pt>
            </c:strLit>
          </c:cat>
          <c:val>
            <c:numLit>
              <c:formatCode>General</c:formatCode>
              <c:ptCount val="8"/>
              <c:pt idx="0">
                <c:v>1436.698</c:v>
              </c:pt>
              <c:pt idx="1">
                <c:v>2064.64</c:v>
              </c:pt>
              <c:pt idx="2">
                <c:v>3971.321</c:v>
              </c:pt>
              <c:pt idx="3">
                <c:v>3500</c:v>
              </c:pt>
              <c:pt idx="4">
                <c:v>3000</c:v>
              </c:pt>
              <c:pt idx="5">
                <c:v>2500</c:v>
              </c:pt>
              <c:pt idx="6">
                <c:v>2200</c:v>
              </c:pt>
              <c:pt idx="7">
                <c:v>2200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CMS Mix</c:v>
          </c:tx>
          <c:cat>
            <c:strLit>
              <c:ptCount val="8"/>
              <c:pt idx="0">
                <c:v>FY24A</c:v>
              </c:pt>
              <c:pt idx="1">
                <c:v>FY25A</c:v>
              </c:pt>
              <c:pt idx="2">
                <c:v>FY26A</c:v>
              </c:pt>
              <c:pt idx="3">
                <c:v>FY27E</c:v>
              </c:pt>
              <c:pt idx="4">
                <c:v>FY28E</c:v>
              </c:pt>
              <c:pt idx="5">
                <c:v>FY29E</c:v>
              </c:pt>
              <c:pt idx="6">
                <c:v>FY30E</c:v>
              </c:pt>
              <c:pt idx="7">
                <c:v>FY31E</c:v>
              </c:pt>
            </c:strLit>
          </c:cat>
          <c:val>
            <c:numLit>
              <c:formatCode>General</c:formatCode>
              <c:ptCount val="8"/>
              <c:pt idx="0">
                <c:v>0.49083124034979264</c:v>
              </c:pt>
              <c:pt idx="1">
                <c:v>0.4313271340045379</c:v>
              </c:pt>
              <c:pt idx="2">
                <c:v>0.6149327622433657</c:v>
              </c:pt>
              <c:pt idx="3">
                <c:v>0.6302833939572154</c:v>
              </c:pt>
              <c:pt idx="4">
                <c:v>0.6488327647037944</c:v>
              </c:pt>
              <c:pt idx="5">
                <c:v>0.6649699205926571</c:v>
              </c:pt>
              <c:pt idx="6">
                <c:v>0.6777100422433944</c:v>
              </c:pt>
              <c:pt idx="7">
                <c:v>0.6881876874130165</c:v>
              </c:pt>
            </c:numLit>
          </c:val>
          <c:smooth val="0"/>
        </c:ser>
        <c:ser>
          <c:idx val="1"/>
          <c:order val="1"/>
          <c:tx>
            <c:v>ROCE</c:v>
          </c:tx>
          <c:cat>
            <c:strLit>
              <c:ptCount val="8"/>
              <c:pt idx="0">
                <c:v>FY24A</c:v>
              </c:pt>
              <c:pt idx="1">
                <c:v>FY25A</c:v>
              </c:pt>
              <c:pt idx="2">
                <c:v>FY26A</c:v>
              </c:pt>
              <c:pt idx="3">
                <c:v>FY27E</c:v>
              </c:pt>
              <c:pt idx="4">
                <c:v>FY28E</c:v>
              </c:pt>
              <c:pt idx="5">
                <c:v>FY29E</c:v>
              </c:pt>
              <c:pt idx="6">
                <c:v>FY30E</c:v>
              </c:pt>
              <c:pt idx="7">
                <c:v>FY31E</c:v>
              </c:pt>
            </c:strLit>
          </c:cat>
          <c:val>
            <c:numLit>
              <c:formatCode>General</c:formatCode>
              <c:ptCount val="8"/>
              <c:pt idx="0">
                <c:v>0.328</c:v>
              </c:pt>
              <c:pt idx="1">
                <c:v>0.179</c:v>
              </c:pt>
              <c:pt idx="2">
                <c:v>0.261</c:v>
              </c:pt>
              <c:pt idx="3">
                <c:v>0.3162111883058502</c:v>
              </c:pt>
              <c:pt idx="4">
                <c:v>0.3187623552017334</c:v>
              </c:pt>
              <c:pt idx="5">
                <c:v>0.34065339243755977</c:v>
              </c:pt>
              <c:pt idx="6">
                <c:v>0.368890386407906</c:v>
              </c:pt>
              <c:pt idx="7">
                <c:v>0.3972756711584626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PP&amp;E + CWIP Index (FY24=1.0x)</c:v>
          </c:tx>
          <c:cat>
            <c:strLit>
              <c:ptCount val="8"/>
              <c:pt idx="0">
                <c:v>FY24A</c:v>
              </c:pt>
              <c:pt idx="1">
                <c:v>FY25A</c:v>
              </c:pt>
              <c:pt idx="2">
                <c:v>FY26A</c:v>
              </c:pt>
              <c:pt idx="3">
                <c:v>FY27E</c:v>
              </c:pt>
              <c:pt idx="4">
                <c:v>FY28E</c:v>
              </c:pt>
              <c:pt idx="5">
                <c:v>FY29E</c:v>
              </c:pt>
              <c:pt idx="6">
                <c:v>FY30E</c:v>
              </c:pt>
              <c:pt idx="7">
                <c:v>FY31E</c:v>
              </c:pt>
            </c:strLit>
          </c:cat>
          <c:val>
            <c:numLit>
              <c:formatCode>General</c:formatCode>
              <c:ptCount val="8"/>
              <c:pt idx="0">
                <c:v>1</c:v>
              </c:pt>
              <c:pt idx="1">
                <c:v>1.2631915870986987</c:v>
              </c:pt>
              <c:pt idx="2">
                <c:v>1.9376759986240188</c:v>
              </c:pt>
              <c:pt idx="3">
                <c:v>2.384695011927281</c:v>
              </c:pt>
              <c:pt idx="4">
                <c:v>2.697188560977566</c:v>
              </c:pt>
              <c:pt idx="5">
                <c:v>2.8949999379718068</c:v>
              </c:pt>
              <c:pt idx="6">
                <c:v>3.0252927730735384</c:v>
              </c:pt>
              <c:pt idx="7">
                <c:v>3.14525815077195</c:v>
              </c:pt>
            </c:numLit>
          </c:val>
          <c:smooth val="0"/>
        </c:ser>
        <c:ser>
          <c:idx val="1"/>
          <c:order val="1"/>
          <c:tx>
            <c:v>Fixed Asset Turnover (x)</c:v>
          </c:tx>
          <c:cat>
            <c:strLit>
              <c:ptCount val="8"/>
              <c:pt idx="0">
                <c:v>FY24A</c:v>
              </c:pt>
              <c:pt idx="1">
                <c:v>FY25A</c:v>
              </c:pt>
              <c:pt idx="2">
                <c:v>FY26A</c:v>
              </c:pt>
              <c:pt idx="3">
                <c:v>FY27E</c:v>
              </c:pt>
              <c:pt idx="4">
                <c:v>FY28E</c:v>
              </c:pt>
              <c:pt idx="5">
                <c:v>FY29E</c:v>
              </c:pt>
              <c:pt idx="6">
                <c:v>FY30E</c:v>
              </c:pt>
              <c:pt idx="7">
                <c:v>FY31E</c:v>
              </c:pt>
            </c:strLit>
          </c:cat>
          <c:val>
            <c:numLit>
              <c:formatCode>General</c:formatCode>
              <c:ptCount val="8"/>
              <c:pt idx="0">
                <c:v>3.1</c:v>
              </c:pt>
              <c:pt idx="1">
                <c:v>2.3</c:v>
              </c:pt>
              <c:pt idx="2">
                <c:v>2.6</c:v>
              </c:pt>
              <c:pt idx="3">
                <c:v>2.152212219650672</c:v>
              </c:pt>
              <c:pt idx="4">
                <c:v>1.9511089086838287</c:v>
              </c:pt>
              <c:pt idx="5">
                <c:v>1.9730375158336075</c:v>
              </c:pt>
              <c:pt idx="6">
                <c:v>2.0738077202108283</c:v>
              </c:pt>
              <c:pt idx="7">
                <c:v>2.1870813143257193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16</xdr:col>
      <xdr:colOff>0</xdr:colOff>
      <xdr:row>4</xdr:row>
      <xdr:rowOff>0</xdr:rowOff>
    </xdr:from>
    <xdr:to>
      <xdr:col>26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a64021c0784f12"/>
        </a:graphicData>
      </a:graphic>
    </xdr:graphicFrame>
    <xdr:clientData/>
  </xdr:twoCellAnchor>
  <xdr:twoCellAnchor>
    <xdr:from>
      <xdr:col>16</xdr:col>
      <xdr:colOff>0</xdr:colOff>
      <xdr:row>20</xdr:row>
      <xdr:rowOff>0</xdr:rowOff>
    </xdr:from>
    <xdr:to>
      <xdr:col>26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b83ccdbee84b46"/>
        </a:graphicData>
      </a:graphic>
    </xdr:graphicFrame>
    <xdr:clientData/>
  </xdr:twoCellAnchor>
  <xdr:twoCellAnchor>
    <xdr:from>
      <xdr:col>16</xdr:col>
      <xdr:colOff>0</xdr:colOff>
      <xdr:row>36</xdr:row>
      <xdr:rowOff>0</xdr:rowOff>
    </xdr:from>
    <xdr:to>
      <xdr:col>26</xdr:col>
      <xdr:colOff>0</xdr:colOff>
      <xdr:row>51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6f6cd058f74a1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c56c7b07f5748fc" /></Relationships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2" hidden="0" customWidth="1"/>
    <x:col min="3" max="3" width="1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34" hidden="0" customWidth="1"/>
  </x:cols>
  <x:sheetData>
    <x:row r="1" ht="26" customHeight="1">
      <x:c r="A1" s="158" t="str">
        <x:v>Neuland Laboratories — Quarterly Monitoring &amp; Capex Tracker</x:v>
      </x:c>
      <x:c r="B1" s="108"/>
      <x:c r="C1" s="108"/>
      <x:c r="D1" s="108"/>
      <x:c r="E1" s="108"/>
      <x:c r="F1" s="108"/>
      <x:c r="G1" s="108"/>
      <x:c r="H1" s="108"/>
      <x:c r="I1" s="108"/>
      <x:c r="J1" s="108"/>
      <x:c r="K1" s="108"/>
      <x:c r="L1" s="108"/>
      <x:c r="M1" s="108"/>
      <x:c r="N1" s="108"/>
      <x:c r="O1" s="108"/>
      <x:c r="P1" s="222"/>
    </x:row>
    <x:row r="2" ht="26" customHeight="1">
      <x:c r="A2" s="331" t="str">
        <x:v>INR million unless stated | Consolidated financials | Segment revenue derived from reported rounded mix is explicitly labelled Analyst Estimate</x:v>
      </x:c>
      <x:c r="B2" s="332"/>
      <x:c r="C2" s="332"/>
      <x:c r="D2" s="332"/>
      <x:c r="E2" s="332"/>
      <x:c r="F2" s="332"/>
      <x:c r="G2" s="332"/>
      <x:c r="H2" s="332"/>
      <x:c r="I2" s="332"/>
      <x:c r="J2" s="332"/>
      <x:c r="K2" s="332"/>
      <x:c r="L2" s="332"/>
      <x:c r="M2" s="332"/>
      <x:c r="N2" s="332"/>
      <x:c r="O2" s="332"/>
      <x:c r="P2" s="332"/>
    </x:row>
    <x:row r="3">
      <x:c r="A3" s="160" t="str">
        <x:v>Metric</x:v>
      </x:c>
      <x:c r="B3" s="15" t="str">
        <x:v>Units</x:v>
      </x:c>
      <x:c r="C3" s="15" t="str">
        <x:v>Status</x:v>
      </x:c>
      <x:c r="D3" s="168" t="str">
        <x:v>Q1FY25</x:v>
      </x:c>
      <x:c r="E3" s="168" t="str">
        <x:v>Q2FY25</x:v>
      </x:c>
      <x:c r="F3" s="168" t="str">
        <x:v>Q3FY25</x:v>
      </x:c>
      <x:c r="G3" s="168" t="str">
        <x:v>Q4FY25</x:v>
      </x:c>
      <x:c r="H3" s="168" t="str">
        <x:v>Q1FY26</x:v>
      </x:c>
      <x:c r="I3" s="168" t="str">
        <x:v>Q2FY26</x:v>
      </x:c>
      <x:c r="J3" s="168" t="str">
        <x:v>Q3FY26</x:v>
      </x:c>
      <x:c r="K3" s="169" t="str">
        <x:v>Q4FY26</x:v>
      </x:c>
      <x:c r="L3" s="168" t="str">
        <x:v>Q1FY27</x:v>
      </x:c>
      <x:c r="M3" s="168" t="str">
        <x:v>Q2FY27</x:v>
      </x:c>
      <x:c r="N3" s="168" t="str">
        <x:v>Q3FY27</x:v>
      </x:c>
      <x:c r="O3" s="168" t="str">
        <x:v>Q4FY27</x:v>
      </x:c>
      <x:c r="P3" s="15" t="str">
        <x:v>Source / Note</x:v>
      </x:c>
    </x:row>
    <x:row r="4" ht="30" customHeight="1">
      <x:c r="A4" s="337" t="str">
        <x:v>Official financial result source</x:v>
      </x:c>
      <x:c r="B4" s="338" t="str">
        <x:v>URL</x:v>
      </x:c>
      <x:c r="C4" s="338" t="str">
        <x:v>Reported</x:v>
      </x:c>
      <x:c r="D4" s="339" t="str">
        <x:v>https://www.neulandlabs.com/sites/neulandlabs/files/neuland-labs/Investors/board-meeting/2024-25/q1fy25/signed-seintimation-bmoutcome-q1fy25.pdf</x:v>
      </x:c>
      <x:c r="E4" s="339" t="str">
        <x:v>https://www.neulandlabs.com/sites/neulandlabs/files/neuland-labs/Investors/board-meeting/2024-25/q2fy25/BMOutcome06112024.pdf</x:v>
      </x:c>
      <x:c r="F4" s="339" t="str">
        <x:v>https://www.neulandlabs.com/sites/neulandlabs/files/neuland-labs/Investors/board-meeting/2024-25/q3fy25/SignedBMOutcome100225_FR.pdf</x:v>
      </x:c>
      <x:c r="G4" s="339" t="str">
        <x:v>https://www.neulandlabs.com/sites/neulandlabs/files/neuland-labs/Investors/board-meeting/2024-25/q4fy25/SignedBMOutcome_15052025.pdf</x:v>
      </x:c>
      <x:c r="H4" s="339" t="str">
        <x:v>https://www.neulandlabs.com/sites/default/files/neuland-labs/Investors/quarterly-results/SEBMOutcome31_07_2025.pdf</x:v>
      </x:c>
      <x:c r="I4" s="339" t="str">
        <x:v>https://www.neulandlabs.com/sites/default/files/neuland-labs/Investors/quarterly-results/SignedBMOutcome_071125.pdf</x:v>
      </x:c>
      <x:c r="J4" s="339" t="str">
        <x:v>https://nsearchives.nseindia.com/corporate/ixbrl/INTEGRATED_FILING_INDAS_141246_09022026165612_iXBRL_WEB.html</x:v>
      </x:c>
      <x:c r="K4" s="340" t="str">
        <x:v>https://www.neulandlabs.com/sites/default/files/neuland-labs/Investors/quarterly-results/SignedBMOutcome12052026.pdf</x:v>
      </x:c>
      <x:c r="L4" s="172"/>
      <x:c r="M4" s="172"/>
      <x:c r="N4" s="172"/>
      <x:c r="O4" s="172"/>
      <x:c r="P4" s="338" t="str">
        <x:v>Official company / NSE filings</x:v>
      </x:c>
    </x:row>
    <x:row r="5">
      <x:c r="A5" s="341"/>
      <x:c r="B5" s="342"/>
      <x:c r="C5" s="342"/>
      <x:c r="D5" s="343"/>
      <x:c r="E5" s="343"/>
      <x:c r="F5" s="343"/>
      <x:c r="G5" s="343"/>
      <x:c r="H5" s="343"/>
      <x:c r="I5" s="343"/>
      <x:c r="J5" s="343"/>
      <x:c r="K5" s="344"/>
      <x:c r="L5" s="343"/>
      <x:c r="M5" s="343"/>
      <x:c r="N5" s="343"/>
      <x:c r="O5" s="343"/>
      <x:c r="P5" s="338"/>
    </x:row>
    <x:row r="6" ht="20" customHeight="1">
      <x:c r="A6" s="30" t="str">
        <x:v>A. Latest-Quarter Scorecard / 8-Quarter Monitor</x:v>
      </x:c>
      <x:c r="B6" s="30"/>
      <x:c r="C6" s="30"/>
      <x:c r="D6" s="175"/>
      <x:c r="E6" s="175"/>
      <x:c r="F6" s="175"/>
      <x:c r="G6" s="175"/>
      <x:c r="H6" s="175"/>
      <x:c r="I6" s="175"/>
      <x:c r="J6" s="175"/>
      <x:c r="K6" s="176"/>
      <x:c r="L6" s="175"/>
      <x:c r="M6" s="175"/>
      <x:c r="N6" s="175"/>
      <x:c r="O6" s="175"/>
      <x:c r="P6" s="223"/>
    </x:row>
    <x:row r="7">
      <x:c r="A7" s="341" t="str">
        <x:v>Revenue</x:v>
      </x:c>
      <x:c r="B7" s="342" t="str">
        <x:v>INR m</x:v>
      </x:c>
      <x:c r="C7" s="342" t="str">
        <x:v>Formula</x:v>
      </x:c>
      <x:c r="D7" s="260" t="n">
        <x:f>IF(D42="","",D42)</x:f>
        <x:v>4396.017</x:v>
      </x:c>
      <x:c r="E7" s="260" t="n">
        <x:f>IF(E42="","",E42)</x:f>
        <x:v>3108.438</x:v>
      </x:c>
      <x:c r="F7" s="260" t="n">
        <x:f>IF(F42="","",F42)</x:f>
        <x:v>3980.318</x:v>
      </x:c>
      <x:c r="G7" s="260" t="n">
        <x:f>IF(G42="","",G42)</x:f>
        <x:v>3283.6</x:v>
      </x:c>
      <x:c r="H7" s="260" t="n">
        <x:f>IF(H42="","",H42)</x:f>
        <x:v>2927.527</x:v>
      </x:c>
      <x:c r="I7" s="260" t="n">
        <x:f>IF(I42="","",I42)</x:f>
        <x:v>5142.731</x:v>
      </x:c>
      <x:c r="J7" s="260" t="n">
        <x:f>IF(J42="","",J42)</x:f>
        <x:v>4397.093</x:v>
      </x:c>
      <x:c r="K7" s="261" t="n">
        <x:f>IF(K42="","",K42)</x:f>
        <x:v>7762.503</x:v>
      </x:c>
      <x:c r="L7" s="260" t="str">
        <x:f>IF(L42="","",L42)</x:f>
      </x:c>
      <x:c r="M7" s="260" t="str">
        <x:f>IF(M42="","",M42)</x:f>
      </x:c>
      <x:c r="N7" s="260" t="str">
        <x:f>IF(N42="","",N42)</x:f>
      </x:c>
      <x:c r="O7" s="260" t="str">
        <x:f>IF(O42="","",O42)</x:f>
      </x:c>
      <x:c r="P7" s="338"/>
    </x:row>
    <x:row r="8">
      <x:c r="A8" s="341" t="str">
        <x:v>YoY Revenue Growth</x:v>
      </x:c>
      <x:c r="B8" s="342" t="str">
        <x:v>%</x:v>
      </x:c>
      <x:c r="C8" s="342" t="str">
        <x:v>Formula</x:v>
      </x:c>
      <x:c r="D8" s="262"/>
      <x:c r="E8" s="262"/>
      <x:c r="F8" s="262"/>
      <x:c r="G8" s="262"/>
      <x:c r="H8" s="262" t="n">
        <x:f>IF(OR(H7="",D7=""),"",H7/D7-1)</x:f>
        <x:v>-0.33405011855049693</x:v>
      </x:c>
      <x:c r="I8" s="262" t="n">
        <x:f>IF(OR(I7="",E7=""),"",I7/E7-1)</x:f>
        <x:v>0.6544421989436493</x:v>
      </x:c>
      <x:c r="J8" s="262" t="n">
        <x:f>IF(OR(J7="",F7=""),"",J7/F7-1)</x:f>
        <x:v>0.10470897048929251</x:v>
      </x:c>
      <x:c r="K8" s="263" t="n">
        <x:f>IF(OR(K7="",G7=""),"",K7/G7-1)</x:f>
        <x:v>1.3640221098794005</x:v>
      </x:c>
      <x:c r="L8" s="262" t="str">
        <x:f>IF(OR(L7="",H7=""),"",L7/H7-1)</x:f>
      </x:c>
      <x:c r="M8" s="262" t="str">
        <x:f>IF(OR(M7="",I7=""),"",M7/I7-1)</x:f>
      </x:c>
      <x:c r="N8" s="262" t="str">
        <x:f>IF(OR(N7="",J7=""),"",N7/J7-1)</x:f>
      </x:c>
      <x:c r="O8" s="262" t="str">
        <x:f>IF(OR(O7="",K7=""),"",O7/K7-1)</x:f>
      </x:c>
      <x:c r="P8" s="338"/>
    </x:row>
    <x:row r="9">
      <x:c r="A9" s="341" t="str">
        <x:v>QoQ Revenue Growth</x:v>
      </x:c>
      <x:c r="B9" s="342" t="str">
        <x:v>%</x:v>
      </x:c>
      <x:c r="C9" s="342" t="str">
        <x:v>Formula</x:v>
      </x:c>
      <x:c r="D9" s="262"/>
      <x:c r="E9" s="262" t="n">
        <x:f>IF(OR(E7="",D7=""),"",E7/D7-1)</x:f>
        <x:v>-0.29289672901628905</x:v>
      </x:c>
      <x:c r="F9" s="262" t="n">
        <x:f>IF(OR(F7="",E7=""),"",F7/E7-1)</x:f>
        <x:v>0.28048814227595975</x:v>
      </x:c>
      <x:c r="G9" s="262" t="n">
        <x:f>IF(OR(G7="",F7=""),"",G7/F7-1)</x:f>
        <x:v>-0.1750407881983299</x:v>
      </x:c>
      <x:c r="H9" s="262" t="n">
        <x:f>IF(OR(H7="",G7=""),"",H7/G7-1)</x:f>
        <x:v>-0.10843982214642467</x:v>
      </x:c>
      <x:c r="I9" s="262" t="n">
        <x:f>IF(OR(I7="",H7=""),"",I7/H7-1)</x:f>
        <x:v>0.7566809802266554</x:v>
      </x:c>
      <x:c r="J9" s="262" t="n">
        <x:f>IF(OR(J7="",I7=""),"",J7/I7-1)</x:f>
        <x:v>-0.1449887229178427</x:v>
      </x:c>
      <x:c r="K9" s="263" t="n">
        <x:f>IF(OR(K7="",J7=""),"",K7/J7-1)</x:f>
        <x:v>0.7653715761754414</x:v>
      </x:c>
      <x:c r="L9" s="262" t="str">
        <x:f>IF(OR(L7="",K7=""),"",L7/K7-1)</x:f>
      </x:c>
      <x:c r="M9" s="262" t="str">
        <x:f>IF(OR(M7="",L7=""),"",M7/L7-1)</x:f>
      </x:c>
      <x:c r="N9" s="262" t="str">
        <x:f>IF(OR(N7="",M7=""),"",N7/M7-1)</x:f>
      </x:c>
      <x:c r="O9" s="262" t="str">
        <x:f>IF(OR(O7="",N7=""),"",O7/N7-1)</x:f>
      </x:c>
      <x:c r="P9" s="338"/>
    </x:row>
    <x:row r="10">
      <x:c r="A10" s="341" t="str">
        <x:v>EBITDA</x:v>
      </x:c>
      <x:c r="B10" s="342" t="str">
        <x:v>INR m</x:v>
      </x:c>
      <x:c r="C10" s="342" t="str">
        <x:v>Formula</x:v>
      </x:c>
      <x:c r="D10" s="260" t="n">
        <x:f>IF(D50="","",D50)</x:f>
        <x:v>1281.6679999999997</x:v>
      </x:c>
      <x:c r="E10" s="260" t="n">
        <x:f>IF(E50="","",E50)</x:f>
        <x:v>665.6020000000003</x:v>
      </x:c>
      <x:c r="F10" s="260" t="n">
        <x:f>IF(F50="","",F50)</x:f>
        <x:v>905.0390000000002</x:v>
      </x:c>
      <x:c r="G10" s="260" t="n">
        <x:f>IF(G50="","",G50)</x:f>
        <x:v>585.3819999999996</x:v>
      </x:c>
      <x:c r="H10" s="260" t="n">
        <x:f>IF(H50="","",H50)</x:f>
        <x:v>423.44799999999987</x:v>
      </x:c>
      <x:c r="I10" s="260" t="n">
        <x:f>IF(I50="","",I50)</x:f>
        <x:v>1573.451</x:v>
      </x:c>
      <x:c r="J10" s="260" t="n">
        <x:f>IF(J50="","",J50)</x:f>
        <x:v>851.8530000000001</x:v>
      </x:c>
      <x:c r="K10" s="261" t="n">
        <x:f>IF(K50="","",K50)</x:f>
        <x:v>3197.887999999999</x:v>
      </x:c>
      <x:c r="L10" s="260" t="str">
        <x:f>IF(L50="","",L50)</x:f>
      </x:c>
      <x:c r="M10" s="260" t="str">
        <x:f>IF(M50="","",M50)</x:f>
      </x:c>
      <x:c r="N10" s="260" t="str">
        <x:f>IF(N50="","",N50)</x:f>
      </x:c>
      <x:c r="O10" s="260" t="str">
        <x:f>IF(O50="","",O50)</x:f>
      </x:c>
      <x:c r="P10" s="338"/>
    </x:row>
    <x:row r="11">
      <x:c r="A11" s="341" t="str">
        <x:v>EBITDA Margin</x:v>
      </x:c>
      <x:c r="B11" s="342" t="str">
        <x:v>%</x:v>
      </x:c>
      <x:c r="C11" s="342" t="str">
        <x:v>Formula</x:v>
      </x:c>
      <x:c r="D11" s="262" t="n">
        <x:f>IF(D51="","",D51)</x:f>
        <x:v>0.29155210273299664</x:v>
      </x:c>
      <x:c r="E11" s="262" t="n">
        <x:f>IF(E51="","",E51)</x:f>
        <x:v>0.21412748139097523</x:v>
      </x:c>
      <x:c r="F11" s="262" t="n">
        <x:f>IF(F51="","",F51)</x:f>
        <x:v>0.22737856623516015</x:v>
      </x:c>
      <x:c r="G11" s="262" t="n">
        <x:f>IF(G51="","",G51)</x:f>
        <x:v>0.1782744548666097</x:v>
      </x:c>
      <x:c r="H11" s="262" t="n">
        <x:f>IF(H51="","",H51)</x:f>
        <x:v>0.14464358484140363</x:v>
      </x:c>
      <x:c r="I11" s="262" t="n">
        <x:f>IF(I51="","",I51)</x:f>
        <x:v>0.3059563099839366</x:v>
      </x:c>
      <x:c r="J11" s="262" t="n">
        <x:f>IF(J51="","",J51)</x:f>
        <x:v>0.19373094906111835</x:v>
      </x:c>
      <x:c r="K11" s="263" t="n">
        <x:f>IF(K51="","",K51)</x:f>
        <x:v>0.4119660887731701</x:v>
      </x:c>
      <x:c r="L11" s="262" t="str">
        <x:f>IF(L51="","",L51)</x:f>
      </x:c>
      <x:c r="M11" s="262" t="str">
        <x:f>IF(M51="","",M51)</x:f>
      </x:c>
      <x:c r="N11" s="262" t="str">
        <x:f>IF(N51="","",N51)</x:f>
      </x:c>
      <x:c r="O11" s="262" t="str">
        <x:f>IF(O51="","",O51)</x:f>
      </x:c>
      <x:c r="P11" s="338"/>
    </x:row>
    <x:row r="12">
      <x:c r="A12" s="341" t="str">
        <x:v>EBITDA Margin YoY Change</x:v>
      </x:c>
      <x:c r="B12" s="342" t="str">
        <x:v>ppt</x:v>
      </x:c>
      <x:c r="C12" s="342" t="str">
        <x:v>Formula</x:v>
      </x:c>
      <x:c r="D12" s="262"/>
      <x:c r="E12" s="262"/>
      <x:c r="F12" s="262"/>
      <x:c r="G12" s="262"/>
      <x:c r="H12" s="262" t="n">
        <x:f>IF(OR(H11="",D11=""),"",H11-D11)</x:f>
        <x:v>-0.146908517891593</x:v>
      </x:c>
      <x:c r="I12" s="262" t="n">
        <x:f>IF(OR(I11="",E11=""),"",I11-E11)</x:f>
        <x:v>0.09182882859296135</x:v>
      </x:c>
      <x:c r="J12" s="262" t="n">
        <x:f>IF(OR(J11="",F11=""),"",J11-F11)</x:f>
        <x:v>-0.0336476171740418</x:v>
      </x:c>
      <x:c r="K12" s="263" t="n">
        <x:f>IF(OR(K11="",G11=""),"",K11-G11)</x:f>
        <x:v>0.2336916339065604</x:v>
      </x:c>
      <x:c r="L12" s="262" t="str">
        <x:f>IF(OR(L11="",H11=""),"",L11-H11)</x:f>
      </x:c>
      <x:c r="M12" s="262" t="str">
        <x:f>IF(OR(M11="",I11=""),"",M11-I11)</x:f>
      </x:c>
      <x:c r="N12" s="262" t="str">
        <x:f>IF(OR(N11="",J11=""),"",N11-J11)</x:f>
      </x:c>
      <x:c r="O12" s="262" t="str">
        <x:f>IF(OR(O11="",K11=""),"",O11-K11)</x:f>
      </x:c>
      <x:c r="P12" s="338"/>
    </x:row>
    <x:row r="13">
      <x:c r="A13" s="341" t="str">
        <x:v>PAT</x:v>
      </x:c>
      <x:c r="B13" s="342" t="str">
        <x:v>INR m</x:v>
      </x:c>
      <x:c r="C13" s="342" t="str">
        <x:v>Formula</x:v>
      </x:c>
      <x:c r="D13" s="260" t="n">
        <x:f>IF(D59="","",D59)</x:f>
        <x:v>978.727</x:v>
      </x:c>
      <x:c r="E13" s="260" t="n">
        <x:f>IF(E59="","",E59)</x:f>
        <x:v>328.427</x:v>
      </x:c>
      <x:c r="F13" s="260" t="n">
        <x:f>IF(F59="","",F59)</x:f>
        <x:v>1015.868</x:v>
      </x:c>
      <x:c r="G13" s="260" t="n">
        <x:f>IF(G59="","",G59)</x:f>
        <x:v>278.059</x:v>
      </x:c>
      <x:c r="H13" s="260" t="n">
        <x:f>IF(H59="","",H59)</x:f>
        <x:v>139</x:v>
      </x:c>
      <x:c r="I13" s="260" t="n">
        <x:f>IF(I59="","",I59)</x:f>
        <x:v>968.539</x:v>
      </x:c>
      <x:c r="J13" s="260" t="n">
        <x:f>IF(J59="","",J59)</x:f>
        <x:v>405.719</x:v>
      </x:c>
      <x:c r="K13" s="261" t="n">
        <x:f>IF(K59="","",K59)</x:f>
        <x:v>2126.726</x:v>
      </x:c>
      <x:c r="L13" s="260" t="str">
        <x:f>IF(L59="","",L59)</x:f>
      </x:c>
      <x:c r="M13" s="260" t="str">
        <x:f>IF(M59="","",M59)</x:f>
      </x:c>
      <x:c r="N13" s="260" t="str">
        <x:f>IF(N59="","",N59)</x:f>
      </x:c>
      <x:c r="O13" s="260" t="str">
        <x:f>IF(O59="","",O59)</x:f>
      </x:c>
      <x:c r="P13" s="338"/>
    </x:row>
    <x:row r="14">
      <x:c r="A14" s="341" t="str">
        <x:v>PAT Margin</x:v>
      </x:c>
      <x:c r="B14" s="342" t="str">
        <x:v>%</x:v>
      </x:c>
      <x:c r="C14" s="342" t="str">
        <x:v>Formula</x:v>
      </x:c>
      <x:c r="D14" s="262" t="n">
        <x:f>IF(D60="","",D60)</x:f>
        <x:v>0.22263949388730753</x:v>
      </x:c>
      <x:c r="E14" s="262" t="n">
        <x:f>IF(E60="","",E60)</x:f>
        <x:v>0.10565660309132754</x:v>
      </x:c>
      <x:c r="F14" s="262" t="n">
        <x:f>IF(F60="","",F60)</x:f>
        <x:v>0.25522282390502465</x:v>
      </x:c>
      <x:c r="G14" s="262" t="n">
        <x:f>IF(G60="","",G60)</x:f>
        <x:v>0.08468114264831283</x:v>
      </x:c>
      <x:c r="H14" s="262" t="n">
        <x:f>IF(H60="","",H60)</x:f>
        <x:v>0.04748034774743324</x:v>
      </x:c>
      <x:c r="I14" s="262" t="n">
        <x:f>IF(I60="","",I60)</x:f>
        <x:v>0.18833164713456724</x:v>
      </x:c>
      <x:c r="J14" s="262" t="n">
        <x:f>IF(J60="","",J60)</x:f>
        <x:v>0.09226982463186474</x:v>
      </x:c>
      <x:c r="K14" s="263" t="n">
        <x:f>IF(K60="","",K60)</x:f>
        <x:v>0.27397425804537534</x:v>
      </x:c>
      <x:c r="L14" s="262" t="str">
        <x:f>IF(L60="","",L60)</x:f>
      </x:c>
      <x:c r="M14" s="262" t="str">
        <x:f>IF(M60="","",M60)</x:f>
      </x:c>
      <x:c r="N14" s="262" t="str">
        <x:f>IF(N60="","",N60)</x:f>
      </x:c>
      <x:c r="O14" s="262" t="str">
        <x:f>IF(O60="","",O60)</x:f>
      </x:c>
      <x:c r="P14" s="338"/>
    </x:row>
    <x:row r="15">
      <x:c r="A15" s="341" t="str">
        <x:v>Quarterly Capex</x:v>
      </x:c>
      <x:c r="B15" s="342" t="str">
        <x:v>INR m</x:v>
      </x:c>
      <x:c r="C15" s="342" t="str">
        <x:v>Reported / Derived</x:v>
      </x:c>
      <x:c r="D15" s="260" t="n">
        <x:f>IF(D126="","",D126)</x:f>
        <x:v>591</x:v>
      </x:c>
      <x:c r="E15" s="260" t="n">
        <x:f>IF(E126="","",E126)</x:f>
        <x:v>444</x:v>
      </x:c>
      <x:c r="F15" s="260" t="n">
        <x:f>IF(F126="","",F126)</x:f>
        <x:v>435</x:v>
      </x:c>
      <x:c r="G15" s="260" t="n">
        <x:f>IF(G126="","",G126)</x:f>
        <x:v>594</x:v>
      </x:c>
      <x:c r="H15" s="260" t="str">
        <x:f>IF(H126="","",H126)</x:f>
      </x:c>
      <x:c r="I15" s="260" t="str">
        <x:f>IF(I126="","",I126)</x:f>
      </x:c>
      <x:c r="J15" s="260" t="n">
        <x:f>IF(J126="","",J126)</x:f>
        <x:v>840</x:v>
      </x:c>
      <x:c r="K15" s="261" t="n">
        <x:f>IF(K126="","",K126)</x:f>
        <x:v>1431</x:v>
      </x:c>
      <x:c r="L15" s="260" t="str">
        <x:f>IF(L126="","",L126)</x:f>
      </x:c>
      <x:c r="M15" s="260" t="str">
        <x:f>IF(M126="","",M126)</x:f>
      </x:c>
      <x:c r="N15" s="260" t="str">
        <x:f>IF(N126="","",N126)</x:f>
      </x:c>
      <x:c r="O15" s="260" t="str">
        <x:f>IF(O126="","",O126)</x:f>
      </x:c>
      <x:c r="P15" s="338"/>
    </x:row>
    <x:row r="16">
      <x:c r="A16" s="341" t="str">
        <x:v>YTD Capex</x:v>
      </x:c>
      <x:c r="B16" s="342" t="str">
        <x:v>INR m</x:v>
      </x:c>
      <x:c r="C16" s="342" t="str">
        <x:v>Reported</x:v>
      </x:c>
      <x:c r="D16" s="260" t="n">
        <x:f>IF(D127="","",D127)</x:f>
        <x:v>591</x:v>
      </x:c>
      <x:c r="E16" s="260" t="n">
        <x:f>IF(E127="","",E127)</x:f>
        <x:v>1035</x:v>
      </x:c>
      <x:c r="F16" s="260" t="n">
        <x:f>IF(F127="","",F127)</x:f>
        <x:v>1470</x:v>
      </x:c>
      <x:c r="G16" s="260" t="n">
        <x:f>IF(G127="","",G127)</x:f>
        <x:v>2064</x:v>
      </x:c>
      <x:c r="H16" s="260" t="str">
        <x:f>IF(H127="","",H127)</x:f>
      </x:c>
      <x:c r="I16" s="260" t="n">
        <x:f>IF(I127="","",I127)</x:f>
        <x:v>1700</x:v>
      </x:c>
      <x:c r="J16" s="260" t="n">
        <x:f>IF(J127="","",J127)</x:f>
        <x:v>2540</x:v>
      </x:c>
      <x:c r="K16" s="261" t="n">
        <x:f>IF(K127="","",K127)</x:f>
        <x:v>3971</x:v>
      </x:c>
      <x:c r="L16" s="260" t="str">
        <x:f>IF(L127="","",L127)</x:f>
      </x:c>
      <x:c r="M16" s="260" t="str">
        <x:f>IF(M127="","",M127)</x:f>
      </x:c>
      <x:c r="N16" s="260" t="str">
        <x:f>IF(N127="","",N127)</x:f>
      </x:c>
      <x:c r="O16" s="260" t="str">
        <x:f>IF(O127="","",O127)</x:f>
      </x:c>
      <x:c r="P16" s="338"/>
    </x:row>
    <x:row r="17">
      <x:c r="A17" s="341" t="str">
        <x:v>Working Capital Days</x:v>
      </x:c>
      <x:c r="B17" s="342" t="str">
        <x:v>days</x:v>
      </x:c>
      <x:c r="C17" s="342" t="str">
        <x:v>Reported</x:v>
      </x:c>
      <x:c r="D17" s="260" t="n">
        <x:f>IF(D113="","",D113)</x:f>
        <x:v>107</x:v>
      </x:c>
      <x:c r="E17" s="260" t="n">
        <x:f>IF(E113="","",E113)</x:f>
        <x:v>112</x:v>
      </x:c>
      <x:c r="F17" s="260" t="n">
        <x:f>IF(F113="","",F113)</x:f>
        <x:v>111</x:v>
      </x:c>
      <x:c r="G17" s="260" t="n">
        <x:f>IF(G113="","",G113)</x:f>
        <x:v>107</x:v>
      </x:c>
      <x:c r="H17" s="260" t="n">
        <x:f>IF(H113="","",H113)</x:f>
        <x:v>145</x:v>
      </x:c>
      <x:c r="I17" s="260" t="n">
        <x:f>IF(I113="","",I113)</x:f>
        <x:v>155</x:v>
      </x:c>
      <x:c r="J17" s="260" t="n">
        <x:f>IF(J113="","",J113)</x:f>
        <x:v>145</x:v>
      </x:c>
      <x:c r="K17" s="261" t="n">
        <x:f>IF(K113="","",K113)</x:f>
        <x:v>137</x:v>
      </x:c>
      <x:c r="L17" s="260" t="str">
        <x:f>IF(L113="","",L113)</x:f>
      </x:c>
      <x:c r="M17" s="260" t="str">
        <x:f>IF(M113="","",M113)</x:f>
      </x:c>
      <x:c r="N17" s="260" t="str">
        <x:f>IF(N113="","",N113)</x:f>
      </x:c>
      <x:c r="O17" s="260" t="str">
        <x:f>IF(O113="","",O113)</x:f>
      </x:c>
      <x:c r="P17" s="338"/>
    </x:row>
    <x:row r="18">
      <x:c r="A18" s="341" t="str">
        <x:v>Net Debt / (Cash)</x:v>
      </x:c>
      <x:c r="B18" s="342" t="str">
        <x:v>INR m</x:v>
      </x:c>
      <x:c r="C18" s="342" t="str">
        <x:v>Reported</x:v>
      </x:c>
      <x:c r="D18" s="260" t="n">
        <x:f>IF(D121="","",D121)</x:f>
        <x:v>-1102</x:v>
      </x:c>
      <x:c r="E18" s="260" t="n">
        <x:f>IF(E121="","",E121)</x:f>
        <x:v>-943</x:v>
      </x:c>
      <x:c r="F18" s="260" t="n">
        <x:f>IF(F121="","",F121)</x:f>
        <x:v>-1851</x:v>
      </x:c>
      <x:c r="G18" s="260" t="n">
        <x:f>IF(G121="","",G121)</x:f>
        <x:v>-2287</x:v>
      </x:c>
      <x:c r="H18" s="260" t="n">
        <x:f>IF(H121="","",H121)</x:f>
        <x:v>-1647</x:v>
      </x:c>
      <x:c r="I18" s="260" t="n">
        <x:f>IF(I121="","",I121)</x:f>
        <x:v>-66</x:v>
      </x:c>
      <x:c r="J18" s="260" t="n">
        <x:f>IF(J121="","",J121)</x:f>
        <x:v>-2026</x:v>
      </x:c>
      <x:c r="K18" s="261" t="n">
        <x:f>IF(K121="","",K121)</x:f>
        <x:v>-1568</x:v>
      </x:c>
      <x:c r="L18" s="260" t="str">
        <x:f>IF(L121="","",L121)</x:f>
      </x:c>
      <x:c r="M18" s="260" t="str">
        <x:f>IF(M121="","",M121)</x:f>
      </x:c>
      <x:c r="N18" s="260" t="str">
        <x:f>IF(N121="","",N121)</x:f>
      </x:c>
      <x:c r="O18" s="260" t="str">
        <x:f>IF(O121="","",O121)</x:f>
      </x:c>
      <x:c r="P18" s="338"/>
    </x:row>
    <x:row r="19">
      <x:c r="A19" s="341" t="str">
        <x:v>Prime Mix</x:v>
      </x:c>
      <x:c r="B19" s="342" t="str">
        <x:v>%</x:v>
      </x:c>
      <x:c r="C19" s="342" t="str">
        <x:v>Reported (rounded)</x:v>
      </x:c>
      <x:c r="D19" s="262" t="n">
        <x:f>IF(D70="","",D70)</x:f>
        <x:v>0.27</x:v>
      </x:c>
      <x:c r="E19" s="262" t="n">
        <x:f>IF(E70="","",E70)</x:f>
        <x:v>0.36</x:v>
      </x:c>
      <x:c r="F19" s="262" t="n">
        <x:f>IF(F70="","",F70)</x:f>
        <x:v>0.33</x:v>
      </x:c>
      <x:c r="G19" s="262" t="n">
        <x:f>IF(G70="","",G70)</x:f>
        <x:v>0.4</x:v>
      </x:c>
      <x:c r="H19" s="262" t="n">
        <x:f>IF(H70="","",H70)</x:f>
        <x:v>0.32</x:v>
      </x:c>
      <x:c r="I19" s="262" t="n">
        <x:f>IF(I70="","",I70)</x:f>
        <x:v>0.26</x:v>
      </x:c>
      <x:c r="J19" s="262" t="n">
        <x:f>IF(J70="","",J70)</x:f>
        <x:v>0.22</x:v>
      </x:c>
      <x:c r="K19" s="263" t="n">
        <x:f>IF(K70="","",K70)</x:f>
        <x:v>0.18</x:v>
      </x:c>
      <x:c r="L19" s="262" t="str">
        <x:f>IF(L70="","",L70)</x:f>
      </x:c>
      <x:c r="M19" s="262" t="str">
        <x:f>IF(M70="","",M70)</x:f>
      </x:c>
      <x:c r="N19" s="262" t="str">
        <x:f>IF(N70="","",N70)</x:f>
      </x:c>
      <x:c r="O19" s="262" t="str">
        <x:f>IF(O70="","",O70)</x:f>
      </x:c>
      <x:c r="P19" s="338"/>
    </x:row>
    <x:row r="20">
      <x:c r="A20" s="341" t="str">
        <x:v>Specialty Mix</x:v>
      </x:c>
      <x:c r="B20" s="342" t="str">
        <x:v>%</x:v>
      </x:c>
      <x:c r="C20" s="342" t="str">
        <x:v>Reported (rounded)</x:v>
      </x:c>
      <x:c r="D20" s="262" t="n">
        <x:f>IF(D74="","",D74)</x:f>
        <x:v>0.14</x:v>
      </x:c>
      <x:c r="E20" s="262" t="n">
        <x:f>IF(E74="","",E74)</x:f>
        <x:v>0.16</x:v>
      </x:c>
      <x:c r="F20" s="262" t="n">
        <x:f>IF(F74="","",F74)</x:f>
        <x:v>0.23</x:v>
      </x:c>
      <x:c r="G20" s="262" t="n">
        <x:f>IF(G74="","",G74)</x:f>
        <x:v>0.19</x:v>
      </x:c>
      <x:c r="H20" s="262" t="n">
        <x:f>IF(H74="","",H74)</x:f>
        <x:v>0.16</x:v>
      </x:c>
      <x:c r="I20" s="262" t="n">
        <x:f>IF(I74="","",I74)</x:f>
        <x:v>0.11</x:v>
      </x:c>
      <x:c r="J20" s="262" t="n">
        <x:f>IF(J74="","",J74)</x:f>
        <x:v>0.11</x:v>
      </x:c>
      <x:c r="K20" s="263" t="n">
        <x:f>IF(K74="","",K74)</x:f>
        <x:v>0.08</x:v>
      </x:c>
      <x:c r="L20" s="262" t="str">
        <x:f>IF(L74="","",L74)</x:f>
      </x:c>
      <x:c r="M20" s="262" t="str">
        <x:f>IF(M74="","",M74)</x:f>
      </x:c>
      <x:c r="N20" s="262" t="str">
        <x:f>IF(N74="","",N74)</x:f>
      </x:c>
      <x:c r="O20" s="262" t="str">
        <x:f>IF(O74="","",O74)</x:f>
      </x:c>
      <x:c r="P20" s="338"/>
    </x:row>
    <x:row r="21">
      <x:c r="A21" s="341" t="str">
        <x:v>CMS Mix</x:v>
      </x:c>
      <x:c r="B21" s="342" t="str">
        <x:v>%</x:v>
      </x:c>
      <x:c r="C21" s="342" t="str">
        <x:v>Reported (rounded)</x:v>
      </x:c>
      <x:c r="D21" s="262" t="n">
        <x:f>IF(D78="","",D78)</x:f>
        <x:v>0.53</x:v>
      </x:c>
      <x:c r="E21" s="262" t="n">
        <x:f>IF(E78="","",E78)</x:f>
        <x:v>0.42</x:v>
      </x:c>
      <x:c r="F21" s="262" t="n">
        <x:f>IF(F78="","",F78)</x:f>
        <x:v>0.39</x:v>
      </x:c>
      <x:c r="G21" s="262" t="n">
        <x:f>IF(G78="","",G78)</x:f>
        <x:v>0.34</x:v>
      </x:c>
      <x:c r="H21" s="262" t="n">
        <x:f>IF(H78="","",H78)</x:f>
        <x:v>0.44</x:v>
      </x:c>
      <x:c r="I21" s="262" t="n">
        <x:f>IF(I78="","",I78)</x:f>
        <x:v>0.6</x:v>
      </x:c>
      <x:c r="J21" s="262" t="n">
        <x:f>IF(J78="","",J78)</x:f>
        <x:v>0.61</x:v>
      </x:c>
      <x:c r="K21" s="263" t="n">
        <x:f>IF(K78="","",K78)</x:f>
        <x:v>0.68</x:v>
      </x:c>
      <x:c r="L21" s="262" t="str">
        <x:f>IF(L78="","",L78)</x:f>
      </x:c>
      <x:c r="M21" s="262" t="str">
        <x:f>IF(M78="","",M78)</x:f>
      </x:c>
      <x:c r="N21" s="262" t="str">
        <x:f>IF(N78="","",N78)</x:f>
      </x:c>
      <x:c r="O21" s="262" t="str">
        <x:f>IF(O78="","",O78)</x:f>
      </x:c>
      <x:c r="P21" s="338"/>
    </x:row>
    <x:row r="22">
      <x:c r="A22" s="341" t="str">
        <x:v>Others Mix</x:v>
      </x:c>
      <x:c r="B22" s="342" t="str">
        <x:v>%</x:v>
      </x:c>
      <x:c r="C22" s="342" t="str">
        <x:v>Reported (rounded)</x:v>
      </x:c>
      <x:c r="D22" s="262" t="n">
        <x:f>IF(D82="","",D82)</x:f>
        <x:v>0.06</x:v>
      </x:c>
      <x:c r="E22" s="262" t="n">
        <x:f>IF(E82="","",E82)</x:f>
        <x:v>0.06</x:v>
      </x:c>
      <x:c r="F22" s="262" t="n">
        <x:f>IF(F82="","",F82)</x:f>
        <x:v>0.05</x:v>
      </x:c>
      <x:c r="G22" s="262" t="n">
        <x:f>IF(G82="","",G82)</x:f>
        <x:v>0.07</x:v>
      </x:c>
      <x:c r="H22" s="262" t="n">
        <x:f>IF(H82="","",H82)</x:f>
        <x:v>0.07</x:v>
      </x:c>
      <x:c r="I22" s="262" t="n">
        <x:f>IF(I82="","",I82)</x:f>
        <x:v>0.04</x:v>
      </x:c>
      <x:c r="J22" s="262" t="n">
        <x:f>IF(J82="","",J82)</x:f>
        <x:v>0.06</x:v>
      </x:c>
      <x:c r="K22" s="263" t="n">
        <x:f>IF(K82="","",K82)</x:f>
        <x:v>0.06</x:v>
      </x:c>
      <x:c r="L22" s="262" t="str">
        <x:f>IF(L82="","",L82)</x:f>
      </x:c>
      <x:c r="M22" s="262" t="str">
        <x:f>IF(M82="","",M82)</x:f>
      </x:c>
      <x:c r="N22" s="262" t="str">
        <x:f>IF(N82="","",N82)</x:f>
      </x:c>
      <x:c r="O22" s="262" t="str">
        <x:f>IF(O82="","",O82)</x:f>
      </x:c>
      <x:c r="P22" s="338"/>
    </x:row>
    <x:row r="23">
      <x:c r="A23" s="341" t="str">
        <x:v>Prime Revenue</x:v>
      </x:c>
      <x:c r="B23" s="342" t="str">
        <x:v>INR m</x:v>
      </x:c>
      <x:c r="C23" s="342" t="str">
        <x:v>Analyst Estimate</x:v>
      </x:c>
      <x:c r="D23" s="260" t="n">
        <x:f>IF(OR(D7="",D19=""),"",D7*D19)</x:f>
        <x:v>1186.92459</x:v>
      </x:c>
      <x:c r="E23" s="260" t="n">
        <x:f>IF(OR(E7="",E19=""),"",E7*E19)</x:f>
        <x:v>1119.03768</x:v>
      </x:c>
      <x:c r="F23" s="260" t="n">
        <x:f>IF(OR(F7="",F19=""),"",F7*F19)</x:f>
        <x:v>1313.50494</x:v>
      </x:c>
      <x:c r="G23" s="260" t="n">
        <x:f>IF(OR(G7="",G19=""),"",G7*G19)</x:f>
        <x:v>1313.44</x:v>
      </x:c>
      <x:c r="H23" s="260" t="n">
        <x:f>IF(OR(H7="",H19=""),"",H7*H19)</x:f>
        <x:v>936.8086400000001</x:v>
      </x:c>
      <x:c r="I23" s="260" t="n">
        <x:f>IF(OR(I7="",I19=""),"",I7*I19)</x:f>
        <x:v>1337.11006</x:v>
      </x:c>
      <x:c r="J23" s="260" t="n">
        <x:f>IF(OR(J7="",J19=""),"",J7*J19)</x:f>
        <x:v>967.36046</x:v>
      </x:c>
      <x:c r="K23" s="261" t="n">
        <x:f>IF(OR(K7="",K19=""),"",K7*K19)</x:f>
        <x:v>1397.25054</x:v>
      </x:c>
      <x:c r="L23" s="260" t="str">
        <x:f>IF(OR(L7="",L19=""),"",L7*L19)</x:f>
      </x:c>
      <x:c r="M23" s="260" t="str">
        <x:f>IF(OR(M7="",M19=""),"",M7*M19)</x:f>
      </x:c>
      <x:c r="N23" s="260" t="str">
        <x:f>IF(OR(N7="",N19=""),"",N7*N19)</x:f>
      </x:c>
      <x:c r="O23" s="260" t="str">
        <x:f>IF(OR(O7="",O19=""),"",O7*O19)</x:f>
      </x:c>
      <x:c r="P23" s="338"/>
    </x:row>
    <x:row r="24">
      <x:c r="A24" s="341" t="str">
        <x:v>Specialty Revenue</x:v>
      </x:c>
      <x:c r="B24" s="342" t="str">
        <x:v>INR m</x:v>
      </x:c>
      <x:c r="C24" s="342" t="str">
        <x:v>Analyst Estimate</x:v>
      </x:c>
      <x:c r="D24" s="260" t="n">
        <x:f>IF(OR(D7="",D20=""),"",D7*D20)</x:f>
        <x:v>615.4423800000001</x:v>
      </x:c>
      <x:c r="E24" s="260" t="n">
        <x:f>IF(OR(E7="",E20=""),"",E7*E20)</x:f>
        <x:v>497.35008000000005</x:v>
      </x:c>
      <x:c r="F24" s="260" t="n">
        <x:f>IF(OR(F7="",F20=""),"",F7*F20)</x:f>
        <x:v>915.4731400000001</x:v>
      </x:c>
      <x:c r="G24" s="260" t="n">
        <x:f>IF(OR(G7="",G20=""),"",G7*G20)</x:f>
        <x:v>623.884</x:v>
      </x:c>
      <x:c r="H24" s="260" t="n">
        <x:f>IF(OR(H7="",H20=""),"",H7*H20)</x:f>
        <x:v>468.40432000000004</x:v>
      </x:c>
      <x:c r="I24" s="260" t="n">
        <x:f>IF(OR(I7="",I20=""),"",I7*I20)</x:f>
        <x:v>565.70041</x:v>
      </x:c>
      <x:c r="J24" s="260" t="n">
        <x:f>IF(OR(J7="",J20=""),"",J7*J20)</x:f>
        <x:v>483.68023</x:v>
      </x:c>
      <x:c r="K24" s="261" t="n">
        <x:f>IF(OR(K7="",K20=""),"",K7*K20)</x:f>
        <x:v>621.00024</x:v>
      </x:c>
      <x:c r="L24" s="260" t="str">
        <x:f>IF(OR(L7="",L20=""),"",L7*L20)</x:f>
      </x:c>
      <x:c r="M24" s="260" t="str">
        <x:f>IF(OR(M7="",M20=""),"",M7*M20)</x:f>
      </x:c>
      <x:c r="N24" s="260" t="str">
        <x:f>IF(OR(N7="",N20=""),"",N7*N20)</x:f>
      </x:c>
      <x:c r="O24" s="260" t="str">
        <x:f>IF(OR(O7="",O20=""),"",O7*O20)</x:f>
      </x:c>
      <x:c r="P24" s="338"/>
    </x:row>
    <x:row r="25">
      <x:c r="A25" s="341" t="str">
        <x:v>CMS Revenue</x:v>
      </x:c>
      <x:c r="B25" s="342" t="str">
        <x:v>INR m</x:v>
      </x:c>
      <x:c r="C25" s="342" t="str">
        <x:v>Analyst Estimate</x:v>
      </x:c>
      <x:c r="D25" s="260" t="n">
        <x:f>IF(OR(D7="",D21=""),"",D7*D21)</x:f>
        <x:v>2329.88901</x:v>
      </x:c>
      <x:c r="E25" s="260" t="n">
        <x:f>IF(OR(E7="",E21=""),"",E7*E21)</x:f>
        <x:v>1305.54396</x:v>
      </x:c>
      <x:c r="F25" s="260" t="n">
        <x:f>IF(OR(F7="",F21=""),"",F7*F21)</x:f>
        <x:v>1552.3240200000002</x:v>
      </x:c>
      <x:c r="G25" s="260" t="n">
        <x:f>IF(OR(G7="",G21=""),"",G7*G21)</x:f>
        <x:v>1116.424</x:v>
      </x:c>
      <x:c r="H25" s="260" t="n">
        <x:f>IF(OR(H7="",H21=""),"",H7*H21)</x:f>
        <x:v>1288.11188</x:v>
      </x:c>
      <x:c r="I25" s="260" t="n">
        <x:f>IF(OR(I7="",I21=""),"",I7*I21)</x:f>
        <x:v>3085.6385999999998</x:v>
      </x:c>
      <x:c r="J25" s="260" t="n">
        <x:f>IF(OR(J7="",J21=""),"",J7*J21)</x:f>
        <x:v>2682.22673</x:v>
      </x:c>
      <x:c r="K25" s="261" t="n">
        <x:f>IF(OR(K7="",K21=""),"",K7*K21)</x:f>
        <x:v>5278.50204</x:v>
      </x:c>
      <x:c r="L25" s="260" t="str">
        <x:f>IF(OR(L7="",L21=""),"",L7*L21)</x:f>
      </x:c>
      <x:c r="M25" s="260" t="str">
        <x:f>IF(OR(M7="",M21=""),"",M7*M21)</x:f>
      </x:c>
      <x:c r="N25" s="260" t="str">
        <x:f>IF(OR(N7="",N21=""),"",N7*N21)</x:f>
      </x:c>
      <x:c r="O25" s="260" t="str">
        <x:f>IF(OR(O7="",O21=""),"",O7*O21)</x:f>
      </x:c>
      <x:c r="P25" s="338"/>
    </x:row>
    <x:row r="26">
      <x:c r="A26" s="341" t="str">
        <x:v>Others Revenue</x:v>
      </x:c>
      <x:c r="B26" s="342" t="str">
        <x:v>INR m</x:v>
      </x:c>
      <x:c r="C26" s="342" t="str">
        <x:v>Analyst Estimate</x:v>
      </x:c>
      <x:c r="D26" s="260" t="n">
        <x:f>IF(OR(D7="",D22=""),"",D7*D22)</x:f>
        <x:v>263.76102</x:v>
      </x:c>
      <x:c r="E26" s="260" t="n">
        <x:f>IF(OR(E7="",E22=""),"",E7*E22)</x:f>
        <x:v>186.50628</x:v>
      </x:c>
      <x:c r="F26" s="260" t="n">
        <x:f>IF(OR(F7="",F22=""),"",F7*F22)</x:f>
        <x:v>199.01590000000002</x:v>
      </x:c>
      <x:c r="G26" s="260" t="n">
        <x:f>IF(OR(G7="",G22=""),"",G7*G22)</x:f>
        <x:v>229.852</x:v>
      </x:c>
      <x:c r="H26" s="260" t="n">
        <x:f>IF(OR(H7="",H22=""),"",H7*H22)</x:f>
        <x:v>204.92689000000001</x:v>
      </x:c>
      <x:c r="I26" s="260" t="n">
        <x:f>IF(OR(I7="",I22=""),"",I7*I22)</x:f>
        <x:v>205.70924</x:v>
      </x:c>
      <x:c r="J26" s="260" t="n">
        <x:f>IF(OR(J7="",J22=""),"",J7*J22)</x:f>
        <x:v>263.82558</x:v>
      </x:c>
      <x:c r="K26" s="261" t="n">
        <x:f>IF(OR(K7="",K22=""),"",K7*K22)</x:f>
        <x:v>465.75017999999994</x:v>
      </x:c>
      <x:c r="L26" s="260" t="str">
        <x:f>IF(OR(L7="",L22=""),"",L7*L22)</x:f>
      </x:c>
      <x:c r="M26" s="260" t="str">
        <x:f>IF(OR(M7="",M22=""),"",M7*M22)</x:f>
      </x:c>
      <x:c r="N26" s="260" t="str">
        <x:f>IF(OR(N7="",N22=""),"",N7*N22)</x:f>
      </x:c>
      <x:c r="O26" s="260" t="str">
        <x:f>IF(OR(O7="",O22=""),"",O7*O22)</x:f>
      </x:c>
      <x:c r="P26" s="338"/>
    </x:row>
    <x:row r="27">
      <x:c r="A27" s="341"/>
      <x:c r="B27" s="342"/>
      <x:c r="C27" s="342"/>
      <x:c r="D27" s="343"/>
      <x:c r="E27" s="343"/>
      <x:c r="F27" s="343"/>
      <x:c r="G27" s="343"/>
      <x:c r="H27" s="343"/>
      <x:c r="I27" s="343"/>
      <x:c r="J27" s="343"/>
      <x:c r="K27" s="344"/>
      <x:c r="L27" s="343"/>
      <x:c r="M27" s="343"/>
      <x:c r="N27" s="343"/>
      <x:c r="O27" s="343"/>
      <x:c r="P27" s="338"/>
    </x:row>
    <x:row r="28">
      <x:c r="A28" s="341"/>
      <x:c r="B28" s="342"/>
      <x:c r="C28" s="342"/>
      <x:c r="D28" s="343"/>
      <x:c r="E28" s="343"/>
      <x:c r="F28" s="343"/>
      <x:c r="G28" s="343"/>
      <x:c r="H28" s="343"/>
      <x:c r="I28" s="343"/>
      <x:c r="J28" s="343"/>
      <x:c r="K28" s="344"/>
      <x:c r="L28" s="343"/>
      <x:c r="M28" s="343"/>
      <x:c r="N28" s="343"/>
      <x:c r="O28" s="343"/>
      <x:c r="P28" s="338"/>
    </x:row>
    <x:row r="29" ht="20" customHeight="1">
      <x:c r="A29" s="30" t="str">
        <x:v>B. YTD vs Current Model (FY27E Anchor)</x:v>
      </x:c>
      <x:c r="B29" s="30"/>
      <x:c r="C29" s="30"/>
      <x:c r="D29" s="175"/>
      <x:c r="E29" s="175"/>
      <x:c r="F29" s="175"/>
      <x:c r="G29" s="175"/>
      <x:c r="H29" s="175"/>
      <x:c r="I29" s="175"/>
      <x:c r="J29" s="175"/>
      <x:c r="K29" s="176"/>
      <x:c r="L29" s="175"/>
      <x:c r="M29" s="175"/>
      <x:c r="N29" s="175"/>
      <x:c r="O29" s="175"/>
      <x:c r="P29" s="223"/>
    </x:row>
    <x:row r="30">
      <x:c r="A30" s="160" t="str">
        <x:v>Metric</x:v>
      </x:c>
      <x:c r="B30" s="15" t="str">
        <x:v>Units</x:v>
      </x:c>
      <x:c r="C30" s="15" t="str">
        <x:v>FY27 YTD Actual</x:v>
      </x:c>
      <x:c r="D30" s="168" t="str">
        <x:v>Current Model FY27E</x:v>
      </x:c>
      <x:c r="E30" s="168" t="str">
        <x:v>% Achieved</x:v>
      </x:c>
      <x:c r="F30" s="168" t="str">
        <x:v>Required in Remaining Quarters</x:v>
      </x:c>
      <x:c r="G30" s="168" t="str">
        <x:v>Source / Status</x:v>
      </x:c>
      <x:c r="H30" s="343"/>
      <x:c r="I30" s="343"/>
      <x:c r="J30" s="343"/>
      <x:c r="K30" s="344"/>
      <x:c r="L30" s="343"/>
      <x:c r="M30" s="343"/>
      <x:c r="N30" s="343"/>
      <x:c r="O30" s="343"/>
      <x:c r="P30" s="338"/>
    </x:row>
    <x:row r="31">
      <x:c r="A31" s="341" t="str">
        <x:v>Revenue</x:v>
      </x:c>
      <x:c r="B31" s="342" t="str">
        <x:v>INR m</x:v>
      </x:c>
      <x:c r="C31" s="349" t="str">
        <x:f>IF(COUNT(L7:O7)=0,"",SUM(L7:O7))</x:f>
      </x:c>
      <x:c r="D31" s="252" t="n">
        <x:v>23230.502565</x:v>
      </x:c>
      <x:c r="E31" s="262" t="str">
        <x:f>IF(C31="","",IFERROR(C31/D31,""))</x:f>
      </x:c>
      <x:c r="F31" s="260" t="str">
        <x:f>IF(C31="","",MAX(D31-C31,0))</x:f>
      </x:c>
      <x:c r="G31" s="343" t="str">
        <x:v>Current model estimate hardcoded from GPT_Neuland_Model.xlsx</x:v>
      </x:c>
      <x:c r="H31" s="343"/>
      <x:c r="I31" s="343"/>
      <x:c r="J31" s="343"/>
      <x:c r="K31" s="344"/>
      <x:c r="L31" s="343"/>
      <x:c r="M31" s="343"/>
      <x:c r="N31" s="343"/>
      <x:c r="O31" s="343"/>
      <x:c r="P31" s="338"/>
    </x:row>
    <x:row r="32">
      <x:c r="A32" s="341" t="str">
        <x:v>Prime</x:v>
      </x:c>
      <x:c r="B32" s="342" t="str">
        <x:v>INR m</x:v>
      </x:c>
      <x:c r="C32" s="349" t="str">
        <x:f>IF(COUNT(L23:O23)=0,"",SUM(L23:O23))</x:f>
      </x:c>
      <x:c r="D32" s="252" t="n">
        <x:v>5181.095712</x:v>
      </x:c>
      <x:c r="E32" s="262" t="str">
        <x:f>IF(C32="","",IFERROR(C32/D32,""))</x:f>
      </x:c>
      <x:c r="F32" s="260" t="str">
        <x:f>IF(C32="","",MAX(D32-C32,0))</x:f>
      </x:c>
      <x:c r="G32" s="343" t="str">
        <x:v>Current model estimate hardcoded from GPT_Neuland_Model.xlsx</x:v>
      </x:c>
      <x:c r="H32" s="343"/>
      <x:c r="I32" s="343"/>
      <x:c r="J32" s="343"/>
      <x:c r="K32" s="344"/>
      <x:c r="L32" s="343"/>
      <x:c r="M32" s="343"/>
      <x:c r="N32" s="343"/>
      <x:c r="O32" s="343"/>
      <x:c r="P32" s="338"/>
    </x:row>
    <x:row r="33">
      <x:c r="A33" s="341" t="str">
        <x:v>Specialty</x:v>
      </x:c>
      <x:c r="B33" s="342" t="str">
        <x:v>INR m</x:v>
      </x:c>
      <x:c r="C33" s="349" t="str">
        <x:f>IF(COUNT(L24:O24)=0,"",SUM(L24:O24))</x:f>
      </x:c>
      <x:c r="D33" s="252" t="n">
        <x:v>2450.317968</x:v>
      </x:c>
      <x:c r="E33" s="262" t="str">
        <x:f>IF(C33="","",IFERROR(C33/D33,""))</x:f>
      </x:c>
      <x:c r="F33" s="260" t="str">
        <x:f>IF(C33="","",MAX(D33-C33,0))</x:f>
      </x:c>
      <x:c r="G33" s="343" t="str">
        <x:v>Current model estimate hardcoded from GPT_Neuland_Model.xlsx</x:v>
      </x:c>
      <x:c r="H33" s="343"/>
      <x:c r="I33" s="343"/>
      <x:c r="J33" s="343"/>
      <x:c r="K33" s="344"/>
      <x:c r="L33" s="343"/>
      <x:c r="M33" s="343"/>
      <x:c r="N33" s="343"/>
      <x:c r="O33" s="343"/>
      <x:c r="P33" s="338"/>
    </x:row>
    <x:row r="34">
      <x:c r="A34" s="341" t="str">
        <x:v>CMS</x:v>
      </x:c>
      <x:c r="B34" s="342" t="str">
        <x:v>INR m</x:v>
      </x:c>
      <x:c r="C34" s="349" t="str">
        <x:f>IF(COUNT(L25:O25)=0,"",SUM(L25:O25))</x:f>
      </x:c>
      <x:c r="D34" s="252" t="n">
        <x:v>14641.8</x:v>
      </x:c>
      <x:c r="E34" s="262" t="str">
        <x:f>IF(C34="","",IFERROR(C34/D34,""))</x:f>
      </x:c>
      <x:c r="F34" s="260" t="str">
        <x:f>IF(C34="","",MAX(D34-C34,0))</x:f>
      </x:c>
      <x:c r="G34" s="343" t="str">
        <x:v>Current model estimate hardcoded from GPT_Neuland_Model.xlsx</x:v>
      </x:c>
      <x:c r="H34" s="343"/>
      <x:c r="I34" s="343"/>
      <x:c r="J34" s="343"/>
      <x:c r="K34" s="344"/>
      <x:c r="L34" s="343"/>
      <x:c r="M34" s="343"/>
      <x:c r="N34" s="343"/>
      <x:c r="O34" s="343"/>
      <x:c r="P34" s="338"/>
    </x:row>
    <x:row r="35">
      <x:c r="A35" s="341" t="str">
        <x:v>EBITDA</x:v>
      </x:c>
      <x:c r="B35" s="342" t="str">
        <x:v>INR m</x:v>
      </x:c>
      <x:c r="C35" s="349" t="str">
        <x:f>IF(COUNT(L10:O10)=0,"",SUM(L10:O10))</x:f>
      </x:c>
      <x:c r="D35" s="252" t="n">
        <x:v>6995.0456715</x:v>
      </x:c>
      <x:c r="E35" s="262" t="str">
        <x:f>IF(C35="","",IFERROR(C35/D35,""))</x:f>
      </x:c>
      <x:c r="F35" s="260" t="str">
        <x:f>IF(C35="","",MAX(D35-C35,0))</x:f>
      </x:c>
      <x:c r="G35" s="343" t="str">
        <x:v>Current model estimate hardcoded from GPT_Neuland_Model.xlsx</x:v>
      </x:c>
      <x:c r="H35" s="343"/>
      <x:c r="I35" s="343"/>
      <x:c r="J35" s="343"/>
      <x:c r="K35" s="344"/>
      <x:c r="L35" s="343"/>
      <x:c r="M35" s="343"/>
      <x:c r="N35" s="343"/>
      <x:c r="O35" s="343"/>
      <x:c r="P35" s="338"/>
    </x:row>
    <x:row r="36">
      <x:c r="A36" s="341" t="str">
        <x:v>PAT</x:v>
      </x:c>
      <x:c r="B36" s="342" t="str">
        <x:v>INR m</x:v>
      </x:c>
      <x:c r="C36" s="349" t="str">
        <x:f>IF(COUNT(L13:O13)=0,"",SUM(L13:O13))</x:f>
      </x:c>
      <x:c r="D36" s="252" t="n">
        <x:v>4363.45015699</x:v>
      </x:c>
      <x:c r="E36" s="262" t="str">
        <x:f>IF(C36="","",IFERROR(C36/D36,""))</x:f>
      </x:c>
      <x:c r="F36" s="260" t="str">
        <x:f>IF(C36="","",MAX(D36-C36,0))</x:f>
      </x:c>
      <x:c r="G36" s="343" t="str">
        <x:v>Current model estimate hardcoded from GPT_Neuland_Model.xlsx</x:v>
      </x:c>
      <x:c r="H36" s="343"/>
      <x:c r="I36" s="343"/>
      <x:c r="J36" s="343"/>
      <x:c r="K36" s="344"/>
      <x:c r="L36" s="343"/>
      <x:c r="M36" s="343"/>
      <x:c r="N36" s="343"/>
      <x:c r="O36" s="343"/>
      <x:c r="P36" s="338"/>
    </x:row>
    <x:row r="37">
      <x:c r="A37" s="341" t="str">
        <x:v>Capex</x:v>
      </x:c>
      <x:c r="B37" s="342" t="str">
        <x:v>INR m</x:v>
      </x:c>
      <x:c r="C37" s="349" t="str">
        <x:f>IF(COUNT(L15:O15)=0,"",SUM(L15:O15))</x:f>
      </x:c>
      <x:c r="D37" s="252" t="n">
        <x:v>3500</x:v>
      </x:c>
      <x:c r="E37" s="262" t="str">
        <x:f>IF(C37="","",IFERROR(C37/D37,""))</x:f>
      </x:c>
      <x:c r="F37" s="260" t="str">
        <x:f>IF(C37="","",MAX(D37-C37,0))</x:f>
      </x:c>
      <x:c r="G37" s="343" t="str">
        <x:v>Current model estimate hardcoded from GPT_Neuland_Model.xlsx</x:v>
      </x:c>
      <x:c r="H37" s="343"/>
      <x:c r="I37" s="343"/>
      <x:c r="J37" s="343"/>
      <x:c r="K37" s="344"/>
      <x:c r="L37" s="343"/>
      <x:c r="M37" s="343"/>
      <x:c r="N37" s="343"/>
      <x:c r="O37" s="343"/>
      <x:c r="P37" s="338"/>
    </x:row>
    <x:row r="38">
      <x:c r="A38" s="341"/>
      <x:c r="B38" s="342"/>
      <x:c r="C38" s="342"/>
      <x:c r="D38" s="343"/>
      <x:c r="E38" s="343"/>
      <x:c r="F38" s="343"/>
      <x:c r="G38" s="343"/>
      <x:c r="H38" s="343"/>
      <x:c r="I38" s="343"/>
      <x:c r="J38" s="343"/>
      <x:c r="K38" s="344"/>
      <x:c r="L38" s="343"/>
      <x:c r="M38" s="343"/>
      <x:c r="N38" s="343"/>
      <x:c r="O38" s="343"/>
      <x:c r="P38" s="338"/>
    </x:row>
    <x:row r="39">
      <x:c r="A39" s="341"/>
      <x:c r="B39" s="342"/>
      <x:c r="C39" s="342"/>
      <x:c r="D39" s="343"/>
      <x:c r="E39" s="343"/>
      <x:c r="F39" s="343"/>
      <x:c r="G39" s="343"/>
      <x:c r="H39" s="343"/>
      <x:c r="I39" s="343"/>
      <x:c r="J39" s="343"/>
      <x:c r="K39" s="344"/>
      <x:c r="L39" s="343"/>
      <x:c r="M39" s="343"/>
      <x:c r="N39" s="343"/>
      <x:c r="O39" s="343"/>
      <x:c r="P39" s="338"/>
    </x:row>
    <x:row r="40" ht="20" customHeight="1">
      <x:c r="A40" s="30" t="str">
        <x:v>C. Quarterly P&amp;L — Consolidated</x:v>
      </x:c>
      <x:c r="B40" s="30"/>
      <x:c r="C40" s="30"/>
      <x:c r="D40" s="175"/>
      <x:c r="E40" s="175"/>
      <x:c r="F40" s="175"/>
      <x:c r="G40" s="175"/>
      <x:c r="H40" s="175"/>
      <x:c r="I40" s="175"/>
      <x:c r="J40" s="175"/>
      <x:c r="K40" s="176"/>
      <x:c r="L40" s="175"/>
      <x:c r="M40" s="175"/>
      <x:c r="N40" s="175"/>
      <x:c r="O40" s="175"/>
      <x:c r="P40" s="223"/>
    </x:row>
    <x:row r="41">
      <x:c r="A41" s="160" t="str">
        <x:v>Metric</x:v>
      </x:c>
      <x:c r="B41" s="15" t="str">
        <x:v>Units</x:v>
      </x:c>
      <x:c r="C41" s="15" t="str">
        <x:v>Status</x:v>
      </x:c>
      <x:c r="D41" s="168" t="str">
        <x:v>Q1FY25</x:v>
      </x:c>
      <x:c r="E41" s="168" t="str">
        <x:v>Q2FY25</x:v>
      </x:c>
      <x:c r="F41" s="168" t="str">
        <x:v>Q3FY25</x:v>
      </x:c>
      <x:c r="G41" s="168" t="str">
        <x:v>Q4FY25</x:v>
      </x:c>
      <x:c r="H41" s="168" t="str">
        <x:v>Q1FY26</x:v>
      </x:c>
      <x:c r="I41" s="168" t="str">
        <x:v>Q2FY26</x:v>
      </x:c>
      <x:c r="J41" s="168" t="str">
        <x:v>Q3FY26</x:v>
      </x:c>
      <x:c r="K41" s="169" t="str">
        <x:v>Q4FY26</x:v>
      </x:c>
      <x:c r="L41" s="168" t="str">
        <x:v>Q1FY27</x:v>
      </x:c>
      <x:c r="M41" s="168" t="str">
        <x:v>Q2FY27</x:v>
      </x:c>
      <x:c r="N41" s="168" t="str">
        <x:v>Q3FY27</x:v>
      </x:c>
      <x:c r="O41" s="168" t="str">
        <x:v>Q4FY27</x:v>
      </x:c>
      <x:c r="P41" s="15" t="str">
        <x:v>Source / Note</x:v>
      </x:c>
    </x:row>
    <x:row r="42">
      <x:c r="A42" s="341" t="str">
        <x:v>Revenue from Operations</x:v>
      </x:c>
      <x:c r="B42" s="342" t="str">
        <x:v>INR m</x:v>
      </x:c>
      <x:c r="C42" s="342" t="str">
        <x:v>Reported</x:v>
      </x:c>
      <x:c r="D42" s="252" t="n">
        <x:v>4396.017</x:v>
      </x:c>
      <x:c r="E42" s="252" t="n">
        <x:v>3108.438</x:v>
      </x:c>
      <x:c r="F42" s="252" t="n">
        <x:v>3980.318</x:v>
      </x:c>
      <x:c r="G42" s="252" t="n">
        <x:v>3283.6</x:v>
      </x:c>
      <x:c r="H42" s="252" t="n">
        <x:v>2927.527</x:v>
      </x:c>
      <x:c r="I42" s="252" t="n">
        <x:v>5142.731</x:v>
      </x:c>
      <x:c r="J42" s="252" t="n">
        <x:v>4397.093</x:v>
      </x:c>
      <x:c r="K42" s="253" t="n">
        <x:v>7762.503</x:v>
      </x:c>
      <x:c r="L42" s="183"/>
      <x:c r="M42" s="183"/>
      <x:c r="N42" s="183"/>
      <x:c r="O42" s="183"/>
      <x:c r="P42" s="338" t="str">
        <x:v>Official consolidated quarterly financial result / filing</x:v>
      </x:c>
    </x:row>
    <x:row r="43">
      <x:c r="A43" s="341" t="str">
        <x:v>Other Income</x:v>
      </x:c>
      <x:c r="B43" s="342" t="str">
        <x:v>INR m</x:v>
      </x:c>
      <x:c r="C43" s="342" t="str">
        <x:v>Reported</x:v>
      </x:c>
      <x:c r="D43" s="252" t="n">
        <x:v>48.07</x:v>
      </x:c>
      <x:c r="E43" s="252" t="n">
        <x:v>43.324</x:v>
      </x:c>
      <x:c r="F43" s="252" t="n">
        <x:v>39.056</x:v>
      </x:c>
      <x:c r="G43" s="252" t="n">
        <x:v>74.643</x:v>
      </x:c>
      <x:c r="H43" s="252" t="n">
        <x:v>78.559</x:v>
      </x:c>
      <x:c r="I43" s="252" t="n">
        <x:v>17.997</x:v>
      </x:c>
      <x:c r="J43" s="252" t="n">
        <x:v>80.524</x:v>
      </x:c>
      <x:c r="K43" s="253" t="n">
        <x:v>124.582</x:v>
      </x:c>
      <x:c r="L43" s="183"/>
      <x:c r="M43" s="183"/>
      <x:c r="N43" s="183"/>
      <x:c r="O43" s="183"/>
      <x:c r="P43" s="338" t="str">
        <x:v>Official consolidated quarterly financial result / filing</x:v>
      </x:c>
    </x:row>
    <x:row r="44">
      <x:c r="A44" s="341" t="str">
        <x:v>Total Income</x:v>
      </x:c>
      <x:c r="B44" s="342" t="str">
        <x:v>INR m</x:v>
      </x:c>
      <x:c r="C44" s="342" t="str">
        <x:v>Formula</x:v>
      </x:c>
      <x:c r="D44" s="260" t="n">
        <x:f>IF(COUNT(D42:D43)&lt;2,"",SUM(D42:D43))</x:f>
        <x:v>4444.0869999999995</x:v>
      </x:c>
      <x:c r="E44" s="260" t="n">
        <x:f>IF(COUNT(E42:E43)&lt;2,"",SUM(E42:E43))</x:f>
        <x:v>3151.762</x:v>
      </x:c>
      <x:c r="F44" s="260" t="n">
        <x:f>IF(COUNT(F42:F43)&lt;2,"",SUM(F42:F43))</x:f>
        <x:v>4019.3740000000003</x:v>
      </x:c>
      <x:c r="G44" s="260" t="n">
        <x:f>IF(COUNT(G42:G43)&lt;2,"",SUM(G42:G43))</x:f>
        <x:v>3358.243</x:v>
      </x:c>
      <x:c r="H44" s="260" t="n">
        <x:f>IF(COUNT(H42:H43)&lt;2,"",SUM(H42:H43))</x:f>
        <x:v>3006.0860000000002</x:v>
      </x:c>
      <x:c r="I44" s="260" t="n">
        <x:f>IF(COUNT(I42:I43)&lt;2,"",SUM(I42:I43))</x:f>
        <x:v>5160.728</x:v>
      </x:c>
      <x:c r="J44" s="260" t="n">
        <x:f>IF(COUNT(J42:J43)&lt;2,"",SUM(J42:J43))</x:f>
        <x:v>4477.617</x:v>
      </x:c>
      <x:c r="K44" s="261" t="n">
        <x:f>IF(COUNT(K42:K43)&lt;2,"",SUM(K42:K43))</x:f>
        <x:v>7887.085</x:v>
      </x:c>
      <x:c r="L44" s="260" t="str">
        <x:f>IF(COUNT(L42:L43)&lt;2,"",SUM(L42:L43))</x:f>
      </x:c>
      <x:c r="M44" s="260" t="str">
        <x:f>IF(COUNT(M42:M43)&lt;2,"",SUM(M42:M43))</x:f>
      </x:c>
      <x:c r="N44" s="260" t="str">
        <x:f>IF(COUNT(N42:N43)&lt;2,"",SUM(N42:N43))</x:f>
      </x:c>
      <x:c r="O44" s="260" t="str">
        <x:f>IF(COUNT(O42:O43)&lt;2,"",SUM(O42:O43))</x:f>
      </x:c>
      <x:c r="P44" s="338" t="str">
        <x:v>Official consolidated quarterly financial result / filing</x:v>
      </x:c>
    </x:row>
    <x:row r="45">
      <x:c r="A45" s="341" t="str">
        <x:v>Material Cost / COGS</x:v>
      </x:c>
      <x:c r="B45" s="342" t="str">
        <x:v>INR m</x:v>
      </x:c>
      <x:c r="C45" s="342" t="str">
        <x:v>Reported</x:v>
      </x:c>
      <x:c r="D45" s="252" t="n">
        <x:v>1549.513</x:v>
      </x:c>
      <x:c r="E45" s="252" t="n">
        <x:v>1331.728</x:v>
      </x:c>
      <x:c r="F45" s="252" t="n">
        <x:v>1454.412</x:v>
      </x:c>
      <x:c r="G45" s="252" t="n">
        <x:v>1412.415</x:v>
      </x:c>
      <x:c r="H45" s="252" t="n">
        <x:v>1614.804</x:v>
      </x:c>
      <x:c r="I45" s="252" t="n">
        <x:v>2276.4</x:v>
      </x:c>
      <x:c r="J45" s="252" t="n">
        <x:v>1998.554</x:v>
      </x:c>
      <x:c r="K45" s="253" t="n">
        <x:v>2307.887</x:v>
      </x:c>
      <x:c r="L45" s="183"/>
      <x:c r="M45" s="183"/>
      <x:c r="N45" s="183"/>
      <x:c r="O45" s="183"/>
      <x:c r="P45" s="338" t="str">
        <x:v>Official consolidated quarterly financial result / filing</x:v>
      </x:c>
    </x:row>
    <x:row r="46">
      <x:c r="A46" s="341" t="str">
        <x:v>Changes in Inventory</x:v>
      </x:c>
      <x:c r="B46" s="342" t="str">
        <x:v>INR m</x:v>
      </x:c>
      <x:c r="C46" s="342" t="str">
        <x:v>Reported</x:v>
      </x:c>
      <x:c r="D46" s="252" t="n">
        <x:v>219.317</x:v>
      </x:c>
      <x:c r="E46" s="252" t="n">
        <x:v>-157.044</x:v>
      </x:c>
      <x:c r="F46" s="252" t="n">
        <x:v>209.453</x:v>
      </x:c>
      <x:c r="G46" s="252" t="n">
        <x:v>-143.414</x:v>
      </x:c>
      <x:c r="H46" s="252" t="n">
        <x:v>-479.365</x:v>
      </x:c>
      <x:c r="I46" s="252" t="n">
        <x:v>-440.31</x:v>
      </x:c>
      <x:c r="J46" s="252" t="n">
        <x:v>-107.969</x:v>
      </x:c>
      <x:c r="K46" s="253" t="n">
        <x:v>385.021</x:v>
      </x:c>
      <x:c r="L46" s="183"/>
      <x:c r="M46" s="183"/>
      <x:c r="N46" s="183"/>
      <x:c r="O46" s="183"/>
      <x:c r="P46" s="338" t="str">
        <x:v>Official consolidated quarterly financial result / filing</x:v>
      </x:c>
    </x:row>
    <x:row r="47">
      <x:c r="A47" s="341" t="str">
        <x:v>Employee Expense</x:v>
      </x:c>
      <x:c r="B47" s="342" t="str">
        <x:v>INR m</x:v>
      </x:c>
      <x:c r="C47" s="342" t="str">
        <x:v>Reported</x:v>
      </x:c>
      <x:c r="D47" s="252" t="n">
        <x:v>731.379</x:v>
      </x:c>
      <x:c r="E47" s="252" t="n">
        <x:v>630.682</x:v>
      </x:c>
      <x:c r="F47" s="252" t="n">
        <x:v>693.412</x:v>
      </x:c>
      <x:c r="G47" s="252" t="n">
        <x:v>664.575</x:v>
      </x:c>
      <x:c r="H47" s="252" t="n">
        <x:v>734.651</x:v>
      </x:c>
      <x:c r="I47" s="252" t="n">
        <x:v>803.723</x:v>
      </x:c>
      <x:c r="J47" s="252" t="n">
        <x:v>888.323</x:v>
      </x:c>
      <x:c r="K47" s="253" t="n">
        <x:v>984.717</x:v>
      </x:c>
      <x:c r="L47" s="183"/>
      <x:c r="M47" s="183"/>
      <x:c r="N47" s="183"/>
      <x:c r="O47" s="183"/>
      <x:c r="P47" s="338" t="str">
        <x:v>Official consolidated quarterly financial result / filing</x:v>
      </x:c>
    </x:row>
    <x:row r="48">
      <x:c r="A48" s="341" t="str">
        <x:v>Manufacturing Expense</x:v>
      </x:c>
      <x:c r="B48" s="342" t="str">
        <x:v>INR m</x:v>
      </x:c>
      <x:c r="C48" s="342" t="str">
        <x:v>Reported</x:v>
      </x:c>
      <x:c r="D48" s="252" t="n">
        <x:v>361.544</x:v>
      </x:c>
      <x:c r="E48" s="252" t="n">
        <x:v>422.873</x:v>
      </x:c>
      <x:c r="F48" s="252" t="n">
        <x:v>393.38</x:v>
      </x:c>
      <x:c r="G48" s="252" t="n">
        <x:v>450.903</x:v>
      </x:c>
      <x:c r="H48" s="252" t="n">
        <x:v>393.748</x:v>
      </x:c>
      <x:c r="I48" s="252" t="n">
        <x:v>459.562</x:v>
      </x:c>
      <x:c r="J48" s="252" t="n">
        <x:v>545.612</x:v>
      </x:c>
      <x:c r="K48" s="253" t="n">
        <x:v>517.222</x:v>
      </x:c>
      <x:c r="L48" s="183"/>
      <x:c r="M48" s="183"/>
      <x:c r="N48" s="183"/>
      <x:c r="O48" s="183"/>
      <x:c r="P48" s="338" t="str">
        <x:v>Official consolidated quarterly financial result / filing</x:v>
      </x:c>
    </x:row>
    <x:row r="49">
      <x:c r="A49" s="341" t="str">
        <x:v>Other Operating Expense</x:v>
      </x:c>
      <x:c r="B49" s="342" t="str">
        <x:v>INR m</x:v>
      </x:c>
      <x:c r="C49" s="342" t="str">
        <x:v>Reported</x:v>
      </x:c>
      <x:c r="D49" s="252" t="n">
        <x:v>300.666</x:v>
      </x:c>
      <x:c r="E49" s="252" t="n">
        <x:v>257.921</x:v>
      </x:c>
      <x:c r="F49" s="252" t="n">
        <x:v>363.678</x:v>
      </x:c>
      <x:c r="G49" s="252" t="n">
        <x:v>388.382</x:v>
      </x:c>
      <x:c r="H49" s="252" t="n">
        <x:v>318.8</x:v>
      </x:c>
      <x:c r="I49" s="252" t="n">
        <x:v>487.902</x:v>
      </x:c>
      <x:c r="J49" s="252" t="n">
        <x:v>301.244</x:v>
      </x:c>
      <x:c r="K49" s="253" t="n">
        <x:v>494.35</x:v>
      </x:c>
      <x:c r="L49" s="183"/>
      <x:c r="M49" s="183"/>
      <x:c r="N49" s="183"/>
      <x:c r="O49" s="183"/>
      <x:c r="P49" s="338" t="str">
        <x:v>Official consolidated quarterly financial result / filing</x:v>
      </x:c>
    </x:row>
    <x:row r="50">
      <x:c r="A50" s="341" t="str">
        <x:v>EBITDA</x:v>
      </x:c>
      <x:c r="B50" s="342" t="str">
        <x:v>INR m</x:v>
      </x:c>
      <x:c r="C50" s="342" t="str">
        <x:v>Formula</x:v>
      </x:c>
      <x:c r="D50" s="260" t="n">
        <x:f>IF(COUNT(D44:D49)&lt;6,"",D44-SUM(D45:D49))</x:f>
        <x:v>1281.6679999999997</x:v>
      </x:c>
      <x:c r="E50" s="260" t="n">
        <x:f>IF(COUNT(E44:E49)&lt;6,"",E44-SUM(E45:E49))</x:f>
        <x:v>665.6020000000003</x:v>
      </x:c>
      <x:c r="F50" s="260" t="n">
        <x:f>IF(COUNT(F44:F49)&lt;6,"",F44-SUM(F45:F49))</x:f>
        <x:v>905.0390000000002</x:v>
      </x:c>
      <x:c r="G50" s="260" t="n">
        <x:f>IF(COUNT(G44:G49)&lt;6,"",G44-SUM(G45:G49))</x:f>
        <x:v>585.3819999999996</x:v>
      </x:c>
      <x:c r="H50" s="260" t="n">
        <x:f>IF(COUNT(H44:H49)&lt;6,"",H44-SUM(H45:H49))</x:f>
        <x:v>423.44799999999987</x:v>
      </x:c>
      <x:c r="I50" s="260" t="n">
        <x:f>IF(COUNT(I44:I49)&lt;6,"",I44-SUM(I45:I49))</x:f>
        <x:v>1573.451</x:v>
      </x:c>
      <x:c r="J50" s="260" t="n">
        <x:f>IF(COUNT(J44:J49)&lt;6,"",J44-SUM(J45:J49))</x:f>
        <x:v>851.8530000000001</x:v>
      </x:c>
      <x:c r="K50" s="261" t="n">
        <x:f>IF(COUNT(K44:K49)&lt;6,"",K44-SUM(K45:K49))</x:f>
        <x:v>3197.887999999999</x:v>
      </x:c>
      <x:c r="L50" s="260" t="str">
        <x:f>IF(COUNT(L44:L49)&lt;6,"",L44-SUM(L45:L49))</x:f>
      </x:c>
      <x:c r="M50" s="260" t="str">
        <x:f>IF(COUNT(M44:M49)&lt;6,"",M44-SUM(M45:M49))</x:f>
      </x:c>
      <x:c r="N50" s="260" t="str">
        <x:f>IF(COUNT(N44:N49)&lt;6,"",N44-SUM(N45:N49))</x:f>
      </x:c>
      <x:c r="O50" s="260" t="str">
        <x:f>IF(COUNT(O44:O49)&lt;6,"",O44-SUM(O45:O49))</x:f>
      </x:c>
      <x:c r="P50" s="338" t="str">
        <x:v>Official consolidated quarterly financial result / filing</x:v>
      </x:c>
    </x:row>
    <x:row r="51">
      <x:c r="A51" s="341" t="str">
        <x:v>EBITDA Margin</x:v>
      </x:c>
      <x:c r="B51" s="342" t="str">
        <x:v>%</x:v>
      </x:c>
      <x:c r="C51" s="342" t="str">
        <x:v>Formula</x:v>
      </x:c>
      <x:c r="D51" s="262" t="n">
        <x:f>IFERROR(D50/D42,"")</x:f>
        <x:v>0.29155210273299664</x:v>
      </x:c>
      <x:c r="E51" s="262" t="n">
        <x:f>IFERROR(E50/E42,"")</x:f>
        <x:v>0.21412748139097523</x:v>
      </x:c>
      <x:c r="F51" s="262" t="n">
        <x:f>IFERROR(F50/F42,"")</x:f>
        <x:v>0.22737856623516015</x:v>
      </x:c>
      <x:c r="G51" s="262" t="n">
        <x:f>IFERROR(G50/G42,"")</x:f>
        <x:v>0.1782744548666097</x:v>
      </x:c>
      <x:c r="H51" s="262" t="n">
        <x:f>IFERROR(H50/H42,"")</x:f>
        <x:v>0.14464358484140363</x:v>
      </x:c>
      <x:c r="I51" s="262" t="n">
        <x:f>IFERROR(I50/I42,"")</x:f>
        <x:v>0.3059563099839366</x:v>
      </x:c>
      <x:c r="J51" s="262" t="n">
        <x:f>IFERROR(J50/J42,"")</x:f>
        <x:v>0.19373094906111835</x:v>
      </x:c>
      <x:c r="K51" s="263" t="n">
        <x:f>IFERROR(K50/K42,"")</x:f>
        <x:v>0.4119660887731701</x:v>
      </x:c>
      <x:c r="L51" s="262" t="str">
        <x:f>IFERROR(L50/L42,"")</x:f>
      </x:c>
      <x:c r="M51" s="262" t="str">
        <x:f>IFERROR(M50/M42,"")</x:f>
      </x:c>
      <x:c r="N51" s="262" t="str">
        <x:f>IFERROR(N50/N42,"")</x:f>
      </x:c>
      <x:c r="O51" s="262" t="str">
        <x:f>IFERROR(O50/O42,"")</x:f>
      </x:c>
      <x:c r="P51" s="338" t="str">
        <x:v>Official consolidated quarterly financial result / filing</x:v>
      </x:c>
    </x:row>
    <x:row r="52">
      <x:c r="A52" s="341" t="str">
        <x:v>Depreciation &amp; Amortisation</x:v>
      </x:c>
      <x:c r="B52" s="342" t="str">
        <x:v>INR m</x:v>
      </x:c>
      <x:c r="C52" s="342" t="str">
        <x:v>Reported</x:v>
      </x:c>
      <x:c r="D52" s="252" t="n">
        <x:v>162.799</x:v>
      </x:c>
      <x:c r="E52" s="252" t="n">
        <x:v>160.745</x:v>
      </x:c>
      <x:c r="F52" s="252" t="n">
        <x:v>163.003</x:v>
      </x:c>
      <x:c r="G52" s="252" t="n">
        <x:v>168.919</x:v>
      </x:c>
      <x:c r="H52" s="252" t="n">
        <x:v>201.895</x:v>
      </x:c>
      <x:c r="I52" s="252" t="n">
        <x:v>225.415</x:v>
      </x:c>
      <x:c r="J52" s="252" t="n">
        <x:v>239.196</x:v>
      </x:c>
      <x:c r="K52" s="253" t="n">
        <x:v>250.889</x:v>
      </x:c>
      <x:c r="L52" s="183"/>
      <x:c r="M52" s="183"/>
      <x:c r="N52" s="183"/>
      <x:c r="O52" s="183"/>
      <x:c r="P52" s="338" t="str">
        <x:v>Official consolidated quarterly financial result / filing</x:v>
      </x:c>
    </x:row>
    <x:row r="53">
      <x:c r="A53" s="341" t="str">
        <x:v>EBIT</x:v>
      </x:c>
      <x:c r="B53" s="342" t="str">
        <x:v>INR m</x:v>
      </x:c>
      <x:c r="C53" s="342" t="str">
        <x:v>Formula</x:v>
      </x:c>
      <x:c r="D53" s="260" t="n">
        <x:f>IF(OR(D50="",D52=""),"",D50-D52)</x:f>
        <x:v>1118.8689999999997</x:v>
      </x:c>
      <x:c r="E53" s="260" t="n">
        <x:f>IF(OR(E50="",E52=""),"",E50-E52)</x:f>
        <x:v>504.8570000000003</x:v>
      </x:c>
      <x:c r="F53" s="260" t="n">
        <x:f>IF(OR(F50="",F52=""),"",F50-F52)</x:f>
        <x:v>742.0360000000003</x:v>
      </x:c>
      <x:c r="G53" s="260" t="n">
        <x:f>IF(OR(G50="",G52=""),"",G50-G52)</x:f>
        <x:v>416.4629999999996</x:v>
      </x:c>
      <x:c r="H53" s="260" t="n">
        <x:f>IF(OR(H50="",H52=""),"",H50-H52)</x:f>
        <x:v>221.55299999999986</x:v>
      </x:c>
      <x:c r="I53" s="260" t="n">
        <x:f>IF(OR(I50="",I52=""),"",I50-I52)</x:f>
        <x:v>1348.036</x:v>
      </x:c>
      <x:c r="J53" s="260" t="n">
        <x:f>IF(OR(J50="",J52=""),"",J50-J52)</x:f>
        <x:v>612.657</x:v>
      </x:c>
      <x:c r="K53" s="261" t="n">
        <x:f>IF(OR(K50="",K52=""),"",K50-K52)</x:f>
        <x:v>2946.998999999999</x:v>
      </x:c>
      <x:c r="L53" s="260" t="str">
        <x:f>IF(OR(L50="",L52=""),"",L50-L52)</x:f>
      </x:c>
      <x:c r="M53" s="260" t="str">
        <x:f>IF(OR(M50="",M52=""),"",M50-M52)</x:f>
      </x:c>
      <x:c r="N53" s="260" t="str">
        <x:f>IF(OR(N50="",N52=""),"",N50-N52)</x:f>
      </x:c>
      <x:c r="O53" s="260" t="str">
        <x:f>IF(OR(O50="",O52=""),"",O50-O52)</x:f>
      </x:c>
      <x:c r="P53" s="338" t="str">
        <x:v>Official consolidated quarterly financial result / filing</x:v>
      </x:c>
    </x:row>
    <x:row r="54">
      <x:c r="A54" s="341" t="str">
        <x:v>EBIT Margin</x:v>
      </x:c>
      <x:c r="B54" s="342" t="str">
        <x:v>%</x:v>
      </x:c>
      <x:c r="C54" s="342" t="str">
        <x:v>Formula</x:v>
      </x:c>
      <x:c r="D54" s="262" t="n">
        <x:f>IFERROR(D53/D42,"")</x:f>
        <x:v>0.25451880645593494</x:v>
      </x:c>
      <x:c r="E54" s="262" t="n">
        <x:f>IFERROR(E53/E42,"")</x:f>
        <x:v>0.16241501358560162</x:v>
      </x:c>
      <x:c r="F54" s="262" t="n">
        <x:f>IFERROR(F53/F42,"")</x:f>
        <x:v>0.18642631066161053</x:v>
      </x:c>
      <x:c r="G54" s="262" t="n">
        <x:f>IFERROR(G53/G42,"")</x:f>
        <x:v>0.126831221829699</x:v>
      </x:c>
      <x:c r="H54" s="262" t="n">
        <x:f>IFERROR(H53/H42,"")</x:f>
        <x:v>0.07567923370134583</x:v>
      </x:c>
      <x:c r="I54" s="262" t="n">
        <x:f>IFERROR(I53/I42,"")</x:f>
        <x:v>0.26212454044358924</x:v>
      </x:c>
      <x:c r="J54" s="262" t="n">
        <x:f>IFERROR(J53/J42,"")</x:f>
        <x:v>0.13933228157785157</x:v>
      </x:c>
      <x:c r="K54" s="263" t="n">
        <x:f>IFERROR(K53/K42,"")</x:f>
        <x:v>0.37964545714185216</x:v>
      </x:c>
      <x:c r="L54" s="262" t="str">
        <x:f>IFERROR(L53/L42,"")</x:f>
      </x:c>
      <x:c r="M54" s="262" t="str">
        <x:f>IFERROR(M53/M42,"")</x:f>
      </x:c>
      <x:c r="N54" s="262" t="str">
        <x:f>IFERROR(N53/N42,"")</x:f>
      </x:c>
      <x:c r="O54" s="262" t="str">
        <x:f>IFERROR(O53/O42,"")</x:f>
      </x:c>
      <x:c r="P54" s="338" t="str">
        <x:v>Official consolidated quarterly financial result / filing</x:v>
      </x:c>
    </x:row>
    <x:row r="55">
      <x:c r="A55" s="341" t="str">
        <x:v>Finance Cost</x:v>
      </x:c>
      <x:c r="B55" s="342" t="str">
        <x:v>INR m</x:v>
      </x:c>
      <x:c r="C55" s="342" t="str">
        <x:v>Reported</x:v>
      </x:c>
      <x:c r="D55" s="252" t="n">
        <x:v>26.705</x:v>
      </x:c>
      <x:c r="E55" s="252" t="n">
        <x:v>10.631</x:v>
      </x:c>
      <x:c r="F55" s="252" t="n">
        <x:v>22.167</x:v>
      </x:c>
      <x:c r="G55" s="252" t="n">
        <x:v>23.467</x:v>
      </x:c>
      <x:c r="H55" s="252" t="n">
        <x:v>45.849</x:v>
      </x:c>
      <x:c r="I55" s="252" t="n">
        <x:v>53.671</x:v>
      </x:c>
      <x:c r="J55" s="252" t="n">
        <x:v>67.903</x:v>
      </x:c>
      <x:c r="K55" s="253" t="n">
        <x:v>72.051</x:v>
      </x:c>
      <x:c r="L55" s="183"/>
      <x:c r="M55" s="183"/>
      <x:c r="N55" s="183"/>
      <x:c r="O55" s="183"/>
      <x:c r="P55" s="338" t="str">
        <x:v>Official consolidated quarterly financial result / filing</x:v>
      </x:c>
    </x:row>
    <x:row r="56">
      <x:c r="A56" s="341" t="str">
        <x:v>Exceptional Item</x:v>
      </x:c>
      <x:c r="B56" s="342" t="str">
        <x:v>INR m</x:v>
      </x:c>
      <x:c r="C56" s="342" t="str">
        <x:v>Reported</x:v>
      </x:c>
      <x:c r="D56" s="252" t="n">
        <x:v>206.256</x:v>
      </x:c>
      <x:c r="E56" s="252" t="n">
        <x:v>0</x:v>
      </x:c>
      <x:c r="F56" s="252" t="n">
        <x:v>557.78</x:v>
      </x:c>
      <x:c r="G56" s="252" t="n">
        <x:v>0</x:v>
      </x:c>
      <x:c r="H56" s="252" t="n">
        <x:v>0</x:v>
      </x:c>
      <x:c r="I56" s="252" t="n">
        <x:v>0</x:v>
      </x:c>
      <x:c r="J56" s="252" t="n">
        <x:v>0</x:v>
      </x:c>
      <x:c r="K56" s="253" t="n">
        <x:v>0</x:v>
      </x:c>
      <x:c r="L56" s="183"/>
      <x:c r="M56" s="183"/>
      <x:c r="N56" s="183"/>
      <x:c r="O56" s="183"/>
      <x:c r="P56" s="338" t="str">
        <x:v>Official consolidated quarterly financial result / filing</x:v>
      </x:c>
    </x:row>
    <x:row r="57">
      <x:c r="A57" s="341" t="str">
        <x:v>PBT</x:v>
      </x:c>
      <x:c r="B57" s="342" t="str">
        <x:v>INR m</x:v>
      </x:c>
      <x:c r="C57" s="342" t="str">
        <x:v>Reported</x:v>
      </x:c>
      <x:c r="D57" s="252" t="n">
        <x:v>1298.42</x:v>
      </x:c>
      <x:c r="E57" s="252" t="n">
        <x:v>494.226</x:v>
      </x:c>
      <x:c r="F57" s="252" t="n">
        <x:v>1277.649</x:v>
      </x:c>
      <x:c r="G57" s="252" t="n">
        <x:v>392.996</x:v>
      </x:c>
      <x:c r="H57" s="252" t="n">
        <x:v>175.704</x:v>
      </x:c>
      <x:c r="I57" s="252" t="n">
        <x:v>1294.365</x:v>
      </x:c>
      <x:c r="J57" s="252" t="n">
        <x:v>544.754</x:v>
      </x:c>
      <x:c r="K57" s="253" t="n">
        <x:v>2874.948</x:v>
      </x:c>
      <x:c r="L57" s="183"/>
      <x:c r="M57" s="183"/>
      <x:c r="N57" s="183"/>
      <x:c r="O57" s="183"/>
      <x:c r="P57" s="338" t="str">
        <x:v>Official consolidated quarterly financial result / filing</x:v>
      </x:c>
    </x:row>
    <x:row r="58">
      <x:c r="A58" s="341" t="str">
        <x:v>Tax</x:v>
      </x:c>
      <x:c r="B58" s="342" t="str">
        <x:v>INR m</x:v>
      </x:c>
      <x:c r="C58" s="342" t="str">
        <x:v>Reported</x:v>
      </x:c>
      <x:c r="D58" s="252" t="n">
        <x:v>319.693</x:v>
      </x:c>
      <x:c r="E58" s="252" t="n">
        <x:v>165.799</x:v>
      </x:c>
      <x:c r="F58" s="252" t="n">
        <x:v>261.781</x:v>
      </x:c>
      <x:c r="G58" s="252" t="n">
        <x:v>114.937</x:v>
      </x:c>
      <x:c r="H58" s="252" t="n">
        <x:v>36.704</x:v>
      </x:c>
      <x:c r="I58" s="252" t="n">
        <x:v>325.826</x:v>
      </x:c>
      <x:c r="J58" s="252" t="n">
        <x:v>139.035</x:v>
      </x:c>
      <x:c r="K58" s="253" t="n">
        <x:v>748.222</x:v>
      </x:c>
      <x:c r="L58" s="183"/>
      <x:c r="M58" s="183"/>
      <x:c r="N58" s="183"/>
      <x:c r="O58" s="183"/>
      <x:c r="P58" s="338" t="str">
        <x:v>Official consolidated quarterly financial result / filing</x:v>
      </x:c>
    </x:row>
    <x:row r="59">
      <x:c r="A59" s="341" t="str">
        <x:v>PAT</x:v>
      </x:c>
      <x:c r="B59" s="342" t="str">
        <x:v>INR m</x:v>
      </x:c>
      <x:c r="C59" s="342" t="str">
        <x:v>Reported</x:v>
      </x:c>
      <x:c r="D59" s="252" t="n">
        <x:v>978.727</x:v>
      </x:c>
      <x:c r="E59" s="252" t="n">
        <x:v>328.427</x:v>
      </x:c>
      <x:c r="F59" s="252" t="n">
        <x:v>1015.868</x:v>
      </x:c>
      <x:c r="G59" s="252" t="n">
        <x:v>278.059</x:v>
      </x:c>
      <x:c r="H59" s="252" t="n">
        <x:v>139</x:v>
      </x:c>
      <x:c r="I59" s="252" t="n">
        <x:v>968.539</x:v>
      </x:c>
      <x:c r="J59" s="252" t="n">
        <x:v>405.719</x:v>
      </x:c>
      <x:c r="K59" s="253" t="n">
        <x:v>2126.726</x:v>
      </x:c>
      <x:c r="L59" s="183"/>
      <x:c r="M59" s="183"/>
      <x:c r="N59" s="183"/>
      <x:c r="O59" s="183"/>
      <x:c r="P59" s="338" t="str">
        <x:v>Official consolidated quarterly financial result / filing</x:v>
      </x:c>
    </x:row>
    <x:row r="60">
      <x:c r="A60" s="341" t="str">
        <x:v>PAT Margin</x:v>
      </x:c>
      <x:c r="B60" s="342" t="str">
        <x:v>%</x:v>
      </x:c>
      <x:c r="C60" s="342" t="str">
        <x:v>Formula</x:v>
      </x:c>
      <x:c r="D60" s="262" t="n">
        <x:f>IFERROR(D59/D42,"")</x:f>
        <x:v>0.22263949388730753</x:v>
      </x:c>
      <x:c r="E60" s="262" t="n">
        <x:f>IFERROR(E59/E42,"")</x:f>
        <x:v>0.10565660309132754</x:v>
      </x:c>
      <x:c r="F60" s="262" t="n">
        <x:f>IFERROR(F59/F42,"")</x:f>
        <x:v>0.25522282390502465</x:v>
      </x:c>
      <x:c r="G60" s="262" t="n">
        <x:f>IFERROR(G59/G42,"")</x:f>
        <x:v>0.08468114264831283</x:v>
      </x:c>
      <x:c r="H60" s="262" t="n">
        <x:f>IFERROR(H59/H42,"")</x:f>
        <x:v>0.04748034774743324</x:v>
      </x:c>
      <x:c r="I60" s="262" t="n">
        <x:f>IFERROR(I59/I42,"")</x:f>
        <x:v>0.18833164713456724</x:v>
      </x:c>
      <x:c r="J60" s="262" t="n">
        <x:f>IFERROR(J59/J42,"")</x:f>
        <x:v>0.09226982463186474</x:v>
      </x:c>
      <x:c r="K60" s="263" t="n">
        <x:f>IFERROR(K59/K42,"")</x:f>
        <x:v>0.27397425804537534</x:v>
      </x:c>
      <x:c r="L60" s="262" t="str">
        <x:f>IFERROR(L59/L42,"")</x:f>
      </x:c>
      <x:c r="M60" s="262" t="str">
        <x:f>IFERROR(M59/M42,"")</x:f>
      </x:c>
      <x:c r="N60" s="262" t="str">
        <x:f>IFERROR(N59/N42,"")</x:f>
      </x:c>
      <x:c r="O60" s="262" t="str">
        <x:f>IFERROR(O59/O42,"")</x:f>
      </x:c>
      <x:c r="P60" s="338" t="str">
        <x:v>Official consolidated quarterly financial result / filing</x:v>
      </x:c>
    </x:row>
    <x:row r="61">
      <x:c r="A61" s="341" t="str">
        <x:v>Diluted EPS</x:v>
      </x:c>
      <x:c r="B61" s="342" t="str">
        <x:v>INR/share</x:v>
      </x:c>
      <x:c r="C61" s="342" t="str">
        <x:v>Reported</x:v>
      </x:c>
      <x:c r="D61" s="350" t="n">
        <x:v>76.28</x:v>
      </x:c>
      <x:c r="E61" s="350" t="n">
        <x:v>25.6</x:v>
      </x:c>
      <x:c r="F61" s="350" t="n">
        <x:v>79.18</x:v>
      </x:c>
      <x:c r="G61" s="350" t="n">
        <x:v>21.67</x:v>
      </x:c>
      <x:c r="H61" s="350" t="n">
        <x:v>10.83</x:v>
      </x:c>
      <x:c r="I61" s="350" t="n">
        <x:v>75.49</x:v>
      </x:c>
      <x:c r="J61" s="350" t="n">
        <x:v>31.62</x:v>
      </x:c>
      <x:c r="K61" s="351" t="n">
        <x:v>165.76</x:v>
      </x:c>
      <x:c r="L61" s="189"/>
      <x:c r="M61" s="189"/>
      <x:c r="N61" s="189"/>
      <x:c r="O61" s="189"/>
      <x:c r="P61" s="338" t="str">
        <x:v>Official consolidated quarterly financial result / filing</x:v>
      </x:c>
    </x:row>
    <x:row r="62">
      <x:c r="A62" s="341" t="str">
        <x:v>Revenue YoY Growth</x:v>
      </x:c>
      <x:c r="B62" s="342" t="str">
        <x:v>%</x:v>
      </x:c>
      <x:c r="C62" s="342" t="str">
        <x:v>Formula</x:v>
      </x:c>
      <x:c r="D62" s="262"/>
      <x:c r="E62" s="262"/>
      <x:c r="F62" s="262"/>
      <x:c r="G62" s="262"/>
      <x:c r="H62" s="262" t="n">
        <x:f>IF(OR(H42="",D42=""),"",H42/D42-1)</x:f>
        <x:v>-0.33405011855049693</x:v>
      </x:c>
      <x:c r="I62" s="262" t="n">
        <x:f>IF(OR(I42="",E42=""),"",I42/E42-1)</x:f>
        <x:v>0.6544421989436493</x:v>
      </x:c>
      <x:c r="J62" s="262" t="n">
        <x:f>IF(OR(J42="",F42=""),"",J42/F42-1)</x:f>
        <x:v>0.10470897048929251</x:v>
      </x:c>
      <x:c r="K62" s="263" t="n">
        <x:f>IF(OR(K42="",G42=""),"",K42/G42-1)</x:f>
        <x:v>1.3640221098794005</x:v>
      </x:c>
      <x:c r="L62" s="262" t="str">
        <x:f>IF(OR(L42="",H42=""),"",L42/H42-1)</x:f>
      </x:c>
      <x:c r="M62" s="262" t="str">
        <x:f>IF(OR(M42="",I42=""),"",M42/I42-1)</x:f>
      </x:c>
      <x:c r="N62" s="262" t="str">
        <x:f>IF(OR(N42="",J42=""),"",N42/J42-1)</x:f>
      </x:c>
      <x:c r="O62" s="262" t="str">
        <x:f>IF(OR(O42="",K42=""),"",O42/K42-1)</x:f>
      </x:c>
      <x:c r="P62" s="338" t="str">
        <x:v>Official consolidated quarterly financial result / filing</x:v>
      </x:c>
    </x:row>
    <x:row r="63">
      <x:c r="A63" s="341" t="str">
        <x:v>Revenue QoQ Growth</x:v>
      </x:c>
      <x:c r="B63" s="342" t="str">
        <x:v>%</x:v>
      </x:c>
      <x:c r="C63" s="342" t="str">
        <x:v>Formula</x:v>
      </x:c>
      <x:c r="D63" s="262"/>
      <x:c r="E63" s="262" t="n">
        <x:f>IF(OR(E42="",D42=""),"",E42/D42-1)</x:f>
        <x:v>-0.29289672901628905</x:v>
      </x:c>
      <x:c r="F63" s="262" t="n">
        <x:f>IF(OR(F42="",E42=""),"",F42/E42-1)</x:f>
        <x:v>0.28048814227595975</x:v>
      </x:c>
      <x:c r="G63" s="262" t="n">
        <x:f>IF(OR(G42="",F42=""),"",G42/F42-1)</x:f>
        <x:v>-0.1750407881983299</x:v>
      </x:c>
      <x:c r="H63" s="262" t="n">
        <x:f>IF(OR(H42="",G42=""),"",H42/G42-1)</x:f>
        <x:v>-0.10843982214642467</x:v>
      </x:c>
      <x:c r="I63" s="262" t="n">
        <x:f>IF(OR(I42="",H42=""),"",I42/H42-1)</x:f>
        <x:v>0.7566809802266554</x:v>
      </x:c>
      <x:c r="J63" s="262" t="n">
        <x:f>IF(OR(J42="",I42=""),"",J42/I42-1)</x:f>
        <x:v>-0.1449887229178427</x:v>
      </x:c>
      <x:c r="K63" s="263" t="n">
        <x:f>IF(OR(K42="",J42=""),"",K42/J42-1)</x:f>
        <x:v>0.7653715761754414</x:v>
      </x:c>
      <x:c r="L63" s="262" t="str">
        <x:f>IF(OR(L42="",K42=""),"",L42/K42-1)</x:f>
      </x:c>
      <x:c r="M63" s="262" t="str">
        <x:f>IF(OR(M42="",L42=""),"",M42/L42-1)</x:f>
      </x:c>
      <x:c r="N63" s="262" t="str">
        <x:f>IF(OR(N42="",M42=""),"",N42/M42-1)</x:f>
      </x:c>
      <x:c r="O63" s="262" t="str">
        <x:f>IF(OR(O42="",N42=""),"",O42/N42-1)</x:f>
      </x:c>
      <x:c r="P63" s="338" t="str">
        <x:v>Official consolidated quarterly financial result / filing</x:v>
      </x:c>
    </x:row>
    <x:row r="64">
      <x:c r="A64" s="341" t="str">
        <x:v>EBITDA YoY Growth</x:v>
      </x:c>
      <x:c r="B64" s="342" t="str">
        <x:v>%</x:v>
      </x:c>
      <x:c r="C64" s="342" t="str">
        <x:v>Formula</x:v>
      </x:c>
      <x:c r="D64" s="262"/>
      <x:c r="E64" s="262"/>
      <x:c r="F64" s="262"/>
      <x:c r="G64" s="262"/>
      <x:c r="H64" s="262" t="n">
        <x:f>IF(OR(H50="",D50=""),"",H50/D50-1)</x:f>
        <x:v>-0.6696117871398833</x:v>
      </x:c>
      <x:c r="I64" s="262" t="n">
        <x:f>IF(OR(I50="",E50=""),"",I50/E50-1)</x:f>
        <x:v>1.3639517309142688</x:v>
      </x:c>
      <x:c r="J64" s="262" t="n">
        <x:f>IF(OR(J50="",F50=""),"",J50/F50-1)</x:f>
        <x:v>-0.058766528293256015</x:v>
      </x:c>
      <x:c r="K64" s="263" t="n">
        <x:f>IF(OR(K50="",G50=""),"",K50/G50-1)</x:f>
        <x:v>4.462907981454847</x:v>
      </x:c>
      <x:c r="L64" s="262" t="str">
        <x:f>IF(OR(L50="",H50=""),"",L50/H50-1)</x:f>
      </x:c>
      <x:c r="M64" s="262" t="str">
        <x:f>IF(OR(M50="",I50=""),"",M50/I50-1)</x:f>
      </x:c>
      <x:c r="N64" s="262" t="str">
        <x:f>IF(OR(N50="",J50=""),"",N50/J50-1)</x:f>
      </x:c>
      <x:c r="O64" s="262" t="str">
        <x:f>IF(OR(O50="",K50=""),"",O50/K50-1)</x:f>
      </x:c>
      <x:c r="P64" s="338" t="str">
        <x:v>Official consolidated quarterly financial result / filing</x:v>
      </x:c>
    </x:row>
    <x:row r="65">
      <x:c r="A65" s="341" t="str">
        <x:v>PAT YoY Growth</x:v>
      </x:c>
      <x:c r="B65" s="342" t="str">
        <x:v>%</x:v>
      </x:c>
      <x:c r="C65" s="342" t="str">
        <x:v>Formula</x:v>
      </x:c>
      <x:c r="D65" s="262"/>
      <x:c r="E65" s="262"/>
      <x:c r="F65" s="262"/>
      <x:c r="G65" s="262"/>
      <x:c r="H65" s="262" t="n">
        <x:f>IF(OR(H59="",D59=""),"",H59/D59-1)</x:f>
        <x:v>-0.8579787826431682</x:v>
      </x:c>
      <x:c r="I65" s="262" t="n">
        <x:f>IF(OR(I59="",E59=""),"",I59/E59-1)</x:f>
        <x:v>1.9490236795391365</x:v>
      </x:c>
      <x:c r="J65" s="262" t="n">
        <x:f>IF(OR(J59="",F59=""),"",J59/F59-1)</x:f>
        <x:v>-0.600618387428288</x:v>
      </x:c>
      <x:c r="K65" s="263" t="n">
        <x:f>IF(OR(K59="",G59=""),"",K59/G59-1)</x:f>
        <x:v>6.64847028867974</x:v>
      </x:c>
      <x:c r="L65" s="262" t="str">
        <x:f>IF(OR(L59="",H59=""),"",L59/H59-1)</x:f>
      </x:c>
      <x:c r="M65" s="262" t="str">
        <x:f>IF(OR(M59="",I59=""),"",M59/I59-1)</x:f>
      </x:c>
      <x:c r="N65" s="262" t="str">
        <x:f>IF(OR(N59="",J59=""),"",N59/J59-1)</x:f>
      </x:c>
      <x:c r="O65" s="262" t="str">
        <x:f>IF(OR(O59="",K59=""),"",O59/K59-1)</x:f>
      </x:c>
      <x:c r="P65" s="338" t="str">
        <x:v>Official consolidated quarterly financial result / filing</x:v>
      </x:c>
    </x:row>
    <x:row r="66">
      <x:c r="A66" s="341"/>
      <x:c r="B66" s="342"/>
      <x:c r="C66" s="342"/>
      <x:c r="D66" s="343"/>
      <x:c r="E66" s="343"/>
      <x:c r="F66" s="343"/>
      <x:c r="G66" s="343"/>
      <x:c r="H66" s="343"/>
      <x:c r="I66" s="343"/>
      <x:c r="J66" s="343"/>
      <x:c r="K66" s="344"/>
      <x:c r="L66" s="343"/>
      <x:c r="M66" s="343"/>
      <x:c r="N66" s="343"/>
      <x:c r="O66" s="343"/>
      <x:c r="P66" s="338"/>
    </x:row>
    <x:row r="67">
      <x:c r="A67" s="341"/>
      <x:c r="B67" s="342"/>
      <x:c r="C67" s="342"/>
      <x:c r="D67" s="343"/>
      <x:c r="E67" s="343"/>
      <x:c r="F67" s="343"/>
      <x:c r="G67" s="343"/>
      <x:c r="H67" s="343"/>
      <x:c r="I67" s="343"/>
      <x:c r="J67" s="343"/>
      <x:c r="K67" s="344"/>
      <x:c r="L67" s="343"/>
      <x:c r="M67" s="343"/>
      <x:c r="N67" s="343"/>
      <x:c r="O67" s="343"/>
      <x:c r="P67" s="338"/>
    </x:row>
    <x:row r="68" ht="20" customHeight="1">
      <x:c r="A68" s="30" t="str">
        <x:v>D. Revenue Mix — Reported Mix / Analyst-Estimated Revenue</x:v>
      </x:c>
      <x:c r="B68" s="30"/>
      <x:c r="C68" s="30"/>
      <x:c r="D68" s="175"/>
      <x:c r="E68" s="175"/>
      <x:c r="F68" s="175"/>
      <x:c r="G68" s="175"/>
      <x:c r="H68" s="175"/>
      <x:c r="I68" s="175"/>
      <x:c r="J68" s="175"/>
      <x:c r="K68" s="176"/>
      <x:c r="L68" s="175"/>
      <x:c r="M68" s="175"/>
      <x:c r="N68" s="175"/>
      <x:c r="O68" s="175"/>
      <x:c r="P68" s="223"/>
    </x:row>
    <x:row r="69">
      <x:c r="A69" s="160" t="str">
        <x:v>Metric</x:v>
      </x:c>
      <x:c r="B69" s="15" t="str">
        <x:v>Units</x:v>
      </x:c>
      <x:c r="C69" s="15" t="str">
        <x:v>Status</x:v>
      </x:c>
      <x:c r="D69" s="168" t="str">
        <x:v>Q1FY25</x:v>
      </x:c>
      <x:c r="E69" s="168" t="str">
        <x:v>Q2FY25</x:v>
      </x:c>
      <x:c r="F69" s="168" t="str">
        <x:v>Q3FY25</x:v>
      </x:c>
      <x:c r="G69" s="168" t="str">
        <x:v>Q4FY25</x:v>
      </x:c>
      <x:c r="H69" s="168" t="str">
        <x:v>Q1FY26</x:v>
      </x:c>
      <x:c r="I69" s="168" t="str">
        <x:v>Q2FY26</x:v>
      </x:c>
      <x:c r="J69" s="168" t="str">
        <x:v>Q3FY26</x:v>
      </x:c>
      <x:c r="K69" s="169" t="str">
        <x:v>Q4FY26</x:v>
      </x:c>
      <x:c r="L69" s="168" t="str">
        <x:v>Q1FY27</x:v>
      </x:c>
      <x:c r="M69" s="168" t="str">
        <x:v>Q2FY27</x:v>
      </x:c>
      <x:c r="N69" s="168" t="str">
        <x:v>Q3FY27</x:v>
      </x:c>
      <x:c r="O69" s="168" t="str">
        <x:v>Q4FY27</x:v>
      </x:c>
      <x:c r="P69" s="15" t="str">
        <x:v>Source / Note</x:v>
      </x:c>
    </x:row>
    <x:row r="70">
      <x:c r="A70" s="341" t="str">
        <x:v>Prime Mix</x:v>
      </x:c>
      <x:c r="B70" s="342" t="str">
        <x:v>%</x:v>
      </x:c>
      <x:c r="C70" s="342" t="str">
        <x:v>Reported (rounded)</x:v>
      </x:c>
      <x:c r="D70" s="254" t="n">
        <x:v>0.27</x:v>
      </x:c>
      <x:c r="E70" s="254" t="n">
        <x:v>0.36</x:v>
      </x:c>
      <x:c r="F70" s="254" t="n">
        <x:v>0.33</x:v>
      </x:c>
      <x:c r="G70" s="254" t="n">
        <x:v>0.4</x:v>
      </x:c>
      <x:c r="H70" s="254" t="n">
        <x:v>0.32</x:v>
      </x:c>
      <x:c r="I70" s="254" t="n">
        <x:v>0.26</x:v>
      </x:c>
      <x:c r="J70" s="254" t="n">
        <x:v>0.22</x:v>
      </x:c>
      <x:c r="K70" s="255" t="n">
        <x:v>0.18</x:v>
      </x:c>
      <x:c r="L70" s="186"/>
      <x:c r="M70" s="186"/>
      <x:c r="N70" s="186"/>
      <x:c r="O70" s="186"/>
      <x:c r="P70" s="338" t="str">
        <x:v>Company-reported rounded mix</x:v>
      </x:c>
    </x:row>
    <x:row r="71">
      <x:c r="A71" s="341" t="str">
        <x:v>Prime Revenue</x:v>
      </x:c>
      <x:c r="B71" s="342" t="str">
        <x:v>INR m</x:v>
      </x:c>
      <x:c r="C71" s="342" t="str">
        <x:v>Analyst Estimate</x:v>
      </x:c>
      <x:c r="D71" s="260" t="n">
        <x:f>IF(OR(D42="",D70=""),"",D42*D70)</x:f>
        <x:v>1186.92459</x:v>
      </x:c>
      <x:c r="E71" s="260" t="n">
        <x:f>IF(OR(E42="",E70=""),"",E42*E70)</x:f>
        <x:v>1119.03768</x:v>
      </x:c>
      <x:c r="F71" s="260" t="n">
        <x:f>IF(OR(F42="",F70=""),"",F42*F70)</x:f>
        <x:v>1313.50494</x:v>
      </x:c>
      <x:c r="G71" s="260" t="n">
        <x:f>IF(OR(G42="",G70=""),"",G42*G70)</x:f>
        <x:v>1313.44</x:v>
      </x:c>
      <x:c r="H71" s="260" t="n">
        <x:f>IF(OR(H42="",H70=""),"",H42*H70)</x:f>
        <x:v>936.8086400000001</x:v>
      </x:c>
      <x:c r="I71" s="260" t="n">
        <x:f>IF(OR(I42="",I70=""),"",I42*I70)</x:f>
        <x:v>1337.11006</x:v>
      </x:c>
      <x:c r="J71" s="260" t="n">
        <x:f>IF(OR(J42="",J70=""),"",J42*J70)</x:f>
        <x:v>967.36046</x:v>
      </x:c>
      <x:c r="K71" s="261" t="n">
        <x:f>IF(OR(K42="",K70=""),"",K42*K70)</x:f>
        <x:v>1397.25054</x:v>
      </x:c>
      <x:c r="L71" s="260" t="str">
        <x:f>IF(OR(L42="",L70=""),"",L42*L70)</x:f>
      </x:c>
      <x:c r="M71" s="260" t="str">
        <x:f>IF(OR(M42="",M70=""),"",M42*M70)</x:f>
      </x:c>
      <x:c r="N71" s="260" t="str">
        <x:f>IF(OR(N42="",N70=""),"",N42*N70)</x:f>
      </x:c>
      <x:c r="O71" s="260" t="str">
        <x:f>IF(OR(O42="",O70=""),"",O42*O70)</x:f>
      </x:c>
      <x:c r="P71" s="338" t="str">
        <x:v>Calculated / analyst-estimated from rounded mix</x:v>
      </x:c>
    </x:row>
    <x:row r="72">
      <x:c r="A72" s="341" t="str">
        <x:v>Prime YoY Growth</x:v>
      </x:c>
      <x:c r="B72" s="342" t="str">
        <x:v>%</x:v>
      </x:c>
      <x:c r="C72" s="342" t="str">
        <x:v>Formula</x:v>
      </x:c>
      <x:c r="D72" s="262"/>
      <x:c r="E72" s="262"/>
      <x:c r="F72" s="262"/>
      <x:c r="G72" s="262"/>
      <x:c r="H72" s="262" t="n">
        <x:f>IF(OR(H71="",D71=""),"",H71/D71-1)</x:f>
        <x:v>-0.21072606643021863</x:v>
      </x:c>
      <x:c r="I72" s="262" t="n">
        <x:f>IF(OR(I71="",E71=""),"",I71/E71-1)</x:f>
        <x:v>0.1948749214593024</x:v>
      </x:c>
      <x:c r="J72" s="262" t="n">
        <x:f>IF(OR(J71="",F71=""),"",J71/F71-1)</x:f>
        <x:v>-0.26352735300713837</x:v>
      </x:c>
      <x:c r="K72" s="263" t="n">
        <x:f>IF(OR(K71="",G71=""),"",K71/G71-1)</x:f>
        <x:v>0.06380994944573026</x:v>
      </x:c>
      <x:c r="L72" s="262" t="str">
        <x:f>IF(OR(L71="",H71=""),"",L71/H71-1)</x:f>
      </x:c>
      <x:c r="M72" s="262" t="str">
        <x:f>IF(OR(M71="",I71=""),"",M71/I71-1)</x:f>
      </x:c>
      <x:c r="N72" s="262" t="str">
        <x:f>IF(OR(N71="",J71=""),"",N71/J71-1)</x:f>
      </x:c>
      <x:c r="O72" s="262" t="str">
        <x:f>IF(OR(O71="",K71=""),"",O71/K71-1)</x:f>
      </x:c>
      <x:c r="P72" s="338" t="str">
        <x:v>Calculated / analyst-estimated from rounded mix</x:v>
      </x:c>
    </x:row>
    <x:row r="73">
      <x:c r="A73" s="341" t="str">
        <x:v>Prime QoQ Growth</x:v>
      </x:c>
      <x:c r="B73" s="342" t="str">
        <x:v>%</x:v>
      </x:c>
      <x:c r="C73" s="342" t="str">
        <x:v>Formula</x:v>
      </x:c>
      <x:c r="D73" s="262"/>
      <x:c r="E73" s="262" t="n">
        <x:f>IF(OR(E71="",D71=""),"",E71/D71-1)</x:f>
        <x:v>-0.05719563868838551</x:v>
      </x:c>
      <x:c r="F73" s="262" t="n">
        <x:f>IF(OR(F71="",E71=""),"",F71/E71-1)</x:f>
        <x:v>0.17378079708629657</x:v>
      </x:c>
      <x:c r="G73" s="262" t="n">
        <x:f>IF(OR(G71="",F71=""),"",G71/F71-1)</x:f>
        <x:v>-0.00004944024039987838</x:v>
      </x:c>
      <x:c r="H73" s="262" t="n">
        <x:f>IF(OR(H71="",G71=""),"",H71/G71-1)</x:f>
        <x:v>-0.28675185771713974</x:v>
      </x:c>
      <x:c r="I73" s="262" t="n">
        <x:f>IF(OR(I71="",H71=""),"",I71/H71-1)</x:f>
        <x:v>0.42730329643415743</x:v>
      </x:c>
      <x:c r="J73" s="262" t="n">
        <x:f>IF(OR(J71="",I71=""),"",J71/I71-1)</x:f>
        <x:v>-0.27652891939202073</x:v>
      </x:c>
      <x:c r="K73" s="263" t="n">
        <x:f>IF(OR(K71="",J71=""),"",K71/J71-1)</x:f>
        <x:v>0.4443949259617248</x:v>
      </x:c>
      <x:c r="L73" s="262" t="str">
        <x:f>IF(OR(L71="",K71=""),"",L71/K71-1)</x:f>
      </x:c>
      <x:c r="M73" s="262" t="str">
        <x:f>IF(OR(M71="",L71=""),"",M71/L71-1)</x:f>
      </x:c>
      <x:c r="N73" s="262" t="str">
        <x:f>IF(OR(N71="",M71=""),"",N71/M71-1)</x:f>
      </x:c>
      <x:c r="O73" s="262" t="str">
        <x:f>IF(OR(O71="",N71=""),"",O71/N71-1)</x:f>
      </x:c>
      <x:c r="P73" s="338" t="str">
        <x:v>Calculated / analyst-estimated from rounded mix</x:v>
      </x:c>
    </x:row>
    <x:row r="74">
      <x:c r="A74" s="341" t="str">
        <x:v>Specialty Mix</x:v>
      </x:c>
      <x:c r="B74" s="342" t="str">
        <x:v>%</x:v>
      </x:c>
      <x:c r="C74" s="342" t="str">
        <x:v>Reported (rounded)</x:v>
      </x:c>
      <x:c r="D74" s="254" t="n">
        <x:v>0.14</x:v>
      </x:c>
      <x:c r="E74" s="254" t="n">
        <x:v>0.16</x:v>
      </x:c>
      <x:c r="F74" s="254" t="n">
        <x:v>0.23</x:v>
      </x:c>
      <x:c r="G74" s="254" t="n">
        <x:v>0.19</x:v>
      </x:c>
      <x:c r="H74" s="254" t="n">
        <x:v>0.16</x:v>
      </x:c>
      <x:c r="I74" s="254" t="n">
        <x:v>0.11</x:v>
      </x:c>
      <x:c r="J74" s="254" t="n">
        <x:v>0.11</x:v>
      </x:c>
      <x:c r="K74" s="255" t="n">
        <x:v>0.08</x:v>
      </x:c>
      <x:c r="L74" s="186"/>
      <x:c r="M74" s="186"/>
      <x:c r="N74" s="186"/>
      <x:c r="O74" s="186"/>
      <x:c r="P74" s="338" t="str">
        <x:v>Company-reported rounded mix</x:v>
      </x:c>
    </x:row>
    <x:row r="75">
      <x:c r="A75" s="341" t="str">
        <x:v>Specialty Revenue</x:v>
      </x:c>
      <x:c r="B75" s="342" t="str">
        <x:v>INR m</x:v>
      </x:c>
      <x:c r="C75" s="342" t="str">
        <x:v>Analyst Estimate</x:v>
      </x:c>
      <x:c r="D75" s="260" t="n">
        <x:f>IF(OR(D42="",D74=""),"",D42*D74)</x:f>
        <x:v>615.4423800000001</x:v>
      </x:c>
      <x:c r="E75" s="260" t="n">
        <x:f>IF(OR(E42="",E74=""),"",E42*E74)</x:f>
        <x:v>497.35008000000005</x:v>
      </x:c>
      <x:c r="F75" s="260" t="n">
        <x:f>IF(OR(F42="",F74=""),"",F42*F74)</x:f>
        <x:v>915.4731400000001</x:v>
      </x:c>
      <x:c r="G75" s="260" t="n">
        <x:f>IF(OR(G42="",G74=""),"",G42*G74)</x:f>
        <x:v>623.884</x:v>
      </x:c>
      <x:c r="H75" s="260" t="n">
        <x:f>IF(OR(H42="",H74=""),"",H42*H74)</x:f>
        <x:v>468.40432000000004</x:v>
      </x:c>
      <x:c r="I75" s="260" t="n">
        <x:f>IF(OR(I42="",I74=""),"",I42*I74)</x:f>
        <x:v>565.70041</x:v>
      </x:c>
      <x:c r="J75" s="260" t="n">
        <x:f>IF(OR(J42="",J74=""),"",J42*J74)</x:f>
        <x:v>483.68023</x:v>
      </x:c>
      <x:c r="K75" s="261" t="n">
        <x:f>IF(OR(K42="",K74=""),"",K42*K74)</x:f>
        <x:v>621.00024</x:v>
      </x:c>
      <x:c r="L75" s="260" t="str">
        <x:f>IF(OR(L42="",L74=""),"",L42*L74)</x:f>
      </x:c>
      <x:c r="M75" s="260" t="str">
        <x:f>IF(OR(M42="",M74=""),"",M42*M74)</x:f>
      </x:c>
      <x:c r="N75" s="260" t="str">
        <x:f>IF(OR(N42="",N74=""),"",N42*N74)</x:f>
      </x:c>
      <x:c r="O75" s="260" t="str">
        <x:f>IF(OR(O42="",O74=""),"",O42*O74)</x:f>
      </x:c>
      <x:c r="P75" s="338" t="str">
        <x:v>Calculated / analyst-estimated from rounded mix</x:v>
      </x:c>
    </x:row>
    <x:row r="76">
      <x:c r="A76" s="341" t="str">
        <x:v>Specialty YoY Growth</x:v>
      </x:c>
      <x:c r="B76" s="342" t="str">
        <x:v>%</x:v>
      </x:c>
      <x:c r="C76" s="342" t="str">
        <x:v>Formula</x:v>
      </x:c>
      <x:c r="D76" s="262"/>
      <x:c r="E76" s="262"/>
      <x:c r="F76" s="262"/>
      <x:c r="G76" s="262"/>
      <x:c r="H76" s="262" t="n">
        <x:f>IF(OR(H75="",D75=""),"",H75/D75-1)</x:f>
        <x:v>-0.23891442120056794</x:v>
      </x:c>
      <x:c r="I76" s="262" t="n">
        <x:f>IF(OR(I75="",E75=""),"",I75/E75-1)</x:f>
        <x:v>0.1374290117737591</x:v>
      </x:c>
      <x:c r="J76" s="262" t="n">
        <x:f>IF(OR(J75="",F75=""),"",J75/F75-1)</x:f>
        <x:v>-0.4716609271572949</x:v>
      </x:c>
      <x:c r="K76" s="263" t="n">
        <x:f>IF(OR(K75="",G75=""),"",K75/G75-1)</x:f>
        <x:v>-0.004622269524462985</x:v>
      </x:c>
      <x:c r="L76" s="262" t="str">
        <x:f>IF(OR(L75="",H75=""),"",L75/H75-1)</x:f>
      </x:c>
      <x:c r="M76" s="262" t="str">
        <x:f>IF(OR(M75="",I75=""),"",M75/I75-1)</x:f>
      </x:c>
      <x:c r="N76" s="262" t="str">
        <x:f>IF(OR(N75="",J75=""),"",N75/J75-1)</x:f>
      </x:c>
      <x:c r="O76" s="262" t="str">
        <x:f>IF(OR(O75="",K75=""),"",O75/K75-1)</x:f>
      </x:c>
      <x:c r="P76" s="338" t="str">
        <x:v>Calculated / analyst-estimated from rounded mix</x:v>
      </x:c>
    </x:row>
    <x:row r="77">
      <x:c r="A77" s="341" t="str">
        <x:v>Specialty QoQ Growth</x:v>
      </x:c>
      <x:c r="B77" s="342" t="str">
        <x:v>%</x:v>
      </x:c>
      <x:c r="C77" s="342" t="str">
        <x:v>Formula</x:v>
      </x:c>
      <x:c r="D77" s="262"/>
      <x:c r="E77" s="262" t="n">
        <x:f>IF(OR(E75="",D75=""),"",E75/D75-1)</x:f>
        <x:v>-0.19188197601861612</x:v>
      </x:c>
      <x:c r="F77" s="262" t="n">
        <x:f>IF(OR(F75="",E75=""),"",F75/E75-1)</x:f>
        <x:v>0.8407017045216922</x:v>
      </x:c>
      <x:c r="G77" s="262" t="n">
        <x:f>IF(OR(G75="",F75=""),"",G75/F75-1)</x:f>
        <x:v>-0.31851195546818556</x:v>
      </x:c>
      <x:c r="H77" s="262" t="n">
        <x:f>IF(OR(H75="",G75=""),"",H75/G75-1)</x:f>
        <x:v>-0.24921248180751543</x:v>
      </x:c>
      <x:c r="I77" s="262" t="n">
        <x:f>IF(OR(I75="",H75=""),"",I75/H75-1)</x:f>
        <x:v>0.2077181739058256</x:v>
      </x:c>
      <x:c r="J77" s="262" t="n">
        <x:f>IF(OR(J75="",I75=""),"",J75/I75-1)</x:f>
        <x:v>-0.1449887229178427</x:v>
      </x:c>
      <x:c r="K77" s="263" t="n">
        <x:f>IF(OR(K75="",J75=""),"",K75/J75-1)</x:f>
        <x:v>0.2839066008548663</x:v>
      </x:c>
      <x:c r="L77" s="262" t="str">
        <x:f>IF(OR(L75="",K75=""),"",L75/K75-1)</x:f>
      </x:c>
      <x:c r="M77" s="262" t="str">
        <x:f>IF(OR(M75="",L75=""),"",M75/L75-1)</x:f>
      </x:c>
      <x:c r="N77" s="262" t="str">
        <x:f>IF(OR(N75="",M75=""),"",N75/M75-1)</x:f>
      </x:c>
      <x:c r="O77" s="262" t="str">
        <x:f>IF(OR(O75="",N75=""),"",O75/N75-1)</x:f>
      </x:c>
      <x:c r="P77" s="338" t="str">
        <x:v>Calculated / analyst-estimated from rounded mix</x:v>
      </x:c>
    </x:row>
    <x:row r="78">
      <x:c r="A78" s="341" t="str">
        <x:v>CMS Mix</x:v>
      </x:c>
      <x:c r="B78" s="342" t="str">
        <x:v>%</x:v>
      </x:c>
      <x:c r="C78" s="342" t="str">
        <x:v>Reported (rounded)</x:v>
      </x:c>
      <x:c r="D78" s="254" t="n">
        <x:v>0.53</x:v>
      </x:c>
      <x:c r="E78" s="254" t="n">
        <x:v>0.42</x:v>
      </x:c>
      <x:c r="F78" s="254" t="n">
        <x:v>0.39</x:v>
      </x:c>
      <x:c r="G78" s="254" t="n">
        <x:v>0.34</x:v>
      </x:c>
      <x:c r="H78" s="254" t="n">
        <x:v>0.44</x:v>
      </x:c>
      <x:c r="I78" s="254" t="n">
        <x:v>0.6</x:v>
      </x:c>
      <x:c r="J78" s="254" t="n">
        <x:v>0.61</x:v>
      </x:c>
      <x:c r="K78" s="255" t="n">
        <x:v>0.68</x:v>
      </x:c>
      <x:c r="L78" s="186"/>
      <x:c r="M78" s="186"/>
      <x:c r="N78" s="186"/>
      <x:c r="O78" s="186"/>
      <x:c r="P78" s="338" t="str">
        <x:v>Company-reported rounded mix</x:v>
      </x:c>
    </x:row>
    <x:row r="79">
      <x:c r="A79" s="341" t="str">
        <x:v>CMS Revenue</x:v>
      </x:c>
      <x:c r="B79" s="342" t="str">
        <x:v>INR m</x:v>
      </x:c>
      <x:c r="C79" s="342" t="str">
        <x:v>Analyst Estimate</x:v>
      </x:c>
      <x:c r="D79" s="260" t="n">
        <x:f>IF(OR(D42="",D78=""),"",D42*D78)</x:f>
        <x:v>2329.88901</x:v>
      </x:c>
      <x:c r="E79" s="260" t="n">
        <x:f>IF(OR(E42="",E78=""),"",E42*E78)</x:f>
        <x:v>1305.54396</x:v>
      </x:c>
      <x:c r="F79" s="260" t="n">
        <x:f>IF(OR(F42="",F78=""),"",F42*F78)</x:f>
        <x:v>1552.3240200000002</x:v>
      </x:c>
      <x:c r="G79" s="260" t="n">
        <x:f>IF(OR(G42="",G78=""),"",G42*G78)</x:f>
        <x:v>1116.424</x:v>
      </x:c>
      <x:c r="H79" s="260" t="n">
        <x:f>IF(OR(H42="",H78=""),"",H42*H78)</x:f>
        <x:v>1288.11188</x:v>
      </x:c>
      <x:c r="I79" s="260" t="n">
        <x:f>IF(OR(I42="",I78=""),"",I42*I78)</x:f>
        <x:v>3085.6385999999998</x:v>
      </x:c>
      <x:c r="J79" s="260" t="n">
        <x:f>IF(OR(J42="",J78=""),"",J42*J78)</x:f>
        <x:v>2682.22673</x:v>
      </x:c>
      <x:c r="K79" s="261" t="n">
        <x:f>IF(OR(K42="",K78=""),"",K42*K78)</x:f>
        <x:v>5278.50204</x:v>
      </x:c>
      <x:c r="L79" s="260" t="str">
        <x:f>IF(OR(L42="",L78=""),"",L42*L78)</x:f>
      </x:c>
      <x:c r="M79" s="260" t="str">
        <x:f>IF(OR(M42="",M78=""),"",M42*M78)</x:f>
      </x:c>
      <x:c r="N79" s="260" t="str">
        <x:f>IF(OR(N42="",N78=""),"",N42*N78)</x:f>
      </x:c>
      <x:c r="O79" s="260" t="str">
        <x:f>IF(OR(O42="",O78=""),"",O42*O78)</x:f>
      </x:c>
      <x:c r="P79" s="338" t="str">
        <x:v>Calculated / analyst-estimated from rounded mix</x:v>
      </x:c>
    </x:row>
    <x:row r="80">
      <x:c r="A80" s="341" t="str">
        <x:v>CMS YoY Growth</x:v>
      </x:c>
      <x:c r="B80" s="342" t="str">
        <x:v>%</x:v>
      </x:c>
      <x:c r="C80" s="342" t="str">
        <x:v>Formula</x:v>
      </x:c>
      <x:c r="D80" s="262"/>
      <x:c r="E80" s="262"/>
      <x:c r="F80" s="262"/>
      <x:c r="G80" s="262"/>
      <x:c r="H80" s="262" t="n">
        <x:f>IF(OR(H79="",D79=""),"",H79/D79-1)</x:f>
        <x:v>-0.44713594747588425</x:v>
      </x:c>
      <x:c r="I80" s="262" t="n">
        <x:f>IF(OR(I79="",E79=""),"",I79/E79-1)</x:f>
        <x:v>1.363488855633785</x:v>
      </x:c>
      <x:c r="J80" s="262" t="n">
        <x:f>IF(OR(J79="",F79=""),"",J79/F79-1)</x:f>
        <x:v>0.727878133329406</x:v>
      </x:c>
      <x:c r="K80" s="263" t="n">
        <x:f>IF(OR(K79="",G79=""),"",K79/G79-1)</x:f>
        <x:v>3.728044219758802</x:v>
      </x:c>
      <x:c r="L80" s="262" t="str">
        <x:f>IF(OR(L79="",H79=""),"",L79/H79-1)</x:f>
      </x:c>
      <x:c r="M80" s="262" t="str">
        <x:f>IF(OR(M79="",I79=""),"",M79/I79-1)</x:f>
      </x:c>
      <x:c r="N80" s="262" t="str">
        <x:f>IF(OR(N79="",J79=""),"",N79/J79-1)</x:f>
      </x:c>
      <x:c r="O80" s="262" t="str">
        <x:f>IF(OR(O79="",K79=""),"",O79/K79-1)</x:f>
      </x:c>
      <x:c r="P80" s="338" t="str">
        <x:v>Calculated / analyst-estimated from rounded mix</x:v>
      </x:c>
    </x:row>
    <x:row r="81">
      <x:c r="A81" s="341" t="str">
        <x:v>CMS QoQ Growth</x:v>
      </x:c>
      <x:c r="B81" s="342" t="str">
        <x:v>%</x:v>
      </x:c>
      <x:c r="C81" s="342" t="str">
        <x:v>Formula</x:v>
      </x:c>
      <x:c r="D81" s="262"/>
      <x:c r="E81" s="262" t="n">
        <x:f>IF(OR(E79="",D79=""),"",E79/D79-1)</x:f>
        <x:v>-0.43965401167328566</x:v>
      </x:c>
      <x:c r="F81" s="262" t="n">
        <x:f>IF(OR(F79="",E79=""),"",F79/E79-1)</x:f>
        <x:v>0.189024703541963</x:v>
      </x:c>
      <x:c r="G81" s="262" t="n">
        <x:f>IF(OR(G79="",F79=""),"",G79/F79-1)</x:f>
        <x:v>-0.2808047897113647</x:v>
      </x:c>
      <x:c r="H81" s="262" t="n">
        <x:f>IF(OR(H79="",G79=""),"",H79/G79-1)</x:f>
        <x:v>0.15378375957521517</x:v>
      </x:c>
      <x:c r="I81" s="262" t="n">
        <x:f>IF(OR(I79="",H79=""),"",I79/H79-1)</x:f>
        <x:v>1.3954740639454393</x:v>
      </x:c>
      <x:c r="J81" s="262" t="n">
        <x:f>IF(OR(J79="",I79=""),"",J79/I79-1)</x:f>
        <x:v>-0.13073853496647336</x:v>
      </x:c>
      <x:c r="K81" s="263" t="n">
        <x:f>IF(OR(K79="",J79=""),"",K79/J79-1)</x:f>
        <x:v>0.9679551996709841</x:v>
      </x:c>
      <x:c r="L81" s="262" t="str">
        <x:f>IF(OR(L79="",K79=""),"",L79/K79-1)</x:f>
      </x:c>
      <x:c r="M81" s="262" t="str">
        <x:f>IF(OR(M79="",L79=""),"",M79/L79-1)</x:f>
      </x:c>
      <x:c r="N81" s="262" t="str">
        <x:f>IF(OR(N79="",M79=""),"",N79/M79-1)</x:f>
      </x:c>
      <x:c r="O81" s="262" t="str">
        <x:f>IF(OR(O79="",N79=""),"",O79/N79-1)</x:f>
      </x:c>
      <x:c r="P81" s="338" t="str">
        <x:v>Calculated / analyst-estimated from rounded mix</x:v>
      </x:c>
    </x:row>
    <x:row r="82">
      <x:c r="A82" s="341" t="str">
        <x:v>Others Mix</x:v>
      </x:c>
      <x:c r="B82" s="342" t="str">
        <x:v>%</x:v>
      </x:c>
      <x:c r="C82" s="342" t="str">
        <x:v>Reported (rounded)</x:v>
      </x:c>
      <x:c r="D82" s="254" t="n">
        <x:v>0.06</x:v>
      </x:c>
      <x:c r="E82" s="254" t="n">
        <x:v>0.06</x:v>
      </x:c>
      <x:c r="F82" s="254" t="n">
        <x:v>0.05</x:v>
      </x:c>
      <x:c r="G82" s="254" t="n">
        <x:v>0.07</x:v>
      </x:c>
      <x:c r="H82" s="254" t="n">
        <x:v>0.07</x:v>
      </x:c>
      <x:c r="I82" s="254" t="n">
        <x:v>0.04</x:v>
      </x:c>
      <x:c r="J82" s="254" t="n">
        <x:v>0.06</x:v>
      </x:c>
      <x:c r="K82" s="255" t="n">
        <x:v>0.06</x:v>
      </x:c>
      <x:c r="L82" s="186"/>
      <x:c r="M82" s="186"/>
      <x:c r="N82" s="186"/>
      <x:c r="O82" s="186"/>
      <x:c r="P82" s="338" t="str">
        <x:v>Company-reported rounded mix</x:v>
      </x:c>
    </x:row>
    <x:row r="83">
      <x:c r="A83" s="341" t="str">
        <x:v>Others Revenue</x:v>
      </x:c>
      <x:c r="B83" s="342" t="str">
        <x:v>INR m</x:v>
      </x:c>
      <x:c r="C83" s="342" t="str">
        <x:v>Analyst Estimate</x:v>
      </x:c>
      <x:c r="D83" s="260" t="n">
        <x:f>IF(OR(D42="",D82=""),"",D42*D82)</x:f>
        <x:v>263.76102</x:v>
      </x:c>
      <x:c r="E83" s="260" t="n">
        <x:f>IF(OR(E42="",E82=""),"",E42*E82)</x:f>
        <x:v>186.50628</x:v>
      </x:c>
      <x:c r="F83" s="260" t="n">
        <x:f>IF(OR(F42="",F82=""),"",F42*F82)</x:f>
        <x:v>199.01590000000002</x:v>
      </x:c>
      <x:c r="G83" s="260" t="n">
        <x:f>IF(OR(G42="",G82=""),"",G42*G82)</x:f>
        <x:v>229.852</x:v>
      </x:c>
      <x:c r="H83" s="260" t="n">
        <x:f>IF(OR(H42="",H82=""),"",H42*H82)</x:f>
        <x:v>204.92689000000001</x:v>
      </x:c>
      <x:c r="I83" s="260" t="n">
        <x:f>IF(OR(I42="",I82=""),"",I42*I82)</x:f>
        <x:v>205.70924</x:v>
      </x:c>
      <x:c r="J83" s="260" t="n">
        <x:f>IF(OR(J42="",J82=""),"",J42*J82)</x:f>
        <x:v>263.82558</x:v>
      </x:c>
      <x:c r="K83" s="261" t="n">
        <x:f>IF(OR(K42="",K82=""),"",K42*K82)</x:f>
        <x:v>465.75017999999994</x:v>
      </x:c>
      <x:c r="L83" s="260" t="str">
        <x:f>IF(OR(L42="",L82=""),"",L42*L82)</x:f>
      </x:c>
      <x:c r="M83" s="260" t="str">
        <x:f>IF(OR(M42="",M82=""),"",M42*M82)</x:f>
      </x:c>
      <x:c r="N83" s="260" t="str">
        <x:f>IF(OR(N42="",N82=""),"",N42*N82)</x:f>
      </x:c>
      <x:c r="O83" s="260" t="str">
        <x:f>IF(OR(O42="",O82=""),"",O42*O82)</x:f>
      </x:c>
      <x:c r="P83" s="338" t="str">
        <x:v>Calculated / analyst-estimated from rounded mix</x:v>
      </x:c>
    </x:row>
    <x:row r="84">
      <x:c r="A84" s="341" t="str">
        <x:v>CMS Mix Expansion vs LY</x:v>
      </x:c>
      <x:c r="B84" s="342" t="str">
        <x:v>ppt</x:v>
      </x:c>
      <x:c r="C84" s="342" t="str">
        <x:v>Formula</x:v>
      </x:c>
      <x:c r="D84" s="262"/>
      <x:c r="E84" s="262"/>
      <x:c r="F84" s="262"/>
      <x:c r="G84" s="262"/>
      <x:c r="H84" s="262" t="n">
        <x:f>IF(OR(H78="",D78=""),"",H78-D78)</x:f>
        <x:v>-0.09000000000000002</x:v>
      </x:c>
      <x:c r="I84" s="262" t="n">
        <x:f>IF(OR(I78="",E78=""),"",I78-E78)</x:f>
        <x:v>0.18</x:v>
      </x:c>
      <x:c r="J84" s="262" t="n">
        <x:f>IF(OR(J78="",F78=""),"",J78-F78)</x:f>
        <x:v>0.21999999999999997</x:v>
      </x:c>
      <x:c r="K84" s="263" t="n">
        <x:f>IF(OR(K78="",G78=""),"",K78-G78)</x:f>
        <x:v>0.34</x:v>
      </x:c>
      <x:c r="L84" s="262" t="str">
        <x:f>IF(OR(L78="",H78=""),"",L78-H78)</x:f>
      </x:c>
      <x:c r="M84" s="262" t="str">
        <x:f>IF(OR(M78="",I78=""),"",M78-I78)</x:f>
      </x:c>
      <x:c r="N84" s="262" t="str">
        <x:f>IF(OR(N78="",J78=""),"",N78-J78)</x:f>
      </x:c>
      <x:c r="O84" s="262" t="str">
        <x:f>IF(OR(O78="",K78=""),"",O78-K78)</x:f>
      </x:c>
      <x:c r="P84" s="338" t="str">
        <x:v>Calculated / analyst-estimated from rounded mix</x:v>
      </x:c>
    </x:row>
    <x:row r="85">
      <x:c r="A85" s="341"/>
      <x:c r="B85" s="342"/>
      <x:c r="C85" s="342"/>
      <x:c r="D85" s="343"/>
      <x:c r="E85" s="343"/>
      <x:c r="F85" s="343"/>
      <x:c r="G85" s="343"/>
      <x:c r="H85" s="343"/>
      <x:c r="I85" s="343"/>
      <x:c r="J85" s="343"/>
      <x:c r="K85" s="344"/>
      <x:c r="L85" s="343"/>
      <x:c r="M85" s="343"/>
      <x:c r="N85" s="343"/>
      <x:c r="O85" s="343"/>
      <x:c r="P85" s="338"/>
    </x:row>
    <x:row r="86">
      <x:c r="A86" s="341"/>
      <x:c r="B86" s="342"/>
      <x:c r="C86" s="342"/>
      <x:c r="D86" s="343"/>
      <x:c r="E86" s="343"/>
      <x:c r="F86" s="343"/>
      <x:c r="G86" s="343"/>
      <x:c r="H86" s="343"/>
      <x:c r="I86" s="343"/>
      <x:c r="J86" s="343"/>
      <x:c r="K86" s="344"/>
      <x:c r="L86" s="343"/>
      <x:c r="M86" s="343"/>
      <x:c r="N86" s="343"/>
      <x:c r="O86" s="343"/>
      <x:c r="P86" s="338"/>
    </x:row>
    <x:row r="87" ht="20" customHeight="1">
      <x:c r="A87" s="30" t="str">
        <x:v>E. Molecule / Programme Monitor</x:v>
      </x:c>
      <x:c r="B87" s="30"/>
      <x:c r="C87" s="30"/>
      <x:c r="D87" s="175"/>
      <x:c r="E87" s="175"/>
      <x:c r="F87" s="175"/>
      <x:c r="G87" s="175"/>
      <x:c r="H87" s="175"/>
      <x:c r="I87" s="175"/>
      <x:c r="J87" s="175"/>
      <x:c r="K87" s="436"/>
      <x:c r="L87" s="437"/>
      <x:c r="M87" s="437"/>
      <x:c r="N87" s="437"/>
      <x:c r="O87" s="437"/>
      <x:c r="P87" s="438"/>
    </x:row>
    <x:row r="88">
      <x:c r="A88" s="160" t="str">
        <x:v>Molecule / Programme</x:v>
      </x:c>
      <x:c r="B88" s="15" t="str">
        <x:v>Segment</x:v>
      </x:c>
      <x:c r="C88" s="15" t="str">
        <x:v>Innovator / Customer</x:v>
      </x:c>
      <x:c r="D88" s="168" t="str">
        <x:v>Status</x:v>
      </x:c>
      <x:c r="E88" s="168" t="str">
        <x:v>Previous Quarter</x:v>
      </x:c>
      <x:c r="F88" s="168" t="str">
        <x:v>Latest Quarter</x:v>
      </x:c>
      <x:c r="G88" s="168" t="str">
        <x:v>Analyst Read-through</x:v>
      </x:c>
      <x:c r="H88" s="168" t="str">
        <x:v>Confidence</x:v>
      </x:c>
      <x:c r="I88" s="168" t="str">
        <x:v>Source</x:v>
      </x:c>
      <x:c r="J88" s="168" t="str">
        <x:v>Page / Date</x:v>
      </x:c>
      <x:c r="K88" s="344"/>
      <x:c r="L88" s="343"/>
      <x:c r="M88" s="343"/>
      <x:c r="N88" s="343"/>
      <x:c r="O88" s="343"/>
      <x:c r="P88" s="338"/>
    </x:row>
    <x:row r="89" ht="48" customHeight="1">
      <x:c r="A89" s="337" t="str">
        <x:v>Ezetimibe</x:v>
      </x:c>
      <x:c r="B89" s="338" t="str">
        <x:v>Prime</x:v>
      </x:c>
      <x:c r="C89" s="338" t="str">
        <x:v>Generic customer base</x:v>
      </x:c>
      <x:c r="D89" s="352" t="str">
        <x:v>Commercial / Mature</x:v>
      </x:c>
      <x:c r="E89" s="352" t="str">
        <x:v>Q3FY26: key Prime contributor</x:v>
      </x:c>
      <x:c r="F89" s="352" t="str">
        <x:v>Q4FY26: key Prime contributor; company expects growth</x:v>
      </x:c>
      <x:c r="G89" s="352" t="str">
        <x:v>Prime recovery support; mature product, no dedicated capex linkage required</x:v>
      </x:c>
      <x:c r="H89" s="352" t="str">
        <x:v>High (relationship)</x:v>
      </x:c>
      <x:c r="I89" s="352" t="str">
        <x:v>FY26 Q4 investor presentation</x:v>
      </x:c>
      <x:c r="J89" s="352" t="str">
        <x:v>May-2026</x:v>
      </x:c>
      <x:c r="K89" s="344"/>
      <x:c r="L89" s="343"/>
      <x:c r="M89" s="343"/>
      <x:c r="N89" s="343"/>
      <x:c r="O89" s="343"/>
      <x:c r="P89" s="338"/>
    </x:row>
    <x:row r="90" ht="48" customHeight="1">
      <x:c r="A90" s="337" t="str">
        <x:v>Paliperidone</x:v>
      </x:c>
      <x:c r="B90" s="338" t="str">
        <x:v>Specialty</x:v>
      </x:c>
      <x:c r="C90" s="338" t="str">
        <x:v>Generic customer base</x:v>
      </x:c>
      <x:c r="D90" s="352" t="str">
        <x:v>Commercial</x:v>
      </x:c>
      <x:c r="E90" s="352" t="str">
        <x:v>Q3FY26: Specialty subdued due to Paliperidone</x:v>
      </x:c>
      <x:c r="F90" s="352" t="str">
        <x:v>Q4FY26: still subdued due to Paliperidone</x:v>
      </x:c>
      <x:c r="G90" s="352" t="str">
        <x:v>Recovery remains a Specialty swing factor; no dedicated new-capacity link identified</x:v>
      </x:c>
      <x:c r="H90" s="352" t="str">
        <x:v>High (relationship)</x:v>
      </x:c>
      <x:c r="I90" s="352" t="str">
        <x:v>FY26 Q3 / Q4 investor presentations</x:v>
      </x:c>
      <x:c r="J90" s="352" t="str">
        <x:v>Feb/May-2026</x:v>
      </x:c>
      <x:c r="K90" s="344"/>
      <x:c r="L90" s="343"/>
      <x:c r="M90" s="343"/>
      <x:c r="N90" s="343"/>
      <x:c r="O90" s="343"/>
      <x:c r="P90" s="338"/>
    </x:row>
    <x:row r="91" ht="48" customHeight="1">
      <x:c r="A91" s="337" t="str">
        <x:v>Bempedoic acid / Nexletol / Nexlizet</x:v>
      </x:c>
      <x:c r="B91" s="338" t="str">
        <x:v>CMS</x:v>
      </x:c>
      <x:c r="C91" s="338" t="str">
        <x:v>Esperion Therapeutics</x:v>
      </x:c>
      <x:c r="D91" s="352" t="str">
        <x:v>Commercial</x:v>
      </x:c>
      <x:c r="E91" s="352" t="str">
        <x:v>No molecule-specific quarterly disclosure</x:v>
      </x:c>
      <x:c r="F91" s="352" t="str">
        <x:v>No molecule-specific quarterly disclosure</x:v>
      </x:c>
      <x:c r="G91" s="352" t="str">
        <x:v>Commercial API relationship confirmed; company does not disclose product-specific capacity, so do not force a block linkage</x:v>
      </x:c>
      <x:c r="H91" s="352" t="str">
        <x:v>High</x:v>
      </x:c>
      <x:c r="I91" s="352" t="str">
        <x:v>Neuland case study + earnings calls</x:v>
      </x:c>
      <x:c r="J91" s="352" t="str">
        <x:v>2019 onward</x:v>
      </x:c>
      <x:c r="K91" s="344"/>
      <x:c r="L91" s="343"/>
      <x:c r="M91" s="343"/>
      <x:c r="N91" s="343"/>
      <x:c r="O91" s="343"/>
      <x:c r="P91" s="338"/>
    </x:row>
    <x:row r="92" ht="48" customHeight="1">
      <x:c r="A92" s="337" t="str">
        <x:v>Xanomeline / Cobenfy</x:v>
      </x:c>
      <x:c r="B92" s="338" t="str">
        <x:v>CMS</x:v>
      </x:c>
      <x:c r="C92" s="338" t="str">
        <x:v>Analyst inferred — not company confirmed</x:v>
      </x:c>
      <x:c r="D92" s="352" t="str">
        <x:v>Commercial innovator product; Neuland link unconfirmed</x:v>
      </x:c>
      <x:c r="E92" s="352" t="str">
        <x:v>No Neuland confirmation</x:v>
      </x:c>
      <x:c r="F92" s="352" t="str">
        <x:v>No Neuland confirmation</x:v>
      </x:c>
      <x:c r="G92" s="352" t="str">
        <x:v>Treat the model ramp as inference; do not describe supply as confirmed until primary evidence emerges</x:v>
      </x:c>
      <x:c r="H92" s="352" t="str">
        <x:v>Medium</x:v>
      </x:c>
      <x:c r="I92" s="352" t="str">
        <x:v>Analyst model / channel inference</x:v>
      </x:c>
      <x:c r="J92" s="352" t="str">
        <x:v>Unconfirmed</x:v>
      </x:c>
      <x:c r="K92" s="344"/>
      <x:c r="L92" s="343"/>
      <x:c r="M92" s="343"/>
      <x:c r="N92" s="343"/>
      <x:c r="O92" s="343"/>
      <x:c r="P92" s="338"/>
    </x:row>
    <x:row r="93" ht="48" customHeight="1">
      <x:c r="A93" s="337" t="str">
        <x:v>Peptide platform / programmes</x:v>
      </x:c>
      <x:c r="B93" s="338" t="str">
        <x:v>CMS / GDS</x:v>
      </x:c>
      <x:c r="C93" s="338" t="str">
        <x:v>Multiple innovators undisclosed</x:v>
      </x:c>
      <x:c r="D93" s="352" t="str">
        <x:v>Development / capability build</x:v>
      </x:c>
      <x:c r="E93" s="352" t="str">
        <x:v>5–6 innovators with early-stage peptide projects; no revenue certainty</x:v>
      </x:c>
      <x:c r="F93" s="352" t="str">
        <x:v>Facility targeted for FY27 commissioning; management views ≥1 commercial peptide NCE arrangement in FY27 as a good outcome</x:v>
      </x:c>
      <x:c r="G93" s="352" t="str">
        <x:v>Strategic option; near-term revenue visibility remains limited</x:v>
      </x:c>
      <x:c r="H93" s="352" t="str">
        <x:v>High capability / Low-Med revenue</x:v>
      </x:c>
      <x:c r="I93" s="352" t="str">
        <x:v>FY26 Q3 transcript + FY26 annual report</x:v>
      </x:c>
      <x:c r="J93" s="352" t="str">
        <x:v>Feb/Jul-2026</x:v>
      </x:c>
      <x:c r="K93" s="344"/>
      <x:c r="L93" s="343"/>
      <x:c r="M93" s="343"/>
      <x:c r="N93" s="343"/>
      <x:c r="O93" s="343"/>
      <x:c r="P93" s="338"/>
    </x:row>
    <x:row r="94" ht="48" customHeight="1">
      <x:c r="A94" s="337" t="str">
        <x:v>Other commercial CMS cohort</x:v>
      </x:c>
      <x:c r="B94" s="338" t="str">
        <x:v>CMS</x:v>
      </x:c>
      <x:c r="C94" s="338" t="str">
        <x:v>Confidential innovator customers</x:v>
      </x:c>
      <x:c r="D94" s="352" t="str">
        <x:v>Commercial</x:v>
      </x:c>
      <x:c r="E94" s="352" t="str">
        <x:v>Commercial molecules drove CMS</x:v>
      </x:c>
      <x:c r="F94" s="352" t="str">
        <x:v>Q4FY26 CMS mix 68%; commercial cohort drove growth</x:v>
      </x:c>
      <x:c r="G94" s="352" t="str">
        <x:v>Primary current CMS growth engine; monitor concentration and campaign timing</x:v>
      </x:c>
      <x:c r="H94" s="352" t="str">
        <x:v>High</x:v>
      </x:c>
      <x:c r="I94" s="352" t="str">
        <x:v>FY26 Q4 investor presentation</x:v>
      </x:c>
      <x:c r="J94" s="352" t="str">
        <x:v>May-2026</x:v>
      </x:c>
      <x:c r="K94" s="344"/>
      <x:c r="L94" s="343"/>
      <x:c r="M94" s="343"/>
      <x:c r="N94" s="343"/>
      <x:c r="O94" s="343"/>
      <x:c r="P94" s="338"/>
    </x:row>
    <x:row r="95">
      <x:c r="A95" s="341"/>
      <x:c r="B95" s="342"/>
      <x:c r="C95" s="342"/>
      <x:c r="D95" s="343"/>
      <x:c r="E95" s="343"/>
      <x:c r="F95" s="343"/>
      <x:c r="G95" s="343"/>
      <x:c r="H95" s="343"/>
      <x:c r="I95" s="343"/>
      <x:c r="J95" s="343"/>
      <x:c r="K95" s="344"/>
      <x:c r="L95" s="343"/>
      <x:c r="M95" s="343"/>
      <x:c r="N95" s="343"/>
      <x:c r="O95" s="343"/>
      <x:c r="P95" s="338"/>
    </x:row>
    <x:row r="96">
      <x:c r="A96" s="341"/>
      <x:c r="B96" s="342"/>
      <x:c r="C96" s="342"/>
      <x:c r="D96" s="343"/>
      <x:c r="E96" s="343"/>
      <x:c r="F96" s="343"/>
      <x:c r="G96" s="343"/>
      <x:c r="H96" s="343"/>
      <x:c r="I96" s="343"/>
      <x:c r="J96" s="343"/>
      <x:c r="K96" s="344"/>
      <x:c r="L96" s="343"/>
      <x:c r="M96" s="343"/>
      <x:c r="N96" s="343"/>
      <x:c r="O96" s="343"/>
      <x:c r="P96" s="338"/>
    </x:row>
    <x:row r="97" ht="20" customHeight="1">
      <x:c r="A97" s="30" t="str">
        <x:v>F. CMS Pipeline KPIs</x:v>
      </x:c>
      <x:c r="B97" s="30"/>
      <x:c r="C97" s="30"/>
      <x:c r="D97" s="175"/>
      <x:c r="E97" s="175"/>
      <x:c r="F97" s="175"/>
      <x:c r="G97" s="175"/>
      <x:c r="H97" s="175"/>
      <x:c r="I97" s="175"/>
      <x:c r="J97" s="175"/>
      <x:c r="K97" s="176"/>
      <x:c r="L97" s="175"/>
      <x:c r="M97" s="175"/>
      <x:c r="N97" s="175"/>
      <x:c r="O97" s="175"/>
      <x:c r="P97" s="223"/>
    </x:row>
    <x:row r="98">
      <x:c r="A98" s="160" t="str">
        <x:v>Metric</x:v>
      </x:c>
      <x:c r="B98" s="15" t="str">
        <x:v>Units</x:v>
      </x:c>
      <x:c r="C98" s="15" t="str">
        <x:v>Status</x:v>
      </x:c>
      <x:c r="D98" s="168" t="str">
        <x:v>Q1FY25</x:v>
      </x:c>
      <x:c r="E98" s="168" t="str">
        <x:v>Q2FY25</x:v>
      </x:c>
      <x:c r="F98" s="168" t="str">
        <x:v>Q3FY25</x:v>
      </x:c>
      <x:c r="G98" s="168" t="str">
        <x:v>Q4FY25</x:v>
      </x:c>
      <x:c r="H98" s="168" t="str">
        <x:v>Q1FY26</x:v>
      </x:c>
      <x:c r="I98" s="168" t="str">
        <x:v>Q2FY26</x:v>
      </x:c>
      <x:c r="J98" s="168" t="str">
        <x:v>Q3FY26</x:v>
      </x:c>
      <x:c r="K98" s="169" t="str">
        <x:v>Q4FY26</x:v>
      </x:c>
      <x:c r="L98" s="168" t="str">
        <x:v>Q1FY27</x:v>
      </x:c>
      <x:c r="M98" s="168" t="str">
        <x:v>Q2FY27</x:v>
      </x:c>
      <x:c r="N98" s="168" t="str">
        <x:v>Q3FY27</x:v>
      </x:c>
      <x:c r="O98" s="168" t="str">
        <x:v>Q4FY27</x:v>
      </x:c>
      <x:c r="P98" s="15" t="str">
        <x:v>Source / Note</x:v>
      </x:c>
    </x:row>
    <x:row r="99">
      <x:c r="A99" s="341" t="str">
        <x:v>Total Active CMS Projects</x:v>
      </x:c>
      <x:c r="B99" s="342" t="str">
        <x:v>count</x:v>
      </x:c>
      <x:c r="C99" s="342" t="str">
        <x:v>Reported</x:v>
      </x:c>
      <x:c r="D99" s="353"/>
      <x:c r="E99" s="353" t="n">
        <x:v>97</x:v>
      </x:c>
      <x:c r="F99" s="353"/>
      <x:c r="G99" s="353" t="n">
        <x:v>97</x:v>
      </x:c>
      <x:c r="H99" s="353"/>
      <x:c r="I99" s="353"/>
      <x:c r="J99" s="353"/>
      <x:c r="K99" s="354" t="n">
        <x:v>98</x:v>
      </x:c>
      <x:c r="L99" s="193"/>
      <x:c r="M99" s="193"/>
      <x:c r="N99" s="193"/>
      <x:c r="O99" s="193"/>
      <x:c r="P99" s="338" t="str">
        <x:v>Investor presentations; unavailable quarters left blank</x:v>
      </x:c>
    </x:row>
    <x:row r="100">
      <x:c r="A100" s="341" t="str">
        <x:v>Commercial CMS Projects</x:v>
      </x:c>
      <x:c r="B100" s="342" t="str">
        <x:v>count</x:v>
      </x:c>
      <x:c r="C100" s="342" t="str">
        <x:v>Reported</x:v>
      </x:c>
      <x:c r="D100" s="353"/>
      <x:c r="E100" s="353" t="n">
        <x:v>19</x:v>
      </x:c>
      <x:c r="F100" s="353"/>
      <x:c r="G100" s="353" t="n">
        <x:v>19</x:v>
      </x:c>
      <x:c r="H100" s="353"/>
      <x:c r="I100" s="353"/>
      <x:c r="J100" s="353"/>
      <x:c r="K100" s="354" t="n">
        <x:v>19</x:v>
      </x:c>
      <x:c r="L100" s="193"/>
      <x:c r="M100" s="193"/>
      <x:c r="N100" s="193"/>
      <x:c r="O100" s="193"/>
      <x:c r="P100" s="338" t="str">
        <x:v>Investor presentations; unavailable quarters left blank</x:v>
      </x:c>
    </x:row>
    <x:row r="101">
      <x:c r="A101" s="341" t="str">
        <x:v>Phase III Projects</x:v>
      </x:c>
      <x:c r="B101" s="342" t="str">
        <x:v>count</x:v>
      </x:c>
      <x:c r="C101" s="342" t="str">
        <x:v>Reported</x:v>
      </x:c>
      <x:c r="D101" s="353"/>
      <x:c r="E101" s="353" t="n">
        <x:v>7</x:v>
      </x:c>
      <x:c r="F101" s="353"/>
      <x:c r="G101" s="353" t="n">
        <x:v>8</x:v>
      </x:c>
      <x:c r="H101" s="353"/>
      <x:c r="I101" s="353"/>
      <x:c r="J101" s="353"/>
      <x:c r="K101" s="354" t="n">
        <x:v>10</x:v>
      </x:c>
      <x:c r="L101" s="193"/>
      <x:c r="M101" s="193"/>
      <x:c r="N101" s="193"/>
      <x:c r="O101" s="193"/>
      <x:c r="P101" s="338" t="str">
        <x:v>Investor presentations; unavailable quarters left blank</x:v>
      </x:c>
    </x:row>
    <x:row r="102">
      <x:c r="A102" s="341" t="str">
        <x:v>Pre-Reg / Registration</x:v>
      </x:c>
      <x:c r="B102" s="342" t="str">
        <x:v>count</x:v>
      </x:c>
      <x:c r="C102" s="342" t="str">
        <x:v>Reported</x:v>
      </x:c>
      <x:c r="D102" s="353"/>
      <x:c r="E102" s="353" t="n">
        <x:v>13</x:v>
      </x:c>
      <x:c r="F102" s="353"/>
      <x:c r="G102" s="353" t="n">
        <x:v>9</x:v>
      </x:c>
      <x:c r="H102" s="353"/>
      <x:c r="I102" s="353"/>
      <x:c r="J102" s="353"/>
      <x:c r="K102" s="354" t="n">
        <x:v>7</x:v>
      </x:c>
      <x:c r="L102" s="193"/>
      <x:c r="M102" s="193"/>
      <x:c r="N102" s="193"/>
      <x:c r="O102" s="193"/>
      <x:c r="P102" s="338" t="str">
        <x:v>Investor presentations; unavailable quarters left blank</x:v>
      </x:c>
    </x:row>
    <x:row r="103">
      <x:c r="A103" s="341" t="str">
        <x:v>Phase II Projects</x:v>
      </x:c>
      <x:c r="B103" s="342" t="str">
        <x:v>count</x:v>
      </x:c>
      <x:c r="C103" s="342" t="str">
        <x:v>Reported</x:v>
      </x:c>
      <x:c r="D103" s="353"/>
      <x:c r="E103" s="353" t="n">
        <x:v>21</x:v>
      </x:c>
      <x:c r="F103" s="353"/>
      <x:c r="G103" s="353" t="n">
        <x:v>20</x:v>
      </x:c>
      <x:c r="H103" s="353"/>
      <x:c r="I103" s="353"/>
      <x:c r="J103" s="353"/>
      <x:c r="K103" s="354" t="n">
        <x:v>20</x:v>
      </x:c>
      <x:c r="L103" s="193"/>
      <x:c r="M103" s="193"/>
      <x:c r="N103" s="193"/>
      <x:c r="O103" s="193"/>
      <x:c r="P103" s="338" t="str">
        <x:v>Investor presentations; unavailable quarters left blank</x:v>
      </x:c>
    </x:row>
    <x:row r="104">
      <x:c r="A104" s="341" t="str">
        <x:v>Phase I Projects</x:v>
      </x:c>
      <x:c r="B104" s="342" t="str">
        <x:v>count</x:v>
      </x:c>
      <x:c r="C104" s="342" t="str">
        <x:v>Reported</x:v>
      </x:c>
      <x:c r="D104" s="353"/>
      <x:c r="E104" s="353" t="n">
        <x:v>17</x:v>
      </x:c>
      <x:c r="F104" s="353"/>
      <x:c r="G104" s="353" t="n">
        <x:v>20</x:v>
      </x:c>
      <x:c r="H104" s="353"/>
      <x:c r="I104" s="353"/>
      <x:c r="J104" s="353"/>
      <x:c r="K104" s="354" t="n">
        <x:v>22</x:v>
      </x:c>
      <x:c r="L104" s="193"/>
      <x:c r="M104" s="193"/>
      <x:c r="N104" s="193"/>
      <x:c r="O104" s="193"/>
      <x:c r="P104" s="338" t="str">
        <x:v>Investor presentations; unavailable quarters left blank</x:v>
      </x:c>
    </x:row>
    <x:row r="105">
      <x:c r="A105" s="341" t="str">
        <x:v>Pre-Clinical Projects</x:v>
      </x:c>
      <x:c r="B105" s="342" t="str">
        <x:v>count</x:v>
      </x:c>
      <x:c r="C105" s="342" t="str">
        <x:v>Reported</x:v>
      </x:c>
      <x:c r="D105" s="353"/>
      <x:c r="E105" s="353" t="n">
        <x:v>20</x:v>
      </x:c>
      <x:c r="F105" s="353"/>
      <x:c r="G105" s="353" t="n">
        <x:v>21</x:v>
      </x:c>
      <x:c r="H105" s="353"/>
      <x:c r="I105" s="353"/>
      <x:c r="J105" s="353"/>
      <x:c r="K105" s="354" t="n">
        <x:v>20</x:v>
      </x:c>
      <x:c r="L105" s="193"/>
      <x:c r="M105" s="193"/>
      <x:c r="N105" s="193"/>
      <x:c r="O105" s="193"/>
      <x:c r="P105" s="338" t="str">
        <x:v>Investor presentations; unavailable quarters left blank</x:v>
      </x:c>
    </x:row>
    <x:row r="106">
      <x:c r="A106" s="341"/>
      <x:c r="B106" s="342"/>
      <x:c r="C106" s="342"/>
      <x:c r="D106" s="343"/>
      <x:c r="E106" s="343"/>
      <x:c r="F106" s="343"/>
      <x:c r="G106" s="343"/>
      <x:c r="H106" s="343"/>
      <x:c r="I106" s="343"/>
      <x:c r="J106" s="343"/>
      <x:c r="K106" s="344"/>
      <x:c r="L106" s="343"/>
      <x:c r="M106" s="343"/>
      <x:c r="N106" s="343"/>
      <x:c r="O106" s="343"/>
      <x:c r="P106" s="338"/>
    </x:row>
    <x:row r="107">
      <x:c r="A107" s="341"/>
      <x:c r="B107" s="342"/>
      <x:c r="C107" s="342"/>
      <x:c r="D107" s="343"/>
      <x:c r="E107" s="343"/>
      <x:c r="F107" s="343"/>
      <x:c r="G107" s="343"/>
      <x:c r="H107" s="343"/>
      <x:c r="I107" s="343"/>
      <x:c r="J107" s="343"/>
      <x:c r="K107" s="344"/>
      <x:c r="L107" s="343"/>
      <x:c r="M107" s="343"/>
      <x:c r="N107" s="343"/>
      <x:c r="O107" s="343"/>
      <x:c r="P107" s="338"/>
    </x:row>
    <x:row r="108" ht="20" customHeight="1">
      <x:c r="A108" s="30" t="str">
        <x:v>G. Working Capital / Cash Conversion</x:v>
      </x:c>
      <x:c r="B108" s="30"/>
      <x:c r="C108" s="30"/>
      <x:c r="D108" s="175"/>
      <x:c r="E108" s="175"/>
      <x:c r="F108" s="175"/>
      <x:c r="G108" s="175"/>
      <x:c r="H108" s="175"/>
      <x:c r="I108" s="175"/>
      <x:c r="J108" s="175"/>
      <x:c r="K108" s="176"/>
      <x:c r="L108" s="175"/>
      <x:c r="M108" s="175"/>
      <x:c r="N108" s="175"/>
      <x:c r="O108" s="175"/>
      <x:c r="P108" s="223"/>
    </x:row>
    <x:row r="109">
      <x:c r="A109" s="160" t="str">
        <x:v>Metric</x:v>
      </x:c>
      <x:c r="B109" s="15" t="str">
        <x:v>Units</x:v>
      </x:c>
      <x:c r="C109" s="15" t="str">
        <x:v>Status</x:v>
      </x:c>
      <x:c r="D109" s="168" t="str">
        <x:v>Q1FY25</x:v>
      </x:c>
      <x:c r="E109" s="168" t="str">
        <x:v>Q2FY25</x:v>
      </x:c>
      <x:c r="F109" s="168" t="str">
        <x:v>Q3FY25</x:v>
      </x:c>
      <x:c r="G109" s="168" t="str">
        <x:v>Q4FY25</x:v>
      </x:c>
      <x:c r="H109" s="168" t="str">
        <x:v>Q1FY26</x:v>
      </x:c>
      <x:c r="I109" s="168" t="str">
        <x:v>Q2FY26</x:v>
      </x:c>
      <x:c r="J109" s="168" t="str">
        <x:v>Q3FY26</x:v>
      </x:c>
      <x:c r="K109" s="169" t="str">
        <x:v>Q4FY26</x:v>
      </x:c>
      <x:c r="L109" s="168" t="str">
        <x:v>Q1FY27</x:v>
      </x:c>
      <x:c r="M109" s="168" t="str">
        <x:v>Q2FY27</x:v>
      </x:c>
      <x:c r="N109" s="168" t="str">
        <x:v>Q3FY27</x:v>
      </x:c>
      <x:c r="O109" s="168" t="str">
        <x:v>Q4FY27</x:v>
      </x:c>
      <x:c r="P109" s="15" t="str">
        <x:v>Source / Note</x:v>
      </x:c>
    </x:row>
    <x:row r="110">
      <x:c r="A110" s="341" t="str">
        <x:v>Receivable Days</x:v>
      </x:c>
      <x:c r="B110" s="342" t="str">
        <x:v>days</x:v>
      </x:c>
      <x:c r="C110" s="342" t="str">
        <x:v>Not consistently disclosed</x:v>
      </x:c>
      <x:c r="D110" s="252"/>
      <x:c r="E110" s="252"/>
      <x:c r="F110" s="252"/>
      <x:c r="G110" s="252"/>
      <x:c r="H110" s="252"/>
      <x:c r="I110" s="252"/>
      <x:c r="J110" s="252"/>
      <x:c r="K110" s="253"/>
      <x:c r="L110" s="183"/>
      <x:c r="M110" s="183"/>
      <x:c r="N110" s="183"/>
      <x:c r="O110" s="183"/>
      <x:c r="P110" s="338" t="str">
        <x:v>No interpolation; H1/FY only where balance sheet data are available</x:v>
      </x:c>
    </x:row>
    <x:row r="111">
      <x:c r="A111" s="341" t="str">
        <x:v>Inventory Days</x:v>
      </x:c>
      <x:c r="B111" s="342" t="str">
        <x:v>days</x:v>
      </x:c>
      <x:c r="C111" s="342" t="str">
        <x:v>Not consistently disclosed</x:v>
      </x:c>
      <x:c r="D111" s="252"/>
      <x:c r="E111" s="252"/>
      <x:c r="F111" s="252"/>
      <x:c r="G111" s="252"/>
      <x:c r="H111" s="252"/>
      <x:c r="I111" s="252"/>
      <x:c r="J111" s="252"/>
      <x:c r="K111" s="253"/>
      <x:c r="L111" s="183"/>
      <x:c r="M111" s="183"/>
      <x:c r="N111" s="183"/>
      <x:c r="O111" s="183"/>
      <x:c r="P111" s="338" t="str">
        <x:v>No interpolation; H1/FY only where balance sheet data are available</x:v>
      </x:c>
    </x:row>
    <x:row r="112">
      <x:c r="A112" s="341" t="str">
        <x:v>Payable Days</x:v>
      </x:c>
      <x:c r="B112" s="342" t="str">
        <x:v>days</x:v>
      </x:c>
      <x:c r="C112" s="342" t="str">
        <x:v>Not consistently disclosed</x:v>
      </x:c>
      <x:c r="D112" s="252"/>
      <x:c r="E112" s="252"/>
      <x:c r="F112" s="252"/>
      <x:c r="G112" s="252"/>
      <x:c r="H112" s="252"/>
      <x:c r="I112" s="252"/>
      <x:c r="J112" s="252"/>
      <x:c r="K112" s="253"/>
      <x:c r="L112" s="183"/>
      <x:c r="M112" s="183"/>
      <x:c r="N112" s="183"/>
      <x:c r="O112" s="183"/>
      <x:c r="P112" s="338" t="str">
        <x:v>No interpolation; H1/FY only where balance sheet data are available</x:v>
      </x:c>
    </x:row>
    <x:row r="113">
      <x:c r="A113" s="341" t="str">
        <x:v>Net Working Capital Days</x:v>
      </x:c>
      <x:c r="B113" s="342" t="str">
        <x:v>days</x:v>
      </x:c>
      <x:c r="C113" s="342" t="str">
        <x:v>Reported</x:v>
      </x:c>
      <x:c r="D113" s="252" t="n">
        <x:v>107</x:v>
      </x:c>
      <x:c r="E113" s="252" t="n">
        <x:v>112</x:v>
      </x:c>
      <x:c r="F113" s="252" t="n">
        <x:v>111</x:v>
      </x:c>
      <x:c r="G113" s="252" t="n">
        <x:v>107</x:v>
      </x:c>
      <x:c r="H113" s="252" t="n">
        <x:v>145</x:v>
      </x:c>
      <x:c r="I113" s="252" t="n">
        <x:v>155</x:v>
      </x:c>
      <x:c r="J113" s="252" t="n">
        <x:v>145</x:v>
      </x:c>
      <x:c r="K113" s="253" t="n">
        <x:v>137</x:v>
      </x:c>
      <x:c r="L113" s="183"/>
      <x:c r="M113" s="183"/>
      <x:c r="N113" s="183"/>
      <x:c r="O113" s="183"/>
      <x:c r="P113" s="338" t="str">
        <x:v>No interpolation; H1/FY only where balance sheet data are available</x:v>
      </x:c>
    </x:row>
    <x:row r="114">
      <x:c r="A114" s="341" t="str">
        <x:v>Inventory</x:v>
      </x:c>
      <x:c r="B114" s="342" t="str">
        <x:v>INR m</x:v>
      </x:c>
      <x:c r="C114" s="342" t="str">
        <x:v>FY only</x:v>
      </x:c>
      <x:c r="D114" s="252"/>
      <x:c r="E114" s="252"/>
      <x:c r="F114" s="252"/>
      <x:c r="G114" s="252" t="n">
        <x:v>3857.569</x:v>
      </x:c>
      <x:c r="H114" s="252"/>
      <x:c r="I114" s="252"/>
      <x:c r="J114" s="252"/>
      <x:c r="K114" s="253" t="n">
        <x:v>5102.864</x:v>
      </x:c>
      <x:c r="L114" s="183"/>
      <x:c r="M114" s="183"/>
      <x:c r="N114" s="183"/>
      <x:c r="O114" s="183"/>
      <x:c r="P114" s="338" t="str">
        <x:v>No interpolation; H1/FY only where balance sheet data are available</x:v>
      </x:c>
    </x:row>
    <x:row r="115">
      <x:c r="A115" s="341" t="str">
        <x:v>Receivables</x:v>
      </x:c>
      <x:c r="B115" s="342" t="str">
        <x:v>INR m</x:v>
      </x:c>
      <x:c r="C115" s="342" t="str">
        <x:v>FY only</x:v>
      </x:c>
      <x:c r="D115" s="252"/>
      <x:c r="E115" s="252"/>
      <x:c r="F115" s="252"/>
      <x:c r="G115" s="252" t="n">
        <x:v>3157.206</x:v>
      </x:c>
      <x:c r="H115" s="252"/>
      <x:c r="I115" s="252"/>
      <x:c r="J115" s="252"/>
      <x:c r="K115" s="253" t="n">
        <x:v>5413.531</x:v>
      </x:c>
      <x:c r="L115" s="183"/>
      <x:c r="M115" s="183"/>
      <x:c r="N115" s="183"/>
      <x:c r="O115" s="183"/>
      <x:c r="P115" s="338" t="str">
        <x:v>No interpolation; H1/FY only where balance sheet data are available</x:v>
      </x:c>
    </x:row>
    <x:row r="116">
      <x:c r="A116" s="341" t="str">
        <x:v>Payables</x:v>
      </x:c>
      <x:c r="B116" s="342" t="str">
        <x:v>INR m</x:v>
      </x:c>
      <x:c r="C116" s="342" t="str">
        <x:v>FY only</x:v>
      </x:c>
      <x:c r="D116" s="252"/>
      <x:c r="E116" s="252"/>
      <x:c r="F116" s="252"/>
      <x:c r="G116" s="252" t="n">
        <x:v>2522.036</x:v>
      </x:c>
      <x:c r="H116" s="252"/>
      <x:c r="I116" s="252"/>
      <x:c r="J116" s="252"/>
      <x:c r="K116" s="253" t="n">
        <x:v>2691.441</x:v>
      </x:c>
      <x:c r="L116" s="183"/>
      <x:c r="M116" s="183"/>
      <x:c r="N116" s="183"/>
      <x:c r="O116" s="183"/>
      <x:c r="P116" s="338" t="str">
        <x:v>No interpolation; H1/FY only where balance sheet data are available</x:v>
      </x:c>
    </x:row>
    <x:row r="117">
      <x:c r="A117" s="341" t="str">
        <x:v>Operating Cash Flow</x:v>
      </x:c>
      <x:c r="B117" s="342" t="str">
        <x:v>INR m</x:v>
      </x:c>
      <x:c r="C117" s="342" t="str">
        <x:v>FY only</x:v>
      </x:c>
      <x:c r="D117" s="252"/>
      <x:c r="E117" s="252"/>
      <x:c r="F117" s="252"/>
      <x:c r="G117" s="252" t="n">
        <x:v>3173.828</x:v>
      </x:c>
      <x:c r="H117" s="252"/>
      <x:c r="I117" s="252"/>
      <x:c r="J117" s="252"/>
      <x:c r="K117" s="253" t="n">
        <x:v>3466.804</x:v>
      </x:c>
      <x:c r="L117" s="183"/>
      <x:c r="M117" s="183"/>
      <x:c r="N117" s="183"/>
      <x:c r="O117" s="183"/>
      <x:c r="P117" s="338" t="str">
        <x:v>No interpolation; H1/FY only where balance sheet data are available</x:v>
      </x:c>
    </x:row>
    <x:row r="118">
      <x:c r="A118" s="341" t="str">
        <x:v>Free Cash Flow</x:v>
      </x:c>
      <x:c r="B118" s="342" t="str">
        <x:v>INR m</x:v>
      </x:c>
      <x:c r="C118" s="342" t="str">
        <x:v>FY only</x:v>
      </x:c>
      <x:c r="D118" s="252"/>
      <x:c r="E118" s="252"/>
      <x:c r="F118" s="252"/>
      <x:c r="G118" s="252" t="n">
        <x:v>1109.188</x:v>
      </x:c>
      <x:c r="H118" s="252"/>
      <x:c r="I118" s="252"/>
      <x:c r="J118" s="252"/>
      <x:c r="K118" s="253" t="n">
        <x:v>-504.517</x:v>
      </x:c>
      <x:c r="L118" s="183"/>
      <x:c r="M118" s="183"/>
      <x:c r="N118" s="183"/>
      <x:c r="O118" s="183"/>
      <x:c r="P118" s="338" t="str">
        <x:v>No interpolation; H1/FY only where balance sheet data are available</x:v>
      </x:c>
    </x:row>
    <x:row r="119">
      <x:c r="A119" s="341" t="str">
        <x:v>Cash &amp; Liquid Investments</x:v>
      </x:c>
      <x:c r="B119" s="342" t="str">
        <x:v>INR m</x:v>
      </x:c>
      <x:c r="C119" s="342" t="str">
        <x:v>FY only</x:v>
      </x:c>
      <x:c r="D119" s="252"/>
      <x:c r="E119" s="252"/>
      <x:c r="F119" s="252"/>
      <x:c r="G119" s="252" t="n">
        <x:v>3665.017</x:v>
      </x:c>
      <x:c r="H119" s="252"/>
      <x:c r="I119" s="252"/>
      <x:c r="J119" s="252"/>
      <x:c r="K119" s="253" t="n">
        <x:v>3549.649</x:v>
      </x:c>
      <x:c r="L119" s="183"/>
      <x:c r="M119" s="183"/>
      <x:c r="N119" s="183"/>
      <x:c r="O119" s="183"/>
      <x:c r="P119" s="338" t="str">
        <x:v>No interpolation; H1/FY only where balance sheet data are available</x:v>
      </x:c>
    </x:row>
    <x:row r="120">
      <x:c r="A120" s="341" t="str">
        <x:v>Gross Debt</x:v>
      </x:c>
      <x:c r="B120" s="342" t="str">
        <x:v>INR m</x:v>
      </x:c>
      <x:c r="C120" s="342" t="str">
        <x:v>FY only</x:v>
      </x:c>
      <x:c r="D120" s="252"/>
      <x:c r="E120" s="252"/>
      <x:c r="F120" s="252"/>
      <x:c r="G120" s="252" t="n">
        <x:v>1360.101</x:v>
      </x:c>
      <x:c r="H120" s="252"/>
      <x:c r="I120" s="252"/>
      <x:c r="J120" s="252"/>
      <x:c r="K120" s="253" t="n">
        <x:v>1966.131</x:v>
      </x:c>
      <x:c r="L120" s="183"/>
      <x:c r="M120" s="183"/>
      <x:c r="N120" s="183"/>
      <x:c r="O120" s="183"/>
      <x:c r="P120" s="338" t="str">
        <x:v>No interpolation; H1/FY only where balance sheet data are available</x:v>
      </x:c>
    </x:row>
    <x:row r="121">
      <x:c r="A121" s="341" t="str">
        <x:v>Net Debt / (Cash)</x:v>
      </x:c>
      <x:c r="B121" s="342" t="str">
        <x:v>INR m</x:v>
      </x:c>
      <x:c r="C121" s="342" t="str">
        <x:v>Reported</x:v>
      </x:c>
      <x:c r="D121" s="252" t="n">
        <x:v>-1102</x:v>
      </x:c>
      <x:c r="E121" s="252" t="n">
        <x:v>-943</x:v>
      </x:c>
      <x:c r="F121" s="252" t="n">
        <x:v>-1851</x:v>
      </x:c>
      <x:c r="G121" s="252" t="n">
        <x:v>-2287</x:v>
      </x:c>
      <x:c r="H121" s="252" t="n">
        <x:v>-1647</x:v>
      </x:c>
      <x:c r="I121" s="252" t="n">
        <x:v>-66</x:v>
      </x:c>
      <x:c r="J121" s="252" t="n">
        <x:v>-2026</x:v>
      </x:c>
      <x:c r="K121" s="253" t="n">
        <x:v>-1568</x:v>
      </x:c>
      <x:c r="L121" s="183"/>
      <x:c r="M121" s="183"/>
      <x:c r="N121" s="183"/>
      <x:c r="O121" s="183"/>
      <x:c r="P121" s="338" t="str">
        <x:v>No interpolation; H1/FY only where balance sheet data are available</x:v>
      </x:c>
    </x:row>
    <x:row r="122">
      <x:c r="A122" s="341"/>
      <x:c r="B122" s="342"/>
      <x:c r="C122" s="342"/>
      <x:c r="D122" s="343"/>
      <x:c r="E122" s="343"/>
      <x:c r="F122" s="343"/>
      <x:c r="G122" s="343"/>
      <x:c r="H122" s="343"/>
      <x:c r="I122" s="343"/>
      <x:c r="J122" s="343"/>
      <x:c r="K122" s="344"/>
      <x:c r="L122" s="343"/>
      <x:c r="M122" s="343"/>
      <x:c r="N122" s="343"/>
      <x:c r="O122" s="343"/>
      <x:c r="P122" s="338"/>
    </x:row>
    <x:row r="123">
      <x:c r="A123" s="341"/>
      <x:c r="B123" s="342"/>
      <x:c r="C123" s="342"/>
      <x:c r="D123" s="343"/>
      <x:c r="E123" s="343"/>
      <x:c r="F123" s="343"/>
      <x:c r="G123" s="343"/>
      <x:c r="H123" s="343"/>
      <x:c r="I123" s="343"/>
      <x:c r="J123" s="343"/>
      <x:c r="K123" s="344"/>
      <x:c r="L123" s="343"/>
      <x:c r="M123" s="343"/>
      <x:c r="N123" s="343"/>
      <x:c r="O123" s="343"/>
      <x:c r="P123" s="338"/>
    </x:row>
    <x:row r="124" ht="20" customHeight="1">
      <x:c r="A124" s="30" t="str">
        <x:v>H. Quarterly Capex Monitor</x:v>
      </x:c>
      <x:c r="B124" s="30"/>
      <x:c r="C124" s="30"/>
      <x:c r="D124" s="175"/>
      <x:c r="E124" s="175"/>
      <x:c r="F124" s="175"/>
      <x:c r="G124" s="175"/>
      <x:c r="H124" s="175"/>
      <x:c r="I124" s="175"/>
      <x:c r="J124" s="175"/>
      <x:c r="K124" s="176"/>
      <x:c r="L124" s="175"/>
      <x:c r="M124" s="175"/>
      <x:c r="N124" s="175"/>
      <x:c r="O124" s="175"/>
      <x:c r="P124" s="223"/>
    </x:row>
    <x:row r="125">
      <x:c r="A125" s="160" t="str">
        <x:v>Metric</x:v>
      </x:c>
      <x:c r="B125" s="15" t="str">
        <x:v>Units</x:v>
      </x:c>
      <x:c r="C125" s="15" t="str">
        <x:v>Status</x:v>
      </x:c>
      <x:c r="D125" s="168" t="str">
        <x:v>Q1FY25</x:v>
      </x:c>
      <x:c r="E125" s="168" t="str">
        <x:v>Q2FY25</x:v>
      </x:c>
      <x:c r="F125" s="168" t="str">
        <x:v>Q3FY25</x:v>
      </x:c>
      <x:c r="G125" s="168" t="str">
        <x:v>Q4FY25</x:v>
      </x:c>
      <x:c r="H125" s="168" t="str">
        <x:v>Q1FY26</x:v>
      </x:c>
      <x:c r="I125" s="168" t="str">
        <x:v>Q2FY26</x:v>
      </x:c>
      <x:c r="J125" s="168" t="str">
        <x:v>Q3FY26</x:v>
      </x:c>
      <x:c r="K125" s="169" t="str">
        <x:v>Q4FY26</x:v>
      </x:c>
      <x:c r="L125" s="168" t="str">
        <x:v>Q1FY27</x:v>
      </x:c>
      <x:c r="M125" s="168" t="str">
        <x:v>Q2FY27</x:v>
      </x:c>
      <x:c r="N125" s="168" t="str">
        <x:v>Q3FY27</x:v>
      </x:c>
      <x:c r="O125" s="168" t="str">
        <x:v>Q4FY27</x:v>
      </x:c>
      <x:c r="P125" s="15" t="str">
        <x:v>Source / Note</x:v>
      </x:c>
    </x:row>
    <x:row r="126">
      <x:c r="A126" s="341" t="str">
        <x:v>Quarterly Capex</x:v>
      </x:c>
      <x:c r="B126" s="342" t="str">
        <x:v>INR m</x:v>
      </x:c>
      <x:c r="C126" s="342" t="str">
        <x:v>Reported / Derived</x:v>
      </x:c>
      <x:c r="D126" s="252" t="n">
        <x:v>591</x:v>
      </x:c>
      <x:c r="E126" s="252" t="n">
        <x:v>444</x:v>
      </x:c>
      <x:c r="F126" s="252" t="n">
        <x:v>435</x:v>
      </x:c>
      <x:c r="G126" s="252" t="n">
        <x:v>594</x:v>
      </x:c>
      <x:c r="H126" s="252"/>
      <x:c r="I126" s="252"/>
      <x:c r="J126" s="252" t="n">
        <x:v>840</x:v>
      </x:c>
      <x:c r="K126" s="253" t="n">
        <x:v>1431</x:v>
      </x:c>
      <x:c r="L126" s="183"/>
      <x:c r="M126" s="183"/>
      <x:c r="N126" s="183"/>
      <x:c r="O126" s="183"/>
      <x:c r="P126" s="338" t="str">
        <x:v>Q2FY25=H1-Q1; Q3FY25=9M-H1; Q4FY25=FY-9M; Q3FY26=9M-H1; Q4FY26=FY-9M. Q1/Q2FY26 incremental capex not derivable from disclosed cumulative figures.</x:v>
      </x:c>
    </x:row>
    <x:row r="127">
      <x:c r="A127" s="341" t="str">
        <x:v>YTD Capex</x:v>
      </x:c>
      <x:c r="B127" s="342" t="str">
        <x:v>INR m</x:v>
      </x:c>
      <x:c r="C127" s="342" t="str">
        <x:v>Reported</x:v>
      </x:c>
      <x:c r="D127" s="252" t="n">
        <x:v>591</x:v>
      </x:c>
      <x:c r="E127" s="252" t="n">
        <x:v>1035</x:v>
      </x:c>
      <x:c r="F127" s="252" t="n">
        <x:v>1470</x:v>
      </x:c>
      <x:c r="G127" s="252" t="n">
        <x:v>2064</x:v>
      </x:c>
      <x:c r="H127" s="252"/>
      <x:c r="I127" s="252" t="n">
        <x:v>1700</x:v>
      </x:c>
      <x:c r="J127" s="252" t="n">
        <x:v>2540</x:v>
      </x:c>
      <x:c r="K127" s="253" t="n">
        <x:v>3971</x:v>
      </x:c>
      <x:c r="L127" s="260" t="str">
        <x:f>IF(COUNT($L126:L126)=0,"",SUM($L126:L126))</x:f>
      </x:c>
      <x:c r="M127" s="260" t="str">
        <x:f>IF(COUNT($L126:M126)=0,"",SUM($L126:M126))</x:f>
      </x:c>
      <x:c r="N127" s="260" t="str">
        <x:f>IF(COUNT($L126:N126)=0,"",SUM($L126:N126))</x:f>
      </x:c>
      <x:c r="O127" s="260" t="str">
        <x:f>IF(COUNT($L126:O126)=0,"",SUM($L126:O126))</x:f>
      </x:c>
      <x:c r="P127" s="338" t="str">
        <x:v>Reported cumulative capex where disclosed; Q1FY26 not separately disclosed in investor presentation.</x:v>
      </x:c>
    </x:row>
    <x:row r="128">
      <x:c r="A128" s="341" t="str">
        <x:v>Capex Guidance</x:v>
      </x:c>
      <x:c r="B128" s="342" t="str">
        <x:v>INR m</x:v>
      </x:c>
      <x:c r="C128" s="342" t="str">
        <x:v>Not consistently disclosed</x:v>
      </x:c>
      <x:c r="D128" s="252"/>
      <x:c r="E128" s="252"/>
      <x:c r="F128" s="252"/>
      <x:c r="G128" s="252"/>
      <x:c r="H128" s="252"/>
      <x:c r="I128" s="252"/>
      <x:c r="J128" s="252"/>
      <x:c r="K128" s="253"/>
      <x:c r="L128" s="183"/>
      <x:c r="M128" s="183"/>
      <x:c r="N128" s="183"/>
      <x:c r="O128" s="183"/>
      <x:c r="P128" s="338" t="str"/>
    </x:row>
    <x:row r="129">
      <x:c r="A129" s="341" t="str">
        <x:v>Previous Capex Guidance</x:v>
      </x:c>
      <x:c r="B129" s="342" t="str">
        <x:v>INR m</x:v>
      </x:c>
      <x:c r="C129" s="342" t="str">
        <x:v>Not consistently disclosed</x:v>
      </x:c>
      <x:c r="D129" s="252"/>
      <x:c r="E129" s="252"/>
      <x:c r="F129" s="252"/>
      <x:c r="G129" s="252"/>
      <x:c r="H129" s="252"/>
      <x:c r="I129" s="252"/>
      <x:c r="J129" s="252"/>
      <x:c r="K129" s="253"/>
      <x:c r="L129" s="183"/>
      <x:c r="M129" s="183"/>
      <x:c r="N129" s="183"/>
      <x:c r="O129" s="183"/>
      <x:c r="P129" s="338" t="str"/>
    </x:row>
    <x:row r="130">
      <x:c r="A130" s="341" t="str">
        <x:v>Guidance Change</x:v>
      </x:c>
      <x:c r="B130" s="342" t="str">
        <x:v>INR m</x:v>
      </x:c>
      <x:c r="C130" s="342" t="str">
        <x:v>Formula</x:v>
      </x:c>
      <x:c r="D130" s="260" t="str">
        <x:f>IF(OR(D128="",D129=""),"",D128-D129)</x:f>
      </x:c>
      <x:c r="E130" s="260" t="str">
        <x:f>IF(OR(E128="",E129=""),"",E128-E129)</x:f>
      </x:c>
      <x:c r="F130" s="260" t="str">
        <x:f>IF(OR(F128="",F129=""),"",F128-F129)</x:f>
      </x:c>
      <x:c r="G130" s="260" t="str">
        <x:f>IF(OR(G128="",G129=""),"",G128-G129)</x:f>
      </x:c>
      <x:c r="H130" s="260" t="str">
        <x:f>IF(OR(H128="",H129=""),"",H128-H129)</x:f>
      </x:c>
      <x:c r="I130" s="260" t="str">
        <x:f>IF(OR(I128="",I129=""),"",I128-I129)</x:f>
      </x:c>
      <x:c r="J130" s="260" t="str">
        <x:f>IF(OR(J128="",J129=""),"",J128-J129)</x:f>
      </x:c>
      <x:c r="K130" s="261" t="str">
        <x:f>IF(OR(K128="",K129=""),"",K128-K129)</x:f>
      </x:c>
      <x:c r="L130" s="260" t="str">
        <x:f>IF(OR(L128="",L129=""),"",L128-L129)</x:f>
      </x:c>
      <x:c r="M130" s="260" t="str">
        <x:f>IF(OR(M128="",M129=""),"",M128-M129)</x:f>
      </x:c>
      <x:c r="N130" s="260" t="str">
        <x:f>IF(OR(N128="",N129=""),"",N128-N129)</x:f>
      </x:c>
      <x:c r="O130" s="260" t="str">
        <x:f>IF(OR(O128="",O129=""),"",O128-O129)</x:f>
      </x:c>
      <x:c r="P130" s="338" t="str"/>
    </x:row>
    <x:row r="131">
      <x:c r="A131" s="341" t="str">
        <x:v>Net PP&amp;E</x:v>
      </x:c>
      <x:c r="B131" s="342" t="str">
        <x:v>INR m</x:v>
      </x:c>
      <x:c r="C131" s="342" t="str">
        <x:v>FY only</x:v>
      </x:c>
      <x:c r="D131" s="252"/>
      <x:c r="E131" s="252"/>
      <x:c r="F131" s="252"/>
      <x:c r="G131" s="252" t="n">
        <x:v>6737.135</x:v>
      </x:c>
      <x:c r="H131" s="252"/>
      <x:c r="I131" s="252"/>
      <x:c r="J131" s="252"/>
      <x:c r="K131" s="253" t="n">
        <x:v>8922.876</x:v>
      </x:c>
      <x:c r="L131" s="183"/>
      <x:c r="M131" s="183"/>
      <x:c r="N131" s="183"/>
      <x:c r="O131" s="183"/>
      <x:c r="P131" s="338" t="str"/>
    </x:row>
    <x:row r="132">
      <x:c r="A132" s="341" t="str">
        <x:v>CWIP</x:v>
      </x:c>
      <x:c r="B132" s="342" t="str">
        <x:v>INR m</x:v>
      </x:c>
      <x:c r="C132" s="342" t="str">
        <x:v>FY only</x:v>
      </x:c>
      <x:c r="D132" s="252"/>
      <x:c r="E132" s="252"/>
      <x:c r="F132" s="252"/>
      <x:c r="G132" s="252" t="n">
        <x:v>445.529</x:v>
      </x:c>
      <x:c r="H132" s="252"/>
      <x:c r="I132" s="252"/>
      <x:c r="J132" s="252"/>
      <x:c r="K132" s="253" t="n">
        <x:v>2094.99</x:v>
      </x:c>
      <x:c r="L132" s="183"/>
      <x:c r="M132" s="183"/>
      <x:c r="N132" s="183"/>
      <x:c r="O132" s="183"/>
      <x:c r="P132" s="338" t="str"/>
    </x:row>
    <x:row r="133">
      <x:c r="A133" s="341" t="str">
        <x:v>PP&amp;E + CWIP</x:v>
      </x:c>
      <x:c r="B133" s="342" t="str">
        <x:v>INR m</x:v>
      </x:c>
      <x:c r="C133" s="342" t="str">
        <x:v>Formula</x:v>
      </x:c>
      <x:c r="D133" s="260" t="str">
        <x:f>IF(COUNT(D131:D132)&lt;2,"",SUM(D131:D132))</x:f>
      </x:c>
      <x:c r="E133" s="260" t="str">
        <x:f>IF(COUNT(E131:E132)&lt;2,"",SUM(E131:E132))</x:f>
      </x:c>
      <x:c r="F133" s="260" t="str">
        <x:f>IF(COUNT(F131:F132)&lt;2,"",SUM(F131:F132))</x:f>
      </x:c>
      <x:c r="G133" s="260" t="n">
        <x:f>IF(COUNT(G131:G132)&lt;2,"",SUM(G131:G132))</x:f>
        <x:v>7182.664000000001</x:v>
      </x:c>
      <x:c r="H133" s="260" t="str">
        <x:f>IF(COUNT(H131:H132)&lt;2,"",SUM(H131:H132))</x:f>
      </x:c>
      <x:c r="I133" s="260" t="str">
        <x:f>IF(COUNT(I131:I132)&lt;2,"",SUM(I131:I132))</x:f>
      </x:c>
      <x:c r="J133" s="260" t="str">
        <x:f>IF(COUNT(J131:J132)&lt;2,"",SUM(J131:J132))</x:f>
      </x:c>
      <x:c r="K133" s="261" t="n">
        <x:f>IF(COUNT(K131:K132)&lt;2,"",SUM(K131:K132))</x:f>
        <x:v>11017.866</x:v>
      </x:c>
      <x:c r="L133" s="260" t="str">
        <x:f>IF(COUNT(L131:L132)&lt;2,"",SUM(L131:L132))</x:f>
      </x:c>
      <x:c r="M133" s="260" t="str">
        <x:f>IF(COUNT(M131:M132)&lt;2,"",SUM(M131:M132))</x:f>
      </x:c>
      <x:c r="N133" s="260" t="str">
        <x:f>IF(COUNT(N131:N132)&lt;2,"",SUM(N131:N132))</x:f>
      </x:c>
      <x:c r="O133" s="260" t="str">
        <x:f>IF(COUNT(O131:O132)&lt;2,"",SUM(O131:O132))</x:f>
      </x:c>
      <x:c r="P133" s="338" t="str"/>
    </x:row>
    <x:row r="134">
      <x:c r="A134" s="341" t="str">
        <x:v>Depreciation</x:v>
      </x:c>
      <x:c r="B134" s="342" t="str">
        <x:v>INR m</x:v>
      </x:c>
      <x:c r="C134" s="342" t="str">
        <x:v>Reported</x:v>
      </x:c>
      <x:c r="D134" s="260" t="n">
        <x:f>D52</x:f>
        <x:v>162.799</x:v>
      </x:c>
      <x:c r="E134" s="260" t="n">
        <x:f>E52</x:f>
        <x:v>160.745</x:v>
      </x:c>
      <x:c r="F134" s="260" t="n">
        <x:f>F52</x:f>
        <x:v>163.003</x:v>
      </x:c>
      <x:c r="G134" s="260" t="n">
        <x:f>G52</x:f>
        <x:v>168.919</x:v>
      </x:c>
      <x:c r="H134" s="260" t="n">
        <x:f>H52</x:f>
        <x:v>201.895</x:v>
      </x:c>
      <x:c r="I134" s="260" t="n">
        <x:f>I52</x:f>
        <x:v>225.415</x:v>
      </x:c>
      <x:c r="J134" s="260" t="n">
        <x:f>J52</x:f>
        <x:v>239.196</x:v>
      </x:c>
      <x:c r="K134" s="270" t="n">
        <x:f>K52</x:f>
        <x:v>250.889</x:v>
      </x:c>
      <x:c r="L134" s="260" t="n">
        <x:f>L52</x:f>
        <x:v>0</x:v>
      </x:c>
      <x:c r="M134" s="260" t="n">
        <x:f>M52</x:f>
        <x:v>0</x:v>
      </x:c>
      <x:c r="N134" s="260" t="n">
        <x:f>N52</x:f>
        <x:v>0</x:v>
      </x:c>
      <x:c r="O134" s="260" t="n">
        <x:f>O52</x:f>
        <x:v>0</x:v>
      </x:c>
      <x:c r="P134" s="338" t="str"/>
    </x:row>
    <x:row r="135">
      <x:c r="A135" s="341"/>
      <x:c r="B135" s="342"/>
      <x:c r="C135" s="342"/>
      <x:c r="D135" s="343"/>
      <x:c r="E135" s="343"/>
      <x:c r="F135" s="343"/>
      <x:c r="G135" s="343"/>
      <x:c r="H135" s="343"/>
      <x:c r="I135" s="343"/>
      <x:c r="J135" s="343"/>
      <x:c r="K135" s="343"/>
      <x:c r="L135" s="343"/>
      <x:c r="M135" s="343"/>
      <x:c r="N135" s="343"/>
      <x:c r="O135" s="343"/>
      <x:c r="P135" s="338"/>
    </x:row>
    <x:row r="136">
      <x:c r="A136" s="341"/>
      <x:c r="B136" s="342"/>
      <x:c r="C136" s="342"/>
      <x:c r="D136" s="343"/>
      <x:c r="E136" s="343"/>
      <x:c r="F136" s="343"/>
      <x:c r="G136" s="343"/>
      <x:c r="H136" s="343"/>
      <x:c r="I136" s="343"/>
      <x:c r="J136" s="343"/>
      <x:c r="K136" s="343"/>
      <x:c r="L136" s="343"/>
      <x:c r="M136" s="343"/>
      <x:c r="N136" s="343"/>
      <x:c r="O136" s="343"/>
      <x:c r="P136" s="338"/>
    </x:row>
    <x:row r="137" ht="20" customHeight="1">
      <x:c r="A137" s="30" t="str">
        <x:v>I. Management Guidance / Analyst Takeaway</x:v>
      </x:c>
      <x:c r="B137" s="30"/>
      <x:c r="C137" s="30"/>
      <x:c r="D137" s="175"/>
      <x:c r="E137" s="175"/>
      <x:c r="F137" s="175"/>
      <x:c r="G137" s="175"/>
      <x:c r="H137" s="175"/>
      <x:c r="I137" s="437"/>
      <x:c r="J137" s="437"/>
      <x:c r="K137" s="437"/>
      <x:c r="L137" s="437"/>
      <x:c r="M137" s="437"/>
      <x:c r="N137" s="437"/>
      <x:c r="O137" s="437"/>
      <x:c r="P137" s="438"/>
    </x:row>
    <x:row r="138">
      <x:c r="A138" s="160" t="str">
        <x:v>Quarter</x:v>
      </x:c>
      <x:c r="B138" s="15" t="str">
        <x:v>Revenue Commentary</x:v>
      </x:c>
      <x:c r="C138" s="15" t="str">
        <x:v>CMS Commentary</x:v>
      </x:c>
      <x:c r="D138" s="168" t="str">
        <x:v>Margin Commentary</x:v>
      </x:c>
      <x:c r="E138" s="168" t="str">
        <x:v>Capex Guidance / Update</x:v>
      </x:c>
      <x:c r="F138" s="168" t="str">
        <x:v>Facility / Capacity Update</x:v>
      </x:c>
      <x:c r="G138" s="168" t="str">
        <x:v>Key Positive</x:v>
      </x:c>
      <x:c r="H138" s="168" t="str">
        <x:v>Key Concern</x:v>
      </x:c>
      <x:c r="I138" s="343"/>
      <x:c r="J138" s="343"/>
      <x:c r="K138" s="343"/>
      <x:c r="L138" s="343"/>
      <x:c r="M138" s="343"/>
      <x:c r="N138" s="343"/>
      <x:c r="O138" s="343"/>
      <x:c r="P138" s="338"/>
    </x:row>
    <x:row r="139" ht="46" customHeight="1">
      <x:c r="A139" s="337" t="str">
        <x:v>Q1FY25</x:v>
      </x:c>
      <x:c r="B139" s="338" t="str">
        <x:v>Record quarterly revenue</x:v>
      </x:c>
      <x:c r="C139" s="338" t="str">
        <x:v>Commercial + near-commercial molecules drove CMS</x:v>
      </x:c>
      <x:c r="D139" s="352" t="str">
        <x:v>Healthy margin</x:v>
      </x:c>
      <x:c r="E139" s="352" t="str">
        <x:v>Q1 capex ₹591m; Unit I capacity approval</x:v>
      </x:c>
      <x:c r="F139" s="352" t="str">
        <x:v>Unit I capacity enhancement announced</x:v>
      </x:c>
      <x:c r="G139" s="352" t="str">
        <x:v>CMS commercial traction</x:v>
      </x:c>
      <x:c r="H139" s="352" t="str">
        <x:v>FY25 normalisation still expected</x:v>
      </x:c>
      <x:c r="I139" s="343"/>
      <x:c r="J139" s="343"/>
      <x:c r="K139" s="343"/>
      <x:c r="L139" s="343"/>
      <x:c r="M139" s="343"/>
      <x:c r="N139" s="343"/>
      <x:c r="O139" s="343"/>
      <x:c r="P139" s="338"/>
    </x:row>
    <x:row r="140" ht="46" customHeight="1">
      <x:c r="A140" s="337" t="str">
        <x:v>Q2FY25</x:v>
      </x:c>
      <x:c r="B140" s="338" t="str">
        <x:v>Subpar quarter; annual progression more relevant</x:v>
      </x:c>
      <x:c r="C140" s="338" t="str">
        <x:v>Commercial molecules; anticipated CMS launches support FY26+</x:v>
      </x:c>
      <x:c r="D140" s="352" t="str">
        <x:v>Sharp mix-led margin decline</x:v>
      </x:c>
      <x:c r="E140" s="352" t="str">
        <x:v>H1 capex ₹1,035m</x:v>
      </x:c>
      <x:c r="F140" s="352" t="str">
        <x:v>Additional manufacturing facilities progressing</x:v>
      </x:c>
      <x:c r="G140" s="352" t="str">
        <x:v>Pipeline / launch visibility</x:v>
      </x:c>
      <x:c r="H140" s="352" t="str">
        <x:v>Quarterly lumpiness</x:v>
      </x:c>
      <x:c r="I140" s="343"/>
      <x:c r="J140" s="343"/>
      <x:c r="K140" s="343"/>
      <x:c r="L140" s="343"/>
      <x:c r="M140" s="343"/>
      <x:c r="N140" s="343"/>
      <x:c r="O140" s="343"/>
      <x:c r="P140" s="338"/>
    </x:row>
    <x:row r="141" ht="46" customHeight="1">
      <x:c r="A141" s="337" t="str">
        <x:v>Q3FY25</x:v>
      </x:c>
      <x:c r="B141" s="338" t="str">
        <x:v>Marginal topline growth</x:v>
      </x:c>
      <x:c r="C141" s="338" t="str">
        <x:v>Commercial-led CMS</x:v>
      </x:c>
      <x:c r="D141" s="352" t="str">
        <x:v>Margin improved sequentially</x:v>
      </x:c>
      <x:c r="E141" s="352" t="str">
        <x:v>9M capex ₹1,470m; peptide investment announced</x:v>
      </x:c>
      <x:c r="F141" s="352" t="str">
        <x:v>₹2,540m peptide capability expansion announced</x:v>
      </x:c>
      <x:c r="G141" s="352" t="str">
        <x:v>Strategic capability build</x:v>
      </x:c>
      <x:c r="H141" s="352" t="str">
        <x:v>Large capex ahead of monetisation</x:v>
      </x:c>
      <x:c r="I141" s="343"/>
      <x:c r="J141" s="343"/>
      <x:c r="K141" s="343"/>
      <x:c r="L141" s="343"/>
      <x:c r="M141" s="343"/>
      <x:c r="N141" s="343"/>
      <x:c r="O141" s="343"/>
      <x:c r="P141" s="338"/>
    </x:row>
    <x:row r="142" ht="46" customHeight="1">
      <x:c r="A142" s="337" t="str">
        <x:v>Q4FY25</x:v>
      </x:c>
      <x:c r="B142" s="338" t="str">
        <x:v>FY25 normalisation completed</x:v>
      </x:c>
      <x:c r="C142" s="338" t="str">
        <x:v>19 commercial CMS projects; commercial revenue key</x:v>
      </x:c>
      <x:c r="D142" s="352" t="str">
        <x:v>Margin trough on mix / opex</x:v>
      </x:c>
      <x:c r="E142" s="352" t="str">
        <x:v>FY25 capex ₹2,064m</x:v>
      </x:c>
      <x:c r="F142" s="352" t="str">
        <x:v>Unit III build completed / peptide investment initiated</x:v>
      </x:c>
      <x:c r="G142" s="352" t="str">
        <x:v>FY26 growth setup</x:v>
      </x:c>
      <x:c r="H142" s="352" t="str">
        <x:v>Fixed asset turnover fell to 2.3x</x:v>
      </x:c>
      <x:c r="I142" s="343"/>
      <x:c r="J142" s="343"/>
      <x:c r="K142" s="343"/>
      <x:c r="L142" s="343"/>
      <x:c r="M142" s="343"/>
      <x:c r="N142" s="343"/>
      <x:c r="O142" s="343"/>
      <x:c r="P142" s="338"/>
    </x:row>
    <x:row r="143" ht="46" customHeight="1">
      <x:c r="A143" s="337" t="str">
        <x:v>Q1FY26</x:v>
      </x:c>
      <x:c r="B143" s="338" t="str">
        <x:v>Below par on order timing</x:v>
      </x:c>
      <x:c r="C143" s="338" t="str">
        <x:v>Commercial molecules + new project orders</x:v>
      </x:c>
      <x:c r="D143" s="352" t="str">
        <x:v>Weak utilisation / mix</x:v>
      </x:c>
      <x:c r="E143" s="352" t="str">
        <x:v>Q1 cash capex not separately disclosed</x:v>
      </x:c>
      <x:c r="F143" s="352" t="str">
        <x:v>Investments proceeding to plan</x:v>
      </x:c>
      <x:c r="G143" s="352" t="str">
        <x:v>Outlook unchanged</x:v>
      </x:c>
      <x:c r="H143" s="352" t="str">
        <x:v>WC days jumped to 145</x:v>
      </x:c>
      <x:c r="I143" s="343"/>
      <x:c r="J143" s="343"/>
      <x:c r="K143" s="343"/>
      <x:c r="L143" s="343"/>
      <x:c r="M143" s="343"/>
      <x:c r="N143" s="343"/>
      <x:c r="O143" s="343"/>
      <x:c r="P143" s="338"/>
    </x:row>
    <x:row r="144" ht="46" customHeight="1">
      <x:c r="A144" s="337" t="str">
        <x:v>Q2FY26</x:v>
      </x:c>
      <x:c r="B144" s="338" t="str">
        <x:v>Record revenue</x:v>
      </x:c>
      <x:c r="C144" s="338" t="str">
        <x:v>CMS commercial projects drove record quarter</x:v>
      </x:c>
      <x:c r="D144" s="352" t="str">
        <x:v>Operating leverage; 30.4% headline margin</x:v>
      </x:c>
      <x:c r="E144" s="352" t="str">
        <x:v>H1 capex ₹1,700m</x:v>
      </x:c>
      <x:c r="F144" s="352" t="str">
        <x:v>Capacity build progressing</x:v>
      </x:c>
      <x:c r="G144" s="352" t="str">
        <x:v>CMS mix 60%</x:v>
      </x:c>
      <x:c r="H144" s="352" t="str">
        <x:v>WC days 155</x:v>
      </x:c>
      <x:c r="I144" s="343"/>
      <x:c r="J144" s="343"/>
      <x:c r="K144" s="343"/>
      <x:c r="L144" s="343"/>
      <x:c r="M144" s="343"/>
      <x:c r="N144" s="343"/>
      <x:c r="O144" s="343"/>
      <x:c r="P144" s="338"/>
    </x:row>
    <x:row r="145" ht="46" customHeight="1">
      <x:c r="A145" s="337" t="str">
        <x:v>Q3FY26</x:v>
      </x:c>
      <x:c r="B145" s="338" t="str">
        <x:v>Revenue in line with annual outlook</x:v>
      </x:c>
      <x:c r="C145" s="338" t="str">
        <x:v>Commercial molecules + peptide innovator traction</x:v>
      </x:c>
      <x:c r="D145" s="352" t="str">
        <x:v>Mix + opex subdued margin</x:v>
      </x:c>
      <x:c r="E145" s="352" t="str">
        <x:v>9M capex ₹2,540m</x:v>
      </x:c>
      <x:c r="F145" s="352" t="str">
        <x:v>Genome Valley R&amp;D move approved</x:v>
      </x:c>
      <x:c r="G145" s="352" t="str">
        <x:v>Pipeline / peptide engagement</x:v>
      </x:c>
      <x:c r="H145" s="352" t="str">
        <x:v>Returns still diluted by asset build</x:v>
      </x:c>
      <x:c r="I145" s="343"/>
      <x:c r="J145" s="343"/>
      <x:c r="K145" s="343"/>
      <x:c r="L145" s="343"/>
      <x:c r="M145" s="343"/>
      <x:c r="N145" s="343"/>
      <x:c r="O145" s="343"/>
      <x:c r="P145" s="338"/>
    </x:row>
    <x:row r="146" ht="46" customHeight="1">
      <x:c r="A146" s="337" t="str">
        <x:v>Q4FY26</x:v>
      </x:c>
      <x:c r="B146" s="338" t="str">
        <x:v>Strong FY26 exit</x:v>
      </x:c>
      <x:c r="C146" s="338" t="str">
        <x:v>CMS mix 68%; commercial cohort drove growth</x:v>
      </x:c>
      <x:c r="D146" s="352" t="str">
        <x:v>Strong mix / operating leverage</x:v>
      </x:c>
      <x:c r="E146" s="352" t="str">
        <x:v>FY26 capex ₹3,971m</x:v>
      </x:c>
      <x:c r="F146" s="352" t="str">
        <x:v>52 KL Unit III block commissioned; peptide facility targeted FY27</x:v>
      </x:c>
      <x:c r="G146" s="352" t="str">
        <x:v>Clear small-molecule monetisation</x:v>
      </x:c>
      <x:c r="H146" s="352" t="str">
        <x:v>Peptide/R&amp;D assets still pre-revenue</x:v>
      </x:c>
      <x:c r="I146" s="343"/>
      <x:c r="J146" s="343"/>
      <x:c r="K146" s="343"/>
      <x:c r="L146" s="343"/>
      <x:c r="M146" s="343"/>
      <x:c r="N146" s="343"/>
      <x:c r="O146" s="343"/>
      <x:c r="P146" s="338"/>
    </x:row>
    <x:row r="147">
      <x:c r="A147" s="341"/>
      <x:c r="B147" s="342"/>
      <x:c r="C147" s="342"/>
      <x:c r="D147" s="343"/>
      <x:c r="E147" s="343"/>
      <x:c r="F147" s="343"/>
      <x:c r="G147" s="343"/>
      <x:c r="H147" s="343"/>
      <x:c r="I147" s="343"/>
      <x:c r="J147" s="343"/>
      <x:c r="K147" s="343"/>
      <x:c r="L147" s="343"/>
      <x:c r="M147" s="343"/>
      <x:c r="N147" s="343"/>
      <x:c r="O147" s="343"/>
      <x:c r="P147" s="338"/>
    </x:row>
    <x:row r="148">
      <x:c r="A148" s="341"/>
      <x:c r="B148" s="342"/>
      <x:c r="C148" s="342"/>
      <x:c r="D148" s="343"/>
      <x:c r="E148" s="343"/>
      <x:c r="F148" s="343"/>
      <x:c r="G148" s="343"/>
      <x:c r="H148" s="343"/>
      <x:c r="I148" s="343"/>
      <x:c r="J148" s="343"/>
      <x:c r="K148" s="343"/>
      <x:c r="L148" s="343"/>
      <x:c r="M148" s="343"/>
      <x:c r="N148" s="343"/>
      <x:c r="O148" s="343"/>
      <x:c r="P148" s="338"/>
    </x:row>
    <x:row r="149" ht="20" customHeight="1">
      <x:c r="A149" s="30" t="str">
        <x:v>Source Register / Evidence Notes</x:v>
      </x:c>
      <x:c r="B149" s="30"/>
      <x:c r="C149" s="30"/>
      <x:c r="D149" s="175"/>
      <x:c r="E149" s="175"/>
      <x:c r="F149" s="175"/>
      <x:c r="G149" s="175"/>
      <x:c r="H149" s="175"/>
      <x:c r="I149" s="175"/>
      <x:c r="J149" s="175"/>
      <x:c r="K149" s="175"/>
      <x:c r="L149" s="175"/>
      <x:c r="M149" s="175"/>
      <x:c r="N149" s="175"/>
      <x:c r="O149" s="175"/>
      <x:c r="P149" s="223"/>
    </x:row>
    <x:row r="150">
      <x:c r="A150" s="160" t="str">
        <x:v>Source Type</x:v>
      </x:c>
      <x:c r="B150" s="15" t="str">
        <x:v>Evidence</x:v>
      </x:c>
      <x:c r="C150" s="15" t="str">
        <x:v>Document</x:v>
      </x:c>
      <x:c r="D150" s="168" t="str">
        <x:v>Period</x:v>
      </x:c>
      <x:c r="E150" s="168" t="str">
        <x:v>Use</x:v>
      </x:c>
      <x:c r="F150" s="168" t="str">
        <x:v>URL / Note</x:v>
      </x:c>
      <x:c r="G150" s="343"/>
      <x:c r="H150" s="343"/>
      <x:c r="I150" s="343"/>
      <x:c r="J150" s="343"/>
      <x:c r="K150" s="343"/>
      <x:c r="L150" s="343"/>
      <x:c r="M150" s="343"/>
      <x:c r="N150" s="343"/>
      <x:c r="O150" s="343"/>
      <x:c r="P150" s="338"/>
    </x:row>
    <x:row r="151">
      <x:c r="A151" s="337" t="str">
        <x:v>Quarterly consolidated financials</x:v>
      </x:c>
      <x:c r="B151" s="338" t="str">
        <x:v>Primary</x:v>
      </x:c>
      <x:c r="C151" s="338" t="str">
        <x:v>Official Neuland quarterly financial results / NSE iXBRL</x:v>
      </x:c>
      <x:c r="D151" s="352" t="str">
        <x:v>FY25–FY26</x:v>
      </x:c>
      <x:c r="E151" s="352" t="str">
        <x:v>P&amp;L and EPS</x:v>
      </x:c>
      <x:c r="F151" s="352" t="str">
        <x:v>https://www.neulandlabs.com/en/investors/financials-and-reports/quarterly-results</x:v>
      </x:c>
      <x:c r="G151" s="343"/>
      <x:c r="H151" s="343"/>
      <x:c r="I151" s="343"/>
      <x:c r="J151" s="343"/>
      <x:c r="K151" s="343"/>
      <x:c r="L151" s="343"/>
      <x:c r="M151" s="343"/>
      <x:c r="N151" s="343"/>
      <x:c r="O151" s="343"/>
      <x:c r="P151" s="338"/>
    </x:row>
    <x:row r="152">
      <x:c r="A152" s="337" t="str">
        <x:v>Investor presentations</x:v>
      </x:c>
      <x:c r="B152" s="338" t="str">
        <x:v>Primary</x:v>
      </x:c>
      <x:c r="C152" s="338" t="str">
        <x:v>Neuland investor presentations</x:v>
      </x:c>
      <x:c r="D152" s="352" t="str">
        <x:v>FY25–FY26</x:v>
      </x:c>
      <x:c r="E152" s="352" t="str">
        <x:v>Segment mix, CMS funnel, WC and capex</x:v>
      </x:c>
      <x:c r="F152" s="352" t="str">
        <x:v>https://www.neulandlabs.com/en/investors/investor-meetings/investor-presentations</x:v>
      </x:c>
      <x:c r="G152" s="343"/>
      <x:c r="H152" s="343"/>
      <x:c r="I152" s="343"/>
      <x:c r="J152" s="343"/>
      <x:c r="K152" s="343"/>
      <x:c r="L152" s="343"/>
      <x:c r="M152" s="343"/>
      <x:c r="N152" s="343"/>
      <x:c r="O152" s="343"/>
      <x:c r="P152" s="338"/>
    </x:row>
    <x:row r="153">
      <x:c r="A153" s="337" t="str">
        <x:v>Earnings call transcripts</x:v>
      </x:c>
      <x:c r="B153" s="338" t="str">
        <x:v>Primary / supporting</x:v>
      </x:c>
      <x:c r="C153" s="338" t="str">
        <x:v>Neuland earnings-call transcripts</x:v>
      </x:c>
      <x:c r="D153" s="352" t="str">
        <x:v>FY25–FY26</x:v>
      </x:c>
      <x:c r="E153" s="352" t="str">
        <x:v>Molecule / capacity commentary</x:v>
      </x:c>
      <x:c r="F153" s="352" t="str">
        <x:v>https://www.neulandlabs.com/en/investors/investor-meetings/transcripts</x:v>
      </x:c>
      <x:c r="G153" s="343"/>
      <x:c r="H153" s="343"/>
      <x:c r="I153" s="343"/>
      <x:c r="J153" s="343"/>
      <x:c r="K153" s="343"/>
      <x:c r="L153" s="343"/>
      <x:c r="M153" s="343"/>
      <x:c r="N153" s="343"/>
      <x:c r="O153" s="343"/>
      <x:c r="P153" s="338"/>
    </x:row>
    <x:row r="154">
      <x:c r="A154" s="337" t="str">
        <x:v>Existing model</x:v>
      </x:c>
      <x:c r="B154" s="338" t="str">
        <x:v>Analyst model</x:v>
      </x:c>
      <x:c r="C154" s="338" t="str">
        <x:v>GPT_Neuland_Model.xlsx</x:v>
      </x:c>
      <x:c r="D154" s="352" t="str">
        <x:v>FY24A–FY35E</x:v>
      </x:c>
      <x:c r="E154" s="352" t="str">
        <x:v>FY27E anchor / model cross-check</x:v>
      </x:c>
      <x:c r="F154" s="352" t="str">
        <x:v>Hardcoded values copied; no external workbook links</x:v>
      </x:c>
      <x:c r="G154" s="343"/>
      <x:c r="H154" s="343"/>
      <x:c r="I154" s="343"/>
      <x:c r="J154" s="343"/>
      <x:c r="K154" s="343"/>
      <x:c r="L154" s="343"/>
      <x:c r="M154" s="343"/>
      <x:c r="N154" s="343"/>
      <x:c r="O154" s="343"/>
      <x:c r="P154" s="338"/>
    </x:row>
  </x:sheetData>
  <x:mergeCells>
    <x:mergeCell ref="A1:P1"/>
    <x:mergeCell ref="A2:P2"/>
    <x:mergeCell ref="A6:P6"/>
    <x:mergeCell ref="A29:P29"/>
    <x:mergeCell ref="A40:P40"/>
    <x:mergeCell ref="A68:P68"/>
    <x:mergeCell ref="A87:J87"/>
    <x:mergeCell ref="A97:P97"/>
    <x:mergeCell ref="A108:P108"/>
    <x:mergeCell ref="A124:P124"/>
    <x:mergeCell ref="A137:H137"/>
    <x:mergeCell ref="A149:P14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4" hidden="0" customWidth="1"/>
    <x:col min="3" max="3" width="2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24" hidden="0" customWidth="1"/>
    <x:col min="11" max="11" width="12" hidden="0" customWidth="1"/>
    <x:col min="12" max="12" width="12" hidden="0" customWidth="1"/>
    <x:col min="13" max="13" width="12" hidden="0" customWidth="1"/>
    <x:col min="14" max="14" width="34" hidden="0" customWidth="1"/>
    <x:col min="15" max="15" width="4" hidden="0" customWidth="1"/>
    <x:col min="16" max="16" width="16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6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16" hidden="0" customWidth="1"/>
  </x:cols>
  <x:sheetData>
    <x:row r="1" ht="26" customHeight="1">
      <x:c r="A1" s="158" t="str">
        <x:v>Neuland Laboratories — Capex Monetisation &amp; Capital Productivity</x:v>
      </x:c>
      <x:c r="B1" s="108"/>
      <x:c r="C1" s="108"/>
      <x:c r="D1" s="108"/>
      <x:c r="E1" s="108"/>
      <x:c r="F1" s="108"/>
      <x:c r="G1" s="108"/>
      <x:c r="H1" s="108"/>
      <x:c r="I1" s="108"/>
      <x:c r="J1" s="108"/>
      <x:c r="K1" s="108"/>
      <x:c r="L1" s="108"/>
      <x:c r="M1" s="108"/>
      <x:c r="N1" s="222"/>
      <x:c r="O1" s="108"/>
      <x:c r="P1" s="342"/>
      <x:c r="Q1" s="342"/>
      <x:c r="R1" s="342"/>
      <x:c r="S1" s="342"/>
      <x:c r="T1" s="342"/>
      <x:c r="U1" s="342"/>
      <x:c r="V1" s="342"/>
      <x:c r="W1" s="342"/>
      <x:c r="X1" s="342"/>
      <x:c r="Y1" s="342"/>
      <x:c r="Z1" s="342"/>
      <x:c r="AA1" s="342"/>
      <x:c r="AB1" s="342"/>
      <x:c r="AC1" s="342"/>
      <x:c r="AD1" s="342"/>
      <x:c r="AE1" s="342"/>
      <x:c r="AF1" s="342"/>
      <x:c r="AG1" s="342"/>
      <x:c r="AH1" s="342"/>
    </x:row>
    <x:row r="2" ht="28" customHeight="1">
      <x:c r="A2" s="331" t="str">
        <x:v>Core question: Is capital creating differentiated CMS capacity that converts into revenue, asset productivity and ROCE — or running ahead of visible demand?</x:v>
      </x:c>
      <x:c r="B2" s="332"/>
      <x:c r="C2" s="332"/>
      <x:c r="D2" s="332"/>
      <x:c r="E2" s="332"/>
      <x:c r="F2" s="332"/>
      <x:c r="G2" s="332"/>
      <x:c r="H2" s="332"/>
      <x:c r="I2" s="332"/>
      <x:c r="J2" s="332"/>
      <x:c r="K2" s="332"/>
      <x:c r="L2" s="332"/>
      <x:c r="M2" s="332"/>
      <x:c r="N2" s="332"/>
      <x:c r="O2" s="332"/>
      <x:c r="P2" s="342"/>
      <x:c r="Q2" s="342"/>
      <x:c r="R2" s="342"/>
      <x:c r="S2" s="342"/>
      <x:c r="T2" s="342"/>
      <x:c r="U2" s="342"/>
      <x:c r="V2" s="342"/>
      <x:c r="W2" s="342"/>
      <x:c r="X2" s="342"/>
      <x:c r="Y2" s="342"/>
      <x:c r="Z2" s="342"/>
      <x:c r="AA2" s="342"/>
      <x:c r="AB2" s="342"/>
      <x:c r="AC2" s="342"/>
      <x:c r="AD2" s="342"/>
      <x:c r="AE2" s="342"/>
      <x:c r="AF2" s="342"/>
      <x:c r="AG2" s="342"/>
      <x:c r="AH2" s="342"/>
    </x:row>
    <x:row r="3">
      <x:c r="A3" s="160" t="str">
        <x:v>Metric</x:v>
      </x:c>
      <x:c r="B3" s="15" t="str">
        <x:v>Units</x:v>
      </x:c>
      <x:c r="C3" s="15" t="str">
        <x:v>Status</x:v>
      </x:c>
      <x:c r="D3" s="168" t="str">
        <x:v>FY22A</x:v>
      </x:c>
      <x:c r="E3" s="168" t="str">
        <x:v>FY23A</x:v>
      </x:c>
      <x:c r="F3" s="168" t="str">
        <x:v>FY24A</x:v>
      </x:c>
      <x:c r="G3" s="168" t="str">
        <x:v>FY25A</x:v>
      </x:c>
      <x:c r="H3" s="168" t="str">
        <x:v>FY26A</x:v>
      </x:c>
      <x:c r="I3" s="168" t="str">
        <x:v>FY27E</x:v>
      </x:c>
      <x:c r="J3" s="168" t="str">
        <x:v>FY28E</x:v>
      </x:c>
      <x:c r="K3" s="168" t="str">
        <x:v>FY29E</x:v>
      </x:c>
      <x:c r="L3" s="168" t="str">
        <x:v>FY30E</x:v>
      </x:c>
      <x:c r="M3" s="168" t="str">
        <x:v>FY31E</x:v>
      </x:c>
      <x:c r="N3" s="15" t="str">
        <x:v>Source / Note</x:v>
      </x:c>
      <x:c r="O3" s="15"/>
      <x:c r="P3" s="342"/>
      <x:c r="Q3" s="342"/>
      <x:c r="R3" s="342"/>
      <x:c r="S3" s="342"/>
      <x:c r="T3" s="342"/>
      <x:c r="U3" s="342"/>
      <x:c r="V3" s="342"/>
      <x:c r="W3" s="342"/>
      <x:c r="X3" s="342"/>
      <x:c r="Y3" s="342"/>
      <x:c r="Z3" s="342"/>
      <x:c r="AA3" s="342"/>
      <x:c r="AB3" s="342"/>
      <x:c r="AC3" s="342"/>
      <x:c r="AD3" s="342"/>
      <x:c r="AE3" s="342"/>
      <x:c r="AF3" s="342"/>
      <x:c r="AG3" s="342"/>
      <x:c r="AH3" s="342"/>
    </x:row>
    <x:row r="4">
      <x:c r="A4" s="341"/>
      <x:c r="B4" s="342"/>
      <x:c r="C4" s="342"/>
      <x:c r="D4" s="343"/>
      <x:c r="E4" s="343"/>
      <x:c r="F4" s="343"/>
      <x:c r="G4" s="343"/>
      <x:c r="H4" s="343"/>
      <x:c r="I4" s="343"/>
      <x:c r="J4" s="343"/>
      <x:c r="K4" s="343"/>
      <x:c r="L4" s="343"/>
      <x:c r="M4" s="343"/>
      <x:c r="N4" s="338"/>
      <x:c r="O4" s="342"/>
      <x:c r="P4" s="342"/>
      <x:c r="Q4" s="342"/>
      <x:c r="R4" s="342"/>
      <x:c r="S4" s="342"/>
      <x:c r="T4" s="342"/>
      <x:c r="U4" s="342"/>
      <x:c r="V4" s="342"/>
      <x:c r="W4" s="342"/>
      <x:c r="X4" s="342"/>
      <x:c r="Y4" s="342"/>
      <x:c r="Z4" s="342"/>
      <x:c r="AA4" s="342"/>
      <x:c r="AB4" s="342"/>
      <x:c r="AC4" s="342"/>
      <x:c r="AD4" s="342"/>
      <x:c r="AE4" s="342"/>
      <x:c r="AF4" s="342"/>
      <x:c r="AG4" s="342"/>
      <x:c r="AH4" s="342"/>
    </x:row>
    <x:row r="5" ht="20" customHeight="1">
      <x:c r="A5" s="30" t="str">
        <x:v>A. Capital Productivity Dashboard</x:v>
      </x:c>
      <x:c r="B5" s="30"/>
      <x:c r="C5" s="30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223"/>
      <x:c r="O5" s="30"/>
      <x:c r="P5" s="444"/>
      <x:c r="Q5" s="444"/>
      <x:c r="R5" s="444"/>
      <x:c r="S5" s="444"/>
      <x:c r="T5" s="444"/>
      <x:c r="U5" s="444"/>
      <x:c r="V5" s="444"/>
      <x:c r="W5" s="444"/>
      <x:c r="X5" s="444"/>
      <x:c r="Y5" s="444"/>
      <x:c r="Z5" s="444"/>
      <x:c r="AA5" s="444"/>
      <x:c r="AB5" s="444"/>
      <x:c r="AC5" s="444"/>
      <x:c r="AD5" s="444"/>
      <x:c r="AE5" s="444"/>
      <x:c r="AF5" s="444"/>
      <x:c r="AG5" s="444"/>
      <x:c r="AH5" s="444"/>
    </x:row>
    <x:row r="6">
      <x:c r="A6" s="341" t="str">
        <x:v>Revenue</x:v>
      </x:c>
      <x:c r="B6" s="342" t="str">
        <x:v>INR m</x:v>
      </x:c>
      <x:c r="C6" s="342" t="str">
        <x:v>Reported / Model</x:v>
      </x:c>
      <x:c r="D6" s="252" t="n">
        <x:v>9510.8</x:v>
      </x:c>
      <x:c r="E6" s="252" t="n">
        <x:v>11911.98</x:v>
      </x:c>
      <x:c r="F6" s="252" t="n">
        <x:v>15585.805</x:v>
      </x:c>
      <x:c r="G6" s="252" t="n">
        <x:v>14768.373</x:v>
      </x:c>
      <x:c r="H6" s="252" t="n">
        <x:v>20229.854</x:v>
      </x:c>
      <x:c r="I6" s="252" t="n">
        <x:v>23230.502565</x:v>
      </x:c>
      <x:c r="J6" s="252" t="n">
        <x:v>26882.61282237</x:v>
      </x:c>
      <x:c r="K6" s="252" t="n">
        <x:v>30565.2092983173</x:v>
      </x:c>
      <x:c r="L6" s="252" t="n">
        <x:v>34086.6989362148</x:v>
      </x:c>
      <x:c r="M6" s="252" t="n">
        <x:v>37395.3043105741</x:v>
      </x:c>
      <x:c r="N6" s="338" t="str">
        <x:v>Historical official / uploaded-model input; FY27E+ hardcoded current model estimate. No external workbook link.</x:v>
      </x:c>
      <x:c r="O6" s="342"/>
      <x:c r="P6" s="342"/>
      <x:c r="Q6" s="342"/>
      <x:c r="R6" s="342"/>
      <x:c r="S6" s="342"/>
      <x:c r="T6" s="342"/>
      <x:c r="U6" s="342"/>
      <x:c r="V6" s="342"/>
      <x:c r="W6" s="342"/>
      <x:c r="X6" s="342"/>
      <x:c r="Y6" s="342"/>
      <x:c r="Z6" s="342"/>
      <x:c r="AA6" s="342"/>
      <x:c r="AB6" s="342"/>
      <x:c r="AC6" s="342"/>
      <x:c r="AD6" s="342"/>
      <x:c r="AE6" s="342"/>
      <x:c r="AF6" s="342"/>
      <x:c r="AG6" s="342"/>
      <x:c r="AH6" s="342"/>
    </x:row>
    <x:row r="7">
      <x:c r="A7" s="341" t="str">
        <x:v>YoY Revenue Growth</x:v>
      </x:c>
      <x:c r="B7" s="342" t="str">
        <x:v>%</x:v>
      </x:c>
      <x:c r="C7" s="342" t="str">
        <x:v>Formula</x:v>
      </x:c>
      <x:c r="D7" s="262"/>
      <x:c r="E7" s="262" t="n">
        <x:f>IFERROR(E6/D6-1,"")</x:f>
        <x:v>0.25246877234302056</x:v>
      </x:c>
      <x:c r="F7" s="262" t="n">
        <x:f>IFERROR(F6/E6-1,"")</x:f>
        <x:v>0.30841430224026567</x:v>
      </x:c>
      <x:c r="G7" s="262" t="n">
        <x:f>IFERROR(G6/F6-1,"")</x:f>
        <x:v>-0.052447210779295705</x:v>
      </x:c>
      <x:c r="H7" s="262" t="n">
        <x:f>IFERROR(H6/G6-1,"")</x:f>
        <x:v>0.36980925386973906</x:v>
      </x:c>
      <x:c r="I7" s="262" t="n">
        <x:f>IFERROR(I6/H6-1,"")</x:f>
        <x:v>0.14832774200940846</x:v>
      </x:c>
      <x:c r="J7" s="262" t="n">
        <x:f>IFERROR(J6/I6-1,"")</x:f>
        <x:v>0.15721184882467476</x:v>
      </x:c>
      <x:c r="K7" s="262" t="n">
        <x:f>IFERROR(K6/J6-1,"")</x:f>
        <x:v>0.13698804131430542</x:v>
      </x:c>
      <x:c r="L7" s="262" t="n">
        <x:f>IFERROR(L6/K6-1,"")</x:f>
        <x:v>0.11521235151795173</x:v>
      </x:c>
      <x:c r="M7" s="262" t="n">
        <x:f>IFERROR(M6/L6-1,"")</x:f>
        <x:v>0.09706441156272039</x:v>
      </x:c>
      <x:c r="N7" s="338" t="str">
        <x:v>Formula from stated inputs.</x:v>
      </x:c>
      <x:c r="O7" s="342"/>
      <x:c r="P7" s="342"/>
      <x:c r="Q7" s="342"/>
      <x:c r="R7" s="342"/>
      <x:c r="S7" s="342"/>
      <x:c r="T7" s="342"/>
      <x:c r="U7" s="342"/>
      <x:c r="V7" s="342"/>
      <x:c r="W7" s="342"/>
      <x:c r="X7" s="342"/>
      <x:c r="Y7" s="342"/>
      <x:c r="Z7" s="342"/>
      <x:c r="AA7" s="342"/>
      <x:c r="AB7" s="342"/>
      <x:c r="AC7" s="342"/>
      <x:c r="AD7" s="342"/>
      <x:c r="AE7" s="342"/>
      <x:c r="AF7" s="342"/>
      <x:c r="AG7" s="342"/>
      <x:c r="AH7" s="342"/>
    </x:row>
    <x:row r="8">
      <x:c r="A8" s="341" t="str">
        <x:v>Prime Revenue</x:v>
      </x:c>
      <x:c r="B8" s="342" t="str">
        <x:v>INR m</x:v>
      </x:c>
      <x:c r="C8" s="342" t="str">
        <x:v>Estimate / Model</x:v>
      </x:c>
      <x:c r="D8" s="252"/>
      <x:c r="E8" s="252"/>
      <x:c r="F8" s="252" t="n">
        <x:v>3740.5932</x:v>
      </x:c>
      <x:c r="G8" s="252" t="n">
        <x:v>4873.5631</x:v>
      </x:c>
      <x:c r="H8" s="252" t="n">
        <x:v>4652.8664</x:v>
      </x:c>
      <x:c r="I8" s="252" t="n">
        <x:v>5181.095712</x:v>
      </x:c>
      <x:c r="J8" s="252" t="n">
        <x:v>5704.78336896</x:v>
      </x:c>
      <x:c r="K8" s="252" t="n">
        <x:v>6157.9382047872</x:v>
      </x:c>
      <x:c r="L8" s="252" t="n">
        <x:v>6566.88249707443</x:v>
      </x:c>
      <x:c r="M8" s="252" t="n">
        <x:v>6916.53934192815</x:v>
      </x:c>
      <x:c r="N8" s="338" t="str">
        <x:v>Historical official / uploaded-model input; FY27E+ hardcoded current model estimate. No external workbook link.</x:v>
      </x:c>
      <x:c r="O8" s="342"/>
      <x:c r="P8" s="342"/>
      <x:c r="Q8" s="342"/>
      <x:c r="R8" s="342"/>
      <x:c r="S8" s="342"/>
      <x:c r="T8" s="342"/>
      <x:c r="U8" s="342"/>
      <x:c r="V8" s="342"/>
      <x:c r="W8" s="342"/>
      <x:c r="X8" s="342"/>
      <x:c r="Y8" s="342"/>
      <x:c r="Z8" s="342"/>
      <x:c r="AA8" s="342"/>
      <x:c r="AB8" s="342"/>
      <x:c r="AC8" s="342"/>
      <x:c r="AD8" s="342"/>
      <x:c r="AE8" s="342"/>
      <x:c r="AF8" s="342"/>
      <x:c r="AG8" s="342"/>
      <x:c r="AH8" s="342"/>
    </x:row>
    <x:row r="9">
      <x:c r="A9" s="341" t="str">
        <x:v>Specialty Revenue</x:v>
      </x:c>
      <x:c r="B9" s="342" t="str">
        <x:v>INR m</x:v>
      </x:c>
      <x:c r="C9" s="342" t="str">
        <x:v>Estimate / Model</x:v>
      </x:c>
      <x:c r="D9" s="252"/>
      <x:c r="E9" s="252"/>
      <x:c r="F9" s="252" t="n">
        <x:v>3428.8771</x:v>
      </x:c>
      <x:c r="G9" s="252" t="n">
        <x:v>2658.3071</x:v>
      </x:c>
      <x:c r="H9" s="252" t="n">
        <x:v>2225.2839</x:v>
      </x:c>
      <x:c r="I9" s="252" t="n">
        <x:v>2450.317968</x:v>
      </x:c>
      <x:c r="J9" s="252" t="n">
        <x:v>2730.35612416</x:v>
      </x:c>
      <x:c r="K9" s="252" t="n">
        <x:v>3026.9152978176</x:v>
      </x:c>
      <x:c r="L9" s="252" t="n">
        <x:v>3321.29082759936</x:v>
      </x:c>
      <x:c r="M9" s="252" t="n">
        <x:v>3602.2444420833</x:v>
      </x:c>
      <x:c r="N9" s="338" t="str">
        <x:v>Historical official / uploaded-model input; FY27E+ hardcoded current model estimate. No external workbook link.</x:v>
      </x:c>
      <x:c r="O9" s="342"/>
      <x:c r="P9" s="342"/>
      <x:c r="Q9" s="342"/>
      <x:c r="R9" s="342"/>
      <x:c r="S9" s="342"/>
      <x:c r="T9" s="342"/>
      <x:c r="U9" s="342"/>
      <x:c r="V9" s="342"/>
      <x:c r="W9" s="342"/>
      <x:c r="X9" s="342"/>
      <x:c r="Y9" s="342"/>
      <x:c r="Z9" s="342"/>
      <x:c r="AA9" s="342"/>
      <x:c r="AB9" s="342"/>
      <x:c r="AC9" s="342"/>
      <x:c r="AD9" s="342"/>
      <x:c r="AE9" s="342"/>
      <x:c r="AF9" s="342"/>
      <x:c r="AG9" s="342"/>
      <x:c r="AH9" s="342"/>
    </x:row>
    <x:row r="10">
      <x:c r="A10" s="382" t="str">
        <x:v>CMS Revenue</x:v>
      </x:c>
      <x:c r="B10" s="383" t="str">
        <x:v>INR m</x:v>
      </x:c>
      <x:c r="C10" s="383" t="str">
        <x:v>Estimate / Model</x:v>
      </x:c>
      <x:c r="D10" s="384"/>
      <x:c r="E10" s="384"/>
      <x:c r="F10" s="384" t="n">
        <x:v>7650</x:v>
      </x:c>
      <x:c r="G10" s="384" t="n">
        <x:v>6370</x:v>
      </x:c>
      <x:c r="H10" s="384" t="n">
        <x:v>12440</x:v>
      </x:c>
      <x:c r="I10" s="384" t="n">
        <x:v>14641.8</x:v>
      </x:c>
      <x:c r="J10" s="384" t="n">
        <x:v>17442.32</x:v>
      </x:c>
      <x:c r="K10" s="384" t="n">
        <x:v>20324.9448</x:v>
      </x:c>
      <x:c r="L10" s="384" t="n">
        <x:v>23100.898176</x:v>
      </x:c>
      <x:c r="M10" s="384" t="n">
        <x:v>25734.9879936</x:v>
      </x:c>
      <x:c r="N10" s="338" t="str">
        <x:v>Historical official / uploaded-model input; FY27E+ hardcoded current model estimate. No external workbook link.</x:v>
      </x:c>
      <x:c r="O10" s="342"/>
      <x:c r="P10" s="342"/>
      <x:c r="Q10" s="342"/>
      <x:c r="R10" s="342"/>
      <x:c r="S10" s="342"/>
      <x:c r="T10" s="342"/>
      <x:c r="U10" s="342"/>
      <x:c r="V10" s="342"/>
      <x:c r="W10" s="342"/>
      <x:c r="X10" s="342"/>
      <x:c r="Y10" s="342"/>
      <x:c r="Z10" s="342"/>
      <x:c r="AA10" s="342"/>
      <x:c r="AB10" s="342"/>
      <x:c r="AC10" s="342"/>
      <x:c r="AD10" s="342"/>
      <x:c r="AE10" s="342"/>
      <x:c r="AF10" s="342"/>
      <x:c r="AG10" s="342"/>
      <x:c r="AH10" s="342"/>
    </x:row>
    <x:row r="11">
      <x:c r="A11" s="341" t="str">
        <x:v>CMS Mix</x:v>
      </x:c>
      <x:c r="B11" s="342" t="str">
        <x:v>%</x:v>
      </x:c>
      <x:c r="C11" s="342" t="str">
        <x:v>Formula</x:v>
      </x:c>
      <x:c r="D11" s="262" t="str">
        <x:f>IF(COUNT(D10,D6)&lt;2,"",IFERROR(D10/D6,""))</x:f>
      </x:c>
      <x:c r="E11" s="262" t="str">
        <x:f>IF(COUNT(E10,E6)&lt;2,"",IFERROR(E10/E6,""))</x:f>
      </x:c>
      <x:c r="F11" s="262" t="n">
        <x:f>IF(COUNT(F10,F6)&lt;2,"",IFERROR(F10/F6,""))</x:f>
        <x:v>0.49083124034979264</x:v>
      </x:c>
      <x:c r="G11" s="262" t="n">
        <x:f>IF(COUNT(G10,G6)&lt;2,"",IFERROR(G10/G6,""))</x:f>
        <x:v>0.4313271340045379</x:v>
      </x:c>
      <x:c r="H11" s="262" t="n">
        <x:f>IF(COUNT(H10,H6)&lt;2,"",IFERROR(H10/H6,""))</x:f>
        <x:v>0.6149327622433657</x:v>
      </x:c>
      <x:c r="I11" s="262" t="n">
        <x:f>IF(COUNT(I10,I6)&lt;2,"",IFERROR(I10/I6,""))</x:f>
        <x:v>0.6302833939572154</x:v>
      </x:c>
      <x:c r="J11" s="262" t="n">
        <x:f>IF(COUNT(J10,J6)&lt;2,"",IFERROR(J10/J6,""))</x:f>
        <x:v>0.6488327647037944</x:v>
      </x:c>
      <x:c r="K11" s="262" t="n">
        <x:f>IF(COUNT(K10,K6)&lt;2,"",IFERROR(K10/K6,""))</x:f>
        <x:v>0.6649699205926571</x:v>
      </x:c>
      <x:c r="L11" s="262" t="n">
        <x:f>IF(COUNT(L10,L6)&lt;2,"",IFERROR(L10/L6,""))</x:f>
        <x:v>0.6777100422433944</x:v>
      </x:c>
      <x:c r="M11" s="262" t="n">
        <x:f>IF(COUNT(M10,M6)&lt;2,"",IFERROR(M10/M6,""))</x:f>
        <x:v>0.6881876874130165</x:v>
      </x:c>
      <x:c r="N11" s="338" t="str">
        <x:v>Formula from stated inputs.</x:v>
      </x:c>
      <x:c r="O11" s="342"/>
      <x:c r="P11" s="342"/>
      <x:c r="Q11" s="342"/>
      <x:c r="R11" s="342"/>
      <x:c r="S11" s="342"/>
      <x:c r="T11" s="342"/>
      <x:c r="U11" s="342"/>
      <x:c r="V11" s="342"/>
      <x:c r="W11" s="342"/>
      <x:c r="X11" s="342"/>
      <x:c r="Y11" s="342"/>
      <x:c r="Z11" s="342"/>
      <x:c r="AA11" s="342"/>
      <x:c r="AB11" s="342"/>
      <x:c r="AC11" s="342"/>
      <x:c r="AD11" s="342"/>
      <x:c r="AE11" s="342"/>
      <x:c r="AF11" s="342"/>
      <x:c r="AG11" s="342"/>
      <x:c r="AH11" s="342"/>
    </x:row>
    <x:row r="12">
      <x:c r="A12" s="382" t="str">
        <x:v>EBITDA</x:v>
      </x:c>
      <x:c r="B12" s="383" t="str">
        <x:v>INR m</x:v>
      </x:c>
      <x:c r="C12" s="383" t="str">
        <x:v>Reported / Model</x:v>
      </x:c>
      <x:c r="D12" s="384" t="n">
        <x:v>1443</x:v>
      </x:c>
      <x:c r="E12" s="384" t="n">
        <x:v>2811</x:v>
      </x:c>
      <x:c r="F12" s="384" t="n">
        <x:v>4751.338</x:v>
      </x:c>
      <x:c r="G12" s="384" t="n">
        <x:v>3437.691</x:v>
      </x:c>
      <x:c r="H12" s="384" t="n">
        <x:v>6046.64</x:v>
      </x:c>
      <x:c r="I12" s="384" t="n">
        <x:v>6995.0456715</x:v>
      </x:c>
      <x:c r="J12" s="384" t="n">
        <x:v>8347.1829885894</x:v>
      </x:c>
      <x:c r="K12" s="384" t="n">
        <x:v>9793.8662517351</x:v>
      </x:c>
      <x:c r="L12" s="384" t="n">
        <x:v>11240.0650907838</x:v>
      </x:c>
      <x:c r="M12" s="384" t="n">
        <x:v>12614.1276018558</x:v>
      </x:c>
      <x:c r="N12" s="338" t="str">
        <x:v>Historical official / uploaded-model input; FY27E+ hardcoded current model estimate. No external workbook link.</x:v>
      </x:c>
      <x:c r="O12" s="342"/>
      <x:c r="P12" s="342"/>
      <x:c r="Q12" s="342"/>
      <x:c r="R12" s="342"/>
      <x:c r="S12" s="342"/>
      <x:c r="T12" s="342"/>
      <x:c r="U12" s="342"/>
      <x:c r="V12" s="342"/>
      <x:c r="W12" s="342"/>
      <x:c r="X12" s="342"/>
      <x:c r="Y12" s="342"/>
      <x:c r="Z12" s="342"/>
      <x:c r="AA12" s="342"/>
      <x:c r="AB12" s="342"/>
      <x:c r="AC12" s="342"/>
      <x:c r="AD12" s="342"/>
      <x:c r="AE12" s="342"/>
      <x:c r="AF12" s="342"/>
      <x:c r="AG12" s="342"/>
      <x:c r="AH12" s="342"/>
    </x:row>
    <x:row r="13">
      <x:c r="A13" s="341" t="str">
        <x:v>EBITDA Margin</x:v>
      </x:c>
      <x:c r="B13" s="342" t="str">
        <x:v>%</x:v>
      </x:c>
      <x:c r="C13" s="342" t="str">
        <x:v>Formula</x:v>
      </x:c>
      <x:c r="D13" s="262" t="n">
        <x:f>IF(COUNT(D12,D6)&lt;2,"",IFERROR(D12/D6,""))</x:f>
        <x:v>0.15172225259704758</x:v>
      </x:c>
      <x:c r="E13" s="262" t="n">
        <x:f>IF(COUNT(E12,E6)&lt;2,"",IFERROR(E12/E6,""))</x:f>
        <x:v>0.23598092004855617</x:v>
      </x:c>
      <x:c r="F13" s="262" t="n">
        <x:f>IF(COUNT(F12,F6)&lt;2,"",IFERROR(F12/F6,""))</x:f>
        <x:v>0.3048503429883795</x:v>
      </x:c>
      <x:c r="G13" s="262" t="n">
        <x:f>IF(COUNT(G12,G6)&lt;2,"",IFERROR(G12/G6,""))</x:f>
        <x:v>0.23277384719359404</x:v>
      </x:c>
      <x:c r="H13" s="262" t="n">
        <x:f>IF(COUNT(H12,H6)&lt;2,"",IFERROR(H12/H6,""))</x:f>
        <x:v>0.29889686796553255</x:v>
      </x:c>
      <x:c r="I13" s="262" t="n">
        <x:f>IF(COUNT(I12,I6)&lt;2,"",IFERROR(I12/I6,""))</x:f>
        <x:v>0.301114694007482</x:v>
      </x:c>
      <x:c r="J13" s="262" t="n">
        <x:f>IF(COUNT(J12,J6)&lt;2,"",IFERROR(J12/J6,""))</x:f>
        <x:v>0.3105048993468152</x:v>
      </x:c>
      <x:c r="K13" s="262" t="n">
        <x:f>IF(COUNT(K12,K6)&lt;2,"",IFERROR(K12/K6,""))</x:f>
        <x:v>0.3204252964914027</x:v>
      </x:c>
      <x:c r="L13" s="262" t="n">
        <x:f>IF(COUNT(L12,L6)&lt;2,"",IFERROR(L12/L6,""))</x:f>
        <x:v>0.32974929933276687</x:v>
      </x:c>
      <x:c r="M13" s="262" t="n">
        <x:f>IF(COUNT(M12,M6)&lt;2,"",IFERROR(M12/M6,""))</x:f>
        <x:v>0.3373184905006632</x:v>
      </x:c>
      <x:c r="N13" s="338" t="str">
        <x:v>Formula from stated inputs.</x:v>
      </x:c>
      <x:c r="O13" s="342"/>
      <x:c r="P13" s="342"/>
      <x:c r="Q13" s="342"/>
      <x:c r="R13" s="342"/>
      <x:c r="S13" s="342"/>
      <x:c r="T13" s="342"/>
      <x:c r="U13" s="342"/>
      <x:c r="V13" s="342"/>
      <x:c r="W13" s="342"/>
      <x:c r="X13" s="342"/>
      <x:c r="Y13" s="342"/>
      <x:c r="Z13" s="342"/>
      <x:c r="AA13" s="342"/>
      <x:c r="AB13" s="342"/>
      <x:c r="AC13" s="342"/>
      <x:c r="AD13" s="342"/>
      <x:c r="AE13" s="342"/>
      <x:c r="AF13" s="342"/>
      <x:c r="AG13" s="342"/>
      <x:c r="AH13" s="342"/>
    </x:row>
    <x:row r="14">
      <x:c r="A14" s="341" t="str">
        <x:v>EBIT</x:v>
      </x:c>
      <x:c r="B14" s="342" t="str">
        <x:v>INR m</x:v>
      </x:c>
      <x:c r="C14" s="342" t="str">
        <x:v>Reported / Model</x:v>
      </x:c>
      <x:c r="D14" s="252"/>
      <x:c r="E14" s="252"/>
      <x:c r="F14" s="252" t="n">
        <x:v>4154.339</x:v>
      </x:c>
      <x:c r="G14" s="252" t="n">
        <x:v>2782.225</x:v>
      </x:c>
      <x:c r="H14" s="252" t="n">
        <x:v>5129.245</x:v>
      </x:c>
      <x:c r="I14" s="252" t="n">
        <x:v>6036.8512115</x:v>
      </x:c>
      <x:c r="J14" s="252" t="n">
        <x:v>7124.0600576894</x:v>
      </x:c>
      <x:c r="K14" s="252" t="n">
        <x:v>8418.6462699616</x:v>
      </x:c>
      <x:c r="L14" s="252" t="n">
        <x:v>9780.9263074611</x:v>
      </x:c>
      <x:c r="M14" s="252" t="n">
        <x:v>11096.2656151155</x:v>
      </x:c>
      <x:c r="N14" s="338" t="str">
        <x:v>Historical official / uploaded-model input; FY27E+ hardcoded current model estimate. No external workbook link.</x:v>
      </x:c>
      <x:c r="O14" s="342"/>
      <x:c r="P14" s="342"/>
      <x:c r="Q14" s="342"/>
      <x:c r="R14" s="342"/>
      <x:c r="S14" s="342"/>
      <x:c r="T14" s="342"/>
      <x:c r="U14" s="342"/>
      <x:c r="V14" s="342"/>
      <x:c r="W14" s="342"/>
      <x:c r="X14" s="342"/>
      <x:c r="Y14" s="342"/>
      <x:c r="Z14" s="342"/>
      <x:c r="AA14" s="342"/>
      <x:c r="AB14" s="342"/>
      <x:c r="AC14" s="342"/>
      <x:c r="AD14" s="342"/>
      <x:c r="AE14" s="342"/>
      <x:c r="AF14" s="342"/>
      <x:c r="AG14" s="342"/>
      <x:c r="AH14" s="342"/>
    </x:row>
    <x:row r="15">
      <x:c r="A15" s="341" t="str">
        <x:v>PAT</x:v>
      </x:c>
      <x:c r="B15" s="342" t="str">
        <x:v>INR m</x:v>
      </x:c>
      <x:c r="C15" s="342" t="str">
        <x:v>Reported / Model</x:v>
      </x:c>
      <x:c r="D15" s="252" t="n">
        <x:v>635.3</x:v>
      </x:c>
      <x:c r="E15" s="252" t="n">
        <x:v>1631</x:v>
      </x:c>
      <x:c r="F15" s="252" t="n">
        <x:v>3000.789</x:v>
      </x:c>
      <x:c r="G15" s="252" t="n">
        <x:v>2601.081</x:v>
      </x:c>
      <x:c r="H15" s="252" t="n">
        <x:v>3639.984</x:v>
      </x:c>
      <x:c r="I15" s="252" t="n">
        <x:v>4363.450156993</x:v>
      </x:c>
      <x:c r="J15" s="252" t="n">
        <x:v>5173.420747404</x:v>
      </x:c>
      <x:c r="K15" s="252" t="n">
        <x:v>6172.716225546</x:v>
      </x:c>
      <x:c r="L15" s="252" t="n">
        <x:v>7228.776103483</x:v>
      </x:c>
      <x:c r="M15" s="252" t="n">
        <x:v>8234.033887686</x:v>
      </x:c>
      <x:c r="N15" s="338" t="str">
        <x:v>Historical official / uploaded-model input; FY27E+ hardcoded current model estimate. No external workbook link.</x:v>
      </x:c>
      <x:c r="O15" s="342"/>
      <x:c r="P15" s="342"/>
      <x:c r="Q15" s="342"/>
      <x:c r="R15" s="342"/>
      <x:c r="S15" s="342"/>
      <x:c r="T15" s="342"/>
      <x:c r="U15" s="342"/>
      <x:c r="V15" s="342"/>
      <x:c r="W15" s="342"/>
      <x:c r="X15" s="342"/>
      <x:c r="Y15" s="342"/>
      <x:c r="Z15" s="342"/>
      <x:c r="AA15" s="342"/>
      <x:c r="AB15" s="342"/>
      <x:c r="AC15" s="342"/>
      <x:c r="AD15" s="342"/>
      <x:c r="AE15" s="342"/>
      <x:c r="AF15" s="342"/>
      <x:c r="AG15" s="342"/>
      <x:c r="AH15" s="342"/>
    </x:row>
    <x:row r="16">
      <x:c r="A16" s="341" t="str">
        <x:v>Operating Cash Flow</x:v>
      </x:c>
      <x:c r="B16" s="342" t="str">
        <x:v>INR m</x:v>
      </x:c>
      <x:c r="C16" s="342" t="str">
        <x:v>Reported / Model</x:v>
      </x:c>
      <x:c r="D16" s="252"/>
      <x:c r="E16" s="252"/>
      <x:c r="F16" s="252" t="n">
        <x:v>2611.767</x:v>
      </x:c>
      <x:c r="G16" s="252" t="n">
        <x:v>3173.828</x:v>
      </x:c>
      <x:c r="H16" s="252" t="n">
        <x:v>3466.804</x:v>
      </x:c>
      <x:c r="I16" s="252" t="n">
        <x:v>4042.660386753</x:v>
      </x:c>
      <x:c r="J16" s="252" t="n">
        <x:v>5533.166382041</x:v>
      </x:c>
      <x:c r="K16" s="252" t="n">
        <x:v>6512.870820386</x:v>
      </x:c>
      <x:c r="L16" s="252" t="n">
        <x:v>7656.01441571</x:v>
      </x:c>
      <x:c r="M16" s="252" t="n">
        <x:v>8708.54249124</x:v>
      </x:c>
      <x:c r="N16" s="338" t="str">
        <x:v>Historical official / uploaded-model input; FY27E+ hardcoded current model estimate. No external workbook link.</x:v>
      </x:c>
      <x:c r="O16" s="342"/>
      <x:c r="P16" s="342"/>
      <x:c r="Q16" s="342"/>
      <x:c r="R16" s="342"/>
      <x:c r="S16" s="342"/>
      <x:c r="T16" s="342"/>
      <x:c r="U16" s="342"/>
      <x:c r="V16" s="342"/>
      <x:c r="W16" s="342"/>
      <x:c r="X16" s="342"/>
      <x:c r="Y16" s="342"/>
      <x:c r="Z16" s="342"/>
      <x:c r="AA16" s="342"/>
      <x:c r="AB16" s="342"/>
      <x:c r="AC16" s="342"/>
      <x:c r="AD16" s="342"/>
      <x:c r="AE16" s="342"/>
      <x:c r="AF16" s="342"/>
      <x:c r="AG16" s="342"/>
      <x:c r="AH16" s="342"/>
    </x:row>
    <x:row r="17">
      <x:c r="A17" s="341" t="str">
        <x:v>Free Cash Flow</x:v>
      </x:c>
      <x:c r="B17" s="342" t="str">
        <x:v>INR m</x:v>
      </x:c>
      <x:c r="C17" s="342" t="str">
        <x:v>Reported / Model</x:v>
      </x:c>
      <x:c r="D17" s="252"/>
      <x:c r="E17" s="252"/>
      <x:c r="F17" s="252" t="n">
        <x:v>1175.069</x:v>
      </x:c>
      <x:c r="G17" s="252" t="n">
        <x:v>1109.188</x:v>
      </x:c>
      <x:c r="H17" s="252" t="n">
        <x:v>-504.517</x:v>
      </x:c>
      <x:c r="I17" s="252" t="n">
        <x:v>542.660386753</x:v>
      </x:c>
      <x:c r="J17" s="252" t="n">
        <x:v>2533.166382041</x:v>
      </x:c>
      <x:c r="K17" s="252" t="n">
        <x:v>4012.870820386</x:v>
      </x:c>
      <x:c r="L17" s="252" t="n">
        <x:v>5456.01441571</x:v>
      </x:c>
      <x:c r="M17" s="252" t="n">
        <x:v>6508.54249124</x:v>
      </x:c>
      <x:c r="N17" s="338" t="str">
        <x:v>Historical official / uploaded-model input; FY27E+ hardcoded current model estimate. No external workbook link.</x:v>
      </x:c>
      <x:c r="O17" s="342"/>
      <x:c r="P17" s="342"/>
      <x:c r="Q17" s="342"/>
      <x:c r="R17" s="342"/>
      <x:c r="S17" s="342"/>
      <x:c r="T17" s="342"/>
      <x:c r="U17" s="342"/>
      <x:c r="V17" s="342"/>
      <x:c r="W17" s="342"/>
      <x:c r="X17" s="342"/>
      <x:c r="Y17" s="342"/>
      <x:c r="Z17" s="342"/>
      <x:c r="AA17" s="342"/>
      <x:c r="AB17" s="342"/>
      <x:c r="AC17" s="342"/>
      <x:c r="AD17" s="342"/>
      <x:c r="AE17" s="342"/>
      <x:c r="AF17" s="342"/>
      <x:c r="AG17" s="342"/>
      <x:c r="AH17" s="342"/>
    </x:row>
    <x:row r="18">
      <x:c r="A18" s="341" t="str">
        <x:v>Capex</x:v>
      </x:c>
      <x:c r="B18" s="342" t="str">
        <x:v>INR m</x:v>
      </x:c>
      <x:c r="C18" s="342" t="str">
        <x:v>Reported / Model</x:v>
      </x:c>
      <x:c r="D18" s="252"/>
      <x:c r="E18" s="252"/>
      <x:c r="F18" s="252" t="n">
        <x:v>1436.698</x:v>
      </x:c>
      <x:c r="G18" s="252" t="n">
        <x:v>2064.64</x:v>
      </x:c>
      <x:c r="H18" s="252" t="n">
        <x:v>3971.321</x:v>
      </x:c>
      <x:c r="I18" s="252" t="n">
        <x:v>3500</x:v>
      </x:c>
      <x:c r="J18" s="252" t="n">
        <x:v>3000</x:v>
      </x:c>
      <x:c r="K18" s="252" t="n">
        <x:v>2500</x:v>
      </x:c>
      <x:c r="L18" s="252" t="n">
        <x:v>2200</x:v>
      </x:c>
      <x:c r="M18" s="252" t="n">
        <x:v>2200</x:v>
      </x:c>
      <x:c r="N18" s="338" t="str">
        <x:v>Historical official / uploaded-model input; FY27E+ hardcoded current model estimate. No external workbook link.</x:v>
      </x:c>
      <x:c r="O18" s="342"/>
      <x:c r="P18" s="342"/>
      <x:c r="Q18" s="342"/>
      <x:c r="R18" s="342"/>
      <x:c r="S18" s="342"/>
      <x:c r="T18" s="342"/>
      <x:c r="U18" s="342"/>
      <x:c r="V18" s="342"/>
      <x:c r="W18" s="342"/>
      <x:c r="X18" s="342"/>
      <x:c r="Y18" s="342"/>
      <x:c r="Z18" s="342"/>
      <x:c r="AA18" s="342"/>
      <x:c r="AB18" s="342"/>
      <x:c r="AC18" s="342"/>
      <x:c r="AD18" s="342"/>
      <x:c r="AE18" s="342"/>
      <x:c r="AF18" s="342"/>
      <x:c r="AG18" s="342"/>
      <x:c r="AH18" s="342"/>
    </x:row>
    <x:row r="19">
      <x:c r="A19" s="341" t="str">
        <x:v>Capex / Sales</x:v>
      </x:c>
      <x:c r="B19" s="342" t="str">
        <x:v>%</x:v>
      </x:c>
      <x:c r="C19" s="342" t="str">
        <x:v>Formula</x:v>
      </x:c>
      <x:c r="D19" s="262" t="str">
        <x:f>IF(COUNT(D18,D6)&lt;2,"",IFERROR(D18/D6,""))</x:f>
      </x:c>
      <x:c r="E19" s="262" t="str">
        <x:f>IF(COUNT(E18,E6)&lt;2,"",IFERROR(E18/E6,""))</x:f>
      </x:c>
      <x:c r="F19" s="262" t="n">
        <x:f>IF(COUNT(F18,F6)&lt;2,"",IFERROR(F18/F6,""))</x:f>
        <x:v>0.09217990344419169</x:v>
      </x:c>
      <x:c r="G19" s="262" t="n">
        <x:f>IF(COUNT(G18,G6)&lt;2,"",IFERROR(G18/G6,""))</x:f>
        <x:v>0.13980145273958072</x:v>
      </x:c>
      <x:c r="H19" s="262" t="n">
        <x:f>IF(COUNT(H18,H6)&lt;2,"",IFERROR(H18/H6,""))</x:f>
        <x:v>0.1963099189939779</x:v>
      </x:c>
      <x:c r="I19" s="262" t="n">
        <x:f>IF(COUNT(I18,I6)&lt;2,"",IFERROR(I18/I6,""))</x:f>
        <x:v>0.15066398112597182</x:v>
      </x:c>
      <x:c r="J19" s="262" t="n">
        <x:f>IF(COUNT(J18,J6)&lt;2,"",IFERROR(J18/J6,""))</x:f>
        <x:v>0.11159629533865811</x:v>
      </x:c>
      <x:c r="K19" s="262" t="n">
        <x:f>IF(COUNT(K18,K6)&lt;2,"",IFERROR(K18/K6,""))</x:f>
        <x:v>0.0817923402912092</x:v>
      </x:c>
      <x:c r="L19" s="262" t="n">
        <x:f>IF(COUNT(L18,L6)&lt;2,"",IFERROR(L18/L6,""))</x:f>
        <x:v>0.06454130404697679</x:v>
      </x:c>
      <x:c r="M19" s="262" t="n">
        <x:f>IF(COUNT(M18,M6)&lt;2,"",IFERROR(M18/M6,""))</x:f>
        <x:v>0.05883091582110527</x:v>
      </x:c>
      <x:c r="N19" s="338" t="str">
        <x:v>Formula from stated inputs.</x:v>
      </x:c>
      <x:c r="O19" s="342"/>
      <x:c r="P19" s="342"/>
      <x:c r="Q19" s="342"/>
      <x:c r="R19" s="342"/>
      <x:c r="S19" s="342"/>
      <x:c r="T19" s="342"/>
      <x:c r="U19" s="342"/>
      <x:c r="V19" s="342"/>
      <x:c r="W19" s="342"/>
      <x:c r="X19" s="342"/>
      <x:c r="Y19" s="342"/>
      <x:c r="Z19" s="342"/>
      <x:c r="AA19" s="342"/>
      <x:c r="AB19" s="342"/>
      <x:c r="AC19" s="342"/>
      <x:c r="AD19" s="342"/>
      <x:c r="AE19" s="342"/>
      <x:c r="AF19" s="342"/>
      <x:c r="AG19" s="342"/>
      <x:c r="AH19" s="342"/>
    </x:row>
    <x:row r="20">
      <x:c r="A20" s="341" t="str">
        <x:v>Net PP&amp;E</x:v>
      </x:c>
      <x:c r="B20" s="342" t="str">
        <x:v>INR m</x:v>
      </x:c>
      <x:c r="C20" s="342" t="str">
        <x:v>Reported / Model</x:v>
      </x:c>
      <x:c r="D20" s="252"/>
      <x:c r="E20" s="252"/>
      <x:c r="F20" s="252" t="n">
        <x:v>5227.211</x:v>
      </x:c>
      <x:c r="G20" s="252" t="n">
        <x:v>6737.135</x:v>
      </x:c>
      <x:c r="H20" s="252" t="n">
        <x:v>8922.876</x:v>
      </x:c>
      <x:c r="I20" s="252" t="n">
        <x:v>12664.68154</x:v>
      </x:c>
      <x:c r="J20" s="252" t="n">
        <x:v>14891.5586091</x:v>
      </x:c>
      <x:c r="K20" s="252" t="n">
        <x:v>16091.3386273</x:v>
      </x:c>
      <x:c r="L20" s="252" t="n">
        <x:v>16782.199844</x:v>
      </x:c>
      <x:c r="M20" s="252" t="n">
        <x:v>17414.3378573</x:v>
      </x:c>
      <x:c r="N20" s="338" t="str">
        <x:v>Historical official / uploaded-model input; FY27E+ hardcoded current model estimate. No external workbook link.</x:v>
      </x:c>
      <x:c r="O20" s="342"/>
      <x:c r="P20" s="342"/>
      <x:c r="Q20" s="342"/>
      <x:c r="R20" s="342"/>
      <x:c r="S20" s="342"/>
      <x:c r="T20" s="342"/>
      <x:c r="U20" s="342"/>
      <x:c r="V20" s="342"/>
      <x:c r="W20" s="342"/>
      <x:c r="X20" s="342"/>
      <x:c r="Y20" s="342"/>
      <x:c r="Z20" s="342"/>
      <x:c r="AA20" s="342"/>
      <x:c r="AB20" s="342"/>
      <x:c r="AC20" s="342"/>
      <x:c r="AD20" s="342"/>
      <x:c r="AE20" s="342"/>
      <x:c r="AF20" s="342"/>
      <x:c r="AG20" s="342"/>
      <x:c r="AH20" s="342"/>
    </x:row>
    <x:row r="21">
      <x:c r="A21" s="341" t="str">
        <x:v>CWIP</x:v>
      </x:c>
      <x:c r="B21" s="342" t="str">
        <x:v>INR m</x:v>
      </x:c>
      <x:c r="C21" s="342" t="str">
        <x:v>Reported / Model</x:v>
      </x:c>
      <x:c r="D21" s="252"/>
      <x:c r="E21" s="252"/>
      <x:c r="F21" s="252" t="n">
        <x:v>458.913</x:v>
      </x:c>
      <x:c r="G21" s="252" t="n">
        <x:v>445.529</x:v>
      </x:c>
      <x:c r="H21" s="252" t="n">
        <x:v>2094.99</x:v>
      </x:c>
      <x:c r="I21" s="252" t="n">
        <x:v>894.99</x:v>
      </x:c>
      <x:c r="J21" s="252" t="n">
        <x:v>444.99</x:v>
      </x:c>
      <x:c r="K21" s="252" t="n">
        <x:v>369.99</x:v>
      </x:c>
      <x:c r="L21" s="252" t="n">
        <x:v>419.99</x:v>
      </x:c>
      <x:c r="M21" s="252" t="n">
        <x:v>469.99</x:v>
      </x:c>
      <x:c r="N21" s="338" t="str">
        <x:v>Historical official / uploaded-model input; FY27E+ hardcoded current model estimate. No external workbook link.</x:v>
      </x:c>
      <x:c r="O21" s="342"/>
      <x:c r="P21" s="342"/>
      <x:c r="Q21" s="342"/>
      <x:c r="R21" s="342"/>
      <x:c r="S21" s="342"/>
      <x:c r="T21" s="342"/>
      <x:c r="U21" s="342"/>
      <x:c r="V21" s="342"/>
      <x:c r="W21" s="342"/>
      <x:c r="X21" s="342"/>
      <x:c r="Y21" s="342"/>
      <x:c r="Z21" s="342"/>
      <x:c r="AA21" s="342"/>
      <x:c r="AB21" s="342"/>
      <x:c r="AC21" s="342"/>
      <x:c r="AD21" s="342"/>
      <x:c r="AE21" s="342"/>
      <x:c r="AF21" s="342"/>
      <x:c r="AG21" s="342"/>
      <x:c r="AH21" s="342"/>
    </x:row>
    <x:row r="22">
      <x:c r="A22" s="382" t="str">
        <x:v>Net PP&amp;E + CWIP</x:v>
      </x:c>
      <x:c r="B22" s="383" t="str">
        <x:v>INR m</x:v>
      </x:c>
      <x:c r="C22" s="383" t="str">
        <x:v>Formula</x:v>
      </x:c>
      <x:c r="D22" s="385" t="str">
        <x:f>IF(COUNT(D20,D21)&lt;2,"",SUM(D20,D21))</x:f>
      </x:c>
      <x:c r="E22" s="385" t="str">
        <x:f>IF(COUNT(E20,E21)&lt;2,"",SUM(E20,E21))</x:f>
      </x:c>
      <x:c r="F22" s="385" t="n">
        <x:f>IF(COUNT(F20,F21)&lt;2,"",SUM(F20,F21))</x:f>
        <x:v>5686.124</x:v>
      </x:c>
      <x:c r="G22" s="385" t="n">
        <x:f>IF(COUNT(G20,G21)&lt;2,"",SUM(G20,G21))</x:f>
        <x:v>7182.664000000001</x:v>
      </x:c>
      <x:c r="H22" s="385" t="n">
        <x:f>IF(COUNT(H20,H21)&lt;2,"",SUM(H20,H21))</x:f>
        <x:v>11017.866</x:v>
      </x:c>
      <x:c r="I22" s="385" t="n">
        <x:f>IF(COUNT(I20,I21)&lt;2,"",SUM(I20,I21))</x:f>
        <x:v>13559.67154</x:v>
      </x:c>
      <x:c r="J22" s="385" t="n">
        <x:f>IF(COUNT(J20,J21)&lt;2,"",SUM(J20,J21))</x:f>
        <x:v>15336.5486091</x:v>
      </x:c>
      <x:c r="K22" s="385" t="n">
        <x:f>IF(COUNT(K20,K21)&lt;2,"",SUM(K20,K21))</x:f>
        <x:v>16461.3286273</x:v>
      </x:c>
      <x:c r="L22" s="385" t="n">
        <x:f>IF(COUNT(L20,L21)&lt;2,"",SUM(L20,L21))</x:f>
        <x:v>17202.189844</x:v>
      </x:c>
      <x:c r="M22" s="385" t="n">
        <x:f>IF(COUNT(M20,M21)&lt;2,"",SUM(M20,M21))</x:f>
        <x:v>17884.327857300003</x:v>
      </x:c>
      <x:c r="N22" s="338" t="str">
        <x:v>Formula from stated inputs.</x:v>
      </x:c>
      <x:c r="O22" s="342"/>
      <x:c r="P22" s="342"/>
      <x:c r="Q22" s="342"/>
      <x:c r="R22" s="342"/>
      <x:c r="S22" s="342"/>
      <x:c r="T22" s="342"/>
      <x:c r="U22" s="342"/>
      <x:c r="V22" s="342"/>
      <x:c r="W22" s="342"/>
      <x:c r="X22" s="342"/>
      <x:c r="Y22" s="342"/>
      <x:c r="Z22" s="342"/>
      <x:c r="AA22" s="342"/>
      <x:c r="AB22" s="342"/>
      <x:c r="AC22" s="342"/>
      <x:c r="AD22" s="342"/>
      <x:c r="AE22" s="342"/>
      <x:c r="AF22" s="342"/>
      <x:c r="AG22" s="342"/>
      <x:c r="AH22" s="342"/>
    </x:row>
    <x:row r="23">
      <x:c r="A23" s="341" t="str">
        <x:v>Gross Block</x:v>
      </x:c>
      <x:c r="B23" s="342" t="str">
        <x:v>INR m</x:v>
      </x:c>
      <x:c r="C23" s="342" t="str">
        <x:v>Not reliably available</x:v>
      </x:c>
      <x:c r="D23" s="260" t="str">
        <x:v>NA</x:v>
      </x:c>
      <x:c r="E23" s="260" t="str">
        <x:v>NA</x:v>
      </x:c>
      <x:c r="F23" s="260" t="str">
        <x:v>NA</x:v>
      </x:c>
      <x:c r="G23" s="260" t="str">
        <x:v>NA</x:v>
      </x:c>
      <x:c r="H23" s="260" t="str">
        <x:v>NA</x:v>
      </x:c>
      <x:c r="I23" s="260" t="str">
        <x:v>NA</x:v>
      </x:c>
      <x:c r="J23" s="260" t="str">
        <x:v>NA</x:v>
      </x:c>
      <x:c r="K23" s="260" t="str">
        <x:v>NA</x:v>
      </x:c>
      <x:c r="L23" s="260" t="str">
        <x:v>NA</x:v>
      </x:c>
      <x:c r="M23" s="260" t="str">
        <x:v>NA</x:v>
      </x:c>
      <x:c r="N23" s="338" t="str">
        <x:v>NA where a reliable comparable gross-block series is unavailable.</x:v>
      </x:c>
      <x:c r="O23" s="342"/>
      <x:c r="P23" s="342"/>
      <x:c r="Q23" s="342"/>
      <x:c r="R23" s="342"/>
      <x:c r="S23" s="342"/>
      <x:c r="T23" s="342"/>
      <x:c r="U23" s="342"/>
      <x:c r="V23" s="342"/>
      <x:c r="W23" s="342"/>
      <x:c r="X23" s="342"/>
      <x:c r="Y23" s="342"/>
      <x:c r="Z23" s="342"/>
      <x:c r="AA23" s="342"/>
      <x:c r="AB23" s="342"/>
      <x:c r="AC23" s="342"/>
      <x:c r="AD23" s="342"/>
      <x:c r="AE23" s="342"/>
      <x:c r="AF23" s="342"/>
      <x:c r="AG23" s="342"/>
      <x:c r="AH23" s="342"/>
    </x:row>
    <x:row r="24">
      <x:c r="A24" s="341" t="str">
        <x:v>Total Assets</x:v>
      </x:c>
      <x:c r="B24" s="342" t="str">
        <x:v>INR m</x:v>
      </x:c>
      <x:c r="C24" s="342" t="str">
        <x:v>Reported / Model</x:v>
      </x:c>
      <x:c r="D24" s="252"/>
      <x:c r="E24" s="252"/>
      <x:c r="F24" s="252" t="n">
        <x:v>18325.61</x:v>
      </x:c>
      <x:c r="G24" s="252" t="n">
        <x:v>21798.816</x:v>
      </x:c>
      <x:c r="H24" s="252" t="n">
        <x:v>29301.377</x:v>
      </x:c>
      <x:c r="I24" s="252" t="n">
        <x:v>33289.6860471</x:v>
      </x:c>
      <x:c r="J24" s="252" t="n">
        <x:v>37790.5754879</x:v>
      </x:c>
      <x:c r="K24" s="252" t="n">
        <x:v>42236.4410736</x:v>
      </x:c>
      <x:c r="L24" s="252" t="n">
        <x:v>47726.8905754</x:v>
      </x:c>
      <x:c r="M24" s="252" t="n">
        <x:v>53849.2080632</x:v>
      </x:c>
      <x:c r="N24" s="338" t="str">
        <x:v>Historical official / uploaded-model input; FY27E+ hardcoded current model estimate. No external workbook link.</x:v>
      </x:c>
      <x:c r="O24" s="342"/>
      <x:c r="P24" s="342"/>
      <x:c r="Q24" s="342"/>
      <x:c r="R24" s="342"/>
      <x:c r="S24" s="342"/>
      <x:c r="T24" s="342"/>
      <x:c r="U24" s="342"/>
      <x:c r="V24" s="342"/>
      <x:c r="W24" s="342"/>
      <x:c r="X24" s="342"/>
      <x:c r="Y24" s="342"/>
      <x:c r="Z24" s="342"/>
      <x:c r="AA24" s="342"/>
      <x:c r="AB24" s="342"/>
      <x:c r="AC24" s="342"/>
      <x:c r="AD24" s="342"/>
      <x:c r="AE24" s="342"/>
      <x:c r="AF24" s="342"/>
      <x:c r="AG24" s="342"/>
      <x:c r="AH24" s="342"/>
    </x:row>
    <x:row r="25">
      <x:c r="A25" s="341" t="str">
        <x:v>Gross Debt</x:v>
      </x:c>
      <x:c r="B25" s="342" t="str">
        <x:v>INR m</x:v>
      </x:c>
      <x:c r="C25" s="342" t="str">
        <x:v>Reported / Model</x:v>
      </x:c>
      <x:c r="D25" s="252"/>
      <x:c r="E25" s="252"/>
      <x:c r="F25" s="252" t="n">
        <x:v>825.07</x:v>
      </x:c>
      <x:c r="G25" s="252" t="n">
        <x:v>1360.101</x:v>
      </x:c>
      <x:c r="H25" s="252" t="n">
        <x:v>1966.131</x:v>
      </x:c>
      <x:c r="I25" s="252" t="n">
        <x:v>2266.131</x:v>
      </x:c>
      <x:c r="J25" s="252" t="n">
        <x:v>1966.131</x:v>
      </x:c>
      <x:c r="K25" s="252" t="n">
        <x:v>1166.131</x:v>
      </x:c>
      <x:c r="L25" s="252" t="n">
        <x:v>666.131</x:v>
      </x:c>
      <x:c r="M25" s="252" t="n">
        <x:v>366.131</x:v>
      </x:c>
      <x:c r="N25" s="338" t="str">
        <x:v>Historical official / uploaded-model input; FY27E+ hardcoded current model estimate. No external workbook link.</x:v>
      </x:c>
      <x:c r="O25" s="342"/>
      <x:c r="P25" s="342"/>
      <x:c r="Q25" s="342"/>
      <x:c r="R25" s="342"/>
      <x:c r="S25" s="342"/>
      <x:c r="T25" s="342"/>
      <x:c r="U25" s="342"/>
      <x:c r="V25" s="342"/>
      <x:c r="W25" s="342"/>
      <x:c r="X25" s="342"/>
      <x:c r="Y25" s="342"/>
      <x:c r="Z25" s="342"/>
      <x:c r="AA25" s="342"/>
      <x:c r="AB25" s="342"/>
      <x:c r="AC25" s="342"/>
      <x:c r="AD25" s="342"/>
      <x:c r="AE25" s="342"/>
      <x:c r="AF25" s="342"/>
      <x:c r="AG25" s="342"/>
      <x:c r="AH25" s="342"/>
    </x:row>
    <x:row r="26">
      <x:c r="A26" s="341" t="str">
        <x:v>Cash &amp; Liquid Investments</x:v>
      </x:c>
      <x:c r="B26" s="342" t="str">
        <x:v>INR m</x:v>
      </x:c>
      <x:c r="C26" s="342" t="str">
        <x:v>Reported / Model</x:v>
      </x:c>
      <x:c r="D26" s="252"/>
      <x:c r="E26" s="252"/>
      <x:c r="F26" s="252" t="n">
        <x:v>1167.954</x:v>
      </x:c>
      <x:c r="G26" s="252" t="n">
        <x:v>3665.017</x:v>
      </x:c>
      <x:c r="H26" s="252" t="n">
        <x:v>3549.649</x:v>
      </x:c>
      <x:c r="I26" s="252" t="n">
        <x:v>3625.1232608</x:v>
      </x:c>
      <x:c r="J26" s="252" t="n">
        <x:v>4751.8095532</x:v>
      </x:c>
      <x:c r="K26" s="252" t="n">
        <x:v>6500.1598657</x:v>
      </x:c>
      <x:c r="L26" s="252" t="n">
        <x:v>9847.0212416</x:v>
      </x:c>
      <x:c r="M26" s="252" t="n">
        <x:v>13948.1938057</x:v>
      </x:c>
      <x:c r="N26" s="338" t="str">
        <x:v>Model liquidity proxy used in capital employed; includes cash/investments, so calculated ROCE can differ from company-reported ROCE.</x:v>
      </x:c>
      <x:c r="O26" s="342"/>
      <x:c r="P26" s="342"/>
      <x:c r="Q26" s="342"/>
      <x:c r="R26" s="342"/>
      <x:c r="S26" s="342"/>
      <x:c r="T26" s="342"/>
      <x:c r="U26" s="342"/>
      <x:c r="V26" s="342"/>
      <x:c r="W26" s="342"/>
      <x:c r="X26" s="342"/>
      <x:c r="Y26" s="342"/>
      <x:c r="Z26" s="342"/>
      <x:c r="AA26" s="342"/>
      <x:c r="AB26" s="342"/>
      <x:c r="AC26" s="342"/>
      <x:c r="AD26" s="342"/>
      <x:c r="AE26" s="342"/>
      <x:c r="AF26" s="342"/>
      <x:c r="AG26" s="342"/>
      <x:c r="AH26" s="342"/>
    </x:row>
    <x:row r="27">
      <x:c r="A27" s="341" t="str">
        <x:v>Net Debt / (Cash)</x:v>
      </x:c>
      <x:c r="B27" s="342" t="str">
        <x:v>INR m</x:v>
      </x:c>
      <x:c r="C27" s="342" t="str">
        <x:v>Formula</x:v>
      </x:c>
      <x:c r="D27" s="260" t="str">
        <x:f>IF(COUNT(D25,D26)&lt;2,"",D25-D26)</x:f>
      </x:c>
      <x:c r="E27" s="260" t="str">
        <x:f>IF(COUNT(E25,E26)&lt;2,"",E25-E26)</x:f>
      </x:c>
      <x:c r="F27" s="260" t="n">
        <x:f>IF(COUNT(F25,F26)&lt;2,"",F25-F26)</x:f>
        <x:v>-342.8839999999999</x:v>
      </x:c>
      <x:c r="G27" s="260" t="n">
        <x:f>IF(COUNT(G25,G26)&lt;2,"",G25-G26)</x:f>
        <x:v>-2304.9159999999997</x:v>
      </x:c>
      <x:c r="H27" s="260" t="n">
        <x:f>IF(COUNT(H25,H26)&lt;2,"",H25-H26)</x:f>
        <x:v>-1583.5179999999998</x:v>
      </x:c>
      <x:c r="I27" s="260" t="n">
        <x:f>IF(COUNT(I25,I26)&lt;2,"",I25-I26)</x:f>
        <x:v>-1358.9922608000002</x:v>
      </x:c>
      <x:c r="J27" s="260" t="n">
        <x:f>IF(COUNT(J25,J26)&lt;2,"",J25-J26)</x:f>
        <x:v>-2785.6785531999994</x:v>
      </x:c>
      <x:c r="K27" s="260" t="n">
        <x:f>IF(COUNT(K25,K26)&lt;2,"",K25-K26)</x:f>
        <x:v>-5334.0288657</x:v>
      </x:c>
      <x:c r="L27" s="260" t="n">
        <x:f>IF(COUNT(L25,L26)&lt;2,"",L25-L26)</x:f>
        <x:v>-9180.8902416</x:v>
      </x:c>
      <x:c r="M27" s="260" t="n">
        <x:f>IF(COUNT(M25,M26)&lt;2,"",M25-M26)</x:f>
        <x:v>-13582.062805700001</x:v>
      </x:c>
      <x:c r="N27" s="338" t="str">
        <x:v>Formula from stated inputs.</x:v>
      </x:c>
      <x:c r="O27" s="342"/>
      <x:c r="P27" s="342"/>
      <x:c r="Q27" s="342"/>
      <x:c r="R27" s="342"/>
      <x:c r="S27" s="342"/>
      <x:c r="T27" s="342"/>
      <x:c r="U27" s="342"/>
      <x:c r="V27" s="342"/>
      <x:c r="W27" s="342"/>
      <x:c r="X27" s="342"/>
      <x:c r="Y27" s="342"/>
      <x:c r="Z27" s="342"/>
      <x:c r="AA27" s="342"/>
      <x:c r="AB27" s="342"/>
      <x:c r="AC27" s="342"/>
      <x:c r="AD27" s="342"/>
      <x:c r="AE27" s="342"/>
      <x:c r="AF27" s="342"/>
      <x:c r="AG27" s="342"/>
      <x:c r="AH27" s="342"/>
    </x:row>
    <x:row r="28">
      <x:c r="A28" s="341" t="str">
        <x:v>Total Equity</x:v>
      </x:c>
      <x:c r="B28" s="342" t="str">
        <x:v>INR m</x:v>
      </x:c>
      <x:c r="C28" s="342" t="str">
        <x:v>Reported / Model</x:v>
      </x:c>
      <x:c r="D28" s="252"/>
      <x:c r="E28" s="252"/>
      <x:c r="F28" s="252" t="n">
        <x:v>12827.048</x:v>
      </x:c>
      <x:c r="G28" s="252" t="n">
        <x:v>15248.063</x:v>
      </x:c>
      <x:c r="H28" s="252" t="n">
        <x:v>18744.729</x:v>
      </x:c>
      <x:c r="I28" s="252" t="n">
        <x:v>22380.182357</x:v>
      </x:c>
      <x:c r="J28" s="252" t="n">
        <x:v>26462.7405651</x:v>
      </x:c>
      <x:c r="K28" s="252" t="n">
        <x:v>31083.4305665</x:v>
      </x:c>
      <x:c r="L28" s="252" t="n">
        <x:v>36460.3918023</x:v>
      </x:c>
      <x:c r="M28" s="252" t="n">
        <x:v>42164.3540538</x:v>
      </x:c>
      <x:c r="N28" s="338" t="str">
        <x:v>Historical official / uploaded-model input; FY27E+ hardcoded current model estimate. No external workbook link.</x:v>
      </x:c>
      <x:c r="O28" s="342"/>
      <x:c r="P28" s="342"/>
      <x:c r="Q28" s="342"/>
      <x:c r="R28" s="342"/>
      <x:c r="S28" s="342"/>
      <x:c r="T28" s="342"/>
      <x:c r="U28" s="342"/>
      <x:c r="V28" s="342"/>
      <x:c r="W28" s="342"/>
      <x:c r="X28" s="342"/>
      <x:c r="Y28" s="342"/>
      <x:c r="Z28" s="342"/>
      <x:c r="AA28" s="342"/>
      <x:c r="AB28" s="342"/>
      <x:c r="AC28" s="342"/>
      <x:c r="AD28" s="342"/>
      <x:c r="AE28" s="342"/>
      <x:c r="AF28" s="342"/>
      <x:c r="AG28" s="342"/>
      <x:c r="AH28" s="342"/>
    </x:row>
    <x:row r="29">
      <x:c r="A29" s="382" t="str">
        <x:v>Capital Employed</x:v>
      </x:c>
      <x:c r="B29" s="383" t="str">
        <x:v>INR m</x:v>
      </x:c>
      <x:c r="C29" s="383" t="str">
        <x:v>Formula</x:v>
      </x:c>
      <x:c r="D29" s="385" t="str">
        <x:f>IF(COUNT(D28,D25,D26)&lt;3,"",D28+D25-D26)</x:f>
      </x:c>
      <x:c r="E29" s="385" t="str">
        <x:f>IF(COUNT(E28,E25,E26)&lt;3,"",E28+E25-E26)</x:f>
      </x:c>
      <x:c r="F29" s="385" t="n">
        <x:f>IF(COUNT(F28,F25,F26)&lt;3,"",F28+F25-F26)</x:f>
        <x:v>12484.164</x:v>
      </x:c>
      <x:c r="G29" s="385" t="n">
        <x:f>IF(COUNT(G28,G25,G26)&lt;3,"",G28+G25-G26)</x:f>
        <x:v>12943.147</x:v>
      </x:c>
      <x:c r="H29" s="385" t="n">
        <x:f>IF(COUNT(H28,H25,H26)&lt;3,"",H28+H25-H26)</x:f>
        <x:v>17161.211</x:v>
      </x:c>
      <x:c r="I29" s="385" t="n">
        <x:f>IF(COUNT(I28,I25,I26)&lt;3,"",I28+I25-I26)</x:f>
        <x:v>21021.190096200004</x:v>
      </x:c>
      <x:c r="J29" s="385" t="n">
        <x:f>IF(COUNT(J28,J25,J26)&lt;3,"",J28+J25-J26)</x:f>
        <x:v>23677.0620119</x:v>
      </x:c>
      <x:c r="K29" s="385" t="n">
        <x:f>IF(COUNT(K28,K25,K26)&lt;3,"",K28+K25-K26)</x:f>
        <x:v>25749.4017008</x:v>
      </x:c>
      <x:c r="L29" s="385" t="n">
        <x:f>IF(COUNT(L28,L25,L26)&lt;3,"",L28+L25-L26)</x:f>
        <x:v>27279.501560700002</x:v>
      </x:c>
      <x:c r="M29" s="385" t="n">
        <x:f>IF(COUNT(M28,M25,M26)&lt;3,"",M28+M25-M26)</x:f>
        <x:v>28582.291248100002</x:v>
      </x:c>
      <x:c r="N29" s="338" t="str">
        <x:v>Formula from stated inputs.</x:v>
      </x:c>
      <x:c r="O29" s="342"/>
      <x:c r="P29" s="342"/>
      <x:c r="Q29" s="342"/>
      <x:c r="R29" s="342"/>
      <x:c r="S29" s="342"/>
      <x:c r="T29" s="342"/>
      <x:c r="U29" s="342"/>
      <x:c r="V29" s="342"/>
      <x:c r="W29" s="342"/>
      <x:c r="X29" s="342"/>
      <x:c r="Y29" s="342"/>
      <x:c r="Z29" s="342"/>
      <x:c r="AA29" s="342"/>
      <x:c r="AB29" s="342"/>
      <x:c r="AC29" s="342"/>
      <x:c r="AD29" s="342"/>
      <x:c r="AE29" s="342"/>
      <x:c r="AF29" s="342"/>
      <x:c r="AG29" s="342"/>
      <x:c r="AH29" s="342"/>
    </x:row>
    <x:row r="30">
      <x:c r="A30" s="382" t="str">
        <x:v>Average Capital Employed</x:v>
      </x:c>
      <x:c r="B30" s="383" t="str">
        <x:v>INR m</x:v>
      </x:c>
      <x:c r="C30" s="383" t="str">
        <x:v>Formula</x:v>
      </x:c>
      <x:c r="D30" s="385"/>
      <x:c r="E30" s="385" t="str">
        <x:f>IF(COUNT(D29,E29)&lt;2,"",AVERAGE(D29,E29))</x:f>
      </x:c>
      <x:c r="F30" s="385" t="str">
        <x:f>IF(COUNT(E29,F29)&lt;2,"",AVERAGE(E29,F29))</x:f>
      </x:c>
      <x:c r="G30" s="385" t="n">
        <x:f>IF(COUNT(F29,G29)&lt;2,"",AVERAGE(F29,G29))</x:f>
        <x:v>12713.6555</x:v>
      </x:c>
      <x:c r="H30" s="385" t="n">
        <x:f>IF(COUNT(G29,H29)&lt;2,"",AVERAGE(G29,H29))</x:f>
        <x:v>15052.179</x:v>
      </x:c>
      <x:c r="I30" s="385" t="n">
        <x:f>IF(COUNT(H29,I29)&lt;2,"",AVERAGE(H29,I29))</x:f>
        <x:v>19091.2005481</x:v>
      </x:c>
      <x:c r="J30" s="385" t="n">
        <x:f>IF(COUNT(I29,J29)&lt;2,"",AVERAGE(I29,J29))</x:f>
        <x:v>22349.12605405</x:v>
      </x:c>
      <x:c r="K30" s="385" t="n">
        <x:f>IF(COUNT(J29,K29)&lt;2,"",AVERAGE(J29,K29))</x:f>
        <x:v>24713.23185635</x:v>
      </x:c>
      <x:c r="L30" s="385" t="n">
        <x:f>IF(COUNT(K29,L29)&lt;2,"",AVERAGE(K29,L29))</x:f>
        <x:v>26514.45163075</x:v>
      </x:c>
      <x:c r="M30" s="385" t="n">
        <x:f>IF(COUNT(L29,M29)&lt;2,"",AVERAGE(L29,M29))</x:f>
        <x:v>27930.896404400002</x:v>
      </x:c>
      <x:c r="N30" s="338" t="str">
        <x:v>Formula from stated inputs.</x:v>
      </x:c>
      <x:c r="O30" s="342"/>
      <x:c r="P30" s="342"/>
      <x:c r="Q30" s="342"/>
      <x:c r="R30" s="342"/>
      <x:c r="S30" s="342"/>
      <x:c r="T30" s="342"/>
      <x:c r="U30" s="342"/>
      <x:c r="V30" s="342"/>
      <x:c r="W30" s="342"/>
      <x:c r="X30" s="342"/>
      <x:c r="Y30" s="342"/>
      <x:c r="Z30" s="342"/>
      <x:c r="AA30" s="342"/>
      <x:c r="AB30" s="342"/>
      <x:c r="AC30" s="342"/>
      <x:c r="AD30" s="342"/>
      <x:c r="AE30" s="342"/>
      <x:c r="AF30" s="342"/>
      <x:c r="AG30" s="342"/>
      <x:c r="AH30" s="342"/>
    </x:row>
    <x:row r="31">
      <x:c r="A31" s="341" t="str">
        <x:v>Average Net PP&amp;E</x:v>
      </x:c>
      <x:c r="B31" s="342" t="str">
        <x:v>INR m</x:v>
      </x:c>
      <x:c r="C31" s="342" t="str">
        <x:v>Formula</x:v>
      </x:c>
      <x:c r="D31" s="260"/>
      <x:c r="E31" s="260" t="str">
        <x:f>IF(COUNT(D20,E20)&lt;2,"",AVERAGE(D20,E20))</x:f>
      </x:c>
      <x:c r="F31" s="260" t="str">
        <x:f>IF(COUNT(E20,F20)&lt;2,"",AVERAGE(E20,F20))</x:f>
      </x:c>
      <x:c r="G31" s="260" t="n">
        <x:f>IF(COUNT(F20,G20)&lt;2,"",AVERAGE(F20,G20))</x:f>
        <x:v>5982.173000000001</x:v>
      </x:c>
      <x:c r="H31" s="260" t="n">
        <x:f>IF(COUNT(G20,H20)&lt;2,"",AVERAGE(G20,H20))</x:f>
        <x:v>7830.0055</x:v>
      </x:c>
      <x:c r="I31" s="260" t="n">
        <x:f>IF(COUNT(H20,I20)&lt;2,"",AVERAGE(H20,I20))</x:f>
        <x:v>10793.77877</x:v>
      </x:c>
      <x:c r="J31" s="260" t="n">
        <x:f>IF(COUNT(I20,J20)&lt;2,"",AVERAGE(I20,J20))</x:f>
        <x:v>13778.12007455</x:v>
      </x:c>
      <x:c r="K31" s="260" t="n">
        <x:f>IF(COUNT(J20,K20)&lt;2,"",AVERAGE(J20,K20))</x:f>
        <x:v>15491.4486182</x:v>
      </x:c>
      <x:c r="L31" s="260" t="n">
        <x:f>IF(COUNT(K20,L20)&lt;2,"",AVERAGE(K20,L20))</x:f>
        <x:v>16436.769235649997</x:v>
      </x:c>
      <x:c r="M31" s="260" t="n">
        <x:f>IF(COUNT(L20,M20)&lt;2,"",AVERAGE(L20,M20))</x:f>
        <x:v>17098.268850649998</x:v>
      </x:c>
      <x:c r="N31" s="338" t="str">
        <x:v>Formula from stated inputs.</x:v>
      </x:c>
      <x:c r="O31" s="342"/>
      <x:c r="P31" s="342"/>
      <x:c r="Q31" s="342"/>
      <x:c r="R31" s="342"/>
      <x:c r="S31" s="342"/>
      <x:c r="T31" s="342"/>
      <x:c r="U31" s="342"/>
      <x:c r="V31" s="342"/>
      <x:c r="W31" s="342"/>
      <x:c r="X31" s="342"/>
      <x:c r="Y31" s="342"/>
      <x:c r="Z31" s="342"/>
      <x:c r="AA31" s="342"/>
      <x:c r="AB31" s="342"/>
      <x:c r="AC31" s="342"/>
      <x:c r="AD31" s="342"/>
      <x:c r="AE31" s="342"/>
      <x:c r="AF31" s="342"/>
      <x:c r="AG31" s="342"/>
      <x:c r="AH31" s="342"/>
    </x:row>
    <x:row r="32">
      <x:c r="A32" s="341" t="str">
        <x:v>Average Net PP&amp;E + CWIP</x:v>
      </x:c>
      <x:c r="B32" s="342" t="str">
        <x:v>INR m</x:v>
      </x:c>
      <x:c r="C32" s="342" t="str">
        <x:v>Formula</x:v>
      </x:c>
      <x:c r="D32" s="260"/>
      <x:c r="E32" s="260" t="str">
        <x:f>IF(COUNT(D22,E22)&lt;2,"",AVERAGE(D22,E22))</x:f>
      </x:c>
      <x:c r="F32" s="260" t="str">
        <x:f>IF(COUNT(E22,F22)&lt;2,"",AVERAGE(E22,F22))</x:f>
      </x:c>
      <x:c r="G32" s="260" t="n">
        <x:f>IF(COUNT(F22,G22)&lt;2,"",AVERAGE(F22,G22))</x:f>
        <x:v>6434.394</x:v>
      </x:c>
      <x:c r="H32" s="260" t="n">
        <x:f>IF(COUNT(G22,H22)&lt;2,"",AVERAGE(G22,H22))</x:f>
        <x:v>9100.265</x:v>
      </x:c>
      <x:c r="I32" s="260" t="n">
        <x:f>IF(COUNT(H22,I22)&lt;2,"",AVERAGE(H22,I22))</x:f>
        <x:v>12288.768769999999</x:v>
      </x:c>
      <x:c r="J32" s="260" t="n">
        <x:f>IF(COUNT(I22,J22)&lt;2,"",AVERAGE(I22,J22))</x:f>
        <x:v>14448.11007455</x:v>
      </x:c>
      <x:c r="K32" s="260" t="n">
        <x:f>IF(COUNT(J22,K22)&lt;2,"",AVERAGE(J22,K22))</x:f>
        <x:v>15898.938618200002</x:v>
      </x:c>
      <x:c r="L32" s="260" t="n">
        <x:f>IF(COUNT(K22,L22)&lt;2,"",AVERAGE(K22,L22))</x:f>
        <x:v>16831.759235650003</x:v>
      </x:c>
      <x:c r="M32" s="260" t="n">
        <x:f>IF(COUNT(L22,M22)&lt;2,"",AVERAGE(L22,M22))</x:f>
        <x:v>17543.258850650003</x:v>
      </x:c>
      <x:c r="N32" s="338" t="str">
        <x:v>Formula from stated inputs.</x:v>
      </x:c>
      <x:c r="O32" s="342"/>
      <x:c r="P32" s="342"/>
      <x:c r="Q32" s="342"/>
      <x:c r="R32" s="342"/>
      <x:c r="S32" s="342"/>
      <x:c r="T32" s="342"/>
      <x:c r="U32" s="342"/>
      <x:c r="V32" s="342"/>
      <x:c r="W32" s="342"/>
      <x:c r="X32" s="342"/>
      <x:c r="Y32" s="342"/>
      <x:c r="Z32" s="342"/>
      <x:c r="AA32" s="342"/>
      <x:c r="AB32" s="342"/>
      <x:c r="AC32" s="342"/>
      <x:c r="AD32" s="342"/>
      <x:c r="AE32" s="342"/>
      <x:c r="AF32" s="342"/>
      <x:c r="AG32" s="342"/>
      <x:c r="AH32" s="342"/>
    </x:row>
    <x:row r="33">
      <x:c r="A33" s="341" t="str">
        <x:v>Average Total Assets</x:v>
      </x:c>
      <x:c r="B33" s="342" t="str">
        <x:v>INR m</x:v>
      </x:c>
      <x:c r="C33" s="342" t="str">
        <x:v>Formula</x:v>
      </x:c>
      <x:c r="D33" s="260"/>
      <x:c r="E33" s="260" t="str">
        <x:f>IF(COUNT(D24,E24)&lt;2,"",AVERAGE(D24,E24))</x:f>
      </x:c>
      <x:c r="F33" s="260" t="str">
        <x:f>IF(COUNT(E24,F24)&lt;2,"",AVERAGE(E24,F24))</x:f>
      </x:c>
      <x:c r="G33" s="260" t="n">
        <x:f>IF(COUNT(F24,G24)&lt;2,"",AVERAGE(F24,G24))</x:f>
        <x:v>20062.213</x:v>
      </x:c>
      <x:c r="H33" s="260" t="n">
        <x:f>IF(COUNT(G24,H24)&lt;2,"",AVERAGE(G24,H24))</x:f>
        <x:v>25550.0965</x:v>
      </x:c>
      <x:c r="I33" s="260" t="n">
        <x:f>IF(COUNT(H24,I24)&lt;2,"",AVERAGE(H24,I24))</x:f>
        <x:v>31295.531523550002</x:v>
      </x:c>
      <x:c r="J33" s="260" t="n">
        <x:f>IF(COUNT(I24,J24)&lt;2,"",AVERAGE(I24,J24))</x:f>
        <x:v>35540.1307675</x:v>
      </x:c>
      <x:c r="K33" s="260" t="n">
        <x:f>IF(COUNT(J24,K24)&lt;2,"",AVERAGE(J24,K24))</x:f>
        <x:v>40013.50828075</x:v>
      </x:c>
      <x:c r="L33" s="260" t="n">
        <x:f>IF(COUNT(K24,L24)&lt;2,"",AVERAGE(K24,L24))</x:f>
        <x:v>44981.6658245</x:v>
      </x:c>
      <x:c r="M33" s="260" t="n">
        <x:f>IF(COUNT(L24,M24)&lt;2,"",AVERAGE(L24,M24))</x:f>
        <x:v>50788.0493193</x:v>
      </x:c>
      <x:c r="N33" s="338" t="str">
        <x:v>Formula from stated inputs.</x:v>
      </x:c>
      <x:c r="O33" s="342"/>
      <x:c r="P33" s="342"/>
      <x:c r="Q33" s="342"/>
      <x:c r="R33" s="342"/>
      <x:c r="S33" s="342"/>
      <x:c r="T33" s="342"/>
      <x:c r="U33" s="342"/>
      <x:c r="V33" s="342"/>
      <x:c r="W33" s="342"/>
      <x:c r="X33" s="342"/>
      <x:c r="Y33" s="342"/>
      <x:c r="Z33" s="342"/>
      <x:c r="AA33" s="342"/>
      <x:c r="AB33" s="342"/>
      <x:c r="AC33" s="342"/>
      <x:c r="AD33" s="342"/>
      <x:c r="AE33" s="342"/>
      <x:c r="AF33" s="342"/>
      <x:c r="AG33" s="342"/>
      <x:c r="AH33" s="342"/>
    </x:row>
    <x:row r="34">
      <x:c r="A34" s="341" t="str">
        <x:v>Reported ROCE</x:v>
      </x:c>
      <x:c r="B34" s="342" t="str">
        <x:v>%</x:v>
      </x:c>
      <x:c r="C34" s="342" t="str">
        <x:v>Company reported</x:v>
      </x:c>
      <x:c r="D34" s="254" t="n">
        <x:v>0.097</x:v>
      </x:c>
      <x:c r="E34" s="254" t="n">
        <x:v>0.213</x:v>
      </x:c>
      <x:c r="F34" s="254" t="n">
        <x:v>0.328</x:v>
      </x:c>
      <x:c r="G34" s="254" t="n">
        <x:v>0.179</x:v>
      </x:c>
      <x:c r="H34" s="254" t="n">
        <x:v>0.261</x:v>
      </x:c>
      <x:c r="I34" s="254"/>
      <x:c r="J34" s="254"/>
      <x:c r="K34" s="254"/>
      <x:c r="L34" s="254"/>
      <x:c r="M34" s="254"/>
      <x:c r="N34" s="338" t="str">
        <x:v>Company-reported ratio for historical years; calculated metric shown separately.</x:v>
      </x:c>
      <x:c r="O34" s="342"/>
      <x:c r="P34" s="342"/>
      <x:c r="Q34" s="342"/>
      <x:c r="R34" s="342"/>
      <x:c r="S34" s="342"/>
      <x:c r="T34" s="342"/>
      <x:c r="U34" s="342"/>
      <x:c r="V34" s="342"/>
      <x:c r="W34" s="342"/>
      <x:c r="X34" s="342"/>
      <x:c r="Y34" s="342"/>
      <x:c r="Z34" s="342"/>
      <x:c r="AA34" s="342"/>
      <x:c r="AB34" s="342"/>
      <x:c r="AC34" s="342"/>
      <x:c r="AD34" s="342"/>
      <x:c r="AE34" s="342"/>
      <x:c r="AF34" s="342"/>
      <x:c r="AG34" s="342"/>
      <x:c r="AH34" s="342"/>
    </x:row>
    <x:row r="35">
      <x:c r="A35" s="341" t="str">
        <x:v>Reported Fixed Asset Turnover</x:v>
      </x:c>
      <x:c r="B35" s="342" t="str">
        <x:v>x</x:v>
      </x:c>
      <x:c r="C35" s="342" t="str">
        <x:v>Company reported</x:v>
      </x:c>
      <x:c r="D35" s="386" t="n">
        <x:v>2.1</x:v>
      </x:c>
      <x:c r="E35" s="386" t="n">
        <x:v>2.7</x:v>
      </x:c>
      <x:c r="F35" s="386" t="n">
        <x:v>3.1</x:v>
      </x:c>
      <x:c r="G35" s="386" t="n">
        <x:v>2.3</x:v>
      </x:c>
      <x:c r="H35" s="386" t="n">
        <x:v>2.6</x:v>
      </x:c>
      <x:c r="I35" s="386"/>
      <x:c r="J35" s="386"/>
      <x:c r="K35" s="386"/>
      <x:c r="L35" s="386"/>
      <x:c r="M35" s="386"/>
      <x:c r="N35" s="338" t="str">
        <x:v>Company-reported ratio for historical years; calculated metric shown separately.</x:v>
      </x:c>
      <x:c r="O35" s="342"/>
      <x:c r="P35" s="342"/>
      <x:c r="Q35" s="342"/>
      <x:c r="R35" s="342"/>
      <x:c r="S35" s="342"/>
      <x:c r="T35" s="342"/>
      <x:c r="U35" s="342"/>
      <x:c r="V35" s="342"/>
      <x:c r="W35" s="342"/>
      <x:c r="X35" s="342"/>
      <x:c r="Y35" s="342"/>
      <x:c r="Z35" s="342"/>
      <x:c r="AA35" s="342"/>
      <x:c r="AB35" s="342"/>
      <x:c r="AC35" s="342"/>
      <x:c r="AD35" s="342"/>
      <x:c r="AE35" s="342"/>
      <x:c r="AF35" s="342"/>
      <x:c r="AG35" s="342"/>
      <x:c r="AH35" s="342"/>
    </x:row>
    <x:row r="36">
      <x:c r="A36" s="382" t="str">
        <x:v>Fixed Asset Turnover</x:v>
      </x:c>
      <x:c r="B36" s="383" t="str">
        <x:v>x</x:v>
      </x:c>
      <x:c r="C36" s="383" t="str">
        <x:v>Formula</x:v>
      </x:c>
      <x:c r="D36" s="387" t="str">
        <x:f>IFERROR(D6/D31,"")</x:f>
      </x:c>
      <x:c r="E36" s="387" t="str">
        <x:f>IFERROR(E6/E31,"")</x:f>
      </x:c>
      <x:c r="F36" s="387" t="str">
        <x:f>IFERROR(F6/F31,"")</x:f>
      </x:c>
      <x:c r="G36" s="387" t="n">
        <x:f>IFERROR(G6/G31,"")</x:f>
        <x:v>2.4687305097996997</x:v>
      </x:c>
      <x:c r="H36" s="387" t="n">
        <x:f>IFERROR(H6/H31,"")</x:f>
        <x:v>2.583632157091077</x:v>
      </x:c>
      <x:c r="I36" s="387" t="n">
        <x:f>IFERROR(I6/I31,"")</x:f>
        <x:v>2.152212219650672</x:v>
      </x:c>
      <x:c r="J36" s="387" t="n">
        <x:f>IFERROR(J6/J31,"")</x:f>
        <x:v>1.9511089086838287</x:v>
      </x:c>
      <x:c r="K36" s="387" t="n">
        <x:f>IFERROR(K6/K31,"")</x:f>
        <x:v>1.9730375158336075</x:v>
      </x:c>
      <x:c r="L36" s="387" t="n">
        <x:f>IFERROR(L6/L31,"")</x:f>
        <x:v>2.0738077202108283</x:v>
      </x:c>
      <x:c r="M36" s="387" t="n">
        <x:f>IFERROR(M6/M31,"")</x:f>
        <x:v>2.1870813143257193</x:v>
      </x:c>
      <x:c r="N36" s="338" t="str">
        <x:v>Formula from stated inputs.</x:v>
      </x:c>
      <x:c r="O36" s="342"/>
      <x:c r="P36" s="342"/>
      <x:c r="Q36" s="342"/>
      <x:c r="R36" s="342"/>
      <x:c r="S36" s="342"/>
      <x:c r="T36" s="342"/>
      <x:c r="U36" s="342"/>
      <x:c r="V36" s="342"/>
      <x:c r="W36" s="342"/>
      <x:c r="X36" s="342"/>
      <x:c r="Y36" s="342"/>
      <x:c r="Z36" s="342"/>
      <x:c r="AA36" s="342"/>
      <x:c r="AB36" s="342"/>
      <x:c r="AC36" s="342"/>
      <x:c r="AD36" s="342"/>
      <x:c r="AE36" s="342"/>
      <x:c r="AF36" s="342"/>
      <x:c r="AG36" s="342"/>
      <x:c r="AH36" s="342"/>
    </x:row>
    <x:row r="37">
      <x:c r="A37" s="341" t="str">
        <x:v>Invested Fixed Asset Turnover</x:v>
      </x:c>
      <x:c r="B37" s="342" t="str">
        <x:v>x</x:v>
      </x:c>
      <x:c r="C37" s="342" t="str">
        <x:v>Formula</x:v>
      </x:c>
      <x:c r="D37" s="388" t="str">
        <x:f>IFERROR(D6/D32,"")</x:f>
      </x:c>
      <x:c r="E37" s="388" t="str">
        <x:f>IFERROR(E6/E32,"")</x:f>
      </x:c>
      <x:c r="F37" s="388" t="str">
        <x:f>IFERROR(F6/F32,"")</x:f>
      </x:c>
      <x:c r="G37" s="388" t="n">
        <x:f>IFERROR(G6/G32,"")</x:f>
        <x:v>2.2952236061391327</x:v>
      </x:c>
      <x:c r="H37" s="388" t="n">
        <x:f>IFERROR(H6/H32,"")</x:f>
        <x:v>2.2229961435188974</x:v>
      </x:c>
      <x:c r="I37" s="388" t="n">
        <x:f>IFERROR(I6/I32,"")</x:f>
        <x:v>1.8903848709165678</x:v>
      </x:c>
      <x:c r="J37" s="388" t="n">
        <x:f>IFERROR(J6/J32,"")</x:f>
        <x:v>1.8606317839260567</x:v>
      </x:c>
      <x:c r="K37" s="388" t="n">
        <x:f>IFERROR(K6/K32,"")</x:f>
        <x:v>1.9224685390840095</x:v>
      </x:c>
      <x:c r="L37" s="388" t="n">
        <x:f>IFERROR(L6/L32,"")</x:f>
        <x:v>2.025141784586515</x:v>
      </x:c>
      <x:c r="M37" s="388" t="n">
        <x:f>IFERROR(M6/M32,"")</x:f>
        <x:v>2.1316053436211226</x:v>
      </x:c>
      <x:c r="N37" s="338" t="str">
        <x:v>Formula from stated inputs.</x:v>
      </x:c>
      <x:c r="O37" s="342"/>
      <x:c r="P37" s="342"/>
      <x:c r="Q37" s="342"/>
      <x:c r="R37" s="342"/>
      <x:c r="S37" s="342"/>
      <x:c r="T37" s="342"/>
      <x:c r="U37" s="342"/>
      <x:c r="V37" s="342"/>
      <x:c r="W37" s="342"/>
      <x:c r="X37" s="342"/>
      <x:c r="Y37" s="342"/>
      <x:c r="Z37" s="342"/>
      <x:c r="AA37" s="342"/>
      <x:c r="AB37" s="342"/>
      <x:c r="AC37" s="342"/>
      <x:c r="AD37" s="342"/>
      <x:c r="AE37" s="342"/>
      <x:c r="AF37" s="342"/>
      <x:c r="AG37" s="342"/>
      <x:c r="AH37" s="342"/>
    </x:row>
    <x:row r="38">
      <x:c r="A38" s="341" t="str">
        <x:v>Gross Block Turnover</x:v>
      </x:c>
      <x:c r="B38" s="342" t="str">
        <x:v>x</x:v>
      </x:c>
      <x:c r="C38" s="342" t="str">
        <x:v>NA</x:v>
      </x:c>
      <x:c r="D38" s="388" t="str">
        <x:v>NA</x:v>
      </x:c>
      <x:c r="E38" s="388" t="str">
        <x:v>NA</x:v>
      </x:c>
      <x:c r="F38" s="388" t="str">
        <x:v>NA</x:v>
      </x:c>
      <x:c r="G38" s="388" t="str">
        <x:v>NA</x:v>
      </x:c>
      <x:c r="H38" s="388" t="str">
        <x:v>NA</x:v>
      </x:c>
      <x:c r="I38" s="388" t="str">
        <x:v>NA</x:v>
      </x:c>
      <x:c r="J38" s="388" t="str">
        <x:v>NA</x:v>
      </x:c>
      <x:c r="K38" s="388" t="str">
        <x:v>NA</x:v>
      </x:c>
      <x:c r="L38" s="388" t="str">
        <x:v>NA</x:v>
      </x:c>
      <x:c r="M38" s="388" t="str">
        <x:v>NA</x:v>
      </x:c>
      <x:c r="N38" s="338" t="str">
        <x:v>NA where a reliable comparable gross-block series is unavailable.</x:v>
      </x:c>
      <x:c r="O38" s="342"/>
      <x:c r="P38" s="342"/>
      <x:c r="Q38" s="342"/>
      <x:c r="R38" s="342"/>
      <x:c r="S38" s="342"/>
      <x:c r="T38" s="342"/>
      <x:c r="U38" s="342"/>
      <x:c r="V38" s="342"/>
      <x:c r="W38" s="342"/>
      <x:c r="X38" s="342"/>
      <x:c r="Y38" s="342"/>
      <x:c r="Z38" s="342"/>
      <x:c r="AA38" s="342"/>
      <x:c r="AB38" s="342"/>
      <x:c r="AC38" s="342"/>
      <x:c r="AD38" s="342"/>
      <x:c r="AE38" s="342"/>
      <x:c r="AF38" s="342"/>
      <x:c r="AG38" s="342"/>
      <x:c r="AH38" s="342"/>
    </x:row>
    <x:row r="39">
      <x:c r="A39" s="341" t="str">
        <x:v>Total Asset Turnover</x:v>
      </x:c>
      <x:c r="B39" s="342" t="str">
        <x:v>x</x:v>
      </x:c>
      <x:c r="C39" s="342" t="str">
        <x:v>Formula</x:v>
      </x:c>
      <x:c r="D39" s="388" t="str">
        <x:f>IFERROR(D6/D33,"")</x:f>
      </x:c>
      <x:c r="E39" s="388" t="str">
        <x:f>IFERROR(E6/E33,"")</x:f>
      </x:c>
      <x:c r="F39" s="388" t="str">
        <x:f>IFERROR(F6/F33,"")</x:f>
      </x:c>
      <x:c r="G39" s="388" t="n">
        <x:f>IFERROR(G6/G33,"")</x:f>
        <x:v>0.7361288109143294</x:v>
      </x:c>
      <x:c r="H39" s="388" t="n">
        <x:f>IFERROR(H6/H33,"")</x:f>
        <x:v>0.7917721171816318</x:v>
      </x:c>
      <x:c r="I39" s="388" t="n">
        <x:f>IFERROR(I6/I33,"")</x:f>
        <x:v>0.7422945524193753</x:v>
      </x:c>
      <x:c r="J39" s="388" t="n">
        <x:f>IFERROR(J6/J33,"")</x:f>
        <x:v>0.756401629420932</x:v>
      </x:c>
      <x:c r="K39" s="388" t="n">
        <x:f>IFERROR(K6/K33,"")</x:f>
        <x:v>0.7638722674317923</x:v>
      </x:c>
      <x:c r="L39" s="388" t="n">
        <x:f>IFERROR(L6/L33,"")</x:f>
        <x:v>0.7577909424076714</x:v>
      </x:c>
      <x:c r="M39" s="388" t="n">
        <x:f>IFERROR(M6/M33,"")</x:f>
        <x:v>0.7363012521995699</x:v>
      </x:c>
      <x:c r="N39" s="338" t="str">
        <x:v>Formula from stated inputs.</x:v>
      </x:c>
      <x:c r="O39" s="342"/>
      <x:c r="P39" s="342"/>
      <x:c r="Q39" s="342"/>
      <x:c r="R39" s="342"/>
      <x:c r="S39" s="342"/>
      <x:c r="T39" s="342"/>
      <x:c r="U39" s="342"/>
      <x:c r="V39" s="342"/>
      <x:c r="W39" s="342"/>
      <x:c r="X39" s="342"/>
      <x:c r="Y39" s="342"/>
      <x:c r="Z39" s="342"/>
      <x:c r="AA39" s="342"/>
      <x:c r="AB39" s="342"/>
      <x:c r="AC39" s="342"/>
      <x:c r="AD39" s="342"/>
      <x:c r="AE39" s="342"/>
      <x:c r="AF39" s="342"/>
      <x:c r="AG39" s="342"/>
      <x:c r="AH39" s="342"/>
    </x:row>
    <x:row r="40">
      <x:c r="A40" s="382" t="str">
        <x:v>ROCE</x:v>
      </x:c>
      <x:c r="B40" s="383" t="str">
        <x:v>%</x:v>
      </x:c>
      <x:c r="C40" s="383" t="str">
        <x:v>Formula</x:v>
      </x:c>
      <x:c r="D40" s="389" t="str">
        <x:f>IFERROR(D14/D30,"")</x:f>
      </x:c>
      <x:c r="E40" s="389" t="str">
        <x:f>IFERROR(E14/E30,"")</x:f>
      </x:c>
      <x:c r="F40" s="389" t="str">
        <x:f>IFERROR(F14/F30,"")</x:f>
      </x:c>
      <x:c r="G40" s="389" t="n">
        <x:f>IFERROR(G14/G30,"")</x:f>
        <x:v>0.2188375326042144</x:v>
      </x:c>
      <x:c r="H40" s="389" t="n">
        <x:f>IFERROR(H14/H30,"")</x:f>
        <x:v>0.340764284028246</x:v>
      </x:c>
      <x:c r="I40" s="389" t="n">
        <x:f>IFERROR(I14/I30,"")</x:f>
        <x:v>0.3162111883058502</x:v>
      </x:c>
      <x:c r="J40" s="389" t="n">
        <x:f>IFERROR(J14/J30,"")</x:f>
        <x:v>0.3187623552017334</x:v>
      </x:c>
      <x:c r="K40" s="389" t="n">
        <x:f>IFERROR(K14/K30,"")</x:f>
        <x:v>0.34065339243755977</x:v>
      </x:c>
      <x:c r="L40" s="389" t="n">
        <x:f>IFERROR(L14/L30,"")</x:f>
        <x:v>0.368890386407906</x:v>
      </x:c>
      <x:c r="M40" s="389" t="n">
        <x:f>IFERROR(M14/M30,"")</x:f>
        <x:v>0.3972756711584626</x:v>
      </x:c>
      <x:c r="N40" s="338" t="str">
        <x:v>Calculated as EBIT / average capital employed; capital employed = equity + gross debt - model cash/liquid investments.</x:v>
      </x:c>
      <x:c r="O40" s="342"/>
      <x:c r="P40" s="342"/>
      <x:c r="Q40" s="342"/>
      <x:c r="R40" s="342"/>
      <x:c r="S40" s="342"/>
      <x:c r="T40" s="342"/>
      <x:c r="U40" s="342"/>
      <x:c r="V40" s="342"/>
      <x:c r="W40" s="342"/>
      <x:c r="X40" s="342"/>
      <x:c r="Y40" s="342"/>
      <x:c r="Z40" s="342"/>
      <x:c r="AA40" s="342"/>
      <x:c r="AB40" s="342"/>
      <x:c r="AC40" s="342"/>
      <x:c r="AD40" s="342"/>
      <x:c r="AE40" s="342"/>
      <x:c r="AF40" s="342"/>
      <x:c r="AG40" s="342"/>
      <x:c r="AH40" s="342"/>
    </x:row>
    <x:row r="41">
      <x:c r="A41" s="341" t="str">
        <x:v>ROA</x:v>
      </x:c>
      <x:c r="B41" s="342" t="str">
        <x:v>%</x:v>
      </x:c>
      <x:c r="C41" s="342" t="str">
        <x:v>Formula</x:v>
      </x:c>
      <x:c r="D41" s="262" t="str">
        <x:f>IFERROR(D15/D33,"")</x:f>
      </x:c>
      <x:c r="E41" s="262" t="str">
        <x:f>IFERROR(E15/E33,"")</x:f>
      </x:c>
      <x:c r="F41" s="262" t="str">
        <x:f>IFERROR(F15/F33,"")</x:f>
      </x:c>
      <x:c r="G41" s="262" t="n">
        <x:f>IFERROR(G15/G33,"")</x:f>
        <x:v>0.12965075188863762</x:v>
      </x:c>
      <x:c r="H41" s="262" t="n">
        <x:f>IFERROR(H15/H33,"")</x:f>
        <x:v>0.14246458912591584</x:v>
      </x:c>
      <x:c r="I41" s="262" t="n">
        <x:f>IFERROR(I15/I33,"")</x:f>
        <x:v>0.13942725828796</x:v>
      </x:c>
      <x:c r="J41" s="262" t="n">
        <x:f>IFERROR(J15/J33,"")</x:f>
        <x:v>0.14556560810785993</x:v>
      </x:c>
      <x:c r="K41" s="262" t="n">
        <x:f>IFERROR(K15/K33,"")</x:f>
        <x:v>0.1542658089922002</x:v>
      </x:c>
      <x:c r="L41" s="262" t="n">
        <x:f>IFERROR(L15/L33,"")</x:f>
        <x:v>0.16070494435859084</x:v>
      </x:c>
      <x:c r="M41" s="262" t="n">
        <x:f>IFERROR(M15/M33,"")</x:f>
        <x:v>0.16212542119740322</x:v>
      </x:c>
      <x:c r="N41" s="338" t="str">
        <x:v>Formula from stated inputs.</x:v>
      </x:c>
      <x:c r="O41" s="342"/>
      <x:c r="P41" s="342"/>
      <x:c r="Q41" s="342"/>
      <x:c r="R41" s="342"/>
      <x:c r="S41" s="342"/>
      <x:c r="T41" s="342"/>
      <x:c r="U41" s="342"/>
      <x:c r="V41" s="342"/>
      <x:c r="W41" s="342"/>
      <x:c r="X41" s="342"/>
      <x:c r="Y41" s="342"/>
      <x:c r="Z41" s="342"/>
      <x:c r="AA41" s="342"/>
      <x:c r="AB41" s="342"/>
      <x:c r="AC41" s="342"/>
      <x:c r="AD41" s="342"/>
      <x:c r="AE41" s="342"/>
      <x:c r="AF41" s="342"/>
      <x:c r="AG41" s="342"/>
      <x:c r="AH41" s="342"/>
    </x:row>
    <x:row r="42">
      <x:c r="A42" s="341" t="str">
        <x:v>EBITDA / Average Net PP&amp;E</x:v>
      </x:c>
      <x:c r="B42" s="342" t="str">
        <x:v>x</x:v>
      </x:c>
      <x:c r="C42" s="342" t="str">
        <x:v>Formula</x:v>
      </x:c>
      <x:c r="D42" s="388" t="str">
        <x:f>IFERROR(D12/D31,"")</x:f>
      </x:c>
      <x:c r="E42" s="388" t="str">
        <x:f>IFERROR(E12/E31,"")</x:f>
      </x:c>
      <x:c r="F42" s="388" t="str">
        <x:f>IFERROR(F12/F31,"")</x:f>
      </x:c>
      <x:c r="G42" s="388" t="n">
        <x:f>IFERROR(G12/G31,"")</x:f>
        <x:v>0.5746558984502788</x:v>
      </x:c>
      <x:c r="H42" s="388" t="n">
        <x:f>IFERROR(H12/H31,"")</x:f>
        <x:v>0.7722395597295557</x:v>
      </x:c>
      <x:c r="I42" s="388" t="n">
        <x:f>IFERROR(I12/I31,"")</x:f>
        <x:v>0.6480627239592757</x:v>
      </x:c>
      <x:c r="J42" s="388" t="n">
        <x:f>IFERROR(J12/J31,"")</x:f>
        <x:v>0.6058288753055466</x:v>
      </x:c>
      <x:c r="K42" s="388" t="n">
        <x:f>IFERROR(K12/K31,"")</x:f>
        <x:v>0.6322111309996444</x:v>
      </x:c>
      <x:c r="L42" s="388" t="n">
        <x:f>IFERROR(L12/L31,"")</x:f>
        <x:v>0.6838366426904033</x:v>
      </x:c>
      <x:c r="M42" s="388" t="n">
        <x:f>IFERROR(M12/M31,"")</x:f>
        <x:v>0.7377429675505581</x:v>
      </x:c>
      <x:c r="N42" s="338" t="str">
        <x:v>Formula from stated inputs.</x:v>
      </x:c>
      <x:c r="O42" s="342"/>
      <x:c r="P42" s="342"/>
      <x:c r="Q42" s="342"/>
      <x:c r="R42" s="342"/>
      <x:c r="S42" s="342"/>
      <x:c r="T42" s="342"/>
      <x:c r="U42" s="342"/>
      <x:c r="V42" s="342"/>
      <x:c r="W42" s="342"/>
      <x:c r="X42" s="342"/>
      <x:c r="Y42" s="342"/>
      <x:c r="Z42" s="342"/>
      <x:c r="AA42" s="342"/>
      <x:c r="AB42" s="342"/>
      <x:c r="AC42" s="342"/>
      <x:c r="AD42" s="342"/>
      <x:c r="AE42" s="342"/>
      <x:c r="AF42" s="342"/>
      <x:c r="AG42" s="342"/>
      <x:c r="AH42" s="342"/>
    </x:row>
    <x:row r="43">
      <x:c r="A43" s="341" t="str">
        <x:v>EBIT / Average Net PP&amp;E</x:v>
      </x:c>
      <x:c r="B43" s="342" t="str">
        <x:v>x</x:v>
      </x:c>
      <x:c r="C43" s="342" t="str">
        <x:v>Formula</x:v>
      </x:c>
      <x:c r="D43" s="388" t="str">
        <x:f>IFERROR(D14/D31,"")</x:f>
      </x:c>
      <x:c r="E43" s="388" t="str">
        <x:f>IFERROR(E14/E31,"")</x:f>
      </x:c>
      <x:c r="F43" s="388" t="str">
        <x:f>IFERROR(F14/F31,"")</x:f>
      </x:c>
      <x:c r="G43" s="388" t="n">
        <x:f>IFERROR(G14/G31,"")</x:f>
        <x:v>0.4650860147307675</x:v>
      </x:c>
      <x:c r="H43" s="388" t="n">
        <x:f>IFERROR(H14/H31,"")</x:f>
        <x:v>0.6550755296404326</x:v>
      </x:c>
      <x:c r="I43" s="388" t="n">
        <x:f>IFERROR(I14/I31,"")</x:f>
        <x:v>0.5592898780062731</x:v>
      </x:c>
      <x:c r="J43" s="388" t="n">
        <x:f>IFERROR(J14/J31,"")</x:f>
        <x:v>0.517056029352544</x:v>
      </x:c>
      <x:c r="K43" s="388" t="n">
        <x:f>IFERROR(K14/K31,"")</x:f>
        <x:v>0.5434382850465659</x:v>
      </x:c>
      <x:c r="L43" s="388" t="n">
        <x:f>IFERROR(L14/L31,"")</x:f>
        <x:v>0.5950637967373222</x:v>
      </x:c>
      <x:c r="M43" s="388" t="n">
        <x:f>IFERROR(M14/M31,"")</x:f>
        <x:v>0.6489701215976418</x:v>
      </x:c>
      <x:c r="N43" s="338" t="str">
        <x:v>Formula from stated inputs.</x:v>
      </x:c>
      <x:c r="O43" s="342"/>
      <x:c r="P43" s="342"/>
      <x:c r="Q43" s="342"/>
      <x:c r="R43" s="342"/>
      <x:c r="S43" s="342"/>
      <x:c r="T43" s="342"/>
      <x:c r="U43" s="342"/>
      <x:c r="V43" s="342"/>
      <x:c r="W43" s="342"/>
      <x:c r="X43" s="342"/>
      <x:c r="Y43" s="342"/>
      <x:c r="Z43" s="342"/>
      <x:c r="AA43" s="342"/>
      <x:c r="AB43" s="342"/>
      <x:c r="AC43" s="342"/>
      <x:c r="AD43" s="342"/>
      <x:c r="AE43" s="342"/>
      <x:c r="AF43" s="342"/>
      <x:c r="AG43" s="342"/>
      <x:c r="AH43" s="342"/>
    </x:row>
    <x:row r="44">
      <x:c r="A44" s="341" t="str">
        <x:v>CWIP / Total Fixed Capital</x:v>
      </x:c>
      <x:c r="B44" s="342" t="str">
        <x:v>%</x:v>
      </x:c>
      <x:c r="C44" s="342" t="str">
        <x:v>Formula</x:v>
      </x:c>
      <x:c r="D44" s="262" t="str">
        <x:f>IFERROR(D21/D22,"")</x:f>
      </x:c>
      <x:c r="E44" s="262" t="str">
        <x:f>IFERROR(E21/E22,"")</x:f>
      </x:c>
      <x:c r="F44" s="262" t="n">
        <x:f>IFERROR(F21/F22,"")</x:f>
        <x:v>0.08070752589989244</x:v>
      </x:c>
      <x:c r="G44" s="262" t="n">
        <x:f>IFERROR(G21/G22,"")</x:f>
        <x:v>0.06202837832870923</x:v>
      </x:c>
      <x:c r="H44" s="262" t="n">
        <x:f>IFERROR(H21/H22,"")</x:f>
        <x:v>0.19014480662589286</x:v>
      </x:c>
      <x:c r="I44" s="262" t="n">
        <x:f>IFERROR(I21/I22,"")</x:f>
        <x:v>0.06600381118081272</x:v>
      </x:c>
      <x:c r="J44" s="262" t="n">
        <x:f>IFERROR(J21/J22,"")</x:f>
        <x:v>0.0290150027455306</x:v>
      </x:c>
      <x:c r="K44" s="262" t="n">
        <x:f>IFERROR(K21/K22,"")</x:f>
        <x:v>0.022476314541609758</x:v>
      </x:c>
      <x:c r="L44" s="262" t="n">
        <x:f>IFERROR(L21/L22,"")</x:f>
        <x:v>0.024414914834025594</x:v>
      </x:c>
      <x:c r="M44" s="262" t="n">
        <x:f>IFERROR(M21/M22,"")</x:f>
        <x:v>0.026279433241778782</x:v>
      </x:c>
      <x:c r="N44" s="338" t="str">
        <x:v>Formula from stated inputs.</x:v>
      </x:c>
      <x:c r="O44" s="342"/>
      <x:c r="P44" s="342"/>
      <x:c r="Q44" s="342"/>
      <x:c r="R44" s="342"/>
      <x:c r="S44" s="342"/>
      <x:c r="T44" s="342"/>
      <x:c r="U44" s="342"/>
      <x:c r="V44" s="342"/>
      <x:c r="W44" s="342"/>
      <x:c r="X44" s="342"/>
      <x:c r="Y44" s="342"/>
      <x:c r="Z44" s="342"/>
      <x:c r="AA44" s="342"/>
      <x:c r="AB44" s="342"/>
      <x:c r="AC44" s="342"/>
      <x:c r="AD44" s="342"/>
      <x:c r="AE44" s="342"/>
      <x:c r="AF44" s="342"/>
      <x:c r="AG44" s="342"/>
      <x:c r="AH44" s="342"/>
    </x:row>
    <x:row r="45">
      <x:c r="A45" s="341" t="str">
        <x:v>Capex / Depreciation</x:v>
      </x:c>
      <x:c r="B45" s="342" t="str">
        <x:v>x</x:v>
      </x:c>
      <x:c r="C45" s="342" t="str">
        <x:v>Formula</x:v>
      </x:c>
      <x:c r="D45" s="388" t="str">
        <x:f>IFERROR(D18/D48,"")</x:f>
      </x:c>
      <x:c r="E45" s="388" t="str">
        <x:f>IFERROR(E18/E48,"")</x:f>
      </x:c>
      <x:c r="F45" s="388" t="n">
        <x:f>IFERROR(F18/F48,"")</x:f>
        <x:v>2.4065333442769585</x:v>
      </x:c>
      <x:c r="G45" s="388" t="n">
        <x:f>IFERROR(G18/G48,"")</x:f>
        <x:v>3.1498811532558513</x:v>
      </x:c>
      <x:c r="H45" s="388" t="n">
        <x:f>IFERROR(H18/H48,"")</x:f>
        <x:v>4.328910665525755</x:v>
      </x:c>
      <x:c r="I45" s="388" t="n">
        <x:f>IFERROR(I18/I48,"")</x:f>
        <x:v>3.6527032310330827</x:v>
      </x:c>
      <x:c r="J45" s="388" t="n">
        <x:f>IFERROR(J18/J48,"")</x:f>
        <x:v>2.452737925363345</x:v>
      </x:c>
      <x:c r="K45" s="388" t="n">
        <x:f>IFERROR(K18/K48,"")</x:f>
        <x:v>1.8178909796873344</x:v>
      </x:c>
      <x:c r="L45" s="388" t="n">
        <x:f>IFERROR(L18/L48,"")</x:f>
        <x:v>1.5077386916030444</x:v>
      </x:c>
      <x:c r="M45" s="388" t="n">
        <x:f>IFERROR(M18/M48,"")</x:f>
        <x:v>1.4494071393032535</x:v>
      </x:c>
      <x:c r="N45" s="338" t="str">
        <x:v>Formula from stated inputs.</x:v>
      </x:c>
      <x:c r="O45" s="342"/>
      <x:c r="P45" s="342"/>
      <x:c r="Q45" s="342"/>
      <x:c r="R45" s="342"/>
      <x:c r="S45" s="342"/>
      <x:c r="T45" s="342"/>
      <x:c r="U45" s="342"/>
      <x:c r="V45" s="342"/>
      <x:c r="W45" s="342"/>
      <x:c r="X45" s="342"/>
      <x:c r="Y45" s="342"/>
      <x:c r="Z45" s="342"/>
      <x:c r="AA45" s="342"/>
      <x:c r="AB45" s="342"/>
      <x:c r="AC45" s="342"/>
      <x:c r="AD45" s="342"/>
      <x:c r="AE45" s="342"/>
      <x:c r="AF45" s="342"/>
      <x:c r="AG45" s="342"/>
      <x:c r="AH45" s="342"/>
    </x:row>
    <x:row r="46">
      <x:c r="A46" s="341" t="str">
        <x:v>FCF / EBITDA</x:v>
      </x:c>
      <x:c r="B46" s="342" t="str">
        <x:v>%</x:v>
      </x:c>
      <x:c r="C46" s="342" t="str">
        <x:v>Formula</x:v>
      </x:c>
      <x:c r="D46" s="262" t="str">
        <x:f>IF(COUNT(D17,D12)&lt;2,"",IFERROR(D17/D12,""))</x:f>
      </x:c>
      <x:c r="E46" s="262" t="str">
        <x:f>IF(COUNT(E17,E12)&lt;2,"",IFERROR(E17/E12,""))</x:f>
      </x:c>
      <x:c r="F46" s="262" t="n">
        <x:f>IF(COUNT(F17,F12)&lt;2,"",IFERROR(F17/F12,""))</x:f>
        <x:v>0.2473132831215123</x:v>
      </x:c>
      <x:c r="G46" s="262" t="n">
        <x:f>IF(COUNT(G17,G12)&lt;2,"",IFERROR(G17/G12,""))</x:f>
        <x:v>0.3226549448452465</x:v>
      </x:c>
      <x:c r="H46" s="262" t="n">
        <x:f>IF(COUNT(H17,H12)&lt;2,"",IFERROR(H17/H12,""))</x:f>
        <x:v>-0.0834375785560245</x:v>
      </x:c>
      <x:c r="I46" s="262" t="n">
        <x:f>IF(COUNT(I17,I12)&lt;2,"",IFERROR(I17/I12,""))</x:f>
        <x:v>0.07757781896463777</x:v>
      </x:c>
      <x:c r="J46" s="262" t="n">
        <x:f>IF(COUNT(J17,J12)&lt;2,"",IFERROR(J17/J12,""))</x:f>
        <x:v>0.3034756019490454</x:v>
      </x:c>
      <x:c r="K46" s="262" t="n">
        <x:f>IF(COUNT(K17,K12)&lt;2,"",IFERROR(K17/K12,""))</x:f>
        <x:v>0.40973306325018194</x:v>
      </x:c>
      <x:c r="L46" s="262" t="n">
        <x:f>IF(COUNT(L17,L12)&lt;2,"",IFERROR(L17/L12,""))</x:f>
        <x:v>0.48540772421181216</x:v>
      </x:c>
      <x:c r="M46" s="262" t="n">
        <x:f>IF(COUNT(M17,M12)&lt;2,"",IFERROR(M17/M12,""))</x:f>
        <x:v>0.5159724633103012</x:v>
      </x:c>
      <x:c r="N46" s="338" t="str">
        <x:v>Formula from stated inputs.</x:v>
      </x:c>
      <x:c r="O46" s="342"/>
      <x:c r="P46" s="342"/>
      <x:c r="Q46" s="342"/>
      <x:c r="R46" s="342"/>
      <x:c r="S46" s="342"/>
      <x:c r="T46" s="342"/>
      <x:c r="U46" s="342"/>
      <x:c r="V46" s="342"/>
      <x:c r="W46" s="342"/>
      <x:c r="X46" s="342"/>
      <x:c r="Y46" s="342"/>
      <x:c r="Z46" s="342"/>
      <x:c r="AA46" s="342"/>
      <x:c r="AB46" s="342"/>
      <x:c r="AC46" s="342"/>
      <x:c r="AD46" s="342"/>
      <x:c r="AE46" s="342"/>
      <x:c r="AF46" s="342"/>
      <x:c r="AG46" s="342"/>
      <x:c r="AH46" s="342"/>
    </x:row>
    <x:row r="47">
      <x:c r="A47" s="382" t="str">
        <x:v>CFO / EBITDA</x:v>
      </x:c>
      <x:c r="B47" s="383" t="str">
        <x:v>%</x:v>
      </x:c>
      <x:c r="C47" s="383" t="str">
        <x:v>Formula</x:v>
      </x:c>
      <x:c r="D47" s="389" t="str">
        <x:f>IF(COUNT(D16,D12)&lt;2,"",IFERROR(D16/D12,""))</x:f>
      </x:c>
      <x:c r="E47" s="389" t="str">
        <x:f>IF(COUNT(E16,E12)&lt;2,"",IFERROR(E16/E12,""))</x:f>
      </x:c>
      <x:c r="F47" s="389" t="n">
        <x:f>IF(COUNT(F16,F12)&lt;2,"",IFERROR(F16/F12,""))</x:f>
        <x:v>0.5496908449788249</x:v>
      </x:c>
      <x:c r="G47" s="389" t="n">
        <x:f>IF(COUNT(G16,G12)&lt;2,"",IFERROR(G16/G12,""))</x:f>
        <x:v>0.923244119381294</x:v>
      </x:c>
      <x:c r="H47" s="389" t="n">
        <x:f>IF(COUNT(H16,H12)&lt;2,"",IFERROR(H16/H12,""))</x:f>
        <x:v>0.5733438736223754</x:v>
      </x:c>
      <x:c r="I47" s="389" t="n">
        <x:f>IF(COUNT(I16,I12)&lt;2,"",IFERROR(I16/I12,""))</x:f>
        <x:v>0.5779319502121424</x:v>
      </x:c>
      <x:c r="J47" s="389" t="n">
        <x:f>IF(COUNT(J16,J12)&lt;2,"",IFERROR(J16/J12,""))</x:f>
        <x:v>0.6628782895504793</x:v>
      </x:c>
      <x:c r="K47" s="389" t="n">
        <x:f>IF(COUNT(K16,K12)&lt;2,"",IFERROR(K16/K12,""))</x:f>
        <x:v>0.6649948705632126</x:v>
      </x:c>
      <x:c r="L47" s="389" t="n">
        <x:f>IF(COUNT(L16,L12)&lt;2,"",IFERROR(L16/L12,""))</x:f>
        <x:v>0.6811361281161518</x:v>
      </x:c>
      <x:c r="M47" s="389" t="n">
        <x:f>IF(COUNT(M16,M12)&lt;2,"",IFERROR(M16/M12,""))</x:f>
        <x:v>0.6903800854177813</x:v>
      </x:c>
      <x:c r="N47" s="338" t="str">
        <x:v>Formula from stated inputs.</x:v>
      </x:c>
      <x:c r="O47" s="342"/>
      <x:c r="P47" s="342"/>
      <x:c r="Q47" s="342"/>
      <x:c r="R47" s="342"/>
      <x:c r="S47" s="342"/>
      <x:c r="T47" s="342"/>
      <x:c r="U47" s="342"/>
      <x:c r="V47" s="342"/>
      <x:c r="W47" s="342"/>
      <x:c r="X47" s="342"/>
      <x:c r="Y47" s="342"/>
      <x:c r="Z47" s="342"/>
      <x:c r="AA47" s="342"/>
      <x:c r="AB47" s="342"/>
      <x:c r="AC47" s="342"/>
      <x:c r="AD47" s="342"/>
      <x:c r="AE47" s="342"/>
      <x:c r="AF47" s="342"/>
      <x:c r="AG47" s="342"/>
      <x:c r="AH47" s="342"/>
    </x:row>
    <x:row r="48">
      <x:c r="A48" s="341" t="str">
        <x:v>Depreciation &amp; Amortisation</x:v>
      </x:c>
      <x:c r="B48" s="342" t="str">
        <x:v>INR m</x:v>
      </x:c>
      <x:c r="C48" s="342" t="str">
        <x:v>Reported / Model</x:v>
      </x:c>
      <x:c r="D48" s="252"/>
      <x:c r="E48" s="252"/>
      <x:c r="F48" s="252" t="n">
        <x:v>596.999</x:v>
      </x:c>
      <x:c r="G48" s="252" t="n">
        <x:v>655.466</x:v>
      </x:c>
      <x:c r="H48" s="252" t="n">
        <x:v>917.395</x:v>
      </x:c>
      <x:c r="I48" s="252" t="n">
        <x:v>958.19446</x:v>
      </x:c>
      <x:c r="J48" s="252" t="n">
        <x:v>1223.1229309</x:v>
      </x:c>
      <x:c r="K48" s="252" t="n">
        <x:v>1375.2199818</x:v>
      </x:c>
      <x:c r="L48" s="252" t="n">
        <x:v>1459.1387833</x:v>
      </x:c>
      <x:c r="M48" s="252" t="n">
        <x:v>1517.8619867</x:v>
      </x:c>
      <x:c r="N48" s="338" t="str">
        <x:v>Historical official / uploaded-model input; FY27E+ hardcoded current model estimate. No external workbook link.</x:v>
      </x:c>
      <x:c r="O48" s="342"/>
      <x:c r="P48" s="342"/>
      <x:c r="Q48" s="342"/>
      <x:c r="R48" s="342"/>
      <x:c r="S48" s="342"/>
      <x:c r="T48" s="342"/>
      <x:c r="U48" s="342"/>
      <x:c r="V48" s="342"/>
      <x:c r="W48" s="342"/>
      <x:c r="X48" s="342"/>
      <x:c r="Y48" s="342"/>
      <x:c r="Z48" s="342"/>
      <x:c r="AA48" s="342"/>
      <x:c r="AB48" s="342"/>
      <x:c r="AC48" s="342"/>
      <x:c r="AD48" s="342"/>
      <x:c r="AE48" s="342"/>
      <x:c r="AF48" s="342"/>
      <x:c r="AG48" s="342"/>
      <x:c r="AH48" s="342"/>
    </x:row>
    <x:row r="49">
      <x:c r="A49" s="341"/>
      <x:c r="B49" s="342"/>
      <x:c r="C49" s="342"/>
      <x:c r="D49" s="343"/>
      <x:c r="E49" s="343"/>
      <x:c r="F49" s="343"/>
      <x:c r="G49" s="343"/>
      <x:c r="H49" s="343"/>
      <x:c r="I49" s="343"/>
      <x:c r="J49" s="343"/>
      <x:c r="K49" s="343"/>
      <x:c r="L49" s="343"/>
      <x:c r="M49" s="343"/>
      <x:c r="N49" s="338"/>
      <x:c r="O49" s="342"/>
      <x:c r="P49" s="342"/>
      <x:c r="Q49" s="342"/>
      <x:c r="R49" s="342"/>
      <x:c r="S49" s="342"/>
      <x:c r="T49" s="342"/>
      <x:c r="U49" s="342"/>
      <x:c r="V49" s="342"/>
      <x:c r="W49" s="342"/>
      <x:c r="X49" s="342"/>
      <x:c r="Y49" s="342"/>
      <x:c r="Z49" s="342"/>
      <x:c r="AA49" s="342"/>
      <x:c r="AB49" s="342"/>
      <x:c r="AC49" s="342"/>
      <x:c r="AD49" s="342"/>
      <x:c r="AE49" s="342"/>
      <x:c r="AF49" s="342"/>
      <x:c r="AG49" s="342"/>
      <x:c r="AH49" s="342"/>
    </x:row>
    <x:row r="50">
      <x:c r="A50" s="341"/>
      <x:c r="B50" s="342"/>
      <x:c r="C50" s="342"/>
      <x:c r="D50" s="343"/>
      <x:c r="E50" s="343"/>
      <x:c r="F50" s="343"/>
      <x:c r="G50" s="343"/>
      <x:c r="H50" s="343"/>
      <x:c r="I50" s="343"/>
      <x:c r="J50" s="343"/>
      <x:c r="K50" s="343"/>
      <x:c r="L50" s="343"/>
      <x:c r="M50" s="343"/>
      <x:c r="N50" s="338"/>
      <x:c r="O50" s="342"/>
      <x:c r="P50" s="342"/>
      <x:c r="Q50" s="342"/>
      <x:c r="R50" s="342"/>
      <x:c r="S50" s="342"/>
      <x:c r="T50" s="342"/>
      <x:c r="U50" s="342"/>
      <x:c r="V50" s="342"/>
      <x:c r="W50" s="342"/>
      <x:c r="X50" s="342"/>
      <x:c r="Y50" s="342"/>
      <x:c r="Z50" s="342"/>
      <x:c r="AA50" s="342"/>
      <x:c r="AB50" s="342"/>
      <x:c r="AC50" s="342"/>
      <x:c r="AD50" s="342"/>
      <x:c r="AE50" s="342"/>
      <x:c r="AF50" s="342"/>
      <x:c r="AG50" s="342"/>
      <x:c r="AH50" s="342"/>
    </x:row>
    <x:row r="51" ht="20" customHeight="1">
      <x:c r="A51" s="30" t="str">
        <x:v>B. Incremental Return Metrics — Same-Year and Lagged</x:v>
      </x:c>
      <x:c r="B51" s="30"/>
      <x:c r="C51" s="30"/>
      <x:c r="D51" s="175"/>
      <x:c r="E51" s="175"/>
      <x:c r="F51" s="175"/>
      <x:c r="G51" s="175"/>
      <x:c r="H51" s="175"/>
      <x:c r="I51" s="175"/>
      <x:c r="J51" s="175"/>
      <x:c r="K51" s="175"/>
      <x:c r="L51" s="175"/>
      <x:c r="M51" s="175"/>
      <x:c r="N51" s="223"/>
      <x:c r="O51" s="30"/>
      <x:c r="P51" s="444"/>
      <x:c r="Q51" s="444"/>
      <x:c r="R51" s="444"/>
      <x:c r="S51" s="444"/>
      <x:c r="T51" s="444"/>
      <x:c r="U51" s="444"/>
      <x:c r="V51" s="444"/>
      <x:c r="W51" s="444"/>
      <x:c r="X51" s="444"/>
      <x:c r="Y51" s="444"/>
      <x:c r="Z51" s="444"/>
      <x:c r="AA51" s="444"/>
      <x:c r="AB51" s="444"/>
      <x:c r="AC51" s="444"/>
      <x:c r="AD51" s="444"/>
      <x:c r="AE51" s="444"/>
      <x:c r="AF51" s="444"/>
      <x:c r="AG51" s="444"/>
      <x:c r="AH51" s="444"/>
    </x:row>
    <x:row r="52">
      <x:c r="A52" s="160" t="str">
        <x:v>Metric</x:v>
      </x:c>
      <x:c r="B52" s="15" t="str">
        <x:v>Units</x:v>
      </x:c>
      <x:c r="C52" s="15" t="str">
        <x:v>Status</x:v>
      </x:c>
      <x:c r="D52" s="168" t="str">
        <x:v>FY22A</x:v>
      </x:c>
      <x:c r="E52" s="168" t="str">
        <x:v>FY23A</x:v>
      </x:c>
      <x:c r="F52" s="168" t="str">
        <x:v>FY24A</x:v>
      </x:c>
      <x:c r="G52" s="168" t="str">
        <x:v>FY25A</x:v>
      </x:c>
      <x:c r="H52" s="168" t="str">
        <x:v>FY26A</x:v>
      </x:c>
      <x:c r="I52" s="168" t="str">
        <x:v>FY27E</x:v>
      </x:c>
      <x:c r="J52" s="168" t="str">
        <x:v>FY28E</x:v>
      </x:c>
      <x:c r="K52" s="168" t="str">
        <x:v>FY29E</x:v>
      </x:c>
      <x:c r="L52" s="168" t="str">
        <x:v>FY30E</x:v>
      </x:c>
      <x:c r="M52" s="168" t="str">
        <x:v>FY31E</x:v>
      </x:c>
      <x:c r="N52" s="15" t="str">
        <x:v>Interpretation</x:v>
      </x:c>
      <x:c r="O52" s="15"/>
      <x:c r="P52" s="342"/>
      <x:c r="Q52" s="342"/>
      <x:c r="R52" s="342"/>
      <x:c r="S52" s="342"/>
      <x:c r="T52" s="342"/>
      <x:c r="U52" s="342"/>
      <x:c r="V52" s="342"/>
      <x:c r="W52" s="342"/>
      <x:c r="X52" s="342"/>
      <x:c r="Y52" s="342"/>
      <x:c r="Z52" s="342"/>
      <x:c r="AA52" s="342"/>
      <x:c r="AB52" s="342"/>
      <x:c r="AC52" s="342"/>
      <x:c r="AD52" s="342"/>
      <x:c r="AE52" s="342"/>
      <x:c r="AF52" s="342"/>
      <x:c r="AG52" s="342"/>
      <x:c r="AH52" s="342"/>
    </x:row>
    <x:row r="53">
      <x:c r="A53" s="341" t="str">
        <x:v>Incremental Revenue</x:v>
      </x:c>
      <x:c r="B53" s="342" t="str">
        <x:v>INR m</x:v>
      </x:c>
      <x:c r="C53" s="342" t="str">
        <x:v>Formula</x:v>
      </x:c>
      <x:c r="D53" s="260"/>
      <x:c r="E53" s="260" t="n">
        <x:f>IF(COUNT(E6,D6)&lt;2,"",E6-D6)</x:f>
        <x:v>2401.1800000000003</x:v>
      </x:c>
      <x:c r="F53" s="260" t="n">
        <x:f>IF(COUNT(F6,E6)&lt;2,"",F6-E6)</x:f>
        <x:v>3673.8250000000007</x:v>
      </x:c>
      <x:c r="G53" s="260" t="n">
        <x:f>IF(COUNT(G6,F6)&lt;2,"",G6-F6)</x:f>
        <x:v>-817.4320000000007</x:v>
      </x:c>
      <x:c r="H53" s="260" t="n">
        <x:f>IF(COUNT(H6,G6)&lt;2,"",H6-G6)</x:f>
        <x:v>5461.481</x:v>
      </x:c>
      <x:c r="I53" s="260" t="n">
        <x:f>IF(COUNT(I6,H6)&lt;2,"",I6-H6)</x:f>
        <x:v>3000.6485649999995</x:v>
      </x:c>
      <x:c r="J53" s="260" t="n">
        <x:f>IF(COUNT(J6,I6)&lt;2,"",J6-I6)</x:f>
        <x:v>3652.110257370001</x:v>
      </x:c>
      <x:c r="K53" s="260" t="n">
        <x:f>IF(COUNT(K6,J6)&lt;2,"",K6-J6)</x:f>
        <x:v>3682.596475947299</x:v>
      </x:c>
      <x:c r="L53" s="260" t="n">
        <x:f>IF(COUNT(L6,K6)&lt;2,"",L6-K6)</x:f>
        <x:v>3521.4896378975027</x:v>
      </x:c>
      <x:c r="M53" s="260" t="n">
        <x:f>IF(COUNT(M6,L6)&lt;2,"",M6-L6)</x:f>
        <x:v>3308.6053743593</x:v>
      </x:c>
      <x:c r="N53" s="338" t="str">
        <x:v>Revenue change vs prior FY</x:v>
      </x:c>
      <x:c r="O53" s="342"/>
      <x:c r="P53" s="342"/>
      <x:c r="Q53" s="446" t="str">
        <x:v>Chart note: The spreadsheet engine exposes standard chart types rather than Excel combo-series charts. Revenue/Capex is shown as clustered columns; asset build is indexed to FY24 so it can be compared meaningfully with turnover on a single scale.</x:v>
      </x:c>
      <x:c r="R53" s="446"/>
      <x:c r="S53" s="446"/>
      <x:c r="T53" s="446"/>
      <x:c r="U53" s="446"/>
      <x:c r="V53" s="446"/>
      <x:c r="W53" s="446"/>
      <x:c r="X53" s="446"/>
      <x:c r="Y53" s="446"/>
      <x:c r="Z53" s="446"/>
      <x:c r="AA53" s="342"/>
      <x:c r="AB53" s="342"/>
      <x:c r="AC53" s="342"/>
      <x:c r="AD53" s="342"/>
      <x:c r="AE53" s="342"/>
      <x:c r="AF53" s="342"/>
      <x:c r="AG53" s="342"/>
      <x:c r="AH53" s="342"/>
    </x:row>
    <x:row r="54">
      <x:c r="A54" s="341" t="str">
        <x:v>Incremental Net PP&amp;E</x:v>
      </x:c>
      <x:c r="B54" s="342" t="str">
        <x:v>INR m</x:v>
      </x:c>
      <x:c r="C54" s="342" t="str">
        <x:v>Formula</x:v>
      </x:c>
      <x:c r="D54" s="260"/>
      <x:c r="E54" s="260" t="str">
        <x:f>IF(COUNT(E20,D20)&lt;2,"",E20-D20)</x:f>
      </x:c>
      <x:c r="F54" s="260" t="str">
        <x:f>IF(COUNT(F20,E20)&lt;2,"",F20-E20)</x:f>
      </x:c>
      <x:c r="G54" s="260" t="n">
        <x:f>IF(COUNT(G20,F20)&lt;2,"",G20-F20)</x:f>
        <x:v>1509.924</x:v>
      </x:c>
      <x:c r="H54" s="260" t="n">
        <x:f>IF(COUNT(H20,G20)&lt;2,"",H20-G20)</x:f>
        <x:v>2185.741</x:v>
      </x:c>
      <x:c r="I54" s="260" t="n">
        <x:f>IF(COUNT(I20,H20)&lt;2,"",I20-H20)</x:f>
        <x:v>3741.8055399999994</x:v>
      </x:c>
      <x:c r="J54" s="260" t="n">
        <x:f>IF(COUNT(J20,I20)&lt;2,"",J20-I20)</x:f>
        <x:v>2226.877069100001</x:v>
      </x:c>
      <x:c r="K54" s="260" t="n">
        <x:f>IF(COUNT(K20,J20)&lt;2,"",K20-J20)</x:f>
        <x:v>1199.7800181999992</x:v>
      </x:c>
      <x:c r="L54" s="260" t="n">
        <x:f>IF(COUNT(L20,K20)&lt;2,"",L20-K20)</x:f>
        <x:v>690.8612166999992</x:v>
      </x:c>
      <x:c r="M54" s="260" t="n">
        <x:f>IF(COUNT(M20,L20)&lt;2,"",M20-L20)</x:f>
        <x:v>632.1380133000021</x:v>
      </x:c>
      <x:c r="N54" s="338" t="str">
        <x:v>Net asset addition; interpret after depreciation</x:v>
      </x:c>
      <x:c r="O54" s="342"/>
      <x:c r="P54" s="342"/>
      <x:c r="Q54" s="446"/>
      <x:c r="R54" s="446"/>
      <x:c r="S54" s="446"/>
      <x:c r="T54" s="446"/>
      <x:c r="U54" s="446"/>
      <x:c r="V54" s="446"/>
      <x:c r="W54" s="446"/>
      <x:c r="X54" s="446"/>
      <x:c r="Y54" s="446"/>
      <x:c r="Z54" s="446"/>
      <x:c r="AA54" s="342"/>
      <x:c r="AB54" s="342"/>
      <x:c r="AC54" s="342"/>
      <x:c r="AD54" s="342"/>
      <x:c r="AE54" s="342"/>
      <x:c r="AF54" s="342"/>
      <x:c r="AG54" s="342"/>
      <x:c r="AH54" s="342"/>
    </x:row>
    <x:row r="55">
      <x:c r="A55" s="341" t="str">
        <x:v>Incremental PP&amp;E + CWIP</x:v>
      </x:c>
      <x:c r="B55" s="342" t="str">
        <x:v>INR m</x:v>
      </x:c>
      <x:c r="C55" s="342" t="str">
        <x:v>Formula</x:v>
      </x:c>
      <x:c r="D55" s="260"/>
      <x:c r="E55" s="260" t="str">
        <x:f>IF(COUNT(E22,D22)&lt;2,"",E22-D22)</x:f>
      </x:c>
      <x:c r="F55" s="260" t="str">
        <x:f>IF(COUNT(F22,E22)&lt;2,"",F22-E22)</x:f>
      </x:c>
      <x:c r="G55" s="260" t="n">
        <x:f>IF(COUNT(G22,F22)&lt;2,"",G22-F22)</x:f>
        <x:v>1496.5400000000009</x:v>
      </x:c>
      <x:c r="H55" s="260" t="n">
        <x:f>IF(COUNT(H22,G22)&lt;2,"",H22-G22)</x:f>
        <x:v>3835.2019999999993</x:v>
      </x:c>
      <x:c r="I55" s="260" t="n">
        <x:f>IF(COUNT(I22,H22)&lt;2,"",I22-H22)</x:f>
        <x:v>2541.8055399999994</x:v>
      </x:c>
      <x:c r="J55" s="260" t="n">
        <x:f>IF(COUNT(J22,I22)&lt;2,"",J22-I22)</x:f>
        <x:v>1776.8770691000009</x:v>
      </x:c>
      <x:c r="K55" s="260" t="n">
        <x:f>IF(COUNT(K22,J22)&lt;2,"",K22-J22)</x:f>
        <x:v>1124.780018200001</x:v>
      </x:c>
      <x:c r="L55" s="260" t="n">
        <x:f>IF(COUNT(L22,K22)&lt;2,"",L22-K22)</x:f>
        <x:v>740.8612166999992</x:v>
      </x:c>
      <x:c r="M55" s="260" t="n">
        <x:f>IF(COUNT(M22,L22)&lt;2,"",M22-L22)</x:f>
        <x:v>682.1380133000021</x:v>
      </x:c>
      <x:c r="N55" s="338" t="str">
        <x:v>Includes CWIP</x:v>
      </x:c>
      <x:c r="O55" s="342"/>
      <x:c r="P55" s="342"/>
      <x:c r="Q55" s="446"/>
      <x:c r="R55" s="446"/>
      <x:c r="S55" s="446"/>
      <x:c r="T55" s="446"/>
      <x:c r="U55" s="446"/>
      <x:c r="V55" s="446"/>
      <x:c r="W55" s="446"/>
      <x:c r="X55" s="446"/>
      <x:c r="Y55" s="446"/>
      <x:c r="Z55" s="446"/>
      <x:c r="AA55" s="342"/>
      <x:c r="AB55" s="342"/>
      <x:c r="AC55" s="342"/>
      <x:c r="AD55" s="342"/>
      <x:c r="AE55" s="342"/>
      <x:c r="AF55" s="342"/>
      <x:c r="AG55" s="342"/>
      <x:c r="AH55" s="342"/>
    </x:row>
    <x:row r="56">
      <x:c r="A56" s="341" t="str">
        <x:v>Incremental Capital Employed</x:v>
      </x:c>
      <x:c r="B56" s="342" t="str">
        <x:v>INR m</x:v>
      </x:c>
      <x:c r="C56" s="342" t="str">
        <x:v>Formula</x:v>
      </x:c>
      <x:c r="D56" s="260"/>
      <x:c r="E56" s="260" t="str">
        <x:f>IF(COUNT(E29,D29)&lt;2,"",E29-D29)</x:f>
      </x:c>
      <x:c r="F56" s="260" t="str">
        <x:f>IF(COUNT(F29,E29)&lt;2,"",F29-E29)</x:f>
      </x:c>
      <x:c r="G56" s="260" t="n">
        <x:f>IF(COUNT(G29,F29)&lt;2,"",G29-F29)</x:f>
        <x:v>458.9830000000002</x:v>
      </x:c>
      <x:c r="H56" s="260" t="n">
        <x:f>IF(COUNT(H29,G29)&lt;2,"",H29-G29)</x:f>
        <x:v>4218.0639999999985</x:v>
      </x:c>
      <x:c r="I56" s="260" t="n">
        <x:f>IF(COUNT(I29,H29)&lt;2,"",I29-H29)</x:f>
        <x:v>3859.9790962000043</x:v>
      </x:c>
      <x:c r="J56" s="260" t="n">
        <x:f>IF(COUNT(J29,I29)&lt;2,"",J29-I29)</x:f>
        <x:v>2655.8719156999978</x:v>
      </x:c>
      <x:c r="K56" s="260" t="n">
        <x:f>IF(COUNT(K29,J29)&lt;2,"",K29-J29)</x:f>
        <x:v>2072.3396888999996</x:v>
      </x:c>
      <x:c r="L56" s="260" t="n">
        <x:f>IF(COUNT(L29,K29)&lt;2,"",L29-K29)</x:f>
        <x:v>1530.0998599000013</x:v>
      </x:c>
      <x:c r="M56" s="260" t="n">
        <x:f>IF(COUNT(M29,L29)&lt;2,"",M29-L29)</x:f>
        <x:v>1302.7896873999998</x:v>
      </x:c>
      <x:c r="N56" s="338" t="str">
        <x:v>Equity + debt – cash</x:v>
      </x:c>
      <x:c r="O56" s="342"/>
      <x:c r="P56" s="342"/>
      <x:c r="Q56" s="342"/>
      <x:c r="R56" s="342"/>
      <x:c r="S56" s="342"/>
      <x:c r="T56" s="342"/>
      <x:c r="U56" s="342"/>
      <x:c r="V56" s="342"/>
      <x:c r="W56" s="342"/>
      <x:c r="X56" s="342"/>
      <x:c r="Y56" s="342"/>
      <x:c r="Z56" s="342"/>
      <x:c r="AA56" s="342"/>
      <x:c r="AB56" s="342"/>
      <x:c r="AC56" s="342"/>
      <x:c r="AD56" s="342"/>
      <x:c r="AE56" s="342"/>
      <x:c r="AF56" s="342"/>
      <x:c r="AG56" s="342"/>
      <x:c r="AH56" s="342"/>
    </x:row>
    <x:row r="57">
      <x:c r="A57" s="341" t="str">
        <x:v>Incremental Asset Turnover — same year</x:v>
      </x:c>
      <x:c r="B57" s="342" t="str">
        <x:v>x</x:v>
      </x:c>
      <x:c r="C57" s="342" t="str">
        <x:v>Formula</x:v>
      </x:c>
      <x:c r="D57" s="388"/>
      <x:c r="E57" s="388" t="str">
        <x:f>IFERROR(E53/E54,"")</x:f>
      </x:c>
      <x:c r="F57" s="388" t="str">
        <x:f>IFERROR(F53/F54,"")</x:f>
      </x:c>
      <x:c r="G57" s="388" t="n">
        <x:f>IFERROR(G53/G54,"")</x:f>
        <x:v>-0.5413729432739666</x:v>
      </x:c>
      <x:c r="H57" s="388" t="n">
        <x:f>IFERROR(H53/H54,"")</x:f>
        <x:v>2.4986862578869133</x:v>
      </x:c>
      <x:c r="I57" s="388" t="n">
        <x:f>IFERROR(I53/I54,"")</x:f>
        <x:v>0.8019253092986761</x:v>
      </x:c>
      <x:c r="J57" s="388" t="n">
        <x:f>IFERROR(J53/J54,"")</x:f>
        <x:v>1.640014308848226</x:v>
      </x:c>
      <x:c r="K57" s="388" t="n">
        <x:f>IFERROR(K53/K54,"")</x:f>
        <x:v>3.069393072133514</x:v>
      </x:c>
      <x:c r="L57" s="388" t="n">
        <x:f>IFERROR(L53/L54,"")</x:f>
        <x:v>5.097246093388219</x:v>
      </x:c>
      <x:c r="M57" s="388" t="n">
        <x:f>IFERROR(M53/M54,"")</x:f>
        <x:v>5.233992110499914</x:v>
      </x:c>
      <x:c r="N57" s="338" t="str">
        <x:v>Same-year diagnostic only</x:v>
      </x:c>
      <x:c r="O57" s="342"/>
      <x:c r="P57" s="342"/>
      <x:c r="Q57" s="342"/>
      <x:c r="R57" s="342"/>
      <x:c r="S57" s="342"/>
      <x:c r="T57" s="342"/>
      <x:c r="U57" s="342"/>
      <x:c r="V57" s="342"/>
      <x:c r="W57" s="342"/>
      <x:c r="X57" s="342"/>
      <x:c r="Y57" s="342"/>
      <x:c r="Z57" s="342"/>
      <x:c r="AA57" s="342"/>
      <x:c r="AB57" s="342"/>
      <x:c r="AC57" s="342"/>
      <x:c r="AD57" s="342"/>
      <x:c r="AE57" s="342"/>
      <x:c r="AF57" s="342"/>
      <x:c r="AG57" s="342"/>
      <x:c r="AH57" s="342"/>
    </x:row>
    <x:row r="58">
      <x:c r="A58" s="341" t="str">
        <x:v>Incremental Asset Turnover — 1Y lag</x:v>
      </x:c>
      <x:c r="B58" s="342" t="str">
        <x:v>x</x:v>
      </x:c>
      <x:c r="C58" s="342" t="str">
        <x:v>Formula</x:v>
      </x:c>
      <x:c r="D58" s="388"/>
      <x:c r="E58" s="388"/>
      <x:c r="F58" s="388" t="str">
        <x:f>IFERROR(F53/E54,"")</x:f>
      </x:c>
      <x:c r="G58" s="388" t="str">
        <x:f>IFERROR(G53/F54,"")</x:f>
      </x:c>
      <x:c r="H58" s="388" t="n">
        <x:f>IFERROR(H53/G54,"")</x:f>
        <x:v>3.6170568849822904</x:v>
      </x:c>
      <x:c r="I58" s="388" t="n">
        <x:f>IFERROR(I53/H54,"")</x:f>
        <x:v>1.37282896967207</x:v>
      </x:c>
      <x:c r="J58" s="388" t="n">
        <x:f>IFERROR(J53/I54,"")</x:f>
        <x:v>0.9760288765220015</x:v>
      </x:c>
      <x:c r="K58" s="388" t="n">
        <x:f>IFERROR(K53/J54,"")</x:f>
        <x:v>1.6537044307684354</x:v>
      </x:c>
      <x:c r="L58" s="388" t="n">
        <x:f>IFERROR(L53/K54,"")</x:f>
        <x:v>2.9351127577376293</x:v>
      </x:c>
      <x:c r="M58" s="388" t="n">
        <x:f>IFERROR(M53/L54,"")</x:f>
        <x:v>4.789102781255175</x:v>
      </x:c>
      <x:c r="N58" s="338" t="str">
        <x:v>Preferred when commissioning creates ~1Y lag</x:v>
      </x:c>
      <x:c r="O58" s="342"/>
      <x:c r="P58" s="342"/>
      <x:c r="Q58" s="342"/>
      <x:c r="R58" s="342"/>
      <x:c r="S58" s="342"/>
      <x:c r="T58" s="342"/>
      <x:c r="U58" s="342"/>
      <x:c r="V58" s="342"/>
      <x:c r="W58" s="342"/>
      <x:c r="X58" s="342"/>
      <x:c r="Y58" s="342"/>
      <x:c r="Z58" s="342"/>
      <x:c r="AA58" s="342"/>
      <x:c r="AB58" s="342"/>
      <x:c r="AC58" s="342"/>
      <x:c r="AD58" s="342"/>
      <x:c r="AE58" s="342"/>
      <x:c r="AF58" s="342"/>
      <x:c r="AG58" s="342"/>
      <x:c r="AH58" s="342"/>
    </x:row>
    <x:row r="59">
      <x:c r="A59" s="341" t="str">
        <x:v>Incremental Asset Turnover — 2Y lag</x:v>
      </x:c>
      <x:c r="B59" s="342" t="str">
        <x:v>x</x:v>
      </x:c>
      <x:c r="C59" s="342" t="str">
        <x:v>Formula</x:v>
      </x:c>
      <x:c r="D59" s="388"/>
      <x:c r="E59" s="388"/>
      <x:c r="F59" s="388"/>
      <x:c r="G59" s="388" t="str">
        <x:f>IFERROR(G53/E54,"")</x:f>
      </x:c>
      <x:c r="H59" s="388" t="str">
        <x:f>IFERROR(H53/F54,"")</x:f>
      </x:c>
      <x:c r="I59" s="388" t="n">
        <x:f>IFERROR(I53/G54,"")</x:f>
        <x:v>1.987284502398796</x:v>
      </x:c>
      <x:c r="J59" s="388" t="n">
        <x:f>IFERROR(J53/H54,"")</x:f>
        <x:v>1.670879695888031</x:v>
      </x:c>
      <x:c r="K59" s="388" t="n">
        <x:f>IFERROR(K53/I54,"")</x:f>
        <x:v>0.9841763385564124</x:v>
      </x:c>
      <x:c r="L59" s="388" t="n">
        <x:f>IFERROR(L53/J54,"")</x:f>
        <x:v>1.581357896563515</x:v>
      </x:c>
      <x:c r="M59" s="388" t="n">
        <x:f>IFERROR(M53/K54,"")</x:f>
        <x:v>2.7576766775322032</x:v>
      </x:c>
      <x:c r="N59" s="338" t="str">
        <x:v>Useful for longer validation / capability cycles</x:v>
      </x:c>
      <x:c r="O59" s="342"/>
      <x:c r="P59" s="342"/>
      <x:c r="Q59" s="342"/>
      <x:c r="R59" s="342"/>
      <x:c r="S59" s="342"/>
      <x:c r="T59" s="342"/>
      <x:c r="U59" s="342"/>
      <x:c r="V59" s="342"/>
      <x:c r="W59" s="342"/>
      <x:c r="X59" s="342"/>
      <x:c r="Y59" s="342"/>
      <x:c r="Z59" s="342"/>
      <x:c r="AA59" s="342"/>
      <x:c r="AB59" s="342"/>
      <x:c r="AC59" s="342"/>
      <x:c r="AD59" s="342"/>
      <x:c r="AE59" s="342"/>
      <x:c r="AF59" s="342"/>
      <x:c r="AG59" s="342"/>
      <x:c r="AH59" s="342"/>
    </x:row>
    <x:row r="60">
      <x:c r="A60" s="341" t="str">
        <x:v>Incremental Invested Asset Turnover — same year</x:v>
      </x:c>
      <x:c r="B60" s="342" t="str">
        <x:v>x</x:v>
      </x:c>
      <x:c r="C60" s="342" t="str">
        <x:v>Formula</x:v>
      </x:c>
      <x:c r="D60" s="388"/>
      <x:c r="E60" s="388" t="str">
        <x:f>IFERROR(E53/E55,"")</x:f>
      </x:c>
      <x:c r="F60" s="388" t="str">
        <x:f>IFERROR(F53/F55,"")</x:f>
      </x:c>
      <x:c r="G60" s="388" t="n">
        <x:f>IFERROR(G53/G55,"")</x:f>
        <x:v>-0.5462146016812115</x:v>
      </x:c>
      <x:c r="H60" s="388" t="n">
        <x:f>IFERROR(H53/H55,"")</x:f>
        <x:v>1.4240399853775632</x:v>
      </x:c>
      <x:c r="I60" s="388" t="n">
        <x:f>IFERROR(I53/I55,"")</x:f>
        <x:v>1.1805185399824096</x:v>
      </x:c>
      <x:c r="J60" s="388" t="n">
        <x:f>IFERROR(J53/J55,"")</x:f>
        <x:v>2.055353361738084</x:v>
      </x:c>
      <x:c r="K60" s="388" t="n">
        <x:f>IFERROR(K53/K55,"")</x:f>
        <x:v>3.274059297248721</x:v>
      </x:c>
      <x:c r="L60" s="388" t="n">
        <x:f>IFERROR(L53/L55,"")</x:f>
        <x:v>4.75323793244731</x:v>
      </x:c>
      <x:c r="M60" s="388" t="n">
        <x:f>IFERROR(M53/M55,"")</x:f>
        <x:v>4.850345985489283</x:v>
      </x:c>
      <x:c r="N60" s="338" t="str">
        <x:v>Includes CWIP</x:v>
      </x:c>
      <x:c r="O60" s="342"/>
      <x:c r="P60" s="342"/>
      <x:c r="Q60" s="342"/>
      <x:c r="R60" s="342"/>
      <x:c r="S60" s="342"/>
      <x:c r="T60" s="342"/>
      <x:c r="U60" s="342"/>
      <x:c r="V60" s="342"/>
      <x:c r="W60" s="342"/>
      <x:c r="X60" s="342"/>
      <x:c r="Y60" s="342"/>
      <x:c r="Z60" s="342"/>
      <x:c r="AA60" s="342"/>
      <x:c r="AB60" s="342"/>
      <x:c r="AC60" s="342"/>
      <x:c r="AD60" s="342"/>
      <x:c r="AE60" s="342"/>
      <x:c r="AF60" s="342"/>
      <x:c r="AG60" s="342"/>
      <x:c r="AH60" s="342"/>
    </x:row>
    <x:row r="61">
      <x:c r="A61" s="341" t="str">
        <x:v>Incremental EBITDA / Incremental Capital Employed</x:v>
      </x:c>
      <x:c r="B61" s="342" t="str">
        <x:v>x</x:v>
      </x:c>
      <x:c r="C61" s="342" t="str">
        <x:v>Formula</x:v>
      </x:c>
      <x:c r="D61" s="388"/>
      <x:c r="E61" s="388" t="str">
        <x:f>IFERROR((E12-D12)/E56,"")</x:f>
      </x:c>
      <x:c r="F61" s="388" t="str">
        <x:f>IFERROR((F12-E12)/F56,"")</x:f>
      </x:c>
      <x:c r="G61" s="388" t="n">
        <x:f>IFERROR((G12-F12)/G56,"")</x:f>
        <x:v>-2.862082037896827</x:v>
      </x:c>
      <x:c r="H61" s="388" t="n">
        <x:f>IFERROR((H12-G12)/H56,"")</x:f>
        <x:v>0.6185181163680782</x:v>
      </x:c>
      <x:c r="I61" s="388" t="n">
        <x:f>IFERROR((I12-H12)/I56,"")</x:f>
        <x:v>0.24570228176460004</x:v>
      </x:c>
      <x:c r="J61" s="388" t="n">
        <x:f>IFERROR((J12-I12)/J56,"")</x:f>
        <x:v>0.5091123969858399</x:v>
      </x:c>
      <x:c r="K61" s="388" t="n">
        <x:f>IFERROR((K12-J12)/K56,"")</x:f>
        <x:v>0.698091761159871</x:v>
      </x:c>
      <x:c r="L61" s="388" t="n">
        <x:f>IFERROR((L12-K12)/L56,"")</x:f>
        <x:v>0.9451663103499767</x:v>
      </x:c>
      <x:c r="M61" s="388" t="n">
        <x:f>IFERROR((M12-L12)/M56,"")</x:f>
        <x:v>1.054707850669466</x:v>
      </x:c>
      <x:c r="N61" s="338" t="str">
        <x:v>Directional capital yield</x:v>
      </x:c>
      <x:c r="O61" s="342"/>
      <x:c r="P61" s="342"/>
      <x:c r="Q61" s="342"/>
      <x:c r="R61" s="342"/>
      <x:c r="S61" s="342"/>
      <x:c r="T61" s="342"/>
      <x:c r="U61" s="342"/>
      <x:c r="V61" s="342"/>
      <x:c r="W61" s="342"/>
      <x:c r="X61" s="342"/>
      <x:c r="Y61" s="342"/>
      <x:c r="Z61" s="342"/>
      <x:c r="AA61" s="342"/>
      <x:c r="AB61" s="342"/>
      <x:c r="AC61" s="342"/>
      <x:c r="AD61" s="342"/>
      <x:c r="AE61" s="342"/>
      <x:c r="AF61" s="342"/>
      <x:c r="AG61" s="342"/>
      <x:c r="AH61" s="342"/>
    </x:row>
    <x:row r="62">
      <x:c r="A62" s="341" t="str">
        <x:v>Incremental EBIT / Incremental Capital Employed</x:v>
      </x:c>
      <x:c r="B62" s="342" t="str">
        <x:v>x</x:v>
      </x:c>
      <x:c r="C62" s="342" t="str">
        <x:v>Formula</x:v>
      </x:c>
      <x:c r="D62" s="388"/>
      <x:c r="E62" s="388" t="str">
        <x:f>IFERROR((E14-D14)/E56,"")</x:f>
      </x:c>
      <x:c r="F62" s="388" t="str">
        <x:f>IFERROR((F14-E14)/F56,"")</x:f>
      </x:c>
      <x:c r="G62" s="388" t="n">
        <x:f>IFERROR((G14-F14)/G56,"")</x:f>
        <x:v>-2.989465840782773</x:v>
      </x:c>
      <x:c r="H62" s="388" t="n">
        <x:f>IFERROR((H14-G14)/H56,"")</x:f>
        <x:v>0.5564211448664602</x:v>
      </x:c>
      <x:c r="I62" s="388" t="n">
        <x:f>IFERROR((I14-H14)/I56,"")</x:f>
        <x:v>0.23513241623342018</x:v>
      </x:c>
      <x:c r="J62" s="388" t="n">
        <x:f>IFERROR((J14-I14)/J56,"")</x:f>
        <x:v>0.40936042124714006</x:v>
      </x:c>
      <x:c r="K62" s="388" t="n">
        <x:f>IFERROR((K14-J14)/K56,"")</x:f>
        <x:v>0.6246978809537581</x:v>
      </x:c>
      <x:c r="L62" s="388" t="n">
        <x:f>IFERROR((L14-K14)/L56,"")</x:f>
        <x:v>0.8903210000872305</x:v>
      </x:c>
      <x:c r="M62" s="388" t="n">
        <x:f>IFERROR((M14-L14)/M56,"")</x:f>
        <x:v>1.0096328827099066</x:v>
      </x:c>
      <x:c r="N62" s="338" t="str">
        <x:v>Directional capital yield</x:v>
      </x:c>
      <x:c r="O62" s="342"/>
      <x:c r="P62" s="342"/>
      <x:c r="Q62" s="342"/>
      <x:c r="R62" s="342"/>
      <x:c r="S62" s="342"/>
      <x:c r="T62" s="342"/>
      <x:c r="U62" s="342"/>
      <x:c r="V62" s="342"/>
      <x:c r="W62" s="342"/>
      <x:c r="X62" s="342"/>
      <x:c r="Y62" s="342"/>
      <x:c r="Z62" s="342"/>
      <x:c r="AA62" s="342"/>
      <x:c r="AB62" s="342"/>
      <x:c r="AC62" s="342"/>
      <x:c r="AD62" s="342"/>
      <x:c r="AE62" s="342"/>
      <x:c r="AF62" s="342"/>
      <x:c r="AG62" s="342"/>
      <x:c r="AH62" s="342"/>
    </x:row>
    <x:row r="63">
      <x:c r="A63" s="341" t="str">
        <x:v>Incremental Revenue / Growth Capex — same year</x:v>
      </x:c>
      <x:c r="B63" s="342" t="str">
        <x:v>x</x:v>
      </x:c>
      <x:c r="C63" s="342" t="str">
        <x:v>Formula</x:v>
      </x:c>
      <x:c r="D63" s="388"/>
      <x:c r="E63" s="388" t="str">
        <x:f>IFERROR(E53/E18,"")</x:f>
      </x:c>
      <x:c r="F63" s="388" t="n">
        <x:f>IFERROR(F53/F18,"")</x:f>
        <x:v>2.557131004567418</x:v>
      </x:c>
      <x:c r="G63" s="388" t="n">
        <x:f>IFERROR(G53/G18,"")</x:f>
        <x:v>-0.3959198698078119</x:v>
      </x:c>
      <x:c r="H63" s="388" t="n">
        <x:f>IFERROR(H53/H18,"")</x:f>
        <x:v>1.375230307497178</x:v>
      </x:c>
      <x:c r="I63" s="388" t="n">
        <x:f>IFERROR(I53/I18,"")</x:f>
        <x:v>0.8573281614285713</x:v>
      </x:c>
      <x:c r="J63" s="388" t="n">
        <x:f>IFERROR(J53/J18,"")</x:f>
        <x:v>1.2173700857900003</x:v>
      </x:c>
      <x:c r="K63" s="388" t="n">
        <x:f>IFERROR(K53/K18,"")</x:f>
        <x:v>1.4730385903789196</x:v>
      </x:c>
      <x:c r="L63" s="388" t="n">
        <x:f>IFERROR(L53/L18,"")</x:f>
        <x:v>1.6006771081352285</x:v>
      </x:c>
      <x:c r="M63" s="388" t="n">
        <x:f>IFERROR(M53/M18,"")</x:f>
        <x:v>1.503911533799682</x:v>
      </x:c>
      <x:c r="N63" s="338" t="str">
        <x:v>Not causal</x:v>
      </x:c>
      <x:c r="O63" s="342"/>
      <x:c r="P63" s="342"/>
      <x:c r="Q63" s="342"/>
      <x:c r="R63" s="342"/>
      <x:c r="S63" s="342"/>
      <x:c r="T63" s="342"/>
      <x:c r="U63" s="342"/>
      <x:c r="V63" s="342"/>
      <x:c r="W63" s="342"/>
      <x:c r="X63" s="342"/>
      <x:c r="Y63" s="342"/>
      <x:c r="Z63" s="342"/>
      <x:c r="AA63" s="342"/>
      <x:c r="AB63" s="342"/>
      <x:c r="AC63" s="342"/>
      <x:c r="AD63" s="342"/>
      <x:c r="AE63" s="342"/>
      <x:c r="AF63" s="342"/>
      <x:c r="AG63" s="342"/>
      <x:c r="AH63" s="342"/>
    </x:row>
    <x:row r="64">
      <x:c r="A64" s="341" t="str">
        <x:v>Incremental Revenue / Growth Capex — 1Y lag</x:v>
      </x:c>
      <x:c r="B64" s="342" t="str">
        <x:v>x</x:v>
      </x:c>
      <x:c r="C64" s="342" t="str">
        <x:v>Formula</x:v>
      </x:c>
      <x:c r="D64" s="388"/>
      <x:c r="E64" s="388"/>
      <x:c r="F64" s="388" t="str">
        <x:f>IFERROR(F53/E18,"")</x:f>
      </x:c>
      <x:c r="G64" s="388" t="n">
        <x:f>IFERROR(G53/F18,"")</x:f>
        <x:v>-0.5689657812567434</x:v>
      </x:c>
      <x:c r="H64" s="388" t="n">
        <x:f>IFERROR(H53/G18,"")</x:f>
        <x:v>2.6452461446063236</x:v>
      </x:c>
      <x:c r="I64" s="388" t="n">
        <x:f>IFERROR(I53/H18,"")</x:f>
        <x:v>0.7555794570622721</x:v>
      </x:c>
      <x:c r="J64" s="388" t="n">
        <x:f>IFERROR(J53/I18,"")</x:f>
        <x:v>1.043460073534286</x:v>
      </x:c>
      <x:c r="K64" s="388" t="n">
        <x:f>IFERROR(K53/J18,"")</x:f>
        <x:v>1.2275321586490997</x:v>
      </x:c>
      <x:c r="L64" s="388" t="n">
        <x:f>IFERROR(L53/K18,"")</x:f>
        <x:v>1.408595855159001</x:v>
      </x:c>
      <x:c r="M64" s="388" t="n">
        <x:f>IFERROR(M53/L18,"")</x:f>
        <x:v>1.503911533799682</x:v>
      </x:c>
      <x:c r="N64" s="338" t="str">
        <x:v>Preferred capex cross-check</x:v>
      </x:c>
      <x:c r="O64" s="342"/>
      <x:c r="P64" s="342"/>
      <x:c r="Q64" s="342"/>
      <x:c r="R64" s="342"/>
      <x:c r="S64" s="342"/>
      <x:c r="T64" s="342"/>
      <x:c r="U64" s="342"/>
      <x:c r="V64" s="342"/>
      <x:c r="W64" s="342"/>
      <x:c r="X64" s="342"/>
      <x:c r="Y64" s="342"/>
      <x:c r="Z64" s="342"/>
      <x:c r="AA64" s="342"/>
      <x:c r="AB64" s="342"/>
      <x:c r="AC64" s="342"/>
      <x:c r="AD64" s="342"/>
      <x:c r="AE64" s="342"/>
      <x:c r="AF64" s="342"/>
      <x:c r="AG64" s="342"/>
      <x:c r="AH64" s="342"/>
    </x:row>
    <x:row r="65">
      <x:c r="A65" s="341" t="str">
        <x:v>Incremental Revenue / Growth Capex — 2Y lag</x:v>
      </x:c>
      <x:c r="B65" s="342" t="str">
        <x:v>x</x:v>
      </x:c>
      <x:c r="C65" s="342" t="str">
        <x:v>Formula</x:v>
      </x:c>
      <x:c r="D65" s="388"/>
      <x:c r="E65" s="388"/>
      <x:c r="F65" s="388"/>
      <x:c r="G65" s="388" t="str">
        <x:f>IFERROR(G53/E18,"")</x:f>
      </x:c>
      <x:c r="H65" s="388" t="n">
        <x:f>IFERROR(H53/F18,"")</x:f>
        <x:v>3.8014119877663917</x:v>
      </x:c>
      <x:c r="I65" s="388" t="n">
        <x:f>IFERROR(I53/G18,"")</x:f>
        <x:v>1.4533519475550216</x:v>
      </x:c>
      <x:c r="J65" s="388" t="n">
        <x:f>IFERROR(J53/H18,"")</x:f>
        <x:v>0.9196210171300686</x:v>
      </x:c>
      <x:c r="K65" s="388" t="n">
        <x:f>IFERROR(K53/I18,"")</x:f>
        <x:v>1.0521704216992283</x:v>
      </x:c>
      <x:c r="L65" s="388" t="n">
        <x:f>IFERROR(L53/J18,"")</x:f>
        <x:v>1.1738298792991675</x:v>
      </x:c>
      <x:c r="M65" s="388" t="n">
        <x:f>IFERROR(M53/K18,"")</x:f>
        <x:v>1.32344214974372</x:v>
      </x:c>
      <x:c r="N65" s="338" t="str">
        <x:v>Long-lag cross-check</x:v>
      </x:c>
      <x:c r="O65" s="342"/>
      <x:c r="P65" s="342"/>
      <x:c r="Q65" s="342"/>
      <x:c r="R65" s="342"/>
      <x:c r="S65" s="342"/>
      <x:c r="T65" s="342"/>
      <x:c r="U65" s="342"/>
      <x:c r="V65" s="342"/>
      <x:c r="W65" s="342"/>
      <x:c r="X65" s="342"/>
      <x:c r="Y65" s="342"/>
      <x:c r="Z65" s="342"/>
      <x:c r="AA65" s="342"/>
      <x:c r="AB65" s="342"/>
      <x:c r="AC65" s="342"/>
      <x:c r="AD65" s="342"/>
      <x:c r="AE65" s="342"/>
      <x:c r="AF65" s="342"/>
      <x:c r="AG65" s="342"/>
      <x:c r="AH65" s="342"/>
    </x:row>
    <x:row r="66">
      <x:c r="A66" s="341"/>
      <x:c r="B66" s="342"/>
      <x:c r="C66" s="342"/>
      <x:c r="D66" s="343"/>
      <x:c r="E66" s="343"/>
      <x:c r="F66" s="343"/>
      <x:c r="G66" s="343"/>
      <x:c r="H66" s="343"/>
      <x:c r="I66" s="343"/>
      <x:c r="J66" s="343"/>
      <x:c r="K66" s="343"/>
      <x:c r="L66" s="343"/>
      <x:c r="M66" s="343"/>
      <x:c r="N66" s="338"/>
      <x:c r="O66" s="342"/>
      <x:c r="P66" s="342"/>
      <x:c r="Q66" s="342"/>
      <x:c r="R66" s="342"/>
      <x:c r="S66" s="342"/>
      <x:c r="T66" s="342"/>
      <x:c r="U66" s="342"/>
      <x:c r="V66" s="342"/>
      <x:c r="W66" s="342"/>
      <x:c r="X66" s="342"/>
      <x:c r="Y66" s="342"/>
      <x:c r="Z66" s="342"/>
      <x:c r="AA66" s="342"/>
      <x:c r="AB66" s="342"/>
      <x:c r="AC66" s="342"/>
      <x:c r="AD66" s="342"/>
      <x:c r="AE66" s="342"/>
      <x:c r="AF66" s="342"/>
      <x:c r="AG66" s="342"/>
      <x:c r="AH66" s="342"/>
    </x:row>
    <x:row r="67">
      <x:c r="A67" s="341"/>
      <x:c r="B67" s="342"/>
      <x:c r="C67" s="342"/>
      <x:c r="D67" s="343"/>
      <x:c r="E67" s="343"/>
      <x:c r="F67" s="343"/>
      <x:c r="G67" s="343"/>
      <x:c r="H67" s="343"/>
      <x:c r="I67" s="343"/>
      <x:c r="J67" s="343"/>
      <x:c r="K67" s="343"/>
      <x:c r="L67" s="343"/>
      <x:c r="M67" s="343"/>
      <x:c r="N67" s="338"/>
      <x:c r="O67" s="342"/>
      <x:c r="P67" s="342"/>
      <x:c r="Q67" s="342"/>
      <x:c r="R67" s="342"/>
      <x:c r="S67" s="342"/>
      <x:c r="T67" s="342"/>
      <x:c r="U67" s="342"/>
      <x:c r="V67" s="342"/>
      <x:c r="W67" s="342"/>
      <x:c r="X67" s="342"/>
      <x:c r="Y67" s="342"/>
      <x:c r="Z67" s="342"/>
      <x:c r="AA67" s="342"/>
      <x:c r="AB67" s="342"/>
      <x:c r="AC67" s="342"/>
      <x:c r="AD67" s="342"/>
      <x:c r="AE67" s="342"/>
      <x:c r="AF67" s="342"/>
      <x:c r="AG67" s="342"/>
      <x:c r="AH67" s="342"/>
    </x:row>
    <x:row r="68">
      <x:c r="A68" s="341"/>
      <x:c r="B68" s="342"/>
      <x:c r="C68" s="342"/>
      <x:c r="D68" s="343"/>
      <x:c r="E68" s="343"/>
      <x:c r="F68" s="343"/>
      <x:c r="G68" s="343"/>
      <x:c r="H68" s="343"/>
      <x:c r="I68" s="343"/>
      <x:c r="J68" s="343"/>
      <x:c r="K68" s="343"/>
      <x:c r="L68" s="343"/>
      <x:c r="M68" s="343"/>
      <x:c r="N68" s="338"/>
      <x:c r="O68" s="342"/>
      <x:c r="P68" s="342"/>
      <x:c r="Q68" s="342"/>
      <x:c r="R68" s="342"/>
      <x:c r="S68" s="342"/>
      <x:c r="T68" s="342"/>
      <x:c r="U68" s="342"/>
      <x:c r="V68" s="342"/>
      <x:c r="W68" s="342"/>
      <x:c r="X68" s="342"/>
      <x:c r="Y68" s="342"/>
      <x:c r="Z68" s="342"/>
      <x:c r="AA68" s="342"/>
      <x:c r="AB68" s="342"/>
      <x:c r="AC68" s="342"/>
      <x:c r="AD68" s="342"/>
      <x:c r="AE68" s="342"/>
      <x:c r="AF68" s="342"/>
      <x:c r="AG68" s="342"/>
      <x:c r="AH68" s="342"/>
    </x:row>
    <x:row r="69" ht="20" customHeight="1">
      <x:c r="A69" s="30" t="str">
        <x:v>C. Capex Cycle Analysis</x:v>
      </x:c>
      <x:c r="B69" s="30"/>
      <x:c r="C69" s="30"/>
      <x:c r="D69" s="175"/>
      <x:c r="E69" s="175"/>
      <x:c r="F69" s="175"/>
      <x:c r="G69" s="175"/>
      <x:c r="H69" s="175"/>
      <x:c r="I69" s="175"/>
      <x:c r="J69" s="175"/>
      <x:c r="K69" s="175"/>
      <x:c r="L69" s="175"/>
      <x:c r="M69" s="175"/>
      <x:c r="N69" s="223"/>
      <x:c r="O69" s="30"/>
      <x:c r="P69" s="444"/>
      <x:c r="Q69" s="444"/>
      <x:c r="R69" s="444"/>
      <x:c r="S69" s="444"/>
      <x:c r="T69" s="444"/>
      <x:c r="U69" s="444"/>
      <x:c r="V69" s="444"/>
      <x:c r="W69" s="444"/>
      <x:c r="X69" s="444"/>
      <x:c r="Y69" s="444"/>
      <x:c r="Z69" s="444"/>
      <x:c r="AA69" s="444"/>
      <x:c r="AB69" s="444"/>
      <x:c r="AC69" s="444"/>
      <x:c r="AD69" s="444"/>
      <x:c r="AE69" s="444"/>
      <x:c r="AF69" s="444"/>
      <x:c r="AG69" s="444"/>
      <x:c r="AH69" s="444"/>
    </x:row>
    <x:row r="70">
      <x:c r="A70" s="160" t="str">
        <x:v>Stage</x:v>
      </x:c>
      <x:c r="B70" s="15" t="str">
        <x:v>Characteristics</x:v>
      </x:c>
      <x:c r="C70" s="15" t="str">
        <x:v>Neuland Evidence</x:v>
      </x:c>
      <x:c r="D70" s="168" t="str">
        <x:v>Current Assessment</x:v>
      </x:c>
      <x:c r="E70" s="168" t="str">
        <x:v>Investment Read-through</x:v>
      </x:c>
      <x:c r="F70" s="343"/>
      <x:c r="G70" s="343"/>
      <x:c r="H70" s="343"/>
      <x:c r="I70" s="343"/>
      <x:c r="J70" s="343"/>
      <x:c r="K70" s="343"/>
      <x:c r="L70" s="343"/>
      <x:c r="M70" s="343"/>
      <x:c r="N70" s="338"/>
      <x:c r="O70" s="342"/>
      <x:c r="P70" s="342"/>
      <x:c r="Q70" s="342"/>
      <x:c r="R70" s="342"/>
      <x:c r="S70" s="342"/>
      <x:c r="T70" s="342"/>
      <x:c r="U70" s="342"/>
      <x:c r="V70" s="342"/>
      <x:c r="W70" s="342"/>
      <x:c r="X70" s="342"/>
      <x:c r="Y70" s="342"/>
      <x:c r="Z70" s="342"/>
      <x:c r="AA70" s="342"/>
      <x:c r="AB70" s="342"/>
      <x:c r="AC70" s="342"/>
      <x:c r="AD70" s="342"/>
      <x:c r="AE70" s="342"/>
      <x:c r="AF70" s="342"/>
      <x:c r="AG70" s="342"/>
      <x:c r="AH70" s="342"/>
    </x:row>
    <x:row r="71" ht="54" customHeight="1">
      <x:c r="A71" s="337" t="str">
        <x:v>1 — Investment</x:v>
      </x:c>
      <x:c r="B71" s="338" t="str">
        <x:v>High capex; CWIP rises; FCF pressured</x:v>
      </x:c>
      <x:c r="C71" s="338" t="str">
        <x:v>FY26 capex ₹3,971m; CWIP ₹2,095m; FCF negative</x:v>
      </x:c>
      <x:c r="D71" s="352" t="str">
        <x:v>Partly complete</x:v>
      </x:c>
      <x:c r="E71" s="352" t="str">
        <x:v>Capital creation remains elevated</x:v>
      </x:c>
      <x:c r="F71" s="343"/>
      <x:c r="G71" s="343"/>
      <x:c r="H71" s="343"/>
      <x:c r="I71" s="343"/>
      <x:c r="J71" s="343"/>
      <x:c r="K71" s="343"/>
      <x:c r="L71" s="343"/>
      <x:c r="M71" s="343"/>
      <x:c r="N71" s="338"/>
      <x:c r="O71" s="342"/>
      <x:c r="P71" s="342"/>
      <x:c r="Q71" s="342"/>
      <x:c r="R71" s="342"/>
      <x:c r="S71" s="342"/>
      <x:c r="T71" s="342"/>
      <x:c r="U71" s="342"/>
      <x:c r="V71" s="342"/>
      <x:c r="W71" s="342"/>
      <x:c r="X71" s="342"/>
      <x:c r="Y71" s="342"/>
      <x:c r="Z71" s="342"/>
      <x:c r="AA71" s="342"/>
      <x:c r="AB71" s="342"/>
      <x:c r="AC71" s="342"/>
      <x:c r="AD71" s="342"/>
      <x:c r="AE71" s="342"/>
      <x:c r="AF71" s="342"/>
      <x:c r="AG71" s="342"/>
      <x:c r="AH71" s="342"/>
    </x:row>
    <x:row r="72" ht="54" customHeight="1">
      <x:c r="A72" s="337" t="str">
        <x:v>2 — Commissioning</x:v>
      </x:c>
      <x:c r="B72" s="338" t="str">
        <x:v>CWIP → PP&amp;E; depreciation rises; revenue may lag</x:v>
      </x:c>
      <x:c r="C72" s="338" t="str">
        <x:v>52 KL Unit III block commissioned; Unit I 19 KL block established; peptide block still commissioning</x:v>
      </x:c>
      <x:c r="D72" s="352" t="str">
        <x:v>Active</x:v>
      </x:c>
      <x:c r="E72" s="352" t="str">
        <x:v>Small-molecule blocks have moved into productive phase</x:v>
      </x:c>
      <x:c r="F72" s="343"/>
      <x:c r="G72" s="343"/>
      <x:c r="H72" s="343"/>
      <x:c r="I72" s="343"/>
      <x:c r="J72" s="343"/>
      <x:c r="K72" s="343"/>
      <x:c r="L72" s="343"/>
      <x:c r="M72" s="343"/>
      <x:c r="N72" s="338"/>
      <x:c r="O72" s="342"/>
      <x:c r="P72" s="342"/>
      <x:c r="Q72" s="342"/>
      <x:c r="R72" s="342"/>
      <x:c r="S72" s="342"/>
      <x:c r="T72" s="342"/>
      <x:c r="U72" s="342"/>
      <x:c r="V72" s="342"/>
      <x:c r="W72" s="342"/>
      <x:c r="X72" s="342"/>
      <x:c r="Y72" s="342"/>
      <x:c r="Z72" s="342"/>
      <x:c r="AA72" s="342"/>
      <x:c r="AB72" s="342"/>
      <x:c r="AC72" s="342"/>
      <x:c r="AD72" s="342"/>
      <x:c r="AE72" s="342"/>
      <x:c r="AF72" s="342"/>
      <x:c r="AG72" s="342"/>
      <x:c r="AH72" s="342"/>
    </x:row>
    <x:row r="73" ht="54" customHeight="1">
      <x:c r="A73" s="337" t="str">
        <x:v>3 — Utilisation Ramp</x:v>
      </x:c>
      <x:c r="B73" s="338" t="str">
        <x:v>Campaigns increase; revenue outgrows asset base; margins/ROCE improve</x:v>
      </x:c>
      <x:c r="C73" s="338" t="str">
        <x:v>FY26 CMS revenue / mix stepped up; ROCE recovered to 26.1%</x:v>
      </x:c>
      <x:c r="D73" s="352" t="str">
        <x:v>Emerging</x:v>
      </x:c>
      <x:c r="E73" s="352" t="str">
        <x:v>Evidence of monetisation in existing CMS / small-molecule asset base</x:v>
      </x:c>
      <x:c r="F73" s="343"/>
      <x:c r="G73" s="343"/>
      <x:c r="H73" s="343"/>
      <x:c r="I73" s="343"/>
      <x:c r="J73" s="343"/>
      <x:c r="K73" s="343"/>
      <x:c r="L73" s="343"/>
      <x:c r="M73" s="343"/>
      <x:c r="N73" s="338"/>
      <x:c r="O73" s="342"/>
      <x:c r="P73" s="342"/>
      <x:c r="Q73" s="342"/>
      <x:c r="R73" s="342"/>
      <x:c r="S73" s="342"/>
      <x:c r="T73" s="342"/>
      <x:c r="U73" s="342"/>
      <x:c r="V73" s="342"/>
      <x:c r="W73" s="342"/>
      <x:c r="X73" s="342"/>
      <x:c r="Y73" s="342"/>
      <x:c r="Z73" s="342"/>
      <x:c r="AA73" s="342"/>
      <x:c r="AB73" s="342"/>
      <x:c r="AC73" s="342"/>
      <x:c r="AD73" s="342"/>
      <x:c r="AE73" s="342"/>
      <x:c r="AF73" s="342"/>
      <x:c r="AG73" s="342"/>
      <x:c r="AH73" s="342"/>
    </x:row>
    <x:row r="74" ht="54" customHeight="1">
      <x:c r="A74" s="337" t="str">
        <x:v>4 — Monetisation / Maturity</x:v>
      </x:c>
      <x:c r="B74" s="338" t="str">
        <x:v>Capex normalises; FCF / turnover strengthen</x:v>
      </x:c>
      <x:c r="C74" s="338" t="str">
        <x:v>Not yet established for peptide / new R&amp;D investments</x:v>
      </x:c>
      <x:c r="D74" s="352" t="str">
        <x:v>Not reached for new capability capex</x:v>
      </x:c>
      <x:c r="E74" s="352" t="str">
        <x:v>FY27–FY29 proof point is turnover / ROCE recovery after capitalisation</x:v>
      </x:c>
      <x:c r="F74" s="343"/>
      <x:c r="G74" s="343"/>
      <x:c r="H74" s="343"/>
      <x:c r="I74" s="343"/>
      <x:c r="J74" s="343"/>
      <x:c r="K74" s="343"/>
      <x:c r="L74" s="343"/>
      <x:c r="M74" s="343"/>
      <x:c r="N74" s="338"/>
      <x:c r="O74" s="342"/>
      <x:c r="P74" s="342"/>
      <x:c r="Q74" s="342"/>
      <x:c r="R74" s="342"/>
      <x:c r="S74" s="342"/>
      <x:c r="T74" s="342"/>
      <x:c r="U74" s="342"/>
      <x:c r="V74" s="342"/>
      <x:c r="W74" s="342"/>
      <x:c r="X74" s="342"/>
      <x:c r="Y74" s="342"/>
      <x:c r="Z74" s="342"/>
      <x:c r="AA74" s="342"/>
      <x:c r="AB74" s="342"/>
      <x:c r="AC74" s="342"/>
      <x:c r="AD74" s="342"/>
      <x:c r="AE74" s="342"/>
      <x:c r="AF74" s="342"/>
      <x:c r="AG74" s="342"/>
      <x:c r="AH74" s="342"/>
    </x:row>
    <x:row r="75">
      <x:c r="A75" s="341"/>
      <x:c r="B75" s="342"/>
      <x:c r="C75" s="342"/>
      <x:c r="D75" s="343"/>
      <x:c r="E75" s="343"/>
      <x:c r="F75" s="343"/>
      <x:c r="G75" s="343"/>
      <x:c r="H75" s="343"/>
      <x:c r="I75" s="343"/>
      <x:c r="J75" s="343"/>
      <x:c r="K75" s="343"/>
      <x:c r="L75" s="343"/>
      <x:c r="M75" s="343"/>
      <x:c r="N75" s="338"/>
      <x:c r="O75" s="342"/>
      <x:c r="P75" s="342"/>
      <x:c r="Q75" s="342"/>
      <x:c r="R75" s="342"/>
      <x:c r="S75" s="342"/>
      <x:c r="T75" s="342"/>
      <x:c r="U75" s="342"/>
      <x:c r="V75" s="342"/>
      <x:c r="W75" s="342"/>
      <x:c r="X75" s="342"/>
      <x:c r="Y75" s="342"/>
      <x:c r="Z75" s="342"/>
      <x:c r="AA75" s="342"/>
      <x:c r="AB75" s="342"/>
      <x:c r="AC75" s="342"/>
      <x:c r="AD75" s="342"/>
      <x:c r="AE75" s="342"/>
      <x:c r="AF75" s="342"/>
      <x:c r="AG75" s="342"/>
      <x:c r="AH75" s="342"/>
    </x:row>
    <x:row r="76">
      <x:c r="A76" s="160" t="str">
        <x:v>Analyst Assessment of Current Capex Cycle</x:v>
      </x:c>
      <x:c r="B76" s="15" t="str">
        <x:v>Current Stage</x:v>
      </x:c>
      <x:c r="C76" s="15" t="str">
        <x:v>What Must Happen Next</x:v>
      </x:c>
      <x:c r="D76" s="168" t="str">
        <x:v>Investment Implication</x:v>
      </x:c>
      <x:c r="E76" s="343"/>
      <x:c r="F76" s="343"/>
      <x:c r="G76" s="343"/>
      <x:c r="H76" s="343"/>
      <x:c r="I76" s="343"/>
      <x:c r="J76" s="343"/>
      <x:c r="K76" s="343"/>
      <x:c r="L76" s="343"/>
      <x:c r="M76" s="343"/>
      <x:c r="N76" s="338"/>
      <x:c r="O76" s="342"/>
      <x:c r="P76" s="342"/>
      <x:c r="Q76" s="342"/>
      <x:c r="R76" s="342"/>
      <x:c r="S76" s="342"/>
      <x:c r="T76" s="342"/>
      <x:c r="U76" s="342"/>
      <x:c r="V76" s="342"/>
      <x:c r="W76" s="342"/>
      <x:c r="X76" s="342"/>
      <x:c r="Y76" s="342"/>
      <x:c r="Z76" s="342"/>
      <x:c r="AA76" s="342"/>
      <x:c r="AB76" s="342"/>
      <x:c r="AC76" s="342"/>
      <x:c r="AD76" s="342"/>
      <x:c r="AE76" s="342"/>
      <x:c r="AF76" s="342"/>
      <x:c r="AG76" s="342"/>
      <x:c r="AH76" s="342"/>
    </x:row>
    <x:row r="77" ht="58" customHeight="1">
      <x:c r="A77" s="337" t="str">
        <x:v>Recent small-molecule blocks are moving from commissioning into utilisation, while peptide/R&amp;D capability capex remains in investment/commissioning.</x:v>
      </x:c>
      <x:c r="B77" s="338" t="str">
        <x:v>Stage 2 → Stage 3 transition</x:v>
      </x:c>
      <x:c r="C77" s="338" t="str">
        <x:v>Convert FY26 CWIP into productive PP&amp;E; sustain CMS campaigns; secure peptide commercial validation</x:v>
      </x:c>
      <x:c r="D77" s="352" t="str">
        <x:v>Positive small-molecule monetisation evidence, but peptide returns remain unproven and can dilute near-term productivity</x:v>
      </x:c>
      <x:c r="E77" s="343"/>
      <x:c r="F77" s="343"/>
      <x:c r="G77" s="343"/>
      <x:c r="H77" s="343"/>
      <x:c r="I77" s="343"/>
      <x:c r="J77" s="343"/>
      <x:c r="K77" s="343"/>
      <x:c r="L77" s="343"/>
      <x:c r="M77" s="343"/>
      <x:c r="N77" s="338"/>
      <x:c r="O77" s="342"/>
      <x:c r="P77" s="342"/>
      <x:c r="Q77" s="342"/>
      <x:c r="R77" s="342"/>
      <x:c r="S77" s="342"/>
      <x:c r="T77" s="342"/>
      <x:c r="U77" s="342"/>
      <x:c r="V77" s="342"/>
      <x:c r="W77" s="342"/>
      <x:c r="X77" s="342"/>
      <x:c r="Y77" s="342"/>
      <x:c r="Z77" s="342"/>
      <x:c r="AA77" s="342"/>
      <x:c r="AB77" s="342"/>
      <x:c r="AC77" s="342"/>
      <x:c r="AD77" s="342"/>
      <x:c r="AE77" s="342"/>
      <x:c r="AF77" s="342"/>
      <x:c r="AG77" s="342"/>
      <x:c r="AH77" s="342"/>
    </x:row>
    <x:row r="78">
      <x:c r="A78" s="341"/>
      <x:c r="B78" s="342"/>
      <x:c r="C78" s="342"/>
      <x:c r="D78" s="343"/>
      <x:c r="E78" s="343"/>
      <x:c r="F78" s="343"/>
      <x:c r="G78" s="343"/>
      <x:c r="H78" s="343"/>
      <x:c r="I78" s="343"/>
      <x:c r="J78" s="343"/>
      <x:c r="K78" s="343"/>
      <x:c r="L78" s="343"/>
      <x:c r="M78" s="343"/>
      <x:c r="N78" s="338"/>
      <x:c r="O78" s="342"/>
      <x:c r="P78" s="342"/>
      <x:c r="Q78" s="342"/>
      <x:c r="R78" s="342"/>
      <x:c r="S78" s="342"/>
      <x:c r="T78" s="342"/>
      <x:c r="U78" s="342"/>
      <x:c r="V78" s="342"/>
      <x:c r="W78" s="342"/>
      <x:c r="X78" s="342"/>
      <x:c r="Y78" s="342"/>
      <x:c r="Z78" s="342"/>
      <x:c r="AA78" s="342"/>
      <x:c r="AB78" s="342"/>
      <x:c r="AC78" s="342"/>
      <x:c r="AD78" s="342"/>
      <x:c r="AE78" s="342"/>
      <x:c r="AF78" s="342"/>
      <x:c r="AG78" s="342"/>
      <x:c r="AH78" s="342"/>
    </x:row>
    <x:row r="79">
      <x:c r="A79" s="341"/>
      <x:c r="B79" s="342"/>
      <x:c r="C79" s="342"/>
      <x:c r="D79" s="343"/>
      <x:c r="E79" s="343"/>
      <x:c r="F79" s="343"/>
      <x:c r="G79" s="343"/>
      <x:c r="H79" s="343"/>
      <x:c r="I79" s="343"/>
      <x:c r="J79" s="343"/>
      <x:c r="K79" s="343"/>
      <x:c r="L79" s="343"/>
      <x:c r="M79" s="343"/>
      <x:c r="N79" s="338"/>
      <x:c r="O79" s="342"/>
      <x:c r="P79" s="342"/>
      <x:c r="Q79" s="342"/>
      <x:c r="R79" s="342"/>
      <x:c r="S79" s="342"/>
      <x:c r="T79" s="342"/>
      <x:c r="U79" s="342"/>
      <x:c r="V79" s="342"/>
      <x:c r="W79" s="342"/>
      <x:c r="X79" s="342"/>
      <x:c r="Y79" s="342"/>
      <x:c r="Z79" s="342"/>
      <x:c r="AA79" s="342"/>
      <x:c r="AB79" s="342"/>
      <x:c r="AC79" s="342"/>
      <x:c r="AD79" s="342"/>
      <x:c r="AE79" s="342"/>
      <x:c r="AF79" s="342"/>
      <x:c r="AG79" s="342"/>
      <x:c r="AH79" s="342"/>
    </x:row>
    <x:row r="80" ht="20" customHeight="1">
      <x:c r="A80" s="30" t="str">
        <x:v>D. Detailed Capex Project Register</x:v>
      </x:c>
      <x:c r="B80" s="30"/>
      <x:c r="C80" s="30"/>
      <x:c r="D80" s="175"/>
      <x:c r="E80" s="175"/>
      <x:c r="F80" s="175"/>
      <x:c r="G80" s="175"/>
      <x:c r="H80" s="175"/>
      <x:c r="I80" s="175"/>
      <x:c r="J80" s="175"/>
      <x:c r="K80" s="175"/>
      <x:c r="L80" s="175"/>
      <x:c r="M80" s="175"/>
      <x:c r="N80" s="223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  <x:c r="AA80" s="30"/>
      <x:c r="AB80" s="30"/>
      <x:c r="AC80" s="30"/>
      <x:c r="AD80" s="30"/>
      <x:c r="AE80" s="30"/>
      <x:c r="AF80" s="30"/>
      <x:c r="AG80" s="30"/>
      <x:c r="AH80" s="30"/>
    </x:row>
    <x:row r="81">
      <x:c r="A81" s="160" t="str">
        <x:v>Announcement Date</x:v>
      </x:c>
      <x:c r="B81" s="15" t="str">
        <x:v>Announcement Quarter</x:v>
      </x:c>
      <x:c r="C81" s="15" t="str">
        <x:v>Site / Unit</x:v>
      </x:c>
      <x:c r="D81" s="168" t="str">
        <x:v>Location</x:v>
      </x:c>
      <x:c r="E81" s="168" t="str">
        <x:v>Existing / Greenfield / Brownfield</x:v>
      </x:c>
      <x:c r="F81" s="168" t="str">
        <x:v>Business Supported</x:v>
      </x:c>
      <x:c r="G81" s="168" t="str">
        <x:v>Capex Category</x:v>
      </x:c>
      <x:c r="H81" s="168" t="str">
        <x:v>Project / Block</x:v>
      </x:c>
      <x:c r="I81" s="168" t="str">
        <x:v>Capability</x:v>
      </x:c>
      <x:c r="J81" s="168" t="str">
        <x:v>Project Description</x:v>
      </x:c>
      <x:c r="K81" s="168" t="str">
        <x:v>Maintenance vs Growth</x:v>
      </x:c>
      <x:c r="L81" s="168" t="str">
        <x:v>Capacity vs Capability</x:v>
      </x:c>
      <x:c r="M81" s="168" t="str">
        <x:v>Announced Investment (INR m)</x:v>
      </x:c>
      <x:c r="N81" s="15" t="str">
        <x:v>Revised Investment</x:v>
      </x:c>
      <x:c r="O81" s="15" t="str">
        <x:v>Spend to Date</x:v>
      </x:c>
      <x:c r="P81" s="15" t="str">
        <x:v>Remaining Spend</x:v>
      </x:c>
      <x:c r="Q81" s="15" t="str">
        <x:v>Capacity Added</x:v>
      </x:c>
      <x:c r="R81" s="15" t="str">
        <x:v>Capacity Unit</x:v>
      </x:c>
      <x:c r="S81" s="15" t="str">
        <x:v>Construction Start</x:v>
      </x:c>
      <x:c r="T81" s="15" t="str">
        <x:v>Expected Commissioning</x:v>
      </x:c>
      <x:c r="U81" s="15" t="str">
        <x:v>Actual Commissioning</x:v>
      </x:c>
      <x:c r="V81" s="15" t="str">
        <x:v>Qualification / Validation</x:v>
      </x:c>
      <x:c r="W81" s="15" t="str">
        <x:v>Expected Revenue Start</x:v>
      </x:c>
      <x:c r="X81" s="15" t="str">
        <x:v>Expected Material Revenue Year</x:v>
      </x:c>
      <x:c r="Y81" s="15" t="str">
        <x:v>Current Status</x:v>
      </x:c>
      <x:c r="Z81" s="15" t="str">
        <x:v>Molecules / Programmes Supported</x:v>
      </x:c>
      <x:c r="AA81" s="15" t="str">
        <x:v>Customer Visibility</x:v>
      </x:c>
      <x:c r="AB81" s="15" t="str">
        <x:v>Management Rationale</x:v>
      </x:c>
      <x:c r="AC81" s="15" t="str">
        <x:v>Demand Backing</x:v>
      </x:c>
      <x:c r="AD81" s="15" t="str">
        <x:v>Analyst Interpretation</x:v>
      </x:c>
      <x:c r="AE81" s="15" t="str">
        <x:v>Key Risk</x:v>
      </x:c>
      <x:c r="AF81" s="15" t="str">
        <x:v>Source</x:v>
      </x:c>
      <x:c r="AG81" s="15" t="str">
        <x:v>Page / Date</x:v>
      </x:c>
      <x:c r="AH81" s="15" t="str">
        <x:v>Confidence</x:v>
      </x:c>
    </x:row>
    <x:row r="82" ht="68" customHeight="1">
      <x:c r="A82" s="337" t="str">
        <x:v>01-Aug-2024</x:v>
      </x:c>
      <x:c r="B82" s="338" t="str">
        <x:v>Q1FY25</x:v>
      </x:c>
      <x:c r="C82" s="338" t="str">
        <x:v>Unit I</x:v>
      </x:c>
      <x:c r="D82" s="352" t="str">
        <x:v>Bonthapally</x:v>
      </x:c>
      <x:c r="E82" s="352" t="str">
        <x:v>Brownfield</x:v>
      </x:c>
      <x:c r="F82" s="352" t="str">
        <x:v>GDS / large-volume commercial products</x:v>
      </x:c>
      <x:c r="G82" s="352" t="str">
        <x:v>Capacity</x:v>
      </x:c>
      <x:c r="H82" s="352" t="str">
        <x:v>Capacity enhancement / 19 KL block</x:v>
      </x:c>
      <x:c r="I82" s="352" t="str">
        <x:v>Multipurpose small-molecule API</x:v>
      </x:c>
      <x:c r="J82" s="352" t="str">
        <x:v>Q1FY25 board approval for capacity enhancement; FY26 annual report says a new 19 KL block was established for large-volume GDS commercial products</x:v>
      </x:c>
      <x:c r="K82" s="352" t="str">
        <x:v>Growth</x:v>
      </x:c>
      <x:c r="L82" s="352" t="str">
        <x:v>Capacity</x:v>
      </x:c>
      <x:c r="M82" s="390" t="n">
        <x:v>245</x:v>
      </x:c>
      <x:c r="N82" s="338" t="str">
        <x:v>NA</x:v>
      </x:c>
      <x:c r="O82" s="338" t="str">
        <x:v>NA</x:v>
      </x:c>
      <x:c r="P82" s="338" t="str">
        <x:v>NA</x:v>
      </x:c>
      <x:c r="Q82" s="391" t="n">
        <x:v>19</x:v>
      </x:c>
      <x:c r="R82" s="338" t="str">
        <x:v>KL</x:v>
      </x:c>
      <x:c r="S82" s="338" t="str">
        <x:v>FY25</x:v>
      </x:c>
      <x:c r="T82" s="338" t="str">
        <x:v>~1–1.5 years from announcement</x:v>
      </x:c>
      <x:c r="U82" s="338" t="str">
        <x:v>FY26</x:v>
      </x:c>
      <x:c r="V82" s="338" t="str">
        <x:v>Customer / regulatory readiness as required</x:v>
      </x:c>
      <x:c r="W82" s="338" t="str">
        <x:v>Post qualification / campaigns</x:v>
      </x:c>
      <x:c r="X82" s="338" t="str">
        <x:v>FY26–FY27</x:v>
      </x:c>
      <x:c r="Y82" s="338" t="str">
        <x:v>Established</x:v>
      </x:c>
      <x:c r="Z82" s="338" t="str">
        <x:v>Large-volume GDS products; no specific molecule disclosed</x:v>
      </x:c>
      <x:c r="AA82" s="338" t="str">
        <x:v>Demand-backed at portfolio level</x:v>
      </x:c>
      <x:c r="AB82" s="338" t="str">
        <x:v>Maintain capacity to cater to growing customer demand</x:v>
      </x:c>
      <x:c r="AC82" s="338" t="str">
        <x:v>Demand-backed</x:v>
      </x:c>
      <x:c r="AD82" s="338" t="str">
        <x:v>Likely same economic project as FY26 19 KL block; linkage is analyst-inferred because company did not explicitly cross-reference the disclosures</x:v>
      </x:c>
      <x:c r="AE82" s="338" t="str">
        <x:v>Project / product mix attribution</x:v>
      </x:c>
      <x:c r="AF82" s="338" t="str">
        <x:v>Q1FY25 official result + FY26 annual report</x:v>
      </x:c>
      <x:c r="AG82" s="338" t="str">
        <x:v>Aug-2024 / FY26 AR</x:v>
      </x:c>
      <x:c r="AH82" s="338" t="str">
        <x:v>High facts / Medium linkage</x:v>
      </x:c>
    </x:row>
    <x:row r="83" ht="68" customHeight="1">
      <x:c r="A83" s="337" t="str">
        <x:v>FY24–FY25</x:v>
      </x:c>
      <x:c r="B83" s="338" t="str">
        <x:v>FY25</x:v>
      </x:c>
      <x:c r="C83" s="338" t="str">
        <x:v>Unit III</x:v>
      </x:c>
      <x:c r="D83" s="352" t="str">
        <x:v>Gaddapotharam</x:v>
      </x:c>
      <x:c r="E83" s="352" t="str">
        <x:v>Brownfield</x:v>
      </x:c>
      <x:c r="F83" s="352" t="str">
        <x:v>CMS + GDS</x:v>
      </x:c>
      <x:c r="G83" s="352" t="str">
        <x:v>Capacity</x:v>
      </x:c>
      <x:c r="H83" s="352" t="str">
        <x:v>52 KL manufacturing block</x:v>
      </x:c>
      <x:c r="I83" s="352" t="str">
        <x:v>Flexible multipurpose manufacturing</x:v>
      </x:c>
      <x:c r="J83" s="352" t="str">
        <x:v>Additional ₹880m committed in FY25; new 52 KL block commissioned during FY26; single-product blocks also converted to multiproduct</x:v>
      </x:c>
      <x:c r="K83" s="352" t="str">
        <x:v>Growth</x:v>
      </x:c>
      <x:c r="L83" s="352" t="str">
        <x:v>Capacity</x:v>
      </x:c>
      <x:c r="M83" s="390" t="n">
        <x:v>880</x:v>
      </x:c>
      <x:c r="N83" s="338" t="str">
        <x:v>NA</x:v>
      </x:c>
      <x:c r="O83" s="338" t="str">
        <x:v>NA</x:v>
      </x:c>
      <x:c r="P83" s="338" t="str">
        <x:v>NA</x:v>
      </x:c>
      <x:c r="Q83" s="391" t="n">
        <x:v>52</x:v>
      </x:c>
      <x:c r="R83" s="338" t="str">
        <x:v>KL</x:v>
      </x:c>
      <x:c r="S83" s="338" t="str">
        <x:v>FY25</x:v>
      </x:c>
      <x:c r="T83" s="338" t="str">
        <x:v>FY26</x:v>
      </x:c>
      <x:c r="U83" s="338" t="str">
        <x:v>FY26</x:v>
      </x:c>
      <x:c r="V83" s="338" t="str">
        <x:v>Customer qualification / campaign readiness</x:v>
      </x:c>
      <x:c r="W83" s="338" t="str">
        <x:v>FY26</x:v>
      </x:c>
      <x:c r="X83" s="338" t="str">
        <x:v>FY26–FY27</x:v>
      </x:c>
      <x:c r="Y83" s="338" t="str">
        <x:v>Commissioned</x:v>
      </x:c>
      <x:c r="Z83" s="338" t="str">
        <x:v>Commercial CMS + broader portfolio; no molecule-specific linkage disclosed</x:v>
      </x:c>
      <x:c r="AA83" s="338" t="str">
        <x:v>Partially demand-backed</x:v>
      </x:c>
      <x:c r="AB83" s="338" t="str">
        <x:v>Support near-term Unit III ramp and flexibility</x:v>
      </x:c>
      <x:c r="AC83" s="338" t="str">
        <x:v>Partially demand-backed</x:v>
      </x:c>
      <x:c r="AD83" s="338" t="str">
        <x:v>Near-term monetisation is plausible given Unit III CMS ramp, but do not assign all CMS growth to this block</x:v>
      </x:c>
      <x:c r="AE83" s="338" t="str">
        <x:v>Lumpy campaigns / customer concentration</x:v>
      </x:c>
      <x:c r="AF83" s="338" t="str">
        <x:v>FY25 annual report + FY26 annual report + FY25 Q4 transcript</x:v>
      </x:c>
      <x:c r="AG83" s="338" t="str">
        <x:v>FY25/FY26</x:v>
      </x:c>
      <x:c r="AH83" s="338" t="str">
        <x:v>High</x:v>
      </x:c>
    </x:row>
    <x:row r="84" ht="68" customHeight="1">
      <x:c r="A84" s="337" t="str">
        <x:v>21-Jan-2025</x:v>
      </x:c>
      <x:c r="B84" s="338" t="str">
        <x:v>Q3FY25</x:v>
      </x:c>
      <x:c r="C84" s="338" t="str">
        <x:v>Unit I</x:v>
      </x:c>
      <x:c r="D84" s="352" t="str">
        <x:v>Bonthapally</x:v>
      </x:c>
      <x:c r="E84" s="352" t="str">
        <x:v>Brownfield / new dedicated block</x:v>
      </x:c>
      <x:c r="F84" s="352" t="str">
        <x:v>CMS + GDS peptides</x:v>
      </x:c>
      <x:c r="G84" s="352" t="str">
        <x:v>Capability</x:v>
      </x:c>
      <x:c r="H84" s="352" t="str">
        <x:v>Large-scale peptide manufacturing facility</x:v>
      </x:c>
      <x:c r="I84" s="352" t="str">
        <x:v>Synthetic peptide development and manufacturing</x:v>
      </x:c>
      <x:c r="J84" s="352" t="str">
        <x:v>Expand peptide synthesiser reactor capacity from 0.5 KL to 6.37 KL; capex also supports pilot / R&amp;D peptide capability</x:v>
      </x:c>
      <x:c r="K84" s="352" t="str">
        <x:v>Growth</x:v>
      </x:c>
      <x:c r="L84" s="352" t="str">
        <x:v>Capability + Capacity</x:v>
      </x:c>
      <x:c r="M84" s="390" t="n">
        <x:v>2540</x:v>
      </x:c>
      <x:c r="N84" s="338" t="n">
        <x:v>2540</x:v>
      </x:c>
      <x:c r="O84" s="338" t="str">
        <x:v>NA</x:v>
      </x:c>
      <x:c r="P84" s="338" t="str">
        <x:v>NA</x:v>
      </x:c>
      <x:c r="Q84" s="391" t="n">
        <x:v>5.87</x:v>
      </x:c>
      <x:c r="R84" s="338" t="str">
        <x:v>KL net increase</x:v>
      </x:c>
      <x:c r="S84" s="338" t="str">
        <x:v>FY25</x:v>
      </x:c>
      <x:c r="T84" s="338" t="str">
        <x:v>FY26–FY27 / July FY27 readiness</x:v>
      </x:c>
      <x:c r="U84" s="338" t="str">
        <x:v>Under commissioning / FY27 target</x:v>
      </x:c>
      <x:c r="V84" s="338" t="str">
        <x:v>Process development, qualification and customer validation</x:v>
      </x:c>
      <x:c r="W84" s="338" t="str">
        <x:v>After qualification</x:v>
      </x:c>
      <x:c r="X84" s="338" t="str">
        <x:v>FY28+ for material scale</x:v>
      </x:c>
      <x:c r="Y84" s="338" t="str">
        <x:v>Under construction / commissioning</x:v>
      </x:c>
      <x:c r="Z84" s="338" t="str">
        <x:v>5–6 early-stage innovator peptide programmes; no named commercial molecule</x:v>
      </x:c>
      <x:c r="AA84" s="338" t="str">
        <x:v>Early-stage interest; no firm public revenue commitment</x:v>
      </x:c>
      <x:c r="AB84" s="338" t="str">
        <x:v>Build differentiated peptide platform for GDS and CMS</x:v>
      </x:c>
      <x:c r="AC84" s="338" t="str">
        <x:v>Partially demand-backed / ahead of firm demand</x:v>
      </x:c>
      <x:c r="AD84" s="338" t="str">
        <x:v>Strategically differentiated, but this is the clearest area where capital is ahead of proven commercial revenue</x:v>
      </x:c>
      <x:c r="AE84" s="338" t="str">
        <x:v>Failure to secure commercial peptide win / slower validation</x:v>
      </x:c>
      <x:c r="AF84" s="338" t="str">
        <x:v>Official capex filing + FY26 Q3 transcript + FY26 annual report</x:v>
      </x:c>
      <x:c r="AG84" s="338" t="str">
        <x:v>Jan-2025 / Feb-2026 / FY26 AR</x:v>
      </x:c>
      <x:c r="AH84" s="338" t="str">
        <x:v>High</x:v>
      </x:c>
    </x:row>
    <x:row r="85" ht="68" customHeight="1">
      <x:c r="A85" s="337" t="str">
        <x:v>FY26</x:v>
      </x:c>
      <x:c r="B85" s="338" t="str">
        <x:v>Q3FY26</x:v>
      </x:c>
      <x:c r="C85" s="338" t="str">
        <x:v>New R&amp;D Centre</x:v>
      </x:c>
      <x:c r="D85" s="352" t="str">
        <x:v>Genome Valley, Hyderabad</x:v>
      </x:c>
      <x:c r="E85" s="352" t="str">
        <x:v>Leased facility / capability build</x:v>
      </x:c>
      <x:c r="F85" s="352" t="str">
        <x:v>R&amp;D / CMS / peptides</x:v>
      </x:c>
      <x:c r="G85" s="352" t="str">
        <x:v>Capability</x:v>
      </x:c>
      <x:c r="H85" s="352" t="str">
        <x:v>140,000 sq ft R&amp;D centre</x:v>
      </x:c>
      <x:c r="I85" s="352" t="str">
        <x:v>Process development, scale-up, complex chemistry, peptides</x:v>
      </x:c>
      <x:c r="J85" s="352" t="str">
        <x:v>Board approved move to modern leased R&amp;D facility; intended to expand parallel development and scale-up capability</x:v>
      </x:c>
      <x:c r="K85" s="352" t="str">
        <x:v>Growth</x:v>
      </x:c>
      <x:c r="L85" s="352" t="str">
        <x:v>Capability</x:v>
      </x:c>
      <x:c r="M85" s="390" t="str">
        <x:v>NA</x:v>
      </x:c>
      <x:c r="N85" s="338" t="str">
        <x:v>NA</x:v>
      </x:c>
      <x:c r="O85" s="338" t="str">
        <x:v>NA</x:v>
      </x:c>
      <x:c r="P85" s="338" t="str">
        <x:v>NA</x:v>
      </x:c>
      <x:c r="Q85" s="391" t="n">
        <x:v>140000</x:v>
      </x:c>
      <x:c r="R85" s="338" t="str">
        <x:v>sq ft</x:v>
      </x:c>
      <x:c r="S85" s="338" t="str">
        <x:v>FY26</x:v>
      </x:c>
      <x:c r="T85" s="338" t="str">
        <x:v>FY27</x:v>
      </x:c>
      <x:c r="U85" s="338" t="str">
        <x:v>FY27 target</x:v>
      </x:c>
      <x:c r="V85" s="338" t="str">
        <x:v>R&amp;D transfer / lab qualification</x:v>
      </x:c>
      <x:c r="W85" s="338" t="str">
        <x:v>Indirect / project-led</x:v>
      </x:c>
      <x:c r="X85" s="338" t="str">
        <x:v>FY28+</x:v>
      </x:c>
      <x:c r="Y85" s="338" t="str">
        <x:v>Approved / being set up</x:v>
      </x:c>
      <x:c r="Z85" s="338" t="str">
        <x:v>Complex programmes incl peptides; no named customer programme</x:v>
      </x:c>
      <x:c r="AA85" s="338" t="str">
        <x:v>Indirect</x:v>
      </x:c>
      <x:c r="AB85" s="338" t="str">
        <x:v>Strengthen early-development-to-scale-up offering</x:v>
      </x:c>
      <x:c r="AC85" s="338" t="str">
        <x:v>Ahead of demand / strategic</x:v>
      </x:c>
      <x:c r="AD85" s="338" t="str">
        <x:v>Capability capex should be judged by project funnel and conversion, not revenue per KL</x:v>
      </x:c>
      <x:c r="AE85" s="338" t="str">
        <x:v>Operating cost / delayed project conversion</x:v>
      </x:c>
      <x:c r="AF85" s="338" t="str">
        <x:v>FY26 Q3 presentation + FY26 annual report</x:v>
      </x:c>
      <x:c r="AG85" s="338" t="str">
        <x:v>Feb/Jul-2026</x:v>
      </x:c>
      <x:c r="AH85" s="338" t="str">
        <x:v>High</x:v>
      </x:c>
    </x:row>
    <x:row r="86" ht="68" customHeight="1">
      <x:c r="A86" s="337" t="str">
        <x:v>FY26</x:v>
      </x:c>
      <x:c r="B86" s="338" t="str">
        <x:v>FY26</x:v>
      </x:c>
      <x:c r="C86" s="338" t="str">
        <x:v>Unit II</x:v>
      </x:c>
      <x:c r="D86" s="352" t="str">
        <x:v>Pashamylaram</x:v>
      </x:c>
      <x:c r="E86" s="352" t="str">
        <x:v>Brownfield</x:v>
      </x:c>
      <x:c r="F86" s="352" t="str">
        <x:v>Complex / high-value APIs</x:v>
      </x:c>
      <x:c r="G86" s="352" t="str">
        <x:v>Capacity / productivity</x:v>
      </x:c>
      <x:c r="H86" s="352" t="str">
        <x:v>Block 4 extension</x:v>
      </x:c>
      <x:c r="I86" s="352" t="str">
        <x:v>Multipurpose complex API throughput</x:v>
      </x:c>
      <x:c r="J86" s="352" t="str">
        <x:v>Block 4 extended during FY26 to improve throughput and support higher manufacturing intensity</x:v>
      </x:c>
      <x:c r="K86" s="352" t="str">
        <x:v>Growth / debottlenecking</x:v>
      </x:c>
      <x:c r="L86" s="352" t="str">
        <x:v>Capacity</x:v>
      </x:c>
      <x:c r="M86" s="390" t="str">
        <x:v>NA</x:v>
      </x:c>
      <x:c r="N86" s="338" t="str">
        <x:v>NA</x:v>
      </x:c>
      <x:c r="O86" s="338" t="str">
        <x:v>NA</x:v>
      </x:c>
      <x:c r="P86" s="338" t="str">
        <x:v>NA</x:v>
      </x:c>
      <x:c r="Q86" s="391" t="str">
        <x:v>NA</x:v>
      </x:c>
      <x:c r="R86" s="338" t="str">
        <x:v>NA</x:v>
      </x:c>
      <x:c r="S86" s="338" t="str">
        <x:v>FY26</x:v>
      </x:c>
      <x:c r="T86" s="338" t="str">
        <x:v>FY26</x:v>
      </x:c>
      <x:c r="U86" s="338" t="str">
        <x:v>FY26</x:v>
      </x:c>
      <x:c r="V86" s="338" t="str">
        <x:v>As required by campaigns</x:v>
      </x:c>
      <x:c r="W86" s="338" t="str">
        <x:v>FY26+</x:v>
      </x:c>
      <x:c r="X86" s="338" t="str">
        <x:v>FY27+</x:v>
      </x:c>
      <x:c r="Y86" s="338" t="str">
        <x:v>Completed</x:v>
      </x:c>
      <x:c r="Z86" s="338" t="str">
        <x:v>No specific molecule disclosed</x:v>
      </x:c>
      <x:c r="AA86" s="338" t="str">
        <x:v>Demand backing not publicly disclosed</x:v>
      </x:c>
      <x:c r="AB86" s="338" t="str">
        <x:v>Improve throughput / intensity</x:v>
      </x:c>
      <x:c r="AC86" s="338" t="str">
        <x:v>Insufficient disclosure</x:v>
      </x:c>
      <x:c r="AD86" s="338" t="str">
        <x:v>Useful productivity investment; no defensible project-level sales attribution</x:v>
      </x:c>
      <x:c r="AE86" s="338" t="str">
        <x:v>Unclear utilisation / mix</x:v>
      </x:c>
      <x:c r="AF86" s="338" t="str">
        <x:v>FY26 annual report</x:v>
      </x:c>
      <x:c r="AG86" s="338" t="str">
        <x:v>FY26 AR pp.78–79</x:v>
      </x:c>
      <x:c r="AH86" s="338" t="str">
        <x:v>High</x:v>
      </x:c>
    </x:row>
    <x:row r="87" ht="68" customHeight="1">
      <x:c r="A87" s="337" t="str">
        <x:v>FY22–FY26</x:v>
      </x:c>
      <x:c r="B87" s="338" t="str">
        <x:v>Ongoing</x:v>
      </x:c>
      <x:c r="C87" s="338" t="str">
        <x:v>All manufacturing sites</x:v>
      </x:c>
      <x:c r="D87" s="352" t="str">
        <x:v>Hyderabad cluster</x:v>
      </x:c>
      <x:c r="E87" s="352" t="str">
        <x:v>Brownfield</x:v>
      </x:c>
      <x:c r="F87" s="352" t="str">
        <x:v>Compliance / EHS</x:v>
      </x:c>
      <x:c r="G87" s="352" t="str">
        <x:v>Maintenance / Compliance</x:v>
      </x:c>
      <x:c r="H87" s="352" t="str">
        <x:v>EHS / sustainability investments</x:v>
      </x:c>
      <x:c r="I87" s="352" t="str">
        <x:v>Environmental compliance / safety</x:v>
      </x:c>
      <x:c r="J87" s="352" t="str">
        <x:v>₹599.5m cumulative EHS-related capex since FY22; ~50% directed to environmental initiatives / climate action</x:v>
      </x:c>
      <x:c r="K87" s="352" t="str">
        <x:v>Maintenance / Compliance</x:v>
      </x:c>
      <x:c r="L87" s="352" t="str">
        <x:v>Capability / compliance</x:v>
      </x:c>
      <x:c r="M87" s="390" t="n">
        <x:v>599.5</x:v>
      </x:c>
      <x:c r="N87" s="338" t="str">
        <x:v>NA</x:v>
      </x:c>
      <x:c r="O87" s="338" t="str">
        <x:v>NA</x:v>
      </x:c>
      <x:c r="P87" s="338" t="str">
        <x:v>NA</x:v>
      </x:c>
      <x:c r="Q87" s="391" t="str">
        <x:v>NA</x:v>
      </x:c>
      <x:c r="R87" s="338" t="str">
        <x:v>NA</x:v>
      </x:c>
      <x:c r="S87" s="338" t="str">
        <x:v>FY22 onward</x:v>
      </x:c>
      <x:c r="T87" s="338" t="str">
        <x:v>Ongoing</x:v>
      </x:c>
      <x:c r="U87" s="338" t="str">
        <x:v>Ongoing</x:v>
      </x:c>
      <x:c r="V87" s="338" t="str">
        <x:v>Regulatory / EHS compliance</x:v>
      </x:c>
      <x:c r="W87" s="338" t="str">
        <x:v>No direct revenue attribution</x:v>
      </x:c>
      <x:c r="X87" s="338" t="str">
        <x:v>NA</x:v>
      </x:c>
      <x:c r="Y87" s="338" t="str">
        <x:v>Ongoing</x:v>
      </x:c>
      <x:c r="Z87" s="338" t="str">
        <x:v>No molecule linkage</x:v>
      </x:c>
      <x:c r="AA87" s="338" t="str">
        <x:v>NA</x:v>
      </x:c>
      <x:c r="AB87" s="338" t="str">
        <x:v>Safety, EHS and sustainability</x:v>
      </x:c>
      <x:c r="AC87" s="338" t="str">
        <x:v>Not applicable</x:v>
      </x:c>
      <x:c r="AD87" s="338" t="str">
        <x:v>Do not assign incremental revenue; necessary to preserve licence to operate</x:v>
      </x:c>
      <x:c r="AE87" s="338" t="str">
        <x:v>Compliance execution / cost</x:v>
      </x:c>
      <x:c r="AF87" s="338" t="str">
        <x:v>FY26 annual report</x:v>
      </x:c>
      <x:c r="AG87" s="338" t="str">
        <x:v>FY26 AR Natural Capital</x:v>
      </x:c>
      <x:c r="AH87" s="338" t="str">
        <x:v>High</x:v>
      </x:c>
    </x:row>
    <x:row r="88">
      <x:c r="A88" s="341"/>
      <x:c r="B88" s="342"/>
      <x:c r="C88" s="342"/>
      <x:c r="D88" s="343"/>
      <x:c r="E88" s="343"/>
      <x:c r="F88" s="343"/>
      <x:c r="G88" s="343"/>
      <x:c r="H88" s="343"/>
      <x:c r="I88" s="343"/>
      <x:c r="J88" s="343"/>
      <x:c r="K88" s="343"/>
      <x:c r="L88" s="343"/>
      <x:c r="M88" s="343"/>
      <x:c r="N88" s="338"/>
      <x:c r="O88" s="342"/>
      <x:c r="P88" s="342"/>
      <x:c r="Q88" s="342"/>
      <x:c r="R88" s="342"/>
      <x:c r="S88" s="342"/>
      <x:c r="T88" s="342"/>
      <x:c r="U88" s="342"/>
      <x:c r="V88" s="342"/>
      <x:c r="W88" s="342"/>
      <x:c r="X88" s="342"/>
      <x:c r="Y88" s="342"/>
      <x:c r="Z88" s="342"/>
      <x:c r="AA88" s="342"/>
      <x:c r="AB88" s="342"/>
      <x:c r="AC88" s="342"/>
      <x:c r="AD88" s="342"/>
      <x:c r="AE88" s="342"/>
      <x:c r="AF88" s="342"/>
      <x:c r="AG88" s="342"/>
      <x:c r="AH88" s="342"/>
    </x:row>
    <x:row r="89">
      <x:c r="A89" s="341"/>
      <x:c r="B89" s="342"/>
      <x:c r="C89" s="342"/>
      <x:c r="D89" s="343"/>
      <x:c r="E89" s="343"/>
      <x:c r="F89" s="343"/>
      <x:c r="G89" s="343"/>
      <x:c r="H89" s="343"/>
      <x:c r="I89" s="343"/>
      <x:c r="J89" s="343"/>
      <x:c r="K89" s="343"/>
      <x:c r="L89" s="343"/>
      <x:c r="M89" s="343"/>
      <x:c r="N89" s="338"/>
      <x:c r="O89" s="342"/>
      <x:c r="P89" s="342"/>
      <x:c r="Q89" s="342"/>
      <x:c r="R89" s="342"/>
      <x:c r="S89" s="342"/>
      <x:c r="T89" s="342"/>
      <x:c r="U89" s="342"/>
      <x:c r="V89" s="342"/>
      <x:c r="W89" s="342"/>
      <x:c r="X89" s="342"/>
      <x:c r="Y89" s="342"/>
      <x:c r="Z89" s="342"/>
      <x:c r="AA89" s="342"/>
      <x:c r="AB89" s="342"/>
      <x:c r="AC89" s="342"/>
      <x:c r="AD89" s="342"/>
      <x:c r="AE89" s="342"/>
      <x:c r="AF89" s="342"/>
      <x:c r="AG89" s="342"/>
      <x:c r="AH89" s="342"/>
    </x:row>
    <x:row r="90" ht="20" customHeight="1">
      <x:c r="A90" s="30" t="str">
        <x:v>E. Facility / Capacity Map</x:v>
      </x:c>
      <x:c r="B90" s="30"/>
      <x:c r="C90" s="30"/>
      <x:c r="D90" s="175"/>
      <x:c r="E90" s="175"/>
      <x:c r="F90" s="175"/>
      <x:c r="G90" s="175"/>
      <x:c r="H90" s="175"/>
      <x:c r="I90" s="175"/>
      <x:c r="J90" s="175"/>
      <x:c r="K90" s="175"/>
      <x:c r="L90" s="175"/>
      <x:c r="M90" s="175"/>
      <x:c r="N90" s="223"/>
      <x:c r="O90" s="30"/>
      <x:c r="P90" s="444"/>
      <x:c r="Q90" s="444"/>
      <x:c r="R90" s="444"/>
      <x:c r="S90" s="444"/>
      <x:c r="T90" s="444"/>
      <x:c r="U90" s="444"/>
      <x:c r="V90" s="444"/>
      <x:c r="W90" s="444"/>
      <x:c r="X90" s="444"/>
      <x:c r="Y90" s="444"/>
      <x:c r="Z90" s="444"/>
      <x:c r="AA90" s="444"/>
      <x:c r="AB90" s="444"/>
      <x:c r="AC90" s="444"/>
      <x:c r="AD90" s="444"/>
      <x:c r="AE90" s="444"/>
      <x:c r="AF90" s="444"/>
      <x:c r="AG90" s="444"/>
      <x:c r="AH90" s="444"/>
    </x:row>
    <x:row r="91">
      <x:c r="A91" s="160" t="str">
        <x:v>Facility / Unit</x:v>
      </x:c>
      <x:c r="B91" s="15" t="str">
        <x:v>Location</x:v>
      </x:c>
      <x:c r="C91" s="15" t="str">
        <x:v>Primary Function</x:v>
      </x:c>
      <x:c r="D91" s="168" t="str">
        <x:v>Installed Capacity</x:v>
      </x:c>
      <x:c r="E91" s="168" t="str">
        <x:v>Capacity Unit</x:v>
      </x:c>
      <x:c r="F91" s="168" t="str">
        <x:v>Major Capabilities</x:v>
      </x:c>
      <x:c r="G91" s="168" t="str">
        <x:v>Regulatory Approvals</x:v>
      </x:c>
      <x:c r="H91" s="168" t="str">
        <x:v>Historical Expansion</x:v>
      </x:c>
      <x:c r="I91" s="168" t="str">
        <x:v>Current Expansion</x:v>
      </x:c>
      <x:c r="J91" s="168" t="str">
        <x:v>Expected Commissioning</x:v>
      </x:c>
      <x:c r="K91" s="168" t="str">
        <x:v>Relevant Molecules / Projects</x:v>
      </x:c>
      <x:c r="L91" s="168" t="str">
        <x:v>Utilisation Commentary</x:v>
      </x:c>
      <x:c r="M91" s="168" t="str">
        <x:v>Analyst View</x:v>
      </x:c>
      <x:c r="N91" s="338"/>
      <x:c r="O91" s="342"/>
      <x:c r="P91" s="342"/>
      <x:c r="Q91" s="342"/>
      <x:c r="R91" s="342"/>
      <x:c r="S91" s="342"/>
      <x:c r="T91" s="342"/>
      <x:c r="U91" s="342"/>
      <x:c r="V91" s="342"/>
      <x:c r="W91" s="342"/>
      <x:c r="X91" s="342"/>
      <x:c r="Y91" s="342"/>
      <x:c r="Z91" s="342"/>
      <x:c r="AA91" s="342"/>
      <x:c r="AB91" s="342"/>
      <x:c r="AC91" s="342"/>
      <x:c r="AD91" s="342"/>
      <x:c r="AE91" s="342"/>
      <x:c r="AF91" s="342"/>
      <x:c r="AG91" s="342"/>
      <x:c r="AH91" s="342"/>
    </x:row>
    <x:row r="92" ht="64" customHeight="1">
      <x:c r="A92" s="337" t="str">
        <x:v>Unit I</x:v>
      </x:c>
      <x:c r="B92" s="338" t="str">
        <x:v>Bonthapally</x:v>
      </x:c>
      <x:c r="C92" s="338" t="str">
        <x:v>Broad API portfolio + peptide platform</x:v>
      </x:c>
      <x:c r="D92" s="392" t="n">
        <x:v>256</x:v>
      </x:c>
      <x:c r="E92" s="352" t="str">
        <x:v>KL API mfg capacity</x:v>
      </x:c>
      <x:c r="F92" s="352" t="str">
        <x:v>Multipurpose APIs; cryogenic; hydrogenation; peptide manufacturing</x:v>
      </x:c>
      <x:c r="G92" s="352" t="str">
        <x:v>USFDA, EDQM, PMDA, WHO-Geneva, COFEPRIS, ANVISA</x:v>
      </x:c>
      <x:c r="H92" s="352" t="str">
        <x:v>First manufacturing site; broad API portfolio</x:v>
      </x:c>
      <x:c r="I92" s="352" t="str">
        <x:v>19 KL large-volume GDS block established; dedicated peptide block progressing</x:v>
      </x:c>
      <x:c r="J92" s="352" t="str">
        <x:v>19 KL established FY26; peptide FY27</x:v>
      </x:c>
      <x:c r="K92" s="352" t="str">
        <x:v>Prime/GDS portfolio; peptide programmes</x:v>
      </x:c>
      <x:c r="L92" s="352" t="str">
        <x:v>No consistent utilisation disclosure</x:v>
      </x:c>
      <x:c r="M92" s="352" t="str">
        <x:v>Mature platform plus next-wave peptide capability; peptide monetisation is key incremental debate</x:v>
      </x:c>
      <x:c r="N92" s="338"/>
      <x:c r="O92" s="342"/>
      <x:c r="P92" s="342"/>
      <x:c r="Q92" s="342"/>
      <x:c r="R92" s="342"/>
      <x:c r="S92" s="342"/>
      <x:c r="T92" s="342"/>
      <x:c r="U92" s="342"/>
      <x:c r="V92" s="342"/>
      <x:c r="W92" s="342"/>
      <x:c r="X92" s="342"/>
      <x:c r="Y92" s="342"/>
      <x:c r="Z92" s="342"/>
      <x:c r="AA92" s="342"/>
      <x:c r="AB92" s="342"/>
      <x:c r="AC92" s="342"/>
      <x:c r="AD92" s="342"/>
      <x:c r="AE92" s="342"/>
      <x:c r="AF92" s="342"/>
      <x:c r="AG92" s="342"/>
      <x:c r="AH92" s="342"/>
    </x:row>
    <x:row r="93" ht="64" customHeight="1">
      <x:c r="A93" s="337" t="str">
        <x:v>Unit II</x:v>
      </x:c>
      <x:c r="B93" s="338" t="str">
        <x:v>Pashamylaram</x:v>
      </x:c>
      <x:c r="C93" s="338" t="str">
        <x:v>Complex / high-value APIs</x:v>
      </x:c>
      <x:c r="D93" s="392" t="n">
        <x:v>380</x:v>
      </x:c>
      <x:c r="E93" s="352" t="str">
        <x:v>KL API mfg capacity</x:v>
      </x:c>
      <x:c r="F93" s="352" t="str">
        <x:v>Multipurpose complex APIs; cryogenic; hydrogenation</x:v>
      </x:c>
      <x:c r="G93" s="352" t="str">
        <x:v>USFDA, ANVISA, COFEPRIS, MOH-Russia</x:v>
      </x:c>
      <x:c r="H93" s="352" t="str">
        <x:v>Core complex-API facility</x:v>
      </x:c>
      <x:c r="I93" s="352" t="str">
        <x:v>Block 4 extension completed to improve throughput</x:v>
      </x:c>
      <x:c r="J93" s="352" t="str">
        <x:v>FY26</x:v>
      </x:c>
      <x:c r="K93" s="352" t="str">
        <x:v>Specialty / complex products; no specific project linkage</x:v>
      </x:c>
      <x:c r="L93" s="352" t="str">
        <x:v>No consistent utilisation disclosure</x:v>
      </x:c>
      <x:c r="M93" s="352" t="str">
        <x:v>Debottlenecking supports productivity; difficult to isolate revenue contribution</x:v>
      </x:c>
      <x:c r="N93" s="338"/>
      <x:c r="O93" s="342"/>
      <x:c r="P93" s="342"/>
      <x:c r="Q93" s="342"/>
      <x:c r="R93" s="342"/>
      <x:c r="S93" s="342"/>
      <x:c r="T93" s="342"/>
      <x:c r="U93" s="342"/>
      <x:c r="V93" s="342"/>
      <x:c r="W93" s="342"/>
      <x:c r="X93" s="342"/>
      <x:c r="Y93" s="342"/>
      <x:c r="Z93" s="342"/>
      <x:c r="AA93" s="342"/>
      <x:c r="AB93" s="342"/>
      <x:c r="AC93" s="342"/>
      <x:c r="AD93" s="342"/>
      <x:c r="AE93" s="342"/>
      <x:c r="AF93" s="342"/>
      <x:c r="AG93" s="342"/>
      <x:c r="AH93" s="342"/>
    </x:row>
    <x:row r="94" ht="64" customHeight="1">
      <x:c r="A94" s="337" t="str">
        <x:v>Unit III</x:v>
      </x:c>
      <x:c r="B94" s="338" t="str">
        <x:v>Gaddapotharam</x:v>
      </x:c>
      <x:c r="C94" s="338" t="str">
        <x:v>Flexible, automated multipurpose manufacturing</x:v>
      </x:c>
      <x:c r="D94" s="392" t="n">
        <x:v>585</x:v>
      </x:c>
      <x:c r="E94" s="352" t="str">
        <x:v>KL API mfg capacity</x:v>
      </x:c>
      <x:c r="F94" s="352" t="str">
        <x:v>Scale-up; portfolio diversification; higher process control; hydrogenation / cryogenic</x:v>
      </x:c>
      <x:c r="G94" s="352" t="str">
        <x:v>USFDA, ANVISA, PMDA</x:v>
      </x:c>
      <x:c r="H94" s="352" t="str">
        <x:v>Acquired 2018; commercialised 2021 with 320 KL reaction volume</x:v>
      </x:c>
      <x:c r="I94" s="352" t="str">
        <x:v>52 KL block commissioned; single-product blocks converted to multiproduct</x:v>
      </x:c>
      <x:c r="J94" s="352" t="str">
        <x:v>FY26</x:v>
      </x:c>
      <x:c r="K94" s="352" t="str">
        <x:v>CMS commercial cohort + GDS; no molecule-specific linkage</x:v>
      </x:c>
      <x:c r="L94" s="352" t="str">
        <x:v>Management says Unit III contribution is rising as CMS products ramp</x:v>
      </x:c>
      <x:c r="M94" s="352" t="str">
        <x:v>Most visible near-term small-molecule monetisation asset</x:v>
      </x:c>
      <x:c r="N94" s="338"/>
      <x:c r="O94" s="342"/>
      <x:c r="P94" s="342"/>
      <x:c r="Q94" s="342"/>
      <x:c r="R94" s="342"/>
      <x:c r="S94" s="342"/>
      <x:c r="T94" s="342"/>
      <x:c r="U94" s="342"/>
      <x:c r="V94" s="342"/>
      <x:c r="W94" s="342"/>
      <x:c r="X94" s="342"/>
      <x:c r="Y94" s="342"/>
      <x:c r="Z94" s="342"/>
      <x:c r="AA94" s="342"/>
      <x:c r="AB94" s="342"/>
      <x:c r="AC94" s="342"/>
      <x:c r="AD94" s="342"/>
      <x:c r="AE94" s="342"/>
      <x:c r="AF94" s="342"/>
      <x:c r="AG94" s="342"/>
      <x:c r="AH94" s="342"/>
    </x:row>
    <x:row r="95" ht="64" customHeight="1">
      <x:c r="A95" s="337" t="str">
        <x:v>New R&amp;D Centre</x:v>
      </x:c>
      <x:c r="B95" s="338" t="str">
        <x:v>Genome Valley, Hyderabad</x:v>
      </x:c>
      <x:c r="C95" s="338" t="str">
        <x:v>Process development / scale-up / complex modalities</x:v>
      </x:c>
      <x:c r="D95" s="392" t="n">
        <x:v>140000</x:v>
      </x:c>
      <x:c r="E95" s="352" t="str">
        <x:v>sq ft</x:v>
      </x:c>
      <x:c r="F95" s="352" t="str">
        <x:v>Process development, scale-up, peptides, analytical and complex chemistry</x:v>
      </x:c>
      <x:c r="G95" s="352" t="str">
        <x:v>N/A — R&amp;D facility</x:v>
      </x:c>
      <x:c r="H95" s="352" t="str">
        <x:v>Existing R&amp;D capability supported CMS/GDS development</x:v>
      </x:c>
      <x:c r="I95" s="352" t="str">
        <x:v>Move to state-of-the-art leased centre</x:v>
      </x:c>
      <x:c r="J95" s="352" t="str">
        <x:v>FY27 target</x:v>
      </x:c>
      <x:c r="K95" s="352" t="str">
        <x:v>CMS pipeline / peptides</x:v>
      </x:c>
      <x:c r="L95" s="352" t="str">
        <x:v>Assets still being created; no revenue certainty</x:v>
      </x:c>
      <x:c r="M95" s="352" t="str">
        <x:v>Judge on funnel depth, conversion and speed-to-scale, not asset turnover alone</x:v>
      </x:c>
      <x:c r="N95" s="338"/>
      <x:c r="O95" s="342"/>
      <x:c r="P95" s="342"/>
      <x:c r="Q95" s="342"/>
      <x:c r="R95" s="342"/>
      <x:c r="S95" s="342"/>
      <x:c r="T95" s="342"/>
      <x:c r="U95" s="342"/>
      <x:c r="V95" s="342"/>
      <x:c r="W95" s="342"/>
      <x:c r="X95" s="342"/>
      <x:c r="Y95" s="342"/>
      <x:c r="Z95" s="342"/>
      <x:c r="AA95" s="342"/>
      <x:c r="AB95" s="342"/>
      <x:c r="AC95" s="342"/>
      <x:c r="AD95" s="342"/>
      <x:c r="AE95" s="342"/>
      <x:c r="AF95" s="342"/>
      <x:c r="AG95" s="342"/>
      <x:c r="AH95" s="342"/>
    </x:row>
    <x:row r="96">
      <x:c r="A96" s="341"/>
      <x:c r="B96" s="342"/>
      <x:c r="C96" s="342"/>
      <x:c r="D96" s="343"/>
      <x:c r="E96" s="343"/>
      <x:c r="F96" s="343"/>
      <x:c r="G96" s="343"/>
      <x:c r="H96" s="343"/>
      <x:c r="I96" s="343"/>
      <x:c r="J96" s="343"/>
      <x:c r="K96" s="343"/>
      <x:c r="L96" s="343"/>
      <x:c r="M96" s="343"/>
      <x:c r="N96" s="338"/>
      <x:c r="O96" s="342"/>
      <x:c r="P96" s="342"/>
      <x:c r="Q96" s="342"/>
      <x:c r="R96" s="342"/>
      <x:c r="S96" s="342"/>
      <x:c r="T96" s="342"/>
      <x:c r="U96" s="342"/>
      <x:c r="V96" s="342"/>
      <x:c r="W96" s="342"/>
      <x:c r="X96" s="342"/>
      <x:c r="Y96" s="342"/>
      <x:c r="Z96" s="342"/>
      <x:c r="AA96" s="342"/>
      <x:c r="AB96" s="342"/>
      <x:c r="AC96" s="342"/>
      <x:c r="AD96" s="342"/>
      <x:c r="AE96" s="342"/>
      <x:c r="AF96" s="342"/>
      <x:c r="AG96" s="342"/>
      <x:c r="AH96" s="342"/>
    </x:row>
    <x:row r="97">
      <x:c r="A97" s="341"/>
      <x:c r="B97" s="342"/>
      <x:c r="C97" s="342"/>
      <x:c r="D97" s="343"/>
      <x:c r="E97" s="343"/>
      <x:c r="F97" s="343"/>
      <x:c r="G97" s="343"/>
      <x:c r="H97" s="343"/>
      <x:c r="I97" s="343"/>
      <x:c r="J97" s="343"/>
      <x:c r="K97" s="343"/>
      <x:c r="L97" s="343"/>
      <x:c r="M97" s="343"/>
      <x:c r="N97" s="338"/>
      <x:c r="O97" s="342"/>
      <x:c r="P97" s="342"/>
      <x:c r="Q97" s="342"/>
      <x:c r="R97" s="342"/>
      <x:c r="S97" s="342"/>
      <x:c r="T97" s="342"/>
      <x:c r="U97" s="342"/>
      <x:c r="V97" s="342"/>
      <x:c r="W97" s="342"/>
      <x:c r="X97" s="342"/>
      <x:c r="Y97" s="342"/>
      <x:c r="Z97" s="342"/>
      <x:c r="AA97" s="342"/>
      <x:c r="AB97" s="342"/>
      <x:c r="AC97" s="342"/>
      <x:c r="AD97" s="342"/>
      <x:c r="AE97" s="342"/>
      <x:c r="AF97" s="342"/>
      <x:c r="AG97" s="342"/>
      <x:c r="AH97" s="342"/>
    </x:row>
    <x:row r="98" ht="20" customHeight="1">
      <x:c r="A98" s="30" t="str">
        <x:v>F. Capex Cohort → Revenue Monetisation</x:v>
      </x:c>
      <x:c r="B98" s="30"/>
      <x:c r="C98" s="30"/>
      <x:c r="D98" s="175"/>
      <x:c r="E98" s="175"/>
      <x:c r="F98" s="175"/>
      <x:c r="G98" s="175"/>
      <x:c r="H98" s="175"/>
      <x:c r="I98" s="175"/>
      <x:c r="J98" s="175"/>
      <x:c r="K98" s="175"/>
      <x:c r="L98" s="175"/>
      <x:c r="M98" s="175"/>
      <x:c r="N98" s="223"/>
      <x:c r="O98" s="30"/>
      <x:c r="P98" s="444"/>
      <x:c r="Q98" s="444"/>
      <x:c r="R98" s="444"/>
      <x:c r="S98" s="444"/>
      <x:c r="T98" s="444"/>
      <x:c r="U98" s="444"/>
      <x:c r="V98" s="444"/>
      <x:c r="W98" s="444"/>
      <x:c r="X98" s="444"/>
      <x:c r="Y98" s="444"/>
      <x:c r="Z98" s="444"/>
      <x:c r="AA98" s="444"/>
      <x:c r="AB98" s="444"/>
      <x:c r="AC98" s="444"/>
      <x:c r="AD98" s="444"/>
      <x:c r="AE98" s="444"/>
      <x:c r="AF98" s="444"/>
      <x:c r="AG98" s="444"/>
      <x:c r="AH98" s="444"/>
    </x:row>
    <x:row r="99">
      <x:c r="A99" s="160" t="str">
        <x:v>Capex Cohort</x:v>
      </x:c>
      <x:c r="B99" s="15" t="str">
        <x:v>Investment / Capacity</x:v>
      </x:c>
      <x:c r="C99" s="15" t="str">
        <x:v>FY25A</x:v>
      </x:c>
      <x:c r="D99" s="168" t="str">
        <x:v>FY26A</x:v>
      </x:c>
      <x:c r="E99" s="168" t="str">
        <x:v>FY27E</x:v>
      </x:c>
      <x:c r="F99" s="168" t="str">
        <x:v>FY28E</x:v>
      </x:c>
      <x:c r="G99" s="168" t="str">
        <x:v>FY29E</x:v>
      </x:c>
      <x:c r="H99" s="168" t="str">
        <x:v>Analyst Monetisation Logic</x:v>
      </x:c>
      <x:c r="I99" s="343"/>
      <x:c r="J99" s="343"/>
      <x:c r="K99" s="343"/>
      <x:c r="L99" s="343"/>
      <x:c r="M99" s="343"/>
      <x:c r="N99" s="338"/>
      <x:c r="O99" s="342"/>
      <x:c r="P99" s="342"/>
      <x:c r="Q99" s="342"/>
      <x:c r="R99" s="342"/>
      <x:c r="S99" s="342"/>
      <x:c r="T99" s="342"/>
      <x:c r="U99" s="342"/>
      <x:c r="V99" s="342"/>
      <x:c r="W99" s="342"/>
      <x:c r="X99" s="342"/>
      <x:c r="Y99" s="342"/>
      <x:c r="Z99" s="342"/>
      <x:c r="AA99" s="342"/>
      <x:c r="AB99" s="342"/>
      <x:c r="AC99" s="342"/>
      <x:c r="AD99" s="342"/>
      <x:c r="AE99" s="342"/>
      <x:c r="AF99" s="342"/>
      <x:c r="AG99" s="342"/>
      <x:c r="AH99" s="342"/>
    </x:row>
    <x:row r="100" ht="56" customHeight="1">
      <x:c r="A100" s="337" t="str">
        <x:v>Unit I 19 KL block</x:v>
      </x:c>
      <x:c r="B100" s="338" t="str">
        <x:v>₹245m / +19 KL</x:v>
      </x:c>
      <x:c r="C100" s="338" t="str">
        <x:v>Construction / approved</x:v>
      </x:c>
      <x:c r="D100" s="352" t="str">
        <x:v>Established</x:v>
      </x:c>
      <x:c r="E100" s="352" t="str">
        <x:v>Ramp / campaigns</x:v>
      </x:c>
      <x:c r="F100" s="352" t="str">
        <x:v>Utilisation</x:v>
      </x:c>
      <x:c r="G100" s="352" t="str">
        <x:v>Mature ramp</x:v>
      </x:c>
      <x:c r="H100" s="352" t="str">
        <x:v>Physical capacity is a ceiling; growth depends on actual GDS demand / campaigns. Do not force revenue attribution.</x:v>
      </x:c>
      <x:c r="I100" s="343"/>
      <x:c r="J100" s="343"/>
      <x:c r="K100" s="343"/>
      <x:c r="L100" s="343"/>
      <x:c r="M100" s="343"/>
      <x:c r="N100" s="338"/>
      <x:c r="O100" s="342"/>
      <x:c r="P100" s="342"/>
      <x:c r="Q100" s="342"/>
      <x:c r="R100" s="342"/>
      <x:c r="S100" s="342"/>
      <x:c r="T100" s="342"/>
      <x:c r="U100" s="342"/>
      <x:c r="V100" s="342"/>
      <x:c r="W100" s="342"/>
      <x:c r="X100" s="342"/>
      <x:c r="Y100" s="342"/>
      <x:c r="Z100" s="342"/>
      <x:c r="AA100" s="342"/>
      <x:c r="AB100" s="342"/>
      <x:c r="AC100" s="342"/>
      <x:c r="AD100" s="342"/>
      <x:c r="AE100" s="342"/>
      <x:c r="AF100" s="342"/>
      <x:c r="AG100" s="342"/>
      <x:c r="AH100" s="342"/>
    </x:row>
    <x:row r="101" ht="56" customHeight="1">
      <x:c r="A101" s="337" t="str">
        <x:v>Unit III 52 KL block</x:v>
      </x:c>
      <x:c r="B101" s="338" t="str">
        <x:v>₹880m / +52 KL</x:v>
      </x:c>
      <x:c r="C101" s="338" t="str">
        <x:v>Construction</x:v>
      </x:c>
      <x:c r="D101" s="352" t="str">
        <x:v>Commissioned; CMS mix / revenue stepped up</x:v>
      </x:c>
      <x:c r="E101" s="352" t="str">
        <x:v>Ramp</x:v>
      </x:c>
      <x:c r="F101" s="352" t="str">
        <x:v>Utilisation</x:v>
      </x:c>
      <x:c r="G101" s="352" t="str">
        <x:v>Mature ramp</x:v>
      </x:c>
      <x:c r="H101" s="352" t="str">
        <x:v>Best evidence of capex → commissioning → utilisation. Still no project-specific revenue attribution.</x:v>
      </x:c>
      <x:c r="I101" s="343"/>
      <x:c r="J101" s="343"/>
      <x:c r="K101" s="343"/>
      <x:c r="L101" s="343"/>
      <x:c r="M101" s="343"/>
      <x:c r="N101" s="338"/>
      <x:c r="O101" s="342"/>
      <x:c r="P101" s="342"/>
      <x:c r="Q101" s="342"/>
      <x:c r="R101" s="342"/>
      <x:c r="S101" s="342"/>
      <x:c r="T101" s="342"/>
      <x:c r="U101" s="342"/>
      <x:c r="V101" s="342"/>
      <x:c r="W101" s="342"/>
      <x:c r="X101" s="342"/>
      <x:c r="Y101" s="342"/>
      <x:c r="Z101" s="342"/>
      <x:c r="AA101" s="342"/>
      <x:c r="AB101" s="342"/>
      <x:c r="AC101" s="342"/>
      <x:c r="AD101" s="342"/>
      <x:c r="AE101" s="342"/>
      <x:c r="AF101" s="342"/>
      <x:c r="AG101" s="342"/>
      <x:c r="AH101" s="342"/>
    </x:row>
    <x:row r="102" ht="56" customHeight="1">
      <x:c r="A102" s="337" t="str">
        <x:v>Peptide manufacturing</x:v>
      </x:c>
      <x:c r="B102" s="338" t="str">
        <x:v>₹2,540m / 0.5 → 6.37 KL</x:v>
      </x:c>
      <x:c r="C102" s="338" t="str">
        <x:v>Groundbreaking / capability build</x:v>
      </x:c>
      <x:c r="D102" s="352" t="str">
        <x:v>Construction; 5–6 early-stage innovator projects</x:v>
      </x:c>
      <x:c r="E102" s="352" t="str">
        <x:v>Commissioning; commercial validation target</x:v>
      </x:c>
      <x:c r="F102" s="352" t="str">
        <x:v>Early commercialisation if customer win</x:v>
      </x:c>
      <x:c r="G102" s="352" t="str">
        <x:v>Scale only if project conversion</x:v>
      </x:c>
      <x:c r="H102" s="352" t="str">
        <x:v>Capability-led economics: project funnel and commercial wins matter more than KL. Near-term revenue visibility is low-medium.</x:v>
      </x:c>
      <x:c r="I102" s="343"/>
      <x:c r="J102" s="343"/>
      <x:c r="K102" s="343"/>
      <x:c r="L102" s="343"/>
      <x:c r="M102" s="343"/>
      <x:c r="N102" s="338"/>
      <x:c r="O102" s="342"/>
      <x:c r="P102" s="342"/>
      <x:c r="Q102" s="342"/>
      <x:c r="R102" s="342"/>
      <x:c r="S102" s="342"/>
      <x:c r="T102" s="342"/>
      <x:c r="U102" s="342"/>
      <x:c r="V102" s="342"/>
      <x:c r="W102" s="342"/>
      <x:c r="X102" s="342"/>
      <x:c r="Y102" s="342"/>
      <x:c r="Z102" s="342"/>
      <x:c r="AA102" s="342"/>
      <x:c r="AB102" s="342"/>
      <x:c r="AC102" s="342"/>
      <x:c r="AD102" s="342"/>
      <x:c r="AE102" s="342"/>
      <x:c r="AF102" s="342"/>
      <x:c r="AG102" s="342"/>
      <x:c r="AH102" s="342"/>
    </x:row>
    <x:row r="103" ht="56" customHeight="1">
      <x:c r="A103" s="337" t="str">
        <x:v>Genome Valley R&amp;D</x:v>
      </x:c>
      <x:c r="B103" s="338" t="str">
        <x:v>Capex NA / 140k sq ft</x:v>
      </x:c>
      <x:c r="C103" s="338" t="str">
        <x:v>NA</x:v>
      </x:c>
      <x:c r="D103" s="352" t="str">
        <x:v>Board approval / setup</x:v>
      </x:c>
      <x:c r="E103" s="352" t="str">
        <x:v>Open / transition</x:v>
      </x:c>
      <x:c r="F103" s="352" t="str">
        <x:v>Project productivity</x:v>
      </x:c>
      <x:c r="G103" s="352" t="str">
        <x:v>Conversion</x:v>
      </x:c>
      <x:c r="H103" s="352" t="str">
        <x:v>Capability-led: measure new projects, late-stage progression and tech-transfer speed rather than direct asset revenue.</x:v>
      </x:c>
      <x:c r="I103" s="343"/>
      <x:c r="J103" s="343"/>
      <x:c r="K103" s="343"/>
      <x:c r="L103" s="343"/>
      <x:c r="M103" s="343"/>
      <x:c r="N103" s="338"/>
      <x:c r="O103" s="342"/>
      <x:c r="P103" s="342"/>
      <x:c r="Q103" s="342"/>
      <x:c r="R103" s="342"/>
      <x:c r="S103" s="342"/>
      <x:c r="T103" s="342"/>
      <x:c r="U103" s="342"/>
      <x:c r="V103" s="342"/>
      <x:c r="W103" s="342"/>
      <x:c r="X103" s="342"/>
      <x:c r="Y103" s="342"/>
      <x:c r="Z103" s="342"/>
      <x:c r="AA103" s="342"/>
      <x:c r="AB103" s="342"/>
      <x:c r="AC103" s="342"/>
      <x:c r="AD103" s="342"/>
      <x:c r="AE103" s="342"/>
      <x:c r="AF103" s="342"/>
      <x:c r="AG103" s="342"/>
      <x:c r="AH103" s="342"/>
    </x:row>
    <x:row r="104">
      <x:c r="A104" s="341"/>
      <x:c r="B104" s="342"/>
      <x:c r="C104" s="342"/>
      <x:c r="D104" s="343"/>
      <x:c r="E104" s="343"/>
      <x:c r="F104" s="343"/>
      <x:c r="G104" s="343"/>
      <x:c r="H104" s="343"/>
      <x:c r="I104" s="343"/>
      <x:c r="J104" s="343"/>
      <x:c r="K104" s="343"/>
      <x:c r="L104" s="343"/>
      <x:c r="M104" s="343"/>
      <x:c r="N104" s="338"/>
      <x:c r="O104" s="342"/>
      <x:c r="P104" s="342"/>
      <x:c r="Q104" s="342"/>
      <x:c r="R104" s="342"/>
      <x:c r="S104" s="342"/>
      <x:c r="T104" s="342"/>
      <x:c r="U104" s="342"/>
      <x:c r="V104" s="342"/>
      <x:c r="W104" s="342"/>
      <x:c r="X104" s="342"/>
      <x:c r="Y104" s="342"/>
      <x:c r="Z104" s="342"/>
      <x:c r="AA104" s="342"/>
      <x:c r="AB104" s="342"/>
      <x:c r="AC104" s="342"/>
      <x:c r="AD104" s="342"/>
      <x:c r="AE104" s="342"/>
      <x:c r="AF104" s="342"/>
      <x:c r="AG104" s="342"/>
      <x:c r="AH104" s="342"/>
    </x:row>
    <x:row r="105">
      <x:c r="A105" s="160" t="str">
        <x:v>Cohort</x:v>
      </x:c>
      <x:c r="B105" s="15" t="str">
        <x:v>Metric</x:v>
      </x:c>
      <x:c r="C105" s="15" t="str">
        <x:v>Units</x:v>
      </x:c>
      <x:c r="D105" s="168" t="str">
        <x:v>FY25A</x:v>
      </x:c>
      <x:c r="E105" s="168" t="str">
        <x:v>FY26A</x:v>
      </x:c>
      <x:c r="F105" s="168" t="str">
        <x:v>FY27E</x:v>
      </x:c>
      <x:c r="G105" s="168" t="str">
        <x:v>FY28E</x:v>
      </x:c>
      <x:c r="H105" s="168" t="str">
        <x:v>FY29E</x:v>
      </x:c>
      <x:c r="I105" s="168" t="str">
        <x:v>Status / Rule</x:v>
      </x:c>
      <x:c r="J105" s="343"/>
      <x:c r="K105" s="343"/>
      <x:c r="L105" s="343"/>
      <x:c r="M105" s="343"/>
      <x:c r="N105" s="338"/>
      <x:c r="O105" s="342"/>
      <x:c r="P105" s="342"/>
      <x:c r="Q105" s="342"/>
      <x:c r="R105" s="342"/>
      <x:c r="S105" s="342"/>
      <x:c r="T105" s="342"/>
      <x:c r="U105" s="342"/>
      <x:c r="V105" s="342"/>
      <x:c r="W105" s="342"/>
      <x:c r="X105" s="342"/>
      <x:c r="Y105" s="342"/>
      <x:c r="Z105" s="342"/>
      <x:c r="AA105" s="342"/>
      <x:c r="AB105" s="342"/>
      <x:c r="AC105" s="342"/>
      <x:c r="AD105" s="342"/>
      <x:c r="AE105" s="342"/>
      <x:c r="AF105" s="342"/>
      <x:c r="AG105" s="342"/>
      <x:c r="AH105" s="342"/>
    </x:row>
    <x:row r="106">
      <x:c r="A106" s="337" t="str">
        <x:v>Unit III 52 KL</x:v>
      </x:c>
      <x:c r="B106" s="338" t="str">
        <x:v>Capacity Commissioned</x:v>
      </x:c>
      <x:c r="C106" s="338" t="str">
        <x:v>KL</x:v>
      </x:c>
      <x:c r="D106" s="352" t="n">
        <x:v>0</x:v>
      </x:c>
      <x:c r="E106" s="352" t="n">
        <x:v>52</x:v>
      </x:c>
      <x:c r="F106" s="352" t="n">
        <x:v>52</x:v>
      </x:c>
      <x:c r="G106" s="352" t="n">
        <x:v>52</x:v>
      </x:c>
      <x:c r="H106" s="352" t="n">
        <x:v>52</x:v>
      </x:c>
      <x:c r="I106" s="352" t="str">
        <x:v>Reported physical capacity; revenue remains demand-led</x:v>
      </x:c>
      <x:c r="J106" s="343"/>
      <x:c r="K106" s="343"/>
      <x:c r="L106" s="343"/>
      <x:c r="M106" s="343"/>
      <x:c r="N106" s="338"/>
      <x:c r="O106" s="342"/>
      <x:c r="P106" s="342"/>
      <x:c r="Q106" s="342"/>
      <x:c r="R106" s="342"/>
      <x:c r="S106" s="342"/>
      <x:c r="T106" s="342"/>
      <x:c r="U106" s="342"/>
      <x:c r="V106" s="342"/>
      <x:c r="W106" s="342"/>
      <x:c r="X106" s="342"/>
      <x:c r="Y106" s="342"/>
      <x:c r="Z106" s="342"/>
      <x:c r="AA106" s="342"/>
      <x:c r="AB106" s="342"/>
      <x:c r="AC106" s="342"/>
      <x:c r="AD106" s="342"/>
      <x:c r="AE106" s="342"/>
      <x:c r="AF106" s="342"/>
      <x:c r="AG106" s="342"/>
      <x:c r="AH106" s="342"/>
    </x:row>
    <x:row r="107">
      <x:c r="A107" s="337" t="str">
        <x:v>Unit III 52 KL</x:v>
      </x:c>
      <x:c r="B107" s="338" t="str">
        <x:v>Utilisation</x:v>
      </x:c>
      <x:c r="C107" s="338" t="str">
        <x:v>%</x:v>
      </x:c>
      <x:c r="D107" s="352" t="str">
        <x:v>NA</x:v>
      </x:c>
      <x:c r="E107" s="352" t="str">
        <x:v>NA</x:v>
      </x:c>
      <x:c r="F107" s="172"/>
      <x:c r="G107" s="172"/>
      <x:c r="H107" s="172"/>
      <x:c r="I107" s="352" t="str">
        <x:v>Analyst input when disclosed / estimable</x:v>
      </x:c>
      <x:c r="J107" s="343"/>
      <x:c r="K107" s="343"/>
      <x:c r="L107" s="343"/>
      <x:c r="M107" s="343"/>
      <x:c r="N107" s="338"/>
      <x:c r="O107" s="342"/>
      <x:c r="P107" s="342"/>
      <x:c r="Q107" s="342"/>
      <x:c r="R107" s="342"/>
      <x:c r="S107" s="342"/>
      <x:c r="T107" s="342"/>
      <x:c r="U107" s="342"/>
      <x:c r="V107" s="342"/>
      <x:c r="W107" s="342"/>
      <x:c r="X107" s="342"/>
      <x:c r="Y107" s="342"/>
      <x:c r="Z107" s="342"/>
      <x:c r="AA107" s="342"/>
      <x:c r="AB107" s="342"/>
      <x:c r="AC107" s="342"/>
      <x:c r="AD107" s="342"/>
      <x:c r="AE107" s="342"/>
      <x:c r="AF107" s="342"/>
      <x:c r="AG107" s="342"/>
      <x:c r="AH107" s="342"/>
    </x:row>
    <x:row r="108">
      <x:c r="A108" s="337" t="str">
        <x:v>Unit III 52 KL</x:v>
      </x:c>
      <x:c r="B108" s="338" t="str">
        <x:v>Incremental Revenue</x:v>
      </x:c>
      <x:c r="C108" s="338" t="str">
        <x:v>INR m</x:v>
      </x:c>
      <x:c r="D108" s="352" t="str">
        <x:v>NA</x:v>
      </x:c>
      <x:c r="E108" s="352" t="str">
        <x:v>NA</x:v>
      </x:c>
      <x:c r="F108" s="172"/>
      <x:c r="G108" s="172"/>
      <x:c r="H108" s="172"/>
      <x:c r="I108" s="352" t="str">
        <x:v>Do not populate without defensible campaign attribution</x:v>
      </x:c>
      <x:c r="J108" s="343"/>
      <x:c r="K108" s="343"/>
      <x:c r="L108" s="343"/>
      <x:c r="M108" s="343"/>
      <x:c r="N108" s="338"/>
      <x:c r="O108" s="342"/>
      <x:c r="P108" s="342"/>
      <x:c r="Q108" s="342"/>
      <x:c r="R108" s="342"/>
      <x:c r="S108" s="342"/>
      <x:c r="T108" s="342"/>
      <x:c r="U108" s="342"/>
      <x:c r="V108" s="342"/>
      <x:c r="W108" s="342"/>
      <x:c r="X108" s="342"/>
      <x:c r="Y108" s="342"/>
      <x:c r="Z108" s="342"/>
      <x:c r="AA108" s="342"/>
      <x:c r="AB108" s="342"/>
      <x:c r="AC108" s="342"/>
      <x:c r="AD108" s="342"/>
      <x:c r="AE108" s="342"/>
      <x:c r="AF108" s="342"/>
      <x:c r="AG108" s="342"/>
      <x:c r="AH108" s="342"/>
    </x:row>
    <x:row r="109">
      <x:c r="A109" s="337" t="str">
        <x:v>Unit I 19 KL</x:v>
      </x:c>
      <x:c r="B109" s="338" t="str">
        <x:v>Capacity Commissioned</x:v>
      </x:c>
      <x:c r="C109" s="338" t="str">
        <x:v>KL</x:v>
      </x:c>
      <x:c r="D109" s="352" t="n">
        <x:v>0</x:v>
      </x:c>
      <x:c r="E109" s="352" t="n">
        <x:v>19</x:v>
      </x:c>
      <x:c r="F109" s="352" t="n">
        <x:v>19</x:v>
      </x:c>
      <x:c r="G109" s="352" t="n">
        <x:v>19</x:v>
      </x:c>
      <x:c r="H109" s="352" t="n">
        <x:v>19</x:v>
      </x:c>
      <x:c r="I109" s="352" t="str">
        <x:v>Reported physical capacity; large-volume GDS support</x:v>
      </x:c>
      <x:c r="J109" s="343"/>
      <x:c r="K109" s="343"/>
      <x:c r="L109" s="343"/>
      <x:c r="M109" s="343"/>
      <x:c r="N109" s="338"/>
      <x:c r="O109" s="342"/>
      <x:c r="P109" s="342"/>
      <x:c r="Q109" s="342"/>
      <x:c r="R109" s="342"/>
      <x:c r="S109" s="342"/>
      <x:c r="T109" s="342"/>
      <x:c r="U109" s="342"/>
      <x:c r="V109" s="342"/>
      <x:c r="W109" s="342"/>
      <x:c r="X109" s="342"/>
      <x:c r="Y109" s="342"/>
      <x:c r="Z109" s="342"/>
      <x:c r="AA109" s="342"/>
      <x:c r="AB109" s="342"/>
      <x:c r="AC109" s="342"/>
      <x:c r="AD109" s="342"/>
      <x:c r="AE109" s="342"/>
      <x:c r="AF109" s="342"/>
      <x:c r="AG109" s="342"/>
      <x:c r="AH109" s="342"/>
    </x:row>
    <x:row r="110">
      <x:c r="A110" s="337" t="str">
        <x:v>Unit I 19 KL</x:v>
      </x:c>
      <x:c r="B110" s="338" t="str">
        <x:v>Utilisation</x:v>
      </x:c>
      <x:c r="C110" s="338" t="str">
        <x:v>%</x:v>
      </x:c>
      <x:c r="D110" s="352" t="str">
        <x:v>NA</x:v>
      </x:c>
      <x:c r="E110" s="352" t="str">
        <x:v>NA</x:v>
      </x:c>
      <x:c r="F110" s="172"/>
      <x:c r="G110" s="172"/>
      <x:c r="H110" s="172"/>
      <x:c r="I110" s="352" t="str">
        <x:v>Analyst input when disclosed / estimable</x:v>
      </x:c>
      <x:c r="J110" s="343"/>
      <x:c r="K110" s="343"/>
      <x:c r="L110" s="343"/>
      <x:c r="M110" s="343"/>
      <x:c r="N110" s="338"/>
      <x:c r="O110" s="342"/>
      <x:c r="P110" s="342"/>
      <x:c r="Q110" s="342"/>
      <x:c r="R110" s="342"/>
      <x:c r="S110" s="342"/>
      <x:c r="T110" s="342"/>
      <x:c r="U110" s="342"/>
      <x:c r="V110" s="342"/>
      <x:c r="W110" s="342"/>
      <x:c r="X110" s="342"/>
      <x:c r="Y110" s="342"/>
      <x:c r="Z110" s="342"/>
      <x:c r="AA110" s="342"/>
      <x:c r="AB110" s="342"/>
      <x:c r="AC110" s="342"/>
      <x:c r="AD110" s="342"/>
      <x:c r="AE110" s="342"/>
      <x:c r="AF110" s="342"/>
      <x:c r="AG110" s="342"/>
      <x:c r="AH110" s="342"/>
    </x:row>
    <x:row r="111">
      <x:c r="A111" s="337" t="str">
        <x:v>Unit I 19 KL</x:v>
      </x:c>
      <x:c r="B111" s="338" t="str">
        <x:v>Incremental Revenue</x:v>
      </x:c>
      <x:c r="C111" s="338" t="str">
        <x:v>INR m</x:v>
      </x:c>
      <x:c r="D111" s="352" t="str">
        <x:v>NA</x:v>
      </x:c>
      <x:c r="E111" s="352" t="str">
        <x:v>NA</x:v>
      </x:c>
      <x:c r="F111" s="172"/>
      <x:c r="G111" s="172"/>
      <x:c r="H111" s="172"/>
      <x:c r="I111" s="352" t="str">
        <x:v>Do not populate without defensible portfolio attribution</x:v>
      </x:c>
      <x:c r="J111" s="343"/>
      <x:c r="K111" s="343"/>
      <x:c r="L111" s="343"/>
      <x:c r="M111" s="343"/>
      <x:c r="N111" s="338"/>
      <x:c r="O111" s="342"/>
      <x:c r="P111" s="342"/>
      <x:c r="Q111" s="342"/>
      <x:c r="R111" s="342"/>
      <x:c r="S111" s="342"/>
      <x:c r="T111" s="342"/>
      <x:c r="U111" s="342"/>
      <x:c r="V111" s="342"/>
      <x:c r="W111" s="342"/>
      <x:c r="X111" s="342"/>
      <x:c r="Y111" s="342"/>
      <x:c r="Z111" s="342"/>
      <x:c r="AA111" s="342"/>
      <x:c r="AB111" s="342"/>
      <x:c r="AC111" s="342"/>
      <x:c r="AD111" s="342"/>
      <x:c r="AE111" s="342"/>
      <x:c r="AF111" s="342"/>
      <x:c r="AG111" s="342"/>
      <x:c r="AH111" s="342"/>
    </x:row>
    <x:row r="112">
      <x:c r="A112" s="337" t="str">
        <x:v>Peptide facility</x:v>
      </x:c>
      <x:c r="B112" s="338" t="str">
        <x:v>Synthesiser Capacity</x:v>
      </x:c>
      <x:c r="C112" s="338" t="str">
        <x:v>KL</x:v>
      </x:c>
      <x:c r="D112" s="352" t="n">
        <x:v>0.5</x:v>
      </x:c>
      <x:c r="E112" s="352" t="n">
        <x:v>0.5</x:v>
      </x:c>
      <x:c r="F112" s="352" t="n">
        <x:v>6.37</x:v>
      </x:c>
      <x:c r="G112" s="352" t="n">
        <x:v>6.37</x:v>
      </x:c>
      <x:c r="H112" s="352" t="n">
        <x:v>6.37</x:v>
      </x:c>
      <x:c r="I112" s="352" t="str">
        <x:v>Capability scale; not a revenue/KL model</x:v>
      </x:c>
      <x:c r="J112" s="343"/>
      <x:c r="K112" s="343"/>
      <x:c r="L112" s="343"/>
      <x:c r="M112" s="343"/>
      <x:c r="N112" s="338"/>
      <x:c r="O112" s="342"/>
      <x:c r="P112" s="342"/>
      <x:c r="Q112" s="342"/>
      <x:c r="R112" s="342"/>
      <x:c r="S112" s="342"/>
      <x:c r="T112" s="342"/>
      <x:c r="U112" s="342"/>
      <x:c r="V112" s="342"/>
      <x:c r="W112" s="342"/>
      <x:c r="X112" s="342"/>
      <x:c r="Y112" s="342"/>
      <x:c r="Z112" s="342"/>
      <x:c r="AA112" s="342"/>
      <x:c r="AB112" s="342"/>
      <x:c r="AC112" s="342"/>
      <x:c r="AD112" s="342"/>
      <x:c r="AE112" s="342"/>
      <x:c r="AF112" s="342"/>
      <x:c r="AG112" s="342"/>
      <x:c r="AH112" s="342"/>
    </x:row>
    <x:row r="113">
      <x:c r="A113" s="337" t="str">
        <x:v>Peptide facility</x:v>
      </x:c>
      <x:c r="B113" s="338" t="str">
        <x:v>Commercial Manufacturing Win</x:v>
      </x:c>
      <x:c r="C113" s="338" t="str">
        <x:v>count</x:v>
      </x:c>
      <x:c r="D113" s="352" t="n">
        <x:v>0</x:v>
      </x:c>
      <x:c r="E113" s="352" t="n">
        <x:v>0</x:v>
      </x:c>
      <x:c r="F113" s="172"/>
      <x:c r="G113" s="172"/>
      <x:c r="H113" s="172"/>
      <x:c r="I113" s="352" t="str">
        <x:v>FY27 analyst update input; management target ≥1 as a good outcome</x:v>
      </x:c>
      <x:c r="J113" s="343"/>
      <x:c r="K113" s="343"/>
      <x:c r="L113" s="343"/>
      <x:c r="M113" s="343"/>
      <x:c r="N113" s="338"/>
      <x:c r="O113" s="342"/>
      <x:c r="P113" s="342"/>
      <x:c r="Q113" s="342"/>
      <x:c r="R113" s="342"/>
      <x:c r="S113" s="342"/>
      <x:c r="T113" s="342"/>
      <x:c r="U113" s="342"/>
      <x:c r="V113" s="342"/>
      <x:c r="W113" s="342"/>
      <x:c r="X113" s="342"/>
      <x:c r="Y113" s="342"/>
      <x:c r="Z113" s="342"/>
      <x:c r="AA113" s="342"/>
      <x:c r="AB113" s="342"/>
      <x:c r="AC113" s="342"/>
      <x:c r="AD113" s="342"/>
      <x:c r="AE113" s="342"/>
      <x:c r="AF113" s="342"/>
      <x:c r="AG113" s="342"/>
      <x:c r="AH113" s="342"/>
    </x:row>
    <x:row r="114">
      <x:c r="A114" s="337" t="str">
        <x:v>Peptide facility</x:v>
      </x:c>
      <x:c r="B114" s="338" t="str">
        <x:v>Incremental Revenue</x:v>
      </x:c>
      <x:c r="C114" s="338" t="str">
        <x:v>INR m</x:v>
      </x:c>
      <x:c r="D114" s="352" t="str">
        <x:v>NA</x:v>
      </x:c>
      <x:c r="E114" s="352" t="str">
        <x:v>NA</x:v>
      </x:c>
      <x:c r="F114" s="172"/>
      <x:c r="G114" s="172"/>
      <x:c r="H114" s="172"/>
      <x:c r="I114" s="352" t="str">
        <x:v>Project-led; no automatic revenue from capacity</x:v>
      </x:c>
      <x:c r="J114" s="343"/>
      <x:c r="K114" s="343"/>
      <x:c r="L114" s="343"/>
      <x:c r="M114" s="343"/>
      <x:c r="N114" s="338"/>
      <x:c r="O114" s="342"/>
      <x:c r="P114" s="342"/>
      <x:c r="Q114" s="342"/>
      <x:c r="R114" s="342"/>
      <x:c r="S114" s="342"/>
      <x:c r="T114" s="342"/>
      <x:c r="U114" s="342"/>
      <x:c r="V114" s="342"/>
      <x:c r="W114" s="342"/>
      <x:c r="X114" s="342"/>
      <x:c r="Y114" s="342"/>
      <x:c r="Z114" s="342"/>
      <x:c r="AA114" s="342"/>
      <x:c r="AB114" s="342"/>
      <x:c r="AC114" s="342"/>
      <x:c r="AD114" s="342"/>
      <x:c r="AE114" s="342"/>
      <x:c r="AF114" s="342"/>
      <x:c r="AG114" s="342"/>
      <x:c r="AH114" s="342"/>
    </x:row>
    <x:row r="115">
      <x:c r="A115" s="341"/>
      <x:c r="B115" s="342"/>
      <x:c r="C115" s="342"/>
      <x:c r="D115" s="343"/>
      <x:c r="E115" s="343"/>
      <x:c r="F115" s="343"/>
      <x:c r="G115" s="343"/>
      <x:c r="H115" s="343"/>
      <x:c r="I115" s="343"/>
      <x:c r="J115" s="343"/>
      <x:c r="K115" s="343"/>
      <x:c r="L115" s="343"/>
      <x:c r="M115" s="343"/>
      <x:c r="N115" s="338"/>
      <x:c r="O115" s="342"/>
      <x:c r="P115" s="342"/>
      <x:c r="Q115" s="342"/>
      <x:c r="R115" s="342"/>
      <x:c r="S115" s="342"/>
      <x:c r="T115" s="342"/>
      <x:c r="U115" s="342"/>
      <x:c r="V115" s="342"/>
      <x:c r="W115" s="342"/>
      <x:c r="X115" s="342"/>
      <x:c r="Y115" s="342"/>
      <x:c r="Z115" s="342"/>
      <x:c r="AA115" s="342"/>
      <x:c r="AB115" s="342"/>
      <x:c r="AC115" s="342"/>
      <x:c r="AD115" s="342"/>
      <x:c r="AE115" s="342"/>
      <x:c r="AF115" s="342"/>
      <x:c r="AG115" s="342"/>
      <x:c r="AH115" s="342"/>
    </x:row>
    <x:row r="116">
      <x:c r="A116" s="341"/>
      <x:c r="B116" s="342"/>
      <x:c r="C116" s="342"/>
      <x:c r="D116" s="343"/>
      <x:c r="E116" s="343"/>
      <x:c r="F116" s="343"/>
      <x:c r="G116" s="343"/>
      <x:c r="H116" s="343"/>
      <x:c r="I116" s="343"/>
      <x:c r="J116" s="343"/>
      <x:c r="K116" s="343"/>
      <x:c r="L116" s="343"/>
      <x:c r="M116" s="343"/>
      <x:c r="N116" s="338"/>
      <x:c r="O116" s="342"/>
      <x:c r="P116" s="342"/>
      <x:c r="Q116" s="342"/>
      <x:c r="R116" s="342"/>
      <x:c r="S116" s="342"/>
      <x:c r="T116" s="342"/>
      <x:c r="U116" s="342"/>
      <x:c r="V116" s="342"/>
      <x:c r="W116" s="342"/>
      <x:c r="X116" s="342"/>
      <x:c r="Y116" s="342"/>
      <x:c r="Z116" s="342"/>
      <x:c r="AA116" s="342"/>
      <x:c r="AB116" s="342"/>
      <x:c r="AC116" s="342"/>
      <x:c r="AD116" s="342"/>
      <x:c r="AE116" s="342"/>
      <x:c r="AF116" s="342"/>
      <x:c r="AG116" s="342"/>
      <x:c r="AH116" s="342"/>
    </x:row>
    <x:row r="117" ht="20" customHeight="1">
      <x:c r="A117" s="30" t="str">
        <x:v>G. Molecule / Capacity Matching</x:v>
      </x:c>
      <x:c r="B117" s="30"/>
      <x:c r="C117" s="30"/>
      <x:c r="D117" s="175"/>
      <x:c r="E117" s="175"/>
      <x:c r="F117" s="175"/>
      <x:c r="G117" s="175"/>
      <x:c r="H117" s="175"/>
      <x:c r="I117" s="175"/>
      <x:c r="J117" s="175"/>
      <x:c r="K117" s="175"/>
      <x:c r="L117" s="175"/>
      <x:c r="M117" s="175"/>
      <x:c r="N117" s="223"/>
      <x:c r="O117" s="30"/>
      <x:c r="P117" s="444"/>
      <x:c r="Q117" s="444"/>
      <x:c r="R117" s="444"/>
      <x:c r="S117" s="444"/>
      <x:c r="T117" s="444"/>
      <x:c r="U117" s="444"/>
      <x:c r="V117" s="444"/>
      <x:c r="W117" s="444"/>
      <x:c r="X117" s="444"/>
      <x:c r="Y117" s="444"/>
      <x:c r="Z117" s="444"/>
      <x:c r="AA117" s="444"/>
      <x:c r="AB117" s="444"/>
      <x:c r="AC117" s="444"/>
      <x:c r="AD117" s="444"/>
      <x:c r="AE117" s="444"/>
      <x:c r="AF117" s="444"/>
      <x:c r="AG117" s="444"/>
      <x:c r="AH117" s="444"/>
    </x:row>
    <x:row r="118">
      <x:c r="A118" s="160" t="str">
        <x:v>Molecule / Programme</x:v>
      </x:c>
      <x:c r="B118" s="15" t="str">
        <x:v>Status</x:v>
      </x:c>
      <x:c r="C118" s="15" t="str">
        <x:v>Neuland Role</x:v>
      </x:c>
      <x:c r="D118" s="168" t="str">
        <x:v>Expected Scale</x:v>
      </x:c>
      <x:c r="E118" s="168" t="str">
        <x:v>Capability Required</x:v>
      </x:c>
      <x:c r="F118" s="168" t="str">
        <x:v>Facility / Capex Block</x:v>
      </x:c>
      <x:c r="G118" s="168" t="str">
        <x:v>Commercial Timing</x:v>
      </x:c>
      <x:c r="H118" s="168" t="str">
        <x:v>Revenue Visibility</x:v>
      </x:c>
      <x:c r="I118" s="168" t="str">
        <x:v>Evidence</x:v>
      </x:c>
      <x:c r="J118" s="168" t="str">
        <x:v>Analyst View</x:v>
      </x:c>
      <x:c r="K118" s="343"/>
      <x:c r="L118" s="343"/>
      <x:c r="M118" s="343"/>
      <x:c r="N118" s="338"/>
      <x:c r="O118" s="342"/>
      <x:c r="P118" s="342"/>
      <x:c r="Q118" s="342"/>
      <x:c r="R118" s="342"/>
      <x:c r="S118" s="342"/>
      <x:c r="T118" s="342"/>
      <x:c r="U118" s="342"/>
      <x:c r="V118" s="342"/>
      <x:c r="W118" s="342"/>
      <x:c r="X118" s="342"/>
      <x:c r="Y118" s="342"/>
      <x:c r="Z118" s="342"/>
      <x:c r="AA118" s="342"/>
      <x:c r="AB118" s="342"/>
      <x:c r="AC118" s="342"/>
      <x:c r="AD118" s="342"/>
      <x:c r="AE118" s="342"/>
      <x:c r="AF118" s="342"/>
      <x:c r="AG118" s="342"/>
      <x:c r="AH118" s="342"/>
    </x:row>
    <x:row r="119" ht="62" customHeight="1">
      <x:c r="A119" s="337" t="str">
        <x:v>Ezetimibe</x:v>
      </x:c>
      <x:c r="B119" s="338" t="str">
        <x:v>Commercial / mature</x:v>
      </x:c>
      <x:c r="C119" s="338" t="str">
        <x:v>Prime API product; company-disclosed</x:v>
      </x:c>
      <x:c r="D119" s="352" t="str">
        <x:v>Meaningful but mature</x:v>
      </x:c>
      <x:c r="E119" s="352" t="str">
        <x:v>Conventional API / scale manufacturing</x:v>
      </x:c>
      <x:c r="F119" s="352" t="str">
        <x:v>Existing GDS capacity; Unit I block may support broad large-volume products but no molecule tie</x:v>
      </x:c>
      <x:c r="G119" s="352" t="str">
        <x:v>Current</x:v>
      </x:c>
      <x:c r="H119" s="352" t="str">
        <x:v>High product visibility; no dedicated capex attribution</x:v>
      </x:c>
      <x:c r="I119" s="352" t="str">
        <x:v>High relationship</x:v>
      </x:c>
      <x:c r="J119" s="352" t="str">
        <x:v>Do not force incremental capex link; model growth should be demand/share-led</x:v>
      </x:c>
      <x:c r="K119" s="343"/>
      <x:c r="L119" s="343"/>
      <x:c r="M119" s="343"/>
      <x:c r="N119" s="338"/>
      <x:c r="O119" s="342"/>
      <x:c r="P119" s="342"/>
      <x:c r="Q119" s="342"/>
      <x:c r="R119" s="342"/>
      <x:c r="S119" s="342"/>
      <x:c r="T119" s="342"/>
      <x:c r="U119" s="342"/>
      <x:c r="V119" s="342"/>
      <x:c r="W119" s="342"/>
      <x:c r="X119" s="342"/>
      <x:c r="Y119" s="342"/>
      <x:c r="Z119" s="342"/>
      <x:c r="AA119" s="342"/>
      <x:c r="AB119" s="342"/>
      <x:c r="AC119" s="342"/>
      <x:c r="AD119" s="342"/>
      <x:c r="AE119" s="342"/>
      <x:c r="AF119" s="342"/>
      <x:c r="AG119" s="342"/>
      <x:c r="AH119" s="342"/>
    </x:row>
    <x:row r="120" ht="62" customHeight="1">
      <x:c r="A120" s="337" t="str">
        <x:v>Paliperidone</x:v>
      </x:c>
      <x:c r="B120" s="338" t="str">
        <x:v>Commercial</x:v>
      </x:c>
      <x:c r="C120" s="338" t="str">
        <x:v>Specialty API product; company-disclosed</x:v>
      </x:c>
      <x:c r="D120" s="352" t="str">
        <x:v>Cycle currently subdued</x:v>
      </x:c>
      <x:c r="E120" s="352" t="str">
        <x:v>Complex / specialty API</x:v>
      </x:c>
      <x:c r="F120" s="352" t="str">
        <x:v>Existing Specialty capacity; no dedicated new block disclosed</x:v>
      </x:c>
      <x:c r="G120" s="352" t="str">
        <x:v>Current / recovery dependent</x:v>
      </x:c>
      <x:c r="H120" s="352" t="str">
        <x:v>Medium</x:v>
      </x:c>
      <x:c r="I120" s="352" t="str">
        <x:v>High relationship</x:v>
      </x:c>
      <x:c r="J120" s="352" t="str">
        <x:v>Recovery is a utilisation / demand debate, not new-capacity debate</x:v>
      </x:c>
      <x:c r="K120" s="343"/>
      <x:c r="L120" s="343"/>
      <x:c r="M120" s="343"/>
      <x:c r="N120" s="338"/>
      <x:c r="O120" s="342"/>
      <x:c r="P120" s="342"/>
      <x:c r="Q120" s="342"/>
      <x:c r="R120" s="342"/>
      <x:c r="S120" s="342"/>
      <x:c r="T120" s="342"/>
      <x:c r="U120" s="342"/>
      <x:c r="V120" s="342"/>
      <x:c r="W120" s="342"/>
      <x:c r="X120" s="342"/>
      <x:c r="Y120" s="342"/>
      <x:c r="Z120" s="342"/>
      <x:c r="AA120" s="342"/>
      <x:c r="AB120" s="342"/>
      <x:c r="AC120" s="342"/>
      <x:c r="AD120" s="342"/>
      <x:c r="AE120" s="342"/>
      <x:c r="AF120" s="342"/>
      <x:c r="AG120" s="342"/>
      <x:c r="AH120" s="342"/>
    </x:row>
    <x:row r="121" ht="62" customHeight="1">
      <x:c r="A121" s="337" t="str">
        <x:v>Bempedoic acid</x:v>
      </x:c>
      <x:c r="B121" s="338" t="str">
        <x:v>Commercial</x:v>
      </x:c>
      <x:c r="C121" s="338" t="str">
        <x:v>Commercial API manufacturer to Esperion; confirmed</x:v>
      </x:c>
      <x:c r="D121" s="352" t="str">
        <x:v>Potentially material CMS programme</x:v>
      </x:c>
      <x:c r="E121" s="352" t="str">
        <x:v>Multi-step small-molecule scale-up / commercial manufacturing</x:v>
      </x:c>
      <x:c r="F121" s="352" t="str">
        <x:v>Existing Hyderabad manufacturing unit; no specific block public</x:v>
      </x:c>
      <x:c r="G121" s="352" t="str">
        <x:v>Commercial</x:v>
      </x:c>
      <x:c r="H121" s="352" t="str">
        <x:v>High relationship; molecule revenue undisclosed</x:v>
      </x:c>
      <x:c r="I121" s="352" t="str">
        <x:v>High</x:v>
      </x:c>
      <x:c r="J121" s="352" t="str">
        <x:v>Model ramp supportable at relationship level; capex requirement cannot be validated molecule-by-molecule</x:v>
      </x:c>
      <x:c r="K121" s="343"/>
      <x:c r="L121" s="343"/>
      <x:c r="M121" s="343"/>
      <x:c r="N121" s="338"/>
      <x:c r="O121" s="342"/>
      <x:c r="P121" s="342"/>
      <x:c r="Q121" s="342"/>
      <x:c r="R121" s="342"/>
      <x:c r="S121" s="342"/>
      <x:c r="T121" s="342"/>
      <x:c r="U121" s="342"/>
      <x:c r="V121" s="342"/>
      <x:c r="W121" s="342"/>
      <x:c r="X121" s="342"/>
      <x:c r="Y121" s="342"/>
      <x:c r="Z121" s="342"/>
      <x:c r="AA121" s="342"/>
      <x:c r="AB121" s="342"/>
      <x:c r="AC121" s="342"/>
      <x:c r="AD121" s="342"/>
      <x:c r="AE121" s="342"/>
      <x:c r="AF121" s="342"/>
      <x:c r="AG121" s="342"/>
      <x:c r="AH121" s="342"/>
    </x:row>
    <x:row r="122" ht="62" customHeight="1">
      <x:c r="A122" s="337" t="str">
        <x:v>Xanomeline / Cobenfy</x:v>
      </x:c>
      <x:c r="B122" s="338" t="str">
        <x:v>Commercial innovator product; Neuland link unconfirmed</x:v>
      </x:c>
      <x:c r="C122" s="338" t="str">
        <x:v>Analyst inferred — not company confirmed</x:v>
      </x:c>
      <x:c r="D122" s="352" t="str">
        <x:v>Potentially material if link exists</x:v>
      </x:c>
      <x:c r="E122" s="352" t="str">
        <x:v>Small-molecule commercial manufacturing</x:v>
      </x:c>
      <x:c r="F122" s="352" t="str">
        <x:v>NA — no public facility attribution</x:v>
      </x:c>
      <x:c r="G122" s="352" t="str">
        <x:v>Commercial innovator launch</x:v>
      </x:c>
      <x:c r="H122" s="352" t="str">
        <x:v>Medium / inference</x:v>
      </x:c>
      <x:c r="I122" s="352" t="str">
        <x:v>Medium</x:v>
      </x:c>
      <x:c r="J122" s="352" t="str">
        <x:v>Higher model-risk than bempedoic; require direct or sustained supply evidence before raising confidence</x:v>
      </x:c>
      <x:c r="K122" s="343"/>
      <x:c r="L122" s="343"/>
      <x:c r="M122" s="343"/>
      <x:c r="N122" s="338"/>
      <x:c r="O122" s="342"/>
      <x:c r="P122" s="342"/>
      <x:c r="Q122" s="342"/>
      <x:c r="R122" s="342"/>
      <x:c r="S122" s="342"/>
      <x:c r="T122" s="342"/>
      <x:c r="U122" s="342"/>
      <x:c r="V122" s="342"/>
      <x:c r="W122" s="342"/>
      <x:c r="X122" s="342"/>
      <x:c r="Y122" s="342"/>
      <x:c r="Z122" s="342"/>
      <x:c r="AA122" s="342"/>
      <x:c r="AB122" s="342"/>
      <x:c r="AC122" s="342"/>
      <x:c r="AD122" s="342"/>
      <x:c r="AE122" s="342"/>
      <x:c r="AF122" s="342"/>
      <x:c r="AG122" s="342"/>
      <x:c r="AH122" s="342"/>
    </x:row>
    <x:row r="123" ht="62" customHeight="1">
      <x:c r="A123" s="337" t="str">
        <x:v>Peptide programmes</x:v>
      </x:c>
      <x:c r="B123" s="338" t="str">
        <x:v>Early-stage / capability build</x:v>
      </x:c>
      <x:c r="C123" s="338" t="str">
        <x:v>Development / manufacturing partner to several innovators; customers unnamed</x:v>
      </x:c>
      <x:c r="D123" s="352" t="str">
        <x:v>Early-stage</x:v>
      </x:c>
      <x:c r="E123" s="352" t="str">
        <x:v>Peptide R&amp;D + large-scale synthesis</x:v>
      </x:c>
      <x:c r="F123" s="352" t="str">
        <x:v>Unit I peptide facility + Genome Valley R&amp;D</x:v>
      </x:c>
      <x:c r="G123" s="352" t="str">
        <x:v>FY27 commissioning; commercial win target</x:v>
      </x:c>
      <x:c r="H123" s="352" t="str">
        <x:v>Low-Medium</x:v>
      </x:c>
      <x:c r="I123" s="352" t="str">
        <x:v>High capability / Low-Med revenue</x:v>
      </x:c>
      <x:c r="J123" s="352" t="str">
        <x:v>Strategic option; revenue should follow project conversion, not commissioning alone</x:v>
      </x:c>
      <x:c r="K123" s="343"/>
      <x:c r="L123" s="343"/>
      <x:c r="M123" s="343"/>
      <x:c r="N123" s="338"/>
      <x:c r="O123" s="342"/>
      <x:c r="P123" s="342"/>
      <x:c r="Q123" s="342"/>
      <x:c r="R123" s="342"/>
      <x:c r="S123" s="342"/>
      <x:c r="T123" s="342"/>
      <x:c r="U123" s="342"/>
      <x:c r="V123" s="342"/>
      <x:c r="W123" s="342"/>
      <x:c r="X123" s="342"/>
      <x:c r="Y123" s="342"/>
      <x:c r="Z123" s="342"/>
      <x:c r="AA123" s="342"/>
      <x:c r="AB123" s="342"/>
      <x:c r="AC123" s="342"/>
      <x:c r="AD123" s="342"/>
      <x:c r="AE123" s="342"/>
      <x:c r="AF123" s="342"/>
      <x:c r="AG123" s="342"/>
      <x:c r="AH123" s="342"/>
    </x:row>
    <x:row r="124" ht="62" customHeight="1">
      <x:c r="A124" s="337" t="str">
        <x:v>Other commercial CMS cohort</x:v>
      </x:c>
      <x:c r="B124" s="338" t="str">
        <x:v>Commercial</x:v>
      </x:c>
      <x:c r="C124" s="338" t="str">
        <x:v>Confidential innovator supply</x:v>
      </x:c>
      <x:c r="D124" s="352" t="str">
        <x:v>Large and growing</x:v>
      </x:c>
      <x:c r="E124" s="352" t="str">
        <x:v>Flexible multipurpose small-molecule manufacturing</x:v>
      </x:c>
      <x:c r="F124" s="352" t="str">
        <x:v>Primarily Unit III / network; no specific project map</x:v>
      </x:c>
      <x:c r="G124" s="352" t="str">
        <x:v>Current</x:v>
      </x:c>
      <x:c r="H124" s="352" t="str">
        <x:v>High at cohort level</x:v>
      </x:c>
      <x:c r="I124" s="352" t="str">
        <x:v>High</x:v>
      </x:c>
      <x:c r="J124" s="352" t="str">
        <x:v>Core FY26 monetisation engine; concentration and campaign timing remain key risks</x:v>
      </x:c>
      <x:c r="K124" s="343"/>
      <x:c r="L124" s="343"/>
      <x:c r="M124" s="343"/>
      <x:c r="N124" s="338"/>
      <x:c r="O124" s="342"/>
      <x:c r="P124" s="342"/>
      <x:c r="Q124" s="342"/>
      <x:c r="R124" s="342"/>
      <x:c r="S124" s="342"/>
      <x:c r="T124" s="342"/>
      <x:c r="U124" s="342"/>
      <x:c r="V124" s="342"/>
      <x:c r="W124" s="342"/>
      <x:c r="X124" s="342"/>
      <x:c r="Y124" s="342"/>
      <x:c r="Z124" s="342"/>
      <x:c r="AA124" s="342"/>
      <x:c r="AB124" s="342"/>
      <x:c r="AC124" s="342"/>
      <x:c r="AD124" s="342"/>
      <x:c r="AE124" s="342"/>
      <x:c r="AF124" s="342"/>
      <x:c r="AG124" s="342"/>
      <x:c r="AH124" s="342"/>
    </x:row>
    <x:row r="125">
      <x:c r="A125" s="341"/>
      <x:c r="B125" s="342"/>
      <x:c r="C125" s="342"/>
      <x:c r="D125" s="343"/>
      <x:c r="E125" s="343"/>
      <x:c r="F125" s="343"/>
      <x:c r="G125" s="343"/>
      <x:c r="H125" s="343"/>
      <x:c r="I125" s="343"/>
      <x:c r="J125" s="343"/>
      <x:c r="K125" s="343"/>
      <x:c r="L125" s="343"/>
      <x:c r="M125" s="343"/>
      <x:c r="N125" s="338"/>
      <x:c r="O125" s="342"/>
      <x:c r="P125" s="342"/>
      <x:c r="Q125" s="342"/>
      <x:c r="R125" s="342"/>
      <x:c r="S125" s="342"/>
      <x:c r="T125" s="342"/>
      <x:c r="U125" s="342"/>
      <x:c r="V125" s="342"/>
      <x:c r="W125" s="342"/>
      <x:c r="X125" s="342"/>
      <x:c r="Y125" s="342"/>
      <x:c r="Z125" s="342"/>
      <x:c r="AA125" s="342"/>
      <x:c r="AB125" s="342"/>
      <x:c r="AC125" s="342"/>
      <x:c r="AD125" s="342"/>
      <x:c r="AE125" s="342"/>
      <x:c r="AF125" s="342"/>
      <x:c r="AG125" s="342"/>
      <x:c r="AH125" s="342"/>
    </x:row>
    <x:row r="126">
      <x:c r="A126" s="341"/>
      <x:c r="B126" s="342"/>
      <x:c r="C126" s="342"/>
      <x:c r="D126" s="343"/>
      <x:c r="E126" s="343"/>
      <x:c r="F126" s="343"/>
      <x:c r="G126" s="343"/>
      <x:c r="H126" s="343"/>
      <x:c r="I126" s="343"/>
      <x:c r="J126" s="343"/>
      <x:c r="K126" s="343"/>
      <x:c r="L126" s="343"/>
      <x:c r="M126" s="343"/>
      <x:c r="N126" s="338"/>
      <x:c r="O126" s="342"/>
      <x:c r="P126" s="342"/>
      <x:c r="Q126" s="342"/>
      <x:c r="R126" s="342"/>
      <x:c r="S126" s="342"/>
      <x:c r="T126" s="342"/>
      <x:c r="U126" s="342"/>
      <x:c r="V126" s="342"/>
      <x:c r="W126" s="342"/>
      <x:c r="X126" s="342"/>
      <x:c r="Y126" s="342"/>
      <x:c r="Z126" s="342"/>
      <x:c r="AA126" s="342"/>
      <x:c r="AB126" s="342"/>
      <x:c r="AC126" s="342"/>
      <x:c r="AD126" s="342"/>
      <x:c r="AE126" s="342"/>
      <x:c r="AF126" s="342"/>
      <x:c r="AG126" s="342"/>
      <x:c r="AH126" s="342"/>
    </x:row>
    <x:row r="127" ht="20" customHeight="1">
      <x:c r="A127" s="30" t="str">
        <x:v>H. CMS Pipeline → Future Sales</x:v>
      </x:c>
      <x:c r="B127" s="30"/>
      <x:c r="C127" s="30"/>
      <x:c r="D127" s="175"/>
      <x:c r="E127" s="175"/>
      <x:c r="F127" s="175"/>
      <x:c r="G127" s="175"/>
      <x:c r="H127" s="175"/>
      <x:c r="I127" s="175"/>
      <x:c r="J127" s="175"/>
      <x:c r="K127" s="175"/>
      <x:c r="L127" s="175"/>
      <x:c r="M127" s="175"/>
      <x:c r="N127" s="223"/>
      <x:c r="O127" s="30"/>
      <x:c r="P127" s="444"/>
      <x:c r="Q127" s="444"/>
      <x:c r="R127" s="444"/>
      <x:c r="S127" s="444"/>
      <x:c r="T127" s="444"/>
      <x:c r="U127" s="444"/>
      <x:c r="V127" s="444"/>
      <x:c r="W127" s="444"/>
      <x:c r="X127" s="444"/>
      <x:c r="Y127" s="444"/>
      <x:c r="Z127" s="444"/>
      <x:c r="AA127" s="444"/>
      <x:c r="AB127" s="444"/>
      <x:c r="AC127" s="444"/>
      <x:c r="AD127" s="444"/>
      <x:c r="AE127" s="444"/>
      <x:c r="AF127" s="444"/>
      <x:c r="AG127" s="444"/>
      <x:c r="AH127" s="444"/>
    </x:row>
    <x:row r="128">
      <x:c r="A128" s="160" t="str">
        <x:v>Metric</x:v>
      </x:c>
      <x:c r="B128" s="15" t="str">
        <x:v>Units</x:v>
      </x:c>
      <x:c r="C128" s="15" t="str">
        <x:v>FY25A</x:v>
      </x:c>
      <x:c r="D128" s="168" t="str">
        <x:v>FY26A</x:v>
      </x:c>
      <x:c r="E128" s="168" t="str">
        <x:v>Change</x:v>
      </x:c>
      <x:c r="F128" s="168" t="str">
        <x:v>Analyst Read-through</x:v>
      </x:c>
      <x:c r="G128" s="168" t="str">
        <x:v>Source</x:v>
      </x:c>
      <x:c r="H128" s="343"/>
      <x:c r="I128" s="343"/>
      <x:c r="J128" s="343"/>
      <x:c r="K128" s="343"/>
      <x:c r="L128" s="343"/>
      <x:c r="M128" s="343"/>
      <x:c r="N128" s="338"/>
      <x:c r="O128" s="342"/>
      <x:c r="P128" s="342"/>
      <x:c r="Q128" s="342"/>
      <x:c r="R128" s="342"/>
      <x:c r="S128" s="342"/>
      <x:c r="T128" s="342"/>
      <x:c r="U128" s="342"/>
      <x:c r="V128" s="342"/>
      <x:c r="W128" s="342"/>
      <x:c r="X128" s="342"/>
      <x:c r="Y128" s="342"/>
      <x:c r="Z128" s="342"/>
      <x:c r="AA128" s="342"/>
      <x:c r="AB128" s="342"/>
      <x:c r="AC128" s="342"/>
      <x:c r="AD128" s="342"/>
      <x:c r="AE128" s="342"/>
      <x:c r="AF128" s="342"/>
      <x:c r="AG128" s="342"/>
      <x:c r="AH128" s="342"/>
    </x:row>
    <x:row r="129">
      <x:c r="A129" s="337" t="str">
        <x:v>Total CMS Projects</x:v>
      </x:c>
      <x:c r="B129" s="338" t="str">
        <x:v>count</x:v>
      </x:c>
      <x:c r="C129" s="391" t="n">
        <x:v>97</x:v>
      </x:c>
      <x:c r="D129" s="392" t="n">
        <x:v>98</x:v>
      </x:c>
      <x:c r="E129" s="392" t="n">
        <x:v>1</x:v>
      </x:c>
      <x:c r="F129" s="352" t="str">
        <x:v>Project count broadly stable; quality / stage mix matters more than headline count</x:v>
      </x:c>
      <x:c r="G129" s="352" t="str">
        <x:v>Q4 FY25 / Q4 FY26 presentations</x:v>
      </x:c>
      <x:c r="H129" s="343"/>
      <x:c r="I129" s="343"/>
      <x:c r="J129" s="343"/>
      <x:c r="K129" s="343"/>
      <x:c r="L129" s="343"/>
      <x:c r="M129" s="343"/>
      <x:c r="N129" s="338"/>
      <x:c r="O129" s="342"/>
      <x:c r="P129" s="342"/>
      <x:c r="Q129" s="342"/>
      <x:c r="R129" s="342"/>
      <x:c r="S129" s="342"/>
      <x:c r="T129" s="342"/>
      <x:c r="U129" s="342"/>
      <x:c r="V129" s="342"/>
      <x:c r="W129" s="342"/>
      <x:c r="X129" s="342"/>
      <x:c r="Y129" s="342"/>
      <x:c r="Z129" s="342"/>
      <x:c r="AA129" s="342"/>
      <x:c r="AB129" s="342"/>
      <x:c r="AC129" s="342"/>
      <x:c r="AD129" s="342"/>
      <x:c r="AE129" s="342"/>
      <x:c r="AF129" s="342"/>
      <x:c r="AG129" s="342"/>
      <x:c r="AH129" s="342"/>
    </x:row>
    <x:row r="130">
      <x:c r="A130" s="337" t="str">
        <x:v>Pre-Clinical</x:v>
      </x:c>
      <x:c r="B130" s="338" t="str">
        <x:v>count</x:v>
      </x:c>
      <x:c r="C130" s="391" t="n">
        <x:v>21</x:v>
      </x:c>
      <x:c r="D130" s="392" t="n">
        <x:v>20</x:v>
      </x:c>
      <x:c r="E130" s="392" t="n">
        <x:v>-1</x:v>
      </x:c>
      <x:c r="F130" s="352" t="str">
        <x:v>Early-stage base remains healthy</x:v>
      </x:c>
      <x:c r="G130" s="352" t="str">
        <x:v>Investor presentations</x:v>
      </x:c>
      <x:c r="H130" s="343"/>
      <x:c r="I130" s="343"/>
      <x:c r="J130" s="343"/>
      <x:c r="K130" s="343"/>
      <x:c r="L130" s="343"/>
      <x:c r="M130" s="343"/>
      <x:c r="N130" s="338"/>
      <x:c r="O130" s="342"/>
      <x:c r="P130" s="342"/>
      <x:c r="Q130" s="342"/>
      <x:c r="R130" s="342"/>
      <x:c r="S130" s="342"/>
      <x:c r="T130" s="342"/>
      <x:c r="U130" s="342"/>
      <x:c r="V130" s="342"/>
      <x:c r="W130" s="342"/>
      <x:c r="X130" s="342"/>
      <x:c r="Y130" s="342"/>
      <x:c r="Z130" s="342"/>
      <x:c r="AA130" s="342"/>
      <x:c r="AB130" s="342"/>
      <x:c r="AC130" s="342"/>
      <x:c r="AD130" s="342"/>
      <x:c r="AE130" s="342"/>
      <x:c r="AF130" s="342"/>
      <x:c r="AG130" s="342"/>
      <x:c r="AH130" s="342"/>
    </x:row>
    <x:row r="131">
      <x:c r="A131" s="337" t="str">
        <x:v>Phase I</x:v>
      </x:c>
      <x:c r="B131" s="338" t="str">
        <x:v>count</x:v>
      </x:c>
      <x:c r="C131" s="391" t="n">
        <x:v>20</x:v>
      </x:c>
      <x:c r="D131" s="392" t="n">
        <x:v>22</x:v>
      </x:c>
      <x:c r="E131" s="392" t="n">
        <x:v>2</x:v>
      </x:c>
      <x:c r="F131" s="352" t="str">
        <x:v>Early-stage additions</x:v>
      </x:c>
      <x:c r="G131" s="352" t="str">
        <x:v>Investor presentations</x:v>
      </x:c>
      <x:c r="H131" s="343"/>
      <x:c r="I131" s="343"/>
      <x:c r="J131" s="343"/>
      <x:c r="K131" s="343"/>
      <x:c r="L131" s="343"/>
      <x:c r="M131" s="343"/>
      <x:c r="N131" s="338"/>
      <x:c r="O131" s="342"/>
      <x:c r="P131" s="342"/>
      <x:c r="Q131" s="342"/>
      <x:c r="R131" s="342"/>
      <x:c r="S131" s="342"/>
      <x:c r="T131" s="342"/>
      <x:c r="U131" s="342"/>
      <x:c r="V131" s="342"/>
      <x:c r="W131" s="342"/>
      <x:c r="X131" s="342"/>
      <x:c r="Y131" s="342"/>
      <x:c r="Z131" s="342"/>
      <x:c r="AA131" s="342"/>
      <x:c r="AB131" s="342"/>
      <x:c r="AC131" s="342"/>
      <x:c r="AD131" s="342"/>
      <x:c r="AE131" s="342"/>
      <x:c r="AF131" s="342"/>
      <x:c r="AG131" s="342"/>
      <x:c r="AH131" s="342"/>
    </x:row>
    <x:row r="132">
      <x:c r="A132" s="337" t="str">
        <x:v>Phase II</x:v>
      </x:c>
      <x:c r="B132" s="338" t="str">
        <x:v>count</x:v>
      </x:c>
      <x:c r="C132" s="391" t="n">
        <x:v>20</x:v>
      </x:c>
      <x:c r="D132" s="392" t="n">
        <x:v>20</x:v>
      </x:c>
      <x:c r="E132" s="392" t="n">
        <x:v>0</x:v>
      </x:c>
      <x:c r="F132" s="352" t="str">
        <x:v>Stable middle funnel</x:v>
      </x:c>
      <x:c r="G132" s="352" t="str">
        <x:v>Investor presentations</x:v>
      </x:c>
      <x:c r="H132" s="343"/>
      <x:c r="I132" s="343"/>
      <x:c r="J132" s="343"/>
      <x:c r="K132" s="343"/>
      <x:c r="L132" s="343"/>
      <x:c r="M132" s="343"/>
      <x:c r="N132" s="338"/>
      <x:c r="O132" s="342"/>
      <x:c r="P132" s="342"/>
      <x:c r="Q132" s="342"/>
      <x:c r="R132" s="342"/>
      <x:c r="S132" s="342"/>
      <x:c r="T132" s="342"/>
      <x:c r="U132" s="342"/>
      <x:c r="V132" s="342"/>
      <x:c r="W132" s="342"/>
      <x:c r="X132" s="342"/>
      <x:c r="Y132" s="342"/>
      <x:c r="Z132" s="342"/>
      <x:c r="AA132" s="342"/>
      <x:c r="AB132" s="342"/>
      <x:c r="AC132" s="342"/>
      <x:c r="AD132" s="342"/>
      <x:c r="AE132" s="342"/>
      <x:c r="AF132" s="342"/>
      <x:c r="AG132" s="342"/>
      <x:c r="AH132" s="342"/>
    </x:row>
    <x:row r="133">
      <x:c r="A133" s="337" t="str">
        <x:v>Phase III</x:v>
      </x:c>
      <x:c r="B133" s="338" t="str">
        <x:v>count</x:v>
      </x:c>
      <x:c r="C133" s="391" t="n">
        <x:v>8</x:v>
      </x:c>
      <x:c r="D133" s="392" t="n">
        <x:v>10</x:v>
      </x:c>
      <x:c r="E133" s="392" t="n">
        <x:v>2</x:v>
      </x:c>
      <x:c r="F133" s="352" t="str">
        <x:v>Late-stage depth improved</x:v>
      </x:c>
      <x:c r="G133" s="352" t="str">
        <x:v>Investor presentations</x:v>
      </x:c>
      <x:c r="H133" s="343"/>
      <x:c r="I133" s="343"/>
      <x:c r="J133" s="343"/>
      <x:c r="K133" s="343"/>
      <x:c r="L133" s="343"/>
      <x:c r="M133" s="343"/>
      <x:c r="N133" s="338"/>
      <x:c r="O133" s="342"/>
      <x:c r="P133" s="342"/>
      <x:c r="Q133" s="342"/>
      <x:c r="R133" s="342"/>
      <x:c r="S133" s="342"/>
      <x:c r="T133" s="342"/>
      <x:c r="U133" s="342"/>
      <x:c r="V133" s="342"/>
      <x:c r="W133" s="342"/>
      <x:c r="X133" s="342"/>
      <x:c r="Y133" s="342"/>
      <x:c r="Z133" s="342"/>
      <x:c r="AA133" s="342"/>
      <x:c r="AB133" s="342"/>
      <x:c r="AC133" s="342"/>
      <x:c r="AD133" s="342"/>
      <x:c r="AE133" s="342"/>
      <x:c r="AF133" s="342"/>
      <x:c r="AG133" s="342"/>
      <x:c r="AH133" s="342"/>
    </x:row>
    <x:row r="134">
      <x:c r="A134" s="337" t="str">
        <x:v>Pre-Reg / Registration</x:v>
      </x:c>
      <x:c r="B134" s="338" t="str">
        <x:v>count</x:v>
      </x:c>
      <x:c r="C134" s="391" t="n">
        <x:v>9</x:v>
      </x:c>
      <x:c r="D134" s="392" t="n">
        <x:v>7</x:v>
      </x:c>
      <x:c r="E134" s="392" t="n">
        <x:v>-2</x:v>
      </x:c>
      <x:c r="F134" s="352" t="str">
        <x:v>Some movement out of filing / pre-reg stage</x:v>
      </x:c>
      <x:c r="G134" s="352" t="str">
        <x:v>Investor presentations</x:v>
      </x:c>
      <x:c r="H134" s="343"/>
      <x:c r="I134" s="343"/>
      <x:c r="J134" s="343"/>
      <x:c r="K134" s="343"/>
      <x:c r="L134" s="343"/>
      <x:c r="M134" s="343"/>
      <x:c r="N134" s="338"/>
      <x:c r="O134" s="342"/>
      <x:c r="P134" s="342"/>
      <x:c r="Q134" s="342"/>
      <x:c r="R134" s="342"/>
      <x:c r="S134" s="342"/>
      <x:c r="T134" s="342"/>
      <x:c r="U134" s="342"/>
      <x:c r="V134" s="342"/>
      <x:c r="W134" s="342"/>
      <x:c r="X134" s="342"/>
      <x:c r="Y134" s="342"/>
      <x:c r="Z134" s="342"/>
      <x:c r="AA134" s="342"/>
      <x:c r="AB134" s="342"/>
      <x:c r="AC134" s="342"/>
      <x:c r="AD134" s="342"/>
      <x:c r="AE134" s="342"/>
      <x:c r="AF134" s="342"/>
      <x:c r="AG134" s="342"/>
      <x:c r="AH134" s="342"/>
    </x:row>
    <x:row r="135">
      <x:c r="A135" s="337" t="str">
        <x:v>Commercial</x:v>
      </x:c>
      <x:c r="B135" s="338" t="str">
        <x:v>count</x:v>
      </x:c>
      <x:c r="C135" s="391" t="n">
        <x:v>19</x:v>
      </x:c>
      <x:c r="D135" s="392" t="n">
        <x:v>19</x:v>
      </x:c>
      <x:c r="E135" s="392" t="n">
        <x:v>0</x:v>
      </x:c>
      <x:c r="F135" s="352" t="str">
        <x:v>Commercial count unchanged despite major revenue increase</x:v>
      </x:c>
      <x:c r="G135" s="352" t="str">
        <x:v>Investor presentations</x:v>
      </x:c>
      <x:c r="H135" s="343"/>
      <x:c r="I135" s="343"/>
      <x:c r="J135" s="343"/>
      <x:c r="K135" s="343"/>
      <x:c r="L135" s="343"/>
      <x:c r="M135" s="343"/>
      <x:c r="N135" s="338"/>
      <x:c r="O135" s="342"/>
      <x:c r="P135" s="342"/>
      <x:c r="Q135" s="342"/>
      <x:c r="R135" s="342"/>
      <x:c r="S135" s="342"/>
      <x:c r="T135" s="342"/>
      <x:c r="U135" s="342"/>
      <x:c r="V135" s="342"/>
      <x:c r="W135" s="342"/>
      <x:c r="X135" s="342"/>
      <x:c r="Y135" s="342"/>
      <x:c r="Z135" s="342"/>
      <x:c r="AA135" s="342"/>
      <x:c r="AB135" s="342"/>
      <x:c r="AC135" s="342"/>
      <x:c r="AD135" s="342"/>
      <x:c r="AE135" s="342"/>
      <x:c r="AF135" s="342"/>
      <x:c r="AG135" s="342"/>
      <x:c r="AH135" s="342"/>
    </x:row>
    <x:row r="136">
      <x:c r="A136" s="337" t="str">
        <x:v>Development CMS Revenue</x:v>
      </x:c>
      <x:c r="B136" s="338" t="str">
        <x:v>INR m</x:v>
      </x:c>
      <x:c r="C136" s="391" t="n">
        <x:v>1260</x:v>
      </x:c>
      <x:c r="D136" s="392" t="n">
        <x:v>980</x:v>
      </x:c>
      <x:c r="E136" s="392" t="n">
        <x:v>-280</x:v>
      </x:c>
      <x:c r="F136" s="352" t="str">
        <x:v>Development revenue can be lumpy; not main FY26 growth driver</x:v>
      </x:c>
      <x:c r="G136" s="352" t="str">
        <x:v>Investor presentations</x:v>
      </x:c>
      <x:c r="H136" s="343"/>
      <x:c r="I136" s="343"/>
      <x:c r="J136" s="343"/>
      <x:c r="K136" s="343"/>
      <x:c r="L136" s="343"/>
      <x:c r="M136" s="343"/>
      <x:c r="N136" s="338"/>
      <x:c r="O136" s="342"/>
      <x:c r="P136" s="342"/>
      <x:c r="Q136" s="342"/>
      <x:c r="R136" s="342"/>
      <x:c r="S136" s="342"/>
      <x:c r="T136" s="342"/>
      <x:c r="U136" s="342"/>
      <x:c r="V136" s="342"/>
      <x:c r="W136" s="342"/>
      <x:c r="X136" s="342"/>
      <x:c r="Y136" s="342"/>
      <x:c r="Z136" s="342"/>
      <x:c r="AA136" s="342"/>
      <x:c r="AB136" s="342"/>
      <x:c r="AC136" s="342"/>
      <x:c r="AD136" s="342"/>
      <x:c r="AE136" s="342"/>
      <x:c r="AF136" s="342"/>
      <x:c r="AG136" s="342"/>
      <x:c r="AH136" s="342"/>
    </x:row>
    <x:row r="137">
      <x:c r="A137" s="337" t="str">
        <x:v>Commercial CMS Revenue</x:v>
      </x:c>
      <x:c r="B137" s="338" t="str">
        <x:v>INR m</x:v>
      </x:c>
      <x:c r="C137" s="391" t="n">
        <x:v>5110</x:v>
      </x:c>
      <x:c r="D137" s="392" t="n">
        <x:v>11460</x:v>
      </x:c>
      <x:c r="E137" s="392" t="n">
        <x:v>6350</x:v>
      </x:c>
      <x:c r="F137" s="352" t="str">
        <x:v>Commercial cohort more than doubled; scale-up occurred without higher commercial project count</x:v>
      </x:c>
      <x:c r="G137" s="352" t="str">
        <x:v>Investor presentations</x:v>
      </x:c>
      <x:c r="H137" s="343"/>
      <x:c r="I137" s="343"/>
      <x:c r="J137" s="343"/>
      <x:c r="K137" s="343"/>
      <x:c r="L137" s="343"/>
      <x:c r="M137" s="343"/>
      <x:c r="N137" s="338"/>
      <x:c r="O137" s="342"/>
      <x:c r="P137" s="342"/>
      <x:c r="Q137" s="342"/>
      <x:c r="R137" s="342"/>
      <x:c r="S137" s="342"/>
      <x:c r="T137" s="342"/>
      <x:c r="U137" s="342"/>
      <x:c r="V137" s="342"/>
      <x:c r="W137" s="342"/>
      <x:c r="X137" s="342"/>
      <x:c r="Y137" s="342"/>
      <x:c r="Z137" s="342"/>
      <x:c r="AA137" s="342"/>
      <x:c r="AB137" s="342"/>
      <x:c r="AC137" s="342"/>
      <x:c r="AD137" s="342"/>
      <x:c r="AE137" s="342"/>
      <x:c r="AF137" s="342"/>
      <x:c r="AG137" s="342"/>
      <x:c r="AH137" s="342"/>
    </x:row>
    <x:row r="138">
      <x:c r="A138" s="337" t="str">
        <x:v>Avg Revenue / Commercial Project</x:v>
      </x:c>
      <x:c r="B138" s="338" t="str">
        <x:v>INR m</x:v>
      </x:c>
      <x:c r="C138" s="391" t="n">
        <x:f>IFERROR(C137/C135,"")</x:f>
        <x:v>268.94736842105266</x:v>
      </x:c>
      <x:c r="D138" s="392" t="n">
        <x:f>IFERROR(D137/D135,"")</x:f>
        <x:v>603.1578947368421</x:v>
      </x:c>
      <x:c r="E138" s="392" t="n">
        <x:f>IFERROR(D138-C138,"")</x:f>
        <x:v>334.2105263157894</x:v>
      </x:c>
      <x:c r="F138" s="352" t="str">
        <x:v>Directional only; concentration makes simple average imperfect</x:v>
      </x:c>
      <x:c r="G138" s="352" t="str">
        <x:v>Formula</x:v>
      </x:c>
      <x:c r="H138" s="343"/>
      <x:c r="I138" s="343"/>
      <x:c r="J138" s="343"/>
      <x:c r="K138" s="343"/>
      <x:c r="L138" s="343"/>
      <x:c r="M138" s="343"/>
      <x:c r="N138" s="338"/>
      <x:c r="O138" s="342"/>
      <x:c r="P138" s="342"/>
      <x:c r="Q138" s="342"/>
      <x:c r="R138" s="342"/>
      <x:c r="S138" s="342"/>
      <x:c r="T138" s="342"/>
      <x:c r="U138" s="342"/>
      <x:c r="V138" s="342"/>
      <x:c r="W138" s="342"/>
      <x:c r="X138" s="342"/>
      <x:c r="Y138" s="342"/>
      <x:c r="Z138" s="342"/>
      <x:c r="AA138" s="342"/>
      <x:c r="AB138" s="342"/>
      <x:c r="AC138" s="342"/>
      <x:c r="AD138" s="342"/>
      <x:c r="AE138" s="342"/>
      <x:c r="AF138" s="342"/>
      <x:c r="AG138" s="342"/>
      <x:c r="AH138" s="342"/>
    </x:row>
    <x:row r="139">
      <x:c r="A139" s="341"/>
      <x:c r="B139" s="342"/>
      <x:c r="C139" s="342"/>
      <x:c r="D139" s="343"/>
      <x:c r="E139" s="343"/>
      <x:c r="F139" s="343"/>
      <x:c r="G139" s="343"/>
      <x:c r="H139" s="343"/>
      <x:c r="I139" s="343"/>
      <x:c r="J139" s="343"/>
      <x:c r="K139" s="343"/>
      <x:c r="L139" s="343"/>
      <x:c r="M139" s="343"/>
      <x:c r="N139" s="338"/>
      <x:c r="O139" s="342"/>
      <x:c r="P139" s="342"/>
      <x:c r="Q139" s="342"/>
      <x:c r="R139" s="342"/>
      <x:c r="S139" s="342"/>
      <x:c r="T139" s="342"/>
      <x:c r="U139" s="342"/>
      <x:c r="V139" s="342"/>
      <x:c r="W139" s="342"/>
      <x:c r="X139" s="342"/>
      <x:c r="Y139" s="342"/>
      <x:c r="Z139" s="342"/>
      <x:c r="AA139" s="342"/>
      <x:c r="AB139" s="342"/>
      <x:c r="AC139" s="342"/>
      <x:c r="AD139" s="342"/>
      <x:c r="AE139" s="342"/>
      <x:c r="AF139" s="342"/>
      <x:c r="AG139" s="342"/>
      <x:c r="AH139" s="342"/>
    </x:row>
    <x:row r="140">
      <x:c r="A140" s="341"/>
      <x:c r="B140" s="342"/>
      <x:c r="C140" s="342"/>
      <x:c r="D140" s="343"/>
      <x:c r="E140" s="343"/>
      <x:c r="F140" s="343"/>
      <x:c r="G140" s="343"/>
      <x:c r="H140" s="343"/>
      <x:c r="I140" s="343"/>
      <x:c r="J140" s="343"/>
      <x:c r="K140" s="343"/>
      <x:c r="L140" s="343"/>
      <x:c r="M140" s="343"/>
      <x:c r="N140" s="338"/>
      <x:c r="O140" s="342"/>
      <x:c r="P140" s="342"/>
      <x:c r="Q140" s="342"/>
      <x:c r="R140" s="342"/>
      <x:c r="S140" s="342"/>
      <x:c r="T140" s="342"/>
      <x:c r="U140" s="342"/>
      <x:c r="V140" s="342"/>
      <x:c r="W140" s="342"/>
      <x:c r="X140" s="342"/>
      <x:c r="Y140" s="342"/>
      <x:c r="Z140" s="342"/>
      <x:c r="AA140" s="342"/>
      <x:c r="AB140" s="342"/>
      <x:c r="AC140" s="342"/>
      <x:c r="AD140" s="342"/>
      <x:c r="AE140" s="342"/>
      <x:c r="AF140" s="342"/>
      <x:c r="AG140" s="342"/>
      <x:c r="AH140" s="342"/>
    </x:row>
    <x:row r="141" ht="20" customHeight="1">
      <x:c r="A141" s="30" t="str">
        <x:v>I. Capex-Based Sales Cross-Check — Model vs Physical / Capability Support</x:v>
      </x:c>
      <x:c r="B141" s="30"/>
      <x:c r="C141" s="30"/>
      <x:c r="D141" s="175"/>
      <x:c r="E141" s="175"/>
      <x:c r="F141" s="175"/>
      <x:c r="G141" s="175"/>
      <x:c r="H141" s="175"/>
      <x:c r="I141" s="175"/>
      <x:c r="J141" s="175"/>
      <x:c r="K141" s="175"/>
      <x:c r="L141" s="175"/>
      <x:c r="M141" s="175"/>
      <x:c r="N141" s="223"/>
      <x:c r="O141" s="30"/>
      <x:c r="P141" s="444"/>
      <x:c r="Q141" s="444"/>
      <x:c r="R141" s="444"/>
      <x:c r="S141" s="444"/>
      <x:c r="T141" s="444"/>
      <x:c r="U141" s="444"/>
      <x:c r="V141" s="444"/>
      <x:c r="W141" s="444"/>
      <x:c r="X141" s="444"/>
      <x:c r="Y141" s="444"/>
      <x:c r="Z141" s="444"/>
      <x:c r="AA141" s="444"/>
      <x:c r="AB141" s="444"/>
      <x:c r="AC141" s="444"/>
      <x:c r="AD141" s="444"/>
      <x:c r="AE141" s="444"/>
      <x:c r="AF141" s="444"/>
      <x:c r="AG141" s="444"/>
      <x:c r="AH141" s="444"/>
    </x:row>
    <x:row r="142">
      <x:c r="A142" s="160" t="str">
        <x:v>Metric</x:v>
      </x:c>
      <x:c r="B142" s="15" t="str">
        <x:v>FY26A</x:v>
      </x:c>
      <x:c r="C142" s="15" t="str">
        <x:v>FY27E</x:v>
      </x:c>
      <x:c r="D142" s="168" t="str">
        <x:v>FY28E</x:v>
      </x:c>
      <x:c r="E142" s="168" t="str">
        <x:v>FY29E</x:v>
      </x:c>
      <x:c r="F142" s="168" t="str">
        <x:v>FY30E</x:v>
      </x:c>
      <x:c r="G142" s="168" t="str">
        <x:v>FY31E</x:v>
      </x:c>
      <x:c r="H142" s="168" t="str">
        <x:v>Status / Formula</x:v>
      </x:c>
      <x:c r="I142" s="168" t="str">
        <x:v>Analyst Read-through</x:v>
      </x:c>
      <x:c r="J142" s="343"/>
      <x:c r="K142" s="343"/>
      <x:c r="L142" s="343"/>
      <x:c r="M142" s="343"/>
      <x:c r="N142" s="338"/>
      <x:c r="O142" s="342"/>
      <x:c r="P142" s="342"/>
      <x:c r="Q142" s="342"/>
      <x:c r="R142" s="342"/>
      <x:c r="S142" s="342"/>
      <x:c r="T142" s="342"/>
      <x:c r="U142" s="342"/>
      <x:c r="V142" s="342"/>
      <x:c r="W142" s="342"/>
      <x:c r="X142" s="342"/>
      <x:c r="Y142" s="342"/>
      <x:c r="Z142" s="342"/>
      <x:c r="AA142" s="342"/>
      <x:c r="AB142" s="342"/>
      <x:c r="AC142" s="342"/>
      <x:c r="AD142" s="342"/>
      <x:c r="AE142" s="342"/>
      <x:c r="AF142" s="342"/>
      <x:c r="AG142" s="342"/>
      <x:c r="AH142" s="342"/>
    </x:row>
    <x:row r="143">
      <x:c r="A143" s="337" t="str">
        <x:v>Current Model — Prime</x:v>
      </x:c>
      <x:c r="B143" s="393" t="n">
        <x:v>4652.8664</x:v>
      </x:c>
      <x:c r="C143" s="393" t="n">
        <x:v>5181.095712</x:v>
      </x:c>
      <x:c r="D143" s="390" t="n">
        <x:v>5704.78336896</x:v>
      </x:c>
      <x:c r="E143" s="390" t="n">
        <x:v>6157.9382047872</x:v>
      </x:c>
      <x:c r="F143" s="390" t="n">
        <x:v>6566.88249707443</x:v>
      </x:c>
      <x:c r="G143" s="390" t="n">
        <x:v>6916.53934192815</x:v>
      </x:c>
      <x:c r="H143" s="352" t="str">
        <x:v>Hardcoded from model</x:v>
      </x:c>
      <x:c r="I143" s="352" t="str"/>
      <x:c r="J143" s="343"/>
      <x:c r="K143" s="343"/>
      <x:c r="L143" s="343"/>
      <x:c r="M143" s="343"/>
      <x:c r="N143" s="338"/>
      <x:c r="O143" s="342"/>
      <x:c r="P143" s="342"/>
      <x:c r="Q143" s="342"/>
      <x:c r="R143" s="342"/>
      <x:c r="S143" s="342"/>
      <x:c r="T143" s="342"/>
      <x:c r="U143" s="342"/>
      <x:c r="V143" s="342"/>
      <x:c r="W143" s="342"/>
      <x:c r="X143" s="342"/>
      <x:c r="Y143" s="342"/>
      <x:c r="Z143" s="342"/>
      <x:c r="AA143" s="342"/>
      <x:c r="AB143" s="342"/>
      <x:c r="AC143" s="342"/>
      <x:c r="AD143" s="342"/>
      <x:c r="AE143" s="342"/>
      <x:c r="AF143" s="342"/>
      <x:c r="AG143" s="342"/>
      <x:c r="AH143" s="342"/>
    </x:row>
    <x:row r="144">
      <x:c r="A144" s="337" t="str">
        <x:v>Current Model — Specialty</x:v>
      </x:c>
      <x:c r="B144" s="393" t="n">
        <x:v>2225.2839</x:v>
      </x:c>
      <x:c r="C144" s="393" t="n">
        <x:v>2450.317968</x:v>
      </x:c>
      <x:c r="D144" s="390" t="n">
        <x:v>2730.35612416</x:v>
      </x:c>
      <x:c r="E144" s="390" t="n">
        <x:v>3026.9152978176</x:v>
      </x:c>
      <x:c r="F144" s="390" t="n">
        <x:v>3321.29082759936</x:v>
      </x:c>
      <x:c r="G144" s="390" t="n">
        <x:v>3602.2444420833</x:v>
      </x:c>
      <x:c r="H144" s="352" t="str">
        <x:v>Hardcoded from model</x:v>
      </x:c>
      <x:c r="I144" s="352" t="str"/>
      <x:c r="J144" s="343"/>
      <x:c r="K144" s="343"/>
      <x:c r="L144" s="343"/>
      <x:c r="M144" s="343"/>
      <x:c r="N144" s="338"/>
      <x:c r="O144" s="342"/>
      <x:c r="P144" s="342"/>
      <x:c r="Q144" s="342"/>
      <x:c r="R144" s="342"/>
      <x:c r="S144" s="342"/>
      <x:c r="T144" s="342"/>
      <x:c r="U144" s="342"/>
      <x:c r="V144" s="342"/>
      <x:c r="W144" s="342"/>
      <x:c r="X144" s="342"/>
      <x:c r="Y144" s="342"/>
      <x:c r="Z144" s="342"/>
      <x:c r="AA144" s="342"/>
      <x:c r="AB144" s="342"/>
      <x:c r="AC144" s="342"/>
      <x:c r="AD144" s="342"/>
      <x:c r="AE144" s="342"/>
      <x:c r="AF144" s="342"/>
      <x:c r="AG144" s="342"/>
      <x:c r="AH144" s="342"/>
    </x:row>
    <x:row r="145">
      <x:c r="A145" s="337" t="str">
        <x:v>Current Model — CMS</x:v>
      </x:c>
      <x:c r="B145" s="393" t="n">
        <x:v>12440</x:v>
      </x:c>
      <x:c r="C145" s="393" t="n">
        <x:v>14641.8</x:v>
      </x:c>
      <x:c r="D145" s="390" t="n">
        <x:v>17442.32</x:v>
      </x:c>
      <x:c r="E145" s="390" t="n">
        <x:v>20324.9448</x:v>
      </x:c>
      <x:c r="F145" s="390" t="n">
        <x:v>23100.898176</x:v>
      </x:c>
      <x:c r="G145" s="390" t="n">
        <x:v>25734.9879936</x:v>
      </x:c>
      <x:c r="H145" s="352" t="str">
        <x:v>Hardcoded from model</x:v>
      </x:c>
      <x:c r="I145" s="352" t="str"/>
      <x:c r="J145" s="343"/>
      <x:c r="K145" s="343"/>
      <x:c r="L145" s="343"/>
      <x:c r="M145" s="343"/>
      <x:c r="N145" s="338"/>
      <x:c r="O145" s="342"/>
      <x:c r="P145" s="342"/>
      <x:c r="Q145" s="342"/>
      <x:c r="R145" s="342"/>
      <x:c r="S145" s="342"/>
      <x:c r="T145" s="342"/>
      <x:c r="U145" s="342"/>
      <x:c r="V145" s="342"/>
      <x:c r="W145" s="342"/>
      <x:c r="X145" s="342"/>
      <x:c r="Y145" s="342"/>
      <x:c r="Z145" s="342"/>
      <x:c r="AA145" s="342"/>
      <x:c r="AB145" s="342"/>
      <x:c r="AC145" s="342"/>
      <x:c r="AD145" s="342"/>
      <x:c r="AE145" s="342"/>
      <x:c r="AF145" s="342"/>
      <x:c r="AG145" s="342"/>
      <x:c r="AH145" s="342"/>
    </x:row>
    <x:row r="146">
      <x:c r="A146" s="337" t="str">
        <x:v>Current Model — Others</x:v>
      </x:c>
      <x:c r="B146" s="393" t="n">
        <x:v>911.7037</x:v>
      </x:c>
      <x:c r="C146" s="393" t="n">
        <x:v>957.288885</x:v>
      </x:c>
      <x:c r="D146" s="390" t="n">
        <x:v>1005.15332925</x:v>
      </x:c>
      <x:c r="E146" s="390" t="n">
        <x:v>1055.4109957125</x:v>
      </x:c>
      <x:c r="F146" s="390" t="n">
        <x:v>1097.627435541</x:v>
      </x:c>
      <x:c r="G146" s="390" t="n">
        <x:v>1141.532532963</x:v>
      </x:c>
      <x:c r="H146" s="352" t="str">
        <x:v>Hardcoded from model</x:v>
      </x:c>
      <x:c r="I146" s="352" t="str"/>
      <x:c r="J146" s="343"/>
      <x:c r="K146" s="343"/>
      <x:c r="L146" s="343"/>
      <x:c r="M146" s="343"/>
      <x:c r="N146" s="338"/>
      <x:c r="O146" s="342"/>
      <x:c r="P146" s="342"/>
      <x:c r="Q146" s="342"/>
      <x:c r="R146" s="342"/>
      <x:c r="S146" s="342"/>
      <x:c r="T146" s="342"/>
      <x:c r="U146" s="342"/>
      <x:c r="V146" s="342"/>
      <x:c r="W146" s="342"/>
      <x:c r="X146" s="342"/>
      <x:c r="Y146" s="342"/>
      <x:c r="Z146" s="342"/>
      <x:c r="AA146" s="342"/>
      <x:c r="AB146" s="342"/>
      <x:c r="AC146" s="342"/>
      <x:c r="AD146" s="342"/>
      <x:c r="AE146" s="342"/>
      <x:c r="AF146" s="342"/>
      <x:c r="AG146" s="342"/>
      <x:c r="AH146" s="342"/>
    </x:row>
    <x:row r="147">
      <x:c r="A147" s="394" t="str">
        <x:v>Current Model — Total Revenue</x:v>
      </x:c>
      <x:c r="B147" s="395" t="n">
        <x:v>20229.854</x:v>
      </x:c>
      <x:c r="C147" s="395" t="n">
        <x:v>23230.502565</x:v>
      </x:c>
      <x:c r="D147" s="396" t="n">
        <x:v>26882.61282237</x:v>
      </x:c>
      <x:c r="E147" s="396" t="n">
        <x:v>30565.2092983173</x:v>
      </x:c>
      <x:c r="F147" s="396" t="n">
        <x:v>34086.6989362148</x:v>
      </x:c>
      <x:c r="G147" s="396" t="n">
        <x:v>37395.3043105741</x:v>
      </x:c>
      <x:c r="H147" s="397" t="str">
        <x:v>Hardcoded from model</x:v>
      </x:c>
      <x:c r="I147" s="397" t="str">
        <x:v>FY27–FY28 physical asset build supports growth in aggregate; FY29–FY31 increasingly depend on CMS pipeline conversion.</x:v>
      </x:c>
      <x:c r="J147" s="398"/>
      <x:c r="K147" s="398"/>
      <x:c r="L147" s="398"/>
      <x:c r="M147" s="398"/>
      <x:c r="N147" s="338"/>
      <x:c r="O147" s="342"/>
      <x:c r="P147" s="342"/>
      <x:c r="Q147" s="342"/>
      <x:c r="R147" s="342"/>
      <x:c r="S147" s="342"/>
      <x:c r="T147" s="342"/>
      <x:c r="U147" s="342"/>
      <x:c r="V147" s="342"/>
      <x:c r="W147" s="342"/>
      <x:c r="X147" s="342"/>
      <x:c r="Y147" s="342"/>
      <x:c r="Z147" s="342"/>
      <x:c r="AA147" s="342"/>
      <x:c r="AB147" s="342"/>
      <x:c r="AC147" s="342"/>
      <x:c r="AD147" s="342"/>
      <x:c r="AE147" s="342"/>
      <x:c r="AF147" s="342"/>
      <x:c r="AG147" s="342"/>
      <x:c r="AH147" s="342"/>
    </x:row>
    <x:row r="148">
      <x:c r="A148" s="337" t="str">
        <x:v>Capital-Supported Revenue Cross-Check</x:v>
      </x:c>
      <x:c r="B148" s="391" t="str">
        <x:v>NA</x:v>
      </x:c>
      <x:c r="C148" s="391" t="str">
        <x:f>IF(COUNT(C151:C155)=0,"",SUM(C151:C155))</x:f>
      </x:c>
      <x:c r="D148" s="392" t="str">
        <x:f>IF(COUNT(D151:D155)=0,"",SUM(D151:D155))</x:f>
      </x:c>
      <x:c r="E148" s="392" t="str">
        <x:f>IF(COUNT(E151:E155)=0,"",SUM(E151:E155))</x:f>
      </x:c>
      <x:c r="F148" s="392" t="str">
        <x:f>IF(COUNT(F151:F155)=0,"",SUM(F151:F155))</x:f>
      </x:c>
      <x:c r="G148" s="392" t="str">
        <x:f>IF(COUNT(G151:G155)=0,"",SUM(G151:G155))</x:f>
      </x:c>
      <x:c r="H148" s="352" t="str">
        <x:v>Formula from analyst support inputs</x:v>
      </x:c>
      <x:c r="I148" s="352" t="str">
        <x:v>No numerical ceiling until project / utilisation attribution is defensible.</x:v>
      </x:c>
      <x:c r="J148" s="343"/>
      <x:c r="K148" s="343"/>
      <x:c r="L148" s="343"/>
      <x:c r="M148" s="343"/>
      <x:c r="N148" s="338"/>
      <x:c r="O148" s="342"/>
      <x:c r="P148" s="342"/>
      <x:c r="Q148" s="342"/>
      <x:c r="R148" s="342"/>
      <x:c r="S148" s="342"/>
      <x:c r="T148" s="342"/>
      <x:c r="U148" s="342"/>
      <x:c r="V148" s="342"/>
      <x:c r="W148" s="342"/>
      <x:c r="X148" s="342"/>
      <x:c r="Y148" s="342"/>
      <x:c r="Z148" s="342"/>
      <x:c r="AA148" s="342"/>
      <x:c r="AB148" s="342"/>
      <x:c r="AC148" s="342"/>
      <x:c r="AD148" s="342"/>
      <x:c r="AE148" s="342"/>
      <x:c r="AF148" s="342"/>
      <x:c r="AG148" s="342"/>
      <x:c r="AH148" s="342"/>
    </x:row>
    <x:row r="149">
      <x:c r="A149" s="337" t="str">
        <x:v>Difference vs Model</x:v>
      </x:c>
      <x:c r="B149" s="391" t="str">
        <x:v>NA</x:v>
      </x:c>
      <x:c r="C149" s="391" t="str">
        <x:f>IF(C148="","",C148-C147)</x:f>
      </x:c>
      <x:c r="D149" s="392" t="str">
        <x:f>IF(D148="","",D148-D147)</x:f>
      </x:c>
      <x:c r="E149" s="392" t="str">
        <x:f>IF(E148="","",E148-E147)</x:f>
      </x:c>
      <x:c r="F149" s="392" t="str">
        <x:f>IF(F148="","",F148-F147)</x:f>
      </x:c>
      <x:c r="G149" s="392" t="str">
        <x:f>IF(G148="","",G148-G147)</x:f>
      </x:c>
      <x:c r="H149" s="352" t="str">
        <x:v>Formula</x:v>
      </x:c>
      <x:c r="I149" s="352" t="str"/>
      <x:c r="J149" s="343"/>
      <x:c r="K149" s="343"/>
      <x:c r="L149" s="343"/>
      <x:c r="M149" s="343"/>
      <x:c r="N149" s="338"/>
      <x:c r="O149" s="342"/>
      <x:c r="P149" s="342"/>
      <x:c r="Q149" s="342"/>
      <x:c r="R149" s="342"/>
      <x:c r="S149" s="342"/>
      <x:c r="T149" s="342"/>
      <x:c r="U149" s="342"/>
      <x:c r="V149" s="342"/>
      <x:c r="W149" s="342"/>
      <x:c r="X149" s="342"/>
      <x:c r="Y149" s="342"/>
      <x:c r="Z149" s="342"/>
      <x:c r="AA149" s="342"/>
      <x:c r="AB149" s="342"/>
      <x:c r="AC149" s="342"/>
      <x:c r="AD149" s="342"/>
      <x:c r="AE149" s="342"/>
      <x:c r="AF149" s="342"/>
      <x:c r="AG149" s="342"/>
      <x:c r="AH149" s="342"/>
    </x:row>
    <x:row r="150">
      <x:c r="A150" s="337" t="str">
        <x:v>Difference %</x:v>
      </x:c>
      <x:c r="B150" s="399" t="str">
        <x:v>NA</x:v>
      </x:c>
      <x:c r="C150" s="399" t="n">
        <x:f>IFERROR(C149/C147,"")</x:f>
        <x:v>0</x:v>
      </x:c>
      <x:c r="D150" s="400" t="n">
        <x:f>IFERROR(D149/D147,"")</x:f>
        <x:v>0</x:v>
      </x:c>
      <x:c r="E150" s="400" t="n">
        <x:f>IFERROR(E149/E147,"")</x:f>
        <x:v>0</x:v>
      </x:c>
      <x:c r="F150" s="400" t="n">
        <x:f>IFERROR(F149/F147,"")</x:f>
        <x:v>0</x:v>
      </x:c>
      <x:c r="G150" s="400" t="n">
        <x:f>IFERROR(G149/G147,"")</x:f>
        <x:v>0</x:v>
      </x:c>
      <x:c r="H150" s="352" t="str">
        <x:v>Formula</x:v>
      </x:c>
      <x:c r="I150" s="352" t="str"/>
      <x:c r="J150" s="343"/>
      <x:c r="K150" s="343"/>
      <x:c r="L150" s="343"/>
      <x:c r="M150" s="343"/>
      <x:c r="N150" s="338"/>
      <x:c r="O150" s="342"/>
      <x:c r="P150" s="342"/>
      <x:c r="Q150" s="342"/>
      <x:c r="R150" s="342"/>
      <x:c r="S150" s="342"/>
      <x:c r="T150" s="342"/>
      <x:c r="U150" s="342"/>
      <x:c r="V150" s="342"/>
      <x:c r="W150" s="342"/>
      <x:c r="X150" s="342"/>
      <x:c r="Y150" s="342"/>
      <x:c r="Z150" s="342"/>
      <x:c r="AA150" s="342"/>
      <x:c r="AB150" s="342"/>
      <x:c r="AC150" s="342"/>
      <x:c r="AD150" s="342"/>
      <x:c r="AE150" s="342"/>
      <x:c r="AF150" s="342"/>
      <x:c r="AG150" s="342"/>
      <x:c r="AH150" s="342"/>
    </x:row>
    <x:row r="151">
      <x:c r="A151" s="337" t="str">
        <x:v>Existing productive asset-base revenue</x:v>
      </x:c>
      <x:c r="B151" s="338" t="str">
        <x:v>NA</x:v>
      </x:c>
      <x:c r="C151" s="113"/>
      <x:c r="D151" s="172"/>
      <x:c r="E151" s="172"/>
      <x:c r="F151" s="172"/>
      <x:c r="G151" s="172"/>
      <x:c r="H151" s="352" t="str">
        <x:v>Analyst input</x:v>
      </x:c>
      <x:c r="I151" s="352" t="str">
        <x:v>Use when utilisation assumptions are supported.</x:v>
      </x:c>
      <x:c r="J151" s="343"/>
      <x:c r="K151" s="343"/>
      <x:c r="L151" s="343"/>
      <x:c r="M151" s="343"/>
      <x:c r="N151" s="338"/>
      <x:c r="O151" s="342"/>
      <x:c r="P151" s="342"/>
      <x:c r="Q151" s="342"/>
      <x:c r="R151" s="342"/>
      <x:c r="S151" s="342"/>
      <x:c r="T151" s="342"/>
      <x:c r="U151" s="342"/>
      <x:c r="V151" s="342"/>
      <x:c r="W151" s="342"/>
      <x:c r="X151" s="342"/>
      <x:c r="Y151" s="342"/>
      <x:c r="Z151" s="342"/>
      <x:c r="AA151" s="342"/>
      <x:c r="AB151" s="342"/>
      <x:c r="AC151" s="342"/>
      <x:c r="AD151" s="342"/>
      <x:c r="AE151" s="342"/>
      <x:c r="AF151" s="342"/>
      <x:c r="AG151" s="342"/>
      <x:c r="AH151" s="342"/>
    </x:row>
    <x:row r="152">
      <x:c r="A152" s="337" t="str">
        <x:v>Revenue from previously commissioned capacity</x:v>
      </x:c>
      <x:c r="B152" s="338" t="str">
        <x:v>NA</x:v>
      </x:c>
      <x:c r="C152" s="113"/>
      <x:c r="D152" s="172"/>
      <x:c r="E152" s="172"/>
      <x:c r="F152" s="172"/>
      <x:c r="G152" s="172"/>
      <x:c r="H152" s="352" t="str">
        <x:v>Analyst input</x:v>
      </x:c>
      <x:c r="I152" s="352" t="str">
        <x:v>Unit III / Unit I ramp where attributable.</x:v>
      </x:c>
      <x:c r="J152" s="343"/>
      <x:c r="K152" s="343"/>
      <x:c r="L152" s="343"/>
      <x:c r="M152" s="343"/>
      <x:c r="N152" s="338"/>
      <x:c r="O152" s="342"/>
      <x:c r="P152" s="342"/>
      <x:c r="Q152" s="342"/>
      <x:c r="R152" s="342"/>
      <x:c r="S152" s="342"/>
      <x:c r="T152" s="342"/>
      <x:c r="U152" s="342"/>
      <x:c r="V152" s="342"/>
      <x:c r="W152" s="342"/>
      <x:c r="X152" s="342"/>
      <x:c r="Y152" s="342"/>
      <x:c r="Z152" s="342"/>
      <x:c r="AA152" s="342"/>
      <x:c r="AB152" s="342"/>
      <x:c r="AC152" s="342"/>
      <x:c r="AD152" s="342"/>
      <x:c r="AE152" s="342"/>
      <x:c r="AF152" s="342"/>
      <x:c r="AG152" s="342"/>
      <x:c r="AH152" s="342"/>
    </x:row>
    <x:row r="153">
      <x:c r="A153" s="337" t="str">
        <x:v>Revenue from new manufacturing blocks</x:v>
      </x:c>
      <x:c r="B153" s="338" t="str">
        <x:v>NA</x:v>
      </x:c>
      <x:c r="C153" s="113"/>
      <x:c r="D153" s="172"/>
      <x:c r="E153" s="172"/>
      <x:c r="F153" s="172"/>
      <x:c r="G153" s="172"/>
      <x:c r="H153" s="352" t="str">
        <x:v>Analyst input</x:v>
      </x:c>
      <x:c r="I153" s="352" t="str">
        <x:v>Capacity is ceiling, not demand.</x:v>
      </x:c>
      <x:c r="J153" s="343"/>
      <x:c r="K153" s="343"/>
      <x:c r="L153" s="343"/>
      <x:c r="M153" s="343"/>
      <x:c r="N153" s="338"/>
      <x:c r="O153" s="342"/>
      <x:c r="P153" s="342"/>
      <x:c r="Q153" s="342"/>
      <x:c r="R153" s="342"/>
      <x:c r="S153" s="342"/>
      <x:c r="T153" s="342"/>
      <x:c r="U153" s="342"/>
      <x:c r="V153" s="342"/>
      <x:c r="W153" s="342"/>
      <x:c r="X153" s="342"/>
      <x:c r="Y153" s="342"/>
      <x:c r="Z153" s="342"/>
      <x:c r="AA153" s="342"/>
      <x:c r="AB153" s="342"/>
      <x:c r="AC153" s="342"/>
      <x:c r="AD153" s="342"/>
      <x:c r="AE153" s="342"/>
      <x:c r="AF153" s="342"/>
      <x:c r="AG153" s="342"/>
      <x:c r="AH153" s="342"/>
    </x:row>
    <x:row r="154">
      <x:c r="A154" s="337" t="str">
        <x:v>Revenue from commercialising CMS programmes</x:v>
      </x:c>
      <x:c r="B154" s="338" t="str">
        <x:v>NA</x:v>
      </x:c>
      <x:c r="C154" s="113"/>
      <x:c r="D154" s="172"/>
      <x:c r="E154" s="172"/>
      <x:c r="F154" s="172"/>
      <x:c r="G154" s="172"/>
      <x:c r="H154" s="352" t="str">
        <x:v>Analyst input</x:v>
      </x:c>
      <x:c r="I154" s="352" t="str">
        <x:v>Programme-led, not KL-led.</x:v>
      </x:c>
      <x:c r="J154" s="343"/>
      <x:c r="K154" s="343"/>
      <x:c r="L154" s="343"/>
      <x:c r="M154" s="343"/>
      <x:c r="N154" s="338"/>
      <x:c r="O154" s="342"/>
      <x:c r="P154" s="342"/>
      <x:c r="Q154" s="342"/>
      <x:c r="R154" s="342"/>
      <x:c r="S154" s="342"/>
      <x:c r="T154" s="342"/>
      <x:c r="U154" s="342"/>
      <x:c r="V154" s="342"/>
      <x:c r="W154" s="342"/>
      <x:c r="X154" s="342"/>
      <x:c r="Y154" s="342"/>
      <x:c r="Z154" s="342"/>
      <x:c r="AA154" s="342"/>
      <x:c r="AB154" s="342"/>
      <x:c r="AC154" s="342"/>
      <x:c r="AD154" s="342"/>
      <x:c r="AE154" s="342"/>
      <x:c r="AF154" s="342"/>
      <x:c r="AG154" s="342"/>
      <x:c r="AH154" s="342"/>
    </x:row>
    <x:row r="155">
      <x:c r="A155" s="337" t="str">
        <x:v>Revenue from differentiated capability investments</x:v>
      </x:c>
      <x:c r="B155" s="338" t="str">
        <x:v>NA</x:v>
      </x:c>
      <x:c r="C155" s="113"/>
      <x:c r="D155" s="172"/>
      <x:c r="E155" s="172"/>
      <x:c r="F155" s="172"/>
      <x:c r="G155" s="172"/>
      <x:c r="H155" s="352" t="str">
        <x:v>Analyst input</x:v>
      </x:c>
      <x:c r="I155" s="352" t="str">
        <x:v>Peptides / R&amp;D; project conversion required.</x:v>
      </x:c>
      <x:c r="J155" s="343"/>
      <x:c r="K155" s="343"/>
      <x:c r="L155" s="343"/>
      <x:c r="M155" s="343"/>
      <x:c r="N155" s="338"/>
      <x:c r="O155" s="342"/>
      <x:c r="P155" s="342"/>
      <x:c r="Q155" s="342"/>
      <x:c r="R155" s="342"/>
      <x:c r="S155" s="342"/>
      <x:c r="T155" s="342"/>
      <x:c r="U155" s="342"/>
      <x:c r="V155" s="342"/>
      <x:c r="W155" s="342"/>
      <x:c r="X155" s="342"/>
      <x:c r="Y155" s="342"/>
      <x:c r="Z155" s="342"/>
      <x:c r="AA155" s="342"/>
      <x:c r="AB155" s="342"/>
      <x:c r="AC155" s="342"/>
      <x:c r="AD155" s="342"/>
      <x:c r="AE155" s="342"/>
      <x:c r="AF155" s="342"/>
      <x:c r="AG155" s="342"/>
      <x:c r="AH155" s="342"/>
    </x:row>
    <x:row r="156">
      <x:c r="A156" s="341"/>
      <x:c r="B156" s="342"/>
      <x:c r="C156" s="342"/>
      <x:c r="D156" s="343"/>
      <x:c r="E156" s="343"/>
      <x:c r="F156" s="343"/>
      <x:c r="G156" s="343"/>
      <x:c r="H156" s="343"/>
      <x:c r="I156" s="343"/>
      <x:c r="J156" s="343"/>
      <x:c r="K156" s="343"/>
      <x:c r="L156" s="343"/>
      <x:c r="M156" s="343"/>
      <x:c r="N156" s="338"/>
      <x:c r="O156" s="342"/>
      <x:c r="P156" s="342"/>
      <x:c r="Q156" s="342"/>
      <x:c r="R156" s="342"/>
      <x:c r="S156" s="342"/>
      <x:c r="T156" s="342"/>
      <x:c r="U156" s="342"/>
      <x:c r="V156" s="342"/>
      <x:c r="W156" s="342"/>
      <x:c r="X156" s="342"/>
      <x:c r="Y156" s="342"/>
      <x:c r="Z156" s="342"/>
      <x:c r="AA156" s="342"/>
      <x:c r="AB156" s="342"/>
      <x:c r="AC156" s="342"/>
      <x:c r="AD156" s="342"/>
      <x:c r="AE156" s="342"/>
      <x:c r="AF156" s="342"/>
      <x:c r="AG156" s="342"/>
      <x:c r="AH156" s="342"/>
    </x:row>
    <x:row r="157">
      <x:c r="A157" s="341"/>
      <x:c r="B157" s="342"/>
      <x:c r="C157" s="342"/>
      <x:c r="D157" s="343"/>
      <x:c r="E157" s="343"/>
      <x:c r="F157" s="343"/>
      <x:c r="G157" s="343"/>
      <x:c r="H157" s="343"/>
      <x:c r="I157" s="343"/>
      <x:c r="J157" s="343"/>
      <x:c r="K157" s="343"/>
      <x:c r="L157" s="343"/>
      <x:c r="M157" s="343"/>
      <x:c r="N157" s="338"/>
      <x:c r="O157" s="342"/>
      <x:c r="P157" s="342"/>
      <x:c r="Q157" s="342"/>
      <x:c r="R157" s="342"/>
      <x:c r="S157" s="342"/>
      <x:c r="T157" s="342"/>
      <x:c r="U157" s="342"/>
      <x:c r="V157" s="342"/>
      <x:c r="W157" s="342"/>
      <x:c r="X157" s="342"/>
      <x:c r="Y157" s="342"/>
      <x:c r="Z157" s="342"/>
      <x:c r="AA157" s="342"/>
      <x:c r="AB157" s="342"/>
      <x:c r="AC157" s="342"/>
      <x:c r="AD157" s="342"/>
      <x:c r="AE157" s="342"/>
      <x:c r="AF157" s="342"/>
      <x:c r="AG157" s="342"/>
      <x:c r="AH157" s="342"/>
    </x:row>
    <x:row r="158" ht="20" customHeight="1">
      <x:c r="A158" s="30" t="str">
        <x:v>J. CMS Revenue vs Capital Base</x:v>
      </x:c>
      <x:c r="B158" s="30"/>
      <x:c r="C158" s="30"/>
      <x:c r="D158" s="175"/>
      <x:c r="E158" s="175"/>
      <x:c r="F158" s="175"/>
      <x:c r="G158" s="175"/>
      <x:c r="H158" s="175"/>
      <x:c r="I158" s="175"/>
      <x:c r="J158" s="175"/>
      <x:c r="K158" s="175"/>
      <x:c r="L158" s="175"/>
      <x:c r="M158" s="175"/>
      <x:c r="N158" s="223"/>
      <x:c r="O158" s="30"/>
      <x:c r="P158" s="444"/>
      <x:c r="Q158" s="444"/>
      <x:c r="R158" s="444"/>
      <x:c r="S158" s="444"/>
      <x:c r="T158" s="444"/>
      <x:c r="U158" s="444"/>
      <x:c r="V158" s="444"/>
      <x:c r="W158" s="444"/>
      <x:c r="X158" s="444"/>
      <x:c r="Y158" s="444"/>
      <x:c r="Z158" s="444"/>
      <x:c r="AA158" s="444"/>
      <x:c r="AB158" s="444"/>
      <x:c r="AC158" s="444"/>
      <x:c r="AD158" s="444"/>
      <x:c r="AE158" s="444"/>
      <x:c r="AF158" s="444"/>
      <x:c r="AG158" s="444"/>
      <x:c r="AH158" s="444"/>
    </x:row>
    <x:row r="159">
      <x:c r="A159" s="160" t="str">
        <x:v>Metric</x:v>
      </x:c>
      <x:c r="B159" s="15" t="str">
        <x:v>FY24A</x:v>
      </x:c>
      <x:c r="C159" s="15" t="str">
        <x:v>FY25A</x:v>
      </x:c>
      <x:c r="D159" s="168" t="str">
        <x:v>FY26A</x:v>
      </x:c>
      <x:c r="E159" s="168" t="str">
        <x:v>FY27E</x:v>
      </x:c>
      <x:c r="F159" s="168" t="str">
        <x:v>FY28E</x:v>
      </x:c>
      <x:c r="G159" s="168" t="str">
        <x:v>FY29E</x:v>
      </x:c>
      <x:c r="H159" s="168" t="str">
        <x:v>FY30E</x:v>
      </x:c>
      <x:c r="I159" s="168" t="str">
        <x:v>FY31E</x:v>
      </x:c>
      <x:c r="J159" s="343"/>
      <x:c r="K159" s="343"/>
      <x:c r="L159" s="343"/>
      <x:c r="M159" s="343"/>
      <x:c r="N159" s="338"/>
      <x:c r="O159" s="342"/>
      <x:c r="P159" s="342"/>
      <x:c r="Q159" s="342"/>
      <x:c r="R159" s="342"/>
      <x:c r="S159" s="342"/>
      <x:c r="T159" s="342"/>
      <x:c r="U159" s="342"/>
      <x:c r="V159" s="342"/>
      <x:c r="W159" s="342"/>
      <x:c r="X159" s="342"/>
      <x:c r="Y159" s="342"/>
      <x:c r="Z159" s="342"/>
      <x:c r="AA159" s="342"/>
      <x:c r="AB159" s="342"/>
      <x:c r="AC159" s="342"/>
      <x:c r="AD159" s="342"/>
      <x:c r="AE159" s="342"/>
      <x:c r="AF159" s="342"/>
      <x:c r="AG159" s="342"/>
      <x:c r="AH159" s="342"/>
    </x:row>
    <x:row r="160">
      <x:c r="A160" s="382" t="str">
        <x:v>CMS Revenue</x:v>
      </x:c>
      <x:c r="B160" s="402" t="n">
        <x:f>F10</x:f>
        <x:v>7650</x:v>
      </x:c>
      <x:c r="C160" s="402" t="n">
        <x:f>G10</x:f>
        <x:v>6370</x:v>
      </x:c>
      <x:c r="D160" s="385" t="n">
        <x:f>H10</x:f>
        <x:v>12440</x:v>
      </x:c>
      <x:c r="E160" s="385" t="n">
        <x:f>I10</x:f>
        <x:v>14641.8</x:v>
      </x:c>
      <x:c r="F160" s="385" t="n">
        <x:f>J10</x:f>
        <x:v>17442.32</x:v>
      </x:c>
      <x:c r="G160" s="385" t="n">
        <x:f>K10</x:f>
        <x:v>20324.9448</x:v>
      </x:c>
      <x:c r="H160" s="385" t="n">
        <x:f>L10</x:f>
        <x:v>23100.898176</x:v>
      </x:c>
      <x:c r="I160" s="385" t="n">
        <x:f>M10</x:f>
        <x:v>25734.9879936</x:v>
      </x:c>
      <x:c r="J160" s="398"/>
      <x:c r="K160" s="398"/>
      <x:c r="L160" s="398"/>
      <x:c r="M160" s="398"/>
      <x:c r="N160" s="338"/>
      <x:c r="O160" s="342"/>
      <x:c r="P160" s="342"/>
      <x:c r="Q160" s="342"/>
      <x:c r="R160" s="342"/>
      <x:c r="S160" s="342"/>
      <x:c r="T160" s="342"/>
      <x:c r="U160" s="342"/>
      <x:c r="V160" s="342"/>
      <x:c r="W160" s="342"/>
      <x:c r="X160" s="342"/>
      <x:c r="Y160" s="342"/>
      <x:c r="Z160" s="342"/>
      <x:c r="AA160" s="342"/>
      <x:c r="AB160" s="342"/>
      <x:c r="AC160" s="342"/>
      <x:c r="AD160" s="342"/>
      <x:c r="AE160" s="342"/>
      <x:c r="AF160" s="342"/>
      <x:c r="AG160" s="342"/>
      <x:c r="AH160" s="342"/>
    </x:row>
    <x:row r="161">
      <x:c r="A161" s="341" t="str">
        <x:v>CMS Mix</x:v>
      </x:c>
      <x:c r="B161" s="403" t="n">
        <x:f>F11</x:f>
        <x:v>0.49083124034979264</x:v>
      </x:c>
      <x:c r="C161" s="403" t="n">
        <x:f>G11</x:f>
        <x:v>0.4313271340045379</x:v>
      </x:c>
      <x:c r="D161" s="262" t="n">
        <x:f>H11</x:f>
        <x:v>0.6149327622433657</x:v>
      </x:c>
      <x:c r="E161" s="262" t="n">
        <x:f>I11</x:f>
        <x:v>0.6302833939572154</x:v>
      </x:c>
      <x:c r="F161" s="262" t="n">
        <x:f>J11</x:f>
        <x:v>0.6488327647037944</x:v>
      </x:c>
      <x:c r="G161" s="262" t="n">
        <x:f>K11</x:f>
        <x:v>0.6649699205926571</x:v>
      </x:c>
      <x:c r="H161" s="262" t="n">
        <x:f>L11</x:f>
        <x:v>0.6777100422433944</x:v>
      </x:c>
      <x:c r="I161" s="262" t="n">
        <x:f>M11</x:f>
        <x:v>0.6881876874130165</x:v>
      </x:c>
      <x:c r="J161" s="343"/>
      <x:c r="K161" s="343"/>
      <x:c r="L161" s="343"/>
      <x:c r="M161" s="343"/>
      <x:c r="N161" s="338"/>
      <x:c r="O161" s="342"/>
      <x:c r="P161" s="342"/>
      <x:c r="Q161" s="342"/>
      <x:c r="R161" s="342"/>
      <x:c r="S161" s="342"/>
      <x:c r="T161" s="342"/>
      <x:c r="U161" s="342"/>
      <x:c r="V161" s="342"/>
      <x:c r="W161" s="342"/>
      <x:c r="X161" s="342"/>
      <x:c r="Y161" s="342"/>
      <x:c r="Z161" s="342"/>
      <x:c r="AA161" s="342"/>
      <x:c r="AB161" s="342"/>
      <x:c r="AC161" s="342"/>
      <x:c r="AD161" s="342"/>
      <x:c r="AE161" s="342"/>
      <x:c r="AF161" s="342"/>
      <x:c r="AG161" s="342"/>
      <x:c r="AH161" s="342"/>
    </x:row>
    <x:row r="162">
      <x:c r="A162" s="341" t="str">
        <x:v>Capex</x:v>
      </x:c>
      <x:c r="B162" s="349" t="n">
        <x:f>F18</x:f>
        <x:v>1436.698</x:v>
      </x:c>
      <x:c r="C162" s="349" t="n">
        <x:f>G18</x:f>
        <x:v>2064.64</x:v>
      </x:c>
      <x:c r="D162" s="260" t="n">
        <x:f>H18</x:f>
        <x:v>3971.321</x:v>
      </x:c>
      <x:c r="E162" s="260" t="n">
        <x:f>I18</x:f>
        <x:v>3500</x:v>
      </x:c>
      <x:c r="F162" s="260" t="n">
        <x:f>J18</x:f>
        <x:v>3000</x:v>
      </x:c>
      <x:c r="G162" s="260" t="n">
        <x:f>K18</x:f>
        <x:v>2500</x:v>
      </x:c>
      <x:c r="H162" s="260" t="n">
        <x:f>L18</x:f>
        <x:v>2200</x:v>
      </x:c>
      <x:c r="I162" s="260" t="n">
        <x:f>M18</x:f>
        <x:v>2200</x:v>
      </x:c>
      <x:c r="J162" s="343"/>
      <x:c r="K162" s="343"/>
      <x:c r="L162" s="343"/>
      <x:c r="M162" s="343"/>
      <x:c r="N162" s="338"/>
      <x:c r="O162" s="342"/>
      <x:c r="P162" s="342"/>
      <x:c r="Q162" s="342"/>
      <x:c r="R162" s="342"/>
      <x:c r="S162" s="342"/>
      <x:c r="T162" s="342"/>
      <x:c r="U162" s="342"/>
      <x:c r="V162" s="342"/>
      <x:c r="W162" s="342"/>
      <x:c r="X162" s="342"/>
      <x:c r="Y162" s="342"/>
      <x:c r="Z162" s="342"/>
      <x:c r="AA162" s="342"/>
      <x:c r="AB162" s="342"/>
      <x:c r="AC162" s="342"/>
      <x:c r="AD162" s="342"/>
      <x:c r="AE162" s="342"/>
      <x:c r="AF162" s="342"/>
      <x:c r="AG162" s="342"/>
      <x:c r="AH162" s="342"/>
    </x:row>
    <x:row r="163">
      <x:c r="A163" s="341" t="str">
        <x:v>Net PP&amp;E</x:v>
      </x:c>
      <x:c r="B163" s="349" t="n">
        <x:f>F20</x:f>
        <x:v>5227.211</x:v>
      </x:c>
      <x:c r="C163" s="349" t="n">
        <x:f>G20</x:f>
        <x:v>6737.135</x:v>
      </x:c>
      <x:c r="D163" s="260" t="n">
        <x:f>H20</x:f>
        <x:v>8922.876</x:v>
      </x:c>
      <x:c r="E163" s="260" t="n">
        <x:f>I20</x:f>
        <x:v>12664.68154</x:v>
      </x:c>
      <x:c r="F163" s="260" t="n">
        <x:f>J20</x:f>
        <x:v>14891.5586091</x:v>
      </x:c>
      <x:c r="G163" s="260" t="n">
        <x:f>K20</x:f>
        <x:v>16091.3386273</x:v>
      </x:c>
      <x:c r="H163" s="260" t="n">
        <x:f>L20</x:f>
        <x:v>16782.199844</x:v>
      </x:c>
      <x:c r="I163" s="260" t="n">
        <x:f>M20</x:f>
        <x:v>17414.3378573</x:v>
      </x:c>
      <x:c r="J163" s="343"/>
      <x:c r="K163" s="343"/>
      <x:c r="L163" s="343"/>
      <x:c r="M163" s="343"/>
      <x:c r="N163" s="338"/>
      <x:c r="O163" s="342"/>
      <x:c r="P163" s="342"/>
      <x:c r="Q163" s="342"/>
      <x:c r="R163" s="342"/>
      <x:c r="S163" s="342"/>
      <x:c r="T163" s="342"/>
      <x:c r="U163" s="342"/>
      <x:c r="V163" s="342"/>
      <x:c r="W163" s="342"/>
      <x:c r="X163" s="342"/>
      <x:c r="Y163" s="342"/>
      <x:c r="Z163" s="342"/>
      <x:c r="AA163" s="342"/>
      <x:c r="AB163" s="342"/>
      <x:c r="AC163" s="342"/>
      <x:c r="AD163" s="342"/>
      <x:c r="AE163" s="342"/>
      <x:c r="AF163" s="342"/>
      <x:c r="AG163" s="342"/>
      <x:c r="AH163" s="342"/>
    </x:row>
    <x:row r="164">
      <x:c r="A164" s="341" t="str">
        <x:v>CWIP</x:v>
      </x:c>
      <x:c r="B164" s="349" t="n">
        <x:f>F21</x:f>
        <x:v>458.913</x:v>
      </x:c>
      <x:c r="C164" s="349" t="n">
        <x:f>G21</x:f>
        <x:v>445.529</x:v>
      </x:c>
      <x:c r="D164" s="260" t="n">
        <x:f>H21</x:f>
        <x:v>2094.99</x:v>
      </x:c>
      <x:c r="E164" s="260" t="n">
        <x:f>I21</x:f>
        <x:v>894.99</x:v>
      </x:c>
      <x:c r="F164" s="260" t="n">
        <x:f>J21</x:f>
        <x:v>444.99</x:v>
      </x:c>
      <x:c r="G164" s="260" t="n">
        <x:f>K21</x:f>
        <x:v>369.99</x:v>
      </x:c>
      <x:c r="H164" s="260" t="n">
        <x:f>L21</x:f>
        <x:v>419.99</x:v>
      </x:c>
      <x:c r="I164" s="260" t="n">
        <x:f>M21</x:f>
        <x:v>469.99</x:v>
      </x:c>
      <x:c r="J164" s="343"/>
      <x:c r="K164" s="343"/>
      <x:c r="L164" s="343"/>
      <x:c r="M164" s="343"/>
      <x:c r="N164" s="338"/>
      <x:c r="O164" s="342"/>
      <x:c r="P164" s="342"/>
      <x:c r="Q164" s="342"/>
      <x:c r="R164" s="342"/>
      <x:c r="S164" s="342"/>
      <x:c r="T164" s="342"/>
      <x:c r="U164" s="342"/>
      <x:c r="V164" s="342"/>
      <x:c r="W164" s="342"/>
      <x:c r="X164" s="342"/>
      <x:c r="Y164" s="342"/>
      <x:c r="Z164" s="342"/>
      <x:c r="AA164" s="342"/>
      <x:c r="AB164" s="342"/>
      <x:c r="AC164" s="342"/>
      <x:c r="AD164" s="342"/>
      <x:c r="AE164" s="342"/>
      <x:c r="AF164" s="342"/>
      <x:c r="AG164" s="342"/>
      <x:c r="AH164" s="342"/>
    </x:row>
    <x:row r="165">
      <x:c r="A165" s="341" t="str">
        <x:v>Fixed Asset Turnover</x:v>
      </x:c>
      <x:c r="B165" s="404" t="n">
        <x:v>3.1</x:v>
      </x:c>
      <x:c r="C165" s="404" t="n">
        <x:v>2.3</x:v>
      </x:c>
      <x:c r="D165" s="386" t="n">
        <x:v>2.6</x:v>
      </x:c>
      <x:c r="E165" s="388" t="n">
        <x:f>I36</x:f>
        <x:v>2.152212219650672</x:v>
      </x:c>
      <x:c r="F165" s="388" t="n">
        <x:f>J36</x:f>
        <x:v>1.9511089086838287</x:v>
      </x:c>
      <x:c r="G165" s="388" t="n">
        <x:f>K36</x:f>
        <x:v>1.9730375158336075</x:v>
      </x:c>
      <x:c r="H165" s="388" t="n">
        <x:f>L36</x:f>
        <x:v>2.0738077202108283</x:v>
      </x:c>
      <x:c r="I165" s="388" t="n">
        <x:f>M36</x:f>
        <x:v>2.1870813143257193</x:v>
      </x:c>
      <x:c r="J165" s="343"/>
      <x:c r="K165" s="343"/>
      <x:c r="L165" s="343"/>
      <x:c r="M165" s="343"/>
      <x:c r="N165" s="338"/>
      <x:c r="O165" s="342"/>
      <x:c r="P165" s="342"/>
      <x:c r="Q165" s="342"/>
      <x:c r="R165" s="342"/>
      <x:c r="S165" s="342"/>
      <x:c r="T165" s="342"/>
      <x:c r="U165" s="342"/>
      <x:c r="V165" s="342"/>
      <x:c r="W165" s="342"/>
      <x:c r="X165" s="342"/>
      <x:c r="Y165" s="342"/>
      <x:c r="Z165" s="342"/>
      <x:c r="AA165" s="342"/>
      <x:c r="AB165" s="342"/>
      <x:c r="AC165" s="342"/>
      <x:c r="AD165" s="342"/>
      <x:c r="AE165" s="342"/>
      <x:c r="AF165" s="342"/>
      <x:c r="AG165" s="342"/>
      <x:c r="AH165" s="342"/>
    </x:row>
    <x:row r="166">
      <x:c r="A166" s="341" t="str">
        <x:v>ROCE</x:v>
      </x:c>
      <x:c r="B166" s="405" t="n">
        <x:v>0.328</x:v>
      </x:c>
      <x:c r="C166" s="405" t="n">
        <x:v>0.179</x:v>
      </x:c>
      <x:c r="D166" s="254" t="n">
        <x:v>0.261</x:v>
      </x:c>
      <x:c r="E166" s="262" t="n">
        <x:f>I40</x:f>
        <x:v>0.3162111883058502</x:v>
      </x:c>
      <x:c r="F166" s="262" t="n">
        <x:f>J40</x:f>
        <x:v>0.3187623552017334</x:v>
      </x:c>
      <x:c r="G166" s="262" t="n">
        <x:f>K40</x:f>
        <x:v>0.34065339243755977</x:v>
      </x:c>
      <x:c r="H166" s="262" t="n">
        <x:f>L40</x:f>
        <x:v>0.368890386407906</x:v>
      </x:c>
      <x:c r="I166" s="262" t="n">
        <x:f>M40</x:f>
        <x:v>0.3972756711584626</x:v>
      </x:c>
      <x:c r="J166" s="343"/>
      <x:c r="K166" s="343"/>
      <x:c r="L166" s="343"/>
      <x:c r="M166" s="343"/>
      <x:c r="N166" s="338" t="str">
        <x:v>Calculated as EBIT / average capital employed; capital employed = equity + gross debt - model cash/liquid investments.</x:v>
      </x:c>
      <x:c r="O166" s="342"/>
      <x:c r="P166" s="342"/>
      <x:c r="Q166" s="342"/>
      <x:c r="R166" s="342"/>
      <x:c r="S166" s="342"/>
      <x:c r="T166" s="342"/>
      <x:c r="U166" s="342"/>
      <x:c r="V166" s="342"/>
      <x:c r="W166" s="342"/>
      <x:c r="X166" s="342"/>
      <x:c r="Y166" s="342"/>
      <x:c r="Z166" s="342"/>
      <x:c r="AA166" s="342"/>
      <x:c r="AB166" s="342"/>
      <x:c r="AC166" s="342"/>
      <x:c r="AD166" s="342"/>
      <x:c r="AE166" s="342"/>
      <x:c r="AF166" s="342"/>
      <x:c r="AG166" s="342"/>
      <x:c r="AH166" s="342"/>
    </x:row>
    <x:row r="167">
      <x:c r="A167" s="341" t="str">
        <x:v>EBITDA Margin</x:v>
      </x:c>
      <x:c r="B167" s="403" t="n">
        <x:f>F13</x:f>
        <x:v>0.3048503429883795</x:v>
      </x:c>
      <x:c r="C167" s="403" t="n">
        <x:f>G13</x:f>
        <x:v>0.23277384719359404</x:v>
      </x:c>
      <x:c r="D167" s="262" t="n">
        <x:f>H13</x:f>
        <x:v>0.29889686796553255</x:v>
      </x:c>
      <x:c r="E167" s="262" t="n">
        <x:f>I13</x:f>
        <x:v>0.301114694007482</x:v>
      </x:c>
      <x:c r="F167" s="262" t="n">
        <x:f>J13</x:f>
        <x:v>0.3105048993468152</x:v>
      </x:c>
      <x:c r="G167" s="262" t="n">
        <x:f>K13</x:f>
        <x:v>0.3204252964914027</x:v>
      </x:c>
      <x:c r="H167" s="262" t="n">
        <x:f>L13</x:f>
        <x:v>0.32974929933276687</x:v>
      </x:c>
      <x:c r="I167" s="262" t="n">
        <x:f>M13</x:f>
        <x:v>0.3373184905006632</x:v>
      </x:c>
      <x:c r="J167" s="343"/>
      <x:c r="K167" s="343"/>
      <x:c r="L167" s="343"/>
      <x:c r="M167" s="343"/>
      <x:c r="N167" s="338"/>
      <x:c r="O167" s="342"/>
      <x:c r="P167" s="342"/>
      <x:c r="Q167" s="342"/>
      <x:c r="R167" s="342"/>
      <x:c r="S167" s="342"/>
      <x:c r="T167" s="342"/>
      <x:c r="U167" s="342"/>
      <x:c r="V167" s="342"/>
      <x:c r="W167" s="342"/>
      <x:c r="X167" s="342"/>
      <x:c r="Y167" s="342"/>
      <x:c r="Z167" s="342"/>
      <x:c r="AA167" s="342"/>
      <x:c r="AB167" s="342"/>
      <x:c r="AC167" s="342"/>
      <x:c r="AD167" s="342"/>
      <x:c r="AE167" s="342"/>
      <x:c r="AF167" s="342"/>
      <x:c r="AG167" s="342"/>
      <x:c r="AH167" s="342"/>
    </x:row>
    <x:row r="168">
      <x:c r="A168" s="341"/>
      <x:c r="B168" s="342"/>
      <x:c r="C168" s="342"/>
      <x:c r="D168" s="343"/>
      <x:c r="E168" s="343"/>
      <x:c r="F168" s="343"/>
      <x:c r="G168" s="343"/>
      <x:c r="H168" s="343"/>
      <x:c r="I168" s="343"/>
      <x:c r="J168" s="343"/>
      <x:c r="K168" s="343"/>
      <x:c r="L168" s="343"/>
      <x:c r="M168" s="343"/>
      <x:c r="N168" s="338"/>
      <x:c r="O168" s="342"/>
      <x:c r="P168" s="342"/>
      <x:c r="Q168" s="342"/>
      <x:c r="R168" s="342"/>
      <x:c r="S168" s="342"/>
      <x:c r="T168" s="342"/>
      <x:c r="U168" s="342"/>
      <x:c r="V168" s="342"/>
      <x:c r="W168" s="342"/>
      <x:c r="X168" s="342"/>
      <x:c r="Y168" s="342"/>
      <x:c r="Z168" s="342"/>
      <x:c r="AA168" s="342"/>
      <x:c r="AB168" s="342"/>
      <x:c r="AC168" s="342"/>
      <x:c r="AD168" s="342"/>
      <x:c r="AE168" s="342"/>
      <x:c r="AF168" s="342"/>
      <x:c r="AG168" s="342"/>
      <x:c r="AH168" s="342"/>
    </x:row>
    <x:row r="169">
      <x:c r="A169" s="160" t="str">
        <x:v>Positive Outcome</x:v>
      </x:c>
      <x:c r="B169" s="15" t="str">
        <x:v>Watch / Negative Outcome</x:v>
      </x:c>
      <x:c r="C169" s="15" t="str">
        <x:v>Current Analyst Read</x:v>
      </x:c>
      <x:c r="D169" s="343"/>
      <x:c r="E169" s="343"/>
      <x:c r="F169" s="343"/>
      <x:c r="G169" s="343"/>
      <x:c r="H169" s="343"/>
      <x:c r="I169" s="343"/>
      <x:c r="J169" s="343"/>
      <x:c r="K169" s="343"/>
      <x:c r="L169" s="343"/>
      <x:c r="M169" s="343"/>
      <x:c r="N169" s="338"/>
      <x:c r="O169" s="342"/>
      <x:c r="P169" s="342"/>
      <x:c r="Q169" s="342"/>
      <x:c r="R169" s="342"/>
      <x:c r="S169" s="342"/>
      <x:c r="T169" s="342"/>
      <x:c r="U169" s="342"/>
      <x:c r="V169" s="342"/>
      <x:c r="W169" s="342"/>
      <x:c r="X169" s="342"/>
      <x:c r="Y169" s="342"/>
      <x:c r="Z169" s="342"/>
      <x:c r="AA169" s="342"/>
      <x:c r="AB169" s="342"/>
      <x:c r="AC169" s="342"/>
      <x:c r="AD169" s="342"/>
      <x:c r="AE169" s="342"/>
      <x:c r="AF169" s="342"/>
      <x:c r="AG169" s="342"/>
      <x:c r="AH169" s="342"/>
    </x:row>
    <x:row r="170" ht="58" customHeight="1">
      <x:c r="A170" s="337" t="str">
        <x:v>CMS mix ↑ + utilisation ↑ + margin ↑ + asset turnover stabilises/improves + ROCE ↑</x:v>
      </x:c>
      <x:c r="B170" s="338" t="str">
        <x:v>CMS mix ↑ but capex/CWIP ↑ faster; utilisation weak; turnover / ROCE compress</x:v>
      </x:c>
      <x:c r="C170" s="338" t="str">
        <x:v>FY26 is positive with caveat: commercial CMS revenue scaled sharply and ROCE recovered, but capex / CWIP remain elevated and peptide assets are not yet monetised.</x:v>
      </x:c>
      <x:c r="D170" s="343"/>
      <x:c r="E170" s="343"/>
      <x:c r="F170" s="343"/>
      <x:c r="G170" s="343"/>
      <x:c r="H170" s="343"/>
      <x:c r="I170" s="343"/>
      <x:c r="J170" s="343"/>
      <x:c r="K170" s="343"/>
      <x:c r="L170" s="343"/>
      <x:c r="M170" s="343"/>
      <x:c r="N170" s="338"/>
      <x:c r="O170" s="342"/>
      <x:c r="P170" s="342"/>
      <x:c r="Q170" s="342"/>
      <x:c r="R170" s="342"/>
      <x:c r="S170" s="342"/>
      <x:c r="T170" s="342"/>
      <x:c r="U170" s="342"/>
      <x:c r="V170" s="342"/>
      <x:c r="W170" s="342"/>
      <x:c r="X170" s="342"/>
      <x:c r="Y170" s="342"/>
      <x:c r="Z170" s="342"/>
      <x:c r="AA170" s="342"/>
      <x:c r="AB170" s="342"/>
      <x:c r="AC170" s="342"/>
      <x:c r="AD170" s="342"/>
      <x:c r="AE170" s="342"/>
      <x:c r="AF170" s="342"/>
      <x:c r="AG170" s="342"/>
      <x:c r="AH170" s="342"/>
    </x:row>
    <x:row r="171">
      <x:c r="A171" s="341"/>
      <x:c r="B171" s="342"/>
      <x:c r="C171" s="342"/>
      <x:c r="D171" s="343"/>
      <x:c r="E171" s="343"/>
      <x:c r="F171" s="343"/>
      <x:c r="G171" s="343"/>
      <x:c r="H171" s="343"/>
      <x:c r="I171" s="343"/>
      <x:c r="J171" s="343"/>
      <x:c r="K171" s="343"/>
      <x:c r="L171" s="343"/>
      <x:c r="M171" s="343"/>
      <x:c r="N171" s="338"/>
      <x:c r="O171" s="342"/>
      <x:c r="P171" s="342"/>
      <x:c r="Q171" s="342"/>
      <x:c r="R171" s="342"/>
      <x:c r="S171" s="342"/>
      <x:c r="T171" s="342"/>
      <x:c r="U171" s="342"/>
      <x:c r="V171" s="342"/>
      <x:c r="W171" s="342"/>
      <x:c r="X171" s="342"/>
      <x:c r="Y171" s="342"/>
      <x:c r="Z171" s="342"/>
      <x:c r="AA171" s="342"/>
      <x:c r="AB171" s="342"/>
      <x:c r="AC171" s="342"/>
      <x:c r="AD171" s="342"/>
      <x:c r="AE171" s="342"/>
      <x:c r="AF171" s="342"/>
      <x:c r="AG171" s="342"/>
      <x:c r="AH171" s="342"/>
    </x:row>
    <x:row r="172">
      <x:c r="A172" s="341"/>
      <x:c r="B172" s="342"/>
      <x:c r="C172" s="342"/>
      <x:c r="D172" s="343"/>
      <x:c r="E172" s="343"/>
      <x:c r="F172" s="343"/>
      <x:c r="G172" s="343"/>
      <x:c r="H172" s="343"/>
      <x:c r="I172" s="343"/>
      <x:c r="J172" s="343"/>
      <x:c r="K172" s="343"/>
      <x:c r="L172" s="343"/>
      <x:c r="M172" s="343"/>
      <x:c r="N172" s="338"/>
      <x:c r="O172" s="342"/>
      <x:c r="P172" s="342"/>
      <x:c r="Q172" s="342"/>
      <x:c r="R172" s="342"/>
      <x:c r="S172" s="342"/>
      <x:c r="T172" s="342"/>
      <x:c r="U172" s="342"/>
      <x:c r="V172" s="342"/>
      <x:c r="W172" s="342"/>
      <x:c r="X172" s="342"/>
      <x:c r="Y172" s="342"/>
      <x:c r="Z172" s="342"/>
      <x:c r="AA172" s="342"/>
      <x:c r="AB172" s="342"/>
      <x:c r="AC172" s="342"/>
      <x:c r="AD172" s="342"/>
      <x:c r="AE172" s="342"/>
      <x:c r="AF172" s="342"/>
      <x:c r="AG172" s="342"/>
      <x:c r="AH172" s="342"/>
    </x:row>
    <x:row r="173" ht="20" customHeight="1">
      <x:c r="A173" s="30" t="str">
        <x:v>K. Capex Efficiency / Return Potential</x:v>
      </x:c>
      <x:c r="B173" s="30"/>
      <x:c r="C173" s="30"/>
      <x:c r="D173" s="175"/>
      <x:c r="E173" s="175"/>
      <x:c r="F173" s="175"/>
      <x:c r="G173" s="175"/>
      <x:c r="H173" s="175"/>
      <x:c r="I173" s="175"/>
      <x:c r="J173" s="175"/>
      <x:c r="K173" s="175"/>
      <x:c r="L173" s="175"/>
      <x:c r="M173" s="175"/>
      <x:c r="N173" s="223"/>
      <x:c r="O173" s="30"/>
      <x:c r="P173" s="444"/>
      <x:c r="Q173" s="444"/>
      <x:c r="R173" s="444"/>
      <x:c r="S173" s="444"/>
      <x:c r="T173" s="444"/>
      <x:c r="U173" s="444"/>
      <x:c r="V173" s="444"/>
      <x:c r="W173" s="444"/>
      <x:c r="X173" s="444"/>
      <x:c r="Y173" s="444"/>
      <x:c r="Z173" s="444"/>
      <x:c r="AA173" s="444"/>
      <x:c r="AB173" s="444"/>
      <x:c r="AC173" s="444"/>
      <x:c r="AD173" s="444"/>
      <x:c r="AE173" s="444"/>
      <x:c r="AF173" s="444"/>
      <x:c r="AG173" s="444"/>
      <x:c r="AH173" s="444"/>
    </x:row>
    <x:row r="174">
      <x:c r="A174" s="160" t="str">
        <x:v>Capex Cohort / Project</x:v>
      </x:c>
      <x:c r="B174" s="15" t="str">
        <x:v>Capital Deployed</x:v>
      </x:c>
      <x:c r="C174" s="15" t="str">
        <x:v>Revenue Supported</x:v>
      </x:c>
      <x:c r="D174" s="168" t="str">
        <x:v>Time to Revenue</x:v>
      </x:c>
      <x:c r="E174" s="168" t="str">
        <x:v>Asset Turnover Potential</x:v>
      </x:c>
      <x:c r="F174" s="168" t="str">
        <x:v>Margin Potential</x:v>
      </x:c>
      <x:c r="G174" s="168" t="str">
        <x:v>ROCE Potential</x:v>
      </x:c>
      <x:c r="H174" s="168" t="str">
        <x:v>Revenue Visibility</x:v>
      </x:c>
      <x:c r="I174" s="168" t="str">
        <x:v>Risk</x:v>
      </x:c>
      <x:c r="J174" s="168" t="str">
        <x:v>Analyst View</x:v>
      </x:c>
      <x:c r="K174" s="343"/>
      <x:c r="L174" s="343"/>
      <x:c r="M174" s="343"/>
      <x:c r="N174" s="338"/>
      <x:c r="O174" s="342"/>
      <x:c r="P174" s="342"/>
      <x:c r="Q174" s="342"/>
      <x:c r="R174" s="342"/>
      <x:c r="S174" s="342"/>
      <x:c r="T174" s="342"/>
      <x:c r="U174" s="342"/>
      <x:c r="V174" s="342"/>
      <x:c r="W174" s="342"/>
      <x:c r="X174" s="342"/>
      <x:c r="Y174" s="342"/>
      <x:c r="Z174" s="342"/>
      <x:c r="AA174" s="342"/>
      <x:c r="AB174" s="342"/>
      <x:c r="AC174" s="342"/>
      <x:c r="AD174" s="342"/>
      <x:c r="AE174" s="342"/>
      <x:c r="AF174" s="342"/>
      <x:c r="AG174" s="342"/>
      <x:c r="AH174" s="342"/>
    </x:row>
    <x:row r="175" ht="48" customHeight="1">
      <x:c r="A175" s="337" t="str">
        <x:v>Unit I 19 KL</x:v>
      </x:c>
      <x:c r="B175" s="393" t="n">
        <x:v>245</x:v>
      </x:c>
      <x:c r="C175" s="338" t="str">
        <x:v>Not attributable</x:v>
      </x:c>
      <x:c r="D175" s="352" t="str">
        <x:v>~1–2 years</x:v>
      </x:c>
      <x:c r="E175" s="352" t="str">
        <x:v>Medium</x:v>
      </x:c>
      <x:c r="F175" s="352" t="str">
        <x:v>Medium</x:v>
      </x:c>
      <x:c r="G175" s="352" t="str">
        <x:v>Medium</x:v>
      </x:c>
      <x:c r="H175" s="352" t="str">
        <x:v>Medium-High</x:v>
      </x:c>
      <x:c r="I175" s="352" t="str">
        <x:v>Demand / mix</x:v>
      </x:c>
      <x:c r="J175" s="352" t="str">
        <x:v>Small, demand-backed capacity; positive if quickly utilised</x:v>
      </x:c>
      <x:c r="K175" s="343"/>
      <x:c r="L175" s="343"/>
      <x:c r="M175" s="343"/>
      <x:c r="N175" s="338"/>
      <x:c r="O175" s="342"/>
      <x:c r="P175" s="342"/>
      <x:c r="Q175" s="342"/>
      <x:c r="R175" s="342"/>
      <x:c r="S175" s="342"/>
      <x:c r="T175" s="342"/>
      <x:c r="U175" s="342"/>
      <x:c r="V175" s="342"/>
      <x:c r="W175" s="342"/>
      <x:c r="X175" s="342"/>
      <x:c r="Y175" s="342"/>
      <x:c r="Z175" s="342"/>
      <x:c r="AA175" s="342"/>
      <x:c r="AB175" s="342"/>
      <x:c r="AC175" s="342"/>
      <x:c r="AD175" s="342"/>
      <x:c r="AE175" s="342"/>
      <x:c r="AF175" s="342"/>
      <x:c r="AG175" s="342"/>
      <x:c r="AH175" s="342"/>
    </x:row>
    <x:row r="176" ht="48" customHeight="1">
      <x:c r="A176" s="337" t="str">
        <x:v>Unit III 52 KL</x:v>
      </x:c>
      <x:c r="B176" s="393" t="n">
        <x:v>880</x:v>
      </x:c>
      <x:c r="C176" s="338" t="str">
        <x:v>Not attributable</x:v>
      </x:c>
      <x:c r="D176" s="352" t="str">
        <x:v>~1–2 years</x:v>
      </x:c>
      <x:c r="E176" s="352" t="str">
        <x:v>High</x:v>
      </x:c>
      <x:c r="F176" s="352" t="str">
        <x:v>Medium-High</x:v>
      </x:c>
      <x:c r="G176" s="352" t="str">
        <x:v>High</x:v>
      </x:c>
      <x:c r="H176" s="352" t="str">
        <x:v>High at cohort level</x:v>
      </x:c>
      <x:c r="I176" s="352" t="str">
        <x:v>Campaign concentration</x:v>
      </x:c>
      <x:c r="J176" s="352" t="str">
        <x:v>Most visible recent capex monetisation cohort</x:v>
      </x:c>
      <x:c r="K176" s="343"/>
      <x:c r="L176" s="343"/>
      <x:c r="M176" s="343"/>
      <x:c r="N176" s="338"/>
      <x:c r="O176" s="342"/>
      <x:c r="P176" s="342"/>
      <x:c r="Q176" s="342"/>
      <x:c r="R176" s="342"/>
      <x:c r="S176" s="342"/>
      <x:c r="T176" s="342"/>
      <x:c r="U176" s="342"/>
      <x:c r="V176" s="342"/>
      <x:c r="W176" s="342"/>
      <x:c r="X176" s="342"/>
      <x:c r="Y176" s="342"/>
      <x:c r="Z176" s="342"/>
      <x:c r="AA176" s="342"/>
      <x:c r="AB176" s="342"/>
      <x:c r="AC176" s="342"/>
      <x:c r="AD176" s="342"/>
      <x:c r="AE176" s="342"/>
      <x:c r="AF176" s="342"/>
      <x:c r="AG176" s="342"/>
      <x:c r="AH176" s="342"/>
    </x:row>
    <x:row r="177" ht="48" customHeight="1">
      <x:c r="A177" s="337" t="str">
        <x:v>Peptide facility</x:v>
      </x:c>
      <x:c r="B177" s="393" t="n">
        <x:v>2540</x:v>
      </x:c>
      <x:c r="C177" s="338" t="str">
        <x:v>Not yet attributable</x:v>
      </x:c>
      <x:c r="D177" s="352" t="str">
        <x:v>2–4+ years</x:v>
      </x:c>
      <x:c r="E177" s="352" t="str">
        <x:v>Low initially / High if scaled</x:v>
      </x:c>
      <x:c r="F177" s="352" t="str">
        <x:v>High potential</x:v>
      </x:c>
      <x:c r="G177" s="352" t="str">
        <x:v>High potential / uncertain</x:v>
      </x:c>
      <x:c r="H177" s="352" t="str">
        <x:v>Low-Medium</x:v>
      </x:c>
      <x:c r="I177" s="352" t="str">
        <x:v>Commercial win / validation</x:v>
      </x:c>
      <x:c r="J177" s="352" t="str">
        <x:v>Strategically attractive; returns hinge on project conversion</x:v>
      </x:c>
      <x:c r="K177" s="343"/>
      <x:c r="L177" s="343"/>
      <x:c r="M177" s="343"/>
      <x:c r="N177" s="338"/>
      <x:c r="O177" s="342"/>
      <x:c r="P177" s="342"/>
      <x:c r="Q177" s="342"/>
      <x:c r="R177" s="342"/>
      <x:c r="S177" s="342"/>
      <x:c r="T177" s="342"/>
      <x:c r="U177" s="342"/>
      <x:c r="V177" s="342"/>
      <x:c r="W177" s="342"/>
      <x:c r="X177" s="342"/>
      <x:c r="Y177" s="342"/>
      <x:c r="Z177" s="342"/>
      <x:c r="AA177" s="342"/>
      <x:c r="AB177" s="342"/>
      <x:c r="AC177" s="342"/>
      <x:c r="AD177" s="342"/>
      <x:c r="AE177" s="342"/>
      <x:c r="AF177" s="342"/>
      <x:c r="AG177" s="342"/>
      <x:c r="AH177" s="342"/>
    </x:row>
    <x:row r="178" ht="48" customHeight="1">
      <x:c r="A178" s="337" t="str">
        <x:v>Genome Valley R&amp;D</x:v>
      </x:c>
      <x:c r="B178" s="393" t="str">
        <x:v>NA</x:v>
      </x:c>
      <x:c r="C178" s="338" t="str">
        <x:v>Indirect</x:v>
      </x:c>
      <x:c r="D178" s="352" t="str">
        <x:v>2–5 years</x:v>
      </x:c>
      <x:c r="E178" s="352" t="str">
        <x:v>NA</x:v>
      </x:c>
      <x:c r="F178" s="352" t="str">
        <x:v>High strategic potential</x:v>
      </x:c>
      <x:c r="G178" s="352" t="str">
        <x:v>Indirect</x:v>
      </x:c>
      <x:c r="H178" s="352" t="str">
        <x:v>Low-Medium</x:v>
      </x:c>
      <x:c r="I178" s="352" t="str">
        <x:v>Project conversion / opex</x:v>
      </x:c>
      <x:c r="J178" s="352" t="str">
        <x:v>Judge on funnel quality and tech-transfer conversion</x:v>
      </x:c>
      <x:c r="K178" s="343"/>
      <x:c r="L178" s="343"/>
      <x:c r="M178" s="343"/>
      <x:c r="N178" s="338"/>
      <x:c r="O178" s="342"/>
      <x:c r="P178" s="342"/>
      <x:c r="Q178" s="342"/>
      <x:c r="R178" s="342"/>
      <x:c r="S178" s="342"/>
      <x:c r="T178" s="342"/>
      <x:c r="U178" s="342"/>
      <x:c r="V178" s="342"/>
      <x:c r="W178" s="342"/>
      <x:c r="X178" s="342"/>
      <x:c r="Y178" s="342"/>
      <x:c r="Z178" s="342"/>
      <x:c r="AA178" s="342"/>
      <x:c r="AB178" s="342"/>
      <x:c r="AC178" s="342"/>
      <x:c r="AD178" s="342"/>
      <x:c r="AE178" s="342"/>
      <x:c r="AF178" s="342"/>
      <x:c r="AG178" s="342"/>
      <x:c r="AH178" s="342"/>
    </x:row>
    <x:row r="179" ht="48" customHeight="1">
      <x:c r="A179" s="337" t="str">
        <x:v>Unit II Block 4</x:v>
      </x:c>
      <x:c r="B179" s="393" t="str">
        <x:v>NA</x:v>
      </x:c>
      <x:c r="C179" s="338" t="str">
        <x:v>Not attributable</x:v>
      </x:c>
      <x:c r="D179" s="352" t="str">
        <x:v>&lt;1–2 years</x:v>
      </x:c>
      <x:c r="E179" s="352" t="str">
        <x:v>Medium</x:v>
      </x:c>
      <x:c r="F179" s="352" t="str">
        <x:v>Medium</x:v>
      </x:c>
      <x:c r="G179" s="352" t="str">
        <x:v>Medium</x:v>
      </x:c>
      <x:c r="H179" s="352" t="str">
        <x:v>Medium</x:v>
      </x:c>
      <x:c r="I179" s="352" t="str">
        <x:v>Utilisation disclosure</x:v>
      </x:c>
      <x:c r="J179" s="352" t="str">
        <x:v>Productivity / debottlenecking investment</x:v>
      </x:c>
      <x:c r="K179" s="343"/>
      <x:c r="L179" s="343"/>
      <x:c r="M179" s="343"/>
      <x:c r="N179" s="338"/>
      <x:c r="O179" s="342"/>
      <x:c r="P179" s="342"/>
      <x:c r="Q179" s="342"/>
      <x:c r="R179" s="342"/>
      <x:c r="S179" s="342"/>
      <x:c r="T179" s="342"/>
      <x:c r="U179" s="342"/>
      <x:c r="V179" s="342"/>
      <x:c r="W179" s="342"/>
      <x:c r="X179" s="342"/>
      <x:c r="Y179" s="342"/>
      <x:c r="Z179" s="342"/>
      <x:c r="AA179" s="342"/>
      <x:c r="AB179" s="342"/>
      <x:c r="AC179" s="342"/>
      <x:c r="AD179" s="342"/>
      <x:c r="AE179" s="342"/>
      <x:c r="AF179" s="342"/>
      <x:c r="AG179" s="342"/>
      <x:c r="AH179" s="342"/>
    </x:row>
    <x:row r="180" ht="48" customHeight="1">
      <x:c r="A180" s="337" t="str">
        <x:v>EHS / compliance</x:v>
      </x:c>
      <x:c r="B180" s="393" t="n">
        <x:v>599.5</x:v>
      </x:c>
      <x:c r="C180" s="338" t="str">
        <x:v>No incremental sales assigned</x:v>
      </x:c>
      <x:c r="D180" s="352" t="str">
        <x:v>NA</x:v>
      </x:c>
      <x:c r="E180" s="352" t="str">
        <x:v>NA</x:v>
      </x:c>
      <x:c r="F180" s="352" t="str">
        <x:v>NA</x:v>
      </x:c>
      <x:c r="G180" s="352" t="str">
        <x:v>Necessary / non-revenue</x:v>
      </x:c>
      <x:c r="H180" s="352" t="str">
        <x:v>NA</x:v>
      </x:c>
      <x:c r="I180" s="352" t="str">
        <x:v>Compliance</x:v>
      </x:c>
      <x:c r="J180" s="352" t="str">
        <x:v>Licence-to-operate capital, not growth capex</x:v>
      </x:c>
      <x:c r="K180" s="343"/>
      <x:c r="L180" s="343"/>
      <x:c r="M180" s="343"/>
      <x:c r="N180" s="338"/>
      <x:c r="O180" s="342"/>
      <x:c r="P180" s="342"/>
      <x:c r="Q180" s="342"/>
      <x:c r="R180" s="342"/>
      <x:c r="S180" s="342"/>
      <x:c r="T180" s="342"/>
      <x:c r="U180" s="342"/>
      <x:c r="V180" s="342"/>
      <x:c r="W180" s="342"/>
      <x:c r="X180" s="342"/>
      <x:c r="Y180" s="342"/>
      <x:c r="Z180" s="342"/>
      <x:c r="AA180" s="342"/>
      <x:c r="AB180" s="342"/>
      <x:c r="AC180" s="342"/>
      <x:c r="AD180" s="342"/>
      <x:c r="AE180" s="342"/>
      <x:c r="AF180" s="342"/>
      <x:c r="AG180" s="342"/>
      <x:c r="AH180" s="342"/>
    </x:row>
    <x:row r="181">
      <x:c r="A181" s="341"/>
      <x:c r="B181" s="342"/>
      <x:c r="C181" s="342"/>
      <x:c r="D181" s="343"/>
      <x:c r="E181" s="343"/>
      <x:c r="F181" s="343"/>
      <x:c r="G181" s="343"/>
      <x:c r="H181" s="343"/>
      <x:c r="I181" s="343"/>
      <x:c r="J181" s="343"/>
      <x:c r="K181" s="343"/>
      <x:c r="L181" s="343"/>
      <x:c r="M181" s="343"/>
      <x:c r="N181" s="338"/>
      <x:c r="O181" s="342"/>
      <x:c r="P181" s="342"/>
      <x:c r="Q181" s="342"/>
      <x:c r="R181" s="342"/>
      <x:c r="S181" s="342"/>
      <x:c r="T181" s="342"/>
      <x:c r="U181" s="342"/>
      <x:c r="V181" s="342"/>
      <x:c r="W181" s="342"/>
      <x:c r="X181" s="342"/>
      <x:c r="Y181" s="342"/>
      <x:c r="Z181" s="342"/>
      <x:c r="AA181" s="342"/>
      <x:c r="AB181" s="342"/>
      <x:c r="AC181" s="342"/>
      <x:c r="AD181" s="342"/>
      <x:c r="AE181" s="342"/>
      <x:c r="AF181" s="342"/>
      <x:c r="AG181" s="342"/>
      <x:c r="AH181" s="342"/>
    </x:row>
    <x:row r="182">
      <x:c r="A182" s="341"/>
      <x:c r="B182" s="342"/>
      <x:c r="C182" s="342"/>
      <x:c r="D182" s="343"/>
      <x:c r="E182" s="343"/>
      <x:c r="F182" s="343"/>
      <x:c r="G182" s="343"/>
      <x:c r="H182" s="343"/>
      <x:c r="I182" s="343"/>
      <x:c r="J182" s="343"/>
      <x:c r="K182" s="343"/>
      <x:c r="L182" s="343"/>
      <x:c r="M182" s="343"/>
      <x:c r="N182" s="338"/>
      <x:c r="O182" s="342"/>
      <x:c r="P182" s="342"/>
      <x:c r="Q182" s="342"/>
      <x:c r="R182" s="342"/>
      <x:c r="S182" s="342"/>
      <x:c r="T182" s="342"/>
      <x:c r="U182" s="342"/>
      <x:c r="V182" s="342"/>
      <x:c r="W182" s="342"/>
      <x:c r="X182" s="342"/>
      <x:c r="Y182" s="342"/>
      <x:c r="Z182" s="342"/>
      <x:c r="AA182" s="342"/>
      <x:c r="AB182" s="342"/>
      <x:c r="AC182" s="342"/>
      <x:c r="AD182" s="342"/>
      <x:c r="AE182" s="342"/>
      <x:c r="AF182" s="342"/>
      <x:c r="AG182" s="342"/>
      <x:c r="AH182" s="342"/>
    </x:row>
    <x:row r="183" ht="20" customHeight="1">
      <x:c r="A183" s="30" t="str">
        <x:v>L. Demand-Led vs Supply-Led Capex</x:v>
      </x:c>
      <x:c r="B183" s="30"/>
      <x:c r="C183" s="30"/>
      <x:c r="D183" s="175"/>
      <x:c r="E183" s="175"/>
      <x:c r="F183" s="175"/>
      <x:c r="G183" s="175"/>
      <x:c r="H183" s="175"/>
      <x:c r="I183" s="175"/>
      <x:c r="J183" s="175"/>
      <x:c r="K183" s="175"/>
      <x:c r="L183" s="175"/>
      <x:c r="M183" s="175"/>
      <x:c r="N183" s="223"/>
      <x:c r="O183" s="30"/>
      <x:c r="P183" s="444"/>
      <x:c r="Q183" s="444"/>
      <x:c r="R183" s="444"/>
      <x:c r="S183" s="444"/>
      <x:c r="T183" s="444"/>
      <x:c r="U183" s="444"/>
      <x:c r="V183" s="444"/>
      <x:c r="W183" s="444"/>
      <x:c r="X183" s="444"/>
      <x:c r="Y183" s="444"/>
      <x:c r="Z183" s="444"/>
      <x:c r="AA183" s="444"/>
      <x:c r="AB183" s="444"/>
      <x:c r="AC183" s="444"/>
      <x:c r="AD183" s="444"/>
      <x:c r="AE183" s="444"/>
      <x:c r="AF183" s="444"/>
      <x:c r="AG183" s="444"/>
      <x:c r="AH183" s="444"/>
    </x:row>
    <x:row r="184">
      <x:c r="A184" s="160" t="str">
        <x:v>Project</x:v>
      </x:c>
      <x:c r="B184" s="15" t="str">
        <x:v>Classification</x:v>
      </x:c>
      <x:c r="C184" s="15" t="str">
        <x:v>Evidence</x:v>
      </x:c>
      <x:c r="D184" s="168" t="str">
        <x:v>Analyst Read</x:v>
      </x:c>
      <x:c r="E184" s="343"/>
      <x:c r="F184" s="343"/>
      <x:c r="G184" s="343"/>
      <x:c r="H184" s="343"/>
      <x:c r="I184" s="343"/>
      <x:c r="J184" s="343"/>
      <x:c r="K184" s="343"/>
      <x:c r="L184" s="343"/>
      <x:c r="M184" s="343"/>
      <x:c r="N184" s="338"/>
      <x:c r="O184" s="342"/>
      <x:c r="P184" s="342"/>
      <x:c r="Q184" s="342"/>
      <x:c r="R184" s="342"/>
      <x:c r="S184" s="342"/>
      <x:c r="T184" s="342"/>
      <x:c r="U184" s="342"/>
      <x:c r="V184" s="342"/>
      <x:c r="W184" s="342"/>
      <x:c r="X184" s="342"/>
      <x:c r="Y184" s="342"/>
      <x:c r="Z184" s="342"/>
      <x:c r="AA184" s="342"/>
      <x:c r="AB184" s="342"/>
      <x:c r="AC184" s="342"/>
      <x:c r="AD184" s="342"/>
      <x:c r="AE184" s="342"/>
      <x:c r="AF184" s="342"/>
      <x:c r="AG184" s="342"/>
      <x:c r="AH184" s="342"/>
    </x:row>
    <x:row r="185" ht="46" customHeight="1">
      <x:c r="A185" s="337" t="str">
        <x:v>Unit I 19 KL</x:v>
      </x:c>
      <x:c r="B185" s="338" t="str">
        <x:v>Demand-backed</x:v>
      </x:c>
      <x:c r="C185" s="338" t="str">
        <x:v>Company cited growing customer demand; FY26 annual report links block to large-volume GDS commercial products</x:v>
      </x:c>
      <x:c r="D185" s="352" t="str">
        <x:v>Lower execution risk than more speculative capability capex.</x:v>
      </x:c>
      <x:c r="E185" s="343"/>
      <x:c r="F185" s="343"/>
      <x:c r="G185" s="343"/>
      <x:c r="H185" s="343"/>
      <x:c r="I185" s="343"/>
      <x:c r="J185" s="343"/>
      <x:c r="K185" s="343"/>
      <x:c r="L185" s="343"/>
      <x:c r="M185" s="343"/>
      <x:c r="N185" s="338"/>
      <x:c r="O185" s="342"/>
      <x:c r="P185" s="342"/>
      <x:c r="Q185" s="342"/>
      <x:c r="R185" s="342"/>
      <x:c r="S185" s="342"/>
      <x:c r="T185" s="342"/>
      <x:c r="U185" s="342"/>
      <x:c r="V185" s="342"/>
      <x:c r="W185" s="342"/>
      <x:c r="X185" s="342"/>
      <x:c r="Y185" s="342"/>
      <x:c r="Z185" s="342"/>
      <x:c r="AA185" s="342"/>
      <x:c r="AB185" s="342"/>
      <x:c r="AC185" s="342"/>
      <x:c r="AD185" s="342"/>
      <x:c r="AE185" s="342"/>
      <x:c r="AF185" s="342"/>
      <x:c r="AG185" s="342"/>
      <x:c r="AH185" s="342"/>
    </x:row>
    <x:row r="186" ht="46" customHeight="1">
      <x:c r="A186" s="337" t="str">
        <x:v>Unit III 52 KL</x:v>
      </x:c>
      <x:c r="B186" s="338" t="str">
        <x:v>Partially demand-backed</x:v>
      </x:c>
      <x:c r="C186" s="338" t="str">
        <x:v>Unit III CMS products already ramping; management expects further Unit III ramp as new assets come online</x:v>
      </x:c>
      <x:c r="D186" s="352" t="str">
        <x:v>Good monetisation evidence, but exact customer commitments are confidential.</x:v>
      </x:c>
      <x:c r="E186" s="343"/>
      <x:c r="F186" s="343"/>
      <x:c r="G186" s="343"/>
      <x:c r="H186" s="343"/>
      <x:c r="I186" s="343"/>
      <x:c r="J186" s="343"/>
      <x:c r="K186" s="343"/>
      <x:c r="L186" s="343"/>
      <x:c r="M186" s="343"/>
      <x:c r="N186" s="338"/>
      <x:c r="O186" s="342"/>
      <x:c r="P186" s="342"/>
      <x:c r="Q186" s="342"/>
      <x:c r="R186" s="342"/>
      <x:c r="S186" s="342"/>
      <x:c r="T186" s="342"/>
      <x:c r="U186" s="342"/>
      <x:c r="V186" s="342"/>
      <x:c r="W186" s="342"/>
      <x:c r="X186" s="342"/>
      <x:c r="Y186" s="342"/>
      <x:c r="Z186" s="342"/>
      <x:c r="AA186" s="342"/>
      <x:c r="AB186" s="342"/>
      <x:c r="AC186" s="342"/>
      <x:c r="AD186" s="342"/>
      <x:c r="AE186" s="342"/>
      <x:c r="AF186" s="342"/>
      <x:c r="AG186" s="342"/>
      <x:c r="AH186" s="342"/>
    </x:row>
    <x:row r="187" ht="46" customHeight="1">
      <x:c r="A187" s="337" t="str">
        <x:v>Peptide facility</x:v>
      </x:c>
      <x:c r="B187" s="338" t="str">
        <x:v>Partially demand-backed / ahead of firm demand</x:v>
      </x:c>
      <x:c r="C187" s="338" t="str">
        <x:v>5–6 innovator projects underway but management says early stage and no revenue certainty</x:v>
      </x:c>
      <x:c r="D187" s="352" t="str">
        <x:v>Strategic build; strongest upside optionality and largest under-utilisation risk.</x:v>
      </x:c>
      <x:c r="E187" s="343"/>
      <x:c r="F187" s="343"/>
      <x:c r="G187" s="343"/>
      <x:c r="H187" s="343"/>
      <x:c r="I187" s="343"/>
      <x:c r="J187" s="343"/>
      <x:c r="K187" s="343"/>
      <x:c r="L187" s="343"/>
      <x:c r="M187" s="343"/>
      <x:c r="N187" s="338"/>
      <x:c r="O187" s="342"/>
      <x:c r="P187" s="342"/>
      <x:c r="Q187" s="342"/>
      <x:c r="R187" s="342"/>
      <x:c r="S187" s="342"/>
      <x:c r="T187" s="342"/>
      <x:c r="U187" s="342"/>
      <x:c r="V187" s="342"/>
      <x:c r="W187" s="342"/>
      <x:c r="X187" s="342"/>
      <x:c r="Y187" s="342"/>
      <x:c r="Z187" s="342"/>
      <x:c r="AA187" s="342"/>
      <x:c r="AB187" s="342"/>
      <x:c r="AC187" s="342"/>
      <x:c r="AD187" s="342"/>
      <x:c r="AE187" s="342"/>
      <x:c r="AF187" s="342"/>
      <x:c r="AG187" s="342"/>
      <x:c r="AH187" s="342"/>
    </x:row>
    <x:row r="188" ht="46" customHeight="1">
      <x:c r="A188" s="337" t="str">
        <x:v>Genome Valley R&amp;D</x:v>
      </x:c>
      <x:c r="B188" s="338" t="str">
        <x:v>Ahead of demand / strategic</x:v>
      </x:c>
      <x:c r="C188" s="338" t="str">
        <x:v>Capability investment; no named customer commitment</x:v>
      </x:c>
      <x:c r="D188" s="352" t="str">
        <x:v>Necessary for differentiated pipeline, but returns are indirect.</x:v>
      </x:c>
      <x:c r="E188" s="343"/>
      <x:c r="F188" s="343"/>
      <x:c r="G188" s="343"/>
      <x:c r="H188" s="343"/>
      <x:c r="I188" s="343"/>
      <x:c r="J188" s="343"/>
      <x:c r="K188" s="343"/>
      <x:c r="L188" s="343"/>
      <x:c r="M188" s="343"/>
      <x:c r="N188" s="338"/>
      <x:c r="O188" s="342"/>
      <x:c r="P188" s="342"/>
      <x:c r="Q188" s="342"/>
      <x:c r="R188" s="342"/>
      <x:c r="S188" s="342"/>
      <x:c r="T188" s="342"/>
      <x:c r="U188" s="342"/>
      <x:c r="V188" s="342"/>
      <x:c r="W188" s="342"/>
      <x:c r="X188" s="342"/>
      <x:c r="Y188" s="342"/>
      <x:c r="Z188" s="342"/>
      <x:c r="AA188" s="342"/>
      <x:c r="AB188" s="342"/>
      <x:c r="AC188" s="342"/>
      <x:c r="AD188" s="342"/>
      <x:c r="AE188" s="342"/>
      <x:c r="AF188" s="342"/>
      <x:c r="AG188" s="342"/>
      <x:c r="AH188" s="342"/>
    </x:row>
    <x:row r="189" ht="46" customHeight="1">
      <x:c r="A189" s="337" t="str">
        <x:v>Unit II Block 4</x:v>
      </x:c>
      <x:c r="B189" s="338" t="str">
        <x:v>Insufficient disclosure</x:v>
      </x:c>
      <x:c r="C189" s="338" t="str">
        <x:v>Throughput rationale disclosed; customer linkage not disclosed</x:v>
      </x:c>
      <x:c r="D189" s="352" t="str">
        <x:v>Monitor utilisation / product campaigns.</x:v>
      </x:c>
      <x:c r="E189" s="343"/>
      <x:c r="F189" s="343"/>
      <x:c r="G189" s="343"/>
      <x:c r="H189" s="343"/>
      <x:c r="I189" s="343"/>
      <x:c r="J189" s="343"/>
      <x:c r="K189" s="343"/>
      <x:c r="L189" s="343"/>
      <x:c r="M189" s="343"/>
      <x:c r="N189" s="338"/>
      <x:c r="O189" s="342"/>
      <x:c r="P189" s="342"/>
      <x:c r="Q189" s="342"/>
      <x:c r="R189" s="342"/>
      <x:c r="S189" s="342"/>
      <x:c r="T189" s="342"/>
      <x:c r="U189" s="342"/>
      <x:c r="V189" s="342"/>
      <x:c r="W189" s="342"/>
      <x:c r="X189" s="342"/>
      <x:c r="Y189" s="342"/>
      <x:c r="Z189" s="342"/>
      <x:c r="AA189" s="342"/>
      <x:c r="AB189" s="342"/>
      <x:c r="AC189" s="342"/>
      <x:c r="AD189" s="342"/>
      <x:c r="AE189" s="342"/>
      <x:c r="AF189" s="342"/>
      <x:c r="AG189" s="342"/>
      <x:c r="AH189" s="342"/>
    </x:row>
    <x:row r="190" ht="46" customHeight="1">
      <x:c r="A190" s="337" t="str">
        <x:v>EHS / compliance</x:v>
      </x:c>
      <x:c r="B190" s="338" t="str">
        <x:v>Not applicable</x:v>
      </x:c>
      <x:c r="C190" s="338" t="str">
        <x:v>Compliance / sustainability investment</x:v>
      </x:c>
      <x:c r="D190" s="352" t="str">
        <x:v>No direct revenue attribution.</x:v>
      </x:c>
      <x:c r="E190" s="343"/>
      <x:c r="F190" s="343"/>
      <x:c r="G190" s="343"/>
      <x:c r="H190" s="343"/>
      <x:c r="I190" s="343"/>
      <x:c r="J190" s="343"/>
      <x:c r="K190" s="343"/>
      <x:c r="L190" s="343"/>
      <x:c r="M190" s="343"/>
      <x:c r="N190" s="338"/>
      <x:c r="O190" s="342"/>
      <x:c r="P190" s="342"/>
      <x:c r="Q190" s="342"/>
      <x:c r="R190" s="342"/>
      <x:c r="S190" s="342"/>
      <x:c r="T190" s="342"/>
      <x:c r="U190" s="342"/>
      <x:c r="V190" s="342"/>
      <x:c r="W190" s="342"/>
      <x:c r="X190" s="342"/>
      <x:c r="Y190" s="342"/>
      <x:c r="Z190" s="342"/>
      <x:c r="AA190" s="342"/>
      <x:c r="AB190" s="342"/>
      <x:c r="AC190" s="342"/>
      <x:c r="AD190" s="342"/>
      <x:c r="AE190" s="342"/>
      <x:c r="AF190" s="342"/>
      <x:c r="AG190" s="342"/>
      <x:c r="AH190" s="342"/>
    </x:row>
    <x:row r="191">
      <x:c r="A191" s="341"/>
      <x:c r="B191" s="342"/>
      <x:c r="C191" s="342"/>
      <x:c r="D191" s="343"/>
      <x:c r="E191" s="343"/>
      <x:c r="F191" s="343"/>
      <x:c r="G191" s="343"/>
      <x:c r="H191" s="343"/>
      <x:c r="I191" s="343"/>
      <x:c r="J191" s="343"/>
      <x:c r="K191" s="343"/>
      <x:c r="L191" s="343"/>
      <x:c r="M191" s="343"/>
      <x:c r="N191" s="338"/>
      <x:c r="O191" s="342"/>
      <x:c r="P191" s="342"/>
      <x:c r="Q191" s="342"/>
      <x:c r="R191" s="342"/>
      <x:c r="S191" s="342"/>
      <x:c r="T191" s="342"/>
      <x:c r="U191" s="342"/>
      <x:c r="V191" s="342"/>
      <x:c r="W191" s="342"/>
      <x:c r="X191" s="342"/>
      <x:c r="Y191" s="342"/>
      <x:c r="Z191" s="342"/>
      <x:c r="AA191" s="342"/>
      <x:c r="AB191" s="342"/>
      <x:c r="AC191" s="342"/>
      <x:c r="AD191" s="342"/>
      <x:c r="AE191" s="342"/>
      <x:c r="AF191" s="342"/>
      <x:c r="AG191" s="342"/>
      <x:c r="AH191" s="342"/>
    </x:row>
    <x:row r="192">
      <x:c r="A192" s="341"/>
      <x:c r="B192" s="342"/>
      <x:c r="C192" s="342"/>
      <x:c r="D192" s="343"/>
      <x:c r="E192" s="343"/>
      <x:c r="F192" s="343"/>
      <x:c r="G192" s="343"/>
      <x:c r="H192" s="343"/>
      <x:c r="I192" s="343"/>
      <x:c r="J192" s="343"/>
      <x:c r="K192" s="343"/>
      <x:c r="L192" s="343"/>
      <x:c r="M192" s="343"/>
      <x:c r="N192" s="338"/>
      <x:c r="O192" s="342"/>
      <x:c r="P192" s="342"/>
      <x:c r="Q192" s="342"/>
      <x:c r="R192" s="342"/>
      <x:c r="S192" s="342"/>
      <x:c r="T192" s="342"/>
      <x:c r="U192" s="342"/>
      <x:c r="V192" s="342"/>
      <x:c r="W192" s="342"/>
      <x:c r="X192" s="342"/>
      <x:c r="Y192" s="342"/>
      <x:c r="Z192" s="342"/>
      <x:c r="AA192" s="342"/>
      <x:c r="AB192" s="342"/>
      <x:c r="AC192" s="342"/>
      <x:c r="AD192" s="342"/>
      <x:c r="AE192" s="342"/>
      <x:c r="AF192" s="342"/>
      <x:c r="AG192" s="342"/>
      <x:c r="AH192" s="342"/>
    </x:row>
    <x:row r="193" ht="20" customHeight="1">
      <x:c r="A193" s="30" t="str">
        <x:v>M. Capex Payback — Only Where Attribution Is Defensible</x:v>
      </x:c>
      <x:c r="B193" s="30"/>
      <x:c r="C193" s="30"/>
      <x:c r="D193" s="175"/>
      <x:c r="E193" s="175"/>
      <x:c r="F193" s="175"/>
      <x:c r="G193" s="175"/>
      <x:c r="H193" s="175"/>
      <x:c r="I193" s="175"/>
      <x:c r="J193" s="175"/>
      <x:c r="K193" s="175"/>
      <x:c r="L193" s="175"/>
      <x:c r="M193" s="175"/>
      <x:c r="N193" s="223"/>
      <x:c r="O193" s="30"/>
      <x:c r="P193" s="444"/>
      <x:c r="Q193" s="444"/>
      <x:c r="R193" s="444"/>
      <x:c r="S193" s="444"/>
      <x:c r="T193" s="444"/>
      <x:c r="U193" s="444"/>
      <x:c r="V193" s="444"/>
      <x:c r="W193" s="444"/>
      <x:c r="X193" s="444"/>
      <x:c r="Y193" s="444"/>
      <x:c r="Z193" s="444"/>
      <x:c r="AA193" s="444"/>
      <x:c r="AB193" s="444"/>
      <x:c r="AC193" s="444"/>
      <x:c r="AD193" s="444"/>
      <x:c r="AE193" s="444"/>
      <x:c r="AF193" s="444"/>
      <x:c r="AG193" s="444"/>
      <x:c r="AH193" s="444"/>
    </x:row>
    <x:row r="194">
      <x:c r="A194" s="160" t="str">
        <x:v>Project</x:v>
      </x:c>
      <x:c r="B194" s="15" t="str">
        <x:v>Growth Capex</x:v>
      </x:c>
      <x:c r="C194" s="15" t="str">
        <x:v>Attributed Incremental Sales</x:v>
      </x:c>
      <x:c r="D194" s="168" t="str">
        <x:v>Attributed EBITDA</x:v>
      </x:c>
      <x:c r="E194" s="168" t="str">
        <x:v>Attributed EBIT</x:v>
      </x:c>
      <x:c r="F194" s="168" t="str">
        <x:v>Sales / Capex</x:v>
      </x:c>
      <x:c r="G194" s="168" t="str">
        <x:v>EBITDA / Capex</x:v>
      </x:c>
      <x:c r="H194" s="168" t="str">
        <x:v>Simple Payback</x:v>
      </x:c>
      <x:c r="I194" s="168" t="str">
        <x:v>Basis</x:v>
      </x:c>
      <x:c r="J194" s="343"/>
      <x:c r="K194" s="343"/>
      <x:c r="L194" s="343"/>
      <x:c r="M194" s="343"/>
      <x:c r="N194" s="338"/>
      <x:c r="O194" s="342"/>
      <x:c r="P194" s="342"/>
      <x:c r="Q194" s="342"/>
      <x:c r="R194" s="342"/>
      <x:c r="S194" s="342"/>
      <x:c r="T194" s="342"/>
      <x:c r="U194" s="342"/>
      <x:c r="V194" s="342"/>
      <x:c r="W194" s="342"/>
      <x:c r="X194" s="342"/>
      <x:c r="Y194" s="342"/>
      <x:c r="Z194" s="342"/>
      <x:c r="AA194" s="342"/>
      <x:c r="AB194" s="342"/>
      <x:c r="AC194" s="342"/>
      <x:c r="AD194" s="342"/>
      <x:c r="AE194" s="342"/>
      <x:c r="AF194" s="342"/>
      <x:c r="AG194" s="342"/>
      <x:c r="AH194" s="342"/>
    </x:row>
    <x:row r="195">
      <x:c r="A195" s="337" t="str">
        <x:v>Unit I 19 KL</x:v>
      </x:c>
      <x:c r="B195" s="393" t="n">
        <x:v>245</x:v>
      </x:c>
      <x:c r="C195" s="338" t="str">
        <x:v>NA</x:v>
      </x:c>
      <x:c r="D195" s="352" t="str">
        <x:v>NA</x:v>
      </x:c>
      <x:c r="E195" s="352" t="str">
        <x:v>NA</x:v>
      </x:c>
      <x:c r="F195" s="352" t="str">
        <x:v>NA</x:v>
      </x:c>
      <x:c r="G195" s="352" t="str">
        <x:v>NA</x:v>
      </x:c>
      <x:c r="H195" s="352" t="str">
        <x:v>NA</x:v>
      </x:c>
      <x:c r="I195" s="352" t="str">
        <x:v>No public product-level revenue attribution</x:v>
      </x:c>
      <x:c r="J195" s="343"/>
      <x:c r="K195" s="343"/>
      <x:c r="L195" s="343"/>
      <x:c r="M195" s="343"/>
      <x:c r="N195" s="338"/>
      <x:c r="O195" s="342"/>
      <x:c r="P195" s="342"/>
      <x:c r="Q195" s="342"/>
      <x:c r="R195" s="342"/>
      <x:c r="S195" s="342"/>
      <x:c r="T195" s="342"/>
      <x:c r="U195" s="342"/>
      <x:c r="V195" s="342"/>
      <x:c r="W195" s="342"/>
      <x:c r="X195" s="342"/>
      <x:c r="Y195" s="342"/>
      <x:c r="Z195" s="342"/>
      <x:c r="AA195" s="342"/>
      <x:c r="AB195" s="342"/>
      <x:c r="AC195" s="342"/>
      <x:c r="AD195" s="342"/>
      <x:c r="AE195" s="342"/>
      <x:c r="AF195" s="342"/>
      <x:c r="AG195" s="342"/>
      <x:c r="AH195" s="342"/>
    </x:row>
    <x:row r="196">
      <x:c r="A196" s="337" t="str">
        <x:v>Unit III 52 KL</x:v>
      </x:c>
      <x:c r="B196" s="393" t="n">
        <x:v>880</x:v>
      </x:c>
      <x:c r="C196" s="338" t="str">
        <x:v>NA</x:v>
      </x:c>
      <x:c r="D196" s="352" t="str">
        <x:v>NA</x:v>
      </x:c>
      <x:c r="E196" s="352" t="str">
        <x:v>NA</x:v>
      </x:c>
      <x:c r="F196" s="352" t="str">
        <x:v>NA</x:v>
      </x:c>
      <x:c r="G196" s="352" t="str">
        <x:v>NA</x:v>
      </x:c>
      <x:c r="H196" s="352" t="str">
        <x:v>NA</x:v>
      </x:c>
      <x:c r="I196" s="352" t="str">
        <x:v>Do not assign all FY26 CMS growth to one block</x:v>
      </x:c>
      <x:c r="J196" s="343"/>
      <x:c r="K196" s="343"/>
      <x:c r="L196" s="343"/>
      <x:c r="M196" s="343"/>
      <x:c r="N196" s="338"/>
      <x:c r="O196" s="342"/>
      <x:c r="P196" s="342"/>
      <x:c r="Q196" s="342"/>
      <x:c r="R196" s="342"/>
      <x:c r="S196" s="342"/>
      <x:c r="T196" s="342"/>
      <x:c r="U196" s="342"/>
      <x:c r="V196" s="342"/>
      <x:c r="W196" s="342"/>
      <x:c r="X196" s="342"/>
      <x:c r="Y196" s="342"/>
      <x:c r="Z196" s="342"/>
      <x:c r="AA196" s="342"/>
      <x:c r="AB196" s="342"/>
      <x:c r="AC196" s="342"/>
      <x:c r="AD196" s="342"/>
      <x:c r="AE196" s="342"/>
      <x:c r="AF196" s="342"/>
      <x:c r="AG196" s="342"/>
      <x:c r="AH196" s="342"/>
    </x:row>
    <x:row r="197">
      <x:c r="A197" s="337" t="str">
        <x:v>Peptide facility</x:v>
      </x:c>
      <x:c r="B197" s="393" t="n">
        <x:v>2540</x:v>
      </x:c>
      <x:c r="C197" s="338" t="str">
        <x:v>NA</x:v>
      </x:c>
      <x:c r="D197" s="352" t="str">
        <x:v>NA</x:v>
      </x:c>
      <x:c r="E197" s="352" t="str">
        <x:v>NA</x:v>
      </x:c>
      <x:c r="F197" s="352" t="str">
        <x:v>NA</x:v>
      </x:c>
      <x:c r="G197" s="352" t="str">
        <x:v>NA</x:v>
      </x:c>
      <x:c r="H197" s="352" t="str">
        <x:v>NA</x:v>
      </x:c>
      <x:c r="I197" s="352" t="str">
        <x:v>Pre-commercial / early-stage project funnel</x:v>
      </x:c>
      <x:c r="J197" s="343"/>
      <x:c r="K197" s="343"/>
      <x:c r="L197" s="343"/>
      <x:c r="M197" s="343"/>
      <x:c r="N197" s="338"/>
      <x:c r="O197" s="342"/>
      <x:c r="P197" s="342"/>
      <x:c r="Q197" s="342"/>
      <x:c r="R197" s="342"/>
      <x:c r="S197" s="342"/>
      <x:c r="T197" s="342"/>
      <x:c r="U197" s="342"/>
      <x:c r="V197" s="342"/>
      <x:c r="W197" s="342"/>
      <x:c r="X197" s="342"/>
      <x:c r="Y197" s="342"/>
      <x:c r="Z197" s="342"/>
      <x:c r="AA197" s="342"/>
      <x:c r="AB197" s="342"/>
      <x:c r="AC197" s="342"/>
      <x:c r="AD197" s="342"/>
      <x:c r="AE197" s="342"/>
      <x:c r="AF197" s="342"/>
      <x:c r="AG197" s="342"/>
      <x:c r="AH197" s="342"/>
    </x:row>
    <x:row r="198">
      <x:c r="A198" s="337" t="str">
        <x:v>Genome Valley R&amp;D</x:v>
      </x:c>
      <x:c r="B198" s="391" t="str">
        <x:v>NA</x:v>
      </x:c>
      <x:c r="C198" s="338" t="str">
        <x:v>NA</x:v>
      </x:c>
      <x:c r="D198" s="352" t="str">
        <x:v>NA</x:v>
      </x:c>
      <x:c r="E198" s="352" t="str">
        <x:v>NA</x:v>
      </x:c>
      <x:c r="F198" s="352" t="str">
        <x:v>NA</x:v>
      </x:c>
      <x:c r="G198" s="352" t="str">
        <x:v>NA</x:v>
      </x:c>
      <x:c r="H198" s="352" t="str">
        <x:v>NA</x:v>
      </x:c>
      <x:c r="I198" s="352" t="str">
        <x:v>Capability / R&amp;D return is indirect</x:v>
      </x:c>
      <x:c r="J198" s="343"/>
      <x:c r="K198" s="343"/>
      <x:c r="L198" s="343"/>
      <x:c r="M198" s="343"/>
      <x:c r="N198" s="338"/>
      <x:c r="O198" s="342"/>
      <x:c r="P198" s="342"/>
      <x:c r="Q198" s="342"/>
      <x:c r="R198" s="342"/>
      <x:c r="S198" s="342"/>
      <x:c r="T198" s="342"/>
      <x:c r="U198" s="342"/>
      <x:c r="V198" s="342"/>
      <x:c r="W198" s="342"/>
      <x:c r="X198" s="342"/>
      <x:c r="Y198" s="342"/>
      <x:c r="Z198" s="342"/>
      <x:c r="AA198" s="342"/>
      <x:c r="AB198" s="342"/>
      <x:c r="AC198" s="342"/>
      <x:c r="AD198" s="342"/>
      <x:c r="AE198" s="342"/>
      <x:c r="AF198" s="342"/>
      <x:c r="AG198" s="342"/>
      <x:c r="AH198" s="342"/>
    </x:row>
    <x:row r="199">
      <x:c r="A199" s="341"/>
      <x:c r="B199" s="342"/>
      <x:c r="C199" s="342"/>
      <x:c r="D199" s="343"/>
      <x:c r="E199" s="343"/>
      <x:c r="F199" s="343"/>
      <x:c r="G199" s="343"/>
      <x:c r="H199" s="343"/>
      <x:c r="I199" s="343"/>
      <x:c r="J199" s="343"/>
      <x:c r="K199" s="343"/>
      <x:c r="L199" s="343"/>
      <x:c r="M199" s="343"/>
      <x:c r="N199" s="338"/>
      <x:c r="O199" s="342"/>
      <x:c r="P199" s="342"/>
      <x:c r="Q199" s="342"/>
      <x:c r="R199" s="342"/>
      <x:c r="S199" s="342"/>
      <x:c r="T199" s="342"/>
      <x:c r="U199" s="342"/>
      <x:c r="V199" s="342"/>
      <x:c r="W199" s="342"/>
      <x:c r="X199" s="342"/>
      <x:c r="Y199" s="342"/>
      <x:c r="Z199" s="342"/>
      <x:c r="AA199" s="342"/>
      <x:c r="AB199" s="342"/>
      <x:c r="AC199" s="342"/>
      <x:c r="AD199" s="342"/>
      <x:c r="AE199" s="342"/>
      <x:c r="AF199" s="342"/>
      <x:c r="AG199" s="342"/>
      <x:c r="AH199" s="342"/>
    </x:row>
    <x:row r="200">
      <x:c r="A200" s="341"/>
      <x:c r="B200" s="342"/>
      <x:c r="C200" s="342"/>
      <x:c r="D200" s="343"/>
      <x:c r="E200" s="343"/>
      <x:c r="F200" s="343"/>
      <x:c r="G200" s="343"/>
      <x:c r="H200" s="343"/>
      <x:c r="I200" s="343"/>
      <x:c r="J200" s="343"/>
      <x:c r="K200" s="343"/>
      <x:c r="L200" s="343"/>
      <x:c r="M200" s="343"/>
      <x:c r="N200" s="338"/>
      <x:c r="O200" s="342"/>
      <x:c r="P200" s="342"/>
      <x:c r="Q200" s="342"/>
      <x:c r="R200" s="342"/>
      <x:c r="S200" s="342"/>
      <x:c r="T200" s="342"/>
      <x:c r="U200" s="342"/>
      <x:c r="V200" s="342"/>
      <x:c r="W200" s="342"/>
      <x:c r="X200" s="342"/>
      <x:c r="Y200" s="342"/>
      <x:c r="Z200" s="342"/>
      <x:c r="AA200" s="342"/>
      <x:c r="AB200" s="342"/>
      <x:c r="AC200" s="342"/>
      <x:c r="AD200" s="342"/>
      <x:c r="AE200" s="342"/>
      <x:c r="AF200" s="342"/>
      <x:c r="AG200" s="342"/>
      <x:c r="AH200" s="342"/>
    </x:row>
    <x:row r="201" ht="20" customHeight="1">
      <x:c r="A201" s="30" t="str">
        <x:v>N. CWIP Analysis — Asset Creation vs Monetisation</x:v>
      </x:c>
      <x:c r="B201" s="30"/>
      <x:c r="C201" s="30"/>
      <x:c r="D201" s="175"/>
      <x:c r="E201" s="175"/>
      <x:c r="F201" s="175"/>
      <x:c r="G201" s="175"/>
      <x:c r="H201" s="175"/>
      <x:c r="I201" s="175"/>
      <x:c r="J201" s="175"/>
      <x:c r="K201" s="175"/>
      <x:c r="L201" s="175"/>
      <x:c r="M201" s="175"/>
      <x:c r="N201" s="223"/>
      <x:c r="O201" s="30"/>
      <x:c r="P201" s="444"/>
      <x:c r="Q201" s="444"/>
      <x:c r="R201" s="444"/>
      <x:c r="S201" s="444"/>
      <x:c r="T201" s="444"/>
      <x:c r="U201" s="444"/>
      <x:c r="V201" s="444"/>
      <x:c r="W201" s="444"/>
      <x:c r="X201" s="444"/>
      <x:c r="Y201" s="444"/>
      <x:c r="Z201" s="444"/>
      <x:c r="AA201" s="444"/>
      <x:c r="AB201" s="444"/>
      <x:c r="AC201" s="444"/>
      <x:c r="AD201" s="444"/>
      <x:c r="AE201" s="444"/>
      <x:c r="AF201" s="444"/>
      <x:c r="AG201" s="444"/>
      <x:c r="AH201" s="444"/>
    </x:row>
    <x:row r="202">
      <x:c r="A202" s="160" t="str">
        <x:v>Metric</x:v>
      </x:c>
      <x:c r="B202" s="15" t="str">
        <x:v>FY24A</x:v>
      </x:c>
      <x:c r="C202" s="15" t="str">
        <x:v>FY25A</x:v>
      </x:c>
      <x:c r="D202" s="168" t="str">
        <x:v>FY26A</x:v>
      </x:c>
      <x:c r="E202" s="168" t="str">
        <x:v>FY27E</x:v>
      </x:c>
      <x:c r="F202" s="168" t="str">
        <x:v>FY28E</x:v>
      </x:c>
      <x:c r="G202" s="168" t="str">
        <x:v>FY29E</x:v>
      </x:c>
      <x:c r="H202" s="168" t="str">
        <x:v>FY30E</x:v>
      </x:c>
      <x:c r="I202" s="168" t="str">
        <x:v>FY31E</x:v>
      </x:c>
      <x:c r="J202" s="343"/>
      <x:c r="K202" s="343"/>
      <x:c r="L202" s="343"/>
      <x:c r="M202" s="343"/>
      <x:c r="N202" s="338"/>
      <x:c r="O202" s="342"/>
      <x:c r="P202" s="342"/>
      <x:c r="Q202" s="342"/>
      <x:c r="R202" s="342"/>
      <x:c r="S202" s="342"/>
      <x:c r="T202" s="342"/>
      <x:c r="U202" s="342"/>
      <x:c r="V202" s="342"/>
      <x:c r="W202" s="342"/>
      <x:c r="X202" s="342"/>
      <x:c r="Y202" s="342"/>
      <x:c r="Z202" s="342"/>
      <x:c r="AA202" s="342"/>
      <x:c r="AB202" s="342"/>
      <x:c r="AC202" s="342"/>
      <x:c r="AD202" s="342"/>
      <x:c r="AE202" s="342"/>
      <x:c r="AF202" s="342"/>
      <x:c r="AG202" s="342"/>
      <x:c r="AH202" s="342"/>
    </x:row>
    <x:row r="203">
      <x:c r="A203" s="341" t="str">
        <x:v>Opening CWIP</x:v>
      </x:c>
      <x:c r="B203" s="349"/>
      <x:c r="C203" s="349" t="n">
        <x:f>B206</x:f>
        <x:v>458.913</x:v>
      </x:c>
      <x:c r="D203" s="260" t="n">
        <x:f>C206</x:f>
        <x:v>445.529</x:v>
      </x:c>
      <x:c r="E203" s="260" t="n">
        <x:f>D206</x:f>
        <x:v>2094.99</x:v>
      </x:c>
      <x:c r="F203" s="260" t="n">
        <x:f>E206</x:f>
        <x:v>894.99</x:v>
      </x:c>
      <x:c r="G203" s="260" t="n">
        <x:f>F206</x:f>
        <x:v>444.99</x:v>
      </x:c>
      <x:c r="H203" s="260" t="n">
        <x:f>G206</x:f>
        <x:v>369.99</x:v>
      </x:c>
      <x:c r="I203" s="260" t="n">
        <x:f>H206</x:f>
        <x:v>419.99</x:v>
      </x:c>
      <x:c r="J203" s="343"/>
      <x:c r="K203" s="352" t="str">
        <x:v>FY26 read-through</x:v>
      </x:c>
      <x:c r="L203" s="352" t="str">
        <x:v>CWIP jumped to ₹2,095m while capex remained high.</x:v>
      </x:c>
      <x:c r="M203" s="352" t="str"/>
      <x:c r="N203" s="338"/>
      <x:c r="O203" s="342"/>
      <x:c r="P203" s="342"/>
      <x:c r="Q203" s="342"/>
      <x:c r="R203" s="342"/>
      <x:c r="S203" s="342"/>
      <x:c r="T203" s="342"/>
      <x:c r="U203" s="342"/>
      <x:c r="V203" s="342"/>
      <x:c r="W203" s="342"/>
      <x:c r="X203" s="342"/>
      <x:c r="Y203" s="342"/>
      <x:c r="Z203" s="342"/>
      <x:c r="AA203" s="342"/>
      <x:c r="AB203" s="342"/>
      <x:c r="AC203" s="342"/>
      <x:c r="AD203" s="342"/>
      <x:c r="AE203" s="342"/>
      <x:c r="AF203" s="342"/>
      <x:c r="AG203" s="342"/>
      <x:c r="AH203" s="342"/>
    </x:row>
    <x:row r="204">
      <x:c r="A204" s="341" t="str">
        <x:v>Additions to CWIP</x:v>
      </x:c>
      <x:c r="B204" s="349" t="str">
        <x:v>NA</x:v>
      </x:c>
      <x:c r="C204" s="349" t="str">
        <x:v>NA</x:v>
      </x:c>
      <x:c r="D204" s="260" t="str">
        <x:v>NA</x:v>
      </x:c>
      <x:c r="E204" s="252" t="n">
        <x:v>1400</x:v>
      </x:c>
      <x:c r="F204" s="252" t="n">
        <x:v>1050</x:v>
      </x:c>
      <x:c r="G204" s="252" t="n">
        <x:v>625</x:v>
      </x:c>
      <x:c r="H204" s="252" t="n">
        <x:v>550</x:v>
      </x:c>
      <x:c r="I204" s="252" t="n">
        <x:v>550</x:v>
      </x:c>
      <x:c r="J204" s="343"/>
      <x:c r="K204" s="352" t="str">
        <x:v>FY27 model test</x:v>
      </x:c>
      <x:c r="L204" s="352" t="str">
        <x:v>Model assumes CWIP falls to ~₹895m as assets capitalise.</x:v>
      </x:c>
      <x:c r="M204" s="352" t="str"/>
      <x:c r="N204" s="338"/>
      <x:c r="O204" s="342"/>
      <x:c r="P204" s="342"/>
      <x:c r="Q204" s="342"/>
      <x:c r="R204" s="342"/>
      <x:c r="S204" s="342"/>
      <x:c r="T204" s="342"/>
      <x:c r="U204" s="342"/>
      <x:c r="V204" s="342"/>
      <x:c r="W204" s="342"/>
      <x:c r="X204" s="342"/>
      <x:c r="Y204" s="342"/>
      <x:c r="Z204" s="342"/>
      <x:c r="AA204" s="342"/>
      <x:c r="AB204" s="342"/>
      <x:c r="AC204" s="342"/>
      <x:c r="AD204" s="342"/>
      <x:c r="AE204" s="342"/>
      <x:c r="AF204" s="342"/>
      <x:c r="AG204" s="342"/>
      <x:c r="AH204" s="342"/>
    </x:row>
    <x:row r="205">
      <x:c r="A205" s="341" t="str">
        <x:v>Capitalisation</x:v>
      </x:c>
      <x:c r="B205" s="349" t="str">
        <x:v>NA</x:v>
      </x:c>
      <x:c r="C205" s="349" t="str">
        <x:v>NA</x:v>
      </x:c>
      <x:c r="D205" s="260" t="str">
        <x:v>NA</x:v>
      </x:c>
      <x:c r="E205" s="252" t="n">
        <x:v>2600</x:v>
      </x:c>
      <x:c r="F205" s="252" t="n">
        <x:v>1500</x:v>
      </x:c>
      <x:c r="G205" s="252" t="n">
        <x:v>700</x:v>
      </x:c>
      <x:c r="H205" s="252" t="n">
        <x:v>500</x:v>
      </x:c>
      <x:c r="I205" s="252" t="n">
        <x:v>500</x:v>
      </x:c>
      <x:c r="J205" s="343"/>
      <x:c r="K205" s="352" t="str">
        <x:v>Proof point</x:v>
      </x:c>
      <x:c r="L205" s="352" t="str">
        <x:v>Revenue / turnover / ROCE should follow over 1–3 years if capital is productive.</x:v>
      </x:c>
      <x:c r="M205" s="352" t="str"/>
      <x:c r="N205" s="338"/>
      <x:c r="O205" s="342"/>
      <x:c r="P205" s="342"/>
      <x:c r="Q205" s="342"/>
      <x:c r="R205" s="342"/>
      <x:c r="S205" s="342"/>
      <x:c r="T205" s="342"/>
      <x:c r="U205" s="342"/>
      <x:c r="V205" s="342"/>
      <x:c r="W205" s="342"/>
      <x:c r="X205" s="342"/>
      <x:c r="Y205" s="342"/>
      <x:c r="Z205" s="342"/>
      <x:c r="AA205" s="342"/>
      <x:c r="AB205" s="342"/>
      <x:c r="AC205" s="342"/>
      <x:c r="AD205" s="342"/>
      <x:c r="AE205" s="342"/>
      <x:c r="AF205" s="342"/>
      <x:c r="AG205" s="342"/>
      <x:c r="AH205" s="342"/>
    </x:row>
    <x:row r="206">
      <x:c r="A206" s="341" t="str">
        <x:v>Closing CWIP</x:v>
      </x:c>
      <x:c r="B206" s="349" t="n">
        <x:f>F21</x:f>
        <x:v>458.913</x:v>
      </x:c>
      <x:c r="C206" s="349" t="n">
        <x:f>G21</x:f>
        <x:v>445.529</x:v>
      </x:c>
      <x:c r="D206" s="260" t="n">
        <x:f>H21</x:f>
        <x:v>2094.99</x:v>
      </x:c>
      <x:c r="E206" s="260" t="n">
        <x:f>I21</x:f>
        <x:v>894.99</x:v>
      </x:c>
      <x:c r="F206" s="260" t="n">
        <x:f>J21</x:f>
        <x:v>444.99</x:v>
      </x:c>
      <x:c r="G206" s="260" t="n">
        <x:f>K21</x:f>
        <x:v>369.99</x:v>
      </x:c>
      <x:c r="H206" s="260" t="n">
        <x:f>L21</x:f>
        <x:v>419.99</x:v>
      </x:c>
      <x:c r="I206" s="260" t="n">
        <x:f>M21</x:f>
        <x:v>469.99</x:v>
      </x:c>
      <x:c r="J206" s="343"/>
      <x:c r="K206" s="352" t="str">
        <x:v>Warning signal</x:v>
      </x:c>
      <x:c r="L206" s="352" t="str">
        <x:v>CWIP remains high or reaccelerates while CMS revenue / asset turnover stalls.</x:v>
      </x:c>
      <x:c r="M206" s="352" t="str"/>
      <x:c r="N206" s="338"/>
      <x:c r="O206" s="342"/>
      <x:c r="P206" s="342"/>
      <x:c r="Q206" s="342"/>
      <x:c r="R206" s="342"/>
      <x:c r="S206" s="342"/>
      <x:c r="T206" s="342"/>
      <x:c r="U206" s="342"/>
      <x:c r="V206" s="342"/>
      <x:c r="W206" s="342"/>
      <x:c r="X206" s="342"/>
      <x:c r="Y206" s="342"/>
      <x:c r="Z206" s="342"/>
      <x:c r="AA206" s="342"/>
      <x:c r="AB206" s="342"/>
      <x:c r="AC206" s="342"/>
      <x:c r="AD206" s="342"/>
      <x:c r="AE206" s="342"/>
      <x:c r="AF206" s="342"/>
      <x:c r="AG206" s="342"/>
      <x:c r="AH206" s="342"/>
    </x:row>
    <x:row r="207">
      <x:c r="A207" s="341" t="str">
        <x:v>YoY CWIP Growth</x:v>
      </x:c>
      <x:c r="B207" s="403"/>
      <x:c r="C207" s="403" t="n">
        <x:f>IFERROR(C206/B206-1,"")</x:f>
        <x:v>-0.029164569319239164</x:v>
      </x:c>
      <x:c r="D207" s="262" t="n">
        <x:f>IFERROR(D206/C206-1,"")</x:f>
        <x:v>3.7022528275376008</x:v>
      </x:c>
      <x:c r="E207" s="262" t="n">
        <x:f>IFERROR(E206/D206-1,"")</x:f>
        <x:v>-0.5727950968739708</x:v>
      </x:c>
      <x:c r="F207" s="262" t="n">
        <x:f>IFERROR(F206/E206-1,"")</x:f>
        <x:v>-0.5027989139543458</x:v>
      </x:c>
      <x:c r="G207" s="262" t="n">
        <x:f>IFERROR(G206/F206-1,"")</x:f>
        <x:v>-0.16854311332838945</x:v>
      </x:c>
      <x:c r="H207" s="262" t="n">
        <x:f>IFERROR(H206/G206-1,"")</x:f>
        <x:v>0.13513878753479824</x:v>
      </x:c>
      <x:c r="I207" s="262" t="n">
        <x:f>IFERROR(I206/H206-1,"")</x:f>
        <x:v>0.1190504535822281</x:v>
      </x:c>
      <x:c r="J207" s="343"/>
      <x:c r="K207" s="343"/>
      <x:c r="L207" s="343"/>
      <x:c r="M207" s="343"/>
      <x:c r="N207" s="338"/>
      <x:c r="O207" s="342"/>
      <x:c r="P207" s="342"/>
      <x:c r="Q207" s="342"/>
      <x:c r="R207" s="342"/>
      <x:c r="S207" s="342"/>
      <x:c r="T207" s="342"/>
      <x:c r="U207" s="342"/>
      <x:c r="V207" s="342"/>
      <x:c r="W207" s="342"/>
      <x:c r="X207" s="342"/>
      <x:c r="Y207" s="342"/>
      <x:c r="Z207" s="342"/>
      <x:c r="AA207" s="342"/>
      <x:c r="AB207" s="342"/>
      <x:c r="AC207" s="342"/>
      <x:c r="AD207" s="342"/>
      <x:c r="AE207" s="342"/>
      <x:c r="AF207" s="342"/>
      <x:c r="AG207" s="342"/>
      <x:c r="AH207" s="342"/>
    </x:row>
    <x:row r="208">
      <x:c r="A208" s="341" t="str">
        <x:v>CWIP / Net PP&amp;E</x:v>
      </x:c>
      <x:c r="B208" s="403" t="n">
        <x:f>IFERROR(B206/B163,"")</x:f>
        <x:v>0.08779308889578018</x:v>
      </x:c>
      <x:c r="C208" s="403" t="n">
        <x:f>IFERROR(C206/C163,"")</x:f>
        <x:v>0.06613033581782167</x:v>
      </x:c>
      <x:c r="D208" s="262" t="n">
        <x:f>IFERROR(D206/D163,"")</x:f>
        <x:v>0.23478864886164502</x:v>
      </x:c>
      <x:c r="E208" s="262" t="n">
        <x:f>IFERROR(E206/E163,"")</x:f>
        <x:v>0.07066818041758673</x:v>
      </x:c>
      <x:c r="F208" s="262" t="n">
        <x:f>IFERROR(F206/F163,"")</x:f>
        <x:v>0.029882029925871797</x:v>
      </x:c>
      <x:c r="G208" s="262" t="n">
        <x:f>IFERROR(G206/G163,"")</x:f>
        <x:v>0.02299311502725373</x:v>
      </x:c>
      <x:c r="H208" s="262" t="n">
        <x:f>IFERROR(H206/H163,"")</x:f>
        <x:v>0.025025920552969434</x:v>
      </x:c>
      <x:c r="I208" s="262" t="n">
        <x:f>IFERROR(I206/I163,"")</x:f>
        <x:v>0.02698868046843266</x:v>
      </x:c>
      <x:c r="J208" s="343"/>
      <x:c r="K208" s="343"/>
      <x:c r="L208" s="343"/>
      <x:c r="M208" s="343"/>
      <x:c r="N208" s="338"/>
      <x:c r="O208" s="342"/>
      <x:c r="P208" s="342"/>
      <x:c r="Q208" s="342"/>
      <x:c r="R208" s="342"/>
      <x:c r="S208" s="342"/>
      <x:c r="T208" s="342"/>
      <x:c r="U208" s="342"/>
      <x:c r="V208" s="342"/>
      <x:c r="W208" s="342"/>
      <x:c r="X208" s="342"/>
      <x:c r="Y208" s="342"/>
      <x:c r="Z208" s="342"/>
      <x:c r="AA208" s="342"/>
      <x:c r="AB208" s="342"/>
      <x:c r="AC208" s="342"/>
      <x:c r="AD208" s="342"/>
      <x:c r="AE208" s="342"/>
      <x:c r="AF208" s="342"/>
      <x:c r="AG208" s="342"/>
      <x:c r="AH208" s="342"/>
    </x:row>
    <x:row r="209">
      <x:c r="A209" s="341" t="str">
        <x:v>CWIP / PP&amp;E + CWIP</x:v>
      </x:c>
      <x:c r="B209" s="403" t="n">
        <x:f>IFERROR(B206/(B163+B206),"")</x:f>
        <x:v>0.08070752589989244</x:v>
      </x:c>
      <x:c r="C209" s="403" t="n">
        <x:f>IFERROR(C206/(C163+C206),"")</x:f>
        <x:v>0.06202837832870923</x:v>
      </x:c>
      <x:c r="D209" s="262" t="n">
        <x:f>IFERROR(D206/(D163+D206),"")</x:f>
        <x:v>0.19014480662589286</x:v>
      </x:c>
      <x:c r="E209" s="262" t="n">
        <x:f>IFERROR(E206/(E163+E206),"")</x:f>
        <x:v>0.06600381118081272</x:v>
      </x:c>
      <x:c r="F209" s="262" t="n">
        <x:f>IFERROR(F206/(F163+F206),"")</x:f>
        <x:v>0.0290150027455306</x:v>
      </x:c>
      <x:c r="G209" s="262" t="n">
        <x:f>IFERROR(G206/(G163+G206),"")</x:f>
        <x:v>0.022476314541609758</x:v>
      </x:c>
      <x:c r="H209" s="262" t="n">
        <x:f>IFERROR(H206/(H163+H206),"")</x:f>
        <x:v>0.024414914834025594</x:v>
      </x:c>
      <x:c r="I209" s="262" t="n">
        <x:f>IFERROR(I206/(I163+I206),"")</x:f>
        <x:v>0.026279433241778782</x:v>
      </x:c>
      <x:c r="J209" s="343"/>
      <x:c r="K209" s="343"/>
      <x:c r="L209" s="343"/>
      <x:c r="M209" s="343"/>
      <x:c r="N209" s="338"/>
      <x:c r="O209" s="342"/>
      <x:c r="P209" s="342"/>
      <x:c r="Q209" s="342"/>
      <x:c r="R209" s="342"/>
      <x:c r="S209" s="342"/>
      <x:c r="T209" s="342"/>
      <x:c r="U209" s="342"/>
      <x:c r="V209" s="342"/>
      <x:c r="W209" s="342"/>
      <x:c r="X209" s="342"/>
      <x:c r="Y209" s="342"/>
      <x:c r="Z209" s="342"/>
      <x:c r="AA209" s="342"/>
      <x:c r="AB209" s="342"/>
      <x:c r="AC209" s="342"/>
      <x:c r="AD209" s="342"/>
      <x:c r="AE209" s="342"/>
      <x:c r="AF209" s="342"/>
      <x:c r="AG209" s="342"/>
      <x:c r="AH209" s="342"/>
    </x:row>
    <x:row r="210">
      <x:c r="A210" s="341" t="str">
        <x:v>CWIP / Revenue</x:v>
      </x:c>
      <x:c r="B210" s="403" t="n">
        <x:f>IFERROR(B206/F6,"")</x:f>
        <x:v>0.029444292418646326</x:v>
      </x:c>
      <x:c r="C210" s="403" t="n">
        <x:f>IFERROR(C206/G6,"")</x:f>
        <x:v>0.030167778129655855</x:v>
      </x:c>
      <x:c r="D210" s="262" t="n">
        <x:f>IFERROR(D206/H6,"")</x:f>
        <x:v>0.10355932375982545</x:v>
      </x:c>
      <x:c r="E210" s="262" t="n">
        <x:f>IFERROR(E206/I6,"")</x:f>
        <x:v>0.03852650184798101</x:v>
      </x:c>
      <x:c r="F210" s="262" t="n">
        <x:f>IFERROR(F206/J6,"")</x:f>
        <x:v>0.016553078487583157</x:v>
      </x:c>
      <x:c r="G210" s="262" t="n">
        <x:f>IFERROR(G206/K6,"")</x:f>
        <x:v>0.012104939193737797</x:v>
      </x:c>
      <x:c r="H210" s="262" t="n">
        <x:f>IFERROR(H206/L6,"")</x:f>
        <x:v>0.01232122831213172</x:v>
      </x:c>
      <x:c r="I210" s="262" t="n">
        <x:f>IFERROR(I206/M6,"")</x:f>
        <x:v>0.012568155512164211</x:v>
      </x:c>
      <x:c r="J210" s="343"/>
      <x:c r="K210" s="343"/>
      <x:c r="L210" s="343"/>
      <x:c r="M210" s="343"/>
      <x:c r="N210" s="338"/>
      <x:c r="O210" s="342"/>
      <x:c r="P210" s="342"/>
      <x:c r="Q210" s="342"/>
      <x:c r="R210" s="342"/>
      <x:c r="S210" s="342"/>
      <x:c r="T210" s="342"/>
      <x:c r="U210" s="342"/>
      <x:c r="V210" s="342"/>
      <x:c r="W210" s="342"/>
      <x:c r="X210" s="342"/>
      <x:c r="Y210" s="342"/>
      <x:c r="Z210" s="342"/>
      <x:c r="AA210" s="342"/>
      <x:c r="AB210" s="342"/>
      <x:c r="AC210" s="342"/>
      <x:c r="AD210" s="342"/>
      <x:c r="AE210" s="342"/>
      <x:c r="AF210" s="342"/>
      <x:c r="AG210" s="342"/>
      <x:c r="AH210" s="342"/>
    </x:row>
    <x:row r="211">
      <x:c r="A211" s="341" t="str">
        <x:v>Revenue Growth — Next 1Y</x:v>
      </x:c>
      <x:c r="B211" s="403" t="n">
        <x:f>IFERROR(G6/F6-1,"")</x:f>
        <x:v>-0.052447210779295705</x:v>
      </x:c>
      <x:c r="C211" s="403" t="n">
        <x:f>IFERROR(H6/G6-1,"")</x:f>
        <x:v>0.36980925386973906</x:v>
      </x:c>
      <x:c r="D211" s="262" t="n">
        <x:f>IFERROR(I6/H6-1,"")</x:f>
        <x:v>0.14832774200940846</x:v>
      </x:c>
      <x:c r="E211" s="262" t="n">
        <x:f>IFERROR(J6/I6-1,"")</x:f>
        <x:v>0.15721184882467476</x:v>
      </x:c>
      <x:c r="F211" s="262" t="n">
        <x:f>IFERROR(K6/J6-1,"")</x:f>
        <x:v>0.13698804131430542</x:v>
      </x:c>
      <x:c r="G211" s="262" t="n">
        <x:f>IFERROR(L6/K6-1,"")</x:f>
        <x:v>0.11521235151795173</x:v>
      </x:c>
      <x:c r="H211" s="262" t="n">
        <x:f>IFERROR(M6/L6-1,"")</x:f>
        <x:v>0.09706441156272039</x:v>
      </x:c>
      <x:c r="I211" s="262"/>
      <x:c r="J211" s="343"/>
      <x:c r="K211" s="343"/>
      <x:c r="L211" s="343"/>
      <x:c r="M211" s="343"/>
      <x:c r="N211" s="338"/>
      <x:c r="O211" s="342"/>
      <x:c r="P211" s="342"/>
      <x:c r="Q211" s="342"/>
      <x:c r="R211" s="342"/>
      <x:c r="S211" s="342"/>
      <x:c r="T211" s="342"/>
      <x:c r="U211" s="342"/>
      <x:c r="V211" s="342"/>
      <x:c r="W211" s="342"/>
      <x:c r="X211" s="342"/>
      <x:c r="Y211" s="342"/>
      <x:c r="Z211" s="342"/>
      <x:c r="AA211" s="342"/>
      <x:c r="AB211" s="342"/>
      <x:c r="AC211" s="342"/>
      <x:c r="AD211" s="342"/>
      <x:c r="AE211" s="342"/>
      <x:c r="AF211" s="342"/>
      <x:c r="AG211" s="342"/>
      <x:c r="AH211" s="342"/>
    </x:row>
    <x:row r="212">
      <x:c r="A212" s="341"/>
      <x:c r="B212" s="342"/>
      <x:c r="C212" s="342"/>
      <x:c r="D212" s="343"/>
      <x:c r="E212" s="343"/>
      <x:c r="F212" s="343"/>
      <x:c r="G212" s="343"/>
      <x:c r="H212" s="343"/>
      <x:c r="I212" s="343"/>
      <x:c r="J212" s="343"/>
      <x:c r="K212" s="343"/>
      <x:c r="L212" s="343"/>
      <x:c r="M212" s="343"/>
      <x:c r="N212" s="338"/>
      <x:c r="O212" s="342"/>
      <x:c r="P212" s="342"/>
      <x:c r="Q212" s="342"/>
      <x:c r="R212" s="342"/>
      <x:c r="S212" s="342"/>
      <x:c r="T212" s="342"/>
      <x:c r="U212" s="342"/>
      <x:c r="V212" s="342"/>
      <x:c r="W212" s="342"/>
      <x:c r="X212" s="342"/>
      <x:c r="Y212" s="342"/>
      <x:c r="Z212" s="342"/>
      <x:c r="AA212" s="342"/>
      <x:c r="AB212" s="342"/>
      <x:c r="AC212" s="342"/>
      <x:c r="AD212" s="342"/>
      <x:c r="AE212" s="342"/>
      <x:c r="AF212" s="342"/>
      <x:c r="AG212" s="342"/>
      <x:c r="AH212" s="342"/>
    </x:row>
    <x:row r="213">
      <x:c r="A213" s="341"/>
      <x:c r="B213" s="342"/>
      <x:c r="C213" s="342"/>
      <x:c r="D213" s="343"/>
      <x:c r="E213" s="343"/>
      <x:c r="F213" s="343"/>
      <x:c r="G213" s="343"/>
      <x:c r="H213" s="343"/>
      <x:c r="I213" s="343"/>
      <x:c r="J213" s="343"/>
      <x:c r="K213" s="343"/>
      <x:c r="L213" s="343"/>
      <x:c r="M213" s="343"/>
      <x:c r="N213" s="338"/>
      <x:c r="O213" s="342"/>
      <x:c r="P213" s="342"/>
      <x:c r="Q213" s="342"/>
      <x:c r="R213" s="342"/>
      <x:c r="S213" s="342"/>
      <x:c r="T213" s="342"/>
      <x:c r="U213" s="342"/>
      <x:c r="V213" s="342"/>
      <x:c r="W213" s="342"/>
      <x:c r="X213" s="342"/>
      <x:c r="Y213" s="342"/>
      <x:c r="Z213" s="342"/>
      <x:c r="AA213" s="342"/>
      <x:c r="AB213" s="342"/>
      <x:c r="AC213" s="342"/>
      <x:c r="AD213" s="342"/>
      <x:c r="AE213" s="342"/>
      <x:c r="AF213" s="342"/>
      <x:c r="AG213" s="342"/>
      <x:c r="AH213" s="342"/>
    </x:row>
    <x:row r="214" ht="20" customHeight="1">
      <x:c r="A214" s="30" t="str">
        <x:v>O. Capex Guidance Tracker</x:v>
      </x:c>
      <x:c r="B214" s="30"/>
      <x:c r="C214" s="30"/>
      <x:c r="D214" s="175"/>
      <x:c r="E214" s="175"/>
      <x:c r="F214" s="175"/>
      <x:c r="G214" s="175"/>
      <x:c r="H214" s="175"/>
      <x:c r="I214" s="175"/>
      <x:c r="J214" s="175"/>
      <x:c r="K214" s="175"/>
      <x:c r="L214" s="175"/>
      <x:c r="M214" s="175"/>
      <x:c r="N214" s="223"/>
      <x:c r="O214" s="30"/>
      <x:c r="P214" s="444"/>
      <x:c r="Q214" s="444"/>
      <x:c r="R214" s="444"/>
      <x:c r="S214" s="444"/>
      <x:c r="T214" s="444"/>
      <x:c r="U214" s="444"/>
      <x:c r="V214" s="444"/>
      <x:c r="W214" s="444"/>
      <x:c r="X214" s="444"/>
      <x:c r="Y214" s="444"/>
      <x:c r="Z214" s="444"/>
      <x:c r="AA214" s="444"/>
      <x:c r="AB214" s="444"/>
      <x:c r="AC214" s="444"/>
      <x:c r="AD214" s="444"/>
      <x:c r="AE214" s="444"/>
      <x:c r="AF214" s="444"/>
      <x:c r="AG214" s="444"/>
      <x:c r="AH214" s="444"/>
    </x:row>
    <x:row r="215">
      <x:c r="A215" s="160" t="str">
        <x:v>Quarter</x:v>
      </x:c>
      <x:c r="B215" s="15" t="str">
        <x:v>FY Capex Guidance</x:v>
      </x:c>
      <x:c r="C215" s="15" t="str">
        <x:v>Previous Guidance</x:v>
      </x:c>
      <x:c r="D215" s="168" t="str">
        <x:v>Change</x:v>
      </x:c>
      <x:c r="E215" s="168" t="str">
        <x:v>Actual YTD</x:v>
      </x:c>
      <x:c r="F215" s="168" t="str">
        <x:v>Implied Remaining Spend</x:v>
      </x:c>
      <x:c r="G215" s="168" t="str">
        <x:v>Major Projects</x:v>
      </x:c>
      <x:c r="H215" s="168" t="str">
        <x:v>Analyst Interpretation</x:v>
      </x:c>
      <x:c r="I215" s="343"/>
      <x:c r="J215" s="343"/>
      <x:c r="K215" s="343"/>
      <x:c r="L215" s="343"/>
      <x:c r="M215" s="343"/>
      <x:c r="N215" s="338"/>
      <x:c r="O215" s="342"/>
      <x:c r="P215" s="342"/>
      <x:c r="Q215" s="342"/>
      <x:c r="R215" s="342"/>
      <x:c r="S215" s="342"/>
      <x:c r="T215" s="342"/>
      <x:c r="U215" s="342"/>
      <x:c r="V215" s="342"/>
      <x:c r="W215" s="342"/>
      <x:c r="X215" s="342"/>
      <x:c r="Y215" s="342"/>
      <x:c r="Z215" s="342"/>
      <x:c r="AA215" s="342"/>
      <x:c r="AB215" s="342"/>
      <x:c r="AC215" s="342"/>
      <x:c r="AD215" s="342"/>
      <x:c r="AE215" s="342"/>
      <x:c r="AF215" s="342"/>
      <x:c r="AG215" s="342"/>
      <x:c r="AH215" s="342"/>
    </x:row>
    <x:row r="216">
      <x:c r="A216" s="337" t="str">
        <x:v>Q1FY25</x:v>
      </x:c>
      <x:c r="B216" s="338" t="str">
        <x:v>NA</x:v>
      </x:c>
      <x:c r="C216" s="338" t="str">
        <x:v>NA</x:v>
      </x:c>
      <x:c r="D216" s="352" t="str">
        <x:v>NA</x:v>
      </x:c>
      <x:c r="E216" s="392" t="n">
        <x:v>591</x:v>
      </x:c>
      <x:c r="F216" s="352" t="str">
        <x:v>NA</x:v>
      </x:c>
      <x:c r="G216" s="352" t="str">
        <x:v>Unit I capacity enhancement</x:v>
      </x:c>
      <x:c r="H216" s="352" t="str">
        <x:v>Cash spend disclosed; specific Unit I growth capex approval separate.</x:v>
      </x:c>
      <x:c r="I216" s="343"/>
      <x:c r="J216" s="343"/>
      <x:c r="K216" s="343"/>
      <x:c r="L216" s="343"/>
      <x:c r="M216" s="343"/>
      <x:c r="N216" s="338"/>
      <x:c r="O216" s="342"/>
      <x:c r="P216" s="342"/>
      <x:c r="Q216" s="342"/>
      <x:c r="R216" s="342"/>
      <x:c r="S216" s="342"/>
      <x:c r="T216" s="342"/>
      <x:c r="U216" s="342"/>
      <x:c r="V216" s="342"/>
      <x:c r="W216" s="342"/>
      <x:c r="X216" s="342"/>
      <x:c r="Y216" s="342"/>
      <x:c r="Z216" s="342"/>
      <x:c r="AA216" s="342"/>
      <x:c r="AB216" s="342"/>
      <x:c r="AC216" s="342"/>
      <x:c r="AD216" s="342"/>
      <x:c r="AE216" s="342"/>
      <x:c r="AF216" s="342"/>
      <x:c r="AG216" s="342"/>
      <x:c r="AH216" s="342"/>
    </x:row>
    <x:row r="217">
      <x:c r="A217" s="337" t="str">
        <x:v>Q2FY25</x:v>
      </x:c>
      <x:c r="B217" s="338" t="str">
        <x:v>NA</x:v>
      </x:c>
      <x:c r="C217" s="338" t="str">
        <x:v>NA</x:v>
      </x:c>
      <x:c r="D217" s="352" t="str">
        <x:v>NA</x:v>
      </x:c>
      <x:c r="E217" s="392" t="n">
        <x:v>1035</x:v>
      </x:c>
      <x:c r="F217" s="352" t="str">
        <x:v>NA</x:v>
      </x:c>
      <x:c r="G217" s="352" t="str">
        <x:v>Unit III / other facility build</x:v>
      </x:c>
      <x:c r="H217" s="352" t="str">
        <x:v>No formal annual capex guidance disclosed.</x:v>
      </x:c>
      <x:c r="I217" s="343"/>
      <x:c r="J217" s="343"/>
      <x:c r="K217" s="343"/>
      <x:c r="L217" s="343"/>
      <x:c r="M217" s="343"/>
      <x:c r="N217" s="338"/>
      <x:c r="O217" s="342"/>
      <x:c r="P217" s="342"/>
      <x:c r="Q217" s="342"/>
      <x:c r="R217" s="342"/>
      <x:c r="S217" s="342"/>
      <x:c r="T217" s="342"/>
      <x:c r="U217" s="342"/>
      <x:c r="V217" s="342"/>
      <x:c r="W217" s="342"/>
      <x:c r="X217" s="342"/>
      <x:c r="Y217" s="342"/>
      <x:c r="Z217" s="342"/>
      <x:c r="AA217" s="342"/>
      <x:c r="AB217" s="342"/>
      <x:c r="AC217" s="342"/>
      <x:c r="AD217" s="342"/>
      <x:c r="AE217" s="342"/>
      <x:c r="AF217" s="342"/>
      <x:c r="AG217" s="342"/>
      <x:c r="AH217" s="342"/>
    </x:row>
    <x:row r="218">
      <x:c r="A218" s="337" t="str">
        <x:v>Q3FY25</x:v>
      </x:c>
      <x:c r="B218" s="338" t="str">
        <x:v>NA</x:v>
      </x:c>
      <x:c r="C218" s="338" t="str">
        <x:v>NA</x:v>
      </x:c>
      <x:c r="D218" s="352" t="str">
        <x:v>NA</x:v>
      </x:c>
      <x:c r="E218" s="392" t="n">
        <x:v>1470</x:v>
      </x:c>
      <x:c r="F218" s="352" t="str">
        <x:v>NA</x:v>
      </x:c>
      <x:c r="G218" s="352" t="str">
        <x:v>₹2,540m peptide capex announced</x:v>
      </x:c>
      <x:c r="H218" s="352" t="str">
        <x:v>Capability investment materially expands future capex envelope.</x:v>
      </x:c>
      <x:c r="I218" s="343"/>
      <x:c r="J218" s="343"/>
      <x:c r="K218" s="343"/>
      <x:c r="L218" s="343"/>
      <x:c r="M218" s="343"/>
      <x:c r="N218" s="338"/>
      <x:c r="O218" s="342"/>
      <x:c r="P218" s="342"/>
      <x:c r="Q218" s="342"/>
      <x:c r="R218" s="342"/>
      <x:c r="S218" s="342"/>
      <x:c r="T218" s="342"/>
      <x:c r="U218" s="342"/>
      <x:c r="V218" s="342"/>
      <x:c r="W218" s="342"/>
      <x:c r="X218" s="342"/>
      <x:c r="Y218" s="342"/>
      <x:c r="Z218" s="342"/>
      <x:c r="AA218" s="342"/>
      <x:c r="AB218" s="342"/>
      <x:c r="AC218" s="342"/>
      <x:c r="AD218" s="342"/>
      <x:c r="AE218" s="342"/>
      <x:c r="AF218" s="342"/>
      <x:c r="AG218" s="342"/>
      <x:c r="AH218" s="342"/>
    </x:row>
    <x:row r="219">
      <x:c r="A219" s="337" t="str">
        <x:v>Q4FY25</x:v>
      </x:c>
      <x:c r="B219" s="338" t="str">
        <x:v>NA</x:v>
      </x:c>
      <x:c r="C219" s="338" t="str">
        <x:v>NA</x:v>
      </x:c>
      <x:c r="D219" s="352" t="str">
        <x:v>NA</x:v>
      </x:c>
      <x:c r="E219" s="392" t="n">
        <x:v>2064</x:v>
      </x:c>
      <x:c r="F219" s="352" t="str">
        <x:v>NA</x:v>
      </x:c>
      <x:c r="G219" s="352" t="str">
        <x:v>Unit III completion + peptide build</x:v>
      </x:c>
      <x:c r="H219" s="352" t="str">
        <x:v>FY25 asset build depressed fixed-asset turnover.</x:v>
      </x:c>
      <x:c r="I219" s="343"/>
      <x:c r="J219" s="343"/>
      <x:c r="K219" s="343"/>
      <x:c r="L219" s="343"/>
      <x:c r="M219" s="343"/>
      <x:c r="N219" s="338"/>
      <x:c r="O219" s="342"/>
      <x:c r="P219" s="342"/>
      <x:c r="Q219" s="342"/>
      <x:c r="R219" s="342"/>
      <x:c r="S219" s="342"/>
      <x:c r="T219" s="342"/>
      <x:c r="U219" s="342"/>
      <x:c r="V219" s="342"/>
      <x:c r="W219" s="342"/>
      <x:c r="X219" s="342"/>
      <x:c r="Y219" s="342"/>
      <x:c r="Z219" s="342"/>
      <x:c r="AA219" s="342"/>
      <x:c r="AB219" s="342"/>
      <x:c r="AC219" s="342"/>
      <x:c r="AD219" s="342"/>
      <x:c r="AE219" s="342"/>
      <x:c r="AF219" s="342"/>
      <x:c r="AG219" s="342"/>
      <x:c r="AH219" s="342"/>
    </x:row>
    <x:row r="220">
      <x:c r="A220" s="337" t="str">
        <x:v>Q1FY26</x:v>
      </x:c>
      <x:c r="B220" s="338" t="str">
        <x:v>NA</x:v>
      </x:c>
      <x:c r="C220" s="338" t="str">
        <x:v>NA</x:v>
      </x:c>
      <x:c r="D220" s="352" t="str">
        <x:v>NA</x:v>
      </x:c>
      <x:c r="E220" s="392" t="str">
        <x:v>NA</x:v>
      </x:c>
      <x:c r="F220" s="352" t="str">
        <x:v>NA</x:v>
      </x:c>
      <x:c r="G220" s="352" t="str">
        <x:v>Peptide / manufacturing investments proceeding</x:v>
      </x:c>
      <x:c r="H220" s="352" t="str">
        <x:v>Q1 cash capex not separately disclosed.</x:v>
      </x:c>
      <x:c r="I220" s="343"/>
      <x:c r="J220" s="343"/>
      <x:c r="K220" s="343"/>
      <x:c r="L220" s="343"/>
      <x:c r="M220" s="343"/>
      <x:c r="N220" s="338"/>
      <x:c r="O220" s="342"/>
      <x:c r="P220" s="342"/>
      <x:c r="Q220" s="342"/>
      <x:c r="R220" s="342"/>
      <x:c r="S220" s="342"/>
      <x:c r="T220" s="342"/>
      <x:c r="U220" s="342"/>
      <x:c r="V220" s="342"/>
      <x:c r="W220" s="342"/>
      <x:c r="X220" s="342"/>
      <x:c r="Y220" s="342"/>
      <x:c r="Z220" s="342"/>
      <x:c r="AA220" s="342"/>
      <x:c r="AB220" s="342"/>
      <x:c r="AC220" s="342"/>
      <x:c r="AD220" s="342"/>
      <x:c r="AE220" s="342"/>
      <x:c r="AF220" s="342"/>
      <x:c r="AG220" s="342"/>
      <x:c r="AH220" s="342"/>
    </x:row>
    <x:row r="221">
      <x:c r="A221" s="337" t="str">
        <x:v>Q2FY26</x:v>
      </x:c>
      <x:c r="B221" s="338" t="str">
        <x:v>NA</x:v>
      </x:c>
      <x:c r="C221" s="338" t="str">
        <x:v>NA</x:v>
      </x:c>
      <x:c r="D221" s="352" t="str">
        <x:v>NA</x:v>
      </x:c>
      <x:c r="E221" s="392" t="n">
        <x:v>1700</x:v>
      </x:c>
      <x:c r="F221" s="352" t="str">
        <x:v>NA</x:v>
      </x:c>
      <x:c r="G221" s="352" t="str">
        <x:v>Capacity programme</x:v>
      </x:c>
      <x:c r="H221" s="352" t="str">
        <x:v>H1 spend acceleration.</x:v>
      </x:c>
      <x:c r="I221" s="343"/>
      <x:c r="J221" s="343"/>
      <x:c r="K221" s="343"/>
      <x:c r="L221" s="343"/>
      <x:c r="M221" s="343"/>
      <x:c r="N221" s="338"/>
      <x:c r="O221" s="342"/>
      <x:c r="P221" s="342"/>
      <x:c r="Q221" s="342"/>
      <x:c r="R221" s="342"/>
      <x:c r="S221" s="342"/>
      <x:c r="T221" s="342"/>
      <x:c r="U221" s="342"/>
      <x:c r="V221" s="342"/>
      <x:c r="W221" s="342"/>
      <x:c r="X221" s="342"/>
      <x:c r="Y221" s="342"/>
      <x:c r="Z221" s="342"/>
      <x:c r="AA221" s="342"/>
      <x:c r="AB221" s="342"/>
      <x:c r="AC221" s="342"/>
      <x:c r="AD221" s="342"/>
      <x:c r="AE221" s="342"/>
      <x:c r="AF221" s="342"/>
      <x:c r="AG221" s="342"/>
      <x:c r="AH221" s="342"/>
    </x:row>
    <x:row r="222">
      <x:c r="A222" s="337" t="str">
        <x:v>Q3FY26</x:v>
      </x:c>
      <x:c r="B222" s="338" t="str">
        <x:v>NA</x:v>
      </x:c>
      <x:c r="C222" s="338" t="str">
        <x:v>NA</x:v>
      </x:c>
      <x:c r="D222" s="352" t="str">
        <x:v>NA</x:v>
      </x:c>
      <x:c r="E222" s="392" t="n">
        <x:v>2540</x:v>
      </x:c>
      <x:c r="F222" s="352" t="str">
        <x:v>NA</x:v>
      </x:c>
      <x:c r="G222" s="352" t="str">
        <x:v>Peptide + Genome Valley R&amp;D approval</x:v>
      </x:c>
      <x:c r="H222" s="352" t="str">
        <x:v>Large capability build remains ahead of commercial peptide revenue.</x:v>
      </x:c>
      <x:c r="I222" s="343"/>
      <x:c r="J222" s="343"/>
      <x:c r="K222" s="343"/>
      <x:c r="L222" s="343"/>
      <x:c r="M222" s="343"/>
      <x:c r="N222" s="338"/>
      <x:c r="O222" s="342"/>
      <x:c r="P222" s="342"/>
      <x:c r="Q222" s="342"/>
      <x:c r="R222" s="342"/>
      <x:c r="S222" s="342"/>
      <x:c r="T222" s="342"/>
      <x:c r="U222" s="342"/>
      <x:c r="V222" s="342"/>
      <x:c r="W222" s="342"/>
      <x:c r="X222" s="342"/>
      <x:c r="Y222" s="342"/>
      <x:c r="Z222" s="342"/>
      <x:c r="AA222" s="342"/>
      <x:c r="AB222" s="342"/>
      <x:c r="AC222" s="342"/>
      <x:c r="AD222" s="342"/>
      <x:c r="AE222" s="342"/>
      <x:c r="AF222" s="342"/>
      <x:c r="AG222" s="342"/>
      <x:c r="AH222" s="342"/>
    </x:row>
    <x:row r="223">
      <x:c r="A223" s="337" t="str">
        <x:v>Q4FY26</x:v>
      </x:c>
      <x:c r="B223" s="338" t="str">
        <x:v>NA</x:v>
      </x:c>
      <x:c r="C223" s="338" t="str">
        <x:v>NA</x:v>
      </x:c>
      <x:c r="D223" s="352" t="str">
        <x:v>NA</x:v>
      </x:c>
      <x:c r="E223" s="392" t="n">
        <x:v>3971</x:v>
      </x:c>
      <x:c r="F223" s="352" t="str">
        <x:v>NA</x:v>
      </x:c>
      <x:c r="G223" s="352" t="str">
        <x:v>52 KL Unit III commissioned; peptide construction</x:v>
      </x:c>
      <x:c r="H223" s="352" t="str">
        <x:v>FY26 small-molecule monetisation strong; cash conversion pressured by capex + WC.</x:v>
      </x:c>
      <x:c r="I223" s="343"/>
      <x:c r="J223" s="343"/>
      <x:c r="K223" s="343"/>
      <x:c r="L223" s="343"/>
      <x:c r="M223" s="343"/>
      <x:c r="N223" s="338"/>
      <x:c r="O223" s="342"/>
      <x:c r="P223" s="342"/>
      <x:c r="Q223" s="342"/>
      <x:c r="R223" s="342"/>
      <x:c r="S223" s="342"/>
      <x:c r="T223" s="342"/>
      <x:c r="U223" s="342"/>
      <x:c r="V223" s="342"/>
      <x:c r="W223" s="342"/>
      <x:c r="X223" s="342"/>
      <x:c r="Y223" s="342"/>
      <x:c r="Z223" s="342"/>
      <x:c r="AA223" s="342"/>
      <x:c r="AB223" s="342"/>
      <x:c r="AC223" s="342"/>
      <x:c r="AD223" s="342"/>
      <x:c r="AE223" s="342"/>
      <x:c r="AF223" s="342"/>
      <x:c r="AG223" s="342"/>
      <x:c r="AH223" s="342"/>
    </x:row>
    <x:row r="224">
      <x:c r="A224" s="341"/>
      <x:c r="B224" s="342"/>
      <x:c r="C224" s="342"/>
      <x:c r="D224" s="343"/>
      <x:c r="E224" s="343"/>
      <x:c r="F224" s="343"/>
      <x:c r="G224" s="343"/>
      <x:c r="H224" s="343"/>
      <x:c r="I224" s="343"/>
      <x:c r="J224" s="343"/>
      <x:c r="K224" s="343"/>
      <x:c r="L224" s="343"/>
      <x:c r="M224" s="343"/>
      <x:c r="N224" s="338"/>
      <x:c r="O224" s="342"/>
      <x:c r="P224" s="342"/>
      <x:c r="Q224" s="342"/>
      <x:c r="R224" s="342"/>
      <x:c r="S224" s="342"/>
      <x:c r="T224" s="342"/>
      <x:c r="U224" s="342"/>
      <x:c r="V224" s="342"/>
      <x:c r="W224" s="342"/>
      <x:c r="X224" s="342"/>
      <x:c r="Y224" s="342"/>
      <x:c r="Z224" s="342"/>
      <x:c r="AA224" s="342"/>
      <x:c r="AB224" s="342"/>
      <x:c r="AC224" s="342"/>
      <x:c r="AD224" s="342"/>
      <x:c r="AE224" s="342"/>
      <x:c r="AF224" s="342"/>
      <x:c r="AG224" s="342"/>
      <x:c r="AH224" s="342"/>
    </x:row>
    <x:row r="225">
      <x:c r="A225" s="341"/>
      <x:c r="B225" s="342"/>
      <x:c r="C225" s="342"/>
      <x:c r="D225" s="343"/>
      <x:c r="E225" s="343"/>
      <x:c r="F225" s="343"/>
      <x:c r="G225" s="343"/>
      <x:c r="H225" s="343"/>
      <x:c r="I225" s="343"/>
      <x:c r="J225" s="343"/>
      <x:c r="K225" s="343"/>
      <x:c r="L225" s="343"/>
      <x:c r="M225" s="343"/>
      <x:c r="N225" s="338"/>
      <x:c r="O225" s="342"/>
      <x:c r="P225" s="342"/>
      <x:c r="Q225" s="342"/>
      <x:c r="R225" s="342"/>
      <x:c r="S225" s="342"/>
      <x:c r="T225" s="342"/>
      <x:c r="U225" s="342"/>
      <x:c r="V225" s="342"/>
      <x:c r="W225" s="342"/>
      <x:c r="X225" s="342"/>
      <x:c r="Y225" s="342"/>
      <x:c r="Z225" s="342"/>
      <x:c r="AA225" s="342"/>
      <x:c r="AB225" s="342"/>
      <x:c r="AC225" s="342"/>
      <x:c r="AD225" s="342"/>
      <x:c r="AE225" s="342"/>
      <x:c r="AF225" s="342"/>
      <x:c r="AG225" s="342"/>
      <x:c r="AH225" s="342"/>
    </x:row>
    <x:row r="226" ht="20" customHeight="1">
      <x:c r="A226" s="30" t="str">
        <x:v>P. Quarterly Capex Milestone Tracker</x:v>
      </x:c>
      <x:c r="B226" s="30"/>
      <x:c r="C226" s="30"/>
      <x:c r="D226" s="175"/>
      <x:c r="E226" s="175"/>
      <x:c r="F226" s="175"/>
      <x:c r="G226" s="175"/>
      <x:c r="H226" s="175"/>
      <x:c r="I226" s="175"/>
      <x:c r="J226" s="175"/>
      <x:c r="K226" s="175"/>
      <x:c r="L226" s="175"/>
      <x:c r="M226" s="175"/>
      <x:c r="N226" s="223"/>
      <x:c r="O226" s="30"/>
      <x:c r="P226" s="444"/>
      <x:c r="Q226" s="444"/>
      <x:c r="R226" s="444"/>
      <x:c r="S226" s="444"/>
      <x:c r="T226" s="444"/>
      <x:c r="U226" s="444"/>
      <x:c r="V226" s="444"/>
      <x:c r="W226" s="444"/>
      <x:c r="X226" s="444"/>
      <x:c r="Y226" s="444"/>
      <x:c r="Z226" s="444"/>
      <x:c r="AA226" s="444"/>
      <x:c r="AB226" s="444"/>
      <x:c r="AC226" s="444"/>
      <x:c r="AD226" s="444"/>
      <x:c r="AE226" s="444"/>
      <x:c r="AF226" s="444"/>
      <x:c r="AG226" s="444"/>
      <x:c r="AH226" s="444"/>
    </x:row>
    <x:row r="227">
      <x:c r="A227" s="160" t="str">
        <x:v>Project</x:v>
      </x:c>
      <x:c r="B227" s="15" t="str">
        <x:v>Previous Status</x:v>
      </x:c>
      <x:c r="C227" s="15" t="str">
        <x:v>Latest Status</x:v>
      </x:c>
      <x:c r="D227" s="168" t="str">
        <x:v>Management Promise</x:v>
      </x:c>
      <x:c r="E227" s="168" t="str">
        <x:v>Actual Progress</x:v>
      </x:c>
      <x:c r="F227" s="168" t="str">
        <x:v>Next Milestone</x:v>
      </x:c>
      <x:c r="G227" s="168" t="str">
        <x:v>Expected Date</x:v>
      </x:c>
      <x:c r="H227" s="168" t="str">
        <x:v>Revenue Implication</x:v>
      </x:c>
      <x:c r="I227" s="168" t="str">
        <x:v>Estimate Implication</x:v>
      </x:c>
      <x:c r="J227" s="343"/>
      <x:c r="K227" s="343"/>
      <x:c r="L227" s="343"/>
      <x:c r="M227" s="343"/>
      <x:c r="N227" s="338"/>
      <x:c r="O227" s="342"/>
      <x:c r="P227" s="342"/>
      <x:c r="Q227" s="342"/>
      <x:c r="R227" s="342"/>
      <x:c r="S227" s="342"/>
      <x:c r="T227" s="342"/>
      <x:c r="U227" s="342"/>
      <x:c r="V227" s="342"/>
      <x:c r="W227" s="342"/>
      <x:c r="X227" s="342"/>
      <x:c r="Y227" s="342"/>
      <x:c r="Z227" s="342"/>
      <x:c r="AA227" s="342"/>
      <x:c r="AB227" s="342"/>
      <x:c r="AC227" s="342"/>
      <x:c r="AD227" s="342"/>
      <x:c r="AE227" s="342"/>
      <x:c r="AF227" s="342"/>
      <x:c r="AG227" s="342"/>
      <x:c r="AH227" s="342"/>
    </x:row>
    <x:row r="228" ht="54" customHeight="1">
      <x:c r="A228" s="337" t="str">
        <x:v>Unit III 52 KL</x:v>
      </x:c>
      <x:c r="B228" s="338" t="str">
        <x:v>Under construction FY25</x:v>
      </x:c>
      <x:c r="C228" s="338" t="str">
        <x:v>Commissioned FY26</x:v>
      </x:c>
      <x:c r="D228" s="352" t="str">
        <x:v>Complete additional manufacturing block</x:v>
      </x:c>
      <x:c r="E228" s="352" t="str">
        <x:v>52 KL block commissioned; multiproduct flexibility increased</x:v>
      </x:c>
      <x:c r="F228" s="352" t="str">
        <x:v>Utilisation / campaign ramp</x:v>
      </x:c>
      <x:c r="G228" s="352" t="str">
        <x:v>FY27</x:v>
      </x:c>
      <x:c r="H228" s="352" t="str">
        <x:v>Supports near-term CMS / GDS capacity</x:v>
      </x:c>
      <x:c r="I228" s="352" t="str">
        <x:v>Positive support; no project-specific revenue lift assigned.</x:v>
      </x:c>
      <x:c r="J228" s="343"/>
      <x:c r="K228" s="343"/>
      <x:c r="L228" s="343"/>
      <x:c r="M228" s="343"/>
      <x:c r="N228" s="338"/>
      <x:c r="O228" s="342"/>
      <x:c r="P228" s="342"/>
      <x:c r="Q228" s="342"/>
      <x:c r="R228" s="342"/>
      <x:c r="S228" s="342"/>
      <x:c r="T228" s="342"/>
      <x:c r="U228" s="342"/>
      <x:c r="V228" s="342"/>
      <x:c r="W228" s="342"/>
      <x:c r="X228" s="342"/>
      <x:c r="Y228" s="342"/>
      <x:c r="Z228" s="342"/>
      <x:c r="AA228" s="342"/>
      <x:c r="AB228" s="342"/>
      <x:c r="AC228" s="342"/>
      <x:c r="AD228" s="342"/>
      <x:c r="AE228" s="342"/>
      <x:c r="AF228" s="342"/>
      <x:c r="AG228" s="342"/>
      <x:c r="AH228" s="342"/>
    </x:row>
    <x:row r="229" ht="54" customHeight="1">
      <x:c r="A229" s="337" t="str">
        <x:v>Unit I 19 KL</x:v>
      </x:c>
      <x:c r="B229" s="338" t="str">
        <x:v>Approved Q1FY25</x:v>
      </x:c>
      <x:c r="C229" s="338" t="str">
        <x:v>Established FY26</x:v>
      </x:c>
      <x:c r="D229" s="352" t="str">
        <x:v>Commercial production ~1–1.5 years after announcement</x:v>
      </x:c>
      <x:c r="E229" s="352" t="str">
        <x:v>Block established for large-volume GDS products</x:v>
      </x:c>
      <x:c r="F229" s="352" t="str">
        <x:v>Sustain utilisation</x:v>
      </x:c>
      <x:c r="G229" s="352" t="str">
        <x:v>FY27</x:v>
      </x:c>
      <x:c r="H229" s="352" t="str">
        <x:v>Supports large-volume GDS demand</x:v>
      </x:c>
      <x:c r="I229" s="352" t="str">
        <x:v>Supports Prime capacity, but does not prove Ezetimibe-specific demand.</x:v>
      </x:c>
      <x:c r="J229" s="343"/>
      <x:c r="K229" s="343"/>
      <x:c r="L229" s="343"/>
      <x:c r="M229" s="343"/>
      <x:c r="N229" s="338"/>
      <x:c r="O229" s="342"/>
      <x:c r="P229" s="342"/>
      <x:c r="Q229" s="342"/>
      <x:c r="R229" s="342"/>
      <x:c r="S229" s="342"/>
      <x:c r="T229" s="342"/>
      <x:c r="U229" s="342"/>
      <x:c r="V229" s="342"/>
      <x:c r="W229" s="342"/>
      <x:c r="X229" s="342"/>
      <x:c r="Y229" s="342"/>
      <x:c r="Z229" s="342"/>
      <x:c r="AA229" s="342"/>
      <x:c r="AB229" s="342"/>
      <x:c r="AC229" s="342"/>
      <x:c r="AD229" s="342"/>
      <x:c r="AE229" s="342"/>
      <x:c r="AF229" s="342"/>
      <x:c r="AG229" s="342"/>
      <x:c r="AH229" s="342"/>
    </x:row>
    <x:row r="230" ht="54" customHeight="1">
      <x:c r="A230" s="337" t="str">
        <x:v>Peptide facility</x:v>
      </x:c>
      <x:c r="B230" s="338" t="str">
        <x:v>Groundbreaking / construction</x:v>
      </x:c>
      <x:c r="C230" s="338" t="str">
        <x:v>Commissioning target FY27</x:v>
      </x:c>
      <x:c r="D230" s="352" t="str">
        <x:v>Large-scale capacity ready around July FY27</x:v>
      </x:c>
      <x:c r="E230" s="352" t="str">
        <x:v>Construction progressing; early-stage innovator pipeline building</x:v>
      </x:c>
      <x:c r="F230" s="352" t="str">
        <x:v>Commissioning + first commercial manufacturing arrangement</x:v>
      </x:c>
      <x:c r="G230" s="352" t="str">
        <x:v>FY27</x:v>
      </x:c>
      <x:c r="H230" s="352" t="str">
        <x:v>Potential new revenue stream; not yet material / certain</x:v>
      </x:c>
      <x:c r="I230" s="352" t="str">
        <x:v>Do not raise peptide revenue until customer validation / win.</x:v>
      </x:c>
      <x:c r="J230" s="343"/>
      <x:c r="K230" s="343"/>
      <x:c r="L230" s="343"/>
      <x:c r="M230" s="343"/>
      <x:c r="N230" s="338"/>
      <x:c r="O230" s="342"/>
      <x:c r="P230" s="342"/>
      <x:c r="Q230" s="342"/>
      <x:c r="R230" s="342"/>
      <x:c r="S230" s="342"/>
      <x:c r="T230" s="342"/>
      <x:c r="U230" s="342"/>
      <x:c r="V230" s="342"/>
      <x:c r="W230" s="342"/>
      <x:c r="X230" s="342"/>
      <x:c r="Y230" s="342"/>
      <x:c r="Z230" s="342"/>
      <x:c r="AA230" s="342"/>
      <x:c r="AB230" s="342"/>
      <x:c r="AC230" s="342"/>
      <x:c r="AD230" s="342"/>
      <x:c r="AE230" s="342"/>
      <x:c r="AF230" s="342"/>
      <x:c r="AG230" s="342"/>
      <x:c r="AH230" s="342"/>
    </x:row>
    <x:row r="231" ht="54" customHeight="1">
      <x:c r="A231" s="337" t="str">
        <x:v>Genome Valley R&amp;D</x:v>
      </x:c>
      <x:c r="B231" s="338" t="str">
        <x:v>Board approval Q3FY26</x:v>
      </x:c>
      <x:c r="C231" s="338" t="str">
        <x:v>Setup / transition</x:v>
      </x:c>
      <x:c r="D231" s="352" t="str">
        <x:v>Open modern 140k sq ft centre</x:v>
      </x:c>
      <x:c r="E231" s="352" t="str">
        <x:v>Leased facility approved; assets being created</x:v>
      </x:c>
      <x:c r="F231" s="352" t="str">
        <x:v>Lab qualification / team transition</x:v>
      </x:c>
      <x:c r="G231" s="352" t="str">
        <x:v>FY27</x:v>
      </x:c>
      <x:c r="H231" s="352" t="str">
        <x:v>Faster development / scale-up; indirect revenue</x:v>
      </x:c>
      <x:c r="I231" s="352" t="str">
        <x:v>Monitor project funnel conversion rather than direct revenue.</x:v>
      </x:c>
      <x:c r="J231" s="343"/>
      <x:c r="K231" s="343"/>
      <x:c r="L231" s="343"/>
      <x:c r="M231" s="343"/>
      <x:c r="N231" s="338"/>
      <x:c r="O231" s="342"/>
      <x:c r="P231" s="342"/>
      <x:c r="Q231" s="342"/>
      <x:c r="R231" s="342"/>
      <x:c r="S231" s="342"/>
      <x:c r="T231" s="342"/>
      <x:c r="U231" s="342"/>
      <x:c r="V231" s="342"/>
      <x:c r="W231" s="342"/>
      <x:c r="X231" s="342"/>
      <x:c r="Y231" s="342"/>
      <x:c r="Z231" s="342"/>
      <x:c r="AA231" s="342"/>
      <x:c r="AB231" s="342"/>
      <x:c r="AC231" s="342"/>
      <x:c r="AD231" s="342"/>
      <x:c r="AE231" s="342"/>
      <x:c r="AF231" s="342"/>
      <x:c r="AG231" s="342"/>
      <x:c r="AH231" s="342"/>
    </x:row>
    <x:row r="232" ht="54" customHeight="1">
      <x:c r="A232" s="337" t="str">
        <x:v>Unit II Block 4</x:v>
      </x:c>
      <x:c r="B232" s="338" t="str">
        <x:v>Expansion in progress</x:v>
      </x:c>
      <x:c r="C232" s="338" t="str">
        <x:v>Extended FY26</x:v>
      </x:c>
      <x:c r="D232" s="352" t="str">
        <x:v>Improve throughput</x:v>
      </x:c>
      <x:c r="E232" s="352" t="str">
        <x:v>Extension completed</x:v>
      </x:c>
      <x:c r="F232" s="352" t="str">
        <x:v>Utilisation</x:v>
      </x:c>
      <x:c r="G232" s="352" t="str">
        <x:v>FY27</x:v>
      </x:c>
      <x:c r="H232" s="352" t="str">
        <x:v>Productivity support</x:v>
      </x:c>
      <x:c r="I232" s="352" t="str">
        <x:v>Neutral-to-positive; no discrete revenue estimate.</x:v>
      </x:c>
      <x:c r="J232" s="343"/>
      <x:c r="K232" s="343"/>
      <x:c r="L232" s="343"/>
      <x:c r="M232" s="343"/>
      <x:c r="N232" s="338"/>
      <x:c r="O232" s="342"/>
      <x:c r="P232" s="342"/>
      <x:c r="Q232" s="342"/>
      <x:c r="R232" s="342"/>
      <x:c r="S232" s="342"/>
      <x:c r="T232" s="342"/>
      <x:c r="U232" s="342"/>
      <x:c r="V232" s="342"/>
      <x:c r="W232" s="342"/>
      <x:c r="X232" s="342"/>
      <x:c r="Y232" s="342"/>
      <x:c r="Z232" s="342"/>
      <x:c r="AA232" s="342"/>
      <x:c r="AB232" s="342"/>
      <x:c r="AC232" s="342"/>
      <x:c r="AD232" s="342"/>
      <x:c r="AE232" s="342"/>
      <x:c r="AF232" s="342"/>
      <x:c r="AG232" s="342"/>
      <x:c r="AH232" s="342"/>
    </x:row>
    <x:row r="233">
      <x:c r="A233" s="341"/>
      <x:c r="B233" s="342"/>
      <x:c r="C233" s="342"/>
      <x:c r="D233" s="343"/>
      <x:c r="E233" s="343"/>
      <x:c r="F233" s="343"/>
      <x:c r="G233" s="343"/>
      <x:c r="H233" s="343"/>
      <x:c r="I233" s="343"/>
      <x:c r="J233" s="343"/>
      <x:c r="K233" s="343"/>
      <x:c r="L233" s="343"/>
      <x:c r="M233" s="343"/>
      <x:c r="N233" s="338"/>
      <x:c r="O233" s="342"/>
      <x:c r="P233" s="342"/>
      <x:c r="Q233" s="342"/>
      <x:c r="R233" s="342"/>
      <x:c r="S233" s="342"/>
      <x:c r="T233" s="342"/>
      <x:c r="U233" s="342"/>
      <x:c r="V233" s="342"/>
      <x:c r="W233" s="342"/>
      <x:c r="X233" s="342"/>
      <x:c r="Y233" s="342"/>
      <x:c r="Z233" s="342"/>
      <x:c r="AA233" s="342"/>
      <x:c r="AB233" s="342"/>
      <x:c r="AC233" s="342"/>
      <x:c r="AD233" s="342"/>
      <x:c r="AE233" s="342"/>
      <x:c r="AF233" s="342"/>
      <x:c r="AG233" s="342"/>
      <x:c r="AH233" s="342"/>
    </x:row>
    <x:row r="234">
      <x:c r="A234" s="341"/>
      <x:c r="B234" s="342"/>
      <x:c r="C234" s="342"/>
      <x:c r="D234" s="343"/>
      <x:c r="E234" s="343"/>
      <x:c r="F234" s="343"/>
      <x:c r="G234" s="343"/>
      <x:c r="H234" s="343"/>
      <x:c r="I234" s="343"/>
      <x:c r="J234" s="343"/>
      <x:c r="K234" s="343"/>
      <x:c r="L234" s="343"/>
      <x:c r="M234" s="343"/>
      <x:c r="N234" s="338"/>
      <x:c r="O234" s="342"/>
      <x:c r="P234" s="342"/>
      <x:c r="Q234" s="342"/>
      <x:c r="R234" s="342"/>
      <x:c r="S234" s="342"/>
      <x:c r="T234" s="342"/>
      <x:c r="U234" s="342"/>
      <x:c r="V234" s="342"/>
      <x:c r="W234" s="342"/>
      <x:c r="X234" s="342"/>
      <x:c r="Y234" s="342"/>
      <x:c r="Z234" s="342"/>
      <x:c r="AA234" s="342"/>
      <x:c r="AB234" s="342"/>
      <x:c r="AC234" s="342"/>
      <x:c r="AD234" s="342"/>
      <x:c r="AE234" s="342"/>
      <x:c r="AF234" s="342"/>
      <x:c r="AG234" s="342"/>
      <x:c r="AH234" s="342"/>
    </x:row>
    <x:row r="235" ht="20" customHeight="1">
      <x:c r="A235" s="30" t="str">
        <x:v>Q. Model Cross-Check — Molecule &amp; Portfolio Assumptions</x:v>
      </x:c>
      <x:c r="B235" s="30"/>
      <x:c r="C235" s="30"/>
      <x:c r="D235" s="175"/>
      <x:c r="E235" s="175"/>
      <x:c r="F235" s="175"/>
      <x:c r="G235" s="175"/>
      <x:c r="H235" s="175"/>
      <x:c r="I235" s="175"/>
      <x:c r="J235" s="175"/>
      <x:c r="K235" s="175"/>
      <x:c r="L235" s="175"/>
      <x:c r="M235" s="175"/>
      <x:c r="N235" s="223"/>
      <x:c r="O235" s="30"/>
      <x:c r="P235" s="444"/>
      <x:c r="Q235" s="444"/>
      <x:c r="R235" s="444"/>
      <x:c r="S235" s="444"/>
      <x:c r="T235" s="444"/>
      <x:c r="U235" s="444"/>
      <x:c r="V235" s="444"/>
      <x:c r="W235" s="444"/>
      <x:c r="X235" s="444"/>
      <x:c r="Y235" s="444"/>
      <x:c r="Z235" s="444"/>
      <x:c r="AA235" s="444"/>
      <x:c r="AB235" s="444"/>
      <x:c r="AC235" s="444"/>
      <x:c r="AD235" s="444"/>
      <x:c r="AE235" s="444"/>
      <x:c r="AF235" s="444"/>
      <x:c r="AG235" s="444"/>
      <x:c r="AH235" s="444"/>
    </x:row>
    <x:row r="236">
      <x:c r="A236" s="160" t="str">
        <x:v>Molecule / Portfolio</x:v>
      </x:c>
      <x:c r="B236" s="15" t="str">
        <x:v>FY26A</x:v>
      </x:c>
      <x:c r="C236" s="15" t="str">
        <x:v>FY27E</x:v>
      </x:c>
      <x:c r="D236" s="168" t="str">
        <x:v>FY28E</x:v>
      </x:c>
      <x:c r="E236" s="168" t="str">
        <x:v>FY29E</x:v>
      </x:c>
      <x:c r="F236" s="168" t="str">
        <x:v>FY30E</x:v>
      </x:c>
      <x:c r="G236" s="168" t="str">
        <x:v>FY31E</x:v>
      </x:c>
      <x:c r="H236" s="168" t="str">
        <x:v>Evidence Level</x:v>
      </x:c>
      <x:c r="I236" s="168" t="str">
        <x:v>Capacity / Pipeline Test</x:v>
      </x:c>
      <x:c r="J236" s="168" t="str">
        <x:v>Analyst Conclusion</x:v>
      </x:c>
      <x:c r="K236" s="343"/>
      <x:c r="L236" s="343"/>
      <x:c r="M236" s="343"/>
      <x:c r="N236" s="338"/>
      <x:c r="O236" s="342"/>
      <x:c r="P236" s="342"/>
      <x:c r="Q236" s="342"/>
      <x:c r="R236" s="342"/>
      <x:c r="S236" s="342"/>
      <x:c r="T236" s="342"/>
      <x:c r="U236" s="342"/>
      <x:c r="V236" s="342"/>
      <x:c r="W236" s="342"/>
      <x:c r="X236" s="342"/>
      <x:c r="Y236" s="342"/>
      <x:c r="Z236" s="342"/>
      <x:c r="AA236" s="342"/>
      <x:c r="AB236" s="342"/>
      <x:c r="AC236" s="342"/>
      <x:c r="AD236" s="342"/>
      <x:c r="AE236" s="342"/>
      <x:c r="AF236" s="342"/>
      <x:c r="AG236" s="342"/>
      <x:c r="AH236" s="342"/>
    </x:row>
    <x:row r="237" ht="58" customHeight="1">
      <x:c r="A237" s="337" t="str">
        <x:v>Ezetimibe</x:v>
      </x:c>
      <x:c r="B237" s="393" t="n">
        <x:v>1300</x:v>
      </x:c>
      <x:c r="C237" s="393" t="n">
        <x:v>1560</x:v>
      </x:c>
      <x:c r="D237" s="390" t="n">
        <x:v>1794</x:v>
      </x:c>
      <x:c r="E237" s="390" t="n">
        <x:v>1973.4</x:v>
      </x:c>
      <x:c r="F237" s="390" t="n">
        <x:v>2131.272</x:v>
      </x:c>
      <x:c r="G237" s="390" t="n">
        <x:v>2259.14832</x:v>
      </x:c>
      <x:c r="H237" s="352" t="str">
        <x:v>High product / Medium revenue</x:v>
      </x:c>
      <x:c r="I237" s="352" t="str">
        <x:v>Existing capacity + 19 KL broad GDS block; no molecule-specific tie</x:v>
      </x:c>
      <x:c r="J237" s="352" t="str">
        <x:v>Ramp plausible if demand/share holds; do not justify solely from new block.</x:v>
      </x:c>
      <x:c r="K237" s="343"/>
      <x:c r="L237" s="343"/>
      <x:c r="M237" s="343"/>
      <x:c r="N237" s="338"/>
      <x:c r="O237" s="342"/>
      <x:c r="P237" s="342"/>
      <x:c r="Q237" s="342"/>
      <x:c r="R237" s="342"/>
      <x:c r="S237" s="342"/>
      <x:c r="T237" s="342"/>
      <x:c r="U237" s="342"/>
      <x:c r="V237" s="342"/>
      <x:c r="W237" s="342"/>
      <x:c r="X237" s="342"/>
      <x:c r="Y237" s="342"/>
      <x:c r="Z237" s="342"/>
      <x:c r="AA237" s="342"/>
      <x:c r="AB237" s="342"/>
      <x:c r="AC237" s="342"/>
      <x:c r="AD237" s="342"/>
      <x:c r="AE237" s="342"/>
      <x:c r="AF237" s="342"/>
      <x:c r="AG237" s="342"/>
      <x:c r="AH237" s="342"/>
    </x:row>
    <x:row r="238" ht="58" customHeight="1">
      <x:c r="A238" s="337" t="str">
        <x:v>Paliperidone</x:v>
      </x:c>
      <x:c r="B238" s="393" t="n">
        <x:v>350</x:v>
      </x:c>
      <x:c r="C238" s="393" t="n">
        <x:v>350</x:v>
      </x:c>
      <x:c r="D238" s="390" t="n">
        <x:v>378</x:v>
      </x:c>
      <x:c r="E238" s="390" t="n">
        <x:v>415.8</x:v>
      </x:c>
      <x:c r="F238" s="390" t="n">
        <x:v>449.064</x:v>
      </x:c>
      <x:c r="G238" s="390" t="n">
        <x:v>471.5172</x:v>
      </x:c>
      <x:c r="H238" s="352" t="str">
        <x:v>High product / Medium revenue</x:v>
      </x:c>
      <x:c r="I238" s="352" t="str">
        <x:v>No incremental dedicated capex identified</x:v>
      </x:c>
      <x:c r="J238" s="352" t="str">
        <x:v>Model stabilisation is a demand/recovery call rather than capacity call.</x:v>
      </x:c>
      <x:c r="K238" s="343"/>
      <x:c r="L238" s="343"/>
      <x:c r="M238" s="343"/>
      <x:c r="N238" s="338"/>
      <x:c r="O238" s="342"/>
      <x:c r="P238" s="342"/>
      <x:c r="Q238" s="342"/>
      <x:c r="R238" s="342"/>
      <x:c r="S238" s="342"/>
      <x:c r="T238" s="342"/>
      <x:c r="U238" s="342"/>
      <x:c r="V238" s="342"/>
      <x:c r="W238" s="342"/>
      <x:c r="X238" s="342"/>
      <x:c r="Y238" s="342"/>
      <x:c r="Z238" s="342"/>
      <x:c r="AA238" s="342"/>
      <x:c r="AB238" s="342"/>
      <x:c r="AC238" s="342"/>
      <x:c r="AD238" s="342"/>
      <x:c r="AE238" s="342"/>
      <x:c r="AF238" s="342"/>
      <x:c r="AG238" s="342"/>
      <x:c r="AH238" s="342"/>
    </x:row>
    <x:row r="239" ht="58" customHeight="1">
      <x:c r="A239" s="337" t="str">
        <x:v>Bempedoic acid</x:v>
      </x:c>
      <x:c r="B239" s="393" t="n">
        <x:v>2500</x:v>
      </x:c>
      <x:c r="C239" s="393" t="n">
        <x:v>3125</x:v>
      </x:c>
      <x:c r="D239" s="390" t="n">
        <x:v>3750</x:v>
      </x:c>
      <x:c r="E239" s="390" t="n">
        <x:v>4312.5</x:v>
      </x:c>
      <x:c r="F239" s="390" t="n">
        <x:v>4830</x:v>
      </x:c>
      <x:c r="G239" s="390" t="n">
        <x:v>5313</x:v>
      </x:c>
      <x:c r="H239" s="352" t="str">
        <x:v>High relationship / Analyst revenue estimate</x:v>
      </x:c>
      <x:c r="I239" s="352" t="str">
        <x:v>Commercial supply confirmed; company does not disclose molecule-specific capacity</x:v>
      </x:c>
      <x:c r="J239" s="352" t="str">
        <x:v>Ramp not disproven by capacity, but cannot be independently validated at project level.</x:v>
      </x:c>
      <x:c r="K239" s="343"/>
      <x:c r="L239" s="343"/>
      <x:c r="M239" s="343"/>
      <x:c r="N239" s="338"/>
      <x:c r="O239" s="342"/>
      <x:c r="P239" s="342"/>
      <x:c r="Q239" s="342"/>
      <x:c r="R239" s="342"/>
      <x:c r="S239" s="342"/>
      <x:c r="T239" s="342"/>
      <x:c r="U239" s="342"/>
      <x:c r="V239" s="342"/>
      <x:c r="W239" s="342"/>
      <x:c r="X239" s="342"/>
      <x:c r="Y239" s="342"/>
      <x:c r="Z239" s="342"/>
      <x:c r="AA239" s="342"/>
      <x:c r="AB239" s="342"/>
      <x:c r="AC239" s="342"/>
      <x:c r="AD239" s="342"/>
      <x:c r="AE239" s="342"/>
      <x:c r="AF239" s="342"/>
      <x:c r="AG239" s="342"/>
      <x:c r="AH239" s="342"/>
    </x:row>
    <x:row r="240" ht="58" customHeight="1">
      <x:c r="A240" s="337" t="str">
        <x:v>Xanomeline</x:v>
      </x:c>
      <x:c r="B240" s="393" t="n">
        <x:v>800</x:v>
      </x:c>
      <x:c r="C240" s="393" t="n">
        <x:v>1280</x:v>
      </x:c>
      <x:c r="D240" s="390" t="n">
        <x:v>1920</x:v>
      </x:c>
      <x:c r="E240" s="390" t="n">
        <x:v>2592</x:v>
      </x:c>
      <x:c r="F240" s="390" t="n">
        <x:v>3240</x:v>
      </x:c>
      <x:c r="G240" s="390" t="n">
        <x:v>3888</x:v>
      </x:c>
      <x:c r="H240" s="352" t="str">
        <x:v>Medium inference</x:v>
      </x:c>
      <x:c r="I240" s="352" t="str">
        <x:v>No public Neuland relationship or specific capacity link</x:v>
      </x:c>
      <x:c r="J240" s="352" t="str">
        <x:v>Highest evidence risk in named-molecule build; keep under review.</x:v>
      </x:c>
      <x:c r="K240" s="343"/>
      <x:c r="L240" s="343"/>
      <x:c r="M240" s="343"/>
      <x:c r="N240" s="338"/>
      <x:c r="O240" s="342"/>
      <x:c r="P240" s="342"/>
      <x:c r="Q240" s="342"/>
      <x:c r="R240" s="342"/>
      <x:c r="S240" s="342"/>
      <x:c r="T240" s="342"/>
      <x:c r="U240" s="342"/>
      <x:c r="V240" s="342"/>
      <x:c r="W240" s="342"/>
      <x:c r="X240" s="342"/>
      <x:c r="Y240" s="342"/>
      <x:c r="Z240" s="342"/>
      <x:c r="AA240" s="342"/>
      <x:c r="AB240" s="342"/>
      <x:c r="AC240" s="342"/>
      <x:c r="AD240" s="342"/>
      <x:c r="AE240" s="342"/>
      <x:c r="AF240" s="342"/>
      <x:c r="AG240" s="342"/>
      <x:c r="AH240" s="342"/>
    </x:row>
    <x:row r="241" ht="58" customHeight="1">
      <x:c r="A241" s="337" t="str">
        <x:v>Other CMS</x:v>
      </x:c>
      <x:c r="B241" s="393" t="n">
        <x:v>9140</x:v>
      </x:c>
      <x:c r="C241" s="393" t="n">
        <x:v>10236.8</x:v>
      </x:c>
      <x:c r="D241" s="390" t="n">
        <x:v>11772.32</x:v>
      </x:c>
      <x:c r="E241" s="390" t="n">
        <x:v>13420.4448</x:v>
      </x:c>
      <x:c r="F241" s="390" t="n">
        <x:v>15030.898176</x:v>
      </x:c>
      <x:c r="G241" s="390" t="n">
        <x:v>16533.987994</x:v>
      </x:c>
      <x:c r="H241" s="352" t="str">
        <x:v>High cohort / Low molecule attribution</x:v>
      </x:c>
      <x:c r="I241" s="352" t="str">
        <x:v>98-project funnel, 19 commercial; FY26 commercial revenue scaled despite flat commercial count</x:v>
      </x:c>
      <x:c r="J241" s="352" t="str">
        <x:v>FY27–FY28 can come from scale-up; FY29+ increasingly requires conversions / larger campaigns.</x:v>
      </x:c>
      <x:c r="K241" s="343"/>
      <x:c r="L241" s="343"/>
      <x:c r="M241" s="343"/>
      <x:c r="N241" s="338"/>
      <x:c r="O241" s="342"/>
      <x:c r="P241" s="342"/>
      <x:c r="Q241" s="342"/>
      <x:c r="R241" s="342"/>
      <x:c r="S241" s="342"/>
      <x:c r="T241" s="342"/>
      <x:c r="U241" s="342"/>
      <x:c r="V241" s="342"/>
      <x:c r="W241" s="342"/>
      <x:c r="X241" s="342"/>
      <x:c r="Y241" s="342"/>
      <x:c r="Z241" s="342"/>
      <x:c r="AA241" s="342"/>
      <x:c r="AB241" s="342"/>
      <x:c r="AC241" s="342"/>
      <x:c r="AD241" s="342"/>
      <x:c r="AE241" s="342"/>
      <x:c r="AF241" s="342"/>
      <x:c r="AG241" s="342"/>
      <x:c r="AH241" s="342"/>
    </x:row>
    <x:row r="242" ht="58" customHeight="1">
      <x:c r="A242" s="337" t="str">
        <x:v>Total Revenue</x:v>
      </x:c>
      <x:c r="B242" s="393" t="n">
        <x:v>20229.854</x:v>
      </x:c>
      <x:c r="C242" s="393" t="n">
        <x:v>23230.502565</x:v>
      </x:c>
      <x:c r="D242" s="390" t="n">
        <x:v>26882.61282237</x:v>
      </x:c>
      <x:c r="E242" s="390" t="n">
        <x:v>30565.2092983173</x:v>
      </x:c>
      <x:c r="F242" s="390" t="n">
        <x:v>34086.6989362148</x:v>
      </x:c>
      <x:c r="G242" s="390" t="n">
        <x:v>37395.3043105741</x:v>
      </x:c>
      <x:c r="H242" s="352" t="str">
        <x:v>Model</x:v>
      </x:c>
      <x:c r="I242" s="352" t="str">
        <x:v>FY26–FY28 capex / commissioned capacity provides physical support; longer term is pipeline-led</x:v>
      </x:c>
      <x:c r="J242" s="352" t="str">
        <x:v>FY27–FY28 looks plausible in aggregate; FY29–FY31 cannot be validated from disclosed capacity alone.</x:v>
      </x:c>
      <x:c r="K242" s="343"/>
      <x:c r="L242" s="343"/>
      <x:c r="M242" s="343"/>
      <x:c r="N242" s="338"/>
      <x:c r="O242" s="342"/>
      <x:c r="P242" s="342"/>
      <x:c r="Q242" s="342"/>
      <x:c r="R242" s="342"/>
      <x:c r="S242" s="342"/>
      <x:c r="T242" s="342"/>
      <x:c r="U242" s="342"/>
      <x:c r="V242" s="342"/>
      <x:c r="W242" s="342"/>
      <x:c r="X242" s="342"/>
      <x:c r="Y242" s="342"/>
      <x:c r="Z242" s="342"/>
      <x:c r="AA242" s="342"/>
      <x:c r="AB242" s="342"/>
      <x:c r="AC242" s="342"/>
      <x:c r="AD242" s="342"/>
      <x:c r="AE242" s="342"/>
      <x:c r="AF242" s="342"/>
      <x:c r="AG242" s="342"/>
      <x:c r="AH242" s="342"/>
    </x:row>
    <x:row r="243">
      <x:c r="A243" s="341"/>
      <x:c r="B243" s="342"/>
      <x:c r="C243" s="342"/>
      <x:c r="D243" s="343"/>
      <x:c r="E243" s="343"/>
      <x:c r="F243" s="343"/>
      <x:c r="G243" s="343"/>
      <x:c r="H243" s="343"/>
      <x:c r="I243" s="343"/>
      <x:c r="J243" s="343"/>
      <x:c r="K243" s="343"/>
      <x:c r="L243" s="343"/>
      <x:c r="M243" s="343"/>
      <x:c r="N243" s="338"/>
      <x:c r="O243" s="342"/>
      <x:c r="P243" s="342"/>
      <x:c r="Q243" s="342"/>
      <x:c r="R243" s="342"/>
      <x:c r="S243" s="342"/>
      <x:c r="T243" s="342"/>
      <x:c r="U243" s="342"/>
      <x:c r="V243" s="342"/>
      <x:c r="W243" s="342"/>
      <x:c r="X243" s="342"/>
      <x:c r="Y243" s="342"/>
      <x:c r="Z243" s="342"/>
      <x:c r="AA243" s="342"/>
      <x:c r="AB243" s="342"/>
      <x:c r="AC243" s="342"/>
      <x:c r="AD243" s="342"/>
      <x:c r="AE243" s="342"/>
      <x:c r="AF243" s="342"/>
      <x:c r="AG243" s="342"/>
      <x:c r="AH243" s="342"/>
    </x:row>
    <x:row r="244">
      <x:c r="A244" s="341"/>
      <x:c r="B244" s="342"/>
      <x:c r="C244" s="342"/>
      <x:c r="D244" s="343"/>
      <x:c r="E244" s="343"/>
      <x:c r="F244" s="343"/>
      <x:c r="G244" s="343"/>
      <x:c r="H244" s="343"/>
      <x:c r="I244" s="343"/>
      <x:c r="J244" s="343"/>
      <x:c r="K244" s="343"/>
      <x:c r="L244" s="343"/>
      <x:c r="M244" s="343"/>
      <x:c r="N244" s="338"/>
      <x:c r="O244" s="342"/>
      <x:c r="P244" s="342"/>
      <x:c r="Q244" s="342"/>
      <x:c r="R244" s="342"/>
      <x:c r="S244" s="342"/>
      <x:c r="T244" s="342"/>
      <x:c r="U244" s="342"/>
      <x:c r="V244" s="342"/>
      <x:c r="W244" s="342"/>
      <x:c r="X244" s="342"/>
      <x:c r="Y244" s="342"/>
      <x:c r="Z244" s="342"/>
      <x:c r="AA244" s="342"/>
      <x:c r="AB244" s="342"/>
      <x:c r="AC244" s="342"/>
      <x:c r="AD244" s="342"/>
      <x:c r="AE244" s="342"/>
      <x:c r="AF244" s="342"/>
      <x:c r="AG244" s="342"/>
      <x:c r="AH244" s="342"/>
    </x:row>
    <x:row r="245" ht="20" customHeight="1">
      <x:c r="A245" s="30" t="str">
        <x:v>R. Analyst Investment Conclusions</x:v>
      </x:c>
      <x:c r="B245" s="30"/>
      <x:c r="C245" s="30"/>
      <x:c r="D245" s="175"/>
      <x:c r="E245" s="175"/>
      <x:c r="F245" s="175"/>
      <x:c r="G245" s="175"/>
      <x:c r="H245" s="175"/>
      <x:c r="I245" s="175"/>
      <x:c r="J245" s="175"/>
      <x:c r="K245" s="175"/>
      <x:c r="L245" s="175"/>
      <x:c r="M245" s="175"/>
      <x:c r="N245" s="223"/>
      <x:c r="O245" s="30"/>
      <x:c r="P245" s="444"/>
      <x:c r="Q245" s="444"/>
      <x:c r="R245" s="444"/>
      <x:c r="S245" s="444"/>
      <x:c r="T245" s="444"/>
      <x:c r="U245" s="444"/>
      <x:c r="V245" s="444"/>
      <x:c r="W245" s="444"/>
      <x:c r="X245" s="444"/>
      <x:c r="Y245" s="444"/>
      <x:c r="Z245" s="444"/>
      <x:c r="AA245" s="444"/>
      <x:c r="AB245" s="444"/>
      <x:c r="AC245" s="444"/>
      <x:c r="AD245" s="444"/>
      <x:c r="AE245" s="444"/>
      <x:c r="AF245" s="444"/>
      <x:c r="AG245" s="444"/>
      <x:c r="AH245" s="444"/>
    </x:row>
    <x:row r="246">
      <x:c r="A246" s="160" t="str">
        <x:v>Debate</x:v>
      </x:c>
      <x:c r="B246" s="15" t="str">
        <x:v>Assessment</x:v>
      </x:c>
      <x:c r="C246" s="15" t="str">
        <x:v>Evidence / Implication</x:v>
      </x:c>
      <x:c r="D246" s="343"/>
      <x:c r="E246" s="343"/>
      <x:c r="F246" s="343"/>
      <x:c r="G246" s="343"/>
      <x:c r="H246" s="343"/>
      <x:c r="I246" s="343"/>
      <x:c r="J246" s="343"/>
      <x:c r="K246" s="343"/>
      <x:c r="L246" s="343"/>
      <x:c r="M246" s="343"/>
      <x:c r="N246" s="338"/>
      <x:c r="O246" s="342"/>
      <x:c r="P246" s="342"/>
      <x:c r="Q246" s="342"/>
      <x:c r="R246" s="342"/>
      <x:c r="S246" s="342"/>
      <x:c r="T246" s="342"/>
      <x:c r="U246" s="342"/>
      <x:c r="V246" s="342"/>
      <x:c r="W246" s="342"/>
      <x:c r="X246" s="342"/>
      <x:c r="Y246" s="342"/>
      <x:c r="Z246" s="342"/>
      <x:c r="AA246" s="342"/>
      <x:c r="AB246" s="342"/>
      <x:c r="AC246" s="342"/>
      <x:c r="AD246" s="342"/>
      <x:c r="AE246" s="342"/>
      <x:c r="AF246" s="342"/>
      <x:c r="AG246" s="342"/>
      <x:c r="AH246" s="342"/>
    </x:row>
    <x:row r="247" ht="46" customHeight="1">
      <x:c r="A247" s="337" t="str">
        <x:v>Capex Cycle</x:v>
      </x:c>
      <x:c r="B247" s="338" t="str">
        <x:v>Stage 2 → Stage 3 transition</x:v>
      </x:c>
      <x:c r="C247" s="338" t="str">
        <x:v>Recent small-molecule blocks have commissioned and FY26 CMS monetisation is visible; peptide remains in investment/commissioning.</x:v>
      </x:c>
      <x:c r="D247" s="343"/>
      <x:c r="E247" s="343"/>
      <x:c r="F247" s="343"/>
      <x:c r="G247" s="343"/>
      <x:c r="H247" s="343"/>
      <x:c r="I247" s="343"/>
      <x:c r="J247" s="343"/>
      <x:c r="K247" s="343"/>
      <x:c r="L247" s="343"/>
      <x:c r="M247" s="343"/>
      <x:c r="N247" s="338"/>
      <x:c r="O247" s="342"/>
      <x:c r="P247" s="342"/>
      <x:c r="Q247" s="342"/>
      <x:c r="R247" s="342"/>
      <x:c r="S247" s="342"/>
      <x:c r="T247" s="342"/>
      <x:c r="U247" s="342"/>
      <x:c r="V247" s="342"/>
      <x:c r="W247" s="342"/>
      <x:c r="X247" s="342"/>
      <x:c r="Y247" s="342"/>
      <x:c r="Z247" s="342"/>
      <x:c r="AA247" s="342"/>
      <x:c r="AB247" s="342"/>
      <x:c r="AC247" s="342"/>
      <x:c r="AD247" s="342"/>
      <x:c r="AE247" s="342"/>
      <x:c r="AF247" s="342"/>
      <x:c r="AG247" s="342"/>
      <x:c r="AH247" s="342"/>
    </x:row>
    <x:row r="248" ht="46" customHeight="1">
      <x:c r="A248" s="337" t="str">
        <x:v>Asset Utilisation</x:v>
      </x:c>
      <x:c r="B248" s="338" t="str">
        <x:v>Improving in small-molecule assets; peptide pre-utilisation</x:v>
      </x:c>
      <x:c r="C248" s="338" t="str">
        <x:v>FY26 revenue / CMS mix / ROCE recovered, but CWIP remains elevated.</x:v>
      </x:c>
      <x:c r="D248" s="343"/>
      <x:c r="E248" s="343"/>
      <x:c r="F248" s="343"/>
      <x:c r="G248" s="343"/>
      <x:c r="H248" s="343"/>
      <x:c r="I248" s="343"/>
      <x:c r="J248" s="343"/>
      <x:c r="K248" s="343"/>
      <x:c r="L248" s="343"/>
      <x:c r="M248" s="343"/>
      <x:c r="N248" s="338"/>
      <x:c r="O248" s="342"/>
      <x:c r="P248" s="342"/>
      <x:c r="Q248" s="342"/>
      <x:c r="R248" s="342"/>
      <x:c r="S248" s="342"/>
      <x:c r="T248" s="342"/>
      <x:c r="U248" s="342"/>
      <x:c r="V248" s="342"/>
      <x:c r="W248" s="342"/>
      <x:c r="X248" s="342"/>
      <x:c r="Y248" s="342"/>
      <x:c r="Z248" s="342"/>
      <x:c r="AA248" s="342"/>
      <x:c r="AB248" s="342"/>
      <x:c r="AC248" s="342"/>
      <x:c r="AD248" s="342"/>
      <x:c r="AE248" s="342"/>
      <x:c r="AF248" s="342"/>
      <x:c r="AG248" s="342"/>
      <x:c r="AH248" s="342"/>
    </x:row>
    <x:row r="249" ht="46" customHeight="1">
      <x:c r="A249" s="337" t="str">
        <x:v>Fixed Asset Turnover</x:v>
      </x:c>
      <x:c r="B249" s="338" t="str">
        <x:v>Recovering after FY25 trough</x:v>
      </x:c>
      <x:c r="C249" s="338" t="str">
        <x:v>Company-reported FATO moved from 2.3x FY25 to 2.6x FY26; further recovery should follow if new assets ramp.</x:v>
      </x:c>
      <x:c r="D249" s="343"/>
      <x:c r="E249" s="343"/>
      <x:c r="F249" s="343"/>
      <x:c r="G249" s="343"/>
      <x:c r="H249" s="343"/>
      <x:c r="I249" s="343"/>
      <x:c r="J249" s="343"/>
      <x:c r="K249" s="343"/>
      <x:c r="L249" s="343"/>
      <x:c r="M249" s="343"/>
      <x:c r="N249" s="338"/>
      <x:c r="O249" s="342"/>
      <x:c r="P249" s="342"/>
      <x:c r="Q249" s="342"/>
      <x:c r="R249" s="342"/>
      <x:c r="S249" s="342"/>
      <x:c r="T249" s="342"/>
      <x:c r="U249" s="342"/>
      <x:c r="V249" s="342"/>
      <x:c r="W249" s="342"/>
      <x:c r="X249" s="342"/>
      <x:c r="Y249" s="342"/>
      <x:c r="Z249" s="342"/>
      <x:c r="AA249" s="342"/>
      <x:c r="AB249" s="342"/>
      <x:c r="AC249" s="342"/>
      <x:c r="AD249" s="342"/>
      <x:c r="AE249" s="342"/>
      <x:c r="AF249" s="342"/>
      <x:c r="AG249" s="342"/>
      <x:c r="AH249" s="342"/>
    </x:row>
    <x:row r="250" ht="46" customHeight="1">
      <x:c r="A250" s="337" t="str">
        <x:v>ROCE Trend</x:v>
      </x:c>
      <x:c r="B250" s="338" t="str">
        <x:v>Rebounded; near-term dilution risk remains</x:v>
      </x:c>
      <x:c r="C250" s="338" t="str">
        <x:v>Reported ROCE recovered to 26.1% FY26 vs 17.9% FY25; peptide / R&amp;D capitalisation can temporarily dilute returns.</x:v>
      </x:c>
      <x:c r="D250" s="343"/>
      <x:c r="E250" s="343"/>
      <x:c r="F250" s="343"/>
      <x:c r="G250" s="343"/>
      <x:c r="H250" s="343"/>
      <x:c r="I250" s="343"/>
      <x:c r="J250" s="343"/>
      <x:c r="K250" s="343"/>
      <x:c r="L250" s="343"/>
      <x:c r="M250" s="343"/>
      <x:c r="N250" s="338"/>
      <x:c r="O250" s="342"/>
      <x:c r="P250" s="342"/>
      <x:c r="Q250" s="342"/>
      <x:c r="R250" s="342"/>
      <x:c r="S250" s="342"/>
      <x:c r="T250" s="342"/>
      <x:c r="U250" s="342"/>
      <x:c r="V250" s="342"/>
      <x:c r="W250" s="342"/>
      <x:c r="X250" s="342"/>
      <x:c r="Y250" s="342"/>
      <x:c r="Z250" s="342"/>
      <x:c r="AA250" s="342"/>
      <x:c r="AB250" s="342"/>
      <x:c r="AC250" s="342"/>
      <x:c r="AD250" s="342"/>
      <x:c r="AE250" s="342"/>
      <x:c r="AF250" s="342"/>
      <x:c r="AG250" s="342"/>
      <x:c r="AH250" s="342"/>
    </x:row>
    <x:row r="251" ht="46" customHeight="1">
      <x:c r="A251" s="337" t="str">
        <x:v>CMS Monetisation</x:v>
      </x:c>
      <x:c r="B251" s="338" t="str">
        <x:v>On track / strong FY26</x:v>
      </x:c>
      <x:c r="C251" s="338" t="str">
        <x:v>Commercial CMS revenue more than doubled while commercial project count stayed at 19 — scale per project / campaign mattered more than count.</x:v>
      </x:c>
      <x:c r="D251" s="343"/>
      <x:c r="E251" s="343"/>
      <x:c r="F251" s="343"/>
      <x:c r="G251" s="343"/>
      <x:c r="H251" s="343"/>
      <x:c r="I251" s="343"/>
      <x:c r="J251" s="343"/>
      <x:c r="K251" s="343"/>
      <x:c r="L251" s="343"/>
      <x:c r="M251" s="343"/>
      <x:c r="N251" s="338"/>
      <x:c r="O251" s="342"/>
      <x:c r="P251" s="342"/>
      <x:c r="Q251" s="342"/>
      <x:c r="R251" s="342"/>
      <x:c r="S251" s="342"/>
      <x:c r="T251" s="342"/>
      <x:c r="U251" s="342"/>
      <x:c r="V251" s="342"/>
      <x:c r="W251" s="342"/>
      <x:c r="X251" s="342"/>
      <x:c r="Y251" s="342"/>
      <x:c r="Z251" s="342"/>
      <x:c r="AA251" s="342"/>
      <x:c r="AB251" s="342"/>
      <x:c r="AC251" s="342"/>
      <x:c r="AD251" s="342"/>
      <x:c r="AE251" s="342"/>
      <x:c r="AF251" s="342"/>
      <x:c r="AG251" s="342"/>
      <x:c r="AH251" s="342"/>
    </x:row>
    <x:row r="252" ht="46" customHeight="1">
      <x:c r="A252" s="337" t="str">
        <x:v>Capex Demand Visibility</x:v>
      </x:c>
      <x:c r="B252" s="338" t="str">
        <x:v>Medium</x:v>
      </x:c>
      <x:c r="C252" s="338" t="str">
        <x:v>Small-molecule capacity looks demand-backed; peptide has customer engagement but limited public commercial commitment.</x:v>
      </x:c>
      <x:c r="D252" s="343"/>
      <x:c r="E252" s="343"/>
      <x:c r="F252" s="343"/>
      <x:c r="G252" s="343"/>
      <x:c r="H252" s="343"/>
      <x:c r="I252" s="343"/>
      <x:c r="J252" s="343"/>
      <x:c r="K252" s="343"/>
      <x:c r="L252" s="343"/>
      <x:c r="M252" s="343"/>
      <x:c r="N252" s="338"/>
      <x:c r="O252" s="342"/>
      <x:c r="P252" s="342"/>
      <x:c r="Q252" s="342"/>
      <x:c r="R252" s="342"/>
      <x:c r="S252" s="342"/>
      <x:c r="T252" s="342"/>
      <x:c r="U252" s="342"/>
      <x:c r="V252" s="342"/>
      <x:c r="W252" s="342"/>
      <x:c r="X252" s="342"/>
      <x:c r="Y252" s="342"/>
      <x:c r="Z252" s="342"/>
      <x:c r="AA252" s="342"/>
      <x:c r="AB252" s="342"/>
      <x:c r="AC252" s="342"/>
      <x:c r="AD252" s="342"/>
      <x:c r="AE252" s="342"/>
      <x:c r="AF252" s="342"/>
      <x:c r="AG252" s="342"/>
      <x:c r="AH252" s="342"/>
    </x:row>
    <x:row r="253" ht="46" customHeight="1">
      <x:c r="A253" s="337" t="str">
        <x:v>Main Upside</x:v>
      </x:c>
      <x:c r="B253" s="338" t="str">
        <x:v>Commissioned multipurpose capacity + commercial CMS cohort absorb capital faster than expected</x:v>
      </x:c>
      <x:c r="C253" s="338" t="str">
        <x:v>Would lift asset turnover, FCF and ROCE faster than the model path.</x:v>
      </x:c>
      <x:c r="D253" s="343"/>
      <x:c r="E253" s="343"/>
      <x:c r="F253" s="343"/>
      <x:c r="G253" s="343"/>
      <x:c r="H253" s="343"/>
      <x:c r="I253" s="343"/>
      <x:c r="J253" s="343"/>
      <x:c r="K253" s="343"/>
      <x:c r="L253" s="343"/>
      <x:c r="M253" s="343"/>
      <x:c r="N253" s="338"/>
      <x:c r="O253" s="342"/>
      <x:c r="P253" s="342"/>
      <x:c r="Q253" s="342"/>
      <x:c r="R253" s="342"/>
      <x:c r="S253" s="342"/>
      <x:c r="T253" s="342"/>
      <x:c r="U253" s="342"/>
      <x:c r="V253" s="342"/>
      <x:c r="W253" s="342"/>
      <x:c r="X253" s="342"/>
      <x:c r="Y253" s="342"/>
      <x:c r="Z253" s="342"/>
      <x:c r="AA253" s="342"/>
      <x:c r="AB253" s="342"/>
      <x:c r="AC253" s="342"/>
      <x:c r="AD253" s="342"/>
      <x:c r="AE253" s="342"/>
      <x:c r="AF253" s="342"/>
      <x:c r="AG253" s="342"/>
      <x:c r="AH253" s="342"/>
    </x:row>
    <x:row r="254" ht="46" customHeight="1">
      <x:c r="A254" s="337" t="str">
        <x:v>Main Risk</x:v>
      </x:c>
      <x:c r="B254" s="338" t="str">
        <x:v>Capability capex monetises slowly; working capital remains heavy</x:v>
      </x:c>
      <x:c r="C254" s="338" t="str">
        <x:v>Peptide/R&amp;D assets could depress returns if commercial conversion lags; Xanomeline remains inference-based.</x:v>
      </x:c>
      <x:c r="D254" s="343"/>
      <x:c r="E254" s="343"/>
      <x:c r="F254" s="343"/>
      <x:c r="G254" s="343"/>
      <x:c r="H254" s="343"/>
      <x:c r="I254" s="343"/>
      <x:c r="J254" s="343"/>
      <x:c r="K254" s="343"/>
      <x:c r="L254" s="343"/>
      <x:c r="M254" s="343"/>
      <x:c r="N254" s="338"/>
      <x:c r="O254" s="342"/>
      <x:c r="P254" s="342"/>
      <x:c r="Q254" s="342"/>
      <x:c r="R254" s="342"/>
      <x:c r="S254" s="342"/>
      <x:c r="T254" s="342"/>
      <x:c r="U254" s="342"/>
      <x:c r="V254" s="342"/>
      <x:c r="W254" s="342"/>
      <x:c r="X254" s="342"/>
      <x:c r="Y254" s="342"/>
      <x:c r="Z254" s="342"/>
      <x:c r="AA254" s="342"/>
      <x:c r="AB254" s="342"/>
      <x:c r="AC254" s="342"/>
      <x:c r="AD254" s="342"/>
      <x:c r="AE254" s="342"/>
      <x:c r="AF254" s="342"/>
      <x:c r="AG254" s="342"/>
      <x:c r="AH254" s="342"/>
    </x:row>
    <x:row r="255" ht="46" customHeight="1">
      <x:c r="A255" s="337" t="str">
        <x:v>Forecast Implication</x:v>
      </x:c>
      <x:c r="B255" s="338" t="str">
        <x:v>Maintain core; review evidence-sensitive upside separately</x:v>
      </x:c>
      <x:c r="C255" s="338" t="str">
        <x:v>FY27–FY28 aggregate sales build looks physically plausible; do not increase peptide/Xanomeline assumptions without stronger validation.</x:v>
      </x:c>
      <x:c r="D255" s="343"/>
      <x:c r="E255" s="343"/>
      <x:c r="F255" s="343"/>
      <x:c r="G255" s="343"/>
      <x:c r="H255" s="343"/>
      <x:c r="I255" s="343"/>
      <x:c r="J255" s="343"/>
      <x:c r="K255" s="343"/>
      <x:c r="L255" s="343"/>
      <x:c r="M255" s="343"/>
      <x:c r="N255" s="338"/>
      <x:c r="O255" s="342"/>
      <x:c r="P255" s="342"/>
      <x:c r="Q255" s="342"/>
      <x:c r="R255" s="342"/>
      <x:c r="S255" s="342"/>
      <x:c r="T255" s="342"/>
      <x:c r="U255" s="342"/>
      <x:c r="V255" s="342"/>
      <x:c r="W255" s="342"/>
      <x:c r="X255" s="342"/>
      <x:c r="Y255" s="342"/>
      <x:c r="Z255" s="342"/>
      <x:c r="AA255" s="342"/>
      <x:c r="AB255" s="342"/>
      <x:c r="AC255" s="342"/>
      <x:c r="AD255" s="342"/>
      <x:c r="AE255" s="342"/>
      <x:c r="AF255" s="342"/>
      <x:c r="AG255" s="342"/>
      <x:c r="AH255" s="342"/>
    </x:row>
    <x:row r="256">
      <x:c r="A256" s="341"/>
      <x:c r="B256" s="342"/>
      <x:c r="C256" s="342"/>
      <x:c r="D256" s="343"/>
      <x:c r="E256" s="343"/>
      <x:c r="F256" s="343"/>
      <x:c r="G256" s="343"/>
      <x:c r="H256" s="343"/>
      <x:c r="I256" s="343"/>
      <x:c r="J256" s="343"/>
      <x:c r="K256" s="343"/>
      <x:c r="L256" s="343"/>
      <x:c r="M256" s="343"/>
      <x:c r="N256" s="338"/>
      <x:c r="O256" s="342"/>
      <x:c r="P256" s="342"/>
      <x:c r="Q256" s="342"/>
      <x:c r="R256" s="342"/>
      <x:c r="S256" s="342"/>
      <x:c r="T256" s="342"/>
      <x:c r="U256" s="342"/>
      <x:c r="V256" s="342"/>
      <x:c r="W256" s="342"/>
      <x:c r="X256" s="342"/>
      <x:c r="Y256" s="342"/>
      <x:c r="Z256" s="342"/>
      <x:c r="AA256" s="342"/>
      <x:c r="AB256" s="342"/>
      <x:c r="AC256" s="342"/>
      <x:c r="AD256" s="342"/>
      <x:c r="AE256" s="342"/>
      <x:c r="AF256" s="342"/>
      <x:c r="AG256" s="342"/>
      <x:c r="AH256" s="342"/>
    </x:row>
    <x:row r="257">
      <x:c r="A257" s="341"/>
      <x:c r="B257" s="342"/>
      <x:c r="C257" s="342"/>
      <x:c r="D257" s="343"/>
      <x:c r="E257" s="343"/>
      <x:c r="F257" s="343"/>
      <x:c r="G257" s="343"/>
      <x:c r="H257" s="343"/>
      <x:c r="I257" s="343"/>
      <x:c r="J257" s="343"/>
      <x:c r="K257" s="343"/>
      <x:c r="L257" s="343"/>
      <x:c r="M257" s="343"/>
      <x:c r="N257" s="338"/>
      <x:c r="O257" s="342"/>
      <x:c r="P257" s="342"/>
      <x:c r="Q257" s="342"/>
      <x:c r="R257" s="342"/>
      <x:c r="S257" s="342"/>
      <x:c r="T257" s="342"/>
      <x:c r="U257" s="342"/>
      <x:c r="V257" s="342"/>
      <x:c r="W257" s="342"/>
      <x:c r="X257" s="342"/>
      <x:c r="Y257" s="342"/>
      <x:c r="Z257" s="342"/>
      <x:c r="AA257" s="342"/>
      <x:c r="AB257" s="342"/>
      <x:c r="AC257" s="342"/>
      <x:c r="AD257" s="342"/>
      <x:c r="AE257" s="342"/>
      <x:c r="AF257" s="342"/>
      <x:c r="AG257" s="342"/>
      <x:c r="AH257" s="342"/>
    </x:row>
    <x:row r="258" ht="20" customHeight="1">
      <x:c r="A258" s="30" t="str">
        <x:v>Source Register / Evidence Framework</x:v>
      </x:c>
      <x:c r="B258" s="30"/>
      <x:c r="C258" s="30"/>
      <x:c r="D258" s="175"/>
      <x:c r="E258" s="175"/>
      <x:c r="F258" s="175"/>
      <x:c r="G258" s="175"/>
      <x:c r="H258" s="175"/>
      <x:c r="I258" s="175"/>
      <x:c r="J258" s="175"/>
      <x:c r="K258" s="175"/>
      <x:c r="L258" s="175"/>
      <x:c r="M258" s="175"/>
      <x:c r="N258" s="223"/>
      <x:c r="O258" s="30"/>
      <x:c r="P258" s="444"/>
      <x:c r="Q258" s="444"/>
      <x:c r="R258" s="444"/>
      <x:c r="S258" s="444"/>
      <x:c r="T258" s="444"/>
      <x:c r="U258" s="444"/>
      <x:c r="V258" s="444"/>
      <x:c r="W258" s="444"/>
      <x:c r="X258" s="444"/>
      <x:c r="Y258" s="444"/>
      <x:c r="Z258" s="444"/>
      <x:c r="AA258" s="444"/>
      <x:c r="AB258" s="444"/>
      <x:c r="AC258" s="444"/>
      <x:c r="AD258" s="444"/>
      <x:c r="AE258" s="444"/>
      <x:c r="AF258" s="444"/>
      <x:c r="AG258" s="444"/>
      <x:c r="AH258" s="444"/>
    </x:row>
    <x:row r="259">
      <x:c r="A259" s="160" t="str">
        <x:v>ID</x:v>
      </x:c>
      <x:c r="B259" s="15" t="str">
        <x:v>Source Type</x:v>
      </x:c>
      <x:c r="C259" s="15" t="str">
        <x:v>Document / Webpage</x:v>
      </x:c>
      <x:c r="D259" s="168" t="str">
        <x:v>Period</x:v>
      </x:c>
      <x:c r="E259" s="168" t="str">
        <x:v>Primary Use</x:v>
      </x:c>
      <x:c r="F259" s="168" t="str">
        <x:v>Source URL</x:v>
      </x:c>
      <x:c r="G259" s="168" t="str">
        <x:v>Evidence Quality</x:v>
      </x:c>
      <x:c r="H259" s="168" t="str">
        <x:v>Notes</x:v>
      </x:c>
      <x:c r="I259" s="343"/>
      <x:c r="J259" s="343"/>
      <x:c r="K259" s="343"/>
      <x:c r="L259" s="343"/>
      <x:c r="M259" s="343"/>
      <x:c r="N259" s="338"/>
      <x:c r="O259" s="342"/>
      <x:c r="P259" s="342"/>
      <x:c r="Q259" s="342"/>
      <x:c r="R259" s="342"/>
      <x:c r="S259" s="342"/>
      <x:c r="T259" s="342"/>
      <x:c r="U259" s="342"/>
      <x:c r="V259" s="342"/>
      <x:c r="W259" s="342"/>
      <x:c r="X259" s="342"/>
      <x:c r="Y259" s="342"/>
      <x:c r="Z259" s="342"/>
      <x:c r="AA259" s="342"/>
      <x:c r="AB259" s="342"/>
      <x:c r="AC259" s="342"/>
      <x:c r="AD259" s="342"/>
      <x:c r="AE259" s="342"/>
      <x:c r="AF259" s="342"/>
      <x:c r="AG259" s="342"/>
      <x:c r="AH259" s="342"/>
    </x:row>
    <x:row r="260">
      <x:c r="A260" s="337" t="str">
        <x:v>S1</x:v>
      </x:c>
      <x:c r="B260" s="338" t="str">
        <x:v>Company filing</x:v>
      </x:c>
      <x:c r="C260" s="338" t="str">
        <x:v>Integrated Annual Report FY2025-26</x:v>
      </x:c>
      <x:c r="D260" s="352" t="str">
        <x:v>FY26</x:v>
      </x:c>
      <x:c r="E260" s="352" t="str">
        <x:v>Capacity, capex, financials, peptide / R&amp;D capability</x:v>
      </x:c>
      <x:c r="F260" s="352" t="str">
        <x:v>https://www.neulandlabs.com/en/investors/financials-and-reports/annual-report</x:v>
      </x:c>
      <x:c r="G260" s="352" t="str">
        <x:v>Primary</x:v>
      </x:c>
      <x:c r="H260" s="352" t="str">
        <x:v>Audited / company-confirmed.</x:v>
      </x:c>
      <x:c r="I260" s="343"/>
      <x:c r="J260" s="343"/>
      <x:c r="K260" s="343"/>
      <x:c r="L260" s="343"/>
      <x:c r="M260" s="343"/>
      <x:c r="N260" s="338"/>
      <x:c r="O260" s="342"/>
      <x:c r="P260" s="342"/>
      <x:c r="Q260" s="342"/>
      <x:c r="R260" s="342"/>
      <x:c r="S260" s="342"/>
      <x:c r="T260" s="342"/>
      <x:c r="U260" s="342"/>
      <x:c r="V260" s="342"/>
      <x:c r="W260" s="342"/>
      <x:c r="X260" s="342"/>
      <x:c r="Y260" s="342"/>
      <x:c r="Z260" s="342"/>
      <x:c r="AA260" s="342"/>
      <x:c r="AB260" s="342"/>
      <x:c r="AC260" s="342"/>
      <x:c r="AD260" s="342"/>
      <x:c r="AE260" s="342"/>
      <x:c r="AF260" s="342"/>
      <x:c r="AG260" s="342"/>
      <x:c r="AH260" s="342"/>
    </x:row>
    <x:row r="261">
      <x:c r="A261" s="337" t="str">
        <x:v>S2</x:v>
      </x:c>
      <x:c r="B261" s="338" t="str">
        <x:v>Company filing</x:v>
      </x:c>
      <x:c r="C261" s="338" t="str">
        <x:v>Integrated Annual Report FY2024-25</x:v>
      </x:c>
      <x:c r="D261" s="352" t="str">
        <x:v>FY25</x:v>
      </x:c>
      <x:c r="E261" s="352" t="str">
        <x:v>Capex, Unit III build, historical returns</x:v>
      </x:c>
      <x:c r="F261" s="352" t="str">
        <x:v>https://www.neulandlabs.com/en/investors/financials-and-reports/annual-report</x:v>
      </x:c>
      <x:c r="G261" s="352" t="str">
        <x:v>Primary</x:v>
      </x:c>
      <x:c r="H261" s="352" t="str">
        <x:v>Audited / company-confirmed.</x:v>
      </x:c>
      <x:c r="I261" s="343"/>
      <x:c r="J261" s="343"/>
      <x:c r="K261" s="343"/>
      <x:c r="L261" s="343"/>
      <x:c r="M261" s="343"/>
      <x:c r="N261" s="338"/>
      <x:c r="O261" s="342"/>
      <x:c r="P261" s="342"/>
      <x:c r="Q261" s="342"/>
      <x:c r="R261" s="342"/>
      <x:c r="S261" s="342"/>
      <x:c r="T261" s="342"/>
      <x:c r="U261" s="342"/>
      <x:c r="V261" s="342"/>
      <x:c r="W261" s="342"/>
      <x:c r="X261" s="342"/>
      <x:c r="Y261" s="342"/>
      <x:c r="Z261" s="342"/>
      <x:c r="AA261" s="342"/>
      <x:c r="AB261" s="342"/>
      <x:c r="AC261" s="342"/>
      <x:c r="AD261" s="342"/>
      <x:c r="AE261" s="342"/>
      <x:c r="AF261" s="342"/>
      <x:c r="AG261" s="342"/>
      <x:c r="AH261" s="342"/>
    </x:row>
    <x:row r="262">
      <x:c r="A262" s="337" t="str">
        <x:v>S3</x:v>
      </x:c>
      <x:c r="B262" s="338" t="str">
        <x:v>Company presentation</x:v>
      </x:c>
      <x:c r="C262" s="338" t="str">
        <x:v>Investor presentations</x:v>
      </x:c>
      <x:c r="D262" s="352" t="str">
        <x:v>FY25–FY26</x:v>
      </x:c>
      <x:c r="E262" s="352" t="str">
        <x:v>Segment mix, CMS funnel, capex / WC</x:v>
      </x:c>
      <x:c r="F262" s="352" t="str">
        <x:v>https://www.neulandlabs.com/en/investors/investor-meetings/investor-presentations</x:v>
      </x:c>
      <x:c r="G262" s="352" t="str">
        <x:v>Primary</x:v>
      </x:c>
      <x:c r="H262" s="352" t="str">
        <x:v>Rounded segment mix; no false precision.</x:v>
      </x:c>
      <x:c r="I262" s="343"/>
      <x:c r="J262" s="343"/>
      <x:c r="K262" s="343"/>
      <x:c r="L262" s="343"/>
      <x:c r="M262" s="343"/>
      <x:c r="N262" s="338"/>
      <x:c r="O262" s="342"/>
      <x:c r="P262" s="342"/>
      <x:c r="Q262" s="342"/>
      <x:c r="R262" s="342"/>
      <x:c r="S262" s="342"/>
      <x:c r="T262" s="342"/>
      <x:c r="U262" s="342"/>
      <x:c r="V262" s="342"/>
      <x:c r="W262" s="342"/>
      <x:c r="X262" s="342"/>
      <x:c r="Y262" s="342"/>
      <x:c r="Z262" s="342"/>
      <x:c r="AA262" s="342"/>
      <x:c r="AB262" s="342"/>
      <x:c r="AC262" s="342"/>
      <x:c r="AD262" s="342"/>
      <x:c r="AE262" s="342"/>
      <x:c r="AF262" s="342"/>
      <x:c r="AG262" s="342"/>
      <x:c r="AH262" s="342"/>
    </x:row>
    <x:row r="263">
      <x:c r="A263" s="337" t="str">
        <x:v>S4</x:v>
      </x:c>
      <x:c r="B263" s="338" t="str">
        <x:v>Company transcript</x:v>
      </x:c>
      <x:c r="C263" s="338" t="str">
        <x:v>Earnings-call transcripts</x:v>
      </x:c>
      <x:c r="D263" s="352" t="str">
        <x:v>FY25–FY26</x:v>
      </x:c>
      <x:c r="E263" s="352" t="str">
        <x:v>Facility timing, demand backing, peptide customer interest</x:v>
      </x:c>
      <x:c r="F263" s="352" t="str">
        <x:v>https://www.neulandlabs.com/en/investors/investor-meetings/transcripts</x:v>
      </x:c>
      <x:c r="G263" s="352" t="str">
        <x:v>Primary / supporting</x:v>
      </x:c>
      <x:c r="H263" s="352" t="str">
        <x:v>Management does not disclose CMS molecule-specific capacity.</x:v>
      </x:c>
      <x:c r="I263" s="343"/>
      <x:c r="J263" s="343"/>
      <x:c r="K263" s="343"/>
      <x:c r="L263" s="343"/>
      <x:c r="M263" s="343"/>
      <x:c r="N263" s="338"/>
      <x:c r="O263" s="342"/>
      <x:c r="P263" s="342"/>
      <x:c r="Q263" s="342"/>
      <x:c r="R263" s="342"/>
      <x:c r="S263" s="342"/>
      <x:c r="T263" s="342"/>
      <x:c r="U263" s="342"/>
      <x:c r="V263" s="342"/>
      <x:c r="W263" s="342"/>
      <x:c r="X263" s="342"/>
      <x:c r="Y263" s="342"/>
      <x:c r="Z263" s="342"/>
      <x:c r="AA263" s="342"/>
      <x:c r="AB263" s="342"/>
      <x:c r="AC263" s="342"/>
      <x:c r="AD263" s="342"/>
      <x:c r="AE263" s="342"/>
      <x:c r="AF263" s="342"/>
      <x:c r="AG263" s="342"/>
      <x:c r="AH263" s="342"/>
    </x:row>
    <x:row r="264">
      <x:c r="A264" s="337" t="str">
        <x:v>S5</x:v>
      </x:c>
      <x:c r="B264" s="338" t="str">
        <x:v>Company case study</x:v>
      </x:c>
      <x:c r="C264" s="338" t="str">
        <x:v>Neuland–Esperion bempedoic acid supply case study</x:v>
      </x:c>
      <x:c r="D264" s="352" t="str">
        <x:v>2019 onward</x:v>
      </x:c>
      <x:c r="E264" s="352" t="str">
        <x:v>Bempedoic relationship confirmation</x:v>
      </x:c>
      <x:c r="F264" s="352" t="str">
        <x:v>https://www.neulandlabs.com/en/insights/stories/advancing-cholesterol-lowering-drug-height-pandemic</x:v>
      </x:c>
      <x:c r="G264" s="352" t="str">
        <x:v>Primary</x:v>
      </x:c>
      <x:c r="H264" s="352" t="str">
        <x:v>High-confidence CMS molecule link.</x:v>
      </x:c>
      <x:c r="I264" s="343"/>
      <x:c r="J264" s="343"/>
      <x:c r="K264" s="343"/>
      <x:c r="L264" s="343"/>
      <x:c r="M264" s="343"/>
      <x:c r="N264" s="338"/>
      <x:c r="O264" s="342"/>
      <x:c r="P264" s="342"/>
      <x:c r="Q264" s="342"/>
      <x:c r="R264" s="342"/>
      <x:c r="S264" s="342"/>
      <x:c r="T264" s="342"/>
      <x:c r="U264" s="342"/>
      <x:c r="V264" s="342"/>
      <x:c r="W264" s="342"/>
      <x:c r="X264" s="342"/>
      <x:c r="Y264" s="342"/>
      <x:c r="Z264" s="342"/>
      <x:c r="AA264" s="342"/>
      <x:c r="AB264" s="342"/>
      <x:c r="AC264" s="342"/>
      <x:c r="AD264" s="342"/>
      <x:c r="AE264" s="342"/>
      <x:c r="AF264" s="342"/>
      <x:c r="AG264" s="342"/>
      <x:c r="AH264" s="342"/>
    </x:row>
    <x:row r="265">
      <x:c r="A265" s="337" t="str">
        <x:v>S6</x:v>
      </x:c>
      <x:c r="B265" s="338" t="str">
        <x:v>Analyst model</x:v>
      </x:c>
      <x:c r="C265" s="338" t="str">
        <x:v>GPT_Neuland_Model.xlsx</x:v>
      </x:c>
      <x:c r="D265" s="352" t="str">
        <x:v>FY24A–FY35E</x:v>
      </x:c>
      <x:c r="E265" s="352" t="str">
        <x:v>Forward sales, P&amp;L, PP&amp;E/CWIP/capex, returns cross-check</x:v>
      </x:c>
      <x:c r="F265" s="352" t="str">
        <x:v>Hardcoded into this workbook; no external links</x:v>
      </x:c>
      <x:c r="G265" s="352" t="str">
        <x:v>Analyst estimate</x:v>
      </x:c>
      <x:c r="H265" s="352" t="str">
        <x:v>Molecule revenues are analyst estimates, not company-reported.</x:v>
      </x:c>
      <x:c r="I265" s="343"/>
      <x:c r="J265" s="343"/>
      <x:c r="K265" s="343"/>
      <x:c r="L265" s="343"/>
      <x:c r="M265" s="343"/>
      <x:c r="N265" s="338"/>
      <x:c r="O265" s="342"/>
      <x:c r="P265" s="342"/>
      <x:c r="Q265" s="342"/>
      <x:c r="R265" s="342"/>
      <x:c r="S265" s="342"/>
      <x:c r="T265" s="342"/>
      <x:c r="U265" s="342"/>
      <x:c r="V265" s="342"/>
      <x:c r="W265" s="342"/>
      <x:c r="X265" s="342"/>
      <x:c r="Y265" s="342"/>
      <x:c r="Z265" s="342"/>
      <x:c r="AA265" s="342"/>
      <x:c r="AB265" s="342"/>
      <x:c r="AC265" s="342"/>
      <x:c r="AD265" s="342"/>
      <x:c r="AE265" s="342"/>
      <x:c r="AF265" s="342"/>
      <x:c r="AG265" s="342"/>
      <x:c r="AH265" s="342"/>
    </x:row>
  </x:sheetData>
  <x:mergeCells>
    <x:mergeCell ref="A1:O1"/>
    <x:mergeCell ref="A2:O2"/>
    <x:mergeCell ref="A5:O5"/>
    <x:mergeCell ref="A51:O51"/>
    <x:mergeCell ref="A69:O69"/>
    <x:mergeCell ref="A80:AH80"/>
    <x:mergeCell ref="A90:O90"/>
    <x:mergeCell ref="A98:O98"/>
    <x:mergeCell ref="A117:O117"/>
    <x:mergeCell ref="A127:O127"/>
    <x:mergeCell ref="A141:O141"/>
    <x:mergeCell ref="A158:O158"/>
    <x:mergeCell ref="A173:O173"/>
    <x:mergeCell ref="A183:O183"/>
    <x:mergeCell ref="A193:O193"/>
    <x:mergeCell ref="A201:O201"/>
    <x:mergeCell ref="A214:O214"/>
    <x:mergeCell ref="A226:O226"/>
    <x:mergeCell ref="A235:O235"/>
    <x:mergeCell ref="A245:O245"/>
    <x:mergeCell ref="A258:O258"/>
    <x:mergeCell ref="Q53:Z55"/>
  </x:mergeCells>
  <x:pageMargins left="0.7" right="0.7" top="0.75" bottom="0.75" header="0.3" footer="0.3"/>
  <x:drawing xmlns:r="http://schemas.openxmlformats.org/officeDocument/2006/relationships" r:id="R4c56c7b07f5748fc"/>
</x:worksheet>
</file>