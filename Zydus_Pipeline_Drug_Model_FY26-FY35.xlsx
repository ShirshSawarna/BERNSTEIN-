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1.xml" ContentType="application/vnd.openxmlformats-officedocument.spreadsheetml.worksheet+xml"/>
  <Override PartName="/xl/worksheets/sheet6.xml" ContentType="application/vnd.openxmlformats-officedocument.spreadsheetml.worksheet+xml"/>
  <Override PartName="/xl/worksheets/sheet5.xml" ContentType="application/vnd.openxmlformats-officedocument.spreadsheetml.worksheet+xml"/>
  <Override PartName="/xl/worksheets/sheet14.xml" ContentType="application/vnd.openxmlformats-officedocument.spreadsheetml.worksheet+xml"/>
  <Override PartName="/xl/worksheets/sheet7.xml" ContentType="application/vnd.openxmlformats-officedocument.spreadsheetml.worksheet+xml"/>
  <Override PartName="/xl/worksheets/sheet4.xml" ContentType="application/vnd.openxmlformats-officedocument.spreadsheetml.worksheet+xml"/>
  <Override PartName="/xl/worksheets/sheet3.xml" ContentType="application/vnd.openxmlformats-officedocument.spreadsheetml.worksheet+xml"/>
  <Override PartName="/xl/worksheets/sheet13.xml" ContentType="application/vnd.openxmlformats-officedocument.spreadsheetml.worksheet+xml"/>
  <Override PartName="/xl/worksheets/sheet25.xml" ContentType="application/vnd.openxmlformats-officedocument.spreadsheetml.worksheet+xml"/>
  <Override PartName="/xl/worksheets/sheet10.xml" ContentType="application/vnd.openxmlformats-officedocument.spreadsheetml.worksheet+xml"/>
  <Override PartName="/xl/worksheets/sheet16.xml" ContentType="application/vnd.openxmlformats-officedocument.spreadsheetml.worksheet+xml"/>
  <Override PartName="/xl/worksheets/sheet23.xml" ContentType="application/vnd.openxmlformats-officedocument.spreadsheetml.worksheet+xml"/>
  <Override PartName="/xl/worksheets/sheet9.xml" ContentType="application/vnd.openxmlformats-officedocument.spreadsheetml.worksheet+xml"/>
  <Override PartName="/xl/worksheets/sheet17.xml" ContentType="application/vnd.openxmlformats-officedocument.spreadsheetml.worksheet+xml"/>
  <Override PartName="/xl/worksheets/sheet12.xml" ContentType="application/vnd.openxmlformats-officedocument.spreadsheetml.worksheet+xml"/>
  <Override PartName="/xl/worksheets/sheet22.xml" ContentType="application/vnd.openxmlformats-officedocument.spreadsheetml.worksheet+xml"/>
  <Override PartName="/xl/worksheets/sheet21.xml" ContentType="application/vnd.openxmlformats-officedocument.spreadsheetml.worksheet+xml"/>
  <Override PartName="/xl/worksheets/sheet8.xml" ContentType="application/vnd.openxmlformats-officedocument.spreadsheetml.worksheet+xml"/>
  <Override PartName="/xl/worksheets/sheet24.xml" ContentType="application/vnd.openxmlformats-officedocument.spreadsheetml.worksheet+xml"/>
  <Override PartName="/xl/worksheets/sheet15.xml" ContentType="application/vnd.openxmlformats-officedocument.spreadsheetml.worksheet+xml"/>
  <Override PartName="/xl/worksheets/sheet20.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18.xml" ContentType="application/vnd.openxmlformats-officedocument.spreadsheetml.worksheet+xml"/>
  <Override PartName="/xl/worksheets/sheet1.xml" ContentType="application/vnd.openxmlformats-officedocument.spreadsheetml.worksheet+xml"/>
  <Override PartName="/xl/sharedStrings.xml" ContentType="application/vnd.openxmlformats-officedocument.spreadsheetml.sharedStrings+xml"/>
  <Override PartName="/xl/drawings/drawing4.xml" ContentType="application/vnd.openxmlformats-officedocument.drawing+xml"/>
  <Override PartName="/xl/drawings/drawing20.xml" ContentType="application/vnd.openxmlformats-officedocument.drawing+xml"/>
  <Override PartName="/xl/drawings/drawing12.xml" ContentType="application/vnd.openxmlformats-officedocument.drawing+xml"/>
  <Override PartName="/xl/drawings/drawing3.xml" ContentType="application/vnd.openxmlformats-officedocument.drawing+xml"/>
  <Override PartName="/xl/drawings/drawing8.xml" ContentType="application/vnd.openxmlformats-officedocument.drawing+xml"/>
  <Override PartName="/xl/drawings/drawing13.xml" ContentType="application/vnd.openxmlformats-officedocument.drawing+xml"/>
  <Override PartName="/xl/drawings/drawing17.xml" ContentType="application/vnd.openxmlformats-officedocument.drawing+xml"/>
  <Override PartName="/xl/drawings/drawing22.xml" ContentType="application/vnd.openxmlformats-officedocument.drawing+xml"/>
  <Override PartName="/xl/drawings/drawing19.xml" ContentType="application/vnd.openxmlformats-officedocument.drawing+xml"/>
  <Override PartName="/xl/drawings/drawing14.xml" ContentType="application/vnd.openxmlformats-officedocument.drawing+xml"/>
  <Override PartName="/xl/drawings/drawing9.xml" ContentType="application/vnd.openxmlformats-officedocument.drawing+xml"/>
  <Override PartName="/xl/drawings/drawing5.xml" ContentType="application/vnd.openxmlformats-officedocument.drawing+xml"/>
  <Override PartName="/xl/drawings/drawing11.xml" ContentType="application/vnd.openxmlformats-officedocument.drawing+xml"/>
  <Override PartName="/xl/drawings/drawing10.xml" ContentType="application/vnd.openxmlformats-officedocument.drawing+xml"/>
  <Override PartName="/xl/drawings/drawing15.xml" ContentType="application/vnd.openxmlformats-officedocument.drawing+xml"/>
  <Override PartName="/xl/drawings/drawing21.xml" ContentType="application/vnd.openxmlformats-officedocument.drawing+xml"/>
  <Override PartName="/xl/drawings/drawing6.xml" ContentType="application/vnd.openxmlformats-officedocument.drawing+xml"/>
  <Override PartName="/xl/drawings/drawing16.xml" ContentType="application/vnd.openxmlformats-officedocument.drawing+xml"/>
  <Override PartName="/xl/drawings/drawing1.xml" ContentType="application/vnd.openxmlformats-officedocument.drawing+xml"/>
  <Override PartName="/xl/drawings/drawing18.xml" ContentType="application/vnd.openxmlformats-officedocument.drawing+xml"/>
  <Override PartName="/xl/drawings/drawing7.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Cover" sheetId="1" state="visible" r:id="rId3"/>
    <sheet name="Summary" sheetId="2" state="visible" r:id="rId4"/>
    <sheet name="Global Assump" sheetId="3" state="visible" r:id="rId5"/>
    <sheet name="Saroglitazar" sheetId="4" state="visible" r:id="rId6"/>
    <sheet name="Usnoflast" sheetId="5" state="visible" r:id="rId7"/>
    <sheet name="Palbociclib" sheetId="6" state="visible" r:id="rId8"/>
    <sheet name="Olaparib" sheetId="7" state="visible" r:id="rId9"/>
    <sheet name="Ozanimod" sheetId="8" state="visible" r:id="rId10"/>
    <sheet name="Letermovir" sheetId="9" state="visible" r:id="rId11"/>
    <sheet name="Rifaximin" sheetId="10" state="visible" r:id="rId12"/>
    <sheet name="Ibrutinib" sheetId="11" state="visible" r:id="rId13"/>
    <sheet name="Cabozantinib" sheetId="12" state="visible" r:id="rId14"/>
    <sheet name="ZITUVIO Family" sheetId="13" state="visible" r:id="rId15"/>
    <sheet name="BEIZRAY" sheetId="14" state="visible" r:id="rId16"/>
    <sheet name="Synthon 505b2" sheetId="15" state="visible" r:id="rId17"/>
    <sheet name="NUFYMCO" sheetId="16" state="visible" r:id="rId18"/>
    <sheet name="FYB206 Pembro" sheetId="17" state="visible" r:id="rId19"/>
    <sheet name="RK Pharma Asset" sheetId="18" state="visible" r:id="rId20"/>
    <sheet name="LiqMeds" sheetId="19" state="visible" r:id="rId21"/>
    <sheet name="Sentynl Orphans" sheetId="20" state="visible" r:id="rId22"/>
    <sheet name="ROLVEDON" sheetId="21" state="visible" r:id="rId23"/>
    <sheet name="Zylidac BOT-BAL" sheetId="22" state="visible" r:id="rId24"/>
    <sheet name="Tishtha" sheetId="23" state="visible" r:id="rId25"/>
    <sheet name="Semaglutide India" sheetId="24" state="visible" r:id="rId26"/>
    <sheet name="Sources" sheetId="25" state="visible" r:id="rId27"/>
  </sheets>
  <definedNames>
    <definedName function="false" hidden="false" localSheetId="13" name="_xlnm.Print_Area" vbProcedure="false">BEIZRAY!$A$1:$M$44</definedName>
    <definedName function="false" hidden="true" localSheetId="13" name="_xlnm._FilterDatabase" vbProcedure="false">BEIZRAY!$A$19:$M$44</definedName>
    <definedName function="false" hidden="false" localSheetId="11" name="_xlnm.Print_Area" vbProcedure="false">Cabozantinib!$A$1:$M$44</definedName>
    <definedName function="false" hidden="true" localSheetId="11" name="_xlnm._FilterDatabase" vbProcedure="false">Cabozantinib!$A$19:$M$44</definedName>
    <definedName function="false" hidden="false" localSheetId="0" name="_xlnm.Print_Area" vbProcedure="false">Cover!$A$1:$D$20</definedName>
    <definedName function="false" hidden="false" localSheetId="16" name="_xlnm.Print_Area" vbProcedure="false">'FYB206 Pembro'!$A$1:$M$44</definedName>
    <definedName function="false" hidden="true" localSheetId="16" name="_xlnm._FilterDatabase" vbProcedure="false">'FYB206 Pembro'!$A$19:$M$44</definedName>
    <definedName function="false" hidden="false" localSheetId="2" name="_xlnm.Print_Area" vbProcedure="false">'Global Assump'!$A$1:$M$44</definedName>
    <definedName function="false" hidden="false" localSheetId="10" name="_xlnm.Print_Area" vbProcedure="false">Ibrutinib!$A$1:$M$44</definedName>
    <definedName function="false" hidden="true" localSheetId="10" name="_xlnm._FilterDatabase" vbProcedure="false">Ibrutinib!$A$19:$M$44</definedName>
    <definedName function="false" hidden="false" localSheetId="8" name="_xlnm.Print_Area" vbProcedure="false">Letermovir!$A$1:$M$44</definedName>
    <definedName function="false" hidden="true" localSheetId="8" name="_xlnm._FilterDatabase" vbProcedure="false">Letermovir!$A$19:$M$44</definedName>
    <definedName function="false" hidden="false" localSheetId="18" name="_xlnm.Print_Area" vbProcedure="false">LiqMeds!$A$1:$M$44</definedName>
    <definedName function="false" hidden="true" localSheetId="18" name="_xlnm._FilterDatabase" vbProcedure="false">LiqMeds!$A$19:$M$44</definedName>
    <definedName function="false" hidden="false" localSheetId="15" name="_xlnm.Print_Area" vbProcedure="false">NUFYMCO!$A$1:$M$44</definedName>
    <definedName function="false" hidden="true" localSheetId="15" name="_xlnm._FilterDatabase" vbProcedure="false">NUFYMCO!$A$19:$M$44</definedName>
    <definedName function="false" hidden="false" localSheetId="6" name="_xlnm.Print_Area" vbProcedure="false">Olaparib!$A$1:$M$44</definedName>
    <definedName function="false" hidden="true" localSheetId="6" name="_xlnm._FilterDatabase" vbProcedure="false">Olaparib!$A$19:$M$44</definedName>
    <definedName function="false" hidden="false" localSheetId="7" name="_xlnm.Print_Area" vbProcedure="false">Ozanimod!$A$1:$M$44</definedName>
    <definedName function="false" hidden="true" localSheetId="7" name="_xlnm._FilterDatabase" vbProcedure="false">Ozanimod!$A$19:$M$44</definedName>
    <definedName function="false" hidden="false" localSheetId="5" name="_xlnm.Print_Area" vbProcedure="false">Palbociclib!$A$1:$M$44</definedName>
    <definedName function="false" hidden="true" localSheetId="5" name="_xlnm._FilterDatabase" vbProcedure="false">Palbociclib!$A$19:$M$44</definedName>
    <definedName function="false" hidden="false" localSheetId="9" name="_xlnm.Print_Area" vbProcedure="false">Rifaximin!$A$1:$M$44</definedName>
    <definedName function="false" hidden="true" localSheetId="9" name="_xlnm._FilterDatabase" vbProcedure="false">Rifaximin!$A$19:$M$44</definedName>
    <definedName function="false" hidden="false" localSheetId="17" name="_xlnm.Print_Area" vbProcedure="false">'RK Pharma Asset'!$A$1:$M$44</definedName>
    <definedName function="false" hidden="true" localSheetId="17" name="_xlnm._FilterDatabase" vbProcedure="false">'RK Pharma Asset'!$A$19:$M$44</definedName>
    <definedName function="false" hidden="false" localSheetId="20" name="_xlnm.Print_Area" vbProcedure="false">ROLVEDON!$A$1:$M$44</definedName>
    <definedName function="false" hidden="true" localSheetId="20" name="_xlnm._FilterDatabase" vbProcedure="false">ROLVEDON!$A$19:$M$44</definedName>
    <definedName function="false" hidden="false" localSheetId="3" name="_xlnm.Print_Area" vbProcedure="false">Saroglitazar!$A$1:$M$44</definedName>
    <definedName function="false" hidden="true" localSheetId="3" name="_xlnm._FilterDatabase" vbProcedure="false">Saroglitazar!$A$19:$M$44</definedName>
    <definedName function="false" hidden="false" localSheetId="23" name="_xlnm.Print_Area" vbProcedure="false">'Semaglutide India'!$A$1:$M$44</definedName>
    <definedName function="false" hidden="true" localSheetId="23" name="_xlnm._FilterDatabase" vbProcedure="false">'Semaglutide India'!$A$19:$M$44</definedName>
    <definedName function="false" hidden="false" localSheetId="19" name="_xlnm.Print_Area" vbProcedure="false">'Sentynl Orphans'!$A$1:$M$44</definedName>
    <definedName function="false" hidden="true" localSheetId="19" name="_xlnm._FilterDatabase" vbProcedure="false">'Sentynl Orphans'!$A$19:$M$44</definedName>
    <definedName function="false" hidden="false" localSheetId="24" name="_xlnm.Print_Area" vbProcedure="false">Sources!$A$1:$D$13</definedName>
    <definedName function="false" hidden="false" localSheetId="1" name="_xlnm.Print_Area" vbProcedure="false">Summary!$A$1:$T$57</definedName>
    <definedName function="false" hidden="true" localSheetId="1" name="_xlnm._FilterDatabase" vbProcedure="false">Summary!$A$22:$T$43</definedName>
    <definedName function="false" hidden="false" localSheetId="14" name="_xlnm.Print_Area" vbProcedure="false">'Synthon 505b2'!$A$1:$M$44</definedName>
    <definedName function="false" hidden="true" localSheetId="14" name="_xlnm._FilterDatabase" vbProcedure="false">'Synthon 505b2'!$A$19:$M$44</definedName>
    <definedName function="false" hidden="false" localSheetId="22" name="_xlnm.Print_Area" vbProcedure="false">Tishtha!$A$1:$M$44</definedName>
    <definedName function="false" hidden="true" localSheetId="22" name="_xlnm._FilterDatabase" vbProcedure="false">Tishtha!$A$19:$M$44</definedName>
    <definedName function="false" hidden="false" localSheetId="4" name="_xlnm.Print_Area" vbProcedure="false">Usnoflast!$A$1:$M$44</definedName>
    <definedName function="false" hidden="true" localSheetId="4" name="_xlnm._FilterDatabase" vbProcedure="false">Usnoflast!$A$19:$M$44</definedName>
    <definedName function="false" hidden="false" localSheetId="12" name="_xlnm.Print_Area" vbProcedure="false">'ZITUVIO Family'!$A$1:$M$44</definedName>
    <definedName function="false" hidden="true" localSheetId="12" name="_xlnm._FilterDatabase" vbProcedure="false">'ZITUVIO Family'!$A$19:$M$44</definedName>
    <definedName function="false" hidden="false" localSheetId="21" name="_xlnm.Print_Area" vbProcedure="false">'Zylidac BOT-BAL'!$A$1:$M$44</definedName>
    <definedName function="false" hidden="true" localSheetId="21" name="_xlnm._FilterDatabase" vbProcedure="false">'Zylidac BOT-BAL'!$A$19:$M$44</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<sst xmlns="http://schemas.openxmlformats.org/spreadsheetml/2006/main" count="2067" uniqueCount="486">
  <si>
    <t xml:space="preserve">ZYDUS LIFESCIENCES
DRUG-BY-DRUG PIPELINE MODEL</t>
  </si>
  <si>
    <t xml:space="preserve">FY26A-FY35E | First-principles sales, Zydus revenue capture, probability adjustment and contribution profit</t>
  </si>
  <si>
    <t xml:space="preserve">What this model does</t>
  </si>
  <si>
    <t xml:space="preserve">Builds each disclosed or material pipeline asset from patients, market sales, product count, units, pricing, share and partner economics. It then reconciles model outputs to the revenue ranges in the detailed note.</t>
  </si>
  <si>
    <t xml:space="preserve">How to use it</t>
  </si>
  <si>
    <t xml:space="preserve">Edit blue cells only. Every asset sheet has an inclusion toggle, launch curve, economics share, probability of success and margin. The Summary sheet pulls all product tabs and exposes reported and risk-adjusted revenue side by side.</t>
  </si>
  <si>
    <t xml:space="preserve">Critical caveat</t>
  </si>
  <si>
    <t xml:space="preserve">RK Pharma's molecule is not publicly disclosed. The workbook labels it as undisclosed and uses the disclosed 6.2m-unit addressable market. This is deliberate: the model remains decision-useful without inventing a product name.</t>
  </si>
  <si>
    <t xml:space="preserve">Portfolio read-through</t>
  </si>
  <si>
    <t xml:space="preserve">The near-term bridge is diversified across palbociclib, olaparib, Saroglitazar, ROLVEDON, NUFYMCO, 505(b)(2)/LiqMeds and biologics CDMO. FYB206 and Usnoflast are larger long-duration assets but should be valued with explicit probability and timing discounts.</t>
  </si>
  <si>
    <t xml:space="preserve">Prepared from the manager message, Zydus Detailed Note dated 6 September 2026, company disclosures and primary-source checks.</t>
  </si>
  <si>
    <t xml:space="preserve">Zydus pipeline model | Consolidated revenue bridge</t>
  </si>
  <si>
    <t xml:space="preserve">Reported revenue shows the commercial trajectory. Risk-adjusted revenue applies current product-specific probability of success. US$ millions unless stated.</t>
  </si>
  <si>
    <t xml:space="preserve">PORTFOLIO OUTPUTS</t>
  </si>
  <si>
    <t xml:space="preserve">Metric</t>
  </si>
  <si>
    <t xml:space="preserve">Units</t>
  </si>
  <si>
    <t xml:space="preserve">FY26A</t>
  </si>
  <si>
    <t xml:space="preserve">FY27E</t>
  </si>
  <si>
    <t xml:space="preserve">FY28E</t>
  </si>
  <si>
    <t xml:space="preserve">FY29E</t>
  </si>
  <si>
    <t xml:space="preserve">FY30E</t>
  </si>
  <si>
    <t xml:space="preserve">FY31E</t>
  </si>
  <si>
    <t xml:space="preserve">FY32E</t>
  </si>
  <si>
    <t xml:space="preserve">FY33E</t>
  </si>
  <si>
    <t xml:space="preserve">FY34E</t>
  </si>
  <si>
    <t xml:space="preserve">FY35E</t>
  </si>
  <si>
    <t xml:space="preserve">Total reported revenue</t>
  </si>
  <si>
    <t xml:space="preserve">$m</t>
  </si>
  <si>
    <t xml:space="preserve">Total risk-adjusted revenue</t>
  </si>
  <si>
    <t xml:space="preserve">Total contribution profit</t>
  </si>
  <si>
    <t xml:space="preserve">Risk-adjusted contribution profit</t>
  </si>
  <si>
    <t xml:space="preserve">INRm</t>
  </si>
  <si>
    <t xml:space="preserve">RISK-ADJUSTED REVENUE BY CATEGORY</t>
  </si>
  <si>
    <t xml:space="preserve">Category</t>
  </si>
  <si>
    <t xml:space="preserve">NCE / innovation</t>
  </si>
  <si>
    <t xml:space="preserve">Paragraph IV / complex generic</t>
  </si>
  <si>
    <t xml:space="preserve">505(b)(2) / differentiated</t>
  </si>
  <si>
    <t xml:space="preserve">Acquired specialty / orphan</t>
  </si>
  <si>
    <t xml:space="preserve">Acquired specialty / oncology supportive care</t>
  </si>
  <si>
    <t xml:space="preserve">Biologics CDMO / innovation</t>
  </si>
  <si>
    <t xml:space="preserve">ASSET-BY-ASSET REPORTED REVENUE TRAJECTORY</t>
  </si>
  <si>
    <t xml:space="preserve">Asset</t>
  </si>
  <si>
    <t xml:space="preserve">Geography</t>
  </si>
  <si>
    <t xml:space="preserve">Status / launch</t>
  </si>
  <si>
    <t xml:space="preserve">Confidence</t>
  </si>
  <si>
    <t xml:space="preserve">Report benchmark</t>
  </si>
  <si>
    <t xml:space="preserve">Model peak</t>
  </si>
  <si>
    <t xml:space="preserve">Range check</t>
  </si>
  <si>
    <t xml:space="preserve">FY29 contrib.</t>
  </si>
  <si>
    <t xml:space="preserve">Include</t>
  </si>
  <si>
    <t xml:space="preserve">Saroglitazar | US PBC</t>
  </si>
  <si>
    <t xml:space="preserve">US</t>
  </si>
  <si>
    <t xml:space="preserve">PDUFA 27-Nov-2026; target launch Apr-2027 (FY28)</t>
  </si>
  <si>
    <t xml:space="preserve">High</t>
  </si>
  <si>
    <t xml:space="preserve">$200-300m Peak</t>
  </si>
  <si>
    <t xml:space="preserve">Usnoflast | US ALS</t>
  </si>
  <si>
    <t xml:space="preserve">Phase IIb UNITE-ALS; CY28 readout; launch FY33 earliest</t>
  </si>
  <si>
    <t xml:space="preserve">Medium</t>
  </si>
  <si>
    <t xml:space="preserve">$300-500m Peak</t>
  </si>
  <si>
    <t xml:space="preserve">Palbociclib | Paragraph IV</t>
  </si>
  <si>
    <t xml:space="preserve">Synthon sole first applicant for tablets; modeled launch FY28</t>
  </si>
  <si>
    <t xml:space="preserve">$120-180m Peak</t>
  </si>
  <si>
    <t xml:space="preserve">Olaparib | Paragraph IV</t>
  </si>
  <si>
    <t xml:space="preserve">Earliest plausible entry Sep-2027; modeled FY28 partial-year launch</t>
  </si>
  <si>
    <t xml:space="preserve">$60-100m Peak</t>
  </si>
  <si>
    <t xml:space="preserve">Ozanimod | Synthon Paragraph IV</t>
  </si>
  <si>
    <t xml:space="preserve">Partnered with Synthon; modeled launch FY30</t>
  </si>
  <si>
    <t xml:space="preserve">$40-70m Peak</t>
  </si>
  <si>
    <t xml:space="preserve">Letermovir | Paragraph IV</t>
  </si>
  <si>
    <t xml:space="preserve">Transplant anti-infective; modeled launch FY29</t>
  </si>
  <si>
    <t xml:space="preserve">$20-40m Peak</t>
  </si>
  <si>
    <t xml:space="preserve">Rifaximin 550mg | Paragraph IV</t>
  </si>
  <si>
    <t xml:space="preserve">Dense patent estate; modeled launch FY30</t>
  </si>
  <si>
    <t xml:space="preserve">$75-120m Peak</t>
  </si>
  <si>
    <t xml:space="preserve">Ibrutinib | Paragraph IV</t>
  </si>
  <si>
    <t xml:space="preserve">Tentative approval / later oncology opportunity; modeled FY31</t>
  </si>
  <si>
    <t xml:space="preserve">Low</t>
  </si>
  <si>
    <t xml:space="preserve">$25-50m Peak</t>
  </si>
  <si>
    <t xml:space="preserve">Cabozantinib | Paragraph IV</t>
  </si>
  <si>
    <t xml:space="preserve">Later oncology opportunity; modeled FY32</t>
  </si>
  <si>
    <t xml:space="preserve">ZITUVIO / ZITUVIMET / XR</t>
  </si>
  <si>
    <t xml:space="preserve">Commercial; existing 505(b)(2) cluster</t>
  </si>
  <si>
    <t xml:space="preserve">$30-40m Peak</t>
  </si>
  <si>
    <t xml:space="preserve">BEIZRAY | Albumin-solubilised docetaxel</t>
  </si>
  <si>
    <t xml:space="preserve">FDA-approved and launched; uptake slower than expected</t>
  </si>
  <si>
    <t xml:space="preserve">$15-25m Peak</t>
  </si>
  <si>
    <t xml:space="preserve">Synthon | Undisclosed 505(b)(2)</t>
  </si>
  <si>
    <t xml:space="preserve">Partnered, molecule undisclosed; modeled launch FY30</t>
  </si>
  <si>
    <t xml:space="preserve">$20-35m Peak</t>
  </si>
  <si>
    <t xml:space="preserve">NUFYMCO | Ranibizumab biosimilar</t>
  </si>
  <si>
    <t xml:space="preserve">Biosimilar</t>
  </si>
  <si>
    <t xml:space="preserve">FDA-approved interchangeable biosimilar; US launch ramp</t>
  </si>
  <si>
    <t xml:space="preserve">$60-90m Peak</t>
  </si>
  <si>
    <t xml:space="preserve">FYB206 | Pembrolizumab biosimilar</t>
  </si>
  <si>
    <t xml:space="preserve">Positive PK study; filing path; modeled launch FY31</t>
  </si>
  <si>
    <t xml:space="preserve">$150-250m Peak</t>
  </si>
  <si>
    <t xml:space="preserve">RK Pharma | Undisclosed oncology supportive-care injectable</t>
  </si>
  <si>
    <t xml:space="preserve">Molecule not publicly disclosed; NDA filing targeted in 2026; modeled launch FY29</t>
  </si>
  <si>
    <t xml:space="preserve">LiqMeds | Oral-liquid portfolio</t>
  </si>
  <si>
    <t xml:space="preserve">14 filings, 10 approvals, 7 launches disclosed</t>
  </si>
  <si>
    <t xml:space="preserve">$45-70m Peak</t>
  </si>
  <si>
    <t xml:space="preserve">Sentynl | Combined orphan-drug portfolio</t>
  </si>
  <si>
    <t xml:space="preserve">US / select ex-US</t>
  </si>
  <si>
    <t xml:space="preserve">Commercial: NULIBRY, ZOKINVY, ZYCUBO</t>
  </si>
  <si>
    <t xml:space="preserve">$75-90m FY29</t>
  </si>
  <si>
    <t xml:space="preserve">ROLVEDON | Long-acting G-CSF</t>
  </si>
  <si>
    <t xml:space="preserve">Commercial; Assertio acquisition; US$15-20m quarterly run-rate guided from Q2FY27</t>
  </si>
  <si>
    <t xml:space="preserve">$75-85m FY29</t>
  </si>
  <si>
    <t xml:space="preserve">Zylidac Bio | BOT/BAL CDMO + regional rights</t>
  </si>
  <si>
    <t xml:space="preserve">US manufacturing; India/Sri Lanka rights</t>
  </si>
  <si>
    <t xml:space="preserve">Two US facilities acquired; BOT/BAL manufacturing live; regional launch FY32 earliest</t>
  </si>
  <si>
    <t xml:space="preserve">$35-45m FY29</t>
  </si>
  <si>
    <t xml:space="preserve">Tishtha | India nivolumab biosimilar</t>
  </si>
  <si>
    <t xml:space="preserve">India</t>
  </si>
  <si>
    <t xml:space="preserve">Commercial launch Jan-2026</t>
  </si>
  <si>
    <t xml:space="preserve">INR2.0-3.0bn Peak</t>
  </si>
  <si>
    <t xml:space="preserve">Semaglutide | India cartridge platform</t>
  </si>
  <si>
    <t xml:space="preserve">India differentiated product</t>
  </si>
  <si>
    <t xml:space="preserve">Launched; Zydus own brands plus Lupin and Torrent co-marketing</t>
  </si>
  <si>
    <t xml:space="preserve">INR1.5-2.0bn FY28</t>
  </si>
  <si>
    <t xml:space="preserve">PORTFOLIO RECONCILIATION CHECKS</t>
  </si>
  <si>
    <t xml:space="preserve">Check</t>
  </si>
  <si>
    <t xml:space="preserve">Model value</t>
  </si>
  <si>
    <t xml:space="preserve">Result</t>
  </si>
  <si>
    <t xml:space="preserve">Comment</t>
  </si>
  <si>
    <t xml:space="preserve">Saroglitazar FY28</t>
  </si>
  <si>
    <t xml:space="preserve">$20m</t>
  </si>
  <si>
    <t xml:space="preserve">Report forecast c.US$20m</t>
  </si>
  <si>
    <t xml:space="preserve">Saroglitazar FY29</t>
  </si>
  <si>
    <t xml:space="preserve">$70m</t>
  </si>
  <si>
    <t xml:space="preserve">Report forecast c.US$70m</t>
  </si>
  <si>
    <t xml:space="preserve">NUFYMCO FY28</t>
  </si>
  <si>
    <t xml:space="preserve">Report includes c.US$20m</t>
  </si>
  <si>
    <t xml:space="preserve">Sentynl FY29</t>
  </si>
  <si>
    <t xml:space="preserve">$75-90m</t>
  </si>
  <si>
    <t xml:space="preserve">Patient-finding and treatment-duration build</t>
  </si>
  <si>
    <t xml:space="preserve">ROLVEDON FY29</t>
  </si>
  <si>
    <t xml:space="preserve">$75-85m</t>
  </si>
  <si>
    <t xml:space="preserve">Acquired oncology supportive-care asset</t>
  </si>
  <si>
    <t xml:space="preserve">Zylidac FY29</t>
  </si>
  <si>
    <t xml:space="preserve">$35-45m</t>
  </si>
  <si>
    <t xml:space="preserve">CDMO revenue, before regional BOT/BAL product sales</t>
  </si>
  <si>
    <t xml:space="preserve">505(b)(2)+LiqMeds FY30</t>
  </si>
  <si>
    <t xml:space="preserve">$130-180m</t>
  </si>
  <si>
    <t xml:space="preserve">Combined portfolio check from report</t>
  </si>
  <si>
    <t xml:space="preserve">Semaglutide FY28</t>
  </si>
  <si>
    <t xml:space="preserve">INR1.5-2.0bn</t>
  </si>
  <si>
    <t xml:space="preserve">Wider Zydus manufacturing platform</t>
  </si>
  <si>
    <t xml:space="preserve">FYB206 peak</t>
  </si>
  <si>
    <t xml:space="preserve">$150-250m</t>
  </si>
  <si>
    <t xml:space="preserve">Reconciles $9bn market × 5-7% share × partner economics</t>
  </si>
  <si>
    <t xml:space="preserve">Global assumptions</t>
  </si>
  <si>
    <t xml:space="preserve">Common currency and model conventions. Blue cells are editable inputs; green formulas are cross-sheet links.</t>
  </si>
  <si>
    <t xml:space="preserve">CURRENCY</t>
  </si>
  <si>
    <t xml:space="preserve">INR / US$</t>
  </si>
  <si>
    <t xml:space="preserve">INR per US$</t>
  </si>
  <si>
    <t xml:space="preserve">2.1% long-run depreciation assumption</t>
  </si>
  <si>
    <t xml:space="preserve">MODEL CONVENTIONS</t>
  </si>
  <si>
    <t xml:space="preserve">Revenue basis</t>
  </si>
  <si>
    <t xml:space="preserve">Reported revenue is Zydus's accounting revenue after partner economics. End-market sales are shown separately.</t>
  </si>
  <si>
    <t xml:space="preserve">Risk adjustment</t>
  </si>
  <si>
    <t xml:space="preserve">Commercial revenue × current probability of success. Commercial/approved assets use 100%.</t>
  </si>
  <si>
    <t xml:space="preserve">Contribution profit</t>
  </si>
  <si>
    <t xml:space="preserve">Product-level EBITDA/contribution proxy. It is not a consolidated company EBITDA forecast.</t>
  </si>
  <si>
    <t xml:space="preserve">Peak range checks</t>
  </si>
  <si>
    <t xml:space="preserve">Checks compare the model with the report's stated mean/peak or specified-year range.</t>
  </si>
  <si>
    <t xml:space="preserve">RK Pharma identity</t>
  </si>
  <si>
    <t xml:space="preserve">The molecule is undisclosed. The model uses the disclosed 6.2m-unit TAM and an editable revenue/unit assumption.</t>
  </si>
  <si>
    <t xml:space="preserve">MASH</t>
  </si>
  <si>
    <t xml:space="preserve">Saroglitazar MASH revenue is excluded, consistent with the report.</t>
  </si>
  <si>
    <t xml:space="preserve">COLOUR CONVENTION</t>
  </si>
  <si>
    <t xml:space="preserve">Blue font / pale yellow fill</t>
  </si>
  <si>
    <t xml:space="preserve">Editable assumption</t>
  </si>
  <si>
    <t xml:space="preserve">Black font</t>
  </si>
  <si>
    <t xml:space="preserve">Within-sheet formula</t>
  </si>
  <si>
    <t xml:space="preserve">Green font</t>
  </si>
  <si>
    <t xml:space="preserve">Cross-sheet link</t>
  </si>
  <si>
    <t xml:space="preserve">Green check</t>
  </si>
  <si>
    <t xml:space="preserve">Model lands within report benchmark range</t>
  </si>
  <si>
    <t xml:space="preserve">Amber check</t>
  </si>
  <si>
    <t xml:space="preserve">Model sits outside the stated range and needs review</t>
  </si>
  <si>
    <t xml:space="preserve">US PBC is the first internal NCE earnings contributor; patient share and access, rather than list price, drive the build.</t>
  </si>
  <si>
    <t xml:space="preserve">ASSET FRAME</t>
  </si>
  <si>
    <t xml:space="preserve">Asset / franchise</t>
  </si>
  <si>
    <t xml:space="preserve">Status / launch window</t>
  </si>
  <si>
    <t xml:space="preserve">Include in Summary?</t>
  </si>
  <si>
    <t xml:space="preserve">Report benchmark low ($m)</t>
  </si>
  <si>
    <t xml:space="preserve">Report benchmark high ($m)</t>
  </si>
  <si>
    <t xml:space="preserve">Model benchmark value (Peak)</t>
  </si>
  <si>
    <t xml:space="preserve">Benchmark check</t>
  </si>
  <si>
    <t xml:space="preserve">Evidence confidence</t>
  </si>
  <si>
    <t xml:space="preserve">Principal risk</t>
  </si>
  <si>
    <t xml:space="preserve">Label breadth, payer access, pruritus claim and launch execution</t>
  </si>
  <si>
    <t xml:space="preserve">Primary benchmark source</t>
  </si>
  <si>
    <t xml:space="preserve">Zydus Detailed Note, pp. 15-17; Zydus Therapeutics EPICS-III</t>
  </si>
  <si>
    <t xml:space="preserve">FIRST-PRINCIPLES COMMERCIAL BUILD</t>
  </si>
  <si>
    <t xml:space="preserve">Commercial driver</t>
  </si>
  <si>
    <t xml:space="preserve">Source / interpretation</t>
  </si>
  <si>
    <t xml:space="preserve">Eligible treated second-line PBC patients</t>
  </si>
  <si>
    <t xml:space="preserve">patients</t>
  </si>
  <si>
    <t xml:space="preserve">~US$1.5bn market divided by c.US$100k net revenue/patient</t>
  </si>
  <si>
    <t xml:space="preserve">Net annual revenue per patient</t>
  </si>
  <si>
    <t xml:space="preserve">$000</t>
  </si>
  <si>
    <t xml:space="preserve">Net price after gross-to-net; list-price benchmark US$138k-151k</t>
  </si>
  <si>
    <t xml:space="preserve">Average treated share</t>
  </si>
  <si>
    <t xml:space="preserve">%</t>
  </si>
  <si>
    <t xml:space="preserve">Average share of eligible treated patients; FY28/FY29 calibrated to US$20m/US$70m report forecast</t>
  </si>
  <si>
    <t xml:space="preserve">Launch-year factor</t>
  </si>
  <si>
    <t xml:space="preserve">Partial-year commercial contribution</t>
  </si>
  <si>
    <t xml:space="preserve">Treated patient equivalents</t>
  </si>
  <si>
    <t xml:space="preserve">Eligible patients × share × launch factor</t>
  </si>
  <si>
    <t xml:space="preserve">Zydus end-market sales</t>
  </si>
  <si>
    <t xml:space="preserve">Patient equivalents × annual net revenue</t>
  </si>
  <si>
    <t xml:space="preserve">Zydus economics share</t>
  </si>
  <si>
    <t xml:space="preserve">Internally developed and commercialized; 100% revenue capture</t>
  </si>
  <si>
    <t xml:space="preserve">Probability of success</t>
  </si>
  <si>
    <t xml:space="preserve">Late-stage / regulatory-stage probability before PDUFA</t>
  </si>
  <si>
    <t xml:space="preserve">Contribution margin</t>
  </si>
  <si>
    <t xml:space="preserve">Launch investment depresses early margin; mature 35-45% range</t>
  </si>
  <si>
    <t xml:space="preserve">MODEL OUTPUTS</t>
  </si>
  <si>
    <t xml:space="preserve">End-market / gross sales</t>
  </si>
  <si>
    <t xml:space="preserve">Zydus reported revenue</t>
  </si>
  <si>
    <t xml:space="preserve">Risk-adjusted revenue</t>
  </si>
  <si>
    <t xml:space="preserve">SOURCES, LOGIC AND LIMITATIONS</t>
  </si>
  <si>
    <t xml:space="preserve">• FY28 and FY29 output is calibrated to approximately US$20m and US$70m, respectively, as stated in the report.</t>
  </si>
  <si>
    <t xml:space="preserve">• MASH is excluded from the base case. The report includes no MASH revenue pending registrational evidence.</t>
  </si>
  <si>
    <t xml:space="preserve">A high-value ALS asset with no near-term earnings contribution; the workbook separates commercial potential from present clinical probability.</t>
  </si>
  <si>
    <t xml:space="preserve">Phase IIb efficacy, Phase III requirement, regulatory path and retained US economics</t>
  </si>
  <si>
    <t xml:space="preserve">Zydus Detailed Note, pp. 17-18; Zydus Usnoflast Fast Track release</t>
  </si>
  <si>
    <t xml:space="preserve">US prevalent ALS patients</t>
  </si>
  <si>
    <t xml:space="preserve">Report benchmark of c.35,000 prevalent patients</t>
  </si>
  <si>
    <t xml:space="preserve">Analyst net-price assumption; within the range supported by orphan ALS economics</t>
  </si>
  <si>
    <t xml:space="preserve">Implies c.3,000-5,000 peak treated patients, consistent with the report</t>
  </si>
  <si>
    <t xml:space="preserve">Assumes Zydus retains US economics and uses a focused neurology organization</t>
  </si>
  <si>
    <t xml:space="preserve">Current clinical probability applied to all commercial years; editable</t>
  </si>
  <si>
    <t xml:space="preserve">Mature incremental EBITDA proxy based on US$150-250m EBITDA on US$300-500m peak sales</t>
  </si>
  <si>
    <t xml:space="preserve">• No revenue is included through FY31. FY33 is the first launch year in the base trajectory.</t>
  </si>
  <si>
    <t xml:space="preserve">• The commercial peak is visible separately from the probability-adjusted revenue used for valuation discipline.</t>
  </si>
  <si>
    <t xml:space="preserve">The largest near-term replacement product; exclusivity monetization is tempered by capsule competition and partner economics.</t>
  </si>
  <si>
    <t xml:space="preserve">Settlement timing, capsule competition, entrant count and Synthon economics</t>
  </si>
  <si>
    <t xml:space="preserve">Zydus Detailed Note, p. 11</t>
  </si>
  <si>
    <t xml:space="preserve">Reference / addressable market</t>
  </si>
  <si>
    <t xml:space="preserve">US reference-brand market / analyst estimate</t>
  </si>
  <si>
    <t xml:space="preserve">Addressable pool / price-retention factor</t>
  </si>
  <si>
    <t xml:space="preserve">Post-LOE price retention / addressable dosage-form factor</t>
  </si>
  <si>
    <t xml:space="preserve">Addressable commercial pool</t>
  </si>
  <si>
    <t xml:space="preserve">Reference market × addressable factor</t>
  </si>
  <si>
    <t xml:space="preserve">Zydus end-market share</t>
  </si>
  <si>
    <t xml:space="preserve">Zydus share of generic/biosimilar pool</t>
  </si>
  <si>
    <t xml:space="preserve">Addressable pool × share × launch factor</t>
  </si>
  <si>
    <t xml:space="preserve">Zydus share after partner/supply economics</t>
  </si>
  <si>
    <t xml:space="preserve">Legal, filing and approval probability</t>
  </si>
  <si>
    <t xml:space="preserve">Contribution margin proxy</t>
  </si>
  <si>
    <t xml:space="preserve">• Tablet economics are modeled separately from the wider palbociclib molecule market.</t>
  </si>
  <si>
    <t xml:space="preserve">• Revenue declines rapidly after the launch window as price and share normalize.</t>
  </si>
  <si>
    <t xml:space="preserve">A three-to-four-player oncology market supports a smaller but more durable post-exclusivity pool than commodity generics.</t>
  </si>
  <si>
    <t xml:space="preserve">Patent timing, additional entrants and launch-at-risk constraints</t>
  </si>
  <si>
    <t xml:space="preserve">• September 2027 is treated as the entry floor in the current patent framework.</t>
  </si>
  <si>
    <t xml:space="preserve">A partnered immunology asset with lower margin but a less crowded addressable pool than standard oral solids.</t>
  </si>
  <si>
    <t xml:space="preserve">Patent outcome, launch timing, dosage forms and Synthon economics</t>
  </si>
  <si>
    <t xml:space="preserve">• The report discloses a US$40-70m opportunity but not a firm launch date; FY30 is an analyst assumption.</t>
  </si>
  <si>
    <t xml:space="preserve">A smaller transplant product that diversifies the oncology-heavy launch slate.</t>
  </si>
  <si>
    <t xml:space="preserve">Patent resolution, addressable strengths and entrant count</t>
  </si>
  <si>
    <t xml:space="preserve">• Launch timing is an analyst assumption. Peak revenue is constrained to the report's US$20-40m range.</t>
  </si>
  <si>
    <t xml:space="preserve">A US$2bn-plus reference market, but licensed competition and Teva exclusivity constrain early economics.</t>
  </si>
  <si>
    <t xml:space="preserve">Teva exclusivity, litigation, licensed competition and price erosion</t>
  </si>
  <si>
    <t xml:space="preserve">• The large reference market does not translate directly into high generic revenue because of post-LOE price erosion.</t>
  </si>
  <si>
    <t xml:space="preserve">A later oncology launch included as a smaller portfolio contributor, not a franchise-defining asset.</t>
  </si>
  <si>
    <t xml:space="preserve">Patent settlement, multiple strengths, entrants and timing</t>
  </si>
  <si>
    <t xml:space="preserve">Zydus Detailed Note, p. 11; analyst assumptions for range</t>
  </si>
  <si>
    <t xml:space="preserve">• No peak range is disclosed in the report. The US$25-50m check is an analyst control range.</t>
  </si>
  <si>
    <t xml:space="preserve">A later, lower-confidence oncology opportunity included separately to avoid hiding legal optionality in the core bridge.</t>
  </si>
  <si>
    <t xml:space="preserve">Patent merits, entry date, dosage forms and multiple entrants</t>
  </si>
  <si>
    <t xml:space="preserve">A mature DPP-4 family whose value is formulary breadth and a full dosage suite, not category novelty.</t>
  </si>
  <si>
    <t xml:space="preserve">Formulary access, price pressure and DPP-4 class maturity</t>
  </si>
  <si>
    <t xml:space="preserve">Zydus Detailed Note, p. 12</t>
  </si>
  <si>
    <t xml:space="preserve">Addressable branded/differentiated slice of the mature DPP-4 market</t>
  </si>
  <si>
    <t xml:space="preserve">Commercial product</t>
  </si>
  <si>
    <t xml:space="preserve">• The launched cluster was running at US$60-70m annualized including other 505(b)(2) products; this sheet isolates the sitagliptin family.</t>
  </si>
  <si>
    <t xml:space="preserve">Commercial overlap with ROLVEDON supports the field force, but modest differentiation caps peak sales.</t>
  </si>
  <si>
    <t xml:space="preserve">Oncologist adoption, administration complexity and generic docetaxel competition</t>
  </si>
  <si>
    <t xml:space="preserve">Zydus Detailed Note, pp. 9 and 12; Zydus/Beihai release</t>
  </si>
  <si>
    <t xml:space="preserve">Albumin-solubilised / differentiated portion of the docetaxel market</t>
  </si>
  <si>
    <t xml:space="preserve">• Peak is held near US$20m, consistent with management's slower-than-expected launch commentary.</t>
  </si>
  <si>
    <t xml:space="preserve">A separately visible partnered asset prevents the combined 505(b)(2) portfolio from becoming a plug.</t>
  </si>
  <si>
    <t xml:space="preserve">Undisclosed molecule, filing timing, differentiation and partner economics</t>
  </si>
  <si>
    <t xml:space="preserve">Differentiated formulation's addressable slice</t>
  </si>
  <si>
    <t xml:space="preserve">Pre-approval / undisclosed program probability</t>
  </si>
  <si>
    <t xml:space="preserve">• Molecule identity is not disclosed. Addressable market and launch timing are explicit analyst placeholders.</t>
  </si>
  <si>
    <t xml:space="preserve">The first US biosimilar commercialization proof point; partner supply lowers capital intensity and revenue capture.</t>
  </si>
  <si>
    <t xml:space="preserve">Payer access, retinal-specialist adoption, rebate intensity and Bioeq economics</t>
  </si>
  <si>
    <t xml:space="preserve">Zydus Detailed Note, p. 13; Formycon/Bioeq disclosures</t>
  </si>
  <si>
    <t xml:space="preserve">Biosimilar-priced ranibizumab pool</t>
  </si>
  <si>
    <t xml:space="preserve">Bioeq supplies; Zydus commercializes. Economics share is an analyst assumption.</t>
  </si>
  <si>
    <t xml:space="preserve">Approved / interchangeable product</t>
  </si>
  <si>
    <t xml:space="preserve">• FY28 revenue is calibrated to approximately US$20m. Peak revenue lands near the midpoint of the US$60-90m report range.</t>
  </si>
  <si>
    <t xml:space="preserve">A US$9bn post-price-drop market and 5-7% Zydus share imply US$450-630m end-market sales; partner economics reduce reported revenue to the note's US$150-250m range.</t>
  </si>
  <si>
    <t xml:space="preserve">Filing/approval, Keytruda patent timing, seven-player contracting and Formycon supply economics</t>
  </si>
  <si>
    <t xml:space="preserve">Manager message; Zydus Detailed Note, p. 13; Formycon/Zydus release</t>
  </si>
  <si>
    <t xml:space="preserve">Post-price-drop US pembrolizumab biosimilar market (manager assumption)</t>
  </si>
  <si>
    <t xml:space="preserve">Already post-price-drop; 100% is addressable biosimilar pool</t>
  </si>
  <si>
    <t xml:space="preserve">Zydus end-market share; 6% peak within manager's 5-7% range</t>
  </si>
  <si>
    <t xml:space="preserve">Commercial / revenue capture after Formycon development and supply economics</t>
  </si>
  <si>
    <t xml:space="preserve">Pre-filing biosimilar probability</t>
  </si>
  <si>
    <t xml:space="preserve">• The model explicitly reconciles the manager's US$9bn/5-7% end-market construct with the report's US$150-250m Zydus revenue.</t>
  </si>
  <si>
    <t xml:space="preserve">• No material revenue is included before FY30; the base launch is FY31.</t>
  </si>
  <si>
    <t xml:space="preserve">The molecule remains undisclosed. The model uses the disclosed 6.2m-unit market, unit economics and share rather than inventing a drug identity.</t>
  </si>
  <si>
    <t xml:space="preserve">Identity, filing timing, clinical bridge, pricing and RK supply economics</t>
  </si>
  <si>
    <t xml:space="preserve">Zydus/RK Pharma release, 26-Nov-2025; Zydus Detailed Note, p. 12</t>
  </si>
  <si>
    <t xml:space="preserve">Addressable market units</t>
  </si>
  <si>
    <t xml:space="preserve">000 units</t>
  </si>
  <si>
    <t xml:space="preserve">Disclosed US TAM: 6.2m units (IQVIA MAT Sep-2025)</t>
  </si>
  <si>
    <t xml:space="preserve">Net revenue per unit</t>
  </si>
  <si>
    <t xml:space="preserve">$ / unit</t>
  </si>
  <si>
    <t xml:space="preserve">Analyst net revenue/unit assumption; editable after molecule disclosure</t>
  </si>
  <si>
    <t xml:space="preserve">Zydus unit share</t>
  </si>
  <si>
    <t xml:space="preserve">Analyst share ramp calibrated to US$20-35m Zydus peak revenue</t>
  </si>
  <si>
    <t xml:space="preserve">Captured volume</t>
  </si>
  <si>
    <t xml:space="preserve">Market units × share × launch factor</t>
  </si>
  <si>
    <t xml:space="preserve">Captured units × revenue/unit</t>
  </si>
  <si>
    <t xml:space="preserve">RK manufactures/supplies; Zydus files and commercializes</t>
  </si>
  <si>
    <t xml:space="preserve">Pre-filing 505(b)(2) probability</t>
  </si>
  <si>
    <t xml:space="preserve">Partnered sterile-injectable contribution margin proxy</t>
  </si>
  <si>
    <t xml:space="preserve">• Zydus and RK Pharma have not publicly named the molecule. Any specific molecule identification would be speculation.</t>
  </si>
  <si>
    <t xml:space="preserve">• Public patent portfolios were reviewed but do not connect a named product to this licensing agreement.</t>
  </si>
  <si>
    <t xml:space="preserve">The portfolio compounds through launch count and revenue per approved liquid, with durability linked to formulation utility and limited competition.</t>
  </si>
  <si>
    <t xml:space="preserve">UK supply, US channel access, product-specific competition and launch cadence</t>
  </si>
  <si>
    <t xml:space="preserve">Commercial products launched</t>
  </si>
  <si>
    <t xml:space="preserve">products</t>
  </si>
  <si>
    <t xml:space="preserve">Disclosed starting point and analyst launch cadence</t>
  </si>
  <si>
    <t xml:space="preserve">Mature revenue per product</t>
  </si>
  <si>
    <t xml:space="preserve">Portfolio-average mature revenue; avoids modeling each undisclosed liquid as false precision</t>
  </si>
  <si>
    <t xml:space="preserve">Portfolio maturity factor</t>
  </si>
  <si>
    <t xml:space="preserve">Distribution and patient-administration ramp</t>
  </si>
  <si>
    <t xml:space="preserve">Launch / supply factor</t>
  </si>
  <si>
    <t xml:space="preserve">Supply availability / commercial readiness</t>
  </si>
  <si>
    <t xml:space="preserve">Effective product equivalents</t>
  </si>
  <si>
    <t xml:space="preserve">Launched products × maturity × supply factor</t>
  </si>
  <si>
    <t xml:space="preserve">Effective products × mature revenue/product</t>
  </si>
  <si>
    <t xml:space="preserve">Owned development and manufacturing capability</t>
  </si>
  <si>
    <t xml:space="preserve">Approved/launched portfolio; remaining product risk captured in launch count</t>
  </si>
  <si>
    <t xml:space="preserve">Calibrated to US$10-20m EBITDA on US$45-70m revenue</t>
  </si>
  <si>
    <t xml:space="preserve">• The model is product-count based because the company has not disclosed a complete molecule-level LiqMeds revenue roster.</t>
  </si>
  <si>
    <t xml:space="preserve">Patient finding and treatment duration, rather than broad prescription volume, drive a high-value ultra-rare portfolio.</t>
  </si>
  <si>
    <t xml:space="preserve">Model benchmark value (FY29E)</t>
  </si>
  <si>
    <t xml:space="preserve">Patient identification, reimbursement, small-number quarterly volatility and geographic access</t>
  </si>
  <si>
    <t xml:space="preserve">Zydus Detailed Note, p. 9</t>
  </si>
  <si>
    <t xml:space="preserve">NULIBRY treated patients</t>
  </si>
  <si>
    <t xml:space="preserve">MoCD-A; analyst patient-finding assumption</t>
  </si>
  <si>
    <t xml:space="preserve">NULIBRY net revenue/patient</t>
  </si>
  <si>
    <t xml:space="preserve">Annual net revenue assumption</t>
  </si>
  <si>
    <t xml:space="preserve">NULIBRY revenue</t>
  </si>
  <si>
    <t xml:space="preserve">Patients × net revenue/patient</t>
  </si>
  <si>
    <t xml:space="preserve">ZOKINVY treated patients</t>
  </si>
  <si>
    <t xml:space="preserve">Progeria; analyst patient-finding assumption</t>
  </si>
  <si>
    <t xml:space="preserve">ZOKINVY net revenue/patient</t>
  </si>
  <si>
    <t xml:space="preserve">ZOKINVY revenue</t>
  </si>
  <si>
    <t xml:space="preserve">ZYCUBO treated patients</t>
  </si>
  <si>
    <t xml:space="preserve">Menkes disease; launch and diagnosis ramp</t>
  </si>
  <si>
    <t xml:space="preserve">ZYCUBO net revenue/patient</t>
  </si>
  <si>
    <t xml:space="preserve">ZYCUBO revenue</t>
  </si>
  <si>
    <t xml:space="preserve">Combined orphan portfolio revenue</t>
  </si>
  <si>
    <t xml:space="preserve">NULIBRY + ZOKINVY + ZYCUBO</t>
  </si>
  <si>
    <t xml:space="preserve">Commercial products; no clinical risk adjustment</t>
  </si>
  <si>
    <t xml:space="preserve">Portfolio EBITDA proxy calibrated to report</t>
  </si>
  <si>
    <t xml:space="preserve">• FY26 revenue is calibrated to approximately US$60m and FY29 to the report's US$75-90m range.</t>
  </si>
  <si>
    <t xml:space="preserve">An established oncology-supportive-care anchor that improves field-force productivity alongside BEIZRAY and future oncology products.</t>
  </si>
  <si>
    <t xml:space="preserve">G-CSF biosimilar competition, net pricing, contract access and dose share</t>
  </si>
  <si>
    <t xml:space="preserve">Zydus Detailed Note, pp. 9-10</t>
  </si>
  <si>
    <t xml:space="preserve">Long-acting G-CSF addressable doses; analyst estimate</t>
  </si>
  <si>
    <t xml:space="preserve">Net revenue/dose after channel and payer economics</t>
  </si>
  <si>
    <t xml:space="preserve">Dose share calibrated to US$75-85m FY29 revenue</t>
  </si>
  <si>
    <t xml:space="preserve">Wholly owned commercial asset</t>
  </si>
  <si>
    <t xml:space="preserve">Calibrated to US$20-28m FY29 EBITDA</t>
  </si>
  <si>
    <t xml:space="preserve">• CY2025 sales were US$68.2m before Zydus ownership; the model starts Zydus consolidation in FY27.</t>
  </si>
  <si>
    <t xml:space="preserve">Near-term value is manufacturing revenue; BOT/BAL product economics accrue to Zydus only in India and Sri Lanka.</t>
  </si>
  <si>
    <t xml:space="preserve">Facility utilisation, Agenus orders, external customers, Phase III success and regional launch</t>
  </si>
  <si>
    <t xml:space="preserve">Zydus Detailed Note, pp. 9 and 14; Agenus/Zydus transaction disclosures</t>
  </si>
  <si>
    <t xml:space="preserve">Revenue at full facility utilisation</t>
  </si>
  <si>
    <t xml:space="preserve">Analyst steady-state revenue capacity across acquired facilities</t>
  </si>
  <si>
    <t xml:space="preserve">Facility utilisation</t>
  </si>
  <si>
    <t xml:space="preserve">Utilisation ramp; FY29 calibrated to US$35-45m report range</t>
  </si>
  <si>
    <t xml:space="preserve">Biologics CDMO revenue</t>
  </si>
  <si>
    <t xml:space="preserve">Full-utilisation revenue × utilisation</t>
  </si>
  <si>
    <t xml:space="preserve">BOT/BAL share of CDMO revenue</t>
  </si>
  <si>
    <t xml:space="preserve">Manager message indicates BOT/BAL is c.50% of CDMO revenue; other customers fill the balance</t>
  </si>
  <si>
    <t xml:space="preserve">BOT/BAL manufacturing revenue</t>
  </si>
  <si>
    <t xml:space="preserve">CDMO revenue × BOT/BAL share</t>
  </si>
  <si>
    <t xml:space="preserve">Other-customer CDMO revenue</t>
  </si>
  <si>
    <t xml:space="preserve">CDMO revenue less BOT/BAL</t>
  </si>
  <si>
    <t xml:space="preserve">India/Sri Lanka BOT/BAL product revenue</t>
  </si>
  <si>
    <t xml:space="preserve">India/Sri Lanka only; global product sales accrue to Agenus</t>
  </si>
  <si>
    <t xml:space="preserve">Regional product probability of success</t>
  </si>
  <si>
    <t xml:space="preserve">Clinical and regulatory probability for regional product revenue</t>
  </si>
  <si>
    <t xml:space="preserve">CDMO contribution margin</t>
  </si>
  <si>
    <t xml:space="preserve">Calibrated to US$7-10m EBITDA on US$35-45m FY29 revenue</t>
  </si>
  <si>
    <t xml:space="preserve">Regional product contribution margin</t>
  </si>
  <si>
    <t xml:space="preserve">Net of 5% Agenus royalty</t>
  </si>
  <si>
    <t xml:space="preserve">CDMO + regional product revenue</t>
  </si>
  <si>
    <t xml:space="preserve">CDMO fully counted; regional product revenue risk-adjusted</t>
  </si>
  <si>
    <t xml:space="preserve">CDMO and regional contribution</t>
  </si>
  <si>
    <t xml:space="preserve">Regional contribution risk-adjusted</t>
  </si>
  <si>
    <t xml:space="preserve">• BOT/BAL global sales are not booked by Zydus. The model includes manufacturing fees plus India/Sri Lanka product revenue only.</t>
  </si>
  <si>
    <t xml:space="preserve">• The Agenus royalty is reflected in the regional product margin assumption.</t>
  </si>
  <si>
    <t xml:space="preserve">A lower-cost PD-1 biosimilar establishes Zydus's India oncology biologics field force; oncologist trust and access determine the ramp.</t>
  </si>
  <si>
    <t xml:space="preserve">Report benchmark low (INRm)</t>
  </si>
  <si>
    <t xml:space="preserve">Report benchmark high (INRm)</t>
  </si>
  <si>
    <t xml:space="preserve">Oncologist confidence, hospital access, originator response and competing biosimilars</t>
  </si>
  <si>
    <t xml:space="preserve">Zydus Detailed Note, p. 13</t>
  </si>
  <si>
    <t xml:space="preserve">Addressable nivolumab doses</t>
  </si>
  <si>
    <t xml:space="preserve">000 doses</t>
  </si>
  <si>
    <t xml:space="preserve">Addressable India nivolumab dose pool; analyst estimate</t>
  </si>
  <si>
    <t xml:space="preserve">Net revenue per dose</t>
  </si>
  <si>
    <t xml:space="preserve">INR000</t>
  </si>
  <si>
    <t xml:space="preserve">Net revenue/dose after biosimilar discount</t>
  </si>
  <si>
    <t xml:space="preserve">Tishtha dose share</t>
  </si>
  <si>
    <t xml:space="preserve">Share peaks as the lower-cost market expands, then normalizes with entry</t>
  </si>
  <si>
    <t xml:space="preserve">Launch factor</t>
  </si>
  <si>
    <t xml:space="preserve">Commercial availability and access</t>
  </si>
  <si>
    <t xml:space="preserve">India end-market revenue</t>
  </si>
  <si>
    <t xml:space="preserve">Doses × net price × share × launch factor</t>
  </si>
  <si>
    <t xml:space="preserve">Peak 30-40% EBITDA margin range from the report</t>
  </si>
  <si>
    <t xml:space="preserve">Revenue translated to US$</t>
  </si>
  <si>
    <t xml:space="preserve">INR revenue ÷ INR/US$</t>
  </si>
  <si>
    <t xml:space="preserve">• Model peak is checked in INR against the report's INR2-3bn range.</t>
  </si>
  <si>
    <t xml:space="preserve">The reusable-pen cartridge model broadens commercial reach and lowers refill-device cost; the economic question is platform share and mix, not molecule novelty.</t>
  </si>
  <si>
    <t xml:space="preserve">Model benchmark value (FY28E)</t>
  </si>
  <si>
    <t xml:space="preserve">More than ten entrants, originator retention, refill continuity, cartridge supply and price erosion</t>
  </si>
  <si>
    <t xml:space="preserve">Zydus Detailed Note, pp. 19-20</t>
  </si>
  <si>
    <t xml:space="preserve">India semaglutide market</t>
  </si>
  <si>
    <t xml:space="preserve">FY28 report range INR12-15bn; subsequent market growth is analyst assumption</t>
  </si>
  <si>
    <t xml:space="preserve">Zydus manufacturing-platform share</t>
  </si>
  <si>
    <t xml:space="preserve">12-15% share of total market for the wider Zydus manufacturing platform in FY28</t>
  </si>
  <si>
    <t xml:space="preserve">Zydus platform revenue</t>
  </si>
  <si>
    <t xml:space="preserve">India market × Zydus platform share</t>
  </si>
  <si>
    <t xml:space="preserve">Own-brand mix</t>
  </si>
  <si>
    <t xml:space="preserve">Own brands carry higher gross margin; partners add volume</t>
  </si>
  <si>
    <t xml:space="preserve">Own-brand gross margin</t>
  </si>
  <si>
    <t xml:space="preserve">Analyst assumption</t>
  </si>
  <si>
    <t xml:space="preserve">Partner-supply gross margin</t>
  </si>
  <si>
    <t xml:space="preserve">Blended contribution margin</t>
  </si>
  <si>
    <t xml:space="preserve">Own mix × own GM + partner mix × partner GM</t>
  </si>
  <si>
    <t xml:space="preserve">Launched platform</t>
  </si>
  <si>
    <t xml:space="preserve">• FY28 revenue is explicitly checked against the report's INR1.5-2.0bn forecast range.</t>
  </si>
  <si>
    <t xml:space="preserve">Primary sources and benchmark map</t>
  </si>
  <si>
    <t xml:space="preserve">The Zydus Detailed Note is the forecast benchmark. Company and partner disclosures support status, structure and clinical/regulatory facts.</t>
  </si>
  <si>
    <t xml:space="preserve">Coverage</t>
  </si>
  <si>
    <t xml:space="preserve">Source</t>
  </si>
  <si>
    <t xml:space="preserve">Link / file</t>
  </si>
  <si>
    <t xml:space="preserve">Use in model</t>
  </si>
  <si>
    <t xml:space="preserve">All assets</t>
  </si>
  <si>
    <t xml:space="preserve">Zydus Detailed Note, 6-Sep-2026</t>
  </si>
  <si>
    <t xml:space="preserve">User-provided PDF</t>
  </si>
  <si>
    <t xml:space="preserve">Primary revenue ranges, launch windows and strategic framing.</t>
  </si>
  <si>
    <t xml:space="preserve">Manager scope</t>
  </si>
  <si>
    <t xml:space="preserve">Manager message</t>
  </si>
  <si>
    <t xml:space="preserve">User-provided screenshot</t>
  </si>
  <si>
    <t xml:space="preserve">Asset list; $9bn post-price pembrolizumab market; seven players; 5-7% share; BOT/BAL c.50% of CDMO revenue.</t>
  </si>
  <si>
    <t xml:space="preserve">RK Pharma</t>
  </si>
  <si>
    <t xml:space="preserve">Zydus/RK Pharma licensing release, 26-Nov-2025</t>
  </si>
  <si>
    <t xml:space="preserve">https://mail.zyduslife.com/investor/admin/uploads/21/83/Zydus-and-RK-Pharma-enter-into-an-exclusive-licensing-and-commercialization-agreement-for-a-novel-505%28b%29%282%29-product-of-supportive--oncology-treatment-for-the-USA-market.pdf</t>
  </si>
  <si>
    <t xml:space="preserve">Confirms molecule is undisclosed, supportive-care sterile injectable, 2026 filing target and 6.2m-unit TAM.</t>
  </si>
  <si>
    <t xml:space="preserve">BEIZRAY</t>
  </si>
  <si>
    <t xml:space="preserve">Zydus/Beihai licensing release</t>
  </si>
  <si>
    <t xml:space="preserve">https://zyduslife.com/investor/admin/uploads/21/83/Zydus-and-Beihai-Biotech-sign-an-exclusive-licensing--supply-and-commercialization-agreement-for-BEIZRAY-%28Albumin-Solubilized-Docetaxel-Injection%29--a-505%28B%29%282%29-product-for-the-US-market.pdf</t>
  </si>
  <si>
    <t xml:space="preserve">Product identity, 505(b)(2) structure and approval status.</t>
  </si>
  <si>
    <t xml:space="preserve">FYB206</t>
  </si>
  <si>
    <t xml:space="preserve">Formycon/Zydus partnership release</t>
  </si>
  <si>
    <t xml:space="preserve">https://www.formycon.com/en/blog/press-release/formycon-and-zydus-partner-for-exclusive-licensing-and-supply-agreement-of-fyb206-a-biosimilar-to-keytruda-pembrolizumab-in-the-u-s-and-canada/</t>
  </si>
  <si>
    <t xml:space="preserve">US/Canada commercialization rights; Formycon development and supply.</t>
  </si>
  <si>
    <t xml:space="preserve">Zylidac/BOT-BAL</t>
  </si>
  <si>
    <t xml:space="preserve">Agenus/Zydus transaction release and SEC disclosures</t>
  </si>
  <si>
    <t xml:space="preserve">https://investor.agenusbio.com/news/news-details/2026/Agenus-Announces-Closing-of-141M-Strategic-Collaboration-with-Zydus-Lifesciences-to-Advance-BOTBAL-and-Strengthen-U-S--Manufacturing-Readiness/default.aspx</t>
  </si>
  <si>
    <t xml:space="preserve">Two facilities, manufacturing relationship and India/Sri Lanka product rights.</t>
  </si>
  <si>
    <t xml:space="preserve">Saroglitazar</t>
  </si>
  <si>
    <t xml:space="preserve">Zydus Therapeutics EPICS-III release</t>
  </si>
  <si>
    <t xml:space="preserve">https://zydustx.com/news-article/zydus-therapeutics-reports-positive-topline-results-from-epics-iii-phase-2b-3-trial-of-saroglitazar-magnesium-in-patients-with-primary-biliary-cholangitis/</t>
  </si>
  <si>
    <t xml:space="preserve">Pivotal PBC efficacy and regulatory-stage status.</t>
  </si>
  <si>
    <t xml:space="preserve">Usnoflast</t>
  </si>
  <si>
    <t xml:space="preserve">Zydus Fast Track release</t>
  </si>
  <si>
    <t xml:space="preserve">https://zyduslife.com/investor/admin/uploads/21/83/Zydus-receives-USFDA--Fast-Track-Designation--for-Usnoflast--a-novel-oral-NLRP3-inhibitor--for-the-treatment-of-Amyotrophic-Lateral-Sclerosis-%28ALS%29.pdf</t>
  </si>
  <si>
    <t xml:space="preserve">Fast Track status and ALS asset identity.</t>
  </si>
  <si>
    <t xml:space="preserve">RK identity check</t>
  </si>
  <si>
    <t xml:space="preserve">RK Pharma product / patent review</t>
  </si>
  <si>
    <t xml:space="preserve">https://rkpharmainc.com/our-products.html</t>
  </si>
  <si>
    <t xml:space="preserve">No public source links a named molecule to the Zydus agreement; workbook retains 'undisclosed'.</t>
  </si>
</sst>
</file>

<file path=xl/styles.xml><?xml version="1.0" encoding="utf-8"?>
<styleSheet xmlns="http://schemas.openxmlformats.org/spreadsheetml/2006/main">
  <numFmts count="5">
    <numFmt numFmtId="164" formatCode="General"/>
    <numFmt numFmtId="165" formatCode="0"/>
    <numFmt numFmtId="166" formatCode="0.0"/>
    <numFmt numFmtId="167" formatCode="0.0%"/>
    <numFmt numFmtId="168" formatCode="0.00"/>
  </numFmts>
  <fonts count="25">
    <font>
      <sz val="11"/>
      <color theme="1"/>
      <name val="Calibri"/>
      <family val="2"/>
      <charset val="1"/>
    </font>
    <font>
      <sz val="10"/>
      <name val="Arial"/>
      <family val="0"/>
    </font>
    <font>
      <sz val="10"/>
      <name val="Arial"/>
      <family val="0"/>
    </font>
    <font>
      <sz val="10"/>
      <name val="Arial"/>
      <family val="0"/>
    </font>
    <font>
      <b val="true"/>
      <sz val="20"/>
      <color rgb="FFFFFFFF"/>
      <name val="Arial"/>
      <family val="0"/>
      <charset val="1"/>
    </font>
    <font>
      <b val="true"/>
      <sz val="11"/>
      <color rgb="FF17365D"/>
      <name val="Arial"/>
      <family val="0"/>
      <charset val="1"/>
    </font>
    <font>
      <sz val="10"/>
      <color rgb="FF44546A"/>
      <name val="Arial"/>
      <family val="0"/>
      <charset val="1"/>
    </font>
    <font>
      <i val="true"/>
      <sz val="8"/>
      <color rgb="FF666666"/>
      <name val="Arial"/>
      <family val="0"/>
      <charset val="1"/>
    </font>
    <font>
      <b val="true"/>
      <sz val="15"/>
      <color rgb="FFFFFFFF"/>
      <name val="Arial"/>
      <family val="0"/>
      <charset val="1"/>
    </font>
    <font>
      <i val="true"/>
      <sz val="9"/>
      <color rgb="FF44546A"/>
      <name val="Arial"/>
      <family val="0"/>
      <charset val="1"/>
    </font>
    <font>
      <b val="true"/>
      <sz val="9"/>
      <color rgb="FFFFFFFF"/>
      <name val="Arial"/>
      <family val="0"/>
      <charset val="1"/>
    </font>
    <font>
      <b val="true"/>
      <sz val="9"/>
      <color rgb="FF17365D"/>
      <name val="Arial"/>
      <family val="0"/>
      <charset val="1"/>
    </font>
    <font>
      <sz val="9"/>
      <color rgb="FF666666"/>
      <name val="Arial"/>
      <family val="0"/>
      <charset val="1"/>
    </font>
    <font>
      <sz val="9"/>
      <color rgb="FF008000"/>
      <name val="Arial"/>
      <family val="0"/>
      <charset val="1"/>
    </font>
    <font>
      <sz val="9"/>
      <color rgb="FF000000"/>
      <name val="Arial"/>
      <family val="0"/>
      <charset val="1"/>
    </font>
    <font>
      <b val="true"/>
      <sz val="8"/>
      <color rgb="FF17365D"/>
      <name val="Arial"/>
      <family val="0"/>
      <charset val="1"/>
    </font>
    <font>
      <b val="true"/>
      <sz val="18"/>
      <color rgb="FF000000"/>
      <name val="Calibri"/>
      <family val="2"/>
    </font>
    <font>
      <sz val="10"/>
      <color rgb="FF000000"/>
      <name val="Calibri"/>
      <family val="2"/>
    </font>
    <font>
      <b val="true"/>
      <sz val="10"/>
      <color rgb="FF000000"/>
      <name val="Calibri"/>
      <family val="2"/>
    </font>
    <font>
      <sz val="9"/>
      <color rgb="FF0000FF"/>
      <name val="Arial"/>
      <family val="0"/>
      <charset val="1"/>
    </font>
    <font>
      <sz val="9"/>
      <color rgb="FF44546A"/>
      <name val="Arial"/>
      <family val="0"/>
      <charset val="1"/>
    </font>
    <font>
      <b val="true"/>
      <sz val="9"/>
      <color rgb="FF000000"/>
      <name val="Arial"/>
      <family val="0"/>
      <charset val="1"/>
    </font>
    <font>
      <sz val="8"/>
      <color rgb="FF666666"/>
      <name val="Arial"/>
      <family val="0"/>
      <charset val="1"/>
    </font>
    <font>
      <sz val="8"/>
      <color rgb="FF44546A"/>
      <name val="Arial"/>
      <family val="0"/>
      <charset val="1"/>
    </font>
    <font>
      <u val="single"/>
      <sz val="9"/>
      <color rgb="FF0563C1"/>
      <name val="Arial"/>
      <family val="0"/>
      <charset val="1"/>
    </font>
  </fonts>
  <fills count="10">
    <fill>
      <patternFill patternType="none"/>
    </fill>
    <fill>
      <patternFill patternType="gray125"/>
    </fill>
    <fill>
      <patternFill patternType="solid">
        <fgColor rgb="FF17365D"/>
        <bgColor rgb="FF1F4E78"/>
      </patternFill>
    </fill>
    <fill>
      <patternFill patternType="solid">
        <fgColor rgb="FFD9EAF7"/>
        <bgColor rgb="FFF2F2F2"/>
      </patternFill>
    </fill>
    <fill>
      <patternFill patternType="solid">
        <fgColor rgb="FF1F4E78"/>
        <bgColor rgb="FF17365D"/>
      </patternFill>
    </fill>
    <fill>
      <patternFill patternType="solid">
        <fgColor rgb="FFFFFBE6"/>
        <bgColor rgb="FFFFFFFF"/>
      </patternFill>
    </fill>
    <fill>
      <patternFill patternType="solid">
        <fgColor rgb="FFC6E0B4"/>
        <bgColor rgb="FFD9D9D9"/>
      </patternFill>
    </fill>
    <fill>
      <patternFill patternType="solid">
        <fgColor rgb="FFFFF2CC"/>
        <bgColor rgb="FFFFFBE6"/>
      </patternFill>
    </fill>
    <fill>
      <patternFill patternType="solid">
        <fgColor rgb="FFF2F2F2"/>
        <bgColor rgb="FFFFFBE6"/>
      </patternFill>
    </fill>
    <fill>
      <patternFill patternType="solid">
        <fgColor rgb="FFFFFFFF"/>
        <bgColor rgb="FFFFFBE6"/>
      </patternFill>
    </fill>
  </fills>
  <borders count="3">
    <border diagonalUp="false" diagonalDown="false">
      <left/>
      <right/>
      <top/>
      <bottom/>
      <diagonal/>
    </border>
    <border diagonalUp="false" diagonalDown="false">
      <left/>
      <right/>
      <top/>
      <bottom style="medium">
        <color rgb="FF17365D"/>
      </bottom>
      <diagonal/>
    </border>
    <border diagonalUp="false" diagonalDown="false">
      <left/>
      <right/>
      <top/>
      <bottom style="thin">
        <color rgb="FFB7C9D6"/>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61">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left" vertical="center" textRotation="0" wrapText="true" indent="0" shrinkToFit="false"/>
      <protection locked="true" hidden="false"/>
    </xf>
    <xf numFmtId="164" fontId="5" fillId="0" borderId="0" xfId="0" applyFont="true" applyBorder="true" applyAlignment="false" applyProtection="false">
      <alignment horizontal="general" vertical="bottom" textRotation="0" wrapText="false" indent="0" shrinkToFit="false"/>
      <protection locked="true" hidden="false"/>
    </xf>
    <xf numFmtId="164" fontId="5" fillId="3"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true" applyAlignment="true" applyProtection="false">
      <alignment horizontal="general" vertical="top" textRotation="0" wrapText="true" indent="0" shrinkToFit="false"/>
      <protection locked="true" hidden="false"/>
    </xf>
    <xf numFmtId="164" fontId="7" fillId="0" borderId="0" xfId="0" applyFont="true" applyBorder="true" applyAlignment="false" applyProtection="false">
      <alignment horizontal="general" vertical="bottom" textRotation="0" wrapText="false" indent="0" shrinkToFit="false"/>
      <protection locked="true" hidden="false"/>
    </xf>
    <xf numFmtId="164" fontId="8" fillId="2" borderId="0" xfId="0" applyFont="true" applyBorder="true" applyAlignment="false" applyProtection="false">
      <alignment horizontal="general" vertical="bottom" textRotation="0" wrapText="false" indent="0" shrinkToFit="false"/>
      <protection locked="true" hidden="false"/>
    </xf>
    <xf numFmtId="164" fontId="9" fillId="0" borderId="0" xfId="0" applyFont="true" applyBorder="true" applyAlignment="false" applyProtection="false">
      <alignment horizontal="general" vertical="bottom" textRotation="0" wrapText="false" indent="0" shrinkToFit="false"/>
      <protection locked="true" hidden="false"/>
    </xf>
    <xf numFmtId="164" fontId="10" fillId="4" borderId="0" xfId="0" applyFont="true" applyBorder="true" applyAlignment="true" applyProtection="false">
      <alignment horizontal="left" vertical="bottom" textRotation="0" wrapText="false" indent="0" shrinkToFit="false"/>
      <protection locked="true" hidden="false"/>
    </xf>
    <xf numFmtId="164" fontId="11" fillId="3" borderId="0" xfId="0" applyFont="true" applyBorder="false" applyAlignment="true" applyProtection="false">
      <alignment horizontal="center" vertical="bottom" textRotation="0" wrapText="false" indent="0" shrinkToFit="false"/>
      <protection locked="true" hidden="false"/>
    </xf>
    <xf numFmtId="164" fontId="11" fillId="0" borderId="0" xfId="0" applyFont="true" applyBorder="false" applyAlignment="false" applyProtection="false">
      <alignment horizontal="general" vertical="bottom" textRotation="0" wrapText="false" indent="0" shrinkToFit="false"/>
      <protection locked="true" hidden="false"/>
    </xf>
    <xf numFmtId="164" fontId="12" fillId="0" borderId="0" xfId="0" applyFont="true" applyBorder="false" applyAlignment="false" applyProtection="false">
      <alignment horizontal="general" vertical="bottom" textRotation="0" wrapText="false" indent="0" shrinkToFit="false"/>
      <protection locked="true" hidden="false"/>
    </xf>
    <xf numFmtId="164" fontId="13" fillId="0" borderId="0" xfId="0" applyFont="true" applyBorder="false" applyAlignment="false" applyProtection="false">
      <alignment horizontal="general" vertical="bottom" textRotation="0" wrapText="false" indent="0" shrinkToFit="false"/>
      <protection locked="true" hidden="false"/>
    </xf>
    <xf numFmtId="164" fontId="14" fillId="0" borderId="0" xfId="0" applyFont="true" applyBorder="false" applyAlignment="false" applyProtection="false">
      <alignment horizontal="general" vertical="bottom" textRotation="0" wrapText="false" indent="0" shrinkToFit="false"/>
      <protection locked="true" hidden="false"/>
    </xf>
    <xf numFmtId="164" fontId="11" fillId="3" borderId="0" xfId="0" applyFont="true" applyBorder="false" applyAlignment="false" applyProtection="false">
      <alignment horizontal="general" vertical="bottom" textRotation="0" wrapText="false" indent="0" shrinkToFit="false"/>
      <protection locked="true" hidden="false"/>
    </xf>
    <xf numFmtId="164" fontId="15" fillId="3" borderId="1" xfId="0" applyFont="true" applyBorder="true" applyAlignment="true" applyProtection="false">
      <alignment horizontal="center" vertical="center" textRotation="0" wrapText="true" indent="0" shrinkToFit="false"/>
      <protection locked="true" hidden="false"/>
    </xf>
    <xf numFmtId="164" fontId="0" fillId="0" borderId="2" xfId="0" applyFont="true" applyBorder="true" applyAlignment="true" applyProtection="false">
      <alignment horizontal="general" vertical="center" textRotation="0" wrapText="true" indent="0" shrinkToFit="false"/>
      <protection locked="true" hidden="false"/>
    </xf>
    <xf numFmtId="164" fontId="0" fillId="0" borderId="2" xfId="0" applyFont="true" applyBorder="true" applyAlignment="true" applyProtection="false">
      <alignment horizontal="general" vertical="center" textRotation="0" wrapText="false" indent="0" shrinkToFit="false"/>
      <protection locked="true" hidden="false"/>
    </xf>
    <xf numFmtId="164" fontId="13" fillId="0" borderId="2" xfId="0" applyFont="true" applyBorder="true" applyAlignment="true" applyProtection="false">
      <alignment horizontal="general" vertical="center" textRotation="0" wrapText="false" indent="0" shrinkToFit="false"/>
      <protection locked="true" hidden="false"/>
    </xf>
    <xf numFmtId="164" fontId="14" fillId="0" borderId="2" xfId="0" applyFont="true" applyBorder="true" applyAlignment="true" applyProtection="false">
      <alignment horizontal="general" vertical="center" textRotation="0" wrapText="false" indent="0" shrinkToFit="false"/>
      <protection locked="true" hidden="false"/>
    </xf>
    <xf numFmtId="165" fontId="13" fillId="0" borderId="2" xfId="0" applyFont="true" applyBorder="true" applyAlignment="true" applyProtection="false">
      <alignment horizontal="general" vertical="center" textRotation="0" wrapText="false" indent="0" shrinkToFit="false"/>
      <protection locked="true" hidden="false"/>
    </xf>
    <xf numFmtId="164" fontId="0" fillId="0" borderId="2" xfId="0" applyFont="true" applyBorder="true" applyAlignment="false" applyProtection="false">
      <alignment horizontal="general" vertical="bottom" textRotation="0" wrapText="false" indent="0" shrinkToFit="false"/>
      <protection locked="true" hidden="false"/>
    </xf>
    <xf numFmtId="164" fontId="13" fillId="0" borderId="2" xfId="0" applyFont="true" applyBorder="true" applyAlignment="false" applyProtection="false">
      <alignment horizontal="general" vertical="bottom" textRotation="0" wrapText="false" indent="0" shrinkToFit="false"/>
      <protection locked="true" hidden="false"/>
    </xf>
    <xf numFmtId="164" fontId="14" fillId="0" borderId="2" xfId="0" applyFont="true" applyBorder="true" applyAlignment="false" applyProtection="false">
      <alignment horizontal="general" vertical="bottom" textRotation="0" wrapText="false" indent="0" shrinkToFit="false"/>
      <protection locked="true" hidden="false"/>
    </xf>
    <xf numFmtId="164" fontId="8" fillId="2" borderId="0" xfId="0" applyFont="true" applyBorder="true" applyAlignment="true" applyProtection="false">
      <alignment horizontal="left" vertical="center" textRotation="0" wrapText="false" indent="0" shrinkToFit="false"/>
      <protection locked="true" hidden="false"/>
    </xf>
    <xf numFmtId="164" fontId="9" fillId="0" borderId="0" xfId="0" applyFont="true" applyBorder="true" applyAlignment="true" applyProtection="false">
      <alignment horizontal="general" vertical="bottom" textRotation="0" wrapText="true" indent="0" shrinkToFit="false"/>
      <protection locked="true" hidden="false"/>
    </xf>
    <xf numFmtId="164" fontId="10" fillId="4" borderId="0" xfId="0" applyFont="true" applyBorder="true" applyAlignment="false" applyProtection="false">
      <alignment horizontal="general" vertical="bottom" textRotation="0" wrapText="false" indent="0" shrinkToFit="false"/>
      <protection locked="true" hidden="false"/>
    </xf>
    <xf numFmtId="164" fontId="10" fillId="4" borderId="0" xfId="0" applyFont="true" applyBorder="false" applyAlignment="true" applyProtection="false">
      <alignment horizontal="center" vertical="bottom" textRotation="0" wrapText="false" indent="0" shrinkToFit="false"/>
      <protection locked="true" hidden="false"/>
    </xf>
    <xf numFmtId="166" fontId="19" fillId="5" borderId="0" xfId="0" applyFont="true" applyBorder="false" applyAlignment="false" applyProtection="false">
      <alignment horizontal="general" vertical="bottom" textRotation="0" wrapText="false" indent="0" shrinkToFit="false"/>
      <protection locked="true" hidden="false"/>
    </xf>
    <xf numFmtId="164" fontId="20" fillId="0" borderId="0" xfId="0" applyFont="true" applyBorder="true" applyAlignment="true" applyProtection="false">
      <alignment horizontal="general" vertical="bottom" textRotation="0" wrapText="true" indent="0" shrinkToFit="false"/>
      <protection locked="true" hidden="false"/>
    </xf>
    <xf numFmtId="164" fontId="19" fillId="5" borderId="0" xfId="0" applyFont="true" applyBorder="false" applyAlignment="false" applyProtection="false">
      <alignment horizontal="general" vertical="bottom" textRotation="0" wrapText="false" indent="0" shrinkToFit="false"/>
      <protection locked="true" hidden="false"/>
    </xf>
    <xf numFmtId="164" fontId="0" fillId="6" borderId="0" xfId="0" applyFont="true" applyBorder="false" applyAlignment="false" applyProtection="false">
      <alignment horizontal="general" vertical="bottom" textRotation="0" wrapText="false" indent="0" shrinkToFit="false"/>
      <protection locked="true" hidden="false"/>
    </xf>
    <xf numFmtId="164" fontId="0" fillId="7" borderId="0" xfId="0" applyFont="true" applyBorder="false" applyAlignment="false" applyProtection="false">
      <alignment horizontal="general" vertical="bottom" textRotation="0" wrapText="false" indent="0" shrinkToFit="false"/>
      <protection locked="true" hidden="false"/>
    </xf>
    <xf numFmtId="164" fontId="11" fillId="8" borderId="2" xfId="0" applyFont="true" applyBorder="true" applyAlignment="false" applyProtection="false">
      <alignment horizontal="general" vertical="bottom" textRotation="0" wrapText="false" indent="0" shrinkToFit="false"/>
      <protection locked="true" hidden="false"/>
    </xf>
    <xf numFmtId="164" fontId="14" fillId="0" borderId="0" xfId="0" applyFont="true" applyBorder="true" applyAlignment="true" applyProtection="false">
      <alignment horizontal="general" vertical="center" textRotation="0" wrapText="true" indent="0" shrinkToFit="false"/>
      <protection locked="true" hidden="false"/>
    </xf>
    <xf numFmtId="165" fontId="19" fillId="5" borderId="0" xfId="0" applyFont="true" applyBorder="true" applyAlignment="true" applyProtection="false">
      <alignment horizontal="general" vertical="center" textRotation="0" wrapText="true" indent="0" shrinkToFit="false"/>
      <protection locked="true" hidden="false"/>
    </xf>
    <xf numFmtId="166" fontId="19" fillId="5" borderId="0" xfId="0" applyFont="true" applyBorder="true" applyAlignment="true" applyProtection="false">
      <alignment horizontal="general" vertical="center" textRotation="0" wrapText="true" indent="0" shrinkToFit="false"/>
      <protection locked="true" hidden="false"/>
    </xf>
    <xf numFmtId="166" fontId="14" fillId="0" borderId="0" xfId="0" applyFont="true" applyBorder="true" applyAlignment="true" applyProtection="false">
      <alignment horizontal="general" vertical="center" textRotation="0" wrapText="true" indent="0" shrinkToFit="false"/>
      <protection locked="true" hidden="false"/>
    </xf>
    <xf numFmtId="164" fontId="14" fillId="0" borderId="0" xfId="0" applyFont="true" applyBorder="true" applyAlignment="true" applyProtection="false">
      <alignment horizontal="left" vertical="bottom" textRotation="0" wrapText="false" indent="0" shrinkToFit="false"/>
      <protection locked="true" hidden="false"/>
    </xf>
    <xf numFmtId="164" fontId="11" fillId="3" borderId="1" xfId="0" applyFont="true" applyBorder="true" applyAlignment="true" applyProtection="false">
      <alignment horizontal="center" vertical="center" textRotation="0" wrapText="true" indent="0" shrinkToFit="false"/>
      <protection locked="true" hidden="false"/>
    </xf>
    <xf numFmtId="164" fontId="21" fillId="0" borderId="2" xfId="0" applyFont="true" applyBorder="true" applyAlignment="false" applyProtection="false">
      <alignment horizontal="general" vertical="bottom" textRotation="0" wrapText="false" indent="0" shrinkToFit="false"/>
      <protection locked="true" hidden="false"/>
    </xf>
    <xf numFmtId="164" fontId="12" fillId="0" borderId="2" xfId="0" applyFont="true" applyBorder="true" applyAlignment="false" applyProtection="false">
      <alignment horizontal="general" vertical="bottom" textRotation="0" wrapText="false" indent="0" shrinkToFit="false"/>
      <protection locked="true" hidden="false"/>
    </xf>
    <xf numFmtId="164" fontId="22" fillId="0" borderId="2" xfId="0" applyFont="true" applyBorder="true" applyAlignment="true" applyProtection="false">
      <alignment horizontal="general" vertical="bottom" textRotation="0" wrapText="true" indent="0" shrinkToFit="false"/>
      <protection locked="true" hidden="false"/>
    </xf>
    <xf numFmtId="165" fontId="19" fillId="5" borderId="2" xfId="0" applyFont="true" applyBorder="true" applyAlignment="false" applyProtection="false">
      <alignment horizontal="general" vertical="bottom" textRotation="0" wrapText="false" indent="0" shrinkToFit="false"/>
      <protection locked="true" hidden="false"/>
    </xf>
    <xf numFmtId="166" fontId="19" fillId="5" borderId="2" xfId="0" applyFont="true" applyBorder="true" applyAlignment="false" applyProtection="false">
      <alignment horizontal="general" vertical="bottom" textRotation="0" wrapText="false" indent="0" shrinkToFit="false"/>
      <protection locked="true" hidden="false"/>
    </xf>
    <xf numFmtId="167" fontId="19" fillId="5" borderId="2" xfId="0" applyFont="true" applyBorder="true" applyAlignment="false" applyProtection="false">
      <alignment horizontal="general" vertical="bottom" textRotation="0" wrapText="false" indent="0" shrinkToFit="false"/>
      <protection locked="true" hidden="false"/>
    </xf>
    <xf numFmtId="165" fontId="14" fillId="0" borderId="2" xfId="0" applyFont="true" applyBorder="true" applyAlignment="false" applyProtection="false">
      <alignment horizontal="general" vertical="bottom" textRotation="0" wrapText="false" indent="0" shrinkToFit="false"/>
      <protection locked="true" hidden="false"/>
    </xf>
    <xf numFmtId="166" fontId="14" fillId="0" borderId="2" xfId="0" applyFont="true" applyBorder="true" applyAlignment="false" applyProtection="false">
      <alignment horizontal="general" vertical="bottom" textRotation="0" wrapText="false" indent="0" shrinkToFit="false"/>
      <protection locked="true" hidden="false"/>
    </xf>
    <xf numFmtId="164" fontId="14" fillId="9" borderId="2" xfId="0" applyFont="true" applyBorder="true" applyAlignment="false" applyProtection="false">
      <alignment horizontal="general" vertical="bottom" textRotation="0" wrapText="false" indent="0" shrinkToFit="false"/>
      <protection locked="true" hidden="false"/>
    </xf>
    <xf numFmtId="164" fontId="12" fillId="9" borderId="2" xfId="0" applyFont="true" applyBorder="true" applyAlignment="false" applyProtection="false">
      <alignment horizontal="general" vertical="bottom" textRotation="0" wrapText="false" indent="0" shrinkToFit="false"/>
      <protection locked="true" hidden="false"/>
    </xf>
    <xf numFmtId="164" fontId="0" fillId="9" borderId="0" xfId="0" applyFont="false" applyBorder="false" applyAlignment="false" applyProtection="false">
      <alignment horizontal="general" vertical="bottom" textRotation="0" wrapText="false" indent="0" shrinkToFit="false"/>
      <protection locked="true" hidden="false"/>
    </xf>
    <xf numFmtId="166" fontId="14" fillId="9" borderId="2" xfId="0" applyFont="true" applyBorder="true" applyAlignment="false" applyProtection="false">
      <alignment horizontal="general" vertical="bottom" textRotation="0" wrapText="false" indent="0" shrinkToFit="false"/>
      <protection locked="true" hidden="false"/>
    </xf>
    <xf numFmtId="164" fontId="11" fillId="9" borderId="2" xfId="0" applyFont="true" applyBorder="true" applyAlignment="false" applyProtection="false">
      <alignment horizontal="general" vertical="bottom" textRotation="0" wrapText="false" indent="0" shrinkToFit="false"/>
      <protection locked="true" hidden="false"/>
    </xf>
    <xf numFmtId="167" fontId="14" fillId="9" borderId="2" xfId="0" applyFont="true" applyBorder="true" applyAlignment="false" applyProtection="false">
      <alignment horizontal="general" vertical="bottom" textRotation="0" wrapText="false" indent="0" shrinkToFit="false"/>
      <protection locked="true" hidden="false"/>
    </xf>
    <xf numFmtId="164" fontId="13" fillId="9" borderId="2" xfId="0" applyFont="true" applyBorder="true" applyAlignment="false" applyProtection="false">
      <alignment horizontal="general" vertical="bottom" textRotation="0" wrapText="false" indent="0" shrinkToFit="false"/>
      <protection locked="true" hidden="false"/>
    </xf>
    <xf numFmtId="164" fontId="23" fillId="0" borderId="0" xfId="0" applyFont="true" applyBorder="true" applyAlignment="true" applyProtection="false">
      <alignment horizontal="general" vertical="top" textRotation="0" wrapText="true" indent="0" shrinkToFit="false"/>
      <protection locked="true" hidden="false"/>
    </xf>
    <xf numFmtId="164" fontId="19" fillId="5" borderId="0" xfId="0" applyFont="true" applyBorder="true" applyAlignment="true" applyProtection="false">
      <alignment horizontal="general" vertical="center" textRotation="0" wrapText="true" indent="0" shrinkToFit="false"/>
      <protection locked="true" hidden="false"/>
    </xf>
    <xf numFmtId="168" fontId="19" fillId="5" borderId="2" xfId="0" applyFont="true" applyBorder="true" applyAlignment="false" applyProtection="false">
      <alignment horizontal="general" vertical="bottom" textRotation="0" wrapText="false" indent="0" shrinkToFit="false"/>
      <protection locked="true" hidden="false"/>
    </xf>
    <xf numFmtId="167" fontId="14" fillId="0" borderId="2" xfId="0" applyFont="true" applyBorder="true" applyAlignment="false" applyProtection="false">
      <alignment horizontal="general" vertical="bottom" textRotation="0" wrapText="false" indent="0" shrinkToFit="false"/>
      <protection locked="true" hidden="false"/>
    </xf>
    <xf numFmtId="164" fontId="14" fillId="0" borderId="2" xfId="0" applyFont="true" applyBorder="true" applyAlignment="true" applyProtection="false">
      <alignment horizontal="general" vertical="top" textRotation="0" wrapText="true" indent="0" shrinkToFit="false"/>
      <protection locked="true" hidden="false"/>
    </xf>
    <xf numFmtId="164" fontId="24" fillId="0" borderId="2" xfId="0" applyFont="true" applyBorder="tru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3">
    <dxf>
      <fill>
        <patternFill patternType="solid">
          <fgColor rgb="FFD9EAF7"/>
          <bgColor rgb="FF000000"/>
        </patternFill>
      </fill>
    </dxf>
    <dxf>
      <fill>
        <patternFill patternType="solid">
          <bgColor rgb="FF000000"/>
        </patternFill>
      </fill>
    </dxf>
    <dxf>
      <fill>
        <patternFill patternType="solid">
          <fgColor rgb="FF000000"/>
          <bgColor rgb="FF000000"/>
        </patternFill>
      </fill>
    </dxf>
    <dxf>
      <fill>
        <patternFill patternType="solid">
          <fgColor rgb="FF17365D"/>
          <bgColor rgb="FF000000"/>
        </patternFill>
      </fill>
    </dxf>
    <dxf>
      <fill>
        <patternFill patternType="solid">
          <fgColor rgb="FF008000"/>
          <bgColor rgb="FF000000"/>
        </patternFill>
      </fill>
    </dxf>
    <dxf>
      <fill>
        <patternFill patternType="solid">
          <fgColor rgb="FFC6E0B4"/>
          <bgColor rgb="FF000000"/>
        </patternFill>
      </fill>
    </dxf>
    <dxf>
      <fill>
        <patternFill>
          <bgColor rgb="FFC6E0B4"/>
        </patternFill>
      </fill>
    </dxf>
    <dxf>
      <fill>
        <patternFill>
          <bgColor rgb="FFFFF2CC"/>
        </patternFill>
      </fill>
    </dxf>
    <dxf>
      <fill>
        <patternFill patternType="solid">
          <fgColor rgb="FF1F4E78"/>
          <bgColor rgb="FF000000"/>
        </patternFill>
      </fill>
    </dxf>
    <dxf>
      <fill>
        <patternFill patternType="solid">
          <fgColor rgb="FFFFFFFF"/>
          <bgColor rgb="FF000000"/>
        </patternFill>
      </fill>
    </dxf>
    <dxf>
      <fill>
        <patternFill patternType="solid">
          <fgColor rgb="FF666666"/>
          <bgColor rgb="FF000000"/>
        </patternFill>
      </fill>
    </dxf>
    <dxf>
      <fill>
        <patternFill patternType="solid">
          <fgColor rgb="FFFFFBE6"/>
          <bgColor rgb="FF000000"/>
        </patternFill>
      </fill>
    </dxf>
    <dxf>
      <fill>
        <patternFill patternType="solid">
          <fgColor rgb="FF0000FF"/>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7C9D6"/>
      <rgbColor rgb="FF878787"/>
      <rgbColor rgb="FF5B9BD5"/>
      <rgbColor rgb="FF993366"/>
      <rgbColor rgb="FFFFFBE6"/>
      <rgbColor rgb="FFD9EAF7"/>
      <rgbColor rgb="FF660066"/>
      <rgbColor rgb="FFFF8080"/>
      <rgbColor rgb="FF0563C1"/>
      <rgbColor rgb="FFD9D9D9"/>
      <rgbColor rgb="FF000080"/>
      <rgbColor rgb="FFFF00FF"/>
      <rgbColor rgb="FFFFFF00"/>
      <rgbColor rgb="FF00FFFF"/>
      <rgbColor rgb="FF800080"/>
      <rgbColor rgb="FF800000"/>
      <rgbColor rgb="FF008080"/>
      <rgbColor rgb="FF0000FF"/>
      <rgbColor rgb="FF00CCFF"/>
      <rgbColor rgb="FFF2F2F2"/>
      <rgbColor rgb="FFC6E0B4"/>
      <rgbColor rgb="FFFFF2CC"/>
      <rgbColor rgb="FF99CCFF"/>
      <rgbColor rgb="FFFF99CC"/>
      <rgbColor rgb="FFCC99FF"/>
      <rgbColor rgb="FFFFCC99"/>
      <rgbColor rgb="FF3366FF"/>
      <rgbColor rgb="FF33CCCC"/>
      <rgbColor rgb="FF99CC00"/>
      <rgbColor rgb="FFFFCC00"/>
      <rgbColor rgb="FFFF9900"/>
      <rgbColor rgb="FFFF6600"/>
      <rgbColor rgb="FF666666"/>
      <rgbColor rgb="FF969696"/>
      <rgbColor rgb="FF17365D"/>
      <rgbColor rgb="FF339966"/>
      <rgbColor rgb="FF003300"/>
      <rgbColor rgb="FF333300"/>
      <rgbColor rgb="FF993300"/>
      <rgbColor rgb="FF993366"/>
      <rgbColor rgb="FF1F4E78"/>
      <rgbColor rgb="FF44546A"/>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worksheet" Target="worksheets/sheet16.xml"/><Relationship Id="rId19" Type="http://schemas.openxmlformats.org/officeDocument/2006/relationships/worksheet" Target="worksheets/sheet17.xml"/><Relationship Id="rId20" Type="http://schemas.openxmlformats.org/officeDocument/2006/relationships/worksheet" Target="worksheets/sheet18.xml"/><Relationship Id="rId21" Type="http://schemas.openxmlformats.org/officeDocument/2006/relationships/worksheet" Target="worksheets/sheet19.xml"/><Relationship Id="rId22" Type="http://schemas.openxmlformats.org/officeDocument/2006/relationships/worksheet" Target="worksheets/sheet20.xml"/><Relationship Id="rId23" Type="http://schemas.openxmlformats.org/officeDocument/2006/relationships/worksheet" Target="worksheets/sheet21.xml"/><Relationship Id="rId24" Type="http://schemas.openxmlformats.org/officeDocument/2006/relationships/worksheet" Target="worksheets/sheet22.xml"/><Relationship Id="rId25" Type="http://schemas.openxmlformats.org/officeDocument/2006/relationships/worksheet" Target="worksheets/sheet23.xml"/><Relationship Id="rId26" Type="http://schemas.openxmlformats.org/officeDocument/2006/relationships/worksheet" Target="worksheets/sheet24.xml"/><Relationship Id="rId27" Type="http://schemas.openxmlformats.org/officeDocument/2006/relationships/worksheet" Target="worksheets/sheet25.xml"/><Relationship Id="rId28" Type="http://schemas.openxmlformats.org/officeDocument/2006/relationships/sharedStrings" Target="sharedStrings.xml"/>
</Relationships>
</file>

<file path=xl/charts/_rels/chart1.xml.rels><?xml version="1.0" encoding="UTF-8"?>
<Relationships xmlns="http://schemas.openxmlformats.org/package/2006/relationships"><Relationship Id="rId1" Type="http://schemas.microsoft.com/office/2011/relationships/chartStyle" Target="style1.xml"/><Relationship Id="rId2" Type="http://schemas.microsoft.com/office/2011/relationships/chartColorStyle" Target="colors1.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sz="1300" b="0" u="none" strike="noStrike">
                <a:uFillTx/>
                <a:latin typeface="Arial"/>
              </a:defRPr>
            </a:pPr>
            <a:r>
              <a:rPr sz="1800" b="1" u="none" strike="noStrike">
                <a:solidFill>
                  <a:srgbClr val="000000"/>
                </a:solidFill>
                <a:uFillTx/>
                <a:latin typeface="Calibri"/>
              </a:rPr>
              <a:t>Pipeline revenue: reported vs risk-adjusted</a:t>
            </a:r>
          </a:p>
        </c:rich>
      </c:tx>
      <c:overlay val="0"/>
      <c:spPr>
        <a:noFill/>
        <a:ln w="0">
          <a:noFill/>
        </a:ln>
      </c:spPr>
    </c:title>
    <c:autoTitleDeleted val="0"/>
    <c:plotArea>
      <c:lineChart>
        <c:grouping val="standard"/>
        <c:varyColors val="0"/>
        <c:ser>
          <c:idx val="0"/>
          <c:order val="0"/>
          <c:tx>
            <c:strRef>
              <c:f>"Reported revenue"</c:f>
              <c:strCache>
                <c:ptCount val="1"/>
                <c:pt idx="0">
                  <c:v>Reported revenue</c:v>
                </c:pt>
              </c:strCache>
            </c:strRef>
          </c:tx>
          <c:spPr>
            <a:ln w="12600">
              <a:solidFill>
                <a:srgbClr val="17365D"/>
              </a:solidFill>
              <a:round/>
            </a:ln>
          </c:spPr>
          <c:marker>
            <c:symbol val="none"/>
          </c:marker>
          <c:dLbls>
            <c:txPr>
              <a:bodyPr wrap="none"/>
              <a:lstStyle/>
              <a:p>
                <a:pPr>
                  <a:defRPr sz="1000" b="0" u="none" strike="noStrike">
                    <a:uFillTx/>
                    <a:latin typeface="Arial"/>
                  </a:defRPr>
                </a:pPr>
              </a:p>
            </c:txPr>
            <c:showLegendKey val="0"/>
            <c:showVal val="0"/>
            <c:showCatName val="0"/>
            <c:showSerName val="0"/>
            <c:showPercent val="0"/>
            <c:separator> </c:separator>
            <c:extLst>
              <c:ext xmlns:c15="http://schemas.microsoft.com/office/drawing/2012/chart" uri="{CE6537A1-D6FC-4f65-9D91-7224C49458BB}">
                <c15:showLeaderLines val="1"/>
              </c:ext>
            </c:extLst>
          </c:dLbls>
          <c:cat>
            <c:multiLvlStrRef>
              <c:f>Summary!$D$5:$M$5</c:f>
              <c:multiLvlStrCache>
                <c:ptCount val="1"/>
                <c:lvl>
                  <c:pt idx="0">
                    <c:v>FY35E</c:v>
                  </c:pt>
                </c:lvl>
                <c:lvl>
                  <c:pt idx="0">
                    <c:v>FY34E</c:v>
                  </c:pt>
                </c:lvl>
                <c:lvl>
                  <c:pt idx="0">
                    <c:v>FY33E</c:v>
                  </c:pt>
                </c:lvl>
                <c:lvl>
                  <c:pt idx="0">
                    <c:v>FY32E</c:v>
                  </c:pt>
                </c:lvl>
                <c:lvl>
                  <c:pt idx="0">
                    <c:v>FY31E</c:v>
                  </c:pt>
                </c:lvl>
                <c:lvl>
                  <c:pt idx="0">
                    <c:v>FY30E</c:v>
                  </c:pt>
                </c:lvl>
                <c:lvl>
                  <c:pt idx="0">
                    <c:v>FY29E</c:v>
                  </c:pt>
                </c:lvl>
                <c:lvl>
                  <c:pt idx="0">
                    <c:v>FY28E</c:v>
                  </c:pt>
                </c:lvl>
                <c:lvl>
                  <c:pt idx="0">
                    <c:v>FY27E</c:v>
                  </c:pt>
                </c:lvl>
                <c:lvl>
                  <c:pt idx="0">
                    <c:v>FY26A</c:v>
                  </c:pt>
                </c:lvl>
              </c:multiLvlStrCache>
            </c:multiLvlStrRef>
          </c:cat>
          <c:val>
            <c:numRef>
              <c:f>Summary!$D$6:$M$6</c:f>
              <c:numCache>
                <c:formatCode>General</c:formatCode>
                <c:ptCount val="10"/>
                <c:pt idx="0">
                  <c:v>113.396395348837</c:v>
                </c:pt>
                <c:pt idx="1">
                  <c:v>226.749772727273</c:v>
                </c:pt>
                <c:pt idx="2">
                  <c:v>545.7310507264</c:v>
                </c:pt>
                <c:pt idx="3">
                  <c:v>673.03714689011</c:v>
                </c:pt>
                <c:pt idx="4">
                  <c:v>867.422976516392</c:v>
                </c:pt>
                <c:pt idx="5">
                  <c:v>1020.30543659933</c:v>
                </c:pt>
                <c:pt idx="6">
                  <c:v>1133.87706622505</c:v>
                </c:pt>
                <c:pt idx="7">
                  <c:v>1237.57687239029</c:v>
                </c:pt>
                <c:pt idx="8">
                  <c:v>1459.42860670032</c:v>
                </c:pt>
                <c:pt idx="9">
                  <c:v>1592.58404714201</c:v>
                </c:pt>
              </c:numCache>
            </c:numRef>
          </c:val>
          <c:smooth val="1"/>
        </c:ser>
        <c:ser>
          <c:idx val="1"/>
          <c:order val="1"/>
          <c:tx>
            <c:strRef>
              <c:f>"Risk-adjusted revenue"</c:f>
              <c:strCache>
                <c:ptCount val="1"/>
                <c:pt idx="0">
                  <c:v>Risk-adjusted revenue</c:v>
                </c:pt>
              </c:strCache>
            </c:strRef>
          </c:tx>
          <c:spPr>
            <a:ln w="12600">
              <a:solidFill>
                <a:srgbClr val="5B9BD5"/>
              </a:solidFill>
              <a:round/>
            </a:ln>
          </c:spPr>
          <c:marker>
            <c:symbol val="none"/>
          </c:marker>
          <c:dLbls>
            <c:txPr>
              <a:bodyPr wrap="none"/>
              <a:lstStyle/>
              <a:p>
                <a:pPr>
                  <a:defRPr sz="1000" b="0" u="none" strike="noStrike">
                    <a:uFillTx/>
                    <a:latin typeface="Arial"/>
                  </a:defRPr>
                </a:pPr>
              </a:p>
            </c:txPr>
            <c:showLegendKey val="0"/>
            <c:showVal val="0"/>
            <c:showCatName val="0"/>
            <c:showSerName val="0"/>
            <c:showPercent val="0"/>
            <c:separator> </c:separator>
            <c:extLst>
              <c:ext xmlns:c15="http://schemas.microsoft.com/office/drawing/2012/chart" uri="{CE6537A1-D6FC-4f65-9D91-7224C49458BB}">
                <c15:showLeaderLines val="1"/>
              </c:ext>
            </c:extLst>
          </c:dLbls>
          <c:cat>
            <c:multiLvlStrRef>
              <c:f>Summary!$D$5:$M$5</c:f>
              <c:multiLvlStrCache>
                <c:ptCount val="1"/>
                <c:lvl>
                  <c:pt idx="0">
                    <c:v>FY35E</c:v>
                  </c:pt>
                </c:lvl>
                <c:lvl>
                  <c:pt idx="0">
                    <c:v>FY34E</c:v>
                  </c:pt>
                </c:lvl>
                <c:lvl>
                  <c:pt idx="0">
                    <c:v>FY33E</c:v>
                  </c:pt>
                </c:lvl>
                <c:lvl>
                  <c:pt idx="0">
                    <c:v>FY32E</c:v>
                  </c:pt>
                </c:lvl>
                <c:lvl>
                  <c:pt idx="0">
                    <c:v>FY31E</c:v>
                  </c:pt>
                </c:lvl>
                <c:lvl>
                  <c:pt idx="0">
                    <c:v>FY30E</c:v>
                  </c:pt>
                </c:lvl>
                <c:lvl>
                  <c:pt idx="0">
                    <c:v>FY29E</c:v>
                  </c:pt>
                </c:lvl>
                <c:lvl>
                  <c:pt idx="0">
                    <c:v>FY28E</c:v>
                  </c:pt>
                </c:lvl>
                <c:lvl>
                  <c:pt idx="0">
                    <c:v>FY27E</c:v>
                  </c:pt>
                </c:lvl>
                <c:lvl>
                  <c:pt idx="0">
                    <c:v>FY26A</c:v>
                  </c:pt>
                </c:lvl>
              </c:multiLvlStrCache>
            </c:multiLvlStrRef>
          </c:cat>
          <c:val>
            <c:numRef>
              <c:f>Summary!$D$7:$M$7</c:f>
              <c:numCache>
                <c:formatCode>General</c:formatCode>
                <c:ptCount val="10"/>
                <c:pt idx="0">
                  <c:v>113.396395348837</c:v>
                </c:pt>
                <c:pt idx="1">
                  <c:v>226.749772727273</c:v>
                </c:pt>
                <c:pt idx="2">
                  <c:v>501.44789311744</c:v>
                </c:pt>
                <c:pt idx="3">
                  <c:v>615.706666160941</c:v>
                </c:pt>
                <c:pt idx="4">
                  <c:v>747.257485570848</c:v>
                </c:pt>
                <c:pt idx="5">
                  <c:v>847.665768609429</c:v>
                </c:pt>
                <c:pt idx="6">
                  <c:v>917.600499658638</c:v>
                </c:pt>
                <c:pt idx="7">
                  <c:v>961.558649057027</c:v>
                </c:pt>
                <c:pt idx="8">
                  <c:v>1007.46767779184</c:v>
                </c:pt>
                <c:pt idx="9">
                  <c:v>1026.41495091991</c:v>
                </c:pt>
              </c:numCache>
            </c:numRef>
          </c:val>
          <c:smooth val="1"/>
        </c:ser>
        <c:hiLowLines>
          <c:spPr>
            <a:ln w="0">
              <a:noFill/>
            </a:ln>
          </c:spPr>
        </c:hiLowLines>
        <c:marker val="0"/>
        <c:axId val="82682297"/>
        <c:axId val="14740096"/>
      </c:lineChart>
      <c:catAx>
        <c:axId val="82682297"/>
        <c:scaling>
          <c:orientation val="minMax"/>
        </c:scaling>
        <c:delete val="0"/>
        <c:axPos val="b"/>
        <c:title>
          <c:tx>
            <c:rich>
              <a:bodyPr rot="0"/>
              <a:lstStyle/>
              <a:p>
                <a:pPr>
                  <a:defRPr sz="1300" b="0" u="none" strike="noStrike">
                    <a:uFillTx/>
                    <a:latin typeface="Arial"/>
                  </a:defRPr>
                </a:pPr>
                <a:r>
                  <a:rPr sz="1000" b="1" u="none" strike="noStrike">
                    <a:solidFill>
                      <a:srgbClr val="000000"/>
                    </a:solidFill>
                    <a:uFillTx/>
                    <a:latin typeface="Calibri"/>
                  </a:rPr>
                  <a:t>Fiscal year</a:t>
                </a:r>
              </a:p>
            </c:rich>
          </c:tx>
          <c:overlay val="0"/>
          <c:spPr>
            <a:noFill/>
            <a:ln w="0">
              <a:noFill/>
            </a:ln>
          </c:spPr>
        </c:title>
        <c:numFmt formatCode="General" sourceLinked="1"/>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14740096"/>
        <c:crosses val="autoZero"/>
        <c:auto val="1"/>
        <c:lblAlgn val="ctr"/>
        <c:lblOffset val="100"/>
        <c:noMultiLvlLbl val="0"/>
      </c:catAx>
      <c:valAx>
        <c:axId val="14740096"/>
        <c:scaling>
          <c:orientation val="minMax"/>
        </c:scaling>
        <c:delete val="0"/>
        <c:axPos val="l"/>
        <c:majorGridlines>
          <c:spPr>
            <a:ln w="9360">
              <a:solidFill>
                <a:srgbClr val="878787"/>
              </a:solidFill>
              <a:round/>
            </a:ln>
          </c:spPr>
        </c:majorGridlines>
        <c:title>
          <c:tx>
            <c:rich>
              <a:bodyPr rot="-5400000"/>
              <a:lstStyle/>
              <a:p>
                <a:pPr>
                  <a:defRPr sz="1300" b="0" u="none" strike="noStrike">
                    <a:uFillTx/>
                    <a:latin typeface="Arial"/>
                  </a:defRPr>
                </a:pPr>
                <a:r>
                  <a:rPr sz="1000" b="1" u="none" strike="noStrike">
                    <a:solidFill>
                      <a:srgbClr val="000000"/>
                    </a:solidFill>
                    <a:uFillTx/>
                    <a:latin typeface="Calibri"/>
                  </a:rPr>
                  <a:t>US$ m</a:t>
                </a:r>
              </a:p>
            </c:rich>
          </c:tx>
          <c:overlay val="0"/>
          <c:spPr>
            <a:noFill/>
            <a:ln w="0">
              <a:noFill/>
            </a:ln>
          </c:spPr>
        </c:title>
        <c:numFmt formatCode="General" sourceLinked="1"/>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82682297"/>
        <c:crosses val="autoZero"/>
        <c:crossBetween val="between"/>
      </c:valAx>
      <c:spPr>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ln w="9360">
      <a:solidFill>
        <a:srgbClr val="D9D9D9"/>
      </a:solidFill>
      <a:round/>
    </a:ln>
  </c:spPr>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colorStyle>
</file>

<file path=xl/charts/style1.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drawings/_rels/drawing1.xml.rels><?xml version="1.0" encoding="UTF-8"?>
<Relationships xmlns="http://schemas.openxmlformats.org/package/2006/relationships"><Relationship Id="rId1" Type="http://schemas.openxmlformats.org/officeDocument/2006/relationships/chart" Target="../charts/chart1.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14</xdr:col>
      <xdr:colOff>0</xdr:colOff>
      <xdr:row>3</xdr:row>
      <xdr:rowOff>0</xdr:rowOff>
    </xdr:from>
    <xdr:to>
      <xdr:col>19</xdr:col>
      <xdr:colOff>309600</xdr:colOff>
      <xdr:row>15</xdr:row>
      <xdr:rowOff>157320</xdr:rowOff>
    </xdr:to>
    <xdr:graphicFrame>
      <xdr:nvGraphicFramePr>
        <xdr:cNvPr id="1" name="Chart 1"/>
        <xdr:cNvGraphicFramePr/>
      </xdr:nvGraphicFramePr>
      <xdr:xfrm>
        <a:off x="15436080" y="685800"/>
        <a:ext cx="4679640" cy="251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file>

<file path=xl/drawings/drawing4.xml><?xml version="1.0" encoding="utf-8"?>
<xdr:wsDr xmlns:xdr="http://schemas.openxmlformats.org/drawingml/2006/spreadsheetDrawing" xmlns:a="http://schemas.openxmlformats.org/drawingml/2006/main" xmlns:r="http://schemas.openxmlformats.org/officeDocument/2006/relationships"/>
</file>

<file path=xl/drawings/drawing5.xml><?xml version="1.0" encoding="utf-8"?>
<xdr:wsDr xmlns:xdr="http://schemas.openxmlformats.org/drawingml/2006/spreadsheetDrawing" xmlns:a="http://schemas.openxmlformats.org/drawingml/2006/main" xmlns:r="http://schemas.openxmlformats.org/officeDocument/2006/relationships"/>
</file>

<file path=xl/drawings/drawing6.xml><?xml version="1.0" encoding="utf-8"?>
<xdr:wsDr xmlns:xdr="http://schemas.openxmlformats.org/drawingml/2006/spreadsheetDrawing" xmlns:a="http://schemas.openxmlformats.org/drawingml/2006/main" xmlns:r="http://schemas.openxmlformats.org/officeDocument/2006/relationships"/>
</file>

<file path=xl/drawings/drawing7.xml><?xml version="1.0" encoding="utf-8"?>
<xdr:wsDr xmlns:xdr="http://schemas.openxmlformats.org/drawingml/2006/spreadsheetDrawing" xmlns:a="http://schemas.openxmlformats.org/drawingml/2006/main" xmlns:r="http://schemas.openxmlformats.org/officeDocument/2006/relationships"/>
</file>

<file path=xl/drawings/drawing8.xml><?xml version="1.0" encoding="utf-8"?>
<xdr:wsDr xmlns:xdr="http://schemas.openxmlformats.org/drawingml/2006/spreadsheetDrawing" xmlns:a="http://schemas.openxmlformats.org/drawingml/2006/main" xmlns:r="http://schemas.openxmlformats.org/officeDocument/2006/relationships"/>
</file>

<file path=xl/drawings/drawing9.xml><?xml version="1.0" encoding="utf-8"?>
<xdr:wsDr xmlns:xdr="http://schemas.openxmlformats.org/drawingml/2006/spreadsheetDrawing" xmlns:a="http://schemas.openxmlformats.org/drawingml/2006/main" xmlns:r="http://schemas.openxmlformats.org/officeDocument/2006/relationships"/>
</file>

<file path=xl/drawings/drawing10.xml><?xml version="1.0" encoding="utf-8"?>
<xdr:wsDr xmlns:xdr="http://schemas.openxmlformats.org/drawingml/2006/spreadsheetDrawing" xmlns:a="http://schemas.openxmlformats.org/drawingml/2006/main" xmlns:r="http://schemas.openxmlformats.org/officeDocument/2006/relationships"/>
</file>

<file path=xl/drawings/drawing11.xml><?xml version="1.0" encoding="utf-8"?>
<xdr:wsDr xmlns:xdr="http://schemas.openxmlformats.org/drawingml/2006/spreadsheetDrawing" xmlns:a="http://schemas.openxmlformats.org/drawingml/2006/main" xmlns:r="http://schemas.openxmlformats.org/officeDocument/2006/relationships"/>
</file>

<file path=xl/drawings/drawing12.xml><?xml version="1.0" encoding="utf-8"?>
<xdr:wsDr xmlns:xdr="http://schemas.openxmlformats.org/drawingml/2006/spreadsheetDrawing" xmlns:a="http://schemas.openxmlformats.org/drawingml/2006/main" xmlns:r="http://schemas.openxmlformats.org/officeDocument/2006/relationships"/>
</file>

<file path=xl/drawings/drawing13.xml><?xml version="1.0" encoding="utf-8"?>
<xdr:wsDr xmlns:xdr="http://schemas.openxmlformats.org/drawingml/2006/spreadsheetDrawing" xmlns:a="http://schemas.openxmlformats.org/drawingml/2006/main" xmlns:r="http://schemas.openxmlformats.org/officeDocument/2006/relationships"/>
</file>

<file path=xl/drawings/drawing14.xml><?xml version="1.0" encoding="utf-8"?>
<xdr:wsDr xmlns:xdr="http://schemas.openxmlformats.org/drawingml/2006/spreadsheetDrawing" xmlns:a="http://schemas.openxmlformats.org/drawingml/2006/main" xmlns:r="http://schemas.openxmlformats.org/officeDocument/2006/relationships"/>
</file>

<file path=xl/drawings/drawing15.xml><?xml version="1.0" encoding="utf-8"?>
<xdr:wsDr xmlns:xdr="http://schemas.openxmlformats.org/drawingml/2006/spreadsheetDrawing" xmlns:a="http://schemas.openxmlformats.org/drawingml/2006/main" xmlns:r="http://schemas.openxmlformats.org/officeDocument/2006/relationships"/>
</file>

<file path=xl/drawings/drawing16.xml><?xml version="1.0" encoding="utf-8"?>
<xdr:wsDr xmlns:xdr="http://schemas.openxmlformats.org/drawingml/2006/spreadsheetDrawing" xmlns:a="http://schemas.openxmlformats.org/drawingml/2006/main" xmlns:r="http://schemas.openxmlformats.org/officeDocument/2006/relationships"/>
</file>

<file path=xl/drawings/drawing17.xml><?xml version="1.0" encoding="utf-8"?>
<xdr:wsDr xmlns:xdr="http://schemas.openxmlformats.org/drawingml/2006/spreadsheetDrawing" xmlns:a="http://schemas.openxmlformats.org/drawingml/2006/main" xmlns:r="http://schemas.openxmlformats.org/officeDocument/2006/relationships"/>
</file>

<file path=xl/drawings/drawing18.xml><?xml version="1.0" encoding="utf-8"?>
<xdr:wsDr xmlns:xdr="http://schemas.openxmlformats.org/drawingml/2006/spreadsheetDrawing" xmlns:a="http://schemas.openxmlformats.org/drawingml/2006/main" xmlns:r="http://schemas.openxmlformats.org/officeDocument/2006/relationships"/>
</file>

<file path=xl/drawings/drawing19.xml><?xml version="1.0" encoding="utf-8"?>
<xdr:wsDr xmlns:xdr="http://schemas.openxmlformats.org/drawingml/2006/spreadsheetDrawing" xmlns:a="http://schemas.openxmlformats.org/drawingml/2006/main" xmlns:r="http://schemas.openxmlformats.org/officeDocument/2006/relationships"/>
</file>

<file path=xl/drawings/drawing20.xml><?xml version="1.0" encoding="utf-8"?>
<xdr:wsDr xmlns:xdr="http://schemas.openxmlformats.org/drawingml/2006/spreadsheetDrawing" xmlns:a="http://schemas.openxmlformats.org/drawingml/2006/main" xmlns:r="http://schemas.openxmlformats.org/officeDocument/2006/relationships"/>
</file>

<file path=xl/drawings/drawing21.xml><?xml version="1.0" encoding="utf-8"?>
<xdr:wsDr xmlns:xdr="http://schemas.openxmlformats.org/drawingml/2006/spreadsheetDrawing" xmlns:a="http://schemas.openxmlformats.org/drawingml/2006/main" xmlns:r="http://schemas.openxmlformats.org/officeDocument/2006/relationships"/>
</file>

<file path=xl/drawings/drawing22.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_rels/sheet4.xml.rels><?xml version="1.0" encoding="UTF-8"?>
<Relationships xmlns="http://schemas.openxmlformats.org/package/2006/relationships"><Relationship Id="rId1" Type="http://schemas.openxmlformats.org/officeDocument/2006/relationships/drawing" Target="../drawings/drawing2.xml"/>
</Relationships>
</file>

<file path=xl/worksheets/_rels/sheet5.xml.rels><?xml version="1.0" encoding="UTF-8"?>
<Relationships xmlns="http://schemas.openxmlformats.org/package/2006/relationships"><Relationship Id="rId1" Type="http://schemas.openxmlformats.org/officeDocument/2006/relationships/drawing" Target="../drawings/drawing3.xml"/>
</Relationships>
</file>

<file path=xl/worksheets/_rels/sheet6.xml.rels><?xml version="1.0" encoding="UTF-8"?>
<Relationships xmlns="http://schemas.openxmlformats.org/package/2006/relationships"><Relationship Id="rId1" Type="http://schemas.openxmlformats.org/officeDocument/2006/relationships/drawing" Target="../drawings/drawing4.xml"/>
</Relationships>
</file>

<file path=xl/worksheets/_rels/sheet7.xml.rels><?xml version="1.0" encoding="UTF-8"?>
<Relationships xmlns="http://schemas.openxmlformats.org/package/2006/relationships"><Relationship Id="rId1" Type="http://schemas.openxmlformats.org/officeDocument/2006/relationships/drawing" Target="../drawings/drawing5.xml"/>
</Relationships>
</file>

<file path=xl/worksheets/_rels/sheet8.xml.rels><?xml version="1.0" encoding="UTF-8"?>
<Relationships xmlns="http://schemas.openxmlformats.org/package/2006/relationships"><Relationship Id="rId1" Type="http://schemas.openxmlformats.org/officeDocument/2006/relationships/drawing" Target="../drawings/drawing6.xml"/>
</Relationships>
</file>

<file path=xl/worksheets/_rels/sheet9.xml.rels><?xml version="1.0" encoding="UTF-8"?>
<Relationships xmlns="http://schemas.openxmlformats.org/package/2006/relationships"><Relationship Id="rId1" Type="http://schemas.openxmlformats.org/officeDocument/2006/relationships/drawing" Target="../drawings/drawing7.xml"/>
</Relationships>
</file>

<file path=xl/worksheets/_rels/sheet10.xml.rels><?xml version="1.0" encoding="UTF-8"?>
<Relationships xmlns="http://schemas.openxmlformats.org/package/2006/relationships"><Relationship Id="rId1" Type="http://schemas.openxmlformats.org/officeDocument/2006/relationships/drawing" Target="../drawings/drawing8.xml"/>
</Relationships>
</file>

<file path=xl/worksheets/_rels/sheet11.xml.rels><?xml version="1.0" encoding="UTF-8"?>
<Relationships xmlns="http://schemas.openxmlformats.org/package/2006/relationships"><Relationship Id="rId1" Type="http://schemas.openxmlformats.org/officeDocument/2006/relationships/drawing" Target="../drawings/drawing9.xml"/>
</Relationships>
</file>

<file path=xl/worksheets/_rels/sheet12.xml.rels><?xml version="1.0" encoding="UTF-8"?>
<Relationships xmlns="http://schemas.openxmlformats.org/package/2006/relationships"><Relationship Id="rId1" Type="http://schemas.openxmlformats.org/officeDocument/2006/relationships/drawing" Target="../drawings/drawing10.xml"/>
</Relationships>
</file>

<file path=xl/worksheets/_rels/sheet13.xml.rels><?xml version="1.0" encoding="UTF-8"?>
<Relationships xmlns="http://schemas.openxmlformats.org/package/2006/relationships"><Relationship Id="rId1" Type="http://schemas.openxmlformats.org/officeDocument/2006/relationships/drawing" Target="../drawings/drawing11.xml"/>
</Relationships>
</file>

<file path=xl/worksheets/_rels/sheet14.xml.rels><?xml version="1.0" encoding="UTF-8"?>
<Relationships xmlns="http://schemas.openxmlformats.org/package/2006/relationships"><Relationship Id="rId1" Type="http://schemas.openxmlformats.org/officeDocument/2006/relationships/drawing" Target="../drawings/drawing12.xml"/>
</Relationships>
</file>

<file path=xl/worksheets/_rels/sheet15.xml.rels><?xml version="1.0" encoding="UTF-8"?>
<Relationships xmlns="http://schemas.openxmlformats.org/package/2006/relationships"><Relationship Id="rId1" Type="http://schemas.openxmlformats.org/officeDocument/2006/relationships/drawing" Target="../drawings/drawing13.xml"/>
</Relationships>
</file>

<file path=xl/worksheets/_rels/sheet16.xml.rels><?xml version="1.0" encoding="UTF-8"?>
<Relationships xmlns="http://schemas.openxmlformats.org/package/2006/relationships"><Relationship Id="rId1" Type="http://schemas.openxmlformats.org/officeDocument/2006/relationships/drawing" Target="../drawings/drawing14.xml"/>
</Relationships>
</file>

<file path=xl/worksheets/_rels/sheet17.xml.rels><?xml version="1.0" encoding="UTF-8"?>
<Relationships xmlns="http://schemas.openxmlformats.org/package/2006/relationships"><Relationship Id="rId1" Type="http://schemas.openxmlformats.org/officeDocument/2006/relationships/drawing" Target="../drawings/drawing15.xml"/>
</Relationships>
</file>

<file path=xl/worksheets/_rels/sheet18.xml.rels><?xml version="1.0" encoding="UTF-8"?>
<Relationships xmlns="http://schemas.openxmlformats.org/package/2006/relationships"><Relationship Id="rId1" Type="http://schemas.openxmlformats.org/officeDocument/2006/relationships/drawing" Target="../drawings/drawing16.xml"/>
</Relationships>
</file>

<file path=xl/worksheets/_rels/sheet19.xml.rels><?xml version="1.0" encoding="UTF-8"?>
<Relationships xmlns="http://schemas.openxmlformats.org/package/2006/relationships"><Relationship Id="rId1" Type="http://schemas.openxmlformats.org/officeDocument/2006/relationships/drawing" Target="../drawings/drawing17.xml"/>
</Relationships>
</file>

<file path=xl/worksheets/_rels/sheet20.xml.rels><?xml version="1.0" encoding="UTF-8"?>
<Relationships xmlns="http://schemas.openxmlformats.org/package/2006/relationships"><Relationship Id="rId1" Type="http://schemas.openxmlformats.org/officeDocument/2006/relationships/drawing" Target="../drawings/drawing18.xml"/>
</Relationships>
</file>

<file path=xl/worksheets/_rels/sheet21.xml.rels><?xml version="1.0" encoding="UTF-8"?>
<Relationships xmlns="http://schemas.openxmlformats.org/package/2006/relationships"><Relationship Id="rId1" Type="http://schemas.openxmlformats.org/officeDocument/2006/relationships/drawing" Target="../drawings/drawing19.xml"/>
</Relationships>
</file>

<file path=xl/worksheets/_rels/sheet22.xml.rels><?xml version="1.0" encoding="UTF-8"?>
<Relationships xmlns="http://schemas.openxmlformats.org/package/2006/relationships"><Relationship Id="rId1" Type="http://schemas.openxmlformats.org/officeDocument/2006/relationships/drawing" Target="../drawings/drawing20.xml"/>
</Relationships>
</file>

<file path=xl/worksheets/_rels/sheet23.xml.rels><?xml version="1.0" encoding="UTF-8"?>
<Relationships xmlns="http://schemas.openxmlformats.org/package/2006/relationships"><Relationship Id="rId1" Type="http://schemas.openxmlformats.org/officeDocument/2006/relationships/drawing" Target="../drawings/drawing21.xml"/>
</Relationships>
</file>

<file path=xl/worksheets/_rels/sheet24.xml.rels><?xml version="1.0" encoding="UTF-8"?>
<Relationships xmlns="http://schemas.openxmlformats.org/package/2006/relationships"><Relationship Id="rId1" Type="http://schemas.openxmlformats.org/officeDocument/2006/relationships/drawing" Target="../drawings/drawing22.xml"/>
</Relationships>
</file>

<file path=xl/worksheets/_rels/sheet25.xml.rels><?xml version="1.0" encoding="UTF-8"?>
<Relationships xmlns="http://schemas.openxmlformats.org/package/2006/relationships"><Relationship Id="rId1" Type="http://schemas.openxmlformats.org/officeDocument/2006/relationships/hyperlink" Target="https://mail.zyduslife.com/investor/admin/uploads/21/83/Zydus-and-RK-Pharma-enter-into-an-exclusive-licensing-and-commercialization-agreement-for-a-novel-505%28b%29%282%29-product-of-supportive--oncology-treatment-for-the-USA-market.pdf" TargetMode="External"/><Relationship Id="rId2" Type="http://schemas.openxmlformats.org/officeDocument/2006/relationships/hyperlink" Target="https://zyduslife.com/investor/admin/uploads/21/83/Zydus-and-Beihai-Biotech-sign-an-exclusive-licensing--supply-and-commercialization-agreement-for-BEIZRAY-%28Albumin-Solubilized-Docetaxel-Injection%29--a-505%28B%29%282%29-product-for-the-US-market.pdf" TargetMode="External"/><Relationship Id="rId3" Type="http://schemas.openxmlformats.org/officeDocument/2006/relationships/hyperlink" Target="https://www.formycon.com/en/blog/press-release/formycon-and-zydus-partner-for-exclusive-licensing-and-supply-agreement-of-fyb206-a-biosimilar-to-keytruda-pembrolizumab-in-the-u-s-and-canada/" TargetMode="External"/><Relationship Id="rId4" Type="http://schemas.openxmlformats.org/officeDocument/2006/relationships/hyperlink" Target="https://investor.agenusbio.com/news/news-details/2026/Agenus-Announces-Closing-of-141M-Strategic-Collaboration-with-Zydus-Lifesciences-to-Advance-BOTBAL-and-Strengthen-U-S--Manufacturing-Readiness/default.aspx" TargetMode="External"/><Relationship Id="rId5" Type="http://schemas.openxmlformats.org/officeDocument/2006/relationships/hyperlink" Target="https://zydustx.com/news-article/zydus-therapeutics-reports-positive-topline-results-from-epics-iii-phase-2b-3-trial-of-saroglitazar-magnesium-in-patients-with-primary-biliary-cholangitis/" TargetMode="External"/><Relationship Id="rId6" Type="http://schemas.openxmlformats.org/officeDocument/2006/relationships/hyperlink" Target="https://zyduslife.com/investor/admin/uploads/21/83/Zydus-receives-USFDA--Fast-Track-Designation--for-Usnoflast--a-novel-oral-NLRP3-inhibitor--for-the-treatment-of-Amyotrophic-Lateral-Sclerosis-%28ALS%29.pdf" TargetMode="External"/><Relationship Id="rId7" Type="http://schemas.openxmlformats.org/officeDocument/2006/relationships/hyperlink" Target="https://rkpharmainc.com/our-products.html" TargetMode="Externa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B2:D20"/>
  <sheetViews>
    <sheetView showFormulas="false" showGridLines="false" showRowColHeaders="true" showZeros="true" rightToLeft="false" tabSelected="true" showOutlineSymbols="true" defaultGridColor="true" view="normal" topLeftCell="A1" colorId="64" zoomScale="90" zoomScaleNormal="9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3"/>
    <col collapsed="false" customWidth="true" hidden="false" outlineLevel="0" max="2" min="2" style="0" width="28"/>
    <col collapsed="false" customWidth="true" hidden="false" outlineLevel="0" max="3" min="3" style="0" width="85"/>
    <col collapsed="false" customWidth="true" hidden="false" outlineLevel="0" max="4" min="4" style="0" width="18"/>
  </cols>
  <sheetData>
    <row r="2" customFormat="false" ht="33.75" hidden="false" customHeight="true" outlineLevel="0" collapsed="false">
      <c r="B2" s="1" t="s">
        <v>0</v>
      </c>
      <c r="C2" s="1"/>
      <c r="D2" s="1"/>
    </row>
    <row r="3" customFormat="false" ht="33.75" hidden="false" customHeight="true" outlineLevel="0" collapsed="false">
      <c r="B3" s="1"/>
      <c r="C3" s="1"/>
      <c r="D3" s="1"/>
    </row>
    <row r="5" customFormat="false" ht="15" hidden="false" customHeight="false" outlineLevel="0" collapsed="false">
      <c r="B5" s="2" t="s">
        <v>1</v>
      </c>
      <c r="C5" s="2"/>
      <c r="D5" s="2"/>
    </row>
    <row r="7" customFormat="false" ht="27.75" hidden="false" customHeight="true" outlineLevel="0" collapsed="false">
      <c r="B7" s="3" t="s">
        <v>2</v>
      </c>
      <c r="C7" s="4" t="s">
        <v>3</v>
      </c>
      <c r="D7" s="4"/>
    </row>
    <row r="8" customFormat="false" ht="27.75" hidden="false" customHeight="true" outlineLevel="0" collapsed="false">
      <c r="C8" s="4"/>
      <c r="D8" s="4"/>
    </row>
    <row r="10" customFormat="false" ht="27.75" hidden="false" customHeight="true" outlineLevel="0" collapsed="false">
      <c r="B10" s="3" t="s">
        <v>4</v>
      </c>
      <c r="C10" s="4" t="s">
        <v>5</v>
      </c>
      <c r="D10" s="4"/>
    </row>
    <row r="11" customFormat="false" ht="27.75" hidden="false" customHeight="true" outlineLevel="0" collapsed="false">
      <c r="C11" s="4"/>
      <c r="D11" s="4"/>
    </row>
    <row r="13" customFormat="false" ht="27.75" hidden="false" customHeight="true" outlineLevel="0" collapsed="false">
      <c r="B13" s="3" t="s">
        <v>6</v>
      </c>
      <c r="C13" s="4" t="s">
        <v>7</v>
      </c>
      <c r="D13" s="4"/>
    </row>
    <row r="14" customFormat="false" ht="27.75" hidden="false" customHeight="true" outlineLevel="0" collapsed="false">
      <c r="C14" s="4"/>
      <c r="D14" s="4"/>
    </row>
    <row r="16" customFormat="false" ht="27.75" hidden="false" customHeight="true" outlineLevel="0" collapsed="false">
      <c r="B16" s="3" t="s">
        <v>8</v>
      </c>
      <c r="C16" s="4" t="s">
        <v>9</v>
      </c>
      <c r="D16" s="4"/>
    </row>
    <row r="17" customFormat="false" ht="27.75" hidden="false" customHeight="true" outlineLevel="0" collapsed="false">
      <c r="C17" s="4"/>
      <c r="D17" s="4"/>
    </row>
    <row r="20" customFormat="false" ht="15" hidden="false" customHeight="false" outlineLevel="0" collapsed="false">
      <c r="B20" s="5" t="s">
        <v>10</v>
      </c>
      <c r="C20" s="5"/>
      <c r="D20" s="5"/>
    </row>
  </sheetData>
  <mergeCells count="7">
    <mergeCell ref="B2:D3"/>
    <mergeCell ref="B5:D5"/>
    <mergeCell ref="C7:D8"/>
    <mergeCell ref="C10:D11"/>
    <mergeCell ref="C13:D14"/>
    <mergeCell ref="C16:D17"/>
    <mergeCell ref="B20:D20"/>
  </mergeCell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T57"/>
  <sheetViews>
    <sheetView showFormulas="false" showGridLines="false" showRowColHeaders="true" showZeros="true" rightToLeft="false" tabSelected="false" showOutlineSymbols="true" defaultGridColor="true" view="normal" topLeftCell="A1" colorId="64" zoomScale="75" zoomScaleNormal="75" zoomScalePageLayoutView="100" workbookViewId="0">
      <pane xSplit="6" ySplit="22" topLeftCell="G23" activePane="bottomRight" state="frozen"/>
      <selection pane="topLeft" activeCell="A1" activeCellId="0" sqref="A1"/>
      <selection pane="topRight" activeCell="G1" activeCellId="0" sqref="G1"/>
      <selection pane="bottomLeft" activeCell="A23" activeCellId="0" sqref="A23"/>
      <selection pane="bottomRight" activeCell="A1" activeCellId="0" sqref="A1"/>
    </sheetView>
  </sheetViews>
  <sheetFormatPr defaultColWidth="8.6796875" defaultRowHeight="15" customHeight="false" zeroHeight="false" outlineLevelRow="0" outlineLevelCol="0"/>
  <cols>
    <col collapsed="false" customWidth="true" hidden="false" outlineLevel="0" max="2" min="1" style="0" width="28"/>
    <col collapsed="false" customWidth="true" hidden="false" outlineLevel="0" max="3" min="3" style="0" width="18"/>
    <col collapsed="false" customWidth="true" hidden="false" outlineLevel="0" max="4" min="4" style="0" width="22"/>
    <col collapsed="false" customWidth="true" hidden="false" outlineLevel="0" max="5" min="5" style="0" width="11"/>
    <col collapsed="false" customWidth="true" hidden="false" outlineLevel="0" max="6" min="6" style="0" width="24"/>
    <col collapsed="false" customWidth="true" hidden="false" outlineLevel="0" max="16" min="7" style="0" width="11"/>
    <col collapsed="false" customWidth="true" hidden="false" outlineLevel="0" max="17" min="17" style="0" width="12"/>
    <col collapsed="false" customWidth="true" hidden="false" outlineLevel="0" max="18" min="18" style="0" width="16"/>
    <col collapsed="false" customWidth="true" hidden="false" outlineLevel="0" max="19" min="19" style="0" width="12"/>
    <col collapsed="false" customWidth="true" hidden="false" outlineLevel="0" max="20" min="20" style="0" width="10"/>
  </cols>
  <sheetData>
    <row r="1" customFormat="false" ht="24" hidden="false" customHeight="true" outlineLevel="0" collapsed="false">
      <c r="A1" s="6" t="s">
        <v>11</v>
      </c>
      <c r="B1" s="6"/>
      <c r="C1" s="6"/>
      <c r="D1" s="6"/>
      <c r="E1" s="6"/>
      <c r="F1" s="6"/>
      <c r="G1" s="6"/>
      <c r="H1" s="6"/>
      <c r="I1" s="6"/>
      <c r="J1" s="6"/>
      <c r="K1" s="6"/>
      <c r="L1" s="6"/>
      <c r="M1" s="6"/>
      <c r="N1" s="6"/>
      <c r="O1" s="6"/>
      <c r="P1" s="6"/>
      <c r="Q1" s="6"/>
      <c r="R1" s="6"/>
      <c r="S1" s="6"/>
      <c r="T1" s="6"/>
    </row>
    <row r="2" customFormat="false" ht="15" hidden="false" customHeight="false" outlineLevel="0" collapsed="false">
      <c r="A2" s="7" t="s">
        <v>12</v>
      </c>
      <c r="B2" s="7"/>
      <c r="C2" s="7"/>
      <c r="D2" s="7"/>
      <c r="E2" s="7"/>
      <c r="F2" s="7"/>
      <c r="G2" s="7"/>
      <c r="H2" s="7"/>
      <c r="I2" s="7"/>
      <c r="J2" s="7"/>
      <c r="K2" s="7"/>
      <c r="L2" s="7"/>
      <c r="M2" s="7"/>
      <c r="N2" s="7"/>
      <c r="O2" s="7"/>
      <c r="P2" s="7"/>
      <c r="Q2" s="7"/>
      <c r="R2" s="7"/>
      <c r="S2" s="7"/>
      <c r="T2" s="7"/>
    </row>
    <row r="4" customFormat="false" ht="18" hidden="false" customHeight="true" outlineLevel="0" collapsed="false">
      <c r="A4" s="8" t="s">
        <v>13</v>
      </c>
      <c r="B4" s="8"/>
      <c r="C4" s="8"/>
      <c r="D4" s="8"/>
      <c r="E4" s="8"/>
      <c r="F4" s="8"/>
      <c r="G4" s="8"/>
      <c r="H4" s="8"/>
      <c r="I4" s="8"/>
      <c r="J4" s="8"/>
      <c r="K4" s="8"/>
      <c r="L4" s="8"/>
      <c r="M4" s="8"/>
    </row>
    <row r="5" customFormat="false" ht="15" hidden="false" customHeight="false" outlineLevel="0" collapsed="false">
      <c r="A5" s="9" t="s">
        <v>14</v>
      </c>
      <c r="B5" s="9" t="s">
        <v>15</v>
      </c>
      <c r="C5" s="9"/>
      <c r="D5" s="9" t="s">
        <v>16</v>
      </c>
      <c r="E5" s="9" t="s">
        <v>17</v>
      </c>
      <c r="F5" s="9" t="s">
        <v>18</v>
      </c>
      <c r="G5" s="9" t="s">
        <v>19</v>
      </c>
      <c r="H5" s="9" t="s">
        <v>20</v>
      </c>
      <c r="I5" s="9" t="s">
        <v>21</v>
      </c>
      <c r="J5" s="9" t="s">
        <v>22</v>
      </c>
      <c r="K5" s="9" t="s">
        <v>23</v>
      </c>
      <c r="L5" s="9" t="s">
        <v>24</v>
      </c>
      <c r="M5" s="9" t="s">
        <v>25</v>
      </c>
    </row>
    <row r="6" customFormat="false" ht="15" hidden="false" customHeight="false" outlineLevel="0" collapsed="false">
      <c r="A6" s="10" t="s">
        <v>26</v>
      </c>
      <c r="B6" s="11" t="s">
        <v>27</v>
      </c>
      <c r="D6" s="12" t="n">
        <f aca="false">SUM(Saroglitazar!D38,Usnoflast!D38,Palbociclib!D38,Olaparib!D38,Ozanimod!D38,Letermovir!D38,Rifaximin!D38,Ibrutinib!D38,Cabozantinib!D38,'ZITUVIO Family'!D38,BEIZRAY!D38,'Synthon 505b2'!D38,NUFYMCO!D38,'FYB206 Pembro'!D38,'RK Pharma Asset'!D38,LiqMeds!D38,'Sentynl Orphans'!D38,ROLVEDON!D38,'Zylidac BOT-BAL'!D38,Tishtha!D38,'Semaglutide India'!D38)</f>
        <v>113.396395348837</v>
      </c>
      <c r="E6" s="12" t="n">
        <f aca="false">SUM(Saroglitazar!E38,Usnoflast!E38,Palbociclib!E38,Olaparib!E38,Ozanimod!E38,Letermovir!E38,Rifaximin!E38,Ibrutinib!E38,Cabozantinib!E38,'ZITUVIO Family'!E38,BEIZRAY!E38,'Synthon 505b2'!E38,NUFYMCO!E38,'FYB206 Pembro'!E38,'RK Pharma Asset'!E38,LiqMeds!E38,'Sentynl Orphans'!E38,ROLVEDON!E38,'Zylidac BOT-BAL'!E38,Tishtha!E38,'Semaglutide India'!E38)</f>
        <v>226.749772727273</v>
      </c>
      <c r="F6" s="12" t="n">
        <f aca="false">SUM(Saroglitazar!F38,Usnoflast!F38,Palbociclib!F38,Olaparib!F38,Ozanimod!F38,Letermovir!F38,Rifaximin!F38,Ibrutinib!F38,Cabozantinib!F38,'ZITUVIO Family'!F38,BEIZRAY!F38,'Synthon 505b2'!F38,NUFYMCO!F38,'FYB206 Pembro'!F38,'RK Pharma Asset'!F38,LiqMeds!F38,'Sentynl Orphans'!F38,ROLVEDON!F38,'Zylidac BOT-BAL'!F38,Tishtha!F38,'Semaglutide India'!F38)</f>
        <v>545.7310507264</v>
      </c>
      <c r="G6" s="12" t="n">
        <f aca="false">SUM(Saroglitazar!G38,Usnoflast!G38,Palbociclib!G38,Olaparib!G38,Ozanimod!G38,Letermovir!G38,Rifaximin!G38,Ibrutinib!G38,Cabozantinib!G38,'ZITUVIO Family'!G38,BEIZRAY!G38,'Synthon 505b2'!G38,NUFYMCO!G38,'FYB206 Pembro'!G38,'RK Pharma Asset'!G38,LiqMeds!G38,'Sentynl Orphans'!G38,ROLVEDON!G38,'Zylidac BOT-BAL'!G38,Tishtha!G38,'Semaglutide India'!G38)</f>
        <v>673.03714689011</v>
      </c>
      <c r="H6" s="12" t="n">
        <f aca="false">SUM(Saroglitazar!H38,Usnoflast!H38,Palbociclib!H38,Olaparib!H38,Ozanimod!H38,Letermovir!H38,Rifaximin!H38,Ibrutinib!H38,Cabozantinib!H38,'ZITUVIO Family'!H38,BEIZRAY!H38,'Synthon 505b2'!H38,NUFYMCO!H38,'FYB206 Pembro'!H38,'RK Pharma Asset'!H38,LiqMeds!H38,'Sentynl Orphans'!H38,ROLVEDON!H38,'Zylidac BOT-BAL'!H38,Tishtha!H38,'Semaglutide India'!H38)</f>
        <v>867.422976516392</v>
      </c>
      <c r="I6" s="12" t="n">
        <f aca="false">SUM(Saroglitazar!I38,Usnoflast!I38,Palbociclib!I38,Olaparib!I38,Ozanimod!I38,Letermovir!I38,Rifaximin!I38,Ibrutinib!I38,Cabozantinib!I38,'ZITUVIO Family'!I38,BEIZRAY!I38,'Synthon 505b2'!I38,NUFYMCO!I38,'FYB206 Pembro'!I38,'RK Pharma Asset'!I38,LiqMeds!I38,'Sentynl Orphans'!I38,ROLVEDON!I38,'Zylidac BOT-BAL'!I38,Tishtha!I38,'Semaglutide India'!I38)</f>
        <v>1020.30543659933</v>
      </c>
      <c r="J6" s="12" t="n">
        <f aca="false">SUM(Saroglitazar!J38,Usnoflast!J38,Palbociclib!J38,Olaparib!J38,Ozanimod!J38,Letermovir!J38,Rifaximin!J38,Ibrutinib!J38,Cabozantinib!J38,'ZITUVIO Family'!J38,BEIZRAY!J38,'Synthon 505b2'!J38,NUFYMCO!J38,'FYB206 Pembro'!J38,'RK Pharma Asset'!J38,LiqMeds!J38,'Sentynl Orphans'!J38,ROLVEDON!J38,'Zylidac BOT-BAL'!J38,Tishtha!J38,'Semaglutide India'!J38)</f>
        <v>1133.87706622505</v>
      </c>
      <c r="K6" s="12" t="n">
        <f aca="false">SUM(Saroglitazar!K38,Usnoflast!K38,Palbociclib!K38,Olaparib!K38,Ozanimod!K38,Letermovir!K38,Rifaximin!K38,Ibrutinib!K38,Cabozantinib!K38,'ZITUVIO Family'!K38,BEIZRAY!K38,'Synthon 505b2'!K38,NUFYMCO!K38,'FYB206 Pembro'!K38,'RK Pharma Asset'!K38,LiqMeds!K38,'Sentynl Orphans'!K38,ROLVEDON!K38,'Zylidac BOT-BAL'!K38,Tishtha!K38,'Semaglutide India'!K38)</f>
        <v>1237.57687239029</v>
      </c>
      <c r="L6" s="12" t="n">
        <f aca="false">SUM(Saroglitazar!L38,Usnoflast!L38,Palbociclib!L38,Olaparib!L38,Ozanimod!L38,Letermovir!L38,Rifaximin!L38,Ibrutinib!L38,Cabozantinib!L38,'ZITUVIO Family'!L38,BEIZRAY!L38,'Synthon 505b2'!L38,NUFYMCO!L38,'FYB206 Pembro'!L38,'RK Pharma Asset'!L38,LiqMeds!L38,'Sentynl Orphans'!L38,ROLVEDON!L38,'Zylidac BOT-BAL'!L38,Tishtha!L38,'Semaglutide India'!L38)</f>
        <v>1459.42860670032</v>
      </c>
      <c r="M6" s="12" t="n">
        <f aca="false">SUM(Saroglitazar!M38,Usnoflast!M38,Palbociclib!M38,Olaparib!M38,Ozanimod!M38,Letermovir!M38,Rifaximin!M38,Ibrutinib!M38,Cabozantinib!M38,'ZITUVIO Family'!M38,BEIZRAY!M38,'Synthon 505b2'!M38,NUFYMCO!M38,'FYB206 Pembro'!M38,'RK Pharma Asset'!M38,LiqMeds!M38,'Sentynl Orphans'!M38,ROLVEDON!M38,'Zylidac BOT-BAL'!M38,Tishtha!M38,'Semaglutide India'!M38)</f>
        <v>1592.58404714201</v>
      </c>
    </row>
    <row r="7" customFormat="false" ht="15" hidden="false" customHeight="false" outlineLevel="0" collapsed="false">
      <c r="A7" s="10" t="s">
        <v>28</v>
      </c>
      <c r="B7" s="11" t="s">
        <v>27</v>
      </c>
      <c r="D7" s="12" t="n">
        <f aca="false">SUM(Saroglitazar!D39,Usnoflast!D39,Palbociclib!D39,Olaparib!D39,Ozanimod!D39,Letermovir!D39,Rifaximin!D39,Ibrutinib!D39,Cabozantinib!D39,'ZITUVIO Family'!D39,BEIZRAY!D39,'Synthon 505b2'!D39,NUFYMCO!D39,'FYB206 Pembro'!D39,'RK Pharma Asset'!D39,LiqMeds!D39,'Sentynl Orphans'!D39,ROLVEDON!D39,'Zylidac BOT-BAL'!D39,Tishtha!D39,'Semaglutide India'!D39)</f>
        <v>113.396395348837</v>
      </c>
      <c r="E7" s="12" t="n">
        <f aca="false">SUM(Saroglitazar!E39,Usnoflast!E39,Palbociclib!E39,Olaparib!E39,Ozanimod!E39,Letermovir!E39,Rifaximin!E39,Ibrutinib!E39,Cabozantinib!E39,'ZITUVIO Family'!E39,BEIZRAY!E39,'Synthon 505b2'!E39,NUFYMCO!E39,'FYB206 Pembro'!E39,'RK Pharma Asset'!E39,LiqMeds!E39,'Sentynl Orphans'!E39,ROLVEDON!E39,'Zylidac BOT-BAL'!E39,Tishtha!E39,'Semaglutide India'!E39)</f>
        <v>226.749772727273</v>
      </c>
      <c r="F7" s="12" t="n">
        <f aca="false">SUM(Saroglitazar!F39,Usnoflast!F39,Palbociclib!F39,Olaparib!F39,Ozanimod!F39,Letermovir!F39,Rifaximin!F39,Ibrutinib!F39,Cabozantinib!F39,'ZITUVIO Family'!F39,BEIZRAY!F39,'Synthon 505b2'!F39,NUFYMCO!F39,'FYB206 Pembro'!F39,'RK Pharma Asset'!F39,LiqMeds!F39,'Sentynl Orphans'!F39,ROLVEDON!F39,'Zylidac BOT-BAL'!F39,Tishtha!F39,'Semaglutide India'!F39)</f>
        <v>501.44789311744</v>
      </c>
      <c r="G7" s="12" t="n">
        <f aca="false">SUM(Saroglitazar!G39,Usnoflast!G39,Palbociclib!G39,Olaparib!G39,Ozanimod!G39,Letermovir!G39,Rifaximin!G39,Ibrutinib!G39,Cabozantinib!G39,'ZITUVIO Family'!G39,BEIZRAY!G39,'Synthon 505b2'!G39,NUFYMCO!G39,'FYB206 Pembro'!G39,'RK Pharma Asset'!G39,LiqMeds!G39,'Sentynl Orphans'!G39,ROLVEDON!G39,'Zylidac BOT-BAL'!G39,Tishtha!G39,'Semaglutide India'!G39)</f>
        <v>615.706666160941</v>
      </c>
      <c r="H7" s="12" t="n">
        <f aca="false">SUM(Saroglitazar!H39,Usnoflast!H39,Palbociclib!H39,Olaparib!H39,Ozanimod!H39,Letermovir!H39,Rifaximin!H39,Ibrutinib!H39,Cabozantinib!H39,'ZITUVIO Family'!H39,BEIZRAY!H39,'Synthon 505b2'!H39,NUFYMCO!H39,'FYB206 Pembro'!H39,'RK Pharma Asset'!H39,LiqMeds!H39,'Sentynl Orphans'!H39,ROLVEDON!H39,'Zylidac BOT-BAL'!H39,Tishtha!H39,'Semaglutide India'!H39)</f>
        <v>747.257485570848</v>
      </c>
      <c r="I7" s="12" t="n">
        <f aca="false">SUM(Saroglitazar!I39,Usnoflast!I39,Palbociclib!I39,Olaparib!I39,Ozanimod!I39,Letermovir!I39,Rifaximin!I39,Ibrutinib!I39,Cabozantinib!I39,'ZITUVIO Family'!I39,BEIZRAY!I39,'Synthon 505b2'!I39,NUFYMCO!I39,'FYB206 Pembro'!I39,'RK Pharma Asset'!I39,LiqMeds!I39,'Sentynl Orphans'!I39,ROLVEDON!I39,'Zylidac BOT-BAL'!I39,Tishtha!I39,'Semaglutide India'!I39)</f>
        <v>847.665768609429</v>
      </c>
      <c r="J7" s="12" t="n">
        <f aca="false">SUM(Saroglitazar!J39,Usnoflast!J39,Palbociclib!J39,Olaparib!J39,Ozanimod!J39,Letermovir!J39,Rifaximin!J39,Ibrutinib!J39,Cabozantinib!J39,'ZITUVIO Family'!J39,BEIZRAY!J39,'Synthon 505b2'!J39,NUFYMCO!J39,'FYB206 Pembro'!J39,'RK Pharma Asset'!J39,LiqMeds!J39,'Sentynl Orphans'!J39,ROLVEDON!J39,'Zylidac BOT-BAL'!J39,Tishtha!J39,'Semaglutide India'!J39)</f>
        <v>917.600499658638</v>
      </c>
      <c r="K7" s="12" t="n">
        <f aca="false">SUM(Saroglitazar!K39,Usnoflast!K39,Palbociclib!K39,Olaparib!K39,Ozanimod!K39,Letermovir!K39,Rifaximin!K39,Ibrutinib!K39,Cabozantinib!K39,'ZITUVIO Family'!K39,BEIZRAY!K39,'Synthon 505b2'!K39,NUFYMCO!K39,'FYB206 Pembro'!K39,'RK Pharma Asset'!K39,LiqMeds!K39,'Sentynl Orphans'!K39,ROLVEDON!K39,'Zylidac BOT-BAL'!K39,Tishtha!K39,'Semaglutide India'!K39)</f>
        <v>961.558649057027</v>
      </c>
      <c r="L7" s="12" t="n">
        <f aca="false">SUM(Saroglitazar!L39,Usnoflast!L39,Palbociclib!L39,Olaparib!L39,Ozanimod!L39,Letermovir!L39,Rifaximin!L39,Ibrutinib!L39,Cabozantinib!L39,'ZITUVIO Family'!L39,BEIZRAY!L39,'Synthon 505b2'!L39,NUFYMCO!L39,'FYB206 Pembro'!L39,'RK Pharma Asset'!L39,LiqMeds!L39,'Sentynl Orphans'!L39,ROLVEDON!L39,'Zylidac BOT-BAL'!L39,Tishtha!L39,'Semaglutide India'!L39)</f>
        <v>1007.46767779184</v>
      </c>
      <c r="M7" s="12" t="n">
        <f aca="false">SUM(Saroglitazar!M39,Usnoflast!M39,Palbociclib!M39,Olaparib!M39,Ozanimod!M39,Letermovir!M39,Rifaximin!M39,Ibrutinib!M39,Cabozantinib!M39,'ZITUVIO Family'!M39,BEIZRAY!M39,'Synthon 505b2'!M39,NUFYMCO!M39,'FYB206 Pembro'!M39,'RK Pharma Asset'!M39,LiqMeds!M39,'Sentynl Orphans'!M39,ROLVEDON!M39,'Zylidac BOT-BAL'!M39,Tishtha!M39,'Semaglutide India'!M39)</f>
        <v>1026.41495091991</v>
      </c>
    </row>
    <row r="8" customFormat="false" ht="15" hidden="false" customHeight="false" outlineLevel="0" collapsed="false">
      <c r="A8" s="13" t="s">
        <v>29</v>
      </c>
      <c r="B8" s="11" t="s">
        <v>27</v>
      </c>
      <c r="D8" s="12" t="n">
        <f aca="false">SUM(Saroglitazar!D41,Usnoflast!D41,Palbociclib!D41,Olaparib!D41,Ozanimod!D41,Letermovir!D41,Rifaximin!D41,Ibrutinib!D41,Cabozantinib!D41,'ZITUVIO Family'!D41,BEIZRAY!D41,'Synthon 505b2'!D41,NUFYMCO!D41,'FYB206 Pembro'!D41,'RK Pharma Asset'!D41,LiqMeds!D41,'Sentynl Orphans'!D41,ROLVEDON!D41,'Zylidac BOT-BAL'!D41,Tishtha!D41,'Semaglutide India'!D41)</f>
        <v>31.3521488372093</v>
      </c>
      <c r="E8" s="12" t="n">
        <f aca="false">SUM(Saroglitazar!E41,Usnoflast!E41,Palbociclib!E41,Olaparib!E41,Ozanimod!E41,Letermovir!E41,Rifaximin!E41,Ibrutinib!E41,Cabozantinib!E41,'ZITUVIO Family'!E41,BEIZRAY!E41,'Synthon 505b2'!E41,NUFYMCO!E41,'FYB206 Pembro'!E41,'RK Pharma Asset'!E41,LiqMeds!E41,'Sentynl Orphans'!E41,ROLVEDON!E41,'Zylidac BOT-BAL'!E41,Tishtha!E41,'Semaglutide India'!E41)</f>
        <v>62.0475272727273</v>
      </c>
      <c r="F8" s="12" t="n">
        <f aca="false">SUM(Saroglitazar!F41,Usnoflast!F41,Palbociclib!F41,Olaparib!F41,Ozanimod!F41,Letermovir!F41,Rifaximin!F41,Ibrutinib!F41,Cabozantinib!F41,'ZITUVIO Family'!F41,BEIZRAY!F41,'Synthon 505b2'!F41,NUFYMCO!F41,'FYB206 Pembro'!F41,'RK Pharma Asset'!F41,LiqMeds!F41,'Sentynl Orphans'!F41,ROLVEDON!F41,'Zylidac BOT-BAL'!F41,Tishtha!F41,'Semaglutide India'!F41)</f>
        <v>147.45331014528</v>
      </c>
      <c r="G8" s="12" t="n">
        <f aca="false">SUM(Saroglitazar!G41,Usnoflast!G41,Palbociclib!G41,Olaparib!G41,Ozanimod!G41,Letermovir!G41,Rifaximin!G41,Ibrutinib!G41,Cabozantinib!G41,'ZITUVIO Family'!G41,BEIZRAY!G41,'Synthon 505b2'!G41,NUFYMCO!G41,'FYB206 Pembro'!G41,'RK Pharma Asset'!G41,LiqMeds!G41,'Sentynl Orphans'!G41,ROLVEDON!G41,'Zylidac BOT-BAL'!G41,Tishtha!G41,'Semaglutide India'!G41)</f>
        <v>196.223789719207</v>
      </c>
      <c r="H8" s="12" t="n">
        <f aca="false">SUM(Saroglitazar!H41,Usnoflast!H41,Palbociclib!H41,Olaparib!H41,Ozanimod!H41,Letermovir!H41,Rifaximin!H41,Ibrutinib!H41,Cabozantinib!H41,'ZITUVIO Family'!H41,BEIZRAY!H41,'Synthon 505b2'!H41,NUFYMCO!H41,'FYB206 Pembro'!H41,'RK Pharma Asset'!H41,LiqMeds!H41,'Sentynl Orphans'!H41,ROLVEDON!H41,'Zylidac BOT-BAL'!H41,Tishtha!H41,'Semaglutide India'!H41)</f>
        <v>261.411122844567</v>
      </c>
      <c r="I8" s="12" t="n">
        <f aca="false">SUM(Saroglitazar!I41,Usnoflast!I41,Palbociclib!I41,Olaparib!I41,Ozanimod!I41,Letermovir!I41,Rifaximin!I41,Ibrutinib!I41,Cabozantinib!I41,'ZITUVIO Family'!I41,BEIZRAY!I41,'Synthon 505b2'!I41,NUFYMCO!I41,'FYB206 Pembro'!I41,'RK Pharma Asset'!I41,LiqMeds!I41,'Sentynl Orphans'!I41,ROLVEDON!I41,'Zylidac BOT-BAL'!I41,Tishtha!I41,'Semaglutide India'!I41)</f>
        <v>309.097296241078</v>
      </c>
      <c r="J8" s="12" t="n">
        <f aca="false">SUM(Saroglitazar!J41,Usnoflast!J41,Palbociclib!J41,Olaparib!J41,Ozanimod!J41,Letermovir!J41,Rifaximin!J41,Ibrutinib!J41,Cabozantinib!J41,'ZITUVIO Family'!J41,BEIZRAY!J41,'Synthon 505b2'!J41,NUFYMCO!J41,'FYB206 Pembro'!J41,'RK Pharma Asset'!J41,LiqMeds!J41,'Sentynl Orphans'!J41,ROLVEDON!J41,'Zylidac BOT-BAL'!J41,Tishtha!J41,'Semaglutide India'!J41)</f>
        <v>349.821668571652</v>
      </c>
      <c r="K8" s="12" t="n">
        <f aca="false">SUM(Saroglitazar!K41,Usnoflast!K41,Palbociclib!K41,Olaparib!K41,Ozanimod!K41,Letermovir!K41,Rifaximin!K41,Ibrutinib!K41,Cabozantinib!K41,'ZITUVIO Family'!K41,BEIZRAY!K41,'Synthon 505b2'!K41,NUFYMCO!K41,'FYB206 Pembro'!K41,'RK Pharma Asset'!K41,LiqMeds!K41,'Sentynl Orphans'!K41,ROLVEDON!K41,'Zylidac BOT-BAL'!K41,Tishtha!K41,'Semaglutide India'!K41)</f>
        <v>396.188791868567</v>
      </c>
      <c r="L8" s="12" t="n">
        <f aca="false">SUM(Saroglitazar!L41,Usnoflast!L41,Palbociclib!L41,Olaparib!L41,Ozanimod!L41,Letermovir!L41,Rifaximin!L41,Ibrutinib!L41,Cabozantinib!L41,'ZITUVIO Family'!L41,BEIZRAY!L41,'Synthon 505b2'!L41,NUFYMCO!L41,'FYB206 Pembro'!L41,'RK Pharma Asset'!L41,LiqMeds!L41,'Sentynl Orphans'!L41,ROLVEDON!L41,'Zylidac BOT-BAL'!L41,Tishtha!L41,'Semaglutide India'!L41)</f>
        <v>521.019596613758</v>
      </c>
      <c r="M8" s="12" t="n">
        <f aca="false">SUM(Saroglitazar!M41,Usnoflast!M41,Palbociclib!M41,Olaparib!M41,Ozanimod!M41,Letermovir!M41,Rifaximin!M41,Ibrutinib!M41,Cabozantinib!M41,'ZITUVIO Family'!M41,BEIZRAY!M41,'Synthon 505b2'!M41,NUFYMCO!M41,'FYB206 Pembro'!M41,'RK Pharma Asset'!M41,LiqMeds!M41,'Sentynl Orphans'!M41,ROLVEDON!M41,'Zylidac BOT-BAL'!M41,Tishtha!M41,'Semaglutide India'!M41)</f>
        <v>599.137740225424</v>
      </c>
    </row>
    <row r="9" customFormat="false" ht="15" hidden="false" customHeight="false" outlineLevel="0" collapsed="false">
      <c r="A9" s="13" t="s">
        <v>30</v>
      </c>
      <c r="B9" s="11" t="s">
        <v>27</v>
      </c>
      <c r="D9" s="12" t="n">
        <f aca="false">SUM(Saroglitazar!D42,Usnoflast!D42,Palbociclib!D42,Olaparib!D42,Ozanimod!D42,Letermovir!D42,Rifaximin!D42,Ibrutinib!D42,Cabozantinib!D42,'ZITUVIO Family'!D42,BEIZRAY!D42,'Synthon 505b2'!D42,NUFYMCO!D42,'FYB206 Pembro'!D42,'RK Pharma Asset'!D42,LiqMeds!D42,'Sentynl Orphans'!D42,ROLVEDON!D42,'Zylidac BOT-BAL'!D42,Tishtha!D42,'Semaglutide India'!D42)</f>
        <v>31.3521488372093</v>
      </c>
      <c r="E9" s="12" t="n">
        <f aca="false">SUM(Saroglitazar!E42,Usnoflast!E42,Palbociclib!E42,Olaparib!E42,Ozanimod!E42,Letermovir!E42,Rifaximin!E42,Ibrutinib!E42,Cabozantinib!E42,'ZITUVIO Family'!E42,BEIZRAY!E42,'Synthon 505b2'!E42,NUFYMCO!E42,'FYB206 Pembro'!E42,'RK Pharma Asset'!E42,LiqMeds!E42,'Sentynl Orphans'!E42,ROLVEDON!E42,'Zylidac BOT-BAL'!E42,Tishtha!E42,'Semaglutide India'!E42)</f>
        <v>62.0475272727273</v>
      </c>
      <c r="F9" s="12" t="n">
        <f aca="false">SUM(Saroglitazar!F42,Usnoflast!F42,Palbociclib!F42,Olaparib!F42,Ozanimod!F42,Letermovir!F42,Rifaximin!F42,Ibrutinib!F42,Cabozantinib!F42,'ZITUVIO Family'!F42,BEIZRAY!F42,'Synthon 505b2'!F42,NUFYMCO!F42,'FYB206 Pembro'!F42,'RK Pharma Asset'!F42,LiqMeds!F42,'Sentynl Orphans'!F42,ROLVEDON!F42,'Zylidac BOT-BAL'!F42,Tishtha!F42,'Semaglutide India'!F42)</f>
        <v>135.602716123488</v>
      </c>
      <c r="G9" s="12" t="n">
        <f aca="false">SUM(Saroglitazar!G42,Usnoflast!G42,Palbociclib!G42,Olaparib!G42,Ozanimod!G42,Letermovir!G42,Rifaximin!G42,Ibrutinib!G42,Cabozantinib!G42,'ZITUVIO Family'!G42,BEIZRAY!G42,'Synthon 505b2'!G42,NUFYMCO!G42,'FYB206 Pembro'!G42,'RK Pharma Asset'!G42,LiqMeds!G42,'Sentynl Orphans'!G42,ROLVEDON!G42,'Zylidac BOT-BAL'!G42,Tishtha!G42,'Semaglutide India'!G42)</f>
        <v>179.620643000456</v>
      </c>
      <c r="H9" s="12" t="n">
        <f aca="false">SUM(Saroglitazar!H42,Usnoflast!H42,Palbociclib!H42,Olaparib!H42,Ozanimod!H42,Letermovir!H42,Rifaximin!H42,Ibrutinib!H42,Cabozantinib!H42,'ZITUVIO Family'!H42,BEIZRAY!H42,'Synthon 505b2'!H42,NUFYMCO!H42,'FYB206 Pembro'!H42,'RK Pharma Asset'!H42,LiqMeds!H42,'Sentynl Orphans'!H42,ROLVEDON!H42,'Zylidac BOT-BAL'!H42,Tishtha!H42,'Semaglutide India'!H42)</f>
        <v>226.583911013627</v>
      </c>
      <c r="I9" s="12" t="n">
        <f aca="false">SUM(Saroglitazar!I42,Usnoflast!I42,Palbociclib!I42,Olaparib!I42,Ozanimod!I42,Letermovir!I42,Rifaximin!I42,Ibrutinib!I42,Cabozantinib!I42,'ZITUVIO Family'!I42,BEIZRAY!I42,'Synthon 505b2'!I42,NUFYMCO!I42,'FYB206 Pembro'!I42,'RK Pharma Asset'!I42,LiqMeds!I42,'Sentynl Orphans'!I42,ROLVEDON!I42,'Zylidac BOT-BAL'!I42,Tishtha!I42,'Semaglutide India'!I42)</f>
        <v>260.467400704916</v>
      </c>
      <c r="J9" s="12" t="n">
        <f aca="false">SUM(Saroglitazar!J42,Usnoflast!J42,Palbociclib!J42,Olaparib!J42,Ozanimod!J42,Letermovir!J42,Rifaximin!J42,Ibrutinib!J42,Cabozantinib!J42,'ZITUVIO Family'!J42,BEIZRAY!J42,'Synthon 505b2'!J42,NUFYMCO!J42,'FYB206 Pembro'!J42,'RK Pharma Asset'!J42,LiqMeds!J42,'Sentynl Orphans'!J42,ROLVEDON!J42,'Zylidac BOT-BAL'!J42,Tishtha!J42,'Semaglutide India'!J42)</f>
        <v>287.684583945088</v>
      </c>
      <c r="K9" s="12" t="n">
        <f aca="false">SUM(Saroglitazar!K42,Usnoflast!K42,Palbociclib!K42,Olaparib!K42,Ozanimod!K42,Letermovir!K42,Rifaximin!K42,Ibrutinib!K42,Cabozantinib!K42,'ZITUVIO Family'!K42,BEIZRAY!K42,'Synthon 505b2'!K42,NUFYMCO!K42,'FYB206 Pembro'!K42,'RK Pharma Asset'!K42,LiqMeds!K42,'Sentynl Orphans'!K42,ROLVEDON!K42,'Zylidac BOT-BAL'!K42,Tishtha!K42,'Semaglutide India'!K42)</f>
        <v>306.189431100924</v>
      </c>
      <c r="L9" s="12" t="n">
        <f aca="false">SUM(Saroglitazar!L42,Usnoflast!L42,Palbociclib!L42,Olaparib!L42,Ozanimod!L42,Letermovir!L42,Rifaximin!L42,Ibrutinib!L42,Cabozantinib!L42,'ZITUVIO Family'!L42,BEIZRAY!L42,'Synthon 505b2'!L42,NUFYMCO!L42,'FYB206 Pembro'!L42,'RK Pharma Asset'!L42,LiqMeds!L42,'Sentynl Orphans'!L42,ROLVEDON!L42,'Zylidac BOT-BAL'!L42,Tishtha!L42,'Semaglutide India'!L42)</f>
        <v>335.350712506025</v>
      </c>
      <c r="M9" s="12" t="n">
        <f aca="false">SUM(Saroglitazar!M42,Usnoflast!M42,Palbociclib!M42,Olaparib!M42,Ozanimod!M42,Letermovir!M42,Rifaximin!M42,Ibrutinib!M42,Cabozantinib!M42,'ZITUVIO Family'!M42,BEIZRAY!M42,'Synthon 505b2'!M42,NUFYMCO!M42,'FYB206 Pembro'!M42,'RK Pharma Asset'!M42,LiqMeds!M42,'Sentynl Orphans'!M42,ROLVEDON!M42,'Zylidac BOT-BAL'!M42,Tishtha!M42,'Semaglutide India'!M42)</f>
        <v>350.710923921657</v>
      </c>
    </row>
    <row r="10" customFormat="false" ht="15" hidden="false" customHeight="false" outlineLevel="0" collapsed="false">
      <c r="A10" s="13" t="s">
        <v>26</v>
      </c>
      <c r="B10" s="11" t="s">
        <v>31</v>
      </c>
      <c r="D10" s="12" t="n">
        <f aca="false">SUM(Saroglitazar!D43,Usnoflast!D43,Palbociclib!D43,Olaparib!D43,Ozanimod!D43,Letermovir!D43,Rifaximin!D43,Ibrutinib!D43,Cabozantinib!D43,'ZITUVIO Family'!D43,BEIZRAY!D43,'Synthon 505b2'!D43,NUFYMCO!D43,'FYB206 Pembro'!D43,'RK Pharma Asset'!D43,LiqMeds!D43,'Sentynl Orphans'!D43,ROLVEDON!D43,'Zylidac BOT-BAL'!D43,Tishtha!D43,'Semaglutide India'!D43)</f>
        <v>9752.09</v>
      </c>
      <c r="E10" s="12" t="n">
        <f aca="false">SUM(Saroglitazar!E43,Usnoflast!E43,Palbociclib!E43,Olaparib!E43,Ozanimod!E43,Letermovir!E43,Rifaximin!E43,Ibrutinib!E43,Cabozantinib!E43,'ZITUVIO Family'!E43,BEIZRAY!E43,'Synthon 505b2'!E43,NUFYMCO!E43,'FYB206 Pembro'!E43,'RK Pharma Asset'!E43,LiqMeds!E43,'Sentynl Orphans'!E43,ROLVEDON!E43,'Zylidac BOT-BAL'!E43,Tishtha!E43,'Semaglutide India'!E43)</f>
        <v>19953.98</v>
      </c>
      <c r="F10" s="12" t="n">
        <f aca="false">SUM(Saroglitazar!F43,Usnoflast!F43,Palbociclib!F43,Olaparib!F43,Ozanimod!F43,Letermovir!F43,Rifaximin!F43,Ibrutinib!F43,Cabozantinib!F43,'ZITUVIO Family'!F43,BEIZRAY!F43,'Synthon 505b2'!F43,NUFYMCO!F43,'FYB206 Pembro'!F43,'RK Pharma Asset'!F43,LiqMeds!F43,'Sentynl Orphans'!F43,ROLVEDON!F43,'Zylidac BOT-BAL'!F43,Tishtha!F43,'Semaglutide India'!F43)</f>
        <v>49115.794565376</v>
      </c>
      <c r="G10" s="12" t="n">
        <f aca="false">SUM(Saroglitazar!G43,Usnoflast!G43,Palbociclib!G43,Olaparib!G43,Ozanimod!G43,Letermovir!G43,Rifaximin!G43,Ibrutinib!G43,Cabozantinib!G43,'ZITUVIO Family'!G43,BEIZRAY!G43,'Synthon 505b2'!G43,NUFYMCO!G43,'FYB206 Pembro'!G43,'RK Pharma Asset'!G43,LiqMeds!G43,'Sentynl Orphans'!G43,ROLVEDON!G43,'Zylidac BOT-BAL'!G43,Tishtha!G43,'Semaglutide India'!G43)</f>
        <v>61919.4175138901</v>
      </c>
      <c r="H10" s="12" t="n">
        <f aca="false">SUM(Saroglitazar!H43,Usnoflast!H43,Palbociclib!H43,Olaparib!H43,Ozanimod!H43,Letermovir!H43,Rifaximin!H43,Ibrutinib!H43,Cabozantinib!H43,'ZITUVIO Family'!H43,BEIZRAY!H43,'Synthon 505b2'!H43,NUFYMCO!H43,'FYB206 Pembro'!H43,'RK Pharma Asset'!H43,LiqMeds!H43,'Sentynl Orphans'!H43,ROLVEDON!H43,'Zylidac BOT-BAL'!H43,Tishtha!H43,'Semaglutide India'!H43)</f>
        <v>81537.7597925409</v>
      </c>
      <c r="I10" s="12" t="n">
        <f aca="false">SUM(Saroglitazar!I43,Usnoflast!I43,Palbociclib!I43,Olaparib!I43,Ozanimod!I43,Letermovir!I43,Rifaximin!I43,Ibrutinib!I43,Cabozantinib!I43,'ZITUVIO Family'!I43,BEIZRAY!I43,'Synthon 505b2'!I43,NUFYMCO!I43,'FYB206 Pembro'!I43,'RK Pharma Asset'!I43,LiqMeds!I43,'Sentynl Orphans'!I43,ROLVEDON!I43,'Zylidac BOT-BAL'!I43,Tishtha!I43,'Semaglutide India'!I43)</f>
        <v>97949.3219135355</v>
      </c>
      <c r="J10" s="12" t="n">
        <f aca="false">SUM(Saroglitazar!J43,Usnoflast!J43,Palbociclib!J43,Olaparib!J43,Ozanimod!J43,Letermovir!J43,Rifaximin!J43,Ibrutinib!J43,Cabozantinib!J43,'ZITUVIO Family'!J43,BEIZRAY!J43,'Synthon 505b2'!J43,NUFYMCO!J43,'FYB206 Pembro'!J43,'RK Pharma Asset'!J43,LiqMeds!J43,'Sentynl Orphans'!J43,ROLVEDON!J43,'Zylidac BOT-BAL'!J43,Tishtha!J43,'Semaglutide India'!J43)</f>
        <v>111119.952490055</v>
      </c>
      <c r="K10" s="12" t="n">
        <f aca="false">SUM(Saroglitazar!K43,Usnoflast!K43,Palbociclib!K43,Olaparib!K43,Ozanimod!K43,Letermovir!K43,Rifaximin!K43,Ibrutinib!K43,Cabozantinib!K43,'ZITUVIO Family'!K43,BEIZRAY!K43,'Synthon 505b2'!K43,NUFYMCO!K43,'FYB206 Pembro'!K43,'RK Pharma Asset'!K43,LiqMeds!K43,'Sentynl Orphans'!K43,ROLVEDON!K43,'Zylidac BOT-BAL'!K43,Tishtha!K43,'Semaglutide India'!K43)</f>
        <v>123757.687239029</v>
      </c>
      <c r="L10" s="12" t="n">
        <f aca="false">SUM(Saroglitazar!L43,Usnoflast!L43,Palbociclib!L43,Olaparib!L43,Ozanimod!L43,Letermovir!L43,Rifaximin!L43,Ibrutinib!L43,Cabozantinib!L43,'ZITUVIO Family'!L43,BEIZRAY!L43,'Synthon 505b2'!L43,NUFYMCO!L43,'FYB206 Pembro'!L43,'RK Pharma Asset'!L43,LiqMeds!L43,'Sentynl Orphans'!L43,ROLVEDON!L43,'Zylidac BOT-BAL'!L43,Tishtha!L43,'Semaglutide India'!L43)</f>
        <v>148861.717883433</v>
      </c>
      <c r="M10" s="12" t="n">
        <f aca="false">SUM(Saroglitazar!M43,Usnoflast!M43,Palbociclib!M43,Olaparib!M43,Ozanimod!M43,Letermovir!M43,Rifaximin!M43,Ibrutinib!M43,Cabozantinib!M43,'ZITUVIO Family'!M43,BEIZRAY!M43,'Synthon 505b2'!M43,NUFYMCO!M43,'FYB206 Pembro'!M43,'RK Pharma Asset'!M43,LiqMeds!M43,'Sentynl Orphans'!M43,ROLVEDON!M43,'Zylidac BOT-BAL'!M43,Tishtha!M43,'Semaglutide India'!M43)</f>
        <v>165628.740902769</v>
      </c>
    </row>
    <row r="11" customFormat="false" ht="15" hidden="false" customHeight="false" outlineLevel="0" collapsed="false">
      <c r="A11" s="13" t="s">
        <v>28</v>
      </c>
      <c r="B11" s="11" t="s">
        <v>31</v>
      </c>
      <c r="D11" s="12" t="n">
        <f aca="false">SUM(Saroglitazar!D44,Usnoflast!D44,Palbociclib!D44,Olaparib!D44,Ozanimod!D44,Letermovir!D44,Rifaximin!D44,Ibrutinib!D44,Cabozantinib!D44,'ZITUVIO Family'!D44,BEIZRAY!D44,'Synthon 505b2'!D44,NUFYMCO!D44,'FYB206 Pembro'!D44,'RK Pharma Asset'!D44,LiqMeds!D44,'Sentynl Orphans'!D44,ROLVEDON!D44,'Zylidac BOT-BAL'!D44,Tishtha!D44,'Semaglutide India'!D44)</f>
        <v>9752.09</v>
      </c>
      <c r="E11" s="12" t="n">
        <f aca="false">SUM(Saroglitazar!E44,Usnoflast!E44,Palbociclib!E44,Olaparib!E44,Ozanimod!E44,Letermovir!E44,Rifaximin!E44,Ibrutinib!E44,Cabozantinib!E44,'ZITUVIO Family'!E44,BEIZRAY!E44,'Synthon 505b2'!E44,NUFYMCO!E44,'FYB206 Pembro'!E44,'RK Pharma Asset'!E44,LiqMeds!E44,'Sentynl Orphans'!E44,ROLVEDON!E44,'Zylidac BOT-BAL'!E44,Tishtha!E44,'Semaglutide India'!E44)</f>
        <v>19953.98</v>
      </c>
      <c r="F11" s="12" t="n">
        <f aca="false">SUM(Saroglitazar!F44,Usnoflast!F44,Palbociclib!F44,Olaparib!F44,Ozanimod!F44,Letermovir!F44,Rifaximin!F44,Ibrutinib!F44,Cabozantinib!F44,'ZITUVIO Family'!F44,BEIZRAY!F44,'Synthon 505b2'!F44,NUFYMCO!F44,'FYB206 Pembro'!F44,'RK Pharma Asset'!F44,LiqMeds!F44,'Sentynl Orphans'!F44,ROLVEDON!F44,'Zylidac BOT-BAL'!F44,Tishtha!F44,'Semaglutide India'!F44)</f>
        <v>45130.3103805696</v>
      </c>
      <c r="G11" s="12" t="n">
        <f aca="false">SUM(Saroglitazar!G44,Usnoflast!G44,Palbociclib!G44,Olaparib!G44,Ozanimod!G44,Letermovir!G44,Rifaximin!G44,Ibrutinib!G44,Cabozantinib!G44,'ZITUVIO Family'!G44,BEIZRAY!G44,'Synthon 505b2'!G44,NUFYMCO!G44,'FYB206 Pembro'!G44,'RK Pharma Asset'!G44,LiqMeds!G44,'Sentynl Orphans'!G44,ROLVEDON!G44,'Zylidac BOT-BAL'!G44,Tishtha!G44,'Semaglutide India'!G44)</f>
        <v>56645.0132868066</v>
      </c>
      <c r="H11" s="12" t="n">
        <f aca="false">SUM(Saroglitazar!H44,Usnoflast!H44,Palbociclib!H44,Olaparib!H44,Ozanimod!H44,Letermovir!H44,Rifaximin!H44,Ibrutinib!H44,Cabozantinib!H44,'ZITUVIO Family'!H44,BEIZRAY!H44,'Synthon 505b2'!H44,NUFYMCO!H44,'FYB206 Pembro'!H44,'RK Pharma Asset'!H44,LiqMeds!H44,'Sentynl Orphans'!H44,ROLVEDON!H44,'Zylidac BOT-BAL'!H44,Tishtha!H44,'Semaglutide India'!H44)</f>
        <v>70242.2036436598</v>
      </c>
      <c r="I11" s="12" t="n">
        <f aca="false">SUM(Saroglitazar!I44,Usnoflast!I44,Palbociclib!I44,Olaparib!I44,Ozanimod!I44,Letermovir!I44,Rifaximin!I44,Ibrutinib!I44,Cabozantinib!I44,'ZITUVIO Family'!I44,BEIZRAY!I44,'Synthon 505b2'!I44,NUFYMCO!I44,'FYB206 Pembro'!I44,'RK Pharma Asset'!I44,LiqMeds!I44,'Sentynl Orphans'!I44,ROLVEDON!I44,'Zylidac BOT-BAL'!I44,Tishtha!I44,'Semaglutide India'!I44)</f>
        <v>81375.9137865052</v>
      </c>
      <c r="J11" s="12" t="n">
        <f aca="false">SUM(Saroglitazar!J44,Usnoflast!J44,Palbociclib!J44,Olaparib!J44,Ozanimod!J44,Letermovir!J44,Rifaximin!J44,Ibrutinib!J44,Cabozantinib!J44,'ZITUVIO Family'!J44,BEIZRAY!J44,'Synthon 505b2'!J44,NUFYMCO!J44,'FYB206 Pembro'!J44,'RK Pharma Asset'!J44,LiqMeds!J44,'Sentynl Orphans'!J44,ROLVEDON!J44,'Zylidac BOT-BAL'!J44,Tishtha!J44,'Semaglutide India'!J44)</f>
        <v>89924.8489665465</v>
      </c>
      <c r="K11" s="12" t="n">
        <f aca="false">SUM(Saroglitazar!K44,Usnoflast!K44,Palbociclib!K44,Olaparib!K44,Ozanimod!K44,Letermovir!K44,Rifaximin!K44,Ibrutinib!K44,Cabozantinib!K44,'ZITUVIO Family'!K44,BEIZRAY!K44,'Synthon 505b2'!K44,NUFYMCO!K44,'FYB206 Pembro'!K44,'RK Pharma Asset'!K44,LiqMeds!K44,'Sentynl Orphans'!K44,ROLVEDON!K44,'Zylidac BOT-BAL'!K44,Tishtha!K44,'Semaglutide India'!K44)</f>
        <v>96155.8649057027</v>
      </c>
      <c r="L11" s="12" t="n">
        <f aca="false">SUM(Saroglitazar!L44,Usnoflast!L44,Palbociclib!L44,Olaparib!L44,Ozanimod!L44,Letermovir!L44,Rifaximin!L44,Ibrutinib!L44,Cabozantinib!L44,'ZITUVIO Family'!L44,BEIZRAY!L44,'Synthon 505b2'!L44,NUFYMCO!L44,'FYB206 Pembro'!L44,'RK Pharma Asset'!L44,LiqMeds!L44,'Sentynl Orphans'!L44,ROLVEDON!L44,'Zylidac BOT-BAL'!L44,Tishtha!L44,'Semaglutide India'!L44)</f>
        <v>102761.703134767</v>
      </c>
      <c r="M11" s="12" t="n">
        <f aca="false">SUM(Saroglitazar!M44,Usnoflast!M44,Palbociclib!M44,Olaparib!M44,Ozanimod!M44,Letermovir!M44,Rifaximin!M44,Ibrutinib!M44,Cabozantinib!M44,'ZITUVIO Family'!M44,BEIZRAY!M44,'Synthon 505b2'!M44,NUFYMCO!M44,'FYB206 Pembro'!M44,'RK Pharma Asset'!M44,LiqMeds!M44,'Sentynl Orphans'!M44,ROLVEDON!M44,'Zylidac BOT-BAL'!M44,Tishtha!M44,'Semaglutide India'!M44)</f>
        <v>106747.15489567</v>
      </c>
    </row>
    <row r="13" customFormat="false" ht="18" hidden="false" customHeight="true" outlineLevel="0" collapsed="false">
      <c r="A13" s="8" t="s">
        <v>32</v>
      </c>
      <c r="B13" s="8"/>
      <c r="C13" s="8"/>
      <c r="D13" s="8"/>
      <c r="E13" s="8"/>
      <c r="F13" s="8"/>
      <c r="G13" s="8"/>
      <c r="H13" s="8"/>
      <c r="I13" s="8"/>
      <c r="J13" s="8"/>
      <c r="K13" s="8"/>
      <c r="L13" s="8"/>
      <c r="M13" s="8"/>
    </row>
    <row r="14" customFormat="false" ht="15" hidden="false" customHeight="false" outlineLevel="0" collapsed="false">
      <c r="A14" s="14" t="s">
        <v>33</v>
      </c>
      <c r="D14" s="14" t="s">
        <v>16</v>
      </c>
      <c r="E14" s="14" t="s">
        <v>17</v>
      </c>
      <c r="F14" s="14" t="s">
        <v>18</v>
      </c>
      <c r="G14" s="14" t="s">
        <v>19</v>
      </c>
      <c r="H14" s="14" t="s">
        <v>20</v>
      </c>
      <c r="I14" s="14" t="s">
        <v>21</v>
      </c>
      <c r="J14" s="14" t="s">
        <v>22</v>
      </c>
      <c r="K14" s="14" t="s">
        <v>23</v>
      </c>
      <c r="L14" s="14" t="s">
        <v>24</v>
      </c>
      <c r="M14" s="14" t="s">
        <v>25</v>
      </c>
    </row>
    <row r="15" customFormat="false" ht="15" hidden="false" customHeight="false" outlineLevel="0" collapsed="false">
      <c r="A15" s="0" t="s">
        <v>34</v>
      </c>
      <c r="D15" s="12" t="n">
        <f aca="false">SUM(Saroglitazar!D39,Usnoflast!D39)</f>
        <v>0</v>
      </c>
      <c r="E15" s="12" t="n">
        <f aca="false">SUM(Saroglitazar!E39,Usnoflast!E39)</f>
        <v>0</v>
      </c>
      <c r="F15" s="12" t="n">
        <f aca="false">SUM(Saroglitazar!F39,Usnoflast!F39)</f>
        <v>18.18664311744</v>
      </c>
      <c r="G15" s="12" t="n">
        <f aca="false">SUM(Saroglitazar!G39,Usnoflast!G39)</f>
        <v>62.452932465289</v>
      </c>
      <c r="H15" s="12" t="n">
        <f aca="false">SUM(Saroglitazar!H39,Usnoflast!H39)</f>
        <v>113.933665358082</v>
      </c>
      <c r="I15" s="12" t="n">
        <f aca="false">SUM(Saroglitazar!I39,Usnoflast!I39)</f>
        <v>158.800742776095</v>
      </c>
      <c r="J15" s="12" t="n">
        <f aca="false">SUM(Saroglitazar!J39,Usnoflast!J39)</f>
        <v>199.160987209658</v>
      </c>
      <c r="K15" s="12" t="n">
        <f aca="false">SUM(Saroglitazar!K39,Usnoflast!K39)</f>
        <v>242.245199057027</v>
      </c>
      <c r="L15" s="12" t="n">
        <f aca="false">SUM(Saroglitazar!L39,Usnoflast!L39)</f>
        <v>319.278224066347</v>
      </c>
      <c r="M15" s="12" t="n">
        <f aca="false">SUM(Saroglitazar!M39,Usnoflast!M39)</f>
        <v>368.948990150676</v>
      </c>
    </row>
    <row r="16" customFormat="false" ht="15" hidden="false" customHeight="false" outlineLevel="0" collapsed="false">
      <c r="A16" s="0" t="s">
        <v>35</v>
      </c>
      <c r="D16" s="12" t="n">
        <f aca="false">SUM(Palbociclib!D39,Olaparib!D39,Ozanimod!D39,Letermovir!D39,Rifaximin!D39,Ibrutinib!D39,Cabozantinib!D39)</f>
        <v>0</v>
      </c>
      <c r="E16" s="12" t="n">
        <f aca="false">SUM(Palbociclib!E39,Olaparib!E39,Ozanimod!E39,Letermovir!E39,Rifaximin!E39,Ibrutinib!E39,Cabozantinib!E39)</f>
        <v>0</v>
      </c>
      <c r="F16" s="12" t="n">
        <f aca="false">SUM(Palbociclib!F39,Olaparib!F39,Ozanimod!F39,Letermovir!F39,Rifaximin!F39,Ibrutinib!F39,Cabozantinib!F39)</f>
        <v>167.50125</v>
      </c>
      <c r="G16" s="12" t="n">
        <f aca="false">SUM(Palbociclib!G39,Olaparib!G39,Ozanimod!G39,Letermovir!G39,Rifaximin!G39,Ibrutinib!G39,Cabozantinib!G39)</f>
        <v>139.211125</v>
      </c>
      <c r="H16" s="12" t="n">
        <f aca="false">SUM(Palbociclib!H39,Olaparib!H39,Ozanimod!H39,Letermovir!H39,Rifaximin!H39,Ibrutinib!H39,Cabozantinib!H39)</f>
        <v>160.04265</v>
      </c>
      <c r="I16" s="12" t="n">
        <f aca="false">SUM(Palbociclib!I39,Olaparib!I39,Ozanimod!I39,Letermovir!I39,Rifaximin!I39,Ibrutinib!I39,Cabozantinib!I39)</f>
        <v>144.2069425</v>
      </c>
      <c r="J16" s="12" t="n">
        <f aca="false">SUM(Palbociclib!J39,Olaparib!J39,Ozanimod!J39,Letermovir!J39,Rifaximin!J39,Ibrutinib!J39,Cabozantinib!J39)</f>
        <v>119.34174</v>
      </c>
      <c r="K16" s="12" t="n">
        <f aca="false">SUM(Palbociclib!K39,Olaparib!K39,Ozanimod!K39,Letermovir!K39,Rifaximin!K39,Ibrutinib!K39,Cabozantinib!K39)</f>
        <v>89.43595</v>
      </c>
      <c r="L16" s="12" t="n">
        <f aca="false">SUM(Palbociclib!L39,Olaparib!L39,Ozanimod!L39,Letermovir!L39,Rifaximin!L39,Ibrutinib!L39,Cabozantinib!L39)</f>
        <v>63.23444</v>
      </c>
      <c r="M16" s="12" t="n">
        <f aca="false">SUM(Palbociclib!M39,Olaparib!M39,Ozanimod!M39,Letermovir!M39,Rifaximin!M39,Ibrutinib!M39,Cabozantinib!M39)</f>
        <v>46.47283</v>
      </c>
    </row>
    <row r="17" customFormat="false" ht="15" hidden="false" customHeight="false" outlineLevel="0" collapsed="false">
      <c r="A17" s="0" t="s">
        <v>36</v>
      </c>
      <c r="D17" s="12" t="n">
        <f aca="false">SUM('ZITUVIO Family'!D39,BEIZRAY!D39,'Synthon 505b2'!D39,'RK Pharma Asset'!D39,LiqMeds!D39)</f>
        <v>47.825</v>
      </c>
      <c r="E17" s="12" t="n">
        <f aca="false">SUM('ZITUVIO Family'!E39,BEIZRAY!E39,'Synthon 505b2'!E39,'RK Pharma Asset'!E39,LiqMeds!E39)</f>
        <v>62.23</v>
      </c>
      <c r="F17" s="12" t="n">
        <f aca="false">SUM('ZITUVIO Family'!F39,BEIZRAY!F39,'Synthon 505b2'!F39,'RK Pharma Asset'!F39,LiqMeds!F39)</f>
        <v>82.21</v>
      </c>
      <c r="G17" s="12" t="n">
        <f aca="false">SUM('ZITUVIO Family'!G39,BEIZRAY!G39,'Synthon 505b2'!G39,'RK Pharma Asset'!G39,LiqMeds!G39)</f>
        <v>110.192</v>
      </c>
      <c r="H17" s="12" t="n">
        <f aca="false">SUM('ZITUVIO Family'!H39,BEIZRAY!H39,'Synthon 505b2'!H39,'RK Pharma Asset'!H39,LiqMeds!H39)</f>
        <v>134.723</v>
      </c>
      <c r="I17" s="12" t="n">
        <f aca="false">SUM('ZITUVIO Family'!I39,BEIZRAY!I39,'Synthon 505b2'!I39,'RK Pharma Asset'!I39,LiqMeds!I39)</f>
        <v>146.841</v>
      </c>
      <c r="J17" s="12" t="n">
        <f aca="false">SUM('ZITUVIO Family'!J39,BEIZRAY!J39,'Synthon 505b2'!J39,'RK Pharma Asset'!J39,LiqMeds!J39)</f>
        <v>143.79665</v>
      </c>
      <c r="K17" s="12" t="n">
        <f aca="false">SUM('ZITUVIO Family'!K39,BEIZRAY!K39,'Synthon 505b2'!K39,'RK Pharma Asset'!K39,LiqMeds!K39)</f>
        <v>139.4235</v>
      </c>
      <c r="L17" s="12" t="n">
        <f aca="false">SUM('ZITUVIO Family'!L39,BEIZRAY!L39,'Synthon 505b2'!L39,'RK Pharma Asset'!L39,LiqMeds!L39)</f>
        <v>132.0877</v>
      </c>
      <c r="M17" s="12" t="n">
        <f aca="false">SUM('ZITUVIO Family'!M39,BEIZRAY!M39,'Synthon 505b2'!M39,'RK Pharma Asset'!M39,LiqMeds!M39)</f>
        <v>125.2469</v>
      </c>
    </row>
    <row r="18" customFormat="false" ht="15" hidden="false" customHeight="false" outlineLevel="0" collapsed="false">
      <c r="A18" s="0" t="s">
        <v>37</v>
      </c>
      <c r="D18" s="12" t="n">
        <f aca="false">SUM('Sentynl Orphans'!D39)</f>
        <v>59.99</v>
      </c>
      <c r="E18" s="12" t="n">
        <f aca="false">SUM('Sentynl Orphans'!E39)</f>
        <v>66.21</v>
      </c>
      <c r="F18" s="12" t="n">
        <f aca="false">SUM('Sentynl Orphans'!F39)</f>
        <v>74.22</v>
      </c>
      <c r="G18" s="12" t="n">
        <f aca="false">SUM('Sentynl Orphans'!G39)</f>
        <v>85.34</v>
      </c>
      <c r="H18" s="12" t="n">
        <f aca="false">SUM('Sentynl Orphans'!H39)</f>
        <v>94.91</v>
      </c>
      <c r="I18" s="12" t="n">
        <f aca="false">SUM('Sentynl Orphans'!I39)</f>
        <v>103.96</v>
      </c>
      <c r="J18" s="12" t="n">
        <f aca="false">SUM('Sentynl Orphans'!J39)</f>
        <v>112.26</v>
      </c>
      <c r="K18" s="12" t="n">
        <f aca="false">SUM('Sentynl Orphans'!K39)</f>
        <v>120.56</v>
      </c>
      <c r="L18" s="12" t="n">
        <f aca="false">SUM('Sentynl Orphans'!L39)</f>
        <v>128.86</v>
      </c>
      <c r="M18" s="12" t="n">
        <f aca="false">SUM('Sentynl Orphans'!M39)</f>
        <v>137.16</v>
      </c>
    </row>
    <row r="19" customFormat="false" ht="15" hidden="false" customHeight="false" outlineLevel="0" collapsed="false">
      <c r="A19" s="0" t="s">
        <v>38</v>
      </c>
      <c r="D19" s="12" t="n">
        <f aca="false">SUM(ROLVEDON!D39)</f>
        <v>0</v>
      </c>
      <c r="E19" s="12" t="n">
        <f aca="false">SUM(ROLVEDON!E39)</f>
        <v>66.12</v>
      </c>
      <c r="F19" s="12" t="n">
        <f aca="false">SUM(ROLVEDON!F39)</f>
        <v>78.1</v>
      </c>
      <c r="G19" s="12" t="n">
        <f aca="false">SUM(ROLVEDON!G39)</f>
        <v>79.508</v>
      </c>
      <c r="H19" s="12" t="n">
        <f aca="false">SUM(ROLVEDON!H39)</f>
        <v>77.112</v>
      </c>
      <c r="I19" s="12" t="n">
        <f aca="false">SUM(ROLVEDON!I39)</f>
        <v>74.48</v>
      </c>
      <c r="J19" s="12" t="n">
        <f aca="false">SUM(ROLVEDON!J39)</f>
        <v>71.63</v>
      </c>
      <c r="K19" s="12" t="n">
        <f aca="false">SUM(ROLVEDON!K39)</f>
        <v>68.58</v>
      </c>
      <c r="L19" s="12" t="n">
        <f aca="false">SUM(ROLVEDON!L39)</f>
        <v>65.348</v>
      </c>
      <c r="M19" s="12" t="n">
        <f aca="false">SUM(ROLVEDON!M39)</f>
        <v>61.952</v>
      </c>
    </row>
    <row r="20" customFormat="false" ht="15" hidden="false" customHeight="false" outlineLevel="0" collapsed="false">
      <c r="A20" s="0" t="s">
        <v>39</v>
      </c>
      <c r="D20" s="12" t="n">
        <f aca="false">SUM('Zylidac BOT-BAL'!D39)</f>
        <v>0</v>
      </c>
      <c r="E20" s="12" t="n">
        <f aca="false">SUM('Zylidac BOT-BAL'!E39)</f>
        <v>12</v>
      </c>
      <c r="F20" s="12" t="n">
        <f aca="false">SUM('Zylidac BOT-BAL'!F39)</f>
        <v>24</v>
      </c>
      <c r="G20" s="12" t="n">
        <f aca="false">SUM('Zylidac BOT-BAL'!G39)</f>
        <v>40</v>
      </c>
      <c r="H20" s="12" t="n">
        <f aca="false">SUM('Zylidac BOT-BAL'!H39)</f>
        <v>44</v>
      </c>
      <c r="I20" s="12" t="n">
        <f aca="false">SUM('Zylidac BOT-BAL'!I39)</f>
        <v>48</v>
      </c>
      <c r="J20" s="12" t="n">
        <f aca="false">SUM('Zylidac BOT-BAL'!J39)</f>
        <v>53</v>
      </c>
      <c r="K20" s="12" t="n">
        <f aca="false">SUM('Zylidac BOT-BAL'!K39)</f>
        <v>60.6</v>
      </c>
      <c r="L20" s="12" t="n">
        <f aca="false">SUM('Zylidac BOT-BAL'!L39)</f>
        <v>67.4</v>
      </c>
      <c r="M20" s="12" t="n">
        <f aca="false">SUM('Zylidac BOT-BAL'!M39)</f>
        <v>75</v>
      </c>
    </row>
    <row r="21" customFormat="false" ht="18" hidden="false" customHeight="true" outlineLevel="0" collapsed="false">
      <c r="A21" s="8" t="s">
        <v>40</v>
      </c>
      <c r="B21" s="8"/>
      <c r="C21" s="8"/>
      <c r="D21" s="8"/>
      <c r="E21" s="8"/>
      <c r="F21" s="8"/>
      <c r="G21" s="8"/>
      <c r="H21" s="8"/>
      <c r="I21" s="8"/>
      <c r="J21" s="8"/>
      <c r="K21" s="8"/>
      <c r="L21" s="8"/>
      <c r="M21" s="8"/>
    </row>
    <row r="22" customFormat="false" ht="33.75" hidden="false" customHeight="true" outlineLevel="0" collapsed="false">
      <c r="A22" s="15" t="s">
        <v>41</v>
      </c>
      <c r="B22" s="15" t="s">
        <v>33</v>
      </c>
      <c r="C22" s="15" t="s">
        <v>42</v>
      </c>
      <c r="D22" s="15" t="s">
        <v>43</v>
      </c>
      <c r="E22" s="15" t="s">
        <v>44</v>
      </c>
      <c r="F22" s="15" t="s">
        <v>45</v>
      </c>
      <c r="G22" s="15" t="s">
        <v>16</v>
      </c>
      <c r="H22" s="15" t="s">
        <v>17</v>
      </c>
      <c r="I22" s="15" t="s">
        <v>18</v>
      </c>
      <c r="J22" s="15" t="s">
        <v>19</v>
      </c>
      <c r="K22" s="15" t="s">
        <v>20</v>
      </c>
      <c r="L22" s="15" t="s">
        <v>21</v>
      </c>
      <c r="M22" s="15" t="s">
        <v>22</v>
      </c>
      <c r="N22" s="15" t="s">
        <v>23</v>
      </c>
      <c r="O22" s="15" t="s">
        <v>24</v>
      </c>
      <c r="P22" s="15" t="s">
        <v>25</v>
      </c>
      <c r="Q22" s="15" t="s">
        <v>46</v>
      </c>
      <c r="R22" s="15" t="s">
        <v>47</v>
      </c>
      <c r="S22" s="15" t="s">
        <v>48</v>
      </c>
      <c r="T22" s="15" t="s">
        <v>49</v>
      </c>
    </row>
    <row r="23" customFormat="false" ht="30" hidden="false" customHeight="true" outlineLevel="0" collapsed="false">
      <c r="A23" s="16" t="s">
        <v>50</v>
      </c>
      <c r="B23" s="16" t="s">
        <v>34</v>
      </c>
      <c r="C23" s="16" t="s">
        <v>51</v>
      </c>
      <c r="D23" s="16" t="s">
        <v>52</v>
      </c>
      <c r="E23" s="17" t="s">
        <v>53</v>
      </c>
      <c r="F23" s="16" t="s">
        <v>54</v>
      </c>
      <c r="G23" s="18" t="n">
        <f aca="false">Saroglitazar!D38</f>
        <v>0</v>
      </c>
      <c r="H23" s="18" t="n">
        <f aca="false">Saroglitazar!E38</f>
        <v>0</v>
      </c>
      <c r="I23" s="18" t="n">
        <f aca="false">Saroglitazar!F38</f>
        <v>21.3960507264</v>
      </c>
      <c r="J23" s="18" t="n">
        <f aca="false">Saroglitazar!G38</f>
        <v>73.4740381944576</v>
      </c>
      <c r="K23" s="18" t="n">
        <f aca="false">Saroglitazar!H38</f>
        <v>134.039606303626</v>
      </c>
      <c r="L23" s="18" t="n">
        <f aca="false">Saroglitazar!I38</f>
        <v>186.824403265995</v>
      </c>
      <c r="M23" s="18" t="n">
        <f aca="false">Saroglitazar!J38</f>
        <v>234.307043776068</v>
      </c>
      <c r="N23" s="18" t="n">
        <f aca="false">Saroglitazar!K38</f>
        <v>267.24559326576</v>
      </c>
      <c r="O23" s="18" t="n">
        <f aca="false">Saroglitazar!L38</f>
        <v>284.197584704398</v>
      </c>
      <c r="P23" s="18" t="n">
        <f aca="false">Saroglitazar!M38</f>
        <v>292.780351762471</v>
      </c>
      <c r="Q23" s="19" t="n">
        <f aca="false">MAX(G23:P23)</f>
        <v>292.780351762471</v>
      </c>
      <c r="R23" s="18" t="str">
        <f aca="false">Saroglitazar!B13</f>
        <v>Within range</v>
      </c>
      <c r="S23" s="18" t="n">
        <f aca="false">Saroglitazar!G41</f>
        <v>22.0422114583373</v>
      </c>
      <c r="T23" s="20" t="n">
        <f aca="false">Saroglitazar!B9</f>
        <v>1</v>
      </c>
    </row>
    <row r="24" customFormat="false" ht="30" hidden="false" customHeight="true" outlineLevel="0" collapsed="false">
      <c r="A24" s="16" t="s">
        <v>55</v>
      </c>
      <c r="B24" s="16" t="s">
        <v>34</v>
      </c>
      <c r="C24" s="16" t="s">
        <v>51</v>
      </c>
      <c r="D24" s="16" t="s">
        <v>56</v>
      </c>
      <c r="E24" s="17" t="s">
        <v>57</v>
      </c>
      <c r="F24" s="16" t="s">
        <v>58</v>
      </c>
      <c r="G24" s="18" t="n">
        <f aca="false">Usnoflast!D38</f>
        <v>0</v>
      </c>
      <c r="H24" s="18" t="n">
        <f aca="false">Usnoflast!E38</f>
        <v>0</v>
      </c>
      <c r="I24" s="18" t="n">
        <f aca="false">Usnoflast!F38</f>
        <v>0</v>
      </c>
      <c r="J24" s="18" t="n">
        <f aca="false">Usnoflast!G38</f>
        <v>0</v>
      </c>
      <c r="K24" s="18" t="n">
        <f aca="false">Usnoflast!H38</f>
        <v>0</v>
      </c>
      <c r="L24" s="18" t="n">
        <f aca="false">Usnoflast!I38</f>
        <v>0</v>
      </c>
      <c r="M24" s="18" t="n">
        <f aca="false">Usnoflast!J38</f>
        <v>0</v>
      </c>
      <c r="N24" s="18" t="n">
        <f aca="false">Usnoflast!K38</f>
        <v>60.3457791245264</v>
      </c>
      <c r="O24" s="18" t="n">
        <f aca="false">Usnoflast!L38</f>
        <v>310.841108270436</v>
      </c>
      <c r="P24" s="18" t="n">
        <f aca="false">Usnoflast!M38</f>
        <v>480.342764610304</v>
      </c>
      <c r="Q24" s="19" t="n">
        <f aca="false">MAX(G24:P24)</f>
        <v>480.342764610304</v>
      </c>
      <c r="R24" s="18" t="str">
        <f aca="false">Usnoflast!B13</f>
        <v>Within range</v>
      </c>
      <c r="S24" s="18" t="n">
        <f aca="false">Usnoflast!G41</f>
        <v>0</v>
      </c>
      <c r="T24" s="20" t="n">
        <f aca="false">Usnoflast!B9</f>
        <v>1</v>
      </c>
    </row>
    <row r="25" customFormat="false" ht="30" hidden="false" customHeight="true" outlineLevel="0" collapsed="false">
      <c r="A25" s="16" t="s">
        <v>59</v>
      </c>
      <c r="B25" s="16" t="s">
        <v>35</v>
      </c>
      <c r="C25" s="16" t="s">
        <v>51</v>
      </c>
      <c r="D25" s="16" t="s">
        <v>60</v>
      </c>
      <c r="E25" s="17" t="s">
        <v>53</v>
      </c>
      <c r="F25" s="16" t="s">
        <v>61</v>
      </c>
      <c r="G25" s="18" t="n">
        <f aca="false">Palbociclib!D38</f>
        <v>0</v>
      </c>
      <c r="H25" s="18" t="n">
        <f aca="false">Palbociclib!E38</f>
        <v>0</v>
      </c>
      <c r="I25" s="18" t="n">
        <f aca="false">Palbociclib!F38</f>
        <v>143.325</v>
      </c>
      <c r="J25" s="18" t="n">
        <f aca="false">Palbociclib!G38</f>
        <v>80.73</v>
      </c>
      <c r="K25" s="18" t="n">
        <f aca="false">Palbociclib!H38</f>
        <v>47.9115</v>
      </c>
      <c r="L25" s="18" t="n">
        <f aca="false">Palbociclib!I38</f>
        <v>30.875</v>
      </c>
      <c r="M25" s="18" t="n">
        <f aca="false">Palbociclib!J38</f>
        <v>20.332</v>
      </c>
      <c r="N25" s="18" t="n">
        <f aca="false">Palbociclib!K38</f>
        <v>15.015</v>
      </c>
      <c r="O25" s="18" t="n">
        <f aca="false">Palbociclib!L38</f>
        <v>10.14</v>
      </c>
      <c r="P25" s="18" t="n">
        <f aca="false">Palbociclib!M38</f>
        <v>7.15</v>
      </c>
      <c r="Q25" s="19" t="n">
        <f aca="false">MAX(G25:P25)</f>
        <v>143.325</v>
      </c>
      <c r="R25" s="18" t="str">
        <f aca="false">Palbociclib!B13</f>
        <v>Within range</v>
      </c>
      <c r="S25" s="18" t="n">
        <f aca="false">Palbociclib!G41</f>
        <v>17.7606</v>
      </c>
      <c r="T25" s="20" t="n">
        <f aca="false">Palbociclib!B9</f>
        <v>1</v>
      </c>
    </row>
    <row r="26" customFormat="false" ht="30" hidden="false" customHeight="true" outlineLevel="0" collapsed="false">
      <c r="A26" s="16" t="s">
        <v>62</v>
      </c>
      <c r="B26" s="16" t="s">
        <v>35</v>
      </c>
      <c r="C26" s="16" t="s">
        <v>51</v>
      </c>
      <c r="D26" s="16" t="s">
        <v>63</v>
      </c>
      <c r="E26" s="17" t="s">
        <v>53</v>
      </c>
      <c r="F26" s="16" t="s">
        <v>64</v>
      </c>
      <c r="G26" s="18" t="n">
        <f aca="false">Olaparib!D38</f>
        <v>0</v>
      </c>
      <c r="H26" s="18" t="n">
        <f aca="false">Olaparib!E38</f>
        <v>0</v>
      </c>
      <c r="I26" s="18" t="n">
        <f aca="false">Olaparib!F38</f>
        <v>65.25</v>
      </c>
      <c r="J26" s="18" t="n">
        <f aca="false">Olaparib!G38</f>
        <v>85</v>
      </c>
      <c r="K26" s="18" t="n">
        <f aca="false">Olaparib!H38</f>
        <v>57.04</v>
      </c>
      <c r="L26" s="18" t="n">
        <f aca="false">Olaparib!I38</f>
        <v>40.04</v>
      </c>
      <c r="M26" s="18" t="n">
        <f aca="false">Olaparib!J38</f>
        <v>27.5</v>
      </c>
      <c r="N26" s="18" t="n">
        <f aca="false">Olaparib!K38</f>
        <v>17.82</v>
      </c>
      <c r="O26" s="18" t="n">
        <f aca="false">Olaparib!L38</f>
        <v>12.92</v>
      </c>
      <c r="P26" s="18" t="n">
        <f aca="false">Olaparib!M38</f>
        <v>8.96</v>
      </c>
      <c r="Q26" s="19" t="n">
        <f aca="false">MAX(G26:P26)</f>
        <v>85</v>
      </c>
      <c r="R26" s="18" t="str">
        <f aca="false">Olaparib!B13</f>
        <v>Within range</v>
      </c>
      <c r="S26" s="18" t="n">
        <f aca="false">Olaparib!G41</f>
        <v>28.05</v>
      </c>
      <c r="T26" s="20" t="n">
        <f aca="false">Olaparib!B9</f>
        <v>1</v>
      </c>
    </row>
    <row r="27" customFormat="false" ht="30" hidden="false" customHeight="true" outlineLevel="0" collapsed="false">
      <c r="A27" s="16" t="s">
        <v>65</v>
      </c>
      <c r="B27" s="16" t="s">
        <v>35</v>
      </c>
      <c r="C27" s="16" t="s">
        <v>51</v>
      </c>
      <c r="D27" s="16" t="s">
        <v>66</v>
      </c>
      <c r="E27" s="17" t="s">
        <v>57</v>
      </c>
      <c r="F27" s="16" t="s">
        <v>67</v>
      </c>
      <c r="G27" s="18" t="n">
        <f aca="false">Ozanimod!D38</f>
        <v>0</v>
      </c>
      <c r="H27" s="18" t="n">
        <f aca="false">Ozanimod!E38</f>
        <v>0</v>
      </c>
      <c r="I27" s="18" t="n">
        <f aca="false">Ozanimod!F38</f>
        <v>0</v>
      </c>
      <c r="J27" s="18" t="n">
        <f aca="false">Ozanimod!G38</f>
        <v>0</v>
      </c>
      <c r="K27" s="18" t="n">
        <f aca="false">Ozanimod!H38</f>
        <v>42.9975</v>
      </c>
      <c r="L27" s="18" t="n">
        <f aca="false">Ozanimod!I38</f>
        <v>39.6032</v>
      </c>
      <c r="M27" s="18" t="n">
        <f aca="false">Ozanimod!J38</f>
        <v>26.026</v>
      </c>
      <c r="N27" s="18" t="n">
        <f aca="false">Ozanimod!K38</f>
        <v>18.252</v>
      </c>
      <c r="O27" s="18" t="n">
        <f aca="false">Ozanimod!L38</f>
        <v>12.636</v>
      </c>
      <c r="P27" s="18" t="n">
        <f aca="false">Ozanimod!M38</f>
        <v>8.9232</v>
      </c>
      <c r="Q27" s="19" t="n">
        <f aca="false">MAX(G27:P27)</f>
        <v>42.9975</v>
      </c>
      <c r="R27" s="18" t="str">
        <f aca="false">Ozanimod!B13</f>
        <v>Within range</v>
      </c>
      <c r="S27" s="18" t="n">
        <f aca="false">Ozanimod!G41</f>
        <v>0</v>
      </c>
      <c r="T27" s="20" t="n">
        <f aca="false">Ozanimod!B9</f>
        <v>1</v>
      </c>
    </row>
    <row r="28" customFormat="false" ht="30" hidden="false" customHeight="true" outlineLevel="0" collapsed="false">
      <c r="A28" s="16" t="s">
        <v>68</v>
      </c>
      <c r="B28" s="16" t="s">
        <v>35</v>
      </c>
      <c r="C28" s="16" t="s">
        <v>51</v>
      </c>
      <c r="D28" s="16" t="s">
        <v>69</v>
      </c>
      <c r="E28" s="17" t="s">
        <v>57</v>
      </c>
      <c r="F28" s="16" t="s">
        <v>70</v>
      </c>
      <c r="G28" s="18" t="n">
        <f aca="false">Letermovir!D38</f>
        <v>0</v>
      </c>
      <c r="H28" s="18" t="n">
        <f aca="false">Letermovir!E38</f>
        <v>0</v>
      </c>
      <c r="I28" s="18" t="n">
        <f aca="false">Letermovir!F38</f>
        <v>0</v>
      </c>
      <c r="J28" s="18" t="n">
        <f aca="false">Letermovir!G38</f>
        <v>17.0625</v>
      </c>
      <c r="K28" s="18" t="n">
        <f aca="false">Letermovir!H38</f>
        <v>24.31</v>
      </c>
      <c r="L28" s="18" t="n">
        <f aca="false">Letermovir!I38</f>
        <v>18.46325</v>
      </c>
      <c r="M28" s="18" t="n">
        <f aca="false">Letermovir!J38</f>
        <v>14.1856</v>
      </c>
      <c r="N28" s="18" t="n">
        <f aca="false">Letermovir!K38</f>
        <v>10.556</v>
      </c>
      <c r="O28" s="18" t="n">
        <f aca="false">Letermovir!L38</f>
        <v>7.5816</v>
      </c>
      <c r="P28" s="18" t="n">
        <f aca="false">Letermovir!M38</f>
        <v>5.525</v>
      </c>
      <c r="Q28" s="19" t="n">
        <f aca="false">MAX(G28:P28)</f>
        <v>24.31</v>
      </c>
      <c r="R28" s="18" t="str">
        <f aca="false">Letermovir!B13</f>
        <v>Within range</v>
      </c>
      <c r="S28" s="18" t="n">
        <f aca="false">Letermovir!G41</f>
        <v>4.7775</v>
      </c>
      <c r="T28" s="20" t="n">
        <f aca="false">Letermovir!B9</f>
        <v>1</v>
      </c>
    </row>
    <row r="29" customFormat="false" ht="30" hidden="false" customHeight="true" outlineLevel="0" collapsed="false">
      <c r="A29" s="16" t="s">
        <v>71</v>
      </c>
      <c r="B29" s="16" t="s">
        <v>35</v>
      </c>
      <c r="C29" s="16" t="s">
        <v>51</v>
      </c>
      <c r="D29" s="16" t="s">
        <v>72</v>
      </c>
      <c r="E29" s="17" t="s">
        <v>57</v>
      </c>
      <c r="F29" s="16" t="s">
        <v>73</v>
      </c>
      <c r="G29" s="18" t="n">
        <f aca="false">Rifaximin!D38</f>
        <v>0</v>
      </c>
      <c r="H29" s="18" t="n">
        <f aca="false">Rifaximin!E38</f>
        <v>0</v>
      </c>
      <c r="I29" s="18" t="n">
        <f aca="false">Rifaximin!F38</f>
        <v>0</v>
      </c>
      <c r="J29" s="18" t="n">
        <f aca="false">Rifaximin!G38</f>
        <v>0</v>
      </c>
      <c r="K29" s="18" t="n">
        <f aca="false">Rifaximin!H38</f>
        <v>71.28</v>
      </c>
      <c r="L29" s="18" t="n">
        <f aca="false">Rifaximin!I38</f>
        <v>75.264</v>
      </c>
      <c r="M29" s="18" t="n">
        <f aca="false">Rifaximin!J38</f>
        <v>58.968</v>
      </c>
      <c r="N29" s="18" t="n">
        <f aca="false">Rifaximin!K38</f>
        <v>43.2</v>
      </c>
      <c r="O29" s="18" t="n">
        <f aca="false">Rifaximin!L38</f>
        <v>30.36</v>
      </c>
      <c r="P29" s="18" t="n">
        <f aca="false">Rifaximin!M38</f>
        <v>23.76</v>
      </c>
      <c r="Q29" s="19" t="n">
        <f aca="false">MAX(G29:P29)</f>
        <v>75.264</v>
      </c>
      <c r="R29" s="18" t="str">
        <f aca="false">Rifaximin!B13</f>
        <v>Within range</v>
      </c>
      <c r="S29" s="18" t="n">
        <f aca="false">Rifaximin!G41</f>
        <v>0</v>
      </c>
      <c r="T29" s="20" t="n">
        <f aca="false">Rifaximin!B9</f>
        <v>1</v>
      </c>
    </row>
    <row r="30" customFormat="false" ht="30" hidden="false" customHeight="true" outlineLevel="0" collapsed="false">
      <c r="A30" s="16" t="s">
        <v>74</v>
      </c>
      <c r="B30" s="16" t="s">
        <v>35</v>
      </c>
      <c r="C30" s="16" t="s">
        <v>51</v>
      </c>
      <c r="D30" s="16" t="s">
        <v>75</v>
      </c>
      <c r="E30" s="17" t="s">
        <v>76</v>
      </c>
      <c r="F30" s="16" t="s">
        <v>77</v>
      </c>
      <c r="G30" s="18" t="n">
        <f aca="false">Ibrutinib!D38</f>
        <v>0</v>
      </c>
      <c r="H30" s="18" t="n">
        <f aca="false">Ibrutinib!E38</f>
        <v>0</v>
      </c>
      <c r="I30" s="18" t="n">
        <f aca="false">Ibrutinib!F38</f>
        <v>0</v>
      </c>
      <c r="J30" s="18" t="n">
        <f aca="false">Ibrutinib!G38</f>
        <v>0</v>
      </c>
      <c r="K30" s="18" t="n">
        <f aca="false">Ibrutinib!H38</f>
        <v>0</v>
      </c>
      <c r="L30" s="18" t="n">
        <f aca="false">Ibrutinib!I38</f>
        <v>29.12</v>
      </c>
      <c r="M30" s="18" t="n">
        <f aca="false">Ibrutinib!J38</f>
        <v>32.2</v>
      </c>
      <c r="N30" s="18" t="n">
        <f aca="false">Ibrutinib!K38</f>
        <v>22.8</v>
      </c>
      <c r="O30" s="18" t="n">
        <f aca="false">Ibrutinib!L38</f>
        <v>15.3</v>
      </c>
      <c r="P30" s="18" t="n">
        <f aca="false">Ibrutinib!M38</f>
        <v>11.34</v>
      </c>
      <c r="Q30" s="19" t="n">
        <f aca="false">MAX(G30:P30)</f>
        <v>32.2</v>
      </c>
      <c r="R30" s="18" t="str">
        <f aca="false">Ibrutinib!B13</f>
        <v>Within range</v>
      </c>
      <c r="S30" s="18" t="n">
        <f aca="false">Ibrutinib!G41</f>
        <v>0</v>
      </c>
      <c r="T30" s="20" t="n">
        <f aca="false">Ibrutinib!B9</f>
        <v>1</v>
      </c>
    </row>
    <row r="31" customFormat="false" ht="30" hidden="false" customHeight="true" outlineLevel="0" collapsed="false">
      <c r="A31" s="16" t="s">
        <v>78</v>
      </c>
      <c r="B31" s="16" t="s">
        <v>35</v>
      </c>
      <c r="C31" s="16" t="s">
        <v>51</v>
      </c>
      <c r="D31" s="16" t="s">
        <v>79</v>
      </c>
      <c r="E31" s="17" t="s">
        <v>76</v>
      </c>
      <c r="F31" s="16" t="s">
        <v>77</v>
      </c>
      <c r="G31" s="18" t="n">
        <f aca="false">Cabozantinib!D38</f>
        <v>0</v>
      </c>
      <c r="H31" s="18" t="n">
        <f aca="false">Cabozantinib!E38</f>
        <v>0</v>
      </c>
      <c r="I31" s="18" t="n">
        <f aca="false">Cabozantinib!F38</f>
        <v>0</v>
      </c>
      <c r="J31" s="18" t="n">
        <f aca="false">Cabozantinib!G38</f>
        <v>0</v>
      </c>
      <c r="K31" s="18" t="n">
        <f aca="false">Cabozantinib!H38</f>
        <v>0</v>
      </c>
      <c r="L31" s="18" t="n">
        <f aca="false">Cabozantinib!I38</f>
        <v>0</v>
      </c>
      <c r="M31" s="18" t="n">
        <f aca="false">Cabozantinib!J38</f>
        <v>27.72</v>
      </c>
      <c r="N31" s="18" t="n">
        <f aca="false">Cabozantinib!K38</f>
        <v>31.185</v>
      </c>
      <c r="O31" s="18" t="n">
        <f aca="false">Cabozantinib!L38</f>
        <v>24</v>
      </c>
      <c r="P31" s="18" t="n">
        <f aca="false">Cabozantinib!M38</f>
        <v>17.955</v>
      </c>
      <c r="Q31" s="19" t="n">
        <f aca="false">MAX(G31:P31)</f>
        <v>31.185</v>
      </c>
      <c r="R31" s="18" t="str">
        <f aca="false">Cabozantinib!B13</f>
        <v>Within range</v>
      </c>
      <c r="S31" s="18" t="n">
        <f aca="false">Cabozantinib!G41</f>
        <v>0</v>
      </c>
      <c r="T31" s="20" t="n">
        <f aca="false">Cabozantinib!B9</f>
        <v>1</v>
      </c>
    </row>
    <row r="32" customFormat="false" ht="30" hidden="false" customHeight="true" outlineLevel="0" collapsed="false">
      <c r="A32" s="16" t="s">
        <v>80</v>
      </c>
      <c r="B32" s="16" t="s">
        <v>36</v>
      </c>
      <c r="C32" s="16" t="s">
        <v>51</v>
      </c>
      <c r="D32" s="16" t="s">
        <v>81</v>
      </c>
      <c r="E32" s="17" t="s">
        <v>53</v>
      </c>
      <c r="F32" s="16" t="s">
        <v>82</v>
      </c>
      <c r="G32" s="18" t="n">
        <f aca="false">'ZITUVIO Family'!D38</f>
        <v>27.2</v>
      </c>
      <c r="H32" s="18" t="n">
        <f aca="false">'ZITUVIO Family'!E38</f>
        <v>31.35</v>
      </c>
      <c r="I32" s="18" t="n">
        <f aca="false">'ZITUVIO Family'!F38</f>
        <v>34</v>
      </c>
      <c r="J32" s="18" t="n">
        <f aca="false">'ZITUVIO Family'!G38</f>
        <v>35</v>
      </c>
      <c r="K32" s="18" t="n">
        <f aca="false">'ZITUVIO Family'!H38</f>
        <v>35</v>
      </c>
      <c r="L32" s="18" t="n">
        <f aca="false">'ZITUVIO Family'!I38</f>
        <v>34</v>
      </c>
      <c r="M32" s="18" t="n">
        <f aca="false">'ZITUVIO Family'!J38</f>
        <v>33</v>
      </c>
      <c r="N32" s="18" t="n">
        <f aca="false">'ZITUVIO Family'!K38</f>
        <v>32</v>
      </c>
      <c r="O32" s="18" t="n">
        <f aca="false">'ZITUVIO Family'!L38</f>
        <v>29.45</v>
      </c>
      <c r="P32" s="18" t="n">
        <f aca="false">'ZITUVIO Family'!M38</f>
        <v>27</v>
      </c>
      <c r="Q32" s="19" t="n">
        <f aca="false">MAX(G32:P32)</f>
        <v>35</v>
      </c>
      <c r="R32" s="18" t="str">
        <f aca="false">'ZITUVIO Family'!B13</f>
        <v>Within range</v>
      </c>
      <c r="S32" s="18" t="n">
        <f aca="false">'ZITUVIO Family'!G41</f>
        <v>10.15</v>
      </c>
      <c r="T32" s="20" t="n">
        <f aca="false">'ZITUVIO Family'!B9</f>
        <v>1</v>
      </c>
    </row>
    <row r="33" customFormat="false" ht="30" hidden="false" customHeight="true" outlineLevel="0" collapsed="false">
      <c r="A33" s="16" t="s">
        <v>83</v>
      </c>
      <c r="B33" s="16" t="s">
        <v>36</v>
      </c>
      <c r="C33" s="16" t="s">
        <v>51</v>
      </c>
      <c r="D33" s="16" t="s">
        <v>84</v>
      </c>
      <c r="E33" s="17" t="s">
        <v>53</v>
      </c>
      <c r="F33" s="16" t="s">
        <v>85</v>
      </c>
      <c r="G33" s="18" t="n">
        <f aca="false">BEIZRAY!D38</f>
        <v>3.3</v>
      </c>
      <c r="H33" s="18" t="n">
        <f aca="false">BEIZRAY!E38</f>
        <v>7.48</v>
      </c>
      <c r="I33" s="18" t="n">
        <f aca="false">BEIZRAY!F38</f>
        <v>12.21</v>
      </c>
      <c r="J33" s="18" t="n">
        <f aca="false">BEIZRAY!G38</f>
        <v>19.8</v>
      </c>
      <c r="K33" s="18" t="n">
        <f aca="false">BEIZRAY!H38</f>
        <v>20.295</v>
      </c>
      <c r="L33" s="18" t="n">
        <f aca="false">BEIZRAY!I38</f>
        <v>19.1675</v>
      </c>
      <c r="M33" s="18" t="n">
        <f aca="false">BEIZRAY!J38</f>
        <v>17.6</v>
      </c>
      <c r="N33" s="18" t="n">
        <f aca="false">BEIZRAY!K38</f>
        <v>16.0875</v>
      </c>
      <c r="O33" s="18" t="n">
        <f aca="false">BEIZRAY!L38</f>
        <v>14.63</v>
      </c>
      <c r="P33" s="18" t="n">
        <f aca="false">BEIZRAY!M38</f>
        <v>13.2275</v>
      </c>
      <c r="Q33" s="19" t="n">
        <f aca="false">MAX(G33:P33)</f>
        <v>20.295</v>
      </c>
      <c r="R33" s="18" t="str">
        <f aca="false">BEIZRAY!B13</f>
        <v>Within range</v>
      </c>
      <c r="S33" s="18" t="n">
        <f aca="false">BEIZRAY!G41</f>
        <v>5.94</v>
      </c>
      <c r="T33" s="20" t="n">
        <f aca="false">BEIZRAY!B9</f>
        <v>1</v>
      </c>
    </row>
    <row r="34" customFormat="false" ht="30" hidden="false" customHeight="true" outlineLevel="0" collapsed="false">
      <c r="A34" s="16" t="s">
        <v>86</v>
      </c>
      <c r="B34" s="16" t="s">
        <v>36</v>
      </c>
      <c r="C34" s="16" t="s">
        <v>51</v>
      </c>
      <c r="D34" s="16" t="s">
        <v>87</v>
      </c>
      <c r="E34" s="17" t="s">
        <v>76</v>
      </c>
      <c r="F34" s="16" t="s">
        <v>88</v>
      </c>
      <c r="G34" s="18" t="n">
        <f aca="false">'Synthon 505b2'!D38</f>
        <v>0</v>
      </c>
      <c r="H34" s="18" t="n">
        <f aca="false">'Synthon 505b2'!E38</f>
        <v>0</v>
      </c>
      <c r="I34" s="18" t="n">
        <f aca="false">'Synthon 505b2'!F38</f>
        <v>0</v>
      </c>
      <c r="J34" s="18" t="n">
        <f aca="false">'Synthon 505b2'!G38</f>
        <v>0</v>
      </c>
      <c r="K34" s="18" t="n">
        <f aca="false">'Synthon 505b2'!H38</f>
        <v>15.6672</v>
      </c>
      <c r="L34" s="18" t="n">
        <f aca="false">'Synthon 505b2'!I38</f>
        <v>28.611</v>
      </c>
      <c r="M34" s="18" t="n">
        <f aca="false">'Synthon 505b2'!J38</f>
        <v>27.6573</v>
      </c>
      <c r="N34" s="18" t="n">
        <f aca="false">'Synthon 505b2'!K38</f>
        <v>23.936</v>
      </c>
      <c r="O34" s="18" t="n">
        <f aca="false">'Synthon 505b2'!L38</f>
        <v>20.553</v>
      </c>
      <c r="P34" s="18" t="n">
        <f aca="false">'Synthon 505b2'!M38</f>
        <v>17.85</v>
      </c>
      <c r="Q34" s="19" t="n">
        <f aca="false">MAX(G34:P34)</f>
        <v>28.611</v>
      </c>
      <c r="R34" s="18" t="str">
        <f aca="false">'Synthon 505b2'!B13</f>
        <v>Within range</v>
      </c>
      <c r="S34" s="18" t="n">
        <f aca="false">'Synthon 505b2'!G41</f>
        <v>0</v>
      </c>
      <c r="T34" s="20" t="n">
        <f aca="false">'Synthon 505b2'!B9</f>
        <v>1</v>
      </c>
    </row>
    <row r="35" customFormat="false" ht="30" hidden="false" customHeight="true" outlineLevel="0" collapsed="false">
      <c r="A35" s="16" t="s">
        <v>89</v>
      </c>
      <c r="B35" s="16" t="s">
        <v>90</v>
      </c>
      <c r="C35" s="16" t="s">
        <v>51</v>
      </c>
      <c r="D35" s="16" t="s">
        <v>91</v>
      </c>
      <c r="E35" s="17" t="s">
        <v>53</v>
      </c>
      <c r="F35" s="16" t="s">
        <v>92</v>
      </c>
      <c r="G35" s="18" t="n">
        <f aca="false">NUFYMCO!D38</f>
        <v>0</v>
      </c>
      <c r="H35" s="18" t="n">
        <f aca="false">NUFYMCO!E38</f>
        <v>0</v>
      </c>
      <c r="I35" s="18" t="n">
        <f aca="false">NUFYMCO!F38</f>
        <v>20.25</v>
      </c>
      <c r="J35" s="18" t="n">
        <f aca="false">NUFYMCO!G38</f>
        <v>48.72</v>
      </c>
      <c r="K35" s="18" t="n">
        <f aca="false">NUFYMCO!H38</f>
        <v>64.4</v>
      </c>
      <c r="L35" s="18" t="n">
        <f aca="false">NUFYMCO!I38</f>
        <v>65.34</v>
      </c>
      <c r="M35" s="18" t="n">
        <f aca="false">NUFYMCO!J38</f>
        <v>58.905</v>
      </c>
      <c r="N35" s="18" t="n">
        <f aca="false">NUFYMCO!K38</f>
        <v>48</v>
      </c>
      <c r="O35" s="18" t="n">
        <f aca="false">NUFYMCO!L38</f>
        <v>38.475</v>
      </c>
      <c r="P35" s="18" t="n">
        <f aca="false">NUFYMCO!M38</f>
        <v>30.24</v>
      </c>
      <c r="Q35" s="19" t="n">
        <f aca="false">MAX(G35:P35)</f>
        <v>65.34</v>
      </c>
      <c r="R35" s="18" t="str">
        <f aca="false">NUFYMCO!B13</f>
        <v>Within range</v>
      </c>
      <c r="S35" s="18" t="n">
        <f aca="false">NUFYMCO!G41</f>
        <v>11.6928</v>
      </c>
      <c r="T35" s="20" t="n">
        <f aca="false">NUFYMCO!B9</f>
        <v>1</v>
      </c>
    </row>
    <row r="36" customFormat="false" ht="30" hidden="false" customHeight="true" outlineLevel="0" collapsed="false">
      <c r="A36" s="16" t="s">
        <v>93</v>
      </c>
      <c r="B36" s="16" t="s">
        <v>90</v>
      </c>
      <c r="C36" s="16" t="s">
        <v>51</v>
      </c>
      <c r="D36" s="16" t="s">
        <v>94</v>
      </c>
      <c r="E36" s="17" t="s">
        <v>57</v>
      </c>
      <c r="F36" s="16" t="s">
        <v>95</v>
      </c>
      <c r="G36" s="18" t="n">
        <f aca="false">'FYB206 Pembro'!D38</f>
        <v>0</v>
      </c>
      <c r="H36" s="18" t="n">
        <f aca="false">'FYB206 Pembro'!E38</f>
        <v>0</v>
      </c>
      <c r="I36" s="18" t="n">
        <f aca="false">'FYB206 Pembro'!F38</f>
        <v>0</v>
      </c>
      <c r="J36" s="18" t="n">
        <f aca="false">'FYB206 Pembro'!G38</f>
        <v>0</v>
      </c>
      <c r="K36" s="18" t="n">
        <f aca="false">'FYB206 Pembro'!H38</f>
        <v>0</v>
      </c>
      <c r="L36" s="18" t="n">
        <f aca="false">'FYB206 Pembro'!I38</f>
        <v>75.6</v>
      </c>
      <c r="M36" s="18" t="n">
        <f aca="false">'FYB206 Pembro'!J38</f>
        <v>162</v>
      </c>
      <c r="N36" s="18" t="n">
        <f aca="false">'FYB206 Pembro'!K38</f>
        <v>216</v>
      </c>
      <c r="O36" s="18" t="n">
        <f aca="false">'FYB206 Pembro'!L38</f>
        <v>216</v>
      </c>
      <c r="P36" s="18" t="n">
        <f aca="false">'FYB206 Pembro'!M38</f>
        <v>198</v>
      </c>
      <c r="Q36" s="19" t="n">
        <f aca="false">MAX(G36:P36)</f>
        <v>216</v>
      </c>
      <c r="R36" s="18" t="str">
        <f aca="false">'FYB206 Pembro'!B13</f>
        <v>Within range</v>
      </c>
      <c r="S36" s="18" t="n">
        <f aca="false">'FYB206 Pembro'!G41</f>
        <v>0</v>
      </c>
      <c r="T36" s="20" t="n">
        <f aca="false">'FYB206 Pembro'!B9</f>
        <v>1</v>
      </c>
    </row>
    <row r="37" customFormat="false" ht="30" hidden="false" customHeight="true" outlineLevel="0" collapsed="false">
      <c r="A37" s="16" t="s">
        <v>96</v>
      </c>
      <c r="B37" s="16" t="s">
        <v>36</v>
      </c>
      <c r="C37" s="16" t="s">
        <v>51</v>
      </c>
      <c r="D37" s="16" t="s">
        <v>97</v>
      </c>
      <c r="E37" s="17" t="s">
        <v>76</v>
      </c>
      <c r="F37" s="16" t="s">
        <v>88</v>
      </c>
      <c r="G37" s="18" t="n">
        <f aca="false">'RK Pharma Asset'!D38</f>
        <v>0</v>
      </c>
      <c r="H37" s="18" t="n">
        <f aca="false">'RK Pharma Asset'!E38</f>
        <v>0</v>
      </c>
      <c r="I37" s="18" t="n">
        <f aca="false">'RK Pharma Asset'!F38</f>
        <v>0</v>
      </c>
      <c r="J37" s="18" t="n">
        <f aca="false">'RK Pharma Asset'!G38</f>
        <v>6.82</v>
      </c>
      <c r="K37" s="18" t="n">
        <f aca="false">'RK Pharma Asset'!H38</f>
        <v>21.824</v>
      </c>
      <c r="L37" s="18" t="n">
        <f aca="false">'RK Pharma Asset'!I38</f>
        <v>27.28</v>
      </c>
      <c r="M37" s="18" t="n">
        <f aca="false">'RK Pharma Asset'!J38</f>
        <v>27.28</v>
      </c>
      <c r="N37" s="18" t="n">
        <f aca="false">'RK Pharma Asset'!K38</f>
        <v>27.28</v>
      </c>
      <c r="O37" s="18" t="n">
        <f aca="false">'RK Pharma Asset'!L38</f>
        <v>24.552</v>
      </c>
      <c r="P37" s="18" t="n">
        <f aca="false">'RK Pharma Asset'!M38</f>
        <v>21.824</v>
      </c>
      <c r="Q37" s="19" t="n">
        <f aca="false">MAX(G37:P37)</f>
        <v>27.28</v>
      </c>
      <c r="R37" s="18" t="str">
        <f aca="false">'RK Pharma Asset'!B13</f>
        <v>Within range</v>
      </c>
      <c r="S37" s="18" t="n">
        <f aca="false">'RK Pharma Asset'!G41</f>
        <v>1.364</v>
      </c>
      <c r="T37" s="20" t="n">
        <f aca="false">'RK Pharma Asset'!B9</f>
        <v>1</v>
      </c>
    </row>
    <row r="38" customFormat="false" ht="30" hidden="false" customHeight="true" outlineLevel="0" collapsed="false">
      <c r="A38" s="16" t="s">
        <v>98</v>
      </c>
      <c r="B38" s="16" t="s">
        <v>36</v>
      </c>
      <c r="C38" s="16" t="s">
        <v>51</v>
      </c>
      <c r="D38" s="16" t="s">
        <v>99</v>
      </c>
      <c r="E38" s="17" t="s">
        <v>53</v>
      </c>
      <c r="F38" s="16" t="s">
        <v>100</v>
      </c>
      <c r="G38" s="18" t="n">
        <f aca="false">LiqMeds!D38</f>
        <v>17.325</v>
      </c>
      <c r="H38" s="18" t="n">
        <f aca="false">LiqMeds!E38</f>
        <v>23.4</v>
      </c>
      <c r="I38" s="18" t="n">
        <f aca="false">LiqMeds!F38</f>
        <v>36</v>
      </c>
      <c r="J38" s="18" t="n">
        <f aca="false">LiqMeds!G38</f>
        <v>51.3</v>
      </c>
      <c r="K38" s="18" t="n">
        <f aca="false">LiqMeds!H38</f>
        <v>58.5</v>
      </c>
      <c r="L38" s="18" t="n">
        <f aca="false">LiqMeds!I38</f>
        <v>63</v>
      </c>
      <c r="M38" s="18" t="n">
        <f aca="false">LiqMeds!J38</f>
        <v>63</v>
      </c>
      <c r="N38" s="18" t="n">
        <f aca="false">LiqMeds!K38</f>
        <v>63</v>
      </c>
      <c r="O38" s="18" t="n">
        <f aca="false">LiqMeds!L38</f>
        <v>63</v>
      </c>
      <c r="P38" s="18" t="n">
        <f aca="false">LiqMeds!M38</f>
        <v>63</v>
      </c>
      <c r="Q38" s="19" t="n">
        <f aca="false">MAX(G38:P38)</f>
        <v>63</v>
      </c>
      <c r="R38" s="18" t="str">
        <f aca="false">LiqMeds!B13</f>
        <v>Within range</v>
      </c>
      <c r="S38" s="18" t="n">
        <f aca="false">LiqMeds!G41</f>
        <v>13.338</v>
      </c>
      <c r="T38" s="20" t="n">
        <f aca="false">LiqMeds!B9</f>
        <v>1</v>
      </c>
    </row>
    <row r="39" customFormat="false" ht="30" hidden="false" customHeight="true" outlineLevel="0" collapsed="false">
      <c r="A39" s="16" t="s">
        <v>101</v>
      </c>
      <c r="B39" s="16" t="s">
        <v>37</v>
      </c>
      <c r="C39" s="16" t="s">
        <v>102</v>
      </c>
      <c r="D39" s="16" t="s">
        <v>103</v>
      </c>
      <c r="E39" s="17" t="s">
        <v>53</v>
      </c>
      <c r="F39" s="16" t="s">
        <v>104</v>
      </c>
      <c r="G39" s="18" t="n">
        <f aca="false">'Sentynl Orphans'!D38</f>
        <v>59.99</v>
      </c>
      <c r="H39" s="18" t="n">
        <f aca="false">'Sentynl Orphans'!E38</f>
        <v>66.21</v>
      </c>
      <c r="I39" s="18" t="n">
        <f aca="false">'Sentynl Orphans'!F38</f>
        <v>74.22</v>
      </c>
      <c r="J39" s="18" t="n">
        <f aca="false">'Sentynl Orphans'!G38</f>
        <v>85.34</v>
      </c>
      <c r="K39" s="18" t="n">
        <f aca="false">'Sentynl Orphans'!H38</f>
        <v>94.91</v>
      </c>
      <c r="L39" s="18" t="n">
        <f aca="false">'Sentynl Orphans'!I38</f>
        <v>103.96</v>
      </c>
      <c r="M39" s="18" t="n">
        <f aca="false">'Sentynl Orphans'!J38</f>
        <v>112.26</v>
      </c>
      <c r="N39" s="18" t="n">
        <f aca="false">'Sentynl Orphans'!K38</f>
        <v>120.56</v>
      </c>
      <c r="O39" s="18" t="n">
        <f aca="false">'Sentynl Orphans'!L38</f>
        <v>128.86</v>
      </c>
      <c r="P39" s="18" t="n">
        <f aca="false">'Sentynl Orphans'!M38</f>
        <v>137.16</v>
      </c>
      <c r="Q39" s="19" t="n">
        <f aca="false">MAX(G39:P39)</f>
        <v>137.16</v>
      </c>
      <c r="R39" s="18" t="str">
        <f aca="false">'Sentynl Orphans'!B13</f>
        <v>Within range</v>
      </c>
      <c r="S39" s="18" t="n">
        <f aca="false">'Sentynl Orphans'!G41</f>
        <v>31.5758</v>
      </c>
      <c r="T39" s="20" t="n">
        <f aca="false">'Sentynl Orphans'!B9</f>
        <v>1</v>
      </c>
    </row>
    <row r="40" customFormat="false" ht="30" hidden="false" customHeight="true" outlineLevel="0" collapsed="false">
      <c r="A40" s="16" t="s">
        <v>105</v>
      </c>
      <c r="B40" s="16" t="s">
        <v>38</v>
      </c>
      <c r="C40" s="16" t="s">
        <v>51</v>
      </c>
      <c r="D40" s="16" t="s">
        <v>106</v>
      </c>
      <c r="E40" s="17" t="s">
        <v>53</v>
      </c>
      <c r="F40" s="16" t="s">
        <v>107</v>
      </c>
      <c r="G40" s="18" t="n">
        <f aca="false">ROLVEDON!D38</f>
        <v>0</v>
      </c>
      <c r="H40" s="18" t="n">
        <f aca="false">ROLVEDON!E38</f>
        <v>66.12</v>
      </c>
      <c r="I40" s="18" t="n">
        <f aca="false">ROLVEDON!F38</f>
        <v>78.1</v>
      </c>
      <c r="J40" s="18" t="n">
        <f aca="false">ROLVEDON!G38</f>
        <v>79.508</v>
      </c>
      <c r="K40" s="18" t="n">
        <f aca="false">ROLVEDON!H38</f>
        <v>77.112</v>
      </c>
      <c r="L40" s="18" t="n">
        <f aca="false">ROLVEDON!I38</f>
        <v>74.48</v>
      </c>
      <c r="M40" s="18" t="n">
        <f aca="false">ROLVEDON!J38</f>
        <v>71.63</v>
      </c>
      <c r="N40" s="18" t="n">
        <f aca="false">ROLVEDON!K38</f>
        <v>68.58</v>
      </c>
      <c r="O40" s="18" t="n">
        <f aca="false">ROLVEDON!L38</f>
        <v>65.348</v>
      </c>
      <c r="P40" s="18" t="n">
        <f aca="false">ROLVEDON!M38</f>
        <v>61.952</v>
      </c>
      <c r="Q40" s="19" t="n">
        <f aca="false">MAX(G40:P40)</f>
        <v>79.508</v>
      </c>
      <c r="R40" s="18" t="str">
        <f aca="false">ROLVEDON!B13</f>
        <v>Within range</v>
      </c>
      <c r="S40" s="18" t="n">
        <f aca="false">ROLVEDON!G41</f>
        <v>23.8524</v>
      </c>
      <c r="T40" s="20" t="n">
        <f aca="false">ROLVEDON!B9</f>
        <v>1</v>
      </c>
    </row>
    <row r="41" customFormat="false" ht="30" hidden="false" customHeight="true" outlineLevel="0" collapsed="false">
      <c r="A41" s="16" t="s">
        <v>108</v>
      </c>
      <c r="B41" s="16" t="s">
        <v>39</v>
      </c>
      <c r="C41" s="16" t="s">
        <v>109</v>
      </c>
      <c r="D41" s="16" t="s">
        <v>110</v>
      </c>
      <c r="E41" s="17" t="s">
        <v>57</v>
      </c>
      <c r="F41" s="16" t="s">
        <v>111</v>
      </c>
      <c r="G41" s="18" t="n">
        <f aca="false">'Zylidac BOT-BAL'!D38</f>
        <v>0</v>
      </c>
      <c r="H41" s="18" t="n">
        <f aca="false">'Zylidac BOT-BAL'!E38</f>
        <v>12</v>
      </c>
      <c r="I41" s="18" t="n">
        <f aca="false">'Zylidac BOT-BAL'!F38</f>
        <v>24</v>
      </c>
      <c r="J41" s="18" t="n">
        <f aca="false">'Zylidac BOT-BAL'!G38</f>
        <v>40</v>
      </c>
      <c r="K41" s="18" t="n">
        <f aca="false">'Zylidac BOT-BAL'!H38</f>
        <v>44</v>
      </c>
      <c r="L41" s="18" t="n">
        <f aca="false">'Zylidac BOT-BAL'!I38</f>
        <v>48</v>
      </c>
      <c r="M41" s="18" t="n">
        <f aca="false">'Zylidac BOT-BAL'!J38</f>
        <v>57</v>
      </c>
      <c r="N41" s="18" t="n">
        <f aca="false">'Zylidac BOT-BAL'!K38</f>
        <v>72.6</v>
      </c>
      <c r="O41" s="18" t="n">
        <f aca="false">'Zylidac BOT-BAL'!L38</f>
        <v>87.4</v>
      </c>
      <c r="P41" s="18" t="n">
        <f aca="false">'Zylidac BOT-BAL'!M38</f>
        <v>103</v>
      </c>
      <c r="Q41" s="19" t="n">
        <f aca="false">MAX(G41:P41)</f>
        <v>103</v>
      </c>
      <c r="R41" s="18" t="str">
        <f aca="false">'Zylidac BOT-BAL'!B13</f>
        <v>Within range</v>
      </c>
      <c r="S41" s="18" t="n">
        <f aca="false">'Zylidac BOT-BAL'!G41</f>
        <v>8.8</v>
      </c>
      <c r="T41" s="20" t="n">
        <f aca="false">'Zylidac BOT-BAL'!B9</f>
        <v>1</v>
      </c>
    </row>
    <row r="42" customFormat="false" ht="30" hidden="false" customHeight="true" outlineLevel="0" collapsed="false">
      <c r="A42" s="16" t="s">
        <v>112</v>
      </c>
      <c r="B42" s="16" t="s">
        <v>90</v>
      </c>
      <c r="C42" s="16" t="s">
        <v>113</v>
      </c>
      <c r="D42" s="16" t="s">
        <v>114</v>
      </c>
      <c r="E42" s="17" t="s">
        <v>53</v>
      </c>
      <c r="F42" s="16" t="s">
        <v>115</v>
      </c>
      <c r="G42" s="18" t="n">
        <f aca="false">Tishtha!D38</f>
        <v>5.58139534883721</v>
      </c>
      <c r="H42" s="18" t="n">
        <f aca="false">Tishtha!E38</f>
        <v>9.97159090909091</v>
      </c>
      <c r="I42" s="18" t="n">
        <f aca="false">Tishtha!F38</f>
        <v>17.48</v>
      </c>
      <c r="J42" s="18" t="n">
        <f aca="false">Tishtha!G38</f>
        <v>25.3369565217391</v>
      </c>
      <c r="K42" s="18" t="n">
        <f aca="false">Tishtha!H38</f>
        <v>29.4127659574468</v>
      </c>
      <c r="L42" s="18" t="n">
        <f aca="false">Tishtha!I38</f>
        <v>29.53125</v>
      </c>
      <c r="M42" s="18" t="n">
        <f aca="false">Tishtha!J38</f>
        <v>29.1428571428571</v>
      </c>
      <c r="N42" s="18" t="n">
        <f aca="false">Tishtha!K38</f>
        <v>28.314</v>
      </c>
      <c r="O42" s="18" t="n">
        <f aca="false">Tishtha!L38</f>
        <v>27.1058823529412</v>
      </c>
      <c r="P42" s="18" t="n">
        <f aca="false">Tishtha!M38</f>
        <v>25.575</v>
      </c>
      <c r="Q42" s="19" t="n">
        <f aca="false">MAX(G42:P42)</f>
        <v>29.53125</v>
      </c>
      <c r="R42" s="18" t="str">
        <f aca="false">Tishtha!B13</f>
        <v>Within range</v>
      </c>
      <c r="S42" s="18" t="n">
        <f aca="false">Tishtha!G41</f>
        <v>8.86793478260869</v>
      </c>
      <c r="T42" s="20" t="n">
        <f aca="false">Tishtha!B9</f>
        <v>1</v>
      </c>
    </row>
    <row r="43" customFormat="false" ht="30" hidden="false" customHeight="true" outlineLevel="0" collapsed="false">
      <c r="A43" s="16" t="s">
        <v>116</v>
      </c>
      <c r="B43" s="16" t="s">
        <v>117</v>
      </c>
      <c r="C43" s="16" t="s">
        <v>113</v>
      </c>
      <c r="D43" s="16" t="s">
        <v>118</v>
      </c>
      <c r="E43" s="17" t="s">
        <v>53</v>
      </c>
      <c r="F43" s="16" t="s">
        <v>119</v>
      </c>
      <c r="G43" s="18" t="n">
        <f aca="false">'Semaglutide India'!D38</f>
        <v>0</v>
      </c>
      <c r="H43" s="18" t="n">
        <f aca="false">'Semaglutide India'!E38</f>
        <v>10.2181818181818</v>
      </c>
      <c r="I43" s="18" t="n">
        <f aca="false">'Semaglutide India'!F38</f>
        <v>19.5</v>
      </c>
      <c r="J43" s="18" t="n">
        <f aca="false">'Semaglutide India'!G38</f>
        <v>24.945652173913</v>
      </c>
      <c r="K43" s="18" t="n">
        <f aca="false">'Semaglutide India'!H38</f>
        <v>28.7234042553192</v>
      </c>
      <c r="L43" s="18" t="n">
        <f aca="false">'Semaglutide India'!I38</f>
        <v>31.1458333333333</v>
      </c>
      <c r="M43" s="18" t="n">
        <f aca="false">'Semaglutide India'!J38</f>
        <v>33.1632653061225</v>
      </c>
      <c r="N43" s="18" t="n">
        <f aca="false">'Semaglutide India'!K38</f>
        <v>34.8</v>
      </c>
      <c r="O43" s="18" t="n">
        <f aca="false">'Semaglutide India'!L38</f>
        <v>36.078431372549</v>
      </c>
      <c r="P43" s="18" t="n">
        <f aca="false">'Semaglutide India'!M38</f>
        <v>37.0192307692308</v>
      </c>
      <c r="Q43" s="19" t="n">
        <f aca="false">MAX(G43:P43)</f>
        <v>37.0192307692308</v>
      </c>
      <c r="R43" s="18" t="str">
        <f aca="false">'Semaglutide India'!B13</f>
        <v>Within range</v>
      </c>
      <c r="S43" s="18" t="n">
        <f aca="false">'Semaglutide India'!G41</f>
        <v>8.01254347826087</v>
      </c>
      <c r="T43" s="20" t="n">
        <f aca="false">'Semaglutide India'!B9</f>
        <v>1</v>
      </c>
    </row>
    <row r="47" customFormat="false" ht="18" hidden="false" customHeight="true" outlineLevel="0" collapsed="false">
      <c r="A47" s="8" t="s">
        <v>120</v>
      </c>
      <c r="B47" s="8"/>
      <c r="C47" s="8"/>
      <c r="D47" s="8"/>
      <c r="E47" s="8"/>
      <c r="F47" s="8"/>
      <c r="G47" s="8"/>
      <c r="H47" s="8"/>
      <c r="I47" s="8"/>
      <c r="J47" s="8"/>
      <c r="K47" s="8"/>
      <c r="L47" s="8"/>
      <c r="M47" s="8"/>
    </row>
    <row r="48" customFormat="false" ht="15" hidden="false" customHeight="false" outlineLevel="0" collapsed="false">
      <c r="A48" s="14" t="s">
        <v>121</v>
      </c>
      <c r="B48" s="14" t="s">
        <v>45</v>
      </c>
      <c r="C48" s="14" t="s">
        <v>122</v>
      </c>
      <c r="D48" s="14" t="s">
        <v>123</v>
      </c>
      <c r="E48" s="14" t="s">
        <v>124</v>
      </c>
    </row>
    <row r="49" customFormat="false" ht="15" hidden="false" customHeight="false" outlineLevel="0" collapsed="false">
      <c r="A49" s="21" t="s">
        <v>125</v>
      </c>
      <c r="B49" s="21" t="s">
        <v>126</v>
      </c>
      <c r="C49" s="22" t="n">
        <f aca="false">Saroglitazar!F38</f>
        <v>21.3960507264</v>
      </c>
      <c r="D49" s="23" t="str">
        <f aca="false">IF(AND(C49&gt;=18,C49&lt;=24),"Within range","Review")</f>
        <v>Within range</v>
      </c>
      <c r="E49" s="21" t="s">
        <v>127</v>
      </c>
    </row>
    <row r="50" customFormat="false" ht="15" hidden="false" customHeight="false" outlineLevel="0" collapsed="false">
      <c r="A50" s="21" t="s">
        <v>128</v>
      </c>
      <c r="B50" s="21" t="s">
        <v>129</v>
      </c>
      <c r="C50" s="22" t="n">
        <f aca="false">Saroglitazar!G38</f>
        <v>73.4740381944576</v>
      </c>
      <c r="D50" s="23" t="str">
        <f aca="false">IF(AND(C50&gt;=63,C50&lt;=77),"Within range","Review")</f>
        <v>Within range</v>
      </c>
      <c r="E50" s="21" t="s">
        <v>130</v>
      </c>
    </row>
    <row r="51" customFormat="false" ht="15" hidden="false" customHeight="false" outlineLevel="0" collapsed="false">
      <c r="A51" s="21" t="s">
        <v>131</v>
      </c>
      <c r="B51" s="21" t="s">
        <v>126</v>
      </c>
      <c r="C51" s="22" t="n">
        <f aca="false">NUFYMCO!F38</f>
        <v>20.25</v>
      </c>
      <c r="D51" s="23" t="str">
        <f aca="false">IF(AND(C51&gt;=17,C51&lt;=23),"Within range","Review")</f>
        <v>Within range</v>
      </c>
      <c r="E51" s="21" t="s">
        <v>132</v>
      </c>
    </row>
    <row r="52" customFormat="false" ht="15" hidden="false" customHeight="false" outlineLevel="0" collapsed="false">
      <c r="A52" s="21" t="s">
        <v>133</v>
      </c>
      <c r="B52" s="21" t="s">
        <v>134</v>
      </c>
      <c r="C52" s="22" t="n">
        <f aca="false">'Sentynl Orphans'!G38</f>
        <v>85.34</v>
      </c>
      <c r="D52" s="23" t="str">
        <f aca="false">IF(AND(C52&gt;=75,C52&lt;=90),"Within range","Review")</f>
        <v>Within range</v>
      </c>
      <c r="E52" s="21" t="s">
        <v>135</v>
      </c>
    </row>
    <row r="53" customFormat="false" ht="15" hidden="false" customHeight="false" outlineLevel="0" collapsed="false">
      <c r="A53" s="21" t="s">
        <v>136</v>
      </c>
      <c r="B53" s="21" t="s">
        <v>137</v>
      </c>
      <c r="C53" s="22" t="n">
        <f aca="false">ROLVEDON!G38</f>
        <v>79.508</v>
      </c>
      <c r="D53" s="23" t="str">
        <f aca="false">IF(AND(C53&gt;=75,C53&lt;=85),"Within range","Review")</f>
        <v>Within range</v>
      </c>
      <c r="E53" s="21" t="s">
        <v>138</v>
      </c>
    </row>
    <row r="54" customFormat="false" ht="15" hidden="false" customHeight="false" outlineLevel="0" collapsed="false">
      <c r="A54" s="21" t="s">
        <v>139</v>
      </c>
      <c r="B54" s="21" t="s">
        <v>140</v>
      </c>
      <c r="C54" s="22" t="n">
        <f aca="false">'Zylidac BOT-BAL'!G38</f>
        <v>40</v>
      </c>
      <c r="D54" s="23" t="str">
        <f aca="false">IF(AND(C54&gt;=35,C54&lt;=45),"Within range","Review")</f>
        <v>Within range</v>
      </c>
      <c r="E54" s="21" t="s">
        <v>141</v>
      </c>
    </row>
    <row r="55" customFormat="false" ht="15" hidden="false" customHeight="false" outlineLevel="0" collapsed="false">
      <c r="A55" s="21" t="s">
        <v>142</v>
      </c>
      <c r="B55" s="21" t="s">
        <v>143</v>
      </c>
      <c r="C55" s="22" t="n">
        <f aca="false">SUM('ZITUVIO Family'!H38,BEIZRAY!H38,'RK Pharma Asset'!H38,'Synthon 505b2'!H38,LiqMeds!H38)</f>
        <v>151.2862</v>
      </c>
      <c r="D55" s="23" t="str">
        <f aca="false">IF(AND(C55&gt;=130,C55&lt;=180),"Within range","Review")</f>
        <v>Within range</v>
      </c>
      <c r="E55" s="21" t="s">
        <v>144</v>
      </c>
    </row>
    <row r="56" customFormat="false" ht="15" hidden="false" customHeight="false" outlineLevel="0" collapsed="false">
      <c r="A56" s="21" t="s">
        <v>145</v>
      </c>
      <c r="B56" s="21" t="s">
        <v>146</v>
      </c>
      <c r="C56" s="22" t="n">
        <f aca="false">'Semaglutide India'!F43</f>
        <v>1755</v>
      </c>
      <c r="D56" s="23" t="str">
        <f aca="false">IF(AND(C56&gt;=1500,C56&lt;=2000),"Within range","Review")</f>
        <v>Within range</v>
      </c>
      <c r="E56" s="21" t="s">
        <v>147</v>
      </c>
    </row>
    <row r="57" customFormat="false" ht="15" hidden="false" customHeight="false" outlineLevel="0" collapsed="false">
      <c r="A57" s="21" t="s">
        <v>148</v>
      </c>
      <c r="B57" s="21" t="s">
        <v>149</v>
      </c>
      <c r="C57" s="22" t="n">
        <f aca="false">MAX('FYB206 Pembro'!D38:M38)</f>
        <v>216</v>
      </c>
      <c r="D57" s="23" t="str">
        <f aca="false">IF(AND(C57&gt;=150,C57&lt;=250),"Within range","Review")</f>
        <v>Within range</v>
      </c>
      <c r="E57" s="21" t="s">
        <v>150</v>
      </c>
    </row>
  </sheetData>
  <autoFilter ref="A22:T43"/>
  <mergeCells count="6">
    <mergeCell ref="A1:T1"/>
    <mergeCell ref="A2:T2"/>
    <mergeCell ref="A4:M4"/>
    <mergeCell ref="A13:M13"/>
    <mergeCell ref="A21:M21"/>
    <mergeCell ref="A47:M47"/>
  </mergeCells>
  <conditionalFormatting sqref="R23:R43">
    <cfRule type="expression" priority="2" aboveAverage="0" equalAverage="0" bottom="0" percent="0" rank="0" text="" dxfId="6">
      <formula>R23="Within range"</formula>
    </cfRule>
  </conditionalFormatting>
  <conditionalFormatting sqref="D49">
    <cfRule type="expression" priority="3" aboveAverage="0" equalAverage="0" bottom="0" percent="0" rank="0" text="" dxfId="6">
      <formula>D49="Within range"</formula>
    </cfRule>
    <cfRule type="expression" priority="4" aboveAverage="0" equalAverage="0" bottom="0" percent="0" rank="0" text="" dxfId="7">
      <formula>D49="Review"</formula>
    </cfRule>
  </conditionalFormatting>
  <conditionalFormatting sqref="D50">
    <cfRule type="expression" priority="5" aboveAverage="0" equalAverage="0" bottom="0" percent="0" rank="0" text="" dxfId="6">
      <formula>D50="Within range"</formula>
    </cfRule>
    <cfRule type="expression" priority="6" aboveAverage="0" equalAverage="0" bottom="0" percent="0" rank="0" text="" dxfId="7">
      <formula>D50="Review"</formula>
    </cfRule>
  </conditionalFormatting>
  <conditionalFormatting sqref="D51">
    <cfRule type="expression" priority="7" aboveAverage="0" equalAverage="0" bottom="0" percent="0" rank="0" text="" dxfId="6">
      <formula>D51="Within range"</formula>
    </cfRule>
    <cfRule type="expression" priority="8" aboveAverage="0" equalAverage="0" bottom="0" percent="0" rank="0" text="" dxfId="7">
      <formula>D51="Review"</formula>
    </cfRule>
  </conditionalFormatting>
  <conditionalFormatting sqref="D52">
    <cfRule type="expression" priority="9" aboveAverage="0" equalAverage="0" bottom="0" percent="0" rank="0" text="" dxfId="6">
      <formula>D52="Within range"</formula>
    </cfRule>
    <cfRule type="expression" priority="10" aboveAverage="0" equalAverage="0" bottom="0" percent="0" rank="0" text="" dxfId="7">
      <formula>D52="Review"</formula>
    </cfRule>
  </conditionalFormatting>
  <conditionalFormatting sqref="D53">
    <cfRule type="expression" priority="11" aboveAverage="0" equalAverage="0" bottom="0" percent="0" rank="0" text="" dxfId="6">
      <formula>D53="Within range"</formula>
    </cfRule>
    <cfRule type="expression" priority="12" aboveAverage="0" equalAverage="0" bottom="0" percent="0" rank="0" text="" dxfId="7">
      <formula>D53="Review"</formula>
    </cfRule>
  </conditionalFormatting>
  <conditionalFormatting sqref="D54">
    <cfRule type="expression" priority="13" aboveAverage="0" equalAverage="0" bottom="0" percent="0" rank="0" text="" dxfId="6">
      <formula>D54="Within range"</formula>
    </cfRule>
    <cfRule type="expression" priority="14" aboveAverage="0" equalAverage="0" bottom="0" percent="0" rank="0" text="" dxfId="7">
      <formula>D54="Review"</formula>
    </cfRule>
  </conditionalFormatting>
  <conditionalFormatting sqref="D55">
    <cfRule type="expression" priority="15" aboveAverage="0" equalAverage="0" bottom="0" percent="0" rank="0" text="" dxfId="6">
      <formula>D55="Within range"</formula>
    </cfRule>
    <cfRule type="expression" priority="16" aboveAverage="0" equalAverage="0" bottom="0" percent="0" rank="0" text="" dxfId="7">
      <formula>D55="Review"</formula>
    </cfRule>
  </conditionalFormatting>
  <conditionalFormatting sqref="D56">
    <cfRule type="expression" priority="17" aboveAverage="0" equalAverage="0" bottom="0" percent="0" rank="0" text="" dxfId="6">
      <formula>D56="Within range"</formula>
    </cfRule>
    <cfRule type="expression" priority="18" aboveAverage="0" equalAverage="0" bottom="0" percent="0" rank="0" text="" dxfId="7">
      <formula>D56="Review"</formula>
    </cfRule>
  </conditionalFormatting>
  <conditionalFormatting sqref="D57">
    <cfRule type="expression" priority="19" aboveAverage="0" equalAverage="0" bottom="0" percent="0" rank="0" text="" dxfId="6">
      <formula>D57="Within range"</formula>
    </cfRule>
    <cfRule type="expression" priority="20" aboveAverage="0" equalAverage="0" bottom="0" percent="0" rank="0" text="" dxfId="7">
      <formula>D57="Review"</formula>
    </cfRule>
  </conditionalFormatting>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M21"/>
  <sheetViews>
    <sheetView showFormulas="false" showGridLines="false" showRowColHeaders="true" showZeros="true" rightToLeft="false" tabSelected="false" showOutlineSymbols="true" defaultGridColor="true" view="normal" topLeftCell="A1" colorId="64" zoomScale="85" zoomScaleNormal="85" zoomScalePageLayoutView="100" workbookViewId="0">
      <pane xSplit="3" ySplit="3" topLeftCell="D4" activePane="bottomRight" state="frozen"/>
      <selection pane="topLeft" activeCell="A1" activeCellId="0" sqref="A1"/>
      <selection pane="topRight" activeCell="D1" activeCellId="0" sqref="D1"/>
      <selection pane="bottomLeft" activeCell="A4" activeCellId="0" sqref="A4"/>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0" width="32"/>
    <col collapsed="false" customWidth="true" hidden="false" outlineLevel="0" max="2" min="2" style="0" width="15"/>
    <col collapsed="false" customWidth="true" hidden="false" outlineLevel="0" max="3" min="3" style="0" width="30"/>
    <col collapsed="false" customWidth="true" hidden="false" outlineLevel="0" max="13" min="4" style="0" width="12"/>
  </cols>
  <sheetData>
    <row r="1" customFormat="false" ht="24" hidden="false" customHeight="true" outlineLevel="0" collapsed="false">
      <c r="A1" s="24" t="s">
        <v>151</v>
      </c>
      <c r="B1" s="24"/>
      <c r="C1" s="24"/>
      <c r="D1" s="24"/>
      <c r="E1" s="24"/>
      <c r="F1" s="24"/>
      <c r="G1" s="24"/>
      <c r="H1" s="24"/>
      <c r="I1" s="24"/>
      <c r="J1" s="24"/>
      <c r="K1" s="24"/>
      <c r="L1" s="24"/>
      <c r="M1" s="24"/>
    </row>
    <row r="2" customFormat="false" ht="27.75" hidden="false" customHeight="true" outlineLevel="0" collapsed="false">
      <c r="A2" s="25" t="s">
        <v>152</v>
      </c>
      <c r="B2" s="25"/>
      <c r="C2" s="25"/>
      <c r="D2" s="25"/>
      <c r="E2" s="25"/>
      <c r="F2" s="25"/>
      <c r="G2" s="25"/>
      <c r="H2" s="25"/>
      <c r="I2" s="25"/>
      <c r="J2" s="25"/>
      <c r="K2" s="25"/>
      <c r="L2" s="25"/>
      <c r="M2" s="25"/>
    </row>
    <row r="3" customFormat="false" ht="15" hidden="false" customHeight="false" outlineLevel="0" collapsed="false">
      <c r="A3" s="26" t="s">
        <v>153</v>
      </c>
      <c r="B3" s="26"/>
      <c r="C3" s="26"/>
      <c r="D3" s="27" t="s">
        <v>16</v>
      </c>
      <c r="E3" s="27" t="s">
        <v>17</v>
      </c>
      <c r="F3" s="27" t="s">
        <v>18</v>
      </c>
      <c r="G3" s="27" t="s">
        <v>19</v>
      </c>
      <c r="H3" s="27" t="s">
        <v>20</v>
      </c>
      <c r="I3" s="27" t="s">
        <v>21</v>
      </c>
      <c r="J3" s="27" t="s">
        <v>22</v>
      </c>
      <c r="K3" s="27" t="s">
        <v>23</v>
      </c>
      <c r="L3" s="27" t="s">
        <v>24</v>
      </c>
      <c r="M3" s="27" t="s">
        <v>25</v>
      </c>
    </row>
    <row r="4" customFormat="false" ht="15" hidden="false" customHeight="false" outlineLevel="0" collapsed="false">
      <c r="A4" s="0" t="s">
        <v>154</v>
      </c>
      <c r="B4" s="0" t="s">
        <v>155</v>
      </c>
      <c r="C4" s="0" t="s">
        <v>156</v>
      </c>
      <c r="D4" s="28" t="n">
        <v>86</v>
      </c>
      <c r="E4" s="28" t="n">
        <v>88</v>
      </c>
      <c r="F4" s="28" t="n">
        <v>90</v>
      </c>
      <c r="G4" s="28" t="n">
        <v>92</v>
      </c>
      <c r="H4" s="28" t="n">
        <v>94</v>
      </c>
      <c r="I4" s="28" t="n">
        <v>96</v>
      </c>
      <c r="J4" s="28" t="n">
        <v>98</v>
      </c>
      <c r="K4" s="28" t="n">
        <v>100</v>
      </c>
      <c r="L4" s="28" t="n">
        <v>102</v>
      </c>
      <c r="M4" s="28" t="n">
        <v>104</v>
      </c>
    </row>
    <row r="7" customFormat="false" ht="18" hidden="false" customHeight="true" outlineLevel="0" collapsed="false">
      <c r="A7" s="8" t="s">
        <v>157</v>
      </c>
      <c r="B7" s="8"/>
      <c r="C7" s="8"/>
      <c r="D7" s="8"/>
      <c r="E7" s="8"/>
      <c r="F7" s="8"/>
      <c r="G7" s="8"/>
      <c r="H7" s="8"/>
      <c r="I7" s="8"/>
      <c r="J7" s="8"/>
      <c r="K7" s="8"/>
      <c r="L7" s="8"/>
      <c r="M7" s="8"/>
    </row>
    <row r="8" customFormat="false" ht="27.75" hidden="false" customHeight="true" outlineLevel="0" collapsed="false">
      <c r="A8" s="10" t="s">
        <v>158</v>
      </c>
      <c r="B8" s="29" t="s">
        <v>159</v>
      </c>
      <c r="C8" s="29"/>
      <c r="D8" s="29"/>
      <c r="E8" s="29"/>
      <c r="F8" s="29"/>
      <c r="G8" s="29"/>
      <c r="H8" s="29"/>
      <c r="I8" s="29"/>
      <c r="J8" s="29"/>
      <c r="K8" s="29"/>
      <c r="L8" s="29"/>
      <c r="M8" s="29"/>
    </row>
    <row r="9" customFormat="false" ht="27.75" hidden="false" customHeight="true" outlineLevel="0" collapsed="false">
      <c r="A9" s="10" t="s">
        <v>160</v>
      </c>
      <c r="B9" s="29" t="s">
        <v>161</v>
      </c>
      <c r="C9" s="29"/>
      <c r="D9" s="29"/>
      <c r="E9" s="29"/>
      <c r="F9" s="29"/>
      <c r="G9" s="29"/>
      <c r="H9" s="29"/>
      <c r="I9" s="29"/>
      <c r="J9" s="29"/>
      <c r="K9" s="29"/>
      <c r="L9" s="29"/>
      <c r="M9" s="29"/>
    </row>
    <row r="10" customFormat="false" ht="27.75" hidden="false" customHeight="true" outlineLevel="0" collapsed="false">
      <c r="A10" s="10" t="s">
        <v>162</v>
      </c>
      <c r="B10" s="29" t="s">
        <v>163</v>
      </c>
      <c r="C10" s="29"/>
      <c r="D10" s="29"/>
      <c r="E10" s="29"/>
      <c r="F10" s="29"/>
      <c r="G10" s="29"/>
      <c r="H10" s="29"/>
      <c r="I10" s="29"/>
      <c r="J10" s="29"/>
      <c r="K10" s="29"/>
      <c r="L10" s="29"/>
      <c r="M10" s="29"/>
    </row>
    <row r="11" customFormat="false" ht="27.75" hidden="false" customHeight="true" outlineLevel="0" collapsed="false">
      <c r="A11" s="10" t="s">
        <v>164</v>
      </c>
      <c r="B11" s="29" t="s">
        <v>165</v>
      </c>
      <c r="C11" s="29"/>
      <c r="D11" s="29"/>
      <c r="E11" s="29"/>
      <c r="F11" s="29"/>
      <c r="G11" s="29"/>
      <c r="H11" s="29"/>
      <c r="I11" s="29"/>
      <c r="J11" s="29"/>
      <c r="K11" s="29"/>
      <c r="L11" s="29"/>
      <c r="M11" s="29"/>
    </row>
    <row r="12" customFormat="false" ht="27.75" hidden="false" customHeight="true" outlineLevel="0" collapsed="false">
      <c r="A12" s="10" t="s">
        <v>166</v>
      </c>
      <c r="B12" s="29" t="s">
        <v>167</v>
      </c>
      <c r="C12" s="29"/>
      <c r="D12" s="29"/>
      <c r="E12" s="29"/>
      <c r="F12" s="29"/>
      <c r="G12" s="29"/>
      <c r="H12" s="29"/>
      <c r="I12" s="29"/>
      <c r="J12" s="29"/>
      <c r="K12" s="29"/>
      <c r="L12" s="29"/>
      <c r="M12" s="29"/>
    </row>
    <row r="13" customFormat="false" ht="27.75" hidden="false" customHeight="true" outlineLevel="0" collapsed="false">
      <c r="A13" s="10" t="s">
        <v>168</v>
      </c>
      <c r="B13" s="29" t="s">
        <v>169</v>
      </c>
      <c r="C13" s="29"/>
      <c r="D13" s="29"/>
      <c r="E13" s="29"/>
      <c r="F13" s="29"/>
      <c r="G13" s="29"/>
      <c r="H13" s="29"/>
      <c r="I13" s="29"/>
      <c r="J13" s="29"/>
      <c r="K13" s="29"/>
      <c r="L13" s="29"/>
      <c r="M13" s="29"/>
    </row>
    <row r="16" customFormat="false" ht="18" hidden="false" customHeight="true" outlineLevel="0" collapsed="false">
      <c r="A16" s="8" t="s">
        <v>170</v>
      </c>
      <c r="B16" s="8"/>
      <c r="C16" s="8"/>
      <c r="D16" s="8"/>
      <c r="E16" s="8"/>
      <c r="F16" s="8"/>
      <c r="G16" s="8"/>
      <c r="H16" s="8"/>
      <c r="I16" s="8"/>
      <c r="J16" s="8"/>
      <c r="K16" s="8"/>
      <c r="L16" s="8"/>
      <c r="M16" s="8"/>
    </row>
    <row r="17" customFormat="false" ht="15" hidden="false" customHeight="false" outlineLevel="0" collapsed="false">
      <c r="A17" s="30" t="s">
        <v>171</v>
      </c>
      <c r="B17" s="0" t="s">
        <v>172</v>
      </c>
    </row>
    <row r="18" customFormat="false" ht="15" hidden="false" customHeight="false" outlineLevel="0" collapsed="false">
      <c r="A18" s="13" t="s">
        <v>173</v>
      </c>
      <c r="B18" s="0" t="s">
        <v>174</v>
      </c>
    </row>
    <row r="19" customFormat="false" ht="15" hidden="false" customHeight="false" outlineLevel="0" collapsed="false">
      <c r="A19" s="12" t="s">
        <v>175</v>
      </c>
      <c r="B19" s="0" t="s">
        <v>176</v>
      </c>
    </row>
    <row r="20" customFormat="false" ht="15" hidden="false" customHeight="false" outlineLevel="0" collapsed="false">
      <c r="A20" s="31" t="s">
        <v>177</v>
      </c>
      <c r="B20" s="0" t="s">
        <v>178</v>
      </c>
    </row>
    <row r="21" customFormat="false" ht="15" hidden="false" customHeight="false" outlineLevel="0" collapsed="false">
      <c r="A21" s="32" t="s">
        <v>179</v>
      </c>
      <c r="B21" s="0" t="s">
        <v>180</v>
      </c>
    </row>
  </sheetData>
  <mergeCells count="11">
    <mergeCell ref="A1:M1"/>
    <mergeCell ref="A2:M2"/>
    <mergeCell ref="A3:C3"/>
    <mergeCell ref="A7:M7"/>
    <mergeCell ref="B8:M8"/>
    <mergeCell ref="B9:M9"/>
    <mergeCell ref="B10:M10"/>
    <mergeCell ref="B11:M11"/>
    <mergeCell ref="B12:M12"/>
    <mergeCell ref="B13:M13"/>
    <mergeCell ref="A16:M16"/>
  </mergeCell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M48"/>
  <sheetViews>
    <sheetView showFormulas="false" showGridLines="false" showRowColHeaders="true" showZeros="true" rightToLeft="false" tabSelected="false" showOutlineSymbols="true" defaultGridColor="true" view="normal" topLeftCell="A1" colorId="64" zoomScale="85" zoomScaleNormal="85" zoomScalePageLayoutView="100" workbookViewId="0">
      <pane xSplit="3" ySplit="19" topLeftCell="D20" activePane="bottomRight" state="frozen"/>
      <selection pane="topLeft" activeCell="A1" activeCellId="0" sqref="A1"/>
      <selection pane="topRight" activeCell="D1" activeCellId="0" sqref="D1"/>
      <selection pane="bottomLeft" activeCell="A20" activeCellId="0" sqref="A20"/>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0" width="32"/>
    <col collapsed="false" customWidth="true" hidden="false" outlineLevel="0" max="2" min="2" style="0" width="15"/>
    <col collapsed="false" customWidth="true" hidden="false" outlineLevel="0" max="3" min="3" style="0" width="30"/>
    <col collapsed="false" customWidth="true" hidden="false" outlineLevel="0" max="13" min="4" style="0" width="12"/>
  </cols>
  <sheetData>
    <row r="1" customFormat="false" ht="24" hidden="false" customHeight="true" outlineLevel="0" collapsed="false">
      <c r="A1" s="24" t="s">
        <v>50</v>
      </c>
      <c r="B1" s="24"/>
      <c r="C1" s="24"/>
      <c r="D1" s="24"/>
      <c r="E1" s="24"/>
      <c r="F1" s="24"/>
      <c r="G1" s="24"/>
      <c r="H1" s="24"/>
      <c r="I1" s="24"/>
      <c r="J1" s="24"/>
      <c r="K1" s="24"/>
      <c r="L1" s="24"/>
      <c r="M1" s="24"/>
    </row>
    <row r="2" customFormat="false" ht="27.75" hidden="false" customHeight="true" outlineLevel="0" collapsed="false">
      <c r="A2" s="25" t="s">
        <v>181</v>
      </c>
      <c r="B2" s="25"/>
      <c r="C2" s="25"/>
      <c r="D2" s="25"/>
      <c r="E2" s="25"/>
      <c r="F2" s="25"/>
      <c r="G2" s="25"/>
      <c r="H2" s="25"/>
      <c r="I2" s="25"/>
      <c r="J2" s="25"/>
      <c r="K2" s="25"/>
      <c r="L2" s="25"/>
      <c r="M2" s="25"/>
    </row>
    <row r="4" customFormat="false" ht="18" hidden="false" customHeight="true" outlineLevel="0" collapsed="false">
      <c r="A4" s="8" t="s">
        <v>182</v>
      </c>
      <c r="B4" s="8"/>
      <c r="C4" s="8"/>
      <c r="D4" s="8"/>
      <c r="E4" s="8"/>
      <c r="F4" s="8"/>
      <c r="G4" s="8"/>
      <c r="H4" s="8"/>
      <c r="I4" s="8"/>
      <c r="J4" s="8"/>
      <c r="K4" s="8"/>
      <c r="L4" s="8"/>
      <c r="M4" s="8"/>
    </row>
    <row r="5" customFormat="false" ht="18" hidden="false" customHeight="true" outlineLevel="0" collapsed="false">
      <c r="A5" s="33" t="s">
        <v>183</v>
      </c>
      <c r="B5" s="34" t="s">
        <v>50</v>
      </c>
      <c r="C5" s="34"/>
      <c r="D5" s="34"/>
      <c r="E5" s="34"/>
      <c r="F5" s="34"/>
      <c r="G5" s="34"/>
      <c r="H5" s="34"/>
      <c r="I5" s="34"/>
      <c r="J5" s="34"/>
      <c r="K5" s="34"/>
      <c r="L5" s="34"/>
      <c r="M5" s="34"/>
    </row>
    <row r="6" customFormat="false" ht="18" hidden="false" customHeight="true" outlineLevel="0" collapsed="false">
      <c r="A6" s="33" t="s">
        <v>33</v>
      </c>
      <c r="B6" s="34" t="s">
        <v>34</v>
      </c>
      <c r="C6" s="34"/>
      <c r="D6" s="34"/>
      <c r="E6" s="34"/>
      <c r="F6" s="34"/>
      <c r="G6" s="34"/>
      <c r="H6" s="34"/>
      <c r="I6" s="34"/>
      <c r="J6" s="34"/>
      <c r="K6" s="34"/>
      <c r="L6" s="34"/>
      <c r="M6" s="34"/>
    </row>
    <row r="7" customFormat="false" ht="18" hidden="false" customHeight="true" outlineLevel="0" collapsed="false">
      <c r="A7" s="33" t="s">
        <v>42</v>
      </c>
      <c r="B7" s="34" t="s">
        <v>51</v>
      </c>
      <c r="C7" s="34"/>
      <c r="D7" s="34"/>
      <c r="E7" s="34"/>
      <c r="F7" s="34"/>
      <c r="G7" s="34"/>
      <c r="H7" s="34"/>
      <c r="I7" s="34"/>
      <c r="J7" s="34"/>
      <c r="K7" s="34"/>
      <c r="L7" s="34"/>
      <c r="M7" s="34"/>
    </row>
    <row r="8" customFormat="false" ht="24" hidden="false" customHeight="true" outlineLevel="0" collapsed="false">
      <c r="A8" s="33" t="s">
        <v>184</v>
      </c>
      <c r="B8" s="34" t="s">
        <v>52</v>
      </c>
      <c r="C8" s="34"/>
      <c r="D8" s="34"/>
      <c r="E8" s="34"/>
      <c r="F8" s="34"/>
      <c r="G8" s="34"/>
      <c r="H8" s="34"/>
      <c r="I8" s="34"/>
      <c r="J8" s="34"/>
      <c r="K8" s="34"/>
      <c r="L8" s="34"/>
      <c r="M8" s="34"/>
    </row>
    <row r="9" customFormat="false" ht="18" hidden="false" customHeight="true" outlineLevel="0" collapsed="false">
      <c r="A9" s="33" t="s">
        <v>185</v>
      </c>
      <c r="B9" s="35" t="n">
        <v>1</v>
      </c>
      <c r="C9" s="35"/>
      <c r="D9" s="35"/>
      <c r="E9" s="35"/>
      <c r="F9" s="35"/>
      <c r="G9" s="35"/>
      <c r="H9" s="35"/>
      <c r="I9" s="35"/>
      <c r="J9" s="35"/>
      <c r="K9" s="35"/>
      <c r="L9" s="35"/>
      <c r="M9" s="35"/>
    </row>
    <row r="10" customFormat="false" ht="18" hidden="false" customHeight="true" outlineLevel="0" collapsed="false">
      <c r="A10" s="33" t="s">
        <v>186</v>
      </c>
      <c r="B10" s="36" t="n">
        <v>200</v>
      </c>
      <c r="C10" s="36"/>
      <c r="D10" s="36"/>
      <c r="E10" s="36"/>
      <c r="F10" s="36"/>
      <c r="G10" s="36"/>
      <c r="H10" s="36"/>
      <c r="I10" s="36"/>
      <c r="J10" s="36"/>
      <c r="K10" s="36"/>
      <c r="L10" s="36"/>
      <c r="M10" s="36"/>
    </row>
    <row r="11" customFormat="false" ht="18" hidden="false" customHeight="true" outlineLevel="0" collapsed="false">
      <c r="A11" s="33" t="s">
        <v>187</v>
      </c>
      <c r="B11" s="36" t="n">
        <v>300</v>
      </c>
      <c r="C11" s="36"/>
      <c r="D11" s="36"/>
      <c r="E11" s="36"/>
      <c r="F11" s="36"/>
      <c r="G11" s="36"/>
      <c r="H11" s="36"/>
      <c r="I11" s="36"/>
      <c r="J11" s="36"/>
      <c r="K11" s="36"/>
      <c r="L11" s="36"/>
      <c r="M11" s="36"/>
    </row>
    <row r="12" customFormat="false" ht="18" hidden="false" customHeight="true" outlineLevel="0" collapsed="false">
      <c r="A12" s="33" t="s">
        <v>188</v>
      </c>
      <c r="B12" s="37" t="n">
        <f aca="false">MAX(D38:M38)</f>
        <v>292.780351762471</v>
      </c>
      <c r="C12" s="37"/>
      <c r="D12" s="37"/>
      <c r="E12" s="37"/>
      <c r="F12" s="37"/>
      <c r="G12" s="37"/>
      <c r="H12" s="37"/>
      <c r="I12" s="37"/>
      <c r="J12" s="37"/>
      <c r="K12" s="37"/>
      <c r="L12" s="37"/>
      <c r="M12" s="37"/>
    </row>
    <row r="13" customFormat="false" ht="18" hidden="false" customHeight="true" outlineLevel="0" collapsed="false">
      <c r="A13" s="33" t="s">
        <v>189</v>
      </c>
      <c r="B13" s="38" t="str">
        <f aca="false">IF(AND(B12&gt;=B10,B12&lt;=B11),"Within range",IF(B12&lt;B10,"Below range","Above range"))</f>
        <v>Within range</v>
      </c>
      <c r="C13" s="38"/>
      <c r="D13" s="38"/>
      <c r="E13" s="38"/>
      <c r="F13" s="38"/>
      <c r="G13" s="38"/>
      <c r="H13" s="38"/>
      <c r="I13" s="38"/>
      <c r="J13" s="38"/>
      <c r="K13" s="38"/>
      <c r="L13" s="38"/>
      <c r="M13" s="38"/>
    </row>
    <row r="14" customFormat="false" ht="18" hidden="false" customHeight="true" outlineLevel="0" collapsed="false">
      <c r="A14" s="33" t="s">
        <v>190</v>
      </c>
      <c r="B14" s="34" t="s">
        <v>53</v>
      </c>
      <c r="C14" s="34"/>
      <c r="D14" s="34"/>
      <c r="E14" s="34"/>
      <c r="F14" s="34"/>
      <c r="G14" s="34"/>
      <c r="H14" s="34"/>
      <c r="I14" s="34"/>
      <c r="J14" s="34"/>
      <c r="K14" s="34"/>
      <c r="L14" s="34"/>
      <c r="M14" s="34"/>
    </row>
    <row r="15" customFormat="false" ht="24" hidden="false" customHeight="true" outlineLevel="0" collapsed="false">
      <c r="A15" s="33" t="s">
        <v>191</v>
      </c>
      <c r="B15" s="34" t="s">
        <v>192</v>
      </c>
      <c r="C15" s="34"/>
      <c r="D15" s="34"/>
      <c r="E15" s="34"/>
      <c r="F15" s="34"/>
      <c r="G15" s="34"/>
      <c r="H15" s="34"/>
      <c r="I15" s="34"/>
      <c r="J15" s="34"/>
      <c r="K15" s="34"/>
      <c r="L15" s="34"/>
      <c r="M15" s="34"/>
    </row>
    <row r="16" customFormat="false" ht="24" hidden="false" customHeight="true" outlineLevel="0" collapsed="false">
      <c r="A16" s="33" t="s">
        <v>193</v>
      </c>
      <c r="B16" s="34" t="s">
        <v>194</v>
      </c>
      <c r="C16" s="34"/>
      <c r="D16" s="34"/>
      <c r="E16" s="34"/>
      <c r="F16" s="34"/>
      <c r="G16" s="34"/>
      <c r="H16" s="34"/>
      <c r="I16" s="34"/>
      <c r="J16" s="34"/>
      <c r="K16" s="34"/>
      <c r="L16" s="34"/>
      <c r="M16" s="34"/>
    </row>
    <row r="18" customFormat="false" ht="18" hidden="false" customHeight="true" outlineLevel="0" collapsed="false">
      <c r="A18" s="8" t="s">
        <v>195</v>
      </c>
      <c r="B18" s="8"/>
      <c r="C18" s="8"/>
      <c r="D18" s="8"/>
      <c r="E18" s="8"/>
      <c r="F18" s="8"/>
      <c r="G18" s="8"/>
      <c r="H18" s="8"/>
      <c r="I18" s="8"/>
      <c r="J18" s="8"/>
      <c r="K18" s="8"/>
      <c r="L18" s="8"/>
      <c r="M18" s="8"/>
    </row>
    <row r="19" customFormat="false" ht="15" hidden="false" customHeight="false" outlineLevel="0" collapsed="false">
      <c r="A19" s="39" t="s">
        <v>196</v>
      </c>
      <c r="B19" s="39" t="s">
        <v>15</v>
      </c>
      <c r="C19" s="39" t="s">
        <v>197</v>
      </c>
      <c r="D19" s="39" t="s">
        <v>16</v>
      </c>
      <c r="E19" s="39" t="s">
        <v>17</v>
      </c>
      <c r="F19" s="39" t="s">
        <v>18</v>
      </c>
      <c r="G19" s="39" t="s">
        <v>19</v>
      </c>
      <c r="H19" s="39" t="s">
        <v>20</v>
      </c>
      <c r="I19" s="39" t="s">
        <v>21</v>
      </c>
      <c r="J19" s="39" t="s">
        <v>22</v>
      </c>
      <c r="K19" s="39" t="s">
        <v>23</v>
      </c>
      <c r="L19" s="39" t="s">
        <v>24</v>
      </c>
      <c r="M19" s="39" t="s">
        <v>25</v>
      </c>
    </row>
    <row r="20" customFormat="false" ht="19.4" hidden="false" customHeight="false" outlineLevel="0" collapsed="false">
      <c r="A20" s="40" t="s">
        <v>198</v>
      </c>
      <c r="B20" s="41" t="s">
        <v>199</v>
      </c>
      <c r="C20" s="42" t="s">
        <v>200</v>
      </c>
      <c r="D20" s="43" t="n">
        <v>14000</v>
      </c>
      <c r="E20" s="43" t="n">
        <v>14280</v>
      </c>
      <c r="F20" s="43" t="n">
        <v>14565.6</v>
      </c>
      <c r="G20" s="43" t="n">
        <v>14856.912</v>
      </c>
      <c r="H20" s="43" t="n">
        <v>15154.05024</v>
      </c>
      <c r="I20" s="43" t="n">
        <v>15457.1312448</v>
      </c>
      <c r="J20" s="43" t="n">
        <v>15766.273869696</v>
      </c>
      <c r="K20" s="43" t="n">
        <v>16081.5993470899</v>
      </c>
      <c r="L20" s="43" t="n">
        <v>16403.2313340317</v>
      </c>
      <c r="M20" s="43" t="n">
        <v>16731.2959607124</v>
      </c>
    </row>
    <row r="21" customFormat="false" ht="19.4" hidden="false" customHeight="false" outlineLevel="0" collapsed="false">
      <c r="A21" s="40" t="s">
        <v>201</v>
      </c>
      <c r="B21" s="41" t="s">
        <v>202</v>
      </c>
      <c r="C21" s="42" t="s">
        <v>203</v>
      </c>
      <c r="D21" s="44" t="n">
        <v>100</v>
      </c>
      <c r="E21" s="44" t="n">
        <v>101</v>
      </c>
      <c r="F21" s="44" t="n">
        <v>102.01</v>
      </c>
      <c r="G21" s="44" t="n">
        <v>103.0301</v>
      </c>
      <c r="H21" s="44" t="n">
        <v>104.060401</v>
      </c>
      <c r="I21" s="44" t="n">
        <v>105.10100501</v>
      </c>
      <c r="J21" s="44" t="n">
        <v>106.1520150601</v>
      </c>
      <c r="K21" s="44" t="n">
        <v>107.213535210701</v>
      </c>
      <c r="L21" s="44" t="n">
        <v>108.285670562808</v>
      </c>
      <c r="M21" s="44" t="n">
        <v>109.368527268436</v>
      </c>
    </row>
    <row r="22" customFormat="false" ht="28.35" hidden="false" customHeight="false" outlineLevel="0" collapsed="false">
      <c r="A22" s="23" t="s">
        <v>204</v>
      </c>
      <c r="B22" s="41" t="s">
        <v>205</v>
      </c>
      <c r="C22" s="42" t="s">
        <v>206</v>
      </c>
      <c r="D22" s="45" t="n">
        <v>0</v>
      </c>
      <c r="E22" s="45" t="n">
        <v>0</v>
      </c>
      <c r="F22" s="45" t="n">
        <v>0.016</v>
      </c>
      <c r="G22" s="45" t="n">
        <v>0.048</v>
      </c>
      <c r="H22" s="45" t="n">
        <v>0.085</v>
      </c>
      <c r="I22" s="45" t="n">
        <v>0.115</v>
      </c>
      <c r="J22" s="45" t="n">
        <v>0.14</v>
      </c>
      <c r="K22" s="45" t="n">
        <v>0.155</v>
      </c>
      <c r="L22" s="45" t="n">
        <v>0.16</v>
      </c>
      <c r="M22" s="45" t="n">
        <v>0.16</v>
      </c>
    </row>
    <row r="23" customFormat="false" ht="15" hidden="false" customHeight="false" outlineLevel="0" collapsed="false">
      <c r="A23" s="23" t="s">
        <v>207</v>
      </c>
      <c r="B23" s="41" t="s">
        <v>205</v>
      </c>
      <c r="C23" s="42" t="s">
        <v>208</v>
      </c>
      <c r="D23" s="45" t="n">
        <v>0</v>
      </c>
      <c r="E23" s="45" t="n">
        <v>0</v>
      </c>
      <c r="F23" s="45" t="n">
        <v>0.9</v>
      </c>
      <c r="G23" s="45" t="n">
        <v>1</v>
      </c>
      <c r="H23" s="45" t="n">
        <v>1</v>
      </c>
      <c r="I23" s="45" t="n">
        <v>1</v>
      </c>
      <c r="J23" s="45" t="n">
        <v>1</v>
      </c>
      <c r="K23" s="45" t="n">
        <v>1</v>
      </c>
      <c r="L23" s="45" t="n">
        <v>1</v>
      </c>
      <c r="M23" s="45" t="n">
        <v>1</v>
      </c>
    </row>
    <row r="24" customFormat="false" ht="15" hidden="false" customHeight="false" outlineLevel="0" collapsed="false">
      <c r="A24" s="23" t="s">
        <v>209</v>
      </c>
      <c r="B24" s="41" t="s">
        <v>199</v>
      </c>
      <c r="C24" s="42" t="s">
        <v>210</v>
      </c>
      <c r="D24" s="46" t="n">
        <f aca="false">D20*D22*D23</f>
        <v>0</v>
      </c>
      <c r="E24" s="46" t="n">
        <f aca="false">E20*E22*E23</f>
        <v>0</v>
      </c>
      <c r="F24" s="46" t="n">
        <f aca="false">F20*F22*F23</f>
        <v>209.74464</v>
      </c>
      <c r="G24" s="46" t="n">
        <f aca="false">G20*G22*G23</f>
        <v>713.131776</v>
      </c>
      <c r="H24" s="46" t="n">
        <f aca="false">H20*H22*H23</f>
        <v>1288.0942704</v>
      </c>
      <c r="I24" s="46" t="n">
        <f aca="false">I20*I22*I23</f>
        <v>1777.570093152</v>
      </c>
      <c r="J24" s="46" t="n">
        <f aca="false">J20*J22*J23</f>
        <v>2207.27834175744</v>
      </c>
      <c r="K24" s="46" t="n">
        <f aca="false">K20*K22*K23</f>
        <v>2492.64789879894</v>
      </c>
      <c r="L24" s="46" t="n">
        <f aca="false">L20*L22*L23</f>
        <v>2624.51701344508</v>
      </c>
      <c r="M24" s="46" t="n">
        <f aca="false">M20*M22*M23</f>
        <v>2677.00735371398</v>
      </c>
    </row>
    <row r="25" customFormat="false" ht="15" hidden="false" customHeight="false" outlineLevel="0" collapsed="false">
      <c r="A25" s="23" t="s">
        <v>211</v>
      </c>
      <c r="B25" s="41" t="s">
        <v>27</v>
      </c>
      <c r="C25" s="42" t="s">
        <v>212</v>
      </c>
      <c r="D25" s="47" t="n">
        <f aca="false">D24*D21/1000</f>
        <v>0</v>
      </c>
      <c r="E25" s="47" t="n">
        <f aca="false">E24*E21/1000</f>
        <v>0</v>
      </c>
      <c r="F25" s="47" t="n">
        <f aca="false">F24*F21/1000</f>
        <v>21.3960507264</v>
      </c>
      <c r="G25" s="47" t="n">
        <f aca="false">G24*G21/1000</f>
        <v>73.4740381944576</v>
      </c>
      <c r="H25" s="47" t="n">
        <f aca="false">H24*H21/1000</f>
        <v>134.039606303626</v>
      </c>
      <c r="I25" s="47" t="n">
        <f aca="false">I24*I21/1000</f>
        <v>186.824403265995</v>
      </c>
      <c r="J25" s="47" t="n">
        <f aca="false">J24*J21/1000</f>
        <v>234.307043776068</v>
      </c>
      <c r="K25" s="47" t="n">
        <f aca="false">K24*K21/1000</f>
        <v>267.24559326576</v>
      </c>
      <c r="L25" s="47" t="n">
        <f aca="false">L24*L21/1000</f>
        <v>284.197584704398</v>
      </c>
      <c r="M25" s="47" t="n">
        <f aca="false">M24*M21/1000</f>
        <v>292.780351762471</v>
      </c>
    </row>
    <row r="26" customFormat="false" ht="19.4" hidden="false" customHeight="false" outlineLevel="0" collapsed="false">
      <c r="A26" s="23" t="s">
        <v>213</v>
      </c>
      <c r="B26" s="41" t="s">
        <v>205</v>
      </c>
      <c r="C26" s="42" t="s">
        <v>214</v>
      </c>
      <c r="D26" s="45" t="n">
        <v>1</v>
      </c>
      <c r="E26" s="45" t="n">
        <v>1</v>
      </c>
      <c r="F26" s="45" t="n">
        <v>1</v>
      </c>
      <c r="G26" s="45" t="n">
        <v>1</v>
      </c>
      <c r="H26" s="45" t="n">
        <v>1</v>
      </c>
      <c r="I26" s="45" t="n">
        <v>1</v>
      </c>
      <c r="J26" s="45" t="n">
        <v>1</v>
      </c>
      <c r="K26" s="45" t="n">
        <v>1</v>
      </c>
      <c r="L26" s="45" t="n">
        <v>1</v>
      </c>
      <c r="M26" s="45" t="n">
        <v>1</v>
      </c>
    </row>
    <row r="27" customFormat="false" ht="19.4" hidden="false" customHeight="false" outlineLevel="0" collapsed="false">
      <c r="A27" s="23" t="s">
        <v>215</v>
      </c>
      <c r="B27" s="41" t="s">
        <v>205</v>
      </c>
      <c r="C27" s="42" t="s">
        <v>216</v>
      </c>
      <c r="D27" s="45" t="n">
        <v>0.85</v>
      </c>
      <c r="E27" s="45" t="n">
        <v>0.85</v>
      </c>
      <c r="F27" s="45" t="n">
        <v>0.85</v>
      </c>
      <c r="G27" s="45" t="n">
        <v>0.85</v>
      </c>
      <c r="H27" s="45" t="n">
        <v>0.85</v>
      </c>
      <c r="I27" s="45" t="n">
        <v>0.85</v>
      </c>
      <c r="J27" s="45" t="n">
        <v>0.85</v>
      </c>
      <c r="K27" s="45" t="n">
        <v>0.85</v>
      </c>
      <c r="L27" s="45" t="n">
        <v>0.85</v>
      </c>
      <c r="M27" s="45" t="n">
        <v>0.85</v>
      </c>
    </row>
    <row r="28" customFormat="false" ht="19.4" hidden="false" customHeight="false" outlineLevel="0" collapsed="false">
      <c r="A28" s="23" t="s">
        <v>217</v>
      </c>
      <c r="B28" s="41" t="s">
        <v>205</v>
      </c>
      <c r="C28" s="42" t="s">
        <v>218</v>
      </c>
      <c r="D28" s="45" t="n">
        <v>0</v>
      </c>
      <c r="E28" s="45" t="n">
        <v>0</v>
      </c>
      <c r="F28" s="45" t="n">
        <v>0.2</v>
      </c>
      <c r="G28" s="45" t="n">
        <v>0.3</v>
      </c>
      <c r="H28" s="45" t="n">
        <v>0.35</v>
      </c>
      <c r="I28" s="45" t="n">
        <v>0.38</v>
      </c>
      <c r="J28" s="45" t="n">
        <v>0.4</v>
      </c>
      <c r="K28" s="45" t="n">
        <v>0.4</v>
      </c>
      <c r="L28" s="45" t="n">
        <v>0.4</v>
      </c>
      <c r="M28" s="45" t="n">
        <v>0.4</v>
      </c>
    </row>
    <row r="36" customFormat="false" ht="18" hidden="false" customHeight="true" outlineLevel="0" collapsed="false">
      <c r="A36" s="8" t="s">
        <v>219</v>
      </c>
      <c r="B36" s="8"/>
      <c r="C36" s="8"/>
      <c r="D36" s="8"/>
      <c r="E36" s="8"/>
      <c r="F36" s="8"/>
      <c r="G36" s="8"/>
      <c r="H36" s="8"/>
      <c r="I36" s="8"/>
      <c r="J36" s="8"/>
      <c r="K36" s="8"/>
      <c r="L36" s="8"/>
      <c r="M36" s="8"/>
    </row>
    <row r="37" customFormat="false" ht="15" hidden="false" customHeight="false" outlineLevel="0" collapsed="false">
      <c r="A37" s="48" t="s">
        <v>220</v>
      </c>
      <c r="B37" s="49" t="s">
        <v>27</v>
      </c>
      <c r="C37" s="50"/>
      <c r="D37" s="51" t="n">
        <f aca="false">D25</f>
        <v>0</v>
      </c>
      <c r="E37" s="51" t="n">
        <f aca="false">E25</f>
        <v>0</v>
      </c>
      <c r="F37" s="51" t="n">
        <f aca="false">F25</f>
        <v>21.3960507264</v>
      </c>
      <c r="G37" s="51" t="n">
        <f aca="false">G25</f>
        <v>73.4740381944576</v>
      </c>
      <c r="H37" s="51" t="n">
        <f aca="false">H25</f>
        <v>134.039606303626</v>
      </c>
      <c r="I37" s="51" t="n">
        <f aca="false">I25</f>
        <v>186.824403265995</v>
      </c>
      <c r="J37" s="51" t="n">
        <f aca="false">J25</f>
        <v>234.307043776068</v>
      </c>
      <c r="K37" s="51" t="n">
        <f aca="false">K25</f>
        <v>267.24559326576</v>
      </c>
      <c r="L37" s="51" t="n">
        <f aca="false">L25</f>
        <v>284.197584704398</v>
      </c>
      <c r="M37" s="51" t="n">
        <f aca="false">M25</f>
        <v>292.780351762471</v>
      </c>
    </row>
    <row r="38" customFormat="false" ht="15" hidden="false" customHeight="false" outlineLevel="0" collapsed="false">
      <c r="A38" s="52" t="s">
        <v>221</v>
      </c>
      <c r="B38" s="49" t="s">
        <v>27</v>
      </c>
      <c r="C38" s="50"/>
      <c r="D38" s="48" t="n">
        <f aca="false">D25*D26*$B$9</f>
        <v>0</v>
      </c>
      <c r="E38" s="48" t="n">
        <f aca="false">E25*E26*$B$9</f>
        <v>0</v>
      </c>
      <c r="F38" s="48" t="n">
        <f aca="false">F25*F26*$B$9</f>
        <v>21.3960507264</v>
      </c>
      <c r="G38" s="48" t="n">
        <f aca="false">G25*G26*$B$9</f>
        <v>73.4740381944576</v>
      </c>
      <c r="H38" s="48" t="n">
        <f aca="false">H25*H26*$B$9</f>
        <v>134.039606303626</v>
      </c>
      <c r="I38" s="48" t="n">
        <f aca="false">I25*I26*$B$9</f>
        <v>186.824403265995</v>
      </c>
      <c r="J38" s="48" t="n">
        <f aca="false">J25*J26*$B$9</f>
        <v>234.307043776068</v>
      </c>
      <c r="K38" s="48" t="n">
        <f aca="false">K25*K26*$B$9</f>
        <v>267.24559326576</v>
      </c>
      <c r="L38" s="48" t="n">
        <f aca="false">L25*L26*$B$9</f>
        <v>284.197584704398</v>
      </c>
      <c r="M38" s="48" t="n">
        <f aca="false">M25*M26*$B$9</f>
        <v>292.780351762471</v>
      </c>
    </row>
    <row r="39" customFormat="false" ht="15" hidden="false" customHeight="false" outlineLevel="0" collapsed="false">
      <c r="A39" s="52" t="s">
        <v>222</v>
      </c>
      <c r="B39" s="49" t="s">
        <v>27</v>
      </c>
      <c r="C39" s="50"/>
      <c r="D39" s="48" t="n">
        <f aca="false">D38*D27</f>
        <v>0</v>
      </c>
      <c r="E39" s="48" t="n">
        <f aca="false">E38*E27</f>
        <v>0</v>
      </c>
      <c r="F39" s="48" t="n">
        <f aca="false">F38*F27</f>
        <v>18.18664311744</v>
      </c>
      <c r="G39" s="48" t="n">
        <f aca="false">G38*G27</f>
        <v>62.452932465289</v>
      </c>
      <c r="H39" s="48" t="n">
        <f aca="false">H38*H27</f>
        <v>113.933665358082</v>
      </c>
      <c r="I39" s="48" t="n">
        <f aca="false">I38*I27</f>
        <v>158.800742776095</v>
      </c>
      <c r="J39" s="48" t="n">
        <f aca="false">J38*J27</f>
        <v>199.160987209658</v>
      </c>
      <c r="K39" s="48" t="n">
        <f aca="false">K38*K27</f>
        <v>227.158754275896</v>
      </c>
      <c r="L39" s="48" t="n">
        <f aca="false">L38*L27</f>
        <v>241.567946998738</v>
      </c>
      <c r="M39" s="48" t="n">
        <f aca="false">M38*M27</f>
        <v>248.8632989981</v>
      </c>
    </row>
    <row r="40" customFormat="false" ht="15" hidden="false" customHeight="false" outlineLevel="0" collapsed="false">
      <c r="A40" s="48" t="s">
        <v>217</v>
      </c>
      <c r="B40" s="49" t="s">
        <v>205</v>
      </c>
      <c r="C40" s="50"/>
      <c r="D40" s="53" t="n">
        <f aca="false">D28</f>
        <v>0</v>
      </c>
      <c r="E40" s="53" t="n">
        <f aca="false">E28</f>
        <v>0</v>
      </c>
      <c r="F40" s="53" t="n">
        <f aca="false">F28</f>
        <v>0.2</v>
      </c>
      <c r="G40" s="53" t="n">
        <f aca="false">G28</f>
        <v>0.3</v>
      </c>
      <c r="H40" s="53" t="n">
        <f aca="false">H28</f>
        <v>0.35</v>
      </c>
      <c r="I40" s="53" t="n">
        <f aca="false">I28</f>
        <v>0.38</v>
      </c>
      <c r="J40" s="53" t="n">
        <f aca="false">J28</f>
        <v>0.4</v>
      </c>
      <c r="K40" s="53" t="n">
        <f aca="false">K28</f>
        <v>0.4</v>
      </c>
      <c r="L40" s="53" t="n">
        <f aca="false">L28</f>
        <v>0.4</v>
      </c>
      <c r="M40" s="53" t="n">
        <f aca="false">M28</f>
        <v>0.4</v>
      </c>
    </row>
    <row r="41" customFormat="false" ht="15" hidden="false" customHeight="false" outlineLevel="0" collapsed="false">
      <c r="A41" s="48" t="s">
        <v>162</v>
      </c>
      <c r="B41" s="49" t="s">
        <v>27</v>
      </c>
      <c r="C41" s="50"/>
      <c r="D41" s="48" t="n">
        <f aca="false">D38*D40</f>
        <v>0</v>
      </c>
      <c r="E41" s="48" t="n">
        <f aca="false">E38*E40</f>
        <v>0</v>
      </c>
      <c r="F41" s="48" t="n">
        <f aca="false">F38*F40</f>
        <v>4.27921014528</v>
      </c>
      <c r="G41" s="48" t="n">
        <f aca="false">G38*G40</f>
        <v>22.0422114583373</v>
      </c>
      <c r="H41" s="48" t="n">
        <f aca="false">H38*H40</f>
        <v>46.9138622062693</v>
      </c>
      <c r="I41" s="48" t="n">
        <f aca="false">I38*I40</f>
        <v>70.9932732410779</v>
      </c>
      <c r="J41" s="48" t="n">
        <f aca="false">J38*J40</f>
        <v>93.7228175104274</v>
      </c>
      <c r="K41" s="48" t="n">
        <f aca="false">K38*K40</f>
        <v>106.898237306304</v>
      </c>
      <c r="L41" s="48" t="n">
        <f aca="false">L38*L40</f>
        <v>113.679033881759</v>
      </c>
      <c r="M41" s="48" t="n">
        <f aca="false">M38*M40</f>
        <v>117.112140704988</v>
      </c>
    </row>
    <row r="42" customFormat="false" ht="15" hidden="false" customHeight="false" outlineLevel="0" collapsed="false">
      <c r="A42" s="48" t="s">
        <v>30</v>
      </c>
      <c r="B42" s="49" t="s">
        <v>27</v>
      </c>
      <c r="C42" s="50"/>
      <c r="D42" s="48" t="n">
        <f aca="false">D39*D40</f>
        <v>0</v>
      </c>
      <c r="E42" s="48" t="n">
        <f aca="false">E39*E40</f>
        <v>0</v>
      </c>
      <c r="F42" s="48" t="n">
        <f aca="false">F39*F40</f>
        <v>3.637328623488</v>
      </c>
      <c r="G42" s="48" t="n">
        <f aca="false">G39*G40</f>
        <v>18.7358797395867</v>
      </c>
      <c r="H42" s="48" t="n">
        <f aca="false">H39*H40</f>
        <v>39.8767828753289</v>
      </c>
      <c r="I42" s="48" t="n">
        <f aca="false">I39*I40</f>
        <v>60.3442822549162</v>
      </c>
      <c r="J42" s="48" t="n">
        <f aca="false">J39*J40</f>
        <v>79.6643948838632</v>
      </c>
      <c r="K42" s="48" t="n">
        <f aca="false">K39*K40</f>
        <v>90.8635017103583</v>
      </c>
      <c r="L42" s="48" t="n">
        <f aca="false">L39*L40</f>
        <v>96.6271787994954</v>
      </c>
      <c r="M42" s="48" t="n">
        <f aca="false">M39*M40</f>
        <v>99.5453195992402</v>
      </c>
    </row>
    <row r="43" customFormat="false" ht="15" hidden="false" customHeight="false" outlineLevel="0" collapsed="false">
      <c r="A43" s="48" t="s">
        <v>221</v>
      </c>
      <c r="B43" s="49" t="s">
        <v>31</v>
      </c>
      <c r="C43" s="50"/>
      <c r="D43" s="54" t="n">
        <f aca="false">D38*'Global Assump'!D$4</f>
        <v>0</v>
      </c>
      <c r="E43" s="54" t="n">
        <f aca="false">E38*'Global Assump'!E$4</f>
        <v>0</v>
      </c>
      <c r="F43" s="54" t="n">
        <f aca="false">F38*'Global Assump'!F$4</f>
        <v>1925.644565376</v>
      </c>
      <c r="G43" s="54" t="n">
        <f aca="false">G38*'Global Assump'!G$4</f>
        <v>6759.6115138901</v>
      </c>
      <c r="H43" s="54" t="n">
        <f aca="false">H38*'Global Assump'!H$4</f>
        <v>12599.7229925409</v>
      </c>
      <c r="I43" s="54" t="n">
        <f aca="false">I38*'Global Assump'!I$4</f>
        <v>17935.1427135355</v>
      </c>
      <c r="J43" s="54" t="n">
        <f aca="false">J38*'Global Assump'!J$4</f>
        <v>22962.0902900547</v>
      </c>
      <c r="K43" s="54" t="n">
        <f aca="false">K38*'Global Assump'!K$4</f>
        <v>26724.559326576</v>
      </c>
      <c r="L43" s="54" t="n">
        <f aca="false">L38*'Global Assump'!L$4</f>
        <v>28988.1536398486</v>
      </c>
      <c r="M43" s="54" t="n">
        <f aca="false">M38*'Global Assump'!M$4</f>
        <v>30449.156583297</v>
      </c>
    </row>
    <row r="44" customFormat="false" ht="15" hidden="false" customHeight="false" outlineLevel="0" collapsed="false">
      <c r="A44" s="48" t="s">
        <v>222</v>
      </c>
      <c r="B44" s="49" t="s">
        <v>31</v>
      </c>
      <c r="C44" s="50"/>
      <c r="D44" s="54" t="n">
        <f aca="false">D39*'Global Assump'!D$4</f>
        <v>0</v>
      </c>
      <c r="E44" s="54" t="n">
        <f aca="false">E39*'Global Assump'!E$4</f>
        <v>0</v>
      </c>
      <c r="F44" s="54" t="n">
        <f aca="false">F39*'Global Assump'!F$4</f>
        <v>1636.7978805696</v>
      </c>
      <c r="G44" s="54" t="n">
        <f aca="false">G39*'Global Assump'!G$4</f>
        <v>5745.66978680658</v>
      </c>
      <c r="H44" s="54" t="n">
        <f aca="false">H39*'Global Assump'!H$4</f>
        <v>10709.7645436598</v>
      </c>
      <c r="I44" s="54" t="n">
        <f aca="false">I39*'Global Assump'!I$4</f>
        <v>15244.8713065052</v>
      </c>
      <c r="J44" s="54" t="n">
        <f aca="false">J39*'Global Assump'!J$4</f>
        <v>19517.7767465465</v>
      </c>
      <c r="K44" s="54" t="n">
        <f aca="false">K39*'Global Assump'!K$4</f>
        <v>22715.8754275896</v>
      </c>
      <c r="L44" s="54" t="n">
        <f aca="false">L39*'Global Assump'!L$4</f>
        <v>24639.9305938713</v>
      </c>
      <c r="M44" s="54" t="n">
        <f aca="false">M39*'Global Assump'!M$4</f>
        <v>25881.7830958024</v>
      </c>
    </row>
    <row r="46" customFormat="false" ht="18" hidden="false" customHeight="true" outlineLevel="0" collapsed="false">
      <c r="A46" s="8" t="s">
        <v>223</v>
      </c>
      <c r="B46" s="8"/>
      <c r="C46" s="8"/>
      <c r="D46" s="8"/>
      <c r="E46" s="8"/>
      <c r="F46" s="8"/>
      <c r="G46" s="8"/>
      <c r="H46" s="8"/>
      <c r="I46" s="8"/>
      <c r="J46" s="8"/>
      <c r="K46" s="8"/>
      <c r="L46" s="8"/>
      <c r="M46" s="8"/>
    </row>
    <row r="47" customFormat="false" ht="27.75" hidden="false" customHeight="true" outlineLevel="0" collapsed="false">
      <c r="A47" s="55" t="s">
        <v>224</v>
      </c>
      <c r="B47" s="55"/>
      <c r="C47" s="55"/>
      <c r="D47" s="55"/>
      <c r="E47" s="55"/>
      <c r="F47" s="55"/>
      <c r="G47" s="55"/>
      <c r="H47" s="55"/>
      <c r="I47" s="55"/>
      <c r="J47" s="55"/>
      <c r="K47" s="55"/>
      <c r="L47" s="55"/>
      <c r="M47" s="55"/>
    </row>
    <row r="48" customFormat="false" ht="27.75" hidden="false" customHeight="true" outlineLevel="0" collapsed="false">
      <c r="A48" s="55" t="s">
        <v>225</v>
      </c>
      <c r="B48" s="55"/>
      <c r="C48" s="55"/>
      <c r="D48" s="55"/>
      <c r="E48" s="55"/>
      <c r="F48" s="55"/>
      <c r="G48" s="55"/>
      <c r="H48" s="55"/>
      <c r="I48" s="55"/>
      <c r="J48" s="55"/>
      <c r="K48" s="55"/>
      <c r="L48" s="55"/>
      <c r="M48" s="55"/>
    </row>
  </sheetData>
  <autoFilter ref="A19:M44"/>
  <mergeCells count="20">
    <mergeCell ref="A1:M1"/>
    <mergeCell ref="A2:M2"/>
    <mergeCell ref="A4:M4"/>
    <mergeCell ref="B5:M5"/>
    <mergeCell ref="B6:M6"/>
    <mergeCell ref="B7:M7"/>
    <mergeCell ref="B8:M8"/>
    <mergeCell ref="B9:M9"/>
    <mergeCell ref="B10:M10"/>
    <mergeCell ref="B11:M11"/>
    <mergeCell ref="B12:M12"/>
    <mergeCell ref="B13:M13"/>
    <mergeCell ref="B14:M14"/>
    <mergeCell ref="B15:M15"/>
    <mergeCell ref="B16:M16"/>
    <mergeCell ref="A18:M18"/>
    <mergeCell ref="A36:M36"/>
    <mergeCell ref="A46:M46"/>
    <mergeCell ref="A47:M47"/>
    <mergeCell ref="A48:M48"/>
  </mergeCells>
  <conditionalFormatting sqref="B13">
    <cfRule type="expression" priority="2" aboveAverage="0" equalAverage="0" bottom="0" percent="0" rank="0" text="" dxfId="6">
      <formula>B13="Within range"</formula>
    </cfRule>
    <cfRule type="expression" priority="3" aboveAverage="0" equalAverage="0" bottom="0" percent="0" rank="0" text="" dxfId="7">
      <formula>B13&lt;&gt;"Within range"</formula>
    </cfRule>
  </conditionalFormatting>
  <dataValidations count="1">
    <dataValidation allowBlank="false" errorStyle="stop" operator="between" showDropDown="false" showErrorMessage="false" showInputMessage="false" sqref="B9" type="list">
      <formula1>"0,1"</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M48"/>
  <sheetViews>
    <sheetView showFormulas="false" showGridLines="false" showRowColHeaders="true" showZeros="true" rightToLeft="false" tabSelected="false" showOutlineSymbols="true" defaultGridColor="true" view="normal" topLeftCell="A1" colorId="64" zoomScale="85" zoomScaleNormal="85" zoomScalePageLayoutView="100" workbookViewId="0">
      <pane xSplit="3" ySplit="19" topLeftCell="D20" activePane="bottomRight" state="frozen"/>
      <selection pane="topLeft" activeCell="A1" activeCellId="0" sqref="A1"/>
      <selection pane="topRight" activeCell="D1" activeCellId="0" sqref="D1"/>
      <selection pane="bottomLeft" activeCell="A20" activeCellId="0" sqref="A20"/>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0" width="32"/>
    <col collapsed="false" customWidth="true" hidden="false" outlineLevel="0" max="2" min="2" style="0" width="15"/>
    <col collapsed="false" customWidth="true" hidden="false" outlineLevel="0" max="3" min="3" style="0" width="30"/>
    <col collapsed="false" customWidth="true" hidden="false" outlineLevel="0" max="13" min="4" style="0" width="12"/>
  </cols>
  <sheetData>
    <row r="1" customFormat="false" ht="24" hidden="false" customHeight="true" outlineLevel="0" collapsed="false">
      <c r="A1" s="24" t="s">
        <v>55</v>
      </c>
      <c r="B1" s="24"/>
      <c r="C1" s="24"/>
      <c r="D1" s="24"/>
      <c r="E1" s="24"/>
      <c r="F1" s="24"/>
      <c r="G1" s="24"/>
      <c r="H1" s="24"/>
      <c r="I1" s="24"/>
      <c r="J1" s="24"/>
      <c r="K1" s="24"/>
      <c r="L1" s="24"/>
      <c r="M1" s="24"/>
    </row>
    <row r="2" customFormat="false" ht="27.75" hidden="false" customHeight="true" outlineLevel="0" collapsed="false">
      <c r="A2" s="25" t="s">
        <v>226</v>
      </c>
      <c r="B2" s="25"/>
      <c r="C2" s="25"/>
      <c r="D2" s="25"/>
      <c r="E2" s="25"/>
      <c r="F2" s="25"/>
      <c r="G2" s="25"/>
      <c r="H2" s="25"/>
      <c r="I2" s="25"/>
      <c r="J2" s="25"/>
      <c r="K2" s="25"/>
      <c r="L2" s="25"/>
      <c r="M2" s="25"/>
    </row>
    <row r="4" customFormat="false" ht="18" hidden="false" customHeight="true" outlineLevel="0" collapsed="false">
      <c r="A4" s="8" t="s">
        <v>182</v>
      </c>
      <c r="B4" s="8"/>
      <c r="C4" s="8"/>
      <c r="D4" s="8"/>
      <c r="E4" s="8"/>
      <c r="F4" s="8"/>
      <c r="G4" s="8"/>
      <c r="H4" s="8"/>
      <c r="I4" s="8"/>
      <c r="J4" s="8"/>
      <c r="K4" s="8"/>
      <c r="L4" s="8"/>
      <c r="M4" s="8"/>
    </row>
    <row r="5" customFormat="false" ht="18" hidden="false" customHeight="true" outlineLevel="0" collapsed="false">
      <c r="A5" s="33" t="s">
        <v>183</v>
      </c>
      <c r="B5" s="34" t="s">
        <v>55</v>
      </c>
      <c r="C5" s="34"/>
      <c r="D5" s="34"/>
      <c r="E5" s="34"/>
      <c r="F5" s="34"/>
      <c r="G5" s="34"/>
      <c r="H5" s="34"/>
      <c r="I5" s="34"/>
      <c r="J5" s="34"/>
      <c r="K5" s="34"/>
      <c r="L5" s="34"/>
      <c r="M5" s="34"/>
    </row>
    <row r="6" customFormat="false" ht="18" hidden="false" customHeight="true" outlineLevel="0" collapsed="false">
      <c r="A6" s="33" t="s">
        <v>33</v>
      </c>
      <c r="B6" s="34" t="s">
        <v>34</v>
      </c>
      <c r="C6" s="34"/>
      <c r="D6" s="34"/>
      <c r="E6" s="34"/>
      <c r="F6" s="34"/>
      <c r="G6" s="34"/>
      <c r="H6" s="34"/>
      <c r="I6" s="34"/>
      <c r="J6" s="34"/>
      <c r="K6" s="34"/>
      <c r="L6" s="34"/>
      <c r="M6" s="34"/>
    </row>
    <row r="7" customFormat="false" ht="18" hidden="false" customHeight="true" outlineLevel="0" collapsed="false">
      <c r="A7" s="33" t="s">
        <v>42</v>
      </c>
      <c r="B7" s="34" t="s">
        <v>51</v>
      </c>
      <c r="C7" s="34"/>
      <c r="D7" s="34"/>
      <c r="E7" s="34"/>
      <c r="F7" s="34"/>
      <c r="G7" s="34"/>
      <c r="H7" s="34"/>
      <c r="I7" s="34"/>
      <c r="J7" s="34"/>
      <c r="K7" s="34"/>
      <c r="L7" s="34"/>
      <c r="M7" s="34"/>
    </row>
    <row r="8" customFormat="false" ht="24" hidden="false" customHeight="true" outlineLevel="0" collapsed="false">
      <c r="A8" s="33" t="s">
        <v>184</v>
      </c>
      <c r="B8" s="34" t="s">
        <v>56</v>
      </c>
      <c r="C8" s="34"/>
      <c r="D8" s="34"/>
      <c r="E8" s="34"/>
      <c r="F8" s="34"/>
      <c r="G8" s="34"/>
      <c r="H8" s="34"/>
      <c r="I8" s="34"/>
      <c r="J8" s="34"/>
      <c r="K8" s="34"/>
      <c r="L8" s="34"/>
      <c r="M8" s="34"/>
    </row>
    <row r="9" customFormat="false" ht="18" hidden="false" customHeight="true" outlineLevel="0" collapsed="false">
      <c r="A9" s="33" t="s">
        <v>185</v>
      </c>
      <c r="B9" s="35" t="n">
        <v>1</v>
      </c>
      <c r="C9" s="35"/>
      <c r="D9" s="35"/>
      <c r="E9" s="35"/>
      <c r="F9" s="35"/>
      <c r="G9" s="35"/>
      <c r="H9" s="35"/>
      <c r="I9" s="35"/>
      <c r="J9" s="35"/>
      <c r="K9" s="35"/>
      <c r="L9" s="35"/>
      <c r="M9" s="35"/>
    </row>
    <row r="10" customFormat="false" ht="18" hidden="false" customHeight="true" outlineLevel="0" collapsed="false">
      <c r="A10" s="33" t="s">
        <v>186</v>
      </c>
      <c r="B10" s="36" t="n">
        <v>300</v>
      </c>
      <c r="C10" s="36"/>
      <c r="D10" s="36"/>
      <c r="E10" s="36"/>
      <c r="F10" s="36"/>
      <c r="G10" s="36"/>
      <c r="H10" s="36"/>
      <c r="I10" s="36"/>
      <c r="J10" s="36"/>
      <c r="K10" s="36"/>
      <c r="L10" s="36"/>
      <c r="M10" s="36"/>
    </row>
    <row r="11" customFormat="false" ht="18" hidden="false" customHeight="true" outlineLevel="0" collapsed="false">
      <c r="A11" s="33" t="s">
        <v>187</v>
      </c>
      <c r="B11" s="36" t="n">
        <v>500</v>
      </c>
      <c r="C11" s="36"/>
      <c r="D11" s="36"/>
      <c r="E11" s="36"/>
      <c r="F11" s="36"/>
      <c r="G11" s="36"/>
      <c r="H11" s="36"/>
      <c r="I11" s="36"/>
      <c r="J11" s="36"/>
      <c r="K11" s="36"/>
      <c r="L11" s="36"/>
      <c r="M11" s="36"/>
    </row>
    <row r="12" customFormat="false" ht="18" hidden="false" customHeight="true" outlineLevel="0" collapsed="false">
      <c r="A12" s="33" t="s">
        <v>188</v>
      </c>
      <c r="B12" s="37" t="n">
        <f aca="false">MAX(D38:M38)</f>
        <v>480.342764610304</v>
      </c>
      <c r="C12" s="37"/>
      <c r="D12" s="37"/>
      <c r="E12" s="37"/>
      <c r="F12" s="37"/>
      <c r="G12" s="37"/>
      <c r="H12" s="37"/>
      <c r="I12" s="37"/>
      <c r="J12" s="37"/>
      <c r="K12" s="37"/>
      <c r="L12" s="37"/>
      <c r="M12" s="37"/>
    </row>
    <row r="13" customFormat="false" ht="18" hidden="false" customHeight="true" outlineLevel="0" collapsed="false">
      <c r="A13" s="33" t="s">
        <v>189</v>
      </c>
      <c r="B13" s="38" t="str">
        <f aca="false">IF(AND(B12&gt;=B10,B12&lt;=B11),"Within range",IF(B12&lt;B10,"Below range","Above range"))</f>
        <v>Within range</v>
      </c>
      <c r="C13" s="38"/>
      <c r="D13" s="38"/>
      <c r="E13" s="38"/>
      <c r="F13" s="38"/>
      <c r="G13" s="38"/>
      <c r="H13" s="38"/>
      <c r="I13" s="38"/>
      <c r="J13" s="38"/>
      <c r="K13" s="38"/>
      <c r="L13" s="38"/>
      <c r="M13" s="38"/>
    </row>
    <row r="14" customFormat="false" ht="18" hidden="false" customHeight="true" outlineLevel="0" collapsed="false">
      <c r="A14" s="33" t="s">
        <v>190</v>
      </c>
      <c r="B14" s="34" t="s">
        <v>57</v>
      </c>
      <c r="C14" s="34"/>
      <c r="D14" s="34"/>
      <c r="E14" s="34"/>
      <c r="F14" s="34"/>
      <c r="G14" s="34"/>
      <c r="H14" s="34"/>
      <c r="I14" s="34"/>
      <c r="J14" s="34"/>
      <c r="K14" s="34"/>
      <c r="L14" s="34"/>
      <c r="M14" s="34"/>
    </row>
    <row r="15" customFormat="false" ht="24" hidden="false" customHeight="true" outlineLevel="0" collapsed="false">
      <c r="A15" s="33" t="s">
        <v>191</v>
      </c>
      <c r="B15" s="34" t="s">
        <v>227</v>
      </c>
      <c r="C15" s="34"/>
      <c r="D15" s="34"/>
      <c r="E15" s="34"/>
      <c r="F15" s="34"/>
      <c r="G15" s="34"/>
      <c r="H15" s="34"/>
      <c r="I15" s="34"/>
      <c r="J15" s="34"/>
      <c r="K15" s="34"/>
      <c r="L15" s="34"/>
      <c r="M15" s="34"/>
    </row>
    <row r="16" customFormat="false" ht="24" hidden="false" customHeight="true" outlineLevel="0" collapsed="false">
      <c r="A16" s="33" t="s">
        <v>193</v>
      </c>
      <c r="B16" s="34" t="s">
        <v>228</v>
      </c>
      <c r="C16" s="34"/>
      <c r="D16" s="34"/>
      <c r="E16" s="34"/>
      <c r="F16" s="34"/>
      <c r="G16" s="34"/>
      <c r="H16" s="34"/>
      <c r="I16" s="34"/>
      <c r="J16" s="34"/>
      <c r="K16" s="34"/>
      <c r="L16" s="34"/>
      <c r="M16" s="34"/>
    </row>
    <row r="18" customFormat="false" ht="18" hidden="false" customHeight="true" outlineLevel="0" collapsed="false">
      <c r="A18" s="8" t="s">
        <v>195</v>
      </c>
      <c r="B18" s="8"/>
      <c r="C18" s="8"/>
      <c r="D18" s="8"/>
      <c r="E18" s="8"/>
      <c r="F18" s="8"/>
      <c r="G18" s="8"/>
      <c r="H18" s="8"/>
      <c r="I18" s="8"/>
      <c r="J18" s="8"/>
      <c r="K18" s="8"/>
      <c r="L18" s="8"/>
      <c r="M18" s="8"/>
    </row>
    <row r="19" customFormat="false" ht="15" hidden="false" customHeight="false" outlineLevel="0" collapsed="false">
      <c r="A19" s="39" t="s">
        <v>196</v>
      </c>
      <c r="B19" s="39" t="s">
        <v>15</v>
      </c>
      <c r="C19" s="39" t="s">
        <v>197</v>
      </c>
      <c r="D19" s="39" t="s">
        <v>16</v>
      </c>
      <c r="E19" s="39" t="s">
        <v>17</v>
      </c>
      <c r="F19" s="39" t="s">
        <v>18</v>
      </c>
      <c r="G19" s="39" t="s">
        <v>19</v>
      </c>
      <c r="H19" s="39" t="s">
        <v>20</v>
      </c>
      <c r="I19" s="39" t="s">
        <v>21</v>
      </c>
      <c r="J19" s="39" t="s">
        <v>22</v>
      </c>
      <c r="K19" s="39" t="s">
        <v>23</v>
      </c>
      <c r="L19" s="39" t="s">
        <v>24</v>
      </c>
      <c r="M19" s="39" t="s">
        <v>25</v>
      </c>
    </row>
    <row r="20" customFormat="false" ht="19.4" hidden="false" customHeight="false" outlineLevel="0" collapsed="false">
      <c r="A20" s="40" t="s">
        <v>229</v>
      </c>
      <c r="B20" s="41" t="s">
        <v>199</v>
      </c>
      <c r="C20" s="42" t="s">
        <v>230</v>
      </c>
      <c r="D20" s="43" t="n">
        <v>35000</v>
      </c>
      <c r="E20" s="43" t="n">
        <v>35350</v>
      </c>
      <c r="F20" s="43" t="n">
        <v>35703.5</v>
      </c>
      <c r="G20" s="43" t="n">
        <v>36060.535</v>
      </c>
      <c r="H20" s="43" t="n">
        <v>36421.14035</v>
      </c>
      <c r="I20" s="43" t="n">
        <v>36785.3517535</v>
      </c>
      <c r="J20" s="43" t="n">
        <v>37153.205271035</v>
      </c>
      <c r="K20" s="43" t="n">
        <v>37524.7373237454</v>
      </c>
      <c r="L20" s="43" t="n">
        <v>37899.9846969828</v>
      </c>
      <c r="M20" s="43" t="n">
        <v>38278.9845439526</v>
      </c>
    </row>
    <row r="21" customFormat="false" ht="19.4" hidden="false" customHeight="false" outlineLevel="0" collapsed="false">
      <c r="A21" s="40" t="s">
        <v>201</v>
      </c>
      <c r="B21" s="41" t="s">
        <v>202</v>
      </c>
      <c r="C21" s="42" t="s">
        <v>231</v>
      </c>
      <c r="D21" s="44" t="n">
        <v>140</v>
      </c>
      <c r="E21" s="44" t="n">
        <v>142.8</v>
      </c>
      <c r="F21" s="44" t="n">
        <v>145.656</v>
      </c>
      <c r="G21" s="44" t="n">
        <v>148.56912</v>
      </c>
      <c r="H21" s="44" t="n">
        <v>151.5405024</v>
      </c>
      <c r="I21" s="44" t="n">
        <v>154.571312448</v>
      </c>
      <c r="J21" s="44" t="n">
        <v>157.66273869696</v>
      </c>
      <c r="K21" s="44" t="n">
        <v>160.815993470899</v>
      </c>
      <c r="L21" s="44" t="n">
        <v>164.032313340317</v>
      </c>
      <c r="M21" s="44" t="n">
        <v>167.312959607124</v>
      </c>
    </row>
    <row r="22" customFormat="false" ht="19.4" hidden="false" customHeight="false" outlineLevel="0" collapsed="false">
      <c r="A22" s="23" t="s">
        <v>204</v>
      </c>
      <c r="B22" s="41" t="s">
        <v>205</v>
      </c>
      <c r="C22" s="42" t="s">
        <v>232</v>
      </c>
      <c r="D22" s="45" t="n">
        <v>0</v>
      </c>
      <c r="E22" s="45" t="n">
        <v>0</v>
      </c>
      <c r="F22" s="45" t="n">
        <v>0</v>
      </c>
      <c r="G22" s="45" t="n">
        <v>0</v>
      </c>
      <c r="H22" s="45" t="n">
        <v>0</v>
      </c>
      <c r="I22" s="45" t="n">
        <v>0</v>
      </c>
      <c r="J22" s="45" t="n">
        <v>0</v>
      </c>
      <c r="K22" s="45" t="n">
        <v>0.02</v>
      </c>
      <c r="L22" s="45" t="n">
        <v>0.05</v>
      </c>
      <c r="M22" s="45" t="n">
        <v>0.075</v>
      </c>
    </row>
    <row r="23" customFormat="false" ht="15" hidden="false" customHeight="false" outlineLevel="0" collapsed="false">
      <c r="A23" s="23" t="s">
        <v>207</v>
      </c>
      <c r="B23" s="41" t="s">
        <v>205</v>
      </c>
      <c r="C23" s="42" t="s">
        <v>208</v>
      </c>
      <c r="D23" s="45" t="n">
        <v>0</v>
      </c>
      <c r="E23" s="45" t="n">
        <v>0</v>
      </c>
      <c r="F23" s="45" t="n">
        <v>0</v>
      </c>
      <c r="G23" s="45" t="n">
        <v>0</v>
      </c>
      <c r="H23" s="45" t="n">
        <v>0</v>
      </c>
      <c r="I23" s="45" t="n">
        <v>0</v>
      </c>
      <c r="J23" s="45" t="n">
        <v>0</v>
      </c>
      <c r="K23" s="45" t="n">
        <v>0.5</v>
      </c>
      <c r="L23" s="45" t="n">
        <v>1</v>
      </c>
      <c r="M23" s="45" t="n">
        <v>1</v>
      </c>
    </row>
    <row r="24" customFormat="false" ht="15" hidden="false" customHeight="false" outlineLevel="0" collapsed="false">
      <c r="A24" s="23" t="s">
        <v>209</v>
      </c>
      <c r="B24" s="41" t="s">
        <v>199</v>
      </c>
      <c r="C24" s="42" t="s">
        <v>210</v>
      </c>
      <c r="D24" s="46" t="n">
        <f aca="false">D20*D22*D23</f>
        <v>0</v>
      </c>
      <c r="E24" s="46" t="n">
        <f aca="false">E20*E22*E23</f>
        <v>0</v>
      </c>
      <c r="F24" s="46" t="n">
        <f aca="false">F20*F22*F23</f>
        <v>0</v>
      </c>
      <c r="G24" s="46" t="n">
        <f aca="false">G20*G22*G23</f>
        <v>0</v>
      </c>
      <c r="H24" s="46" t="n">
        <f aca="false">H20*H22*H23</f>
        <v>0</v>
      </c>
      <c r="I24" s="46" t="n">
        <f aca="false">I20*I22*I23</f>
        <v>0</v>
      </c>
      <c r="J24" s="46" t="n">
        <f aca="false">J20*J22*J23</f>
        <v>0</v>
      </c>
      <c r="K24" s="46" t="n">
        <f aca="false">K20*K22*K23</f>
        <v>375.247373237454</v>
      </c>
      <c r="L24" s="46" t="n">
        <f aca="false">L20*L22*L23</f>
        <v>1894.99923484914</v>
      </c>
      <c r="M24" s="46" t="n">
        <f aca="false">M20*M22*M23</f>
        <v>2870.92384079645</v>
      </c>
    </row>
    <row r="25" customFormat="false" ht="15" hidden="false" customHeight="false" outlineLevel="0" collapsed="false">
      <c r="A25" s="23" t="s">
        <v>211</v>
      </c>
      <c r="B25" s="41" t="s">
        <v>27</v>
      </c>
      <c r="C25" s="42" t="s">
        <v>212</v>
      </c>
      <c r="D25" s="47" t="n">
        <f aca="false">D24*D21/1000</f>
        <v>0</v>
      </c>
      <c r="E25" s="47" t="n">
        <f aca="false">E24*E21/1000</f>
        <v>0</v>
      </c>
      <c r="F25" s="47" t="n">
        <f aca="false">F24*F21/1000</f>
        <v>0</v>
      </c>
      <c r="G25" s="47" t="n">
        <f aca="false">G24*G21/1000</f>
        <v>0</v>
      </c>
      <c r="H25" s="47" t="n">
        <f aca="false">H24*H21/1000</f>
        <v>0</v>
      </c>
      <c r="I25" s="47" t="n">
        <f aca="false">I24*I21/1000</f>
        <v>0</v>
      </c>
      <c r="J25" s="47" t="n">
        <f aca="false">J24*J21/1000</f>
        <v>0</v>
      </c>
      <c r="K25" s="47" t="n">
        <f aca="false">K24*K21/1000</f>
        <v>60.3457791245264</v>
      </c>
      <c r="L25" s="47" t="n">
        <f aca="false">L24*L21/1000</f>
        <v>310.841108270436</v>
      </c>
      <c r="M25" s="47" t="n">
        <f aca="false">M24*M21/1000</f>
        <v>480.342764610304</v>
      </c>
    </row>
    <row r="26" customFormat="false" ht="19.4" hidden="false" customHeight="false" outlineLevel="0" collapsed="false">
      <c r="A26" s="23" t="s">
        <v>213</v>
      </c>
      <c r="B26" s="41" t="s">
        <v>205</v>
      </c>
      <c r="C26" s="42" t="s">
        <v>233</v>
      </c>
      <c r="D26" s="45" t="n">
        <v>1</v>
      </c>
      <c r="E26" s="45" t="n">
        <v>1</v>
      </c>
      <c r="F26" s="45" t="n">
        <v>1</v>
      </c>
      <c r="G26" s="45" t="n">
        <v>1</v>
      </c>
      <c r="H26" s="45" t="n">
        <v>1</v>
      </c>
      <c r="I26" s="45" t="n">
        <v>1</v>
      </c>
      <c r="J26" s="45" t="n">
        <v>1</v>
      </c>
      <c r="K26" s="45" t="n">
        <v>1</v>
      </c>
      <c r="L26" s="45" t="n">
        <v>1</v>
      </c>
      <c r="M26" s="45" t="n">
        <v>1</v>
      </c>
    </row>
    <row r="27" customFormat="false" ht="19.4" hidden="false" customHeight="false" outlineLevel="0" collapsed="false">
      <c r="A27" s="23" t="s">
        <v>215</v>
      </c>
      <c r="B27" s="41" t="s">
        <v>205</v>
      </c>
      <c r="C27" s="42" t="s">
        <v>234</v>
      </c>
      <c r="D27" s="45" t="n">
        <v>0.25</v>
      </c>
      <c r="E27" s="45" t="n">
        <v>0.25</v>
      </c>
      <c r="F27" s="45" t="n">
        <v>0.25</v>
      </c>
      <c r="G27" s="45" t="n">
        <v>0.25</v>
      </c>
      <c r="H27" s="45" t="n">
        <v>0.25</v>
      </c>
      <c r="I27" s="45" t="n">
        <v>0.25</v>
      </c>
      <c r="J27" s="45" t="n">
        <v>0.25</v>
      </c>
      <c r="K27" s="45" t="n">
        <v>0.25</v>
      </c>
      <c r="L27" s="45" t="n">
        <v>0.25</v>
      </c>
      <c r="M27" s="45" t="n">
        <v>0.25</v>
      </c>
    </row>
    <row r="28" customFormat="false" ht="28.35" hidden="false" customHeight="false" outlineLevel="0" collapsed="false">
      <c r="A28" s="23" t="s">
        <v>217</v>
      </c>
      <c r="B28" s="41" t="s">
        <v>205</v>
      </c>
      <c r="C28" s="42" t="s">
        <v>235</v>
      </c>
      <c r="D28" s="45" t="n">
        <v>0</v>
      </c>
      <c r="E28" s="45" t="n">
        <v>0</v>
      </c>
      <c r="F28" s="45" t="n">
        <v>0</v>
      </c>
      <c r="G28" s="45" t="n">
        <v>0</v>
      </c>
      <c r="H28" s="45" t="n">
        <v>0</v>
      </c>
      <c r="I28" s="45" t="n">
        <v>0</v>
      </c>
      <c r="J28" s="45" t="n">
        <v>0</v>
      </c>
      <c r="K28" s="45" t="n">
        <v>0.5</v>
      </c>
      <c r="L28" s="45" t="n">
        <v>0.52</v>
      </c>
      <c r="M28" s="45" t="n">
        <v>0.52</v>
      </c>
    </row>
    <row r="36" customFormat="false" ht="18" hidden="false" customHeight="true" outlineLevel="0" collapsed="false">
      <c r="A36" s="8" t="s">
        <v>219</v>
      </c>
      <c r="B36" s="8"/>
      <c r="C36" s="8"/>
      <c r="D36" s="8"/>
      <c r="E36" s="8"/>
      <c r="F36" s="8"/>
      <c r="G36" s="8"/>
      <c r="H36" s="8"/>
      <c r="I36" s="8"/>
      <c r="J36" s="8"/>
      <c r="K36" s="8"/>
      <c r="L36" s="8"/>
      <c r="M36" s="8"/>
    </row>
    <row r="37" customFormat="false" ht="15" hidden="false" customHeight="false" outlineLevel="0" collapsed="false">
      <c r="A37" s="48" t="s">
        <v>220</v>
      </c>
      <c r="B37" s="49" t="s">
        <v>27</v>
      </c>
      <c r="C37" s="50"/>
      <c r="D37" s="51" t="n">
        <f aca="false">D25</f>
        <v>0</v>
      </c>
      <c r="E37" s="51" t="n">
        <f aca="false">E25</f>
        <v>0</v>
      </c>
      <c r="F37" s="51" t="n">
        <f aca="false">F25</f>
        <v>0</v>
      </c>
      <c r="G37" s="51" t="n">
        <f aca="false">G25</f>
        <v>0</v>
      </c>
      <c r="H37" s="51" t="n">
        <f aca="false">H25</f>
        <v>0</v>
      </c>
      <c r="I37" s="51" t="n">
        <f aca="false">I25</f>
        <v>0</v>
      </c>
      <c r="J37" s="51" t="n">
        <f aca="false">J25</f>
        <v>0</v>
      </c>
      <c r="K37" s="51" t="n">
        <f aca="false">K25</f>
        <v>60.3457791245264</v>
      </c>
      <c r="L37" s="51" t="n">
        <f aca="false">L25</f>
        <v>310.841108270436</v>
      </c>
      <c r="M37" s="51" t="n">
        <f aca="false">M25</f>
        <v>480.342764610304</v>
      </c>
    </row>
    <row r="38" customFormat="false" ht="15" hidden="false" customHeight="false" outlineLevel="0" collapsed="false">
      <c r="A38" s="52" t="s">
        <v>221</v>
      </c>
      <c r="B38" s="49" t="s">
        <v>27</v>
      </c>
      <c r="C38" s="50"/>
      <c r="D38" s="48" t="n">
        <f aca="false">D25*D26*$B$9</f>
        <v>0</v>
      </c>
      <c r="E38" s="48" t="n">
        <f aca="false">E25*E26*$B$9</f>
        <v>0</v>
      </c>
      <c r="F38" s="48" t="n">
        <f aca="false">F25*F26*$B$9</f>
        <v>0</v>
      </c>
      <c r="G38" s="48" t="n">
        <f aca="false">G25*G26*$B$9</f>
        <v>0</v>
      </c>
      <c r="H38" s="48" t="n">
        <f aca="false">H25*H26*$B$9</f>
        <v>0</v>
      </c>
      <c r="I38" s="48" t="n">
        <f aca="false">I25*I26*$B$9</f>
        <v>0</v>
      </c>
      <c r="J38" s="48" t="n">
        <f aca="false">J25*J26*$B$9</f>
        <v>0</v>
      </c>
      <c r="K38" s="48" t="n">
        <f aca="false">K25*K26*$B$9</f>
        <v>60.3457791245264</v>
      </c>
      <c r="L38" s="48" t="n">
        <f aca="false">L25*L26*$B$9</f>
        <v>310.841108270436</v>
      </c>
      <c r="M38" s="48" t="n">
        <f aca="false">M25*M26*$B$9</f>
        <v>480.342764610304</v>
      </c>
    </row>
    <row r="39" customFormat="false" ht="15" hidden="false" customHeight="false" outlineLevel="0" collapsed="false">
      <c r="A39" s="52" t="s">
        <v>222</v>
      </c>
      <c r="B39" s="49" t="s">
        <v>27</v>
      </c>
      <c r="C39" s="50"/>
      <c r="D39" s="48" t="n">
        <f aca="false">D38*D27</f>
        <v>0</v>
      </c>
      <c r="E39" s="48" t="n">
        <f aca="false">E38*E27</f>
        <v>0</v>
      </c>
      <c r="F39" s="48" t="n">
        <f aca="false">F38*F27</f>
        <v>0</v>
      </c>
      <c r="G39" s="48" t="n">
        <f aca="false">G38*G27</f>
        <v>0</v>
      </c>
      <c r="H39" s="48" t="n">
        <f aca="false">H38*H27</f>
        <v>0</v>
      </c>
      <c r="I39" s="48" t="n">
        <f aca="false">I38*I27</f>
        <v>0</v>
      </c>
      <c r="J39" s="48" t="n">
        <f aca="false">J38*J27</f>
        <v>0</v>
      </c>
      <c r="K39" s="48" t="n">
        <f aca="false">K38*K27</f>
        <v>15.0864447811316</v>
      </c>
      <c r="L39" s="48" t="n">
        <f aca="false">L38*L27</f>
        <v>77.7102770676089</v>
      </c>
      <c r="M39" s="48" t="n">
        <f aca="false">M38*M27</f>
        <v>120.085691152576</v>
      </c>
    </row>
    <row r="40" customFormat="false" ht="15" hidden="false" customHeight="false" outlineLevel="0" collapsed="false">
      <c r="A40" s="48" t="s">
        <v>217</v>
      </c>
      <c r="B40" s="49" t="s">
        <v>205</v>
      </c>
      <c r="C40" s="50"/>
      <c r="D40" s="53" t="n">
        <f aca="false">D28</f>
        <v>0</v>
      </c>
      <c r="E40" s="53" t="n">
        <f aca="false">E28</f>
        <v>0</v>
      </c>
      <c r="F40" s="53" t="n">
        <f aca="false">F28</f>
        <v>0</v>
      </c>
      <c r="G40" s="53" t="n">
        <f aca="false">G28</f>
        <v>0</v>
      </c>
      <c r="H40" s="53" t="n">
        <f aca="false">H28</f>
        <v>0</v>
      </c>
      <c r="I40" s="53" t="n">
        <f aca="false">I28</f>
        <v>0</v>
      </c>
      <c r="J40" s="53" t="n">
        <f aca="false">J28</f>
        <v>0</v>
      </c>
      <c r="K40" s="53" t="n">
        <f aca="false">K28</f>
        <v>0.5</v>
      </c>
      <c r="L40" s="53" t="n">
        <f aca="false">L28</f>
        <v>0.52</v>
      </c>
      <c r="M40" s="53" t="n">
        <f aca="false">M28</f>
        <v>0.52</v>
      </c>
    </row>
    <row r="41" customFormat="false" ht="15" hidden="false" customHeight="false" outlineLevel="0" collapsed="false">
      <c r="A41" s="48" t="s">
        <v>162</v>
      </c>
      <c r="B41" s="49" t="s">
        <v>27</v>
      </c>
      <c r="C41" s="50"/>
      <c r="D41" s="48" t="n">
        <f aca="false">D38*D40</f>
        <v>0</v>
      </c>
      <c r="E41" s="48" t="n">
        <f aca="false">E38*E40</f>
        <v>0</v>
      </c>
      <c r="F41" s="48" t="n">
        <f aca="false">F38*F40</f>
        <v>0</v>
      </c>
      <c r="G41" s="48" t="n">
        <f aca="false">G38*G40</f>
        <v>0</v>
      </c>
      <c r="H41" s="48" t="n">
        <f aca="false">H38*H40</f>
        <v>0</v>
      </c>
      <c r="I41" s="48" t="n">
        <f aca="false">I38*I40</f>
        <v>0</v>
      </c>
      <c r="J41" s="48" t="n">
        <f aca="false">J38*J40</f>
        <v>0</v>
      </c>
      <c r="K41" s="48" t="n">
        <f aca="false">K38*K40</f>
        <v>30.1728895622632</v>
      </c>
      <c r="L41" s="48" t="n">
        <f aca="false">L38*L40</f>
        <v>161.637376300627</v>
      </c>
      <c r="M41" s="48" t="n">
        <f aca="false">M38*M40</f>
        <v>249.778237597358</v>
      </c>
    </row>
    <row r="42" customFormat="false" ht="15" hidden="false" customHeight="false" outlineLevel="0" collapsed="false">
      <c r="A42" s="48" t="s">
        <v>30</v>
      </c>
      <c r="B42" s="49" t="s">
        <v>27</v>
      </c>
      <c r="C42" s="50"/>
      <c r="D42" s="48" t="n">
        <f aca="false">D39*D40</f>
        <v>0</v>
      </c>
      <c r="E42" s="48" t="n">
        <f aca="false">E39*E40</f>
        <v>0</v>
      </c>
      <c r="F42" s="48" t="n">
        <f aca="false">F39*F40</f>
        <v>0</v>
      </c>
      <c r="G42" s="48" t="n">
        <f aca="false">G39*G40</f>
        <v>0</v>
      </c>
      <c r="H42" s="48" t="n">
        <f aca="false">H39*H40</f>
        <v>0</v>
      </c>
      <c r="I42" s="48" t="n">
        <f aca="false">I39*I40</f>
        <v>0</v>
      </c>
      <c r="J42" s="48" t="n">
        <f aca="false">J39*J40</f>
        <v>0</v>
      </c>
      <c r="K42" s="48" t="n">
        <f aca="false">K39*K40</f>
        <v>7.5432223905658</v>
      </c>
      <c r="L42" s="48" t="n">
        <f aca="false">L39*L40</f>
        <v>40.4093440751566</v>
      </c>
      <c r="M42" s="48" t="n">
        <f aca="false">M39*M40</f>
        <v>62.4445593993395</v>
      </c>
    </row>
    <row r="43" customFormat="false" ht="15" hidden="false" customHeight="false" outlineLevel="0" collapsed="false">
      <c r="A43" s="48" t="s">
        <v>221</v>
      </c>
      <c r="B43" s="49" t="s">
        <v>31</v>
      </c>
      <c r="C43" s="50"/>
      <c r="D43" s="54" t="n">
        <f aca="false">D38*'Global Assump'!D$4</f>
        <v>0</v>
      </c>
      <c r="E43" s="54" t="n">
        <f aca="false">E38*'Global Assump'!E$4</f>
        <v>0</v>
      </c>
      <c r="F43" s="54" t="n">
        <f aca="false">F38*'Global Assump'!F$4</f>
        <v>0</v>
      </c>
      <c r="G43" s="54" t="n">
        <f aca="false">G38*'Global Assump'!G$4</f>
        <v>0</v>
      </c>
      <c r="H43" s="54" t="n">
        <f aca="false">H38*'Global Assump'!H$4</f>
        <v>0</v>
      </c>
      <c r="I43" s="54" t="n">
        <f aca="false">I38*'Global Assump'!I$4</f>
        <v>0</v>
      </c>
      <c r="J43" s="54" t="n">
        <f aca="false">J38*'Global Assump'!J$4</f>
        <v>0</v>
      </c>
      <c r="K43" s="54" t="n">
        <f aca="false">K38*'Global Assump'!K$4</f>
        <v>6034.57791245264</v>
      </c>
      <c r="L43" s="54" t="n">
        <f aca="false">L38*'Global Assump'!L$4</f>
        <v>31705.7930435844</v>
      </c>
      <c r="M43" s="54" t="n">
        <f aca="false">M38*'Global Assump'!M$4</f>
        <v>49955.6475194716</v>
      </c>
    </row>
    <row r="44" customFormat="false" ht="15" hidden="false" customHeight="false" outlineLevel="0" collapsed="false">
      <c r="A44" s="48" t="s">
        <v>222</v>
      </c>
      <c r="B44" s="49" t="s">
        <v>31</v>
      </c>
      <c r="C44" s="50"/>
      <c r="D44" s="54" t="n">
        <f aca="false">D39*'Global Assump'!D$4</f>
        <v>0</v>
      </c>
      <c r="E44" s="54" t="n">
        <f aca="false">E39*'Global Assump'!E$4</f>
        <v>0</v>
      </c>
      <c r="F44" s="54" t="n">
        <f aca="false">F39*'Global Assump'!F$4</f>
        <v>0</v>
      </c>
      <c r="G44" s="54" t="n">
        <f aca="false">G39*'Global Assump'!G$4</f>
        <v>0</v>
      </c>
      <c r="H44" s="54" t="n">
        <f aca="false">H39*'Global Assump'!H$4</f>
        <v>0</v>
      </c>
      <c r="I44" s="54" t="n">
        <f aca="false">I39*'Global Assump'!I$4</f>
        <v>0</v>
      </c>
      <c r="J44" s="54" t="n">
        <f aca="false">J39*'Global Assump'!J$4</f>
        <v>0</v>
      </c>
      <c r="K44" s="54" t="n">
        <f aca="false">K39*'Global Assump'!K$4</f>
        <v>1508.64447811316</v>
      </c>
      <c r="L44" s="54" t="n">
        <f aca="false">L39*'Global Assump'!L$4</f>
        <v>7926.44826089611</v>
      </c>
      <c r="M44" s="54" t="n">
        <f aca="false">M39*'Global Assump'!M$4</f>
        <v>12488.9118798679</v>
      </c>
    </row>
    <row r="46" customFormat="false" ht="18" hidden="false" customHeight="true" outlineLevel="0" collapsed="false">
      <c r="A46" s="8" t="s">
        <v>223</v>
      </c>
      <c r="B46" s="8"/>
      <c r="C46" s="8"/>
      <c r="D46" s="8"/>
      <c r="E46" s="8"/>
      <c r="F46" s="8"/>
      <c r="G46" s="8"/>
      <c r="H46" s="8"/>
      <c r="I46" s="8"/>
      <c r="J46" s="8"/>
      <c r="K46" s="8"/>
      <c r="L46" s="8"/>
      <c r="M46" s="8"/>
    </row>
    <row r="47" customFormat="false" ht="27.75" hidden="false" customHeight="true" outlineLevel="0" collapsed="false">
      <c r="A47" s="55" t="s">
        <v>236</v>
      </c>
      <c r="B47" s="55"/>
      <c r="C47" s="55"/>
      <c r="D47" s="55"/>
      <c r="E47" s="55"/>
      <c r="F47" s="55"/>
      <c r="G47" s="55"/>
      <c r="H47" s="55"/>
      <c r="I47" s="55"/>
      <c r="J47" s="55"/>
      <c r="K47" s="55"/>
      <c r="L47" s="55"/>
      <c r="M47" s="55"/>
    </row>
    <row r="48" customFormat="false" ht="27.75" hidden="false" customHeight="true" outlineLevel="0" collapsed="false">
      <c r="A48" s="55" t="s">
        <v>237</v>
      </c>
      <c r="B48" s="55"/>
      <c r="C48" s="55"/>
      <c r="D48" s="55"/>
      <c r="E48" s="55"/>
      <c r="F48" s="55"/>
      <c r="G48" s="55"/>
      <c r="H48" s="55"/>
      <c r="I48" s="55"/>
      <c r="J48" s="55"/>
      <c r="K48" s="55"/>
      <c r="L48" s="55"/>
      <c r="M48" s="55"/>
    </row>
  </sheetData>
  <autoFilter ref="A19:M44"/>
  <mergeCells count="20">
    <mergeCell ref="A1:M1"/>
    <mergeCell ref="A2:M2"/>
    <mergeCell ref="A4:M4"/>
    <mergeCell ref="B5:M5"/>
    <mergeCell ref="B6:M6"/>
    <mergeCell ref="B7:M7"/>
    <mergeCell ref="B8:M8"/>
    <mergeCell ref="B9:M9"/>
    <mergeCell ref="B10:M10"/>
    <mergeCell ref="B11:M11"/>
    <mergeCell ref="B12:M12"/>
    <mergeCell ref="B13:M13"/>
    <mergeCell ref="B14:M14"/>
    <mergeCell ref="B15:M15"/>
    <mergeCell ref="B16:M16"/>
    <mergeCell ref="A18:M18"/>
    <mergeCell ref="A36:M36"/>
    <mergeCell ref="A46:M46"/>
    <mergeCell ref="A47:M47"/>
    <mergeCell ref="A48:M48"/>
  </mergeCells>
  <conditionalFormatting sqref="B13">
    <cfRule type="expression" priority="2" aboveAverage="0" equalAverage="0" bottom="0" percent="0" rank="0" text="" dxfId="6">
      <formula>B13="Within range"</formula>
    </cfRule>
    <cfRule type="expression" priority="3" aboveAverage="0" equalAverage="0" bottom="0" percent="0" rank="0" text="" dxfId="7">
      <formula>B13&lt;&gt;"Within range"</formula>
    </cfRule>
  </conditionalFormatting>
  <dataValidations count="1">
    <dataValidation allowBlank="false" errorStyle="stop" operator="between" showDropDown="false" showErrorMessage="false" showInputMessage="false" sqref="B9" type="list">
      <formula1>"0,1"</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M48"/>
  <sheetViews>
    <sheetView showFormulas="false" showGridLines="false" showRowColHeaders="true" showZeros="true" rightToLeft="false" tabSelected="false" showOutlineSymbols="true" defaultGridColor="true" view="normal" topLeftCell="A1" colorId="64" zoomScale="85" zoomScaleNormal="85" zoomScalePageLayoutView="100" workbookViewId="0">
      <pane xSplit="3" ySplit="19" topLeftCell="D20" activePane="bottomRight" state="frozen"/>
      <selection pane="topLeft" activeCell="A1" activeCellId="0" sqref="A1"/>
      <selection pane="topRight" activeCell="D1" activeCellId="0" sqref="D1"/>
      <selection pane="bottomLeft" activeCell="A20" activeCellId="0" sqref="A20"/>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0" width="32"/>
    <col collapsed="false" customWidth="true" hidden="false" outlineLevel="0" max="2" min="2" style="0" width="15"/>
    <col collapsed="false" customWidth="true" hidden="false" outlineLevel="0" max="3" min="3" style="0" width="30"/>
    <col collapsed="false" customWidth="true" hidden="false" outlineLevel="0" max="13" min="4" style="0" width="12"/>
  </cols>
  <sheetData>
    <row r="1" customFormat="false" ht="24" hidden="false" customHeight="true" outlineLevel="0" collapsed="false">
      <c r="A1" s="24" t="s">
        <v>59</v>
      </c>
      <c r="B1" s="24"/>
      <c r="C1" s="24"/>
      <c r="D1" s="24"/>
      <c r="E1" s="24"/>
      <c r="F1" s="24"/>
      <c r="G1" s="24"/>
      <c r="H1" s="24"/>
      <c r="I1" s="24"/>
      <c r="J1" s="24"/>
      <c r="K1" s="24"/>
      <c r="L1" s="24"/>
      <c r="M1" s="24"/>
    </row>
    <row r="2" customFormat="false" ht="27.75" hidden="false" customHeight="true" outlineLevel="0" collapsed="false">
      <c r="A2" s="25" t="s">
        <v>238</v>
      </c>
      <c r="B2" s="25"/>
      <c r="C2" s="25"/>
      <c r="D2" s="25"/>
      <c r="E2" s="25"/>
      <c r="F2" s="25"/>
      <c r="G2" s="25"/>
      <c r="H2" s="25"/>
      <c r="I2" s="25"/>
      <c r="J2" s="25"/>
      <c r="K2" s="25"/>
      <c r="L2" s="25"/>
      <c r="M2" s="25"/>
    </row>
    <row r="4" customFormat="false" ht="18" hidden="false" customHeight="true" outlineLevel="0" collapsed="false">
      <c r="A4" s="8" t="s">
        <v>182</v>
      </c>
      <c r="B4" s="8"/>
      <c r="C4" s="8"/>
      <c r="D4" s="8"/>
      <c r="E4" s="8"/>
      <c r="F4" s="8"/>
      <c r="G4" s="8"/>
      <c r="H4" s="8"/>
      <c r="I4" s="8"/>
      <c r="J4" s="8"/>
      <c r="K4" s="8"/>
      <c r="L4" s="8"/>
      <c r="M4" s="8"/>
    </row>
    <row r="5" customFormat="false" ht="18" hidden="false" customHeight="true" outlineLevel="0" collapsed="false">
      <c r="A5" s="33" t="s">
        <v>183</v>
      </c>
      <c r="B5" s="34" t="s">
        <v>59</v>
      </c>
      <c r="C5" s="34"/>
      <c r="D5" s="34"/>
      <c r="E5" s="34"/>
      <c r="F5" s="34"/>
      <c r="G5" s="34"/>
      <c r="H5" s="34"/>
      <c r="I5" s="34"/>
      <c r="J5" s="34"/>
      <c r="K5" s="34"/>
      <c r="L5" s="34"/>
      <c r="M5" s="34"/>
    </row>
    <row r="6" customFormat="false" ht="18" hidden="false" customHeight="true" outlineLevel="0" collapsed="false">
      <c r="A6" s="33" t="s">
        <v>33</v>
      </c>
      <c r="B6" s="34" t="s">
        <v>35</v>
      </c>
      <c r="C6" s="34"/>
      <c r="D6" s="34"/>
      <c r="E6" s="34"/>
      <c r="F6" s="34"/>
      <c r="G6" s="34"/>
      <c r="H6" s="34"/>
      <c r="I6" s="34"/>
      <c r="J6" s="34"/>
      <c r="K6" s="34"/>
      <c r="L6" s="34"/>
      <c r="M6" s="34"/>
    </row>
    <row r="7" customFormat="false" ht="18" hidden="false" customHeight="true" outlineLevel="0" collapsed="false">
      <c r="A7" s="33" t="s">
        <v>42</v>
      </c>
      <c r="B7" s="34" t="s">
        <v>51</v>
      </c>
      <c r="C7" s="34"/>
      <c r="D7" s="34"/>
      <c r="E7" s="34"/>
      <c r="F7" s="34"/>
      <c r="G7" s="34"/>
      <c r="H7" s="34"/>
      <c r="I7" s="34"/>
      <c r="J7" s="34"/>
      <c r="K7" s="34"/>
      <c r="L7" s="34"/>
      <c r="M7" s="34"/>
    </row>
    <row r="8" customFormat="false" ht="24" hidden="false" customHeight="true" outlineLevel="0" collapsed="false">
      <c r="A8" s="33" t="s">
        <v>184</v>
      </c>
      <c r="B8" s="34" t="s">
        <v>60</v>
      </c>
      <c r="C8" s="34"/>
      <c r="D8" s="34"/>
      <c r="E8" s="34"/>
      <c r="F8" s="34"/>
      <c r="G8" s="34"/>
      <c r="H8" s="34"/>
      <c r="I8" s="34"/>
      <c r="J8" s="34"/>
      <c r="K8" s="34"/>
      <c r="L8" s="34"/>
      <c r="M8" s="34"/>
    </row>
    <row r="9" customFormat="false" ht="18" hidden="false" customHeight="true" outlineLevel="0" collapsed="false">
      <c r="A9" s="33" t="s">
        <v>185</v>
      </c>
      <c r="B9" s="35" t="n">
        <v>1</v>
      </c>
      <c r="C9" s="35"/>
      <c r="D9" s="35"/>
      <c r="E9" s="35"/>
      <c r="F9" s="35"/>
      <c r="G9" s="35"/>
      <c r="H9" s="35"/>
      <c r="I9" s="35"/>
      <c r="J9" s="35"/>
      <c r="K9" s="35"/>
      <c r="L9" s="35"/>
      <c r="M9" s="35"/>
    </row>
    <row r="10" customFormat="false" ht="18" hidden="false" customHeight="true" outlineLevel="0" collapsed="false">
      <c r="A10" s="33" t="s">
        <v>186</v>
      </c>
      <c r="B10" s="36" t="n">
        <v>120</v>
      </c>
      <c r="C10" s="36"/>
      <c r="D10" s="36"/>
      <c r="E10" s="36"/>
      <c r="F10" s="36"/>
      <c r="G10" s="36"/>
      <c r="H10" s="36"/>
      <c r="I10" s="36"/>
      <c r="J10" s="36"/>
      <c r="K10" s="36"/>
      <c r="L10" s="36"/>
      <c r="M10" s="36"/>
    </row>
    <row r="11" customFormat="false" ht="18" hidden="false" customHeight="true" outlineLevel="0" collapsed="false">
      <c r="A11" s="33" t="s">
        <v>187</v>
      </c>
      <c r="B11" s="36" t="n">
        <v>180</v>
      </c>
      <c r="C11" s="36"/>
      <c r="D11" s="36"/>
      <c r="E11" s="36"/>
      <c r="F11" s="36"/>
      <c r="G11" s="36"/>
      <c r="H11" s="36"/>
      <c r="I11" s="36"/>
      <c r="J11" s="36"/>
      <c r="K11" s="36"/>
      <c r="L11" s="36"/>
      <c r="M11" s="36"/>
    </row>
    <row r="12" customFormat="false" ht="18" hidden="false" customHeight="true" outlineLevel="0" collapsed="false">
      <c r="A12" s="33" t="s">
        <v>188</v>
      </c>
      <c r="B12" s="37" t="n">
        <f aca="false">MAX(D38:M38)</f>
        <v>143.325</v>
      </c>
      <c r="C12" s="37"/>
      <c r="D12" s="37"/>
      <c r="E12" s="37"/>
      <c r="F12" s="37"/>
      <c r="G12" s="37"/>
      <c r="H12" s="37"/>
      <c r="I12" s="37"/>
      <c r="J12" s="37"/>
      <c r="K12" s="37"/>
      <c r="L12" s="37"/>
      <c r="M12" s="37"/>
    </row>
    <row r="13" customFormat="false" ht="18" hidden="false" customHeight="true" outlineLevel="0" collapsed="false">
      <c r="A13" s="33" t="s">
        <v>189</v>
      </c>
      <c r="B13" s="38" t="str">
        <f aca="false">IF(AND(B12&gt;=B10,B12&lt;=B11),"Within range",IF(B12&lt;B10,"Below range","Above range"))</f>
        <v>Within range</v>
      </c>
      <c r="C13" s="38"/>
      <c r="D13" s="38"/>
      <c r="E13" s="38"/>
      <c r="F13" s="38"/>
      <c r="G13" s="38"/>
      <c r="H13" s="38"/>
      <c r="I13" s="38"/>
      <c r="J13" s="38"/>
      <c r="K13" s="38"/>
      <c r="L13" s="38"/>
      <c r="M13" s="38"/>
    </row>
    <row r="14" customFormat="false" ht="18" hidden="false" customHeight="true" outlineLevel="0" collapsed="false">
      <c r="A14" s="33" t="s">
        <v>190</v>
      </c>
      <c r="B14" s="34" t="s">
        <v>53</v>
      </c>
      <c r="C14" s="34"/>
      <c r="D14" s="34"/>
      <c r="E14" s="34"/>
      <c r="F14" s="34"/>
      <c r="G14" s="34"/>
      <c r="H14" s="34"/>
      <c r="I14" s="34"/>
      <c r="J14" s="34"/>
      <c r="K14" s="34"/>
      <c r="L14" s="34"/>
      <c r="M14" s="34"/>
    </row>
    <row r="15" customFormat="false" ht="24" hidden="false" customHeight="true" outlineLevel="0" collapsed="false">
      <c r="A15" s="33" t="s">
        <v>191</v>
      </c>
      <c r="B15" s="34" t="s">
        <v>239</v>
      </c>
      <c r="C15" s="34"/>
      <c r="D15" s="34"/>
      <c r="E15" s="34"/>
      <c r="F15" s="34"/>
      <c r="G15" s="34"/>
      <c r="H15" s="34"/>
      <c r="I15" s="34"/>
      <c r="J15" s="34"/>
      <c r="K15" s="34"/>
      <c r="L15" s="34"/>
      <c r="M15" s="34"/>
    </row>
    <row r="16" customFormat="false" ht="24" hidden="false" customHeight="true" outlineLevel="0" collapsed="false">
      <c r="A16" s="33" t="s">
        <v>193</v>
      </c>
      <c r="B16" s="34" t="s">
        <v>240</v>
      </c>
      <c r="C16" s="34"/>
      <c r="D16" s="34"/>
      <c r="E16" s="34"/>
      <c r="F16" s="34"/>
      <c r="G16" s="34"/>
      <c r="H16" s="34"/>
      <c r="I16" s="34"/>
      <c r="J16" s="34"/>
      <c r="K16" s="34"/>
      <c r="L16" s="34"/>
      <c r="M16" s="34"/>
    </row>
    <row r="18" customFormat="false" ht="18" hidden="false" customHeight="true" outlineLevel="0" collapsed="false">
      <c r="A18" s="8" t="s">
        <v>195</v>
      </c>
      <c r="B18" s="8"/>
      <c r="C18" s="8"/>
      <c r="D18" s="8"/>
      <c r="E18" s="8"/>
      <c r="F18" s="8"/>
      <c r="G18" s="8"/>
      <c r="H18" s="8"/>
      <c r="I18" s="8"/>
      <c r="J18" s="8"/>
      <c r="K18" s="8"/>
      <c r="L18" s="8"/>
      <c r="M18" s="8"/>
    </row>
    <row r="19" customFormat="false" ht="15" hidden="false" customHeight="false" outlineLevel="0" collapsed="false">
      <c r="A19" s="39" t="s">
        <v>196</v>
      </c>
      <c r="B19" s="39" t="s">
        <v>15</v>
      </c>
      <c r="C19" s="39" t="s">
        <v>197</v>
      </c>
      <c r="D19" s="39" t="s">
        <v>16</v>
      </c>
      <c r="E19" s="39" t="s">
        <v>17</v>
      </c>
      <c r="F19" s="39" t="s">
        <v>18</v>
      </c>
      <c r="G19" s="39" t="s">
        <v>19</v>
      </c>
      <c r="H19" s="39" t="s">
        <v>20</v>
      </c>
      <c r="I19" s="39" t="s">
        <v>21</v>
      </c>
      <c r="J19" s="39" t="s">
        <v>22</v>
      </c>
      <c r="K19" s="39" t="s">
        <v>23</v>
      </c>
      <c r="L19" s="39" t="s">
        <v>24</v>
      </c>
      <c r="M19" s="39" t="s">
        <v>25</v>
      </c>
    </row>
    <row r="20" customFormat="false" ht="19.4" hidden="false" customHeight="false" outlineLevel="0" collapsed="false">
      <c r="A20" s="40" t="s">
        <v>241</v>
      </c>
      <c r="B20" s="41" t="s">
        <v>27</v>
      </c>
      <c r="C20" s="42" t="s">
        <v>242</v>
      </c>
      <c r="D20" s="44" t="n">
        <v>2700</v>
      </c>
      <c r="E20" s="44" t="n">
        <v>2550</v>
      </c>
      <c r="F20" s="44" t="n">
        <v>2400</v>
      </c>
      <c r="G20" s="44" t="n">
        <v>2300</v>
      </c>
      <c r="H20" s="44" t="n">
        <v>2100</v>
      </c>
      <c r="I20" s="44" t="n">
        <v>1900</v>
      </c>
      <c r="J20" s="44" t="n">
        <v>1700</v>
      </c>
      <c r="K20" s="44" t="n">
        <v>1500</v>
      </c>
      <c r="L20" s="44" t="n">
        <v>1300</v>
      </c>
      <c r="M20" s="44" t="n">
        <v>1100</v>
      </c>
    </row>
    <row r="21" customFormat="false" ht="19.4" hidden="false" customHeight="false" outlineLevel="0" collapsed="false">
      <c r="A21" s="40" t="s">
        <v>243</v>
      </c>
      <c r="B21" s="41" t="s">
        <v>205</v>
      </c>
      <c r="C21" s="42" t="s">
        <v>244</v>
      </c>
      <c r="D21" s="45" t="n">
        <v>0</v>
      </c>
      <c r="E21" s="45" t="n">
        <v>0</v>
      </c>
      <c r="F21" s="45" t="n">
        <v>0.35</v>
      </c>
      <c r="G21" s="45" t="n">
        <v>0.18</v>
      </c>
      <c r="H21" s="45" t="n">
        <v>0.13</v>
      </c>
      <c r="I21" s="45" t="n">
        <v>0.1</v>
      </c>
      <c r="J21" s="45" t="n">
        <v>0.08</v>
      </c>
      <c r="K21" s="45" t="n">
        <v>0.07</v>
      </c>
      <c r="L21" s="45" t="n">
        <v>0.06</v>
      </c>
      <c r="M21" s="45" t="n">
        <v>0.05</v>
      </c>
    </row>
    <row r="22" customFormat="false" ht="15" hidden="false" customHeight="false" outlineLevel="0" collapsed="false">
      <c r="A22" s="23" t="s">
        <v>245</v>
      </c>
      <c r="B22" s="41" t="s">
        <v>27</v>
      </c>
      <c r="C22" s="42" t="s">
        <v>246</v>
      </c>
      <c r="D22" s="47" t="n">
        <f aca="false">D20*D21</f>
        <v>0</v>
      </c>
      <c r="E22" s="47" t="n">
        <f aca="false">E20*E21</f>
        <v>0</v>
      </c>
      <c r="F22" s="47" t="n">
        <f aca="false">F20*F21</f>
        <v>840</v>
      </c>
      <c r="G22" s="47" t="n">
        <f aca="false">G20*G21</f>
        <v>414</v>
      </c>
      <c r="H22" s="47" t="n">
        <f aca="false">H20*H21</f>
        <v>273</v>
      </c>
      <c r="I22" s="47" t="n">
        <f aca="false">I20*I21</f>
        <v>190</v>
      </c>
      <c r="J22" s="47" t="n">
        <f aca="false">J20*J21</f>
        <v>136</v>
      </c>
      <c r="K22" s="47" t="n">
        <f aca="false">K20*K21</f>
        <v>105</v>
      </c>
      <c r="L22" s="47" t="n">
        <f aca="false">L20*L21</f>
        <v>78</v>
      </c>
      <c r="M22" s="47" t="n">
        <f aca="false">M20*M21</f>
        <v>55</v>
      </c>
    </row>
    <row r="23" customFormat="false" ht="15" hidden="false" customHeight="false" outlineLevel="0" collapsed="false">
      <c r="A23" s="23" t="s">
        <v>247</v>
      </c>
      <c r="B23" s="41" t="s">
        <v>205</v>
      </c>
      <c r="C23" s="42" t="s">
        <v>248</v>
      </c>
      <c r="D23" s="45" t="n">
        <v>0</v>
      </c>
      <c r="E23" s="45" t="n">
        <v>0</v>
      </c>
      <c r="F23" s="45" t="n">
        <v>0.35</v>
      </c>
      <c r="G23" s="45" t="n">
        <v>0.3</v>
      </c>
      <c r="H23" s="45" t="n">
        <v>0.27</v>
      </c>
      <c r="I23" s="45" t="n">
        <v>0.25</v>
      </c>
      <c r="J23" s="45" t="n">
        <v>0.23</v>
      </c>
      <c r="K23" s="45" t="n">
        <v>0.22</v>
      </c>
      <c r="L23" s="45" t="n">
        <v>0.2</v>
      </c>
      <c r="M23" s="45" t="n">
        <v>0.2</v>
      </c>
    </row>
    <row r="24" customFormat="false" ht="15" hidden="false" customHeight="false" outlineLevel="0" collapsed="false">
      <c r="A24" s="23" t="s">
        <v>207</v>
      </c>
      <c r="B24" s="41" t="s">
        <v>205</v>
      </c>
      <c r="C24" s="42" t="s">
        <v>208</v>
      </c>
      <c r="D24" s="45" t="n">
        <v>0</v>
      </c>
      <c r="E24" s="45" t="n">
        <v>0</v>
      </c>
      <c r="F24" s="45" t="n">
        <v>0.75</v>
      </c>
      <c r="G24" s="45" t="n">
        <v>1</v>
      </c>
      <c r="H24" s="45" t="n">
        <v>1</v>
      </c>
      <c r="I24" s="45" t="n">
        <v>1</v>
      </c>
      <c r="J24" s="45" t="n">
        <v>1</v>
      </c>
      <c r="K24" s="45" t="n">
        <v>1</v>
      </c>
      <c r="L24" s="45" t="n">
        <v>1</v>
      </c>
      <c r="M24" s="45" t="n">
        <v>1</v>
      </c>
    </row>
    <row r="25" customFormat="false" ht="15" hidden="false" customHeight="false" outlineLevel="0" collapsed="false">
      <c r="A25" s="23" t="s">
        <v>211</v>
      </c>
      <c r="B25" s="41" t="s">
        <v>27</v>
      </c>
      <c r="C25" s="42" t="s">
        <v>249</v>
      </c>
      <c r="D25" s="47" t="n">
        <f aca="false">D22*D23*D24</f>
        <v>0</v>
      </c>
      <c r="E25" s="47" t="n">
        <f aca="false">E22*E23*E24</f>
        <v>0</v>
      </c>
      <c r="F25" s="47" t="n">
        <f aca="false">F22*F23*F24</f>
        <v>220.5</v>
      </c>
      <c r="G25" s="47" t="n">
        <f aca="false">G22*G23*G24</f>
        <v>124.2</v>
      </c>
      <c r="H25" s="47" t="n">
        <f aca="false">H22*H23*H24</f>
        <v>73.71</v>
      </c>
      <c r="I25" s="47" t="n">
        <f aca="false">I22*I23*I24</f>
        <v>47.5</v>
      </c>
      <c r="J25" s="47" t="n">
        <f aca="false">J22*J23*J24</f>
        <v>31.28</v>
      </c>
      <c r="K25" s="47" t="n">
        <f aca="false">K22*K23*K24</f>
        <v>23.1</v>
      </c>
      <c r="L25" s="47" t="n">
        <f aca="false">L22*L23*L24</f>
        <v>15.6</v>
      </c>
      <c r="M25" s="47" t="n">
        <f aca="false">M22*M23*M24</f>
        <v>11</v>
      </c>
    </row>
    <row r="26" customFormat="false" ht="19.4" hidden="false" customHeight="false" outlineLevel="0" collapsed="false">
      <c r="A26" s="23" t="s">
        <v>213</v>
      </c>
      <c r="B26" s="41" t="s">
        <v>205</v>
      </c>
      <c r="C26" s="42" t="s">
        <v>250</v>
      </c>
      <c r="D26" s="45" t="n">
        <v>0.65</v>
      </c>
      <c r="E26" s="45" t="n">
        <v>0.65</v>
      </c>
      <c r="F26" s="45" t="n">
        <v>0.65</v>
      </c>
      <c r="G26" s="45" t="n">
        <v>0.65</v>
      </c>
      <c r="H26" s="45" t="n">
        <v>0.65</v>
      </c>
      <c r="I26" s="45" t="n">
        <v>0.65</v>
      </c>
      <c r="J26" s="45" t="n">
        <v>0.65</v>
      </c>
      <c r="K26" s="45" t="n">
        <v>0.65</v>
      </c>
      <c r="L26" s="45" t="n">
        <v>0.65</v>
      </c>
      <c r="M26" s="45" t="n">
        <v>0.65</v>
      </c>
    </row>
    <row r="27" customFormat="false" ht="15" hidden="false" customHeight="false" outlineLevel="0" collapsed="false">
      <c r="A27" s="23" t="s">
        <v>215</v>
      </c>
      <c r="B27" s="41" t="s">
        <v>205</v>
      </c>
      <c r="C27" s="42" t="s">
        <v>251</v>
      </c>
      <c r="D27" s="45" t="n">
        <v>0.85</v>
      </c>
      <c r="E27" s="45" t="n">
        <v>0.85</v>
      </c>
      <c r="F27" s="45" t="n">
        <v>0.85</v>
      </c>
      <c r="G27" s="45" t="n">
        <v>0.85</v>
      </c>
      <c r="H27" s="45" t="n">
        <v>0.85</v>
      </c>
      <c r="I27" s="45" t="n">
        <v>0.85</v>
      </c>
      <c r="J27" s="45" t="n">
        <v>0.85</v>
      </c>
      <c r="K27" s="45" t="n">
        <v>0.85</v>
      </c>
      <c r="L27" s="45" t="n">
        <v>0.85</v>
      </c>
      <c r="M27" s="45" t="n">
        <v>0.85</v>
      </c>
    </row>
    <row r="28" customFormat="false" ht="15" hidden="false" customHeight="false" outlineLevel="0" collapsed="false">
      <c r="A28" s="23" t="s">
        <v>217</v>
      </c>
      <c r="B28" s="41" t="s">
        <v>205</v>
      </c>
      <c r="C28" s="42" t="s">
        <v>252</v>
      </c>
      <c r="D28" s="45" t="n">
        <v>0</v>
      </c>
      <c r="E28" s="45" t="n">
        <v>0</v>
      </c>
      <c r="F28" s="45" t="n">
        <v>0.23</v>
      </c>
      <c r="G28" s="45" t="n">
        <v>0.22</v>
      </c>
      <c r="H28" s="45" t="n">
        <v>0.21</v>
      </c>
      <c r="I28" s="45" t="n">
        <v>0.2</v>
      </c>
      <c r="J28" s="45" t="n">
        <v>0.2</v>
      </c>
      <c r="K28" s="45" t="n">
        <v>0.2</v>
      </c>
      <c r="L28" s="45" t="n">
        <v>0.2</v>
      </c>
      <c r="M28" s="45" t="n">
        <v>0.2</v>
      </c>
    </row>
    <row r="36" customFormat="false" ht="18" hidden="false" customHeight="true" outlineLevel="0" collapsed="false">
      <c r="A36" s="8" t="s">
        <v>219</v>
      </c>
      <c r="B36" s="8"/>
      <c r="C36" s="8"/>
      <c r="D36" s="8"/>
      <c r="E36" s="8"/>
      <c r="F36" s="8"/>
      <c r="G36" s="8"/>
      <c r="H36" s="8"/>
      <c r="I36" s="8"/>
      <c r="J36" s="8"/>
      <c r="K36" s="8"/>
      <c r="L36" s="8"/>
      <c r="M36" s="8"/>
    </row>
    <row r="37" customFormat="false" ht="15" hidden="false" customHeight="false" outlineLevel="0" collapsed="false">
      <c r="A37" s="48" t="s">
        <v>220</v>
      </c>
      <c r="B37" s="49" t="s">
        <v>27</v>
      </c>
      <c r="C37" s="50"/>
      <c r="D37" s="51" t="n">
        <f aca="false">D25</f>
        <v>0</v>
      </c>
      <c r="E37" s="51" t="n">
        <f aca="false">E25</f>
        <v>0</v>
      </c>
      <c r="F37" s="51" t="n">
        <f aca="false">F25</f>
        <v>220.5</v>
      </c>
      <c r="G37" s="51" t="n">
        <f aca="false">G25</f>
        <v>124.2</v>
      </c>
      <c r="H37" s="51" t="n">
        <f aca="false">H25</f>
        <v>73.71</v>
      </c>
      <c r="I37" s="51" t="n">
        <f aca="false">I25</f>
        <v>47.5</v>
      </c>
      <c r="J37" s="51" t="n">
        <f aca="false">J25</f>
        <v>31.28</v>
      </c>
      <c r="K37" s="51" t="n">
        <f aca="false">K25</f>
        <v>23.1</v>
      </c>
      <c r="L37" s="51" t="n">
        <f aca="false">L25</f>
        <v>15.6</v>
      </c>
      <c r="M37" s="51" t="n">
        <f aca="false">M25</f>
        <v>11</v>
      </c>
    </row>
    <row r="38" customFormat="false" ht="15" hidden="false" customHeight="false" outlineLevel="0" collapsed="false">
      <c r="A38" s="52" t="s">
        <v>221</v>
      </c>
      <c r="B38" s="49" t="s">
        <v>27</v>
      </c>
      <c r="C38" s="50"/>
      <c r="D38" s="48" t="n">
        <f aca="false">D25*D26*$B$9</f>
        <v>0</v>
      </c>
      <c r="E38" s="48" t="n">
        <f aca="false">E25*E26*$B$9</f>
        <v>0</v>
      </c>
      <c r="F38" s="48" t="n">
        <f aca="false">F25*F26*$B$9</f>
        <v>143.325</v>
      </c>
      <c r="G38" s="48" t="n">
        <f aca="false">G25*G26*$B$9</f>
        <v>80.73</v>
      </c>
      <c r="H38" s="48" t="n">
        <f aca="false">H25*H26*$B$9</f>
        <v>47.9115</v>
      </c>
      <c r="I38" s="48" t="n">
        <f aca="false">I25*I26*$B$9</f>
        <v>30.875</v>
      </c>
      <c r="J38" s="48" t="n">
        <f aca="false">J25*J26*$B$9</f>
        <v>20.332</v>
      </c>
      <c r="K38" s="48" t="n">
        <f aca="false">K25*K26*$B$9</f>
        <v>15.015</v>
      </c>
      <c r="L38" s="48" t="n">
        <f aca="false">L25*L26*$B$9</f>
        <v>10.14</v>
      </c>
      <c r="M38" s="48" t="n">
        <f aca="false">M25*M26*$B$9</f>
        <v>7.15</v>
      </c>
    </row>
    <row r="39" customFormat="false" ht="15" hidden="false" customHeight="false" outlineLevel="0" collapsed="false">
      <c r="A39" s="52" t="s">
        <v>222</v>
      </c>
      <c r="B39" s="49" t="s">
        <v>27</v>
      </c>
      <c r="C39" s="50"/>
      <c r="D39" s="48" t="n">
        <f aca="false">D38*D27</f>
        <v>0</v>
      </c>
      <c r="E39" s="48" t="n">
        <f aca="false">E38*E27</f>
        <v>0</v>
      </c>
      <c r="F39" s="48" t="n">
        <f aca="false">F38*F27</f>
        <v>121.82625</v>
      </c>
      <c r="G39" s="48" t="n">
        <f aca="false">G38*G27</f>
        <v>68.6205</v>
      </c>
      <c r="H39" s="48" t="n">
        <f aca="false">H38*H27</f>
        <v>40.724775</v>
      </c>
      <c r="I39" s="48" t="n">
        <f aca="false">I38*I27</f>
        <v>26.24375</v>
      </c>
      <c r="J39" s="48" t="n">
        <f aca="false">J38*J27</f>
        <v>17.2822</v>
      </c>
      <c r="K39" s="48" t="n">
        <f aca="false">K38*K27</f>
        <v>12.76275</v>
      </c>
      <c r="L39" s="48" t="n">
        <f aca="false">L38*L27</f>
        <v>8.619</v>
      </c>
      <c r="M39" s="48" t="n">
        <f aca="false">M38*M27</f>
        <v>6.0775</v>
      </c>
    </row>
    <row r="40" customFormat="false" ht="15" hidden="false" customHeight="false" outlineLevel="0" collapsed="false">
      <c r="A40" s="48" t="s">
        <v>217</v>
      </c>
      <c r="B40" s="49" t="s">
        <v>205</v>
      </c>
      <c r="C40" s="50"/>
      <c r="D40" s="53" t="n">
        <f aca="false">D28</f>
        <v>0</v>
      </c>
      <c r="E40" s="53" t="n">
        <f aca="false">E28</f>
        <v>0</v>
      </c>
      <c r="F40" s="53" t="n">
        <f aca="false">F28</f>
        <v>0.23</v>
      </c>
      <c r="G40" s="53" t="n">
        <f aca="false">G28</f>
        <v>0.22</v>
      </c>
      <c r="H40" s="53" t="n">
        <f aca="false">H28</f>
        <v>0.21</v>
      </c>
      <c r="I40" s="53" t="n">
        <f aca="false">I28</f>
        <v>0.2</v>
      </c>
      <c r="J40" s="53" t="n">
        <f aca="false">J28</f>
        <v>0.2</v>
      </c>
      <c r="K40" s="53" t="n">
        <f aca="false">K28</f>
        <v>0.2</v>
      </c>
      <c r="L40" s="53" t="n">
        <f aca="false">L28</f>
        <v>0.2</v>
      </c>
      <c r="M40" s="53" t="n">
        <f aca="false">M28</f>
        <v>0.2</v>
      </c>
    </row>
    <row r="41" customFormat="false" ht="15" hidden="false" customHeight="false" outlineLevel="0" collapsed="false">
      <c r="A41" s="48" t="s">
        <v>162</v>
      </c>
      <c r="B41" s="49" t="s">
        <v>27</v>
      </c>
      <c r="C41" s="50"/>
      <c r="D41" s="48" t="n">
        <f aca="false">D38*D40</f>
        <v>0</v>
      </c>
      <c r="E41" s="48" t="n">
        <f aca="false">E38*E40</f>
        <v>0</v>
      </c>
      <c r="F41" s="48" t="n">
        <f aca="false">F38*F40</f>
        <v>32.96475</v>
      </c>
      <c r="G41" s="48" t="n">
        <f aca="false">G38*G40</f>
        <v>17.7606</v>
      </c>
      <c r="H41" s="48" t="n">
        <f aca="false">H38*H40</f>
        <v>10.061415</v>
      </c>
      <c r="I41" s="48" t="n">
        <f aca="false">I38*I40</f>
        <v>6.175</v>
      </c>
      <c r="J41" s="48" t="n">
        <f aca="false">J38*J40</f>
        <v>4.0664</v>
      </c>
      <c r="K41" s="48" t="n">
        <f aca="false">K38*K40</f>
        <v>3.003</v>
      </c>
      <c r="L41" s="48" t="n">
        <f aca="false">L38*L40</f>
        <v>2.028</v>
      </c>
      <c r="M41" s="48" t="n">
        <f aca="false">M38*M40</f>
        <v>1.43</v>
      </c>
    </row>
    <row r="42" customFormat="false" ht="15" hidden="false" customHeight="false" outlineLevel="0" collapsed="false">
      <c r="A42" s="48" t="s">
        <v>30</v>
      </c>
      <c r="B42" s="49" t="s">
        <v>27</v>
      </c>
      <c r="C42" s="50"/>
      <c r="D42" s="48" t="n">
        <f aca="false">D39*D40</f>
        <v>0</v>
      </c>
      <c r="E42" s="48" t="n">
        <f aca="false">E39*E40</f>
        <v>0</v>
      </c>
      <c r="F42" s="48" t="n">
        <f aca="false">F39*F40</f>
        <v>28.0200375</v>
      </c>
      <c r="G42" s="48" t="n">
        <f aca="false">G39*G40</f>
        <v>15.09651</v>
      </c>
      <c r="H42" s="48" t="n">
        <f aca="false">H39*H40</f>
        <v>8.55220275</v>
      </c>
      <c r="I42" s="48" t="n">
        <f aca="false">I39*I40</f>
        <v>5.24875</v>
      </c>
      <c r="J42" s="48" t="n">
        <f aca="false">J39*J40</f>
        <v>3.45644</v>
      </c>
      <c r="K42" s="48" t="n">
        <f aca="false">K39*K40</f>
        <v>2.55255</v>
      </c>
      <c r="L42" s="48" t="n">
        <f aca="false">L39*L40</f>
        <v>1.7238</v>
      </c>
      <c r="M42" s="48" t="n">
        <f aca="false">M39*M40</f>
        <v>1.2155</v>
      </c>
    </row>
    <row r="43" customFormat="false" ht="15" hidden="false" customHeight="false" outlineLevel="0" collapsed="false">
      <c r="A43" s="48" t="s">
        <v>221</v>
      </c>
      <c r="B43" s="49" t="s">
        <v>31</v>
      </c>
      <c r="C43" s="50"/>
      <c r="D43" s="54" t="n">
        <f aca="false">D38*'Global Assump'!D$4</f>
        <v>0</v>
      </c>
      <c r="E43" s="54" t="n">
        <f aca="false">E38*'Global Assump'!E$4</f>
        <v>0</v>
      </c>
      <c r="F43" s="54" t="n">
        <f aca="false">F38*'Global Assump'!F$4</f>
        <v>12899.25</v>
      </c>
      <c r="G43" s="54" t="n">
        <f aca="false">G38*'Global Assump'!G$4</f>
        <v>7427.16</v>
      </c>
      <c r="H43" s="54" t="n">
        <f aca="false">H38*'Global Assump'!H$4</f>
        <v>4503.681</v>
      </c>
      <c r="I43" s="54" t="n">
        <f aca="false">I38*'Global Assump'!I$4</f>
        <v>2964</v>
      </c>
      <c r="J43" s="54" t="n">
        <f aca="false">J38*'Global Assump'!J$4</f>
        <v>1992.536</v>
      </c>
      <c r="K43" s="54" t="n">
        <f aca="false">K38*'Global Assump'!K$4</f>
        <v>1501.5</v>
      </c>
      <c r="L43" s="54" t="n">
        <f aca="false">L38*'Global Assump'!L$4</f>
        <v>1034.28</v>
      </c>
      <c r="M43" s="54" t="n">
        <f aca="false">M38*'Global Assump'!M$4</f>
        <v>743.6</v>
      </c>
    </row>
    <row r="44" customFormat="false" ht="15" hidden="false" customHeight="false" outlineLevel="0" collapsed="false">
      <c r="A44" s="48" t="s">
        <v>222</v>
      </c>
      <c r="B44" s="49" t="s">
        <v>31</v>
      </c>
      <c r="C44" s="50"/>
      <c r="D44" s="54" t="n">
        <f aca="false">D39*'Global Assump'!D$4</f>
        <v>0</v>
      </c>
      <c r="E44" s="54" t="n">
        <f aca="false">E39*'Global Assump'!E$4</f>
        <v>0</v>
      </c>
      <c r="F44" s="54" t="n">
        <f aca="false">F39*'Global Assump'!F$4</f>
        <v>10964.3625</v>
      </c>
      <c r="G44" s="54" t="n">
        <f aca="false">G39*'Global Assump'!G$4</f>
        <v>6313.086</v>
      </c>
      <c r="H44" s="54" t="n">
        <f aca="false">H39*'Global Assump'!H$4</f>
        <v>3828.12885</v>
      </c>
      <c r="I44" s="54" t="n">
        <f aca="false">I39*'Global Assump'!I$4</f>
        <v>2519.4</v>
      </c>
      <c r="J44" s="54" t="n">
        <f aca="false">J39*'Global Assump'!J$4</f>
        <v>1693.6556</v>
      </c>
      <c r="K44" s="54" t="n">
        <f aca="false">K39*'Global Assump'!K$4</f>
        <v>1276.275</v>
      </c>
      <c r="L44" s="54" t="n">
        <f aca="false">L39*'Global Assump'!L$4</f>
        <v>879.138</v>
      </c>
      <c r="M44" s="54" t="n">
        <f aca="false">M39*'Global Assump'!M$4</f>
        <v>632.06</v>
      </c>
    </row>
    <row r="46" customFormat="false" ht="18" hidden="false" customHeight="true" outlineLevel="0" collapsed="false">
      <c r="A46" s="8" t="s">
        <v>223</v>
      </c>
      <c r="B46" s="8"/>
      <c r="C46" s="8"/>
      <c r="D46" s="8"/>
      <c r="E46" s="8"/>
      <c r="F46" s="8"/>
      <c r="G46" s="8"/>
      <c r="H46" s="8"/>
      <c r="I46" s="8"/>
      <c r="J46" s="8"/>
      <c r="K46" s="8"/>
      <c r="L46" s="8"/>
      <c r="M46" s="8"/>
    </row>
    <row r="47" customFormat="false" ht="27.75" hidden="false" customHeight="true" outlineLevel="0" collapsed="false">
      <c r="A47" s="55" t="s">
        <v>253</v>
      </c>
      <c r="B47" s="55"/>
      <c r="C47" s="55"/>
      <c r="D47" s="55"/>
      <c r="E47" s="55"/>
      <c r="F47" s="55"/>
      <c r="G47" s="55"/>
      <c r="H47" s="55"/>
      <c r="I47" s="55"/>
      <c r="J47" s="55"/>
      <c r="K47" s="55"/>
      <c r="L47" s="55"/>
      <c r="M47" s="55"/>
    </row>
    <row r="48" customFormat="false" ht="27.75" hidden="false" customHeight="true" outlineLevel="0" collapsed="false">
      <c r="A48" s="55" t="s">
        <v>254</v>
      </c>
      <c r="B48" s="55"/>
      <c r="C48" s="55"/>
      <c r="D48" s="55"/>
      <c r="E48" s="55"/>
      <c r="F48" s="55"/>
      <c r="G48" s="55"/>
      <c r="H48" s="55"/>
      <c r="I48" s="55"/>
      <c r="J48" s="55"/>
      <c r="K48" s="55"/>
      <c r="L48" s="55"/>
      <c r="M48" s="55"/>
    </row>
  </sheetData>
  <autoFilter ref="A19:M44"/>
  <mergeCells count="20">
    <mergeCell ref="A1:M1"/>
    <mergeCell ref="A2:M2"/>
    <mergeCell ref="A4:M4"/>
    <mergeCell ref="B5:M5"/>
    <mergeCell ref="B6:M6"/>
    <mergeCell ref="B7:M7"/>
    <mergeCell ref="B8:M8"/>
    <mergeCell ref="B9:M9"/>
    <mergeCell ref="B10:M10"/>
    <mergeCell ref="B11:M11"/>
    <mergeCell ref="B12:M12"/>
    <mergeCell ref="B13:M13"/>
    <mergeCell ref="B14:M14"/>
    <mergeCell ref="B15:M15"/>
    <mergeCell ref="B16:M16"/>
    <mergeCell ref="A18:M18"/>
    <mergeCell ref="A36:M36"/>
    <mergeCell ref="A46:M46"/>
    <mergeCell ref="A47:M47"/>
    <mergeCell ref="A48:M48"/>
  </mergeCells>
  <conditionalFormatting sqref="B13">
    <cfRule type="expression" priority="2" aboveAverage="0" equalAverage="0" bottom="0" percent="0" rank="0" text="" dxfId="6">
      <formula>B13="Within range"</formula>
    </cfRule>
    <cfRule type="expression" priority="3" aboveAverage="0" equalAverage="0" bottom="0" percent="0" rank="0" text="" dxfId="7">
      <formula>B13&lt;&gt;"Within range"</formula>
    </cfRule>
  </conditionalFormatting>
  <dataValidations count="1">
    <dataValidation allowBlank="false" errorStyle="stop" operator="between" showDropDown="false" showErrorMessage="false" showInputMessage="false" sqref="B9" type="list">
      <formula1>"0,1"</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M47"/>
  <sheetViews>
    <sheetView showFormulas="false" showGridLines="false" showRowColHeaders="true" showZeros="true" rightToLeft="false" tabSelected="false" showOutlineSymbols="true" defaultGridColor="true" view="normal" topLeftCell="A1" colorId="64" zoomScale="85" zoomScaleNormal="85" zoomScalePageLayoutView="100" workbookViewId="0">
      <pane xSplit="3" ySplit="19" topLeftCell="D20" activePane="bottomRight" state="frozen"/>
      <selection pane="topLeft" activeCell="A1" activeCellId="0" sqref="A1"/>
      <selection pane="topRight" activeCell="D1" activeCellId="0" sqref="D1"/>
      <selection pane="bottomLeft" activeCell="A20" activeCellId="0" sqref="A20"/>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0" width="32"/>
    <col collapsed="false" customWidth="true" hidden="false" outlineLevel="0" max="2" min="2" style="0" width="15"/>
    <col collapsed="false" customWidth="true" hidden="false" outlineLevel="0" max="3" min="3" style="0" width="30"/>
    <col collapsed="false" customWidth="true" hidden="false" outlineLevel="0" max="13" min="4" style="0" width="12"/>
  </cols>
  <sheetData>
    <row r="1" customFormat="false" ht="24" hidden="false" customHeight="true" outlineLevel="0" collapsed="false">
      <c r="A1" s="24" t="s">
        <v>62</v>
      </c>
      <c r="B1" s="24"/>
      <c r="C1" s="24"/>
      <c r="D1" s="24"/>
      <c r="E1" s="24"/>
      <c r="F1" s="24"/>
      <c r="G1" s="24"/>
      <c r="H1" s="24"/>
      <c r="I1" s="24"/>
      <c r="J1" s="24"/>
      <c r="K1" s="24"/>
      <c r="L1" s="24"/>
      <c r="M1" s="24"/>
    </row>
    <row r="2" customFormat="false" ht="27.75" hidden="false" customHeight="true" outlineLevel="0" collapsed="false">
      <c r="A2" s="25" t="s">
        <v>255</v>
      </c>
      <c r="B2" s="25"/>
      <c r="C2" s="25"/>
      <c r="D2" s="25"/>
      <c r="E2" s="25"/>
      <c r="F2" s="25"/>
      <c r="G2" s="25"/>
      <c r="H2" s="25"/>
      <c r="I2" s="25"/>
      <c r="J2" s="25"/>
      <c r="K2" s="25"/>
      <c r="L2" s="25"/>
      <c r="M2" s="25"/>
    </row>
    <row r="4" customFormat="false" ht="18" hidden="false" customHeight="true" outlineLevel="0" collapsed="false">
      <c r="A4" s="8" t="s">
        <v>182</v>
      </c>
      <c r="B4" s="8"/>
      <c r="C4" s="8"/>
      <c r="D4" s="8"/>
      <c r="E4" s="8"/>
      <c r="F4" s="8"/>
      <c r="G4" s="8"/>
      <c r="H4" s="8"/>
      <c r="I4" s="8"/>
      <c r="J4" s="8"/>
      <c r="K4" s="8"/>
      <c r="L4" s="8"/>
      <c r="M4" s="8"/>
    </row>
    <row r="5" customFormat="false" ht="18" hidden="false" customHeight="true" outlineLevel="0" collapsed="false">
      <c r="A5" s="33" t="s">
        <v>183</v>
      </c>
      <c r="B5" s="34" t="s">
        <v>62</v>
      </c>
      <c r="C5" s="34"/>
      <c r="D5" s="34"/>
      <c r="E5" s="34"/>
      <c r="F5" s="34"/>
      <c r="G5" s="34"/>
      <c r="H5" s="34"/>
      <c r="I5" s="34"/>
      <c r="J5" s="34"/>
      <c r="K5" s="34"/>
      <c r="L5" s="34"/>
      <c r="M5" s="34"/>
    </row>
    <row r="6" customFormat="false" ht="18" hidden="false" customHeight="true" outlineLevel="0" collapsed="false">
      <c r="A6" s="33" t="s">
        <v>33</v>
      </c>
      <c r="B6" s="34" t="s">
        <v>35</v>
      </c>
      <c r="C6" s="34"/>
      <c r="D6" s="34"/>
      <c r="E6" s="34"/>
      <c r="F6" s="34"/>
      <c r="G6" s="34"/>
      <c r="H6" s="34"/>
      <c r="I6" s="34"/>
      <c r="J6" s="34"/>
      <c r="K6" s="34"/>
      <c r="L6" s="34"/>
      <c r="M6" s="34"/>
    </row>
    <row r="7" customFormat="false" ht="18" hidden="false" customHeight="true" outlineLevel="0" collapsed="false">
      <c r="A7" s="33" t="s">
        <v>42</v>
      </c>
      <c r="B7" s="34" t="s">
        <v>51</v>
      </c>
      <c r="C7" s="34"/>
      <c r="D7" s="34"/>
      <c r="E7" s="34"/>
      <c r="F7" s="34"/>
      <c r="G7" s="34"/>
      <c r="H7" s="34"/>
      <c r="I7" s="34"/>
      <c r="J7" s="34"/>
      <c r="K7" s="34"/>
      <c r="L7" s="34"/>
      <c r="M7" s="34"/>
    </row>
    <row r="8" customFormat="false" ht="24" hidden="false" customHeight="true" outlineLevel="0" collapsed="false">
      <c r="A8" s="33" t="s">
        <v>184</v>
      </c>
      <c r="B8" s="34" t="s">
        <v>63</v>
      </c>
      <c r="C8" s="34"/>
      <c r="D8" s="34"/>
      <c r="E8" s="34"/>
      <c r="F8" s="34"/>
      <c r="G8" s="34"/>
      <c r="H8" s="34"/>
      <c r="I8" s="34"/>
      <c r="J8" s="34"/>
      <c r="K8" s="34"/>
      <c r="L8" s="34"/>
      <c r="M8" s="34"/>
    </row>
    <row r="9" customFormat="false" ht="18" hidden="false" customHeight="true" outlineLevel="0" collapsed="false">
      <c r="A9" s="33" t="s">
        <v>185</v>
      </c>
      <c r="B9" s="35" t="n">
        <v>1</v>
      </c>
      <c r="C9" s="35"/>
      <c r="D9" s="35"/>
      <c r="E9" s="35"/>
      <c r="F9" s="35"/>
      <c r="G9" s="35"/>
      <c r="H9" s="35"/>
      <c r="I9" s="35"/>
      <c r="J9" s="35"/>
      <c r="K9" s="35"/>
      <c r="L9" s="35"/>
      <c r="M9" s="35"/>
    </row>
    <row r="10" customFormat="false" ht="18" hidden="false" customHeight="true" outlineLevel="0" collapsed="false">
      <c r="A10" s="33" t="s">
        <v>186</v>
      </c>
      <c r="B10" s="36" t="n">
        <v>60</v>
      </c>
      <c r="C10" s="36"/>
      <c r="D10" s="36"/>
      <c r="E10" s="36"/>
      <c r="F10" s="36"/>
      <c r="G10" s="36"/>
      <c r="H10" s="36"/>
      <c r="I10" s="36"/>
      <c r="J10" s="36"/>
      <c r="K10" s="36"/>
      <c r="L10" s="36"/>
      <c r="M10" s="36"/>
    </row>
    <row r="11" customFormat="false" ht="18" hidden="false" customHeight="true" outlineLevel="0" collapsed="false">
      <c r="A11" s="33" t="s">
        <v>187</v>
      </c>
      <c r="B11" s="36" t="n">
        <v>100</v>
      </c>
      <c r="C11" s="36"/>
      <c r="D11" s="36"/>
      <c r="E11" s="36"/>
      <c r="F11" s="36"/>
      <c r="G11" s="36"/>
      <c r="H11" s="36"/>
      <c r="I11" s="36"/>
      <c r="J11" s="36"/>
      <c r="K11" s="36"/>
      <c r="L11" s="36"/>
      <c r="M11" s="36"/>
    </row>
    <row r="12" customFormat="false" ht="18" hidden="false" customHeight="true" outlineLevel="0" collapsed="false">
      <c r="A12" s="33" t="s">
        <v>188</v>
      </c>
      <c r="B12" s="37" t="n">
        <f aca="false">MAX(D38:M38)</f>
        <v>85</v>
      </c>
      <c r="C12" s="37"/>
      <c r="D12" s="37"/>
      <c r="E12" s="37"/>
      <c r="F12" s="37"/>
      <c r="G12" s="37"/>
      <c r="H12" s="37"/>
      <c r="I12" s="37"/>
      <c r="J12" s="37"/>
      <c r="K12" s="37"/>
      <c r="L12" s="37"/>
      <c r="M12" s="37"/>
    </row>
    <row r="13" customFormat="false" ht="18" hidden="false" customHeight="true" outlineLevel="0" collapsed="false">
      <c r="A13" s="33" t="s">
        <v>189</v>
      </c>
      <c r="B13" s="38" t="str">
        <f aca="false">IF(AND(B12&gt;=B10,B12&lt;=B11),"Within range",IF(B12&lt;B10,"Below range","Above range"))</f>
        <v>Within range</v>
      </c>
      <c r="C13" s="38"/>
      <c r="D13" s="38"/>
      <c r="E13" s="38"/>
      <c r="F13" s="38"/>
      <c r="G13" s="38"/>
      <c r="H13" s="38"/>
      <c r="I13" s="38"/>
      <c r="J13" s="38"/>
      <c r="K13" s="38"/>
      <c r="L13" s="38"/>
      <c r="M13" s="38"/>
    </row>
    <row r="14" customFormat="false" ht="18" hidden="false" customHeight="true" outlineLevel="0" collapsed="false">
      <c r="A14" s="33" t="s">
        <v>190</v>
      </c>
      <c r="B14" s="34" t="s">
        <v>53</v>
      </c>
      <c r="C14" s="34"/>
      <c r="D14" s="34"/>
      <c r="E14" s="34"/>
      <c r="F14" s="34"/>
      <c r="G14" s="34"/>
      <c r="H14" s="34"/>
      <c r="I14" s="34"/>
      <c r="J14" s="34"/>
      <c r="K14" s="34"/>
      <c r="L14" s="34"/>
      <c r="M14" s="34"/>
    </row>
    <row r="15" customFormat="false" ht="24" hidden="false" customHeight="true" outlineLevel="0" collapsed="false">
      <c r="A15" s="33" t="s">
        <v>191</v>
      </c>
      <c r="B15" s="34" t="s">
        <v>256</v>
      </c>
      <c r="C15" s="34"/>
      <c r="D15" s="34"/>
      <c r="E15" s="34"/>
      <c r="F15" s="34"/>
      <c r="G15" s="34"/>
      <c r="H15" s="34"/>
      <c r="I15" s="34"/>
      <c r="J15" s="34"/>
      <c r="K15" s="34"/>
      <c r="L15" s="34"/>
      <c r="M15" s="34"/>
    </row>
    <row r="16" customFormat="false" ht="24" hidden="false" customHeight="true" outlineLevel="0" collapsed="false">
      <c r="A16" s="33" t="s">
        <v>193</v>
      </c>
      <c r="B16" s="34" t="s">
        <v>240</v>
      </c>
      <c r="C16" s="34"/>
      <c r="D16" s="34"/>
      <c r="E16" s="34"/>
      <c r="F16" s="34"/>
      <c r="G16" s="34"/>
      <c r="H16" s="34"/>
      <c r="I16" s="34"/>
      <c r="J16" s="34"/>
      <c r="K16" s="34"/>
      <c r="L16" s="34"/>
      <c r="M16" s="34"/>
    </row>
    <row r="18" customFormat="false" ht="18" hidden="false" customHeight="true" outlineLevel="0" collapsed="false">
      <c r="A18" s="8" t="s">
        <v>195</v>
      </c>
      <c r="B18" s="8"/>
      <c r="C18" s="8"/>
      <c r="D18" s="8"/>
      <c r="E18" s="8"/>
      <c r="F18" s="8"/>
      <c r="G18" s="8"/>
      <c r="H18" s="8"/>
      <c r="I18" s="8"/>
      <c r="J18" s="8"/>
      <c r="K18" s="8"/>
      <c r="L18" s="8"/>
      <c r="M18" s="8"/>
    </row>
    <row r="19" customFormat="false" ht="15" hidden="false" customHeight="false" outlineLevel="0" collapsed="false">
      <c r="A19" s="39" t="s">
        <v>196</v>
      </c>
      <c r="B19" s="39" t="s">
        <v>15</v>
      </c>
      <c r="C19" s="39" t="s">
        <v>197</v>
      </c>
      <c r="D19" s="39" t="s">
        <v>16</v>
      </c>
      <c r="E19" s="39" t="s">
        <v>17</v>
      </c>
      <c r="F19" s="39" t="s">
        <v>18</v>
      </c>
      <c r="G19" s="39" t="s">
        <v>19</v>
      </c>
      <c r="H19" s="39" t="s">
        <v>20</v>
      </c>
      <c r="I19" s="39" t="s">
        <v>21</v>
      </c>
      <c r="J19" s="39" t="s">
        <v>22</v>
      </c>
      <c r="K19" s="39" t="s">
        <v>23</v>
      </c>
      <c r="L19" s="39" t="s">
        <v>24</v>
      </c>
      <c r="M19" s="39" t="s">
        <v>25</v>
      </c>
    </row>
    <row r="20" customFormat="false" ht="19.4" hidden="false" customHeight="false" outlineLevel="0" collapsed="false">
      <c r="A20" s="40" t="s">
        <v>241</v>
      </c>
      <c r="B20" s="41" t="s">
        <v>27</v>
      </c>
      <c r="C20" s="42" t="s">
        <v>242</v>
      </c>
      <c r="D20" s="44" t="n">
        <v>0</v>
      </c>
      <c r="E20" s="44" t="n">
        <v>0</v>
      </c>
      <c r="F20" s="44" t="n">
        <v>1800</v>
      </c>
      <c r="G20" s="44" t="n">
        <v>1700</v>
      </c>
      <c r="H20" s="44" t="n">
        <v>1550</v>
      </c>
      <c r="I20" s="44" t="n">
        <v>1400</v>
      </c>
      <c r="J20" s="44" t="n">
        <v>1250</v>
      </c>
      <c r="K20" s="44" t="n">
        <v>1100</v>
      </c>
      <c r="L20" s="44" t="n">
        <v>950</v>
      </c>
      <c r="M20" s="44" t="n">
        <v>800</v>
      </c>
    </row>
    <row r="21" customFormat="false" ht="19.4" hidden="false" customHeight="false" outlineLevel="0" collapsed="false">
      <c r="A21" s="40" t="s">
        <v>243</v>
      </c>
      <c r="B21" s="41" t="s">
        <v>205</v>
      </c>
      <c r="C21" s="42" t="s">
        <v>244</v>
      </c>
      <c r="D21" s="45" t="n">
        <v>0</v>
      </c>
      <c r="E21" s="45" t="n">
        <v>0</v>
      </c>
      <c r="F21" s="45" t="n">
        <v>0.25</v>
      </c>
      <c r="G21" s="45" t="n">
        <v>0.2</v>
      </c>
      <c r="H21" s="45" t="n">
        <v>0.16</v>
      </c>
      <c r="I21" s="45" t="n">
        <v>0.13</v>
      </c>
      <c r="J21" s="45" t="n">
        <v>0.11</v>
      </c>
      <c r="K21" s="45" t="n">
        <v>0.09</v>
      </c>
      <c r="L21" s="45" t="n">
        <v>0.08</v>
      </c>
      <c r="M21" s="45" t="n">
        <v>0.07</v>
      </c>
    </row>
    <row r="22" customFormat="false" ht="15" hidden="false" customHeight="false" outlineLevel="0" collapsed="false">
      <c r="A22" s="23" t="s">
        <v>245</v>
      </c>
      <c r="B22" s="41" t="s">
        <v>27</v>
      </c>
      <c r="C22" s="42" t="s">
        <v>246</v>
      </c>
      <c r="D22" s="47" t="n">
        <f aca="false">D20*D21</f>
        <v>0</v>
      </c>
      <c r="E22" s="47" t="n">
        <f aca="false">E20*E21</f>
        <v>0</v>
      </c>
      <c r="F22" s="47" t="n">
        <f aca="false">F20*F21</f>
        <v>450</v>
      </c>
      <c r="G22" s="47" t="n">
        <f aca="false">G20*G21</f>
        <v>340</v>
      </c>
      <c r="H22" s="47" t="n">
        <f aca="false">H20*H21</f>
        <v>248</v>
      </c>
      <c r="I22" s="47" t="n">
        <f aca="false">I20*I21</f>
        <v>182</v>
      </c>
      <c r="J22" s="47" t="n">
        <f aca="false">J20*J21</f>
        <v>137.5</v>
      </c>
      <c r="K22" s="47" t="n">
        <f aca="false">K20*K21</f>
        <v>99</v>
      </c>
      <c r="L22" s="47" t="n">
        <f aca="false">L20*L21</f>
        <v>76</v>
      </c>
      <c r="M22" s="47" t="n">
        <f aca="false">M20*M21</f>
        <v>56</v>
      </c>
    </row>
    <row r="23" customFormat="false" ht="15" hidden="false" customHeight="false" outlineLevel="0" collapsed="false">
      <c r="A23" s="23" t="s">
        <v>247</v>
      </c>
      <c r="B23" s="41" t="s">
        <v>205</v>
      </c>
      <c r="C23" s="42" t="s">
        <v>248</v>
      </c>
      <c r="D23" s="45" t="n">
        <v>0</v>
      </c>
      <c r="E23" s="45" t="n">
        <v>0</v>
      </c>
      <c r="F23" s="45" t="n">
        <v>0.25</v>
      </c>
      <c r="G23" s="45" t="n">
        <v>0.25</v>
      </c>
      <c r="H23" s="45" t="n">
        <v>0.23</v>
      </c>
      <c r="I23" s="45" t="n">
        <v>0.22</v>
      </c>
      <c r="J23" s="45" t="n">
        <v>0.2</v>
      </c>
      <c r="K23" s="45" t="n">
        <v>0.18</v>
      </c>
      <c r="L23" s="45" t="n">
        <v>0.17</v>
      </c>
      <c r="M23" s="45" t="n">
        <v>0.16</v>
      </c>
    </row>
    <row r="24" customFormat="false" ht="15" hidden="false" customHeight="false" outlineLevel="0" collapsed="false">
      <c r="A24" s="23" t="s">
        <v>207</v>
      </c>
      <c r="B24" s="41" t="s">
        <v>205</v>
      </c>
      <c r="C24" s="42" t="s">
        <v>208</v>
      </c>
      <c r="D24" s="45" t="n">
        <v>0</v>
      </c>
      <c r="E24" s="45" t="n">
        <v>0</v>
      </c>
      <c r="F24" s="45" t="n">
        <v>0.58</v>
      </c>
      <c r="G24" s="45" t="n">
        <v>1</v>
      </c>
      <c r="H24" s="45" t="n">
        <v>1</v>
      </c>
      <c r="I24" s="45" t="n">
        <v>1</v>
      </c>
      <c r="J24" s="45" t="n">
        <v>1</v>
      </c>
      <c r="K24" s="45" t="n">
        <v>1</v>
      </c>
      <c r="L24" s="45" t="n">
        <v>1</v>
      </c>
      <c r="M24" s="45" t="n">
        <v>1</v>
      </c>
    </row>
    <row r="25" customFormat="false" ht="15" hidden="false" customHeight="false" outlineLevel="0" collapsed="false">
      <c r="A25" s="23" t="s">
        <v>211</v>
      </c>
      <c r="B25" s="41" t="s">
        <v>27</v>
      </c>
      <c r="C25" s="42" t="s">
        <v>249</v>
      </c>
      <c r="D25" s="47" t="n">
        <f aca="false">D22*D23*D24</f>
        <v>0</v>
      </c>
      <c r="E25" s="47" t="n">
        <f aca="false">E22*E23*E24</f>
        <v>0</v>
      </c>
      <c r="F25" s="47" t="n">
        <f aca="false">F22*F23*F24</f>
        <v>65.25</v>
      </c>
      <c r="G25" s="47" t="n">
        <f aca="false">G22*G23*G24</f>
        <v>85</v>
      </c>
      <c r="H25" s="47" t="n">
        <f aca="false">H22*H23*H24</f>
        <v>57.04</v>
      </c>
      <c r="I25" s="47" t="n">
        <f aca="false">I22*I23*I24</f>
        <v>40.04</v>
      </c>
      <c r="J25" s="47" t="n">
        <f aca="false">J22*J23*J24</f>
        <v>27.5</v>
      </c>
      <c r="K25" s="47" t="n">
        <f aca="false">K22*K23*K24</f>
        <v>17.82</v>
      </c>
      <c r="L25" s="47" t="n">
        <f aca="false">L22*L23*L24</f>
        <v>12.92</v>
      </c>
      <c r="M25" s="47" t="n">
        <f aca="false">M22*M23*M24</f>
        <v>8.96</v>
      </c>
    </row>
    <row r="26" customFormat="false" ht="19.4" hidden="false" customHeight="false" outlineLevel="0" collapsed="false">
      <c r="A26" s="23" t="s">
        <v>213</v>
      </c>
      <c r="B26" s="41" t="s">
        <v>205</v>
      </c>
      <c r="C26" s="42" t="s">
        <v>250</v>
      </c>
      <c r="D26" s="45" t="n">
        <v>1</v>
      </c>
      <c r="E26" s="45" t="n">
        <v>1</v>
      </c>
      <c r="F26" s="45" t="n">
        <v>1</v>
      </c>
      <c r="G26" s="45" t="n">
        <v>1</v>
      </c>
      <c r="H26" s="45" t="n">
        <v>1</v>
      </c>
      <c r="I26" s="45" t="n">
        <v>1</v>
      </c>
      <c r="J26" s="45" t="n">
        <v>1</v>
      </c>
      <c r="K26" s="45" t="n">
        <v>1</v>
      </c>
      <c r="L26" s="45" t="n">
        <v>1</v>
      </c>
      <c r="M26" s="45" t="n">
        <v>1</v>
      </c>
    </row>
    <row r="27" customFormat="false" ht="15" hidden="false" customHeight="false" outlineLevel="0" collapsed="false">
      <c r="A27" s="23" t="s">
        <v>215</v>
      </c>
      <c r="B27" s="41" t="s">
        <v>205</v>
      </c>
      <c r="C27" s="42" t="s">
        <v>251</v>
      </c>
      <c r="D27" s="45" t="n">
        <v>0.7</v>
      </c>
      <c r="E27" s="45" t="n">
        <v>0.7</v>
      </c>
      <c r="F27" s="45" t="n">
        <v>0.7</v>
      </c>
      <c r="G27" s="45" t="n">
        <v>0.7</v>
      </c>
      <c r="H27" s="45" t="n">
        <v>0.7</v>
      </c>
      <c r="I27" s="45" t="n">
        <v>0.7</v>
      </c>
      <c r="J27" s="45" t="n">
        <v>0.7</v>
      </c>
      <c r="K27" s="45" t="n">
        <v>0.7</v>
      </c>
      <c r="L27" s="45" t="n">
        <v>0.7</v>
      </c>
      <c r="M27" s="45" t="n">
        <v>0.7</v>
      </c>
    </row>
    <row r="28" customFormat="false" ht="15" hidden="false" customHeight="false" outlineLevel="0" collapsed="false">
      <c r="A28" s="23" t="s">
        <v>217</v>
      </c>
      <c r="B28" s="41" t="s">
        <v>205</v>
      </c>
      <c r="C28" s="42" t="s">
        <v>252</v>
      </c>
      <c r="D28" s="45" t="n">
        <v>0</v>
      </c>
      <c r="E28" s="45" t="n">
        <v>0</v>
      </c>
      <c r="F28" s="45" t="n">
        <v>0.32</v>
      </c>
      <c r="G28" s="45" t="n">
        <v>0.33</v>
      </c>
      <c r="H28" s="45" t="n">
        <v>0.32</v>
      </c>
      <c r="I28" s="45" t="n">
        <v>0.3</v>
      </c>
      <c r="J28" s="45" t="n">
        <v>0.3</v>
      </c>
      <c r="K28" s="45" t="n">
        <v>0.28</v>
      </c>
      <c r="L28" s="45" t="n">
        <v>0.28</v>
      </c>
      <c r="M28" s="45" t="n">
        <v>0.28</v>
      </c>
    </row>
    <row r="36" customFormat="false" ht="18" hidden="false" customHeight="true" outlineLevel="0" collapsed="false">
      <c r="A36" s="8" t="s">
        <v>219</v>
      </c>
      <c r="B36" s="8"/>
      <c r="C36" s="8"/>
      <c r="D36" s="8"/>
      <c r="E36" s="8"/>
      <c r="F36" s="8"/>
      <c r="G36" s="8"/>
      <c r="H36" s="8"/>
      <c r="I36" s="8"/>
      <c r="J36" s="8"/>
      <c r="K36" s="8"/>
      <c r="L36" s="8"/>
      <c r="M36" s="8"/>
    </row>
    <row r="37" customFormat="false" ht="15" hidden="false" customHeight="false" outlineLevel="0" collapsed="false">
      <c r="A37" s="48" t="s">
        <v>220</v>
      </c>
      <c r="B37" s="49" t="s">
        <v>27</v>
      </c>
      <c r="C37" s="50"/>
      <c r="D37" s="51" t="n">
        <f aca="false">D25</f>
        <v>0</v>
      </c>
      <c r="E37" s="51" t="n">
        <f aca="false">E25</f>
        <v>0</v>
      </c>
      <c r="F37" s="51" t="n">
        <f aca="false">F25</f>
        <v>65.25</v>
      </c>
      <c r="G37" s="51" t="n">
        <f aca="false">G25</f>
        <v>85</v>
      </c>
      <c r="H37" s="51" t="n">
        <f aca="false">H25</f>
        <v>57.04</v>
      </c>
      <c r="I37" s="51" t="n">
        <f aca="false">I25</f>
        <v>40.04</v>
      </c>
      <c r="J37" s="51" t="n">
        <f aca="false">J25</f>
        <v>27.5</v>
      </c>
      <c r="K37" s="51" t="n">
        <f aca="false">K25</f>
        <v>17.82</v>
      </c>
      <c r="L37" s="51" t="n">
        <f aca="false">L25</f>
        <v>12.92</v>
      </c>
      <c r="M37" s="51" t="n">
        <f aca="false">M25</f>
        <v>8.96</v>
      </c>
    </row>
    <row r="38" customFormat="false" ht="15" hidden="false" customHeight="false" outlineLevel="0" collapsed="false">
      <c r="A38" s="52" t="s">
        <v>221</v>
      </c>
      <c r="B38" s="49" t="s">
        <v>27</v>
      </c>
      <c r="C38" s="50"/>
      <c r="D38" s="48" t="n">
        <f aca="false">D25*D26*$B$9</f>
        <v>0</v>
      </c>
      <c r="E38" s="48" t="n">
        <f aca="false">E25*E26*$B$9</f>
        <v>0</v>
      </c>
      <c r="F38" s="48" t="n">
        <f aca="false">F25*F26*$B$9</f>
        <v>65.25</v>
      </c>
      <c r="G38" s="48" t="n">
        <f aca="false">G25*G26*$B$9</f>
        <v>85</v>
      </c>
      <c r="H38" s="48" t="n">
        <f aca="false">H25*H26*$B$9</f>
        <v>57.04</v>
      </c>
      <c r="I38" s="48" t="n">
        <f aca="false">I25*I26*$B$9</f>
        <v>40.04</v>
      </c>
      <c r="J38" s="48" t="n">
        <f aca="false">J25*J26*$B$9</f>
        <v>27.5</v>
      </c>
      <c r="K38" s="48" t="n">
        <f aca="false">K25*K26*$B$9</f>
        <v>17.82</v>
      </c>
      <c r="L38" s="48" t="n">
        <f aca="false">L25*L26*$B$9</f>
        <v>12.92</v>
      </c>
      <c r="M38" s="48" t="n">
        <f aca="false">M25*M26*$B$9</f>
        <v>8.96</v>
      </c>
    </row>
    <row r="39" customFormat="false" ht="15" hidden="false" customHeight="false" outlineLevel="0" collapsed="false">
      <c r="A39" s="52" t="s">
        <v>222</v>
      </c>
      <c r="B39" s="49" t="s">
        <v>27</v>
      </c>
      <c r="C39" s="50"/>
      <c r="D39" s="48" t="n">
        <f aca="false">D38*D27</f>
        <v>0</v>
      </c>
      <c r="E39" s="48" t="n">
        <f aca="false">E38*E27</f>
        <v>0</v>
      </c>
      <c r="F39" s="48" t="n">
        <f aca="false">F38*F27</f>
        <v>45.675</v>
      </c>
      <c r="G39" s="48" t="n">
        <f aca="false">G38*G27</f>
        <v>59.5</v>
      </c>
      <c r="H39" s="48" t="n">
        <f aca="false">H38*H27</f>
        <v>39.928</v>
      </c>
      <c r="I39" s="48" t="n">
        <f aca="false">I38*I27</f>
        <v>28.028</v>
      </c>
      <c r="J39" s="48" t="n">
        <f aca="false">J38*J27</f>
        <v>19.25</v>
      </c>
      <c r="K39" s="48" t="n">
        <f aca="false">K38*K27</f>
        <v>12.474</v>
      </c>
      <c r="L39" s="48" t="n">
        <f aca="false">L38*L27</f>
        <v>9.044</v>
      </c>
      <c r="M39" s="48" t="n">
        <f aca="false">M38*M27</f>
        <v>6.272</v>
      </c>
    </row>
    <row r="40" customFormat="false" ht="15" hidden="false" customHeight="false" outlineLevel="0" collapsed="false">
      <c r="A40" s="48" t="s">
        <v>217</v>
      </c>
      <c r="B40" s="49" t="s">
        <v>205</v>
      </c>
      <c r="C40" s="50"/>
      <c r="D40" s="53" t="n">
        <f aca="false">D28</f>
        <v>0</v>
      </c>
      <c r="E40" s="53" t="n">
        <f aca="false">E28</f>
        <v>0</v>
      </c>
      <c r="F40" s="53" t="n">
        <f aca="false">F28</f>
        <v>0.32</v>
      </c>
      <c r="G40" s="53" t="n">
        <f aca="false">G28</f>
        <v>0.33</v>
      </c>
      <c r="H40" s="53" t="n">
        <f aca="false">H28</f>
        <v>0.32</v>
      </c>
      <c r="I40" s="53" t="n">
        <f aca="false">I28</f>
        <v>0.3</v>
      </c>
      <c r="J40" s="53" t="n">
        <f aca="false">J28</f>
        <v>0.3</v>
      </c>
      <c r="K40" s="53" t="n">
        <f aca="false">K28</f>
        <v>0.28</v>
      </c>
      <c r="L40" s="53" t="n">
        <f aca="false">L28</f>
        <v>0.28</v>
      </c>
      <c r="M40" s="53" t="n">
        <f aca="false">M28</f>
        <v>0.28</v>
      </c>
    </row>
    <row r="41" customFormat="false" ht="15" hidden="false" customHeight="false" outlineLevel="0" collapsed="false">
      <c r="A41" s="48" t="s">
        <v>162</v>
      </c>
      <c r="B41" s="49" t="s">
        <v>27</v>
      </c>
      <c r="C41" s="50"/>
      <c r="D41" s="48" t="n">
        <f aca="false">D38*D40</f>
        <v>0</v>
      </c>
      <c r="E41" s="48" t="n">
        <f aca="false">E38*E40</f>
        <v>0</v>
      </c>
      <c r="F41" s="48" t="n">
        <f aca="false">F38*F40</f>
        <v>20.88</v>
      </c>
      <c r="G41" s="48" t="n">
        <f aca="false">G38*G40</f>
        <v>28.05</v>
      </c>
      <c r="H41" s="48" t="n">
        <f aca="false">H38*H40</f>
        <v>18.2528</v>
      </c>
      <c r="I41" s="48" t="n">
        <f aca="false">I38*I40</f>
        <v>12.012</v>
      </c>
      <c r="J41" s="48" t="n">
        <f aca="false">J38*J40</f>
        <v>8.25</v>
      </c>
      <c r="K41" s="48" t="n">
        <f aca="false">K38*K40</f>
        <v>4.9896</v>
      </c>
      <c r="L41" s="48" t="n">
        <f aca="false">L38*L40</f>
        <v>3.6176</v>
      </c>
      <c r="M41" s="48" t="n">
        <f aca="false">M38*M40</f>
        <v>2.5088</v>
      </c>
    </row>
    <row r="42" customFormat="false" ht="15" hidden="false" customHeight="false" outlineLevel="0" collapsed="false">
      <c r="A42" s="48" t="s">
        <v>30</v>
      </c>
      <c r="B42" s="49" t="s">
        <v>27</v>
      </c>
      <c r="C42" s="50"/>
      <c r="D42" s="48" t="n">
        <f aca="false">D39*D40</f>
        <v>0</v>
      </c>
      <c r="E42" s="48" t="n">
        <f aca="false">E39*E40</f>
        <v>0</v>
      </c>
      <c r="F42" s="48" t="n">
        <f aca="false">F39*F40</f>
        <v>14.616</v>
      </c>
      <c r="G42" s="48" t="n">
        <f aca="false">G39*G40</f>
        <v>19.635</v>
      </c>
      <c r="H42" s="48" t="n">
        <f aca="false">H39*H40</f>
        <v>12.77696</v>
      </c>
      <c r="I42" s="48" t="n">
        <f aca="false">I39*I40</f>
        <v>8.4084</v>
      </c>
      <c r="J42" s="48" t="n">
        <f aca="false">J39*J40</f>
        <v>5.775</v>
      </c>
      <c r="K42" s="48" t="n">
        <f aca="false">K39*K40</f>
        <v>3.49272</v>
      </c>
      <c r="L42" s="48" t="n">
        <f aca="false">L39*L40</f>
        <v>2.53232</v>
      </c>
      <c r="M42" s="48" t="n">
        <f aca="false">M39*M40</f>
        <v>1.75616</v>
      </c>
    </row>
    <row r="43" customFormat="false" ht="15" hidden="false" customHeight="false" outlineLevel="0" collapsed="false">
      <c r="A43" s="48" t="s">
        <v>221</v>
      </c>
      <c r="B43" s="49" t="s">
        <v>31</v>
      </c>
      <c r="C43" s="50"/>
      <c r="D43" s="54" t="n">
        <f aca="false">D38*'Global Assump'!D$4</f>
        <v>0</v>
      </c>
      <c r="E43" s="54" t="n">
        <f aca="false">E38*'Global Assump'!E$4</f>
        <v>0</v>
      </c>
      <c r="F43" s="54" t="n">
        <f aca="false">F38*'Global Assump'!F$4</f>
        <v>5872.5</v>
      </c>
      <c r="G43" s="54" t="n">
        <f aca="false">G38*'Global Assump'!G$4</f>
        <v>7820</v>
      </c>
      <c r="H43" s="54" t="n">
        <f aca="false">H38*'Global Assump'!H$4</f>
        <v>5361.76</v>
      </c>
      <c r="I43" s="54" t="n">
        <f aca="false">I38*'Global Assump'!I$4</f>
        <v>3843.84</v>
      </c>
      <c r="J43" s="54" t="n">
        <f aca="false">J38*'Global Assump'!J$4</f>
        <v>2695</v>
      </c>
      <c r="K43" s="54" t="n">
        <f aca="false">K38*'Global Assump'!K$4</f>
        <v>1782</v>
      </c>
      <c r="L43" s="54" t="n">
        <f aca="false">L38*'Global Assump'!L$4</f>
        <v>1317.84</v>
      </c>
      <c r="M43" s="54" t="n">
        <f aca="false">M38*'Global Assump'!M$4</f>
        <v>931.84</v>
      </c>
    </row>
    <row r="44" customFormat="false" ht="15" hidden="false" customHeight="false" outlineLevel="0" collapsed="false">
      <c r="A44" s="48" t="s">
        <v>222</v>
      </c>
      <c r="B44" s="49" t="s">
        <v>31</v>
      </c>
      <c r="C44" s="50"/>
      <c r="D44" s="54" t="n">
        <f aca="false">D39*'Global Assump'!D$4</f>
        <v>0</v>
      </c>
      <c r="E44" s="54" t="n">
        <f aca="false">E39*'Global Assump'!E$4</f>
        <v>0</v>
      </c>
      <c r="F44" s="54" t="n">
        <f aca="false">F39*'Global Assump'!F$4</f>
        <v>4110.75</v>
      </c>
      <c r="G44" s="54" t="n">
        <f aca="false">G39*'Global Assump'!G$4</f>
        <v>5474</v>
      </c>
      <c r="H44" s="54" t="n">
        <f aca="false">H39*'Global Assump'!H$4</f>
        <v>3753.232</v>
      </c>
      <c r="I44" s="54" t="n">
        <f aca="false">I39*'Global Assump'!I$4</f>
        <v>2690.688</v>
      </c>
      <c r="J44" s="54" t="n">
        <f aca="false">J39*'Global Assump'!J$4</f>
        <v>1886.5</v>
      </c>
      <c r="K44" s="54" t="n">
        <f aca="false">K39*'Global Assump'!K$4</f>
        <v>1247.4</v>
      </c>
      <c r="L44" s="54" t="n">
        <f aca="false">L39*'Global Assump'!L$4</f>
        <v>922.488</v>
      </c>
      <c r="M44" s="54" t="n">
        <f aca="false">M39*'Global Assump'!M$4</f>
        <v>652.288</v>
      </c>
    </row>
    <row r="46" customFormat="false" ht="18" hidden="false" customHeight="true" outlineLevel="0" collapsed="false">
      <c r="A46" s="8" t="s">
        <v>223</v>
      </c>
      <c r="B46" s="8"/>
      <c r="C46" s="8"/>
      <c r="D46" s="8"/>
      <c r="E46" s="8"/>
      <c r="F46" s="8"/>
      <c r="G46" s="8"/>
      <c r="H46" s="8"/>
      <c r="I46" s="8"/>
      <c r="J46" s="8"/>
      <c r="K46" s="8"/>
      <c r="L46" s="8"/>
      <c r="M46" s="8"/>
    </row>
    <row r="47" customFormat="false" ht="27.75" hidden="false" customHeight="true" outlineLevel="0" collapsed="false">
      <c r="A47" s="55" t="s">
        <v>257</v>
      </c>
      <c r="B47" s="55"/>
      <c r="C47" s="55"/>
      <c r="D47" s="55"/>
      <c r="E47" s="55"/>
      <c r="F47" s="55"/>
      <c r="G47" s="55"/>
      <c r="H47" s="55"/>
      <c r="I47" s="55"/>
      <c r="J47" s="55"/>
      <c r="K47" s="55"/>
      <c r="L47" s="55"/>
      <c r="M47" s="55"/>
    </row>
  </sheetData>
  <autoFilter ref="A19:M44"/>
  <mergeCells count="19">
    <mergeCell ref="A1:M1"/>
    <mergeCell ref="A2:M2"/>
    <mergeCell ref="A4:M4"/>
    <mergeCell ref="B5:M5"/>
    <mergeCell ref="B6:M6"/>
    <mergeCell ref="B7:M7"/>
    <mergeCell ref="B8:M8"/>
    <mergeCell ref="B9:M9"/>
    <mergeCell ref="B10:M10"/>
    <mergeCell ref="B11:M11"/>
    <mergeCell ref="B12:M12"/>
    <mergeCell ref="B13:M13"/>
    <mergeCell ref="B14:M14"/>
    <mergeCell ref="B15:M15"/>
    <mergeCell ref="B16:M16"/>
    <mergeCell ref="A18:M18"/>
    <mergeCell ref="A36:M36"/>
    <mergeCell ref="A46:M46"/>
    <mergeCell ref="A47:M47"/>
  </mergeCells>
  <conditionalFormatting sqref="B13">
    <cfRule type="expression" priority="2" aboveAverage="0" equalAverage="0" bottom="0" percent="0" rank="0" text="" dxfId="6">
      <formula>B13="Within range"</formula>
    </cfRule>
    <cfRule type="expression" priority="3" aboveAverage="0" equalAverage="0" bottom="0" percent="0" rank="0" text="" dxfId="7">
      <formula>B13&lt;&gt;"Within range"</formula>
    </cfRule>
  </conditionalFormatting>
  <dataValidations count="1">
    <dataValidation allowBlank="false" errorStyle="stop" operator="between" showDropDown="false" showErrorMessage="false" showInputMessage="false" sqref="B9" type="list">
      <formula1>"0,1"</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M47"/>
  <sheetViews>
    <sheetView showFormulas="false" showGridLines="false" showRowColHeaders="true" showZeros="true" rightToLeft="false" tabSelected="false" showOutlineSymbols="true" defaultGridColor="true" view="normal" topLeftCell="A1" colorId="64" zoomScale="85" zoomScaleNormal="85" zoomScalePageLayoutView="100" workbookViewId="0">
      <pane xSplit="3" ySplit="19" topLeftCell="D20" activePane="bottomRight" state="frozen"/>
      <selection pane="topLeft" activeCell="A1" activeCellId="0" sqref="A1"/>
      <selection pane="topRight" activeCell="D1" activeCellId="0" sqref="D1"/>
      <selection pane="bottomLeft" activeCell="A20" activeCellId="0" sqref="A20"/>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0" width="32"/>
    <col collapsed="false" customWidth="true" hidden="false" outlineLevel="0" max="2" min="2" style="0" width="15"/>
    <col collapsed="false" customWidth="true" hidden="false" outlineLevel="0" max="3" min="3" style="0" width="30"/>
    <col collapsed="false" customWidth="true" hidden="false" outlineLevel="0" max="13" min="4" style="0" width="12"/>
  </cols>
  <sheetData>
    <row r="1" customFormat="false" ht="24" hidden="false" customHeight="true" outlineLevel="0" collapsed="false">
      <c r="A1" s="24" t="s">
        <v>65</v>
      </c>
      <c r="B1" s="24"/>
      <c r="C1" s="24"/>
      <c r="D1" s="24"/>
      <c r="E1" s="24"/>
      <c r="F1" s="24"/>
      <c r="G1" s="24"/>
      <c r="H1" s="24"/>
      <c r="I1" s="24"/>
      <c r="J1" s="24"/>
      <c r="K1" s="24"/>
      <c r="L1" s="24"/>
      <c r="M1" s="24"/>
    </row>
    <row r="2" customFormat="false" ht="27.75" hidden="false" customHeight="true" outlineLevel="0" collapsed="false">
      <c r="A2" s="25" t="s">
        <v>258</v>
      </c>
      <c r="B2" s="25"/>
      <c r="C2" s="25"/>
      <c r="D2" s="25"/>
      <c r="E2" s="25"/>
      <c r="F2" s="25"/>
      <c r="G2" s="25"/>
      <c r="H2" s="25"/>
      <c r="I2" s="25"/>
      <c r="J2" s="25"/>
      <c r="K2" s="25"/>
      <c r="L2" s="25"/>
      <c r="M2" s="25"/>
    </row>
    <row r="4" customFormat="false" ht="18" hidden="false" customHeight="true" outlineLevel="0" collapsed="false">
      <c r="A4" s="8" t="s">
        <v>182</v>
      </c>
      <c r="B4" s="8"/>
      <c r="C4" s="8"/>
      <c r="D4" s="8"/>
      <c r="E4" s="8"/>
      <c r="F4" s="8"/>
      <c r="G4" s="8"/>
      <c r="H4" s="8"/>
      <c r="I4" s="8"/>
      <c r="J4" s="8"/>
      <c r="K4" s="8"/>
      <c r="L4" s="8"/>
      <c r="M4" s="8"/>
    </row>
    <row r="5" customFormat="false" ht="18" hidden="false" customHeight="true" outlineLevel="0" collapsed="false">
      <c r="A5" s="33" t="s">
        <v>183</v>
      </c>
      <c r="B5" s="34" t="s">
        <v>65</v>
      </c>
      <c r="C5" s="34"/>
      <c r="D5" s="34"/>
      <c r="E5" s="34"/>
      <c r="F5" s="34"/>
      <c r="G5" s="34"/>
      <c r="H5" s="34"/>
      <c r="I5" s="34"/>
      <c r="J5" s="34"/>
      <c r="K5" s="34"/>
      <c r="L5" s="34"/>
      <c r="M5" s="34"/>
    </row>
    <row r="6" customFormat="false" ht="18" hidden="false" customHeight="true" outlineLevel="0" collapsed="false">
      <c r="A6" s="33" t="s">
        <v>33</v>
      </c>
      <c r="B6" s="34" t="s">
        <v>35</v>
      </c>
      <c r="C6" s="34"/>
      <c r="D6" s="34"/>
      <c r="E6" s="34"/>
      <c r="F6" s="34"/>
      <c r="G6" s="34"/>
      <c r="H6" s="34"/>
      <c r="I6" s="34"/>
      <c r="J6" s="34"/>
      <c r="K6" s="34"/>
      <c r="L6" s="34"/>
      <c r="M6" s="34"/>
    </row>
    <row r="7" customFormat="false" ht="18" hidden="false" customHeight="true" outlineLevel="0" collapsed="false">
      <c r="A7" s="33" t="s">
        <v>42</v>
      </c>
      <c r="B7" s="34" t="s">
        <v>51</v>
      </c>
      <c r="C7" s="34"/>
      <c r="D7" s="34"/>
      <c r="E7" s="34"/>
      <c r="F7" s="34"/>
      <c r="G7" s="34"/>
      <c r="H7" s="34"/>
      <c r="I7" s="34"/>
      <c r="J7" s="34"/>
      <c r="K7" s="34"/>
      <c r="L7" s="34"/>
      <c r="M7" s="34"/>
    </row>
    <row r="8" customFormat="false" ht="24" hidden="false" customHeight="true" outlineLevel="0" collapsed="false">
      <c r="A8" s="33" t="s">
        <v>184</v>
      </c>
      <c r="B8" s="34" t="s">
        <v>66</v>
      </c>
      <c r="C8" s="34"/>
      <c r="D8" s="34"/>
      <c r="E8" s="34"/>
      <c r="F8" s="34"/>
      <c r="G8" s="34"/>
      <c r="H8" s="34"/>
      <c r="I8" s="34"/>
      <c r="J8" s="34"/>
      <c r="K8" s="34"/>
      <c r="L8" s="34"/>
      <c r="M8" s="34"/>
    </row>
    <row r="9" customFormat="false" ht="18" hidden="false" customHeight="true" outlineLevel="0" collapsed="false">
      <c r="A9" s="33" t="s">
        <v>185</v>
      </c>
      <c r="B9" s="35" t="n">
        <v>1</v>
      </c>
      <c r="C9" s="35"/>
      <c r="D9" s="35"/>
      <c r="E9" s="35"/>
      <c r="F9" s="35"/>
      <c r="G9" s="35"/>
      <c r="H9" s="35"/>
      <c r="I9" s="35"/>
      <c r="J9" s="35"/>
      <c r="K9" s="35"/>
      <c r="L9" s="35"/>
      <c r="M9" s="35"/>
    </row>
    <row r="10" customFormat="false" ht="18" hidden="false" customHeight="true" outlineLevel="0" collapsed="false">
      <c r="A10" s="33" t="s">
        <v>186</v>
      </c>
      <c r="B10" s="36" t="n">
        <v>40</v>
      </c>
      <c r="C10" s="36"/>
      <c r="D10" s="36"/>
      <c r="E10" s="36"/>
      <c r="F10" s="36"/>
      <c r="G10" s="36"/>
      <c r="H10" s="36"/>
      <c r="I10" s="36"/>
      <c r="J10" s="36"/>
      <c r="K10" s="36"/>
      <c r="L10" s="36"/>
      <c r="M10" s="36"/>
    </row>
    <row r="11" customFormat="false" ht="18" hidden="false" customHeight="true" outlineLevel="0" collapsed="false">
      <c r="A11" s="33" t="s">
        <v>187</v>
      </c>
      <c r="B11" s="36" t="n">
        <v>70</v>
      </c>
      <c r="C11" s="36"/>
      <c r="D11" s="36"/>
      <c r="E11" s="36"/>
      <c r="F11" s="36"/>
      <c r="G11" s="36"/>
      <c r="H11" s="36"/>
      <c r="I11" s="36"/>
      <c r="J11" s="36"/>
      <c r="K11" s="36"/>
      <c r="L11" s="36"/>
      <c r="M11" s="36"/>
    </row>
    <row r="12" customFormat="false" ht="18" hidden="false" customHeight="true" outlineLevel="0" collapsed="false">
      <c r="A12" s="33" t="s">
        <v>188</v>
      </c>
      <c r="B12" s="37" t="n">
        <f aca="false">MAX(D38:M38)</f>
        <v>42.9975</v>
      </c>
      <c r="C12" s="37"/>
      <c r="D12" s="37"/>
      <c r="E12" s="37"/>
      <c r="F12" s="37"/>
      <c r="G12" s="37"/>
      <c r="H12" s="37"/>
      <c r="I12" s="37"/>
      <c r="J12" s="37"/>
      <c r="K12" s="37"/>
      <c r="L12" s="37"/>
      <c r="M12" s="37"/>
    </row>
    <row r="13" customFormat="false" ht="18" hidden="false" customHeight="true" outlineLevel="0" collapsed="false">
      <c r="A13" s="33" t="s">
        <v>189</v>
      </c>
      <c r="B13" s="38" t="str">
        <f aca="false">IF(AND(B12&gt;=B10,B12&lt;=B11),"Within range",IF(B12&lt;B10,"Below range","Above range"))</f>
        <v>Within range</v>
      </c>
      <c r="C13" s="38"/>
      <c r="D13" s="38"/>
      <c r="E13" s="38"/>
      <c r="F13" s="38"/>
      <c r="G13" s="38"/>
      <c r="H13" s="38"/>
      <c r="I13" s="38"/>
      <c r="J13" s="38"/>
      <c r="K13" s="38"/>
      <c r="L13" s="38"/>
      <c r="M13" s="38"/>
    </row>
    <row r="14" customFormat="false" ht="18" hidden="false" customHeight="true" outlineLevel="0" collapsed="false">
      <c r="A14" s="33" t="s">
        <v>190</v>
      </c>
      <c r="B14" s="34" t="s">
        <v>57</v>
      </c>
      <c r="C14" s="34"/>
      <c r="D14" s="34"/>
      <c r="E14" s="34"/>
      <c r="F14" s="34"/>
      <c r="G14" s="34"/>
      <c r="H14" s="34"/>
      <c r="I14" s="34"/>
      <c r="J14" s="34"/>
      <c r="K14" s="34"/>
      <c r="L14" s="34"/>
      <c r="M14" s="34"/>
    </row>
    <row r="15" customFormat="false" ht="24" hidden="false" customHeight="true" outlineLevel="0" collapsed="false">
      <c r="A15" s="33" t="s">
        <v>191</v>
      </c>
      <c r="B15" s="34" t="s">
        <v>259</v>
      </c>
      <c r="C15" s="34"/>
      <c r="D15" s="34"/>
      <c r="E15" s="34"/>
      <c r="F15" s="34"/>
      <c r="G15" s="34"/>
      <c r="H15" s="34"/>
      <c r="I15" s="34"/>
      <c r="J15" s="34"/>
      <c r="K15" s="34"/>
      <c r="L15" s="34"/>
      <c r="M15" s="34"/>
    </row>
    <row r="16" customFormat="false" ht="24" hidden="false" customHeight="true" outlineLevel="0" collapsed="false">
      <c r="A16" s="33" t="s">
        <v>193</v>
      </c>
      <c r="B16" s="34" t="s">
        <v>240</v>
      </c>
      <c r="C16" s="34"/>
      <c r="D16" s="34"/>
      <c r="E16" s="34"/>
      <c r="F16" s="34"/>
      <c r="G16" s="34"/>
      <c r="H16" s="34"/>
      <c r="I16" s="34"/>
      <c r="J16" s="34"/>
      <c r="K16" s="34"/>
      <c r="L16" s="34"/>
      <c r="M16" s="34"/>
    </row>
    <row r="18" customFormat="false" ht="18" hidden="false" customHeight="true" outlineLevel="0" collapsed="false">
      <c r="A18" s="8" t="s">
        <v>195</v>
      </c>
      <c r="B18" s="8"/>
      <c r="C18" s="8"/>
      <c r="D18" s="8"/>
      <c r="E18" s="8"/>
      <c r="F18" s="8"/>
      <c r="G18" s="8"/>
      <c r="H18" s="8"/>
      <c r="I18" s="8"/>
      <c r="J18" s="8"/>
      <c r="K18" s="8"/>
      <c r="L18" s="8"/>
      <c r="M18" s="8"/>
    </row>
    <row r="19" customFormat="false" ht="15" hidden="false" customHeight="false" outlineLevel="0" collapsed="false">
      <c r="A19" s="39" t="s">
        <v>196</v>
      </c>
      <c r="B19" s="39" t="s">
        <v>15</v>
      </c>
      <c r="C19" s="39" t="s">
        <v>197</v>
      </c>
      <c r="D19" s="39" t="s">
        <v>16</v>
      </c>
      <c r="E19" s="39" t="s">
        <v>17</v>
      </c>
      <c r="F19" s="39" t="s">
        <v>18</v>
      </c>
      <c r="G19" s="39" t="s">
        <v>19</v>
      </c>
      <c r="H19" s="39" t="s">
        <v>20</v>
      </c>
      <c r="I19" s="39" t="s">
        <v>21</v>
      </c>
      <c r="J19" s="39" t="s">
        <v>22</v>
      </c>
      <c r="K19" s="39" t="s">
        <v>23</v>
      </c>
      <c r="L19" s="39" t="s">
        <v>24</v>
      </c>
      <c r="M19" s="39" t="s">
        <v>25</v>
      </c>
    </row>
    <row r="20" customFormat="false" ht="19.4" hidden="false" customHeight="false" outlineLevel="0" collapsed="false">
      <c r="A20" s="40" t="s">
        <v>241</v>
      </c>
      <c r="B20" s="41" t="s">
        <v>27</v>
      </c>
      <c r="C20" s="42" t="s">
        <v>242</v>
      </c>
      <c r="D20" s="44" t="n">
        <v>0</v>
      </c>
      <c r="E20" s="44" t="n">
        <v>0</v>
      </c>
      <c r="F20" s="44" t="n">
        <v>0</v>
      </c>
      <c r="G20" s="44" t="n">
        <v>0</v>
      </c>
      <c r="H20" s="44" t="n">
        <v>750</v>
      </c>
      <c r="I20" s="44" t="n">
        <v>680</v>
      </c>
      <c r="J20" s="44" t="n">
        <v>650</v>
      </c>
      <c r="K20" s="44" t="n">
        <v>600</v>
      </c>
      <c r="L20" s="44" t="n">
        <v>540</v>
      </c>
      <c r="M20" s="44" t="n">
        <v>480</v>
      </c>
    </row>
    <row r="21" customFormat="false" ht="19.4" hidden="false" customHeight="false" outlineLevel="0" collapsed="false">
      <c r="A21" s="40" t="s">
        <v>243</v>
      </c>
      <c r="B21" s="41" t="s">
        <v>205</v>
      </c>
      <c r="C21" s="42" t="s">
        <v>244</v>
      </c>
      <c r="D21" s="45" t="n">
        <v>0</v>
      </c>
      <c r="E21" s="45" t="n">
        <v>0</v>
      </c>
      <c r="F21" s="45" t="n">
        <v>0</v>
      </c>
      <c r="G21" s="45" t="n">
        <v>0</v>
      </c>
      <c r="H21" s="45" t="n">
        <v>0.35</v>
      </c>
      <c r="I21" s="45" t="n">
        <v>0.28</v>
      </c>
      <c r="J21" s="45" t="n">
        <v>0.22</v>
      </c>
      <c r="K21" s="45" t="n">
        <v>0.18</v>
      </c>
      <c r="L21" s="45" t="n">
        <v>0.15</v>
      </c>
      <c r="M21" s="45" t="n">
        <v>0.13</v>
      </c>
    </row>
    <row r="22" customFormat="false" ht="15" hidden="false" customHeight="false" outlineLevel="0" collapsed="false">
      <c r="A22" s="23" t="s">
        <v>245</v>
      </c>
      <c r="B22" s="41" t="s">
        <v>27</v>
      </c>
      <c r="C22" s="42" t="s">
        <v>246</v>
      </c>
      <c r="D22" s="47" t="n">
        <f aca="false">D20*D21</f>
        <v>0</v>
      </c>
      <c r="E22" s="47" t="n">
        <f aca="false">E20*E21</f>
        <v>0</v>
      </c>
      <c r="F22" s="47" t="n">
        <f aca="false">F20*F21</f>
        <v>0</v>
      </c>
      <c r="G22" s="47" t="n">
        <f aca="false">G20*G21</f>
        <v>0</v>
      </c>
      <c r="H22" s="47" t="n">
        <f aca="false">H20*H21</f>
        <v>262.5</v>
      </c>
      <c r="I22" s="47" t="n">
        <f aca="false">I20*I21</f>
        <v>190.4</v>
      </c>
      <c r="J22" s="47" t="n">
        <f aca="false">J20*J21</f>
        <v>143</v>
      </c>
      <c r="K22" s="47" t="n">
        <f aca="false">K20*K21</f>
        <v>108</v>
      </c>
      <c r="L22" s="47" t="n">
        <f aca="false">L20*L21</f>
        <v>81</v>
      </c>
      <c r="M22" s="47" t="n">
        <f aca="false">M20*M21</f>
        <v>62.4</v>
      </c>
    </row>
    <row r="23" customFormat="false" ht="15" hidden="false" customHeight="false" outlineLevel="0" collapsed="false">
      <c r="A23" s="23" t="s">
        <v>247</v>
      </c>
      <c r="B23" s="41" t="s">
        <v>205</v>
      </c>
      <c r="C23" s="42" t="s">
        <v>248</v>
      </c>
      <c r="D23" s="45" t="n">
        <v>0</v>
      </c>
      <c r="E23" s="45" t="n">
        <v>0</v>
      </c>
      <c r="F23" s="45" t="n">
        <v>0</v>
      </c>
      <c r="G23" s="45" t="n">
        <v>0</v>
      </c>
      <c r="H23" s="45" t="n">
        <v>0.36</v>
      </c>
      <c r="I23" s="45" t="n">
        <v>0.32</v>
      </c>
      <c r="J23" s="45" t="n">
        <v>0.28</v>
      </c>
      <c r="K23" s="45" t="n">
        <v>0.26</v>
      </c>
      <c r="L23" s="45" t="n">
        <v>0.24</v>
      </c>
      <c r="M23" s="45" t="n">
        <v>0.22</v>
      </c>
    </row>
    <row r="24" customFormat="false" ht="15" hidden="false" customHeight="false" outlineLevel="0" collapsed="false">
      <c r="A24" s="23" t="s">
        <v>207</v>
      </c>
      <c r="B24" s="41" t="s">
        <v>205</v>
      </c>
      <c r="C24" s="42" t="s">
        <v>208</v>
      </c>
      <c r="D24" s="45" t="n">
        <v>0</v>
      </c>
      <c r="E24" s="45" t="n">
        <v>0</v>
      </c>
      <c r="F24" s="45" t="n">
        <v>0</v>
      </c>
      <c r="G24" s="45" t="n">
        <v>0</v>
      </c>
      <c r="H24" s="45" t="n">
        <v>0.7</v>
      </c>
      <c r="I24" s="45" t="n">
        <v>1</v>
      </c>
      <c r="J24" s="45" t="n">
        <v>1</v>
      </c>
      <c r="K24" s="45" t="n">
        <v>1</v>
      </c>
      <c r="L24" s="45" t="n">
        <v>1</v>
      </c>
      <c r="M24" s="45" t="n">
        <v>1</v>
      </c>
    </row>
    <row r="25" customFormat="false" ht="15" hidden="false" customHeight="false" outlineLevel="0" collapsed="false">
      <c r="A25" s="23" t="s">
        <v>211</v>
      </c>
      <c r="B25" s="41" t="s">
        <v>27</v>
      </c>
      <c r="C25" s="42" t="s">
        <v>249</v>
      </c>
      <c r="D25" s="47" t="n">
        <f aca="false">D22*D23*D24</f>
        <v>0</v>
      </c>
      <c r="E25" s="47" t="n">
        <f aca="false">E22*E23*E24</f>
        <v>0</v>
      </c>
      <c r="F25" s="47" t="n">
        <f aca="false">F22*F23*F24</f>
        <v>0</v>
      </c>
      <c r="G25" s="47" t="n">
        <f aca="false">G22*G23*G24</f>
        <v>0</v>
      </c>
      <c r="H25" s="47" t="n">
        <f aca="false">H22*H23*H24</f>
        <v>66.15</v>
      </c>
      <c r="I25" s="47" t="n">
        <f aca="false">I22*I23*I24</f>
        <v>60.928</v>
      </c>
      <c r="J25" s="47" t="n">
        <f aca="false">J22*J23*J24</f>
        <v>40.04</v>
      </c>
      <c r="K25" s="47" t="n">
        <f aca="false">K22*K23*K24</f>
        <v>28.08</v>
      </c>
      <c r="L25" s="47" t="n">
        <f aca="false">L22*L23*L24</f>
        <v>19.44</v>
      </c>
      <c r="M25" s="47" t="n">
        <f aca="false">M22*M23*M24</f>
        <v>13.728</v>
      </c>
    </row>
    <row r="26" customFormat="false" ht="19.4" hidden="false" customHeight="false" outlineLevel="0" collapsed="false">
      <c r="A26" s="23" t="s">
        <v>213</v>
      </c>
      <c r="B26" s="41" t="s">
        <v>205</v>
      </c>
      <c r="C26" s="42" t="s">
        <v>250</v>
      </c>
      <c r="D26" s="45" t="n">
        <v>0.65</v>
      </c>
      <c r="E26" s="45" t="n">
        <v>0.65</v>
      </c>
      <c r="F26" s="45" t="n">
        <v>0.65</v>
      </c>
      <c r="G26" s="45" t="n">
        <v>0.65</v>
      </c>
      <c r="H26" s="45" t="n">
        <v>0.65</v>
      </c>
      <c r="I26" s="45" t="n">
        <v>0.65</v>
      </c>
      <c r="J26" s="45" t="n">
        <v>0.65</v>
      </c>
      <c r="K26" s="45" t="n">
        <v>0.65</v>
      </c>
      <c r="L26" s="45" t="n">
        <v>0.65</v>
      </c>
      <c r="M26" s="45" t="n">
        <v>0.65</v>
      </c>
    </row>
    <row r="27" customFormat="false" ht="15" hidden="false" customHeight="false" outlineLevel="0" collapsed="false">
      <c r="A27" s="23" t="s">
        <v>215</v>
      </c>
      <c r="B27" s="41" t="s">
        <v>205</v>
      </c>
      <c r="C27" s="42" t="s">
        <v>251</v>
      </c>
      <c r="D27" s="45" t="n">
        <v>0.65</v>
      </c>
      <c r="E27" s="45" t="n">
        <v>0.65</v>
      </c>
      <c r="F27" s="45" t="n">
        <v>0.65</v>
      </c>
      <c r="G27" s="45" t="n">
        <v>0.65</v>
      </c>
      <c r="H27" s="45" t="n">
        <v>0.65</v>
      </c>
      <c r="I27" s="45" t="n">
        <v>0.65</v>
      </c>
      <c r="J27" s="45" t="n">
        <v>0.65</v>
      </c>
      <c r="K27" s="45" t="n">
        <v>0.65</v>
      </c>
      <c r="L27" s="45" t="n">
        <v>0.65</v>
      </c>
      <c r="M27" s="45" t="n">
        <v>0.65</v>
      </c>
    </row>
    <row r="28" customFormat="false" ht="15" hidden="false" customHeight="false" outlineLevel="0" collapsed="false">
      <c r="A28" s="23" t="s">
        <v>217</v>
      </c>
      <c r="B28" s="41" t="s">
        <v>205</v>
      </c>
      <c r="C28" s="42" t="s">
        <v>252</v>
      </c>
      <c r="D28" s="45" t="n">
        <v>0</v>
      </c>
      <c r="E28" s="45" t="n">
        <v>0</v>
      </c>
      <c r="F28" s="45" t="n">
        <v>0</v>
      </c>
      <c r="G28" s="45" t="n">
        <v>0</v>
      </c>
      <c r="H28" s="45" t="n">
        <v>0.25</v>
      </c>
      <c r="I28" s="45" t="n">
        <v>0.24</v>
      </c>
      <c r="J28" s="45" t="n">
        <v>0.23</v>
      </c>
      <c r="K28" s="45" t="n">
        <v>0.22</v>
      </c>
      <c r="L28" s="45" t="n">
        <v>0.21</v>
      </c>
      <c r="M28" s="45" t="n">
        <v>0.2</v>
      </c>
    </row>
    <row r="36" customFormat="false" ht="18" hidden="false" customHeight="true" outlineLevel="0" collapsed="false">
      <c r="A36" s="8" t="s">
        <v>219</v>
      </c>
      <c r="B36" s="8"/>
      <c r="C36" s="8"/>
      <c r="D36" s="8"/>
      <c r="E36" s="8"/>
      <c r="F36" s="8"/>
      <c r="G36" s="8"/>
      <c r="H36" s="8"/>
      <c r="I36" s="8"/>
      <c r="J36" s="8"/>
      <c r="K36" s="8"/>
      <c r="L36" s="8"/>
      <c r="M36" s="8"/>
    </row>
    <row r="37" customFormat="false" ht="15" hidden="false" customHeight="false" outlineLevel="0" collapsed="false">
      <c r="A37" s="48" t="s">
        <v>220</v>
      </c>
      <c r="B37" s="49" t="s">
        <v>27</v>
      </c>
      <c r="C37" s="50"/>
      <c r="D37" s="51" t="n">
        <f aca="false">D25</f>
        <v>0</v>
      </c>
      <c r="E37" s="51" t="n">
        <f aca="false">E25</f>
        <v>0</v>
      </c>
      <c r="F37" s="51" t="n">
        <f aca="false">F25</f>
        <v>0</v>
      </c>
      <c r="G37" s="51" t="n">
        <f aca="false">G25</f>
        <v>0</v>
      </c>
      <c r="H37" s="51" t="n">
        <f aca="false">H25</f>
        <v>66.15</v>
      </c>
      <c r="I37" s="51" t="n">
        <f aca="false">I25</f>
        <v>60.928</v>
      </c>
      <c r="J37" s="51" t="n">
        <f aca="false">J25</f>
        <v>40.04</v>
      </c>
      <c r="K37" s="51" t="n">
        <f aca="false">K25</f>
        <v>28.08</v>
      </c>
      <c r="L37" s="51" t="n">
        <f aca="false">L25</f>
        <v>19.44</v>
      </c>
      <c r="M37" s="51" t="n">
        <f aca="false">M25</f>
        <v>13.728</v>
      </c>
    </row>
    <row r="38" customFormat="false" ht="15" hidden="false" customHeight="false" outlineLevel="0" collapsed="false">
      <c r="A38" s="52" t="s">
        <v>221</v>
      </c>
      <c r="B38" s="49" t="s">
        <v>27</v>
      </c>
      <c r="C38" s="50"/>
      <c r="D38" s="48" t="n">
        <f aca="false">D25*D26*$B$9</f>
        <v>0</v>
      </c>
      <c r="E38" s="48" t="n">
        <f aca="false">E25*E26*$B$9</f>
        <v>0</v>
      </c>
      <c r="F38" s="48" t="n">
        <f aca="false">F25*F26*$B$9</f>
        <v>0</v>
      </c>
      <c r="G38" s="48" t="n">
        <f aca="false">G25*G26*$B$9</f>
        <v>0</v>
      </c>
      <c r="H38" s="48" t="n">
        <f aca="false">H25*H26*$B$9</f>
        <v>42.9975</v>
      </c>
      <c r="I38" s="48" t="n">
        <f aca="false">I25*I26*$B$9</f>
        <v>39.6032</v>
      </c>
      <c r="J38" s="48" t="n">
        <f aca="false">J25*J26*$B$9</f>
        <v>26.026</v>
      </c>
      <c r="K38" s="48" t="n">
        <f aca="false">K25*K26*$B$9</f>
        <v>18.252</v>
      </c>
      <c r="L38" s="48" t="n">
        <f aca="false">L25*L26*$B$9</f>
        <v>12.636</v>
      </c>
      <c r="M38" s="48" t="n">
        <f aca="false">M25*M26*$B$9</f>
        <v>8.9232</v>
      </c>
    </row>
    <row r="39" customFormat="false" ht="15" hidden="false" customHeight="false" outlineLevel="0" collapsed="false">
      <c r="A39" s="52" t="s">
        <v>222</v>
      </c>
      <c r="B39" s="49" t="s">
        <v>27</v>
      </c>
      <c r="C39" s="50"/>
      <c r="D39" s="48" t="n">
        <f aca="false">D38*D27</f>
        <v>0</v>
      </c>
      <c r="E39" s="48" t="n">
        <f aca="false">E38*E27</f>
        <v>0</v>
      </c>
      <c r="F39" s="48" t="n">
        <f aca="false">F38*F27</f>
        <v>0</v>
      </c>
      <c r="G39" s="48" t="n">
        <f aca="false">G38*G27</f>
        <v>0</v>
      </c>
      <c r="H39" s="48" t="n">
        <f aca="false">H38*H27</f>
        <v>27.948375</v>
      </c>
      <c r="I39" s="48" t="n">
        <f aca="false">I38*I27</f>
        <v>25.74208</v>
      </c>
      <c r="J39" s="48" t="n">
        <f aca="false">J38*J27</f>
        <v>16.9169</v>
      </c>
      <c r="K39" s="48" t="n">
        <f aca="false">K38*K27</f>
        <v>11.8638</v>
      </c>
      <c r="L39" s="48" t="n">
        <f aca="false">L38*L27</f>
        <v>8.2134</v>
      </c>
      <c r="M39" s="48" t="n">
        <f aca="false">M38*M27</f>
        <v>5.80008</v>
      </c>
    </row>
    <row r="40" customFormat="false" ht="15" hidden="false" customHeight="false" outlineLevel="0" collapsed="false">
      <c r="A40" s="48" t="s">
        <v>217</v>
      </c>
      <c r="B40" s="49" t="s">
        <v>205</v>
      </c>
      <c r="C40" s="50"/>
      <c r="D40" s="53" t="n">
        <f aca="false">D28</f>
        <v>0</v>
      </c>
      <c r="E40" s="53" t="n">
        <f aca="false">E28</f>
        <v>0</v>
      </c>
      <c r="F40" s="53" t="n">
        <f aca="false">F28</f>
        <v>0</v>
      </c>
      <c r="G40" s="53" t="n">
        <f aca="false">G28</f>
        <v>0</v>
      </c>
      <c r="H40" s="53" t="n">
        <f aca="false">H28</f>
        <v>0.25</v>
      </c>
      <c r="I40" s="53" t="n">
        <f aca="false">I28</f>
        <v>0.24</v>
      </c>
      <c r="J40" s="53" t="n">
        <f aca="false">J28</f>
        <v>0.23</v>
      </c>
      <c r="K40" s="53" t="n">
        <f aca="false">K28</f>
        <v>0.22</v>
      </c>
      <c r="L40" s="53" t="n">
        <f aca="false">L28</f>
        <v>0.21</v>
      </c>
      <c r="M40" s="53" t="n">
        <f aca="false">M28</f>
        <v>0.2</v>
      </c>
    </row>
    <row r="41" customFormat="false" ht="15" hidden="false" customHeight="false" outlineLevel="0" collapsed="false">
      <c r="A41" s="48" t="s">
        <v>162</v>
      </c>
      <c r="B41" s="49" t="s">
        <v>27</v>
      </c>
      <c r="C41" s="50"/>
      <c r="D41" s="48" t="n">
        <f aca="false">D38*D40</f>
        <v>0</v>
      </c>
      <c r="E41" s="48" t="n">
        <f aca="false">E38*E40</f>
        <v>0</v>
      </c>
      <c r="F41" s="48" t="n">
        <f aca="false">F38*F40</f>
        <v>0</v>
      </c>
      <c r="G41" s="48" t="n">
        <f aca="false">G38*G40</f>
        <v>0</v>
      </c>
      <c r="H41" s="48" t="n">
        <f aca="false">H38*H40</f>
        <v>10.749375</v>
      </c>
      <c r="I41" s="48" t="n">
        <f aca="false">I38*I40</f>
        <v>9.504768</v>
      </c>
      <c r="J41" s="48" t="n">
        <f aca="false">J38*J40</f>
        <v>5.98598</v>
      </c>
      <c r="K41" s="48" t="n">
        <f aca="false">K38*K40</f>
        <v>4.01544</v>
      </c>
      <c r="L41" s="48" t="n">
        <f aca="false">L38*L40</f>
        <v>2.65356</v>
      </c>
      <c r="M41" s="48" t="n">
        <f aca="false">M38*M40</f>
        <v>1.78464</v>
      </c>
    </row>
    <row r="42" customFormat="false" ht="15" hidden="false" customHeight="false" outlineLevel="0" collapsed="false">
      <c r="A42" s="48" t="s">
        <v>30</v>
      </c>
      <c r="B42" s="49" t="s">
        <v>27</v>
      </c>
      <c r="C42" s="50"/>
      <c r="D42" s="48" t="n">
        <f aca="false">D39*D40</f>
        <v>0</v>
      </c>
      <c r="E42" s="48" t="n">
        <f aca="false">E39*E40</f>
        <v>0</v>
      </c>
      <c r="F42" s="48" t="n">
        <f aca="false">F39*F40</f>
        <v>0</v>
      </c>
      <c r="G42" s="48" t="n">
        <f aca="false">G39*G40</f>
        <v>0</v>
      </c>
      <c r="H42" s="48" t="n">
        <f aca="false">H39*H40</f>
        <v>6.98709375</v>
      </c>
      <c r="I42" s="48" t="n">
        <f aca="false">I39*I40</f>
        <v>6.1780992</v>
      </c>
      <c r="J42" s="48" t="n">
        <f aca="false">J39*J40</f>
        <v>3.890887</v>
      </c>
      <c r="K42" s="48" t="n">
        <f aca="false">K39*K40</f>
        <v>2.610036</v>
      </c>
      <c r="L42" s="48" t="n">
        <f aca="false">L39*L40</f>
        <v>1.724814</v>
      </c>
      <c r="M42" s="48" t="n">
        <f aca="false">M39*M40</f>
        <v>1.160016</v>
      </c>
    </row>
    <row r="43" customFormat="false" ht="15" hidden="false" customHeight="false" outlineLevel="0" collapsed="false">
      <c r="A43" s="48" t="s">
        <v>221</v>
      </c>
      <c r="B43" s="49" t="s">
        <v>31</v>
      </c>
      <c r="C43" s="50"/>
      <c r="D43" s="54" t="n">
        <f aca="false">D38*'Global Assump'!D$4</f>
        <v>0</v>
      </c>
      <c r="E43" s="54" t="n">
        <f aca="false">E38*'Global Assump'!E$4</f>
        <v>0</v>
      </c>
      <c r="F43" s="54" t="n">
        <f aca="false">F38*'Global Assump'!F$4</f>
        <v>0</v>
      </c>
      <c r="G43" s="54" t="n">
        <f aca="false">G38*'Global Assump'!G$4</f>
        <v>0</v>
      </c>
      <c r="H43" s="54" t="n">
        <f aca="false">H38*'Global Assump'!H$4</f>
        <v>4041.765</v>
      </c>
      <c r="I43" s="54" t="n">
        <f aca="false">I38*'Global Assump'!I$4</f>
        <v>3801.9072</v>
      </c>
      <c r="J43" s="54" t="n">
        <f aca="false">J38*'Global Assump'!J$4</f>
        <v>2550.548</v>
      </c>
      <c r="K43" s="54" t="n">
        <f aca="false">K38*'Global Assump'!K$4</f>
        <v>1825.2</v>
      </c>
      <c r="L43" s="54" t="n">
        <f aca="false">L38*'Global Assump'!L$4</f>
        <v>1288.872</v>
      </c>
      <c r="M43" s="54" t="n">
        <f aca="false">M38*'Global Assump'!M$4</f>
        <v>928.0128</v>
      </c>
    </row>
    <row r="44" customFormat="false" ht="15" hidden="false" customHeight="false" outlineLevel="0" collapsed="false">
      <c r="A44" s="48" t="s">
        <v>222</v>
      </c>
      <c r="B44" s="49" t="s">
        <v>31</v>
      </c>
      <c r="C44" s="50"/>
      <c r="D44" s="54" t="n">
        <f aca="false">D39*'Global Assump'!D$4</f>
        <v>0</v>
      </c>
      <c r="E44" s="54" t="n">
        <f aca="false">E39*'Global Assump'!E$4</f>
        <v>0</v>
      </c>
      <c r="F44" s="54" t="n">
        <f aca="false">F39*'Global Assump'!F$4</f>
        <v>0</v>
      </c>
      <c r="G44" s="54" t="n">
        <f aca="false">G39*'Global Assump'!G$4</f>
        <v>0</v>
      </c>
      <c r="H44" s="54" t="n">
        <f aca="false">H39*'Global Assump'!H$4</f>
        <v>2627.14725</v>
      </c>
      <c r="I44" s="54" t="n">
        <f aca="false">I39*'Global Assump'!I$4</f>
        <v>2471.23968</v>
      </c>
      <c r="J44" s="54" t="n">
        <f aca="false">J39*'Global Assump'!J$4</f>
        <v>1657.8562</v>
      </c>
      <c r="K44" s="54" t="n">
        <f aca="false">K39*'Global Assump'!K$4</f>
        <v>1186.38</v>
      </c>
      <c r="L44" s="54" t="n">
        <f aca="false">L39*'Global Assump'!L$4</f>
        <v>837.7668</v>
      </c>
      <c r="M44" s="54" t="n">
        <f aca="false">M39*'Global Assump'!M$4</f>
        <v>603.20832</v>
      </c>
    </row>
    <row r="46" customFormat="false" ht="18" hidden="false" customHeight="true" outlineLevel="0" collapsed="false">
      <c r="A46" s="8" t="s">
        <v>223</v>
      </c>
      <c r="B46" s="8"/>
      <c r="C46" s="8"/>
      <c r="D46" s="8"/>
      <c r="E46" s="8"/>
      <c r="F46" s="8"/>
      <c r="G46" s="8"/>
      <c r="H46" s="8"/>
      <c r="I46" s="8"/>
      <c r="J46" s="8"/>
      <c r="K46" s="8"/>
      <c r="L46" s="8"/>
      <c r="M46" s="8"/>
    </row>
    <row r="47" customFormat="false" ht="27.75" hidden="false" customHeight="true" outlineLevel="0" collapsed="false">
      <c r="A47" s="55" t="s">
        <v>260</v>
      </c>
      <c r="B47" s="55"/>
      <c r="C47" s="55"/>
      <c r="D47" s="55"/>
      <c r="E47" s="55"/>
      <c r="F47" s="55"/>
      <c r="G47" s="55"/>
      <c r="H47" s="55"/>
      <c r="I47" s="55"/>
      <c r="J47" s="55"/>
      <c r="K47" s="55"/>
      <c r="L47" s="55"/>
      <c r="M47" s="55"/>
    </row>
  </sheetData>
  <autoFilter ref="A19:M44"/>
  <mergeCells count="19">
    <mergeCell ref="A1:M1"/>
    <mergeCell ref="A2:M2"/>
    <mergeCell ref="A4:M4"/>
    <mergeCell ref="B5:M5"/>
    <mergeCell ref="B6:M6"/>
    <mergeCell ref="B7:M7"/>
    <mergeCell ref="B8:M8"/>
    <mergeCell ref="B9:M9"/>
    <mergeCell ref="B10:M10"/>
    <mergeCell ref="B11:M11"/>
    <mergeCell ref="B12:M12"/>
    <mergeCell ref="B13:M13"/>
    <mergeCell ref="B14:M14"/>
    <mergeCell ref="B15:M15"/>
    <mergeCell ref="B16:M16"/>
    <mergeCell ref="A18:M18"/>
    <mergeCell ref="A36:M36"/>
    <mergeCell ref="A46:M46"/>
    <mergeCell ref="A47:M47"/>
  </mergeCells>
  <conditionalFormatting sqref="B13">
    <cfRule type="expression" priority="2" aboveAverage="0" equalAverage="0" bottom="0" percent="0" rank="0" text="" dxfId="6">
      <formula>B13="Within range"</formula>
    </cfRule>
    <cfRule type="expression" priority="3" aboveAverage="0" equalAverage="0" bottom="0" percent="0" rank="0" text="" dxfId="7">
      <formula>B13&lt;&gt;"Within range"</formula>
    </cfRule>
  </conditionalFormatting>
  <dataValidations count="1">
    <dataValidation allowBlank="false" errorStyle="stop" operator="between" showDropDown="false" showErrorMessage="false" showInputMessage="false" sqref="B9" type="list">
      <formula1>"0,1"</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M47"/>
  <sheetViews>
    <sheetView showFormulas="false" showGridLines="false" showRowColHeaders="true" showZeros="true" rightToLeft="false" tabSelected="false" showOutlineSymbols="true" defaultGridColor="true" view="normal" topLeftCell="A1" colorId="64" zoomScale="85" zoomScaleNormal="85" zoomScalePageLayoutView="100" workbookViewId="0">
      <pane xSplit="3" ySplit="19" topLeftCell="D20" activePane="bottomRight" state="frozen"/>
      <selection pane="topLeft" activeCell="A1" activeCellId="0" sqref="A1"/>
      <selection pane="topRight" activeCell="D1" activeCellId="0" sqref="D1"/>
      <selection pane="bottomLeft" activeCell="A20" activeCellId="0" sqref="A20"/>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0" width="32"/>
    <col collapsed="false" customWidth="true" hidden="false" outlineLevel="0" max="2" min="2" style="0" width="15"/>
    <col collapsed="false" customWidth="true" hidden="false" outlineLevel="0" max="3" min="3" style="0" width="30"/>
    <col collapsed="false" customWidth="true" hidden="false" outlineLevel="0" max="13" min="4" style="0" width="12"/>
  </cols>
  <sheetData>
    <row r="1" customFormat="false" ht="24" hidden="false" customHeight="true" outlineLevel="0" collapsed="false">
      <c r="A1" s="24" t="s">
        <v>68</v>
      </c>
      <c r="B1" s="24"/>
      <c r="C1" s="24"/>
      <c r="D1" s="24"/>
      <c r="E1" s="24"/>
      <c r="F1" s="24"/>
      <c r="G1" s="24"/>
      <c r="H1" s="24"/>
      <c r="I1" s="24"/>
      <c r="J1" s="24"/>
      <c r="K1" s="24"/>
      <c r="L1" s="24"/>
      <c r="M1" s="24"/>
    </row>
    <row r="2" customFormat="false" ht="27.75" hidden="false" customHeight="true" outlineLevel="0" collapsed="false">
      <c r="A2" s="25" t="s">
        <v>261</v>
      </c>
      <c r="B2" s="25"/>
      <c r="C2" s="25"/>
      <c r="D2" s="25"/>
      <c r="E2" s="25"/>
      <c r="F2" s="25"/>
      <c r="G2" s="25"/>
      <c r="H2" s="25"/>
      <c r="I2" s="25"/>
      <c r="J2" s="25"/>
      <c r="K2" s="25"/>
      <c r="L2" s="25"/>
      <c r="M2" s="25"/>
    </row>
    <row r="4" customFormat="false" ht="18" hidden="false" customHeight="true" outlineLevel="0" collapsed="false">
      <c r="A4" s="8" t="s">
        <v>182</v>
      </c>
      <c r="B4" s="8"/>
      <c r="C4" s="8"/>
      <c r="D4" s="8"/>
      <c r="E4" s="8"/>
      <c r="F4" s="8"/>
      <c r="G4" s="8"/>
      <c r="H4" s="8"/>
      <c r="I4" s="8"/>
      <c r="J4" s="8"/>
      <c r="K4" s="8"/>
      <c r="L4" s="8"/>
      <c r="M4" s="8"/>
    </row>
    <row r="5" customFormat="false" ht="18" hidden="false" customHeight="true" outlineLevel="0" collapsed="false">
      <c r="A5" s="33" t="s">
        <v>183</v>
      </c>
      <c r="B5" s="34" t="s">
        <v>68</v>
      </c>
      <c r="C5" s="34"/>
      <c r="D5" s="34"/>
      <c r="E5" s="34"/>
      <c r="F5" s="34"/>
      <c r="G5" s="34"/>
      <c r="H5" s="34"/>
      <c r="I5" s="34"/>
      <c r="J5" s="34"/>
      <c r="K5" s="34"/>
      <c r="L5" s="34"/>
      <c r="M5" s="34"/>
    </row>
    <row r="6" customFormat="false" ht="18" hidden="false" customHeight="true" outlineLevel="0" collapsed="false">
      <c r="A6" s="33" t="s">
        <v>33</v>
      </c>
      <c r="B6" s="34" t="s">
        <v>35</v>
      </c>
      <c r="C6" s="34"/>
      <c r="D6" s="34"/>
      <c r="E6" s="34"/>
      <c r="F6" s="34"/>
      <c r="G6" s="34"/>
      <c r="H6" s="34"/>
      <c r="I6" s="34"/>
      <c r="J6" s="34"/>
      <c r="K6" s="34"/>
      <c r="L6" s="34"/>
      <c r="M6" s="34"/>
    </row>
    <row r="7" customFormat="false" ht="18" hidden="false" customHeight="true" outlineLevel="0" collapsed="false">
      <c r="A7" s="33" t="s">
        <v>42</v>
      </c>
      <c r="B7" s="34" t="s">
        <v>51</v>
      </c>
      <c r="C7" s="34"/>
      <c r="D7" s="34"/>
      <c r="E7" s="34"/>
      <c r="F7" s="34"/>
      <c r="G7" s="34"/>
      <c r="H7" s="34"/>
      <c r="I7" s="34"/>
      <c r="J7" s="34"/>
      <c r="K7" s="34"/>
      <c r="L7" s="34"/>
      <c r="M7" s="34"/>
    </row>
    <row r="8" customFormat="false" ht="24" hidden="false" customHeight="true" outlineLevel="0" collapsed="false">
      <c r="A8" s="33" t="s">
        <v>184</v>
      </c>
      <c r="B8" s="34" t="s">
        <v>69</v>
      </c>
      <c r="C8" s="34"/>
      <c r="D8" s="34"/>
      <c r="E8" s="34"/>
      <c r="F8" s="34"/>
      <c r="G8" s="34"/>
      <c r="H8" s="34"/>
      <c r="I8" s="34"/>
      <c r="J8" s="34"/>
      <c r="K8" s="34"/>
      <c r="L8" s="34"/>
      <c r="M8" s="34"/>
    </row>
    <row r="9" customFormat="false" ht="18" hidden="false" customHeight="true" outlineLevel="0" collapsed="false">
      <c r="A9" s="33" t="s">
        <v>185</v>
      </c>
      <c r="B9" s="35" t="n">
        <v>1</v>
      </c>
      <c r="C9" s="35"/>
      <c r="D9" s="35"/>
      <c r="E9" s="35"/>
      <c r="F9" s="35"/>
      <c r="G9" s="35"/>
      <c r="H9" s="35"/>
      <c r="I9" s="35"/>
      <c r="J9" s="35"/>
      <c r="K9" s="35"/>
      <c r="L9" s="35"/>
      <c r="M9" s="35"/>
    </row>
    <row r="10" customFormat="false" ht="18" hidden="false" customHeight="true" outlineLevel="0" collapsed="false">
      <c r="A10" s="33" t="s">
        <v>186</v>
      </c>
      <c r="B10" s="36" t="n">
        <v>20</v>
      </c>
      <c r="C10" s="36"/>
      <c r="D10" s="36"/>
      <c r="E10" s="36"/>
      <c r="F10" s="36"/>
      <c r="G10" s="36"/>
      <c r="H10" s="36"/>
      <c r="I10" s="36"/>
      <c r="J10" s="36"/>
      <c r="K10" s="36"/>
      <c r="L10" s="36"/>
      <c r="M10" s="36"/>
    </row>
    <row r="11" customFormat="false" ht="18" hidden="false" customHeight="true" outlineLevel="0" collapsed="false">
      <c r="A11" s="33" t="s">
        <v>187</v>
      </c>
      <c r="B11" s="36" t="n">
        <v>40</v>
      </c>
      <c r="C11" s="36"/>
      <c r="D11" s="36"/>
      <c r="E11" s="36"/>
      <c r="F11" s="36"/>
      <c r="G11" s="36"/>
      <c r="H11" s="36"/>
      <c r="I11" s="36"/>
      <c r="J11" s="36"/>
      <c r="K11" s="36"/>
      <c r="L11" s="36"/>
      <c r="M11" s="36"/>
    </row>
    <row r="12" customFormat="false" ht="18" hidden="false" customHeight="true" outlineLevel="0" collapsed="false">
      <c r="A12" s="33" t="s">
        <v>188</v>
      </c>
      <c r="B12" s="37" t="n">
        <f aca="false">MAX(D38:M38)</f>
        <v>24.31</v>
      </c>
      <c r="C12" s="37"/>
      <c r="D12" s="37"/>
      <c r="E12" s="37"/>
      <c r="F12" s="37"/>
      <c r="G12" s="37"/>
      <c r="H12" s="37"/>
      <c r="I12" s="37"/>
      <c r="J12" s="37"/>
      <c r="K12" s="37"/>
      <c r="L12" s="37"/>
      <c r="M12" s="37"/>
    </row>
    <row r="13" customFormat="false" ht="18" hidden="false" customHeight="true" outlineLevel="0" collapsed="false">
      <c r="A13" s="33" t="s">
        <v>189</v>
      </c>
      <c r="B13" s="38" t="str">
        <f aca="false">IF(AND(B12&gt;=B10,B12&lt;=B11),"Within range",IF(B12&lt;B10,"Below range","Above range"))</f>
        <v>Within range</v>
      </c>
      <c r="C13" s="38"/>
      <c r="D13" s="38"/>
      <c r="E13" s="38"/>
      <c r="F13" s="38"/>
      <c r="G13" s="38"/>
      <c r="H13" s="38"/>
      <c r="I13" s="38"/>
      <c r="J13" s="38"/>
      <c r="K13" s="38"/>
      <c r="L13" s="38"/>
      <c r="M13" s="38"/>
    </row>
    <row r="14" customFormat="false" ht="18" hidden="false" customHeight="true" outlineLevel="0" collapsed="false">
      <c r="A14" s="33" t="s">
        <v>190</v>
      </c>
      <c r="B14" s="34" t="s">
        <v>57</v>
      </c>
      <c r="C14" s="34"/>
      <c r="D14" s="34"/>
      <c r="E14" s="34"/>
      <c r="F14" s="34"/>
      <c r="G14" s="34"/>
      <c r="H14" s="34"/>
      <c r="I14" s="34"/>
      <c r="J14" s="34"/>
      <c r="K14" s="34"/>
      <c r="L14" s="34"/>
      <c r="M14" s="34"/>
    </row>
    <row r="15" customFormat="false" ht="24" hidden="false" customHeight="true" outlineLevel="0" collapsed="false">
      <c r="A15" s="33" t="s">
        <v>191</v>
      </c>
      <c r="B15" s="34" t="s">
        <v>262</v>
      </c>
      <c r="C15" s="34"/>
      <c r="D15" s="34"/>
      <c r="E15" s="34"/>
      <c r="F15" s="34"/>
      <c r="G15" s="34"/>
      <c r="H15" s="34"/>
      <c r="I15" s="34"/>
      <c r="J15" s="34"/>
      <c r="K15" s="34"/>
      <c r="L15" s="34"/>
      <c r="M15" s="34"/>
    </row>
    <row r="16" customFormat="false" ht="24" hidden="false" customHeight="true" outlineLevel="0" collapsed="false">
      <c r="A16" s="33" t="s">
        <v>193</v>
      </c>
      <c r="B16" s="34" t="s">
        <v>240</v>
      </c>
      <c r="C16" s="34"/>
      <c r="D16" s="34"/>
      <c r="E16" s="34"/>
      <c r="F16" s="34"/>
      <c r="G16" s="34"/>
      <c r="H16" s="34"/>
      <c r="I16" s="34"/>
      <c r="J16" s="34"/>
      <c r="K16" s="34"/>
      <c r="L16" s="34"/>
      <c r="M16" s="34"/>
    </row>
    <row r="18" customFormat="false" ht="18" hidden="false" customHeight="true" outlineLevel="0" collapsed="false">
      <c r="A18" s="8" t="s">
        <v>195</v>
      </c>
      <c r="B18" s="8"/>
      <c r="C18" s="8"/>
      <c r="D18" s="8"/>
      <c r="E18" s="8"/>
      <c r="F18" s="8"/>
      <c r="G18" s="8"/>
      <c r="H18" s="8"/>
      <c r="I18" s="8"/>
      <c r="J18" s="8"/>
      <c r="K18" s="8"/>
      <c r="L18" s="8"/>
      <c r="M18" s="8"/>
    </row>
    <row r="19" customFormat="false" ht="15" hidden="false" customHeight="false" outlineLevel="0" collapsed="false">
      <c r="A19" s="39" t="s">
        <v>196</v>
      </c>
      <c r="B19" s="39" t="s">
        <v>15</v>
      </c>
      <c r="C19" s="39" t="s">
        <v>197</v>
      </c>
      <c r="D19" s="39" t="s">
        <v>16</v>
      </c>
      <c r="E19" s="39" t="s">
        <v>17</v>
      </c>
      <c r="F19" s="39" t="s">
        <v>18</v>
      </c>
      <c r="G19" s="39" t="s">
        <v>19</v>
      </c>
      <c r="H19" s="39" t="s">
        <v>20</v>
      </c>
      <c r="I19" s="39" t="s">
        <v>21</v>
      </c>
      <c r="J19" s="39" t="s">
        <v>22</v>
      </c>
      <c r="K19" s="39" t="s">
        <v>23</v>
      </c>
      <c r="L19" s="39" t="s">
        <v>24</v>
      </c>
      <c r="M19" s="39" t="s">
        <v>25</v>
      </c>
    </row>
    <row r="20" customFormat="false" ht="19.4" hidden="false" customHeight="false" outlineLevel="0" collapsed="false">
      <c r="A20" s="40" t="s">
        <v>241</v>
      </c>
      <c r="B20" s="41" t="s">
        <v>27</v>
      </c>
      <c r="C20" s="42" t="s">
        <v>242</v>
      </c>
      <c r="D20" s="44" t="n">
        <v>0</v>
      </c>
      <c r="E20" s="44" t="n">
        <v>0</v>
      </c>
      <c r="F20" s="44" t="n">
        <v>0</v>
      </c>
      <c r="G20" s="44" t="n">
        <v>700</v>
      </c>
      <c r="H20" s="44" t="n">
        <v>680</v>
      </c>
      <c r="I20" s="44" t="n">
        <v>650</v>
      </c>
      <c r="J20" s="44" t="n">
        <v>620</v>
      </c>
      <c r="K20" s="44" t="n">
        <v>580</v>
      </c>
      <c r="L20" s="44" t="n">
        <v>540</v>
      </c>
      <c r="M20" s="44" t="n">
        <v>500</v>
      </c>
    </row>
    <row r="21" customFormat="false" ht="19.4" hidden="false" customHeight="false" outlineLevel="0" collapsed="false">
      <c r="A21" s="40" t="s">
        <v>243</v>
      </c>
      <c r="B21" s="41" t="s">
        <v>205</v>
      </c>
      <c r="C21" s="42" t="s">
        <v>244</v>
      </c>
      <c r="D21" s="45" t="n">
        <v>0</v>
      </c>
      <c r="E21" s="45" t="n">
        <v>0</v>
      </c>
      <c r="F21" s="45" t="n">
        <v>0</v>
      </c>
      <c r="G21" s="45" t="n">
        <v>0.25</v>
      </c>
      <c r="H21" s="45" t="n">
        <v>0.22</v>
      </c>
      <c r="I21" s="45" t="n">
        <v>0.19</v>
      </c>
      <c r="J21" s="45" t="n">
        <v>0.16</v>
      </c>
      <c r="K21" s="45" t="n">
        <v>0.14</v>
      </c>
      <c r="L21" s="45" t="n">
        <v>0.12</v>
      </c>
      <c r="M21" s="45" t="n">
        <v>0.1</v>
      </c>
    </row>
    <row r="22" customFormat="false" ht="15" hidden="false" customHeight="false" outlineLevel="0" collapsed="false">
      <c r="A22" s="23" t="s">
        <v>245</v>
      </c>
      <c r="B22" s="41" t="s">
        <v>27</v>
      </c>
      <c r="C22" s="42" t="s">
        <v>246</v>
      </c>
      <c r="D22" s="47" t="n">
        <f aca="false">D20*D21</f>
        <v>0</v>
      </c>
      <c r="E22" s="47" t="n">
        <f aca="false">E20*E21</f>
        <v>0</v>
      </c>
      <c r="F22" s="47" t="n">
        <f aca="false">F20*F21</f>
        <v>0</v>
      </c>
      <c r="G22" s="47" t="n">
        <f aca="false">G20*G21</f>
        <v>175</v>
      </c>
      <c r="H22" s="47" t="n">
        <f aca="false">H20*H21</f>
        <v>149.6</v>
      </c>
      <c r="I22" s="47" t="n">
        <f aca="false">I20*I21</f>
        <v>123.5</v>
      </c>
      <c r="J22" s="47" t="n">
        <f aca="false">J20*J21</f>
        <v>99.2</v>
      </c>
      <c r="K22" s="47" t="n">
        <f aca="false">K20*K21</f>
        <v>81.2</v>
      </c>
      <c r="L22" s="47" t="n">
        <f aca="false">L20*L21</f>
        <v>64.8</v>
      </c>
      <c r="M22" s="47" t="n">
        <f aca="false">M20*M21</f>
        <v>50</v>
      </c>
    </row>
    <row r="23" customFormat="false" ht="15" hidden="false" customHeight="false" outlineLevel="0" collapsed="false">
      <c r="A23" s="23" t="s">
        <v>247</v>
      </c>
      <c r="B23" s="41" t="s">
        <v>205</v>
      </c>
      <c r="C23" s="42" t="s">
        <v>248</v>
      </c>
      <c r="D23" s="45" t="n">
        <v>0</v>
      </c>
      <c r="E23" s="45" t="n">
        <v>0</v>
      </c>
      <c r="F23" s="45" t="n">
        <v>0</v>
      </c>
      <c r="G23" s="45" t="n">
        <v>0.25</v>
      </c>
      <c r="H23" s="45" t="n">
        <v>0.25</v>
      </c>
      <c r="I23" s="45" t="n">
        <v>0.23</v>
      </c>
      <c r="J23" s="45" t="n">
        <v>0.22</v>
      </c>
      <c r="K23" s="45" t="n">
        <v>0.2</v>
      </c>
      <c r="L23" s="45" t="n">
        <v>0.18</v>
      </c>
      <c r="M23" s="45" t="n">
        <v>0.17</v>
      </c>
    </row>
    <row r="24" customFormat="false" ht="15" hidden="false" customHeight="false" outlineLevel="0" collapsed="false">
      <c r="A24" s="23" t="s">
        <v>207</v>
      </c>
      <c r="B24" s="41" t="s">
        <v>205</v>
      </c>
      <c r="C24" s="42" t="s">
        <v>208</v>
      </c>
      <c r="D24" s="45" t="n">
        <v>0</v>
      </c>
      <c r="E24" s="45" t="n">
        <v>0</v>
      </c>
      <c r="F24" s="45" t="n">
        <v>0</v>
      </c>
      <c r="G24" s="45" t="n">
        <v>0.6</v>
      </c>
      <c r="H24" s="45" t="n">
        <v>1</v>
      </c>
      <c r="I24" s="45" t="n">
        <v>1</v>
      </c>
      <c r="J24" s="45" t="n">
        <v>1</v>
      </c>
      <c r="K24" s="45" t="n">
        <v>1</v>
      </c>
      <c r="L24" s="45" t="n">
        <v>1</v>
      </c>
      <c r="M24" s="45" t="n">
        <v>1</v>
      </c>
    </row>
    <row r="25" customFormat="false" ht="15" hidden="false" customHeight="false" outlineLevel="0" collapsed="false">
      <c r="A25" s="23" t="s">
        <v>211</v>
      </c>
      <c r="B25" s="41" t="s">
        <v>27</v>
      </c>
      <c r="C25" s="42" t="s">
        <v>249</v>
      </c>
      <c r="D25" s="47" t="n">
        <f aca="false">D22*D23*D24</f>
        <v>0</v>
      </c>
      <c r="E25" s="47" t="n">
        <f aca="false">E22*E23*E24</f>
        <v>0</v>
      </c>
      <c r="F25" s="47" t="n">
        <f aca="false">F22*F23*F24</f>
        <v>0</v>
      </c>
      <c r="G25" s="47" t="n">
        <f aca="false">G22*G23*G24</f>
        <v>26.25</v>
      </c>
      <c r="H25" s="47" t="n">
        <f aca="false">H22*H23*H24</f>
        <v>37.4</v>
      </c>
      <c r="I25" s="47" t="n">
        <f aca="false">I22*I23*I24</f>
        <v>28.405</v>
      </c>
      <c r="J25" s="47" t="n">
        <f aca="false">J22*J23*J24</f>
        <v>21.824</v>
      </c>
      <c r="K25" s="47" t="n">
        <f aca="false">K22*K23*K24</f>
        <v>16.24</v>
      </c>
      <c r="L25" s="47" t="n">
        <f aca="false">L22*L23*L24</f>
        <v>11.664</v>
      </c>
      <c r="M25" s="47" t="n">
        <f aca="false">M22*M23*M24</f>
        <v>8.5</v>
      </c>
    </row>
    <row r="26" customFormat="false" ht="19.4" hidden="false" customHeight="false" outlineLevel="0" collapsed="false">
      <c r="A26" s="23" t="s">
        <v>213</v>
      </c>
      <c r="B26" s="41" t="s">
        <v>205</v>
      </c>
      <c r="C26" s="42" t="s">
        <v>250</v>
      </c>
      <c r="D26" s="45" t="n">
        <v>0.65</v>
      </c>
      <c r="E26" s="45" t="n">
        <v>0.65</v>
      </c>
      <c r="F26" s="45" t="n">
        <v>0.65</v>
      </c>
      <c r="G26" s="45" t="n">
        <v>0.65</v>
      </c>
      <c r="H26" s="45" t="n">
        <v>0.65</v>
      </c>
      <c r="I26" s="45" t="n">
        <v>0.65</v>
      </c>
      <c r="J26" s="45" t="n">
        <v>0.65</v>
      </c>
      <c r="K26" s="45" t="n">
        <v>0.65</v>
      </c>
      <c r="L26" s="45" t="n">
        <v>0.65</v>
      </c>
      <c r="M26" s="45" t="n">
        <v>0.65</v>
      </c>
    </row>
    <row r="27" customFormat="false" ht="15" hidden="false" customHeight="false" outlineLevel="0" collapsed="false">
      <c r="A27" s="23" t="s">
        <v>215</v>
      </c>
      <c r="B27" s="41" t="s">
        <v>205</v>
      </c>
      <c r="C27" s="42" t="s">
        <v>251</v>
      </c>
      <c r="D27" s="45" t="n">
        <v>0.65</v>
      </c>
      <c r="E27" s="45" t="n">
        <v>0.65</v>
      </c>
      <c r="F27" s="45" t="n">
        <v>0.65</v>
      </c>
      <c r="G27" s="45" t="n">
        <v>0.65</v>
      </c>
      <c r="H27" s="45" t="n">
        <v>0.65</v>
      </c>
      <c r="I27" s="45" t="n">
        <v>0.65</v>
      </c>
      <c r="J27" s="45" t="n">
        <v>0.65</v>
      </c>
      <c r="K27" s="45" t="n">
        <v>0.65</v>
      </c>
      <c r="L27" s="45" t="n">
        <v>0.65</v>
      </c>
      <c r="M27" s="45" t="n">
        <v>0.65</v>
      </c>
    </row>
    <row r="28" customFormat="false" ht="15" hidden="false" customHeight="false" outlineLevel="0" collapsed="false">
      <c r="A28" s="23" t="s">
        <v>217</v>
      </c>
      <c r="B28" s="41" t="s">
        <v>205</v>
      </c>
      <c r="C28" s="42" t="s">
        <v>252</v>
      </c>
      <c r="D28" s="45" t="n">
        <v>0</v>
      </c>
      <c r="E28" s="45" t="n">
        <v>0</v>
      </c>
      <c r="F28" s="45" t="n">
        <v>0</v>
      </c>
      <c r="G28" s="45" t="n">
        <v>0.28</v>
      </c>
      <c r="H28" s="45" t="n">
        <v>0.27</v>
      </c>
      <c r="I28" s="45" t="n">
        <v>0.26</v>
      </c>
      <c r="J28" s="45" t="n">
        <v>0.25</v>
      </c>
      <c r="K28" s="45" t="n">
        <v>0.24</v>
      </c>
      <c r="L28" s="45" t="n">
        <v>0.23</v>
      </c>
      <c r="M28" s="45" t="n">
        <v>0.22</v>
      </c>
    </row>
    <row r="36" customFormat="false" ht="18" hidden="false" customHeight="true" outlineLevel="0" collapsed="false">
      <c r="A36" s="8" t="s">
        <v>219</v>
      </c>
      <c r="B36" s="8"/>
      <c r="C36" s="8"/>
      <c r="D36" s="8"/>
      <c r="E36" s="8"/>
      <c r="F36" s="8"/>
      <c r="G36" s="8"/>
      <c r="H36" s="8"/>
      <c r="I36" s="8"/>
      <c r="J36" s="8"/>
      <c r="K36" s="8"/>
      <c r="L36" s="8"/>
      <c r="M36" s="8"/>
    </row>
    <row r="37" customFormat="false" ht="15" hidden="false" customHeight="false" outlineLevel="0" collapsed="false">
      <c r="A37" s="48" t="s">
        <v>220</v>
      </c>
      <c r="B37" s="49" t="s">
        <v>27</v>
      </c>
      <c r="C37" s="50"/>
      <c r="D37" s="51" t="n">
        <f aca="false">D25</f>
        <v>0</v>
      </c>
      <c r="E37" s="51" t="n">
        <f aca="false">E25</f>
        <v>0</v>
      </c>
      <c r="F37" s="51" t="n">
        <f aca="false">F25</f>
        <v>0</v>
      </c>
      <c r="G37" s="51" t="n">
        <f aca="false">G25</f>
        <v>26.25</v>
      </c>
      <c r="H37" s="51" t="n">
        <f aca="false">H25</f>
        <v>37.4</v>
      </c>
      <c r="I37" s="51" t="n">
        <f aca="false">I25</f>
        <v>28.405</v>
      </c>
      <c r="J37" s="51" t="n">
        <f aca="false">J25</f>
        <v>21.824</v>
      </c>
      <c r="K37" s="51" t="n">
        <f aca="false">K25</f>
        <v>16.24</v>
      </c>
      <c r="L37" s="51" t="n">
        <f aca="false">L25</f>
        <v>11.664</v>
      </c>
      <c r="M37" s="51" t="n">
        <f aca="false">M25</f>
        <v>8.5</v>
      </c>
    </row>
    <row r="38" customFormat="false" ht="15" hidden="false" customHeight="false" outlineLevel="0" collapsed="false">
      <c r="A38" s="52" t="s">
        <v>221</v>
      </c>
      <c r="B38" s="49" t="s">
        <v>27</v>
      </c>
      <c r="C38" s="50"/>
      <c r="D38" s="48" t="n">
        <f aca="false">D25*D26*$B$9</f>
        <v>0</v>
      </c>
      <c r="E38" s="48" t="n">
        <f aca="false">E25*E26*$B$9</f>
        <v>0</v>
      </c>
      <c r="F38" s="48" t="n">
        <f aca="false">F25*F26*$B$9</f>
        <v>0</v>
      </c>
      <c r="G38" s="48" t="n">
        <f aca="false">G25*G26*$B$9</f>
        <v>17.0625</v>
      </c>
      <c r="H38" s="48" t="n">
        <f aca="false">H25*H26*$B$9</f>
        <v>24.31</v>
      </c>
      <c r="I38" s="48" t="n">
        <f aca="false">I25*I26*$B$9</f>
        <v>18.46325</v>
      </c>
      <c r="J38" s="48" t="n">
        <f aca="false">J25*J26*$B$9</f>
        <v>14.1856</v>
      </c>
      <c r="K38" s="48" t="n">
        <f aca="false">K25*K26*$B$9</f>
        <v>10.556</v>
      </c>
      <c r="L38" s="48" t="n">
        <f aca="false">L25*L26*$B$9</f>
        <v>7.5816</v>
      </c>
      <c r="M38" s="48" t="n">
        <f aca="false">M25*M26*$B$9</f>
        <v>5.525</v>
      </c>
    </row>
    <row r="39" customFormat="false" ht="15" hidden="false" customHeight="false" outlineLevel="0" collapsed="false">
      <c r="A39" s="52" t="s">
        <v>222</v>
      </c>
      <c r="B39" s="49" t="s">
        <v>27</v>
      </c>
      <c r="C39" s="50"/>
      <c r="D39" s="48" t="n">
        <f aca="false">D38*D27</f>
        <v>0</v>
      </c>
      <c r="E39" s="48" t="n">
        <f aca="false">E38*E27</f>
        <v>0</v>
      </c>
      <c r="F39" s="48" t="n">
        <f aca="false">F38*F27</f>
        <v>0</v>
      </c>
      <c r="G39" s="48" t="n">
        <f aca="false">G38*G27</f>
        <v>11.090625</v>
      </c>
      <c r="H39" s="48" t="n">
        <f aca="false">H38*H27</f>
        <v>15.8015</v>
      </c>
      <c r="I39" s="48" t="n">
        <f aca="false">I38*I27</f>
        <v>12.0011125</v>
      </c>
      <c r="J39" s="48" t="n">
        <f aca="false">J38*J27</f>
        <v>9.22064</v>
      </c>
      <c r="K39" s="48" t="n">
        <f aca="false">K38*K27</f>
        <v>6.8614</v>
      </c>
      <c r="L39" s="48" t="n">
        <f aca="false">L38*L27</f>
        <v>4.92804</v>
      </c>
      <c r="M39" s="48" t="n">
        <f aca="false">M38*M27</f>
        <v>3.59125</v>
      </c>
    </row>
    <row r="40" customFormat="false" ht="15" hidden="false" customHeight="false" outlineLevel="0" collapsed="false">
      <c r="A40" s="48" t="s">
        <v>217</v>
      </c>
      <c r="B40" s="49" t="s">
        <v>205</v>
      </c>
      <c r="C40" s="50"/>
      <c r="D40" s="53" t="n">
        <f aca="false">D28</f>
        <v>0</v>
      </c>
      <c r="E40" s="53" t="n">
        <f aca="false">E28</f>
        <v>0</v>
      </c>
      <c r="F40" s="53" t="n">
        <f aca="false">F28</f>
        <v>0</v>
      </c>
      <c r="G40" s="53" t="n">
        <f aca="false">G28</f>
        <v>0.28</v>
      </c>
      <c r="H40" s="53" t="n">
        <f aca="false">H28</f>
        <v>0.27</v>
      </c>
      <c r="I40" s="53" t="n">
        <f aca="false">I28</f>
        <v>0.26</v>
      </c>
      <c r="J40" s="53" t="n">
        <f aca="false">J28</f>
        <v>0.25</v>
      </c>
      <c r="K40" s="53" t="n">
        <f aca="false">K28</f>
        <v>0.24</v>
      </c>
      <c r="L40" s="53" t="n">
        <f aca="false">L28</f>
        <v>0.23</v>
      </c>
      <c r="M40" s="53" t="n">
        <f aca="false">M28</f>
        <v>0.22</v>
      </c>
    </row>
    <row r="41" customFormat="false" ht="15" hidden="false" customHeight="false" outlineLevel="0" collapsed="false">
      <c r="A41" s="48" t="s">
        <v>162</v>
      </c>
      <c r="B41" s="49" t="s">
        <v>27</v>
      </c>
      <c r="C41" s="50"/>
      <c r="D41" s="48" t="n">
        <f aca="false">D38*D40</f>
        <v>0</v>
      </c>
      <c r="E41" s="48" t="n">
        <f aca="false">E38*E40</f>
        <v>0</v>
      </c>
      <c r="F41" s="48" t="n">
        <f aca="false">F38*F40</f>
        <v>0</v>
      </c>
      <c r="G41" s="48" t="n">
        <f aca="false">G38*G40</f>
        <v>4.7775</v>
      </c>
      <c r="H41" s="48" t="n">
        <f aca="false">H38*H40</f>
        <v>6.5637</v>
      </c>
      <c r="I41" s="48" t="n">
        <f aca="false">I38*I40</f>
        <v>4.800445</v>
      </c>
      <c r="J41" s="48" t="n">
        <f aca="false">J38*J40</f>
        <v>3.5464</v>
      </c>
      <c r="K41" s="48" t="n">
        <f aca="false">K38*K40</f>
        <v>2.53344</v>
      </c>
      <c r="L41" s="48" t="n">
        <f aca="false">L38*L40</f>
        <v>1.743768</v>
      </c>
      <c r="M41" s="48" t="n">
        <f aca="false">M38*M40</f>
        <v>1.2155</v>
      </c>
    </row>
    <row r="42" customFormat="false" ht="15" hidden="false" customHeight="false" outlineLevel="0" collapsed="false">
      <c r="A42" s="48" t="s">
        <v>30</v>
      </c>
      <c r="B42" s="49" t="s">
        <v>27</v>
      </c>
      <c r="C42" s="50"/>
      <c r="D42" s="48" t="n">
        <f aca="false">D39*D40</f>
        <v>0</v>
      </c>
      <c r="E42" s="48" t="n">
        <f aca="false">E39*E40</f>
        <v>0</v>
      </c>
      <c r="F42" s="48" t="n">
        <f aca="false">F39*F40</f>
        <v>0</v>
      </c>
      <c r="G42" s="48" t="n">
        <f aca="false">G39*G40</f>
        <v>3.105375</v>
      </c>
      <c r="H42" s="48" t="n">
        <f aca="false">H39*H40</f>
        <v>4.266405</v>
      </c>
      <c r="I42" s="48" t="n">
        <f aca="false">I39*I40</f>
        <v>3.12028925</v>
      </c>
      <c r="J42" s="48" t="n">
        <f aca="false">J39*J40</f>
        <v>2.30516</v>
      </c>
      <c r="K42" s="48" t="n">
        <f aca="false">K39*K40</f>
        <v>1.646736</v>
      </c>
      <c r="L42" s="48" t="n">
        <f aca="false">L39*L40</f>
        <v>1.1334492</v>
      </c>
      <c r="M42" s="48" t="n">
        <f aca="false">M39*M40</f>
        <v>0.790075</v>
      </c>
    </row>
    <row r="43" customFormat="false" ht="15" hidden="false" customHeight="false" outlineLevel="0" collapsed="false">
      <c r="A43" s="48" t="s">
        <v>221</v>
      </c>
      <c r="B43" s="49" t="s">
        <v>31</v>
      </c>
      <c r="C43" s="50"/>
      <c r="D43" s="54" t="n">
        <f aca="false">D38*'Global Assump'!D$4</f>
        <v>0</v>
      </c>
      <c r="E43" s="54" t="n">
        <f aca="false">E38*'Global Assump'!E$4</f>
        <v>0</v>
      </c>
      <c r="F43" s="54" t="n">
        <f aca="false">F38*'Global Assump'!F$4</f>
        <v>0</v>
      </c>
      <c r="G43" s="54" t="n">
        <f aca="false">G38*'Global Assump'!G$4</f>
        <v>1569.75</v>
      </c>
      <c r="H43" s="54" t="n">
        <f aca="false">H38*'Global Assump'!H$4</f>
        <v>2285.14</v>
      </c>
      <c r="I43" s="54" t="n">
        <f aca="false">I38*'Global Assump'!I$4</f>
        <v>1772.472</v>
      </c>
      <c r="J43" s="54" t="n">
        <f aca="false">J38*'Global Assump'!J$4</f>
        <v>1390.1888</v>
      </c>
      <c r="K43" s="54" t="n">
        <f aca="false">K38*'Global Assump'!K$4</f>
        <v>1055.6</v>
      </c>
      <c r="L43" s="54" t="n">
        <f aca="false">L38*'Global Assump'!L$4</f>
        <v>773.3232</v>
      </c>
      <c r="M43" s="54" t="n">
        <f aca="false">M38*'Global Assump'!M$4</f>
        <v>574.6</v>
      </c>
    </row>
    <row r="44" customFormat="false" ht="15" hidden="false" customHeight="false" outlineLevel="0" collapsed="false">
      <c r="A44" s="48" t="s">
        <v>222</v>
      </c>
      <c r="B44" s="49" t="s">
        <v>31</v>
      </c>
      <c r="C44" s="50"/>
      <c r="D44" s="54" t="n">
        <f aca="false">D39*'Global Assump'!D$4</f>
        <v>0</v>
      </c>
      <c r="E44" s="54" t="n">
        <f aca="false">E39*'Global Assump'!E$4</f>
        <v>0</v>
      </c>
      <c r="F44" s="54" t="n">
        <f aca="false">F39*'Global Assump'!F$4</f>
        <v>0</v>
      </c>
      <c r="G44" s="54" t="n">
        <f aca="false">G39*'Global Assump'!G$4</f>
        <v>1020.3375</v>
      </c>
      <c r="H44" s="54" t="n">
        <f aca="false">H39*'Global Assump'!H$4</f>
        <v>1485.341</v>
      </c>
      <c r="I44" s="54" t="n">
        <f aca="false">I39*'Global Assump'!I$4</f>
        <v>1152.1068</v>
      </c>
      <c r="J44" s="54" t="n">
        <f aca="false">J39*'Global Assump'!J$4</f>
        <v>903.62272</v>
      </c>
      <c r="K44" s="54" t="n">
        <f aca="false">K39*'Global Assump'!K$4</f>
        <v>686.14</v>
      </c>
      <c r="L44" s="54" t="n">
        <f aca="false">L39*'Global Assump'!L$4</f>
        <v>502.66008</v>
      </c>
      <c r="M44" s="54" t="n">
        <f aca="false">M39*'Global Assump'!M$4</f>
        <v>373.49</v>
      </c>
    </row>
    <row r="46" customFormat="false" ht="18" hidden="false" customHeight="true" outlineLevel="0" collapsed="false">
      <c r="A46" s="8" t="s">
        <v>223</v>
      </c>
      <c r="B46" s="8"/>
      <c r="C46" s="8"/>
      <c r="D46" s="8"/>
      <c r="E46" s="8"/>
      <c r="F46" s="8"/>
      <c r="G46" s="8"/>
      <c r="H46" s="8"/>
      <c r="I46" s="8"/>
      <c r="J46" s="8"/>
      <c r="K46" s="8"/>
      <c r="L46" s="8"/>
      <c r="M46" s="8"/>
    </row>
    <row r="47" customFormat="false" ht="27.75" hidden="false" customHeight="true" outlineLevel="0" collapsed="false">
      <c r="A47" s="55" t="s">
        <v>263</v>
      </c>
      <c r="B47" s="55"/>
      <c r="C47" s="55"/>
      <c r="D47" s="55"/>
      <c r="E47" s="55"/>
      <c r="F47" s="55"/>
      <c r="G47" s="55"/>
      <c r="H47" s="55"/>
      <c r="I47" s="55"/>
      <c r="J47" s="55"/>
      <c r="K47" s="55"/>
      <c r="L47" s="55"/>
      <c r="M47" s="55"/>
    </row>
  </sheetData>
  <autoFilter ref="A19:M44"/>
  <mergeCells count="19">
    <mergeCell ref="A1:M1"/>
    <mergeCell ref="A2:M2"/>
    <mergeCell ref="A4:M4"/>
    <mergeCell ref="B5:M5"/>
    <mergeCell ref="B6:M6"/>
    <mergeCell ref="B7:M7"/>
    <mergeCell ref="B8:M8"/>
    <mergeCell ref="B9:M9"/>
    <mergeCell ref="B10:M10"/>
    <mergeCell ref="B11:M11"/>
    <mergeCell ref="B12:M12"/>
    <mergeCell ref="B13:M13"/>
    <mergeCell ref="B14:M14"/>
    <mergeCell ref="B15:M15"/>
    <mergeCell ref="B16:M16"/>
    <mergeCell ref="A18:M18"/>
    <mergeCell ref="A36:M36"/>
    <mergeCell ref="A46:M46"/>
    <mergeCell ref="A47:M47"/>
  </mergeCells>
  <conditionalFormatting sqref="B13">
    <cfRule type="expression" priority="2" aboveAverage="0" equalAverage="0" bottom="0" percent="0" rank="0" text="" dxfId="6">
      <formula>B13="Within range"</formula>
    </cfRule>
    <cfRule type="expression" priority="3" aboveAverage="0" equalAverage="0" bottom="0" percent="0" rank="0" text="" dxfId="7">
      <formula>B13&lt;&gt;"Within range"</formula>
    </cfRule>
  </conditionalFormatting>
  <dataValidations count="1">
    <dataValidation allowBlank="false" errorStyle="stop" operator="between" showDropDown="false" showErrorMessage="false" showInputMessage="false" sqref="B9" type="list">
      <formula1>"0,1"</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M47"/>
  <sheetViews>
    <sheetView showFormulas="false" showGridLines="false" showRowColHeaders="true" showZeros="true" rightToLeft="false" tabSelected="false" showOutlineSymbols="true" defaultGridColor="true" view="normal" topLeftCell="A1" colorId="64" zoomScale="85" zoomScaleNormal="85" zoomScalePageLayoutView="100" workbookViewId="0">
      <pane xSplit="3" ySplit="19" topLeftCell="D20" activePane="bottomRight" state="frozen"/>
      <selection pane="topLeft" activeCell="A1" activeCellId="0" sqref="A1"/>
      <selection pane="topRight" activeCell="D1" activeCellId="0" sqref="D1"/>
      <selection pane="bottomLeft" activeCell="A20" activeCellId="0" sqref="A20"/>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0" width="32"/>
    <col collapsed="false" customWidth="true" hidden="false" outlineLevel="0" max="2" min="2" style="0" width="15"/>
    <col collapsed="false" customWidth="true" hidden="false" outlineLevel="0" max="3" min="3" style="0" width="30"/>
    <col collapsed="false" customWidth="true" hidden="false" outlineLevel="0" max="13" min="4" style="0" width="12"/>
  </cols>
  <sheetData>
    <row r="1" customFormat="false" ht="24" hidden="false" customHeight="true" outlineLevel="0" collapsed="false">
      <c r="A1" s="24" t="s">
        <v>71</v>
      </c>
      <c r="B1" s="24"/>
      <c r="C1" s="24"/>
      <c r="D1" s="24"/>
      <c r="E1" s="24"/>
      <c r="F1" s="24"/>
      <c r="G1" s="24"/>
      <c r="H1" s="24"/>
      <c r="I1" s="24"/>
      <c r="J1" s="24"/>
      <c r="K1" s="24"/>
      <c r="L1" s="24"/>
      <c r="M1" s="24"/>
    </row>
    <row r="2" customFormat="false" ht="27.75" hidden="false" customHeight="true" outlineLevel="0" collapsed="false">
      <c r="A2" s="25" t="s">
        <v>264</v>
      </c>
      <c r="B2" s="25"/>
      <c r="C2" s="25"/>
      <c r="D2" s="25"/>
      <c r="E2" s="25"/>
      <c r="F2" s="25"/>
      <c r="G2" s="25"/>
      <c r="H2" s="25"/>
      <c r="I2" s="25"/>
      <c r="J2" s="25"/>
      <c r="K2" s="25"/>
      <c r="L2" s="25"/>
      <c r="M2" s="25"/>
    </row>
    <row r="4" customFormat="false" ht="18" hidden="false" customHeight="true" outlineLevel="0" collapsed="false">
      <c r="A4" s="8" t="s">
        <v>182</v>
      </c>
      <c r="B4" s="8"/>
      <c r="C4" s="8"/>
      <c r="D4" s="8"/>
      <c r="E4" s="8"/>
      <c r="F4" s="8"/>
      <c r="G4" s="8"/>
      <c r="H4" s="8"/>
      <c r="I4" s="8"/>
      <c r="J4" s="8"/>
      <c r="K4" s="8"/>
      <c r="L4" s="8"/>
      <c r="M4" s="8"/>
    </row>
    <row r="5" customFormat="false" ht="18" hidden="false" customHeight="true" outlineLevel="0" collapsed="false">
      <c r="A5" s="33" t="s">
        <v>183</v>
      </c>
      <c r="B5" s="34" t="s">
        <v>71</v>
      </c>
      <c r="C5" s="34"/>
      <c r="D5" s="34"/>
      <c r="E5" s="34"/>
      <c r="F5" s="34"/>
      <c r="G5" s="34"/>
      <c r="H5" s="34"/>
      <c r="I5" s="34"/>
      <c r="J5" s="34"/>
      <c r="K5" s="34"/>
      <c r="L5" s="34"/>
      <c r="M5" s="34"/>
    </row>
    <row r="6" customFormat="false" ht="18" hidden="false" customHeight="true" outlineLevel="0" collapsed="false">
      <c r="A6" s="33" t="s">
        <v>33</v>
      </c>
      <c r="B6" s="34" t="s">
        <v>35</v>
      </c>
      <c r="C6" s="34"/>
      <c r="D6" s="34"/>
      <c r="E6" s="34"/>
      <c r="F6" s="34"/>
      <c r="G6" s="34"/>
      <c r="H6" s="34"/>
      <c r="I6" s="34"/>
      <c r="J6" s="34"/>
      <c r="K6" s="34"/>
      <c r="L6" s="34"/>
      <c r="M6" s="34"/>
    </row>
    <row r="7" customFormat="false" ht="18" hidden="false" customHeight="true" outlineLevel="0" collapsed="false">
      <c r="A7" s="33" t="s">
        <v>42</v>
      </c>
      <c r="B7" s="34" t="s">
        <v>51</v>
      </c>
      <c r="C7" s="34"/>
      <c r="D7" s="34"/>
      <c r="E7" s="34"/>
      <c r="F7" s="34"/>
      <c r="G7" s="34"/>
      <c r="H7" s="34"/>
      <c r="I7" s="34"/>
      <c r="J7" s="34"/>
      <c r="K7" s="34"/>
      <c r="L7" s="34"/>
      <c r="M7" s="34"/>
    </row>
    <row r="8" customFormat="false" ht="24" hidden="false" customHeight="true" outlineLevel="0" collapsed="false">
      <c r="A8" s="33" t="s">
        <v>184</v>
      </c>
      <c r="B8" s="34" t="s">
        <v>72</v>
      </c>
      <c r="C8" s="34"/>
      <c r="D8" s="34"/>
      <c r="E8" s="34"/>
      <c r="F8" s="34"/>
      <c r="G8" s="34"/>
      <c r="H8" s="34"/>
      <c r="I8" s="34"/>
      <c r="J8" s="34"/>
      <c r="K8" s="34"/>
      <c r="L8" s="34"/>
      <c r="M8" s="34"/>
    </row>
    <row r="9" customFormat="false" ht="18" hidden="false" customHeight="true" outlineLevel="0" collapsed="false">
      <c r="A9" s="33" t="s">
        <v>185</v>
      </c>
      <c r="B9" s="35" t="n">
        <v>1</v>
      </c>
      <c r="C9" s="35"/>
      <c r="D9" s="35"/>
      <c r="E9" s="35"/>
      <c r="F9" s="35"/>
      <c r="G9" s="35"/>
      <c r="H9" s="35"/>
      <c r="I9" s="35"/>
      <c r="J9" s="35"/>
      <c r="K9" s="35"/>
      <c r="L9" s="35"/>
      <c r="M9" s="35"/>
    </row>
    <row r="10" customFormat="false" ht="18" hidden="false" customHeight="true" outlineLevel="0" collapsed="false">
      <c r="A10" s="33" t="s">
        <v>186</v>
      </c>
      <c r="B10" s="36" t="n">
        <v>75</v>
      </c>
      <c r="C10" s="36"/>
      <c r="D10" s="36"/>
      <c r="E10" s="36"/>
      <c r="F10" s="36"/>
      <c r="G10" s="36"/>
      <c r="H10" s="36"/>
      <c r="I10" s="36"/>
      <c r="J10" s="36"/>
      <c r="K10" s="36"/>
      <c r="L10" s="36"/>
      <c r="M10" s="36"/>
    </row>
    <row r="11" customFormat="false" ht="18" hidden="false" customHeight="true" outlineLevel="0" collapsed="false">
      <c r="A11" s="33" t="s">
        <v>187</v>
      </c>
      <c r="B11" s="36" t="n">
        <v>120</v>
      </c>
      <c r="C11" s="36"/>
      <c r="D11" s="36"/>
      <c r="E11" s="36"/>
      <c r="F11" s="36"/>
      <c r="G11" s="36"/>
      <c r="H11" s="36"/>
      <c r="I11" s="36"/>
      <c r="J11" s="36"/>
      <c r="K11" s="36"/>
      <c r="L11" s="36"/>
      <c r="M11" s="36"/>
    </row>
    <row r="12" customFormat="false" ht="18" hidden="false" customHeight="true" outlineLevel="0" collapsed="false">
      <c r="A12" s="33" t="s">
        <v>188</v>
      </c>
      <c r="B12" s="37" t="n">
        <f aca="false">MAX(D38:M38)</f>
        <v>75.264</v>
      </c>
      <c r="C12" s="37"/>
      <c r="D12" s="37"/>
      <c r="E12" s="37"/>
      <c r="F12" s="37"/>
      <c r="G12" s="37"/>
      <c r="H12" s="37"/>
      <c r="I12" s="37"/>
      <c r="J12" s="37"/>
      <c r="K12" s="37"/>
      <c r="L12" s="37"/>
      <c r="M12" s="37"/>
    </row>
    <row r="13" customFormat="false" ht="18" hidden="false" customHeight="true" outlineLevel="0" collapsed="false">
      <c r="A13" s="33" t="s">
        <v>189</v>
      </c>
      <c r="B13" s="38" t="str">
        <f aca="false">IF(AND(B12&gt;=B10,B12&lt;=B11),"Within range",IF(B12&lt;B10,"Below range","Above range"))</f>
        <v>Within range</v>
      </c>
      <c r="C13" s="38"/>
      <c r="D13" s="38"/>
      <c r="E13" s="38"/>
      <c r="F13" s="38"/>
      <c r="G13" s="38"/>
      <c r="H13" s="38"/>
      <c r="I13" s="38"/>
      <c r="J13" s="38"/>
      <c r="K13" s="38"/>
      <c r="L13" s="38"/>
      <c r="M13" s="38"/>
    </row>
    <row r="14" customFormat="false" ht="18" hidden="false" customHeight="true" outlineLevel="0" collapsed="false">
      <c r="A14" s="33" t="s">
        <v>190</v>
      </c>
      <c r="B14" s="34" t="s">
        <v>57</v>
      </c>
      <c r="C14" s="34"/>
      <c r="D14" s="34"/>
      <c r="E14" s="34"/>
      <c r="F14" s="34"/>
      <c r="G14" s="34"/>
      <c r="H14" s="34"/>
      <c r="I14" s="34"/>
      <c r="J14" s="34"/>
      <c r="K14" s="34"/>
      <c r="L14" s="34"/>
      <c r="M14" s="34"/>
    </row>
    <row r="15" customFormat="false" ht="24" hidden="false" customHeight="true" outlineLevel="0" collapsed="false">
      <c r="A15" s="33" t="s">
        <v>191</v>
      </c>
      <c r="B15" s="34" t="s">
        <v>265</v>
      </c>
      <c r="C15" s="34"/>
      <c r="D15" s="34"/>
      <c r="E15" s="34"/>
      <c r="F15" s="34"/>
      <c r="G15" s="34"/>
      <c r="H15" s="34"/>
      <c r="I15" s="34"/>
      <c r="J15" s="34"/>
      <c r="K15" s="34"/>
      <c r="L15" s="34"/>
      <c r="M15" s="34"/>
    </row>
    <row r="16" customFormat="false" ht="24" hidden="false" customHeight="true" outlineLevel="0" collapsed="false">
      <c r="A16" s="33" t="s">
        <v>193</v>
      </c>
      <c r="B16" s="34" t="s">
        <v>240</v>
      </c>
      <c r="C16" s="34"/>
      <c r="D16" s="34"/>
      <c r="E16" s="34"/>
      <c r="F16" s="34"/>
      <c r="G16" s="34"/>
      <c r="H16" s="34"/>
      <c r="I16" s="34"/>
      <c r="J16" s="34"/>
      <c r="K16" s="34"/>
      <c r="L16" s="34"/>
      <c r="M16" s="34"/>
    </row>
    <row r="18" customFormat="false" ht="18" hidden="false" customHeight="true" outlineLevel="0" collapsed="false">
      <c r="A18" s="8" t="s">
        <v>195</v>
      </c>
      <c r="B18" s="8"/>
      <c r="C18" s="8"/>
      <c r="D18" s="8"/>
      <c r="E18" s="8"/>
      <c r="F18" s="8"/>
      <c r="G18" s="8"/>
      <c r="H18" s="8"/>
      <c r="I18" s="8"/>
      <c r="J18" s="8"/>
      <c r="K18" s="8"/>
      <c r="L18" s="8"/>
      <c r="M18" s="8"/>
    </row>
    <row r="19" customFormat="false" ht="15" hidden="false" customHeight="false" outlineLevel="0" collapsed="false">
      <c r="A19" s="39" t="s">
        <v>196</v>
      </c>
      <c r="B19" s="39" t="s">
        <v>15</v>
      </c>
      <c r="C19" s="39" t="s">
        <v>197</v>
      </c>
      <c r="D19" s="39" t="s">
        <v>16</v>
      </c>
      <c r="E19" s="39" t="s">
        <v>17</v>
      </c>
      <c r="F19" s="39" t="s">
        <v>18</v>
      </c>
      <c r="G19" s="39" t="s">
        <v>19</v>
      </c>
      <c r="H19" s="39" t="s">
        <v>20</v>
      </c>
      <c r="I19" s="39" t="s">
        <v>21</v>
      </c>
      <c r="J19" s="39" t="s">
        <v>22</v>
      </c>
      <c r="K19" s="39" t="s">
        <v>23</v>
      </c>
      <c r="L19" s="39" t="s">
        <v>24</v>
      </c>
      <c r="M19" s="39" t="s">
        <v>25</v>
      </c>
    </row>
    <row r="20" customFormat="false" ht="19.4" hidden="false" customHeight="false" outlineLevel="0" collapsed="false">
      <c r="A20" s="40" t="s">
        <v>241</v>
      </c>
      <c r="B20" s="41" t="s">
        <v>27</v>
      </c>
      <c r="C20" s="42" t="s">
        <v>242</v>
      </c>
      <c r="D20" s="44" t="n">
        <v>0</v>
      </c>
      <c r="E20" s="44" t="n">
        <v>0</v>
      </c>
      <c r="F20" s="44" t="n">
        <v>0</v>
      </c>
      <c r="G20" s="44" t="n">
        <v>0</v>
      </c>
      <c r="H20" s="44" t="n">
        <v>2200</v>
      </c>
      <c r="I20" s="44" t="n">
        <v>2100</v>
      </c>
      <c r="J20" s="44" t="n">
        <v>1950</v>
      </c>
      <c r="K20" s="44" t="n">
        <v>1800</v>
      </c>
      <c r="L20" s="44" t="n">
        <v>1650</v>
      </c>
      <c r="M20" s="44" t="n">
        <v>1500</v>
      </c>
    </row>
    <row r="21" customFormat="false" ht="19.4" hidden="false" customHeight="false" outlineLevel="0" collapsed="false">
      <c r="A21" s="40" t="s">
        <v>243</v>
      </c>
      <c r="B21" s="41" t="s">
        <v>205</v>
      </c>
      <c r="C21" s="42" t="s">
        <v>244</v>
      </c>
      <c r="D21" s="45" t="n">
        <v>0</v>
      </c>
      <c r="E21" s="45" t="n">
        <v>0</v>
      </c>
      <c r="F21" s="45" t="n">
        <v>0</v>
      </c>
      <c r="G21" s="45" t="n">
        <v>0</v>
      </c>
      <c r="H21" s="45" t="n">
        <v>0.18</v>
      </c>
      <c r="I21" s="45" t="n">
        <v>0.16</v>
      </c>
      <c r="J21" s="45" t="n">
        <v>0.14</v>
      </c>
      <c r="K21" s="45" t="n">
        <v>0.12</v>
      </c>
      <c r="L21" s="45" t="n">
        <v>0.1</v>
      </c>
      <c r="M21" s="45" t="n">
        <v>0.09</v>
      </c>
    </row>
    <row r="22" customFormat="false" ht="15" hidden="false" customHeight="false" outlineLevel="0" collapsed="false">
      <c r="A22" s="23" t="s">
        <v>245</v>
      </c>
      <c r="B22" s="41" t="s">
        <v>27</v>
      </c>
      <c r="C22" s="42" t="s">
        <v>246</v>
      </c>
      <c r="D22" s="47" t="n">
        <f aca="false">D20*D21</f>
        <v>0</v>
      </c>
      <c r="E22" s="47" t="n">
        <f aca="false">E20*E21</f>
        <v>0</v>
      </c>
      <c r="F22" s="47" t="n">
        <f aca="false">F20*F21</f>
        <v>0</v>
      </c>
      <c r="G22" s="47" t="n">
        <f aca="false">G20*G21</f>
        <v>0</v>
      </c>
      <c r="H22" s="47" t="n">
        <f aca="false">H20*H21</f>
        <v>396</v>
      </c>
      <c r="I22" s="47" t="n">
        <f aca="false">I20*I21</f>
        <v>336</v>
      </c>
      <c r="J22" s="47" t="n">
        <f aca="false">J20*J21</f>
        <v>273</v>
      </c>
      <c r="K22" s="47" t="n">
        <f aca="false">K20*K21</f>
        <v>216</v>
      </c>
      <c r="L22" s="47" t="n">
        <f aca="false">L20*L21</f>
        <v>165</v>
      </c>
      <c r="M22" s="47" t="n">
        <f aca="false">M20*M21</f>
        <v>135</v>
      </c>
    </row>
    <row r="23" customFormat="false" ht="15" hidden="false" customHeight="false" outlineLevel="0" collapsed="false">
      <c r="A23" s="23" t="s">
        <v>247</v>
      </c>
      <c r="B23" s="41" t="s">
        <v>205</v>
      </c>
      <c r="C23" s="42" t="s">
        <v>248</v>
      </c>
      <c r="D23" s="45" t="n">
        <v>0</v>
      </c>
      <c r="E23" s="45" t="n">
        <v>0</v>
      </c>
      <c r="F23" s="45" t="n">
        <v>0</v>
      </c>
      <c r="G23" s="45" t="n">
        <v>0</v>
      </c>
      <c r="H23" s="45" t="n">
        <v>0.3</v>
      </c>
      <c r="I23" s="45" t="n">
        <v>0.28</v>
      </c>
      <c r="J23" s="45" t="n">
        <v>0.27</v>
      </c>
      <c r="K23" s="45" t="n">
        <v>0.25</v>
      </c>
      <c r="L23" s="45" t="n">
        <v>0.23</v>
      </c>
      <c r="M23" s="45" t="n">
        <v>0.22</v>
      </c>
    </row>
    <row r="24" customFormat="false" ht="15" hidden="false" customHeight="false" outlineLevel="0" collapsed="false">
      <c r="A24" s="23" t="s">
        <v>207</v>
      </c>
      <c r="B24" s="41" t="s">
        <v>205</v>
      </c>
      <c r="C24" s="42" t="s">
        <v>208</v>
      </c>
      <c r="D24" s="45" t="n">
        <v>0</v>
      </c>
      <c r="E24" s="45" t="n">
        <v>0</v>
      </c>
      <c r="F24" s="45" t="n">
        <v>0</v>
      </c>
      <c r="G24" s="45" t="n">
        <v>0</v>
      </c>
      <c r="H24" s="45" t="n">
        <v>0.75</v>
      </c>
      <c r="I24" s="45" t="n">
        <v>1</v>
      </c>
      <c r="J24" s="45" t="n">
        <v>1</v>
      </c>
      <c r="K24" s="45" t="n">
        <v>1</v>
      </c>
      <c r="L24" s="45" t="n">
        <v>1</v>
      </c>
      <c r="M24" s="45" t="n">
        <v>1</v>
      </c>
    </row>
    <row r="25" customFormat="false" ht="15" hidden="false" customHeight="false" outlineLevel="0" collapsed="false">
      <c r="A25" s="23" t="s">
        <v>211</v>
      </c>
      <c r="B25" s="41" t="s">
        <v>27</v>
      </c>
      <c r="C25" s="42" t="s">
        <v>249</v>
      </c>
      <c r="D25" s="47" t="n">
        <f aca="false">D22*D23*D24</f>
        <v>0</v>
      </c>
      <c r="E25" s="47" t="n">
        <f aca="false">E22*E23*E24</f>
        <v>0</v>
      </c>
      <c r="F25" s="47" t="n">
        <f aca="false">F22*F23*F24</f>
        <v>0</v>
      </c>
      <c r="G25" s="47" t="n">
        <f aca="false">G22*G23*G24</f>
        <v>0</v>
      </c>
      <c r="H25" s="47" t="n">
        <f aca="false">H22*H23*H24</f>
        <v>89.1</v>
      </c>
      <c r="I25" s="47" t="n">
        <f aca="false">I22*I23*I24</f>
        <v>94.08</v>
      </c>
      <c r="J25" s="47" t="n">
        <f aca="false">J22*J23*J24</f>
        <v>73.71</v>
      </c>
      <c r="K25" s="47" t="n">
        <f aca="false">K22*K23*K24</f>
        <v>54</v>
      </c>
      <c r="L25" s="47" t="n">
        <f aca="false">L22*L23*L24</f>
        <v>37.95</v>
      </c>
      <c r="M25" s="47" t="n">
        <f aca="false">M22*M23*M24</f>
        <v>29.7</v>
      </c>
    </row>
    <row r="26" customFormat="false" ht="19.4" hidden="false" customHeight="false" outlineLevel="0" collapsed="false">
      <c r="A26" s="23" t="s">
        <v>213</v>
      </c>
      <c r="B26" s="41" t="s">
        <v>205</v>
      </c>
      <c r="C26" s="42" t="s">
        <v>250</v>
      </c>
      <c r="D26" s="45" t="n">
        <v>0.8</v>
      </c>
      <c r="E26" s="45" t="n">
        <v>0.8</v>
      </c>
      <c r="F26" s="45" t="n">
        <v>0.8</v>
      </c>
      <c r="G26" s="45" t="n">
        <v>0.8</v>
      </c>
      <c r="H26" s="45" t="n">
        <v>0.8</v>
      </c>
      <c r="I26" s="45" t="n">
        <v>0.8</v>
      </c>
      <c r="J26" s="45" t="n">
        <v>0.8</v>
      </c>
      <c r="K26" s="45" t="n">
        <v>0.8</v>
      </c>
      <c r="L26" s="45" t="n">
        <v>0.8</v>
      </c>
      <c r="M26" s="45" t="n">
        <v>0.8</v>
      </c>
    </row>
    <row r="27" customFormat="false" ht="15" hidden="false" customHeight="false" outlineLevel="0" collapsed="false">
      <c r="A27" s="23" t="s">
        <v>215</v>
      </c>
      <c r="B27" s="41" t="s">
        <v>205</v>
      </c>
      <c r="C27" s="42" t="s">
        <v>251</v>
      </c>
      <c r="D27" s="45" t="n">
        <v>0.5</v>
      </c>
      <c r="E27" s="45" t="n">
        <v>0.5</v>
      </c>
      <c r="F27" s="45" t="n">
        <v>0.5</v>
      </c>
      <c r="G27" s="45" t="n">
        <v>0.5</v>
      </c>
      <c r="H27" s="45" t="n">
        <v>0.5</v>
      </c>
      <c r="I27" s="45" t="n">
        <v>0.5</v>
      </c>
      <c r="J27" s="45" t="n">
        <v>0.5</v>
      </c>
      <c r="K27" s="45" t="n">
        <v>0.5</v>
      </c>
      <c r="L27" s="45" t="n">
        <v>0.5</v>
      </c>
      <c r="M27" s="45" t="n">
        <v>0.5</v>
      </c>
    </row>
    <row r="28" customFormat="false" ht="15" hidden="false" customHeight="false" outlineLevel="0" collapsed="false">
      <c r="A28" s="23" t="s">
        <v>217</v>
      </c>
      <c r="B28" s="41" t="s">
        <v>205</v>
      </c>
      <c r="C28" s="42" t="s">
        <v>252</v>
      </c>
      <c r="D28" s="45" t="n">
        <v>0</v>
      </c>
      <c r="E28" s="45" t="n">
        <v>0</v>
      </c>
      <c r="F28" s="45" t="n">
        <v>0</v>
      </c>
      <c r="G28" s="45" t="n">
        <v>0</v>
      </c>
      <c r="H28" s="45" t="n">
        <v>0.3</v>
      </c>
      <c r="I28" s="45" t="n">
        <v>0.3</v>
      </c>
      <c r="J28" s="45" t="n">
        <v>0.29</v>
      </c>
      <c r="K28" s="45" t="n">
        <v>0.28</v>
      </c>
      <c r="L28" s="45" t="n">
        <v>0.27</v>
      </c>
      <c r="M28" s="45" t="n">
        <v>0.26</v>
      </c>
    </row>
    <row r="36" customFormat="false" ht="18" hidden="false" customHeight="true" outlineLevel="0" collapsed="false">
      <c r="A36" s="8" t="s">
        <v>219</v>
      </c>
      <c r="B36" s="8"/>
      <c r="C36" s="8"/>
      <c r="D36" s="8"/>
      <c r="E36" s="8"/>
      <c r="F36" s="8"/>
      <c r="G36" s="8"/>
      <c r="H36" s="8"/>
      <c r="I36" s="8"/>
      <c r="J36" s="8"/>
      <c r="K36" s="8"/>
      <c r="L36" s="8"/>
      <c r="M36" s="8"/>
    </row>
    <row r="37" customFormat="false" ht="15" hidden="false" customHeight="false" outlineLevel="0" collapsed="false">
      <c r="A37" s="48" t="s">
        <v>220</v>
      </c>
      <c r="B37" s="49" t="s">
        <v>27</v>
      </c>
      <c r="C37" s="50"/>
      <c r="D37" s="51" t="n">
        <f aca="false">D25</f>
        <v>0</v>
      </c>
      <c r="E37" s="51" t="n">
        <f aca="false">E25</f>
        <v>0</v>
      </c>
      <c r="F37" s="51" t="n">
        <f aca="false">F25</f>
        <v>0</v>
      </c>
      <c r="G37" s="51" t="n">
        <f aca="false">G25</f>
        <v>0</v>
      </c>
      <c r="H37" s="51" t="n">
        <f aca="false">H25</f>
        <v>89.1</v>
      </c>
      <c r="I37" s="51" t="n">
        <f aca="false">I25</f>
        <v>94.08</v>
      </c>
      <c r="J37" s="51" t="n">
        <f aca="false">J25</f>
        <v>73.71</v>
      </c>
      <c r="K37" s="51" t="n">
        <f aca="false">K25</f>
        <v>54</v>
      </c>
      <c r="L37" s="51" t="n">
        <f aca="false">L25</f>
        <v>37.95</v>
      </c>
      <c r="M37" s="51" t="n">
        <f aca="false">M25</f>
        <v>29.7</v>
      </c>
    </row>
    <row r="38" customFormat="false" ht="15" hidden="false" customHeight="false" outlineLevel="0" collapsed="false">
      <c r="A38" s="52" t="s">
        <v>221</v>
      </c>
      <c r="B38" s="49" t="s">
        <v>27</v>
      </c>
      <c r="C38" s="50"/>
      <c r="D38" s="48" t="n">
        <f aca="false">D25*D26*$B$9</f>
        <v>0</v>
      </c>
      <c r="E38" s="48" t="n">
        <f aca="false">E25*E26*$B$9</f>
        <v>0</v>
      </c>
      <c r="F38" s="48" t="n">
        <f aca="false">F25*F26*$B$9</f>
        <v>0</v>
      </c>
      <c r="G38" s="48" t="n">
        <f aca="false">G25*G26*$B$9</f>
        <v>0</v>
      </c>
      <c r="H38" s="48" t="n">
        <f aca="false">H25*H26*$B$9</f>
        <v>71.28</v>
      </c>
      <c r="I38" s="48" t="n">
        <f aca="false">I25*I26*$B$9</f>
        <v>75.264</v>
      </c>
      <c r="J38" s="48" t="n">
        <f aca="false">J25*J26*$B$9</f>
        <v>58.968</v>
      </c>
      <c r="K38" s="48" t="n">
        <f aca="false">K25*K26*$B$9</f>
        <v>43.2</v>
      </c>
      <c r="L38" s="48" t="n">
        <f aca="false">L25*L26*$B$9</f>
        <v>30.36</v>
      </c>
      <c r="M38" s="48" t="n">
        <f aca="false">M25*M26*$B$9</f>
        <v>23.76</v>
      </c>
    </row>
    <row r="39" customFormat="false" ht="15" hidden="false" customHeight="false" outlineLevel="0" collapsed="false">
      <c r="A39" s="52" t="s">
        <v>222</v>
      </c>
      <c r="B39" s="49" t="s">
        <v>27</v>
      </c>
      <c r="C39" s="50"/>
      <c r="D39" s="48" t="n">
        <f aca="false">D38*D27</f>
        <v>0</v>
      </c>
      <c r="E39" s="48" t="n">
        <f aca="false">E38*E27</f>
        <v>0</v>
      </c>
      <c r="F39" s="48" t="n">
        <f aca="false">F38*F27</f>
        <v>0</v>
      </c>
      <c r="G39" s="48" t="n">
        <f aca="false">G38*G27</f>
        <v>0</v>
      </c>
      <c r="H39" s="48" t="n">
        <f aca="false">H38*H27</f>
        <v>35.64</v>
      </c>
      <c r="I39" s="48" t="n">
        <f aca="false">I38*I27</f>
        <v>37.632</v>
      </c>
      <c r="J39" s="48" t="n">
        <f aca="false">J38*J27</f>
        <v>29.484</v>
      </c>
      <c r="K39" s="48" t="n">
        <f aca="false">K38*K27</f>
        <v>21.6</v>
      </c>
      <c r="L39" s="48" t="n">
        <f aca="false">L38*L27</f>
        <v>15.18</v>
      </c>
      <c r="M39" s="48" t="n">
        <f aca="false">M38*M27</f>
        <v>11.88</v>
      </c>
    </row>
    <row r="40" customFormat="false" ht="15" hidden="false" customHeight="false" outlineLevel="0" collapsed="false">
      <c r="A40" s="48" t="s">
        <v>217</v>
      </c>
      <c r="B40" s="49" t="s">
        <v>205</v>
      </c>
      <c r="C40" s="50"/>
      <c r="D40" s="53" t="n">
        <f aca="false">D28</f>
        <v>0</v>
      </c>
      <c r="E40" s="53" t="n">
        <f aca="false">E28</f>
        <v>0</v>
      </c>
      <c r="F40" s="53" t="n">
        <f aca="false">F28</f>
        <v>0</v>
      </c>
      <c r="G40" s="53" t="n">
        <f aca="false">G28</f>
        <v>0</v>
      </c>
      <c r="H40" s="53" t="n">
        <f aca="false">H28</f>
        <v>0.3</v>
      </c>
      <c r="I40" s="53" t="n">
        <f aca="false">I28</f>
        <v>0.3</v>
      </c>
      <c r="J40" s="53" t="n">
        <f aca="false">J28</f>
        <v>0.29</v>
      </c>
      <c r="K40" s="53" t="n">
        <f aca="false">K28</f>
        <v>0.28</v>
      </c>
      <c r="L40" s="53" t="n">
        <f aca="false">L28</f>
        <v>0.27</v>
      </c>
      <c r="M40" s="53" t="n">
        <f aca="false">M28</f>
        <v>0.26</v>
      </c>
    </row>
    <row r="41" customFormat="false" ht="15" hidden="false" customHeight="false" outlineLevel="0" collapsed="false">
      <c r="A41" s="48" t="s">
        <v>162</v>
      </c>
      <c r="B41" s="49" t="s">
        <v>27</v>
      </c>
      <c r="C41" s="50"/>
      <c r="D41" s="48" t="n">
        <f aca="false">D38*D40</f>
        <v>0</v>
      </c>
      <c r="E41" s="48" t="n">
        <f aca="false">E38*E40</f>
        <v>0</v>
      </c>
      <c r="F41" s="48" t="n">
        <f aca="false">F38*F40</f>
        <v>0</v>
      </c>
      <c r="G41" s="48" t="n">
        <f aca="false">G38*G40</f>
        <v>0</v>
      </c>
      <c r="H41" s="48" t="n">
        <f aca="false">H38*H40</f>
        <v>21.384</v>
      </c>
      <c r="I41" s="48" t="n">
        <f aca="false">I38*I40</f>
        <v>22.5792</v>
      </c>
      <c r="J41" s="48" t="n">
        <f aca="false">J38*J40</f>
        <v>17.10072</v>
      </c>
      <c r="K41" s="48" t="n">
        <f aca="false">K38*K40</f>
        <v>12.096</v>
      </c>
      <c r="L41" s="48" t="n">
        <f aca="false">L38*L40</f>
        <v>8.1972</v>
      </c>
      <c r="M41" s="48" t="n">
        <f aca="false">M38*M40</f>
        <v>6.1776</v>
      </c>
    </row>
    <row r="42" customFormat="false" ht="15" hidden="false" customHeight="false" outlineLevel="0" collapsed="false">
      <c r="A42" s="48" t="s">
        <v>30</v>
      </c>
      <c r="B42" s="49" t="s">
        <v>27</v>
      </c>
      <c r="C42" s="50"/>
      <c r="D42" s="48" t="n">
        <f aca="false">D39*D40</f>
        <v>0</v>
      </c>
      <c r="E42" s="48" t="n">
        <f aca="false">E39*E40</f>
        <v>0</v>
      </c>
      <c r="F42" s="48" t="n">
        <f aca="false">F39*F40</f>
        <v>0</v>
      </c>
      <c r="G42" s="48" t="n">
        <f aca="false">G39*G40</f>
        <v>0</v>
      </c>
      <c r="H42" s="48" t="n">
        <f aca="false">H39*H40</f>
        <v>10.692</v>
      </c>
      <c r="I42" s="48" t="n">
        <f aca="false">I39*I40</f>
        <v>11.2896</v>
      </c>
      <c r="J42" s="48" t="n">
        <f aca="false">J39*J40</f>
        <v>8.55036</v>
      </c>
      <c r="K42" s="48" t="n">
        <f aca="false">K39*K40</f>
        <v>6.048</v>
      </c>
      <c r="L42" s="48" t="n">
        <f aca="false">L39*L40</f>
        <v>4.0986</v>
      </c>
      <c r="M42" s="48" t="n">
        <f aca="false">M39*M40</f>
        <v>3.0888</v>
      </c>
    </row>
    <row r="43" customFormat="false" ht="15" hidden="false" customHeight="false" outlineLevel="0" collapsed="false">
      <c r="A43" s="48" t="s">
        <v>221</v>
      </c>
      <c r="B43" s="49" t="s">
        <v>31</v>
      </c>
      <c r="C43" s="50"/>
      <c r="D43" s="54" t="n">
        <f aca="false">D38*'Global Assump'!D$4</f>
        <v>0</v>
      </c>
      <c r="E43" s="54" t="n">
        <f aca="false">E38*'Global Assump'!E$4</f>
        <v>0</v>
      </c>
      <c r="F43" s="54" t="n">
        <f aca="false">F38*'Global Assump'!F$4</f>
        <v>0</v>
      </c>
      <c r="G43" s="54" t="n">
        <f aca="false">G38*'Global Assump'!G$4</f>
        <v>0</v>
      </c>
      <c r="H43" s="54" t="n">
        <f aca="false">H38*'Global Assump'!H$4</f>
        <v>6700.32</v>
      </c>
      <c r="I43" s="54" t="n">
        <f aca="false">I38*'Global Assump'!I$4</f>
        <v>7225.344</v>
      </c>
      <c r="J43" s="54" t="n">
        <f aca="false">J38*'Global Assump'!J$4</f>
        <v>5778.864</v>
      </c>
      <c r="K43" s="54" t="n">
        <f aca="false">K38*'Global Assump'!K$4</f>
        <v>4320</v>
      </c>
      <c r="L43" s="54" t="n">
        <f aca="false">L38*'Global Assump'!L$4</f>
        <v>3096.72</v>
      </c>
      <c r="M43" s="54" t="n">
        <f aca="false">M38*'Global Assump'!M$4</f>
        <v>2471.04</v>
      </c>
    </row>
    <row r="44" customFormat="false" ht="15" hidden="false" customHeight="false" outlineLevel="0" collapsed="false">
      <c r="A44" s="48" t="s">
        <v>222</v>
      </c>
      <c r="B44" s="49" t="s">
        <v>31</v>
      </c>
      <c r="C44" s="50"/>
      <c r="D44" s="54" t="n">
        <f aca="false">D39*'Global Assump'!D$4</f>
        <v>0</v>
      </c>
      <c r="E44" s="54" t="n">
        <f aca="false">E39*'Global Assump'!E$4</f>
        <v>0</v>
      </c>
      <c r="F44" s="54" t="n">
        <f aca="false">F39*'Global Assump'!F$4</f>
        <v>0</v>
      </c>
      <c r="G44" s="54" t="n">
        <f aca="false">G39*'Global Assump'!G$4</f>
        <v>0</v>
      </c>
      <c r="H44" s="54" t="n">
        <f aca="false">H39*'Global Assump'!H$4</f>
        <v>3350.16</v>
      </c>
      <c r="I44" s="54" t="n">
        <f aca="false">I39*'Global Assump'!I$4</f>
        <v>3612.672</v>
      </c>
      <c r="J44" s="54" t="n">
        <f aca="false">J39*'Global Assump'!J$4</f>
        <v>2889.432</v>
      </c>
      <c r="K44" s="54" t="n">
        <f aca="false">K39*'Global Assump'!K$4</f>
        <v>2160</v>
      </c>
      <c r="L44" s="54" t="n">
        <f aca="false">L39*'Global Assump'!L$4</f>
        <v>1548.36</v>
      </c>
      <c r="M44" s="54" t="n">
        <f aca="false">M39*'Global Assump'!M$4</f>
        <v>1235.52</v>
      </c>
    </row>
    <row r="46" customFormat="false" ht="18" hidden="false" customHeight="true" outlineLevel="0" collapsed="false">
      <c r="A46" s="8" t="s">
        <v>223</v>
      </c>
      <c r="B46" s="8"/>
      <c r="C46" s="8"/>
      <c r="D46" s="8"/>
      <c r="E46" s="8"/>
      <c r="F46" s="8"/>
      <c r="G46" s="8"/>
      <c r="H46" s="8"/>
      <c r="I46" s="8"/>
      <c r="J46" s="8"/>
      <c r="K46" s="8"/>
      <c r="L46" s="8"/>
      <c r="M46" s="8"/>
    </row>
    <row r="47" customFormat="false" ht="27.75" hidden="false" customHeight="true" outlineLevel="0" collapsed="false">
      <c r="A47" s="55" t="s">
        <v>266</v>
      </c>
      <c r="B47" s="55"/>
      <c r="C47" s="55"/>
      <c r="D47" s="55"/>
      <c r="E47" s="55"/>
      <c r="F47" s="55"/>
      <c r="G47" s="55"/>
      <c r="H47" s="55"/>
      <c r="I47" s="55"/>
      <c r="J47" s="55"/>
      <c r="K47" s="55"/>
      <c r="L47" s="55"/>
      <c r="M47" s="55"/>
    </row>
  </sheetData>
  <autoFilter ref="A19:M44"/>
  <mergeCells count="19">
    <mergeCell ref="A1:M1"/>
    <mergeCell ref="A2:M2"/>
    <mergeCell ref="A4:M4"/>
    <mergeCell ref="B5:M5"/>
    <mergeCell ref="B6:M6"/>
    <mergeCell ref="B7:M7"/>
    <mergeCell ref="B8:M8"/>
    <mergeCell ref="B9:M9"/>
    <mergeCell ref="B10:M10"/>
    <mergeCell ref="B11:M11"/>
    <mergeCell ref="B12:M12"/>
    <mergeCell ref="B13:M13"/>
    <mergeCell ref="B14:M14"/>
    <mergeCell ref="B15:M15"/>
    <mergeCell ref="B16:M16"/>
    <mergeCell ref="A18:M18"/>
    <mergeCell ref="A36:M36"/>
    <mergeCell ref="A46:M46"/>
    <mergeCell ref="A47:M47"/>
  </mergeCells>
  <conditionalFormatting sqref="B13">
    <cfRule type="expression" priority="2" aboveAverage="0" equalAverage="0" bottom="0" percent="0" rank="0" text="" dxfId="6">
      <formula>B13="Within range"</formula>
    </cfRule>
    <cfRule type="expression" priority="3" aboveAverage="0" equalAverage="0" bottom="0" percent="0" rank="0" text="" dxfId="7">
      <formula>B13&lt;&gt;"Within range"</formula>
    </cfRule>
  </conditionalFormatting>
  <dataValidations count="1">
    <dataValidation allowBlank="false" errorStyle="stop" operator="between" showDropDown="false" showErrorMessage="false" showInputMessage="false" sqref="B9" type="list">
      <formula1>"0,1"</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drawing r:id="rId1"/>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M47"/>
  <sheetViews>
    <sheetView showFormulas="false" showGridLines="false" showRowColHeaders="true" showZeros="true" rightToLeft="false" tabSelected="false" showOutlineSymbols="true" defaultGridColor="true" view="normal" topLeftCell="A1" colorId="64" zoomScale="85" zoomScaleNormal="85" zoomScalePageLayoutView="100" workbookViewId="0">
      <pane xSplit="3" ySplit="19" topLeftCell="D20" activePane="bottomRight" state="frozen"/>
      <selection pane="topLeft" activeCell="A1" activeCellId="0" sqref="A1"/>
      <selection pane="topRight" activeCell="D1" activeCellId="0" sqref="D1"/>
      <selection pane="bottomLeft" activeCell="A20" activeCellId="0" sqref="A20"/>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0" width="32"/>
    <col collapsed="false" customWidth="true" hidden="false" outlineLevel="0" max="2" min="2" style="0" width="15"/>
    <col collapsed="false" customWidth="true" hidden="false" outlineLevel="0" max="3" min="3" style="0" width="30"/>
    <col collapsed="false" customWidth="true" hidden="false" outlineLevel="0" max="13" min="4" style="0" width="12"/>
  </cols>
  <sheetData>
    <row r="1" customFormat="false" ht="24" hidden="false" customHeight="true" outlineLevel="0" collapsed="false">
      <c r="A1" s="24" t="s">
        <v>74</v>
      </c>
      <c r="B1" s="24"/>
      <c r="C1" s="24"/>
      <c r="D1" s="24"/>
      <c r="E1" s="24"/>
      <c r="F1" s="24"/>
      <c r="G1" s="24"/>
      <c r="H1" s="24"/>
      <c r="I1" s="24"/>
      <c r="J1" s="24"/>
      <c r="K1" s="24"/>
      <c r="L1" s="24"/>
      <c r="M1" s="24"/>
    </row>
    <row r="2" customFormat="false" ht="27.75" hidden="false" customHeight="true" outlineLevel="0" collapsed="false">
      <c r="A2" s="25" t="s">
        <v>267</v>
      </c>
      <c r="B2" s="25"/>
      <c r="C2" s="25"/>
      <c r="D2" s="25"/>
      <c r="E2" s="25"/>
      <c r="F2" s="25"/>
      <c r="G2" s="25"/>
      <c r="H2" s="25"/>
      <c r="I2" s="25"/>
      <c r="J2" s="25"/>
      <c r="K2" s="25"/>
      <c r="L2" s="25"/>
      <c r="M2" s="25"/>
    </row>
    <row r="4" customFormat="false" ht="18" hidden="false" customHeight="true" outlineLevel="0" collapsed="false">
      <c r="A4" s="8" t="s">
        <v>182</v>
      </c>
      <c r="B4" s="8"/>
      <c r="C4" s="8"/>
      <c r="D4" s="8"/>
      <c r="E4" s="8"/>
      <c r="F4" s="8"/>
      <c r="G4" s="8"/>
      <c r="H4" s="8"/>
      <c r="I4" s="8"/>
      <c r="J4" s="8"/>
      <c r="K4" s="8"/>
      <c r="L4" s="8"/>
      <c r="M4" s="8"/>
    </row>
    <row r="5" customFormat="false" ht="18" hidden="false" customHeight="true" outlineLevel="0" collapsed="false">
      <c r="A5" s="33" t="s">
        <v>183</v>
      </c>
      <c r="B5" s="34" t="s">
        <v>74</v>
      </c>
      <c r="C5" s="34"/>
      <c r="D5" s="34"/>
      <c r="E5" s="34"/>
      <c r="F5" s="34"/>
      <c r="G5" s="34"/>
      <c r="H5" s="34"/>
      <c r="I5" s="34"/>
      <c r="J5" s="34"/>
      <c r="K5" s="34"/>
      <c r="L5" s="34"/>
      <c r="M5" s="34"/>
    </row>
    <row r="6" customFormat="false" ht="18" hidden="false" customHeight="true" outlineLevel="0" collapsed="false">
      <c r="A6" s="33" t="s">
        <v>33</v>
      </c>
      <c r="B6" s="34" t="s">
        <v>35</v>
      </c>
      <c r="C6" s="34"/>
      <c r="D6" s="34"/>
      <c r="E6" s="34"/>
      <c r="F6" s="34"/>
      <c r="G6" s="34"/>
      <c r="H6" s="34"/>
      <c r="I6" s="34"/>
      <c r="J6" s="34"/>
      <c r="K6" s="34"/>
      <c r="L6" s="34"/>
      <c r="M6" s="34"/>
    </row>
    <row r="7" customFormat="false" ht="18" hidden="false" customHeight="true" outlineLevel="0" collapsed="false">
      <c r="A7" s="33" t="s">
        <v>42</v>
      </c>
      <c r="B7" s="34" t="s">
        <v>51</v>
      </c>
      <c r="C7" s="34"/>
      <c r="D7" s="34"/>
      <c r="E7" s="34"/>
      <c r="F7" s="34"/>
      <c r="G7" s="34"/>
      <c r="H7" s="34"/>
      <c r="I7" s="34"/>
      <c r="J7" s="34"/>
      <c r="K7" s="34"/>
      <c r="L7" s="34"/>
      <c r="M7" s="34"/>
    </row>
    <row r="8" customFormat="false" ht="24" hidden="false" customHeight="true" outlineLevel="0" collapsed="false">
      <c r="A8" s="33" t="s">
        <v>184</v>
      </c>
      <c r="B8" s="34" t="s">
        <v>75</v>
      </c>
      <c r="C8" s="34"/>
      <c r="D8" s="34"/>
      <c r="E8" s="34"/>
      <c r="F8" s="34"/>
      <c r="G8" s="34"/>
      <c r="H8" s="34"/>
      <c r="I8" s="34"/>
      <c r="J8" s="34"/>
      <c r="K8" s="34"/>
      <c r="L8" s="34"/>
      <c r="M8" s="34"/>
    </row>
    <row r="9" customFormat="false" ht="18" hidden="false" customHeight="true" outlineLevel="0" collapsed="false">
      <c r="A9" s="33" t="s">
        <v>185</v>
      </c>
      <c r="B9" s="35" t="n">
        <v>1</v>
      </c>
      <c r="C9" s="35"/>
      <c r="D9" s="35"/>
      <c r="E9" s="35"/>
      <c r="F9" s="35"/>
      <c r="G9" s="35"/>
      <c r="H9" s="35"/>
      <c r="I9" s="35"/>
      <c r="J9" s="35"/>
      <c r="K9" s="35"/>
      <c r="L9" s="35"/>
      <c r="M9" s="35"/>
    </row>
    <row r="10" customFormat="false" ht="18" hidden="false" customHeight="true" outlineLevel="0" collapsed="false">
      <c r="A10" s="33" t="s">
        <v>186</v>
      </c>
      <c r="B10" s="36" t="n">
        <v>25</v>
      </c>
      <c r="C10" s="36"/>
      <c r="D10" s="36"/>
      <c r="E10" s="36"/>
      <c r="F10" s="36"/>
      <c r="G10" s="36"/>
      <c r="H10" s="36"/>
      <c r="I10" s="36"/>
      <c r="J10" s="36"/>
      <c r="K10" s="36"/>
      <c r="L10" s="36"/>
      <c r="M10" s="36"/>
    </row>
    <row r="11" customFormat="false" ht="18" hidden="false" customHeight="true" outlineLevel="0" collapsed="false">
      <c r="A11" s="33" t="s">
        <v>187</v>
      </c>
      <c r="B11" s="36" t="n">
        <v>50</v>
      </c>
      <c r="C11" s="36"/>
      <c r="D11" s="36"/>
      <c r="E11" s="36"/>
      <c r="F11" s="36"/>
      <c r="G11" s="36"/>
      <c r="H11" s="36"/>
      <c r="I11" s="36"/>
      <c r="J11" s="36"/>
      <c r="K11" s="36"/>
      <c r="L11" s="36"/>
      <c r="M11" s="36"/>
    </row>
    <row r="12" customFormat="false" ht="18" hidden="false" customHeight="true" outlineLevel="0" collapsed="false">
      <c r="A12" s="33" t="s">
        <v>188</v>
      </c>
      <c r="B12" s="37" t="n">
        <f aca="false">MAX(D38:M38)</f>
        <v>32.2</v>
      </c>
      <c r="C12" s="37"/>
      <c r="D12" s="37"/>
      <c r="E12" s="37"/>
      <c r="F12" s="37"/>
      <c r="G12" s="37"/>
      <c r="H12" s="37"/>
      <c r="I12" s="37"/>
      <c r="J12" s="37"/>
      <c r="K12" s="37"/>
      <c r="L12" s="37"/>
      <c r="M12" s="37"/>
    </row>
    <row r="13" customFormat="false" ht="18" hidden="false" customHeight="true" outlineLevel="0" collapsed="false">
      <c r="A13" s="33" t="s">
        <v>189</v>
      </c>
      <c r="B13" s="38" t="str">
        <f aca="false">IF(AND(B12&gt;=B10,B12&lt;=B11),"Within range",IF(B12&lt;B10,"Below range","Above range"))</f>
        <v>Within range</v>
      </c>
      <c r="C13" s="38"/>
      <c r="D13" s="38"/>
      <c r="E13" s="38"/>
      <c r="F13" s="38"/>
      <c r="G13" s="38"/>
      <c r="H13" s="38"/>
      <c r="I13" s="38"/>
      <c r="J13" s="38"/>
      <c r="K13" s="38"/>
      <c r="L13" s="38"/>
      <c r="M13" s="38"/>
    </row>
    <row r="14" customFormat="false" ht="18" hidden="false" customHeight="true" outlineLevel="0" collapsed="false">
      <c r="A14" s="33" t="s">
        <v>190</v>
      </c>
      <c r="B14" s="34" t="s">
        <v>76</v>
      </c>
      <c r="C14" s="34"/>
      <c r="D14" s="34"/>
      <c r="E14" s="34"/>
      <c r="F14" s="34"/>
      <c r="G14" s="34"/>
      <c r="H14" s="34"/>
      <c r="I14" s="34"/>
      <c r="J14" s="34"/>
      <c r="K14" s="34"/>
      <c r="L14" s="34"/>
      <c r="M14" s="34"/>
    </row>
    <row r="15" customFormat="false" ht="24" hidden="false" customHeight="true" outlineLevel="0" collapsed="false">
      <c r="A15" s="33" t="s">
        <v>191</v>
      </c>
      <c r="B15" s="34" t="s">
        <v>268</v>
      </c>
      <c r="C15" s="34"/>
      <c r="D15" s="34"/>
      <c r="E15" s="34"/>
      <c r="F15" s="34"/>
      <c r="G15" s="34"/>
      <c r="H15" s="34"/>
      <c r="I15" s="34"/>
      <c r="J15" s="34"/>
      <c r="K15" s="34"/>
      <c r="L15" s="34"/>
      <c r="M15" s="34"/>
    </row>
    <row r="16" customFormat="false" ht="24" hidden="false" customHeight="true" outlineLevel="0" collapsed="false">
      <c r="A16" s="33" t="s">
        <v>193</v>
      </c>
      <c r="B16" s="34" t="s">
        <v>269</v>
      </c>
      <c r="C16" s="34"/>
      <c r="D16" s="34"/>
      <c r="E16" s="34"/>
      <c r="F16" s="34"/>
      <c r="G16" s="34"/>
      <c r="H16" s="34"/>
      <c r="I16" s="34"/>
      <c r="J16" s="34"/>
      <c r="K16" s="34"/>
      <c r="L16" s="34"/>
      <c r="M16" s="34"/>
    </row>
    <row r="18" customFormat="false" ht="18" hidden="false" customHeight="true" outlineLevel="0" collapsed="false">
      <c r="A18" s="8" t="s">
        <v>195</v>
      </c>
      <c r="B18" s="8"/>
      <c r="C18" s="8"/>
      <c r="D18" s="8"/>
      <c r="E18" s="8"/>
      <c r="F18" s="8"/>
      <c r="G18" s="8"/>
      <c r="H18" s="8"/>
      <c r="I18" s="8"/>
      <c r="J18" s="8"/>
      <c r="K18" s="8"/>
      <c r="L18" s="8"/>
      <c r="M18" s="8"/>
    </row>
    <row r="19" customFormat="false" ht="15" hidden="false" customHeight="false" outlineLevel="0" collapsed="false">
      <c r="A19" s="39" t="s">
        <v>196</v>
      </c>
      <c r="B19" s="39" t="s">
        <v>15</v>
      </c>
      <c r="C19" s="39" t="s">
        <v>197</v>
      </c>
      <c r="D19" s="39" t="s">
        <v>16</v>
      </c>
      <c r="E19" s="39" t="s">
        <v>17</v>
      </c>
      <c r="F19" s="39" t="s">
        <v>18</v>
      </c>
      <c r="G19" s="39" t="s">
        <v>19</v>
      </c>
      <c r="H19" s="39" t="s">
        <v>20</v>
      </c>
      <c r="I19" s="39" t="s">
        <v>21</v>
      </c>
      <c r="J19" s="39" t="s">
        <v>22</v>
      </c>
      <c r="K19" s="39" t="s">
        <v>23</v>
      </c>
      <c r="L19" s="39" t="s">
        <v>24</v>
      </c>
      <c r="M19" s="39" t="s">
        <v>25</v>
      </c>
    </row>
    <row r="20" customFormat="false" ht="19.4" hidden="false" customHeight="false" outlineLevel="0" collapsed="false">
      <c r="A20" s="40" t="s">
        <v>241</v>
      </c>
      <c r="B20" s="41" t="s">
        <v>27</v>
      </c>
      <c r="C20" s="42" t="s">
        <v>242</v>
      </c>
      <c r="D20" s="44" t="n">
        <v>0</v>
      </c>
      <c r="E20" s="44" t="n">
        <v>0</v>
      </c>
      <c r="F20" s="44" t="n">
        <v>0</v>
      </c>
      <c r="G20" s="44" t="n">
        <v>0</v>
      </c>
      <c r="H20" s="44" t="n">
        <v>0</v>
      </c>
      <c r="I20" s="44" t="n">
        <v>2600</v>
      </c>
      <c r="J20" s="44" t="n">
        <v>2300</v>
      </c>
      <c r="K20" s="44" t="n">
        <v>2000</v>
      </c>
      <c r="L20" s="44" t="n">
        <v>1700</v>
      </c>
      <c r="M20" s="44" t="n">
        <v>1400</v>
      </c>
    </row>
    <row r="21" customFormat="false" ht="19.4" hidden="false" customHeight="false" outlineLevel="0" collapsed="false">
      <c r="A21" s="40" t="s">
        <v>243</v>
      </c>
      <c r="B21" s="41" t="s">
        <v>205</v>
      </c>
      <c r="C21" s="42" t="s">
        <v>244</v>
      </c>
      <c r="D21" s="45" t="n">
        <v>0</v>
      </c>
      <c r="E21" s="45" t="n">
        <v>0</v>
      </c>
      <c r="F21" s="45" t="n">
        <v>0</v>
      </c>
      <c r="G21" s="45" t="n">
        <v>0</v>
      </c>
      <c r="H21" s="45" t="n">
        <v>0</v>
      </c>
      <c r="I21" s="45" t="n">
        <v>0.08</v>
      </c>
      <c r="J21" s="45" t="n">
        <v>0.07</v>
      </c>
      <c r="K21" s="45" t="n">
        <v>0.06</v>
      </c>
      <c r="L21" s="45" t="n">
        <v>0.05</v>
      </c>
      <c r="M21" s="45" t="n">
        <v>0.045</v>
      </c>
    </row>
    <row r="22" customFormat="false" ht="15" hidden="false" customHeight="false" outlineLevel="0" collapsed="false">
      <c r="A22" s="23" t="s">
        <v>245</v>
      </c>
      <c r="B22" s="41" t="s">
        <v>27</v>
      </c>
      <c r="C22" s="42" t="s">
        <v>246</v>
      </c>
      <c r="D22" s="47" t="n">
        <f aca="false">D20*D21</f>
        <v>0</v>
      </c>
      <c r="E22" s="47" t="n">
        <f aca="false">E20*E21</f>
        <v>0</v>
      </c>
      <c r="F22" s="47" t="n">
        <f aca="false">F20*F21</f>
        <v>0</v>
      </c>
      <c r="G22" s="47" t="n">
        <f aca="false">G20*G21</f>
        <v>0</v>
      </c>
      <c r="H22" s="47" t="n">
        <f aca="false">H20*H21</f>
        <v>0</v>
      </c>
      <c r="I22" s="47" t="n">
        <f aca="false">I20*I21</f>
        <v>208</v>
      </c>
      <c r="J22" s="47" t="n">
        <f aca="false">J20*J21</f>
        <v>161</v>
      </c>
      <c r="K22" s="47" t="n">
        <f aca="false">K20*K21</f>
        <v>120</v>
      </c>
      <c r="L22" s="47" t="n">
        <f aca="false">L20*L21</f>
        <v>85</v>
      </c>
      <c r="M22" s="47" t="n">
        <f aca="false">M20*M21</f>
        <v>63</v>
      </c>
    </row>
    <row r="23" customFormat="false" ht="15" hidden="false" customHeight="false" outlineLevel="0" collapsed="false">
      <c r="A23" s="23" t="s">
        <v>247</v>
      </c>
      <c r="B23" s="41" t="s">
        <v>205</v>
      </c>
      <c r="C23" s="42" t="s">
        <v>248</v>
      </c>
      <c r="D23" s="45" t="n">
        <v>0</v>
      </c>
      <c r="E23" s="45" t="n">
        <v>0</v>
      </c>
      <c r="F23" s="45" t="n">
        <v>0</v>
      </c>
      <c r="G23" s="45" t="n">
        <v>0</v>
      </c>
      <c r="H23" s="45" t="n">
        <v>0</v>
      </c>
      <c r="I23" s="45" t="n">
        <v>0.2</v>
      </c>
      <c r="J23" s="45" t="n">
        <v>0.2</v>
      </c>
      <c r="K23" s="45" t="n">
        <v>0.19</v>
      </c>
      <c r="L23" s="45" t="n">
        <v>0.18</v>
      </c>
      <c r="M23" s="45" t="n">
        <v>0.18</v>
      </c>
    </row>
    <row r="24" customFormat="false" ht="15" hidden="false" customHeight="false" outlineLevel="0" collapsed="false">
      <c r="A24" s="23" t="s">
        <v>207</v>
      </c>
      <c r="B24" s="41" t="s">
        <v>205</v>
      </c>
      <c r="C24" s="42" t="s">
        <v>208</v>
      </c>
      <c r="D24" s="45" t="n">
        <v>0</v>
      </c>
      <c r="E24" s="45" t="n">
        <v>0</v>
      </c>
      <c r="F24" s="45" t="n">
        <v>0</v>
      </c>
      <c r="G24" s="45" t="n">
        <v>0</v>
      </c>
      <c r="H24" s="45" t="n">
        <v>0</v>
      </c>
      <c r="I24" s="45" t="n">
        <v>0.7</v>
      </c>
      <c r="J24" s="45" t="n">
        <v>1</v>
      </c>
      <c r="K24" s="45" t="n">
        <v>1</v>
      </c>
      <c r="L24" s="45" t="n">
        <v>1</v>
      </c>
      <c r="M24" s="45" t="n">
        <v>1</v>
      </c>
    </row>
    <row r="25" customFormat="false" ht="15" hidden="false" customHeight="false" outlineLevel="0" collapsed="false">
      <c r="A25" s="23" t="s">
        <v>211</v>
      </c>
      <c r="B25" s="41" t="s">
        <v>27</v>
      </c>
      <c r="C25" s="42" t="s">
        <v>249</v>
      </c>
      <c r="D25" s="47" t="n">
        <f aca="false">D22*D23*D24</f>
        <v>0</v>
      </c>
      <c r="E25" s="47" t="n">
        <f aca="false">E22*E23*E24</f>
        <v>0</v>
      </c>
      <c r="F25" s="47" t="n">
        <f aca="false">F22*F23*F24</f>
        <v>0</v>
      </c>
      <c r="G25" s="47" t="n">
        <f aca="false">G22*G23*G24</f>
        <v>0</v>
      </c>
      <c r="H25" s="47" t="n">
        <f aca="false">H22*H23*H24</f>
        <v>0</v>
      </c>
      <c r="I25" s="47" t="n">
        <f aca="false">I22*I23*I24</f>
        <v>29.12</v>
      </c>
      <c r="J25" s="47" t="n">
        <f aca="false">J22*J23*J24</f>
        <v>32.2</v>
      </c>
      <c r="K25" s="47" t="n">
        <f aca="false">K22*K23*K24</f>
        <v>22.8</v>
      </c>
      <c r="L25" s="47" t="n">
        <f aca="false">L22*L23*L24</f>
        <v>15.3</v>
      </c>
      <c r="M25" s="47" t="n">
        <f aca="false">M22*M23*M24</f>
        <v>11.34</v>
      </c>
    </row>
    <row r="26" customFormat="false" ht="19.4" hidden="false" customHeight="false" outlineLevel="0" collapsed="false">
      <c r="A26" s="23" t="s">
        <v>213</v>
      </c>
      <c r="B26" s="41" t="s">
        <v>205</v>
      </c>
      <c r="C26" s="42" t="s">
        <v>250</v>
      </c>
      <c r="D26" s="45" t="n">
        <v>1</v>
      </c>
      <c r="E26" s="45" t="n">
        <v>1</v>
      </c>
      <c r="F26" s="45" t="n">
        <v>1</v>
      </c>
      <c r="G26" s="45" t="n">
        <v>1</v>
      </c>
      <c r="H26" s="45" t="n">
        <v>1</v>
      </c>
      <c r="I26" s="45" t="n">
        <v>1</v>
      </c>
      <c r="J26" s="45" t="n">
        <v>1</v>
      </c>
      <c r="K26" s="45" t="n">
        <v>1</v>
      </c>
      <c r="L26" s="45" t="n">
        <v>1</v>
      </c>
      <c r="M26" s="45" t="n">
        <v>1</v>
      </c>
    </row>
    <row r="27" customFormat="false" ht="15" hidden="false" customHeight="false" outlineLevel="0" collapsed="false">
      <c r="A27" s="23" t="s">
        <v>215</v>
      </c>
      <c r="B27" s="41" t="s">
        <v>205</v>
      </c>
      <c r="C27" s="42" t="s">
        <v>251</v>
      </c>
      <c r="D27" s="45" t="n">
        <v>0.5</v>
      </c>
      <c r="E27" s="45" t="n">
        <v>0.5</v>
      </c>
      <c r="F27" s="45" t="n">
        <v>0.5</v>
      </c>
      <c r="G27" s="45" t="n">
        <v>0.5</v>
      </c>
      <c r="H27" s="45" t="n">
        <v>0.5</v>
      </c>
      <c r="I27" s="45" t="n">
        <v>0.5</v>
      </c>
      <c r="J27" s="45" t="n">
        <v>0.5</v>
      </c>
      <c r="K27" s="45" t="n">
        <v>0.5</v>
      </c>
      <c r="L27" s="45" t="n">
        <v>0.5</v>
      </c>
      <c r="M27" s="45" t="n">
        <v>0.5</v>
      </c>
    </row>
    <row r="28" customFormat="false" ht="15" hidden="false" customHeight="false" outlineLevel="0" collapsed="false">
      <c r="A28" s="23" t="s">
        <v>217</v>
      </c>
      <c r="B28" s="41" t="s">
        <v>205</v>
      </c>
      <c r="C28" s="42" t="s">
        <v>252</v>
      </c>
      <c r="D28" s="45" t="n">
        <v>0</v>
      </c>
      <c r="E28" s="45" t="n">
        <v>0</v>
      </c>
      <c r="F28" s="45" t="n">
        <v>0</v>
      </c>
      <c r="G28" s="45" t="n">
        <v>0</v>
      </c>
      <c r="H28" s="45" t="n">
        <v>0</v>
      </c>
      <c r="I28" s="45" t="n">
        <v>0.32</v>
      </c>
      <c r="J28" s="45" t="n">
        <v>0.31</v>
      </c>
      <c r="K28" s="45" t="n">
        <v>0.3</v>
      </c>
      <c r="L28" s="45" t="n">
        <v>0.29</v>
      </c>
      <c r="M28" s="45" t="n">
        <v>0.28</v>
      </c>
    </row>
    <row r="36" customFormat="false" ht="18" hidden="false" customHeight="true" outlineLevel="0" collapsed="false">
      <c r="A36" s="8" t="s">
        <v>219</v>
      </c>
      <c r="B36" s="8"/>
      <c r="C36" s="8"/>
      <c r="D36" s="8"/>
      <c r="E36" s="8"/>
      <c r="F36" s="8"/>
      <c r="G36" s="8"/>
      <c r="H36" s="8"/>
      <c r="I36" s="8"/>
      <c r="J36" s="8"/>
      <c r="K36" s="8"/>
      <c r="L36" s="8"/>
      <c r="M36" s="8"/>
    </row>
    <row r="37" customFormat="false" ht="15" hidden="false" customHeight="false" outlineLevel="0" collapsed="false">
      <c r="A37" s="48" t="s">
        <v>220</v>
      </c>
      <c r="B37" s="49" t="s">
        <v>27</v>
      </c>
      <c r="C37" s="50"/>
      <c r="D37" s="51" t="n">
        <f aca="false">D25</f>
        <v>0</v>
      </c>
      <c r="E37" s="51" t="n">
        <f aca="false">E25</f>
        <v>0</v>
      </c>
      <c r="F37" s="51" t="n">
        <f aca="false">F25</f>
        <v>0</v>
      </c>
      <c r="G37" s="51" t="n">
        <f aca="false">G25</f>
        <v>0</v>
      </c>
      <c r="H37" s="51" t="n">
        <f aca="false">H25</f>
        <v>0</v>
      </c>
      <c r="I37" s="51" t="n">
        <f aca="false">I25</f>
        <v>29.12</v>
      </c>
      <c r="J37" s="51" t="n">
        <f aca="false">J25</f>
        <v>32.2</v>
      </c>
      <c r="K37" s="51" t="n">
        <f aca="false">K25</f>
        <v>22.8</v>
      </c>
      <c r="L37" s="51" t="n">
        <f aca="false">L25</f>
        <v>15.3</v>
      </c>
      <c r="M37" s="51" t="n">
        <f aca="false">M25</f>
        <v>11.34</v>
      </c>
    </row>
    <row r="38" customFormat="false" ht="15" hidden="false" customHeight="false" outlineLevel="0" collapsed="false">
      <c r="A38" s="52" t="s">
        <v>221</v>
      </c>
      <c r="B38" s="49" t="s">
        <v>27</v>
      </c>
      <c r="C38" s="50"/>
      <c r="D38" s="48" t="n">
        <f aca="false">D25*D26*$B$9</f>
        <v>0</v>
      </c>
      <c r="E38" s="48" t="n">
        <f aca="false">E25*E26*$B$9</f>
        <v>0</v>
      </c>
      <c r="F38" s="48" t="n">
        <f aca="false">F25*F26*$B$9</f>
        <v>0</v>
      </c>
      <c r="G38" s="48" t="n">
        <f aca="false">G25*G26*$B$9</f>
        <v>0</v>
      </c>
      <c r="H38" s="48" t="n">
        <f aca="false">H25*H26*$B$9</f>
        <v>0</v>
      </c>
      <c r="I38" s="48" t="n">
        <f aca="false">I25*I26*$B$9</f>
        <v>29.12</v>
      </c>
      <c r="J38" s="48" t="n">
        <f aca="false">J25*J26*$B$9</f>
        <v>32.2</v>
      </c>
      <c r="K38" s="48" t="n">
        <f aca="false">K25*K26*$B$9</f>
        <v>22.8</v>
      </c>
      <c r="L38" s="48" t="n">
        <f aca="false">L25*L26*$B$9</f>
        <v>15.3</v>
      </c>
      <c r="M38" s="48" t="n">
        <f aca="false">M25*M26*$B$9</f>
        <v>11.34</v>
      </c>
    </row>
    <row r="39" customFormat="false" ht="15" hidden="false" customHeight="false" outlineLevel="0" collapsed="false">
      <c r="A39" s="52" t="s">
        <v>222</v>
      </c>
      <c r="B39" s="49" t="s">
        <v>27</v>
      </c>
      <c r="C39" s="50"/>
      <c r="D39" s="48" t="n">
        <f aca="false">D38*D27</f>
        <v>0</v>
      </c>
      <c r="E39" s="48" t="n">
        <f aca="false">E38*E27</f>
        <v>0</v>
      </c>
      <c r="F39" s="48" t="n">
        <f aca="false">F38*F27</f>
        <v>0</v>
      </c>
      <c r="G39" s="48" t="n">
        <f aca="false">G38*G27</f>
        <v>0</v>
      </c>
      <c r="H39" s="48" t="n">
        <f aca="false">H38*H27</f>
        <v>0</v>
      </c>
      <c r="I39" s="48" t="n">
        <f aca="false">I38*I27</f>
        <v>14.56</v>
      </c>
      <c r="J39" s="48" t="n">
        <f aca="false">J38*J27</f>
        <v>16.1</v>
      </c>
      <c r="K39" s="48" t="n">
        <f aca="false">K38*K27</f>
        <v>11.4</v>
      </c>
      <c r="L39" s="48" t="n">
        <f aca="false">L38*L27</f>
        <v>7.65</v>
      </c>
      <c r="M39" s="48" t="n">
        <f aca="false">M38*M27</f>
        <v>5.67</v>
      </c>
    </row>
    <row r="40" customFormat="false" ht="15" hidden="false" customHeight="false" outlineLevel="0" collapsed="false">
      <c r="A40" s="48" t="s">
        <v>217</v>
      </c>
      <c r="B40" s="49" t="s">
        <v>205</v>
      </c>
      <c r="C40" s="50"/>
      <c r="D40" s="53" t="n">
        <f aca="false">D28</f>
        <v>0</v>
      </c>
      <c r="E40" s="53" t="n">
        <f aca="false">E28</f>
        <v>0</v>
      </c>
      <c r="F40" s="53" t="n">
        <f aca="false">F28</f>
        <v>0</v>
      </c>
      <c r="G40" s="53" t="n">
        <f aca="false">G28</f>
        <v>0</v>
      </c>
      <c r="H40" s="53" t="n">
        <f aca="false">H28</f>
        <v>0</v>
      </c>
      <c r="I40" s="53" t="n">
        <f aca="false">I28</f>
        <v>0.32</v>
      </c>
      <c r="J40" s="53" t="n">
        <f aca="false">J28</f>
        <v>0.31</v>
      </c>
      <c r="K40" s="53" t="n">
        <f aca="false">K28</f>
        <v>0.3</v>
      </c>
      <c r="L40" s="53" t="n">
        <f aca="false">L28</f>
        <v>0.29</v>
      </c>
      <c r="M40" s="53" t="n">
        <f aca="false">M28</f>
        <v>0.28</v>
      </c>
    </row>
    <row r="41" customFormat="false" ht="15" hidden="false" customHeight="false" outlineLevel="0" collapsed="false">
      <c r="A41" s="48" t="s">
        <v>162</v>
      </c>
      <c r="B41" s="49" t="s">
        <v>27</v>
      </c>
      <c r="C41" s="50"/>
      <c r="D41" s="48" t="n">
        <f aca="false">D38*D40</f>
        <v>0</v>
      </c>
      <c r="E41" s="48" t="n">
        <f aca="false">E38*E40</f>
        <v>0</v>
      </c>
      <c r="F41" s="48" t="n">
        <f aca="false">F38*F40</f>
        <v>0</v>
      </c>
      <c r="G41" s="48" t="n">
        <f aca="false">G38*G40</f>
        <v>0</v>
      </c>
      <c r="H41" s="48" t="n">
        <f aca="false">H38*H40</f>
        <v>0</v>
      </c>
      <c r="I41" s="48" t="n">
        <f aca="false">I38*I40</f>
        <v>9.3184</v>
      </c>
      <c r="J41" s="48" t="n">
        <f aca="false">J38*J40</f>
        <v>9.982</v>
      </c>
      <c r="K41" s="48" t="n">
        <f aca="false">K38*K40</f>
        <v>6.84</v>
      </c>
      <c r="L41" s="48" t="n">
        <f aca="false">L38*L40</f>
        <v>4.437</v>
      </c>
      <c r="M41" s="48" t="n">
        <f aca="false">M38*M40</f>
        <v>3.1752</v>
      </c>
    </row>
    <row r="42" customFormat="false" ht="15" hidden="false" customHeight="false" outlineLevel="0" collapsed="false">
      <c r="A42" s="48" t="s">
        <v>30</v>
      </c>
      <c r="B42" s="49" t="s">
        <v>27</v>
      </c>
      <c r="C42" s="50"/>
      <c r="D42" s="48" t="n">
        <f aca="false">D39*D40</f>
        <v>0</v>
      </c>
      <c r="E42" s="48" t="n">
        <f aca="false">E39*E40</f>
        <v>0</v>
      </c>
      <c r="F42" s="48" t="n">
        <f aca="false">F39*F40</f>
        <v>0</v>
      </c>
      <c r="G42" s="48" t="n">
        <f aca="false">G39*G40</f>
        <v>0</v>
      </c>
      <c r="H42" s="48" t="n">
        <f aca="false">H39*H40</f>
        <v>0</v>
      </c>
      <c r="I42" s="48" t="n">
        <f aca="false">I39*I40</f>
        <v>4.6592</v>
      </c>
      <c r="J42" s="48" t="n">
        <f aca="false">J39*J40</f>
        <v>4.991</v>
      </c>
      <c r="K42" s="48" t="n">
        <f aca="false">K39*K40</f>
        <v>3.42</v>
      </c>
      <c r="L42" s="48" t="n">
        <f aca="false">L39*L40</f>
        <v>2.2185</v>
      </c>
      <c r="M42" s="48" t="n">
        <f aca="false">M39*M40</f>
        <v>1.5876</v>
      </c>
    </row>
    <row r="43" customFormat="false" ht="15" hidden="false" customHeight="false" outlineLevel="0" collapsed="false">
      <c r="A43" s="48" t="s">
        <v>221</v>
      </c>
      <c r="B43" s="49" t="s">
        <v>31</v>
      </c>
      <c r="C43" s="50"/>
      <c r="D43" s="54" t="n">
        <f aca="false">D38*'Global Assump'!D$4</f>
        <v>0</v>
      </c>
      <c r="E43" s="54" t="n">
        <f aca="false">E38*'Global Assump'!E$4</f>
        <v>0</v>
      </c>
      <c r="F43" s="54" t="n">
        <f aca="false">F38*'Global Assump'!F$4</f>
        <v>0</v>
      </c>
      <c r="G43" s="54" t="n">
        <f aca="false">G38*'Global Assump'!G$4</f>
        <v>0</v>
      </c>
      <c r="H43" s="54" t="n">
        <f aca="false">H38*'Global Assump'!H$4</f>
        <v>0</v>
      </c>
      <c r="I43" s="54" t="n">
        <f aca="false">I38*'Global Assump'!I$4</f>
        <v>2795.52</v>
      </c>
      <c r="J43" s="54" t="n">
        <f aca="false">J38*'Global Assump'!J$4</f>
        <v>3155.6</v>
      </c>
      <c r="K43" s="54" t="n">
        <f aca="false">K38*'Global Assump'!K$4</f>
        <v>2280</v>
      </c>
      <c r="L43" s="54" t="n">
        <f aca="false">L38*'Global Assump'!L$4</f>
        <v>1560.6</v>
      </c>
      <c r="M43" s="54" t="n">
        <f aca="false">M38*'Global Assump'!M$4</f>
        <v>1179.36</v>
      </c>
    </row>
    <row r="44" customFormat="false" ht="15" hidden="false" customHeight="false" outlineLevel="0" collapsed="false">
      <c r="A44" s="48" t="s">
        <v>222</v>
      </c>
      <c r="B44" s="49" t="s">
        <v>31</v>
      </c>
      <c r="C44" s="50"/>
      <c r="D44" s="54" t="n">
        <f aca="false">D39*'Global Assump'!D$4</f>
        <v>0</v>
      </c>
      <c r="E44" s="54" t="n">
        <f aca="false">E39*'Global Assump'!E$4</f>
        <v>0</v>
      </c>
      <c r="F44" s="54" t="n">
        <f aca="false">F39*'Global Assump'!F$4</f>
        <v>0</v>
      </c>
      <c r="G44" s="54" t="n">
        <f aca="false">G39*'Global Assump'!G$4</f>
        <v>0</v>
      </c>
      <c r="H44" s="54" t="n">
        <f aca="false">H39*'Global Assump'!H$4</f>
        <v>0</v>
      </c>
      <c r="I44" s="54" t="n">
        <f aca="false">I39*'Global Assump'!I$4</f>
        <v>1397.76</v>
      </c>
      <c r="J44" s="54" t="n">
        <f aca="false">J39*'Global Assump'!J$4</f>
        <v>1577.8</v>
      </c>
      <c r="K44" s="54" t="n">
        <f aca="false">K39*'Global Assump'!K$4</f>
        <v>1140</v>
      </c>
      <c r="L44" s="54" t="n">
        <f aca="false">L39*'Global Assump'!L$4</f>
        <v>780.3</v>
      </c>
      <c r="M44" s="54" t="n">
        <f aca="false">M39*'Global Assump'!M$4</f>
        <v>589.68</v>
      </c>
    </row>
    <row r="46" customFormat="false" ht="18" hidden="false" customHeight="true" outlineLevel="0" collapsed="false">
      <c r="A46" s="8" t="s">
        <v>223</v>
      </c>
      <c r="B46" s="8"/>
      <c r="C46" s="8"/>
      <c r="D46" s="8"/>
      <c r="E46" s="8"/>
      <c r="F46" s="8"/>
      <c r="G46" s="8"/>
      <c r="H46" s="8"/>
      <c r="I46" s="8"/>
      <c r="J46" s="8"/>
      <c r="K46" s="8"/>
      <c r="L46" s="8"/>
      <c r="M46" s="8"/>
    </row>
    <row r="47" customFormat="false" ht="27.75" hidden="false" customHeight="true" outlineLevel="0" collapsed="false">
      <c r="A47" s="55" t="s">
        <v>270</v>
      </c>
      <c r="B47" s="55"/>
      <c r="C47" s="55"/>
      <c r="D47" s="55"/>
      <c r="E47" s="55"/>
      <c r="F47" s="55"/>
      <c r="G47" s="55"/>
      <c r="H47" s="55"/>
      <c r="I47" s="55"/>
      <c r="J47" s="55"/>
      <c r="K47" s="55"/>
      <c r="L47" s="55"/>
      <c r="M47" s="55"/>
    </row>
  </sheetData>
  <autoFilter ref="A19:M44"/>
  <mergeCells count="19">
    <mergeCell ref="A1:M1"/>
    <mergeCell ref="A2:M2"/>
    <mergeCell ref="A4:M4"/>
    <mergeCell ref="B5:M5"/>
    <mergeCell ref="B6:M6"/>
    <mergeCell ref="B7:M7"/>
    <mergeCell ref="B8:M8"/>
    <mergeCell ref="B9:M9"/>
    <mergeCell ref="B10:M10"/>
    <mergeCell ref="B11:M11"/>
    <mergeCell ref="B12:M12"/>
    <mergeCell ref="B13:M13"/>
    <mergeCell ref="B14:M14"/>
    <mergeCell ref="B15:M15"/>
    <mergeCell ref="B16:M16"/>
    <mergeCell ref="A18:M18"/>
    <mergeCell ref="A36:M36"/>
    <mergeCell ref="A46:M46"/>
    <mergeCell ref="A47:M47"/>
  </mergeCells>
  <conditionalFormatting sqref="B13">
    <cfRule type="expression" priority="2" aboveAverage="0" equalAverage="0" bottom="0" percent="0" rank="0" text="" dxfId="6">
      <formula>B13="Within range"</formula>
    </cfRule>
    <cfRule type="expression" priority="3" aboveAverage="0" equalAverage="0" bottom="0" percent="0" rank="0" text="" dxfId="7">
      <formula>B13&lt;&gt;"Within range"</formula>
    </cfRule>
  </conditionalFormatting>
  <dataValidations count="1">
    <dataValidation allowBlank="false" errorStyle="stop" operator="between" showDropDown="false" showErrorMessage="false" showInputMessage="false" sqref="B9" type="list">
      <formula1>"0,1"</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drawing r:id="rId1"/>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M47"/>
  <sheetViews>
    <sheetView showFormulas="false" showGridLines="false" showRowColHeaders="true" showZeros="true" rightToLeft="false" tabSelected="false" showOutlineSymbols="true" defaultGridColor="true" view="normal" topLeftCell="A1" colorId="64" zoomScale="85" zoomScaleNormal="85" zoomScalePageLayoutView="100" workbookViewId="0">
      <pane xSplit="3" ySplit="19" topLeftCell="D20" activePane="bottomRight" state="frozen"/>
      <selection pane="topLeft" activeCell="A1" activeCellId="0" sqref="A1"/>
      <selection pane="topRight" activeCell="D1" activeCellId="0" sqref="D1"/>
      <selection pane="bottomLeft" activeCell="A20" activeCellId="0" sqref="A20"/>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0" width="32"/>
    <col collapsed="false" customWidth="true" hidden="false" outlineLevel="0" max="2" min="2" style="0" width="15"/>
    <col collapsed="false" customWidth="true" hidden="false" outlineLevel="0" max="3" min="3" style="0" width="30"/>
    <col collapsed="false" customWidth="true" hidden="false" outlineLevel="0" max="13" min="4" style="0" width="12"/>
  </cols>
  <sheetData>
    <row r="1" customFormat="false" ht="24" hidden="false" customHeight="true" outlineLevel="0" collapsed="false">
      <c r="A1" s="24" t="s">
        <v>78</v>
      </c>
      <c r="B1" s="24"/>
      <c r="C1" s="24"/>
      <c r="D1" s="24"/>
      <c r="E1" s="24"/>
      <c r="F1" s="24"/>
      <c r="G1" s="24"/>
      <c r="H1" s="24"/>
      <c r="I1" s="24"/>
      <c r="J1" s="24"/>
      <c r="K1" s="24"/>
      <c r="L1" s="24"/>
      <c r="M1" s="24"/>
    </row>
    <row r="2" customFormat="false" ht="27.75" hidden="false" customHeight="true" outlineLevel="0" collapsed="false">
      <c r="A2" s="25" t="s">
        <v>271</v>
      </c>
      <c r="B2" s="25"/>
      <c r="C2" s="25"/>
      <c r="D2" s="25"/>
      <c r="E2" s="25"/>
      <c r="F2" s="25"/>
      <c r="G2" s="25"/>
      <c r="H2" s="25"/>
      <c r="I2" s="25"/>
      <c r="J2" s="25"/>
      <c r="K2" s="25"/>
      <c r="L2" s="25"/>
      <c r="M2" s="25"/>
    </row>
    <row r="4" customFormat="false" ht="18" hidden="false" customHeight="true" outlineLevel="0" collapsed="false">
      <c r="A4" s="8" t="s">
        <v>182</v>
      </c>
      <c r="B4" s="8"/>
      <c r="C4" s="8"/>
      <c r="D4" s="8"/>
      <c r="E4" s="8"/>
      <c r="F4" s="8"/>
      <c r="G4" s="8"/>
      <c r="H4" s="8"/>
      <c r="I4" s="8"/>
      <c r="J4" s="8"/>
      <c r="K4" s="8"/>
      <c r="L4" s="8"/>
      <c r="M4" s="8"/>
    </row>
    <row r="5" customFormat="false" ht="18" hidden="false" customHeight="true" outlineLevel="0" collapsed="false">
      <c r="A5" s="33" t="s">
        <v>183</v>
      </c>
      <c r="B5" s="34" t="s">
        <v>78</v>
      </c>
      <c r="C5" s="34"/>
      <c r="D5" s="34"/>
      <c r="E5" s="34"/>
      <c r="F5" s="34"/>
      <c r="G5" s="34"/>
      <c r="H5" s="34"/>
      <c r="I5" s="34"/>
      <c r="J5" s="34"/>
      <c r="K5" s="34"/>
      <c r="L5" s="34"/>
      <c r="M5" s="34"/>
    </row>
    <row r="6" customFormat="false" ht="18" hidden="false" customHeight="true" outlineLevel="0" collapsed="false">
      <c r="A6" s="33" t="s">
        <v>33</v>
      </c>
      <c r="B6" s="34" t="s">
        <v>35</v>
      </c>
      <c r="C6" s="34"/>
      <c r="D6" s="34"/>
      <c r="E6" s="34"/>
      <c r="F6" s="34"/>
      <c r="G6" s="34"/>
      <c r="H6" s="34"/>
      <c r="I6" s="34"/>
      <c r="J6" s="34"/>
      <c r="K6" s="34"/>
      <c r="L6" s="34"/>
      <c r="M6" s="34"/>
    </row>
    <row r="7" customFormat="false" ht="18" hidden="false" customHeight="true" outlineLevel="0" collapsed="false">
      <c r="A7" s="33" t="s">
        <v>42</v>
      </c>
      <c r="B7" s="34" t="s">
        <v>51</v>
      </c>
      <c r="C7" s="34"/>
      <c r="D7" s="34"/>
      <c r="E7" s="34"/>
      <c r="F7" s="34"/>
      <c r="G7" s="34"/>
      <c r="H7" s="34"/>
      <c r="I7" s="34"/>
      <c r="J7" s="34"/>
      <c r="K7" s="34"/>
      <c r="L7" s="34"/>
      <c r="M7" s="34"/>
    </row>
    <row r="8" customFormat="false" ht="24" hidden="false" customHeight="true" outlineLevel="0" collapsed="false">
      <c r="A8" s="33" t="s">
        <v>184</v>
      </c>
      <c r="B8" s="34" t="s">
        <v>79</v>
      </c>
      <c r="C8" s="34"/>
      <c r="D8" s="34"/>
      <c r="E8" s="34"/>
      <c r="F8" s="34"/>
      <c r="G8" s="34"/>
      <c r="H8" s="34"/>
      <c r="I8" s="34"/>
      <c r="J8" s="34"/>
      <c r="K8" s="34"/>
      <c r="L8" s="34"/>
      <c r="M8" s="34"/>
    </row>
    <row r="9" customFormat="false" ht="18" hidden="false" customHeight="true" outlineLevel="0" collapsed="false">
      <c r="A9" s="33" t="s">
        <v>185</v>
      </c>
      <c r="B9" s="35" t="n">
        <v>1</v>
      </c>
      <c r="C9" s="35"/>
      <c r="D9" s="35"/>
      <c r="E9" s="35"/>
      <c r="F9" s="35"/>
      <c r="G9" s="35"/>
      <c r="H9" s="35"/>
      <c r="I9" s="35"/>
      <c r="J9" s="35"/>
      <c r="K9" s="35"/>
      <c r="L9" s="35"/>
      <c r="M9" s="35"/>
    </row>
    <row r="10" customFormat="false" ht="18" hidden="false" customHeight="true" outlineLevel="0" collapsed="false">
      <c r="A10" s="33" t="s">
        <v>186</v>
      </c>
      <c r="B10" s="36" t="n">
        <v>25</v>
      </c>
      <c r="C10" s="36"/>
      <c r="D10" s="36"/>
      <c r="E10" s="36"/>
      <c r="F10" s="36"/>
      <c r="G10" s="36"/>
      <c r="H10" s="36"/>
      <c r="I10" s="36"/>
      <c r="J10" s="36"/>
      <c r="K10" s="36"/>
      <c r="L10" s="36"/>
      <c r="M10" s="36"/>
    </row>
    <row r="11" customFormat="false" ht="18" hidden="false" customHeight="true" outlineLevel="0" collapsed="false">
      <c r="A11" s="33" t="s">
        <v>187</v>
      </c>
      <c r="B11" s="36" t="n">
        <v>50</v>
      </c>
      <c r="C11" s="36"/>
      <c r="D11" s="36"/>
      <c r="E11" s="36"/>
      <c r="F11" s="36"/>
      <c r="G11" s="36"/>
      <c r="H11" s="36"/>
      <c r="I11" s="36"/>
      <c r="J11" s="36"/>
      <c r="K11" s="36"/>
      <c r="L11" s="36"/>
      <c r="M11" s="36"/>
    </row>
    <row r="12" customFormat="false" ht="18" hidden="false" customHeight="true" outlineLevel="0" collapsed="false">
      <c r="A12" s="33" t="s">
        <v>188</v>
      </c>
      <c r="B12" s="37" t="n">
        <f aca="false">MAX(D38:M38)</f>
        <v>31.185</v>
      </c>
      <c r="C12" s="37"/>
      <c r="D12" s="37"/>
      <c r="E12" s="37"/>
      <c r="F12" s="37"/>
      <c r="G12" s="37"/>
      <c r="H12" s="37"/>
      <c r="I12" s="37"/>
      <c r="J12" s="37"/>
      <c r="K12" s="37"/>
      <c r="L12" s="37"/>
      <c r="M12" s="37"/>
    </row>
    <row r="13" customFormat="false" ht="18" hidden="false" customHeight="true" outlineLevel="0" collapsed="false">
      <c r="A13" s="33" t="s">
        <v>189</v>
      </c>
      <c r="B13" s="38" t="str">
        <f aca="false">IF(AND(B12&gt;=B10,B12&lt;=B11),"Within range",IF(B12&lt;B10,"Below range","Above range"))</f>
        <v>Within range</v>
      </c>
      <c r="C13" s="38"/>
      <c r="D13" s="38"/>
      <c r="E13" s="38"/>
      <c r="F13" s="38"/>
      <c r="G13" s="38"/>
      <c r="H13" s="38"/>
      <c r="I13" s="38"/>
      <c r="J13" s="38"/>
      <c r="K13" s="38"/>
      <c r="L13" s="38"/>
      <c r="M13" s="38"/>
    </row>
    <row r="14" customFormat="false" ht="18" hidden="false" customHeight="true" outlineLevel="0" collapsed="false">
      <c r="A14" s="33" t="s">
        <v>190</v>
      </c>
      <c r="B14" s="34" t="s">
        <v>76</v>
      </c>
      <c r="C14" s="34"/>
      <c r="D14" s="34"/>
      <c r="E14" s="34"/>
      <c r="F14" s="34"/>
      <c r="G14" s="34"/>
      <c r="H14" s="34"/>
      <c r="I14" s="34"/>
      <c r="J14" s="34"/>
      <c r="K14" s="34"/>
      <c r="L14" s="34"/>
      <c r="M14" s="34"/>
    </row>
    <row r="15" customFormat="false" ht="24" hidden="false" customHeight="true" outlineLevel="0" collapsed="false">
      <c r="A15" s="33" t="s">
        <v>191</v>
      </c>
      <c r="B15" s="34" t="s">
        <v>272</v>
      </c>
      <c r="C15" s="34"/>
      <c r="D15" s="34"/>
      <c r="E15" s="34"/>
      <c r="F15" s="34"/>
      <c r="G15" s="34"/>
      <c r="H15" s="34"/>
      <c r="I15" s="34"/>
      <c r="J15" s="34"/>
      <c r="K15" s="34"/>
      <c r="L15" s="34"/>
      <c r="M15" s="34"/>
    </row>
    <row r="16" customFormat="false" ht="24" hidden="false" customHeight="true" outlineLevel="0" collapsed="false">
      <c r="A16" s="33" t="s">
        <v>193</v>
      </c>
      <c r="B16" s="34" t="s">
        <v>269</v>
      </c>
      <c r="C16" s="34"/>
      <c r="D16" s="34"/>
      <c r="E16" s="34"/>
      <c r="F16" s="34"/>
      <c r="G16" s="34"/>
      <c r="H16" s="34"/>
      <c r="I16" s="34"/>
      <c r="J16" s="34"/>
      <c r="K16" s="34"/>
      <c r="L16" s="34"/>
      <c r="M16" s="34"/>
    </row>
    <row r="18" customFormat="false" ht="18" hidden="false" customHeight="true" outlineLevel="0" collapsed="false">
      <c r="A18" s="8" t="s">
        <v>195</v>
      </c>
      <c r="B18" s="8"/>
      <c r="C18" s="8"/>
      <c r="D18" s="8"/>
      <c r="E18" s="8"/>
      <c r="F18" s="8"/>
      <c r="G18" s="8"/>
      <c r="H18" s="8"/>
      <c r="I18" s="8"/>
      <c r="J18" s="8"/>
      <c r="K18" s="8"/>
      <c r="L18" s="8"/>
      <c r="M18" s="8"/>
    </row>
    <row r="19" customFormat="false" ht="15" hidden="false" customHeight="false" outlineLevel="0" collapsed="false">
      <c r="A19" s="39" t="s">
        <v>196</v>
      </c>
      <c r="B19" s="39" t="s">
        <v>15</v>
      </c>
      <c r="C19" s="39" t="s">
        <v>197</v>
      </c>
      <c r="D19" s="39" t="s">
        <v>16</v>
      </c>
      <c r="E19" s="39" t="s">
        <v>17</v>
      </c>
      <c r="F19" s="39" t="s">
        <v>18</v>
      </c>
      <c r="G19" s="39" t="s">
        <v>19</v>
      </c>
      <c r="H19" s="39" t="s">
        <v>20</v>
      </c>
      <c r="I19" s="39" t="s">
        <v>21</v>
      </c>
      <c r="J19" s="39" t="s">
        <v>22</v>
      </c>
      <c r="K19" s="39" t="s">
        <v>23</v>
      </c>
      <c r="L19" s="39" t="s">
        <v>24</v>
      </c>
      <c r="M19" s="39" t="s">
        <v>25</v>
      </c>
    </row>
    <row r="20" customFormat="false" ht="19.4" hidden="false" customHeight="false" outlineLevel="0" collapsed="false">
      <c r="A20" s="40" t="s">
        <v>241</v>
      </c>
      <c r="B20" s="41" t="s">
        <v>27</v>
      </c>
      <c r="C20" s="42" t="s">
        <v>242</v>
      </c>
      <c r="D20" s="44" t="n">
        <v>0</v>
      </c>
      <c r="E20" s="44" t="n">
        <v>0</v>
      </c>
      <c r="F20" s="44" t="n">
        <v>0</v>
      </c>
      <c r="G20" s="44" t="n">
        <v>0</v>
      </c>
      <c r="H20" s="44" t="n">
        <v>0</v>
      </c>
      <c r="I20" s="44" t="n">
        <v>0</v>
      </c>
      <c r="J20" s="44" t="n">
        <v>1800</v>
      </c>
      <c r="K20" s="44" t="n">
        <v>1650</v>
      </c>
      <c r="L20" s="44" t="n">
        <v>1500</v>
      </c>
      <c r="M20" s="44" t="n">
        <v>1350</v>
      </c>
    </row>
    <row r="21" customFormat="false" ht="19.4" hidden="false" customHeight="false" outlineLevel="0" collapsed="false">
      <c r="A21" s="40" t="s">
        <v>243</v>
      </c>
      <c r="B21" s="41" t="s">
        <v>205</v>
      </c>
      <c r="C21" s="42" t="s">
        <v>244</v>
      </c>
      <c r="D21" s="45" t="n">
        <v>0</v>
      </c>
      <c r="E21" s="45" t="n">
        <v>0</v>
      </c>
      <c r="F21" s="45" t="n">
        <v>0</v>
      </c>
      <c r="G21" s="45" t="n">
        <v>0</v>
      </c>
      <c r="H21" s="45" t="n">
        <v>0</v>
      </c>
      <c r="I21" s="45" t="n">
        <v>0</v>
      </c>
      <c r="J21" s="45" t="n">
        <v>0.1</v>
      </c>
      <c r="K21" s="45" t="n">
        <v>0.09</v>
      </c>
      <c r="L21" s="45" t="n">
        <v>0.08</v>
      </c>
      <c r="M21" s="45" t="n">
        <v>0.07</v>
      </c>
    </row>
    <row r="22" customFormat="false" ht="15" hidden="false" customHeight="false" outlineLevel="0" collapsed="false">
      <c r="A22" s="23" t="s">
        <v>245</v>
      </c>
      <c r="B22" s="41" t="s">
        <v>27</v>
      </c>
      <c r="C22" s="42" t="s">
        <v>246</v>
      </c>
      <c r="D22" s="47" t="n">
        <f aca="false">D20*D21</f>
        <v>0</v>
      </c>
      <c r="E22" s="47" t="n">
        <f aca="false">E20*E21</f>
        <v>0</v>
      </c>
      <c r="F22" s="47" t="n">
        <f aca="false">F20*F21</f>
        <v>0</v>
      </c>
      <c r="G22" s="47" t="n">
        <f aca="false">G20*G21</f>
        <v>0</v>
      </c>
      <c r="H22" s="47" t="n">
        <f aca="false">H20*H21</f>
        <v>0</v>
      </c>
      <c r="I22" s="47" t="n">
        <f aca="false">I20*I21</f>
        <v>0</v>
      </c>
      <c r="J22" s="47" t="n">
        <f aca="false">J20*J21</f>
        <v>180</v>
      </c>
      <c r="K22" s="47" t="n">
        <f aca="false">K20*K21</f>
        <v>148.5</v>
      </c>
      <c r="L22" s="47" t="n">
        <f aca="false">L20*L21</f>
        <v>120</v>
      </c>
      <c r="M22" s="47" t="n">
        <f aca="false">M20*M21</f>
        <v>94.5</v>
      </c>
    </row>
    <row r="23" customFormat="false" ht="15" hidden="false" customHeight="false" outlineLevel="0" collapsed="false">
      <c r="A23" s="23" t="s">
        <v>247</v>
      </c>
      <c r="B23" s="41" t="s">
        <v>205</v>
      </c>
      <c r="C23" s="42" t="s">
        <v>248</v>
      </c>
      <c r="D23" s="45" t="n">
        <v>0</v>
      </c>
      <c r="E23" s="45" t="n">
        <v>0</v>
      </c>
      <c r="F23" s="45" t="n">
        <v>0</v>
      </c>
      <c r="G23" s="45" t="n">
        <v>0</v>
      </c>
      <c r="H23" s="45" t="n">
        <v>0</v>
      </c>
      <c r="I23" s="45" t="n">
        <v>0</v>
      </c>
      <c r="J23" s="45" t="n">
        <v>0.22</v>
      </c>
      <c r="K23" s="45" t="n">
        <v>0.21</v>
      </c>
      <c r="L23" s="45" t="n">
        <v>0.2</v>
      </c>
      <c r="M23" s="45" t="n">
        <v>0.19</v>
      </c>
    </row>
    <row r="24" customFormat="false" ht="15" hidden="false" customHeight="false" outlineLevel="0" collapsed="false">
      <c r="A24" s="23" t="s">
        <v>207</v>
      </c>
      <c r="B24" s="41" t="s">
        <v>205</v>
      </c>
      <c r="C24" s="42" t="s">
        <v>208</v>
      </c>
      <c r="D24" s="45" t="n">
        <v>0</v>
      </c>
      <c r="E24" s="45" t="n">
        <v>0</v>
      </c>
      <c r="F24" s="45" t="n">
        <v>0</v>
      </c>
      <c r="G24" s="45" t="n">
        <v>0</v>
      </c>
      <c r="H24" s="45" t="n">
        <v>0</v>
      </c>
      <c r="I24" s="45" t="n">
        <v>0</v>
      </c>
      <c r="J24" s="45" t="n">
        <v>0.7</v>
      </c>
      <c r="K24" s="45" t="n">
        <v>1</v>
      </c>
      <c r="L24" s="45" t="n">
        <v>1</v>
      </c>
      <c r="M24" s="45" t="n">
        <v>1</v>
      </c>
    </row>
    <row r="25" customFormat="false" ht="15" hidden="false" customHeight="false" outlineLevel="0" collapsed="false">
      <c r="A25" s="23" t="s">
        <v>211</v>
      </c>
      <c r="B25" s="41" t="s">
        <v>27</v>
      </c>
      <c r="C25" s="42" t="s">
        <v>249</v>
      </c>
      <c r="D25" s="47" t="n">
        <f aca="false">D22*D23*D24</f>
        <v>0</v>
      </c>
      <c r="E25" s="47" t="n">
        <f aca="false">E22*E23*E24</f>
        <v>0</v>
      </c>
      <c r="F25" s="47" t="n">
        <f aca="false">F22*F23*F24</f>
        <v>0</v>
      </c>
      <c r="G25" s="47" t="n">
        <f aca="false">G22*G23*G24</f>
        <v>0</v>
      </c>
      <c r="H25" s="47" t="n">
        <f aca="false">H22*H23*H24</f>
        <v>0</v>
      </c>
      <c r="I25" s="47" t="n">
        <f aca="false">I22*I23*I24</f>
        <v>0</v>
      </c>
      <c r="J25" s="47" t="n">
        <f aca="false">J22*J23*J24</f>
        <v>27.72</v>
      </c>
      <c r="K25" s="47" t="n">
        <f aca="false">K22*K23*K24</f>
        <v>31.185</v>
      </c>
      <c r="L25" s="47" t="n">
        <f aca="false">L22*L23*L24</f>
        <v>24</v>
      </c>
      <c r="M25" s="47" t="n">
        <f aca="false">M22*M23*M24</f>
        <v>17.955</v>
      </c>
    </row>
    <row r="26" customFormat="false" ht="19.4" hidden="false" customHeight="false" outlineLevel="0" collapsed="false">
      <c r="A26" s="23" t="s">
        <v>213</v>
      </c>
      <c r="B26" s="41" t="s">
        <v>205</v>
      </c>
      <c r="C26" s="42" t="s">
        <v>250</v>
      </c>
      <c r="D26" s="45" t="n">
        <v>1</v>
      </c>
      <c r="E26" s="45" t="n">
        <v>1</v>
      </c>
      <c r="F26" s="45" t="n">
        <v>1</v>
      </c>
      <c r="G26" s="45" t="n">
        <v>1</v>
      </c>
      <c r="H26" s="45" t="n">
        <v>1</v>
      </c>
      <c r="I26" s="45" t="n">
        <v>1</v>
      </c>
      <c r="J26" s="45" t="n">
        <v>1</v>
      </c>
      <c r="K26" s="45" t="n">
        <v>1</v>
      </c>
      <c r="L26" s="45" t="n">
        <v>1</v>
      </c>
      <c r="M26" s="45" t="n">
        <v>1</v>
      </c>
    </row>
    <row r="27" customFormat="false" ht="15" hidden="false" customHeight="false" outlineLevel="0" collapsed="false">
      <c r="A27" s="23" t="s">
        <v>215</v>
      </c>
      <c r="B27" s="41" t="s">
        <v>205</v>
      </c>
      <c r="C27" s="42" t="s">
        <v>251</v>
      </c>
      <c r="D27" s="45" t="n">
        <v>0.4</v>
      </c>
      <c r="E27" s="45" t="n">
        <v>0.4</v>
      </c>
      <c r="F27" s="45" t="n">
        <v>0.4</v>
      </c>
      <c r="G27" s="45" t="n">
        <v>0.4</v>
      </c>
      <c r="H27" s="45" t="n">
        <v>0.4</v>
      </c>
      <c r="I27" s="45" t="n">
        <v>0.4</v>
      </c>
      <c r="J27" s="45" t="n">
        <v>0.4</v>
      </c>
      <c r="K27" s="45" t="n">
        <v>0.4</v>
      </c>
      <c r="L27" s="45" t="n">
        <v>0.4</v>
      </c>
      <c r="M27" s="45" t="n">
        <v>0.4</v>
      </c>
    </row>
    <row r="28" customFormat="false" ht="15" hidden="false" customHeight="false" outlineLevel="0" collapsed="false">
      <c r="A28" s="23" t="s">
        <v>217</v>
      </c>
      <c r="B28" s="41" t="s">
        <v>205</v>
      </c>
      <c r="C28" s="42" t="s">
        <v>252</v>
      </c>
      <c r="D28" s="45" t="n">
        <v>0</v>
      </c>
      <c r="E28" s="45" t="n">
        <v>0</v>
      </c>
      <c r="F28" s="45" t="n">
        <v>0</v>
      </c>
      <c r="G28" s="45" t="n">
        <v>0</v>
      </c>
      <c r="H28" s="45" t="n">
        <v>0</v>
      </c>
      <c r="I28" s="45" t="n">
        <v>0</v>
      </c>
      <c r="J28" s="45" t="n">
        <v>0.33</v>
      </c>
      <c r="K28" s="45" t="n">
        <v>0.32</v>
      </c>
      <c r="L28" s="45" t="n">
        <v>0.3</v>
      </c>
      <c r="M28" s="45" t="n">
        <v>0.29</v>
      </c>
    </row>
    <row r="36" customFormat="false" ht="18" hidden="false" customHeight="true" outlineLevel="0" collapsed="false">
      <c r="A36" s="8" t="s">
        <v>219</v>
      </c>
      <c r="B36" s="8"/>
      <c r="C36" s="8"/>
      <c r="D36" s="8"/>
      <c r="E36" s="8"/>
      <c r="F36" s="8"/>
      <c r="G36" s="8"/>
      <c r="H36" s="8"/>
      <c r="I36" s="8"/>
      <c r="J36" s="8"/>
      <c r="K36" s="8"/>
      <c r="L36" s="8"/>
      <c r="M36" s="8"/>
    </row>
    <row r="37" customFormat="false" ht="15" hidden="false" customHeight="false" outlineLevel="0" collapsed="false">
      <c r="A37" s="48" t="s">
        <v>220</v>
      </c>
      <c r="B37" s="49" t="s">
        <v>27</v>
      </c>
      <c r="C37" s="50"/>
      <c r="D37" s="51" t="n">
        <f aca="false">D25</f>
        <v>0</v>
      </c>
      <c r="E37" s="51" t="n">
        <f aca="false">E25</f>
        <v>0</v>
      </c>
      <c r="F37" s="51" t="n">
        <f aca="false">F25</f>
        <v>0</v>
      </c>
      <c r="G37" s="51" t="n">
        <f aca="false">G25</f>
        <v>0</v>
      </c>
      <c r="H37" s="51" t="n">
        <f aca="false">H25</f>
        <v>0</v>
      </c>
      <c r="I37" s="51" t="n">
        <f aca="false">I25</f>
        <v>0</v>
      </c>
      <c r="J37" s="51" t="n">
        <f aca="false">J25</f>
        <v>27.72</v>
      </c>
      <c r="K37" s="51" t="n">
        <f aca="false">K25</f>
        <v>31.185</v>
      </c>
      <c r="L37" s="51" t="n">
        <f aca="false">L25</f>
        <v>24</v>
      </c>
      <c r="M37" s="51" t="n">
        <f aca="false">M25</f>
        <v>17.955</v>
      </c>
    </row>
    <row r="38" customFormat="false" ht="15" hidden="false" customHeight="false" outlineLevel="0" collapsed="false">
      <c r="A38" s="52" t="s">
        <v>221</v>
      </c>
      <c r="B38" s="49" t="s">
        <v>27</v>
      </c>
      <c r="C38" s="50"/>
      <c r="D38" s="48" t="n">
        <f aca="false">D25*D26*$B$9</f>
        <v>0</v>
      </c>
      <c r="E38" s="48" t="n">
        <f aca="false">E25*E26*$B$9</f>
        <v>0</v>
      </c>
      <c r="F38" s="48" t="n">
        <f aca="false">F25*F26*$B$9</f>
        <v>0</v>
      </c>
      <c r="G38" s="48" t="n">
        <f aca="false">G25*G26*$B$9</f>
        <v>0</v>
      </c>
      <c r="H38" s="48" t="n">
        <f aca="false">H25*H26*$B$9</f>
        <v>0</v>
      </c>
      <c r="I38" s="48" t="n">
        <f aca="false">I25*I26*$B$9</f>
        <v>0</v>
      </c>
      <c r="J38" s="48" t="n">
        <f aca="false">J25*J26*$B$9</f>
        <v>27.72</v>
      </c>
      <c r="K38" s="48" t="n">
        <f aca="false">K25*K26*$B$9</f>
        <v>31.185</v>
      </c>
      <c r="L38" s="48" t="n">
        <f aca="false">L25*L26*$B$9</f>
        <v>24</v>
      </c>
      <c r="M38" s="48" t="n">
        <f aca="false">M25*M26*$B$9</f>
        <v>17.955</v>
      </c>
    </row>
    <row r="39" customFormat="false" ht="15" hidden="false" customHeight="false" outlineLevel="0" collapsed="false">
      <c r="A39" s="52" t="s">
        <v>222</v>
      </c>
      <c r="B39" s="49" t="s">
        <v>27</v>
      </c>
      <c r="C39" s="50"/>
      <c r="D39" s="48" t="n">
        <f aca="false">D38*D27</f>
        <v>0</v>
      </c>
      <c r="E39" s="48" t="n">
        <f aca="false">E38*E27</f>
        <v>0</v>
      </c>
      <c r="F39" s="48" t="n">
        <f aca="false">F38*F27</f>
        <v>0</v>
      </c>
      <c r="G39" s="48" t="n">
        <f aca="false">G38*G27</f>
        <v>0</v>
      </c>
      <c r="H39" s="48" t="n">
        <f aca="false">H38*H27</f>
        <v>0</v>
      </c>
      <c r="I39" s="48" t="n">
        <f aca="false">I38*I27</f>
        <v>0</v>
      </c>
      <c r="J39" s="48" t="n">
        <f aca="false">J38*J27</f>
        <v>11.088</v>
      </c>
      <c r="K39" s="48" t="n">
        <f aca="false">K38*K27</f>
        <v>12.474</v>
      </c>
      <c r="L39" s="48" t="n">
        <f aca="false">L38*L27</f>
        <v>9.6</v>
      </c>
      <c r="M39" s="48" t="n">
        <f aca="false">M38*M27</f>
        <v>7.182</v>
      </c>
    </row>
    <row r="40" customFormat="false" ht="15" hidden="false" customHeight="false" outlineLevel="0" collapsed="false">
      <c r="A40" s="48" t="s">
        <v>217</v>
      </c>
      <c r="B40" s="49" t="s">
        <v>205</v>
      </c>
      <c r="C40" s="50"/>
      <c r="D40" s="53" t="n">
        <f aca="false">D28</f>
        <v>0</v>
      </c>
      <c r="E40" s="53" t="n">
        <f aca="false">E28</f>
        <v>0</v>
      </c>
      <c r="F40" s="53" t="n">
        <f aca="false">F28</f>
        <v>0</v>
      </c>
      <c r="G40" s="53" t="n">
        <f aca="false">G28</f>
        <v>0</v>
      </c>
      <c r="H40" s="53" t="n">
        <f aca="false">H28</f>
        <v>0</v>
      </c>
      <c r="I40" s="53" t="n">
        <f aca="false">I28</f>
        <v>0</v>
      </c>
      <c r="J40" s="53" t="n">
        <f aca="false">J28</f>
        <v>0.33</v>
      </c>
      <c r="K40" s="53" t="n">
        <f aca="false">K28</f>
        <v>0.32</v>
      </c>
      <c r="L40" s="53" t="n">
        <f aca="false">L28</f>
        <v>0.3</v>
      </c>
      <c r="M40" s="53" t="n">
        <f aca="false">M28</f>
        <v>0.29</v>
      </c>
    </row>
    <row r="41" customFormat="false" ht="15" hidden="false" customHeight="false" outlineLevel="0" collapsed="false">
      <c r="A41" s="48" t="s">
        <v>162</v>
      </c>
      <c r="B41" s="49" t="s">
        <v>27</v>
      </c>
      <c r="C41" s="50"/>
      <c r="D41" s="48" t="n">
        <f aca="false">D38*D40</f>
        <v>0</v>
      </c>
      <c r="E41" s="48" t="n">
        <f aca="false">E38*E40</f>
        <v>0</v>
      </c>
      <c r="F41" s="48" t="n">
        <f aca="false">F38*F40</f>
        <v>0</v>
      </c>
      <c r="G41" s="48" t="n">
        <f aca="false">G38*G40</f>
        <v>0</v>
      </c>
      <c r="H41" s="48" t="n">
        <f aca="false">H38*H40</f>
        <v>0</v>
      </c>
      <c r="I41" s="48" t="n">
        <f aca="false">I38*I40</f>
        <v>0</v>
      </c>
      <c r="J41" s="48" t="n">
        <f aca="false">J38*J40</f>
        <v>9.1476</v>
      </c>
      <c r="K41" s="48" t="n">
        <f aca="false">K38*K40</f>
        <v>9.9792</v>
      </c>
      <c r="L41" s="48" t="n">
        <f aca="false">L38*L40</f>
        <v>7.2</v>
      </c>
      <c r="M41" s="48" t="n">
        <f aca="false">M38*M40</f>
        <v>5.20695</v>
      </c>
    </row>
    <row r="42" customFormat="false" ht="15" hidden="false" customHeight="false" outlineLevel="0" collapsed="false">
      <c r="A42" s="48" t="s">
        <v>30</v>
      </c>
      <c r="B42" s="49" t="s">
        <v>27</v>
      </c>
      <c r="C42" s="50"/>
      <c r="D42" s="48" t="n">
        <f aca="false">D39*D40</f>
        <v>0</v>
      </c>
      <c r="E42" s="48" t="n">
        <f aca="false">E39*E40</f>
        <v>0</v>
      </c>
      <c r="F42" s="48" t="n">
        <f aca="false">F39*F40</f>
        <v>0</v>
      </c>
      <c r="G42" s="48" t="n">
        <f aca="false">G39*G40</f>
        <v>0</v>
      </c>
      <c r="H42" s="48" t="n">
        <f aca="false">H39*H40</f>
        <v>0</v>
      </c>
      <c r="I42" s="48" t="n">
        <f aca="false">I39*I40</f>
        <v>0</v>
      </c>
      <c r="J42" s="48" t="n">
        <f aca="false">J39*J40</f>
        <v>3.65904</v>
      </c>
      <c r="K42" s="48" t="n">
        <f aca="false">K39*K40</f>
        <v>3.99168</v>
      </c>
      <c r="L42" s="48" t="n">
        <f aca="false">L39*L40</f>
        <v>2.88</v>
      </c>
      <c r="M42" s="48" t="n">
        <f aca="false">M39*M40</f>
        <v>2.08278</v>
      </c>
    </row>
    <row r="43" customFormat="false" ht="15" hidden="false" customHeight="false" outlineLevel="0" collapsed="false">
      <c r="A43" s="48" t="s">
        <v>221</v>
      </c>
      <c r="B43" s="49" t="s">
        <v>31</v>
      </c>
      <c r="C43" s="50"/>
      <c r="D43" s="54" t="n">
        <f aca="false">D38*'Global Assump'!D$4</f>
        <v>0</v>
      </c>
      <c r="E43" s="54" t="n">
        <f aca="false">E38*'Global Assump'!E$4</f>
        <v>0</v>
      </c>
      <c r="F43" s="54" t="n">
        <f aca="false">F38*'Global Assump'!F$4</f>
        <v>0</v>
      </c>
      <c r="G43" s="54" t="n">
        <f aca="false">G38*'Global Assump'!G$4</f>
        <v>0</v>
      </c>
      <c r="H43" s="54" t="n">
        <f aca="false">H38*'Global Assump'!H$4</f>
        <v>0</v>
      </c>
      <c r="I43" s="54" t="n">
        <f aca="false">I38*'Global Assump'!I$4</f>
        <v>0</v>
      </c>
      <c r="J43" s="54" t="n">
        <f aca="false">J38*'Global Assump'!J$4</f>
        <v>2716.56</v>
      </c>
      <c r="K43" s="54" t="n">
        <f aca="false">K38*'Global Assump'!K$4</f>
        <v>3118.5</v>
      </c>
      <c r="L43" s="54" t="n">
        <f aca="false">L38*'Global Assump'!L$4</f>
        <v>2448</v>
      </c>
      <c r="M43" s="54" t="n">
        <f aca="false">M38*'Global Assump'!M$4</f>
        <v>1867.32</v>
      </c>
    </row>
    <row r="44" customFormat="false" ht="15" hidden="false" customHeight="false" outlineLevel="0" collapsed="false">
      <c r="A44" s="48" t="s">
        <v>222</v>
      </c>
      <c r="B44" s="49" t="s">
        <v>31</v>
      </c>
      <c r="C44" s="50"/>
      <c r="D44" s="54" t="n">
        <f aca="false">D39*'Global Assump'!D$4</f>
        <v>0</v>
      </c>
      <c r="E44" s="54" t="n">
        <f aca="false">E39*'Global Assump'!E$4</f>
        <v>0</v>
      </c>
      <c r="F44" s="54" t="n">
        <f aca="false">F39*'Global Assump'!F$4</f>
        <v>0</v>
      </c>
      <c r="G44" s="54" t="n">
        <f aca="false">G39*'Global Assump'!G$4</f>
        <v>0</v>
      </c>
      <c r="H44" s="54" t="n">
        <f aca="false">H39*'Global Assump'!H$4</f>
        <v>0</v>
      </c>
      <c r="I44" s="54" t="n">
        <f aca="false">I39*'Global Assump'!I$4</f>
        <v>0</v>
      </c>
      <c r="J44" s="54" t="n">
        <f aca="false">J39*'Global Assump'!J$4</f>
        <v>1086.624</v>
      </c>
      <c r="K44" s="54" t="n">
        <f aca="false">K39*'Global Assump'!K$4</f>
        <v>1247.4</v>
      </c>
      <c r="L44" s="54" t="n">
        <f aca="false">L39*'Global Assump'!L$4</f>
        <v>979.2</v>
      </c>
      <c r="M44" s="54" t="n">
        <f aca="false">M39*'Global Assump'!M$4</f>
        <v>746.928</v>
      </c>
    </row>
    <row r="46" customFormat="false" ht="18" hidden="false" customHeight="true" outlineLevel="0" collapsed="false">
      <c r="A46" s="8" t="s">
        <v>223</v>
      </c>
      <c r="B46" s="8"/>
      <c r="C46" s="8"/>
      <c r="D46" s="8"/>
      <c r="E46" s="8"/>
      <c r="F46" s="8"/>
      <c r="G46" s="8"/>
      <c r="H46" s="8"/>
      <c r="I46" s="8"/>
      <c r="J46" s="8"/>
      <c r="K46" s="8"/>
      <c r="L46" s="8"/>
      <c r="M46" s="8"/>
    </row>
    <row r="47" customFormat="false" ht="27.75" hidden="false" customHeight="true" outlineLevel="0" collapsed="false">
      <c r="A47" s="55" t="s">
        <v>270</v>
      </c>
      <c r="B47" s="55"/>
      <c r="C47" s="55"/>
      <c r="D47" s="55"/>
      <c r="E47" s="55"/>
      <c r="F47" s="55"/>
      <c r="G47" s="55"/>
      <c r="H47" s="55"/>
      <c r="I47" s="55"/>
      <c r="J47" s="55"/>
      <c r="K47" s="55"/>
      <c r="L47" s="55"/>
      <c r="M47" s="55"/>
    </row>
  </sheetData>
  <autoFilter ref="A19:M44"/>
  <mergeCells count="19">
    <mergeCell ref="A1:M1"/>
    <mergeCell ref="A2:M2"/>
    <mergeCell ref="A4:M4"/>
    <mergeCell ref="B5:M5"/>
    <mergeCell ref="B6:M6"/>
    <mergeCell ref="B7:M7"/>
    <mergeCell ref="B8:M8"/>
    <mergeCell ref="B9:M9"/>
    <mergeCell ref="B10:M10"/>
    <mergeCell ref="B11:M11"/>
    <mergeCell ref="B12:M12"/>
    <mergeCell ref="B13:M13"/>
    <mergeCell ref="B14:M14"/>
    <mergeCell ref="B15:M15"/>
    <mergeCell ref="B16:M16"/>
    <mergeCell ref="A18:M18"/>
    <mergeCell ref="A36:M36"/>
    <mergeCell ref="A46:M46"/>
    <mergeCell ref="A47:M47"/>
  </mergeCells>
  <conditionalFormatting sqref="B13">
    <cfRule type="expression" priority="2" aboveAverage="0" equalAverage="0" bottom="0" percent="0" rank="0" text="" dxfId="6">
      <formula>B13="Within range"</formula>
    </cfRule>
    <cfRule type="expression" priority="3" aboveAverage="0" equalAverage="0" bottom="0" percent="0" rank="0" text="" dxfId="7">
      <formula>B13&lt;&gt;"Within range"</formula>
    </cfRule>
  </conditionalFormatting>
  <dataValidations count="1">
    <dataValidation allowBlank="false" errorStyle="stop" operator="between" showDropDown="false" showErrorMessage="false" showInputMessage="false" sqref="B9" type="list">
      <formula1>"0,1"</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drawing r:id="rId1"/>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M47"/>
  <sheetViews>
    <sheetView showFormulas="false" showGridLines="false" showRowColHeaders="true" showZeros="true" rightToLeft="false" tabSelected="false" showOutlineSymbols="true" defaultGridColor="true" view="normal" topLeftCell="A1" colorId="64" zoomScale="85" zoomScaleNormal="85" zoomScalePageLayoutView="100" workbookViewId="0">
      <pane xSplit="3" ySplit="19" topLeftCell="D20" activePane="bottomRight" state="frozen"/>
      <selection pane="topLeft" activeCell="A1" activeCellId="0" sqref="A1"/>
      <selection pane="topRight" activeCell="D1" activeCellId="0" sqref="D1"/>
      <selection pane="bottomLeft" activeCell="A20" activeCellId="0" sqref="A20"/>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0" width="32"/>
    <col collapsed="false" customWidth="true" hidden="false" outlineLevel="0" max="2" min="2" style="0" width="15"/>
    <col collapsed="false" customWidth="true" hidden="false" outlineLevel="0" max="3" min="3" style="0" width="30"/>
    <col collapsed="false" customWidth="true" hidden="false" outlineLevel="0" max="13" min="4" style="0" width="12"/>
  </cols>
  <sheetData>
    <row r="1" customFormat="false" ht="24" hidden="false" customHeight="true" outlineLevel="0" collapsed="false">
      <c r="A1" s="24" t="s">
        <v>80</v>
      </c>
      <c r="B1" s="24"/>
      <c r="C1" s="24"/>
      <c r="D1" s="24"/>
      <c r="E1" s="24"/>
      <c r="F1" s="24"/>
      <c r="G1" s="24"/>
      <c r="H1" s="24"/>
      <c r="I1" s="24"/>
      <c r="J1" s="24"/>
      <c r="K1" s="24"/>
      <c r="L1" s="24"/>
      <c r="M1" s="24"/>
    </row>
    <row r="2" customFormat="false" ht="27.75" hidden="false" customHeight="true" outlineLevel="0" collapsed="false">
      <c r="A2" s="25" t="s">
        <v>273</v>
      </c>
      <c r="B2" s="25"/>
      <c r="C2" s="25"/>
      <c r="D2" s="25"/>
      <c r="E2" s="25"/>
      <c r="F2" s="25"/>
      <c r="G2" s="25"/>
      <c r="H2" s="25"/>
      <c r="I2" s="25"/>
      <c r="J2" s="25"/>
      <c r="K2" s="25"/>
      <c r="L2" s="25"/>
      <c r="M2" s="25"/>
    </row>
    <row r="4" customFormat="false" ht="18" hidden="false" customHeight="true" outlineLevel="0" collapsed="false">
      <c r="A4" s="8" t="s">
        <v>182</v>
      </c>
      <c r="B4" s="8"/>
      <c r="C4" s="8"/>
      <c r="D4" s="8"/>
      <c r="E4" s="8"/>
      <c r="F4" s="8"/>
      <c r="G4" s="8"/>
      <c r="H4" s="8"/>
      <c r="I4" s="8"/>
      <c r="J4" s="8"/>
      <c r="K4" s="8"/>
      <c r="L4" s="8"/>
      <c r="M4" s="8"/>
    </row>
    <row r="5" customFormat="false" ht="18" hidden="false" customHeight="true" outlineLevel="0" collapsed="false">
      <c r="A5" s="33" t="s">
        <v>183</v>
      </c>
      <c r="B5" s="34" t="s">
        <v>80</v>
      </c>
      <c r="C5" s="34"/>
      <c r="D5" s="34"/>
      <c r="E5" s="34"/>
      <c r="F5" s="34"/>
      <c r="G5" s="34"/>
      <c r="H5" s="34"/>
      <c r="I5" s="34"/>
      <c r="J5" s="34"/>
      <c r="K5" s="34"/>
      <c r="L5" s="34"/>
      <c r="M5" s="34"/>
    </row>
    <row r="6" customFormat="false" ht="18" hidden="false" customHeight="true" outlineLevel="0" collapsed="false">
      <c r="A6" s="33" t="s">
        <v>33</v>
      </c>
      <c r="B6" s="34" t="s">
        <v>36</v>
      </c>
      <c r="C6" s="34"/>
      <c r="D6" s="34"/>
      <c r="E6" s="34"/>
      <c r="F6" s="34"/>
      <c r="G6" s="34"/>
      <c r="H6" s="34"/>
      <c r="I6" s="34"/>
      <c r="J6" s="34"/>
      <c r="K6" s="34"/>
      <c r="L6" s="34"/>
      <c r="M6" s="34"/>
    </row>
    <row r="7" customFormat="false" ht="18" hidden="false" customHeight="true" outlineLevel="0" collapsed="false">
      <c r="A7" s="33" t="s">
        <v>42</v>
      </c>
      <c r="B7" s="34" t="s">
        <v>51</v>
      </c>
      <c r="C7" s="34"/>
      <c r="D7" s="34"/>
      <c r="E7" s="34"/>
      <c r="F7" s="34"/>
      <c r="G7" s="34"/>
      <c r="H7" s="34"/>
      <c r="I7" s="34"/>
      <c r="J7" s="34"/>
      <c r="K7" s="34"/>
      <c r="L7" s="34"/>
      <c r="M7" s="34"/>
    </row>
    <row r="8" customFormat="false" ht="24" hidden="false" customHeight="true" outlineLevel="0" collapsed="false">
      <c r="A8" s="33" t="s">
        <v>184</v>
      </c>
      <c r="B8" s="34" t="s">
        <v>81</v>
      </c>
      <c r="C8" s="34"/>
      <c r="D8" s="34"/>
      <c r="E8" s="34"/>
      <c r="F8" s="34"/>
      <c r="G8" s="34"/>
      <c r="H8" s="34"/>
      <c r="I8" s="34"/>
      <c r="J8" s="34"/>
      <c r="K8" s="34"/>
      <c r="L8" s="34"/>
      <c r="M8" s="34"/>
    </row>
    <row r="9" customFormat="false" ht="18" hidden="false" customHeight="true" outlineLevel="0" collapsed="false">
      <c r="A9" s="33" t="s">
        <v>185</v>
      </c>
      <c r="B9" s="35" t="n">
        <v>1</v>
      </c>
      <c r="C9" s="35"/>
      <c r="D9" s="35"/>
      <c r="E9" s="35"/>
      <c r="F9" s="35"/>
      <c r="G9" s="35"/>
      <c r="H9" s="35"/>
      <c r="I9" s="35"/>
      <c r="J9" s="35"/>
      <c r="K9" s="35"/>
      <c r="L9" s="35"/>
      <c r="M9" s="35"/>
    </row>
    <row r="10" customFormat="false" ht="18" hidden="false" customHeight="true" outlineLevel="0" collapsed="false">
      <c r="A10" s="33" t="s">
        <v>186</v>
      </c>
      <c r="B10" s="36" t="n">
        <v>30</v>
      </c>
      <c r="C10" s="36"/>
      <c r="D10" s="36"/>
      <c r="E10" s="36"/>
      <c r="F10" s="36"/>
      <c r="G10" s="36"/>
      <c r="H10" s="36"/>
      <c r="I10" s="36"/>
      <c r="J10" s="36"/>
      <c r="K10" s="36"/>
      <c r="L10" s="36"/>
      <c r="M10" s="36"/>
    </row>
    <row r="11" customFormat="false" ht="18" hidden="false" customHeight="true" outlineLevel="0" collapsed="false">
      <c r="A11" s="33" t="s">
        <v>187</v>
      </c>
      <c r="B11" s="36" t="n">
        <v>40</v>
      </c>
      <c r="C11" s="36"/>
      <c r="D11" s="36"/>
      <c r="E11" s="36"/>
      <c r="F11" s="36"/>
      <c r="G11" s="36"/>
      <c r="H11" s="36"/>
      <c r="I11" s="36"/>
      <c r="J11" s="36"/>
      <c r="K11" s="36"/>
      <c r="L11" s="36"/>
      <c r="M11" s="36"/>
    </row>
    <row r="12" customFormat="false" ht="18" hidden="false" customHeight="true" outlineLevel="0" collapsed="false">
      <c r="A12" s="33" t="s">
        <v>188</v>
      </c>
      <c r="B12" s="37" t="n">
        <f aca="false">MAX(D38:M38)</f>
        <v>35</v>
      </c>
      <c r="C12" s="37"/>
      <c r="D12" s="37"/>
      <c r="E12" s="37"/>
      <c r="F12" s="37"/>
      <c r="G12" s="37"/>
      <c r="H12" s="37"/>
      <c r="I12" s="37"/>
      <c r="J12" s="37"/>
      <c r="K12" s="37"/>
      <c r="L12" s="37"/>
      <c r="M12" s="37"/>
    </row>
    <row r="13" customFormat="false" ht="18" hidden="false" customHeight="true" outlineLevel="0" collapsed="false">
      <c r="A13" s="33" t="s">
        <v>189</v>
      </c>
      <c r="B13" s="38" t="str">
        <f aca="false">IF(AND(B12&gt;=B10,B12&lt;=B11),"Within range",IF(B12&lt;B10,"Below range","Above range"))</f>
        <v>Within range</v>
      </c>
      <c r="C13" s="38"/>
      <c r="D13" s="38"/>
      <c r="E13" s="38"/>
      <c r="F13" s="38"/>
      <c r="G13" s="38"/>
      <c r="H13" s="38"/>
      <c r="I13" s="38"/>
      <c r="J13" s="38"/>
      <c r="K13" s="38"/>
      <c r="L13" s="38"/>
      <c r="M13" s="38"/>
    </row>
    <row r="14" customFormat="false" ht="18" hidden="false" customHeight="true" outlineLevel="0" collapsed="false">
      <c r="A14" s="33" t="s">
        <v>190</v>
      </c>
      <c r="B14" s="34" t="s">
        <v>53</v>
      </c>
      <c r="C14" s="34"/>
      <c r="D14" s="34"/>
      <c r="E14" s="34"/>
      <c r="F14" s="34"/>
      <c r="G14" s="34"/>
      <c r="H14" s="34"/>
      <c r="I14" s="34"/>
      <c r="J14" s="34"/>
      <c r="K14" s="34"/>
      <c r="L14" s="34"/>
      <c r="M14" s="34"/>
    </row>
    <row r="15" customFormat="false" ht="24" hidden="false" customHeight="true" outlineLevel="0" collapsed="false">
      <c r="A15" s="33" t="s">
        <v>191</v>
      </c>
      <c r="B15" s="34" t="s">
        <v>274</v>
      </c>
      <c r="C15" s="34"/>
      <c r="D15" s="34"/>
      <c r="E15" s="34"/>
      <c r="F15" s="34"/>
      <c r="G15" s="34"/>
      <c r="H15" s="34"/>
      <c r="I15" s="34"/>
      <c r="J15" s="34"/>
      <c r="K15" s="34"/>
      <c r="L15" s="34"/>
      <c r="M15" s="34"/>
    </row>
    <row r="16" customFormat="false" ht="24" hidden="false" customHeight="true" outlineLevel="0" collapsed="false">
      <c r="A16" s="33" t="s">
        <v>193</v>
      </c>
      <c r="B16" s="34" t="s">
        <v>275</v>
      </c>
      <c r="C16" s="34"/>
      <c r="D16" s="34"/>
      <c r="E16" s="34"/>
      <c r="F16" s="34"/>
      <c r="G16" s="34"/>
      <c r="H16" s="34"/>
      <c r="I16" s="34"/>
      <c r="J16" s="34"/>
      <c r="K16" s="34"/>
      <c r="L16" s="34"/>
      <c r="M16" s="34"/>
    </row>
    <row r="18" customFormat="false" ht="18" hidden="false" customHeight="true" outlineLevel="0" collapsed="false">
      <c r="A18" s="8" t="s">
        <v>195</v>
      </c>
      <c r="B18" s="8"/>
      <c r="C18" s="8"/>
      <c r="D18" s="8"/>
      <c r="E18" s="8"/>
      <c r="F18" s="8"/>
      <c r="G18" s="8"/>
      <c r="H18" s="8"/>
      <c r="I18" s="8"/>
      <c r="J18" s="8"/>
      <c r="K18" s="8"/>
      <c r="L18" s="8"/>
      <c r="M18" s="8"/>
    </row>
    <row r="19" customFormat="false" ht="15" hidden="false" customHeight="false" outlineLevel="0" collapsed="false">
      <c r="A19" s="39" t="s">
        <v>196</v>
      </c>
      <c r="B19" s="39" t="s">
        <v>15</v>
      </c>
      <c r="C19" s="39" t="s">
        <v>197</v>
      </c>
      <c r="D19" s="39" t="s">
        <v>16</v>
      </c>
      <c r="E19" s="39" t="s">
        <v>17</v>
      </c>
      <c r="F19" s="39" t="s">
        <v>18</v>
      </c>
      <c r="G19" s="39" t="s">
        <v>19</v>
      </c>
      <c r="H19" s="39" t="s">
        <v>20</v>
      </c>
      <c r="I19" s="39" t="s">
        <v>21</v>
      </c>
      <c r="J19" s="39" t="s">
        <v>22</v>
      </c>
      <c r="K19" s="39" t="s">
        <v>23</v>
      </c>
      <c r="L19" s="39" t="s">
        <v>24</v>
      </c>
      <c r="M19" s="39" t="s">
        <v>25</v>
      </c>
    </row>
    <row r="20" customFormat="false" ht="19.4" hidden="false" customHeight="false" outlineLevel="0" collapsed="false">
      <c r="A20" s="40" t="s">
        <v>241</v>
      </c>
      <c r="B20" s="41" t="s">
        <v>27</v>
      </c>
      <c r="C20" s="42" t="s">
        <v>242</v>
      </c>
      <c r="D20" s="44" t="n">
        <v>3200</v>
      </c>
      <c r="E20" s="44" t="n">
        <v>3300</v>
      </c>
      <c r="F20" s="44" t="n">
        <v>3400</v>
      </c>
      <c r="G20" s="44" t="n">
        <v>3500</v>
      </c>
      <c r="H20" s="44" t="n">
        <v>3500</v>
      </c>
      <c r="I20" s="44" t="n">
        <v>3400</v>
      </c>
      <c r="J20" s="44" t="n">
        <v>3300</v>
      </c>
      <c r="K20" s="44" t="n">
        <v>3200</v>
      </c>
      <c r="L20" s="44" t="n">
        <v>3100</v>
      </c>
      <c r="M20" s="44" t="n">
        <v>3000</v>
      </c>
    </row>
    <row r="21" customFormat="false" ht="19.4" hidden="false" customHeight="false" outlineLevel="0" collapsed="false">
      <c r="A21" s="40" t="s">
        <v>243</v>
      </c>
      <c r="B21" s="41" t="s">
        <v>205</v>
      </c>
      <c r="C21" s="42" t="s">
        <v>276</v>
      </c>
      <c r="D21" s="45" t="n">
        <v>0.1</v>
      </c>
      <c r="E21" s="45" t="n">
        <v>0.1</v>
      </c>
      <c r="F21" s="45" t="n">
        <v>0.1</v>
      </c>
      <c r="G21" s="45" t="n">
        <v>0.1</v>
      </c>
      <c r="H21" s="45" t="n">
        <v>0.1</v>
      </c>
      <c r="I21" s="45" t="n">
        <v>0.1</v>
      </c>
      <c r="J21" s="45" t="n">
        <v>0.1</v>
      </c>
      <c r="K21" s="45" t="n">
        <v>0.1</v>
      </c>
      <c r="L21" s="45" t="n">
        <v>0.1</v>
      </c>
      <c r="M21" s="45" t="n">
        <v>0.1</v>
      </c>
    </row>
    <row r="22" customFormat="false" ht="15" hidden="false" customHeight="false" outlineLevel="0" collapsed="false">
      <c r="A22" s="23" t="s">
        <v>245</v>
      </c>
      <c r="B22" s="41" t="s">
        <v>27</v>
      </c>
      <c r="C22" s="42" t="s">
        <v>246</v>
      </c>
      <c r="D22" s="47" t="n">
        <f aca="false">D20*D21</f>
        <v>320</v>
      </c>
      <c r="E22" s="47" t="n">
        <f aca="false">E20*E21</f>
        <v>330</v>
      </c>
      <c r="F22" s="47" t="n">
        <f aca="false">F20*F21</f>
        <v>340</v>
      </c>
      <c r="G22" s="47" t="n">
        <f aca="false">G20*G21</f>
        <v>350</v>
      </c>
      <c r="H22" s="47" t="n">
        <f aca="false">H20*H21</f>
        <v>350</v>
      </c>
      <c r="I22" s="47" t="n">
        <f aca="false">I20*I21</f>
        <v>340</v>
      </c>
      <c r="J22" s="47" t="n">
        <f aca="false">J20*J21</f>
        <v>330</v>
      </c>
      <c r="K22" s="47" t="n">
        <f aca="false">K20*K21</f>
        <v>320</v>
      </c>
      <c r="L22" s="47" t="n">
        <f aca="false">L20*L21</f>
        <v>310</v>
      </c>
      <c r="M22" s="47" t="n">
        <f aca="false">M20*M21</f>
        <v>300</v>
      </c>
    </row>
    <row r="23" customFormat="false" ht="15" hidden="false" customHeight="false" outlineLevel="0" collapsed="false">
      <c r="A23" s="23" t="s">
        <v>247</v>
      </c>
      <c r="B23" s="41" t="s">
        <v>205</v>
      </c>
      <c r="C23" s="42" t="s">
        <v>248</v>
      </c>
      <c r="D23" s="45" t="n">
        <v>0.085</v>
      </c>
      <c r="E23" s="45" t="n">
        <v>0.095</v>
      </c>
      <c r="F23" s="45" t="n">
        <v>0.1</v>
      </c>
      <c r="G23" s="45" t="n">
        <v>0.1</v>
      </c>
      <c r="H23" s="45" t="n">
        <v>0.1</v>
      </c>
      <c r="I23" s="45" t="n">
        <v>0.1</v>
      </c>
      <c r="J23" s="45" t="n">
        <v>0.1</v>
      </c>
      <c r="K23" s="45" t="n">
        <v>0.1</v>
      </c>
      <c r="L23" s="45" t="n">
        <v>0.095</v>
      </c>
      <c r="M23" s="45" t="n">
        <v>0.09</v>
      </c>
    </row>
    <row r="24" customFormat="false" ht="15" hidden="false" customHeight="false" outlineLevel="0" collapsed="false">
      <c r="A24" s="23" t="s">
        <v>207</v>
      </c>
      <c r="B24" s="41" t="s">
        <v>205</v>
      </c>
      <c r="C24" s="42" t="s">
        <v>208</v>
      </c>
      <c r="D24" s="45" t="n">
        <v>1</v>
      </c>
      <c r="E24" s="45" t="n">
        <v>1</v>
      </c>
      <c r="F24" s="45" t="n">
        <v>1</v>
      </c>
      <c r="G24" s="45" t="n">
        <v>1</v>
      </c>
      <c r="H24" s="45" t="n">
        <v>1</v>
      </c>
      <c r="I24" s="45" t="n">
        <v>1</v>
      </c>
      <c r="J24" s="45" t="n">
        <v>1</v>
      </c>
      <c r="K24" s="45" t="n">
        <v>1</v>
      </c>
      <c r="L24" s="45" t="n">
        <v>1</v>
      </c>
      <c r="M24" s="45" t="n">
        <v>1</v>
      </c>
    </row>
    <row r="25" customFormat="false" ht="15" hidden="false" customHeight="false" outlineLevel="0" collapsed="false">
      <c r="A25" s="23" t="s">
        <v>211</v>
      </c>
      <c r="B25" s="41" t="s">
        <v>27</v>
      </c>
      <c r="C25" s="42" t="s">
        <v>249</v>
      </c>
      <c r="D25" s="47" t="n">
        <f aca="false">D22*D23*D24</f>
        <v>27.2</v>
      </c>
      <c r="E25" s="47" t="n">
        <f aca="false">E22*E23*E24</f>
        <v>31.35</v>
      </c>
      <c r="F25" s="47" t="n">
        <f aca="false">F22*F23*F24</f>
        <v>34</v>
      </c>
      <c r="G25" s="47" t="n">
        <f aca="false">G22*G23*G24</f>
        <v>35</v>
      </c>
      <c r="H25" s="47" t="n">
        <f aca="false">H22*H23*H24</f>
        <v>35</v>
      </c>
      <c r="I25" s="47" t="n">
        <f aca="false">I22*I23*I24</f>
        <v>34</v>
      </c>
      <c r="J25" s="47" t="n">
        <f aca="false">J22*J23*J24</f>
        <v>33</v>
      </c>
      <c r="K25" s="47" t="n">
        <f aca="false">K22*K23*K24</f>
        <v>32</v>
      </c>
      <c r="L25" s="47" t="n">
        <f aca="false">L22*L23*L24</f>
        <v>29.45</v>
      </c>
      <c r="M25" s="47" t="n">
        <f aca="false">M22*M23*M24</f>
        <v>27</v>
      </c>
    </row>
    <row r="26" customFormat="false" ht="19.4" hidden="false" customHeight="false" outlineLevel="0" collapsed="false">
      <c r="A26" s="23" t="s">
        <v>213</v>
      </c>
      <c r="B26" s="41" t="s">
        <v>205</v>
      </c>
      <c r="C26" s="42" t="s">
        <v>250</v>
      </c>
      <c r="D26" s="45" t="n">
        <v>1</v>
      </c>
      <c r="E26" s="45" t="n">
        <v>1</v>
      </c>
      <c r="F26" s="45" t="n">
        <v>1</v>
      </c>
      <c r="G26" s="45" t="n">
        <v>1</v>
      </c>
      <c r="H26" s="45" t="n">
        <v>1</v>
      </c>
      <c r="I26" s="45" t="n">
        <v>1</v>
      </c>
      <c r="J26" s="45" t="n">
        <v>1</v>
      </c>
      <c r="K26" s="45" t="n">
        <v>1</v>
      </c>
      <c r="L26" s="45" t="n">
        <v>1</v>
      </c>
      <c r="M26" s="45" t="n">
        <v>1</v>
      </c>
    </row>
    <row r="27" customFormat="false" ht="15" hidden="false" customHeight="false" outlineLevel="0" collapsed="false">
      <c r="A27" s="23" t="s">
        <v>215</v>
      </c>
      <c r="B27" s="41" t="s">
        <v>205</v>
      </c>
      <c r="C27" s="42" t="s">
        <v>277</v>
      </c>
      <c r="D27" s="45" t="n">
        <v>1</v>
      </c>
      <c r="E27" s="45" t="n">
        <v>1</v>
      </c>
      <c r="F27" s="45" t="n">
        <v>1</v>
      </c>
      <c r="G27" s="45" t="n">
        <v>1</v>
      </c>
      <c r="H27" s="45" t="n">
        <v>1</v>
      </c>
      <c r="I27" s="45" t="n">
        <v>1</v>
      </c>
      <c r="J27" s="45" t="n">
        <v>1</v>
      </c>
      <c r="K27" s="45" t="n">
        <v>1</v>
      </c>
      <c r="L27" s="45" t="n">
        <v>1</v>
      </c>
      <c r="M27" s="45" t="n">
        <v>1</v>
      </c>
    </row>
    <row r="28" customFormat="false" ht="15" hidden="false" customHeight="false" outlineLevel="0" collapsed="false">
      <c r="A28" s="23" t="s">
        <v>217</v>
      </c>
      <c r="B28" s="41" t="s">
        <v>205</v>
      </c>
      <c r="C28" s="42" t="s">
        <v>252</v>
      </c>
      <c r="D28" s="45" t="n">
        <v>0.25</v>
      </c>
      <c r="E28" s="45" t="n">
        <v>0.27</v>
      </c>
      <c r="F28" s="45" t="n">
        <v>0.28</v>
      </c>
      <c r="G28" s="45" t="n">
        <v>0.29</v>
      </c>
      <c r="H28" s="45" t="n">
        <v>0.29</v>
      </c>
      <c r="I28" s="45" t="n">
        <v>0.28</v>
      </c>
      <c r="J28" s="45" t="n">
        <v>0.27</v>
      </c>
      <c r="K28" s="45" t="n">
        <v>0.26</v>
      </c>
      <c r="L28" s="45" t="n">
        <v>0.25</v>
      </c>
      <c r="M28" s="45" t="n">
        <v>0.24</v>
      </c>
    </row>
    <row r="36" customFormat="false" ht="18" hidden="false" customHeight="true" outlineLevel="0" collapsed="false">
      <c r="A36" s="8" t="s">
        <v>219</v>
      </c>
      <c r="B36" s="8"/>
      <c r="C36" s="8"/>
      <c r="D36" s="8"/>
      <c r="E36" s="8"/>
      <c r="F36" s="8"/>
      <c r="G36" s="8"/>
      <c r="H36" s="8"/>
      <c r="I36" s="8"/>
      <c r="J36" s="8"/>
      <c r="K36" s="8"/>
      <c r="L36" s="8"/>
      <c r="M36" s="8"/>
    </row>
    <row r="37" customFormat="false" ht="15" hidden="false" customHeight="false" outlineLevel="0" collapsed="false">
      <c r="A37" s="48" t="s">
        <v>220</v>
      </c>
      <c r="B37" s="49" t="s">
        <v>27</v>
      </c>
      <c r="C37" s="50"/>
      <c r="D37" s="51" t="n">
        <f aca="false">D25</f>
        <v>27.2</v>
      </c>
      <c r="E37" s="51" t="n">
        <f aca="false">E25</f>
        <v>31.35</v>
      </c>
      <c r="F37" s="51" t="n">
        <f aca="false">F25</f>
        <v>34</v>
      </c>
      <c r="G37" s="51" t="n">
        <f aca="false">G25</f>
        <v>35</v>
      </c>
      <c r="H37" s="51" t="n">
        <f aca="false">H25</f>
        <v>35</v>
      </c>
      <c r="I37" s="51" t="n">
        <f aca="false">I25</f>
        <v>34</v>
      </c>
      <c r="J37" s="51" t="n">
        <f aca="false">J25</f>
        <v>33</v>
      </c>
      <c r="K37" s="51" t="n">
        <f aca="false">K25</f>
        <v>32</v>
      </c>
      <c r="L37" s="51" t="n">
        <f aca="false">L25</f>
        <v>29.45</v>
      </c>
      <c r="M37" s="51" t="n">
        <f aca="false">M25</f>
        <v>27</v>
      </c>
    </row>
    <row r="38" customFormat="false" ht="15" hidden="false" customHeight="false" outlineLevel="0" collapsed="false">
      <c r="A38" s="52" t="s">
        <v>221</v>
      </c>
      <c r="B38" s="49" t="s">
        <v>27</v>
      </c>
      <c r="C38" s="50"/>
      <c r="D38" s="48" t="n">
        <f aca="false">D25*D26*$B$9</f>
        <v>27.2</v>
      </c>
      <c r="E38" s="48" t="n">
        <f aca="false">E25*E26*$B$9</f>
        <v>31.35</v>
      </c>
      <c r="F38" s="48" t="n">
        <f aca="false">F25*F26*$B$9</f>
        <v>34</v>
      </c>
      <c r="G38" s="48" t="n">
        <f aca="false">G25*G26*$B$9</f>
        <v>35</v>
      </c>
      <c r="H38" s="48" t="n">
        <f aca="false">H25*H26*$B$9</f>
        <v>35</v>
      </c>
      <c r="I38" s="48" t="n">
        <f aca="false">I25*I26*$B$9</f>
        <v>34</v>
      </c>
      <c r="J38" s="48" t="n">
        <f aca="false">J25*J26*$B$9</f>
        <v>33</v>
      </c>
      <c r="K38" s="48" t="n">
        <f aca="false">K25*K26*$B$9</f>
        <v>32</v>
      </c>
      <c r="L38" s="48" t="n">
        <f aca="false">L25*L26*$B$9</f>
        <v>29.45</v>
      </c>
      <c r="M38" s="48" t="n">
        <f aca="false">M25*M26*$B$9</f>
        <v>27</v>
      </c>
    </row>
    <row r="39" customFormat="false" ht="15" hidden="false" customHeight="false" outlineLevel="0" collapsed="false">
      <c r="A39" s="52" t="s">
        <v>222</v>
      </c>
      <c r="B39" s="49" t="s">
        <v>27</v>
      </c>
      <c r="C39" s="50"/>
      <c r="D39" s="48" t="n">
        <f aca="false">D38*D27</f>
        <v>27.2</v>
      </c>
      <c r="E39" s="48" t="n">
        <f aca="false">E38*E27</f>
        <v>31.35</v>
      </c>
      <c r="F39" s="48" t="n">
        <f aca="false">F38*F27</f>
        <v>34</v>
      </c>
      <c r="G39" s="48" t="n">
        <f aca="false">G38*G27</f>
        <v>35</v>
      </c>
      <c r="H39" s="48" t="n">
        <f aca="false">H38*H27</f>
        <v>35</v>
      </c>
      <c r="I39" s="48" t="n">
        <f aca="false">I38*I27</f>
        <v>34</v>
      </c>
      <c r="J39" s="48" t="n">
        <f aca="false">J38*J27</f>
        <v>33</v>
      </c>
      <c r="K39" s="48" t="n">
        <f aca="false">K38*K27</f>
        <v>32</v>
      </c>
      <c r="L39" s="48" t="n">
        <f aca="false">L38*L27</f>
        <v>29.45</v>
      </c>
      <c r="M39" s="48" t="n">
        <f aca="false">M38*M27</f>
        <v>27</v>
      </c>
    </row>
    <row r="40" customFormat="false" ht="15" hidden="false" customHeight="false" outlineLevel="0" collapsed="false">
      <c r="A40" s="48" t="s">
        <v>217</v>
      </c>
      <c r="B40" s="49" t="s">
        <v>205</v>
      </c>
      <c r="C40" s="50"/>
      <c r="D40" s="53" t="n">
        <f aca="false">D28</f>
        <v>0.25</v>
      </c>
      <c r="E40" s="53" t="n">
        <f aca="false">E28</f>
        <v>0.27</v>
      </c>
      <c r="F40" s="53" t="n">
        <f aca="false">F28</f>
        <v>0.28</v>
      </c>
      <c r="G40" s="53" t="n">
        <f aca="false">G28</f>
        <v>0.29</v>
      </c>
      <c r="H40" s="53" t="n">
        <f aca="false">H28</f>
        <v>0.29</v>
      </c>
      <c r="I40" s="53" t="n">
        <f aca="false">I28</f>
        <v>0.28</v>
      </c>
      <c r="J40" s="53" t="n">
        <f aca="false">J28</f>
        <v>0.27</v>
      </c>
      <c r="K40" s="53" t="n">
        <f aca="false">K28</f>
        <v>0.26</v>
      </c>
      <c r="L40" s="53" t="n">
        <f aca="false">L28</f>
        <v>0.25</v>
      </c>
      <c r="M40" s="53" t="n">
        <f aca="false">M28</f>
        <v>0.24</v>
      </c>
    </row>
    <row r="41" customFormat="false" ht="15" hidden="false" customHeight="false" outlineLevel="0" collapsed="false">
      <c r="A41" s="48" t="s">
        <v>162</v>
      </c>
      <c r="B41" s="49" t="s">
        <v>27</v>
      </c>
      <c r="C41" s="50"/>
      <c r="D41" s="48" t="n">
        <f aca="false">D38*D40</f>
        <v>6.8</v>
      </c>
      <c r="E41" s="48" t="n">
        <f aca="false">E38*E40</f>
        <v>8.4645</v>
      </c>
      <c r="F41" s="48" t="n">
        <f aca="false">F38*F40</f>
        <v>9.52</v>
      </c>
      <c r="G41" s="48" t="n">
        <f aca="false">G38*G40</f>
        <v>10.15</v>
      </c>
      <c r="H41" s="48" t="n">
        <f aca="false">H38*H40</f>
        <v>10.15</v>
      </c>
      <c r="I41" s="48" t="n">
        <f aca="false">I38*I40</f>
        <v>9.52</v>
      </c>
      <c r="J41" s="48" t="n">
        <f aca="false">J38*J40</f>
        <v>8.91</v>
      </c>
      <c r="K41" s="48" t="n">
        <f aca="false">K38*K40</f>
        <v>8.32</v>
      </c>
      <c r="L41" s="48" t="n">
        <f aca="false">L38*L40</f>
        <v>7.3625</v>
      </c>
      <c r="M41" s="48" t="n">
        <f aca="false">M38*M40</f>
        <v>6.48</v>
      </c>
    </row>
    <row r="42" customFormat="false" ht="15" hidden="false" customHeight="false" outlineLevel="0" collapsed="false">
      <c r="A42" s="48" t="s">
        <v>30</v>
      </c>
      <c r="B42" s="49" t="s">
        <v>27</v>
      </c>
      <c r="C42" s="50"/>
      <c r="D42" s="48" t="n">
        <f aca="false">D39*D40</f>
        <v>6.8</v>
      </c>
      <c r="E42" s="48" t="n">
        <f aca="false">E39*E40</f>
        <v>8.4645</v>
      </c>
      <c r="F42" s="48" t="n">
        <f aca="false">F39*F40</f>
        <v>9.52</v>
      </c>
      <c r="G42" s="48" t="n">
        <f aca="false">G39*G40</f>
        <v>10.15</v>
      </c>
      <c r="H42" s="48" t="n">
        <f aca="false">H39*H40</f>
        <v>10.15</v>
      </c>
      <c r="I42" s="48" t="n">
        <f aca="false">I39*I40</f>
        <v>9.52</v>
      </c>
      <c r="J42" s="48" t="n">
        <f aca="false">J39*J40</f>
        <v>8.91</v>
      </c>
      <c r="K42" s="48" t="n">
        <f aca="false">K39*K40</f>
        <v>8.32</v>
      </c>
      <c r="L42" s="48" t="n">
        <f aca="false">L39*L40</f>
        <v>7.3625</v>
      </c>
      <c r="M42" s="48" t="n">
        <f aca="false">M39*M40</f>
        <v>6.48</v>
      </c>
    </row>
    <row r="43" customFormat="false" ht="15" hidden="false" customHeight="false" outlineLevel="0" collapsed="false">
      <c r="A43" s="48" t="s">
        <v>221</v>
      </c>
      <c r="B43" s="49" t="s">
        <v>31</v>
      </c>
      <c r="C43" s="50"/>
      <c r="D43" s="54" t="n">
        <f aca="false">D38*'Global Assump'!D$4</f>
        <v>2339.2</v>
      </c>
      <c r="E43" s="54" t="n">
        <f aca="false">E38*'Global Assump'!E$4</f>
        <v>2758.8</v>
      </c>
      <c r="F43" s="54" t="n">
        <f aca="false">F38*'Global Assump'!F$4</f>
        <v>3060</v>
      </c>
      <c r="G43" s="54" t="n">
        <f aca="false">G38*'Global Assump'!G$4</f>
        <v>3220</v>
      </c>
      <c r="H43" s="54" t="n">
        <f aca="false">H38*'Global Assump'!H$4</f>
        <v>3290</v>
      </c>
      <c r="I43" s="54" t="n">
        <f aca="false">I38*'Global Assump'!I$4</f>
        <v>3264</v>
      </c>
      <c r="J43" s="54" t="n">
        <f aca="false">J38*'Global Assump'!J$4</f>
        <v>3234</v>
      </c>
      <c r="K43" s="54" t="n">
        <f aca="false">K38*'Global Assump'!K$4</f>
        <v>3200</v>
      </c>
      <c r="L43" s="54" t="n">
        <f aca="false">L38*'Global Assump'!L$4</f>
        <v>3003.9</v>
      </c>
      <c r="M43" s="54" t="n">
        <f aca="false">M38*'Global Assump'!M$4</f>
        <v>2808</v>
      </c>
    </row>
    <row r="44" customFormat="false" ht="15" hidden="false" customHeight="false" outlineLevel="0" collapsed="false">
      <c r="A44" s="48" t="s">
        <v>222</v>
      </c>
      <c r="B44" s="49" t="s">
        <v>31</v>
      </c>
      <c r="C44" s="50"/>
      <c r="D44" s="54" t="n">
        <f aca="false">D39*'Global Assump'!D$4</f>
        <v>2339.2</v>
      </c>
      <c r="E44" s="54" t="n">
        <f aca="false">E39*'Global Assump'!E$4</f>
        <v>2758.8</v>
      </c>
      <c r="F44" s="54" t="n">
        <f aca="false">F39*'Global Assump'!F$4</f>
        <v>3060</v>
      </c>
      <c r="G44" s="54" t="n">
        <f aca="false">G39*'Global Assump'!G$4</f>
        <v>3220</v>
      </c>
      <c r="H44" s="54" t="n">
        <f aca="false">H39*'Global Assump'!H$4</f>
        <v>3290</v>
      </c>
      <c r="I44" s="54" t="n">
        <f aca="false">I39*'Global Assump'!I$4</f>
        <v>3264</v>
      </c>
      <c r="J44" s="54" t="n">
        <f aca="false">J39*'Global Assump'!J$4</f>
        <v>3234</v>
      </c>
      <c r="K44" s="54" t="n">
        <f aca="false">K39*'Global Assump'!K$4</f>
        <v>3200</v>
      </c>
      <c r="L44" s="54" t="n">
        <f aca="false">L39*'Global Assump'!L$4</f>
        <v>3003.9</v>
      </c>
      <c r="M44" s="54" t="n">
        <f aca="false">M39*'Global Assump'!M$4</f>
        <v>2808</v>
      </c>
    </row>
    <row r="46" customFormat="false" ht="18" hidden="false" customHeight="true" outlineLevel="0" collapsed="false">
      <c r="A46" s="8" t="s">
        <v>223</v>
      </c>
      <c r="B46" s="8"/>
      <c r="C46" s="8"/>
      <c r="D46" s="8"/>
      <c r="E46" s="8"/>
      <c r="F46" s="8"/>
      <c r="G46" s="8"/>
      <c r="H46" s="8"/>
      <c r="I46" s="8"/>
      <c r="J46" s="8"/>
      <c r="K46" s="8"/>
      <c r="L46" s="8"/>
      <c r="M46" s="8"/>
    </row>
    <row r="47" customFormat="false" ht="27.75" hidden="false" customHeight="true" outlineLevel="0" collapsed="false">
      <c r="A47" s="55" t="s">
        <v>278</v>
      </c>
      <c r="B47" s="55"/>
      <c r="C47" s="55"/>
      <c r="D47" s="55"/>
      <c r="E47" s="55"/>
      <c r="F47" s="55"/>
      <c r="G47" s="55"/>
      <c r="H47" s="55"/>
      <c r="I47" s="55"/>
      <c r="J47" s="55"/>
      <c r="K47" s="55"/>
      <c r="L47" s="55"/>
      <c r="M47" s="55"/>
    </row>
  </sheetData>
  <autoFilter ref="A19:M44"/>
  <mergeCells count="19">
    <mergeCell ref="A1:M1"/>
    <mergeCell ref="A2:M2"/>
    <mergeCell ref="A4:M4"/>
    <mergeCell ref="B5:M5"/>
    <mergeCell ref="B6:M6"/>
    <mergeCell ref="B7:M7"/>
    <mergeCell ref="B8:M8"/>
    <mergeCell ref="B9:M9"/>
    <mergeCell ref="B10:M10"/>
    <mergeCell ref="B11:M11"/>
    <mergeCell ref="B12:M12"/>
    <mergeCell ref="B13:M13"/>
    <mergeCell ref="B14:M14"/>
    <mergeCell ref="B15:M15"/>
    <mergeCell ref="B16:M16"/>
    <mergeCell ref="A18:M18"/>
    <mergeCell ref="A36:M36"/>
    <mergeCell ref="A46:M46"/>
    <mergeCell ref="A47:M47"/>
  </mergeCells>
  <conditionalFormatting sqref="B13">
    <cfRule type="expression" priority="2" aboveAverage="0" equalAverage="0" bottom="0" percent="0" rank="0" text="" dxfId="6">
      <formula>B13="Within range"</formula>
    </cfRule>
    <cfRule type="expression" priority="3" aboveAverage="0" equalAverage="0" bottom="0" percent="0" rank="0" text="" dxfId="7">
      <formula>B13&lt;&gt;"Within range"</formula>
    </cfRule>
  </conditionalFormatting>
  <dataValidations count="1">
    <dataValidation allowBlank="false" errorStyle="stop" operator="between" showDropDown="false" showErrorMessage="false" showInputMessage="false" sqref="B9" type="list">
      <formula1>"0,1"</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drawing r:id="rId1"/>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M47"/>
  <sheetViews>
    <sheetView showFormulas="false" showGridLines="false" showRowColHeaders="true" showZeros="true" rightToLeft="false" tabSelected="false" showOutlineSymbols="true" defaultGridColor="true" view="normal" topLeftCell="A1" colorId="64" zoomScale="85" zoomScaleNormal="85" zoomScalePageLayoutView="100" workbookViewId="0">
      <pane xSplit="3" ySplit="19" topLeftCell="D20" activePane="bottomRight" state="frozen"/>
      <selection pane="topLeft" activeCell="A1" activeCellId="0" sqref="A1"/>
      <selection pane="topRight" activeCell="D1" activeCellId="0" sqref="D1"/>
      <selection pane="bottomLeft" activeCell="A20" activeCellId="0" sqref="A20"/>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0" width="32"/>
    <col collapsed="false" customWidth="true" hidden="false" outlineLevel="0" max="2" min="2" style="0" width="15"/>
    <col collapsed="false" customWidth="true" hidden="false" outlineLevel="0" max="3" min="3" style="0" width="30"/>
    <col collapsed="false" customWidth="true" hidden="false" outlineLevel="0" max="13" min="4" style="0" width="12"/>
  </cols>
  <sheetData>
    <row r="1" customFormat="false" ht="24" hidden="false" customHeight="true" outlineLevel="0" collapsed="false">
      <c r="A1" s="24" t="s">
        <v>83</v>
      </c>
      <c r="B1" s="24"/>
      <c r="C1" s="24"/>
      <c r="D1" s="24"/>
      <c r="E1" s="24"/>
      <c r="F1" s="24"/>
      <c r="G1" s="24"/>
      <c r="H1" s="24"/>
      <c r="I1" s="24"/>
      <c r="J1" s="24"/>
      <c r="K1" s="24"/>
      <c r="L1" s="24"/>
      <c r="M1" s="24"/>
    </row>
    <row r="2" customFormat="false" ht="27.75" hidden="false" customHeight="true" outlineLevel="0" collapsed="false">
      <c r="A2" s="25" t="s">
        <v>279</v>
      </c>
      <c r="B2" s="25"/>
      <c r="C2" s="25"/>
      <c r="D2" s="25"/>
      <c r="E2" s="25"/>
      <c r="F2" s="25"/>
      <c r="G2" s="25"/>
      <c r="H2" s="25"/>
      <c r="I2" s="25"/>
      <c r="J2" s="25"/>
      <c r="K2" s="25"/>
      <c r="L2" s="25"/>
      <c r="M2" s="25"/>
    </row>
    <row r="4" customFormat="false" ht="18" hidden="false" customHeight="true" outlineLevel="0" collapsed="false">
      <c r="A4" s="8" t="s">
        <v>182</v>
      </c>
      <c r="B4" s="8"/>
      <c r="C4" s="8"/>
      <c r="D4" s="8"/>
      <c r="E4" s="8"/>
      <c r="F4" s="8"/>
      <c r="G4" s="8"/>
      <c r="H4" s="8"/>
      <c r="I4" s="8"/>
      <c r="J4" s="8"/>
      <c r="K4" s="8"/>
      <c r="L4" s="8"/>
      <c r="M4" s="8"/>
    </row>
    <row r="5" customFormat="false" ht="18" hidden="false" customHeight="true" outlineLevel="0" collapsed="false">
      <c r="A5" s="33" t="s">
        <v>183</v>
      </c>
      <c r="B5" s="34" t="s">
        <v>83</v>
      </c>
      <c r="C5" s="34"/>
      <c r="D5" s="34"/>
      <c r="E5" s="34"/>
      <c r="F5" s="34"/>
      <c r="G5" s="34"/>
      <c r="H5" s="34"/>
      <c r="I5" s="34"/>
      <c r="J5" s="34"/>
      <c r="K5" s="34"/>
      <c r="L5" s="34"/>
      <c r="M5" s="34"/>
    </row>
    <row r="6" customFormat="false" ht="18" hidden="false" customHeight="true" outlineLevel="0" collapsed="false">
      <c r="A6" s="33" t="s">
        <v>33</v>
      </c>
      <c r="B6" s="34" t="s">
        <v>36</v>
      </c>
      <c r="C6" s="34"/>
      <c r="D6" s="34"/>
      <c r="E6" s="34"/>
      <c r="F6" s="34"/>
      <c r="G6" s="34"/>
      <c r="H6" s="34"/>
      <c r="I6" s="34"/>
      <c r="J6" s="34"/>
      <c r="K6" s="34"/>
      <c r="L6" s="34"/>
      <c r="M6" s="34"/>
    </row>
    <row r="7" customFormat="false" ht="18" hidden="false" customHeight="true" outlineLevel="0" collapsed="false">
      <c r="A7" s="33" t="s">
        <v>42</v>
      </c>
      <c r="B7" s="34" t="s">
        <v>51</v>
      </c>
      <c r="C7" s="34"/>
      <c r="D7" s="34"/>
      <c r="E7" s="34"/>
      <c r="F7" s="34"/>
      <c r="G7" s="34"/>
      <c r="H7" s="34"/>
      <c r="I7" s="34"/>
      <c r="J7" s="34"/>
      <c r="K7" s="34"/>
      <c r="L7" s="34"/>
      <c r="M7" s="34"/>
    </row>
    <row r="8" customFormat="false" ht="24" hidden="false" customHeight="true" outlineLevel="0" collapsed="false">
      <c r="A8" s="33" t="s">
        <v>184</v>
      </c>
      <c r="B8" s="34" t="s">
        <v>84</v>
      </c>
      <c r="C8" s="34"/>
      <c r="D8" s="34"/>
      <c r="E8" s="34"/>
      <c r="F8" s="34"/>
      <c r="G8" s="34"/>
      <c r="H8" s="34"/>
      <c r="I8" s="34"/>
      <c r="J8" s="34"/>
      <c r="K8" s="34"/>
      <c r="L8" s="34"/>
      <c r="M8" s="34"/>
    </row>
    <row r="9" customFormat="false" ht="18" hidden="false" customHeight="true" outlineLevel="0" collapsed="false">
      <c r="A9" s="33" t="s">
        <v>185</v>
      </c>
      <c r="B9" s="35" t="n">
        <v>1</v>
      </c>
      <c r="C9" s="35"/>
      <c r="D9" s="35"/>
      <c r="E9" s="35"/>
      <c r="F9" s="35"/>
      <c r="G9" s="35"/>
      <c r="H9" s="35"/>
      <c r="I9" s="35"/>
      <c r="J9" s="35"/>
      <c r="K9" s="35"/>
      <c r="L9" s="35"/>
      <c r="M9" s="35"/>
    </row>
    <row r="10" customFormat="false" ht="18" hidden="false" customHeight="true" outlineLevel="0" collapsed="false">
      <c r="A10" s="33" t="s">
        <v>186</v>
      </c>
      <c r="B10" s="36" t="n">
        <v>15</v>
      </c>
      <c r="C10" s="36"/>
      <c r="D10" s="36"/>
      <c r="E10" s="36"/>
      <c r="F10" s="36"/>
      <c r="G10" s="36"/>
      <c r="H10" s="36"/>
      <c r="I10" s="36"/>
      <c r="J10" s="36"/>
      <c r="K10" s="36"/>
      <c r="L10" s="36"/>
      <c r="M10" s="36"/>
    </row>
    <row r="11" customFormat="false" ht="18" hidden="false" customHeight="true" outlineLevel="0" collapsed="false">
      <c r="A11" s="33" t="s">
        <v>187</v>
      </c>
      <c r="B11" s="36" t="n">
        <v>25</v>
      </c>
      <c r="C11" s="36"/>
      <c r="D11" s="36"/>
      <c r="E11" s="36"/>
      <c r="F11" s="36"/>
      <c r="G11" s="36"/>
      <c r="H11" s="36"/>
      <c r="I11" s="36"/>
      <c r="J11" s="36"/>
      <c r="K11" s="36"/>
      <c r="L11" s="36"/>
      <c r="M11" s="36"/>
    </row>
    <row r="12" customFormat="false" ht="18" hidden="false" customHeight="true" outlineLevel="0" collapsed="false">
      <c r="A12" s="33" t="s">
        <v>188</v>
      </c>
      <c r="B12" s="37" t="n">
        <f aca="false">MAX(D38:M38)</f>
        <v>20.295</v>
      </c>
      <c r="C12" s="37"/>
      <c r="D12" s="37"/>
      <c r="E12" s="37"/>
      <c r="F12" s="37"/>
      <c r="G12" s="37"/>
      <c r="H12" s="37"/>
      <c r="I12" s="37"/>
      <c r="J12" s="37"/>
      <c r="K12" s="37"/>
      <c r="L12" s="37"/>
      <c r="M12" s="37"/>
    </row>
    <row r="13" customFormat="false" ht="18" hidden="false" customHeight="true" outlineLevel="0" collapsed="false">
      <c r="A13" s="33" t="s">
        <v>189</v>
      </c>
      <c r="B13" s="38" t="str">
        <f aca="false">IF(AND(B12&gt;=B10,B12&lt;=B11),"Within range",IF(B12&lt;B10,"Below range","Above range"))</f>
        <v>Within range</v>
      </c>
      <c r="C13" s="38"/>
      <c r="D13" s="38"/>
      <c r="E13" s="38"/>
      <c r="F13" s="38"/>
      <c r="G13" s="38"/>
      <c r="H13" s="38"/>
      <c r="I13" s="38"/>
      <c r="J13" s="38"/>
      <c r="K13" s="38"/>
      <c r="L13" s="38"/>
      <c r="M13" s="38"/>
    </row>
    <row r="14" customFormat="false" ht="18" hidden="false" customHeight="true" outlineLevel="0" collapsed="false">
      <c r="A14" s="33" t="s">
        <v>190</v>
      </c>
      <c r="B14" s="34" t="s">
        <v>53</v>
      </c>
      <c r="C14" s="34"/>
      <c r="D14" s="34"/>
      <c r="E14" s="34"/>
      <c r="F14" s="34"/>
      <c r="G14" s="34"/>
      <c r="H14" s="34"/>
      <c r="I14" s="34"/>
      <c r="J14" s="34"/>
      <c r="K14" s="34"/>
      <c r="L14" s="34"/>
      <c r="M14" s="34"/>
    </row>
    <row r="15" customFormat="false" ht="24" hidden="false" customHeight="true" outlineLevel="0" collapsed="false">
      <c r="A15" s="33" t="s">
        <v>191</v>
      </c>
      <c r="B15" s="34" t="s">
        <v>280</v>
      </c>
      <c r="C15" s="34"/>
      <c r="D15" s="34"/>
      <c r="E15" s="34"/>
      <c r="F15" s="34"/>
      <c r="G15" s="34"/>
      <c r="H15" s="34"/>
      <c r="I15" s="34"/>
      <c r="J15" s="34"/>
      <c r="K15" s="34"/>
      <c r="L15" s="34"/>
      <c r="M15" s="34"/>
    </row>
    <row r="16" customFormat="false" ht="24" hidden="false" customHeight="true" outlineLevel="0" collapsed="false">
      <c r="A16" s="33" t="s">
        <v>193</v>
      </c>
      <c r="B16" s="34" t="s">
        <v>281</v>
      </c>
      <c r="C16" s="34"/>
      <c r="D16" s="34"/>
      <c r="E16" s="34"/>
      <c r="F16" s="34"/>
      <c r="G16" s="34"/>
      <c r="H16" s="34"/>
      <c r="I16" s="34"/>
      <c r="J16" s="34"/>
      <c r="K16" s="34"/>
      <c r="L16" s="34"/>
      <c r="M16" s="34"/>
    </row>
    <row r="18" customFormat="false" ht="18" hidden="false" customHeight="true" outlineLevel="0" collapsed="false">
      <c r="A18" s="8" t="s">
        <v>195</v>
      </c>
      <c r="B18" s="8"/>
      <c r="C18" s="8"/>
      <c r="D18" s="8"/>
      <c r="E18" s="8"/>
      <c r="F18" s="8"/>
      <c r="G18" s="8"/>
      <c r="H18" s="8"/>
      <c r="I18" s="8"/>
      <c r="J18" s="8"/>
      <c r="K18" s="8"/>
      <c r="L18" s="8"/>
      <c r="M18" s="8"/>
    </row>
    <row r="19" customFormat="false" ht="15" hidden="false" customHeight="false" outlineLevel="0" collapsed="false">
      <c r="A19" s="39" t="s">
        <v>196</v>
      </c>
      <c r="B19" s="39" t="s">
        <v>15</v>
      </c>
      <c r="C19" s="39" t="s">
        <v>197</v>
      </c>
      <c r="D19" s="39" t="s">
        <v>16</v>
      </c>
      <c r="E19" s="39" t="s">
        <v>17</v>
      </c>
      <c r="F19" s="39" t="s">
        <v>18</v>
      </c>
      <c r="G19" s="39" t="s">
        <v>19</v>
      </c>
      <c r="H19" s="39" t="s">
        <v>20</v>
      </c>
      <c r="I19" s="39" t="s">
        <v>21</v>
      </c>
      <c r="J19" s="39" t="s">
        <v>22</v>
      </c>
      <c r="K19" s="39" t="s">
        <v>23</v>
      </c>
      <c r="L19" s="39" t="s">
        <v>24</v>
      </c>
      <c r="M19" s="39" t="s">
        <v>25</v>
      </c>
    </row>
    <row r="20" customFormat="false" ht="19.4" hidden="false" customHeight="false" outlineLevel="0" collapsed="false">
      <c r="A20" s="40" t="s">
        <v>241</v>
      </c>
      <c r="B20" s="41" t="s">
        <v>27</v>
      </c>
      <c r="C20" s="42" t="s">
        <v>242</v>
      </c>
      <c r="D20" s="44" t="n">
        <v>300</v>
      </c>
      <c r="E20" s="44" t="n">
        <v>340</v>
      </c>
      <c r="F20" s="44" t="n">
        <v>370</v>
      </c>
      <c r="G20" s="44" t="n">
        <v>400</v>
      </c>
      <c r="H20" s="44" t="n">
        <v>410</v>
      </c>
      <c r="I20" s="44" t="n">
        <v>410</v>
      </c>
      <c r="J20" s="44" t="n">
        <v>400</v>
      </c>
      <c r="K20" s="44" t="n">
        <v>390</v>
      </c>
      <c r="L20" s="44" t="n">
        <v>380</v>
      </c>
      <c r="M20" s="44" t="n">
        <v>370</v>
      </c>
    </row>
    <row r="21" customFormat="false" ht="19.4" hidden="false" customHeight="false" outlineLevel="0" collapsed="false">
      <c r="A21" s="40" t="s">
        <v>243</v>
      </c>
      <c r="B21" s="41" t="s">
        <v>205</v>
      </c>
      <c r="C21" s="42" t="s">
        <v>282</v>
      </c>
      <c r="D21" s="45" t="n">
        <v>0.55</v>
      </c>
      <c r="E21" s="45" t="n">
        <v>0.55</v>
      </c>
      <c r="F21" s="45" t="n">
        <v>0.55</v>
      </c>
      <c r="G21" s="45" t="n">
        <v>0.55</v>
      </c>
      <c r="H21" s="45" t="n">
        <v>0.55</v>
      </c>
      <c r="I21" s="45" t="n">
        <v>0.55</v>
      </c>
      <c r="J21" s="45" t="n">
        <v>0.55</v>
      </c>
      <c r="K21" s="45" t="n">
        <v>0.55</v>
      </c>
      <c r="L21" s="45" t="n">
        <v>0.55</v>
      </c>
      <c r="M21" s="45" t="n">
        <v>0.55</v>
      </c>
    </row>
    <row r="22" customFormat="false" ht="15" hidden="false" customHeight="false" outlineLevel="0" collapsed="false">
      <c r="A22" s="23" t="s">
        <v>245</v>
      </c>
      <c r="B22" s="41" t="s">
        <v>27</v>
      </c>
      <c r="C22" s="42" t="s">
        <v>246</v>
      </c>
      <c r="D22" s="47" t="n">
        <f aca="false">D20*D21</f>
        <v>165</v>
      </c>
      <c r="E22" s="47" t="n">
        <f aca="false">E20*E21</f>
        <v>187</v>
      </c>
      <c r="F22" s="47" t="n">
        <f aca="false">F20*F21</f>
        <v>203.5</v>
      </c>
      <c r="G22" s="47" t="n">
        <f aca="false">G20*G21</f>
        <v>220</v>
      </c>
      <c r="H22" s="47" t="n">
        <f aca="false">H20*H21</f>
        <v>225.5</v>
      </c>
      <c r="I22" s="47" t="n">
        <f aca="false">I20*I21</f>
        <v>225.5</v>
      </c>
      <c r="J22" s="47" t="n">
        <f aca="false">J20*J21</f>
        <v>220</v>
      </c>
      <c r="K22" s="47" t="n">
        <f aca="false">K20*K21</f>
        <v>214.5</v>
      </c>
      <c r="L22" s="47" t="n">
        <f aca="false">L20*L21</f>
        <v>209</v>
      </c>
      <c r="M22" s="47" t="n">
        <f aca="false">M20*M21</f>
        <v>203.5</v>
      </c>
    </row>
    <row r="23" customFormat="false" ht="15" hidden="false" customHeight="false" outlineLevel="0" collapsed="false">
      <c r="A23" s="23" t="s">
        <v>247</v>
      </c>
      <c r="B23" s="41" t="s">
        <v>205</v>
      </c>
      <c r="C23" s="42" t="s">
        <v>248</v>
      </c>
      <c r="D23" s="45" t="n">
        <v>0.02</v>
      </c>
      <c r="E23" s="45" t="n">
        <v>0.04</v>
      </c>
      <c r="F23" s="45" t="n">
        <v>0.06</v>
      </c>
      <c r="G23" s="45" t="n">
        <v>0.09</v>
      </c>
      <c r="H23" s="45" t="n">
        <v>0.09</v>
      </c>
      <c r="I23" s="45" t="n">
        <v>0.085</v>
      </c>
      <c r="J23" s="45" t="n">
        <v>0.08</v>
      </c>
      <c r="K23" s="45" t="n">
        <v>0.075</v>
      </c>
      <c r="L23" s="45" t="n">
        <v>0.07</v>
      </c>
      <c r="M23" s="45" t="n">
        <v>0.065</v>
      </c>
    </row>
    <row r="24" customFormat="false" ht="15" hidden="false" customHeight="false" outlineLevel="0" collapsed="false">
      <c r="A24" s="23" t="s">
        <v>207</v>
      </c>
      <c r="B24" s="41" t="s">
        <v>205</v>
      </c>
      <c r="C24" s="42" t="s">
        <v>208</v>
      </c>
      <c r="D24" s="45" t="n">
        <v>1</v>
      </c>
      <c r="E24" s="45" t="n">
        <v>1</v>
      </c>
      <c r="F24" s="45" t="n">
        <v>1</v>
      </c>
      <c r="G24" s="45" t="n">
        <v>1</v>
      </c>
      <c r="H24" s="45" t="n">
        <v>1</v>
      </c>
      <c r="I24" s="45" t="n">
        <v>1</v>
      </c>
      <c r="J24" s="45" t="n">
        <v>1</v>
      </c>
      <c r="K24" s="45" t="n">
        <v>1</v>
      </c>
      <c r="L24" s="45" t="n">
        <v>1</v>
      </c>
      <c r="M24" s="45" t="n">
        <v>1</v>
      </c>
    </row>
    <row r="25" customFormat="false" ht="15" hidden="false" customHeight="false" outlineLevel="0" collapsed="false">
      <c r="A25" s="23" t="s">
        <v>211</v>
      </c>
      <c r="B25" s="41" t="s">
        <v>27</v>
      </c>
      <c r="C25" s="42" t="s">
        <v>249</v>
      </c>
      <c r="D25" s="47" t="n">
        <f aca="false">D22*D23*D24</f>
        <v>3.3</v>
      </c>
      <c r="E25" s="47" t="n">
        <f aca="false">E22*E23*E24</f>
        <v>7.48</v>
      </c>
      <c r="F25" s="47" t="n">
        <f aca="false">F22*F23*F24</f>
        <v>12.21</v>
      </c>
      <c r="G25" s="47" t="n">
        <f aca="false">G22*G23*G24</f>
        <v>19.8</v>
      </c>
      <c r="H25" s="47" t="n">
        <f aca="false">H22*H23*H24</f>
        <v>20.295</v>
      </c>
      <c r="I25" s="47" t="n">
        <f aca="false">I22*I23*I24</f>
        <v>19.1675</v>
      </c>
      <c r="J25" s="47" t="n">
        <f aca="false">J22*J23*J24</f>
        <v>17.6</v>
      </c>
      <c r="K25" s="47" t="n">
        <f aca="false">K22*K23*K24</f>
        <v>16.0875</v>
      </c>
      <c r="L25" s="47" t="n">
        <f aca="false">L22*L23*L24</f>
        <v>14.63</v>
      </c>
      <c r="M25" s="47" t="n">
        <f aca="false">M22*M23*M24</f>
        <v>13.2275</v>
      </c>
    </row>
    <row r="26" customFormat="false" ht="19.4" hidden="false" customHeight="false" outlineLevel="0" collapsed="false">
      <c r="A26" s="23" t="s">
        <v>213</v>
      </c>
      <c r="B26" s="41" t="s">
        <v>205</v>
      </c>
      <c r="C26" s="42" t="s">
        <v>250</v>
      </c>
      <c r="D26" s="45" t="n">
        <v>1</v>
      </c>
      <c r="E26" s="45" t="n">
        <v>1</v>
      </c>
      <c r="F26" s="45" t="n">
        <v>1</v>
      </c>
      <c r="G26" s="45" t="n">
        <v>1</v>
      </c>
      <c r="H26" s="45" t="n">
        <v>1</v>
      </c>
      <c r="I26" s="45" t="n">
        <v>1</v>
      </c>
      <c r="J26" s="45" t="n">
        <v>1</v>
      </c>
      <c r="K26" s="45" t="n">
        <v>1</v>
      </c>
      <c r="L26" s="45" t="n">
        <v>1</v>
      </c>
      <c r="M26" s="45" t="n">
        <v>1</v>
      </c>
    </row>
    <row r="27" customFormat="false" ht="15" hidden="false" customHeight="false" outlineLevel="0" collapsed="false">
      <c r="A27" s="23" t="s">
        <v>215</v>
      </c>
      <c r="B27" s="41" t="s">
        <v>205</v>
      </c>
      <c r="C27" s="42" t="s">
        <v>277</v>
      </c>
      <c r="D27" s="45" t="n">
        <v>1</v>
      </c>
      <c r="E27" s="45" t="n">
        <v>1</v>
      </c>
      <c r="F27" s="45" t="n">
        <v>1</v>
      </c>
      <c r="G27" s="45" t="n">
        <v>1</v>
      </c>
      <c r="H27" s="45" t="n">
        <v>1</v>
      </c>
      <c r="I27" s="45" t="n">
        <v>1</v>
      </c>
      <c r="J27" s="45" t="n">
        <v>1</v>
      </c>
      <c r="K27" s="45" t="n">
        <v>1</v>
      </c>
      <c r="L27" s="45" t="n">
        <v>1</v>
      </c>
      <c r="M27" s="45" t="n">
        <v>1</v>
      </c>
    </row>
    <row r="28" customFormat="false" ht="15" hidden="false" customHeight="false" outlineLevel="0" collapsed="false">
      <c r="A28" s="23" t="s">
        <v>217</v>
      </c>
      <c r="B28" s="41" t="s">
        <v>205</v>
      </c>
      <c r="C28" s="42" t="s">
        <v>252</v>
      </c>
      <c r="D28" s="45" t="n">
        <v>0.15</v>
      </c>
      <c r="E28" s="45" t="n">
        <v>0.2</v>
      </c>
      <c r="F28" s="45" t="n">
        <v>0.25</v>
      </c>
      <c r="G28" s="45" t="n">
        <v>0.3</v>
      </c>
      <c r="H28" s="45" t="n">
        <v>0.3</v>
      </c>
      <c r="I28" s="45" t="n">
        <v>0.29</v>
      </c>
      <c r="J28" s="45" t="n">
        <v>0.28</v>
      </c>
      <c r="K28" s="45" t="n">
        <v>0.27</v>
      </c>
      <c r="L28" s="45" t="n">
        <v>0.26</v>
      </c>
      <c r="M28" s="45" t="n">
        <v>0.25</v>
      </c>
    </row>
    <row r="36" customFormat="false" ht="18" hidden="false" customHeight="true" outlineLevel="0" collapsed="false">
      <c r="A36" s="8" t="s">
        <v>219</v>
      </c>
      <c r="B36" s="8"/>
      <c r="C36" s="8"/>
      <c r="D36" s="8"/>
      <c r="E36" s="8"/>
      <c r="F36" s="8"/>
      <c r="G36" s="8"/>
      <c r="H36" s="8"/>
      <c r="I36" s="8"/>
      <c r="J36" s="8"/>
      <c r="K36" s="8"/>
      <c r="L36" s="8"/>
      <c r="M36" s="8"/>
    </row>
    <row r="37" customFormat="false" ht="15" hidden="false" customHeight="false" outlineLevel="0" collapsed="false">
      <c r="A37" s="48" t="s">
        <v>220</v>
      </c>
      <c r="B37" s="49" t="s">
        <v>27</v>
      </c>
      <c r="C37" s="50"/>
      <c r="D37" s="51" t="n">
        <f aca="false">D25</f>
        <v>3.3</v>
      </c>
      <c r="E37" s="51" t="n">
        <f aca="false">E25</f>
        <v>7.48</v>
      </c>
      <c r="F37" s="51" t="n">
        <f aca="false">F25</f>
        <v>12.21</v>
      </c>
      <c r="G37" s="51" t="n">
        <f aca="false">G25</f>
        <v>19.8</v>
      </c>
      <c r="H37" s="51" t="n">
        <f aca="false">H25</f>
        <v>20.295</v>
      </c>
      <c r="I37" s="51" t="n">
        <f aca="false">I25</f>
        <v>19.1675</v>
      </c>
      <c r="J37" s="51" t="n">
        <f aca="false">J25</f>
        <v>17.6</v>
      </c>
      <c r="K37" s="51" t="n">
        <f aca="false">K25</f>
        <v>16.0875</v>
      </c>
      <c r="L37" s="51" t="n">
        <f aca="false">L25</f>
        <v>14.63</v>
      </c>
      <c r="M37" s="51" t="n">
        <f aca="false">M25</f>
        <v>13.2275</v>
      </c>
    </row>
    <row r="38" customFormat="false" ht="15" hidden="false" customHeight="false" outlineLevel="0" collapsed="false">
      <c r="A38" s="52" t="s">
        <v>221</v>
      </c>
      <c r="B38" s="49" t="s">
        <v>27</v>
      </c>
      <c r="C38" s="50"/>
      <c r="D38" s="48" t="n">
        <f aca="false">D25*D26*$B$9</f>
        <v>3.3</v>
      </c>
      <c r="E38" s="48" t="n">
        <f aca="false">E25*E26*$B$9</f>
        <v>7.48</v>
      </c>
      <c r="F38" s="48" t="n">
        <f aca="false">F25*F26*$B$9</f>
        <v>12.21</v>
      </c>
      <c r="G38" s="48" t="n">
        <f aca="false">G25*G26*$B$9</f>
        <v>19.8</v>
      </c>
      <c r="H38" s="48" t="n">
        <f aca="false">H25*H26*$B$9</f>
        <v>20.295</v>
      </c>
      <c r="I38" s="48" t="n">
        <f aca="false">I25*I26*$B$9</f>
        <v>19.1675</v>
      </c>
      <c r="J38" s="48" t="n">
        <f aca="false">J25*J26*$B$9</f>
        <v>17.6</v>
      </c>
      <c r="K38" s="48" t="n">
        <f aca="false">K25*K26*$B$9</f>
        <v>16.0875</v>
      </c>
      <c r="L38" s="48" t="n">
        <f aca="false">L25*L26*$B$9</f>
        <v>14.63</v>
      </c>
      <c r="M38" s="48" t="n">
        <f aca="false">M25*M26*$B$9</f>
        <v>13.2275</v>
      </c>
    </row>
    <row r="39" customFormat="false" ht="15" hidden="false" customHeight="false" outlineLevel="0" collapsed="false">
      <c r="A39" s="52" t="s">
        <v>222</v>
      </c>
      <c r="B39" s="49" t="s">
        <v>27</v>
      </c>
      <c r="C39" s="50"/>
      <c r="D39" s="48" t="n">
        <f aca="false">D38*D27</f>
        <v>3.3</v>
      </c>
      <c r="E39" s="48" t="n">
        <f aca="false">E38*E27</f>
        <v>7.48</v>
      </c>
      <c r="F39" s="48" t="n">
        <f aca="false">F38*F27</f>
        <v>12.21</v>
      </c>
      <c r="G39" s="48" t="n">
        <f aca="false">G38*G27</f>
        <v>19.8</v>
      </c>
      <c r="H39" s="48" t="n">
        <f aca="false">H38*H27</f>
        <v>20.295</v>
      </c>
      <c r="I39" s="48" t="n">
        <f aca="false">I38*I27</f>
        <v>19.1675</v>
      </c>
      <c r="J39" s="48" t="n">
        <f aca="false">J38*J27</f>
        <v>17.6</v>
      </c>
      <c r="K39" s="48" t="n">
        <f aca="false">K38*K27</f>
        <v>16.0875</v>
      </c>
      <c r="L39" s="48" t="n">
        <f aca="false">L38*L27</f>
        <v>14.63</v>
      </c>
      <c r="M39" s="48" t="n">
        <f aca="false">M38*M27</f>
        <v>13.2275</v>
      </c>
    </row>
    <row r="40" customFormat="false" ht="15" hidden="false" customHeight="false" outlineLevel="0" collapsed="false">
      <c r="A40" s="48" t="s">
        <v>217</v>
      </c>
      <c r="B40" s="49" t="s">
        <v>205</v>
      </c>
      <c r="C40" s="50"/>
      <c r="D40" s="53" t="n">
        <f aca="false">D28</f>
        <v>0.15</v>
      </c>
      <c r="E40" s="53" t="n">
        <f aca="false">E28</f>
        <v>0.2</v>
      </c>
      <c r="F40" s="53" t="n">
        <f aca="false">F28</f>
        <v>0.25</v>
      </c>
      <c r="G40" s="53" t="n">
        <f aca="false">G28</f>
        <v>0.3</v>
      </c>
      <c r="H40" s="53" t="n">
        <f aca="false">H28</f>
        <v>0.3</v>
      </c>
      <c r="I40" s="53" t="n">
        <f aca="false">I28</f>
        <v>0.29</v>
      </c>
      <c r="J40" s="53" t="n">
        <f aca="false">J28</f>
        <v>0.28</v>
      </c>
      <c r="K40" s="53" t="n">
        <f aca="false">K28</f>
        <v>0.27</v>
      </c>
      <c r="L40" s="53" t="n">
        <f aca="false">L28</f>
        <v>0.26</v>
      </c>
      <c r="M40" s="53" t="n">
        <f aca="false">M28</f>
        <v>0.25</v>
      </c>
    </row>
    <row r="41" customFormat="false" ht="15" hidden="false" customHeight="false" outlineLevel="0" collapsed="false">
      <c r="A41" s="48" t="s">
        <v>162</v>
      </c>
      <c r="B41" s="49" t="s">
        <v>27</v>
      </c>
      <c r="C41" s="50"/>
      <c r="D41" s="48" t="n">
        <f aca="false">D38*D40</f>
        <v>0.495</v>
      </c>
      <c r="E41" s="48" t="n">
        <f aca="false">E38*E40</f>
        <v>1.496</v>
      </c>
      <c r="F41" s="48" t="n">
        <f aca="false">F38*F40</f>
        <v>3.0525</v>
      </c>
      <c r="G41" s="48" t="n">
        <f aca="false">G38*G40</f>
        <v>5.94</v>
      </c>
      <c r="H41" s="48" t="n">
        <f aca="false">H38*H40</f>
        <v>6.0885</v>
      </c>
      <c r="I41" s="48" t="n">
        <f aca="false">I38*I40</f>
        <v>5.558575</v>
      </c>
      <c r="J41" s="48" t="n">
        <f aca="false">J38*J40</f>
        <v>4.928</v>
      </c>
      <c r="K41" s="48" t="n">
        <f aca="false">K38*K40</f>
        <v>4.343625</v>
      </c>
      <c r="L41" s="48" t="n">
        <f aca="false">L38*L40</f>
        <v>3.8038</v>
      </c>
      <c r="M41" s="48" t="n">
        <f aca="false">M38*M40</f>
        <v>3.306875</v>
      </c>
    </row>
    <row r="42" customFormat="false" ht="15" hidden="false" customHeight="false" outlineLevel="0" collapsed="false">
      <c r="A42" s="48" t="s">
        <v>30</v>
      </c>
      <c r="B42" s="49" t="s">
        <v>27</v>
      </c>
      <c r="C42" s="50"/>
      <c r="D42" s="48" t="n">
        <f aca="false">D39*D40</f>
        <v>0.495</v>
      </c>
      <c r="E42" s="48" t="n">
        <f aca="false">E39*E40</f>
        <v>1.496</v>
      </c>
      <c r="F42" s="48" t="n">
        <f aca="false">F39*F40</f>
        <v>3.0525</v>
      </c>
      <c r="G42" s="48" t="n">
        <f aca="false">G39*G40</f>
        <v>5.94</v>
      </c>
      <c r="H42" s="48" t="n">
        <f aca="false">H39*H40</f>
        <v>6.0885</v>
      </c>
      <c r="I42" s="48" t="n">
        <f aca="false">I39*I40</f>
        <v>5.558575</v>
      </c>
      <c r="J42" s="48" t="n">
        <f aca="false">J39*J40</f>
        <v>4.928</v>
      </c>
      <c r="K42" s="48" t="n">
        <f aca="false">K39*K40</f>
        <v>4.343625</v>
      </c>
      <c r="L42" s="48" t="n">
        <f aca="false">L39*L40</f>
        <v>3.8038</v>
      </c>
      <c r="M42" s="48" t="n">
        <f aca="false">M39*M40</f>
        <v>3.306875</v>
      </c>
    </row>
    <row r="43" customFormat="false" ht="15" hidden="false" customHeight="false" outlineLevel="0" collapsed="false">
      <c r="A43" s="48" t="s">
        <v>221</v>
      </c>
      <c r="B43" s="49" t="s">
        <v>31</v>
      </c>
      <c r="C43" s="50"/>
      <c r="D43" s="54" t="n">
        <f aca="false">D38*'Global Assump'!D$4</f>
        <v>283.8</v>
      </c>
      <c r="E43" s="54" t="n">
        <f aca="false">E38*'Global Assump'!E$4</f>
        <v>658.24</v>
      </c>
      <c r="F43" s="54" t="n">
        <f aca="false">F38*'Global Assump'!F$4</f>
        <v>1098.9</v>
      </c>
      <c r="G43" s="54" t="n">
        <f aca="false">G38*'Global Assump'!G$4</f>
        <v>1821.6</v>
      </c>
      <c r="H43" s="54" t="n">
        <f aca="false">H38*'Global Assump'!H$4</f>
        <v>1907.73</v>
      </c>
      <c r="I43" s="54" t="n">
        <f aca="false">I38*'Global Assump'!I$4</f>
        <v>1840.08</v>
      </c>
      <c r="J43" s="54" t="n">
        <f aca="false">J38*'Global Assump'!J$4</f>
        <v>1724.8</v>
      </c>
      <c r="K43" s="54" t="n">
        <f aca="false">K38*'Global Assump'!K$4</f>
        <v>1608.75</v>
      </c>
      <c r="L43" s="54" t="n">
        <f aca="false">L38*'Global Assump'!L$4</f>
        <v>1492.26</v>
      </c>
      <c r="M43" s="54" t="n">
        <f aca="false">M38*'Global Assump'!M$4</f>
        <v>1375.66</v>
      </c>
    </row>
    <row r="44" customFormat="false" ht="15" hidden="false" customHeight="false" outlineLevel="0" collapsed="false">
      <c r="A44" s="48" t="s">
        <v>222</v>
      </c>
      <c r="B44" s="49" t="s">
        <v>31</v>
      </c>
      <c r="C44" s="50"/>
      <c r="D44" s="54" t="n">
        <f aca="false">D39*'Global Assump'!D$4</f>
        <v>283.8</v>
      </c>
      <c r="E44" s="54" t="n">
        <f aca="false">E39*'Global Assump'!E$4</f>
        <v>658.24</v>
      </c>
      <c r="F44" s="54" t="n">
        <f aca="false">F39*'Global Assump'!F$4</f>
        <v>1098.9</v>
      </c>
      <c r="G44" s="54" t="n">
        <f aca="false">G39*'Global Assump'!G$4</f>
        <v>1821.6</v>
      </c>
      <c r="H44" s="54" t="n">
        <f aca="false">H39*'Global Assump'!H$4</f>
        <v>1907.73</v>
      </c>
      <c r="I44" s="54" t="n">
        <f aca="false">I39*'Global Assump'!I$4</f>
        <v>1840.08</v>
      </c>
      <c r="J44" s="54" t="n">
        <f aca="false">J39*'Global Assump'!J$4</f>
        <v>1724.8</v>
      </c>
      <c r="K44" s="54" t="n">
        <f aca="false">K39*'Global Assump'!K$4</f>
        <v>1608.75</v>
      </c>
      <c r="L44" s="54" t="n">
        <f aca="false">L39*'Global Assump'!L$4</f>
        <v>1492.26</v>
      </c>
      <c r="M44" s="54" t="n">
        <f aca="false">M39*'Global Assump'!M$4</f>
        <v>1375.66</v>
      </c>
    </row>
    <row r="46" customFormat="false" ht="18" hidden="false" customHeight="true" outlineLevel="0" collapsed="false">
      <c r="A46" s="8" t="s">
        <v>223</v>
      </c>
      <c r="B46" s="8"/>
      <c r="C46" s="8"/>
      <c r="D46" s="8"/>
      <c r="E46" s="8"/>
      <c r="F46" s="8"/>
      <c r="G46" s="8"/>
      <c r="H46" s="8"/>
      <c r="I46" s="8"/>
      <c r="J46" s="8"/>
      <c r="K46" s="8"/>
      <c r="L46" s="8"/>
      <c r="M46" s="8"/>
    </row>
    <row r="47" customFormat="false" ht="27.75" hidden="false" customHeight="true" outlineLevel="0" collapsed="false">
      <c r="A47" s="55" t="s">
        <v>283</v>
      </c>
      <c r="B47" s="55"/>
      <c r="C47" s="55"/>
      <c r="D47" s="55"/>
      <c r="E47" s="55"/>
      <c r="F47" s="55"/>
      <c r="G47" s="55"/>
      <c r="H47" s="55"/>
      <c r="I47" s="55"/>
      <c r="J47" s="55"/>
      <c r="K47" s="55"/>
      <c r="L47" s="55"/>
      <c r="M47" s="55"/>
    </row>
  </sheetData>
  <autoFilter ref="A19:M44"/>
  <mergeCells count="19">
    <mergeCell ref="A1:M1"/>
    <mergeCell ref="A2:M2"/>
    <mergeCell ref="A4:M4"/>
    <mergeCell ref="B5:M5"/>
    <mergeCell ref="B6:M6"/>
    <mergeCell ref="B7:M7"/>
    <mergeCell ref="B8:M8"/>
    <mergeCell ref="B9:M9"/>
    <mergeCell ref="B10:M10"/>
    <mergeCell ref="B11:M11"/>
    <mergeCell ref="B12:M12"/>
    <mergeCell ref="B13:M13"/>
    <mergeCell ref="B14:M14"/>
    <mergeCell ref="B15:M15"/>
    <mergeCell ref="B16:M16"/>
    <mergeCell ref="A18:M18"/>
    <mergeCell ref="A36:M36"/>
    <mergeCell ref="A46:M46"/>
    <mergeCell ref="A47:M47"/>
  </mergeCells>
  <conditionalFormatting sqref="B13">
    <cfRule type="expression" priority="2" aboveAverage="0" equalAverage="0" bottom="0" percent="0" rank="0" text="" dxfId="6">
      <formula>B13="Within range"</formula>
    </cfRule>
    <cfRule type="expression" priority="3" aboveAverage="0" equalAverage="0" bottom="0" percent="0" rank="0" text="" dxfId="7">
      <formula>B13&lt;&gt;"Within range"</formula>
    </cfRule>
  </conditionalFormatting>
  <dataValidations count="1">
    <dataValidation allowBlank="false" errorStyle="stop" operator="between" showDropDown="false" showErrorMessage="false" showInputMessage="false" sqref="B9" type="list">
      <formula1>"0,1"</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drawing r:id="rId1"/>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M47"/>
  <sheetViews>
    <sheetView showFormulas="false" showGridLines="false" showRowColHeaders="true" showZeros="true" rightToLeft="false" tabSelected="false" showOutlineSymbols="true" defaultGridColor="true" view="normal" topLeftCell="A1" colorId="64" zoomScale="85" zoomScaleNormal="85" zoomScalePageLayoutView="100" workbookViewId="0">
      <pane xSplit="3" ySplit="19" topLeftCell="D20" activePane="bottomRight" state="frozen"/>
      <selection pane="topLeft" activeCell="A1" activeCellId="0" sqref="A1"/>
      <selection pane="topRight" activeCell="D1" activeCellId="0" sqref="D1"/>
      <selection pane="bottomLeft" activeCell="A20" activeCellId="0" sqref="A20"/>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0" width="32"/>
    <col collapsed="false" customWidth="true" hidden="false" outlineLevel="0" max="2" min="2" style="0" width="15"/>
    <col collapsed="false" customWidth="true" hidden="false" outlineLevel="0" max="3" min="3" style="0" width="30"/>
    <col collapsed="false" customWidth="true" hidden="false" outlineLevel="0" max="13" min="4" style="0" width="12"/>
  </cols>
  <sheetData>
    <row r="1" customFormat="false" ht="24" hidden="false" customHeight="true" outlineLevel="0" collapsed="false">
      <c r="A1" s="24" t="s">
        <v>86</v>
      </c>
      <c r="B1" s="24"/>
      <c r="C1" s="24"/>
      <c r="D1" s="24"/>
      <c r="E1" s="24"/>
      <c r="F1" s="24"/>
      <c r="G1" s="24"/>
      <c r="H1" s="24"/>
      <c r="I1" s="24"/>
      <c r="J1" s="24"/>
      <c r="K1" s="24"/>
      <c r="L1" s="24"/>
      <c r="M1" s="24"/>
    </row>
    <row r="2" customFormat="false" ht="27.75" hidden="false" customHeight="true" outlineLevel="0" collapsed="false">
      <c r="A2" s="25" t="s">
        <v>284</v>
      </c>
      <c r="B2" s="25"/>
      <c r="C2" s="25"/>
      <c r="D2" s="25"/>
      <c r="E2" s="25"/>
      <c r="F2" s="25"/>
      <c r="G2" s="25"/>
      <c r="H2" s="25"/>
      <c r="I2" s="25"/>
      <c r="J2" s="25"/>
      <c r="K2" s="25"/>
      <c r="L2" s="25"/>
      <c r="M2" s="25"/>
    </row>
    <row r="4" customFormat="false" ht="18" hidden="false" customHeight="true" outlineLevel="0" collapsed="false">
      <c r="A4" s="8" t="s">
        <v>182</v>
      </c>
      <c r="B4" s="8"/>
      <c r="C4" s="8"/>
      <c r="D4" s="8"/>
      <c r="E4" s="8"/>
      <c r="F4" s="8"/>
      <c r="G4" s="8"/>
      <c r="H4" s="8"/>
      <c r="I4" s="8"/>
      <c r="J4" s="8"/>
      <c r="K4" s="8"/>
      <c r="L4" s="8"/>
      <c r="M4" s="8"/>
    </row>
    <row r="5" customFormat="false" ht="18" hidden="false" customHeight="true" outlineLevel="0" collapsed="false">
      <c r="A5" s="33" t="s">
        <v>183</v>
      </c>
      <c r="B5" s="34" t="s">
        <v>86</v>
      </c>
      <c r="C5" s="34"/>
      <c r="D5" s="34"/>
      <c r="E5" s="34"/>
      <c r="F5" s="34"/>
      <c r="G5" s="34"/>
      <c r="H5" s="34"/>
      <c r="I5" s="34"/>
      <c r="J5" s="34"/>
      <c r="K5" s="34"/>
      <c r="L5" s="34"/>
      <c r="M5" s="34"/>
    </row>
    <row r="6" customFormat="false" ht="18" hidden="false" customHeight="true" outlineLevel="0" collapsed="false">
      <c r="A6" s="33" t="s">
        <v>33</v>
      </c>
      <c r="B6" s="34" t="s">
        <v>36</v>
      </c>
      <c r="C6" s="34"/>
      <c r="D6" s="34"/>
      <c r="E6" s="34"/>
      <c r="F6" s="34"/>
      <c r="G6" s="34"/>
      <c r="H6" s="34"/>
      <c r="I6" s="34"/>
      <c r="J6" s="34"/>
      <c r="K6" s="34"/>
      <c r="L6" s="34"/>
      <c r="M6" s="34"/>
    </row>
    <row r="7" customFormat="false" ht="18" hidden="false" customHeight="true" outlineLevel="0" collapsed="false">
      <c r="A7" s="33" t="s">
        <v>42</v>
      </c>
      <c r="B7" s="34" t="s">
        <v>51</v>
      </c>
      <c r="C7" s="34"/>
      <c r="D7" s="34"/>
      <c r="E7" s="34"/>
      <c r="F7" s="34"/>
      <c r="G7" s="34"/>
      <c r="H7" s="34"/>
      <c r="I7" s="34"/>
      <c r="J7" s="34"/>
      <c r="K7" s="34"/>
      <c r="L7" s="34"/>
      <c r="M7" s="34"/>
    </row>
    <row r="8" customFormat="false" ht="24" hidden="false" customHeight="true" outlineLevel="0" collapsed="false">
      <c r="A8" s="33" t="s">
        <v>184</v>
      </c>
      <c r="B8" s="34" t="s">
        <v>87</v>
      </c>
      <c r="C8" s="34"/>
      <c r="D8" s="34"/>
      <c r="E8" s="34"/>
      <c r="F8" s="34"/>
      <c r="G8" s="34"/>
      <c r="H8" s="34"/>
      <c r="I8" s="34"/>
      <c r="J8" s="34"/>
      <c r="K8" s="34"/>
      <c r="L8" s="34"/>
      <c r="M8" s="34"/>
    </row>
    <row r="9" customFormat="false" ht="18" hidden="false" customHeight="true" outlineLevel="0" collapsed="false">
      <c r="A9" s="33" t="s">
        <v>185</v>
      </c>
      <c r="B9" s="35" t="n">
        <v>1</v>
      </c>
      <c r="C9" s="35"/>
      <c r="D9" s="35"/>
      <c r="E9" s="35"/>
      <c r="F9" s="35"/>
      <c r="G9" s="35"/>
      <c r="H9" s="35"/>
      <c r="I9" s="35"/>
      <c r="J9" s="35"/>
      <c r="K9" s="35"/>
      <c r="L9" s="35"/>
      <c r="M9" s="35"/>
    </row>
    <row r="10" customFormat="false" ht="18" hidden="false" customHeight="true" outlineLevel="0" collapsed="false">
      <c r="A10" s="33" t="s">
        <v>186</v>
      </c>
      <c r="B10" s="36" t="n">
        <v>20</v>
      </c>
      <c r="C10" s="36"/>
      <c r="D10" s="36"/>
      <c r="E10" s="36"/>
      <c r="F10" s="36"/>
      <c r="G10" s="36"/>
      <c r="H10" s="36"/>
      <c r="I10" s="36"/>
      <c r="J10" s="36"/>
      <c r="K10" s="36"/>
      <c r="L10" s="36"/>
      <c r="M10" s="36"/>
    </row>
    <row r="11" customFormat="false" ht="18" hidden="false" customHeight="true" outlineLevel="0" collapsed="false">
      <c r="A11" s="33" t="s">
        <v>187</v>
      </c>
      <c r="B11" s="36" t="n">
        <v>35</v>
      </c>
      <c r="C11" s="36"/>
      <c r="D11" s="36"/>
      <c r="E11" s="36"/>
      <c r="F11" s="36"/>
      <c r="G11" s="36"/>
      <c r="H11" s="36"/>
      <c r="I11" s="36"/>
      <c r="J11" s="36"/>
      <c r="K11" s="36"/>
      <c r="L11" s="36"/>
      <c r="M11" s="36"/>
    </row>
    <row r="12" customFormat="false" ht="18" hidden="false" customHeight="true" outlineLevel="0" collapsed="false">
      <c r="A12" s="33" t="s">
        <v>188</v>
      </c>
      <c r="B12" s="37" t="n">
        <f aca="false">MAX(D38:M38)</f>
        <v>28.611</v>
      </c>
      <c r="C12" s="37"/>
      <c r="D12" s="37"/>
      <c r="E12" s="37"/>
      <c r="F12" s="37"/>
      <c r="G12" s="37"/>
      <c r="H12" s="37"/>
      <c r="I12" s="37"/>
      <c r="J12" s="37"/>
      <c r="K12" s="37"/>
      <c r="L12" s="37"/>
      <c r="M12" s="37"/>
    </row>
    <row r="13" customFormat="false" ht="18" hidden="false" customHeight="true" outlineLevel="0" collapsed="false">
      <c r="A13" s="33" t="s">
        <v>189</v>
      </c>
      <c r="B13" s="38" t="str">
        <f aca="false">IF(AND(B12&gt;=B10,B12&lt;=B11),"Within range",IF(B12&lt;B10,"Below range","Above range"))</f>
        <v>Within range</v>
      </c>
      <c r="C13" s="38"/>
      <c r="D13" s="38"/>
      <c r="E13" s="38"/>
      <c r="F13" s="38"/>
      <c r="G13" s="38"/>
      <c r="H13" s="38"/>
      <c r="I13" s="38"/>
      <c r="J13" s="38"/>
      <c r="K13" s="38"/>
      <c r="L13" s="38"/>
      <c r="M13" s="38"/>
    </row>
    <row r="14" customFormat="false" ht="18" hidden="false" customHeight="true" outlineLevel="0" collapsed="false">
      <c r="A14" s="33" t="s">
        <v>190</v>
      </c>
      <c r="B14" s="34" t="s">
        <v>76</v>
      </c>
      <c r="C14" s="34"/>
      <c r="D14" s="34"/>
      <c r="E14" s="34"/>
      <c r="F14" s="34"/>
      <c r="G14" s="34"/>
      <c r="H14" s="34"/>
      <c r="I14" s="34"/>
      <c r="J14" s="34"/>
      <c r="K14" s="34"/>
      <c r="L14" s="34"/>
      <c r="M14" s="34"/>
    </row>
    <row r="15" customFormat="false" ht="24" hidden="false" customHeight="true" outlineLevel="0" collapsed="false">
      <c r="A15" s="33" t="s">
        <v>191</v>
      </c>
      <c r="B15" s="34" t="s">
        <v>285</v>
      </c>
      <c r="C15" s="34"/>
      <c r="D15" s="34"/>
      <c r="E15" s="34"/>
      <c r="F15" s="34"/>
      <c r="G15" s="34"/>
      <c r="H15" s="34"/>
      <c r="I15" s="34"/>
      <c r="J15" s="34"/>
      <c r="K15" s="34"/>
      <c r="L15" s="34"/>
      <c r="M15" s="34"/>
    </row>
    <row r="16" customFormat="false" ht="24" hidden="false" customHeight="true" outlineLevel="0" collapsed="false">
      <c r="A16" s="33" t="s">
        <v>193</v>
      </c>
      <c r="B16" s="34" t="s">
        <v>275</v>
      </c>
      <c r="C16" s="34"/>
      <c r="D16" s="34"/>
      <c r="E16" s="34"/>
      <c r="F16" s="34"/>
      <c r="G16" s="34"/>
      <c r="H16" s="34"/>
      <c r="I16" s="34"/>
      <c r="J16" s="34"/>
      <c r="K16" s="34"/>
      <c r="L16" s="34"/>
      <c r="M16" s="34"/>
    </row>
    <row r="18" customFormat="false" ht="18" hidden="false" customHeight="true" outlineLevel="0" collapsed="false">
      <c r="A18" s="8" t="s">
        <v>195</v>
      </c>
      <c r="B18" s="8"/>
      <c r="C18" s="8"/>
      <c r="D18" s="8"/>
      <c r="E18" s="8"/>
      <c r="F18" s="8"/>
      <c r="G18" s="8"/>
      <c r="H18" s="8"/>
      <c r="I18" s="8"/>
      <c r="J18" s="8"/>
      <c r="K18" s="8"/>
      <c r="L18" s="8"/>
      <c r="M18" s="8"/>
    </row>
    <row r="19" customFormat="false" ht="15" hidden="false" customHeight="false" outlineLevel="0" collapsed="false">
      <c r="A19" s="39" t="s">
        <v>196</v>
      </c>
      <c r="B19" s="39" t="s">
        <v>15</v>
      </c>
      <c r="C19" s="39" t="s">
        <v>197</v>
      </c>
      <c r="D19" s="39" t="s">
        <v>16</v>
      </c>
      <c r="E19" s="39" t="s">
        <v>17</v>
      </c>
      <c r="F19" s="39" t="s">
        <v>18</v>
      </c>
      <c r="G19" s="39" t="s">
        <v>19</v>
      </c>
      <c r="H19" s="39" t="s">
        <v>20</v>
      </c>
      <c r="I19" s="39" t="s">
        <v>21</v>
      </c>
      <c r="J19" s="39" t="s">
        <v>22</v>
      </c>
      <c r="K19" s="39" t="s">
        <v>23</v>
      </c>
      <c r="L19" s="39" t="s">
        <v>24</v>
      </c>
      <c r="M19" s="39" t="s">
        <v>25</v>
      </c>
    </row>
    <row r="20" customFormat="false" ht="19.4" hidden="false" customHeight="false" outlineLevel="0" collapsed="false">
      <c r="A20" s="40" t="s">
        <v>241</v>
      </c>
      <c r="B20" s="41" t="s">
        <v>27</v>
      </c>
      <c r="C20" s="42" t="s">
        <v>242</v>
      </c>
      <c r="D20" s="44" t="n">
        <v>0</v>
      </c>
      <c r="E20" s="44" t="n">
        <v>0</v>
      </c>
      <c r="F20" s="44" t="n">
        <v>0</v>
      </c>
      <c r="G20" s="44" t="n">
        <v>0</v>
      </c>
      <c r="H20" s="44" t="n">
        <v>320</v>
      </c>
      <c r="I20" s="44" t="n">
        <v>330</v>
      </c>
      <c r="J20" s="44" t="n">
        <v>330</v>
      </c>
      <c r="K20" s="44" t="n">
        <v>320</v>
      </c>
      <c r="L20" s="44" t="n">
        <v>310</v>
      </c>
      <c r="M20" s="44" t="n">
        <v>300</v>
      </c>
    </row>
    <row r="21" customFormat="false" ht="19.4" hidden="false" customHeight="false" outlineLevel="0" collapsed="false">
      <c r="A21" s="40" t="s">
        <v>243</v>
      </c>
      <c r="B21" s="41" t="s">
        <v>205</v>
      </c>
      <c r="C21" s="42" t="s">
        <v>286</v>
      </c>
      <c r="D21" s="45" t="n">
        <v>0</v>
      </c>
      <c r="E21" s="45" t="n">
        <v>0</v>
      </c>
      <c r="F21" s="45" t="n">
        <v>0</v>
      </c>
      <c r="G21" s="45" t="n">
        <v>0</v>
      </c>
      <c r="H21" s="45" t="n">
        <v>0.6</v>
      </c>
      <c r="I21" s="45" t="n">
        <v>0.6</v>
      </c>
      <c r="J21" s="45" t="n">
        <v>0.58</v>
      </c>
      <c r="K21" s="45" t="n">
        <v>0.55</v>
      </c>
      <c r="L21" s="45" t="n">
        <v>0.52</v>
      </c>
      <c r="M21" s="45" t="n">
        <v>0.5</v>
      </c>
    </row>
    <row r="22" customFormat="false" ht="15" hidden="false" customHeight="false" outlineLevel="0" collapsed="false">
      <c r="A22" s="23" t="s">
        <v>245</v>
      </c>
      <c r="B22" s="41" t="s">
        <v>27</v>
      </c>
      <c r="C22" s="42" t="s">
        <v>246</v>
      </c>
      <c r="D22" s="47" t="n">
        <f aca="false">D20*D21</f>
        <v>0</v>
      </c>
      <c r="E22" s="47" t="n">
        <f aca="false">E20*E21</f>
        <v>0</v>
      </c>
      <c r="F22" s="47" t="n">
        <f aca="false">F20*F21</f>
        <v>0</v>
      </c>
      <c r="G22" s="47" t="n">
        <f aca="false">G20*G21</f>
        <v>0</v>
      </c>
      <c r="H22" s="47" t="n">
        <f aca="false">H20*H21</f>
        <v>192</v>
      </c>
      <c r="I22" s="47" t="n">
        <f aca="false">I20*I21</f>
        <v>198</v>
      </c>
      <c r="J22" s="47" t="n">
        <f aca="false">J20*J21</f>
        <v>191.4</v>
      </c>
      <c r="K22" s="47" t="n">
        <f aca="false">K20*K21</f>
        <v>176</v>
      </c>
      <c r="L22" s="47" t="n">
        <f aca="false">L20*L21</f>
        <v>161.2</v>
      </c>
      <c r="M22" s="47" t="n">
        <f aca="false">M20*M21</f>
        <v>150</v>
      </c>
    </row>
    <row r="23" customFormat="false" ht="15" hidden="false" customHeight="false" outlineLevel="0" collapsed="false">
      <c r="A23" s="23" t="s">
        <v>247</v>
      </c>
      <c r="B23" s="41" t="s">
        <v>205</v>
      </c>
      <c r="C23" s="42" t="s">
        <v>248</v>
      </c>
      <c r="D23" s="45" t="n">
        <v>0</v>
      </c>
      <c r="E23" s="45" t="n">
        <v>0</v>
      </c>
      <c r="F23" s="45" t="n">
        <v>0</v>
      </c>
      <c r="G23" s="45" t="n">
        <v>0</v>
      </c>
      <c r="H23" s="45" t="n">
        <v>0.16</v>
      </c>
      <c r="I23" s="45" t="n">
        <v>0.17</v>
      </c>
      <c r="J23" s="45" t="n">
        <v>0.17</v>
      </c>
      <c r="K23" s="45" t="n">
        <v>0.16</v>
      </c>
      <c r="L23" s="45" t="n">
        <v>0.15</v>
      </c>
      <c r="M23" s="45" t="n">
        <v>0.14</v>
      </c>
    </row>
    <row r="24" customFormat="false" ht="15" hidden="false" customHeight="false" outlineLevel="0" collapsed="false">
      <c r="A24" s="23" t="s">
        <v>207</v>
      </c>
      <c r="B24" s="41" t="s">
        <v>205</v>
      </c>
      <c r="C24" s="42" t="s">
        <v>208</v>
      </c>
      <c r="D24" s="45" t="n">
        <v>0</v>
      </c>
      <c r="E24" s="45" t="n">
        <v>0</v>
      </c>
      <c r="F24" s="45" t="n">
        <v>0</v>
      </c>
      <c r="G24" s="45" t="n">
        <v>0</v>
      </c>
      <c r="H24" s="45" t="n">
        <v>0.6</v>
      </c>
      <c r="I24" s="45" t="n">
        <v>1</v>
      </c>
      <c r="J24" s="45" t="n">
        <v>1</v>
      </c>
      <c r="K24" s="45" t="n">
        <v>1</v>
      </c>
      <c r="L24" s="45" t="n">
        <v>1</v>
      </c>
      <c r="M24" s="45" t="n">
        <v>1</v>
      </c>
    </row>
    <row r="25" customFormat="false" ht="15" hidden="false" customHeight="false" outlineLevel="0" collapsed="false">
      <c r="A25" s="23" t="s">
        <v>211</v>
      </c>
      <c r="B25" s="41" t="s">
        <v>27</v>
      </c>
      <c r="C25" s="42" t="s">
        <v>249</v>
      </c>
      <c r="D25" s="47" t="n">
        <f aca="false">D22*D23*D24</f>
        <v>0</v>
      </c>
      <c r="E25" s="47" t="n">
        <f aca="false">E22*E23*E24</f>
        <v>0</v>
      </c>
      <c r="F25" s="47" t="n">
        <f aca="false">F22*F23*F24</f>
        <v>0</v>
      </c>
      <c r="G25" s="47" t="n">
        <f aca="false">G22*G23*G24</f>
        <v>0</v>
      </c>
      <c r="H25" s="47" t="n">
        <f aca="false">H22*H23*H24</f>
        <v>18.432</v>
      </c>
      <c r="I25" s="47" t="n">
        <f aca="false">I22*I23*I24</f>
        <v>33.66</v>
      </c>
      <c r="J25" s="47" t="n">
        <f aca="false">J22*J23*J24</f>
        <v>32.538</v>
      </c>
      <c r="K25" s="47" t="n">
        <f aca="false">K22*K23*K24</f>
        <v>28.16</v>
      </c>
      <c r="L25" s="47" t="n">
        <f aca="false">L22*L23*L24</f>
        <v>24.18</v>
      </c>
      <c r="M25" s="47" t="n">
        <f aca="false">M22*M23*M24</f>
        <v>21</v>
      </c>
    </row>
    <row r="26" customFormat="false" ht="19.4" hidden="false" customHeight="false" outlineLevel="0" collapsed="false">
      <c r="A26" s="23" t="s">
        <v>213</v>
      </c>
      <c r="B26" s="41" t="s">
        <v>205</v>
      </c>
      <c r="C26" s="42" t="s">
        <v>250</v>
      </c>
      <c r="D26" s="45" t="n">
        <v>0.85</v>
      </c>
      <c r="E26" s="45" t="n">
        <v>0.85</v>
      </c>
      <c r="F26" s="45" t="n">
        <v>0.85</v>
      </c>
      <c r="G26" s="45" t="n">
        <v>0.85</v>
      </c>
      <c r="H26" s="45" t="n">
        <v>0.85</v>
      </c>
      <c r="I26" s="45" t="n">
        <v>0.85</v>
      </c>
      <c r="J26" s="45" t="n">
        <v>0.85</v>
      </c>
      <c r="K26" s="45" t="n">
        <v>0.85</v>
      </c>
      <c r="L26" s="45" t="n">
        <v>0.85</v>
      </c>
      <c r="M26" s="45" t="n">
        <v>0.85</v>
      </c>
    </row>
    <row r="27" customFormat="false" ht="19.4" hidden="false" customHeight="false" outlineLevel="0" collapsed="false">
      <c r="A27" s="23" t="s">
        <v>215</v>
      </c>
      <c r="B27" s="41" t="s">
        <v>205</v>
      </c>
      <c r="C27" s="42" t="s">
        <v>287</v>
      </c>
      <c r="D27" s="45" t="n">
        <v>0.5</v>
      </c>
      <c r="E27" s="45" t="n">
        <v>0.5</v>
      </c>
      <c r="F27" s="45" t="n">
        <v>0.5</v>
      </c>
      <c r="G27" s="45" t="n">
        <v>0.5</v>
      </c>
      <c r="H27" s="45" t="n">
        <v>0.5</v>
      </c>
      <c r="I27" s="45" t="n">
        <v>0.5</v>
      </c>
      <c r="J27" s="45" t="n">
        <v>0.5</v>
      </c>
      <c r="K27" s="45" t="n">
        <v>0.5</v>
      </c>
      <c r="L27" s="45" t="n">
        <v>0.5</v>
      </c>
      <c r="M27" s="45" t="n">
        <v>0.5</v>
      </c>
    </row>
    <row r="28" customFormat="false" ht="15" hidden="false" customHeight="false" outlineLevel="0" collapsed="false">
      <c r="A28" s="23" t="s">
        <v>217</v>
      </c>
      <c r="B28" s="41" t="s">
        <v>205</v>
      </c>
      <c r="C28" s="42" t="s">
        <v>252</v>
      </c>
      <c r="D28" s="45" t="n">
        <v>0</v>
      </c>
      <c r="E28" s="45" t="n">
        <v>0</v>
      </c>
      <c r="F28" s="45" t="n">
        <v>0</v>
      </c>
      <c r="G28" s="45" t="n">
        <v>0</v>
      </c>
      <c r="H28" s="45" t="n">
        <v>0.25</v>
      </c>
      <c r="I28" s="45" t="n">
        <v>0.26</v>
      </c>
      <c r="J28" s="45" t="n">
        <v>0.26</v>
      </c>
      <c r="K28" s="45" t="n">
        <v>0.25</v>
      </c>
      <c r="L28" s="45" t="n">
        <v>0.24</v>
      </c>
      <c r="M28" s="45" t="n">
        <v>0.23</v>
      </c>
    </row>
    <row r="36" customFormat="false" ht="18" hidden="false" customHeight="true" outlineLevel="0" collapsed="false">
      <c r="A36" s="8" t="s">
        <v>219</v>
      </c>
      <c r="B36" s="8"/>
      <c r="C36" s="8"/>
      <c r="D36" s="8"/>
      <c r="E36" s="8"/>
      <c r="F36" s="8"/>
      <c r="G36" s="8"/>
      <c r="H36" s="8"/>
      <c r="I36" s="8"/>
      <c r="J36" s="8"/>
      <c r="K36" s="8"/>
      <c r="L36" s="8"/>
      <c r="M36" s="8"/>
    </row>
    <row r="37" customFormat="false" ht="15" hidden="false" customHeight="false" outlineLevel="0" collapsed="false">
      <c r="A37" s="48" t="s">
        <v>220</v>
      </c>
      <c r="B37" s="49" t="s">
        <v>27</v>
      </c>
      <c r="C37" s="50"/>
      <c r="D37" s="51" t="n">
        <f aca="false">D25</f>
        <v>0</v>
      </c>
      <c r="E37" s="51" t="n">
        <f aca="false">E25</f>
        <v>0</v>
      </c>
      <c r="F37" s="51" t="n">
        <f aca="false">F25</f>
        <v>0</v>
      </c>
      <c r="G37" s="51" t="n">
        <f aca="false">G25</f>
        <v>0</v>
      </c>
      <c r="H37" s="51" t="n">
        <f aca="false">H25</f>
        <v>18.432</v>
      </c>
      <c r="I37" s="51" t="n">
        <f aca="false">I25</f>
        <v>33.66</v>
      </c>
      <c r="J37" s="51" t="n">
        <f aca="false">J25</f>
        <v>32.538</v>
      </c>
      <c r="K37" s="51" t="n">
        <f aca="false">K25</f>
        <v>28.16</v>
      </c>
      <c r="L37" s="51" t="n">
        <f aca="false">L25</f>
        <v>24.18</v>
      </c>
      <c r="M37" s="51" t="n">
        <f aca="false">M25</f>
        <v>21</v>
      </c>
    </row>
    <row r="38" customFormat="false" ht="15" hidden="false" customHeight="false" outlineLevel="0" collapsed="false">
      <c r="A38" s="52" t="s">
        <v>221</v>
      </c>
      <c r="B38" s="49" t="s">
        <v>27</v>
      </c>
      <c r="C38" s="50"/>
      <c r="D38" s="48" t="n">
        <f aca="false">D25*D26*$B$9</f>
        <v>0</v>
      </c>
      <c r="E38" s="48" t="n">
        <f aca="false">E25*E26*$B$9</f>
        <v>0</v>
      </c>
      <c r="F38" s="48" t="n">
        <f aca="false">F25*F26*$B$9</f>
        <v>0</v>
      </c>
      <c r="G38" s="48" t="n">
        <f aca="false">G25*G26*$B$9</f>
        <v>0</v>
      </c>
      <c r="H38" s="48" t="n">
        <f aca="false">H25*H26*$B$9</f>
        <v>15.6672</v>
      </c>
      <c r="I38" s="48" t="n">
        <f aca="false">I25*I26*$B$9</f>
        <v>28.611</v>
      </c>
      <c r="J38" s="48" t="n">
        <f aca="false">J25*J26*$B$9</f>
        <v>27.6573</v>
      </c>
      <c r="K38" s="48" t="n">
        <f aca="false">K25*K26*$B$9</f>
        <v>23.936</v>
      </c>
      <c r="L38" s="48" t="n">
        <f aca="false">L25*L26*$B$9</f>
        <v>20.553</v>
      </c>
      <c r="M38" s="48" t="n">
        <f aca="false">M25*M26*$B$9</f>
        <v>17.85</v>
      </c>
    </row>
    <row r="39" customFormat="false" ht="15" hidden="false" customHeight="false" outlineLevel="0" collapsed="false">
      <c r="A39" s="52" t="s">
        <v>222</v>
      </c>
      <c r="B39" s="49" t="s">
        <v>27</v>
      </c>
      <c r="C39" s="50"/>
      <c r="D39" s="48" t="n">
        <f aca="false">D38*D27</f>
        <v>0</v>
      </c>
      <c r="E39" s="48" t="n">
        <f aca="false">E38*E27</f>
        <v>0</v>
      </c>
      <c r="F39" s="48" t="n">
        <f aca="false">F38*F27</f>
        <v>0</v>
      </c>
      <c r="G39" s="48" t="n">
        <f aca="false">G38*G27</f>
        <v>0</v>
      </c>
      <c r="H39" s="48" t="n">
        <f aca="false">H38*H27</f>
        <v>7.8336</v>
      </c>
      <c r="I39" s="48" t="n">
        <f aca="false">I38*I27</f>
        <v>14.3055</v>
      </c>
      <c r="J39" s="48" t="n">
        <f aca="false">J38*J27</f>
        <v>13.82865</v>
      </c>
      <c r="K39" s="48" t="n">
        <f aca="false">K38*K27</f>
        <v>11.968</v>
      </c>
      <c r="L39" s="48" t="n">
        <f aca="false">L38*L27</f>
        <v>10.2765</v>
      </c>
      <c r="M39" s="48" t="n">
        <f aca="false">M38*M27</f>
        <v>8.925</v>
      </c>
    </row>
    <row r="40" customFormat="false" ht="15" hidden="false" customHeight="false" outlineLevel="0" collapsed="false">
      <c r="A40" s="48" t="s">
        <v>217</v>
      </c>
      <c r="B40" s="49" t="s">
        <v>205</v>
      </c>
      <c r="C40" s="50"/>
      <c r="D40" s="53" t="n">
        <f aca="false">D28</f>
        <v>0</v>
      </c>
      <c r="E40" s="53" t="n">
        <f aca="false">E28</f>
        <v>0</v>
      </c>
      <c r="F40" s="53" t="n">
        <f aca="false">F28</f>
        <v>0</v>
      </c>
      <c r="G40" s="53" t="n">
        <f aca="false">G28</f>
        <v>0</v>
      </c>
      <c r="H40" s="53" t="n">
        <f aca="false">H28</f>
        <v>0.25</v>
      </c>
      <c r="I40" s="53" t="n">
        <f aca="false">I28</f>
        <v>0.26</v>
      </c>
      <c r="J40" s="53" t="n">
        <f aca="false">J28</f>
        <v>0.26</v>
      </c>
      <c r="K40" s="53" t="n">
        <f aca="false">K28</f>
        <v>0.25</v>
      </c>
      <c r="L40" s="53" t="n">
        <f aca="false">L28</f>
        <v>0.24</v>
      </c>
      <c r="M40" s="53" t="n">
        <f aca="false">M28</f>
        <v>0.23</v>
      </c>
    </row>
    <row r="41" customFormat="false" ht="15" hidden="false" customHeight="false" outlineLevel="0" collapsed="false">
      <c r="A41" s="48" t="s">
        <v>162</v>
      </c>
      <c r="B41" s="49" t="s">
        <v>27</v>
      </c>
      <c r="C41" s="50"/>
      <c r="D41" s="48" t="n">
        <f aca="false">D38*D40</f>
        <v>0</v>
      </c>
      <c r="E41" s="48" t="n">
        <f aca="false">E38*E40</f>
        <v>0</v>
      </c>
      <c r="F41" s="48" t="n">
        <f aca="false">F38*F40</f>
        <v>0</v>
      </c>
      <c r="G41" s="48" t="n">
        <f aca="false">G38*G40</f>
        <v>0</v>
      </c>
      <c r="H41" s="48" t="n">
        <f aca="false">H38*H40</f>
        <v>3.9168</v>
      </c>
      <c r="I41" s="48" t="n">
        <f aca="false">I38*I40</f>
        <v>7.43886</v>
      </c>
      <c r="J41" s="48" t="n">
        <f aca="false">J38*J40</f>
        <v>7.190898</v>
      </c>
      <c r="K41" s="48" t="n">
        <f aca="false">K38*K40</f>
        <v>5.984</v>
      </c>
      <c r="L41" s="48" t="n">
        <f aca="false">L38*L40</f>
        <v>4.93272</v>
      </c>
      <c r="M41" s="48" t="n">
        <f aca="false">M38*M40</f>
        <v>4.1055</v>
      </c>
    </row>
    <row r="42" customFormat="false" ht="15" hidden="false" customHeight="false" outlineLevel="0" collapsed="false">
      <c r="A42" s="48" t="s">
        <v>30</v>
      </c>
      <c r="B42" s="49" t="s">
        <v>27</v>
      </c>
      <c r="C42" s="50"/>
      <c r="D42" s="48" t="n">
        <f aca="false">D39*D40</f>
        <v>0</v>
      </c>
      <c r="E42" s="48" t="n">
        <f aca="false">E39*E40</f>
        <v>0</v>
      </c>
      <c r="F42" s="48" t="n">
        <f aca="false">F39*F40</f>
        <v>0</v>
      </c>
      <c r="G42" s="48" t="n">
        <f aca="false">G39*G40</f>
        <v>0</v>
      </c>
      <c r="H42" s="48" t="n">
        <f aca="false">H39*H40</f>
        <v>1.9584</v>
      </c>
      <c r="I42" s="48" t="n">
        <f aca="false">I39*I40</f>
        <v>3.71943</v>
      </c>
      <c r="J42" s="48" t="n">
        <f aca="false">J39*J40</f>
        <v>3.595449</v>
      </c>
      <c r="K42" s="48" t="n">
        <f aca="false">K39*K40</f>
        <v>2.992</v>
      </c>
      <c r="L42" s="48" t="n">
        <f aca="false">L39*L40</f>
        <v>2.46636</v>
      </c>
      <c r="M42" s="48" t="n">
        <f aca="false">M39*M40</f>
        <v>2.05275</v>
      </c>
    </row>
    <row r="43" customFormat="false" ht="15" hidden="false" customHeight="false" outlineLevel="0" collapsed="false">
      <c r="A43" s="48" t="s">
        <v>221</v>
      </c>
      <c r="B43" s="49" t="s">
        <v>31</v>
      </c>
      <c r="C43" s="50"/>
      <c r="D43" s="54" t="n">
        <f aca="false">D38*'Global Assump'!D$4</f>
        <v>0</v>
      </c>
      <c r="E43" s="54" t="n">
        <f aca="false">E38*'Global Assump'!E$4</f>
        <v>0</v>
      </c>
      <c r="F43" s="54" t="n">
        <f aca="false">F38*'Global Assump'!F$4</f>
        <v>0</v>
      </c>
      <c r="G43" s="54" t="n">
        <f aca="false">G38*'Global Assump'!G$4</f>
        <v>0</v>
      </c>
      <c r="H43" s="54" t="n">
        <f aca="false">H38*'Global Assump'!H$4</f>
        <v>1472.7168</v>
      </c>
      <c r="I43" s="54" t="n">
        <f aca="false">I38*'Global Assump'!I$4</f>
        <v>2746.656</v>
      </c>
      <c r="J43" s="54" t="n">
        <f aca="false">J38*'Global Assump'!J$4</f>
        <v>2710.4154</v>
      </c>
      <c r="K43" s="54" t="n">
        <f aca="false">K38*'Global Assump'!K$4</f>
        <v>2393.6</v>
      </c>
      <c r="L43" s="54" t="n">
        <f aca="false">L38*'Global Assump'!L$4</f>
        <v>2096.406</v>
      </c>
      <c r="M43" s="54" t="n">
        <f aca="false">M38*'Global Assump'!M$4</f>
        <v>1856.4</v>
      </c>
    </row>
    <row r="44" customFormat="false" ht="15" hidden="false" customHeight="false" outlineLevel="0" collapsed="false">
      <c r="A44" s="48" t="s">
        <v>222</v>
      </c>
      <c r="B44" s="49" t="s">
        <v>31</v>
      </c>
      <c r="C44" s="50"/>
      <c r="D44" s="54" t="n">
        <f aca="false">D39*'Global Assump'!D$4</f>
        <v>0</v>
      </c>
      <c r="E44" s="54" t="n">
        <f aca="false">E39*'Global Assump'!E$4</f>
        <v>0</v>
      </c>
      <c r="F44" s="54" t="n">
        <f aca="false">F39*'Global Assump'!F$4</f>
        <v>0</v>
      </c>
      <c r="G44" s="54" t="n">
        <f aca="false">G39*'Global Assump'!G$4</f>
        <v>0</v>
      </c>
      <c r="H44" s="54" t="n">
        <f aca="false">H39*'Global Assump'!H$4</f>
        <v>736.3584</v>
      </c>
      <c r="I44" s="54" t="n">
        <f aca="false">I39*'Global Assump'!I$4</f>
        <v>1373.328</v>
      </c>
      <c r="J44" s="54" t="n">
        <f aca="false">J39*'Global Assump'!J$4</f>
        <v>1355.2077</v>
      </c>
      <c r="K44" s="54" t="n">
        <f aca="false">K39*'Global Assump'!K$4</f>
        <v>1196.8</v>
      </c>
      <c r="L44" s="54" t="n">
        <f aca="false">L39*'Global Assump'!L$4</f>
        <v>1048.203</v>
      </c>
      <c r="M44" s="54" t="n">
        <f aca="false">M39*'Global Assump'!M$4</f>
        <v>928.2</v>
      </c>
    </row>
    <row r="46" customFormat="false" ht="18" hidden="false" customHeight="true" outlineLevel="0" collapsed="false">
      <c r="A46" s="8" t="s">
        <v>223</v>
      </c>
      <c r="B46" s="8"/>
      <c r="C46" s="8"/>
      <c r="D46" s="8"/>
      <c r="E46" s="8"/>
      <c r="F46" s="8"/>
      <c r="G46" s="8"/>
      <c r="H46" s="8"/>
      <c r="I46" s="8"/>
      <c r="J46" s="8"/>
      <c r="K46" s="8"/>
      <c r="L46" s="8"/>
      <c r="M46" s="8"/>
    </row>
    <row r="47" customFormat="false" ht="27.75" hidden="false" customHeight="true" outlineLevel="0" collapsed="false">
      <c r="A47" s="55" t="s">
        <v>288</v>
      </c>
      <c r="B47" s="55"/>
      <c r="C47" s="55"/>
      <c r="D47" s="55"/>
      <c r="E47" s="55"/>
      <c r="F47" s="55"/>
      <c r="G47" s="55"/>
      <c r="H47" s="55"/>
      <c r="I47" s="55"/>
      <c r="J47" s="55"/>
      <c r="K47" s="55"/>
      <c r="L47" s="55"/>
      <c r="M47" s="55"/>
    </row>
  </sheetData>
  <autoFilter ref="A19:M44"/>
  <mergeCells count="19">
    <mergeCell ref="A1:M1"/>
    <mergeCell ref="A2:M2"/>
    <mergeCell ref="A4:M4"/>
    <mergeCell ref="B5:M5"/>
    <mergeCell ref="B6:M6"/>
    <mergeCell ref="B7:M7"/>
    <mergeCell ref="B8:M8"/>
    <mergeCell ref="B9:M9"/>
    <mergeCell ref="B10:M10"/>
    <mergeCell ref="B11:M11"/>
    <mergeCell ref="B12:M12"/>
    <mergeCell ref="B13:M13"/>
    <mergeCell ref="B14:M14"/>
    <mergeCell ref="B15:M15"/>
    <mergeCell ref="B16:M16"/>
    <mergeCell ref="A18:M18"/>
    <mergeCell ref="A36:M36"/>
    <mergeCell ref="A46:M46"/>
    <mergeCell ref="A47:M47"/>
  </mergeCells>
  <conditionalFormatting sqref="B13">
    <cfRule type="expression" priority="2" aboveAverage="0" equalAverage="0" bottom="0" percent="0" rank="0" text="" dxfId="6">
      <formula>B13="Within range"</formula>
    </cfRule>
    <cfRule type="expression" priority="3" aboveAverage="0" equalAverage="0" bottom="0" percent="0" rank="0" text="" dxfId="7">
      <formula>B13&lt;&gt;"Within range"</formula>
    </cfRule>
  </conditionalFormatting>
  <dataValidations count="1">
    <dataValidation allowBlank="false" errorStyle="stop" operator="between" showDropDown="false" showErrorMessage="false" showInputMessage="false" sqref="B9" type="list">
      <formula1>"0,1"</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drawing r:id="rId1"/>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M47"/>
  <sheetViews>
    <sheetView showFormulas="false" showGridLines="false" showRowColHeaders="true" showZeros="true" rightToLeft="false" tabSelected="false" showOutlineSymbols="true" defaultGridColor="true" view="normal" topLeftCell="A1" colorId="64" zoomScale="85" zoomScaleNormal="85" zoomScalePageLayoutView="100" workbookViewId="0">
      <pane xSplit="3" ySplit="19" topLeftCell="D20" activePane="bottomRight" state="frozen"/>
      <selection pane="topLeft" activeCell="A1" activeCellId="0" sqref="A1"/>
      <selection pane="topRight" activeCell="D1" activeCellId="0" sqref="D1"/>
      <selection pane="bottomLeft" activeCell="A20" activeCellId="0" sqref="A20"/>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0" width="32"/>
    <col collapsed="false" customWidth="true" hidden="false" outlineLevel="0" max="2" min="2" style="0" width="15"/>
    <col collapsed="false" customWidth="true" hidden="false" outlineLevel="0" max="3" min="3" style="0" width="30"/>
    <col collapsed="false" customWidth="true" hidden="false" outlineLevel="0" max="13" min="4" style="0" width="12"/>
  </cols>
  <sheetData>
    <row r="1" customFormat="false" ht="24" hidden="false" customHeight="true" outlineLevel="0" collapsed="false">
      <c r="A1" s="24" t="s">
        <v>89</v>
      </c>
      <c r="B1" s="24"/>
      <c r="C1" s="24"/>
      <c r="D1" s="24"/>
      <c r="E1" s="24"/>
      <c r="F1" s="24"/>
      <c r="G1" s="24"/>
      <c r="H1" s="24"/>
      <c r="I1" s="24"/>
      <c r="J1" s="24"/>
      <c r="K1" s="24"/>
      <c r="L1" s="24"/>
      <c r="M1" s="24"/>
    </row>
    <row r="2" customFormat="false" ht="27.75" hidden="false" customHeight="true" outlineLevel="0" collapsed="false">
      <c r="A2" s="25" t="s">
        <v>289</v>
      </c>
      <c r="B2" s="25"/>
      <c r="C2" s="25"/>
      <c r="D2" s="25"/>
      <c r="E2" s="25"/>
      <c r="F2" s="25"/>
      <c r="G2" s="25"/>
      <c r="H2" s="25"/>
      <c r="I2" s="25"/>
      <c r="J2" s="25"/>
      <c r="K2" s="25"/>
      <c r="L2" s="25"/>
      <c r="M2" s="25"/>
    </row>
    <row r="4" customFormat="false" ht="18" hidden="false" customHeight="true" outlineLevel="0" collapsed="false">
      <c r="A4" s="8" t="s">
        <v>182</v>
      </c>
      <c r="B4" s="8"/>
      <c r="C4" s="8"/>
      <c r="D4" s="8"/>
      <c r="E4" s="8"/>
      <c r="F4" s="8"/>
      <c r="G4" s="8"/>
      <c r="H4" s="8"/>
      <c r="I4" s="8"/>
      <c r="J4" s="8"/>
      <c r="K4" s="8"/>
      <c r="L4" s="8"/>
      <c r="M4" s="8"/>
    </row>
    <row r="5" customFormat="false" ht="18" hidden="false" customHeight="true" outlineLevel="0" collapsed="false">
      <c r="A5" s="33" t="s">
        <v>183</v>
      </c>
      <c r="B5" s="34" t="s">
        <v>89</v>
      </c>
      <c r="C5" s="34"/>
      <c r="D5" s="34"/>
      <c r="E5" s="34"/>
      <c r="F5" s="34"/>
      <c r="G5" s="34"/>
      <c r="H5" s="34"/>
      <c r="I5" s="34"/>
      <c r="J5" s="34"/>
      <c r="K5" s="34"/>
      <c r="L5" s="34"/>
      <c r="M5" s="34"/>
    </row>
    <row r="6" customFormat="false" ht="18" hidden="false" customHeight="true" outlineLevel="0" collapsed="false">
      <c r="A6" s="33" t="s">
        <v>33</v>
      </c>
      <c r="B6" s="34" t="s">
        <v>90</v>
      </c>
      <c r="C6" s="34"/>
      <c r="D6" s="34"/>
      <c r="E6" s="34"/>
      <c r="F6" s="34"/>
      <c r="G6" s="34"/>
      <c r="H6" s="34"/>
      <c r="I6" s="34"/>
      <c r="J6" s="34"/>
      <c r="K6" s="34"/>
      <c r="L6" s="34"/>
      <c r="M6" s="34"/>
    </row>
    <row r="7" customFormat="false" ht="18" hidden="false" customHeight="true" outlineLevel="0" collapsed="false">
      <c r="A7" s="33" t="s">
        <v>42</v>
      </c>
      <c r="B7" s="34" t="s">
        <v>51</v>
      </c>
      <c r="C7" s="34"/>
      <c r="D7" s="34"/>
      <c r="E7" s="34"/>
      <c r="F7" s="34"/>
      <c r="G7" s="34"/>
      <c r="H7" s="34"/>
      <c r="I7" s="34"/>
      <c r="J7" s="34"/>
      <c r="K7" s="34"/>
      <c r="L7" s="34"/>
      <c r="M7" s="34"/>
    </row>
    <row r="8" customFormat="false" ht="24" hidden="false" customHeight="true" outlineLevel="0" collapsed="false">
      <c r="A8" s="33" t="s">
        <v>184</v>
      </c>
      <c r="B8" s="34" t="s">
        <v>91</v>
      </c>
      <c r="C8" s="34"/>
      <c r="D8" s="34"/>
      <c r="E8" s="34"/>
      <c r="F8" s="34"/>
      <c r="G8" s="34"/>
      <c r="H8" s="34"/>
      <c r="I8" s="34"/>
      <c r="J8" s="34"/>
      <c r="K8" s="34"/>
      <c r="L8" s="34"/>
      <c r="M8" s="34"/>
    </row>
    <row r="9" customFormat="false" ht="18" hidden="false" customHeight="true" outlineLevel="0" collapsed="false">
      <c r="A9" s="33" t="s">
        <v>185</v>
      </c>
      <c r="B9" s="35" t="n">
        <v>1</v>
      </c>
      <c r="C9" s="35"/>
      <c r="D9" s="35"/>
      <c r="E9" s="35"/>
      <c r="F9" s="35"/>
      <c r="G9" s="35"/>
      <c r="H9" s="35"/>
      <c r="I9" s="35"/>
      <c r="J9" s="35"/>
      <c r="K9" s="35"/>
      <c r="L9" s="35"/>
      <c r="M9" s="35"/>
    </row>
    <row r="10" customFormat="false" ht="18" hidden="false" customHeight="true" outlineLevel="0" collapsed="false">
      <c r="A10" s="33" t="s">
        <v>186</v>
      </c>
      <c r="B10" s="36" t="n">
        <v>60</v>
      </c>
      <c r="C10" s="36"/>
      <c r="D10" s="36"/>
      <c r="E10" s="36"/>
      <c r="F10" s="36"/>
      <c r="G10" s="36"/>
      <c r="H10" s="36"/>
      <c r="I10" s="36"/>
      <c r="J10" s="36"/>
      <c r="K10" s="36"/>
      <c r="L10" s="36"/>
      <c r="M10" s="36"/>
    </row>
    <row r="11" customFormat="false" ht="18" hidden="false" customHeight="true" outlineLevel="0" collapsed="false">
      <c r="A11" s="33" t="s">
        <v>187</v>
      </c>
      <c r="B11" s="36" t="n">
        <v>90</v>
      </c>
      <c r="C11" s="36"/>
      <c r="D11" s="36"/>
      <c r="E11" s="36"/>
      <c r="F11" s="36"/>
      <c r="G11" s="36"/>
      <c r="H11" s="36"/>
      <c r="I11" s="36"/>
      <c r="J11" s="36"/>
      <c r="K11" s="36"/>
      <c r="L11" s="36"/>
      <c r="M11" s="36"/>
    </row>
    <row r="12" customFormat="false" ht="18" hidden="false" customHeight="true" outlineLevel="0" collapsed="false">
      <c r="A12" s="33" t="s">
        <v>188</v>
      </c>
      <c r="B12" s="37" t="n">
        <f aca="false">MAX(D38:M38)</f>
        <v>65.34</v>
      </c>
      <c r="C12" s="37"/>
      <c r="D12" s="37"/>
      <c r="E12" s="37"/>
      <c r="F12" s="37"/>
      <c r="G12" s="37"/>
      <c r="H12" s="37"/>
      <c r="I12" s="37"/>
      <c r="J12" s="37"/>
      <c r="K12" s="37"/>
      <c r="L12" s="37"/>
      <c r="M12" s="37"/>
    </row>
    <row r="13" customFormat="false" ht="18" hidden="false" customHeight="true" outlineLevel="0" collapsed="false">
      <c r="A13" s="33" t="s">
        <v>189</v>
      </c>
      <c r="B13" s="38" t="str">
        <f aca="false">IF(AND(B12&gt;=B10,B12&lt;=B11),"Within range",IF(B12&lt;B10,"Below range","Above range"))</f>
        <v>Within range</v>
      </c>
      <c r="C13" s="38"/>
      <c r="D13" s="38"/>
      <c r="E13" s="38"/>
      <c r="F13" s="38"/>
      <c r="G13" s="38"/>
      <c r="H13" s="38"/>
      <c r="I13" s="38"/>
      <c r="J13" s="38"/>
      <c r="K13" s="38"/>
      <c r="L13" s="38"/>
      <c r="M13" s="38"/>
    </row>
    <row r="14" customFormat="false" ht="18" hidden="false" customHeight="true" outlineLevel="0" collapsed="false">
      <c r="A14" s="33" t="s">
        <v>190</v>
      </c>
      <c r="B14" s="34" t="s">
        <v>53</v>
      </c>
      <c r="C14" s="34"/>
      <c r="D14" s="34"/>
      <c r="E14" s="34"/>
      <c r="F14" s="34"/>
      <c r="G14" s="34"/>
      <c r="H14" s="34"/>
      <c r="I14" s="34"/>
      <c r="J14" s="34"/>
      <c r="K14" s="34"/>
      <c r="L14" s="34"/>
      <c r="M14" s="34"/>
    </row>
    <row r="15" customFormat="false" ht="24" hidden="false" customHeight="true" outlineLevel="0" collapsed="false">
      <c r="A15" s="33" t="s">
        <v>191</v>
      </c>
      <c r="B15" s="34" t="s">
        <v>290</v>
      </c>
      <c r="C15" s="34"/>
      <c r="D15" s="34"/>
      <c r="E15" s="34"/>
      <c r="F15" s="34"/>
      <c r="G15" s="34"/>
      <c r="H15" s="34"/>
      <c r="I15" s="34"/>
      <c r="J15" s="34"/>
      <c r="K15" s="34"/>
      <c r="L15" s="34"/>
      <c r="M15" s="34"/>
    </row>
    <row r="16" customFormat="false" ht="24" hidden="false" customHeight="true" outlineLevel="0" collapsed="false">
      <c r="A16" s="33" t="s">
        <v>193</v>
      </c>
      <c r="B16" s="34" t="s">
        <v>291</v>
      </c>
      <c r="C16" s="34"/>
      <c r="D16" s="34"/>
      <c r="E16" s="34"/>
      <c r="F16" s="34"/>
      <c r="G16" s="34"/>
      <c r="H16" s="34"/>
      <c r="I16" s="34"/>
      <c r="J16" s="34"/>
      <c r="K16" s="34"/>
      <c r="L16" s="34"/>
      <c r="M16" s="34"/>
    </row>
    <row r="18" customFormat="false" ht="18" hidden="false" customHeight="true" outlineLevel="0" collapsed="false">
      <c r="A18" s="8" t="s">
        <v>195</v>
      </c>
      <c r="B18" s="8"/>
      <c r="C18" s="8"/>
      <c r="D18" s="8"/>
      <c r="E18" s="8"/>
      <c r="F18" s="8"/>
      <c r="G18" s="8"/>
      <c r="H18" s="8"/>
      <c r="I18" s="8"/>
      <c r="J18" s="8"/>
      <c r="K18" s="8"/>
      <c r="L18" s="8"/>
      <c r="M18" s="8"/>
    </row>
    <row r="19" customFormat="false" ht="15" hidden="false" customHeight="false" outlineLevel="0" collapsed="false">
      <c r="A19" s="39" t="s">
        <v>196</v>
      </c>
      <c r="B19" s="39" t="s">
        <v>15</v>
      </c>
      <c r="C19" s="39" t="s">
        <v>197</v>
      </c>
      <c r="D19" s="39" t="s">
        <v>16</v>
      </c>
      <c r="E19" s="39" t="s">
        <v>17</v>
      </c>
      <c r="F19" s="39" t="s">
        <v>18</v>
      </c>
      <c r="G19" s="39" t="s">
        <v>19</v>
      </c>
      <c r="H19" s="39" t="s">
        <v>20</v>
      </c>
      <c r="I19" s="39" t="s">
        <v>21</v>
      </c>
      <c r="J19" s="39" t="s">
        <v>22</v>
      </c>
      <c r="K19" s="39" t="s">
        <v>23</v>
      </c>
      <c r="L19" s="39" t="s">
        <v>24</v>
      </c>
      <c r="M19" s="39" t="s">
        <v>25</v>
      </c>
    </row>
    <row r="20" customFormat="false" ht="19.4" hidden="false" customHeight="false" outlineLevel="0" collapsed="false">
      <c r="A20" s="40" t="s">
        <v>241</v>
      </c>
      <c r="B20" s="41" t="s">
        <v>27</v>
      </c>
      <c r="C20" s="42" t="s">
        <v>242</v>
      </c>
      <c r="D20" s="44" t="n">
        <v>0</v>
      </c>
      <c r="E20" s="44" t="n">
        <v>0</v>
      </c>
      <c r="F20" s="44" t="n">
        <v>3000</v>
      </c>
      <c r="G20" s="44" t="n">
        <v>2900</v>
      </c>
      <c r="H20" s="44" t="n">
        <v>2800</v>
      </c>
      <c r="I20" s="44" t="n">
        <v>2700</v>
      </c>
      <c r="J20" s="44" t="n">
        <v>2550</v>
      </c>
      <c r="K20" s="44" t="n">
        <v>2400</v>
      </c>
      <c r="L20" s="44" t="n">
        <v>2250</v>
      </c>
      <c r="M20" s="44" t="n">
        <v>2100</v>
      </c>
    </row>
    <row r="21" customFormat="false" ht="15" hidden="false" customHeight="false" outlineLevel="0" collapsed="false">
      <c r="A21" s="40" t="s">
        <v>243</v>
      </c>
      <c r="B21" s="41" t="s">
        <v>205</v>
      </c>
      <c r="C21" s="42" t="s">
        <v>292</v>
      </c>
      <c r="D21" s="45" t="n">
        <v>0</v>
      </c>
      <c r="E21" s="45" t="n">
        <v>0</v>
      </c>
      <c r="F21" s="45" t="n">
        <v>0.5</v>
      </c>
      <c r="G21" s="45" t="n">
        <v>0.48</v>
      </c>
      <c r="H21" s="45" t="n">
        <v>0.46</v>
      </c>
      <c r="I21" s="45" t="n">
        <v>0.44</v>
      </c>
      <c r="J21" s="45" t="n">
        <v>0.42</v>
      </c>
      <c r="K21" s="45" t="n">
        <v>0.4</v>
      </c>
      <c r="L21" s="45" t="n">
        <v>0.38</v>
      </c>
      <c r="M21" s="45" t="n">
        <v>0.36</v>
      </c>
    </row>
    <row r="22" customFormat="false" ht="15" hidden="false" customHeight="false" outlineLevel="0" collapsed="false">
      <c r="A22" s="23" t="s">
        <v>245</v>
      </c>
      <c r="B22" s="41" t="s">
        <v>27</v>
      </c>
      <c r="C22" s="42" t="s">
        <v>246</v>
      </c>
      <c r="D22" s="47" t="n">
        <f aca="false">D20*D21</f>
        <v>0</v>
      </c>
      <c r="E22" s="47" t="n">
        <f aca="false">E20*E21</f>
        <v>0</v>
      </c>
      <c r="F22" s="47" t="n">
        <f aca="false">F20*F21</f>
        <v>1500</v>
      </c>
      <c r="G22" s="47" t="n">
        <f aca="false">G20*G21</f>
        <v>1392</v>
      </c>
      <c r="H22" s="47" t="n">
        <f aca="false">H20*H21</f>
        <v>1288</v>
      </c>
      <c r="I22" s="47" t="n">
        <f aca="false">I20*I21</f>
        <v>1188</v>
      </c>
      <c r="J22" s="47" t="n">
        <f aca="false">J20*J21</f>
        <v>1071</v>
      </c>
      <c r="K22" s="47" t="n">
        <f aca="false">K20*K21</f>
        <v>960</v>
      </c>
      <c r="L22" s="47" t="n">
        <f aca="false">L20*L21</f>
        <v>855</v>
      </c>
      <c r="M22" s="47" t="n">
        <f aca="false">M20*M21</f>
        <v>756</v>
      </c>
    </row>
    <row r="23" customFormat="false" ht="15" hidden="false" customHeight="false" outlineLevel="0" collapsed="false">
      <c r="A23" s="23" t="s">
        <v>247</v>
      </c>
      <c r="B23" s="41" t="s">
        <v>205</v>
      </c>
      <c r="C23" s="42" t="s">
        <v>248</v>
      </c>
      <c r="D23" s="45" t="n">
        <v>0</v>
      </c>
      <c r="E23" s="45" t="n">
        <v>0</v>
      </c>
      <c r="F23" s="45" t="n">
        <v>0.03</v>
      </c>
      <c r="G23" s="45" t="n">
        <v>0.07</v>
      </c>
      <c r="H23" s="45" t="n">
        <v>0.1</v>
      </c>
      <c r="I23" s="45" t="n">
        <v>0.11</v>
      </c>
      <c r="J23" s="45" t="n">
        <v>0.11</v>
      </c>
      <c r="K23" s="45" t="n">
        <v>0.1</v>
      </c>
      <c r="L23" s="45" t="n">
        <v>0.09</v>
      </c>
      <c r="M23" s="45" t="n">
        <v>0.08</v>
      </c>
    </row>
    <row r="24" customFormat="false" ht="15" hidden="false" customHeight="false" outlineLevel="0" collapsed="false">
      <c r="A24" s="23" t="s">
        <v>207</v>
      </c>
      <c r="B24" s="41" t="s">
        <v>205</v>
      </c>
      <c r="C24" s="42" t="s">
        <v>208</v>
      </c>
      <c r="D24" s="45" t="n">
        <v>0</v>
      </c>
      <c r="E24" s="45" t="n">
        <v>0</v>
      </c>
      <c r="F24" s="45" t="n">
        <v>0.9</v>
      </c>
      <c r="G24" s="45" t="n">
        <v>1</v>
      </c>
      <c r="H24" s="45" t="n">
        <v>1</v>
      </c>
      <c r="I24" s="45" t="n">
        <v>1</v>
      </c>
      <c r="J24" s="45" t="n">
        <v>1</v>
      </c>
      <c r="K24" s="45" t="n">
        <v>1</v>
      </c>
      <c r="L24" s="45" t="n">
        <v>1</v>
      </c>
      <c r="M24" s="45" t="n">
        <v>1</v>
      </c>
    </row>
    <row r="25" customFormat="false" ht="15" hidden="false" customHeight="false" outlineLevel="0" collapsed="false">
      <c r="A25" s="23" t="s">
        <v>211</v>
      </c>
      <c r="B25" s="41" t="s">
        <v>27</v>
      </c>
      <c r="C25" s="42" t="s">
        <v>249</v>
      </c>
      <c r="D25" s="47" t="n">
        <f aca="false">D22*D23*D24</f>
        <v>0</v>
      </c>
      <c r="E25" s="47" t="n">
        <f aca="false">E22*E23*E24</f>
        <v>0</v>
      </c>
      <c r="F25" s="47" t="n">
        <f aca="false">F22*F23*F24</f>
        <v>40.5</v>
      </c>
      <c r="G25" s="47" t="n">
        <f aca="false">G22*G23*G24</f>
        <v>97.44</v>
      </c>
      <c r="H25" s="47" t="n">
        <f aca="false">H22*H23*H24</f>
        <v>128.8</v>
      </c>
      <c r="I25" s="47" t="n">
        <f aca="false">I22*I23*I24</f>
        <v>130.68</v>
      </c>
      <c r="J25" s="47" t="n">
        <f aca="false">J22*J23*J24</f>
        <v>117.81</v>
      </c>
      <c r="K25" s="47" t="n">
        <f aca="false">K22*K23*K24</f>
        <v>96</v>
      </c>
      <c r="L25" s="47" t="n">
        <f aca="false">L22*L23*L24</f>
        <v>76.95</v>
      </c>
      <c r="M25" s="47" t="n">
        <f aca="false">M22*M23*M24</f>
        <v>60.48</v>
      </c>
    </row>
    <row r="26" customFormat="false" ht="19.4" hidden="false" customHeight="false" outlineLevel="0" collapsed="false">
      <c r="A26" s="23" t="s">
        <v>213</v>
      </c>
      <c r="B26" s="41" t="s">
        <v>205</v>
      </c>
      <c r="C26" s="42" t="s">
        <v>293</v>
      </c>
      <c r="D26" s="45" t="n">
        <v>0.5</v>
      </c>
      <c r="E26" s="45" t="n">
        <v>0.5</v>
      </c>
      <c r="F26" s="45" t="n">
        <v>0.5</v>
      </c>
      <c r="G26" s="45" t="n">
        <v>0.5</v>
      </c>
      <c r="H26" s="45" t="n">
        <v>0.5</v>
      </c>
      <c r="I26" s="45" t="n">
        <v>0.5</v>
      </c>
      <c r="J26" s="45" t="n">
        <v>0.5</v>
      </c>
      <c r="K26" s="45" t="n">
        <v>0.5</v>
      </c>
      <c r="L26" s="45" t="n">
        <v>0.5</v>
      </c>
      <c r="M26" s="45" t="n">
        <v>0.5</v>
      </c>
    </row>
    <row r="27" customFormat="false" ht="15" hidden="false" customHeight="false" outlineLevel="0" collapsed="false">
      <c r="A27" s="23" t="s">
        <v>215</v>
      </c>
      <c r="B27" s="41" t="s">
        <v>205</v>
      </c>
      <c r="C27" s="42" t="s">
        <v>294</v>
      </c>
      <c r="D27" s="45" t="n">
        <v>1</v>
      </c>
      <c r="E27" s="45" t="n">
        <v>1</v>
      </c>
      <c r="F27" s="45" t="n">
        <v>1</v>
      </c>
      <c r="G27" s="45" t="n">
        <v>1</v>
      </c>
      <c r="H27" s="45" t="n">
        <v>1</v>
      </c>
      <c r="I27" s="45" t="n">
        <v>1</v>
      </c>
      <c r="J27" s="45" t="n">
        <v>1</v>
      </c>
      <c r="K27" s="45" t="n">
        <v>1</v>
      </c>
      <c r="L27" s="45" t="n">
        <v>1</v>
      </c>
      <c r="M27" s="45" t="n">
        <v>1</v>
      </c>
    </row>
    <row r="28" customFormat="false" ht="15" hidden="false" customHeight="false" outlineLevel="0" collapsed="false">
      <c r="A28" s="23" t="s">
        <v>217</v>
      </c>
      <c r="B28" s="41" t="s">
        <v>205</v>
      </c>
      <c r="C28" s="42" t="s">
        <v>252</v>
      </c>
      <c r="D28" s="45" t="n">
        <v>0</v>
      </c>
      <c r="E28" s="45" t="n">
        <v>0</v>
      </c>
      <c r="F28" s="45" t="n">
        <v>0.2</v>
      </c>
      <c r="G28" s="45" t="n">
        <v>0.24</v>
      </c>
      <c r="H28" s="45" t="n">
        <v>0.27</v>
      </c>
      <c r="I28" s="45" t="n">
        <v>0.27</v>
      </c>
      <c r="J28" s="45" t="n">
        <v>0.26</v>
      </c>
      <c r="K28" s="45" t="n">
        <v>0.25</v>
      </c>
      <c r="L28" s="45" t="n">
        <v>0.24</v>
      </c>
      <c r="M28" s="45" t="n">
        <v>0.23</v>
      </c>
    </row>
    <row r="36" customFormat="false" ht="18" hidden="false" customHeight="true" outlineLevel="0" collapsed="false">
      <c r="A36" s="8" t="s">
        <v>219</v>
      </c>
      <c r="B36" s="8"/>
      <c r="C36" s="8"/>
      <c r="D36" s="8"/>
      <c r="E36" s="8"/>
      <c r="F36" s="8"/>
      <c r="G36" s="8"/>
      <c r="H36" s="8"/>
      <c r="I36" s="8"/>
      <c r="J36" s="8"/>
      <c r="K36" s="8"/>
      <c r="L36" s="8"/>
      <c r="M36" s="8"/>
    </row>
    <row r="37" customFormat="false" ht="15" hidden="false" customHeight="false" outlineLevel="0" collapsed="false">
      <c r="A37" s="48" t="s">
        <v>220</v>
      </c>
      <c r="B37" s="49" t="s">
        <v>27</v>
      </c>
      <c r="C37" s="50"/>
      <c r="D37" s="51" t="n">
        <f aca="false">D25</f>
        <v>0</v>
      </c>
      <c r="E37" s="51" t="n">
        <f aca="false">E25</f>
        <v>0</v>
      </c>
      <c r="F37" s="51" t="n">
        <f aca="false">F25</f>
        <v>40.5</v>
      </c>
      <c r="G37" s="51" t="n">
        <f aca="false">G25</f>
        <v>97.44</v>
      </c>
      <c r="H37" s="51" t="n">
        <f aca="false">H25</f>
        <v>128.8</v>
      </c>
      <c r="I37" s="51" t="n">
        <f aca="false">I25</f>
        <v>130.68</v>
      </c>
      <c r="J37" s="51" t="n">
        <f aca="false">J25</f>
        <v>117.81</v>
      </c>
      <c r="K37" s="51" t="n">
        <f aca="false">K25</f>
        <v>96</v>
      </c>
      <c r="L37" s="51" t="n">
        <f aca="false">L25</f>
        <v>76.95</v>
      </c>
      <c r="M37" s="51" t="n">
        <f aca="false">M25</f>
        <v>60.48</v>
      </c>
    </row>
    <row r="38" customFormat="false" ht="15" hidden="false" customHeight="false" outlineLevel="0" collapsed="false">
      <c r="A38" s="52" t="s">
        <v>221</v>
      </c>
      <c r="B38" s="49" t="s">
        <v>27</v>
      </c>
      <c r="C38" s="50"/>
      <c r="D38" s="48" t="n">
        <f aca="false">D25*D26*$B$9</f>
        <v>0</v>
      </c>
      <c r="E38" s="48" t="n">
        <f aca="false">E25*E26*$B$9</f>
        <v>0</v>
      </c>
      <c r="F38" s="48" t="n">
        <f aca="false">F25*F26*$B$9</f>
        <v>20.25</v>
      </c>
      <c r="G38" s="48" t="n">
        <f aca="false">G25*G26*$B$9</f>
        <v>48.72</v>
      </c>
      <c r="H38" s="48" t="n">
        <f aca="false">H25*H26*$B$9</f>
        <v>64.4</v>
      </c>
      <c r="I38" s="48" t="n">
        <f aca="false">I25*I26*$B$9</f>
        <v>65.34</v>
      </c>
      <c r="J38" s="48" t="n">
        <f aca="false">J25*J26*$B$9</f>
        <v>58.905</v>
      </c>
      <c r="K38" s="48" t="n">
        <f aca="false">K25*K26*$B$9</f>
        <v>48</v>
      </c>
      <c r="L38" s="48" t="n">
        <f aca="false">L25*L26*$B$9</f>
        <v>38.475</v>
      </c>
      <c r="M38" s="48" t="n">
        <f aca="false">M25*M26*$B$9</f>
        <v>30.24</v>
      </c>
    </row>
    <row r="39" customFormat="false" ht="15" hidden="false" customHeight="false" outlineLevel="0" collapsed="false">
      <c r="A39" s="52" t="s">
        <v>222</v>
      </c>
      <c r="B39" s="49" t="s">
        <v>27</v>
      </c>
      <c r="C39" s="50"/>
      <c r="D39" s="48" t="n">
        <f aca="false">D38*D27</f>
        <v>0</v>
      </c>
      <c r="E39" s="48" t="n">
        <f aca="false">E38*E27</f>
        <v>0</v>
      </c>
      <c r="F39" s="48" t="n">
        <f aca="false">F38*F27</f>
        <v>20.25</v>
      </c>
      <c r="G39" s="48" t="n">
        <f aca="false">G38*G27</f>
        <v>48.72</v>
      </c>
      <c r="H39" s="48" t="n">
        <f aca="false">H38*H27</f>
        <v>64.4</v>
      </c>
      <c r="I39" s="48" t="n">
        <f aca="false">I38*I27</f>
        <v>65.34</v>
      </c>
      <c r="J39" s="48" t="n">
        <f aca="false">J38*J27</f>
        <v>58.905</v>
      </c>
      <c r="K39" s="48" t="n">
        <f aca="false">K38*K27</f>
        <v>48</v>
      </c>
      <c r="L39" s="48" t="n">
        <f aca="false">L38*L27</f>
        <v>38.475</v>
      </c>
      <c r="M39" s="48" t="n">
        <f aca="false">M38*M27</f>
        <v>30.24</v>
      </c>
    </row>
    <row r="40" customFormat="false" ht="15" hidden="false" customHeight="false" outlineLevel="0" collapsed="false">
      <c r="A40" s="48" t="s">
        <v>217</v>
      </c>
      <c r="B40" s="49" t="s">
        <v>205</v>
      </c>
      <c r="C40" s="50"/>
      <c r="D40" s="53" t="n">
        <f aca="false">D28</f>
        <v>0</v>
      </c>
      <c r="E40" s="53" t="n">
        <f aca="false">E28</f>
        <v>0</v>
      </c>
      <c r="F40" s="53" t="n">
        <f aca="false">F28</f>
        <v>0.2</v>
      </c>
      <c r="G40" s="53" t="n">
        <f aca="false">G28</f>
        <v>0.24</v>
      </c>
      <c r="H40" s="53" t="n">
        <f aca="false">H28</f>
        <v>0.27</v>
      </c>
      <c r="I40" s="53" t="n">
        <f aca="false">I28</f>
        <v>0.27</v>
      </c>
      <c r="J40" s="53" t="n">
        <f aca="false">J28</f>
        <v>0.26</v>
      </c>
      <c r="K40" s="53" t="n">
        <f aca="false">K28</f>
        <v>0.25</v>
      </c>
      <c r="L40" s="53" t="n">
        <f aca="false">L28</f>
        <v>0.24</v>
      </c>
      <c r="M40" s="53" t="n">
        <f aca="false">M28</f>
        <v>0.23</v>
      </c>
    </row>
    <row r="41" customFormat="false" ht="15" hidden="false" customHeight="false" outlineLevel="0" collapsed="false">
      <c r="A41" s="48" t="s">
        <v>162</v>
      </c>
      <c r="B41" s="49" t="s">
        <v>27</v>
      </c>
      <c r="C41" s="50"/>
      <c r="D41" s="48" t="n">
        <f aca="false">D38*D40</f>
        <v>0</v>
      </c>
      <c r="E41" s="48" t="n">
        <f aca="false">E38*E40</f>
        <v>0</v>
      </c>
      <c r="F41" s="48" t="n">
        <f aca="false">F38*F40</f>
        <v>4.05</v>
      </c>
      <c r="G41" s="48" t="n">
        <f aca="false">G38*G40</f>
        <v>11.6928</v>
      </c>
      <c r="H41" s="48" t="n">
        <f aca="false">H38*H40</f>
        <v>17.388</v>
      </c>
      <c r="I41" s="48" t="n">
        <f aca="false">I38*I40</f>
        <v>17.6418</v>
      </c>
      <c r="J41" s="48" t="n">
        <f aca="false">J38*J40</f>
        <v>15.3153</v>
      </c>
      <c r="K41" s="48" t="n">
        <f aca="false">K38*K40</f>
        <v>12</v>
      </c>
      <c r="L41" s="48" t="n">
        <f aca="false">L38*L40</f>
        <v>9.234</v>
      </c>
      <c r="M41" s="48" t="n">
        <f aca="false">M38*M40</f>
        <v>6.9552</v>
      </c>
    </row>
    <row r="42" customFormat="false" ht="15" hidden="false" customHeight="false" outlineLevel="0" collapsed="false">
      <c r="A42" s="48" t="s">
        <v>30</v>
      </c>
      <c r="B42" s="49" t="s">
        <v>27</v>
      </c>
      <c r="C42" s="50"/>
      <c r="D42" s="48" t="n">
        <f aca="false">D39*D40</f>
        <v>0</v>
      </c>
      <c r="E42" s="48" t="n">
        <f aca="false">E39*E40</f>
        <v>0</v>
      </c>
      <c r="F42" s="48" t="n">
        <f aca="false">F39*F40</f>
        <v>4.05</v>
      </c>
      <c r="G42" s="48" t="n">
        <f aca="false">G39*G40</f>
        <v>11.6928</v>
      </c>
      <c r="H42" s="48" t="n">
        <f aca="false">H39*H40</f>
        <v>17.388</v>
      </c>
      <c r="I42" s="48" t="n">
        <f aca="false">I39*I40</f>
        <v>17.6418</v>
      </c>
      <c r="J42" s="48" t="n">
        <f aca="false">J39*J40</f>
        <v>15.3153</v>
      </c>
      <c r="K42" s="48" t="n">
        <f aca="false">K39*K40</f>
        <v>12</v>
      </c>
      <c r="L42" s="48" t="n">
        <f aca="false">L39*L40</f>
        <v>9.234</v>
      </c>
      <c r="M42" s="48" t="n">
        <f aca="false">M39*M40</f>
        <v>6.9552</v>
      </c>
    </row>
    <row r="43" customFormat="false" ht="15" hidden="false" customHeight="false" outlineLevel="0" collapsed="false">
      <c r="A43" s="48" t="s">
        <v>221</v>
      </c>
      <c r="B43" s="49" t="s">
        <v>31</v>
      </c>
      <c r="C43" s="50"/>
      <c r="D43" s="54" t="n">
        <f aca="false">D38*'Global Assump'!D$4</f>
        <v>0</v>
      </c>
      <c r="E43" s="54" t="n">
        <f aca="false">E38*'Global Assump'!E$4</f>
        <v>0</v>
      </c>
      <c r="F43" s="54" t="n">
        <f aca="false">F38*'Global Assump'!F$4</f>
        <v>1822.5</v>
      </c>
      <c r="G43" s="54" t="n">
        <f aca="false">G38*'Global Assump'!G$4</f>
        <v>4482.24</v>
      </c>
      <c r="H43" s="54" t="n">
        <f aca="false">H38*'Global Assump'!H$4</f>
        <v>6053.6</v>
      </c>
      <c r="I43" s="54" t="n">
        <f aca="false">I38*'Global Assump'!I$4</f>
        <v>6272.64</v>
      </c>
      <c r="J43" s="54" t="n">
        <f aca="false">J38*'Global Assump'!J$4</f>
        <v>5772.69</v>
      </c>
      <c r="K43" s="54" t="n">
        <f aca="false">K38*'Global Assump'!K$4</f>
        <v>4800</v>
      </c>
      <c r="L43" s="54" t="n">
        <f aca="false">L38*'Global Assump'!L$4</f>
        <v>3924.45</v>
      </c>
      <c r="M43" s="54" t="n">
        <f aca="false">M38*'Global Assump'!M$4</f>
        <v>3144.96</v>
      </c>
    </row>
    <row r="44" customFormat="false" ht="15" hidden="false" customHeight="false" outlineLevel="0" collapsed="false">
      <c r="A44" s="48" t="s">
        <v>222</v>
      </c>
      <c r="B44" s="49" t="s">
        <v>31</v>
      </c>
      <c r="C44" s="50"/>
      <c r="D44" s="54" t="n">
        <f aca="false">D39*'Global Assump'!D$4</f>
        <v>0</v>
      </c>
      <c r="E44" s="54" t="n">
        <f aca="false">E39*'Global Assump'!E$4</f>
        <v>0</v>
      </c>
      <c r="F44" s="54" t="n">
        <f aca="false">F39*'Global Assump'!F$4</f>
        <v>1822.5</v>
      </c>
      <c r="G44" s="54" t="n">
        <f aca="false">G39*'Global Assump'!G$4</f>
        <v>4482.24</v>
      </c>
      <c r="H44" s="54" t="n">
        <f aca="false">H39*'Global Assump'!H$4</f>
        <v>6053.6</v>
      </c>
      <c r="I44" s="54" t="n">
        <f aca="false">I39*'Global Assump'!I$4</f>
        <v>6272.64</v>
      </c>
      <c r="J44" s="54" t="n">
        <f aca="false">J39*'Global Assump'!J$4</f>
        <v>5772.69</v>
      </c>
      <c r="K44" s="54" t="n">
        <f aca="false">K39*'Global Assump'!K$4</f>
        <v>4800</v>
      </c>
      <c r="L44" s="54" t="n">
        <f aca="false">L39*'Global Assump'!L$4</f>
        <v>3924.45</v>
      </c>
      <c r="M44" s="54" t="n">
        <f aca="false">M39*'Global Assump'!M$4</f>
        <v>3144.96</v>
      </c>
    </row>
    <row r="46" customFormat="false" ht="18" hidden="false" customHeight="true" outlineLevel="0" collapsed="false">
      <c r="A46" s="8" t="s">
        <v>223</v>
      </c>
      <c r="B46" s="8"/>
      <c r="C46" s="8"/>
      <c r="D46" s="8"/>
      <c r="E46" s="8"/>
      <c r="F46" s="8"/>
      <c r="G46" s="8"/>
      <c r="H46" s="8"/>
      <c r="I46" s="8"/>
      <c r="J46" s="8"/>
      <c r="K46" s="8"/>
      <c r="L46" s="8"/>
      <c r="M46" s="8"/>
    </row>
    <row r="47" customFormat="false" ht="27.75" hidden="false" customHeight="true" outlineLevel="0" collapsed="false">
      <c r="A47" s="55" t="s">
        <v>295</v>
      </c>
      <c r="B47" s="55"/>
      <c r="C47" s="55"/>
      <c r="D47" s="55"/>
      <c r="E47" s="55"/>
      <c r="F47" s="55"/>
      <c r="G47" s="55"/>
      <c r="H47" s="55"/>
      <c r="I47" s="55"/>
      <c r="J47" s="55"/>
      <c r="K47" s="55"/>
      <c r="L47" s="55"/>
      <c r="M47" s="55"/>
    </row>
  </sheetData>
  <autoFilter ref="A19:M44"/>
  <mergeCells count="19">
    <mergeCell ref="A1:M1"/>
    <mergeCell ref="A2:M2"/>
    <mergeCell ref="A4:M4"/>
    <mergeCell ref="B5:M5"/>
    <mergeCell ref="B6:M6"/>
    <mergeCell ref="B7:M7"/>
    <mergeCell ref="B8:M8"/>
    <mergeCell ref="B9:M9"/>
    <mergeCell ref="B10:M10"/>
    <mergeCell ref="B11:M11"/>
    <mergeCell ref="B12:M12"/>
    <mergeCell ref="B13:M13"/>
    <mergeCell ref="B14:M14"/>
    <mergeCell ref="B15:M15"/>
    <mergeCell ref="B16:M16"/>
    <mergeCell ref="A18:M18"/>
    <mergeCell ref="A36:M36"/>
    <mergeCell ref="A46:M46"/>
    <mergeCell ref="A47:M47"/>
  </mergeCells>
  <conditionalFormatting sqref="B13">
    <cfRule type="expression" priority="2" aboveAverage="0" equalAverage="0" bottom="0" percent="0" rank="0" text="" dxfId="6">
      <formula>B13="Within range"</formula>
    </cfRule>
    <cfRule type="expression" priority="3" aboveAverage="0" equalAverage="0" bottom="0" percent="0" rank="0" text="" dxfId="7">
      <formula>B13&lt;&gt;"Within range"</formula>
    </cfRule>
  </conditionalFormatting>
  <dataValidations count="1">
    <dataValidation allowBlank="false" errorStyle="stop" operator="between" showDropDown="false" showErrorMessage="false" showInputMessage="false" sqref="B9" type="list">
      <formula1>"0,1"</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drawing r:id="rId1"/>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M48"/>
  <sheetViews>
    <sheetView showFormulas="false" showGridLines="false" showRowColHeaders="true" showZeros="true" rightToLeft="false" tabSelected="false" showOutlineSymbols="true" defaultGridColor="true" view="normal" topLeftCell="A1" colorId="64" zoomScale="85" zoomScaleNormal="85" zoomScalePageLayoutView="100" workbookViewId="0">
      <pane xSplit="3" ySplit="19" topLeftCell="D20" activePane="bottomRight" state="frozen"/>
      <selection pane="topLeft" activeCell="A1" activeCellId="0" sqref="A1"/>
      <selection pane="topRight" activeCell="D1" activeCellId="0" sqref="D1"/>
      <selection pane="bottomLeft" activeCell="A20" activeCellId="0" sqref="A20"/>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0" width="32"/>
    <col collapsed="false" customWidth="true" hidden="false" outlineLevel="0" max="2" min="2" style="0" width="15"/>
    <col collapsed="false" customWidth="true" hidden="false" outlineLevel="0" max="3" min="3" style="0" width="30"/>
    <col collapsed="false" customWidth="true" hidden="false" outlineLevel="0" max="13" min="4" style="0" width="12"/>
  </cols>
  <sheetData>
    <row r="1" customFormat="false" ht="24" hidden="false" customHeight="true" outlineLevel="0" collapsed="false">
      <c r="A1" s="24" t="s">
        <v>93</v>
      </c>
      <c r="B1" s="24"/>
      <c r="C1" s="24"/>
      <c r="D1" s="24"/>
      <c r="E1" s="24"/>
      <c r="F1" s="24"/>
      <c r="G1" s="24"/>
      <c r="H1" s="24"/>
      <c r="I1" s="24"/>
      <c r="J1" s="24"/>
      <c r="K1" s="24"/>
      <c r="L1" s="24"/>
      <c r="M1" s="24"/>
    </row>
    <row r="2" customFormat="false" ht="27.75" hidden="false" customHeight="true" outlineLevel="0" collapsed="false">
      <c r="A2" s="25" t="s">
        <v>296</v>
      </c>
      <c r="B2" s="25"/>
      <c r="C2" s="25"/>
      <c r="D2" s="25"/>
      <c r="E2" s="25"/>
      <c r="F2" s="25"/>
      <c r="G2" s="25"/>
      <c r="H2" s="25"/>
      <c r="I2" s="25"/>
      <c r="J2" s="25"/>
      <c r="K2" s="25"/>
      <c r="L2" s="25"/>
      <c r="M2" s="25"/>
    </row>
    <row r="4" customFormat="false" ht="18" hidden="false" customHeight="true" outlineLevel="0" collapsed="false">
      <c r="A4" s="8" t="s">
        <v>182</v>
      </c>
      <c r="B4" s="8"/>
      <c r="C4" s="8"/>
      <c r="D4" s="8"/>
      <c r="E4" s="8"/>
      <c r="F4" s="8"/>
      <c r="G4" s="8"/>
      <c r="H4" s="8"/>
      <c r="I4" s="8"/>
      <c r="J4" s="8"/>
      <c r="K4" s="8"/>
      <c r="L4" s="8"/>
      <c r="M4" s="8"/>
    </row>
    <row r="5" customFormat="false" ht="18" hidden="false" customHeight="true" outlineLevel="0" collapsed="false">
      <c r="A5" s="33" t="s">
        <v>183</v>
      </c>
      <c r="B5" s="34" t="s">
        <v>93</v>
      </c>
      <c r="C5" s="34"/>
      <c r="D5" s="34"/>
      <c r="E5" s="34"/>
      <c r="F5" s="34"/>
      <c r="G5" s="34"/>
      <c r="H5" s="34"/>
      <c r="I5" s="34"/>
      <c r="J5" s="34"/>
      <c r="K5" s="34"/>
      <c r="L5" s="34"/>
      <c r="M5" s="34"/>
    </row>
    <row r="6" customFormat="false" ht="18" hidden="false" customHeight="true" outlineLevel="0" collapsed="false">
      <c r="A6" s="33" t="s">
        <v>33</v>
      </c>
      <c r="B6" s="34" t="s">
        <v>90</v>
      </c>
      <c r="C6" s="34"/>
      <c r="D6" s="34"/>
      <c r="E6" s="34"/>
      <c r="F6" s="34"/>
      <c r="G6" s="34"/>
      <c r="H6" s="34"/>
      <c r="I6" s="34"/>
      <c r="J6" s="34"/>
      <c r="K6" s="34"/>
      <c r="L6" s="34"/>
      <c r="M6" s="34"/>
    </row>
    <row r="7" customFormat="false" ht="18" hidden="false" customHeight="true" outlineLevel="0" collapsed="false">
      <c r="A7" s="33" t="s">
        <v>42</v>
      </c>
      <c r="B7" s="34" t="s">
        <v>51</v>
      </c>
      <c r="C7" s="34"/>
      <c r="D7" s="34"/>
      <c r="E7" s="34"/>
      <c r="F7" s="34"/>
      <c r="G7" s="34"/>
      <c r="H7" s="34"/>
      <c r="I7" s="34"/>
      <c r="J7" s="34"/>
      <c r="K7" s="34"/>
      <c r="L7" s="34"/>
      <c r="M7" s="34"/>
    </row>
    <row r="8" customFormat="false" ht="24" hidden="false" customHeight="true" outlineLevel="0" collapsed="false">
      <c r="A8" s="33" t="s">
        <v>184</v>
      </c>
      <c r="B8" s="34" t="s">
        <v>94</v>
      </c>
      <c r="C8" s="34"/>
      <c r="D8" s="34"/>
      <c r="E8" s="34"/>
      <c r="F8" s="34"/>
      <c r="G8" s="34"/>
      <c r="H8" s="34"/>
      <c r="I8" s="34"/>
      <c r="J8" s="34"/>
      <c r="K8" s="34"/>
      <c r="L8" s="34"/>
      <c r="M8" s="34"/>
    </row>
    <row r="9" customFormat="false" ht="18" hidden="false" customHeight="true" outlineLevel="0" collapsed="false">
      <c r="A9" s="33" t="s">
        <v>185</v>
      </c>
      <c r="B9" s="35" t="n">
        <v>1</v>
      </c>
      <c r="C9" s="35"/>
      <c r="D9" s="35"/>
      <c r="E9" s="35"/>
      <c r="F9" s="35"/>
      <c r="G9" s="35"/>
      <c r="H9" s="35"/>
      <c r="I9" s="35"/>
      <c r="J9" s="35"/>
      <c r="K9" s="35"/>
      <c r="L9" s="35"/>
      <c r="M9" s="35"/>
    </row>
    <row r="10" customFormat="false" ht="18" hidden="false" customHeight="true" outlineLevel="0" collapsed="false">
      <c r="A10" s="33" t="s">
        <v>186</v>
      </c>
      <c r="B10" s="36" t="n">
        <v>150</v>
      </c>
      <c r="C10" s="36"/>
      <c r="D10" s="36"/>
      <c r="E10" s="36"/>
      <c r="F10" s="36"/>
      <c r="G10" s="36"/>
      <c r="H10" s="36"/>
      <c r="I10" s="36"/>
      <c r="J10" s="36"/>
      <c r="K10" s="36"/>
      <c r="L10" s="36"/>
      <c r="M10" s="36"/>
    </row>
    <row r="11" customFormat="false" ht="18" hidden="false" customHeight="true" outlineLevel="0" collapsed="false">
      <c r="A11" s="33" t="s">
        <v>187</v>
      </c>
      <c r="B11" s="36" t="n">
        <v>250</v>
      </c>
      <c r="C11" s="36"/>
      <c r="D11" s="36"/>
      <c r="E11" s="36"/>
      <c r="F11" s="36"/>
      <c r="G11" s="36"/>
      <c r="H11" s="36"/>
      <c r="I11" s="36"/>
      <c r="J11" s="36"/>
      <c r="K11" s="36"/>
      <c r="L11" s="36"/>
      <c r="M11" s="36"/>
    </row>
    <row r="12" customFormat="false" ht="18" hidden="false" customHeight="true" outlineLevel="0" collapsed="false">
      <c r="A12" s="33" t="s">
        <v>188</v>
      </c>
      <c r="B12" s="37" t="n">
        <f aca="false">MAX(D38:M38)</f>
        <v>216</v>
      </c>
      <c r="C12" s="37"/>
      <c r="D12" s="37"/>
      <c r="E12" s="37"/>
      <c r="F12" s="37"/>
      <c r="G12" s="37"/>
      <c r="H12" s="37"/>
      <c r="I12" s="37"/>
      <c r="J12" s="37"/>
      <c r="K12" s="37"/>
      <c r="L12" s="37"/>
      <c r="M12" s="37"/>
    </row>
    <row r="13" customFormat="false" ht="18" hidden="false" customHeight="true" outlineLevel="0" collapsed="false">
      <c r="A13" s="33" t="s">
        <v>189</v>
      </c>
      <c r="B13" s="38" t="str">
        <f aca="false">IF(AND(B12&gt;=B10,B12&lt;=B11),"Within range",IF(B12&lt;B10,"Below range","Above range"))</f>
        <v>Within range</v>
      </c>
      <c r="C13" s="38"/>
      <c r="D13" s="38"/>
      <c r="E13" s="38"/>
      <c r="F13" s="38"/>
      <c r="G13" s="38"/>
      <c r="H13" s="38"/>
      <c r="I13" s="38"/>
      <c r="J13" s="38"/>
      <c r="K13" s="38"/>
      <c r="L13" s="38"/>
      <c r="M13" s="38"/>
    </row>
    <row r="14" customFormat="false" ht="18" hidden="false" customHeight="true" outlineLevel="0" collapsed="false">
      <c r="A14" s="33" t="s">
        <v>190</v>
      </c>
      <c r="B14" s="34" t="s">
        <v>57</v>
      </c>
      <c r="C14" s="34"/>
      <c r="D14" s="34"/>
      <c r="E14" s="34"/>
      <c r="F14" s="34"/>
      <c r="G14" s="34"/>
      <c r="H14" s="34"/>
      <c r="I14" s="34"/>
      <c r="J14" s="34"/>
      <c r="K14" s="34"/>
      <c r="L14" s="34"/>
      <c r="M14" s="34"/>
    </row>
    <row r="15" customFormat="false" ht="24" hidden="false" customHeight="true" outlineLevel="0" collapsed="false">
      <c r="A15" s="33" t="s">
        <v>191</v>
      </c>
      <c r="B15" s="34" t="s">
        <v>297</v>
      </c>
      <c r="C15" s="34"/>
      <c r="D15" s="34"/>
      <c r="E15" s="34"/>
      <c r="F15" s="34"/>
      <c r="G15" s="34"/>
      <c r="H15" s="34"/>
      <c r="I15" s="34"/>
      <c r="J15" s="34"/>
      <c r="K15" s="34"/>
      <c r="L15" s="34"/>
      <c r="M15" s="34"/>
    </row>
    <row r="16" customFormat="false" ht="24" hidden="false" customHeight="true" outlineLevel="0" collapsed="false">
      <c r="A16" s="33" t="s">
        <v>193</v>
      </c>
      <c r="B16" s="34" t="s">
        <v>298</v>
      </c>
      <c r="C16" s="34"/>
      <c r="D16" s="34"/>
      <c r="E16" s="34"/>
      <c r="F16" s="34"/>
      <c r="G16" s="34"/>
      <c r="H16" s="34"/>
      <c r="I16" s="34"/>
      <c r="J16" s="34"/>
      <c r="K16" s="34"/>
      <c r="L16" s="34"/>
      <c r="M16" s="34"/>
    </row>
    <row r="18" customFormat="false" ht="18" hidden="false" customHeight="true" outlineLevel="0" collapsed="false">
      <c r="A18" s="8" t="s">
        <v>195</v>
      </c>
      <c r="B18" s="8"/>
      <c r="C18" s="8"/>
      <c r="D18" s="8"/>
      <c r="E18" s="8"/>
      <c r="F18" s="8"/>
      <c r="G18" s="8"/>
      <c r="H18" s="8"/>
      <c r="I18" s="8"/>
      <c r="J18" s="8"/>
      <c r="K18" s="8"/>
      <c r="L18" s="8"/>
      <c r="M18" s="8"/>
    </row>
    <row r="19" customFormat="false" ht="15" hidden="false" customHeight="false" outlineLevel="0" collapsed="false">
      <c r="A19" s="39" t="s">
        <v>196</v>
      </c>
      <c r="B19" s="39" t="s">
        <v>15</v>
      </c>
      <c r="C19" s="39" t="s">
        <v>197</v>
      </c>
      <c r="D19" s="39" t="s">
        <v>16</v>
      </c>
      <c r="E19" s="39" t="s">
        <v>17</v>
      </c>
      <c r="F19" s="39" t="s">
        <v>18</v>
      </c>
      <c r="G19" s="39" t="s">
        <v>19</v>
      </c>
      <c r="H19" s="39" t="s">
        <v>20</v>
      </c>
      <c r="I19" s="39" t="s">
        <v>21</v>
      </c>
      <c r="J19" s="39" t="s">
        <v>22</v>
      </c>
      <c r="K19" s="39" t="s">
        <v>23</v>
      </c>
      <c r="L19" s="39" t="s">
        <v>24</v>
      </c>
      <c r="M19" s="39" t="s">
        <v>25</v>
      </c>
    </row>
    <row r="20" customFormat="false" ht="19.4" hidden="false" customHeight="false" outlineLevel="0" collapsed="false">
      <c r="A20" s="40" t="s">
        <v>241</v>
      </c>
      <c r="B20" s="41" t="s">
        <v>27</v>
      </c>
      <c r="C20" s="42" t="s">
        <v>299</v>
      </c>
      <c r="D20" s="44" t="n">
        <v>0</v>
      </c>
      <c r="E20" s="44" t="n">
        <v>0</v>
      </c>
      <c r="F20" s="44" t="n">
        <v>0</v>
      </c>
      <c r="G20" s="44" t="n">
        <v>0</v>
      </c>
      <c r="H20" s="44" t="n">
        <v>9000</v>
      </c>
      <c r="I20" s="44" t="n">
        <v>9000</v>
      </c>
      <c r="J20" s="44" t="n">
        <v>9000</v>
      </c>
      <c r="K20" s="44" t="n">
        <v>9000</v>
      </c>
      <c r="L20" s="44" t="n">
        <v>9000</v>
      </c>
      <c r="M20" s="44" t="n">
        <v>9000</v>
      </c>
    </row>
    <row r="21" customFormat="false" ht="19.4" hidden="false" customHeight="false" outlineLevel="0" collapsed="false">
      <c r="A21" s="40" t="s">
        <v>243</v>
      </c>
      <c r="B21" s="41" t="s">
        <v>205</v>
      </c>
      <c r="C21" s="42" t="s">
        <v>300</v>
      </c>
      <c r="D21" s="45" t="n">
        <v>0</v>
      </c>
      <c r="E21" s="45" t="n">
        <v>0</v>
      </c>
      <c r="F21" s="45" t="n">
        <v>0</v>
      </c>
      <c r="G21" s="45" t="n">
        <v>0</v>
      </c>
      <c r="H21" s="45" t="n">
        <v>1</v>
      </c>
      <c r="I21" s="45" t="n">
        <v>1</v>
      </c>
      <c r="J21" s="45" t="n">
        <v>1</v>
      </c>
      <c r="K21" s="45" t="n">
        <v>1</v>
      </c>
      <c r="L21" s="45" t="n">
        <v>1</v>
      </c>
      <c r="M21" s="45" t="n">
        <v>1</v>
      </c>
    </row>
    <row r="22" customFormat="false" ht="15" hidden="false" customHeight="false" outlineLevel="0" collapsed="false">
      <c r="A22" s="23" t="s">
        <v>245</v>
      </c>
      <c r="B22" s="41" t="s">
        <v>27</v>
      </c>
      <c r="C22" s="42" t="s">
        <v>246</v>
      </c>
      <c r="D22" s="47" t="n">
        <f aca="false">D20*D21</f>
        <v>0</v>
      </c>
      <c r="E22" s="47" t="n">
        <f aca="false">E20*E21</f>
        <v>0</v>
      </c>
      <c r="F22" s="47" t="n">
        <f aca="false">F20*F21</f>
        <v>0</v>
      </c>
      <c r="G22" s="47" t="n">
        <f aca="false">G20*G21</f>
        <v>0</v>
      </c>
      <c r="H22" s="47" t="n">
        <f aca="false">H20*H21</f>
        <v>9000</v>
      </c>
      <c r="I22" s="47" t="n">
        <f aca="false">I20*I21</f>
        <v>9000</v>
      </c>
      <c r="J22" s="47" t="n">
        <f aca="false">J20*J21</f>
        <v>9000</v>
      </c>
      <c r="K22" s="47" t="n">
        <f aca="false">K20*K21</f>
        <v>9000</v>
      </c>
      <c r="L22" s="47" t="n">
        <f aca="false">L20*L21</f>
        <v>9000</v>
      </c>
      <c r="M22" s="47" t="n">
        <f aca="false">M20*M21</f>
        <v>9000</v>
      </c>
    </row>
    <row r="23" customFormat="false" ht="19.4" hidden="false" customHeight="false" outlineLevel="0" collapsed="false">
      <c r="A23" s="23" t="s">
        <v>247</v>
      </c>
      <c r="B23" s="41" t="s">
        <v>205</v>
      </c>
      <c r="C23" s="42" t="s">
        <v>301</v>
      </c>
      <c r="D23" s="45" t="n">
        <v>0</v>
      </c>
      <c r="E23" s="45" t="n">
        <v>0</v>
      </c>
      <c r="F23" s="45" t="n">
        <v>0</v>
      </c>
      <c r="G23" s="45" t="n">
        <v>0</v>
      </c>
      <c r="H23" s="45" t="n">
        <v>0</v>
      </c>
      <c r="I23" s="45" t="n">
        <v>0.03</v>
      </c>
      <c r="J23" s="45" t="n">
        <v>0.045</v>
      </c>
      <c r="K23" s="45" t="n">
        <v>0.06</v>
      </c>
      <c r="L23" s="45" t="n">
        <v>0.06</v>
      </c>
      <c r="M23" s="45" t="n">
        <v>0.055</v>
      </c>
    </row>
    <row r="24" customFormat="false" ht="15" hidden="false" customHeight="false" outlineLevel="0" collapsed="false">
      <c r="A24" s="23" t="s">
        <v>207</v>
      </c>
      <c r="B24" s="41" t="s">
        <v>205</v>
      </c>
      <c r="C24" s="42" t="s">
        <v>208</v>
      </c>
      <c r="D24" s="45" t="n">
        <v>0</v>
      </c>
      <c r="E24" s="45" t="n">
        <v>0</v>
      </c>
      <c r="F24" s="45" t="n">
        <v>0</v>
      </c>
      <c r="G24" s="45" t="n">
        <v>0</v>
      </c>
      <c r="H24" s="45" t="n">
        <v>0</v>
      </c>
      <c r="I24" s="45" t="n">
        <v>0.7</v>
      </c>
      <c r="J24" s="45" t="n">
        <v>1</v>
      </c>
      <c r="K24" s="45" t="n">
        <v>1</v>
      </c>
      <c r="L24" s="45" t="n">
        <v>1</v>
      </c>
      <c r="M24" s="45" t="n">
        <v>1</v>
      </c>
    </row>
    <row r="25" customFormat="false" ht="15" hidden="false" customHeight="false" outlineLevel="0" collapsed="false">
      <c r="A25" s="23" t="s">
        <v>211</v>
      </c>
      <c r="B25" s="41" t="s">
        <v>27</v>
      </c>
      <c r="C25" s="42" t="s">
        <v>249</v>
      </c>
      <c r="D25" s="47" t="n">
        <f aca="false">D22*D23*D24</f>
        <v>0</v>
      </c>
      <c r="E25" s="47" t="n">
        <f aca="false">E22*E23*E24</f>
        <v>0</v>
      </c>
      <c r="F25" s="47" t="n">
        <f aca="false">F22*F23*F24</f>
        <v>0</v>
      </c>
      <c r="G25" s="47" t="n">
        <f aca="false">G22*G23*G24</f>
        <v>0</v>
      </c>
      <c r="H25" s="47" t="n">
        <f aca="false">H22*H23*H24</f>
        <v>0</v>
      </c>
      <c r="I25" s="47" t="n">
        <f aca="false">I22*I23*I24</f>
        <v>189</v>
      </c>
      <c r="J25" s="47" t="n">
        <f aca="false">J22*J23*J24</f>
        <v>405</v>
      </c>
      <c r="K25" s="47" t="n">
        <f aca="false">K22*K23*K24</f>
        <v>540</v>
      </c>
      <c r="L25" s="47" t="n">
        <f aca="false">L22*L23*L24</f>
        <v>540</v>
      </c>
      <c r="M25" s="47" t="n">
        <f aca="false">M22*M23*M24</f>
        <v>495</v>
      </c>
    </row>
    <row r="26" customFormat="false" ht="28.35" hidden="false" customHeight="false" outlineLevel="0" collapsed="false">
      <c r="A26" s="23" t="s">
        <v>213</v>
      </c>
      <c r="B26" s="41" t="s">
        <v>205</v>
      </c>
      <c r="C26" s="42" t="s">
        <v>302</v>
      </c>
      <c r="D26" s="45" t="n">
        <v>0.4</v>
      </c>
      <c r="E26" s="45" t="n">
        <v>0.4</v>
      </c>
      <c r="F26" s="45" t="n">
        <v>0.4</v>
      </c>
      <c r="G26" s="45" t="n">
        <v>0.4</v>
      </c>
      <c r="H26" s="45" t="n">
        <v>0.4</v>
      </c>
      <c r="I26" s="45" t="n">
        <v>0.4</v>
      </c>
      <c r="J26" s="45" t="n">
        <v>0.4</v>
      </c>
      <c r="K26" s="45" t="n">
        <v>0.4</v>
      </c>
      <c r="L26" s="45" t="n">
        <v>0.4</v>
      </c>
      <c r="M26" s="45" t="n">
        <v>0.4</v>
      </c>
    </row>
    <row r="27" customFormat="false" ht="15" hidden="false" customHeight="false" outlineLevel="0" collapsed="false">
      <c r="A27" s="23" t="s">
        <v>215</v>
      </c>
      <c r="B27" s="41" t="s">
        <v>205</v>
      </c>
      <c r="C27" s="42" t="s">
        <v>303</v>
      </c>
      <c r="D27" s="45" t="n">
        <v>0.6</v>
      </c>
      <c r="E27" s="45" t="n">
        <v>0.6</v>
      </c>
      <c r="F27" s="45" t="n">
        <v>0.6</v>
      </c>
      <c r="G27" s="45" t="n">
        <v>0.6</v>
      </c>
      <c r="H27" s="45" t="n">
        <v>0.6</v>
      </c>
      <c r="I27" s="45" t="n">
        <v>0.6</v>
      </c>
      <c r="J27" s="45" t="n">
        <v>0.6</v>
      </c>
      <c r="K27" s="45" t="n">
        <v>0.6</v>
      </c>
      <c r="L27" s="45" t="n">
        <v>0.6</v>
      </c>
      <c r="M27" s="45" t="n">
        <v>0.6</v>
      </c>
    </row>
    <row r="28" customFormat="false" ht="15" hidden="false" customHeight="false" outlineLevel="0" collapsed="false">
      <c r="A28" s="23" t="s">
        <v>217</v>
      </c>
      <c r="B28" s="41" t="s">
        <v>205</v>
      </c>
      <c r="C28" s="42" t="s">
        <v>252</v>
      </c>
      <c r="D28" s="45" t="n">
        <v>0</v>
      </c>
      <c r="E28" s="45" t="n">
        <v>0</v>
      </c>
      <c r="F28" s="45" t="n">
        <v>0</v>
      </c>
      <c r="G28" s="45" t="n">
        <v>0</v>
      </c>
      <c r="H28" s="45" t="n">
        <v>0</v>
      </c>
      <c r="I28" s="45" t="n">
        <v>0.2</v>
      </c>
      <c r="J28" s="45" t="n">
        <v>0.23</v>
      </c>
      <c r="K28" s="45" t="n">
        <v>0.25</v>
      </c>
      <c r="L28" s="45" t="n">
        <v>0.25</v>
      </c>
      <c r="M28" s="45" t="n">
        <v>0.24</v>
      </c>
    </row>
    <row r="36" customFormat="false" ht="18" hidden="false" customHeight="true" outlineLevel="0" collapsed="false">
      <c r="A36" s="8" t="s">
        <v>219</v>
      </c>
      <c r="B36" s="8"/>
      <c r="C36" s="8"/>
      <c r="D36" s="8"/>
      <c r="E36" s="8"/>
      <c r="F36" s="8"/>
      <c r="G36" s="8"/>
      <c r="H36" s="8"/>
      <c r="I36" s="8"/>
      <c r="J36" s="8"/>
      <c r="K36" s="8"/>
      <c r="L36" s="8"/>
      <c r="M36" s="8"/>
    </row>
    <row r="37" customFormat="false" ht="15" hidden="false" customHeight="false" outlineLevel="0" collapsed="false">
      <c r="A37" s="48" t="s">
        <v>220</v>
      </c>
      <c r="B37" s="49" t="s">
        <v>27</v>
      </c>
      <c r="C37" s="50"/>
      <c r="D37" s="51" t="n">
        <f aca="false">D25</f>
        <v>0</v>
      </c>
      <c r="E37" s="51" t="n">
        <f aca="false">E25</f>
        <v>0</v>
      </c>
      <c r="F37" s="51" t="n">
        <f aca="false">F25</f>
        <v>0</v>
      </c>
      <c r="G37" s="51" t="n">
        <f aca="false">G25</f>
        <v>0</v>
      </c>
      <c r="H37" s="51" t="n">
        <f aca="false">H25</f>
        <v>0</v>
      </c>
      <c r="I37" s="51" t="n">
        <f aca="false">I25</f>
        <v>189</v>
      </c>
      <c r="J37" s="51" t="n">
        <f aca="false">J25</f>
        <v>405</v>
      </c>
      <c r="K37" s="51" t="n">
        <f aca="false">K25</f>
        <v>540</v>
      </c>
      <c r="L37" s="51" t="n">
        <f aca="false">L25</f>
        <v>540</v>
      </c>
      <c r="M37" s="51" t="n">
        <f aca="false">M25</f>
        <v>495</v>
      </c>
    </row>
    <row r="38" customFormat="false" ht="15" hidden="false" customHeight="false" outlineLevel="0" collapsed="false">
      <c r="A38" s="52" t="s">
        <v>221</v>
      </c>
      <c r="B38" s="49" t="s">
        <v>27</v>
      </c>
      <c r="C38" s="50"/>
      <c r="D38" s="48" t="n">
        <f aca="false">D25*D26*$B$9</f>
        <v>0</v>
      </c>
      <c r="E38" s="48" t="n">
        <f aca="false">E25*E26*$B$9</f>
        <v>0</v>
      </c>
      <c r="F38" s="48" t="n">
        <f aca="false">F25*F26*$B$9</f>
        <v>0</v>
      </c>
      <c r="G38" s="48" t="n">
        <f aca="false">G25*G26*$B$9</f>
        <v>0</v>
      </c>
      <c r="H38" s="48" t="n">
        <f aca="false">H25*H26*$B$9</f>
        <v>0</v>
      </c>
      <c r="I38" s="48" t="n">
        <f aca="false">I25*I26*$B$9</f>
        <v>75.6</v>
      </c>
      <c r="J38" s="48" t="n">
        <f aca="false">J25*J26*$B$9</f>
        <v>162</v>
      </c>
      <c r="K38" s="48" t="n">
        <f aca="false">K25*K26*$B$9</f>
        <v>216</v>
      </c>
      <c r="L38" s="48" t="n">
        <f aca="false">L25*L26*$B$9</f>
        <v>216</v>
      </c>
      <c r="M38" s="48" t="n">
        <f aca="false">M25*M26*$B$9</f>
        <v>198</v>
      </c>
    </row>
    <row r="39" customFormat="false" ht="15" hidden="false" customHeight="false" outlineLevel="0" collapsed="false">
      <c r="A39" s="52" t="s">
        <v>222</v>
      </c>
      <c r="B39" s="49" t="s">
        <v>27</v>
      </c>
      <c r="C39" s="50"/>
      <c r="D39" s="48" t="n">
        <f aca="false">D38*D27</f>
        <v>0</v>
      </c>
      <c r="E39" s="48" t="n">
        <f aca="false">E38*E27</f>
        <v>0</v>
      </c>
      <c r="F39" s="48" t="n">
        <f aca="false">F38*F27</f>
        <v>0</v>
      </c>
      <c r="G39" s="48" t="n">
        <f aca="false">G38*G27</f>
        <v>0</v>
      </c>
      <c r="H39" s="48" t="n">
        <f aca="false">H38*H27</f>
        <v>0</v>
      </c>
      <c r="I39" s="48" t="n">
        <f aca="false">I38*I27</f>
        <v>45.36</v>
      </c>
      <c r="J39" s="48" t="n">
        <f aca="false">J38*J27</f>
        <v>97.2</v>
      </c>
      <c r="K39" s="48" t="n">
        <f aca="false">K38*K27</f>
        <v>129.6</v>
      </c>
      <c r="L39" s="48" t="n">
        <f aca="false">L38*L27</f>
        <v>129.6</v>
      </c>
      <c r="M39" s="48" t="n">
        <f aca="false">M38*M27</f>
        <v>118.8</v>
      </c>
    </row>
    <row r="40" customFormat="false" ht="15" hidden="false" customHeight="false" outlineLevel="0" collapsed="false">
      <c r="A40" s="48" t="s">
        <v>217</v>
      </c>
      <c r="B40" s="49" t="s">
        <v>205</v>
      </c>
      <c r="C40" s="50"/>
      <c r="D40" s="53" t="n">
        <f aca="false">D28</f>
        <v>0</v>
      </c>
      <c r="E40" s="53" t="n">
        <f aca="false">E28</f>
        <v>0</v>
      </c>
      <c r="F40" s="53" t="n">
        <f aca="false">F28</f>
        <v>0</v>
      </c>
      <c r="G40" s="53" t="n">
        <f aca="false">G28</f>
        <v>0</v>
      </c>
      <c r="H40" s="53" t="n">
        <f aca="false">H28</f>
        <v>0</v>
      </c>
      <c r="I40" s="53" t="n">
        <f aca="false">I28</f>
        <v>0.2</v>
      </c>
      <c r="J40" s="53" t="n">
        <f aca="false">J28</f>
        <v>0.23</v>
      </c>
      <c r="K40" s="53" t="n">
        <f aca="false">K28</f>
        <v>0.25</v>
      </c>
      <c r="L40" s="53" t="n">
        <f aca="false">L28</f>
        <v>0.25</v>
      </c>
      <c r="M40" s="53" t="n">
        <f aca="false">M28</f>
        <v>0.24</v>
      </c>
    </row>
    <row r="41" customFormat="false" ht="15" hidden="false" customHeight="false" outlineLevel="0" collapsed="false">
      <c r="A41" s="48" t="s">
        <v>162</v>
      </c>
      <c r="B41" s="49" t="s">
        <v>27</v>
      </c>
      <c r="C41" s="50"/>
      <c r="D41" s="48" t="n">
        <f aca="false">D38*D40</f>
        <v>0</v>
      </c>
      <c r="E41" s="48" t="n">
        <f aca="false">E38*E40</f>
        <v>0</v>
      </c>
      <c r="F41" s="48" t="n">
        <f aca="false">F38*F40</f>
        <v>0</v>
      </c>
      <c r="G41" s="48" t="n">
        <f aca="false">G38*G40</f>
        <v>0</v>
      </c>
      <c r="H41" s="48" t="n">
        <f aca="false">H38*H40</f>
        <v>0</v>
      </c>
      <c r="I41" s="48" t="n">
        <f aca="false">I38*I40</f>
        <v>15.12</v>
      </c>
      <c r="J41" s="48" t="n">
        <f aca="false">J38*J40</f>
        <v>37.26</v>
      </c>
      <c r="K41" s="48" t="n">
        <f aca="false">K38*K40</f>
        <v>54</v>
      </c>
      <c r="L41" s="48" t="n">
        <f aca="false">L38*L40</f>
        <v>54</v>
      </c>
      <c r="M41" s="48" t="n">
        <f aca="false">M38*M40</f>
        <v>47.52</v>
      </c>
    </row>
    <row r="42" customFormat="false" ht="15" hidden="false" customHeight="false" outlineLevel="0" collapsed="false">
      <c r="A42" s="48" t="s">
        <v>30</v>
      </c>
      <c r="B42" s="49" t="s">
        <v>27</v>
      </c>
      <c r="C42" s="50"/>
      <c r="D42" s="48" t="n">
        <f aca="false">D39*D40</f>
        <v>0</v>
      </c>
      <c r="E42" s="48" t="n">
        <f aca="false">E39*E40</f>
        <v>0</v>
      </c>
      <c r="F42" s="48" t="n">
        <f aca="false">F39*F40</f>
        <v>0</v>
      </c>
      <c r="G42" s="48" t="n">
        <f aca="false">G39*G40</f>
        <v>0</v>
      </c>
      <c r="H42" s="48" t="n">
        <f aca="false">H39*H40</f>
        <v>0</v>
      </c>
      <c r="I42" s="48" t="n">
        <f aca="false">I39*I40</f>
        <v>9.072</v>
      </c>
      <c r="J42" s="48" t="n">
        <f aca="false">J39*J40</f>
        <v>22.356</v>
      </c>
      <c r="K42" s="48" t="n">
        <f aca="false">K39*K40</f>
        <v>32.4</v>
      </c>
      <c r="L42" s="48" t="n">
        <f aca="false">L39*L40</f>
        <v>32.4</v>
      </c>
      <c r="M42" s="48" t="n">
        <f aca="false">M39*M40</f>
        <v>28.512</v>
      </c>
    </row>
    <row r="43" customFormat="false" ht="15" hidden="false" customHeight="false" outlineLevel="0" collapsed="false">
      <c r="A43" s="48" t="s">
        <v>221</v>
      </c>
      <c r="B43" s="49" t="s">
        <v>31</v>
      </c>
      <c r="C43" s="50"/>
      <c r="D43" s="54" t="n">
        <f aca="false">D38*'Global Assump'!D$4</f>
        <v>0</v>
      </c>
      <c r="E43" s="54" t="n">
        <f aca="false">E38*'Global Assump'!E$4</f>
        <v>0</v>
      </c>
      <c r="F43" s="54" t="n">
        <f aca="false">F38*'Global Assump'!F$4</f>
        <v>0</v>
      </c>
      <c r="G43" s="54" t="n">
        <f aca="false">G38*'Global Assump'!G$4</f>
        <v>0</v>
      </c>
      <c r="H43" s="54" t="n">
        <f aca="false">H38*'Global Assump'!H$4</f>
        <v>0</v>
      </c>
      <c r="I43" s="54" t="n">
        <f aca="false">I38*'Global Assump'!I$4</f>
        <v>7257.6</v>
      </c>
      <c r="J43" s="54" t="n">
        <f aca="false">J38*'Global Assump'!J$4</f>
        <v>15876</v>
      </c>
      <c r="K43" s="54" t="n">
        <f aca="false">K38*'Global Assump'!K$4</f>
        <v>21600</v>
      </c>
      <c r="L43" s="54" t="n">
        <f aca="false">L38*'Global Assump'!L$4</f>
        <v>22032</v>
      </c>
      <c r="M43" s="54" t="n">
        <f aca="false">M38*'Global Assump'!M$4</f>
        <v>20592</v>
      </c>
    </row>
    <row r="44" customFormat="false" ht="15" hidden="false" customHeight="false" outlineLevel="0" collapsed="false">
      <c r="A44" s="48" t="s">
        <v>222</v>
      </c>
      <c r="B44" s="49" t="s">
        <v>31</v>
      </c>
      <c r="C44" s="50"/>
      <c r="D44" s="54" t="n">
        <f aca="false">D39*'Global Assump'!D$4</f>
        <v>0</v>
      </c>
      <c r="E44" s="54" t="n">
        <f aca="false">E39*'Global Assump'!E$4</f>
        <v>0</v>
      </c>
      <c r="F44" s="54" t="n">
        <f aca="false">F39*'Global Assump'!F$4</f>
        <v>0</v>
      </c>
      <c r="G44" s="54" t="n">
        <f aca="false">G39*'Global Assump'!G$4</f>
        <v>0</v>
      </c>
      <c r="H44" s="54" t="n">
        <f aca="false">H39*'Global Assump'!H$4</f>
        <v>0</v>
      </c>
      <c r="I44" s="54" t="n">
        <f aca="false">I39*'Global Assump'!I$4</f>
        <v>4354.56</v>
      </c>
      <c r="J44" s="54" t="n">
        <f aca="false">J39*'Global Assump'!J$4</f>
        <v>9525.6</v>
      </c>
      <c r="K44" s="54" t="n">
        <f aca="false">K39*'Global Assump'!K$4</f>
        <v>12960</v>
      </c>
      <c r="L44" s="54" t="n">
        <f aca="false">L39*'Global Assump'!L$4</f>
        <v>13219.2</v>
      </c>
      <c r="M44" s="54" t="n">
        <f aca="false">M39*'Global Assump'!M$4</f>
        <v>12355.2</v>
      </c>
    </row>
    <row r="46" customFormat="false" ht="18" hidden="false" customHeight="true" outlineLevel="0" collapsed="false">
      <c r="A46" s="8" t="s">
        <v>223</v>
      </c>
      <c r="B46" s="8"/>
      <c r="C46" s="8"/>
      <c r="D46" s="8"/>
      <c r="E46" s="8"/>
      <c r="F46" s="8"/>
      <c r="G46" s="8"/>
      <c r="H46" s="8"/>
      <c r="I46" s="8"/>
      <c r="J46" s="8"/>
      <c r="K46" s="8"/>
      <c r="L46" s="8"/>
      <c r="M46" s="8"/>
    </row>
    <row r="47" customFormat="false" ht="27.75" hidden="false" customHeight="true" outlineLevel="0" collapsed="false">
      <c r="A47" s="55" t="s">
        <v>304</v>
      </c>
      <c r="B47" s="55"/>
      <c r="C47" s="55"/>
      <c r="D47" s="55"/>
      <c r="E47" s="55"/>
      <c r="F47" s="55"/>
      <c r="G47" s="55"/>
      <c r="H47" s="55"/>
      <c r="I47" s="55"/>
      <c r="J47" s="55"/>
      <c r="K47" s="55"/>
      <c r="L47" s="55"/>
      <c r="M47" s="55"/>
    </row>
    <row r="48" customFormat="false" ht="27.75" hidden="false" customHeight="true" outlineLevel="0" collapsed="false">
      <c r="A48" s="55" t="s">
        <v>305</v>
      </c>
      <c r="B48" s="55"/>
      <c r="C48" s="55"/>
      <c r="D48" s="55"/>
      <c r="E48" s="55"/>
      <c r="F48" s="55"/>
      <c r="G48" s="55"/>
      <c r="H48" s="55"/>
      <c r="I48" s="55"/>
      <c r="J48" s="55"/>
      <c r="K48" s="55"/>
      <c r="L48" s="55"/>
      <c r="M48" s="55"/>
    </row>
  </sheetData>
  <autoFilter ref="A19:M44"/>
  <mergeCells count="20">
    <mergeCell ref="A1:M1"/>
    <mergeCell ref="A2:M2"/>
    <mergeCell ref="A4:M4"/>
    <mergeCell ref="B5:M5"/>
    <mergeCell ref="B6:M6"/>
    <mergeCell ref="B7:M7"/>
    <mergeCell ref="B8:M8"/>
    <mergeCell ref="B9:M9"/>
    <mergeCell ref="B10:M10"/>
    <mergeCell ref="B11:M11"/>
    <mergeCell ref="B12:M12"/>
    <mergeCell ref="B13:M13"/>
    <mergeCell ref="B14:M14"/>
    <mergeCell ref="B15:M15"/>
    <mergeCell ref="B16:M16"/>
    <mergeCell ref="A18:M18"/>
    <mergeCell ref="A36:M36"/>
    <mergeCell ref="A46:M46"/>
    <mergeCell ref="A47:M47"/>
    <mergeCell ref="A48:M48"/>
  </mergeCells>
  <conditionalFormatting sqref="B13">
    <cfRule type="expression" priority="2" aboveAverage="0" equalAverage="0" bottom="0" percent="0" rank="0" text="" dxfId="6">
      <formula>B13="Within range"</formula>
    </cfRule>
    <cfRule type="expression" priority="3" aboveAverage="0" equalAverage="0" bottom="0" percent="0" rank="0" text="" dxfId="7">
      <formula>B13&lt;&gt;"Within range"</formula>
    </cfRule>
  </conditionalFormatting>
  <dataValidations count="1">
    <dataValidation allowBlank="false" errorStyle="stop" operator="between" showDropDown="false" showErrorMessage="false" showInputMessage="false" sqref="B9" type="list">
      <formula1>"0,1"</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drawing r:id="rId1"/>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M48"/>
  <sheetViews>
    <sheetView showFormulas="false" showGridLines="false" showRowColHeaders="true" showZeros="true" rightToLeft="false" tabSelected="false" showOutlineSymbols="true" defaultGridColor="true" view="normal" topLeftCell="A1" colorId="64" zoomScale="85" zoomScaleNormal="85" zoomScalePageLayoutView="100" workbookViewId="0">
      <pane xSplit="3" ySplit="19" topLeftCell="D20" activePane="bottomRight" state="frozen"/>
      <selection pane="topLeft" activeCell="A1" activeCellId="0" sqref="A1"/>
      <selection pane="topRight" activeCell="D1" activeCellId="0" sqref="D1"/>
      <selection pane="bottomLeft" activeCell="A20" activeCellId="0" sqref="A20"/>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0" width="32"/>
    <col collapsed="false" customWidth="true" hidden="false" outlineLevel="0" max="2" min="2" style="0" width="15"/>
    <col collapsed="false" customWidth="true" hidden="false" outlineLevel="0" max="3" min="3" style="0" width="30"/>
    <col collapsed="false" customWidth="true" hidden="false" outlineLevel="0" max="13" min="4" style="0" width="12"/>
  </cols>
  <sheetData>
    <row r="1" customFormat="false" ht="24" hidden="false" customHeight="true" outlineLevel="0" collapsed="false">
      <c r="A1" s="24" t="s">
        <v>96</v>
      </c>
      <c r="B1" s="24"/>
      <c r="C1" s="24"/>
      <c r="D1" s="24"/>
      <c r="E1" s="24"/>
      <c r="F1" s="24"/>
      <c r="G1" s="24"/>
      <c r="H1" s="24"/>
      <c r="I1" s="24"/>
      <c r="J1" s="24"/>
      <c r="K1" s="24"/>
      <c r="L1" s="24"/>
      <c r="M1" s="24"/>
    </row>
    <row r="2" customFormat="false" ht="27.75" hidden="false" customHeight="true" outlineLevel="0" collapsed="false">
      <c r="A2" s="25" t="s">
        <v>306</v>
      </c>
      <c r="B2" s="25"/>
      <c r="C2" s="25"/>
      <c r="D2" s="25"/>
      <c r="E2" s="25"/>
      <c r="F2" s="25"/>
      <c r="G2" s="25"/>
      <c r="H2" s="25"/>
      <c r="I2" s="25"/>
      <c r="J2" s="25"/>
      <c r="K2" s="25"/>
      <c r="L2" s="25"/>
      <c r="M2" s="25"/>
    </row>
    <row r="4" customFormat="false" ht="18" hidden="false" customHeight="true" outlineLevel="0" collapsed="false">
      <c r="A4" s="8" t="s">
        <v>182</v>
      </c>
      <c r="B4" s="8"/>
      <c r="C4" s="8"/>
      <c r="D4" s="8"/>
      <c r="E4" s="8"/>
      <c r="F4" s="8"/>
      <c r="G4" s="8"/>
      <c r="H4" s="8"/>
      <c r="I4" s="8"/>
      <c r="J4" s="8"/>
      <c r="K4" s="8"/>
      <c r="L4" s="8"/>
      <c r="M4" s="8"/>
    </row>
    <row r="5" customFormat="false" ht="18" hidden="false" customHeight="true" outlineLevel="0" collapsed="false">
      <c r="A5" s="33" t="s">
        <v>183</v>
      </c>
      <c r="B5" s="56" t="s">
        <v>96</v>
      </c>
      <c r="C5" s="56"/>
      <c r="D5" s="56"/>
      <c r="E5" s="56"/>
      <c r="F5" s="56"/>
      <c r="G5" s="56"/>
      <c r="H5" s="56"/>
      <c r="I5" s="56"/>
      <c r="J5" s="56"/>
      <c r="K5" s="56"/>
      <c r="L5" s="56"/>
      <c r="M5" s="56"/>
    </row>
    <row r="6" customFormat="false" ht="18" hidden="false" customHeight="true" outlineLevel="0" collapsed="false">
      <c r="A6" s="33" t="s">
        <v>33</v>
      </c>
      <c r="B6" s="34" t="s">
        <v>36</v>
      </c>
      <c r="C6" s="34"/>
      <c r="D6" s="34"/>
      <c r="E6" s="34"/>
      <c r="F6" s="34"/>
      <c r="G6" s="34"/>
      <c r="H6" s="34"/>
      <c r="I6" s="34"/>
      <c r="J6" s="34"/>
      <c r="K6" s="34"/>
      <c r="L6" s="34"/>
      <c r="M6" s="34"/>
    </row>
    <row r="7" customFormat="false" ht="18" hidden="false" customHeight="true" outlineLevel="0" collapsed="false">
      <c r="A7" s="33" t="s">
        <v>42</v>
      </c>
      <c r="B7" s="34" t="s">
        <v>51</v>
      </c>
      <c r="C7" s="34"/>
      <c r="D7" s="34"/>
      <c r="E7" s="34"/>
      <c r="F7" s="34"/>
      <c r="G7" s="34"/>
      <c r="H7" s="34"/>
      <c r="I7" s="34"/>
      <c r="J7" s="34"/>
      <c r="K7" s="34"/>
      <c r="L7" s="34"/>
      <c r="M7" s="34"/>
    </row>
    <row r="8" customFormat="false" ht="24" hidden="false" customHeight="true" outlineLevel="0" collapsed="false">
      <c r="A8" s="33" t="s">
        <v>184</v>
      </c>
      <c r="B8" s="34" t="s">
        <v>97</v>
      </c>
      <c r="C8" s="34"/>
      <c r="D8" s="34"/>
      <c r="E8" s="34"/>
      <c r="F8" s="34"/>
      <c r="G8" s="34"/>
      <c r="H8" s="34"/>
      <c r="I8" s="34"/>
      <c r="J8" s="34"/>
      <c r="K8" s="34"/>
      <c r="L8" s="34"/>
      <c r="M8" s="34"/>
    </row>
    <row r="9" customFormat="false" ht="18" hidden="false" customHeight="true" outlineLevel="0" collapsed="false">
      <c r="A9" s="33" t="s">
        <v>185</v>
      </c>
      <c r="B9" s="35" t="n">
        <v>1</v>
      </c>
      <c r="C9" s="35"/>
      <c r="D9" s="35"/>
      <c r="E9" s="35"/>
      <c r="F9" s="35"/>
      <c r="G9" s="35"/>
      <c r="H9" s="35"/>
      <c r="I9" s="35"/>
      <c r="J9" s="35"/>
      <c r="K9" s="35"/>
      <c r="L9" s="35"/>
      <c r="M9" s="35"/>
    </row>
    <row r="10" customFormat="false" ht="18" hidden="false" customHeight="true" outlineLevel="0" collapsed="false">
      <c r="A10" s="33" t="s">
        <v>186</v>
      </c>
      <c r="B10" s="36" t="n">
        <v>20</v>
      </c>
      <c r="C10" s="36"/>
      <c r="D10" s="36"/>
      <c r="E10" s="36"/>
      <c r="F10" s="36"/>
      <c r="G10" s="36"/>
      <c r="H10" s="36"/>
      <c r="I10" s="36"/>
      <c r="J10" s="36"/>
      <c r="K10" s="36"/>
      <c r="L10" s="36"/>
      <c r="M10" s="36"/>
    </row>
    <row r="11" customFormat="false" ht="18" hidden="false" customHeight="true" outlineLevel="0" collapsed="false">
      <c r="A11" s="33" t="s">
        <v>187</v>
      </c>
      <c r="B11" s="36" t="n">
        <v>35</v>
      </c>
      <c r="C11" s="36"/>
      <c r="D11" s="36"/>
      <c r="E11" s="36"/>
      <c r="F11" s="36"/>
      <c r="G11" s="36"/>
      <c r="H11" s="36"/>
      <c r="I11" s="36"/>
      <c r="J11" s="36"/>
      <c r="K11" s="36"/>
      <c r="L11" s="36"/>
      <c r="M11" s="36"/>
    </row>
    <row r="12" customFormat="false" ht="18" hidden="false" customHeight="true" outlineLevel="0" collapsed="false">
      <c r="A12" s="33" t="s">
        <v>188</v>
      </c>
      <c r="B12" s="37" t="n">
        <f aca="false">MAX(D38:M38)</f>
        <v>27.28</v>
      </c>
      <c r="C12" s="37"/>
      <c r="D12" s="37"/>
      <c r="E12" s="37"/>
      <c r="F12" s="37"/>
      <c r="G12" s="37"/>
      <c r="H12" s="37"/>
      <c r="I12" s="37"/>
      <c r="J12" s="37"/>
      <c r="K12" s="37"/>
      <c r="L12" s="37"/>
      <c r="M12" s="37"/>
    </row>
    <row r="13" customFormat="false" ht="18" hidden="false" customHeight="true" outlineLevel="0" collapsed="false">
      <c r="A13" s="33" t="s">
        <v>189</v>
      </c>
      <c r="B13" s="38" t="str">
        <f aca="false">IF(AND(B12&gt;=B10,B12&lt;=B11),"Within range",IF(B12&lt;B10,"Below range","Above range"))</f>
        <v>Within range</v>
      </c>
      <c r="C13" s="38"/>
      <c r="D13" s="38"/>
      <c r="E13" s="38"/>
      <c r="F13" s="38"/>
      <c r="G13" s="38"/>
      <c r="H13" s="38"/>
      <c r="I13" s="38"/>
      <c r="J13" s="38"/>
      <c r="K13" s="38"/>
      <c r="L13" s="38"/>
      <c r="M13" s="38"/>
    </row>
    <row r="14" customFormat="false" ht="18" hidden="false" customHeight="true" outlineLevel="0" collapsed="false">
      <c r="A14" s="33" t="s">
        <v>190</v>
      </c>
      <c r="B14" s="34" t="s">
        <v>76</v>
      </c>
      <c r="C14" s="34"/>
      <c r="D14" s="34"/>
      <c r="E14" s="34"/>
      <c r="F14" s="34"/>
      <c r="G14" s="34"/>
      <c r="H14" s="34"/>
      <c r="I14" s="34"/>
      <c r="J14" s="34"/>
      <c r="K14" s="34"/>
      <c r="L14" s="34"/>
      <c r="M14" s="34"/>
    </row>
    <row r="15" customFormat="false" ht="24" hidden="false" customHeight="true" outlineLevel="0" collapsed="false">
      <c r="A15" s="33" t="s">
        <v>191</v>
      </c>
      <c r="B15" s="34" t="s">
        <v>307</v>
      </c>
      <c r="C15" s="34"/>
      <c r="D15" s="34"/>
      <c r="E15" s="34"/>
      <c r="F15" s="34"/>
      <c r="G15" s="34"/>
      <c r="H15" s="34"/>
      <c r="I15" s="34"/>
      <c r="J15" s="34"/>
      <c r="K15" s="34"/>
      <c r="L15" s="34"/>
      <c r="M15" s="34"/>
    </row>
    <row r="16" customFormat="false" ht="24" hidden="false" customHeight="true" outlineLevel="0" collapsed="false">
      <c r="A16" s="33" t="s">
        <v>193</v>
      </c>
      <c r="B16" s="34" t="s">
        <v>308</v>
      </c>
      <c r="C16" s="34"/>
      <c r="D16" s="34"/>
      <c r="E16" s="34"/>
      <c r="F16" s="34"/>
      <c r="G16" s="34"/>
      <c r="H16" s="34"/>
      <c r="I16" s="34"/>
      <c r="J16" s="34"/>
      <c r="K16" s="34"/>
      <c r="L16" s="34"/>
      <c r="M16" s="34"/>
    </row>
    <row r="18" customFormat="false" ht="18" hidden="false" customHeight="true" outlineLevel="0" collapsed="false">
      <c r="A18" s="8" t="s">
        <v>195</v>
      </c>
      <c r="B18" s="8"/>
      <c r="C18" s="8"/>
      <c r="D18" s="8"/>
      <c r="E18" s="8"/>
      <c r="F18" s="8"/>
      <c r="G18" s="8"/>
      <c r="H18" s="8"/>
      <c r="I18" s="8"/>
      <c r="J18" s="8"/>
      <c r="K18" s="8"/>
      <c r="L18" s="8"/>
      <c r="M18" s="8"/>
    </row>
    <row r="19" customFormat="false" ht="15" hidden="false" customHeight="false" outlineLevel="0" collapsed="false">
      <c r="A19" s="39" t="s">
        <v>196</v>
      </c>
      <c r="B19" s="39" t="s">
        <v>15</v>
      </c>
      <c r="C19" s="39" t="s">
        <v>197</v>
      </c>
      <c r="D19" s="39" t="s">
        <v>16</v>
      </c>
      <c r="E19" s="39" t="s">
        <v>17</v>
      </c>
      <c r="F19" s="39" t="s">
        <v>18</v>
      </c>
      <c r="G19" s="39" t="s">
        <v>19</v>
      </c>
      <c r="H19" s="39" t="s">
        <v>20</v>
      </c>
      <c r="I19" s="39" t="s">
        <v>21</v>
      </c>
      <c r="J19" s="39" t="s">
        <v>22</v>
      </c>
      <c r="K19" s="39" t="s">
        <v>23</v>
      </c>
      <c r="L19" s="39" t="s">
        <v>24</v>
      </c>
      <c r="M19" s="39" t="s">
        <v>25</v>
      </c>
    </row>
    <row r="20" customFormat="false" ht="19.4" hidden="false" customHeight="false" outlineLevel="0" collapsed="false">
      <c r="A20" s="40" t="s">
        <v>309</v>
      </c>
      <c r="B20" s="41" t="s">
        <v>310</v>
      </c>
      <c r="C20" s="42" t="s">
        <v>311</v>
      </c>
      <c r="D20" s="43" t="n">
        <v>0</v>
      </c>
      <c r="E20" s="43" t="n">
        <v>0</v>
      </c>
      <c r="F20" s="43" t="n">
        <v>0</v>
      </c>
      <c r="G20" s="43" t="n">
        <v>6200</v>
      </c>
      <c r="H20" s="43" t="n">
        <v>6200</v>
      </c>
      <c r="I20" s="43" t="n">
        <v>6200</v>
      </c>
      <c r="J20" s="43" t="n">
        <v>6200</v>
      </c>
      <c r="K20" s="43" t="n">
        <v>6200</v>
      </c>
      <c r="L20" s="43" t="n">
        <v>6200</v>
      </c>
      <c r="M20" s="43" t="n">
        <v>6200</v>
      </c>
    </row>
    <row r="21" customFormat="false" ht="19.4" hidden="false" customHeight="false" outlineLevel="0" collapsed="false">
      <c r="A21" s="40" t="s">
        <v>312</v>
      </c>
      <c r="B21" s="41" t="s">
        <v>313</v>
      </c>
      <c r="C21" s="42" t="s">
        <v>314</v>
      </c>
      <c r="D21" s="44" t="n">
        <v>0</v>
      </c>
      <c r="E21" s="44" t="n">
        <v>0</v>
      </c>
      <c r="F21" s="44" t="n">
        <v>0</v>
      </c>
      <c r="G21" s="44" t="n">
        <v>55</v>
      </c>
      <c r="H21" s="44" t="n">
        <v>55</v>
      </c>
      <c r="I21" s="44" t="n">
        <v>55</v>
      </c>
      <c r="J21" s="44" t="n">
        <v>55</v>
      </c>
      <c r="K21" s="44" t="n">
        <v>55</v>
      </c>
      <c r="L21" s="44" t="n">
        <v>55</v>
      </c>
      <c r="M21" s="44" t="n">
        <v>55</v>
      </c>
    </row>
    <row r="22" customFormat="false" ht="19.4" hidden="false" customHeight="false" outlineLevel="0" collapsed="false">
      <c r="A22" s="23" t="s">
        <v>315</v>
      </c>
      <c r="B22" s="41" t="s">
        <v>205</v>
      </c>
      <c r="C22" s="42" t="s">
        <v>316</v>
      </c>
      <c r="D22" s="45" t="n">
        <v>0</v>
      </c>
      <c r="E22" s="45" t="n">
        <v>0</v>
      </c>
      <c r="F22" s="45" t="n">
        <v>0</v>
      </c>
      <c r="G22" s="45" t="n">
        <v>0.05</v>
      </c>
      <c r="H22" s="45" t="n">
        <v>0.08</v>
      </c>
      <c r="I22" s="45" t="n">
        <v>0.1</v>
      </c>
      <c r="J22" s="45" t="n">
        <v>0.1</v>
      </c>
      <c r="K22" s="45" t="n">
        <v>0.1</v>
      </c>
      <c r="L22" s="45" t="n">
        <v>0.09</v>
      </c>
      <c r="M22" s="45" t="n">
        <v>0.08</v>
      </c>
    </row>
    <row r="23" customFormat="false" ht="15" hidden="false" customHeight="false" outlineLevel="0" collapsed="false">
      <c r="A23" s="23" t="s">
        <v>207</v>
      </c>
      <c r="B23" s="41" t="s">
        <v>205</v>
      </c>
      <c r="C23" s="42" t="s">
        <v>208</v>
      </c>
      <c r="D23" s="45" t="n">
        <v>0</v>
      </c>
      <c r="E23" s="45" t="n">
        <v>0</v>
      </c>
      <c r="F23" s="45" t="n">
        <v>0</v>
      </c>
      <c r="G23" s="45" t="n">
        <v>0.5</v>
      </c>
      <c r="H23" s="45" t="n">
        <v>1</v>
      </c>
      <c r="I23" s="45" t="n">
        <v>1</v>
      </c>
      <c r="J23" s="45" t="n">
        <v>1</v>
      </c>
      <c r="K23" s="45" t="n">
        <v>1</v>
      </c>
      <c r="L23" s="45" t="n">
        <v>1</v>
      </c>
      <c r="M23" s="45" t="n">
        <v>1</v>
      </c>
    </row>
    <row r="24" customFormat="false" ht="15" hidden="false" customHeight="false" outlineLevel="0" collapsed="false">
      <c r="A24" s="23" t="s">
        <v>317</v>
      </c>
      <c r="B24" s="41" t="s">
        <v>310</v>
      </c>
      <c r="C24" s="42" t="s">
        <v>318</v>
      </c>
      <c r="D24" s="47" t="n">
        <f aca="false">D20*D22*D23</f>
        <v>0</v>
      </c>
      <c r="E24" s="47" t="n">
        <f aca="false">E20*E22*E23</f>
        <v>0</v>
      </c>
      <c r="F24" s="47" t="n">
        <f aca="false">F20*F22*F23</f>
        <v>0</v>
      </c>
      <c r="G24" s="47" t="n">
        <f aca="false">G20*G22*G23</f>
        <v>155</v>
      </c>
      <c r="H24" s="47" t="n">
        <f aca="false">H20*H22*H23</f>
        <v>496</v>
      </c>
      <c r="I24" s="47" t="n">
        <f aca="false">I20*I22*I23</f>
        <v>620</v>
      </c>
      <c r="J24" s="47" t="n">
        <f aca="false">J20*J22*J23</f>
        <v>620</v>
      </c>
      <c r="K24" s="47" t="n">
        <f aca="false">K20*K22*K23</f>
        <v>620</v>
      </c>
      <c r="L24" s="47" t="n">
        <f aca="false">L20*L22*L23</f>
        <v>558</v>
      </c>
      <c r="M24" s="47" t="n">
        <f aca="false">M20*M22*M23</f>
        <v>496</v>
      </c>
    </row>
    <row r="25" customFormat="false" ht="15" hidden="false" customHeight="false" outlineLevel="0" collapsed="false">
      <c r="A25" s="23" t="s">
        <v>211</v>
      </c>
      <c r="B25" s="41" t="s">
        <v>27</v>
      </c>
      <c r="C25" s="42" t="s">
        <v>319</v>
      </c>
      <c r="D25" s="47" t="n">
        <f aca="false">D24*D21/1000</f>
        <v>0</v>
      </c>
      <c r="E25" s="47" t="n">
        <f aca="false">E24*E21/1000</f>
        <v>0</v>
      </c>
      <c r="F25" s="47" t="n">
        <f aca="false">F24*F21/1000</f>
        <v>0</v>
      </c>
      <c r="G25" s="47" t="n">
        <f aca="false">G24*G21/1000</f>
        <v>8.525</v>
      </c>
      <c r="H25" s="47" t="n">
        <f aca="false">H24*H21/1000</f>
        <v>27.28</v>
      </c>
      <c r="I25" s="47" t="n">
        <f aca="false">I24*I21/1000</f>
        <v>34.1</v>
      </c>
      <c r="J25" s="47" t="n">
        <f aca="false">J24*J21/1000</f>
        <v>34.1</v>
      </c>
      <c r="K25" s="47" t="n">
        <f aca="false">K24*K21/1000</f>
        <v>34.1</v>
      </c>
      <c r="L25" s="47" t="n">
        <f aca="false">L24*L21/1000</f>
        <v>30.69</v>
      </c>
      <c r="M25" s="47" t="n">
        <f aca="false">M24*M21/1000</f>
        <v>27.28</v>
      </c>
    </row>
    <row r="26" customFormat="false" ht="19.4" hidden="false" customHeight="false" outlineLevel="0" collapsed="false">
      <c r="A26" s="23" t="s">
        <v>213</v>
      </c>
      <c r="B26" s="41" t="s">
        <v>205</v>
      </c>
      <c r="C26" s="42" t="s">
        <v>320</v>
      </c>
      <c r="D26" s="45" t="n">
        <v>0.8</v>
      </c>
      <c r="E26" s="45" t="n">
        <v>0.8</v>
      </c>
      <c r="F26" s="45" t="n">
        <v>0.8</v>
      </c>
      <c r="G26" s="45" t="n">
        <v>0.8</v>
      </c>
      <c r="H26" s="45" t="n">
        <v>0.8</v>
      </c>
      <c r="I26" s="45" t="n">
        <v>0.8</v>
      </c>
      <c r="J26" s="45" t="n">
        <v>0.8</v>
      </c>
      <c r="K26" s="45" t="n">
        <v>0.8</v>
      </c>
      <c r="L26" s="45" t="n">
        <v>0.8</v>
      </c>
      <c r="M26" s="45" t="n">
        <v>0.8</v>
      </c>
    </row>
    <row r="27" customFormat="false" ht="15" hidden="false" customHeight="false" outlineLevel="0" collapsed="false">
      <c r="A27" s="23" t="s">
        <v>215</v>
      </c>
      <c r="B27" s="41" t="s">
        <v>205</v>
      </c>
      <c r="C27" s="42" t="s">
        <v>321</v>
      </c>
      <c r="D27" s="45" t="n">
        <v>0.6</v>
      </c>
      <c r="E27" s="45" t="n">
        <v>0.6</v>
      </c>
      <c r="F27" s="45" t="n">
        <v>0.6</v>
      </c>
      <c r="G27" s="45" t="n">
        <v>0.6</v>
      </c>
      <c r="H27" s="45" t="n">
        <v>0.6</v>
      </c>
      <c r="I27" s="45" t="n">
        <v>0.6</v>
      </c>
      <c r="J27" s="45" t="n">
        <v>0.6</v>
      </c>
      <c r="K27" s="45" t="n">
        <v>0.6</v>
      </c>
      <c r="L27" s="45" t="n">
        <v>0.6</v>
      </c>
      <c r="M27" s="45" t="n">
        <v>0.6</v>
      </c>
    </row>
    <row r="28" customFormat="false" ht="19.4" hidden="false" customHeight="false" outlineLevel="0" collapsed="false">
      <c r="A28" s="23" t="s">
        <v>217</v>
      </c>
      <c r="B28" s="41" t="s">
        <v>205</v>
      </c>
      <c r="C28" s="42" t="s">
        <v>322</v>
      </c>
      <c r="D28" s="45" t="n">
        <v>0</v>
      </c>
      <c r="E28" s="45" t="n">
        <v>0</v>
      </c>
      <c r="F28" s="45" t="n">
        <v>0</v>
      </c>
      <c r="G28" s="45" t="n">
        <v>0.2</v>
      </c>
      <c r="H28" s="45" t="n">
        <v>0.24</v>
      </c>
      <c r="I28" s="45" t="n">
        <v>0.25</v>
      </c>
      <c r="J28" s="45" t="n">
        <v>0.25</v>
      </c>
      <c r="K28" s="45" t="n">
        <v>0.25</v>
      </c>
      <c r="L28" s="45" t="n">
        <v>0.24</v>
      </c>
      <c r="M28" s="45" t="n">
        <v>0.23</v>
      </c>
    </row>
    <row r="36" customFormat="false" ht="18" hidden="false" customHeight="true" outlineLevel="0" collapsed="false">
      <c r="A36" s="8" t="s">
        <v>219</v>
      </c>
      <c r="B36" s="8"/>
      <c r="C36" s="8"/>
      <c r="D36" s="8"/>
      <c r="E36" s="8"/>
      <c r="F36" s="8"/>
      <c r="G36" s="8"/>
      <c r="H36" s="8"/>
      <c r="I36" s="8"/>
      <c r="J36" s="8"/>
      <c r="K36" s="8"/>
      <c r="L36" s="8"/>
      <c r="M36" s="8"/>
    </row>
    <row r="37" customFormat="false" ht="15" hidden="false" customHeight="false" outlineLevel="0" collapsed="false">
      <c r="A37" s="48" t="s">
        <v>220</v>
      </c>
      <c r="B37" s="49" t="s">
        <v>27</v>
      </c>
      <c r="C37" s="50"/>
      <c r="D37" s="51" t="n">
        <f aca="false">D25</f>
        <v>0</v>
      </c>
      <c r="E37" s="51" t="n">
        <f aca="false">E25</f>
        <v>0</v>
      </c>
      <c r="F37" s="51" t="n">
        <f aca="false">F25</f>
        <v>0</v>
      </c>
      <c r="G37" s="51" t="n">
        <f aca="false">G25</f>
        <v>8.525</v>
      </c>
      <c r="H37" s="51" t="n">
        <f aca="false">H25</f>
        <v>27.28</v>
      </c>
      <c r="I37" s="51" t="n">
        <f aca="false">I25</f>
        <v>34.1</v>
      </c>
      <c r="J37" s="51" t="n">
        <f aca="false">J25</f>
        <v>34.1</v>
      </c>
      <c r="K37" s="51" t="n">
        <f aca="false">K25</f>
        <v>34.1</v>
      </c>
      <c r="L37" s="51" t="n">
        <f aca="false">L25</f>
        <v>30.69</v>
      </c>
      <c r="M37" s="51" t="n">
        <f aca="false">M25</f>
        <v>27.28</v>
      </c>
    </row>
    <row r="38" customFormat="false" ht="15" hidden="false" customHeight="false" outlineLevel="0" collapsed="false">
      <c r="A38" s="52" t="s">
        <v>221</v>
      </c>
      <c r="B38" s="49" t="s">
        <v>27</v>
      </c>
      <c r="C38" s="50"/>
      <c r="D38" s="48" t="n">
        <f aca="false">D25*D26*$B$9</f>
        <v>0</v>
      </c>
      <c r="E38" s="48" t="n">
        <f aca="false">E25*E26*$B$9</f>
        <v>0</v>
      </c>
      <c r="F38" s="48" t="n">
        <f aca="false">F25*F26*$B$9</f>
        <v>0</v>
      </c>
      <c r="G38" s="48" t="n">
        <f aca="false">G25*G26*$B$9</f>
        <v>6.82</v>
      </c>
      <c r="H38" s="48" t="n">
        <f aca="false">H25*H26*$B$9</f>
        <v>21.824</v>
      </c>
      <c r="I38" s="48" t="n">
        <f aca="false">I25*I26*$B$9</f>
        <v>27.28</v>
      </c>
      <c r="J38" s="48" t="n">
        <f aca="false">J25*J26*$B$9</f>
        <v>27.28</v>
      </c>
      <c r="K38" s="48" t="n">
        <f aca="false">K25*K26*$B$9</f>
        <v>27.28</v>
      </c>
      <c r="L38" s="48" t="n">
        <f aca="false">L25*L26*$B$9</f>
        <v>24.552</v>
      </c>
      <c r="M38" s="48" t="n">
        <f aca="false">M25*M26*$B$9</f>
        <v>21.824</v>
      </c>
    </row>
    <row r="39" customFormat="false" ht="15" hidden="false" customHeight="false" outlineLevel="0" collapsed="false">
      <c r="A39" s="52" t="s">
        <v>222</v>
      </c>
      <c r="B39" s="49" t="s">
        <v>27</v>
      </c>
      <c r="C39" s="50"/>
      <c r="D39" s="48" t="n">
        <f aca="false">D38*D27</f>
        <v>0</v>
      </c>
      <c r="E39" s="48" t="n">
        <f aca="false">E38*E27</f>
        <v>0</v>
      </c>
      <c r="F39" s="48" t="n">
        <f aca="false">F38*F27</f>
        <v>0</v>
      </c>
      <c r="G39" s="48" t="n">
        <f aca="false">G38*G27</f>
        <v>4.092</v>
      </c>
      <c r="H39" s="48" t="n">
        <f aca="false">H38*H27</f>
        <v>13.0944</v>
      </c>
      <c r="I39" s="48" t="n">
        <f aca="false">I38*I27</f>
        <v>16.368</v>
      </c>
      <c r="J39" s="48" t="n">
        <f aca="false">J38*J27</f>
        <v>16.368</v>
      </c>
      <c r="K39" s="48" t="n">
        <f aca="false">K38*K27</f>
        <v>16.368</v>
      </c>
      <c r="L39" s="48" t="n">
        <f aca="false">L38*L27</f>
        <v>14.7312</v>
      </c>
      <c r="M39" s="48" t="n">
        <f aca="false">M38*M27</f>
        <v>13.0944</v>
      </c>
    </row>
    <row r="40" customFormat="false" ht="15" hidden="false" customHeight="false" outlineLevel="0" collapsed="false">
      <c r="A40" s="48" t="s">
        <v>217</v>
      </c>
      <c r="B40" s="49" t="s">
        <v>205</v>
      </c>
      <c r="C40" s="50"/>
      <c r="D40" s="53" t="n">
        <f aca="false">D28</f>
        <v>0</v>
      </c>
      <c r="E40" s="53" t="n">
        <f aca="false">E28</f>
        <v>0</v>
      </c>
      <c r="F40" s="53" t="n">
        <f aca="false">F28</f>
        <v>0</v>
      </c>
      <c r="G40" s="53" t="n">
        <f aca="false">G28</f>
        <v>0.2</v>
      </c>
      <c r="H40" s="53" t="n">
        <f aca="false">H28</f>
        <v>0.24</v>
      </c>
      <c r="I40" s="53" t="n">
        <f aca="false">I28</f>
        <v>0.25</v>
      </c>
      <c r="J40" s="53" t="n">
        <f aca="false">J28</f>
        <v>0.25</v>
      </c>
      <c r="K40" s="53" t="n">
        <f aca="false">K28</f>
        <v>0.25</v>
      </c>
      <c r="L40" s="53" t="n">
        <f aca="false">L28</f>
        <v>0.24</v>
      </c>
      <c r="M40" s="53" t="n">
        <f aca="false">M28</f>
        <v>0.23</v>
      </c>
    </row>
    <row r="41" customFormat="false" ht="15" hidden="false" customHeight="false" outlineLevel="0" collapsed="false">
      <c r="A41" s="48" t="s">
        <v>162</v>
      </c>
      <c r="B41" s="49" t="s">
        <v>27</v>
      </c>
      <c r="C41" s="50"/>
      <c r="D41" s="48" t="n">
        <f aca="false">D38*D40</f>
        <v>0</v>
      </c>
      <c r="E41" s="48" t="n">
        <f aca="false">E38*E40</f>
        <v>0</v>
      </c>
      <c r="F41" s="48" t="n">
        <f aca="false">F38*F40</f>
        <v>0</v>
      </c>
      <c r="G41" s="48" t="n">
        <f aca="false">G38*G40</f>
        <v>1.364</v>
      </c>
      <c r="H41" s="48" t="n">
        <f aca="false">H38*H40</f>
        <v>5.23776</v>
      </c>
      <c r="I41" s="48" t="n">
        <f aca="false">I38*I40</f>
        <v>6.82</v>
      </c>
      <c r="J41" s="48" t="n">
        <f aca="false">J38*J40</f>
        <v>6.82</v>
      </c>
      <c r="K41" s="48" t="n">
        <f aca="false">K38*K40</f>
        <v>6.82</v>
      </c>
      <c r="L41" s="48" t="n">
        <f aca="false">L38*L40</f>
        <v>5.89248</v>
      </c>
      <c r="M41" s="48" t="n">
        <f aca="false">M38*M40</f>
        <v>5.01952</v>
      </c>
    </row>
    <row r="42" customFormat="false" ht="15" hidden="false" customHeight="false" outlineLevel="0" collapsed="false">
      <c r="A42" s="48" t="s">
        <v>30</v>
      </c>
      <c r="B42" s="49" t="s">
        <v>27</v>
      </c>
      <c r="C42" s="50"/>
      <c r="D42" s="48" t="n">
        <f aca="false">D39*D40</f>
        <v>0</v>
      </c>
      <c r="E42" s="48" t="n">
        <f aca="false">E39*E40</f>
        <v>0</v>
      </c>
      <c r="F42" s="48" t="n">
        <f aca="false">F39*F40</f>
        <v>0</v>
      </c>
      <c r="G42" s="48" t="n">
        <f aca="false">G39*G40</f>
        <v>0.8184</v>
      </c>
      <c r="H42" s="48" t="n">
        <f aca="false">H39*H40</f>
        <v>3.142656</v>
      </c>
      <c r="I42" s="48" t="n">
        <f aca="false">I39*I40</f>
        <v>4.092</v>
      </c>
      <c r="J42" s="48" t="n">
        <f aca="false">J39*J40</f>
        <v>4.092</v>
      </c>
      <c r="K42" s="48" t="n">
        <f aca="false">K39*K40</f>
        <v>4.092</v>
      </c>
      <c r="L42" s="48" t="n">
        <f aca="false">L39*L40</f>
        <v>3.535488</v>
      </c>
      <c r="M42" s="48" t="n">
        <f aca="false">M39*M40</f>
        <v>3.011712</v>
      </c>
    </row>
    <row r="43" customFormat="false" ht="15" hidden="false" customHeight="false" outlineLevel="0" collapsed="false">
      <c r="A43" s="48" t="s">
        <v>221</v>
      </c>
      <c r="B43" s="49" t="s">
        <v>31</v>
      </c>
      <c r="C43" s="50"/>
      <c r="D43" s="54" t="n">
        <f aca="false">D38*'Global Assump'!D$4</f>
        <v>0</v>
      </c>
      <c r="E43" s="54" t="n">
        <f aca="false">E38*'Global Assump'!E$4</f>
        <v>0</v>
      </c>
      <c r="F43" s="54" t="n">
        <f aca="false">F38*'Global Assump'!F$4</f>
        <v>0</v>
      </c>
      <c r="G43" s="54" t="n">
        <f aca="false">G38*'Global Assump'!G$4</f>
        <v>627.44</v>
      </c>
      <c r="H43" s="54" t="n">
        <f aca="false">H38*'Global Assump'!H$4</f>
        <v>2051.456</v>
      </c>
      <c r="I43" s="54" t="n">
        <f aca="false">I38*'Global Assump'!I$4</f>
        <v>2618.88</v>
      </c>
      <c r="J43" s="54" t="n">
        <f aca="false">J38*'Global Assump'!J$4</f>
        <v>2673.44</v>
      </c>
      <c r="K43" s="54" t="n">
        <f aca="false">K38*'Global Assump'!K$4</f>
        <v>2728</v>
      </c>
      <c r="L43" s="54" t="n">
        <f aca="false">L38*'Global Assump'!L$4</f>
        <v>2504.304</v>
      </c>
      <c r="M43" s="54" t="n">
        <f aca="false">M38*'Global Assump'!M$4</f>
        <v>2269.696</v>
      </c>
    </row>
    <row r="44" customFormat="false" ht="15" hidden="false" customHeight="false" outlineLevel="0" collapsed="false">
      <c r="A44" s="48" t="s">
        <v>222</v>
      </c>
      <c r="B44" s="49" t="s">
        <v>31</v>
      </c>
      <c r="C44" s="50"/>
      <c r="D44" s="54" t="n">
        <f aca="false">D39*'Global Assump'!D$4</f>
        <v>0</v>
      </c>
      <c r="E44" s="54" t="n">
        <f aca="false">E39*'Global Assump'!E$4</f>
        <v>0</v>
      </c>
      <c r="F44" s="54" t="n">
        <f aca="false">F39*'Global Assump'!F$4</f>
        <v>0</v>
      </c>
      <c r="G44" s="54" t="n">
        <f aca="false">G39*'Global Assump'!G$4</f>
        <v>376.464</v>
      </c>
      <c r="H44" s="54" t="n">
        <f aca="false">H39*'Global Assump'!H$4</f>
        <v>1230.8736</v>
      </c>
      <c r="I44" s="54" t="n">
        <f aca="false">I39*'Global Assump'!I$4</f>
        <v>1571.328</v>
      </c>
      <c r="J44" s="54" t="n">
        <f aca="false">J39*'Global Assump'!J$4</f>
        <v>1604.064</v>
      </c>
      <c r="K44" s="54" t="n">
        <f aca="false">K39*'Global Assump'!K$4</f>
        <v>1636.8</v>
      </c>
      <c r="L44" s="54" t="n">
        <f aca="false">L39*'Global Assump'!L$4</f>
        <v>1502.5824</v>
      </c>
      <c r="M44" s="54" t="n">
        <f aca="false">M39*'Global Assump'!M$4</f>
        <v>1361.8176</v>
      </c>
    </row>
    <row r="46" customFormat="false" ht="18" hidden="false" customHeight="true" outlineLevel="0" collapsed="false">
      <c r="A46" s="8" t="s">
        <v>223</v>
      </c>
      <c r="B46" s="8"/>
      <c r="C46" s="8"/>
      <c r="D46" s="8"/>
      <c r="E46" s="8"/>
      <c r="F46" s="8"/>
      <c r="G46" s="8"/>
      <c r="H46" s="8"/>
      <c r="I46" s="8"/>
      <c r="J46" s="8"/>
      <c r="K46" s="8"/>
      <c r="L46" s="8"/>
      <c r="M46" s="8"/>
    </row>
    <row r="47" customFormat="false" ht="27.75" hidden="false" customHeight="true" outlineLevel="0" collapsed="false">
      <c r="A47" s="55" t="s">
        <v>323</v>
      </c>
      <c r="B47" s="55"/>
      <c r="C47" s="55"/>
      <c r="D47" s="55"/>
      <c r="E47" s="55"/>
      <c r="F47" s="55"/>
      <c r="G47" s="55"/>
      <c r="H47" s="55"/>
      <c r="I47" s="55"/>
      <c r="J47" s="55"/>
      <c r="K47" s="55"/>
      <c r="L47" s="55"/>
      <c r="M47" s="55"/>
    </row>
    <row r="48" customFormat="false" ht="27.75" hidden="false" customHeight="true" outlineLevel="0" collapsed="false">
      <c r="A48" s="55" t="s">
        <v>324</v>
      </c>
      <c r="B48" s="55"/>
      <c r="C48" s="55"/>
      <c r="D48" s="55"/>
      <c r="E48" s="55"/>
      <c r="F48" s="55"/>
      <c r="G48" s="55"/>
      <c r="H48" s="55"/>
      <c r="I48" s="55"/>
      <c r="J48" s="55"/>
      <c r="K48" s="55"/>
      <c r="L48" s="55"/>
      <c r="M48" s="55"/>
    </row>
  </sheetData>
  <autoFilter ref="A19:M44"/>
  <mergeCells count="20">
    <mergeCell ref="A1:M1"/>
    <mergeCell ref="A2:M2"/>
    <mergeCell ref="A4:M4"/>
    <mergeCell ref="B5:M5"/>
    <mergeCell ref="B6:M6"/>
    <mergeCell ref="B7:M7"/>
    <mergeCell ref="B8:M8"/>
    <mergeCell ref="B9:M9"/>
    <mergeCell ref="B10:M10"/>
    <mergeCell ref="B11:M11"/>
    <mergeCell ref="B12:M12"/>
    <mergeCell ref="B13:M13"/>
    <mergeCell ref="B14:M14"/>
    <mergeCell ref="B15:M15"/>
    <mergeCell ref="B16:M16"/>
    <mergeCell ref="A18:M18"/>
    <mergeCell ref="A36:M36"/>
    <mergeCell ref="A46:M46"/>
    <mergeCell ref="A47:M47"/>
    <mergeCell ref="A48:M48"/>
  </mergeCells>
  <conditionalFormatting sqref="B13">
    <cfRule type="expression" priority="2" aboveAverage="0" equalAverage="0" bottom="0" percent="0" rank="0" text="" dxfId="6">
      <formula>B13="Within range"</formula>
    </cfRule>
    <cfRule type="expression" priority="3" aboveAverage="0" equalAverage="0" bottom="0" percent="0" rank="0" text="" dxfId="7">
      <formula>B13&lt;&gt;"Within range"</formula>
    </cfRule>
  </conditionalFormatting>
  <dataValidations count="1">
    <dataValidation allowBlank="false" errorStyle="stop" operator="between" showDropDown="false" showErrorMessage="false" showInputMessage="false" sqref="B9" type="list">
      <formula1>"0,1"</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drawing r:id="rId1"/>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M47"/>
  <sheetViews>
    <sheetView showFormulas="false" showGridLines="false" showRowColHeaders="true" showZeros="true" rightToLeft="false" tabSelected="false" showOutlineSymbols="true" defaultGridColor="true" view="normal" topLeftCell="A1" colorId="64" zoomScale="85" zoomScaleNormal="85" zoomScalePageLayoutView="100" workbookViewId="0">
      <pane xSplit="3" ySplit="19" topLeftCell="D20" activePane="bottomRight" state="frozen"/>
      <selection pane="topLeft" activeCell="A1" activeCellId="0" sqref="A1"/>
      <selection pane="topRight" activeCell="D1" activeCellId="0" sqref="D1"/>
      <selection pane="bottomLeft" activeCell="A20" activeCellId="0" sqref="A20"/>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0" width="32"/>
    <col collapsed="false" customWidth="true" hidden="false" outlineLevel="0" max="2" min="2" style="0" width="15"/>
    <col collapsed="false" customWidth="true" hidden="false" outlineLevel="0" max="3" min="3" style="0" width="30"/>
    <col collapsed="false" customWidth="true" hidden="false" outlineLevel="0" max="13" min="4" style="0" width="12"/>
  </cols>
  <sheetData>
    <row r="1" customFormat="false" ht="24" hidden="false" customHeight="true" outlineLevel="0" collapsed="false">
      <c r="A1" s="24" t="s">
        <v>98</v>
      </c>
      <c r="B1" s="24"/>
      <c r="C1" s="24"/>
      <c r="D1" s="24"/>
      <c r="E1" s="24"/>
      <c r="F1" s="24"/>
      <c r="G1" s="24"/>
      <c r="H1" s="24"/>
      <c r="I1" s="24"/>
      <c r="J1" s="24"/>
      <c r="K1" s="24"/>
      <c r="L1" s="24"/>
      <c r="M1" s="24"/>
    </row>
    <row r="2" customFormat="false" ht="27.75" hidden="false" customHeight="true" outlineLevel="0" collapsed="false">
      <c r="A2" s="25" t="s">
        <v>325</v>
      </c>
      <c r="B2" s="25"/>
      <c r="C2" s="25"/>
      <c r="D2" s="25"/>
      <c r="E2" s="25"/>
      <c r="F2" s="25"/>
      <c r="G2" s="25"/>
      <c r="H2" s="25"/>
      <c r="I2" s="25"/>
      <c r="J2" s="25"/>
      <c r="K2" s="25"/>
      <c r="L2" s="25"/>
      <c r="M2" s="25"/>
    </row>
    <row r="4" customFormat="false" ht="18" hidden="false" customHeight="true" outlineLevel="0" collapsed="false">
      <c r="A4" s="8" t="s">
        <v>182</v>
      </c>
      <c r="B4" s="8"/>
      <c r="C4" s="8"/>
      <c r="D4" s="8"/>
      <c r="E4" s="8"/>
      <c r="F4" s="8"/>
      <c r="G4" s="8"/>
      <c r="H4" s="8"/>
      <c r="I4" s="8"/>
      <c r="J4" s="8"/>
      <c r="K4" s="8"/>
      <c r="L4" s="8"/>
      <c r="M4" s="8"/>
    </row>
    <row r="5" customFormat="false" ht="18" hidden="false" customHeight="true" outlineLevel="0" collapsed="false">
      <c r="A5" s="33" t="s">
        <v>183</v>
      </c>
      <c r="B5" s="34" t="s">
        <v>98</v>
      </c>
      <c r="C5" s="34"/>
      <c r="D5" s="34"/>
      <c r="E5" s="34"/>
      <c r="F5" s="34"/>
      <c r="G5" s="34"/>
      <c r="H5" s="34"/>
      <c r="I5" s="34"/>
      <c r="J5" s="34"/>
      <c r="K5" s="34"/>
      <c r="L5" s="34"/>
      <c r="M5" s="34"/>
    </row>
    <row r="6" customFormat="false" ht="18" hidden="false" customHeight="true" outlineLevel="0" collapsed="false">
      <c r="A6" s="33" t="s">
        <v>33</v>
      </c>
      <c r="B6" s="34" t="s">
        <v>36</v>
      </c>
      <c r="C6" s="34"/>
      <c r="D6" s="34"/>
      <c r="E6" s="34"/>
      <c r="F6" s="34"/>
      <c r="G6" s="34"/>
      <c r="H6" s="34"/>
      <c r="I6" s="34"/>
      <c r="J6" s="34"/>
      <c r="K6" s="34"/>
      <c r="L6" s="34"/>
      <c r="M6" s="34"/>
    </row>
    <row r="7" customFormat="false" ht="18" hidden="false" customHeight="true" outlineLevel="0" collapsed="false">
      <c r="A7" s="33" t="s">
        <v>42</v>
      </c>
      <c r="B7" s="34" t="s">
        <v>51</v>
      </c>
      <c r="C7" s="34"/>
      <c r="D7" s="34"/>
      <c r="E7" s="34"/>
      <c r="F7" s="34"/>
      <c r="G7" s="34"/>
      <c r="H7" s="34"/>
      <c r="I7" s="34"/>
      <c r="J7" s="34"/>
      <c r="K7" s="34"/>
      <c r="L7" s="34"/>
      <c r="M7" s="34"/>
    </row>
    <row r="8" customFormat="false" ht="24" hidden="false" customHeight="true" outlineLevel="0" collapsed="false">
      <c r="A8" s="33" t="s">
        <v>184</v>
      </c>
      <c r="B8" s="34" t="s">
        <v>99</v>
      </c>
      <c r="C8" s="34"/>
      <c r="D8" s="34"/>
      <c r="E8" s="34"/>
      <c r="F8" s="34"/>
      <c r="G8" s="34"/>
      <c r="H8" s="34"/>
      <c r="I8" s="34"/>
      <c r="J8" s="34"/>
      <c r="K8" s="34"/>
      <c r="L8" s="34"/>
      <c r="M8" s="34"/>
    </row>
    <row r="9" customFormat="false" ht="18" hidden="false" customHeight="true" outlineLevel="0" collapsed="false">
      <c r="A9" s="33" t="s">
        <v>185</v>
      </c>
      <c r="B9" s="35" t="n">
        <v>1</v>
      </c>
      <c r="C9" s="35"/>
      <c r="D9" s="35"/>
      <c r="E9" s="35"/>
      <c r="F9" s="35"/>
      <c r="G9" s="35"/>
      <c r="H9" s="35"/>
      <c r="I9" s="35"/>
      <c r="J9" s="35"/>
      <c r="K9" s="35"/>
      <c r="L9" s="35"/>
      <c r="M9" s="35"/>
    </row>
    <row r="10" customFormat="false" ht="18" hidden="false" customHeight="true" outlineLevel="0" collapsed="false">
      <c r="A10" s="33" t="s">
        <v>186</v>
      </c>
      <c r="B10" s="36" t="n">
        <v>45</v>
      </c>
      <c r="C10" s="36"/>
      <c r="D10" s="36"/>
      <c r="E10" s="36"/>
      <c r="F10" s="36"/>
      <c r="G10" s="36"/>
      <c r="H10" s="36"/>
      <c r="I10" s="36"/>
      <c r="J10" s="36"/>
      <c r="K10" s="36"/>
      <c r="L10" s="36"/>
      <c r="M10" s="36"/>
    </row>
    <row r="11" customFormat="false" ht="18" hidden="false" customHeight="true" outlineLevel="0" collapsed="false">
      <c r="A11" s="33" t="s">
        <v>187</v>
      </c>
      <c r="B11" s="36" t="n">
        <v>70</v>
      </c>
      <c r="C11" s="36"/>
      <c r="D11" s="36"/>
      <c r="E11" s="36"/>
      <c r="F11" s="36"/>
      <c r="G11" s="36"/>
      <c r="H11" s="36"/>
      <c r="I11" s="36"/>
      <c r="J11" s="36"/>
      <c r="K11" s="36"/>
      <c r="L11" s="36"/>
      <c r="M11" s="36"/>
    </row>
    <row r="12" customFormat="false" ht="18" hidden="false" customHeight="true" outlineLevel="0" collapsed="false">
      <c r="A12" s="33" t="s">
        <v>188</v>
      </c>
      <c r="B12" s="37" t="n">
        <f aca="false">MAX(D38:M38)</f>
        <v>63</v>
      </c>
      <c r="C12" s="37"/>
      <c r="D12" s="37"/>
      <c r="E12" s="37"/>
      <c r="F12" s="37"/>
      <c r="G12" s="37"/>
      <c r="H12" s="37"/>
      <c r="I12" s="37"/>
      <c r="J12" s="37"/>
      <c r="K12" s="37"/>
      <c r="L12" s="37"/>
      <c r="M12" s="37"/>
    </row>
    <row r="13" customFormat="false" ht="18" hidden="false" customHeight="true" outlineLevel="0" collapsed="false">
      <c r="A13" s="33" t="s">
        <v>189</v>
      </c>
      <c r="B13" s="38" t="str">
        <f aca="false">IF(AND(B12&gt;=B10,B12&lt;=B11),"Within range",IF(B12&lt;B10,"Below range","Above range"))</f>
        <v>Within range</v>
      </c>
      <c r="C13" s="38"/>
      <c r="D13" s="38"/>
      <c r="E13" s="38"/>
      <c r="F13" s="38"/>
      <c r="G13" s="38"/>
      <c r="H13" s="38"/>
      <c r="I13" s="38"/>
      <c r="J13" s="38"/>
      <c r="K13" s="38"/>
      <c r="L13" s="38"/>
      <c r="M13" s="38"/>
    </row>
    <row r="14" customFormat="false" ht="18" hidden="false" customHeight="true" outlineLevel="0" collapsed="false">
      <c r="A14" s="33" t="s">
        <v>190</v>
      </c>
      <c r="B14" s="34" t="s">
        <v>53</v>
      </c>
      <c r="C14" s="34"/>
      <c r="D14" s="34"/>
      <c r="E14" s="34"/>
      <c r="F14" s="34"/>
      <c r="G14" s="34"/>
      <c r="H14" s="34"/>
      <c r="I14" s="34"/>
      <c r="J14" s="34"/>
      <c r="K14" s="34"/>
      <c r="L14" s="34"/>
      <c r="M14" s="34"/>
    </row>
    <row r="15" customFormat="false" ht="24" hidden="false" customHeight="true" outlineLevel="0" collapsed="false">
      <c r="A15" s="33" t="s">
        <v>191</v>
      </c>
      <c r="B15" s="34" t="s">
        <v>326</v>
      </c>
      <c r="C15" s="34"/>
      <c r="D15" s="34"/>
      <c r="E15" s="34"/>
      <c r="F15" s="34"/>
      <c r="G15" s="34"/>
      <c r="H15" s="34"/>
      <c r="I15" s="34"/>
      <c r="J15" s="34"/>
      <c r="K15" s="34"/>
      <c r="L15" s="34"/>
      <c r="M15" s="34"/>
    </row>
    <row r="16" customFormat="false" ht="24" hidden="false" customHeight="true" outlineLevel="0" collapsed="false">
      <c r="A16" s="33" t="s">
        <v>193</v>
      </c>
      <c r="B16" s="34" t="s">
        <v>275</v>
      </c>
      <c r="C16" s="34"/>
      <c r="D16" s="34"/>
      <c r="E16" s="34"/>
      <c r="F16" s="34"/>
      <c r="G16" s="34"/>
      <c r="H16" s="34"/>
      <c r="I16" s="34"/>
      <c r="J16" s="34"/>
      <c r="K16" s="34"/>
      <c r="L16" s="34"/>
      <c r="M16" s="34"/>
    </row>
    <row r="18" customFormat="false" ht="18" hidden="false" customHeight="true" outlineLevel="0" collapsed="false">
      <c r="A18" s="8" t="s">
        <v>195</v>
      </c>
      <c r="B18" s="8"/>
      <c r="C18" s="8"/>
      <c r="D18" s="8"/>
      <c r="E18" s="8"/>
      <c r="F18" s="8"/>
      <c r="G18" s="8"/>
      <c r="H18" s="8"/>
      <c r="I18" s="8"/>
      <c r="J18" s="8"/>
      <c r="K18" s="8"/>
      <c r="L18" s="8"/>
      <c r="M18" s="8"/>
    </row>
    <row r="19" customFormat="false" ht="15" hidden="false" customHeight="false" outlineLevel="0" collapsed="false">
      <c r="A19" s="39" t="s">
        <v>196</v>
      </c>
      <c r="B19" s="39" t="s">
        <v>15</v>
      </c>
      <c r="C19" s="39" t="s">
        <v>197</v>
      </c>
      <c r="D19" s="39" t="s">
        <v>16</v>
      </c>
      <c r="E19" s="39" t="s">
        <v>17</v>
      </c>
      <c r="F19" s="39" t="s">
        <v>18</v>
      </c>
      <c r="G19" s="39" t="s">
        <v>19</v>
      </c>
      <c r="H19" s="39" t="s">
        <v>20</v>
      </c>
      <c r="I19" s="39" t="s">
        <v>21</v>
      </c>
      <c r="J19" s="39" t="s">
        <v>22</v>
      </c>
      <c r="K19" s="39" t="s">
        <v>23</v>
      </c>
      <c r="L19" s="39" t="s">
        <v>24</v>
      </c>
      <c r="M19" s="39" t="s">
        <v>25</v>
      </c>
    </row>
    <row r="20" customFormat="false" ht="19.4" hidden="false" customHeight="false" outlineLevel="0" collapsed="false">
      <c r="A20" s="40" t="s">
        <v>327</v>
      </c>
      <c r="B20" s="41" t="s">
        <v>328</v>
      </c>
      <c r="C20" s="42" t="s">
        <v>329</v>
      </c>
      <c r="D20" s="43" t="n">
        <v>7</v>
      </c>
      <c r="E20" s="43" t="n">
        <v>8</v>
      </c>
      <c r="F20" s="43" t="n">
        <v>10</v>
      </c>
      <c r="G20" s="43" t="n">
        <v>12</v>
      </c>
      <c r="H20" s="43" t="n">
        <v>13</v>
      </c>
      <c r="I20" s="43" t="n">
        <v>14</v>
      </c>
      <c r="J20" s="43" t="n">
        <v>14</v>
      </c>
      <c r="K20" s="43" t="n">
        <v>14</v>
      </c>
      <c r="L20" s="43" t="n">
        <v>14</v>
      </c>
      <c r="M20" s="43" t="n">
        <v>14</v>
      </c>
    </row>
    <row r="21" customFormat="false" ht="28.35" hidden="false" customHeight="false" outlineLevel="0" collapsed="false">
      <c r="A21" s="40" t="s">
        <v>330</v>
      </c>
      <c r="B21" s="41" t="s">
        <v>27</v>
      </c>
      <c r="C21" s="42" t="s">
        <v>331</v>
      </c>
      <c r="D21" s="44" t="n">
        <v>4.5</v>
      </c>
      <c r="E21" s="44" t="n">
        <v>4.5</v>
      </c>
      <c r="F21" s="44" t="n">
        <v>4.5</v>
      </c>
      <c r="G21" s="44" t="n">
        <v>4.5</v>
      </c>
      <c r="H21" s="44" t="n">
        <v>4.5</v>
      </c>
      <c r="I21" s="44" t="n">
        <v>4.5</v>
      </c>
      <c r="J21" s="44" t="n">
        <v>4.5</v>
      </c>
      <c r="K21" s="44" t="n">
        <v>4.5</v>
      </c>
      <c r="L21" s="44" t="n">
        <v>4.5</v>
      </c>
      <c r="M21" s="44" t="n">
        <v>4.5</v>
      </c>
    </row>
    <row r="22" customFormat="false" ht="19.4" hidden="false" customHeight="false" outlineLevel="0" collapsed="false">
      <c r="A22" s="23" t="s">
        <v>332</v>
      </c>
      <c r="B22" s="41" t="s">
        <v>205</v>
      </c>
      <c r="C22" s="42" t="s">
        <v>333</v>
      </c>
      <c r="D22" s="45" t="n">
        <v>0.55</v>
      </c>
      <c r="E22" s="45" t="n">
        <v>0.65</v>
      </c>
      <c r="F22" s="45" t="n">
        <v>0.8</v>
      </c>
      <c r="G22" s="45" t="n">
        <v>0.95</v>
      </c>
      <c r="H22" s="45" t="n">
        <v>1</v>
      </c>
      <c r="I22" s="45" t="n">
        <v>1</v>
      </c>
      <c r="J22" s="45" t="n">
        <v>1</v>
      </c>
      <c r="K22" s="45" t="n">
        <v>1</v>
      </c>
      <c r="L22" s="45" t="n">
        <v>1</v>
      </c>
      <c r="M22" s="45" t="n">
        <v>1</v>
      </c>
    </row>
    <row r="23" customFormat="false" ht="15" hidden="false" customHeight="false" outlineLevel="0" collapsed="false">
      <c r="A23" s="23" t="s">
        <v>334</v>
      </c>
      <c r="B23" s="41" t="s">
        <v>205</v>
      </c>
      <c r="C23" s="42" t="s">
        <v>335</v>
      </c>
      <c r="D23" s="45" t="n">
        <v>1</v>
      </c>
      <c r="E23" s="45" t="n">
        <v>1</v>
      </c>
      <c r="F23" s="45" t="n">
        <v>1</v>
      </c>
      <c r="G23" s="45" t="n">
        <v>1</v>
      </c>
      <c r="H23" s="45" t="n">
        <v>1</v>
      </c>
      <c r="I23" s="45" t="n">
        <v>1</v>
      </c>
      <c r="J23" s="45" t="n">
        <v>1</v>
      </c>
      <c r="K23" s="45" t="n">
        <v>1</v>
      </c>
      <c r="L23" s="45" t="n">
        <v>1</v>
      </c>
      <c r="M23" s="45" t="n">
        <v>1</v>
      </c>
    </row>
    <row r="24" customFormat="false" ht="19.4" hidden="false" customHeight="false" outlineLevel="0" collapsed="false">
      <c r="A24" s="23" t="s">
        <v>336</v>
      </c>
      <c r="B24" s="41" t="s">
        <v>328</v>
      </c>
      <c r="C24" s="42" t="s">
        <v>337</v>
      </c>
      <c r="D24" s="47" t="n">
        <f aca="false">D20*D22*D23</f>
        <v>3.85</v>
      </c>
      <c r="E24" s="47" t="n">
        <f aca="false">E20*E22*E23</f>
        <v>5.2</v>
      </c>
      <c r="F24" s="47" t="n">
        <f aca="false">F20*F22*F23</f>
        <v>8</v>
      </c>
      <c r="G24" s="47" t="n">
        <f aca="false">G20*G22*G23</f>
        <v>11.4</v>
      </c>
      <c r="H24" s="47" t="n">
        <f aca="false">H20*H22*H23</f>
        <v>13</v>
      </c>
      <c r="I24" s="47" t="n">
        <f aca="false">I20*I22*I23</f>
        <v>14</v>
      </c>
      <c r="J24" s="47" t="n">
        <f aca="false">J20*J22*J23</f>
        <v>14</v>
      </c>
      <c r="K24" s="47" t="n">
        <f aca="false">K20*K22*K23</f>
        <v>14</v>
      </c>
      <c r="L24" s="47" t="n">
        <f aca="false">L20*L22*L23</f>
        <v>14</v>
      </c>
      <c r="M24" s="47" t="n">
        <f aca="false">M20*M22*M23</f>
        <v>14</v>
      </c>
    </row>
    <row r="25" customFormat="false" ht="19.4" hidden="false" customHeight="false" outlineLevel="0" collapsed="false">
      <c r="A25" s="23" t="s">
        <v>211</v>
      </c>
      <c r="B25" s="41" t="s">
        <v>27</v>
      </c>
      <c r="C25" s="42" t="s">
        <v>338</v>
      </c>
      <c r="D25" s="47" t="n">
        <f aca="false">D24*D21</f>
        <v>17.325</v>
      </c>
      <c r="E25" s="47" t="n">
        <f aca="false">E24*E21</f>
        <v>23.4</v>
      </c>
      <c r="F25" s="47" t="n">
        <f aca="false">F24*F21</f>
        <v>36</v>
      </c>
      <c r="G25" s="47" t="n">
        <f aca="false">G24*G21</f>
        <v>51.3</v>
      </c>
      <c r="H25" s="47" t="n">
        <f aca="false">H24*H21</f>
        <v>58.5</v>
      </c>
      <c r="I25" s="47" t="n">
        <f aca="false">I24*I21</f>
        <v>63</v>
      </c>
      <c r="J25" s="47" t="n">
        <f aca="false">J24*J21</f>
        <v>63</v>
      </c>
      <c r="K25" s="47" t="n">
        <f aca="false">K24*K21</f>
        <v>63</v>
      </c>
      <c r="L25" s="47" t="n">
        <f aca="false">L24*L21</f>
        <v>63</v>
      </c>
      <c r="M25" s="47" t="n">
        <f aca="false">M24*M21</f>
        <v>63</v>
      </c>
    </row>
    <row r="26" customFormat="false" ht="19.4" hidden="false" customHeight="false" outlineLevel="0" collapsed="false">
      <c r="A26" s="23" t="s">
        <v>213</v>
      </c>
      <c r="B26" s="41" t="s">
        <v>205</v>
      </c>
      <c r="C26" s="42" t="s">
        <v>339</v>
      </c>
      <c r="D26" s="45" t="n">
        <v>1</v>
      </c>
      <c r="E26" s="45" t="n">
        <v>1</v>
      </c>
      <c r="F26" s="45" t="n">
        <v>1</v>
      </c>
      <c r="G26" s="45" t="n">
        <v>1</v>
      </c>
      <c r="H26" s="45" t="n">
        <v>1</v>
      </c>
      <c r="I26" s="45" t="n">
        <v>1</v>
      </c>
      <c r="J26" s="45" t="n">
        <v>1</v>
      </c>
      <c r="K26" s="45" t="n">
        <v>1</v>
      </c>
      <c r="L26" s="45" t="n">
        <v>1</v>
      </c>
      <c r="M26" s="45" t="n">
        <v>1</v>
      </c>
    </row>
    <row r="27" customFormat="false" ht="19.4" hidden="false" customHeight="false" outlineLevel="0" collapsed="false">
      <c r="A27" s="23" t="s">
        <v>215</v>
      </c>
      <c r="B27" s="41" t="s">
        <v>205</v>
      </c>
      <c r="C27" s="42" t="s">
        <v>340</v>
      </c>
      <c r="D27" s="45" t="n">
        <v>1</v>
      </c>
      <c r="E27" s="45" t="n">
        <v>1</v>
      </c>
      <c r="F27" s="45" t="n">
        <v>1</v>
      </c>
      <c r="G27" s="45" t="n">
        <v>1</v>
      </c>
      <c r="H27" s="45" t="n">
        <v>1</v>
      </c>
      <c r="I27" s="45" t="n">
        <v>1</v>
      </c>
      <c r="J27" s="45" t="n">
        <v>1</v>
      </c>
      <c r="K27" s="45" t="n">
        <v>1</v>
      </c>
      <c r="L27" s="45" t="n">
        <v>1</v>
      </c>
      <c r="M27" s="45" t="n">
        <v>1</v>
      </c>
    </row>
    <row r="28" customFormat="false" ht="19.4" hidden="false" customHeight="false" outlineLevel="0" collapsed="false">
      <c r="A28" s="23" t="s">
        <v>217</v>
      </c>
      <c r="B28" s="41" t="s">
        <v>205</v>
      </c>
      <c r="C28" s="42" t="s">
        <v>341</v>
      </c>
      <c r="D28" s="45" t="n">
        <v>0.2</v>
      </c>
      <c r="E28" s="45" t="n">
        <v>0.22</v>
      </c>
      <c r="F28" s="45" t="n">
        <v>0.24</v>
      </c>
      <c r="G28" s="45" t="n">
        <v>0.26</v>
      </c>
      <c r="H28" s="45" t="n">
        <v>0.27</v>
      </c>
      <c r="I28" s="45" t="n">
        <v>0.28</v>
      </c>
      <c r="J28" s="45" t="n">
        <v>0.28</v>
      </c>
      <c r="K28" s="45" t="n">
        <v>0.27</v>
      </c>
      <c r="L28" s="45" t="n">
        <v>0.26</v>
      </c>
      <c r="M28" s="45" t="n">
        <v>0.25</v>
      </c>
    </row>
    <row r="36" customFormat="false" ht="18" hidden="false" customHeight="true" outlineLevel="0" collapsed="false">
      <c r="A36" s="8" t="s">
        <v>219</v>
      </c>
      <c r="B36" s="8"/>
      <c r="C36" s="8"/>
      <c r="D36" s="8"/>
      <c r="E36" s="8"/>
      <c r="F36" s="8"/>
      <c r="G36" s="8"/>
      <c r="H36" s="8"/>
      <c r="I36" s="8"/>
      <c r="J36" s="8"/>
      <c r="K36" s="8"/>
      <c r="L36" s="8"/>
      <c r="M36" s="8"/>
    </row>
    <row r="37" customFormat="false" ht="15" hidden="false" customHeight="false" outlineLevel="0" collapsed="false">
      <c r="A37" s="48" t="s">
        <v>220</v>
      </c>
      <c r="B37" s="49" t="s">
        <v>27</v>
      </c>
      <c r="C37" s="50"/>
      <c r="D37" s="51" t="n">
        <f aca="false">D25</f>
        <v>17.325</v>
      </c>
      <c r="E37" s="51" t="n">
        <f aca="false">E25</f>
        <v>23.4</v>
      </c>
      <c r="F37" s="51" t="n">
        <f aca="false">F25</f>
        <v>36</v>
      </c>
      <c r="G37" s="51" t="n">
        <f aca="false">G25</f>
        <v>51.3</v>
      </c>
      <c r="H37" s="51" t="n">
        <f aca="false">H25</f>
        <v>58.5</v>
      </c>
      <c r="I37" s="51" t="n">
        <f aca="false">I25</f>
        <v>63</v>
      </c>
      <c r="J37" s="51" t="n">
        <f aca="false">J25</f>
        <v>63</v>
      </c>
      <c r="K37" s="51" t="n">
        <f aca="false">K25</f>
        <v>63</v>
      </c>
      <c r="L37" s="51" t="n">
        <f aca="false">L25</f>
        <v>63</v>
      </c>
      <c r="M37" s="51" t="n">
        <f aca="false">M25</f>
        <v>63</v>
      </c>
    </row>
    <row r="38" customFormat="false" ht="15" hidden="false" customHeight="false" outlineLevel="0" collapsed="false">
      <c r="A38" s="52" t="s">
        <v>221</v>
      </c>
      <c r="B38" s="49" t="s">
        <v>27</v>
      </c>
      <c r="C38" s="50"/>
      <c r="D38" s="48" t="n">
        <f aca="false">D25*D26*$B$9</f>
        <v>17.325</v>
      </c>
      <c r="E38" s="48" t="n">
        <f aca="false">E25*E26*$B$9</f>
        <v>23.4</v>
      </c>
      <c r="F38" s="48" t="n">
        <f aca="false">F25*F26*$B$9</f>
        <v>36</v>
      </c>
      <c r="G38" s="48" t="n">
        <f aca="false">G25*G26*$B$9</f>
        <v>51.3</v>
      </c>
      <c r="H38" s="48" t="n">
        <f aca="false">H25*H26*$B$9</f>
        <v>58.5</v>
      </c>
      <c r="I38" s="48" t="n">
        <f aca="false">I25*I26*$B$9</f>
        <v>63</v>
      </c>
      <c r="J38" s="48" t="n">
        <f aca="false">J25*J26*$B$9</f>
        <v>63</v>
      </c>
      <c r="K38" s="48" t="n">
        <f aca="false">K25*K26*$B$9</f>
        <v>63</v>
      </c>
      <c r="L38" s="48" t="n">
        <f aca="false">L25*L26*$B$9</f>
        <v>63</v>
      </c>
      <c r="M38" s="48" t="n">
        <f aca="false">M25*M26*$B$9</f>
        <v>63</v>
      </c>
    </row>
    <row r="39" customFormat="false" ht="15" hidden="false" customHeight="false" outlineLevel="0" collapsed="false">
      <c r="A39" s="52" t="s">
        <v>222</v>
      </c>
      <c r="B39" s="49" t="s">
        <v>27</v>
      </c>
      <c r="C39" s="50"/>
      <c r="D39" s="48" t="n">
        <f aca="false">D38*D27</f>
        <v>17.325</v>
      </c>
      <c r="E39" s="48" t="n">
        <f aca="false">E38*E27</f>
        <v>23.4</v>
      </c>
      <c r="F39" s="48" t="n">
        <f aca="false">F38*F27</f>
        <v>36</v>
      </c>
      <c r="G39" s="48" t="n">
        <f aca="false">G38*G27</f>
        <v>51.3</v>
      </c>
      <c r="H39" s="48" t="n">
        <f aca="false">H38*H27</f>
        <v>58.5</v>
      </c>
      <c r="I39" s="48" t="n">
        <f aca="false">I38*I27</f>
        <v>63</v>
      </c>
      <c r="J39" s="48" t="n">
        <f aca="false">J38*J27</f>
        <v>63</v>
      </c>
      <c r="K39" s="48" t="n">
        <f aca="false">K38*K27</f>
        <v>63</v>
      </c>
      <c r="L39" s="48" t="n">
        <f aca="false">L38*L27</f>
        <v>63</v>
      </c>
      <c r="M39" s="48" t="n">
        <f aca="false">M38*M27</f>
        <v>63</v>
      </c>
    </row>
    <row r="40" customFormat="false" ht="15" hidden="false" customHeight="false" outlineLevel="0" collapsed="false">
      <c r="A40" s="48" t="s">
        <v>217</v>
      </c>
      <c r="B40" s="49" t="s">
        <v>205</v>
      </c>
      <c r="C40" s="50"/>
      <c r="D40" s="53" t="n">
        <f aca="false">D28</f>
        <v>0.2</v>
      </c>
      <c r="E40" s="53" t="n">
        <f aca="false">E28</f>
        <v>0.22</v>
      </c>
      <c r="F40" s="53" t="n">
        <f aca="false">F28</f>
        <v>0.24</v>
      </c>
      <c r="G40" s="53" t="n">
        <f aca="false">G28</f>
        <v>0.26</v>
      </c>
      <c r="H40" s="53" t="n">
        <f aca="false">H28</f>
        <v>0.27</v>
      </c>
      <c r="I40" s="53" t="n">
        <f aca="false">I28</f>
        <v>0.28</v>
      </c>
      <c r="J40" s="53" t="n">
        <f aca="false">J28</f>
        <v>0.28</v>
      </c>
      <c r="K40" s="53" t="n">
        <f aca="false">K28</f>
        <v>0.27</v>
      </c>
      <c r="L40" s="53" t="n">
        <f aca="false">L28</f>
        <v>0.26</v>
      </c>
      <c r="M40" s="53" t="n">
        <f aca="false">M28</f>
        <v>0.25</v>
      </c>
    </row>
    <row r="41" customFormat="false" ht="15" hidden="false" customHeight="false" outlineLevel="0" collapsed="false">
      <c r="A41" s="48" t="s">
        <v>162</v>
      </c>
      <c r="B41" s="49" t="s">
        <v>27</v>
      </c>
      <c r="C41" s="50"/>
      <c r="D41" s="48" t="n">
        <f aca="false">D38*D40</f>
        <v>3.465</v>
      </c>
      <c r="E41" s="48" t="n">
        <f aca="false">E38*E40</f>
        <v>5.148</v>
      </c>
      <c r="F41" s="48" t="n">
        <f aca="false">F38*F40</f>
        <v>8.64</v>
      </c>
      <c r="G41" s="48" t="n">
        <f aca="false">G38*G40</f>
        <v>13.338</v>
      </c>
      <c r="H41" s="48" t="n">
        <f aca="false">H38*H40</f>
        <v>15.795</v>
      </c>
      <c r="I41" s="48" t="n">
        <f aca="false">I38*I40</f>
        <v>17.64</v>
      </c>
      <c r="J41" s="48" t="n">
        <f aca="false">J38*J40</f>
        <v>17.64</v>
      </c>
      <c r="K41" s="48" t="n">
        <f aca="false">K38*K40</f>
        <v>17.01</v>
      </c>
      <c r="L41" s="48" t="n">
        <f aca="false">L38*L40</f>
        <v>16.38</v>
      </c>
      <c r="M41" s="48" t="n">
        <f aca="false">M38*M40</f>
        <v>15.75</v>
      </c>
    </row>
    <row r="42" customFormat="false" ht="15" hidden="false" customHeight="false" outlineLevel="0" collapsed="false">
      <c r="A42" s="48" t="s">
        <v>30</v>
      </c>
      <c r="B42" s="49" t="s">
        <v>27</v>
      </c>
      <c r="C42" s="50"/>
      <c r="D42" s="48" t="n">
        <f aca="false">D39*D40</f>
        <v>3.465</v>
      </c>
      <c r="E42" s="48" t="n">
        <f aca="false">E39*E40</f>
        <v>5.148</v>
      </c>
      <c r="F42" s="48" t="n">
        <f aca="false">F39*F40</f>
        <v>8.64</v>
      </c>
      <c r="G42" s="48" t="n">
        <f aca="false">G39*G40</f>
        <v>13.338</v>
      </c>
      <c r="H42" s="48" t="n">
        <f aca="false">H39*H40</f>
        <v>15.795</v>
      </c>
      <c r="I42" s="48" t="n">
        <f aca="false">I39*I40</f>
        <v>17.64</v>
      </c>
      <c r="J42" s="48" t="n">
        <f aca="false">J39*J40</f>
        <v>17.64</v>
      </c>
      <c r="K42" s="48" t="n">
        <f aca="false">K39*K40</f>
        <v>17.01</v>
      </c>
      <c r="L42" s="48" t="n">
        <f aca="false">L39*L40</f>
        <v>16.38</v>
      </c>
      <c r="M42" s="48" t="n">
        <f aca="false">M39*M40</f>
        <v>15.75</v>
      </c>
    </row>
    <row r="43" customFormat="false" ht="15" hidden="false" customHeight="false" outlineLevel="0" collapsed="false">
      <c r="A43" s="48" t="s">
        <v>221</v>
      </c>
      <c r="B43" s="49" t="s">
        <v>31</v>
      </c>
      <c r="C43" s="50"/>
      <c r="D43" s="54" t="n">
        <f aca="false">D38*'Global Assump'!D$4</f>
        <v>1489.95</v>
      </c>
      <c r="E43" s="54" t="n">
        <f aca="false">E38*'Global Assump'!E$4</f>
        <v>2059.2</v>
      </c>
      <c r="F43" s="54" t="n">
        <f aca="false">F38*'Global Assump'!F$4</f>
        <v>3240</v>
      </c>
      <c r="G43" s="54" t="n">
        <f aca="false">G38*'Global Assump'!G$4</f>
        <v>4719.6</v>
      </c>
      <c r="H43" s="54" t="n">
        <f aca="false">H38*'Global Assump'!H$4</f>
        <v>5499</v>
      </c>
      <c r="I43" s="54" t="n">
        <f aca="false">I38*'Global Assump'!I$4</f>
        <v>6048</v>
      </c>
      <c r="J43" s="54" t="n">
        <f aca="false">J38*'Global Assump'!J$4</f>
        <v>6174</v>
      </c>
      <c r="K43" s="54" t="n">
        <f aca="false">K38*'Global Assump'!K$4</f>
        <v>6300</v>
      </c>
      <c r="L43" s="54" t="n">
        <f aca="false">L38*'Global Assump'!L$4</f>
        <v>6426</v>
      </c>
      <c r="M43" s="54" t="n">
        <f aca="false">M38*'Global Assump'!M$4</f>
        <v>6552</v>
      </c>
    </row>
    <row r="44" customFormat="false" ht="15" hidden="false" customHeight="false" outlineLevel="0" collapsed="false">
      <c r="A44" s="48" t="s">
        <v>222</v>
      </c>
      <c r="B44" s="49" t="s">
        <v>31</v>
      </c>
      <c r="C44" s="50"/>
      <c r="D44" s="54" t="n">
        <f aca="false">D39*'Global Assump'!D$4</f>
        <v>1489.95</v>
      </c>
      <c r="E44" s="54" t="n">
        <f aca="false">E39*'Global Assump'!E$4</f>
        <v>2059.2</v>
      </c>
      <c r="F44" s="54" t="n">
        <f aca="false">F39*'Global Assump'!F$4</f>
        <v>3240</v>
      </c>
      <c r="G44" s="54" t="n">
        <f aca="false">G39*'Global Assump'!G$4</f>
        <v>4719.6</v>
      </c>
      <c r="H44" s="54" t="n">
        <f aca="false">H39*'Global Assump'!H$4</f>
        <v>5499</v>
      </c>
      <c r="I44" s="54" t="n">
        <f aca="false">I39*'Global Assump'!I$4</f>
        <v>6048</v>
      </c>
      <c r="J44" s="54" t="n">
        <f aca="false">J39*'Global Assump'!J$4</f>
        <v>6174</v>
      </c>
      <c r="K44" s="54" t="n">
        <f aca="false">K39*'Global Assump'!K$4</f>
        <v>6300</v>
      </c>
      <c r="L44" s="54" t="n">
        <f aca="false">L39*'Global Assump'!L$4</f>
        <v>6426</v>
      </c>
      <c r="M44" s="54" t="n">
        <f aca="false">M39*'Global Assump'!M$4</f>
        <v>6552</v>
      </c>
    </row>
    <row r="46" customFormat="false" ht="18" hidden="false" customHeight="true" outlineLevel="0" collapsed="false">
      <c r="A46" s="8" t="s">
        <v>223</v>
      </c>
      <c r="B46" s="8"/>
      <c r="C46" s="8"/>
      <c r="D46" s="8"/>
      <c r="E46" s="8"/>
      <c r="F46" s="8"/>
      <c r="G46" s="8"/>
      <c r="H46" s="8"/>
      <c r="I46" s="8"/>
      <c r="J46" s="8"/>
      <c r="K46" s="8"/>
      <c r="L46" s="8"/>
      <c r="M46" s="8"/>
    </row>
    <row r="47" customFormat="false" ht="27.75" hidden="false" customHeight="true" outlineLevel="0" collapsed="false">
      <c r="A47" s="55" t="s">
        <v>342</v>
      </c>
      <c r="B47" s="55"/>
      <c r="C47" s="55"/>
      <c r="D47" s="55"/>
      <c r="E47" s="55"/>
      <c r="F47" s="55"/>
      <c r="G47" s="55"/>
      <c r="H47" s="55"/>
      <c r="I47" s="55"/>
      <c r="J47" s="55"/>
      <c r="K47" s="55"/>
      <c r="L47" s="55"/>
      <c r="M47" s="55"/>
    </row>
  </sheetData>
  <autoFilter ref="A19:M44"/>
  <mergeCells count="19">
    <mergeCell ref="A1:M1"/>
    <mergeCell ref="A2:M2"/>
    <mergeCell ref="A4:M4"/>
    <mergeCell ref="B5:M5"/>
    <mergeCell ref="B6:M6"/>
    <mergeCell ref="B7:M7"/>
    <mergeCell ref="B8:M8"/>
    <mergeCell ref="B9:M9"/>
    <mergeCell ref="B10:M10"/>
    <mergeCell ref="B11:M11"/>
    <mergeCell ref="B12:M12"/>
    <mergeCell ref="B13:M13"/>
    <mergeCell ref="B14:M14"/>
    <mergeCell ref="B15:M15"/>
    <mergeCell ref="B16:M16"/>
    <mergeCell ref="A18:M18"/>
    <mergeCell ref="A36:M36"/>
    <mergeCell ref="A46:M46"/>
    <mergeCell ref="A47:M47"/>
  </mergeCells>
  <conditionalFormatting sqref="B13">
    <cfRule type="expression" priority="2" aboveAverage="0" equalAverage="0" bottom="0" percent="0" rank="0" text="" dxfId="6">
      <formula>B13="Within range"</formula>
    </cfRule>
    <cfRule type="expression" priority="3" aboveAverage="0" equalAverage="0" bottom="0" percent="0" rank="0" text="" dxfId="7">
      <formula>B13&lt;&gt;"Within range"</formula>
    </cfRule>
  </conditionalFormatting>
  <dataValidations count="1">
    <dataValidation allowBlank="false" errorStyle="stop" operator="between" showDropDown="false" showErrorMessage="false" showInputMessage="false" sqref="B9" type="list">
      <formula1>"0,1"</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drawing r:id="rId1"/>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M47"/>
  <sheetViews>
    <sheetView showFormulas="false" showGridLines="false" showRowColHeaders="true" showZeros="true" rightToLeft="false" tabSelected="false" showOutlineSymbols="true" defaultGridColor="true" view="normal" topLeftCell="A1" colorId="64" zoomScale="85" zoomScaleNormal="85" zoomScalePageLayoutView="100" workbookViewId="0">
      <pane xSplit="3" ySplit="19" topLeftCell="D20" activePane="bottomRight" state="frozen"/>
      <selection pane="topLeft" activeCell="A1" activeCellId="0" sqref="A1"/>
      <selection pane="topRight" activeCell="D1" activeCellId="0" sqref="D1"/>
      <selection pane="bottomLeft" activeCell="A20" activeCellId="0" sqref="A20"/>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0" width="32"/>
    <col collapsed="false" customWidth="true" hidden="false" outlineLevel="0" max="2" min="2" style="0" width="15"/>
    <col collapsed="false" customWidth="true" hidden="false" outlineLevel="0" max="3" min="3" style="0" width="30"/>
    <col collapsed="false" customWidth="true" hidden="false" outlineLevel="0" max="13" min="4" style="0" width="12"/>
  </cols>
  <sheetData>
    <row r="1" customFormat="false" ht="24" hidden="false" customHeight="true" outlineLevel="0" collapsed="false">
      <c r="A1" s="24" t="s">
        <v>101</v>
      </c>
      <c r="B1" s="24"/>
      <c r="C1" s="24"/>
      <c r="D1" s="24"/>
      <c r="E1" s="24"/>
      <c r="F1" s="24"/>
      <c r="G1" s="24"/>
      <c r="H1" s="24"/>
      <c r="I1" s="24"/>
      <c r="J1" s="24"/>
      <c r="K1" s="24"/>
      <c r="L1" s="24"/>
      <c r="M1" s="24"/>
    </row>
    <row r="2" customFormat="false" ht="27.75" hidden="false" customHeight="true" outlineLevel="0" collapsed="false">
      <c r="A2" s="25" t="s">
        <v>343</v>
      </c>
      <c r="B2" s="25"/>
      <c r="C2" s="25"/>
      <c r="D2" s="25"/>
      <c r="E2" s="25"/>
      <c r="F2" s="25"/>
      <c r="G2" s="25"/>
      <c r="H2" s="25"/>
      <c r="I2" s="25"/>
      <c r="J2" s="25"/>
      <c r="K2" s="25"/>
      <c r="L2" s="25"/>
      <c r="M2" s="25"/>
    </row>
    <row r="4" customFormat="false" ht="18" hidden="false" customHeight="true" outlineLevel="0" collapsed="false">
      <c r="A4" s="8" t="s">
        <v>182</v>
      </c>
      <c r="B4" s="8"/>
      <c r="C4" s="8"/>
      <c r="D4" s="8"/>
      <c r="E4" s="8"/>
      <c r="F4" s="8"/>
      <c r="G4" s="8"/>
      <c r="H4" s="8"/>
      <c r="I4" s="8"/>
      <c r="J4" s="8"/>
      <c r="K4" s="8"/>
      <c r="L4" s="8"/>
      <c r="M4" s="8"/>
    </row>
    <row r="5" customFormat="false" ht="18" hidden="false" customHeight="true" outlineLevel="0" collapsed="false">
      <c r="A5" s="33" t="s">
        <v>183</v>
      </c>
      <c r="B5" s="34" t="s">
        <v>101</v>
      </c>
      <c r="C5" s="34"/>
      <c r="D5" s="34"/>
      <c r="E5" s="34"/>
      <c r="F5" s="34"/>
      <c r="G5" s="34"/>
      <c r="H5" s="34"/>
      <c r="I5" s="34"/>
      <c r="J5" s="34"/>
      <c r="K5" s="34"/>
      <c r="L5" s="34"/>
      <c r="M5" s="34"/>
    </row>
    <row r="6" customFormat="false" ht="18" hidden="false" customHeight="true" outlineLevel="0" collapsed="false">
      <c r="A6" s="33" t="s">
        <v>33</v>
      </c>
      <c r="B6" s="34" t="s">
        <v>37</v>
      </c>
      <c r="C6" s="34"/>
      <c r="D6" s="34"/>
      <c r="E6" s="34"/>
      <c r="F6" s="34"/>
      <c r="G6" s="34"/>
      <c r="H6" s="34"/>
      <c r="I6" s="34"/>
      <c r="J6" s="34"/>
      <c r="K6" s="34"/>
      <c r="L6" s="34"/>
      <c r="M6" s="34"/>
    </row>
    <row r="7" customFormat="false" ht="18" hidden="false" customHeight="true" outlineLevel="0" collapsed="false">
      <c r="A7" s="33" t="s">
        <v>42</v>
      </c>
      <c r="B7" s="34" t="s">
        <v>102</v>
      </c>
      <c r="C7" s="34"/>
      <c r="D7" s="34"/>
      <c r="E7" s="34"/>
      <c r="F7" s="34"/>
      <c r="G7" s="34"/>
      <c r="H7" s="34"/>
      <c r="I7" s="34"/>
      <c r="J7" s="34"/>
      <c r="K7" s="34"/>
      <c r="L7" s="34"/>
      <c r="M7" s="34"/>
    </row>
    <row r="8" customFormat="false" ht="24" hidden="false" customHeight="true" outlineLevel="0" collapsed="false">
      <c r="A8" s="33" t="s">
        <v>184</v>
      </c>
      <c r="B8" s="34" t="s">
        <v>103</v>
      </c>
      <c r="C8" s="34"/>
      <c r="D8" s="34"/>
      <c r="E8" s="34"/>
      <c r="F8" s="34"/>
      <c r="G8" s="34"/>
      <c r="H8" s="34"/>
      <c r="I8" s="34"/>
      <c r="J8" s="34"/>
      <c r="K8" s="34"/>
      <c r="L8" s="34"/>
      <c r="M8" s="34"/>
    </row>
    <row r="9" customFormat="false" ht="18" hidden="false" customHeight="true" outlineLevel="0" collapsed="false">
      <c r="A9" s="33" t="s">
        <v>185</v>
      </c>
      <c r="B9" s="35" t="n">
        <v>1</v>
      </c>
      <c r="C9" s="35"/>
      <c r="D9" s="35"/>
      <c r="E9" s="35"/>
      <c r="F9" s="35"/>
      <c r="G9" s="35"/>
      <c r="H9" s="35"/>
      <c r="I9" s="35"/>
      <c r="J9" s="35"/>
      <c r="K9" s="35"/>
      <c r="L9" s="35"/>
      <c r="M9" s="35"/>
    </row>
    <row r="10" customFormat="false" ht="18" hidden="false" customHeight="true" outlineLevel="0" collapsed="false">
      <c r="A10" s="33" t="s">
        <v>186</v>
      </c>
      <c r="B10" s="36" t="n">
        <v>75</v>
      </c>
      <c r="C10" s="36"/>
      <c r="D10" s="36"/>
      <c r="E10" s="36"/>
      <c r="F10" s="36"/>
      <c r="G10" s="36"/>
      <c r="H10" s="36"/>
      <c r="I10" s="36"/>
      <c r="J10" s="36"/>
      <c r="K10" s="36"/>
      <c r="L10" s="36"/>
      <c r="M10" s="36"/>
    </row>
    <row r="11" customFormat="false" ht="18" hidden="false" customHeight="true" outlineLevel="0" collapsed="false">
      <c r="A11" s="33" t="s">
        <v>187</v>
      </c>
      <c r="B11" s="36" t="n">
        <v>90</v>
      </c>
      <c r="C11" s="36"/>
      <c r="D11" s="36"/>
      <c r="E11" s="36"/>
      <c r="F11" s="36"/>
      <c r="G11" s="36"/>
      <c r="H11" s="36"/>
      <c r="I11" s="36"/>
      <c r="J11" s="36"/>
      <c r="K11" s="36"/>
      <c r="L11" s="36"/>
      <c r="M11" s="36"/>
    </row>
    <row r="12" customFormat="false" ht="18" hidden="false" customHeight="true" outlineLevel="0" collapsed="false">
      <c r="A12" s="33" t="s">
        <v>344</v>
      </c>
      <c r="B12" s="37" t="n">
        <f aca="false">G38</f>
        <v>85.34</v>
      </c>
      <c r="C12" s="37"/>
      <c r="D12" s="37"/>
      <c r="E12" s="37"/>
      <c r="F12" s="37"/>
      <c r="G12" s="37"/>
      <c r="H12" s="37"/>
      <c r="I12" s="37"/>
      <c r="J12" s="37"/>
      <c r="K12" s="37"/>
      <c r="L12" s="37"/>
      <c r="M12" s="37"/>
    </row>
    <row r="13" customFormat="false" ht="18" hidden="false" customHeight="true" outlineLevel="0" collapsed="false">
      <c r="A13" s="33" t="s">
        <v>189</v>
      </c>
      <c r="B13" s="38" t="str">
        <f aca="false">IF(AND(B12&gt;=B10,B12&lt;=B11),"Within range",IF(B12&lt;B10,"Below range","Above range"))</f>
        <v>Within range</v>
      </c>
      <c r="C13" s="38"/>
      <c r="D13" s="38"/>
      <c r="E13" s="38"/>
      <c r="F13" s="38"/>
      <c r="G13" s="38"/>
      <c r="H13" s="38"/>
      <c r="I13" s="38"/>
      <c r="J13" s="38"/>
      <c r="K13" s="38"/>
      <c r="L13" s="38"/>
      <c r="M13" s="38"/>
    </row>
    <row r="14" customFormat="false" ht="18" hidden="false" customHeight="true" outlineLevel="0" collapsed="false">
      <c r="A14" s="33" t="s">
        <v>190</v>
      </c>
      <c r="B14" s="34" t="s">
        <v>53</v>
      </c>
      <c r="C14" s="34"/>
      <c r="D14" s="34"/>
      <c r="E14" s="34"/>
      <c r="F14" s="34"/>
      <c r="G14" s="34"/>
      <c r="H14" s="34"/>
      <c r="I14" s="34"/>
      <c r="J14" s="34"/>
      <c r="K14" s="34"/>
      <c r="L14" s="34"/>
      <c r="M14" s="34"/>
    </row>
    <row r="15" customFormat="false" ht="24" hidden="false" customHeight="true" outlineLevel="0" collapsed="false">
      <c r="A15" s="33" t="s">
        <v>191</v>
      </c>
      <c r="B15" s="34" t="s">
        <v>345</v>
      </c>
      <c r="C15" s="34"/>
      <c r="D15" s="34"/>
      <c r="E15" s="34"/>
      <c r="F15" s="34"/>
      <c r="G15" s="34"/>
      <c r="H15" s="34"/>
      <c r="I15" s="34"/>
      <c r="J15" s="34"/>
      <c r="K15" s="34"/>
      <c r="L15" s="34"/>
      <c r="M15" s="34"/>
    </row>
    <row r="16" customFormat="false" ht="24" hidden="false" customHeight="true" outlineLevel="0" collapsed="false">
      <c r="A16" s="33" t="s">
        <v>193</v>
      </c>
      <c r="B16" s="34" t="s">
        <v>346</v>
      </c>
      <c r="C16" s="34"/>
      <c r="D16" s="34"/>
      <c r="E16" s="34"/>
      <c r="F16" s="34"/>
      <c r="G16" s="34"/>
      <c r="H16" s="34"/>
      <c r="I16" s="34"/>
      <c r="J16" s="34"/>
      <c r="K16" s="34"/>
      <c r="L16" s="34"/>
      <c r="M16" s="34"/>
    </row>
    <row r="18" customFormat="false" ht="18" hidden="false" customHeight="true" outlineLevel="0" collapsed="false">
      <c r="A18" s="8" t="s">
        <v>195</v>
      </c>
      <c r="B18" s="8"/>
      <c r="C18" s="8"/>
      <c r="D18" s="8"/>
      <c r="E18" s="8"/>
      <c r="F18" s="8"/>
      <c r="G18" s="8"/>
      <c r="H18" s="8"/>
      <c r="I18" s="8"/>
      <c r="J18" s="8"/>
      <c r="K18" s="8"/>
      <c r="L18" s="8"/>
      <c r="M18" s="8"/>
    </row>
    <row r="19" customFormat="false" ht="15" hidden="false" customHeight="false" outlineLevel="0" collapsed="false">
      <c r="A19" s="39" t="s">
        <v>196</v>
      </c>
      <c r="B19" s="39" t="s">
        <v>15</v>
      </c>
      <c r="C19" s="39" t="s">
        <v>197</v>
      </c>
      <c r="D19" s="39" t="s">
        <v>16</v>
      </c>
      <c r="E19" s="39" t="s">
        <v>17</v>
      </c>
      <c r="F19" s="39" t="s">
        <v>18</v>
      </c>
      <c r="G19" s="39" t="s">
        <v>19</v>
      </c>
      <c r="H19" s="39" t="s">
        <v>20</v>
      </c>
      <c r="I19" s="39" t="s">
        <v>21</v>
      </c>
      <c r="J19" s="39" t="s">
        <v>22</v>
      </c>
      <c r="K19" s="39" t="s">
        <v>23</v>
      </c>
      <c r="L19" s="39" t="s">
        <v>24</v>
      </c>
      <c r="M19" s="39" t="s">
        <v>25</v>
      </c>
    </row>
    <row r="20" customFormat="false" ht="19.4" hidden="false" customHeight="false" outlineLevel="0" collapsed="false">
      <c r="A20" s="40" t="s">
        <v>347</v>
      </c>
      <c r="B20" s="41" t="s">
        <v>199</v>
      </c>
      <c r="C20" s="42" t="s">
        <v>348</v>
      </c>
      <c r="D20" s="43" t="n">
        <v>25</v>
      </c>
      <c r="E20" s="43" t="n">
        <v>27</v>
      </c>
      <c r="F20" s="43" t="n">
        <v>29</v>
      </c>
      <c r="G20" s="43" t="n">
        <v>32</v>
      </c>
      <c r="H20" s="43" t="n">
        <v>34</v>
      </c>
      <c r="I20" s="43" t="n">
        <v>36</v>
      </c>
      <c r="J20" s="43" t="n">
        <v>38</v>
      </c>
      <c r="K20" s="43" t="n">
        <v>40</v>
      </c>
      <c r="L20" s="43" t="n">
        <v>42</v>
      </c>
      <c r="M20" s="43" t="n">
        <v>44</v>
      </c>
    </row>
    <row r="21" customFormat="false" ht="15" hidden="false" customHeight="false" outlineLevel="0" collapsed="false">
      <c r="A21" s="40" t="s">
        <v>349</v>
      </c>
      <c r="B21" s="41" t="s">
        <v>27</v>
      </c>
      <c r="C21" s="42" t="s">
        <v>350</v>
      </c>
      <c r="D21" s="57" t="n">
        <v>0.8</v>
      </c>
      <c r="E21" s="57" t="n">
        <v>0.8</v>
      </c>
      <c r="F21" s="57" t="n">
        <v>0.8</v>
      </c>
      <c r="G21" s="57" t="n">
        <v>0.8</v>
      </c>
      <c r="H21" s="57" t="n">
        <v>0.8</v>
      </c>
      <c r="I21" s="57" t="n">
        <v>0.8</v>
      </c>
      <c r="J21" s="57" t="n">
        <v>0.8</v>
      </c>
      <c r="K21" s="57" t="n">
        <v>0.8</v>
      </c>
      <c r="L21" s="57" t="n">
        <v>0.8</v>
      </c>
      <c r="M21" s="57" t="n">
        <v>0.8</v>
      </c>
    </row>
    <row r="22" customFormat="false" ht="15" hidden="false" customHeight="false" outlineLevel="0" collapsed="false">
      <c r="A22" s="23" t="s">
        <v>351</v>
      </c>
      <c r="B22" s="41" t="s">
        <v>27</v>
      </c>
      <c r="C22" s="42" t="s">
        <v>352</v>
      </c>
      <c r="D22" s="47" t="n">
        <f aca="false">D20*D21</f>
        <v>20</v>
      </c>
      <c r="E22" s="47" t="n">
        <f aca="false">E20*E21</f>
        <v>21.6</v>
      </c>
      <c r="F22" s="47" t="n">
        <f aca="false">F20*F21</f>
        <v>23.2</v>
      </c>
      <c r="G22" s="47" t="n">
        <f aca="false">G20*G21</f>
        <v>25.6</v>
      </c>
      <c r="H22" s="47" t="n">
        <f aca="false">H20*H21</f>
        <v>27.2</v>
      </c>
      <c r="I22" s="47" t="n">
        <f aca="false">I20*I21</f>
        <v>28.8</v>
      </c>
      <c r="J22" s="47" t="n">
        <f aca="false">J20*J21</f>
        <v>30.4</v>
      </c>
      <c r="K22" s="47" t="n">
        <f aca="false">K20*K21</f>
        <v>32</v>
      </c>
      <c r="L22" s="47" t="n">
        <f aca="false">L20*L21</f>
        <v>33.6</v>
      </c>
      <c r="M22" s="47" t="n">
        <f aca="false">M20*M21</f>
        <v>35.2</v>
      </c>
    </row>
    <row r="23" customFormat="false" ht="19.4" hidden="false" customHeight="false" outlineLevel="0" collapsed="false">
      <c r="A23" s="23" t="s">
        <v>353</v>
      </c>
      <c r="B23" s="41" t="s">
        <v>199</v>
      </c>
      <c r="C23" s="42" t="s">
        <v>354</v>
      </c>
      <c r="D23" s="43" t="n">
        <v>45</v>
      </c>
      <c r="E23" s="43" t="n">
        <v>47</v>
      </c>
      <c r="F23" s="43" t="n">
        <v>50</v>
      </c>
      <c r="G23" s="43" t="n">
        <v>54</v>
      </c>
      <c r="H23" s="43" t="n">
        <v>57</v>
      </c>
      <c r="I23" s="43" t="n">
        <v>60</v>
      </c>
      <c r="J23" s="43" t="n">
        <v>62</v>
      </c>
      <c r="K23" s="43" t="n">
        <v>64</v>
      </c>
      <c r="L23" s="43" t="n">
        <v>66</v>
      </c>
      <c r="M23" s="43" t="n">
        <v>68</v>
      </c>
    </row>
    <row r="24" customFormat="false" ht="15" hidden="false" customHeight="false" outlineLevel="0" collapsed="false">
      <c r="A24" s="23" t="s">
        <v>355</v>
      </c>
      <c r="B24" s="41" t="s">
        <v>27</v>
      </c>
      <c r="C24" s="42" t="s">
        <v>350</v>
      </c>
      <c r="D24" s="57" t="n">
        <v>0.75</v>
      </c>
      <c r="E24" s="57" t="n">
        <v>0.75</v>
      </c>
      <c r="F24" s="57" t="n">
        <v>0.75</v>
      </c>
      <c r="G24" s="57" t="n">
        <v>0.75</v>
      </c>
      <c r="H24" s="57" t="n">
        <v>0.75</v>
      </c>
      <c r="I24" s="57" t="n">
        <v>0.75</v>
      </c>
      <c r="J24" s="57" t="n">
        <v>0.75</v>
      </c>
      <c r="K24" s="57" t="n">
        <v>0.75</v>
      </c>
      <c r="L24" s="57" t="n">
        <v>0.75</v>
      </c>
      <c r="M24" s="57" t="n">
        <v>0.75</v>
      </c>
    </row>
    <row r="25" customFormat="false" ht="15" hidden="false" customHeight="false" outlineLevel="0" collapsed="false">
      <c r="A25" s="23" t="s">
        <v>356</v>
      </c>
      <c r="B25" s="41" t="s">
        <v>27</v>
      </c>
      <c r="C25" s="42" t="s">
        <v>352</v>
      </c>
      <c r="D25" s="47" t="n">
        <f aca="false">D23*D24</f>
        <v>33.75</v>
      </c>
      <c r="E25" s="47" t="n">
        <f aca="false">E23*E24</f>
        <v>35.25</v>
      </c>
      <c r="F25" s="47" t="n">
        <f aca="false">F23*F24</f>
        <v>37.5</v>
      </c>
      <c r="G25" s="47" t="n">
        <f aca="false">G23*G24</f>
        <v>40.5</v>
      </c>
      <c r="H25" s="47" t="n">
        <f aca="false">H23*H24</f>
        <v>42.75</v>
      </c>
      <c r="I25" s="47" t="n">
        <f aca="false">I23*I24</f>
        <v>45</v>
      </c>
      <c r="J25" s="47" t="n">
        <f aca="false">J23*J24</f>
        <v>46.5</v>
      </c>
      <c r="K25" s="47" t="n">
        <f aca="false">K23*K24</f>
        <v>48</v>
      </c>
      <c r="L25" s="47" t="n">
        <f aca="false">L23*L24</f>
        <v>49.5</v>
      </c>
      <c r="M25" s="47" t="n">
        <f aca="false">M23*M24</f>
        <v>51</v>
      </c>
    </row>
    <row r="26" customFormat="false" ht="19.4" hidden="false" customHeight="false" outlineLevel="0" collapsed="false">
      <c r="A26" s="23" t="s">
        <v>357</v>
      </c>
      <c r="B26" s="41" t="s">
        <v>199</v>
      </c>
      <c r="C26" s="42" t="s">
        <v>358</v>
      </c>
      <c r="D26" s="43" t="n">
        <v>12</v>
      </c>
      <c r="E26" s="43" t="n">
        <v>18</v>
      </c>
      <c r="F26" s="43" t="n">
        <v>26</v>
      </c>
      <c r="G26" s="43" t="n">
        <v>37</v>
      </c>
      <c r="H26" s="43" t="n">
        <v>48</v>
      </c>
      <c r="I26" s="43" t="n">
        <v>58</v>
      </c>
      <c r="J26" s="43" t="n">
        <v>68</v>
      </c>
      <c r="K26" s="43" t="n">
        <v>78</v>
      </c>
      <c r="L26" s="43" t="n">
        <v>88</v>
      </c>
      <c r="M26" s="43" t="n">
        <v>98</v>
      </c>
    </row>
    <row r="27" customFormat="false" ht="15" hidden="false" customHeight="false" outlineLevel="0" collapsed="false">
      <c r="A27" s="23" t="s">
        <v>359</v>
      </c>
      <c r="B27" s="41" t="s">
        <v>27</v>
      </c>
      <c r="C27" s="42" t="s">
        <v>350</v>
      </c>
      <c r="D27" s="57" t="n">
        <v>0.52</v>
      </c>
      <c r="E27" s="57" t="n">
        <v>0.52</v>
      </c>
      <c r="F27" s="57" t="n">
        <v>0.52</v>
      </c>
      <c r="G27" s="57" t="n">
        <v>0.52</v>
      </c>
      <c r="H27" s="57" t="n">
        <v>0.52</v>
      </c>
      <c r="I27" s="57" t="n">
        <v>0.52</v>
      </c>
      <c r="J27" s="57" t="n">
        <v>0.52</v>
      </c>
      <c r="K27" s="57" t="n">
        <v>0.52</v>
      </c>
      <c r="L27" s="57" t="n">
        <v>0.52</v>
      </c>
      <c r="M27" s="57" t="n">
        <v>0.52</v>
      </c>
    </row>
    <row r="28" customFormat="false" ht="15" hidden="false" customHeight="false" outlineLevel="0" collapsed="false">
      <c r="A28" s="23" t="s">
        <v>360</v>
      </c>
      <c r="B28" s="41" t="s">
        <v>27</v>
      </c>
      <c r="C28" s="42" t="s">
        <v>352</v>
      </c>
      <c r="D28" s="47" t="n">
        <f aca="false">D26*D27</f>
        <v>6.24</v>
      </c>
      <c r="E28" s="47" t="n">
        <f aca="false">E26*E27</f>
        <v>9.36</v>
      </c>
      <c r="F28" s="47" t="n">
        <f aca="false">F26*F27</f>
        <v>13.52</v>
      </c>
      <c r="G28" s="47" t="n">
        <f aca="false">G26*G27</f>
        <v>19.24</v>
      </c>
      <c r="H28" s="47" t="n">
        <f aca="false">H26*H27</f>
        <v>24.96</v>
      </c>
      <c r="I28" s="47" t="n">
        <f aca="false">I26*I27</f>
        <v>30.16</v>
      </c>
      <c r="J28" s="47" t="n">
        <f aca="false">J26*J27</f>
        <v>35.36</v>
      </c>
      <c r="K28" s="47" t="n">
        <f aca="false">K26*K27</f>
        <v>40.56</v>
      </c>
      <c r="L28" s="47" t="n">
        <f aca="false">L26*L27</f>
        <v>45.76</v>
      </c>
      <c r="M28" s="47" t="n">
        <f aca="false">M26*M27</f>
        <v>50.96</v>
      </c>
    </row>
    <row r="29" customFormat="false" ht="15" hidden="false" customHeight="false" outlineLevel="0" collapsed="false">
      <c r="A29" s="23" t="s">
        <v>361</v>
      </c>
      <c r="B29" s="41" t="s">
        <v>27</v>
      </c>
      <c r="C29" s="42" t="s">
        <v>362</v>
      </c>
      <c r="D29" s="47" t="n">
        <f aca="false">SUM(D22,D25,D28)</f>
        <v>59.99</v>
      </c>
      <c r="E29" s="47" t="n">
        <f aca="false">SUM(E22,E25,E28)</f>
        <v>66.21</v>
      </c>
      <c r="F29" s="47" t="n">
        <f aca="false">SUM(F22,F25,F28)</f>
        <v>74.22</v>
      </c>
      <c r="G29" s="47" t="n">
        <f aca="false">SUM(G22,G25,G28)</f>
        <v>85.34</v>
      </c>
      <c r="H29" s="47" t="n">
        <f aca="false">SUM(H22,H25,H28)</f>
        <v>94.91</v>
      </c>
      <c r="I29" s="47" t="n">
        <f aca="false">SUM(I22,I25,I28)</f>
        <v>103.96</v>
      </c>
      <c r="J29" s="47" t="n">
        <f aca="false">SUM(J22,J25,J28)</f>
        <v>112.26</v>
      </c>
      <c r="K29" s="47" t="n">
        <f aca="false">SUM(K22,K25,K28)</f>
        <v>120.56</v>
      </c>
      <c r="L29" s="47" t="n">
        <f aca="false">SUM(L22,L25,L28)</f>
        <v>128.86</v>
      </c>
      <c r="M29" s="47" t="n">
        <f aca="false">SUM(M22,M25,M28)</f>
        <v>137.16</v>
      </c>
    </row>
    <row r="30" customFormat="false" ht="19.4" hidden="false" customHeight="false" outlineLevel="0" collapsed="false">
      <c r="A30" s="23" t="s">
        <v>215</v>
      </c>
      <c r="B30" s="41" t="s">
        <v>205</v>
      </c>
      <c r="C30" s="42" t="s">
        <v>363</v>
      </c>
      <c r="D30" s="45" t="n">
        <v>1</v>
      </c>
      <c r="E30" s="45" t="n">
        <v>1</v>
      </c>
      <c r="F30" s="45" t="n">
        <v>1</v>
      </c>
      <c r="G30" s="45" t="n">
        <v>1</v>
      </c>
      <c r="H30" s="45" t="n">
        <v>1</v>
      </c>
      <c r="I30" s="45" t="n">
        <v>1</v>
      </c>
      <c r="J30" s="45" t="n">
        <v>1</v>
      </c>
      <c r="K30" s="45" t="n">
        <v>1</v>
      </c>
      <c r="L30" s="45" t="n">
        <v>1</v>
      </c>
      <c r="M30" s="45" t="n">
        <v>1</v>
      </c>
    </row>
    <row r="31" customFormat="false" ht="15" hidden="false" customHeight="false" outlineLevel="0" collapsed="false">
      <c r="A31" s="23" t="s">
        <v>217</v>
      </c>
      <c r="B31" s="41" t="s">
        <v>205</v>
      </c>
      <c r="C31" s="42" t="s">
        <v>364</v>
      </c>
      <c r="D31" s="45" t="n">
        <v>0.32</v>
      </c>
      <c r="E31" s="45" t="n">
        <v>0.34</v>
      </c>
      <c r="F31" s="45" t="n">
        <v>0.35</v>
      </c>
      <c r="G31" s="45" t="n">
        <v>0.37</v>
      </c>
      <c r="H31" s="45" t="n">
        <v>0.38</v>
      </c>
      <c r="I31" s="45" t="n">
        <v>0.39</v>
      </c>
      <c r="J31" s="45" t="n">
        <v>0.4</v>
      </c>
      <c r="K31" s="45" t="n">
        <v>0.4</v>
      </c>
      <c r="L31" s="45" t="n">
        <v>0.4</v>
      </c>
      <c r="M31" s="45" t="n">
        <v>0.4</v>
      </c>
    </row>
    <row r="36" customFormat="false" ht="18" hidden="false" customHeight="true" outlineLevel="0" collapsed="false">
      <c r="A36" s="8" t="s">
        <v>219</v>
      </c>
      <c r="B36" s="8"/>
      <c r="C36" s="8"/>
      <c r="D36" s="8"/>
      <c r="E36" s="8"/>
      <c r="F36" s="8"/>
      <c r="G36" s="8"/>
      <c r="H36" s="8"/>
      <c r="I36" s="8"/>
      <c r="J36" s="8"/>
      <c r="K36" s="8"/>
      <c r="L36" s="8"/>
      <c r="M36" s="8"/>
    </row>
    <row r="37" customFormat="false" ht="15" hidden="false" customHeight="false" outlineLevel="0" collapsed="false">
      <c r="A37" s="48" t="s">
        <v>220</v>
      </c>
      <c r="B37" s="49" t="s">
        <v>27</v>
      </c>
      <c r="C37" s="50"/>
      <c r="D37" s="51" t="n">
        <f aca="false">D29</f>
        <v>59.99</v>
      </c>
      <c r="E37" s="51" t="n">
        <f aca="false">E29</f>
        <v>66.21</v>
      </c>
      <c r="F37" s="51" t="n">
        <f aca="false">F29</f>
        <v>74.22</v>
      </c>
      <c r="G37" s="51" t="n">
        <f aca="false">G29</f>
        <v>85.34</v>
      </c>
      <c r="H37" s="51" t="n">
        <f aca="false">H29</f>
        <v>94.91</v>
      </c>
      <c r="I37" s="51" t="n">
        <f aca="false">I29</f>
        <v>103.96</v>
      </c>
      <c r="J37" s="51" t="n">
        <f aca="false">J29</f>
        <v>112.26</v>
      </c>
      <c r="K37" s="51" t="n">
        <f aca="false">K29</f>
        <v>120.56</v>
      </c>
      <c r="L37" s="51" t="n">
        <f aca="false">L29</f>
        <v>128.86</v>
      </c>
      <c r="M37" s="51" t="n">
        <f aca="false">M29</f>
        <v>137.16</v>
      </c>
    </row>
    <row r="38" customFormat="false" ht="15" hidden="false" customHeight="false" outlineLevel="0" collapsed="false">
      <c r="A38" s="52" t="s">
        <v>221</v>
      </c>
      <c r="B38" s="49" t="s">
        <v>27</v>
      </c>
      <c r="C38" s="50"/>
      <c r="D38" s="48" t="n">
        <f aca="false">D29*$B$9</f>
        <v>59.99</v>
      </c>
      <c r="E38" s="48" t="n">
        <f aca="false">E29*$B$9</f>
        <v>66.21</v>
      </c>
      <c r="F38" s="48" t="n">
        <f aca="false">F29*$B$9</f>
        <v>74.22</v>
      </c>
      <c r="G38" s="48" t="n">
        <f aca="false">G29*$B$9</f>
        <v>85.34</v>
      </c>
      <c r="H38" s="48" t="n">
        <f aca="false">H29*$B$9</f>
        <v>94.91</v>
      </c>
      <c r="I38" s="48" t="n">
        <f aca="false">I29*$B$9</f>
        <v>103.96</v>
      </c>
      <c r="J38" s="48" t="n">
        <f aca="false">J29*$B$9</f>
        <v>112.26</v>
      </c>
      <c r="K38" s="48" t="n">
        <f aca="false">K29*$B$9</f>
        <v>120.56</v>
      </c>
      <c r="L38" s="48" t="n">
        <f aca="false">L29*$B$9</f>
        <v>128.86</v>
      </c>
      <c r="M38" s="48" t="n">
        <f aca="false">M29*$B$9</f>
        <v>137.16</v>
      </c>
    </row>
    <row r="39" customFormat="false" ht="15" hidden="false" customHeight="false" outlineLevel="0" collapsed="false">
      <c r="A39" s="52" t="s">
        <v>222</v>
      </c>
      <c r="B39" s="49" t="s">
        <v>27</v>
      </c>
      <c r="C39" s="50"/>
      <c r="D39" s="48" t="n">
        <f aca="false">D38*D30</f>
        <v>59.99</v>
      </c>
      <c r="E39" s="48" t="n">
        <f aca="false">E38*E30</f>
        <v>66.21</v>
      </c>
      <c r="F39" s="48" t="n">
        <f aca="false">F38*F30</f>
        <v>74.22</v>
      </c>
      <c r="G39" s="48" t="n">
        <f aca="false">G38*G30</f>
        <v>85.34</v>
      </c>
      <c r="H39" s="48" t="n">
        <f aca="false">H38*H30</f>
        <v>94.91</v>
      </c>
      <c r="I39" s="48" t="n">
        <f aca="false">I38*I30</f>
        <v>103.96</v>
      </c>
      <c r="J39" s="48" t="n">
        <f aca="false">J38*J30</f>
        <v>112.26</v>
      </c>
      <c r="K39" s="48" t="n">
        <f aca="false">K38*K30</f>
        <v>120.56</v>
      </c>
      <c r="L39" s="48" t="n">
        <f aca="false">L38*L30</f>
        <v>128.86</v>
      </c>
      <c r="M39" s="48" t="n">
        <f aca="false">M38*M30</f>
        <v>137.16</v>
      </c>
    </row>
    <row r="40" customFormat="false" ht="15" hidden="false" customHeight="false" outlineLevel="0" collapsed="false">
      <c r="A40" s="48" t="s">
        <v>217</v>
      </c>
      <c r="B40" s="49" t="s">
        <v>205</v>
      </c>
      <c r="C40" s="50"/>
      <c r="D40" s="53" t="n">
        <f aca="false">D31</f>
        <v>0.32</v>
      </c>
      <c r="E40" s="53" t="n">
        <f aca="false">E31</f>
        <v>0.34</v>
      </c>
      <c r="F40" s="53" t="n">
        <f aca="false">F31</f>
        <v>0.35</v>
      </c>
      <c r="G40" s="53" t="n">
        <f aca="false">G31</f>
        <v>0.37</v>
      </c>
      <c r="H40" s="53" t="n">
        <f aca="false">H31</f>
        <v>0.38</v>
      </c>
      <c r="I40" s="53" t="n">
        <f aca="false">I31</f>
        <v>0.39</v>
      </c>
      <c r="J40" s="53" t="n">
        <f aca="false">J31</f>
        <v>0.4</v>
      </c>
      <c r="K40" s="53" t="n">
        <f aca="false">K31</f>
        <v>0.4</v>
      </c>
      <c r="L40" s="53" t="n">
        <f aca="false">L31</f>
        <v>0.4</v>
      </c>
      <c r="M40" s="53" t="n">
        <f aca="false">M31</f>
        <v>0.4</v>
      </c>
    </row>
    <row r="41" customFormat="false" ht="15" hidden="false" customHeight="false" outlineLevel="0" collapsed="false">
      <c r="A41" s="48" t="s">
        <v>162</v>
      </c>
      <c r="B41" s="49" t="s">
        <v>27</v>
      </c>
      <c r="C41" s="50"/>
      <c r="D41" s="48" t="n">
        <f aca="false">D38*D40</f>
        <v>19.1968</v>
      </c>
      <c r="E41" s="48" t="n">
        <f aca="false">E38*E40</f>
        <v>22.5114</v>
      </c>
      <c r="F41" s="48" t="n">
        <f aca="false">F38*F40</f>
        <v>25.977</v>
      </c>
      <c r="G41" s="48" t="n">
        <f aca="false">G38*G40</f>
        <v>31.5758</v>
      </c>
      <c r="H41" s="48" t="n">
        <f aca="false">H38*H40</f>
        <v>36.0658</v>
      </c>
      <c r="I41" s="48" t="n">
        <f aca="false">I38*I40</f>
        <v>40.5444</v>
      </c>
      <c r="J41" s="48" t="n">
        <f aca="false">J38*J40</f>
        <v>44.904</v>
      </c>
      <c r="K41" s="48" t="n">
        <f aca="false">K38*K40</f>
        <v>48.224</v>
      </c>
      <c r="L41" s="48" t="n">
        <f aca="false">L38*L40</f>
        <v>51.544</v>
      </c>
      <c r="M41" s="48" t="n">
        <f aca="false">M38*M40</f>
        <v>54.864</v>
      </c>
    </row>
    <row r="42" customFormat="false" ht="15" hidden="false" customHeight="false" outlineLevel="0" collapsed="false">
      <c r="A42" s="48" t="s">
        <v>30</v>
      </c>
      <c r="B42" s="49" t="s">
        <v>27</v>
      </c>
      <c r="C42" s="50"/>
      <c r="D42" s="48" t="n">
        <f aca="false">D39*D40</f>
        <v>19.1968</v>
      </c>
      <c r="E42" s="48" t="n">
        <f aca="false">E39*E40</f>
        <v>22.5114</v>
      </c>
      <c r="F42" s="48" t="n">
        <f aca="false">F39*F40</f>
        <v>25.977</v>
      </c>
      <c r="G42" s="48" t="n">
        <f aca="false">G39*G40</f>
        <v>31.5758</v>
      </c>
      <c r="H42" s="48" t="n">
        <f aca="false">H39*H40</f>
        <v>36.0658</v>
      </c>
      <c r="I42" s="48" t="n">
        <f aca="false">I39*I40</f>
        <v>40.5444</v>
      </c>
      <c r="J42" s="48" t="n">
        <f aca="false">J39*J40</f>
        <v>44.904</v>
      </c>
      <c r="K42" s="48" t="n">
        <f aca="false">K39*K40</f>
        <v>48.224</v>
      </c>
      <c r="L42" s="48" t="n">
        <f aca="false">L39*L40</f>
        <v>51.544</v>
      </c>
      <c r="M42" s="48" t="n">
        <f aca="false">M39*M40</f>
        <v>54.864</v>
      </c>
    </row>
    <row r="43" customFormat="false" ht="15" hidden="false" customHeight="false" outlineLevel="0" collapsed="false">
      <c r="A43" s="48" t="s">
        <v>221</v>
      </c>
      <c r="B43" s="49" t="s">
        <v>31</v>
      </c>
      <c r="C43" s="50"/>
      <c r="D43" s="54" t="n">
        <f aca="false">D38*'Global Assump'!D$4</f>
        <v>5159.14</v>
      </c>
      <c r="E43" s="54" t="n">
        <f aca="false">E38*'Global Assump'!E$4</f>
        <v>5826.48</v>
      </c>
      <c r="F43" s="54" t="n">
        <f aca="false">F38*'Global Assump'!F$4</f>
        <v>6679.8</v>
      </c>
      <c r="G43" s="54" t="n">
        <f aca="false">G38*'Global Assump'!G$4</f>
        <v>7851.28</v>
      </c>
      <c r="H43" s="54" t="n">
        <f aca="false">H38*'Global Assump'!H$4</f>
        <v>8921.54</v>
      </c>
      <c r="I43" s="54" t="n">
        <f aca="false">I38*'Global Assump'!I$4</f>
        <v>9980.16</v>
      </c>
      <c r="J43" s="54" t="n">
        <f aca="false">J38*'Global Assump'!J$4</f>
        <v>11001.48</v>
      </c>
      <c r="K43" s="54" t="n">
        <f aca="false">K38*'Global Assump'!K$4</f>
        <v>12056</v>
      </c>
      <c r="L43" s="54" t="n">
        <f aca="false">L38*'Global Assump'!L$4</f>
        <v>13143.72</v>
      </c>
      <c r="M43" s="54" t="n">
        <f aca="false">M38*'Global Assump'!M$4</f>
        <v>14264.64</v>
      </c>
    </row>
    <row r="44" customFormat="false" ht="15" hidden="false" customHeight="false" outlineLevel="0" collapsed="false">
      <c r="A44" s="48" t="s">
        <v>222</v>
      </c>
      <c r="B44" s="49" t="s">
        <v>31</v>
      </c>
      <c r="C44" s="50"/>
      <c r="D44" s="54" t="n">
        <f aca="false">D39*'Global Assump'!D$4</f>
        <v>5159.14</v>
      </c>
      <c r="E44" s="54" t="n">
        <f aca="false">E39*'Global Assump'!E$4</f>
        <v>5826.48</v>
      </c>
      <c r="F44" s="54" t="n">
        <f aca="false">F39*'Global Assump'!F$4</f>
        <v>6679.8</v>
      </c>
      <c r="G44" s="54" t="n">
        <f aca="false">G39*'Global Assump'!G$4</f>
        <v>7851.28</v>
      </c>
      <c r="H44" s="54" t="n">
        <f aca="false">H39*'Global Assump'!H$4</f>
        <v>8921.54</v>
      </c>
      <c r="I44" s="54" t="n">
        <f aca="false">I39*'Global Assump'!I$4</f>
        <v>9980.16</v>
      </c>
      <c r="J44" s="54" t="n">
        <f aca="false">J39*'Global Assump'!J$4</f>
        <v>11001.48</v>
      </c>
      <c r="K44" s="54" t="n">
        <f aca="false">K39*'Global Assump'!K$4</f>
        <v>12056</v>
      </c>
      <c r="L44" s="54" t="n">
        <f aca="false">L39*'Global Assump'!L$4</f>
        <v>13143.72</v>
      </c>
      <c r="M44" s="54" t="n">
        <f aca="false">M39*'Global Assump'!M$4</f>
        <v>14264.64</v>
      </c>
    </row>
    <row r="46" customFormat="false" ht="18" hidden="false" customHeight="true" outlineLevel="0" collapsed="false">
      <c r="A46" s="8" t="s">
        <v>223</v>
      </c>
      <c r="B46" s="8"/>
      <c r="C46" s="8"/>
      <c r="D46" s="8"/>
      <c r="E46" s="8"/>
      <c r="F46" s="8"/>
      <c r="G46" s="8"/>
      <c r="H46" s="8"/>
      <c r="I46" s="8"/>
      <c r="J46" s="8"/>
      <c r="K46" s="8"/>
      <c r="L46" s="8"/>
      <c r="M46" s="8"/>
    </row>
    <row r="47" customFormat="false" ht="27.75" hidden="false" customHeight="true" outlineLevel="0" collapsed="false">
      <c r="A47" s="55" t="s">
        <v>365</v>
      </c>
      <c r="B47" s="55"/>
      <c r="C47" s="55"/>
      <c r="D47" s="55"/>
      <c r="E47" s="55"/>
      <c r="F47" s="55"/>
      <c r="G47" s="55"/>
      <c r="H47" s="55"/>
      <c r="I47" s="55"/>
      <c r="J47" s="55"/>
      <c r="K47" s="55"/>
      <c r="L47" s="55"/>
      <c r="M47" s="55"/>
    </row>
  </sheetData>
  <autoFilter ref="A19:M44"/>
  <mergeCells count="19">
    <mergeCell ref="A1:M1"/>
    <mergeCell ref="A2:M2"/>
    <mergeCell ref="A4:M4"/>
    <mergeCell ref="B5:M5"/>
    <mergeCell ref="B6:M6"/>
    <mergeCell ref="B7:M7"/>
    <mergeCell ref="B8:M8"/>
    <mergeCell ref="B9:M9"/>
    <mergeCell ref="B10:M10"/>
    <mergeCell ref="B11:M11"/>
    <mergeCell ref="B12:M12"/>
    <mergeCell ref="B13:M13"/>
    <mergeCell ref="B14:M14"/>
    <mergeCell ref="B15:M15"/>
    <mergeCell ref="B16:M16"/>
    <mergeCell ref="A18:M18"/>
    <mergeCell ref="A36:M36"/>
    <mergeCell ref="A46:M46"/>
    <mergeCell ref="A47:M47"/>
  </mergeCells>
  <conditionalFormatting sqref="B13">
    <cfRule type="expression" priority="2" aboveAverage="0" equalAverage="0" bottom="0" percent="0" rank="0" text="" dxfId="6">
      <formula>B13="Within range"</formula>
    </cfRule>
    <cfRule type="expression" priority="3" aboveAverage="0" equalAverage="0" bottom="0" percent="0" rank="0" text="" dxfId="7">
      <formula>B13&lt;&gt;"Within range"</formula>
    </cfRule>
  </conditionalFormatting>
  <dataValidations count="1">
    <dataValidation allowBlank="false" errorStyle="stop" operator="between" showDropDown="false" showErrorMessage="false" showInputMessage="false" sqref="B9" type="list">
      <formula1>"0,1"</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drawing r:id="rId1"/>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M47"/>
  <sheetViews>
    <sheetView showFormulas="false" showGridLines="false" showRowColHeaders="true" showZeros="true" rightToLeft="false" tabSelected="false" showOutlineSymbols="true" defaultGridColor="true" view="normal" topLeftCell="A1" colorId="64" zoomScale="85" zoomScaleNormal="85" zoomScalePageLayoutView="100" workbookViewId="0">
      <pane xSplit="3" ySplit="19" topLeftCell="D20" activePane="bottomRight" state="frozen"/>
      <selection pane="topLeft" activeCell="A1" activeCellId="0" sqref="A1"/>
      <selection pane="topRight" activeCell="D1" activeCellId="0" sqref="D1"/>
      <selection pane="bottomLeft" activeCell="A20" activeCellId="0" sqref="A20"/>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0" width="32"/>
    <col collapsed="false" customWidth="true" hidden="false" outlineLevel="0" max="2" min="2" style="0" width="15"/>
    <col collapsed="false" customWidth="true" hidden="false" outlineLevel="0" max="3" min="3" style="0" width="30"/>
    <col collapsed="false" customWidth="true" hidden="false" outlineLevel="0" max="13" min="4" style="0" width="12"/>
  </cols>
  <sheetData>
    <row r="1" customFormat="false" ht="24" hidden="false" customHeight="true" outlineLevel="0" collapsed="false">
      <c r="A1" s="24" t="s">
        <v>105</v>
      </c>
      <c r="B1" s="24"/>
      <c r="C1" s="24"/>
      <c r="D1" s="24"/>
      <c r="E1" s="24"/>
      <c r="F1" s="24"/>
      <c r="G1" s="24"/>
      <c r="H1" s="24"/>
      <c r="I1" s="24"/>
      <c r="J1" s="24"/>
      <c r="K1" s="24"/>
      <c r="L1" s="24"/>
      <c r="M1" s="24"/>
    </row>
    <row r="2" customFormat="false" ht="27.75" hidden="false" customHeight="true" outlineLevel="0" collapsed="false">
      <c r="A2" s="25" t="s">
        <v>366</v>
      </c>
      <c r="B2" s="25"/>
      <c r="C2" s="25"/>
      <c r="D2" s="25"/>
      <c r="E2" s="25"/>
      <c r="F2" s="25"/>
      <c r="G2" s="25"/>
      <c r="H2" s="25"/>
      <c r="I2" s="25"/>
      <c r="J2" s="25"/>
      <c r="K2" s="25"/>
      <c r="L2" s="25"/>
      <c r="M2" s="25"/>
    </row>
    <row r="4" customFormat="false" ht="18" hidden="false" customHeight="true" outlineLevel="0" collapsed="false">
      <c r="A4" s="8" t="s">
        <v>182</v>
      </c>
      <c r="B4" s="8"/>
      <c r="C4" s="8"/>
      <c r="D4" s="8"/>
      <c r="E4" s="8"/>
      <c r="F4" s="8"/>
      <c r="G4" s="8"/>
      <c r="H4" s="8"/>
      <c r="I4" s="8"/>
      <c r="J4" s="8"/>
      <c r="K4" s="8"/>
      <c r="L4" s="8"/>
      <c r="M4" s="8"/>
    </row>
    <row r="5" customFormat="false" ht="18" hidden="false" customHeight="true" outlineLevel="0" collapsed="false">
      <c r="A5" s="33" t="s">
        <v>183</v>
      </c>
      <c r="B5" s="34" t="s">
        <v>105</v>
      </c>
      <c r="C5" s="34"/>
      <c r="D5" s="34"/>
      <c r="E5" s="34"/>
      <c r="F5" s="34"/>
      <c r="G5" s="34"/>
      <c r="H5" s="34"/>
      <c r="I5" s="34"/>
      <c r="J5" s="34"/>
      <c r="K5" s="34"/>
      <c r="L5" s="34"/>
      <c r="M5" s="34"/>
    </row>
    <row r="6" customFormat="false" ht="18" hidden="false" customHeight="true" outlineLevel="0" collapsed="false">
      <c r="A6" s="33" t="s">
        <v>33</v>
      </c>
      <c r="B6" s="34" t="s">
        <v>38</v>
      </c>
      <c r="C6" s="34"/>
      <c r="D6" s="34"/>
      <c r="E6" s="34"/>
      <c r="F6" s="34"/>
      <c r="G6" s="34"/>
      <c r="H6" s="34"/>
      <c r="I6" s="34"/>
      <c r="J6" s="34"/>
      <c r="K6" s="34"/>
      <c r="L6" s="34"/>
      <c r="M6" s="34"/>
    </row>
    <row r="7" customFormat="false" ht="18" hidden="false" customHeight="true" outlineLevel="0" collapsed="false">
      <c r="A7" s="33" t="s">
        <v>42</v>
      </c>
      <c r="B7" s="34" t="s">
        <v>51</v>
      </c>
      <c r="C7" s="34"/>
      <c r="D7" s="34"/>
      <c r="E7" s="34"/>
      <c r="F7" s="34"/>
      <c r="G7" s="34"/>
      <c r="H7" s="34"/>
      <c r="I7" s="34"/>
      <c r="J7" s="34"/>
      <c r="K7" s="34"/>
      <c r="L7" s="34"/>
      <c r="M7" s="34"/>
    </row>
    <row r="8" customFormat="false" ht="24" hidden="false" customHeight="true" outlineLevel="0" collapsed="false">
      <c r="A8" s="33" t="s">
        <v>184</v>
      </c>
      <c r="B8" s="34" t="s">
        <v>106</v>
      </c>
      <c r="C8" s="34"/>
      <c r="D8" s="34"/>
      <c r="E8" s="34"/>
      <c r="F8" s="34"/>
      <c r="G8" s="34"/>
      <c r="H8" s="34"/>
      <c r="I8" s="34"/>
      <c r="J8" s="34"/>
      <c r="K8" s="34"/>
      <c r="L8" s="34"/>
      <c r="M8" s="34"/>
    </row>
    <row r="9" customFormat="false" ht="18" hidden="false" customHeight="true" outlineLevel="0" collapsed="false">
      <c r="A9" s="33" t="s">
        <v>185</v>
      </c>
      <c r="B9" s="35" t="n">
        <v>1</v>
      </c>
      <c r="C9" s="35"/>
      <c r="D9" s="35"/>
      <c r="E9" s="35"/>
      <c r="F9" s="35"/>
      <c r="G9" s="35"/>
      <c r="H9" s="35"/>
      <c r="I9" s="35"/>
      <c r="J9" s="35"/>
      <c r="K9" s="35"/>
      <c r="L9" s="35"/>
      <c r="M9" s="35"/>
    </row>
    <row r="10" customFormat="false" ht="18" hidden="false" customHeight="true" outlineLevel="0" collapsed="false">
      <c r="A10" s="33" t="s">
        <v>186</v>
      </c>
      <c r="B10" s="36" t="n">
        <v>75</v>
      </c>
      <c r="C10" s="36"/>
      <c r="D10" s="36"/>
      <c r="E10" s="36"/>
      <c r="F10" s="36"/>
      <c r="G10" s="36"/>
      <c r="H10" s="36"/>
      <c r="I10" s="36"/>
      <c r="J10" s="36"/>
      <c r="K10" s="36"/>
      <c r="L10" s="36"/>
      <c r="M10" s="36"/>
    </row>
    <row r="11" customFormat="false" ht="18" hidden="false" customHeight="true" outlineLevel="0" collapsed="false">
      <c r="A11" s="33" t="s">
        <v>187</v>
      </c>
      <c r="B11" s="36" t="n">
        <v>85</v>
      </c>
      <c r="C11" s="36"/>
      <c r="D11" s="36"/>
      <c r="E11" s="36"/>
      <c r="F11" s="36"/>
      <c r="G11" s="36"/>
      <c r="H11" s="36"/>
      <c r="I11" s="36"/>
      <c r="J11" s="36"/>
      <c r="K11" s="36"/>
      <c r="L11" s="36"/>
      <c r="M11" s="36"/>
    </row>
    <row r="12" customFormat="false" ht="18" hidden="false" customHeight="true" outlineLevel="0" collapsed="false">
      <c r="A12" s="33" t="s">
        <v>344</v>
      </c>
      <c r="B12" s="37" t="n">
        <f aca="false">G38</f>
        <v>79.508</v>
      </c>
      <c r="C12" s="37"/>
      <c r="D12" s="37"/>
      <c r="E12" s="37"/>
      <c r="F12" s="37"/>
      <c r="G12" s="37"/>
      <c r="H12" s="37"/>
      <c r="I12" s="37"/>
      <c r="J12" s="37"/>
      <c r="K12" s="37"/>
      <c r="L12" s="37"/>
      <c r="M12" s="37"/>
    </row>
    <row r="13" customFormat="false" ht="18" hidden="false" customHeight="true" outlineLevel="0" collapsed="false">
      <c r="A13" s="33" t="s">
        <v>189</v>
      </c>
      <c r="B13" s="38" t="str">
        <f aca="false">IF(AND(B12&gt;=B10,B12&lt;=B11),"Within range",IF(B12&lt;B10,"Below range","Above range"))</f>
        <v>Within range</v>
      </c>
      <c r="C13" s="38"/>
      <c r="D13" s="38"/>
      <c r="E13" s="38"/>
      <c r="F13" s="38"/>
      <c r="G13" s="38"/>
      <c r="H13" s="38"/>
      <c r="I13" s="38"/>
      <c r="J13" s="38"/>
      <c r="K13" s="38"/>
      <c r="L13" s="38"/>
      <c r="M13" s="38"/>
    </row>
    <row r="14" customFormat="false" ht="18" hidden="false" customHeight="true" outlineLevel="0" collapsed="false">
      <c r="A14" s="33" t="s">
        <v>190</v>
      </c>
      <c r="B14" s="34" t="s">
        <v>53</v>
      </c>
      <c r="C14" s="34"/>
      <c r="D14" s="34"/>
      <c r="E14" s="34"/>
      <c r="F14" s="34"/>
      <c r="G14" s="34"/>
      <c r="H14" s="34"/>
      <c r="I14" s="34"/>
      <c r="J14" s="34"/>
      <c r="K14" s="34"/>
      <c r="L14" s="34"/>
      <c r="M14" s="34"/>
    </row>
    <row r="15" customFormat="false" ht="24" hidden="false" customHeight="true" outlineLevel="0" collapsed="false">
      <c r="A15" s="33" t="s">
        <v>191</v>
      </c>
      <c r="B15" s="34" t="s">
        <v>367</v>
      </c>
      <c r="C15" s="34"/>
      <c r="D15" s="34"/>
      <c r="E15" s="34"/>
      <c r="F15" s="34"/>
      <c r="G15" s="34"/>
      <c r="H15" s="34"/>
      <c r="I15" s="34"/>
      <c r="J15" s="34"/>
      <c r="K15" s="34"/>
      <c r="L15" s="34"/>
      <c r="M15" s="34"/>
    </row>
    <row r="16" customFormat="false" ht="24" hidden="false" customHeight="true" outlineLevel="0" collapsed="false">
      <c r="A16" s="33" t="s">
        <v>193</v>
      </c>
      <c r="B16" s="34" t="s">
        <v>368</v>
      </c>
      <c r="C16" s="34"/>
      <c r="D16" s="34"/>
      <c r="E16" s="34"/>
      <c r="F16" s="34"/>
      <c r="G16" s="34"/>
      <c r="H16" s="34"/>
      <c r="I16" s="34"/>
      <c r="J16" s="34"/>
      <c r="K16" s="34"/>
      <c r="L16" s="34"/>
      <c r="M16" s="34"/>
    </row>
    <row r="18" customFormat="false" ht="18" hidden="false" customHeight="true" outlineLevel="0" collapsed="false">
      <c r="A18" s="8" t="s">
        <v>195</v>
      </c>
      <c r="B18" s="8"/>
      <c r="C18" s="8"/>
      <c r="D18" s="8"/>
      <c r="E18" s="8"/>
      <c r="F18" s="8"/>
      <c r="G18" s="8"/>
      <c r="H18" s="8"/>
      <c r="I18" s="8"/>
      <c r="J18" s="8"/>
      <c r="K18" s="8"/>
      <c r="L18" s="8"/>
      <c r="M18" s="8"/>
    </row>
    <row r="19" customFormat="false" ht="15" hidden="false" customHeight="false" outlineLevel="0" collapsed="false">
      <c r="A19" s="39" t="s">
        <v>196</v>
      </c>
      <c r="B19" s="39" t="s">
        <v>15</v>
      </c>
      <c r="C19" s="39" t="s">
        <v>197</v>
      </c>
      <c r="D19" s="39" t="s">
        <v>16</v>
      </c>
      <c r="E19" s="39" t="s">
        <v>17</v>
      </c>
      <c r="F19" s="39" t="s">
        <v>18</v>
      </c>
      <c r="G19" s="39" t="s">
        <v>19</v>
      </c>
      <c r="H19" s="39" t="s">
        <v>20</v>
      </c>
      <c r="I19" s="39" t="s">
        <v>21</v>
      </c>
      <c r="J19" s="39" t="s">
        <v>22</v>
      </c>
      <c r="K19" s="39" t="s">
        <v>23</v>
      </c>
      <c r="L19" s="39" t="s">
        <v>24</v>
      </c>
      <c r="M19" s="39" t="s">
        <v>25</v>
      </c>
    </row>
    <row r="20" customFormat="false" ht="19.4" hidden="false" customHeight="false" outlineLevel="0" collapsed="false">
      <c r="A20" s="40" t="s">
        <v>309</v>
      </c>
      <c r="B20" s="41" t="s">
        <v>310</v>
      </c>
      <c r="C20" s="42" t="s">
        <v>369</v>
      </c>
      <c r="D20" s="43" t="n">
        <v>0</v>
      </c>
      <c r="E20" s="43" t="n">
        <v>2400</v>
      </c>
      <c r="F20" s="43" t="n">
        <v>2500</v>
      </c>
      <c r="G20" s="43" t="n">
        <v>2600</v>
      </c>
      <c r="H20" s="43" t="n">
        <v>2700</v>
      </c>
      <c r="I20" s="43" t="n">
        <v>2800</v>
      </c>
      <c r="J20" s="43" t="n">
        <v>2900</v>
      </c>
      <c r="K20" s="43" t="n">
        <v>3000</v>
      </c>
      <c r="L20" s="43" t="n">
        <v>3100</v>
      </c>
      <c r="M20" s="43" t="n">
        <v>3200</v>
      </c>
    </row>
    <row r="21" customFormat="false" ht="19.4" hidden="false" customHeight="false" outlineLevel="0" collapsed="false">
      <c r="A21" s="40" t="s">
        <v>312</v>
      </c>
      <c r="B21" s="41" t="s">
        <v>313</v>
      </c>
      <c r="C21" s="42" t="s">
        <v>370</v>
      </c>
      <c r="D21" s="44" t="n">
        <v>0</v>
      </c>
      <c r="E21" s="44" t="n">
        <v>1450</v>
      </c>
      <c r="F21" s="44" t="n">
        <v>1420</v>
      </c>
      <c r="G21" s="44" t="n">
        <v>1390</v>
      </c>
      <c r="H21" s="44" t="n">
        <v>1360</v>
      </c>
      <c r="I21" s="44" t="n">
        <v>1330</v>
      </c>
      <c r="J21" s="44" t="n">
        <v>1300</v>
      </c>
      <c r="K21" s="44" t="n">
        <v>1270</v>
      </c>
      <c r="L21" s="44" t="n">
        <v>1240</v>
      </c>
      <c r="M21" s="44" t="n">
        <v>1210</v>
      </c>
    </row>
    <row r="22" customFormat="false" ht="19.4" hidden="false" customHeight="false" outlineLevel="0" collapsed="false">
      <c r="A22" s="23" t="s">
        <v>315</v>
      </c>
      <c r="B22" s="41" t="s">
        <v>205</v>
      </c>
      <c r="C22" s="42" t="s">
        <v>371</v>
      </c>
      <c r="D22" s="45" t="n">
        <v>0</v>
      </c>
      <c r="E22" s="45" t="n">
        <v>0.019</v>
      </c>
      <c r="F22" s="45" t="n">
        <v>0.022</v>
      </c>
      <c r="G22" s="45" t="n">
        <v>0.022</v>
      </c>
      <c r="H22" s="45" t="n">
        <v>0.021</v>
      </c>
      <c r="I22" s="45" t="n">
        <v>0.02</v>
      </c>
      <c r="J22" s="45" t="n">
        <v>0.019</v>
      </c>
      <c r="K22" s="45" t="n">
        <v>0.018</v>
      </c>
      <c r="L22" s="45" t="n">
        <v>0.017</v>
      </c>
      <c r="M22" s="45" t="n">
        <v>0.016</v>
      </c>
    </row>
    <row r="23" customFormat="false" ht="15" hidden="false" customHeight="false" outlineLevel="0" collapsed="false">
      <c r="A23" s="23" t="s">
        <v>207</v>
      </c>
      <c r="B23" s="41" t="s">
        <v>205</v>
      </c>
      <c r="C23" s="42" t="s">
        <v>208</v>
      </c>
      <c r="D23" s="45" t="n">
        <v>1</v>
      </c>
      <c r="E23" s="45" t="n">
        <v>1</v>
      </c>
      <c r="F23" s="45" t="n">
        <v>1</v>
      </c>
      <c r="G23" s="45" t="n">
        <v>1</v>
      </c>
      <c r="H23" s="45" t="n">
        <v>1</v>
      </c>
      <c r="I23" s="45" t="n">
        <v>1</v>
      </c>
      <c r="J23" s="45" t="n">
        <v>1</v>
      </c>
      <c r="K23" s="45" t="n">
        <v>1</v>
      </c>
      <c r="L23" s="45" t="n">
        <v>1</v>
      </c>
      <c r="M23" s="45" t="n">
        <v>1</v>
      </c>
    </row>
    <row r="24" customFormat="false" ht="15" hidden="false" customHeight="false" outlineLevel="0" collapsed="false">
      <c r="A24" s="23" t="s">
        <v>317</v>
      </c>
      <c r="B24" s="41" t="s">
        <v>310</v>
      </c>
      <c r="C24" s="42" t="s">
        <v>318</v>
      </c>
      <c r="D24" s="47" t="n">
        <f aca="false">D20*D22*D23</f>
        <v>0</v>
      </c>
      <c r="E24" s="47" t="n">
        <f aca="false">E20*E22*E23</f>
        <v>45.6</v>
      </c>
      <c r="F24" s="47" t="n">
        <f aca="false">F20*F22*F23</f>
        <v>55</v>
      </c>
      <c r="G24" s="47" t="n">
        <f aca="false">G20*G22*G23</f>
        <v>57.2</v>
      </c>
      <c r="H24" s="47" t="n">
        <f aca="false">H20*H22*H23</f>
        <v>56.7</v>
      </c>
      <c r="I24" s="47" t="n">
        <f aca="false">I20*I22*I23</f>
        <v>56</v>
      </c>
      <c r="J24" s="47" t="n">
        <f aca="false">J20*J22*J23</f>
        <v>55.1</v>
      </c>
      <c r="K24" s="47" t="n">
        <f aca="false">K20*K22*K23</f>
        <v>54</v>
      </c>
      <c r="L24" s="47" t="n">
        <f aca="false">L20*L22*L23</f>
        <v>52.7</v>
      </c>
      <c r="M24" s="47" t="n">
        <f aca="false">M20*M22*M23</f>
        <v>51.2</v>
      </c>
    </row>
    <row r="25" customFormat="false" ht="15" hidden="false" customHeight="false" outlineLevel="0" collapsed="false">
      <c r="A25" s="23" t="s">
        <v>211</v>
      </c>
      <c r="B25" s="41" t="s">
        <v>27</v>
      </c>
      <c r="C25" s="42" t="s">
        <v>319</v>
      </c>
      <c r="D25" s="47" t="n">
        <f aca="false">D24*D21/1000</f>
        <v>0</v>
      </c>
      <c r="E25" s="47" t="n">
        <f aca="false">E24*E21/1000</f>
        <v>66.12</v>
      </c>
      <c r="F25" s="47" t="n">
        <f aca="false">F24*F21/1000</f>
        <v>78.1</v>
      </c>
      <c r="G25" s="47" t="n">
        <f aca="false">G24*G21/1000</f>
        <v>79.508</v>
      </c>
      <c r="H25" s="47" t="n">
        <f aca="false">H24*H21/1000</f>
        <v>77.112</v>
      </c>
      <c r="I25" s="47" t="n">
        <f aca="false">I24*I21/1000</f>
        <v>74.48</v>
      </c>
      <c r="J25" s="47" t="n">
        <f aca="false">J24*J21/1000</f>
        <v>71.63</v>
      </c>
      <c r="K25" s="47" t="n">
        <f aca="false">K24*K21/1000</f>
        <v>68.58</v>
      </c>
      <c r="L25" s="47" t="n">
        <f aca="false">L24*L21/1000</f>
        <v>65.348</v>
      </c>
      <c r="M25" s="47" t="n">
        <f aca="false">M24*M21/1000</f>
        <v>61.952</v>
      </c>
    </row>
    <row r="26" customFormat="false" ht="15" hidden="false" customHeight="false" outlineLevel="0" collapsed="false">
      <c r="A26" s="23" t="s">
        <v>213</v>
      </c>
      <c r="B26" s="41" t="s">
        <v>205</v>
      </c>
      <c r="C26" s="42" t="s">
        <v>372</v>
      </c>
      <c r="D26" s="45" t="n">
        <v>1</v>
      </c>
      <c r="E26" s="45" t="n">
        <v>1</v>
      </c>
      <c r="F26" s="45" t="n">
        <v>1</v>
      </c>
      <c r="G26" s="45" t="n">
        <v>1</v>
      </c>
      <c r="H26" s="45" t="n">
        <v>1</v>
      </c>
      <c r="I26" s="45" t="n">
        <v>1</v>
      </c>
      <c r="J26" s="45" t="n">
        <v>1</v>
      </c>
      <c r="K26" s="45" t="n">
        <v>1</v>
      </c>
      <c r="L26" s="45" t="n">
        <v>1</v>
      </c>
      <c r="M26" s="45" t="n">
        <v>1</v>
      </c>
    </row>
    <row r="27" customFormat="false" ht="15" hidden="false" customHeight="false" outlineLevel="0" collapsed="false">
      <c r="A27" s="23" t="s">
        <v>215</v>
      </c>
      <c r="B27" s="41" t="s">
        <v>205</v>
      </c>
      <c r="C27" s="42" t="s">
        <v>277</v>
      </c>
      <c r="D27" s="45" t="n">
        <v>1</v>
      </c>
      <c r="E27" s="45" t="n">
        <v>1</v>
      </c>
      <c r="F27" s="45" t="n">
        <v>1</v>
      </c>
      <c r="G27" s="45" t="n">
        <v>1</v>
      </c>
      <c r="H27" s="45" t="n">
        <v>1</v>
      </c>
      <c r="I27" s="45" t="n">
        <v>1</v>
      </c>
      <c r="J27" s="45" t="n">
        <v>1</v>
      </c>
      <c r="K27" s="45" t="n">
        <v>1</v>
      </c>
      <c r="L27" s="45" t="n">
        <v>1</v>
      </c>
      <c r="M27" s="45" t="n">
        <v>1</v>
      </c>
    </row>
    <row r="28" customFormat="false" ht="15" hidden="false" customHeight="false" outlineLevel="0" collapsed="false">
      <c r="A28" s="23" t="s">
        <v>217</v>
      </c>
      <c r="B28" s="41" t="s">
        <v>205</v>
      </c>
      <c r="C28" s="42" t="s">
        <v>373</v>
      </c>
      <c r="D28" s="45" t="n">
        <v>0</v>
      </c>
      <c r="E28" s="45" t="n">
        <v>0.25</v>
      </c>
      <c r="F28" s="45" t="n">
        <v>0.28</v>
      </c>
      <c r="G28" s="45" t="n">
        <v>0.3</v>
      </c>
      <c r="H28" s="45" t="n">
        <v>0.3</v>
      </c>
      <c r="I28" s="45" t="n">
        <v>0.29</v>
      </c>
      <c r="J28" s="45" t="n">
        <v>0.28</v>
      </c>
      <c r="K28" s="45" t="n">
        <v>0.27</v>
      </c>
      <c r="L28" s="45" t="n">
        <v>0.26</v>
      </c>
      <c r="M28" s="45" t="n">
        <v>0.25</v>
      </c>
    </row>
    <row r="36" customFormat="false" ht="18" hidden="false" customHeight="true" outlineLevel="0" collapsed="false">
      <c r="A36" s="8" t="s">
        <v>219</v>
      </c>
      <c r="B36" s="8"/>
      <c r="C36" s="8"/>
      <c r="D36" s="8"/>
      <c r="E36" s="8"/>
      <c r="F36" s="8"/>
      <c r="G36" s="8"/>
      <c r="H36" s="8"/>
      <c r="I36" s="8"/>
      <c r="J36" s="8"/>
      <c r="K36" s="8"/>
      <c r="L36" s="8"/>
      <c r="M36" s="8"/>
    </row>
    <row r="37" customFormat="false" ht="15" hidden="false" customHeight="false" outlineLevel="0" collapsed="false">
      <c r="A37" s="48" t="s">
        <v>220</v>
      </c>
      <c r="B37" s="49" t="s">
        <v>27</v>
      </c>
      <c r="C37" s="50"/>
      <c r="D37" s="51" t="n">
        <f aca="false">D25</f>
        <v>0</v>
      </c>
      <c r="E37" s="51" t="n">
        <f aca="false">E25</f>
        <v>66.12</v>
      </c>
      <c r="F37" s="51" t="n">
        <f aca="false">F25</f>
        <v>78.1</v>
      </c>
      <c r="G37" s="51" t="n">
        <f aca="false">G25</f>
        <v>79.508</v>
      </c>
      <c r="H37" s="51" t="n">
        <f aca="false">H25</f>
        <v>77.112</v>
      </c>
      <c r="I37" s="51" t="n">
        <f aca="false">I25</f>
        <v>74.48</v>
      </c>
      <c r="J37" s="51" t="n">
        <f aca="false">J25</f>
        <v>71.63</v>
      </c>
      <c r="K37" s="51" t="n">
        <f aca="false">K25</f>
        <v>68.58</v>
      </c>
      <c r="L37" s="51" t="n">
        <f aca="false">L25</f>
        <v>65.348</v>
      </c>
      <c r="M37" s="51" t="n">
        <f aca="false">M25</f>
        <v>61.952</v>
      </c>
    </row>
    <row r="38" customFormat="false" ht="15" hidden="false" customHeight="false" outlineLevel="0" collapsed="false">
      <c r="A38" s="52" t="s">
        <v>221</v>
      </c>
      <c r="B38" s="49" t="s">
        <v>27</v>
      </c>
      <c r="C38" s="50"/>
      <c r="D38" s="48" t="n">
        <f aca="false">D25*D26*$B$9</f>
        <v>0</v>
      </c>
      <c r="E38" s="48" t="n">
        <f aca="false">E25*E26*$B$9</f>
        <v>66.12</v>
      </c>
      <c r="F38" s="48" t="n">
        <f aca="false">F25*F26*$B$9</f>
        <v>78.1</v>
      </c>
      <c r="G38" s="48" t="n">
        <f aca="false">G25*G26*$B$9</f>
        <v>79.508</v>
      </c>
      <c r="H38" s="48" t="n">
        <f aca="false">H25*H26*$B$9</f>
        <v>77.112</v>
      </c>
      <c r="I38" s="48" t="n">
        <f aca="false">I25*I26*$B$9</f>
        <v>74.48</v>
      </c>
      <c r="J38" s="48" t="n">
        <f aca="false">J25*J26*$B$9</f>
        <v>71.63</v>
      </c>
      <c r="K38" s="48" t="n">
        <f aca="false">K25*K26*$B$9</f>
        <v>68.58</v>
      </c>
      <c r="L38" s="48" t="n">
        <f aca="false">L25*L26*$B$9</f>
        <v>65.348</v>
      </c>
      <c r="M38" s="48" t="n">
        <f aca="false">M25*M26*$B$9</f>
        <v>61.952</v>
      </c>
    </row>
    <row r="39" customFormat="false" ht="15" hidden="false" customHeight="false" outlineLevel="0" collapsed="false">
      <c r="A39" s="52" t="s">
        <v>222</v>
      </c>
      <c r="B39" s="49" t="s">
        <v>27</v>
      </c>
      <c r="C39" s="50"/>
      <c r="D39" s="48" t="n">
        <f aca="false">D38*D27</f>
        <v>0</v>
      </c>
      <c r="E39" s="48" t="n">
        <f aca="false">E38*E27</f>
        <v>66.12</v>
      </c>
      <c r="F39" s="48" t="n">
        <f aca="false">F38*F27</f>
        <v>78.1</v>
      </c>
      <c r="G39" s="48" t="n">
        <f aca="false">G38*G27</f>
        <v>79.508</v>
      </c>
      <c r="H39" s="48" t="n">
        <f aca="false">H38*H27</f>
        <v>77.112</v>
      </c>
      <c r="I39" s="48" t="n">
        <f aca="false">I38*I27</f>
        <v>74.48</v>
      </c>
      <c r="J39" s="48" t="n">
        <f aca="false">J38*J27</f>
        <v>71.63</v>
      </c>
      <c r="K39" s="48" t="n">
        <f aca="false">K38*K27</f>
        <v>68.58</v>
      </c>
      <c r="L39" s="48" t="n">
        <f aca="false">L38*L27</f>
        <v>65.348</v>
      </c>
      <c r="M39" s="48" t="n">
        <f aca="false">M38*M27</f>
        <v>61.952</v>
      </c>
    </row>
    <row r="40" customFormat="false" ht="15" hidden="false" customHeight="false" outlineLevel="0" collapsed="false">
      <c r="A40" s="48" t="s">
        <v>217</v>
      </c>
      <c r="B40" s="49" t="s">
        <v>205</v>
      </c>
      <c r="C40" s="50"/>
      <c r="D40" s="53" t="n">
        <f aca="false">D28</f>
        <v>0</v>
      </c>
      <c r="E40" s="53" t="n">
        <f aca="false">E28</f>
        <v>0.25</v>
      </c>
      <c r="F40" s="53" t="n">
        <f aca="false">F28</f>
        <v>0.28</v>
      </c>
      <c r="G40" s="53" t="n">
        <f aca="false">G28</f>
        <v>0.3</v>
      </c>
      <c r="H40" s="53" t="n">
        <f aca="false">H28</f>
        <v>0.3</v>
      </c>
      <c r="I40" s="53" t="n">
        <f aca="false">I28</f>
        <v>0.29</v>
      </c>
      <c r="J40" s="53" t="n">
        <f aca="false">J28</f>
        <v>0.28</v>
      </c>
      <c r="K40" s="53" t="n">
        <f aca="false">K28</f>
        <v>0.27</v>
      </c>
      <c r="L40" s="53" t="n">
        <f aca="false">L28</f>
        <v>0.26</v>
      </c>
      <c r="M40" s="53" t="n">
        <f aca="false">M28</f>
        <v>0.25</v>
      </c>
    </row>
    <row r="41" customFormat="false" ht="15" hidden="false" customHeight="false" outlineLevel="0" collapsed="false">
      <c r="A41" s="48" t="s">
        <v>162</v>
      </c>
      <c r="B41" s="49" t="s">
        <v>27</v>
      </c>
      <c r="C41" s="50"/>
      <c r="D41" s="48" t="n">
        <f aca="false">D38*D40</f>
        <v>0</v>
      </c>
      <c r="E41" s="48" t="n">
        <f aca="false">E38*E40</f>
        <v>16.53</v>
      </c>
      <c r="F41" s="48" t="n">
        <f aca="false">F38*F40</f>
        <v>21.868</v>
      </c>
      <c r="G41" s="48" t="n">
        <f aca="false">G38*G40</f>
        <v>23.8524</v>
      </c>
      <c r="H41" s="48" t="n">
        <f aca="false">H38*H40</f>
        <v>23.1336</v>
      </c>
      <c r="I41" s="48" t="n">
        <f aca="false">I38*I40</f>
        <v>21.5992</v>
      </c>
      <c r="J41" s="48" t="n">
        <f aca="false">J38*J40</f>
        <v>20.0564</v>
      </c>
      <c r="K41" s="48" t="n">
        <f aca="false">K38*K40</f>
        <v>18.5166</v>
      </c>
      <c r="L41" s="48" t="n">
        <f aca="false">L38*L40</f>
        <v>16.99048</v>
      </c>
      <c r="M41" s="48" t="n">
        <f aca="false">M38*M40</f>
        <v>15.488</v>
      </c>
    </row>
    <row r="42" customFormat="false" ht="15" hidden="false" customHeight="false" outlineLevel="0" collapsed="false">
      <c r="A42" s="48" t="s">
        <v>30</v>
      </c>
      <c r="B42" s="49" t="s">
        <v>27</v>
      </c>
      <c r="C42" s="50"/>
      <c r="D42" s="48" t="n">
        <f aca="false">D39*D40</f>
        <v>0</v>
      </c>
      <c r="E42" s="48" t="n">
        <f aca="false">E39*E40</f>
        <v>16.53</v>
      </c>
      <c r="F42" s="48" t="n">
        <f aca="false">F39*F40</f>
        <v>21.868</v>
      </c>
      <c r="G42" s="48" t="n">
        <f aca="false">G39*G40</f>
        <v>23.8524</v>
      </c>
      <c r="H42" s="48" t="n">
        <f aca="false">H39*H40</f>
        <v>23.1336</v>
      </c>
      <c r="I42" s="48" t="n">
        <f aca="false">I39*I40</f>
        <v>21.5992</v>
      </c>
      <c r="J42" s="48" t="n">
        <f aca="false">J39*J40</f>
        <v>20.0564</v>
      </c>
      <c r="K42" s="48" t="n">
        <f aca="false">K39*K40</f>
        <v>18.5166</v>
      </c>
      <c r="L42" s="48" t="n">
        <f aca="false">L39*L40</f>
        <v>16.99048</v>
      </c>
      <c r="M42" s="48" t="n">
        <f aca="false">M39*M40</f>
        <v>15.488</v>
      </c>
    </row>
    <row r="43" customFormat="false" ht="15" hidden="false" customHeight="false" outlineLevel="0" collapsed="false">
      <c r="A43" s="48" t="s">
        <v>221</v>
      </c>
      <c r="B43" s="49" t="s">
        <v>31</v>
      </c>
      <c r="C43" s="50"/>
      <c r="D43" s="54" t="n">
        <f aca="false">D38*'Global Assump'!D$4</f>
        <v>0</v>
      </c>
      <c r="E43" s="54" t="n">
        <f aca="false">E38*'Global Assump'!E$4</f>
        <v>5818.56</v>
      </c>
      <c r="F43" s="54" t="n">
        <f aca="false">F38*'Global Assump'!F$4</f>
        <v>7029</v>
      </c>
      <c r="G43" s="54" t="n">
        <f aca="false">G38*'Global Assump'!G$4</f>
        <v>7314.736</v>
      </c>
      <c r="H43" s="54" t="n">
        <f aca="false">H38*'Global Assump'!H$4</f>
        <v>7248.528</v>
      </c>
      <c r="I43" s="54" t="n">
        <f aca="false">I38*'Global Assump'!I$4</f>
        <v>7150.08</v>
      </c>
      <c r="J43" s="54" t="n">
        <f aca="false">J38*'Global Assump'!J$4</f>
        <v>7019.74</v>
      </c>
      <c r="K43" s="54" t="n">
        <f aca="false">K38*'Global Assump'!K$4</f>
        <v>6858</v>
      </c>
      <c r="L43" s="54" t="n">
        <f aca="false">L38*'Global Assump'!L$4</f>
        <v>6665.496</v>
      </c>
      <c r="M43" s="54" t="n">
        <f aca="false">M38*'Global Assump'!M$4</f>
        <v>6443.008</v>
      </c>
    </row>
    <row r="44" customFormat="false" ht="15" hidden="false" customHeight="false" outlineLevel="0" collapsed="false">
      <c r="A44" s="48" t="s">
        <v>222</v>
      </c>
      <c r="B44" s="49" t="s">
        <v>31</v>
      </c>
      <c r="C44" s="50"/>
      <c r="D44" s="54" t="n">
        <f aca="false">D39*'Global Assump'!D$4</f>
        <v>0</v>
      </c>
      <c r="E44" s="54" t="n">
        <f aca="false">E39*'Global Assump'!E$4</f>
        <v>5818.56</v>
      </c>
      <c r="F44" s="54" t="n">
        <f aca="false">F39*'Global Assump'!F$4</f>
        <v>7029</v>
      </c>
      <c r="G44" s="54" t="n">
        <f aca="false">G39*'Global Assump'!G$4</f>
        <v>7314.736</v>
      </c>
      <c r="H44" s="54" t="n">
        <f aca="false">H39*'Global Assump'!H$4</f>
        <v>7248.528</v>
      </c>
      <c r="I44" s="54" t="n">
        <f aca="false">I39*'Global Assump'!I$4</f>
        <v>7150.08</v>
      </c>
      <c r="J44" s="54" t="n">
        <f aca="false">J39*'Global Assump'!J$4</f>
        <v>7019.74</v>
      </c>
      <c r="K44" s="54" t="n">
        <f aca="false">K39*'Global Assump'!K$4</f>
        <v>6858</v>
      </c>
      <c r="L44" s="54" t="n">
        <f aca="false">L39*'Global Assump'!L$4</f>
        <v>6665.496</v>
      </c>
      <c r="M44" s="54" t="n">
        <f aca="false">M39*'Global Assump'!M$4</f>
        <v>6443.008</v>
      </c>
    </row>
    <row r="46" customFormat="false" ht="18" hidden="false" customHeight="true" outlineLevel="0" collapsed="false">
      <c r="A46" s="8" t="s">
        <v>223</v>
      </c>
      <c r="B46" s="8"/>
      <c r="C46" s="8"/>
      <c r="D46" s="8"/>
      <c r="E46" s="8"/>
      <c r="F46" s="8"/>
      <c r="G46" s="8"/>
      <c r="H46" s="8"/>
      <c r="I46" s="8"/>
      <c r="J46" s="8"/>
      <c r="K46" s="8"/>
      <c r="L46" s="8"/>
      <c r="M46" s="8"/>
    </row>
    <row r="47" customFormat="false" ht="27.75" hidden="false" customHeight="true" outlineLevel="0" collapsed="false">
      <c r="A47" s="55" t="s">
        <v>374</v>
      </c>
      <c r="B47" s="55"/>
      <c r="C47" s="55"/>
      <c r="D47" s="55"/>
      <c r="E47" s="55"/>
      <c r="F47" s="55"/>
      <c r="G47" s="55"/>
      <c r="H47" s="55"/>
      <c r="I47" s="55"/>
      <c r="J47" s="55"/>
      <c r="K47" s="55"/>
      <c r="L47" s="55"/>
      <c r="M47" s="55"/>
    </row>
  </sheetData>
  <autoFilter ref="A19:M44"/>
  <mergeCells count="19">
    <mergeCell ref="A1:M1"/>
    <mergeCell ref="A2:M2"/>
    <mergeCell ref="A4:M4"/>
    <mergeCell ref="B5:M5"/>
    <mergeCell ref="B6:M6"/>
    <mergeCell ref="B7:M7"/>
    <mergeCell ref="B8:M8"/>
    <mergeCell ref="B9:M9"/>
    <mergeCell ref="B10:M10"/>
    <mergeCell ref="B11:M11"/>
    <mergeCell ref="B12:M12"/>
    <mergeCell ref="B13:M13"/>
    <mergeCell ref="B14:M14"/>
    <mergeCell ref="B15:M15"/>
    <mergeCell ref="B16:M16"/>
    <mergeCell ref="A18:M18"/>
    <mergeCell ref="A36:M36"/>
    <mergeCell ref="A46:M46"/>
    <mergeCell ref="A47:M47"/>
  </mergeCells>
  <conditionalFormatting sqref="B13">
    <cfRule type="expression" priority="2" aboveAverage="0" equalAverage="0" bottom="0" percent="0" rank="0" text="" dxfId="6">
      <formula>B13="Within range"</formula>
    </cfRule>
    <cfRule type="expression" priority="3" aboveAverage="0" equalAverage="0" bottom="0" percent="0" rank="0" text="" dxfId="7">
      <formula>B13&lt;&gt;"Within range"</formula>
    </cfRule>
  </conditionalFormatting>
  <dataValidations count="1">
    <dataValidation allowBlank="false" errorStyle="stop" operator="between" showDropDown="false" showErrorMessage="false" showInputMessage="false" sqref="B9" type="list">
      <formula1>"0,1"</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drawing r:id="rId1"/>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M48"/>
  <sheetViews>
    <sheetView showFormulas="false" showGridLines="false" showRowColHeaders="true" showZeros="true" rightToLeft="false" tabSelected="false" showOutlineSymbols="true" defaultGridColor="true" view="normal" topLeftCell="A1" colorId="64" zoomScale="85" zoomScaleNormal="85" zoomScalePageLayoutView="100" workbookViewId="0">
      <pane xSplit="3" ySplit="19" topLeftCell="D20" activePane="bottomRight" state="frozen"/>
      <selection pane="topLeft" activeCell="A1" activeCellId="0" sqref="A1"/>
      <selection pane="topRight" activeCell="D1" activeCellId="0" sqref="D1"/>
      <selection pane="bottomLeft" activeCell="A20" activeCellId="0" sqref="A20"/>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0" width="32"/>
    <col collapsed="false" customWidth="true" hidden="false" outlineLevel="0" max="2" min="2" style="0" width="15"/>
    <col collapsed="false" customWidth="true" hidden="false" outlineLevel="0" max="3" min="3" style="0" width="30"/>
    <col collapsed="false" customWidth="true" hidden="false" outlineLevel="0" max="13" min="4" style="0" width="12"/>
  </cols>
  <sheetData>
    <row r="1" customFormat="false" ht="24" hidden="false" customHeight="true" outlineLevel="0" collapsed="false">
      <c r="A1" s="24" t="s">
        <v>108</v>
      </c>
      <c r="B1" s="24"/>
      <c r="C1" s="24"/>
      <c r="D1" s="24"/>
      <c r="E1" s="24"/>
      <c r="F1" s="24"/>
      <c r="G1" s="24"/>
      <c r="H1" s="24"/>
      <c r="I1" s="24"/>
      <c r="J1" s="24"/>
      <c r="K1" s="24"/>
      <c r="L1" s="24"/>
      <c r="M1" s="24"/>
    </row>
    <row r="2" customFormat="false" ht="27.75" hidden="false" customHeight="true" outlineLevel="0" collapsed="false">
      <c r="A2" s="25" t="s">
        <v>375</v>
      </c>
      <c r="B2" s="25"/>
      <c r="C2" s="25"/>
      <c r="D2" s="25"/>
      <c r="E2" s="25"/>
      <c r="F2" s="25"/>
      <c r="G2" s="25"/>
      <c r="H2" s="25"/>
      <c r="I2" s="25"/>
      <c r="J2" s="25"/>
      <c r="K2" s="25"/>
      <c r="L2" s="25"/>
      <c r="M2" s="25"/>
    </row>
    <row r="4" customFormat="false" ht="18" hidden="false" customHeight="true" outlineLevel="0" collapsed="false">
      <c r="A4" s="8" t="s">
        <v>182</v>
      </c>
      <c r="B4" s="8"/>
      <c r="C4" s="8"/>
      <c r="D4" s="8"/>
      <c r="E4" s="8"/>
      <c r="F4" s="8"/>
      <c r="G4" s="8"/>
      <c r="H4" s="8"/>
      <c r="I4" s="8"/>
      <c r="J4" s="8"/>
      <c r="K4" s="8"/>
      <c r="L4" s="8"/>
      <c r="M4" s="8"/>
    </row>
    <row r="5" customFormat="false" ht="18" hidden="false" customHeight="true" outlineLevel="0" collapsed="false">
      <c r="A5" s="33" t="s">
        <v>183</v>
      </c>
      <c r="B5" s="34" t="s">
        <v>108</v>
      </c>
      <c r="C5" s="34"/>
      <c r="D5" s="34"/>
      <c r="E5" s="34"/>
      <c r="F5" s="34"/>
      <c r="G5" s="34"/>
      <c r="H5" s="34"/>
      <c r="I5" s="34"/>
      <c r="J5" s="34"/>
      <c r="K5" s="34"/>
      <c r="L5" s="34"/>
      <c r="M5" s="34"/>
    </row>
    <row r="6" customFormat="false" ht="18" hidden="false" customHeight="true" outlineLevel="0" collapsed="false">
      <c r="A6" s="33" t="s">
        <v>33</v>
      </c>
      <c r="B6" s="34" t="s">
        <v>39</v>
      </c>
      <c r="C6" s="34"/>
      <c r="D6" s="34"/>
      <c r="E6" s="34"/>
      <c r="F6" s="34"/>
      <c r="G6" s="34"/>
      <c r="H6" s="34"/>
      <c r="I6" s="34"/>
      <c r="J6" s="34"/>
      <c r="K6" s="34"/>
      <c r="L6" s="34"/>
      <c r="M6" s="34"/>
    </row>
    <row r="7" customFormat="false" ht="18" hidden="false" customHeight="true" outlineLevel="0" collapsed="false">
      <c r="A7" s="33" t="s">
        <v>42</v>
      </c>
      <c r="B7" s="34" t="s">
        <v>109</v>
      </c>
      <c r="C7" s="34"/>
      <c r="D7" s="34"/>
      <c r="E7" s="34"/>
      <c r="F7" s="34"/>
      <c r="G7" s="34"/>
      <c r="H7" s="34"/>
      <c r="I7" s="34"/>
      <c r="J7" s="34"/>
      <c r="K7" s="34"/>
      <c r="L7" s="34"/>
      <c r="M7" s="34"/>
    </row>
    <row r="8" customFormat="false" ht="24" hidden="false" customHeight="true" outlineLevel="0" collapsed="false">
      <c r="A8" s="33" t="s">
        <v>184</v>
      </c>
      <c r="B8" s="34" t="s">
        <v>110</v>
      </c>
      <c r="C8" s="34"/>
      <c r="D8" s="34"/>
      <c r="E8" s="34"/>
      <c r="F8" s="34"/>
      <c r="G8" s="34"/>
      <c r="H8" s="34"/>
      <c r="I8" s="34"/>
      <c r="J8" s="34"/>
      <c r="K8" s="34"/>
      <c r="L8" s="34"/>
      <c r="M8" s="34"/>
    </row>
    <row r="9" customFormat="false" ht="18" hidden="false" customHeight="true" outlineLevel="0" collapsed="false">
      <c r="A9" s="33" t="s">
        <v>185</v>
      </c>
      <c r="B9" s="35" t="n">
        <v>1</v>
      </c>
      <c r="C9" s="35"/>
      <c r="D9" s="35"/>
      <c r="E9" s="35"/>
      <c r="F9" s="35"/>
      <c r="G9" s="35"/>
      <c r="H9" s="35"/>
      <c r="I9" s="35"/>
      <c r="J9" s="35"/>
      <c r="K9" s="35"/>
      <c r="L9" s="35"/>
      <c r="M9" s="35"/>
    </row>
    <row r="10" customFormat="false" ht="18" hidden="false" customHeight="true" outlineLevel="0" collapsed="false">
      <c r="A10" s="33" t="s">
        <v>186</v>
      </c>
      <c r="B10" s="36" t="n">
        <v>35</v>
      </c>
      <c r="C10" s="36"/>
      <c r="D10" s="36"/>
      <c r="E10" s="36"/>
      <c r="F10" s="36"/>
      <c r="G10" s="36"/>
      <c r="H10" s="36"/>
      <c r="I10" s="36"/>
      <c r="J10" s="36"/>
      <c r="K10" s="36"/>
      <c r="L10" s="36"/>
      <c r="M10" s="36"/>
    </row>
    <row r="11" customFormat="false" ht="18" hidden="false" customHeight="true" outlineLevel="0" collapsed="false">
      <c r="A11" s="33" t="s">
        <v>187</v>
      </c>
      <c r="B11" s="36" t="n">
        <v>45</v>
      </c>
      <c r="C11" s="36"/>
      <c r="D11" s="36"/>
      <c r="E11" s="36"/>
      <c r="F11" s="36"/>
      <c r="G11" s="36"/>
      <c r="H11" s="36"/>
      <c r="I11" s="36"/>
      <c r="J11" s="36"/>
      <c r="K11" s="36"/>
      <c r="L11" s="36"/>
      <c r="M11" s="36"/>
    </row>
    <row r="12" customFormat="false" ht="18" hidden="false" customHeight="true" outlineLevel="0" collapsed="false">
      <c r="A12" s="33" t="s">
        <v>344</v>
      </c>
      <c r="B12" s="37" t="n">
        <f aca="false">G38</f>
        <v>40</v>
      </c>
      <c r="C12" s="37"/>
      <c r="D12" s="37"/>
      <c r="E12" s="37"/>
      <c r="F12" s="37"/>
      <c r="G12" s="37"/>
      <c r="H12" s="37"/>
      <c r="I12" s="37"/>
      <c r="J12" s="37"/>
      <c r="K12" s="37"/>
      <c r="L12" s="37"/>
      <c r="M12" s="37"/>
    </row>
    <row r="13" customFormat="false" ht="18" hidden="false" customHeight="true" outlineLevel="0" collapsed="false">
      <c r="A13" s="33" t="s">
        <v>189</v>
      </c>
      <c r="B13" s="38" t="str">
        <f aca="false">IF(AND(B12&gt;=B10,B12&lt;=B11),"Within range",IF(B12&lt;B10,"Below range","Above range"))</f>
        <v>Within range</v>
      </c>
      <c r="C13" s="38"/>
      <c r="D13" s="38"/>
      <c r="E13" s="38"/>
      <c r="F13" s="38"/>
      <c r="G13" s="38"/>
      <c r="H13" s="38"/>
      <c r="I13" s="38"/>
      <c r="J13" s="38"/>
      <c r="K13" s="38"/>
      <c r="L13" s="38"/>
      <c r="M13" s="38"/>
    </row>
    <row r="14" customFormat="false" ht="18" hidden="false" customHeight="true" outlineLevel="0" collapsed="false">
      <c r="A14" s="33" t="s">
        <v>190</v>
      </c>
      <c r="B14" s="34" t="s">
        <v>57</v>
      </c>
      <c r="C14" s="34"/>
      <c r="D14" s="34"/>
      <c r="E14" s="34"/>
      <c r="F14" s="34"/>
      <c r="G14" s="34"/>
      <c r="H14" s="34"/>
      <c r="I14" s="34"/>
      <c r="J14" s="34"/>
      <c r="K14" s="34"/>
      <c r="L14" s="34"/>
      <c r="M14" s="34"/>
    </row>
    <row r="15" customFormat="false" ht="24" hidden="false" customHeight="true" outlineLevel="0" collapsed="false">
      <c r="A15" s="33" t="s">
        <v>191</v>
      </c>
      <c r="B15" s="34" t="s">
        <v>376</v>
      </c>
      <c r="C15" s="34"/>
      <c r="D15" s="34"/>
      <c r="E15" s="34"/>
      <c r="F15" s="34"/>
      <c r="G15" s="34"/>
      <c r="H15" s="34"/>
      <c r="I15" s="34"/>
      <c r="J15" s="34"/>
      <c r="K15" s="34"/>
      <c r="L15" s="34"/>
      <c r="M15" s="34"/>
    </row>
    <row r="16" customFormat="false" ht="24" hidden="false" customHeight="true" outlineLevel="0" collapsed="false">
      <c r="A16" s="33" t="s">
        <v>193</v>
      </c>
      <c r="B16" s="34" t="s">
        <v>377</v>
      </c>
      <c r="C16" s="34"/>
      <c r="D16" s="34"/>
      <c r="E16" s="34"/>
      <c r="F16" s="34"/>
      <c r="G16" s="34"/>
      <c r="H16" s="34"/>
      <c r="I16" s="34"/>
      <c r="J16" s="34"/>
      <c r="K16" s="34"/>
      <c r="L16" s="34"/>
      <c r="M16" s="34"/>
    </row>
    <row r="18" customFormat="false" ht="18" hidden="false" customHeight="true" outlineLevel="0" collapsed="false">
      <c r="A18" s="8" t="s">
        <v>195</v>
      </c>
      <c r="B18" s="8"/>
      <c r="C18" s="8"/>
      <c r="D18" s="8"/>
      <c r="E18" s="8"/>
      <c r="F18" s="8"/>
      <c r="G18" s="8"/>
      <c r="H18" s="8"/>
      <c r="I18" s="8"/>
      <c r="J18" s="8"/>
      <c r="K18" s="8"/>
      <c r="L18" s="8"/>
      <c r="M18" s="8"/>
    </row>
    <row r="19" customFormat="false" ht="15" hidden="false" customHeight="false" outlineLevel="0" collapsed="false">
      <c r="A19" s="39" t="s">
        <v>196</v>
      </c>
      <c r="B19" s="39" t="s">
        <v>15</v>
      </c>
      <c r="C19" s="39" t="s">
        <v>197</v>
      </c>
      <c r="D19" s="39" t="s">
        <v>16</v>
      </c>
      <c r="E19" s="39" t="s">
        <v>17</v>
      </c>
      <c r="F19" s="39" t="s">
        <v>18</v>
      </c>
      <c r="G19" s="39" t="s">
        <v>19</v>
      </c>
      <c r="H19" s="39" t="s">
        <v>20</v>
      </c>
      <c r="I19" s="39" t="s">
        <v>21</v>
      </c>
      <c r="J19" s="39" t="s">
        <v>22</v>
      </c>
      <c r="K19" s="39" t="s">
        <v>23</v>
      </c>
      <c r="L19" s="39" t="s">
        <v>24</v>
      </c>
      <c r="M19" s="39" t="s">
        <v>25</v>
      </c>
    </row>
    <row r="20" customFormat="false" ht="19.4" hidden="false" customHeight="false" outlineLevel="0" collapsed="false">
      <c r="A20" s="40" t="s">
        <v>378</v>
      </c>
      <c r="B20" s="41" t="s">
        <v>27</v>
      </c>
      <c r="C20" s="42" t="s">
        <v>379</v>
      </c>
      <c r="D20" s="44" t="n">
        <v>80</v>
      </c>
      <c r="E20" s="44" t="n">
        <v>80</v>
      </c>
      <c r="F20" s="44" t="n">
        <v>80</v>
      </c>
      <c r="G20" s="44" t="n">
        <v>80</v>
      </c>
      <c r="H20" s="44" t="n">
        <v>80</v>
      </c>
      <c r="I20" s="44" t="n">
        <v>80</v>
      </c>
      <c r="J20" s="44" t="n">
        <v>80</v>
      </c>
      <c r="K20" s="44" t="n">
        <v>80</v>
      </c>
      <c r="L20" s="44" t="n">
        <v>80</v>
      </c>
      <c r="M20" s="44" t="n">
        <v>80</v>
      </c>
    </row>
    <row r="21" customFormat="false" ht="19.4" hidden="false" customHeight="false" outlineLevel="0" collapsed="false">
      <c r="A21" s="40" t="s">
        <v>380</v>
      </c>
      <c r="B21" s="41" t="s">
        <v>205</v>
      </c>
      <c r="C21" s="42" t="s">
        <v>381</v>
      </c>
      <c r="D21" s="45" t="n">
        <v>0</v>
      </c>
      <c r="E21" s="45" t="n">
        <v>0.15</v>
      </c>
      <c r="F21" s="45" t="n">
        <v>0.3</v>
      </c>
      <c r="G21" s="45" t="n">
        <v>0.5</v>
      </c>
      <c r="H21" s="45" t="n">
        <v>0.55</v>
      </c>
      <c r="I21" s="45" t="n">
        <v>0.6</v>
      </c>
      <c r="J21" s="45" t="n">
        <v>0.65</v>
      </c>
      <c r="K21" s="45" t="n">
        <v>0.72</v>
      </c>
      <c r="L21" s="45" t="n">
        <v>0.78</v>
      </c>
      <c r="M21" s="45" t="n">
        <v>0.85</v>
      </c>
    </row>
    <row r="22" customFormat="false" ht="15" hidden="false" customHeight="false" outlineLevel="0" collapsed="false">
      <c r="A22" s="23" t="s">
        <v>382</v>
      </c>
      <c r="B22" s="41" t="s">
        <v>27</v>
      </c>
      <c r="C22" s="42" t="s">
        <v>383</v>
      </c>
      <c r="D22" s="47" t="n">
        <f aca="false">D20*D21</f>
        <v>0</v>
      </c>
      <c r="E22" s="47" t="n">
        <f aca="false">E20*E21</f>
        <v>12</v>
      </c>
      <c r="F22" s="47" t="n">
        <f aca="false">F20*F21</f>
        <v>24</v>
      </c>
      <c r="G22" s="47" t="n">
        <f aca="false">G20*G21</f>
        <v>40</v>
      </c>
      <c r="H22" s="47" t="n">
        <f aca="false">H20*H21</f>
        <v>44</v>
      </c>
      <c r="I22" s="47" t="n">
        <f aca="false">I20*I21</f>
        <v>48</v>
      </c>
      <c r="J22" s="47" t="n">
        <f aca="false">J20*J21</f>
        <v>52</v>
      </c>
      <c r="K22" s="47" t="n">
        <f aca="false">K20*K21</f>
        <v>57.6</v>
      </c>
      <c r="L22" s="47" t="n">
        <f aca="false">L20*L21</f>
        <v>62.4</v>
      </c>
      <c r="M22" s="47" t="n">
        <f aca="false">M20*M21</f>
        <v>68</v>
      </c>
    </row>
    <row r="23" customFormat="false" ht="28.35" hidden="false" customHeight="false" outlineLevel="0" collapsed="false">
      <c r="A23" s="23" t="s">
        <v>384</v>
      </c>
      <c r="B23" s="41" t="s">
        <v>205</v>
      </c>
      <c r="C23" s="42" t="s">
        <v>385</v>
      </c>
      <c r="D23" s="45" t="n">
        <v>0</v>
      </c>
      <c r="E23" s="45" t="n">
        <v>0.5</v>
      </c>
      <c r="F23" s="45" t="n">
        <v>0.5</v>
      </c>
      <c r="G23" s="45" t="n">
        <v>0.5</v>
      </c>
      <c r="H23" s="45" t="n">
        <v>0.5</v>
      </c>
      <c r="I23" s="45" t="n">
        <v>0.5</v>
      </c>
      <c r="J23" s="45" t="n">
        <v>0.5</v>
      </c>
      <c r="K23" s="45" t="n">
        <v>0.48</v>
      </c>
      <c r="L23" s="45" t="n">
        <v>0.45</v>
      </c>
      <c r="M23" s="45" t="n">
        <v>0.42</v>
      </c>
    </row>
    <row r="24" customFormat="false" ht="15" hidden="false" customHeight="false" outlineLevel="0" collapsed="false">
      <c r="A24" s="23" t="s">
        <v>386</v>
      </c>
      <c r="B24" s="41" t="s">
        <v>27</v>
      </c>
      <c r="C24" s="42" t="s">
        <v>387</v>
      </c>
      <c r="D24" s="47" t="n">
        <f aca="false">D22*D23</f>
        <v>0</v>
      </c>
      <c r="E24" s="47" t="n">
        <f aca="false">E22*E23</f>
        <v>6</v>
      </c>
      <c r="F24" s="47" t="n">
        <f aca="false">F22*F23</f>
        <v>12</v>
      </c>
      <c r="G24" s="47" t="n">
        <f aca="false">G22*G23</f>
        <v>20</v>
      </c>
      <c r="H24" s="47" t="n">
        <f aca="false">H22*H23</f>
        <v>22</v>
      </c>
      <c r="I24" s="47" t="n">
        <f aca="false">I22*I23</f>
        <v>24</v>
      </c>
      <c r="J24" s="47" t="n">
        <f aca="false">J22*J23</f>
        <v>26</v>
      </c>
      <c r="K24" s="47" t="n">
        <f aca="false">K22*K23</f>
        <v>27.648</v>
      </c>
      <c r="L24" s="47" t="n">
        <f aca="false">L22*L23</f>
        <v>28.08</v>
      </c>
      <c r="M24" s="47" t="n">
        <f aca="false">M22*M23</f>
        <v>28.56</v>
      </c>
    </row>
    <row r="25" customFormat="false" ht="15" hidden="false" customHeight="false" outlineLevel="0" collapsed="false">
      <c r="A25" s="23" t="s">
        <v>388</v>
      </c>
      <c r="B25" s="41" t="s">
        <v>27</v>
      </c>
      <c r="C25" s="42" t="s">
        <v>389</v>
      </c>
      <c r="D25" s="47" t="n">
        <f aca="false">D22-D24</f>
        <v>0</v>
      </c>
      <c r="E25" s="47" t="n">
        <f aca="false">E22-E24</f>
        <v>6</v>
      </c>
      <c r="F25" s="47" t="n">
        <f aca="false">F22-F24</f>
        <v>12</v>
      </c>
      <c r="G25" s="47" t="n">
        <f aca="false">G22-G24</f>
        <v>20</v>
      </c>
      <c r="H25" s="47" t="n">
        <f aca="false">H22-H24</f>
        <v>22</v>
      </c>
      <c r="I25" s="47" t="n">
        <f aca="false">I22-I24</f>
        <v>24</v>
      </c>
      <c r="J25" s="47" t="n">
        <f aca="false">J22-J24</f>
        <v>26</v>
      </c>
      <c r="K25" s="47" t="n">
        <f aca="false">K22-K24</f>
        <v>29.952</v>
      </c>
      <c r="L25" s="47" t="n">
        <f aca="false">L22-L24</f>
        <v>34.32</v>
      </c>
      <c r="M25" s="47" t="n">
        <f aca="false">M22-M24</f>
        <v>39.44</v>
      </c>
    </row>
    <row r="26" customFormat="false" ht="19.4" hidden="false" customHeight="false" outlineLevel="0" collapsed="false">
      <c r="A26" s="23" t="s">
        <v>390</v>
      </c>
      <c r="B26" s="41" t="s">
        <v>27</v>
      </c>
      <c r="C26" s="42" t="s">
        <v>391</v>
      </c>
      <c r="D26" s="44" t="n">
        <v>0</v>
      </c>
      <c r="E26" s="44" t="n">
        <v>0</v>
      </c>
      <c r="F26" s="44" t="n">
        <v>0</v>
      </c>
      <c r="G26" s="44" t="n">
        <v>0</v>
      </c>
      <c r="H26" s="44" t="n">
        <v>0</v>
      </c>
      <c r="I26" s="44" t="n">
        <v>0</v>
      </c>
      <c r="J26" s="44" t="n">
        <v>5</v>
      </c>
      <c r="K26" s="44" t="n">
        <v>15</v>
      </c>
      <c r="L26" s="44" t="n">
        <v>25</v>
      </c>
      <c r="M26" s="44" t="n">
        <v>35</v>
      </c>
    </row>
    <row r="27" customFormat="false" ht="19.4" hidden="false" customHeight="false" outlineLevel="0" collapsed="false">
      <c r="A27" s="23" t="s">
        <v>392</v>
      </c>
      <c r="B27" s="41" t="s">
        <v>205</v>
      </c>
      <c r="C27" s="42" t="s">
        <v>393</v>
      </c>
      <c r="D27" s="45" t="n">
        <v>0.2</v>
      </c>
      <c r="E27" s="45" t="n">
        <v>0.2</v>
      </c>
      <c r="F27" s="45" t="n">
        <v>0.2</v>
      </c>
      <c r="G27" s="45" t="n">
        <v>0.2</v>
      </c>
      <c r="H27" s="45" t="n">
        <v>0.2</v>
      </c>
      <c r="I27" s="45" t="n">
        <v>0.2</v>
      </c>
      <c r="J27" s="45" t="n">
        <v>0.2</v>
      </c>
      <c r="K27" s="45" t="n">
        <v>0.2</v>
      </c>
      <c r="L27" s="45" t="n">
        <v>0.2</v>
      </c>
      <c r="M27" s="45" t="n">
        <v>0.2</v>
      </c>
    </row>
    <row r="28" customFormat="false" ht="19.4" hidden="false" customHeight="false" outlineLevel="0" collapsed="false">
      <c r="A28" s="23" t="s">
        <v>394</v>
      </c>
      <c r="B28" s="41" t="s">
        <v>205</v>
      </c>
      <c r="C28" s="42" t="s">
        <v>395</v>
      </c>
      <c r="D28" s="45" t="n">
        <v>0</v>
      </c>
      <c r="E28" s="45" t="n">
        <v>0.15</v>
      </c>
      <c r="F28" s="45" t="n">
        <v>0.18</v>
      </c>
      <c r="G28" s="45" t="n">
        <v>0.22</v>
      </c>
      <c r="H28" s="45" t="n">
        <v>0.23</v>
      </c>
      <c r="I28" s="45" t="n">
        <v>0.24</v>
      </c>
      <c r="J28" s="45" t="n">
        <v>0.25</v>
      </c>
      <c r="K28" s="45" t="n">
        <v>0.26</v>
      </c>
      <c r="L28" s="45" t="n">
        <v>0.27</v>
      </c>
      <c r="M28" s="45" t="n">
        <v>0.28</v>
      </c>
    </row>
    <row r="29" customFormat="false" ht="15" hidden="false" customHeight="false" outlineLevel="0" collapsed="false">
      <c r="A29" s="23" t="s">
        <v>396</v>
      </c>
      <c r="B29" s="41" t="s">
        <v>205</v>
      </c>
      <c r="C29" s="42" t="s">
        <v>397</v>
      </c>
      <c r="D29" s="45" t="n">
        <v>0</v>
      </c>
      <c r="E29" s="45" t="n">
        <v>0</v>
      </c>
      <c r="F29" s="45" t="n">
        <v>0</v>
      </c>
      <c r="G29" s="45" t="n">
        <v>0</v>
      </c>
      <c r="H29" s="45" t="n">
        <v>0</v>
      </c>
      <c r="I29" s="45" t="n">
        <v>0</v>
      </c>
      <c r="J29" s="45" t="n">
        <v>0.35</v>
      </c>
      <c r="K29" s="45" t="n">
        <v>0.36</v>
      </c>
      <c r="L29" s="45" t="n">
        <v>0.37</v>
      </c>
      <c r="M29" s="45" t="n">
        <v>0.38</v>
      </c>
    </row>
    <row r="30" customFormat="false" ht="15" hidden="false" customHeight="false" outlineLevel="0" collapsed="false">
      <c r="A30" s="23" t="s">
        <v>26</v>
      </c>
      <c r="B30" s="41" t="s">
        <v>27</v>
      </c>
      <c r="C30" s="42" t="s">
        <v>398</v>
      </c>
      <c r="D30" s="47" t="n">
        <f aca="false">D22+D26</f>
        <v>0</v>
      </c>
      <c r="E30" s="47" t="n">
        <f aca="false">E22+E26</f>
        <v>12</v>
      </c>
      <c r="F30" s="47" t="n">
        <f aca="false">F22+F26</f>
        <v>24</v>
      </c>
      <c r="G30" s="47" t="n">
        <f aca="false">G22+G26</f>
        <v>40</v>
      </c>
      <c r="H30" s="47" t="n">
        <f aca="false">H22+H26</f>
        <v>44</v>
      </c>
      <c r="I30" s="47" t="n">
        <f aca="false">I22+I26</f>
        <v>48</v>
      </c>
      <c r="J30" s="47" t="n">
        <f aca="false">J22+J26</f>
        <v>57</v>
      </c>
      <c r="K30" s="47" t="n">
        <f aca="false">K22+K26</f>
        <v>72.6</v>
      </c>
      <c r="L30" s="47" t="n">
        <f aca="false">L22+L26</f>
        <v>87.4</v>
      </c>
      <c r="M30" s="47" t="n">
        <f aca="false">M22+M26</f>
        <v>103</v>
      </c>
    </row>
    <row r="31" customFormat="false" ht="19.4" hidden="false" customHeight="false" outlineLevel="0" collapsed="false">
      <c r="A31" s="23" t="s">
        <v>222</v>
      </c>
      <c r="B31" s="41" t="s">
        <v>27</v>
      </c>
      <c r="C31" s="42" t="s">
        <v>399</v>
      </c>
      <c r="D31" s="47" t="n">
        <f aca="false">D22+D26*D27</f>
        <v>0</v>
      </c>
      <c r="E31" s="47" t="n">
        <f aca="false">E22+E26*E27</f>
        <v>12</v>
      </c>
      <c r="F31" s="47" t="n">
        <f aca="false">F22+F26*F27</f>
        <v>24</v>
      </c>
      <c r="G31" s="47" t="n">
        <f aca="false">G22+G26*G27</f>
        <v>40</v>
      </c>
      <c r="H31" s="47" t="n">
        <f aca="false">H22+H26*H27</f>
        <v>44</v>
      </c>
      <c r="I31" s="47" t="n">
        <f aca="false">I22+I26*I27</f>
        <v>48</v>
      </c>
      <c r="J31" s="47" t="n">
        <f aca="false">J22+J26*J27</f>
        <v>53</v>
      </c>
      <c r="K31" s="47" t="n">
        <f aca="false">K22+K26*K27</f>
        <v>60.6</v>
      </c>
      <c r="L31" s="47" t="n">
        <f aca="false">L22+L26*L27</f>
        <v>67.4</v>
      </c>
      <c r="M31" s="47" t="n">
        <f aca="false">M22+M26*M27</f>
        <v>75</v>
      </c>
    </row>
    <row r="32" customFormat="false" ht="15" hidden="false" customHeight="false" outlineLevel="0" collapsed="false">
      <c r="A32" s="23" t="s">
        <v>162</v>
      </c>
      <c r="B32" s="41" t="s">
        <v>27</v>
      </c>
      <c r="C32" s="42" t="s">
        <v>400</v>
      </c>
      <c r="D32" s="47" t="n">
        <f aca="false">D22*D28+D26*D29</f>
        <v>0</v>
      </c>
      <c r="E32" s="47" t="n">
        <f aca="false">E22*E28+E26*E29</f>
        <v>1.8</v>
      </c>
      <c r="F32" s="47" t="n">
        <f aca="false">F22*F28+F26*F29</f>
        <v>4.32</v>
      </c>
      <c r="G32" s="47" t="n">
        <f aca="false">G22*G28+G26*G29</f>
        <v>8.8</v>
      </c>
      <c r="H32" s="47" t="n">
        <f aca="false">H22*H28+H26*H29</f>
        <v>10.12</v>
      </c>
      <c r="I32" s="47" t="n">
        <f aca="false">I22*I28+I26*I29</f>
        <v>11.52</v>
      </c>
      <c r="J32" s="47" t="n">
        <f aca="false">J22*J28+J26*J29</f>
        <v>14.75</v>
      </c>
      <c r="K32" s="47" t="n">
        <f aca="false">K22*K28+K26*K29</f>
        <v>20.376</v>
      </c>
      <c r="L32" s="47" t="n">
        <f aca="false">L22*L28+L26*L29</f>
        <v>26.098</v>
      </c>
      <c r="M32" s="47" t="n">
        <f aca="false">M22*M28+M26*M29</f>
        <v>32.34</v>
      </c>
    </row>
    <row r="33" customFormat="false" ht="15" hidden="false" customHeight="false" outlineLevel="0" collapsed="false">
      <c r="A33" s="23" t="s">
        <v>30</v>
      </c>
      <c r="B33" s="41" t="s">
        <v>27</v>
      </c>
      <c r="C33" s="42" t="s">
        <v>401</v>
      </c>
      <c r="D33" s="47" t="n">
        <f aca="false">D22*D28+D26*D27*D29</f>
        <v>0</v>
      </c>
      <c r="E33" s="47" t="n">
        <f aca="false">E22*E28+E26*E27*E29</f>
        <v>1.8</v>
      </c>
      <c r="F33" s="47" t="n">
        <f aca="false">F22*F28+F26*F27*F29</f>
        <v>4.32</v>
      </c>
      <c r="G33" s="47" t="n">
        <f aca="false">G22*G28+G26*G27*G29</f>
        <v>8.8</v>
      </c>
      <c r="H33" s="47" t="n">
        <f aca="false">H22*H28+H26*H27*H29</f>
        <v>10.12</v>
      </c>
      <c r="I33" s="47" t="n">
        <f aca="false">I22*I28+I26*I27*I29</f>
        <v>11.52</v>
      </c>
      <c r="J33" s="47" t="n">
        <f aca="false">J22*J28+J26*J27*J29</f>
        <v>13.35</v>
      </c>
      <c r="K33" s="47" t="n">
        <f aca="false">K22*K28+K26*K27*K29</f>
        <v>16.056</v>
      </c>
      <c r="L33" s="47" t="n">
        <f aca="false">L22*L28+L26*L27*L29</f>
        <v>18.698</v>
      </c>
      <c r="M33" s="47" t="n">
        <f aca="false">M22*M28+M26*M27*M29</f>
        <v>21.7</v>
      </c>
    </row>
    <row r="36" customFormat="false" ht="18" hidden="false" customHeight="true" outlineLevel="0" collapsed="false">
      <c r="A36" s="8" t="s">
        <v>219</v>
      </c>
      <c r="B36" s="8"/>
      <c r="C36" s="8"/>
      <c r="D36" s="8"/>
      <c r="E36" s="8"/>
      <c r="F36" s="8"/>
      <c r="G36" s="8"/>
      <c r="H36" s="8"/>
      <c r="I36" s="8"/>
      <c r="J36" s="8"/>
      <c r="K36" s="8"/>
      <c r="L36" s="8"/>
      <c r="M36" s="8"/>
    </row>
    <row r="37" customFormat="false" ht="15" hidden="false" customHeight="false" outlineLevel="0" collapsed="false">
      <c r="A37" s="48" t="s">
        <v>220</v>
      </c>
      <c r="B37" s="49" t="s">
        <v>27</v>
      </c>
      <c r="C37" s="50"/>
      <c r="D37" s="51" t="n">
        <f aca="false">D30</f>
        <v>0</v>
      </c>
      <c r="E37" s="51" t="n">
        <f aca="false">E30</f>
        <v>12</v>
      </c>
      <c r="F37" s="51" t="n">
        <f aca="false">F30</f>
        <v>24</v>
      </c>
      <c r="G37" s="51" t="n">
        <f aca="false">G30</f>
        <v>40</v>
      </c>
      <c r="H37" s="51" t="n">
        <f aca="false">H30</f>
        <v>44</v>
      </c>
      <c r="I37" s="51" t="n">
        <f aca="false">I30</f>
        <v>48</v>
      </c>
      <c r="J37" s="51" t="n">
        <f aca="false">J30</f>
        <v>57</v>
      </c>
      <c r="K37" s="51" t="n">
        <f aca="false">K30</f>
        <v>72.6</v>
      </c>
      <c r="L37" s="51" t="n">
        <f aca="false">L30</f>
        <v>87.4</v>
      </c>
      <c r="M37" s="51" t="n">
        <f aca="false">M30</f>
        <v>103</v>
      </c>
    </row>
    <row r="38" customFormat="false" ht="15" hidden="false" customHeight="false" outlineLevel="0" collapsed="false">
      <c r="A38" s="52" t="s">
        <v>221</v>
      </c>
      <c r="B38" s="49" t="s">
        <v>27</v>
      </c>
      <c r="C38" s="50"/>
      <c r="D38" s="48" t="n">
        <f aca="false">D30*$B$9</f>
        <v>0</v>
      </c>
      <c r="E38" s="48" t="n">
        <f aca="false">E30*$B$9</f>
        <v>12</v>
      </c>
      <c r="F38" s="48" t="n">
        <f aca="false">F30*$B$9</f>
        <v>24</v>
      </c>
      <c r="G38" s="48" t="n">
        <f aca="false">G30*$B$9</f>
        <v>40</v>
      </c>
      <c r="H38" s="48" t="n">
        <f aca="false">H30*$B$9</f>
        <v>44</v>
      </c>
      <c r="I38" s="48" t="n">
        <f aca="false">I30*$B$9</f>
        <v>48</v>
      </c>
      <c r="J38" s="48" t="n">
        <f aca="false">J30*$B$9</f>
        <v>57</v>
      </c>
      <c r="K38" s="48" t="n">
        <f aca="false">K30*$B$9</f>
        <v>72.6</v>
      </c>
      <c r="L38" s="48" t="n">
        <f aca="false">L30*$B$9</f>
        <v>87.4</v>
      </c>
      <c r="M38" s="48" t="n">
        <f aca="false">M30*$B$9</f>
        <v>103</v>
      </c>
    </row>
    <row r="39" customFormat="false" ht="15" hidden="false" customHeight="false" outlineLevel="0" collapsed="false">
      <c r="A39" s="52" t="s">
        <v>222</v>
      </c>
      <c r="B39" s="49" t="s">
        <v>27</v>
      </c>
      <c r="C39" s="50"/>
      <c r="D39" s="48" t="n">
        <f aca="false">D31*$B$9</f>
        <v>0</v>
      </c>
      <c r="E39" s="48" t="n">
        <f aca="false">E31*$B$9</f>
        <v>12</v>
      </c>
      <c r="F39" s="48" t="n">
        <f aca="false">F31*$B$9</f>
        <v>24</v>
      </c>
      <c r="G39" s="48" t="n">
        <f aca="false">G31*$B$9</f>
        <v>40</v>
      </c>
      <c r="H39" s="48" t="n">
        <f aca="false">H31*$B$9</f>
        <v>44</v>
      </c>
      <c r="I39" s="48" t="n">
        <f aca="false">I31*$B$9</f>
        <v>48</v>
      </c>
      <c r="J39" s="48" t="n">
        <f aca="false">J31*$B$9</f>
        <v>53</v>
      </c>
      <c r="K39" s="48" t="n">
        <f aca="false">K31*$B$9</f>
        <v>60.6</v>
      </c>
      <c r="L39" s="48" t="n">
        <f aca="false">L31*$B$9</f>
        <v>67.4</v>
      </c>
      <c r="M39" s="48" t="n">
        <f aca="false">M31*$B$9</f>
        <v>75</v>
      </c>
    </row>
    <row r="40" customFormat="false" ht="15" hidden="false" customHeight="false" outlineLevel="0" collapsed="false">
      <c r="A40" s="48" t="s">
        <v>217</v>
      </c>
      <c r="B40" s="49" t="s">
        <v>205</v>
      </c>
      <c r="C40" s="50"/>
      <c r="D40" s="53" t="n">
        <f aca="false">IFERROR(D32/D30,0)</f>
        <v>0</v>
      </c>
      <c r="E40" s="53" t="n">
        <f aca="false">IFERROR(E32/E30,0)</f>
        <v>0.15</v>
      </c>
      <c r="F40" s="53" t="n">
        <f aca="false">IFERROR(F32/F30,0)</f>
        <v>0.18</v>
      </c>
      <c r="G40" s="53" t="n">
        <f aca="false">IFERROR(G32/G30,0)</f>
        <v>0.22</v>
      </c>
      <c r="H40" s="53" t="n">
        <f aca="false">IFERROR(H32/H30,0)</f>
        <v>0.23</v>
      </c>
      <c r="I40" s="53" t="n">
        <f aca="false">IFERROR(I32/I30,0)</f>
        <v>0.24</v>
      </c>
      <c r="J40" s="53" t="n">
        <f aca="false">IFERROR(J32/J30,0)</f>
        <v>0.258771929824561</v>
      </c>
      <c r="K40" s="53" t="n">
        <f aca="false">IFERROR(K32/K30,0)</f>
        <v>0.280661157024793</v>
      </c>
      <c r="L40" s="53" t="n">
        <f aca="false">IFERROR(L32/L30,0)</f>
        <v>0.298604118993135</v>
      </c>
      <c r="M40" s="53" t="n">
        <f aca="false">IFERROR(M32/M30,0)</f>
        <v>0.313980582524272</v>
      </c>
    </row>
    <row r="41" customFormat="false" ht="15" hidden="false" customHeight="false" outlineLevel="0" collapsed="false">
      <c r="A41" s="48" t="s">
        <v>162</v>
      </c>
      <c r="B41" s="49" t="s">
        <v>27</v>
      </c>
      <c r="C41" s="50"/>
      <c r="D41" s="48" t="n">
        <f aca="false">D32*$B$9</f>
        <v>0</v>
      </c>
      <c r="E41" s="48" t="n">
        <f aca="false">E32*$B$9</f>
        <v>1.8</v>
      </c>
      <c r="F41" s="48" t="n">
        <f aca="false">F32*$B$9</f>
        <v>4.32</v>
      </c>
      <c r="G41" s="48" t="n">
        <f aca="false">G32*$B$9</f>
        <v>8.8</v>
      </c>
      <c r="H41" s="48" t="n">
        <f aca="false">H32*$B$9</f>
        <v>10.12</v>
      </c>
      <c r="I41" s="48" t="n">
        <f aca="false">I32*$B$9</f>
        <v>11.52</v>
      </c>
      <c r="J41" s="48" t="n">
        <f aca="false">J32*$B$9</f>
        <v>14.75</v>
      </c>
      <c r="K41" s="48" t="n">
        <f aca="false">K32*$B$9</f>
        <v>20.376</v>
      </c>
      <c r="L41" s="48" t="n">
        <f aca="false">L32*$B$9</f>
        <v>26.098</v>
      </c>
      <c r="M41" s="48" t="n">
        <f aca="false">M32*$B$9</f>
        <v>32.34</v>
      </c>
    </row>
    <row r="42" customFormat="false" ht="15" hidden="false" customHeight="false" outlineLevel="0" collapsed="false">
      <c r="A42" s="48" t="s">
        <v>30</v>
      </c>
      <c r="B42" s="49" t="s">
        <v>27</v>
      </c>
      <c r="C42" s="50"/>
      <c r="D42" s="48" t="n">
        <f aca="false">D33*$B$9</f>
        <v>0</v>
      </c>
      <c r="E42" s="48" t="n">
        <f aca="false">E33*$B$9</f>
        <v>1.8</v>
      </c>
      <c r="F42" s="48" t="n">
        <f aca="false">F33*$B$9</f>
        <v>4.32</v>
      </c>
      <c r="G42" s="48" t="n">
        <f aca="false">G33*$B$9</f>
        <v>8.8</v>
      </c>
      <c r="H42" s="48" t="n">
        <f aca="false">H33*$B$9</f>
        <v>10.12</v>
      </c>
      <c r="I42" s="48" t="n">
        <f aca="false">I33*$B$9</f>
        <v>11.52</v>
      </c>
      <c r="J42" s="48" t="n">
        <f aca="false">J33*$B$9</f>
        <v>13.35</v>
      </c>
      <c r="K42" s="48" t="n">
        <f aca="false">K33*$B$9</f>
        <v>16.056</v>
      </c>
      <c r="L42" s="48" t="n">
        <f aca="false">L33*$B$9</f>
        <v>18.698</v>
      </c>
      <c r="M42" s="48" t="n">
        <f aca="false">M33*$B$9</f>
        <v>21.7</v>
      </c>
    </row>
    <row r="43" customFormat="false" ht="15" hidden="false" customHeight="false" outlineLevel="0" collapsed="false">
      <c r="A43" s="48" t="s">
        <v>221</v>
      </c>
      <c r="B43" s="49" t="s">
        <v>31</v>
      </c>
      <c r="C43" s="50"/>
      <c r="D43" s="54" t="n">
        <f aca="false">D38*'Global Assump'!D$4</f>
        <v>0</v>
      </c>
      <c r="E43" s="54" t="n">
        <f aca="false">E38*'Global Assump'!E$4</f>
        <v>1056</v>
      </c>
      <c r="F43" s="54" t="n">
        <f aca="false">F38*'Global Assump'!F$4</f>
        <v>2160</v>
      </c>
      <c r="G43" s="54" t="n">
        <f aca="false">G38*'Global Assump'!G$4</f>
        <v>3680</v>
      </c>
      <c r="H43" s="54" t="n">
        <f aca="false">H38*'Global Assump'!H$4</f>
        <v>4136</v>
      </c>
      <c r="I43" s="54" t="n">
        <f aca="false">I38*'Global Assump'!I$4</f>
        <v>4608</v>
      </c>
      <c r="J43" s="54" t="n">
        <f aca="false">J38*'Global Assump'!J$4</f>
        <v>5586</v>
      </c>
      <c r="K43" s="54" t="n">
        <f aca="false">K38*'Global Assump'!K$4</f>
        <v>7260</v>
      </c>
      <c r="L43" s="54" t="n">
        <f aca="false">L38*'Global Assump'!L$4</f>
        <v>8914.8</v>
      </c>
      <c r="M43" s="54" t="n">
        <f aca="false">M38*'Global Assump'!M$4</f>
        <v>10712</v>
      </c>
    </row>
    <row r="44" customFormat="false" ht="15" hidden="false" customHeight="false" outlineLevel="0" collapsed="false">
      <c r="A44" s="48" t="s">
        <v>222</v>
      </c>
      <c r="B44" s="49" t="s">
        <v>31</v>
      </c>
      <c r="C44" s="50"/>
      <c r="D44" s="54" t="n">
        <f aca="false">D39*'Global Assump'!D$4</f>
        <v>0</v>
      </c>
      <c r="E44" s="54" t="n">
        <f aca="false">E39*'Global Assump'!E$4</f>
        <v>1056</v>
      </c>
      <c r="F44" s="54" t="n">
        <f aca="false">F39*'Global Assump'!F$4</f>
        <v>2160</v>
      </c>
      <c r="G44" s="54" t="n">
        <f aca="false">G39*'Global Assump'!G$4</f>
        <v>3680</v>
      </c>
      <c r="H44" s="54" t="n">
        <f aca="false">H39*'Global Assump'!H$4</f>
        <v>4136</v>
      </c>
      <c r="I44" s="54" t="n">
        <f aca="false">I39*'Global Assump'!I$4</f>
        <v>4608</v>
      </c>
      <c r="J44" s="54" t="n">
        <f aca="false">J39*'Global Assump'!J$4</f>
        <v>5194</v>
      </c>
      <c r="K44" s="54" t="n">
        <f aca="false">K39*'Global Assump'!K$4</f>
        <v>6060</v>
      </c>
      <c r="L44" s="54" t="n">
        <f aca="false">L39*'Global Assump'!L$4</f>
        <v>6874.8</v>
      </c>
      <c r="M44" s="54" t="n">
        <f aca="false">M39*'Global Assump'!M$4</f>
        <v>7800</v>
      </c>
    </row>
    <row r="46" customFormat="false" ht="18" hidden="false" customHeight="true" outlineLevel="0" collapsed="false">
      <c r="A46" s="8" t="s">
        <v>223</v>
      </c>
      <c r="B46" s="8"/>
      <c r="C46" s="8"/>
      <c r="D46" s="8"/>
      <c r="E46" s="8"/>
      <c r="F46" s="8"/>
      <c r="G46" s="8"/>
      <c r="H46" s="8"/>
      <c r="I46" s="8"/>
      <c r="J46" s="8"/>
      <c r="K46" s="8"/>
      <c r="L46" s="8"/>
      <c r="M46" s="8"/>
    </row>
    <row r="47" customFormat="false" ht="27.75" hidden="false" customHeight="true" outlineLevel="0" collapsed="false">
      <c r="A47" s="55" t="s">
        <v>402</v>
      </c>
      <c r="B47" s="55"/>
      <c r="C47" s="55"/>
      <c r="D47" s="55"/>
      <c r="E47" s="55"/>
      <c r="F47" s="55"/>
      <c r="G47" s="55"/>
      <c r="H47" s="55"/>
      <c r="I47" s="55"/>
      <c r="J47" s="55"/>
      <c r="K47" s="55"/>
      <c r="L47" s="55"/>
      <c r="M47" s="55"/>
    </row>
    <row r="48" customFormat="false" ht="27.75" hidden="false" customHeight="true" outlineLevel="0" collapsed="false">
      <c r="A48" s="55" t="s">
        <v>403</v>
      </c>
      <c r="B48" s="55"/>
      <c r="C48" s="55"/>
      <c r="D48" s="55"/>
      <c r="E48" s="55"/>
      <c r="F48" s="55"/>
      <c r="G48" s="55"/>
      <c r="H48" s="55"/>
      <c r="I48" s="55"/>
      <c r="J48" s="55"/>
      <c r="K48" s="55"/>
      <c r="L48" s="55"/>
      <c r="M48" s="55"/>
    </row>
  </sheetData>
  <autoFilter ref="A19:M44"/>
  <mergeCells count="20">
    <mergeCell ref="A1:M1"/>
    <mergeCell ref="A2:M2"/>
    <mergeCell ref="A4:M4"/>
    <mergeCell ref="B5:M5"/>
    <mergeCell ref="B6:M6"/>
    <mergeCell ref="B7:M7"/>
    <mergeCell ref="B8:M8"/>
    <mergeCell ref="B9:M9"/>
    <mergeCell ref="B10:M10"/>
    <mergeCell ref="B11:M11"/>
    <mergeCell ref="B12:M12"/>
    <mergeCell ref="B13:M13"/>
    <mergeCell ref="B14:M14"/>
    <mergeCell ref="B15:M15"/>
    <mergeCell ref="B16:M16"/>
    <mergeCell ref="A18:M18"/>
    <mergeCell ref="A36:M36"/>
    <mergeCell ref="A46:M46"/>
    <mergeCell ref="A47:M47"/>
    <mergeCell ref="A48:M48"/>
  </mergeCells>
  <conditionalFormatting sqref="B13">
    <cfRule type="expression" priority="2" aboveAverage="0" equalAverage="0" bottom="0" percent="0" rank="0" text="" dxfId="6">
      <formula>B13="Within range"</formula>
    </cfRule>
    <cfRule type="expression" priority="3" aboveAverage="0" equalAverage="0" bottom="0" percent="0" rank="0" text="" dxfId="7">
      <formula>B13&lt;&gt;"Within range"</formula>
    </cfRule>
  </conditionalFormatting>
  <dataValidations count="1">
    <dataValidation allowBlank="false" errorStyle="stop" operator="between" showDropDown="false" showErrorMessage="false" showInputMessage="false" sqref="B9" type="list">
      <formula1>"0,1"</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drawing r:id="rId1"/>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M47"/>
  <sheetViews>
    <sheetView showFormulas="false" showGridLines="false" showRowColHeaders="true" showZeros="true" rightToLeft="false" tabSelected="false" showOutlineSymbols="true" defaultGridColor="true" view="normal" topLeftCell="A1" colorId="64" zoomScale="85" zoomScaleNormal="85" zoomScalePageLayoutView="100" workbookViewId="0">
      <pane xSplit="3" ySplit="19" topLeftCell="D20" activePane="bottomRight" state="frozen"/>
      <selection pane="topLeft" activeCell="A1" activeCellId="0" sqref="A1"/>
      <selection pane="topRight" activeCell="D1" activeCellId="0" sqref="D1"/>
      <selection pane="bottomLeft" activeCell="A20" activeCellId="0" sqref="A20"/>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0" width="32"/>
    <col collapsed="false" customWidth="true" hidden="false" outlineLevel="0" max="2" min="2" style="0" width="15"/>
    <col collapsed="false" customWidth="true" hidden="false" outlineLevel="0" max="3" min="3" style="0" width="30"/>
    <col collapsed="false" customWidth="true" hidden="false" outlineLevel="0" max="13" min="4" style="0" width="12"/>
  </cols>
  <sheetData>
    <row r="1" customFormat="false" ht="24" hidden="false" customHeight="true" outlineLevel="0" collapsed="false">
      <c r="A1" s="24" t="s">
        <v>112</v>
      </c>
      <c r="B1" s="24"/>
      <c r="C1" s="24"/>
      <c r="D1" s="24"/>
      <c r="E1" s="24"/>
      <c r="F1" s="24"/>
      <c r="G1" s="24"/>
      <c r="H1" s="24"/>
      <c r="I1" s="24"/>
      <c r="J1" s="24"/>
      <c r="K1" s="24"/>
      <c r="L1" s="24"/>
      <c r="M1" s="24"/>
    </row>
    <row r="2" customFormat="false" ht="27.75" hidden="false" customHeight="true" outlineLevel="0" collapsed="false">
      <c r="A2" s="25" t="s">
        <v>404</v>
      </c>
      <c r="B2" s="25"/>
      <c r="C2" s="25"/>
      <c r="D2" s="25"/>
      <c r="E2" s="25"/>
      <c r="F2" s="25"/>
      <c r="G2" s="25"/>
      <c r="H2" s="25"/>
      <c r="I2" s="25"/>
      <c r="J2" s="25"/>
      <c r="K2" s="25"/>
      <c r="L2" s="25"/>
      <c r="M2" s="25"/>
    </row>
    <row r="4" customFormat="false" ht="18" hidden="false" customHeight="true" outlineLevel="0" collapsed="false">
      <c r="A4" s="8" t="s">
        <v>182</v>
      </c>
      <c r="B4" s="8"/>
      <c r="C4" s="8"/>
      <c r="D4" s="8"/>
      <c r="E4" s="8"/>
      <c r="F4" s="8"/>
      <c r="G4" s="8"/>
      <c r="H4" s="8"/>
      <c r="I4" s="8"/>
      <c r="J4" s="8"/>
      <c r="K4" s="8"/>
      <c r="L4" s="8"/>
      <c r="M4" s="8"/>
    </row>
    <row r="5" customFormat="false" ht="18" hidden="false" customHeight="true" outlineLevel="0" collapsed="false">
      <c r="A5" s="33" t="s">
        <v>183</v>
      </c>
      <c r="B5" s="34" t="s">
        <v>112</v>
      </c>
      <c r="C5" s="34"/>
      <c r="D5" s="34"/>
      <c r="E5" s="34"/>
      <c r="F5" s="34"/>
      <c r="G5" s="34"/>
      <c r="H5" s="34"/>
      <c r="I5" s="34"/>
      <c r="J5" s="34"/>
      <c r="K5" s="34"/>
      <c r="L5" s="34"/>
      <c r="M5" s="34"/>
    </row>
    <row r="6" customFormat="false" ht="18" hidden="false" customHeight="true" outlineLevel="0" collapsed="false">
      <c r="A6" s="33" t="s">
        <v>33</v>
      </c>
      <c r="B6" s="34" t="s">
        <v>90</v>
      </c>
      <c r="C6" s="34"/>
      <c r="D6" s="34"/>
      <c r="E6" s="34"/>
      <c r="F6" s="34"/>
      <c r="G6" s="34"/>
      <c r="H6" s="34"/>
      <c r="I6" s="34"/>
      <c r="J6" s="34"/>
      <c r="K6" s="34"/>
      <c r="L6" s="34"/>
      <c r="M6" s="34"/>
    </row>
    <row r="7" customFormat="false" ht="18" hidden="false" customHeight="true" outlineLevel="0" collapsed="false">
      <c r="A7" s="33" t="s">
        <v>42</v>
      </c>
      <c r="B7" s="34" t="s">
        <v>113</v>
      </c>
      <c r="C7" s="34"/>
      <c r="D7" s="34"/>
      <c r="E7" s="34"/>
      <c r="F7" s="34"/>
      <c r="G7" s="34"/>
      <c r="H7" s="34"/>
      <c r="I7" s="34"/>
      <c r="J7" s="34"/>
      <c r="K7" s="34"/>
      <c r="L7" s="34"/>
      <c r="M7" s="34"/>
    </row>
    <row r="8" customFormat="false" ht="24" hidden="false" customHeight="true" outlineLevel="0" collapsed="false">
      <c r="A8" s="33" t="s">
        <v>184</v>
      </c>
      <c r="B8" s="34" t="s">
        <v>114</v>
      </c>
      <c r="C8" s="34"/>
      <c r="D8" s="34"/>
      <c r="E8" s="34"/>
      <c r="F8" s="34"/>
      <c r="G8" s="34"/>
      <c r="H8" s="34"/>
      <c r="I8" s="34"/>
      <c r="J8" s="34"/>
      <c r="K8" s="34"/>
      <c r="L8" s="34"/>
      <c r="M8" s="34"/>
    </row>
    <row r="9" customFormat="false" ht="18" hidden="false" customHeight="true" outlineLevel="0" collapsed="false">
      <c r="A9" s="33" t="s">
        <v>185</v>
      </c>
      <c r="B9" s="35" t="n">
        <v>1</v>
      </c>
      <c r="C9" s="35"/>
      <c r="D9" s="35"/>
      <c r="E9" s="35"/>
      <c r="F9" s="35"/>
      <c r="G9" s="35"/>
      <c r="H9" s="35"/>
      <c r="I9" s="35"/>
      <c r="J9" s="35"/>
      <c r="K9" s="35"/>
      <c r="L9" s="35"/>
      <c r="M9" s="35"/>
    </row>
    <row r="10" customFormat="false" ht="18" hidden="false" customHeight="true" outlineLevel="0" collapsed="false">
      <c r="A10" s="33" t="s">
        <v>405</v>
      </c>
      <c r="B10" s="36" t="n">
        <v>2000</v>
      </c>
      <c r="C10" s="36"/>
      <c r="D10" s="36"/>
      <c r="E10" s="36"/>
      <c r="F10" s="36"/>
      <c r="G10" s="36"/>
      <c r="H10" s="36"/>
      <c r="I10" s="36"/>
      <c r="J10" s="36"/>
      <c r="K10" s="36"/>
      <c r="L10" s="36"/>
      <c r="M10" s="36"/>
    </row>
    <row r="11" customFormat="false" ht="18" hidden="false" customHeight="true" outlineLevel="0" collapsed="false">
      <c r="A11" s="33" t="s">
        <v>406</v>
      </c>
      <c r="B11" s="36" t="n">
        <v>3000</v>
      </c>
      <c r="C11" s="36"/>
      <c r="D11" s="36"/>
      <c r="E11" s="36"/>
      <c r="F11" s="36"/>
      <c r="G11" s="36"/>
      <c r="H11" s="36"/>
      <c r="I11" s="36"/>
      <c r="J11" s="36"/>
      <c r="K11" s="36"/>
      <c r="L11" s="36"/>
      <c r="M11" s="36"/>
    </row>
    <row r="12" customFormat="false" ht="18" hidden="false" customHeight="true" outlineLevel="0" collapsed="false">
      <c r="A12" s="33" t="s">
        <v>188</v>
      </c>
      <c r="B12" s="37" t="n">
        <f aca="false">MAX(D43:M43)</f>
        <v>2856</v>
      </c>
      <c r="C12" s="37"/>
      <c r="D12" s="37"/>
      <c r="E12" s="37"/>
      <c r="F12" s="37"/>
      <c r="G12" s="37"/>
      <c r="H12" s="37"/>
      <c r="I12" s="37"/>
      <c r="J12" s="37"/>
      <c r="K12" s="37"/>
      <c r="L12" s="37"/>
      <c r="M12" s="37"/>
    </row>
    <row r="13" customFormat="false" ht="18" hidden="false" customHeight="true" outlineLevel="0" collapsed="false">
      <c r="A13" s="33" t="s">
        <v>189</v>
      </c>
      <c r="B13" s="38" t="str">
        <f aca="false">IF(AND(B12&gt;=B10,B12&lt;=B11),"Within range",IF(B12&lt;B10,"Below range","Above range"))</f>
        <v>Within range</v>
      </c>
      <c r="C13" s="38"/>
      <c r="D13" s="38"/>
      <c r="E13" s="38"/>
      <c r="F13" s="38"/>
      <c r="G13" s="38"/>
      <c r="H13" s="38"/>
      <c r="I13" s="38"/>
      <c r="J13" s="38"/>
      <c r="K13" s="38"/>
      <c r="L13" s="38"/>
      <c r="M13" s="38"/>
    </row>
    <row r="14" customFormat="false" ht="18" hidden="false" customHeight="true" outlineLevel="0" collapsed="false">
      <c r="A14" s="33" t="s">
        <v>190</v>
      </c>
      <c r="B14" s="34" t="s">
        <v>53</v>
      </c>
      <c r="C14" s="34"/>
      <c r="D14" s="34"/>
      <c r="E14" s="34"/>
      <c r="F14" s="34"/>
      <c r="G14" s="34"/>
      <c r="H14" s="34"/>
      <c r="I14" s="34"/>
      <c r="J14" s="34"/>
      <c r="K14" s="34"/>
      <c r="L14" s="34"/>
      <c r="M14" s="34"/>
    </row>
    <row r="15" customFormat="false" ht="24" hidden="false" customHeight="true" outlineLevel="0" collapsed="false">
      <c r="A15" s="33" t="s">
        <v>191</v>
      </c>
      <c r="B15" s="34" t="s">
        <v>407</v>
      </c>
      <c r="C15" s="34"/>
      <c r="D15" s="34"/>
      <c r="E15" s="34"/>
      <c r="F15" s="34"/>
      <c r="G15" s="34"/>
      <c r="H15" s="34"/>
      <c r="I15" s="34"/>
      <c r="J15" s="34"/>
      <c r="K15" s="34"/>
      <c r="L15" s="34"/>
      <c r="M15" s="34"/>
    </row>
    <row r="16" customFormat="false" ht="24" hidden="false" customHeight="true" outlineLevel="0" collapsed="false">
      <c r="A16" s="33" t="s">
        <v>193</v>
      </c>
      <c r="B16" s="34" t="s">
        <v>408</v>
      </c>
      <c r="C16" s="34"/>
      <c r="D16" s="34"/>
      <c r="E16" s="34"/>
      <c r="F16" s="34"/>
      <c r="G16" s="34"/>
      <c r="H16" s="34"/>
      <c r="I16" s="34"/>
      <c r="J16" s="34"/>
      <c r="K16" s="34"/>
      <c r="L16" s="34"/>
      <c r="M16" s="34"/>
    </row>
    <row r="18" customFormat="false" ht="18" hidden="false" customHeight="true" outlineLevel="0" collapsed="false">
      <c r="A18" s="8" t="s">
        <v>195</v>
      </c>
      <c r="B18" s="8"/>
      <c r="C18" s="8"/>
      <c r="D18" s="8"/>
      <c r="E18" s="8"/>
      <c r="F18" s="8"/>
      <c r="G18" s="8"/>
      <c r="H18" s="8"/>
      <c r="I18" s="8"/>
      <c r="J18" s="8"/>
      <c r="K18" s="8"/>
      <c r="L18" s="8"/>
      <c r="M18" s="8"/>
    </row>
    <row r="19" customFormat="false" ht="15" hidden="false" customHeight="false" outlineLevel="0" collapsed="false">
      <c r="A19" s="39" t="s">
        <v>196</v>
      </c>
      <c r="B19" s="39" t="s">
        <v>15</v>
      </c>
      <c r="C19" s="39" t="s">
        <v>197</v>
      </c>
      <c r="D19" s="39" t="s">
        <v>16</v>
      </c>
      <c r="E19" s="39" t="s">
        <v>17</v>
      </c>
      <c r="F19" s="39" t="s">
        <v>18</v>
      </c>
      <c r="G19" s="39" t="s">
        <v>19</v>
      </c>
      <c r="H19" s="39" t="s">
        <v>20</v>
      </c>
      <c r="I19" s="39" t="s">
        <v>21</v>
      </c>
      <c r="J19" s="39" t="s">
        <v>22</v>
      </c>
      <c r="K19" s="39" t="s">
        <v>23</v>
      </c>
      <c r="L19" s="39" t="s">
        <v>24</v>
      </c>
      <c r="M19" s="39" t="s">
        <v>25</v>
      </c>
    </row>
    <row r="20" customFormat="false" ht="19.4" hidden="false" customHeight="false" outlineLevel="0" collapsed="false">
      <c r="A20" s="40" t="s">
        <v>409</v>
      </c>
      <c r="B20" s="41" t="s">
        <v>410</v>
      </c>
      <c r="C20" s="42" t="s">
        <v>411</v>
      </c>
      <c r="D20" s="43" t="n">
        <v>120</v>
      </c>
      <c r="E20" s="43" t="n">
        <v>150</v>
      </c>
      <c r="F20" s="43" t="n">
        <v>180</v>
      </c>
      <c r="G20" s="43" t="n">
        <v>210</v>
      </c>
      <c r="H20" s="43" t="n">
        <v>240</v>
      </c>
      <c r="I20" s="43" t="n">
        <v>270</v>
      </c>
      <c r="J20" s="43" t="n">
        <v>300</v>
      </c>
      <c r="K20" s="43" t="n">
        <v>330</v>
      </c>
      <c r="L20" s="43" t="n">
        <v>360</v>
      </c>
      <c r="M20" s="43" t="n">
        <v>390</v>
      </c>
    </row>
    <row r="21" customFormat="false" ht="15" hidden="false" customHeight="false" outlineLevel="0" collapsed="false">
      <c r="A21" s="40" t="s">
        <v>412</v>
      </c>
      <c r="B21" s="41" t="s">
        <v>413</v>
      </c>
      <c r="C21" s="42" t="s">
        <v>414</v>
      </c>
      <c r="D21" s="44" t="n">
        <v>40</v>
      </c>
      <c r="E21" s="44" t="n">
        <v>39</v>
      </c>
      <c r="F21" s="44" t="n">
        <v>38</v>
      </c>
      <c r="G21" s="44" t="n">
        <v>37</v>
      </c>
      <c r="H21" s="44" t="n">
        <v>36</v>
      </c>
      <c r="I21" s="44" t="n">
        <v>35</v>
      </c>
      <c r="J21" s="44" t="n">
        <v>34</v>
      </c>
      <c r="K21" s="44" t="n">
        <v>33</v>
      </c>
      <c r="L21" s="44" t="n">
        <v>32</v>
      </c>
      <c r="M21" s="44" t="n">
        <v>31</v>
      </c>
    </row>
    <row r="22" customFormat="false" ht="19.4" hidden="false" customHeight="false" outlineLevel="0" collapsed="false">
      <c r="A22" s="23" t="s">
        <v>415</v>
      </c>
      <c r="B22" s="41" t="s">
        <v>205</v>
      </c>
      <c r="C22" s="42" t="s">
        <v>416</v>
      </c>
      <c r="D22" s="45" t="n">
        <v>0.1</v>
      </c>
      <c r="E22" s="45" t="n">
        <v>0.15</v>
      </c>
      <c r="F22" s="45" t="n">
        <v>0.23</v>
      </c>
      <c r="G22" s="45" t="n">
        <v>0.3</v>
      </c>
      <c r="H22" s="45" t="n">
        <v>0.32</v>
      </c>
      <c r="I22" s="45" t="n">
        <v>0.3</v>
      </c>
      <c r="J22" s="45" t="n">
        <v>0.28</v>
      </c>
      <c r="K22" s="45" t="n">
        <v>0.26</v>
      </c>
      <c r="L22" s="45" t="n">
        <v>0.24</v>
      </c>
      <c r="M22" s="45" t="n">
        <v>0.22</v>
      </c>
    </row>
    <row r="23" customFormat="false" ht="15" hidden="false" customHeight="false" outlineLevel="0" collapsed="false">
      <c r="A23" s="23" t="s">
        <v>417</v>
      </c>
      <c r="B23" s="41" t="s">
        <v>205</v>
      </c>
      <c r="C23" s="42" t="s">
        <v>418</v>
      </c>
      <c r="D23" s="45" t="n">
        <v>1</v>
      </c>
      <c r="E23" s="45" t="n">
        <v>1</v>
      </c>
      <c r="F23" s="45" t="n">
        <v>1</v>
      </c>
      <c r="G23" s="45" t="n">
        <v>1</v>
      </c>
      <c r="H23" s="45" t="n">
        <v>1</v>
      </c>
      <c r="I23" s="45" t="n">
        <v>1</v>
      </c>
      <c r="J23" s="45" t="n">
        <v>1</v>
      </c>
      <c r="K23" s="45" t="n">
        <v>1</v>
      </c>
      <c r="L23" s="45" t="n">
        <v>1</v>
      </c>
      <c r="M23" s="45" t="n">
        <v>1</v>
      </c>
    </row>
    <row r="24" customFormat="false" ht="15" hidden="false" customHeight="false" outlineLevel="0" collapsed="false">
      <c r="A24" s="23" t="s">
        <v>419</v>
      </c>
      <c r="B24" s="41" t="s">
        <v>31</v>
      </c>
      <c r="C24" s="42" t="s">
        <v>420</v>
      </c>
      <c r="D24" s="47" t="n">
        <f aca="false">D20*D21*D22*D23</f>
        <v>480</v>
      </c>
      <c r="E24" s="47" t="n">
        <f aca="false">E20*E21*E22*E23</f>
        <v>877.5</v>
      </c>
      <c r="F24" s="47" t="n">
        <f aca="false">F20*F21*F22*F23</f>
        <v>1573.2</v>
      </c>
      <c r="G24" s="47" t="n">
        <f aca="false">G20*G21*G22*G23</f>
        <v>2331</v>
      </c>
      <c r="H24" s="47" t="n">
        <f aca="false">H20*H21*H22*H23</f>
        <v>2764.8</v>
      </c>
      <c r="I24" s="47" t="n">
        <f aca="false">I20*I21*I22*I23</f>
        <v>2835</v>
      </c>
      <c r="J24" s="47" t="n">
        <f aca="false">J20*J21*J22*J23</f>
        <v>2856</v>
      </c>
      <c r="K24" s="47" t="n">
        <f aca="false">K20*K21*K22*K23</f>
        <v>2831.4</v>
      </c>
      <c r="L24" s="47" t="n">
        <f aca="false">L20*L21*L22*L23</f>
        <v>2764.8</v>
      </c>
      <c r="M24" s="47" t="n">
        <f aca="false">M20*M21*M22*M23</f>
        <v>2659.8</v>
      </c>
    </row>
    <row r="25" customFormat="false" ht="15" hidden="false" customHeight="false" outlineLevel="0" collapsed="false">
      <c r="A25" s="23" t="s">
        <v>215</v>
      </c>
      <c r="B25" s="41" t="s">
        <v>205</v>
      </c>
      <c r="C25" s="42" t="s">
        <v>277</v>
      </c>
      <c r="D25" s="45" t="n">
        <v>1</v>
      </c>
      <c r="E25" s="45" t="n">
        <v>1</v>
      </c>
      <c r="F25" s="45" t="n">
        <v>1</v>
      </c>
      <c r="G25" s="45" t="n">
        <v>1</v>
      </c>
      <c r="H25" s="45" t="n">
        <v>1</v>
      </c>
      <c r="I25" s="45" t="n">
        <v>1</v>
      </c>
      <c r="J25" s="45" t="n">
        <v>1</v>
      </c>
      <c r="K25" s="45" t="n">
        <v>1</v>
      </c>
      <c r="L25" s="45" t="n">
        <v>1</v>
      </c>
      <c r="M25" s="45" t="n">
        <v>1</v>
      </c>
    </row>
    <row r="26" customFormat="false" ht="19.4" hidden="false" customHeight="false" outlineLevel="0" collapsed="false">
      <c r="A26" s="23" t="s">
        <v>217</v>
      </c>
      <c r="B26" s="41" t="s">
        <v>205</v>
      </c>
      <c r="C26" s="42" t="s">
        <v>421</v>
      </c>
      <c r="D26" s="45" t="n">
        <v>0.25</v>
      </c>
      <c r="E26" s="45" t="n">
        <v>0.28</v>
      </c>
      <c r="F26" s="45" t="n">
        <v>0.32</v>
      </c>
      <c r="G26" s="45" t="n">
        <v>0.35</v>
      </c>
      <c r="H26" s="45" t="n">
        <v>0.36</v>
      </c>
      <c r="I26" s="45" t="n">
        <v>0.36</v>
      </c>
      <c r="J26" s="45" t="n">
        <v>0.35</v>
      </c>
      <c r="K26" s="45" t="n">
        <v>0.34</v>
      </c>
      <c r="L26" s="45" t="n">
        <v>0.33</v>
      </c>
      <c r="M26" s="45" t="n">
        <v>0.32</v>
      </c>
    </row>
    <row r="27" customFormat="false" ht="15" hidden="false" customHeight="false" outlineLevel="0" collapsed="false">
      <c r="A27" s="23" t="s">
        <v>422</v>
      </c>
      <c r="B27" s="41" t="s">
        <v>27</v>
      </c>
      <c r="C27" s="42" t="s">
        <v>423</v>
      </c>
      <c r="D27" s="47" t="n">
        <f aca="false">D24/'Global Assump'!D$4</f>
        <v>5.58139534883721</v>
      </c>
      <c r="E27" s="47" t="n">
        <f aca="false">E24/'Global Assump'!E$4</f>
        <v>9.97159090909091</v>
      </c>
      <c r="F27" s="47" t="n">
        <f aca="false">F24/'Global Assump'!F$4</f>
        <v>17.48</v>
      </c>
      <c r="G27" s="47" t="n">
        <f aca="false">G24/'Global Assump'!G$4</f>
        <v>25.3369565217391</v>
      </c>
      <c r="H27" s="47" t="n">
        <f aca="false">H24/'Global Assump'!H$4</f>
        <v>29.4127659574468</v>
      </c>
      <c r="I27" s="47" t="n">
        <f aca="false">I24/'Global Assump'!I$4</f>
        <v>29.53125</v>
      </c>
      <c r="J27" s="47" t="n">
        <f aca="false">J24/'Global Assump'!J$4</f>
        <v>29.1428571428571</v>
      </c>
      <c r="K27" s="47" t="n">
        <f aca="false">K24/'Global Assump'!K$4</f>
        <v>28.314</v>
      </c>
      <c r="L27" s="47" t="n">
        <f aca="false">L24/'Global Assump'!L$4</f>
        <v>27.1058823529412</v>
      </c>
      <c r="M27" s="47" t="n">
        <f aca="false">M24/'Global Assump'!M$4</f>
        <v>25.575</v>
      </c>
    </row>
    <row r="36" customFormat="false" ht="18" hidden="false" customHeight="true" outlineLevel="0" collapsed="false">
      <c r="A36" s="8" t="s">
        <v>219</v>
      </c>
      <c r="B36" s="8"/>
      <c r="C36" s="8"/>
      <c r="D36" s="8"/>
      <c r="E36" s="8"/>
      <c r="F36" s="8"/>
      <c r="G36" s="8"/>
      <c r="H36" s="8"/>
      <c r="I36" s="8"/>
      <c r="J36" s="8"/>
      <c r="K36" s="8"/>
      <c r="L36" s="8"/>
      <c r="M36" s="8"/>
    </row>
    <row r="37" customFormat="false" ht="15" hidden="false" customHeight="false" outlineLevel="0" collapsed="false">
      <c r="A37" s="48" t="s">
        <v>220</v>
      </c>
      <c r="B37" s="49" t="s">
        <v>27</v>
      </c>
      <c r="C37" s="50"/>
      <c r="D37" s="51" t="n">
        <f aca="false">D27</f>
        <v>5.58139534883721</v>
      </c>
      <c r="E37" s="51" t="n">
        <f aca="false">E27</f>
        <v>9.97159090909091</v>
      </c>
      <c r="F37" s="51" t="n">
        <f aca="false">F27</f>
        <v>17.48</v>
      </c>
      <c r="G37" s="51" t="n">
        <f aca="false">G27</f>
        <v>25.3369565217391</v>
      </c>
      <c r="H37" s="51" t="n">
        <f aca="false">H27</f>
        <v>29.4127659574468</v>
      </c>
      <c r="I37" s="51" t="n">
        <f aca="false">I27</f>
        <v>29.53125</v>
      </c>
      <c r="J37" s="51" t="n">
        <f aca="false">J27</f>
        <v>29.1428571428571</v>
      </c>
      <c r="K37" s="51" t="n">
        <f aca="false">K27</f>
        <v>28.314</v>
      </c>
      <c r="L37" s="51" t="n">
        <f aca="false">L27</f>
        <v>27.1058823529412</v>
      </c>
      <c r="M37" s="51" t="n">
        <f aca="false">M27</f>
        <v>25.575</v>
      </c>
    </row>
    <row r="38" customFormat="false" ht="15" hidden="false" customHeight="false" outlineLevel="0" collapsed="false">
      <c r="A38" s="52" t="s">
        <v>221</v>
      </c>
      <c r="B38" s="49" t="s">
        <v>27</v>
      </c>
      <c r="C38" s="50"/>
      <c r="D38" s="48" t="n">
        <f aca="false">D27*$B$9</f>
        <v>5.58139534883721</v>
      </c>
      <c r="E38" s="48" t="n">
        <f aca="false">E27*$B$9</f>
        <v>9.97159090909091</v>
      </c>
      <c r="F38" s="48" t="n">
        <f aca="false">F27*$B$9</f>
        <v>17.48</v>
      </c>
      <c r="G38" s="48" t="n">
        <f aca="false">G27*$B$9</f>
        <v>25.3369565217391</v>
      </c>
      <c r="H38" s="48" t="n">
        <f aca="false">H27*$B$9</f>
        <v>29.4127659574468</v>
      </c>
      <c r="I38" s="48" t="n">
        <f aca="false">I27*$B$9</f>
        <v>29.53125</v>
      </c>
      <c r="J38" s="48" t="n">
        <f aca="false">J27*$B$9</f>
        <v>29.1428571428571</v>
      </c>
      <c r="K38" s="48" t="n">
        <f aca="false">K27*$B$9</f>
        <v>28.314</v>
      </c>
      <c r="L38" s="48" t="n">
        <f aca="false">L27*$B$9</f>
        <v>27.1058823529412</v>
      </c>
      <c r="M38" s="48" t="n">
        <f aca="false">M27*$B$9</f>
        <v>25.575</v>
      </c>
    </row>
    <row r="39" customFormat="false" ht="15" hidden="false" customHeight="false" outlineLevel="0" collapsed="false">
      <c r="A39" s="52" t="s">
        <v>222</v>
      </c>
      <c r="B39" s="49" t="s">
        <v>27</v>
      </c>
      <c r="C39" s="50"/>
      <c r="D39" s="48" t="n">
        <f aca="false">D38*D25</f>
        <v>5.58139534883721</v>
      </c>
      <c r="E39" s="48" t="n">
        <f aca="false">E38*E25</f>
        <v>9.97159090909091</v>
      </c>
      <c r="F39" s="48" t="n">
        <f aca="false">F38*F25</f>
        <v>17.48</v>
      </c>
      <c r="G39" s="48" t="n">
        <f aca="false">G38*G25</f>
        <v>25.3369565217391</v>
      </c>
      <c r="H39" s="48" t="n">
        <f aca="false">H38*H25</f>
        <v>29.4127659574468</v>
      </c>
      <c r="I39" s="48" t="n">
        <f aca="false">I38*I25</f>
        <v>29.53125</v>
      </c>
      <c r="J39" s="48" t="n">
        <f aca="false">J38*J25</f>
        <v>29.1428571428571</v>
      </c>
      <c r="K39" s="48" t="n">
        <f aca="false">K38*K25</f>
        <v>28.314</v>
      </c>
      <c r="L39" s="48" t="n">
        <f aca="false">L38*L25</f>
        <v>27.1058823529412</v>
      </c>
      <c r="M39" s="48" t="n">
        <f aca="false">M38*M25</f>
        <v>25.575</v>
      </c>
    </row>
    <row r="40" customFormat="false" ht="15" hidden="false" customHeight="false" outlineLevel="0" collapsed="false">
      <c r="A40" s="48" t="s">
        <v>217</v>
      </c>
      <c r="B40" s="49" t="s">
        <v>205</v>
      </c>
      <c r="C40" s="50"/>
      <c r="D40" s="53" t="n">
        <f aca="false">D26</f>
        <v>0.25</v>
      </c>
      <c r="E40" s="53" t="n">
        <f aca="false">E26</f>
        <v>0.28</v>
      </c>
      <c r="F40" s="53" t="n">
        <f aca="false">F26</f>
        <v>0.32</v>
      </c>
      <c r="G40" s="53" t="n">
        <f aca="false">G26</f>
        <v>0.35</v>
      </c>
      <c r="H40" s="53" t="n">
        <f aca="false">H26</f>
        <v>0.36</v>
      </c>
      <c r="I40" s="53" t="n">
        <f aca="false">I26</f>
        <v>0.36</v>
      </c>
      <c r="J40" s="53" t="n">
        <f aca="false">J26</f>
        <v>0.35</v>
      </c>
      <c r="K40" s="53" t="n">
        <f aca="false">K26</f>
        <v>0.34</v>
      </c>
      <c r="L40" s="53" t="n">
        <f aca="false">L26</f>
        <v>0.33</v>
      </c>
      <c r="M40" s="53" t="n">
        <f aca="false">M26</f>
        <v>0.32</v>
      </c>
    </row>
    <row r="41" customFormat="false" ht="15" hidden="false" customHeight="false" outlineLevel="0" collapsed="false">
      <c r="A41" s="48" t="s">
        <v>162</v>
      </c>
      <c r="B41" s="49" t="s">
        <v>27</v>
      </c>
      <c r="C41" s="50"/>
      <c r="D41" s="48" t="n">
        <f aca="false">D38*D40</f>
        <v>1.3953488372093</v>
      </c>
      <c r="E41" s="48" t="n">
        <f aca="false">E38*E40</f>
        <v>2.79204545454545</v>
      </c>
      <c r="F41" s="48" t="n">
        <f aca="false">F38*F40</f>
        <v>5.5936</v>
      </c>
      <c r="G41" s="48" t="n">
        <f aca="false">G38*G40</f>
        <v>8.86793478260869</v>
      </c>
      <c r="H41" s="48" t="n">
        <f aca="false">H38*H40</f>
        <v>10.5885957446809</v>
      </c>
      <c r="I41" s="48" t="n">
        <f aca="false">I38*I40</f>
        <v>10.63125</v>
      </c>
      <c r="J41" s="48" t="n">
        <f aca="false">J38*J40</f>
        <v>10.2</v>
      </c>
      <c r="K41" s="48" t="n">
        <f aca="false">K38*K40</f>
        <v>9.62676</v>
      </c>
      <c r="L41" s="48" t="n">
        <f aca="false">L38*L40</f>
        <v>8.94494117647059</v>
      </c>
      <c r="M41" s="48" t="n">
        <f aca="false">M38*M40</f>
        <v>8.184</v>
      </c>
    </row>
    <row r="42" customFormat="false" ht="15" hidden="false" customHeight="false" outlineLevel="0" collapsed="false">
      <c r="A42" s="48" t="s">
        <v>30</v>
      </c>
      <c r="B42" s="49" t="s">
        <v>27</v>
      </c>
      <c r="C42" s="50"/>
      <c r="D42" s="48" t="n">
        <f aca="false">D39*D40</f>
        <v>1.3953488372093</v>
      </c>
      <c r="E42" s="48" t="n">
        <f aca="false">E39*E40</f>
        <v>2.79204545454545</v>
      </c>
      <c r="F42" s="48" t="n">
        <f aca="false">F39*F40</f>
        <v>5.5936</v>
      </c>
      <c r="G42" s="48" t="n">
        <f aca="false">G39*G40</f>
        <v>8.86793478260869</v>
      </c>
      <c r="H42" s="48" t="n">
        <f aca="false">H39*H40</f>
        <v>10.5885957446809</v>
      </c>
      <c r="I42" s="48" t="n">
        <f aca="false">I39*I40</f>
        <v>10.63125</v>
      </c>
      <c r="J42" s="48" t="n">
        <f aca="false">J39*J40</f>
        <v>10.2</v>
      </c>
      <c r="K42" s="48" t="n">
        <f aca="false">K39*K40</f>
        <v>9.62676</v>
      </c>
      <c r="L42" s="48" t="n">
        <f aca="false">L39*L40</f>
        <v>8.94494117647059</v>
      </c>
      <c r="M42" s="48" t="n">
        <f aca="false">M39*M40</f>
        <v>8.184</v>
      </c>
    </row>
    <row r="43" customFormat="false" ht="15" hidden="false" customHeight="false" outlineLevel="0" collapsed="false">
      <c r="A43" s="48" t="s">
        <v>221</v>
      </c>
      <c r="B43" s="49" t="s">
        <v>31</v>
      </c>
      <c r="C43" s="50"/>
      <c r="D43" s="48" t="n">
        <f aca="false">D24*$B$9</f>
        <v>480</v>
      </c>
      <c r="E43" s="48" t="n">
        <f aca="false">E24*$B$9</f>
        <v>877.5</v>
      </c>
      <c r="F43" s="48" t="n">
        <f aca="false">F24*$B$9</f>
        <v>1573.2</v>
      </c>
      <c r="G43" s="48" t="n">
        <f aca="false">G24*$B$9</f>
        <v>2331</v>
      </c>
      <c r="H43" s="48" t="n">
        <f aca="false">H24*$B$9</f>
        <v>2764.8</v>
      </c>
      <c r="I43" s="48" t="n">
        <f aca="false">I24*$B$9</f>
        <v>2835</v>
      </c>
      <c r="J43" s="48" t="n">
        <f aca="false">J24*$B$9</f>
        <v>2856</v>
      </c>
      <c r="K43" s="48" t="n">
        <f aca="false">K24*$B$9</f>
        <v>2831.4</v>
      </c>
      <c r="L43" s="48" t="n">
        <f aca="false">L24*$B$9</f>
        <v>2764.8</v>
      </c>
      <c r="M43" s="48" t="n">
        <f aca="false">M24*$B$9</f>
        <v>2659.8</v>
      </c>
    </row>
    <row r="44" customFormat="false" ht="15" hidden="false" customHeight="false" outlineLevel="0" collapsed="false">
      <c r="A44" s="48" t="s">
        <v>222</v>
      </c>
      <c r="B44" s="49" t="s">
        <v>31</v>
      </c>
      <c r="C44" s="50"/>
      <c r="D44" s="48" t="n">
        <f aca="false">D43*D25</f>
        <v>480</v>
      </c>
      <c r="E44" s="48" t="n">
        <f aca="false">E43*E25</f>
        <v>877.5</v>
      </c>
      <c r="F44" s="48" t="n">
        <f aca="false">F43*F25</f>
        <v>1573.2</v>
      </c>
      <c r="G44" s="48" t="n">
        <f aca="false">G43*G25</f>
        <v>2331</v>
      </c>
      <c r="H44" s="48" t="n">
        <f aca="false">H43*H25</f>
        <v>2764.8</v>
      </c>
      <c r="I44" s="48" t="n">
        <f aca="false">I43*I25</f>
        <v>2835</v>
      </c>
      <c r="J44" s="48" t="n">
        <f aca="false">J43*J25</f>
        <v>2856</v>
      </c>
      <c r="K44" s="48" t="n">
        <f aca="false">K43*K25</f>
        <v>2831.4</v>
      </c>
      <c r="L44" s="48" t="n">
        <f aca="false">L43*L25</f>
        <v>2764.8</v>
      </c>
      <c r="M44" s="48" t="n">
        <f aca="false">M43*M25</f>
        <v>2659.8</v>
      </c>
    </row>
    <row r="46" customFormat="false" ht="18" hidden="false" customHeight="true" outlineLevel="0" collapsed="false">
      <c r="A46" s="8" t="s">
        <v>223</v>
      </c>
      <c r="B46" s="8"/>
      <c r="C46" s="8"/>
      <c r="D46" s="8"/>
      <c r="E46" s="8"/>
      <c r="F46" s="8"/>
      <c r="G46" s="8"/>
      <c r="H46" s="8"/>
      <c r="I46" s="8"/>
      <c r="J46" s="8"/>
      <c r="K46" s="8"/>
      <c r="L46" s="8"/>
      <c r="M46" s="8"/>
    </row>
    <row r="47" customFormat="false" ht="27.75" hidden="false" customHeight="true" outlineLevel="0" collapsed="false">
      <c r="A47" s="55" t="s">
        <v>424</v>
      </c>
      <c r="B47" s="55"/>
      <c r="C47" s="55"/>
      <c r="D47" s="55"/>
      <c r="E47" s="55"/>
      <c r="F47" s="55"/>
      <c r="G47" s="55"/>
      <c r="H47" s="55"/>
      <c r="I47" s="55"/>
      <c r="J47" s="55"/>
      <c r="K47" s="55"/>
      <c r="L47" s="55"/>
      <c r="M47" s="55"/>
    </row>
  </sheetData>
  <autoFilter ref="A19:M44"/>
  <mergeCells count="19">
    <mergeCell ref="A1:M1"/>
    <mergeCell ref="A2:M2"/>
    <mergeCell ref="A4:M4"/>
    <mergeCell ref="B5:M5"/>
    <mergeCell ref="B6:M6"/>
    <mergeCell ref="B7:M7"/>
    <mergeCell ref="B8:M8"/>
    <mergeCell ref="B9:M9"/>
    <mergeCell ref="B10:M10"/>
    <mergeCell ref="B11:M11"/>
    <mergeCell ref="B12:M12"/>
    <mergeCell ref="B13:M13"/>
    <mergeCell ref="B14:M14"/>
    <mergeCell ref="B15:M15"/>
    <mergeCell ref="B16:M16"/>
    <mergeCell ref="A18:M18"/>
    <mergeCell ref="A36:M36"/>
    <mergeCell ref="A46:M46"/>
    <mergeCell ref="A47:M47"/>
  </mergeCells>
  <conditionalFormatting sqref="B13">
    <cfRule type="expression" priority="2" aboveAverage="0" equalAverage="0" bottom="0" percent="0" rank="0" text="" dxfId="6">
      <formula>B13="Within range"</formula>
    </cfRule>
    <cfRule type="expression" priority="3" aboveAverage="0" equalAverage="0" bottom="0" percent="0" rank="0" text="" dxfId="7">
      <formula>B13&lt;&gt;"Within range"</formula>
    </cfRule>
  </conditionalFormatting>
  <dataValidations count="1">
    <dataValidation allowBlank="false" errorStyle="stop" operator="between" showDropDown="false" showErrorMessage="false" showInputMessage="false" sqref="B9" type="list">
      <formula1>"0,1"</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drawing r:id="rId1"/>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M47"/>
  <sheetViews>
    <sheetView showFormulas="false" showGridLines="false" showRowColHeaders="true" showZeros="true" rightToLeft="false" tabSelected="false" showOutlineSymbols="true" defaultGridColor="true" view="normal" topLeftCell="A1" colorId="64" zoomScale="85" zoomScaleNormal="85" zoomScalePageLayoutView="100" workbookViewId="0">
      <pane xSplit="3" ySplit="19" topLeftCell="D20" activePane="bottomRight" state="frozen"/>
      <selection pane="topLeft" activeCell="A1" activeCellId="0" sqref="A1"/>
      <selection pane="topRight" activeCell="D1" activeCellId="0" sqref="D1"/>
      <selection pane="bottomLeft" activeCell="A20" activeCellId="0" sqref="A20"/>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0" width="32"/>
    <col collapsed="false" customWidth="true" hidden="false" outlineLevel="0" max="2" min="2" style="0" width="15"/>
    <col collapsed="false" customWidth="true" hidden="false" outlineLevel="0" max="3" min="3" style="0" width="30"/>
    <col collapsed="false" customWidth="true" hidden="false" outlineLevel="0" max="13" min="4" style="0" width="12"/>
  </cols>
  <sheetData>
    <row r="1" customFormat="false" ht="24" hidden="false" customHeight="true" outlineLevel="0" collapsed="false">
      <c r="A1" s="24" t="s">
        <v>116</v>
      </c>
      <c r="B1" s="24"/>
      <c r="C1" s="24"/>
      <c r="D1" s="24"/>
      <c r="E1" s="24"/>
      <c r="F1" s="24"/>
      <c r="G1" s="24"/>
      <c r="H1" s="24"/>
      <c r="I1" s="24"/>
      <c r="J1" s="24"/>
      <c r="K1" s="24"/>
      <c r="L1" s="24"/>
      <c r="M1" s="24"/>
    </row>
    <row r="2" customFormat="false" ht="27.75" hidden="false" customHeight="true" outlineLevel="0" collapsed="false">
      <c r="A2" s="25" t="s">
        <v>425</v>
      </c>
      <c r="B2" s="25"/>
      <c r="C2" s="25"/>
      <c r="D2" s="25"/>
      <c r="E2" s="25"/>
      <c r="F2" s="25"/>
      <c r="G2" s="25"/>
      <c r="H2" s="25"/>
      <c r="I2" s="25"/>
      <c r="J2" s="25"/>
      <c r="K2" s="25"/>
      <c r="L2" s="25"/>
      <c r="M2" s="25"/>
    </row>
    <row r="4" customFormat="false" ht="18" hidden="false" customHeight="true" outlineLevel="0" collapsed="false">
      <c r="A4" s="8" t="s">
        <v>182</v>
      </c>
      <c r="B4" s="8"/>
      <c r="C4" s="8"/>
      <c r="D4" s="8"/>
      <c r="E4" s="8"/>
      <c r="F4" s="8"/>
      <c r="G4" s="8"/>
      <c r="H4" s="8"/>
      <c r="I4" s="8"/>
      <c r="J4" s="8"/>
      <c r="K4" s="8"/>
      <c r="L4" s="8"/>
      <c r="M4" s="8"/>
    </row>
    <row r="5" customFormat="false" ht="18" hidden="false" customHeight="true" outlineLevel="0" collapsed="false">
      <c r="A5" s="33" t="s">
        <v>183</v>
      </c>
      <c r="B5" s="34" t="s">
        <v>116</v>
      </c>
      <c r="C5" s="34"/>
      <c r="D5" s="34"/>
      <c r="E5" s="34"/>
      <c r="F5" s="34"/>
      <c r="G5" s="34"/>
      <c r="H5" s="34"/>
      <c r="I5" s="34"/>
      <c r="J5" s="34"/>
      <c r="K5" s="34"/>
      <c r="L5" s="34"/>
      <c r="M5" s="34"/>
    </row>
    <row r="6" customFormat="false" ht="18" hidden="false" customHeight="true" outlineLevel="0" collapsed="false">
      <c r="A6" s="33" t="s">
        <v>33</v>
      </c>
      <c r="B6" s="34" t="s">
        <v>117</v>
      </c>
      <c r="C6" s="34"/>
      <c r="D6" s="34"/>
      <c r="E6" s="34"/>
      <c r="F6" s="34"/>
      <c r="G6" s="34"/>
      <c r="H6" s="34"/>
      <c r="I6" s="34"/>
      <c r="J6" s="34"/>
      <c r="K6" s="34"/>
      <c r="L6" s="34"/>
      <c r="M6" s="34"/>
    </row>
    <row r="7" customFormat="false" ht="18" hidden="false" customHeight="true" outlineLevel="0" collapsed="false">
      <c r="A7" s="33" t="s">
        <v>42</v>
      </c>
      <c r="B7" s="34" t="s">
        <v>113</v>
      </c>
      <c r="C7" s="34"/>
      <c r="D7" s="34"/>
      <c r="E7" s="34"/>
      <c r="F7" s="34"/>
      <c r="G7" s="34"/>
      <c r="H7" s="34"/>
      <c r="I7" s="34"/>
      <c r="J7" s="34"/>
      <c r="K7" s="34"/>
      <c r="L7" s="34"/>
      <c r="M7" s="34"/>
    </row>
    <row r="8" customFormat="false" ht="24" hidden="false" customHeight="true" outlineLevel="0" collapsed="false">
      <c r="A8" s="33" t="s">
        <v>184</v>
      </c>
      <c r="B8" s="34" t="s">
        <v>118</v>
      </c>
      <c r="C8" s="34"/>
      <c r="D8" s="34"/>
      <c r="E8" s="34"/>
      <c r="F8" s="34"/>
      <c r="G8" s="34"/>
      <c r="H8" s="34"/>
      <c r="I8" s="34"/>
      <c r="J8" s="34"/>
      <c r="K8" s="34"/>
      <c r="L8" s="34"/>
      <c r="M8" s="34"/>
    </row>
    <row r="9" customFormat="false" ht="18" hidden="false" customHeight="true" outlineLevel="0" collapsed="false">
      <c r="A9" s="33" t="s">
        <v>185</v>
      </c>
      <c r="B9" s="35" t="n">
        <v>1</v>
      </c>
      <c r="C9" s="35"/>
      <c r="D9" s="35"/>
      <c r="E9" s="35"/>
      <c r="F9" s="35"/>
      <c r="G9" s="35"/>
      <c r="H9" s="35"/>
      <c r="I9" s="35"/>
      <c r="J9" s="35"/>
      <c r="K9" s="35"/>
      <c r="L9" s="35"/>
      <c r="M9" s="35"/>
    </row>
    <row r="10" customFormat="false" ht="18" hidden="false" customHeight="true" outlineLevel="0" collapsed="false">
      <c r="A10" s="33" t="s">
        <v>405</v>
      </c>
      <c r="B10" s="36" t="n">
        <v>1500</v>
      </c>
      <c r="C10" s="36"/>
      <c r="D10" s="36"/>
      <c r="E10" s="36"/>
      <c r="F10" s="36"/>
      <c r="G10" s="36"/>
      <c r="H10" s="36"/>
      <c r="I10" s="36"/>
      <c r="J10" s="36"/>
      <c r="K10" s="36"/>
      <c r="L10" s="36"/>
      <c r="M10" s="36"/>
    </row>
    <row r="11" customFormat="false" ht="18" hidden="false" customHeight="true" outlineLevel="0" collapsed="false">
      <c r="A11" s="33" t="s">
        <v>406</v>
      </c>
      <c r="B11" s="36" t="n">
        <v>2000</v>
      </c>
      <c r="C11" s="36"/>
      <c r="D11" s="36"/>
      <c r="E11" s="36"/>
      <c r="F11" s="36"/>
      <c r="G11" s="36"/>
      <c r="H11" s="36"/>
      <c r="I11" s="36"/>
      <c r="J11" s="36"/>
      <c r="K11" s="36"/>
      <c r="L11" s="36"/>
      <c r="M11" s="36"/>
    </row>
    <row r="12" customFormat="false" ht="18" hidden="false" customHeight="true" outlineLevel="0" collapsed="false">
      <c r="A12" s="33" t="s">
        <v>426</v>
      </c>
      <c r="B12" s="37" t="n">
        <f aca="false">F43</f>
        <v>1755</v>
      </c>
      <c r="C12" s="37"/>
      <c r="D12" s="37"/>
      <c r="E12" s="37"/>
      <c r="F12" s="37"/>
      <c r="G12" s="37"/>
      <c r="H12" s="37"/>
      <c r="I12" s="37"/>
      <c r="J12" s="37"/>
      <c r="K12" s="37"/>
      <c r="L12" s="37"/>
      <c r="M12" s="37"/>
    </row>
    <row r="13" customFormat="false" ht="18" hidden="false" customHeight="true" outlineLevel="0" collapsed="false">
      <c r="A13" s="33" t="s">
        <v>189</v>
      </c>
      <c r="B13" s="38" t="str">
        <f aca="false">IF(AND(B12&gt;=B10,B12&lt;=B11),"Within range",IF(B12&lt;B10,"Below range","Above range"))</f>
        <v>Within range</v>
      </c>
      <c r="C13" s="38"/>
      <c r="D13" s="38"/>
      <c r="E13" s="38"/>
      <c r="F13" s="38"/>
      <c r="G13" s="38"/>
      <c r="H13" s="38"/>
      <c r="I13" s="38"/>
      <c r="J13" s="38"/>
      <c r="K13" s="38"/>
      <c r="L13" s="38"/>
      <c r="M13" s="38"/>
    </row>
    <row r="14" customFormat="false" ht="18" hidden="false" customHeight="true" outlineLevel="0" collapsed="false">
      <c r="A14" s="33" t="s">
        <v>190</v>
      </c>
      <c r="B14" s="34" t="s">
        <v>53</v>
      </c>
      <c r="C14" s="34"/>
      <c r="D14" s="34"/>
      <c r="E14" s="34"/>
      <c r="F14" s="34"/>
      <c r="G14" s="34"/>
      <c r="H14" s="34"/>
      <c r="I14" s="34"/>
      <c r="J14" s="34"/>
      <c r="K14" s="34"/>
      <c r="L14" s="34"/>
      <c r="M14" s="34"/>
    </row>
    <row r="15" customFormat="false" ht="24" hidden="false" customHeight="true" outlineLevel="0" collapsed="false">
      <c r="A15" s="33" t="s">
        <v>191</v>
      </c>
      <c r="B15" s="34" t="s">
        <v>427</v>
      </c>
      <c r="C15" s="34"/>
      <c r="D15" s="34"/>
      <c r="E15" s="34"/>
      <c r="F15" s="34"/>
      <c r="G15" s="34"/>
      <c r="H15" s="34"/>
      <c r="I15" s="34"/>
      <c r="J15" s="34"/>
      <c r="K15" s="34"/>
      <c r="L15" s="34"/>
      <c r="M15" s="34"/>
    </row>
    <row r="16" customFormat="false" ht="24" hidden="false" customHeight="true" outlineLevel="0" collapsed="false">
      <c r="A16" s="33" t="s">
        <v>193</v>
      </c>
      <c r="B16" s="34" t="s">
        <v>428</v>
      </c>
      <c r="C16" s="34"/>
      <c r="D16" s="34"/>
      <c r="E16" s="34"/>
      <c r="F16" s="34"/>
      <c r="G16" s="34"/>
      <c r="H16" s="34"/>
      <c r="I16" s="34"/>
      <c r="J16" s="34"/>
      <c r="K16" s="34"/>
      <c r="L16" s="34"/>
      <c r="M16" s="34"/>
    </row>
    <row r="18" customFormat="false" ht="18" hidden="false" customHeight="true" outlineLevel="0" collapsed="false">
      <c r="A18" s="8" t="s">
        <v>195</v>
      </c>
      <c r="B18" s="8"/>
      <c r="C18" s="8"/>
      <c r="D18" s="8"/>
      <c r="E18" s="8"/>
      <c r="F18" s="8"/>
      <c r="G18" s="8"/>
      <c r="H18" s="8"/>
      <c r="I18" s="8"/>
      <c r="J18" s="8"/>
      <c r="K18" s="8"/>
      <c r="L18" s="8"/>
      <c r="M18" s="8"/>
    </row>
    <row r="19" customFormat="false" ht="15" hidden="false" customHeight="false" outlineLevel="0" collapsed="false">
      <c r="A19" s="39" t="s">
        <v>196</v>
      </c>
      <c r="B19" s="39" t="s">
        <v>15</v>
      </c>
      <c r="C19" s="39" t="s">
        <v>197</v>
      </c>
      <c r="D19" s="39" t="s">
        <v>16</v>
      </c>
      <c r="E19" s="39" t="s">
        <v>17</v>
      </c>
      <c r="F19" s="39" t="s">
        <v>18</v>
      </c>
      <c r="G19" s="39" t="s">
        <v>19</v>
      </c>
      <c r="H19" s="39" t="s">
        <v>20</v>
      </c>
      <c r="I19" s="39" t="s">
        <v>21</v>
      </c>
      <c r="J19" s="39" t="s">
        <v>22</v>
      </c>
      <c r="K19" s="39" t="s">
        <v>23</v>
      </c>
      <c r="L19" s="39" t="s">
        <v>24</v>
      </c>
      <c r="M19" s="39" t="s">
        <v>25</v>
      </c>
    </row>
    <row r="20" customFormat="false" ht="28.35" hidden="false" customHeight="false" outlineLevel="0" collapsed="false">
      <c r="A20" s="40" t="s">
        <v>429</v>
      </c>
      <c r="B20" s="41" t="s">
        <v>31</v>
      </c>
      <c r="C20" s="42" t="s">
        <v>430</v>
      </c>
      <c r="D20" s="43" t="n">
        <v>0</v>
      </c>
      <c r="E20" s="43" t="n">
        <v>11240</v>
      </c>
      <c r="F20" s="43" t="n">
        <v>13500</v>
      </c>
      <c r="G20" s="43" t="n">
        <v>17000</v>
      </c>
      <c r="H20" s="43" t="n">
        <v>20000</v>
      </c>
      <c r="I20" s="43" t="n">
        <v>23000</v>
      </c>
      <c r="J20" s="43" t="n">
        <v>26000</v>
      </c>
      <c r="K20" s="43" t="n">
        <v>29000</v>
      </c>
      <c r="L20" s="43" t="n">
        <v>32000</v>
      </c>
      <c r="M20" s="43" t="n">
        <v>35000</v>
      </c>
    </row>
    <row r="21" customFormat="false" ht="19.4" hidden="false" customHeight="false" outlineLevel="0" collapsed="false">
      <c r="A21" s="40" t="s">
        <v>431</v>
      </c>
      <c r="B21" s="41" t="s">
        <v>205</v>
      </c>
      <c r="C21" s="42" t="s">
        <v>432</v>
      </c>
      <c r="D21" s="45" t="n">
        <v>0</v>
      </c>
      <c r="E21" s="45" t="n">
        <v>0.08</v>
      </c>
      <c r="F21" s="45" t="n">
        <v>0.13</v>
      </c>
      <c r="G21" s="45" t="n">
        <v>0.135</v>
      </c>
      <c r="H21" s="45" t="n">
        <v>0.135</v>
      </c>
      <c r="I21" s="45" t="n">
        <v>0.13</v>
      </c>
      <c r="J21" s="45" t="n">
        <v>0.125</v>
      </c>
      <c r="K21" s="45" t="n">
        <v>0.12</v>
      </c>
      <c r="L21" s="45" t="n">
        <v>0.115</v>
      </c>
      <c r="M21" s="45" t="n">
        <v>0.11</v>
      </c>
    </row>
    <row r="22" customFormat="false" ht="15" hidden="false" customHeight="false" outlineLevel="0" collapsed="false">
      <c r="A22" s="23" t="s">
        <v>433</v>
      </c>
      <c r="B22" s="41" t="s">
        <v>31</v>
      </c>
      <c r="C22" s="42" t="s">
        <v>434</v>
      </c>
      <c r="D22" s="47" t="n">
        <f aca="false">D20*D21</f>
        <v>0</v>
      </c>
      <c r="E22" s="47" t="n">
        <f aca="false">E20*E21</f>
        <v>899.2</v>
      </c>
      <c r="F22" s="47" t="n">
        <f aca="false">F20*F21</f>
        <v>1755</v>
      </c>
      <c r="G22" s="47" t="n">
        <f aca="false">G20*G21</f>
        <v>2295</v>
      </c>
      <c r="H22" s="47" t="n">
        <f aca="false">H20*H21</f>
        <v>2700</v>
      </c>
      <c r="I22" s="47" t="n">
        <f aca="false">I20*I21</f>
        <v>2990</v>
      </c>
      <c r="J22" s="47" t="n">
        <f aca="false">J20*J21</f>
        <v>3250</v>
      </c>
      <c r="K22" s="47" t="n">
        <f aca="false">K20*K21</f>
        <v>3480</v>
      </c>
      <c r="L22" s="47" t="n">
        <f aca="false">L20*L21</f>
        <v>3680</v>
      </c>
      <c r="M22" s="47" t="n">
        <f aca="false">M20*M21</f>
        <v>3850</v>
      </c>
    </row>
    <row r="23" customFormat="false" ht="19.4" hidden="false" customHeight="false" outlineLevel="0" collapsed="false">
      <c r="A23" s="23" t="s">
        <v>435</v>
      </c>
      <c r="B23" s="41" t="s">
        <v>205</v>
      </c>
      <c r="C23" s="42" t="s">
        <v>436</v>
      </c>
      <c r="D23" s="45" t="n">
        <v>0</v>
      </c>
      <c r="E23" s="45" t="n">
        <v>0.45</v>
      </c>
      <c r="F23" s="45" t="n">
        <v>0.45</v>
      </c>
      <c r="G23" s="45" t="n">
        <v>0.46</v>
      </c>
      <c r="H23" s="45" t="n">
        <v>0.47</v>
      </c>
      <c r="I23" s="45" t="n">
        <v>0.48</v>
      </c>
      <c r="J23" s="45" t="n">
        <v>0.49</v>
      </c>
      <c r="K23" s="45" t="n">
        <v>0.5</v>
      </c>
      <c r="L23" s="45" t="n">
        <v>0.5</v>
      </c>
      <c r="M23" s="45" t="n">
        <v>0.5</v>
      </c>
    </row>
    <row r="24" customFormat="false" ht="15" hidden="false" customHeight="false" outlineLevel="0" collapsed="false">
      <c r="A24" s="23" t="s">
        <v>437</v>
      </c>
      <c r="B24" s="41" t="s">
        <v>205</v>
      </c>
      <c r="C24" s="42" t="s">
        <v>438</v>
      </c>
      <c r="D24" s="45" t="n">
        <v>0</v>
      </c>
      <c r="E24" s="45" t="n">
        <v>0.45</v>
      </c>
      <c r="F24" s="45" t="n">
        <v>0.45</v>
      </c>
      <c r="G24" s="45" t="n">
        <v>0.44</v>
      </c>
      <c r="H24" s="45" t="n">
        <v>0.43</v>
      </c>
      <c r="I24" s="45" t="n">
        <v>0.42</v>
      </c>
      <c r="J24" s="45" t="n">
        <v>0.41</v>
      </c>
      <c r="K24" s="45" t="n">
        <v>0.4</v>
      </c>
      <c r="L24" s="45" t="n">
        <v>0.39</v>
      </c>
      <c r="M24" s="45" t="n">
        <v>0.38</v>
      </c>
    </row>
    <row r="25" customFormat="false" ht="15" hidden="false" customHeight="false" outlineLevel="0" collapsed="false">
      <c r="A25" s="23" t="s">
        <v>439</v>
      </c>
      <c r="B25" s="41" t="s">
        <v>205</v>
      </c>
      <c r="C25" s="42" t="s">
        <v>438</v>
      </c>
      <c r="D25" s="45" t="n">
        <v>0</v>
      </c>
      <c r="E25" s="45" t="n">
        <v>0.22</v>
      </c>
      <c r="F25" s="45" t="n">
        <v>0.22</v>
      </c>
      <c r="G25" s="45" t="n">
        <v>0.22</v>
      </c>
      <c r="H25" s="45" t="n">
        <v>0.21</v>
      </c>
      <c r="I25" s="45" t="n">
        <v>0.21</v>
      </c>
      <c r="J25" s="45" t="n">
        <v>0.2</v>
      </c>
      <c r="K25" s="45" t="n">
        <v>0.2</v>
      </c>
      <c r="L25" s="45" t="n">
        <v>0.2</v>
      </c>
      <c r="M25" s="45" t="n">
        <v>0.2</v>
      </c>
    </row>
    <row r="26" customFormat="false" ht="19.4" hidden="false" customHeight="false" outlineLevel="0" collapsed="false">
      <c r="A26" s="23" t="s">
        <v>440</v>
      </c>
      <c r="B26" s="41" t="s">
        <v>205</v>
      </c>
      <c r="C26" s="42" t="s">
        <v>441</v>
      </c>
      <c r="D26" s="58" t="n">
        <f aca="false">D23*D24+(1-D23)*D25</f>
        <v>0</v>
      </c>
      <c r="E26" s="58" t="n">
        <f aca="false">E23*E24+(1-E23)*E25</f>
        <v>0.3235</v>
      </c>
      <c r="F26" s="58" t="n">
        <f aca="false">F23*F24+(1-F23)*F25</f>
        <v>0.3235</v>
      </c>
      <c r="G26" s="58" t="n">
        <f aca="false">G23*G24+(1-G23)*G25</f>
        <v>0.3212</v>
      </c>
      <c r="H26" s="58" t="n">
        <f aca="false">H23*H24+(1-H23)*H25</f>
        <v>0.3134</v>
      </c>
      <c r="I26" s="58" t="n">
        <f aca="false">I23*I24+(1-I23)*I25</f>
        <v>0.3108</v>
      </c>
      <c r="J26" s="58" t="n">
        <f aca="false">J23*J24+(1-J23)*J25</f>
        <v>0.3029</v>
      </c>
      <c r="K26" s="58" t="n">
        <f aca="false">K23*K24+(1-K23)*K25</f>
        <v>0.3</v>
      </c>
      <c r="L26" s="58" t="n">
        <f aca="false">L23*L24+(1-L23)*L25</f>
        <v>0.295</v>
      </c>
      <c r="M26" s="58" t="n">
        <f aca="false">M23*M24+(1-M23)*M25</f>
        <v>0.29</v>
      </c>
    </row>
    <row r="27" customFormat="false" ht="15" hidden="false" customHeight="false" outlineLevel="0" collapsed="false">
      <c r="A27" s="23" t="s">
        <v>215</v>
      </c>
      <c r="B27" s="41" t="s">
        <v>205</v>
      </c>
      <c r="C27" s="42" t="s">
        <v>442</v>
      </c>
      <c r="D27" s="45" t="n">
        <v>1</v>
      </c>
      <c r="E27" s="45" t="n">
        <v>1</v>
      </c>
      <c r="F27" s="45" t="n">
        <v>1</v>
      </c>
      <c r="G27" s="45" t="n">
        <v>1</v>
      </c>
      <c r="H27" s="45" t="n">
        <v>1</v>
      </c>
      <c r="I27" s="45" t="n">
        <v>1</v>
      </c>
      <c r="J27" s="45" t="n">
        <v>1</v>
      </c>
      <c r="K27" s="45" t="n">
        <v>1</v>
      </c>
      <c r="L27" s="45" t="n">
        <v>1</v>
      </c>
      <c r="M27" s="45" t="n">
        <v>1</v>
      </c>
    </row>
    <row r="28" customFormat="false" ht="15" hidden="false" customHeight="false" outlineLevel="0" collapsed="false">
      <c r="A28" s="23" t="s">
        <v>422</v>
      </c>
      <c r="B28" s="41" t="s">
        <v>27</v>
      </c>
      <c r="C28" s="42" t="s">
        <v>423</v>
      </c>
      <c r="D28" s="47" t="n">
        <f aca="false">D22/'Global Assump'!D$4</f>
        <v>0</v>
      </c>
      <c r="E28" s="47" t="n">
        <f aca="false">E22/'Global Assump'!E$4</f>
        <v>10.2181818181818</v>
      </c>
      <c r="F28" s="47" t="n">
        <f aca="false">F22/'Global Assump'!F$4</f>
        <v>19.5</v>
      </c>
      <c r="G28" s="47" t="n">
        <f aca="false">G22/'Global Assump'!G$4</f>
        <v>24.945652173913</v>
      </c>
      <c r="H28" s="47" t="n">
        <f aca="false">H22/'Global Assump'!H$4</f>
        <v>28.7234042553192</v>
      </c>
      <c r="I28" s="47" t="n">
        <f aca="false">I22/'Global Assump'!I$4</f>
        <v>31.1458333333333</v>
      </c>
      <c r="J28" s="47" t="n">
        <f aca="false">J22/'Global Assump'!J$4</f>
        <v>33.1632653061225</v>
      </c>
      <c r="K28" s="47" t="n">
        <f aca="false">K22/'Global Assump'!K$4</f>
        <v>34.8</v>
      </c>
      <c r="L28" s="47" t="n">
        <f aca="false">L22/'Global Assump'!L$4</f>
        <v>36.078431372549</v>
      </c>
      <c r="M28" s="47" t="n">
        <f aca="false">M22/'Global Assump'!M$4</f>
        <v>37.0192307692308</v>
      </c>
    </row>
    <row r="36" customFormat="false" ht="18" hidden="false" customHeight="true" outlineLevel="0" collapsed="false">
      <c r="A36" s="8" t="s">
        <v>219</v>
      </c>
      <c r="B36" s="8"/>
      <c r="C36" s="8"/>
      <c r="D36" s="8"/>
      <c r="E36" s="8"/>
      <c r="F36" s="8"/>
      <c r="G36" s="8"/>
      <c r="H36" s="8"/>
      <c r="I36" s="8"/>
      <c r="J36" s="8"/>
      <c r="K36" s="8"/>
      <c r="L36" s="8"/>
      <c r="M36" s="8"/>
    </row>
    <row r="37" customFormat="false" ht="15" hidden="false" customHeight="false" outlineLevel="0" collapsed="false">
      <c r="A37" s="48" t="s">
        <v>220</v>
      </c>
      <c r="B37" s="49" t="s">
        <v>27</v>
      </c>
      <c r="C37" s="50"/>
      <c r="D37" s="51" t="n">
        <f aca="false">D28</f>
        <v>0</v>
      </c>
      <c r="E37" s="51" t="n">
        <f aca="false">E28</f>
        <v>10.2181818181818</v>
      </c>
      <c r="F37" s="51" t="n">
        <f aca="false">F28</f>
        <v>19.5</v>
      </c>
      <c r="G37" s="51" t="n">
        <f aca="false">G28</f>
        <v>24.945652173913</v>
      </c>
      <c r="H37" s="51" t="n">
        <f aca="false">H28</f>
        <v>28.7234042553192</v>
      </c>
      <c r="I37" s="51" t="n">
        <f aca="false">I28</f>
        <v>31.1458333333333</v>
      </c>
      <c r="J37" s="51" t="n">
        <f aca="false">J28</f>
        <v>33.1632653061225</v>
      </c>
      <c r="K37" s="51" t="n">
        <f aca="false">K28</f>
        <v>34.8</v>
      </c>
      <c r="L37" s="51" t="n">
        <f aca="false">L28</f>
        <v>36.078431372549</v>
      </c>
      <c r="M37" s="51" t="n">
        <f aca="false">M28</f>
        <v>37.0192307692308</v>
      </c>
    </row>
    <row r="38" customFormat="false" ht="15" hidden="false" customHeight="false" outlineLevel="0" collapsed="false">
      <c r="A38" s="52" t="s">
        <v>221</v>
      </c>
      <c r="B38" s="49" t="s">
        <v>27</v>
      </c>
      <c r="C38" s="50"/>
      <c r="D38" s="48" t="n">
        <f aca="false">D28*$B$9</f>
        <v>0</v>
      </c>
      <c r="E38" s="48" t="n">
        <f aca="false">E28*$B$9</f>
        <v>10.2181818181818</v>
      </c>
      <c r="F38" s="48" t="n">
        <f aca="false">F28*$B$9</f>
        <v>19.5</v>
      </c>
      <c r="G38" s="48" t="n">
        <f aca="false">G28*$B$9</f>
        <v>24.945652173913</v>
      </c>
      <c r="H38" s="48" t="n">
        <f aca="false">H28*$B$9</f>
        <v>28.7234042553192</v>
      </c>
      <c r="I38" s="48" t="n">
        <f aca="false">I28*$B$9</f>
        <v>31.1458333333333</v>
      </c>
      <c r="J38" s="48" t="n">
        <f aca="false">J28*$B$9</f>
        <v>33.1632653061225</v>
      </c>
      <c r="K38" s="48" t="n">
        <f aca="false">K28*$B$9</f>
        <v>34.8</v>
      </c>
      <c r="L38" s="48" t="n">
        <f aca="false">L28*$B$9</f>
        <v>36.078431372549</v>
      </c>
      <c r="M38" s="48" t="n">
        <f aca="false">M28*$B$9</f>
        <v>37.0192307692308</v>
      </c>
    </row>
    <row r="39" customFormat="false" ht="15" hidden="false" customHeight="false" outlineLevel="0" collapsed="false">
      <c r="A39" s="52" t="s">
        <v>222</v>
      </c>
      <c r="B39" s="49" t="s">
        <v>27</v>
      </c>
      <c r="C39" s="50"/>
      <c r="D39" s="48" t="n">
        <f aca="false">D38*D27</f>
        <v>0</v>
      </c>
      <c r="E39" s="48" t="n">
        <f aca="false">E38*E27</f>
        <v>10.2181818181818</v>
      </c>
      <c r="F39" s="48" t="n">
        <f aca="false">F38*F27</f>
        <v>19.5</v>
      </c>
      <c r="G39" s="48" t="n">
        <f aca="false">G38*G27</f>
        <v>24.945652173913</v>
      </c>
      <c r="H39" s="48" t="n">
        <f aca="false">H38*H27</f>
        <v>28.7234042553192</v>
      </c>
      <c r="I39" s="48" t="n">
        <f aca="false">I38*I27</f>
        <v>31.1458333333333</v>
      </c>
      <c r="J39" s="48" t="n">
        <f aca="false">J38*J27</f>
        <v>33.1632653061225</v>
      </c>
      <c r="K39" s="48" t="n">
        <f aca="false">K38*K27</f>
        <v>34.8</v>
      </c>
      <c r="L39" s="48" t="n">
        <f aca="false">L38*L27</f>
        <v>36.078431372549</v>
      </c>
      <c r="M39" s="48" t="n">
        <f aca="false">M38*M27</f>
        <v>37.0192307692308</v>
      </c>
    </row>
    <row r="40" customFormat="false" ht="15" hidden="false" customHeight="false" outlineLevel="0" collapsed="false">
      <c r="A40" s="48" t="s">
        <v>217</v>
      </c>
      <c r="B40" s="49" t="s">
        <v>205</v>
      </c>
      <c r="C40" s="50"/>
      <c r="D40" s="53" t="n">
        <f aca="false">D26</f>
        <v>0</v>
      </c>
      <c r="E40" s="53" t="n">
        <f aca="false">E26</f>
        <v>0.3235</v>
      </c>
      <c r="F40" s="53" t="n">
        <f aca="false">F26</f>
        <v>0.3235</v>
      </c>
      <c r="G40" s="53" t="n">
        <f aca="false">G26</f>
        <v>0.3212</v>
      </c>
      <c r="H40" s="53" t="n">
        <f aca="false">H26</f>
        <v>0.3134</v>
      </c>
      <c r="I40" s="53" t="n">
        <f aca="false">I26</f>
        <v>0.3108</v>
      </c>
      <c r="J40" s="53" t="n">
        <f aca="false">J26</f>
        <v>0.3029</v>
      </c>
      <c r="K40" s="53" t="n">
        <f aca="false">K26</f>
        <v>0.3</v>
      </c>
      <c r="L40" s="53" t="n">
        <f aca="false">L26</f>
        <v>0.295</v>
      </c>
      <c r="M40" s="53" t="n">
        <f aca="false">M26</f>
        <v>0.29</v>
      </c>
    </row>
    <row r="41" customFormat="false" ht="15" hidden="false" customHeight="false" outlineLevel="0" collapsed="false">
      <c r="A41" s="48" t="s">
        <v>162</v>
      </c>
      <c r="B41" s="49" t="s">
        <v>27</v>
      </c>
      <c r="C41" s="50"/>
      <c r="D41" s="48" t="n">
        <f aca="false">D38*D40</f>
        <v>0</v>
      </c>
      <c r="E41" s="48" t="n">
        <f aca="false">E38*E40</f>
        <v>3.30558181818182</v>
      </c>
      <c r="F41" s="48" t="n">
        <f aca="false">F38*F40</f>
        <v>6.30825</v>
      </c>
      <c r="G41" s="48" t="n">
        <f aca="false">G38*G40</f>
        <v>8.01254347826087</v>
      </c>
      <c r="H41" s="48" t="n">
        <f aca="false">H38*H40</f>
        <v>9.00191489361702</v>
      </c>
      <c r="I41" s="48" t="n">
        <f aca="false">I38*I40</f>
        <v>9.680125</v>
      </c>
      <c r="J41" s="48" t="n">
        <f aca="false">J38*J40</f>
        <v>10.0451530612245</v>
      </c>
      <c r="K41" s="48" t="n">
        <f aca="false">K38*K40</f>
        <v>10.44</v>
      </c>
      <c r="L41" s="48" t="n">
        <f aca="false">L38*L40</f>
        <v>10.643137254902</v>
      </c>
      <c r="M41" s="48" t="n">
        <f aca="false">M38*M40</f>
        <v>10.7355769230769</v>
      </c>
    </row>
    <row r="42" customFormat="false" ht="15" hidden="false" customHeight="false" outlineLevel="0" collapsed="false">
      <c r="A42" s="48" t="s">
        <v>30</v>
      </c>
      <c r="B42" s="49" t="s">
        <v>27</v>
      </c>
      <c r="C42" s="50"/>
      <c r="D42" s="48" t="n">
        <f aca="false">D39*D40</f>
        <v>0</v>
      </c>
      <c r="E42" s="48" t="n">
        <f aca="false">E39*E40</f>
        <v>3.30558181818182</v>
      </c>
      <c r="F42" s="48" t="n">
        <f aca="false">F39*F40</f>
        <v>6.30825</v>
      </c>
      <c r="G42" s="48" t="n">
        <f aca="false">G39*G40</f>
        <v>8.01254347826087</v>
      </c>
      <c r="H42" s="48" t="n">
        <f aca="false">H39*H40</f>
        <v>9.00191489361702</v>
      </c>
      <c r="I42" s="48" t="n">
        <f aca="false">I39*I40</f>
        <v>9.680125</v>
      </c>
      <c r="J42" s="48" t="n">
        <f aca="false">J39*J40</f>
        <v>10.0451530612245</v>
      </c>
      <c r="K42" s="48" t="n">
        <f aca="false">K39*K40</f>
        <v>10.44</v>
      </c>
      <c r="L42" s="48" t="n">
        <f aca="false">L39*L40</f>
        <v>10.643137254902</v>
      </c>
      <c r="M42" s="48" t="n">
        <f aca="false">M39*M40</f>
        <v>10.7355769230769</v>
      </c>
    </row>
    <row r="43" customFormat="false" ht="15" hidden="false" customHeight="false" outlineLevel="0" collapsed="false">
      <c r="A43" s="48" t="s">
        <v>221</v>
      </c>
      <c r="B43" s="49" t="s">
        <v>31</v>
      </c>
      <c r="C43" s="50"/>
      <c r="D43" s="48" t="n">
        <f aca="false">D22*$B$9</f>
        <v>0</v>
      </c>
      <c r="E43" s="48" t="n">
        <f aca="false">E22*$B$9</f>
        <v>899.2</v>
      </c>
      <c r="F43" s="48" t="n">
        <f aca="false">F22*$B$9</f>
        <v>1755</v>
      </c>
      <c r="G43" s="48" t="n">
        <f aca="false">G22*$B$9</f>
        <v>2295</v>
      </c>
      <c r="H43" s="48" t="n">
        <f aca="false">H22*$B$9</f>
        <v>2700</v>
      </c>
      <c r="I43" s="48" t="n">
        <f aca="false">I22*$B$9</f>
        <v>2990</v>
      </c>
      <c r="J43" s="48" t="n">
        <f aca="false">J22*$B$9</f>
        <v>3250</v>
      </c>
      <c r="K43" s="48" t="n">
        <f aca="false">K22*$B$9</f>
        <v>3480</v>
      </c>
      <c r="L43" s="48" t="n">
        <f aca="false">L22*$B$9</f>
        <v>3680</v>
      </c>
      <c r="M43" s="48" t="n">
        <f aca="false">M22*$B$9</f>
        <v>3850</v>
      </c>
    </row>
    <row r="44" customFormat="false" ht="15" hidden="false" customHeight="false" outlineLevel="0" collapsed="false">
      <c r="A44" s="48" t="s">
        <v>222</v>
      </c>
      <c r="B44" s="49" t="s">
        <v>31</v>
      </c>
      <c r="C44" s="50"/>
      <c r="D44" s="48" t="n">
        <f aca="false">D43*D27</f>
        <v>0</v>
      </c>
      <c r="E44" s="48" t="n">
        <f aca="false">E43*E27</f>
        <v>899.2</v>
      </c>
      <c r="F44" s="48" t="n">
        <f aca="false">F43*F27</f>
        <v>1755</v>
      </c>
      <c r="G44" s="48" t="n">
        <f aca="false">G43*G27</f>
        <v>2295</v>
      </c>
      <c r="H44" s="48" t="n">
        <f aca="false">H43*H27</f>
        <v>2700</v>
      </c>
      <c r="I44" s="48" t="n">
        <f aca="false">I43*I27</f>
        <v>2990</v>
      </c>
      <c r="J44" s="48" t="n">
        <f aca="false">J43*J27</f>
        <v>3250</v>
      </c>
      <c r="K44" s="48" t="n">
        <f aca="false">K43*K27</f>
        <v>3480</v>
      </c>
      <c r="L44" s="48" t="n">
        <f aca="false">L43*L27</f>
        <v>3680</v>
      </c>
      <c r="M44" s="48" t="n">
        <f aca="false">M43*M27</f>
        <v>3850</v>
      </c>
    </row>
    <row r="46" customFormat="false" ht="18" hidden="false" customHeight="true" outlineLevel="0" collapsed="false">
      <c r="A46" s="8" t="s">
        <v>223</v>
      </c>
      <c r="B46" s="8"/>
      <c r="C46" s="8"/>
      <c r="D46" s="8"/>
      <c r="E46" s="8"/>
      <c r="F46" s="8"/>
      <c r="G46" s="8"/>
      <c r="H46" s="8"/>
      <c r="I46" s="8"/>
      <c r="J46" s="8"/>
      <c r="K46" s="8"/>
      <c r="L46" s="8"/>
      <c r="M46" s="8"/>
    </row>
    <row r="47" customFormat="false" ht="27.75" hidden="false" customHeight="true" outlineLevel="0" collapsed="false">
      <c r="A47" s="55" t="s">
        <v>443</v>
      </c>
      <c r="B47" s="55"/>
      <c r="C47" s="55"/>
      <c r="D47" s="55"/>
      <c r="E47" s="55"/>
      <c r="F47" s="55"/>
      <c r="G47" s="55"/>
      <c r="H47" s="55"/>
      <c r="I47" s="55"/>
      <c r="J47" s="55"/>
      <c r="K47" s="55"/>
      <c r="L47" s="55"/>
      <c r="M47" s="55"/>
    </row>
  </sheetData>
  <autoFilter ref="A19:M44"/>
  <mergeCells count="19">
    <mergeCell ref="A1:M1"/>
    <mergeCell ref="A2:M2"/>
    <mergeCell ref="A4:M4"/>
    <mergeCell ref="B5:M5"/>
    <mergeCell ref="B6:M6"/>
    <mergeCell ref="B7:M7"/>
    <mergeCell ref="B8:M8"/>
    <mergeCell ref="B9:M9"/>
    <mergeCell ref="B10:M10"/>
    <mergeCell ref="B11:M11"/>
    <mergeCell ref="B12:M12"/>
    <mergeCell ref="B13:M13"/>
    <mergeCell ref="B14:M14"/>
    <mergeCell ref="B15:M15"/>
    <mergeCell ref="B16:M16"/>
    <mergeCell ref="A18:M18"/>
    <mergeCell ref="A36:M36"/>
    <mergeCell ref="A46:M46"/>
    <mergeCell ref="A47:M47"/>
  </mergeCells>
  <conditionalFormatting sqref="B13">
    <cfRule type="expression" priority="2" aboveAverage="0" equalAverage="0" bottom="0" percent="0" rank="0" text="" dxfId="6">
      <formula>B13="Within range"</formula>
    </cfRule>
    <cfRule type="expression" priority="3" aboveAverage="0" equalAverage="0" bottom="0" percent="0" rank="0" text="" dxfId="7">
      <formula>B13&lt;&gt;"Within range"</formula>
    </cfRule>
  </conditionalFormatting>
  <dataValidations count="1">
    <dataValidation allowBlank="false" errorStyle="stop" operator="between" showDropDown="false" showErrorMessage="false" showInputMessage="false" sqref="B9" type="list">
      <formula1>"0,1"</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drawing r:id="rId1"/>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D13"/>
  <sheetViews>
    <sheetView showFormulas="false" showGridLines="false" showRowColHeaders="true" showZeros="true" rightToLeft="false" tabSelected="false" showOutlineSymbols="true" defaultGridColor="true" view="normal" topLeftCell="A1" colorId="64" zoomScale="85" zoomScaleNormal="85"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0" width="24"/>
    <col collapsed="false" customWidth="true" hidden="false" outlineLevel="0" max="2" min="2" style="0" width="38"/>
    <col collapsed="false" customWidth="true" hidden="false" outlineLevel="0" max="3" min="3" style="0" width="90"/>
    <col collapsed="false" customWidth="true" hidden="false" outlineLevel="0" max="4" min="4" style="0" width="70"/>
  </cols>
  <sheetData>
    <row r="1" customFormat="false" ht="18.55" hidden="false" customHeight="false" outlineLevel="0" collapsed="false">
      <c r="A1" s="6" t="s">
        <v>444</v>
      </c>
      <c r="B1" s="6"/>
      <c r="C1" s="6"/>
      <c r="D1" s="6"/>
    </row>
    <row r="2" customFormat="false" ht="15" hidden="false" customHeight="false" outlineLevel="0" collapsed="false">
      <c r="A2" s="7" t="s">
        <v>445</v>
      </c>
      <c r="B2" s="7"/>
      <c r="C2" s="7"/>
      <c r="D2" s="7"/>
    </row>
    <row r="4" customFormat="false" ht="15" hidden="false" customHeight="false" outlineLevel="0" collapsed="false">
      <c r="A4" s="14" t="s">
        <v>446</v>
      </c>
      <c r="B4" s="14" t="s">
        <v>447</v>
      </c>
      <c r="C4" s="14" t="s">
        <v>448</v>
      </c>
      <c r="D4" s="14" t="s">
        <v>449</v>
      </c>
    </row>
    <row r="5" customFormat="false" ht="54.75" hidden="false" customHeight="true" outlineLevel="0" collapsed="false">
      <c r="A5" s="59" t="s">
        <v>450</v>
      </c>
      <c r="B5" s="59" t="s">
        <v>451</v>
      </c>
      <c r="C5" s="59" t="s">
        <v>452</v>
      </c>
      <c r="D5" s="59" t="s">
        <v>453</v>
      </c>
    </row>
    <row r="6" customFormat="false" ht="54.75" hidden="false" customHeight="true" outlineLevel="0" collapsed="false">
      <c r="A6" s="59" t="s">
        <v>454</v>
      </c>
      <c r="B6" s="59" t="s">
        <v>455</v>
      </c>
      <c r="C6" s="59" t="s">
        <v>456</v>
      </c>
      <c r="D6" s="59" t="s">
        <v>457</v>
      </c>
    </row>
    <row r="7" customFormat="false" ht="54.75" hidden="false" customHeight="true" outlineLevel="0" collapsed="false">
      <c r="A7" s="59" t="s">
        <v>458</v>
      </c>
      <c r="B7" s="59" t="s">
        <v>459</v>
      </c>
      <c r="C7" s="60" t="s">
        <v>460</v>
      </c>
      <c r="D7" s="59" t="s">
        <v>461</v>
      </c>
    </row>
    <row r="8" customFormat="false" ht="54.75" hidden="false" customHeight="true" outlineLevel="0" collapsed="false">
      <c r="A8" s="59" t="s">
        <v>462</v>
      </c>
      <c r="B8" s="59" t="s">
        <v>463</v>
      </c>
      <c r="C8" s="60" t="s">
        <v>464</v>
      </c>
      <c r="D8" s="59" t="s">
        <v>465</v>
      </c>
    </row>
    <row r="9" customFormat="false" ht="54.75" hidden="false" customHeight="true" outlineLevel="0" collapsed="false">
      <c r="A9" s="59" t="s">
        <v>466</v>
      </c>
      <c r="B9" s="59" t="s">
        <v>467</v>
      </c>
      <c r="C9" s="60" t="s">
        <v>468</v>
      </c>
      <c r="D9" s="59" t="s">
        <v>469</v>
      </c>
    </row>
    <row r="10" customFormat="false" ht="54.75" hidden="false" customHeight="true" outlineLevel="0" collapsed="false">
      <c r="A10" s="59" t="s">
        <v>470</v>
      </c>
      <c r="B10" s="59" t="s">
        <v>471</v>
      </c>
      <c r="C10" s="60" t="s">
        <v>472</v>
      </c>
      <c r="D10" s="59" t="s">
        <v>473</v>
      </c>
    </row>
    <row r="11" customFormat="false" ht="54.75" hidden="false" customHeight="true" outlineLevel="0" collapsed="false">
      <c r="A11" s="59" t="s">
        <v>474</v>
      </c>
      <c r="B11" s="59" t="s">
        <v>475</v>
      </c>
      <c r="C11" s="60" t="s">
        <v>476</v>
      </c>
      <c r="D11" s="59" t="s">
        <v>477</v>
      </c>
    </row>
    <row r="12" customFormat="false" ht="54.75" hidden="false" customHeight="true" outlineLevel="0" collapsed="false">
      <c r="A12" s="59" t="s">
        <v>478</v>
      </c>
      <c r="B12" s="59" t="s">
        <v>479</v>
      </c>
      <c r="C12" s="60" t="s">
        <v>480</v>
      </c>
      <c r="D12" s="59" t="s">
        <v>481</v>
      </c>
    </row>
    <row r="13" customFormat="false" ht="54.75" hidden="false" customHeight="true" outlineLevel="0" collapsed="false">
      <c r="A13" s="59" t="s">
        <v>482</v>
      </c>
      <c r="B13" s="59" t="s">
        <v>483</v>
      </c>
      <c r="C13" s="60" t="s">
        <v>484</v>
      </c>
      <c r="D13" s="59" t="s">
        <v>485</v>
      </c>
    </row>
  </sheetData>
  <mergeCells count="2">
    <mergeCell ref="A1:D1"/>
    <mergeCell ref="A2:D2"/>
  </mergeCells>
  <hyperlinks>
    <hyperlink ref="C7" r:id="rId1" display="https://mail.zyduslife.com/investor/admin/uploads/21/83/Zydus-and-RK-Pharma-enter-into-an-exclusive-licensing-and-commercialization-agreement-for-a-novel-505%28b%29%282%29-product-of-supportive--oncology-treatment-for-the-USA-market.pdf"/>
    <hyperlink ref="C8" r:id="rId2" display="https://zyduslife.com/investor/admin/uploads/21/83/Zydus-and-Beihai-Biotech-sign-an-exclusive-licensing--supply-and-commercialization-agreement-for-BEIZRAY-%28Albumin-Solubilized-Docetaxel-Injection%29--a-505%28B%29%282%29-product-for-the-US-market.pdf"/>
    <hyperlink ref="C9" r:id="rId3" display="https://www.formycon.com/en/blog/press-release/formycon-and-zydus-partner-for-exclusive-licensing-and-supply-agreement-of-fyb206-a-biosimilar-to-keytruda-pembrolizumab-in-the-u-s-and-canada/"/>
    <hyperlink ref="C10" r:id="rId4" display="https://investor.agenusbio.com/news/news-details/2026/Agenus-Announces-Closing-of-141M-Strategic-Collaboration-with-Zydus-Lifesciences-to-Advance-BOTBAL-and-Strengthen-U-S--Manufacturing-Readiness/default.aspx"/>
    <hyperlink ref="C11" r:id="rId5" display="https://zydustx.com/news-article/zydus-therapeutics-reports-positive-topline-results-from-epics-iii-phase-2b-3-trial-of-saroglitazar-magnesium-in-patients-with-primary-biliary-cholangitis/"/>
    <hyperlink ref="C12" r:id="rId6" display="https://zyduslife.com/investor/admin/uploads/21/83/Zydus-receives-USFDA--Fast-Track-Designation--for-Usnoflast--a-novel-oral-NLRP3-inhibitor--for-the-treatment-of-Amyotrophic-Lateral-Sclerosis-%28ALS%29.pdf"/>
    <hyperlink ref="C13" r:id="rId7" display="https://rkpharmainc.com/our-products.html"/>
  </hyperlink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LibreOfficeDev/26.8.0.0.alpha0$Linux_X86_64 LibreOffice_project/2c87e51eeaa2b413ff4ae097b2705eea1995d8e5</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2026-10-06T05:27:36Z</dcterms:created>
  <dc:creator>OpenAI</dc:creator>
  <dc:description>Asset-level revenue and contribution model calibrated to Zydus Detailed Note.</dc:description>
  <dc:language>en-US</dc:language>
  <cp:lastModifiedBy/>
  <dcterms:modified xsi:type="dcterms:W3CDTF">2026-10-06T05:27:36Z</dcterms:modified>
  <cp:revision>0</cp:revision>
  <dc:subject>Bottoms-up pharma product revenue model</dc:subject>
  <dc:title>Zydus Drug-by-Drug Pipeline Model FY26-FY35</dc:title>
</cp:coreProperties>
</file>

<file path=docProps/custom.xml><?xml version="1.0" encoding="utf-8"?>
<Properties xmlns="http://schemas.openxmlformats.org/officeDocument/2006/custom-properties" xmlns:vt="http://schemas.openxmlformats.org/officeDocument/2006/docPropsVTypes"/>
</file>