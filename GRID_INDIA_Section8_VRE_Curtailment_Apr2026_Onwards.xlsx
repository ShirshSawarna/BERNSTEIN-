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f9fb3a296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Section 8" sheetId="1" r:id="Rc5b42d6485e04acc"/>
    <x:sheet xmlns:r="http://schemas.openxmlformats.org/officeDocument/2006/relationships" name="Coverage" sheetId="2" r:id="R54df9d2fa9604b98"/>
    <x:sheet xmlns:r="http://schemas.openxmlformats.org/officeDocument/2006/relationships" name="Monthly Summary" sheetId="3" r:id="R4a78de063a374e71"/>
    <x:sheet xmlns:r="http://schemas.openxmlformats.org/officeDocument/2006/relationships" name="Notes" sheetId="4" r:id="Rca49a03d0433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m-yyyy"/>
    <x:numFmt numFmtId="201" formatCode="#,##0"/>
    <x:numFmt numFmtId="202" formatCode="0.00"/>
    <x:numFmt numFmtId="203" formatCode="mmm-yyyy"/>
    <x:numFmt numFmtId="204" formatCode="0"/>
    <x:numFmt numFmtId="205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a6a16080144f5" /><Relationship Type="http://schemas.openxmlformats.org/officeDocument/2006/relationships/theme" Target="/xl/theme/theme1.xml" Id="Rb5f73f26b32e4782" /><Relationship Type="http://schemas.openxmlformats.org/officeDocument/2006/relationships/sharedStrings" Target="/xl/sharedStrings.xml" Id="R41edec91a9174ae2" /><Relationship Type="http://schemas.openxmlformats.org/officeDocument/2006/relationships/worksheet" Target="/xl/worksheets/sheet1.xml" Id="Rc5b42d6485e04acc" /><Relationship Type="http://schemas.openxmlformats.org/officeDocument/2006/relationships/worksheet" Target="/xl/worksheets/sheet2.xml" Id="R54df9d2fa9604b98" /><Relationship Type="http://schemas.openxmlformats.org/officeDocument/2006/relationships/worksheet" Target="/xl/worksheets/sheet3.xml" Id="R4a78de063a374e71" /><Relationship Type="http://schemas.openxmlformats.org/officeDocument/2006/relationships/worksheet" Target="/xl/worksheets/sheet4.xml" Id="Rca49a03d043341f4" /></Relationships>
</file>

<file path=xl/tables/table1.xml><?xml version="1.0" encoding="utf-8"?>
<x:table xmlns:x="http://schemas.openxmlformats.org/spreadsheetml/2006/main" id="1" name="Section8Daily" displayName="Section8Daily" ref="A4:K122" headerRowCount="1" totalsRowCount="0" totalsRowShown="0">
  <x:tableColumns count="11">
    <x:tableColumn id="1" name="Date"/>
    <x:tableColumn id="2" name="Wind Curtailment (MW)"/>
    <x:tableColumn id="3" name="Wind Curtailment (MU)"/>
    <x:tableColumn id="4" name="Solar Curtailment (MW)"/>
    <x:tableColumn id="5" name="Solar Curtailment (MU)"/>
    <x:tableColumn id="6" name="Calculated Total (MU)"/>
    <x:tableColumn id="7" name="Source Total (MU)"/>
    <x:tableColumn id="8" name="Check (MU)"/>
    <x:tableColumn id="9" name="Curtailment Reason(s)"/>
    <x:tableColumn id="10" name="GRID-INDIA Report Page"/>
    <x:tableColumn id="11" name="Extraction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4:D137" headerRowCount="1" totalsRowCount="0" totalsRowShown="0">
  <x:tableColumns count="4">
    <x:tableColumn id="1" name="Date"/>
    <x:tableColumn id="2" name="Status"/>
    <x:tableColumn id="3" name="Section 8 Total (MU)"/>
    <x:tableColumn id="4" name="Com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hlySummaryTable" displayName="MonthlySummaryTable" ref="A4:H9" headerRowCount="1" totalsRowCount="0" totalsRowShown="0">
  <x:tableColumns count="8">
    <x:tableColumn id="1" name="Month"/>
    <x:tableColumn id="2" name="Reports Available"/>
    <x:tableColumn id="3" name="Wind Curtailment (MU)"/>
    <x:tableColumn id="4" name="Solar Curtailment (MU)"/>
    <x:tableColumn id="5" name="Total Curtailment (MU)"/>
    <x:tableColumn id="6" name="Avg / Report (MU)"/>
    <x:tableColumn id="7" name="Share Solar"/>
    <x:tableColumn id="8" name="Share Wi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fbb65837b74c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79a7247b9846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34803097e2420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15" hidden="0" customWidth="1"/>
    <x:col min="8" max="8" width="12" hidden="0" customWidth="1"/>
    <x:col min="9" max="9" width="44" hidden="0" customWidth="1"/>
    <x:col min="10" max="10" width="34" hidden="0" customWidth="1"/>
    <x:col min="11" max="11" width="38" hidden="0" customWidth="1"/>
  </x:cols>
  <x:sheetData>
    <x:row r="1" ht="26" customHeight="1">
      <x:c r="A1" s="5" t="str">
        <x:v>GRID-INDIA Daily VRE Curtailment — Section 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2" t="str">
        <x:v>Daily Section 8 totals from 01-Apr-2026 to 11-Aug-2026 (118 available reports). Missing report dates are shown separately in the Coverage sheet.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32" customHeight="1">
      <x:c r="A4" s="20" t="str">
        <x:v>Date</x:v>
      </x:c>
      <x:c r="B4" s="20" t="str">
        <x:v>Wind Curtailment (MW)</x:v>
      </x:c>
      <x:c r="C4" s="20" t="str">
        <x:v>Wind Curtailment (MU)</x:v>
      </x:c>
      <x:c r="D4" s="20" t="str">
        <x:v>Solar Curtailment (MW)</x:v>
      </x:c>
      <x:c r="E4" s="20" t="str">
        <x:v>Solar Curtailment (MU)</x:v>
      </x:c>
      <x:c r="F4" s="20" t="str">
        <x:v>Calculated Total (MU)</x:v>
      </x:c>
      <x:c r="G4" s="20" t="str">
        <x:v>Source Total (MU)</x:v>
      </x:c>
      <x:c r="H4" s="20" t="str">
        <x:v>Check (MU)</x:v>
      </x:c>
      <x:c r="I4" s="20" t="str">
        <x:v>Curtailment Reason(s)</x:v>
      </x:c>
      <x:c r="J4" s="20" t="str">
        <x:v>GRID-INDIA Report Page</x:v>
      </x:c>
      <x:c r="K4" s="20" t="str">
        <x:v>Extraction Source</x:v>
      </x:c>
    </x:row>
    <x:row r="5">
      <x:c r="A5" s="26" t="n">
        <x:v>46113</x:v>
      </x:c>
      <x:c r="B5" s="28" t="n">
        <x:v>30</x:v>
      </x:c>
      <x:c r="C5" s="30" t="n">
        <x:v>0.04</x:v>
      </x:c>
      <x:c r="D5" s="30" t="n">
        <x:v>2251</x:v>
      </x:c>
      <x:c r="E5" s="30" t="n">
        <x:v>5.95</x:v>
      </x:c>
      <x:c r="F5" s="30" t="n">
        <x:f>C5+E5</x:f>
        <x:v>5.99</x:v>
      </x:c>
      <x:c r="G5" s="30" t="n">
        <x:v>5.99</x:v>
      </x:c>
      <x:c r="H5" s="30" t="n">
        <x:f>F5-G5</x:f>
        <x:v>0</x:v>
      </x:c>
      <x:c r="I5" s="32" t="str">
        <x:v>र र्स्थ न / Rajasthan: DUE TO HEAVY UNDER DRAWL AND HIGH FREQUENCY AND DUE TO O/L O | गुर्र त / Gujarat: To control UD</x:v>
      </x:c>
      <x:c r="J5" s="32" t="str">
        <x:v>https://grid-india.in/en/reports/daily-vre-report</x:v>
      </x:c>
      <x:c r="K5" s="32" t="str">
        <x:v>https://sanketik-sankhyaki.github.io/Renewable-Energy-Curtailment-Tracker/curtailment_history.csv</x:v>
      </x:c>
    </x:row>
    <x:row r="6">
      <x:c r="A6" s="26" t="n">
        <x:v>46114</x:v>
      </x:c>
      <x:c r="B6" s="28" t="n">
        <x:v>633</x:v>
      </x:c>
      <x:c r="C6" s="30" t="n">
        <x:v>0.74</x:v>
      </x:c>
      <x:c r="D6" s="30" t="n">
        <x:v>2304</x:v>
      </x:c>
      <x:c r="E6" s="30" t="n">
        <x:v>5.54</x:v>
      </x:c>
      <x:c r="F6" s="30" t="n">
        <x:f>C6+E6</x:f>
        <x:v>6.28</x:v>
      </x:c>
      <x:c r="G6" s="30" t="n">
        <x:v>6.28</x:v>
      </x:c>
      <x:c r="H6" s="30" t="n">
        <x:f>F6-G6</x:f>
        <x:v>0</x:v>
      </x:c>
      <x:c r="I6" s="32" t="str">
        <x:v>र र्स्थ न / Rajasthan: Due to overloading of ICts at Bhadla and Bikaner | गुर्र त / Gujarat: In view of the system requirement and grid security and stab</x:v>
      </x:c>
      <x:c r="J6" s="32" t="str">
        <x:v>https://grid-india.in/en/reports/daily-vre-report</x:v>
      </x:c>
      <x:c r="K6" s="32" t="str">
        <x:v>https://sanketik-sankhyaki.github.io/Renewable-Energy-Curtailment-Tracker/curtailment_history.csv</x:v>
      </x:c>
    </x:row>
    <x:row r="7">
      <x:c r="A7" s="26" t="n">
        <x:v>46115</x:v>
      </x:c>
      <x:c r="B7" s="28" t="n">
        <x:v>0</x:v>
      </x:c>
      <x:c r="C7" s="30" t="n">
        <x:v>0</x:v>
      </x:c>
      <x:c r="D7" s="30" t="n">
        <x:v>0</x:v>
      </x:c>
      <x:c r="E7" s="30" t="n">
        <x:v>0</x:v>
      </x:c>
      <x:c r="F7" s="30" t="n">
        <x:f>C7+E7</x:f>
        <x:v>0</x:v>
      </x:c>
      <x:c r="G7" s="30" t="n">
        <x:v>0</x:v>
      </x:c>
      <x:c r="H7" s="30" t="n">
        <x:f>F7-G7</x:f>
        <x:v>0</x:v>
      </x:c>
      <x:c r="I7" s="32" t="str">
        <x:v>No curtailment</x:v>
      </x:c>
      <x:c r="J7" s="32" t="str">
        <x:v>https://grid-india.in/en/reports/daily-vre-report</x:v>
      </x:c>
      <x:c r="K7" s="32" t="str">
        <x:v>https://sanketik-sankhyaki.github.io/Renewable-Energy-Curtailment-Tracker/curtailment_history.csv</x:v>
      </x:c>
    </x:row>
    <x:row r="8">
      <x:c r="A8" s="26" t="n">
        <x:v>46116</x:v>
      </x:c>
      <x:c r="B8" s="28" t="n">
        <x:v>0</x:v>
      </x:c>
      <x:c r="C8" s="30" t="n">
        <x:v>0</x:v>
      </x:c>
      <x:c r="D8" s="30" t="n">
        <x:v>215</x:v>
      </x:c>
      <x:c r="E8" s="30" t="n">
        <x:v>0.86</x:v>
      </x:c>
      <x:c r="F8" s="30" t="n">
        <x:f>C8+E8</x:f>
        <x:v>0.86</x:v>
      </x:c>
      <x:c r="G8" s="30" t="n">
        <x:v>0.86</x:v>
      </x:c>
      <x:c r="H8" s="30" t="n">
        <x:f>F8-G8</x:f>
        <x:v>0</x:v>
      </x:c>
      <x:c r="I8" s="32" t="str">
        <x:v>र र्स्थ न / Rajasthan: Due to overloading of ICts at Bhadla and Bikaner</x:v>
      </x:c>
      <x:c r="J8" s="32" t="str">
        <x:v>https://grid-india.in/en/reports/daily-vre-report</x:v>
      </x:c>
      <x:c r="K8" s="32" t="str">
        <x:v>https://sanketik-sankhyaki.github.io/Renewable-Energy-Curtailment-Tracker/curtailment_history.csv</x:v>
      </x:c>
    </x:row>
    <x:row r="9">
      <x:c r="A9" s="26" t="n">
        <x:v>46117</x:v>
      </x:c>
      <x:c r="B9" s="28" t="n">
        <x:v>215</x:v>
      </x:c>
      <x:c r="C9" s="30" t="n">
        <x:v>0.44</x:v>
      </x:c>
      <x:c r="D9" s="30" t="n">
        <x:v>3634</x:v>
      </x:c>
      <x:c r="E9" s="30" t="n">
        <x:v>9.22</x:v>
      </x:c>
      <x:c r="F9" s="30" t="n">
        <x:f>C9+E9</x:f>
        <x:v>9.66</x:v>
      </x:c>
      <x:c r="G9" s="30" t="n">
        <x:v>9.66</x:v>
      </x:c>
      <x:c r="H9" s="30" t="n">
        <x:f>F9-G9</x:f>
        <x:v>0</x:v>
      </x:c>
      <x:c r="I9" s="32" t="str">
        <x:v>र र्स्थ न / Rajasthan: Due to high frequency and heavy underdrawal | गुर्र त / Gujarat: In view of the system requirement , WRLDC Guj U/D : -572 MW, | मह र ष्ट्र / Maharashtra: To control heavy underdrawal (1511MW) at high frequency.</x:v>
      </x:c>
      <x:c r="J9" s="32" t="str">
        <x:v>https://grid-india.in/en/reports/daily-vre-report</x:v>
      </x:c>
      <x:c r="K9" s="32" t="str">
        <x:v>https://sanketik-sankhyaki.github.io/Renewable-Energy-Curtailment-Tracker/curtailment_history.csv</x:v>
      </x:c>
    </x:row>
    <x:row r="10">
      <x:c r="A10" s="26" t="n">
        <x:v>46118</x:v>
      </x:c>
      <x:c r="B10" s="28" t="n">
        <x:v>160</x:v>
      </x:c>
      <x:c r="C10" s="30" t="n">
        <x:v>1.55</x:v>
      </x:c>
      <x:c r="D10" s="30" t="n">
        <x:v>2645</x:v>
      </x:c>
      <x:c r="E10" s="30" t="n">
        <x:v>10.01</x:v>
      </x:c>
      <x:c r="F10" s="30" t="n">
        <x:f>C10+E10</x:f>
        <x:v>11.56</x:v>
      </x:c>
      <x:c r="G10" s="30" t="n">
        <x:v>11.56</x:v>
      </x:c>
      <x:c r="H10" s="30" t="n">
        <x:f>F10-G10</x:f>
        <x:v>0</x:v>
      </x:c>
      <x:c r="I10" s="32" t="str">
        <x:v>र र्स्थ न / Rajasthan: Due to O/L at 400 KV Bikaner &amp; 400 KV Bhadla and high freque | गुर्र त / Gujarat: In view of the system requirement and grid security and stab</x:v>
      </x:c>
      <x:c r="J10" s="32" t="str">
        <x:v>https://grid-india.in/en/reports/daily-vre-report</x:v>
      </x:c>
      <x:c r="K10" s="32" t="str">
        <x:v>https://sanketik-sankhyaki.github.io/Renewable-Energy-Curtailment-Tracker/curtailment_history.csv</x:v>
      </x:c>
    </x:row>
    <x:row r="11">
      <x:c r="A11" s="26" t="n">
        <x:v>46119</x:v>
      </x:c>
      <x:c r="B11" s="28" t="n">
        <x:v>613</x:v>
      </x:c>
      <x:c r="C11" s="30" t="n">
        <x:v>4.93</x:v>
      </x:c>
      <x:c r="D11" s="30" t="n">
        <x:v>3380</x:v>
      </x:c>
      <x:c r="E11" s="30" t="n">
        <x:v>12.13</x:v>
      </x:c>
      <x:c r="F11" s="30" t="n">
        <x:f>C11+E11</x:f>
        <x:v>17.060000000000002</x:v>
      </x:c>
      <x:c r="G11" s="30" t="n">
        <x:v>17.06</x:v>
      </x:c>
      <x:c r="H11" s="30" t="n">
        <x:f>F11-G11</x:f>
        <x:v>3.552713678800501e-15</x:v>
      </x:c>
      <x:c r="I11" s="32" t="str">
        <x:v>र र्स्थ न / Rajasthan: DUE TO O/L ON ICT'S AT 400 KV BIKANER &amp; 400 KV BHADLA AND HI | गुर्र त / Gujarat: 46118</x:v>
      </x:c>
      <x:c r="J11" s="32" t="str">
        <x:v>https://grid-india.in/en/reports/daily-vre-report</x:v>
      </x:c>
      <x:c r="K11" s="32" t="str">
        <x:v>https://sanketik-sankhyaki.github.io/Renewable-Energy-Curtailment-Tracker/curtailment_history.csv</x:v>
      </x:c>
    </x:row>
    <x:row r="12">
      <x:c r="A12" s="26" t="n">
        <x:v>46120</x:v>
      </x:c>
      <x:c r="B12" s="28" t="n">
        <x:v>1418</x:v>
      </x:c>
      <x:c r="C12" s="30" t="n">
        <x:v>2.96</x:v>
      </x:c>
      <x:c r="D12" s="30" t="n">
        <x:v>5615</x:v>
      </x:c>
      <x:c r="E12" s="30" t="n">
        <x:v>14.73</x:v>
      </x:c>
      <x:c r="F12" s="30" t="n">
        <x:f>C12+E12</x:f>
        <x:v>17.69</x:v>
      </x:c>
      <x:c r="G12" s="30" t="n">
        <x:v>17.69</x:v>
      </x:c>
      <x:c r="H12" s="30" t="n">
        <x:f>F12-G12</x:f>
        <x:v>0</x:v>
      </x:c>
      <x:c r="I12" s="32" t="str">
        <x:v>र र्स्थ न / Rajasthan: DUE TO O/L ON ICT'S AT 400 KV BIKANER &amp; 400 KV BHADLA OUTAGE | गुर्र त / Gujarat: To control high underdrawl</x:v>
      </x:c>
      <x:c r="J12" s="32" t="str">
        <x:v>https://grid-india.in/en/reports/daily-vre-report</x:v>
      </x:c>
      <x:c r="K12" s="32" t="str">
        <x:v>https://sanketik-sankhyaki.github.io/Renewable-Energy-Curtailment-Tracker/curtailment_history.csv</x:v>
      </x:c>
    </x:row>
    <x:row r="13">
      <x:c r="A13" s="26" t="n">
        <x:v>46121</x:v>
      </x:c>
      <x:c r="B13" s="28" t="n">
        <x:v>40</x:v>
      </x:c>
      <x:c r="C13" s="30" t="n">
        <x:v>0.11</x:v>
      </x:c>
      <x:c r="D13" s="30" t="n">
        <x:v>4891</x:v>
      </x:c>
      <x:c r="E13" s="30" t="n">
        <x:v>11.65</x:v>
      </x:c>
      <x:c r="F13" s="30" t="n">
        <x:f>C13+E13</x:f>
        <x:v>11.76</x:v>
      </x:c>
      <x:c r="G13" s="30" t="n">
        <x:v>11.76</x:v>
      </x:c>
      <x:c r="H13" s="30" t="n">
        <x:f>F13-G13</x:f>
        <x:v>0</x:v>
      </x:c>
      <x:c r="I13" s="32" t="str">
        <x:v>र र्स्थ न / Rajasthan: Due to O/L at 220 KV Bikaner - Gajner I &amp; II and O/L of ICT' | गर्ुर त / Gujarat: To control high underdrawl</x:v>
      </x:c>
      <x:c r="J13" s="32" t="str">
        <x:v>https://grid-india.in/en/reports/daily-vre-report</x:v>
      </x:c>
      <x:c r="K13" s="32" t="str">
        <x:v>https://sanketik-sankhyaki.github.io/Renewable-Energy-Curtailment-Tracker/curtailment_history.csv</x:v>
      </x:c>
    </x:row>
    <x:row r="14">
      <x:c r="A14" s="26" t="n">
        <x:v>46122</x:v>
      </x:c>
      <x:c r="B14" s="28" t="n">
        <x:v>160</x:v>
      </x:c>
      <x:c r="C14" s="30" t="n">
        <x:v>1.74</x:v>
      </x:c>
      <x:c r="D14" s="30" t="n">
        <x:v>2996</x:v>
      </x:c>
      <x:c r="E14" s="30" t="n">
        <x:v>14.05</x:v>
      </x:c>
      <x:c r="F14" s="30" t="n">
        <x:f>C14+E14</x:f>
        <x:v>15.790000000000001</x:v>
      </x:c>
      <x:c r="G14" s="30" t="n">
        <x:v>15.79</x:v>
      </x:c>
      <x:c r="H14" s="30" t="n">
        <x:f>F14-G14</x:f>
        <x:v>1.7763568394002505e-15</x:v>
      </x:c>
      <x:c r="I14" s="32" t="str">
        <x:v>र र्स्थ न / Rajasthan: Due to High Frequency and heavy underdrwal | गुर्र त / Gujarat: 46123</x:v>
      </x:c>
      <x:c r="J14" s="32" t="str">
        <x:v>https://grid-india.in/en/reports/daily-vre-report</x:v>
      </x:c>
      <x:c r="K14" s="32" t="str">
        <x:v>https://sanketik-sankhyaki.github.io/Renewable-Energy-Curtailment-Tracker/curtailment_history.csv</x:v>
      </x:c>
    </x:row>
    <x:row r="15">
      <x:c r="A15" s="26" t="n">
        <x:v>46123</x:v>
      </x:c>
      <x:c r="B15" s="28" t="n">
        <x:v>115</x:v>
      </x:c>
      <x:c r="C15" s="30" t="n">
        <x:v>0.21</x:v>
      </x:c>
      <x:c r="D15" s="30" t="n">
        <x:v>3910</x:v>
      </x:c>
      <x:c r="E15" s="30" t="n">
        <x:v>8.6</x:v>
      </x:c>
      <x:c r="F15" s="30" t="n">
        <x:f>C15+E15</x:f>
        <x:v>8.81</x:v>
      </x:c>
      <x:c r="G15" s="30" t="n">
        <x:v>8.81</x:v>
      </x:c>
      <x:c r="H15" s="30" t="n">
        <x:f>F15-G15</x:f>
        <x:v>0</x:v>
      </x:c>
      <x:c r="I15" s="32" t="str">
        <x:v>र र्स्थ न / Rajasthan: Due to High Frequency and heavy underdrwal</x:v>
      </x:c>
      <x:c r="J15" s="32" t="str">
        <x:v>https://grid-india.in/en/reports/daily-vre-report</x:v>
      </x:c>
      <x:c r="K15" s="32" t="str">
        <x:v>https://sanketik-sankhyaki.github.io/Renewable-Energy-Curtailment-Tracker/curtailment_history.csv</x:v>
      </x:c>
    </x:row>
    <x:row r="16">
      <x:c r="A16" s="26" t="n">
        <x:v>46124</x:v>
      </x:c>
      <x:c r="B16" s="28" t="n">
        <x:v>79</x:v>
      </x:c>
      <x:c r="C16" s="30" t="n">
        <x:v>0.23</x:v>
      </x:c>
      <x:c r="D16" s="30" t="n">
        <x:v>3750</x:v>
      </x:c>
      <x:c r="E16" s="30" t="n">
        <x:v>14.81</x:v>
      </x:c>
      <x:c r="F16" s="30" t="n">
        <x:f>C16+E16</x:f>
        <x:v>15.040000000000001</x:v>
      </x:c>
      <x:c r="G16" s="30" t="n">
        <x:v>15.04</x:v>
      </x:c>
      <x:c r="H16" s="30" t="n">
        <x:f>F16-G16</x:f>
        <x:v>1.7763568394002505e-15</x:v>
      </x:c>
      <x:c r="I16" s="32" t="str">
        <x:v>र र्स्थ न / Rajasthan: Due to high frequency and heavy underdrawal</x:v>
      </x:c>
      <x:c r="J16" s="32" t="str">
        <x:v>https://grid-india.in/en/reports/daily-vre-report</x:v>
      </x:c>
      <x:c r="K16" s="32" t="str">
        <x:v>https://sanketik-sankhyaki.github.io/Renewable-Energy-Curtailment-Tracker/curtailment_history.csv</x:v>
      </x:c>
    </x:row>
    <x:row r="17">
      <x:c r="A17" s="26" t="n">
        <x:v>46125</x:v>
      </x:c>
      <x:c r="B17" s="28" t="n">
        <x:v>30</x:v>
      </x:c>
      <x:c r="C17" s="30" t="n">
        <x:v>0.05</x:v>
      </x:c>
      <x:c r="D17" s="30" t="n">
        <x:v>1950</x:v>
      </x:c>
      <x:c r="E17" s="30" t="n">
        <x:v>5.72</x:v>
      </x:c>
      <x:c r="F17" s="30" t="n">
        <x:f>C17+E17</x:f>
        <x:v>5.77</x:v>
      </x:c>
      <x:c r="G17" s="30" t="n">
        <x:v>5.77</x:v>
      </x:c>
      <x:c r="H17" s="30" t="n">
        <x:f>F17-G17</x:f>
        <x:v>0</x:v>
      </x:c>
      <x:c r="I17" s="32" t="str">
        <x:v>र र्स्थ न / Rajasthan: Due to High frequency and Heavy Underdrawl</x:v>
      </x:c>
      <x:c r="J17" s="32" t="str">
        <x:v>https://grid-india.in/en/reports/daily-vre-report</x:v>
      </x:c>
      <x:c r="K17" s="32" t="str">
        <x:v>https://sanketik-sankhyaki.github.io/Renewable-Energy-Curtailment-Tracker/curtailment_history.csv</x:v>
      </x:c>
    </x:row>
    <x:row r="18">
      <x:c r="A18" s="26" t="n">
        <x:v>46126</x:v>
      </x:c>
      <x:c r="B18" s="28" t="n">
        <x:v>638</x:v>
      </x:c>
      <x:c r="C18" s="30" t="n">
        <x:v>1.37</x:v>
      </x:c>
      <x:c r="D18" s="30" t="n">
        <x:v>2368</x:v>
      </x:c>
      <x:c r="E18" s="30" t="n">
        <x:v>6.33</x:v>
      </x:c>
      <x:c r="F18" s="30" t="n">
        <x:f>C18+E18</x:f>
        <x:v>7.7</x:v>
      </x:c>
      <x:c r="G18" s="30" t="n">
        <x:v>7.7</x:v>
      </x:c>
      <x:c r="H18" s="30" t="n">
        <x:f>F18-G18</x:f>
        <x:v>0</x:v>
      </x:c>
      <x:c r="I18" s="32" t="str">
        <x:v>र र्स्थ न / Rajasthan: Due to O/L at 220 KV Bikaner - Gajner I &amp; II and O/L of ICT' | गुर्र त / Gujarat: 1) In view of the system requirement and grid security and s</x:v>
      </x:c>
      <x:c r="J18" s="32" t="str">
        <x:v>https://grid-india.in/en/reports/daily-vre-report</x:v>
      </x:c>
      <x:c r="K18" s="32" t="str">
        <x:v>https://sanketik-sankhyaki.github.io/Renewable-Energy-Curtailment-Tracker/curtailment_history.csv</x:v>
      </x:c>
    </x:row>
    <x:row r="19">
      <x:c r="A19" s="26" t="n">
        <x:v>46127</x:v>
      </x:c>
      <x:c r="B19" s="28" t="n">
        <x:v>301</x:v>
      </x:c>
      <x:c r="C19" s="30" t="n">
        <x:v>0.49</x:v>
      </x:c>
      <x:c r="D19" s="30" t="n">
        <x:v>3318</x:v>
      </x:c>
      <x:c r="E19" s="30" t="n">
        <x:v>7.53</x:v>
      </x:c>
      <x:c r="F19" s="30" t="n">
        <x:f>C19+E19</x:f>
        <x:v>8.02</x:v>
      </x:c>
      <x:c r="G19" s="30" t="n">
        <x:v>8.02</x:v>
      </x:c>
      <x:c r="H19" s="30" t="n">
        <x:f>F19-G19</x:f>
        <x:v>0</x:v>
      </x:c>
      <x:c r="I19" s="32" t="str">
        <x:v>र र्स्थ न / Rajasthan: Due to O/L at 220 KV Bikaner - Gajner I &amp; II and O/L of ICT' | गुर्र त / Gujarat: To Control Under drawl</x:v>
      </x:c>
      <x:c r="J19" s="32" t="str">
        <x:v>https://grid-india.in/en/reports/daily-vre-report</x:v>
      </x:c>
      <x:c r="K19" s="32" t="str">
        <x:v>https://sanketik-sankhyaki.github.io/Renewable-Energy-Curtailment-Tracker/curtailment_history.csv</x:v>
      </x:c>
    </x:row>
    <x:row r="20">
      <x:c r="A20" s="26" t="n">
        <x:v>46128</x:v>
      </x:c>
      <x:c r="B20" s="28" t="n">
        <x:v>0</x:v>
      </x:c>
      <x:c r="C20" s="30" t="n">
        <x:v>0</x:v>
      </x:c>
      <x:c r="D20" s="30" t="n">
        <x:v>2257</x:v>
      </x:c>
      <x:c r="E20" s="30" t="n">
        <x:v>4.42</x:v>
      </x:c>
      <x:c r="F20" s="30" t="n">
        <x:f>C20+E20</x:f>
        <x:v>4.42</x:v>
      </x:c>
      <x:c r="G20" s="30" t="n">
        <x:v>4.42</x:v>
      </x:c>
      <x:c r="H20" s="30" t="n">
        <x:f>F20-G20</x:f>
        <x:v>0</x:v>
      </x:c>
      <x:c r="I20" s="32" t="str">
        <x:v>र र्स्थ न / Rajasthan: Due to O/L at 220 KV Bikaner - Gajner I &amp; II and O/L of ICT' | गुर्र त / Gujarat: To Control Under drawl</x:v>
      </x:c>
      <x:c r="J20" s="32" t="str">
        <x:v>https://grid-india.in/en/reports/daily-vre-report</x:v>
      </x:c>
      <x:c r="K20" s="32" t="str">
        <x:v>https://sanketik-sankhyaki.github.io/Renewable-Energy-Curtailment-Tracker/curtailment_history.csv</x:v>
      </x:c>
    </x:row>
    <x:row r="21">
      <x:c r="A21" s="26" t="n">
        <x:v>46129</x:v>
      </x:c>
      <x:c r="B21" s="28" t="n">
        <x:v>643</x:v>
      </x:c>
      <x:c r="C21" s="30" t="n">
        <x:v>1.5</x:v>
      </x:c>
      <x:c r="D21" s="30" t="n">
        <x:v>3100</x:v>
      </x:c>
      <x:c r="E21" s="30" t="n">
        <x:v>8.38</x:v>
      </x:c>
      <x:c r="F21" s="30" t="n">
        <x:f>C21+E21</x:f>
        <x:v>9.88</x:v>
      </x:c>
      <x:c r="G21" s="30" t="n">
        <x:v>9.88</x:v>
      </x:c>
      <x:c r="H21" s="30" t="n">
        <x:f>F21-G21</x:f>
        <x:v>0</x:v>
      </x:c>
      <x:c r="I21" s="32" t="str">
        <x:v>र र्स्थ न / Rajasthan: Due to overloading of ICts at Bhadla and Over loading of 220 | गुर्र त / Gujarat: To Control Under drawl</x:v>
      </x:c>
      <x:c r="J21" s="32" t="str">
        <x:v>https://grid-india.in/en/reports/daily-vre-report</x:v>
      </x:c>
      <x:c r="K21" s="32" t="str">
        <x:v>https://sanketik-sankhyaki.github.io/Renewable-Energy-Curtailment-Tracker/curtailment_history.csv</x:v>
      </x:c>
    </x:row>
    <x:row r="22">
      <x:c r="A22" s="26" t="n">
        <x:v>46130</x:v>
      </x:c>
      <x:c r="B22" s="28" t="n">
        <x:v>0</x:v>
      </x:c>
      <x:c r="C22" s="30" t="n">
        <x:v>0</x:v>
      </x:c>
      <x:c r="D22" s="30" t="n">
        <x:v>2631</x:v>
      </x:c>
      <x:c r="E22" s="30" t="n">
        <x:v>3.95</x:v>
      </x:c>
      <x:c r="F22" s="30" t="n">
        <x:f>C22+E22</x:f>
        <x:v>3.95</x:v>
      </x:c>
      <x:c r="G22" s="30" t="n">
        <x:v>3.95</x:v>
      </x:c>
      <x:c r="H22" s="30" t="n">
        <x:f>F22-G22</x:f>
        <x:v>0</x:v>
      </x:c>
      <x:c r="I22" s="32" t="str">
        <x:v>र र्स्थ न / Rajasthan: Due to overloading of ICts at Bhadla and Bikaner | गुर्र त / Gujarat: In view of the system requirement and grid security and stab</x:v>
      </x:c>
      <x:c r="J22" s="32" t="str">
        <x:v>https://grid-india.in/en/reports/daily-vre-report</x:v>
      </x:c>
      <x:c r="K22" s="32" t="str">
        <x:v>https://sanketik-sankhyaki.github.io/Renewable-Energy-Curtailment-Tracker/curtailment_history.csv</x:v>
      </x:c>
    </x:row>
    <x:row r="23">
      <x:c r="A23" s="26" t="n">
        <x:v>46131</x:v>
      </x:c>
      <x:c r="B23" s="28" t="n">
        <x:v>847</x:v>
      </x:c>
      <x:c r="C23" s="30" t="n">
        <x:v>1.13</x:v>
      </x:c>
      <x:c r="D23" s="30" t="n">
        <x:v>2667</x:v>
      </x:c>
      <x:c r="E23" s="30" t="n">
        <x:v>6.47</x:v>
      </x:c>
      <x:c r="F23" s="30" t="n">
        <x:f>C23+E23</x:f>
        <x:v>7.6</x:v>
      </x:c>
      <x:c r="G23" s="30" t="n">
        <x:v>7.6</x:v>
      </x:c>
      <x:c r="H23" s="30" t="n">
        <x:f>F23-G23</x:f>
        <x:v>0</x:v>
      </x:c>
      <x:c r="I23" s="32" t="str">
        <x:v>गुर्र त / Gujarat: To control Underdrawl</x:v>
      </x:c>
      <x:c r="J23" s="32" t="str">
        <x:v>https://grid-india.in/en/reports/daily-vre-report</x:v>
      </x:c>
      <x:c r="K23" s="32" t="str">
        <x:v>https://sanketik-sankhyaki.github.io/Renewable-Energy-Curtailment-Tracker/curtailment_history.csv</x:v>
      </x:c>
    </x:row>
    <x:row r="24">
      <x:c r="A24" s="26" t="n">
        <x:v>46132</x:v>
      </x:c>
      <x:c r="B24" s="28" t="n">
        <x:v>100</x:v>
      </x:c>
      <x:c r="C24" s="30" t="n">
        <x:v>0.1</x:v>
      </x:c>
      <x:c r="D24" s="30" t="n">
        <x:v>2227</x:v>
      </x:c>
      <x:c r="E24" s="30" t="n">
        <x:v>4.3</x:v>
      </x:c>
      <x:c r="F24" s="30" t="n">
        <x:f>C24+E24</x:f>
        <x:v>4.3999999999999995</x:v>
      </x:c>
      <x:c r="G24" s="30" t="n">
        <x:v>4.4</x:v>
      </x:c>
      <x:c r="H24" s="30" t="n">
        <x:f>F24-G24</x:f>
        <x:v>-8.881784197001252e-16</x:v>
      </x:c>
      <x:c r="I24" s="32" t="str">
        <x:v>गुर्र त / Gujarat: To control Underdrawl</x:v>
      </x:c>
      <x:c r="J24" s="32" t="str">
        <x:v>https://grid-india.in/en/reports/daily-vre-report</x:v>
      </x:c>
      <x:c r="K24" s="32" t="str">
        <x:v>https://sanketik-sankhyaki.github.io/Renewable-Energy-Curtailment-Tracker/curtailment_history.csv</x:v>
      </x:c>
    </x:row>
    <x:row r="25">
      <x:c r="A25" s="26" t="n">
        <x:v>46133</x:v>
      </x:c>
      <x:c r="B25" s="28" t="n">
        <x:v>257</x:v>
      </x:c>
      <x:c r="C25" s="30" t="n">
        <x:v>1.62</x:v>
      </x:c>
      <x:c r="D25" s="30" t="n">
        <x:v>2481</x:v>
      </x:c>
      <x:c r="E25" s="30" t="n">
        <x:v>8.31</x:v>
      </x:c>
      <x:c r="F25" s="30" t="n">
        <x:f>C25+E25</x:f>
        <x:v>9.93</x:v>
      </x:c>
      <x:c r="G25" s="30" t="n">
        <x:v>9.93</x:v>
      </x:c>
      <x:c r="H25" s="30" t="n">
        <x:f>F25-G25</x:f>
        <x:v>0</x:v>
      </x:c>
      <x:c r="I25" s="32" t="str">
        <x:v>र र्स्थ न / Rajasthan: Due to O/L at 220 KV Bikaner - Gajner I &amp; II and O/L of ICT' | गर्ुर त / Gujarat: Guj U/D : -1289 MW, system average freq 50.05 Hz, All ISGS &amp;</x:v>
      </x:c>
      <x:c r="J25" s="32" t="str">
        <x:v>https://grid-india.in/en/reports/daily-vre-report</x:v>
      </x:c>
      <x:c r="K25" s="32" t="str">
        <x:v>https://sanketik-sankhyaki.github.io/Renewable-Energy-Curtailment-Tracker/curtailment_history.csv</x:v>
      </x:c>
    </x:row>
    <x:row r="26">
      <x:c r="A26" s="26" t="n">
        <x:v>46134</x:v>
      </x:c>
      <x:c r="B26" s="28" t="n">
        <x:v>511</x:v>
      </x:c>
      <x:c r="C26" s="30" t="n">
        <x:v>0.9</x:v>
      </x:c>
      <x:c r="D26" s="30" t="n">
        <x:v>2971</x:v>
      </x:c>
      <x:c r="E26" s="30" t="n">
        <x:v>11.82</x:v>
      </x:c>
      <x:c r="F26" s="30" t="n">
        <x:f>C26+E26</x:f>
        <x:v>12.72</x:v>
      </x:c>
      <x:c r="G26" s="30" t="n">
        <x:v>12.72</x:v>
      </x:c>
      <x:c r="H26" s="30" t="n">
        <x:f>F26-G26</x:f>
        <x:v>0</x:v>
      </x:c>
      <x:c r="I26" s="32" t="str">
        <x:v>भ दल / Bhadla: Due to 1500MVA ICT3 under forced shutdown | गर्ुर त / Gujarat: 1) In view of the system requirement and grid security and s</x:v>
      </x:c>
      <x:c r="J26" s="32" t="str">
        <x:v>https://grid-india.in/en/reports/daily-vre-report</x:v>
      </x:c>
      <x:c r="K26" s="32" t="str">
        <x:v>https://sanketik-sankhyaki.github.io/Renewable-Energy-Curtailment-Tracker/curtailment_history.csv</x:v>
      </x:c>
    </x:row>
    <x:row r="27">
      <x:c r="A27" s="26" t="n">
        <x:v>46135</x:v>
      </x:c>
      <x:c r="B27" s="28" t="n">
        <x:v>112</x:v>
      </x:c>
      <x:c r="C27" s="30" t="n">
        <x:v>0.24</x:v>
      </x:c>
      <x:c r="D27" s="30" t="n">
        <x:v>1964</x:v>
      </x:c>
      <x:c r="E27" s="30" t="n">
        <x:v>5.95</x:v>
      </x:c>
      <x:c r="F27" s="30" t="n">
        <x:f>C27+E27</x:f>
        <x:v>6.19</x:v>
      </x:c>
      <x:c r="G27" s="30" t="n">
        <x:v>6.19</x:v>
      </x:c>
      <x:c r="H27" s="30" t="n">
        <x:f>F27-G27</x:f>
        <x:v>0</x:v>
      </x:c>
      <x:c r="I27" s="32" t="str">
        <x:v>र र्स्थ न / Rajasthan: Due to O/L at 220 KV Bikaner - Gajner I &amp; II and O/L of ICT' | गर्ुर त / Gujarat: Guj U/D : -1289 MW, system average freq 50.05 Hz, All ISGS &amp;</x:v>
      </x:c>
      <x:c r="J27" s="32" t="str">
        <x:v>https://grid-india.in/en/reports/daily-vre-report</x:v>
      </x:c>
      <x:c r="K27" s="32" t="str">
        <x:v>https://sanketik-sankhyaki.github.io/Renewable-Energy-Curtailment-Tracker/curtailment_history.csv</x:v>
      </x:c>
    </x:row>
    <x:row r="28">
      <x:c r="A28" s="26" t="n">
        <x:v>46136</x:v>
      </x:c>
      <x:c r="B28" s="28" t="n">
        <x:v>397</x:v>
      </x:c>
      <x:c r="C28" s="30" t="n">
        <x:v>0.5</x:v>
      </x:c>
      <x:c r="D28" s="30" t="n">
        <x:v>1931</x:v>
      </x:c>
      <x:c r="E28" s="30" t="n">
        <x:v>3.14</x:v>
      </x:c>
      <x:c r="F28" s="30" t="n">
        <x:f>C28+E28</x:f>
        <x:v>3.64</x:v>
      </x:c>
      <x:c r="G28" s="30" t="n">
        <x:v>3.64</x:v>
      </x:c>
      <x:c r="H28" s="30" t="n">
        <x:f>F28-G28</x:f>
        <x:v>0</x:v>
      </x:c>
      <x:c r="I28" s="32" t="str">
        <x:v>र र्स्थ न / Rajasthan: Due to overloading of ICts at Bhadla and Bikaner | गर्ुर त / Gujarat: Guj U/D : -1289 MW, system average freq 50.05 Hz, All ISGS &amp;</x:v>
      </x:c>
      <x:c r="J28" s="32" t="str">
        <x:v>https://grid-india.in/en/reports/daily-vre-report</x:v>
      </x:c>
      <x:c r="K28" s="32" t="str">
        <x:v>https://sanketik-sankhyaki.github.io/Renewable-Energy-Curtailment-Tracker/curtailment_history.csv</x:v>
      </x:c>
    </x:row>
    <x:row r="29">
      <x:c r="A29" s="26" t="n">
        <x:v>46137</x:v>
      </x:c>
      <x:c r="B29" s="28" t="n">
        <x:v>0</x:v>
      </x:c>
      <x:c r="C29" s="30" t="n">
        <x:v>0</x:v>
      </x:c>
      <x:c r="D29" s="30" t="n">
        <x:v>170</x:v>
      </x:c>
      <x:c r="E29" s="30" t="n">
        <x:v>0.42</x:v>
      </x:c>
      <x:c r="F29" s="30" t="n">
        <x:f>C29+E29</x:f>
        <x:v>0.42</x:v>
      </x:c>
      <x:c r="G29" s="30" t="n">
        <x:v>0.42</x:v>
      </x:c>
      <x:c r="H29" s="30" t="n">
        <x:f>F29-G29</x:f>
        <x:v>0</x:v>
      </x:c>
      <x:c r="I29" s="32" t="str">
        <x:v>र र्स्थ न / Rajasthan: Due to overloading of ICts at Bhadla and Bikaner</x:v>
      </x:c>
      <x:c r="J29" s="32" t="str">
        <x:v>https://grid-india.in/en/reports/daily-vre-report</x:v>
      </x:c>
      <x:c r="K29" s="32" t="str">
        <x:v>https://sanketik-sankhyaki.github.io/Renewable-Energy-Curtailment-Tracker/curtailment_history.csv</x:v>
      </x:c>
    </x:row>
    <x:row r="30">
      <x:c r="A30" s="26" t="n">
        <x:v>46138</x:v>
      </x:c>
      <x:c r="B30" s="28" t="n">
        <x:v>372</x:v>
      </x:c>
      <x:c r="C30" s="30" t="n">
        <x:v>1.53</x:v>
      </x:c>
      <x:c r="D30" s="30" t="n">
        <x:v>3097</x:v>
      </x:c>
      <x:c r="E30" s="30" t="n">
        <x:v>6.77</x:v>
      </x:c>
      <x:c r="F30" s="30" t="n">
        <x:f>C30+E30</x:f>
        <x:v>8.299999999999999</x:v>
      </x:c>
      <x:c r="G30" s="30" t="n">
        <x:v>8.3</x:v>
      </x:c>
      <x:c r="H30" s="30" t="n">
        <x:f>F30-G30</x:f>
        <x:v>-1.7763568394002505e-15</x:v>
      </x:c>
      <x:c r="I30" s="32" t="str">
        <x:v>र र्स्थ न / Rajasthan: Due to overloading of ICts at Bhadla and Bikaner | गर्ुर त / Gujarat: In view of system requirement and Gujarat hudge under drawl </x:v>
      </x:c>
      <x:c r="J30" s="32" t="str">
        <x:v>https://grid-india.in/en/reports/daily-vre-report</x:v>
      </x:c>
      <x:c r="K30" s="32" t="str">
        <x:v>https://sanketik-sankhyaki.github.io/Renewable-Energy-Curtailment-Tracker/curtailment_history.csv</x:v>
      </x:c>
    </x:row>
    <x:row r="31">
      <x:c r="A31" s="26" t="n">
        <x:v>46139</x:v>
      </x:c>
      <x:c r="B31" s="28" t="n">
        <x:v>1037</x:v>
      </x:c>
      <x:c r="C31" s="30" t="n">
        <x:v>1.44</x:v>
      </x:c>
      <x:c r="D31" s="30" t="n">
        <x:v>2800</x:v>
      </x:c>
      <x:c r="E31" s="30" t="n">
        <x:v>7.27</x:v>
      </x:c>
      <x:c r="F31" s="30" t="n">
        <x:f>C31+E31</x:f>
        <x:v>8.709999999999999</x:v>
      </x:c>
      <x:c r="G31" s="30" t="n">
        <x:v>8.71</x:v>
      </x:c>
      <x:c r="H31" s="30" t="n">
        <x:f>F31-G31</x:f>
        <x:v>-1.7763568394002505e-15</x:v>
      </x:c>
      <x:c r="I31" s="32" t="str">
        <x:v>र र्स्थ न / Rajasthan: due to O/L at 400 KV Kankani - Merta line &amp; 220 KV Bikaner - | गर्ुर त / Gujarat: To control UD in view of system requirement</x:v>
      </x:c>
      <x:c r="J31" s="32" t="str">
        <x:v>https://grid-india.in/en/reports/daily-vre-report</x:v>
      </x:c>
      <x:c r="K31" s="32" t="str">
        <x:v>https://sanketik-sankhyaki.github.io/Renewable-Energy-Curtailment-Tracker/curtailment_history.csv</x:v>
      </x:c>
    </x:row>
    <x:row r="32">
      <x:c r="A32" s="26" t="n">
        <x:v>46140</x:v>
      </x:c>
      <x:c r="B32" s="28" t="n">
        <x:v>1366</x:v>
      </x:c>
      <x:c r="C32" s="30" t="n">
        <x:v>1.92</x:v>
      </x:c>
      <x:c r="D32" s="30" t="n">
        <x:v>2189</x:v>
      </x:c>
      <x:c r="E32" s="30" t="n">
        <x:v>6.36</x:v>
      </x:c>
      <x:c r="F32" s="30" t="n">
        <x:f>C32+E32</x:f>
        <x:v>8.280000000000001</x:v>
      </x:c>
      <x:c r="G32" s="30" t="n">
        <x:v>8.28</x:v>
      </x:c>
      <x:c r="H32" s="30" t="n">
        <x:f>F32-G32</x:f>
        <x:v>1.7763568394002505e-15</x:v>
      </x:c>
      <x:c r="I32" s="32" t="str">
        <x:v>र र्स्थ न / Rajasthan: DUE TO O/L ON ICT'S AT400 KV BHADLA | गर्ुर त / Gujarat: To control UD in view of system requirement</x:v>
      </x:c>
      <x:c r="J32" s="32" t="str">
        <x:v>https://grid-india.in/en/reports/daily-vre-report</x:v>
      </x:c>
      <x:c r="K32" s="32" t="str">
        <x:v>https://sanketik-sankhyaki.github.io/Renewable-Energy-Curtailment-Tracker/curtailment_history.csv</x:v>
      </x:c>
    </x:row>
    <x:row r="33">
      <x:c r="A33" s="26" t="n">
        <x:v>46141</x:v>
      </x:c>
      <x:c r="B33" s="28" t="n">
        <x:v>940</x:v>
      </x:c>
      <x:c r="C33" s="30" t="n">
        <x:v>1.75</x:v>
      </x:c>
      <x:c r="D33" s="30" t="n">
        <x:v>3552</x:v>
      </x:c>
      <x:c r="E33" s="30" t="n">
        <x:v>8.72</x:v>
      </x:c>
      <x:c r="F33" s="30" t="n">
        <x:f>C33+E33</x:f>
        <x:v>10.47</x:v>
      </x:c>
      <x:c r="G33" s="30" t="n">
        <x:v>10.47</x:v>
      </x:c>
      <x:c r="H33" s="30" t="n">
        <x:f>F33-G33</x:f>
        <x:v>0</x:v>
      </x:c>
      <x:c r="I33" s="32" t="str">
        <x:v>र र्स्थ न / Rajasthan: Due to O/L at 220 KV Bikaner - Gajner I &amp; II and O/L of ICT' | भ दल 2 / Bhadla2: Due to forced outage of 500MVA ICT-8 at Bhadla2(PG) | गुर्र त / Gujarat: To control UD in view of system requirement</x:v>
      </x:c>
      <x:c r="J33" s="32" t="str">
        <x:v>https://grid-india.in/en/reports/daily-vre-report</x:v>
      </x:c>
      <x:c r="K33" s="32" t="str">
        <x:v>https://sanketik-sankhyaki.github.io/Renewable-Energy-Curtailment-Tracker/curtailment_history.csv</x:v>
      </x:c>
    </x:row>
    <x:row r="34">
      <x:c r="A34" s="26" t="n">
        <x:v>46142</x:v>
      </x:c>
      <x:c r="B34" s="28" t="n">
        <x:v>932</x:v>
      </x:c>
      <x:c r="C34" s="30" t="n">
        <x:v>1.24</x:v>
      </x:c>
      <x:c r="D34" s="30" t="n">
        <x:v>3002</x:v>
      </x:c>
      <x:c r="E34" s="30" t="n">
        <x:v>7.42</x:v>
      </x:c>
      <x:c r="F34" s="30" t="n">
        <x:f>C34+E34</x:f>
        <x:v>8.66</x:v>
      </x:c>
      <x:c r="G34" s="30" t="n">
        <x:v>8.66</x:v>
      </x:c>
      <x:c r="H34" s="30" t="n">
        <x:f>F34-G34</x:f>
        <x:v>0</x:v>
      </x:c>
      <x:c r="I34" s="32" t="str">
        <x:v>र र्स्थ न / Rajasthan: Due to O/L at 220 KV Bikaner - Gajner I &amp; II and O/L of ICT' | गर्ुर त / Gujarat: To control UD in view of system requirement</x:v>
      </x:c>
      <x:c r="J34" s="32" t="str">
        <x:v>https://grid-india.in/en/reports/daily-vre-report</x:v>
      </x:c>
      <x:c r="K34" s="32" t="str">
        <x:v>https://sanketik-sankhyaki.github.io/Renewable-Energy-Curtailment-Tracker/curtailment_history.csv</x:v>
      </x:c>
    </x:row>
    <x:row r="35">
      <x:c r="A35" s="26" t="n">
        <x:v>46143</x:v>
      </x:c>
      <x:c r="B35" s="28" t="n">
        <x:v>1670</x:v>
      </x:c>
      <x:c r="C35" s="30" t="n">
        <x:v>3.4</x:v>
      </x:c>
      <x:c r="D35" s="30" t="n">
        <x:v>5798</x:v>
      </x:c>
      <x:c r="E35" s="30" t="n">
        <x:v>18.57</x:v>
      </x:c>
      <x:c r="F35" s="30" t="n">
        <x:f>C35+E35</x:f>
        <x:v>21.97</x:v>
      </x:c>
      <x:c r="G35" s="30" t="n">
        <x:v>21.97</x:v>
      </x:c>
      <x:c r="H35" s="30" t="n">
        <x:f>F35-G35</x:f>
        <x:v>0</x:v>
      </x:c>
      <x:c r="I35" s="32" t="str">
        <x:v>र र्स्थ न / Rajasthan: Due to High Frequency and heavy underdrwal | गर्ुर त / Gujarat: To control UD in view of system requirement | मह र ष्ट्ट्र / Maharashtra: To control UD in view of system requirement</x:v>
      </x:c>
      <x:c r="J35" s="32" t="str">
        <x:v>https://grid-india.in/en/reports/daily-vre-report</x:v>
      </x:c>
      <x:c r="K35" s="32" t="str">
        <x:v>https://sanketik-sankhyaki.github.io/Renewable-Energy-Curtailment-Tracker/curtailment_history.csv</x:v>
      </x:c>
    </x:row>
    <x:row r="36">
      <x:c r="A36" s="26" t="n">
        <x:v>46144</x:v>
      </x:c>
      <x:c r="B36" s="28" t="n">
        <x:v>1277</x:v>
      </x:c>
      <x:c r="C36" s="30" t="n">
        <x:v>2.06</x:v>
      </x:c>
      <x:c r="D36" s="30" t="n">
        <x:v>2734</x:v>
      </x:c>
      <x:c r="E36" s="30" t="n">
        <x:v>6.94</x:v>
      </x:c>
      <x:c r="F36" s="30" t="n">
        <x:f>C36+E36</x:f>
        <x:v>9</x:v>
      </x:c>
      <x:c r="G36" s="30" t="n">
        <x:v>9</x:v>
      </x:c>
      <x:c r="H36" s="30" t="n">
        <x:f>F36-G36</x:f>
        <x:v>0</x:v>
      </x:c>
      <x:c r="I36" s="32" t="str">
        <x:v>र र्स्थ न / Rajasthan: due to overloading of ICT at 400 KV Bhadla and 220 KV Bikane | गर्ुर त / Gujarat: To control UD in view of system requirement</x:v>
      </x:c>
      <x:c r="J36" s="32" t="str">
        <x:v>https://grid-india.in/en/reports/daily-vre-report</x:v>
      </x:c>
      <x:c r="K36" s="32" t="str">
        <x:v>https://sanketik-sankhyaki.github.io/Renewable-Energy-Curtailment-Tracker/curtailment_history.csv</x:v>
      </x:c>
    </x:row>
    <x:row r="37">
      <x:c r="A37" s="26" t="n">
        <x:v>46145</x:v>
      </x:c>
      <x:c r="B37" s="28" t="n">
        <x:v>2010</x:v>
      </x:c>
      <x:c r="C37" s="30" t="n">
        <x:v>5.86</x:v>
      </x:c>
      <x:c r="D37" s="30" t="n">
        <x:v>4079</x:v>
      </x:c>
      <x:c r="E37" s="30" t="n">
        <x:v>16.62</x:v>
      </x:c>
      <x:c r="F37" s="30" t="n">
        <x:f>C37+E37</x:f>
        <x:v>22.48</x:v>
      </x:c>
      <x:c r="G37" s="30" t="n">
        <x:v>22.48</x:v>
      </x:c>
      <x:c r="H37" s="30" t="n">
        <x:f>F37-G37</x:f>
        <x:v>0</x:v>
      </x:c>
      <x:c r="I37" s="32" t="str">
        <x:v>र र्स्थ न / Rajasthan: Due to high frequency and heavy underdrawal | भ दल 2 / Bhadla2: Due to forced outage of 500MVA ICT-8 at Bhadla2(PG) | गर्ुर त / Gujarat: To control UD in view of system requirement</x:v>
      </x:c>
      <x:c r="J37" s="32" t="str">
        <x:v>https://grid-india.in/en/reports/daily-vre-report</x:v>
      </x:c>
      <x:c r="K37" s="32" t="str">
        <x:v>https://sanketik-sankhyaki.github.io/Renewable-Energy-Curtailment-Tracker/curtailment_history.csv</x:v>
      </x:c>
    </x:row>
    <x:row r="38">
      <x:c r="A38" s="26" t="n">
        <x:v>46146</x:v>
      </x:c>
      <x:c r="B38" s="28" t="n">
        <x:v>25</x:v>
      </x:c>
      <x:c r="C38" s="30" t="n">
        <x:v>0.06</x:v>
      </x:c>
      <x:c r="D38" s="30" t="n">
        <x:v>1592</x:v>
      </x:c>
      <x:c r="E38" s="30" t="n">
        <x:v>4.44</x:v>
      </x:c>
      <x:c r="F38" s="30" t="n">
        <x:f>C38+E38</x:f>
        <x:v>4.5</x:v>
      </x:c>
      <x:c r="G38" s="30" t="n">
        <x:v>4.5</x:v>
      </x:c>
      <x:c r="H38" s="30" t="n">
        <x:f>F38-G38</x:f>
        <x:v>0</x:v>
      </x:c>
      <x:c r="I38" s="32" t="str">
        <x:v>/ Rajasthan
र र्स्थ न: Due to high frequency and heavy underdrawal and O/L at 400 K</x:v>
      </x:c>
      <x:c r="J38" s="32" t="str">
        <x:v>https://grid-india.in/en/reports/daily-vre-report</x:v>
      </x:c>
      <x:c r="K38" s="32" t="str">
        <x:v>https://sanketik-sankhyaki.github.io/Renewable-Energy-Curtailment-Tracker/curtailment_history.csv</x:v>
      </x:c>
    </x:row>
    <x:row r="39">
      <x:c r="A39" s="26" t="n">
        <x:v>46147</x:v>
      </x:c>
      <x:c r="B39" s="28" t="n">
        <x:v>0</x:v>
      </x:c>
      <x:c r="C39" s="30" t="n">
        <x:v>0</x:v>
      </x:c>
      <x:c r="D39" s="30" t="n">
        <x:v>158</x:v>
      </x:c>
      <x:c r="E39" s="30" t="n">
        <x:v>0.66</x:v>
      </x:c>
      <x:c r="F39" s="30" t="n">
        <x:f>C39+E39</x:f>
        <x:v>0.66</x:v>
      </x:c>
      <x:c r="G39" s="30" t="n">
        <x:v>0.66</x:v>
      </x:c>
      <x:c r="H39" s="30" t="n">
        <x:f>F39-G39</x:f>
        <x:v>0</x:v>
      </x:c>
      <x:c r="I39" s="32" t="str">
        <x:v>र र्स्थ न / Rajasthan: Due to O/L at 220 KV Bikaner - Gajner I &amp; II and O/L of ICT'</x:v>
      </x:c>
      <x:c r="J39" s="32" t="str">
        <x:v>https://grid-india.in/en/reports/daily-vre-report</x:v>
      </x:c>
      <x:c r="K39" s="32" t="str">
        <x:v>https://sanketik-sankhyaki.github.io/Renewable-Energy-Curtailment-Tracker/curtailment_history.csv</x:v>
      </x:c>
    </x:row>
    <x:row r="40">
      <x:c r="A40" s="26" t="n">
        <x:v>46148</x:v>
      </x:c>
      <x:c r="B40" s="28" t="n">
        <x:v>0</x:v>
      </x:c>
      <x:c r="C40" s="30" t="n">
        <x:v>0</x:v>
      </x:c>
      <x:c r="D40" s="30" t="n">
        <x:v>0</x:v>
      </x:c>
      <x:c r="E40" s="30" t="n">
        <x:v>0</x:v>
      </x:c>
      <x:c r="F40" s="30" t="n">
        <x:f>C40+E40</x:f>
        <x:v>0</x:v>
      </x:c>
      <x:c r="G40" s="30" t="n">
        <x:v>0</x:v>
      </x:c>
      <x:c r="H40" s="30" t="n">
        <x:f>F40-G40</x:f>
        <x:v>0</x:v>
      </x:c>
      <x:c r="I40" s="32" t="str">
        <x:v>No curtailment</x:v>
      </x:c>
      <x:c r="J40" s="32" t="str">
        <x:v>https://grid-india.in/en/reports/daily-vre-report</x:v>
      </x:c>
      <x:c r="K40" s="32" t="str">
        <x:v>https://sanketik-sankhyaki.github.io/Renewable-Energy-Curtailment-Tracker/curtailment_history.csv</x:v>
      </x:c>
    </x:row>
    <x:row r="41">
      <x:c r="A41" s="26" t="n">
        <x:v>46149</x:v>
      </x:c>
      <x:c r="B41" s="28" t="n">
        <x:v>502</x:v>
      </x:c>
      <x:c r="C41" s="30" t="n">
        <x:v>1.06</x:v>
      </x:c>
      <x:c r="D41" s="30" t="n">
        <x:v>2312</x:v>
      </x:c>
      <x:c r="E41" s="30" t="n">
        <x:v>4.33</x:v>
      </x:c>
      <x:c r="F41" s="30" t="n">
        <x:f>C41+E41</x:f>
        <x:v>5.390000000000001</x:v>
      </x:c>
      <x:c r="G41" s="30" t="n">
        <x:v>5.39</x:v>
      </x:c>
      <x:c r="H41" s="30" t="n">
        <x:f>F41-G41</x:f>
        <x:v>8.881784197001252e-16</x:v>
      </x:c>
      <x:c r="I41" s="32" t="str">
        <x:v>र र्स्थ न / Rajasthan: Due to O/L at 220 KV Bikaner - Gajner I &amp; II and O/L of ICT' | गर्ुर त / Gujarat: RE Curtailment 20 % Solar generation and 20% Wind Generation</x:v>
      </x:c>
      <x:c r="J41" s="32" t="str">
        <x:v>https://grid-india.in/en/reports/daily-vre-report</x:v>
      </x:c>
      <x:c r="K41" s="32" t="str">
        <x:v>https://sanketik-sankhyaki.github.io/Renewable-Energy-Curtailment-Tracker/curtailment_history.csv</x:v>
      </x:c>
    </x:row>
    <x:row r="42">
      <x:c r="A42" s="26" t="n">
        <x:v>46150</x:v>
      </x:c>
      <x:c r="B42" s="28" t="n">
        <x:v>178</x:v>
      </x:c>
      <x:c r="C42" s="30" t="n">
        <x:v>0.15</x:v>
      </x:c>
      <x:c r="D42" s="30" t="n">
        <x:v>1000</x:v>
      </x:c>
      <x:c r="E42" s="30" t="n">
        <x:v>1.53</x:v>
      </x:c>
      <x:c r="F42" s="30" t="n">
        <x:f>C42+E42</x:f>
        <x:v>1.68</x:v>
      </x:c>
      <x:c r="G42" s="30" t="n">
        <x:v>1.68</x:v>
      </x:c>
      <x:c r="H42" s="30" t="n">
        <x:f>F42-G42</x:f>
        <x:v>0</x:v>
      </x:c>
      <x:c r="I42" s="32" t="str">
        <x:v>र र्स्थ न / Rajasthan: Due to overloading of ICts at Bhadla and 220 Bikaner-Gajner  | गर्ुर त / Gujarat: 1. In view of the system requirement and grid security and s</x:v>
      </x:c>
      <x:c r="J42" s="32" t="str">
        <x:v>https://grid-india.in/en/reports/daily-vre-report</x:v>
      </x:c>
      <x:c r="K42" s="32" t="str">
        <x:v>https://sanketik-sankhyaki.github.io/Renewable-Energy-Curtailment-Tracker/curtailment_history.csv</x:v>
      </x:c>
    </x:row>
    <x:row r="43">
      <x:c r="A43" s="26" t="n">
        <x:v>46151</x:v>
      </x:c>
      <x:c r="B43" s="28" t="n">
        <x:v>106</x:v>
      </x:c>
      <x:c r="C43" s="30" t="n">
        <x:v>0.18</x:v>
      </x:c>
      <x:c r="D43" s="30" t="n">
        <x:v>1005</x:v>
      </x:c>
      <x:c r="E43" s="30" t="n">
        <x:v>2.26</x:v>
      </x:c>
      <x:c r="F43" s="30" t="n">
        <x:f>C43+E43</x:f>
        <x:v>2.44</x:v>
      </x:c>
      <x:c r="G43" s="30" t="n">
        <x:v>2.44</x:v>
      </x:c>
      <x:c r="H43" s="30" t="n">
        <x:f>F43-G43</x:f>
        <x:v>0</x:v>
      </x:c>
      <x:c r="I43" s="32" t="str">
        <x:v>र र्स्थ न / Rajasthan: Due to over loading of ICT at Bhadla and Bikaner | गर्ुर त / Gujarat: To control Underdrawl</x:v>
      </x:c>
      <x:c r="J43" s="32" t="str">
        <x:v>https://grid-india.in/en/reports/daily-vre-report</x:v>
      </x:c>
      <x:c r="K43" s="32" t="str">
        <x:v>https://sanketik-sankhyaki.github.io/Renewable-Energy-Curtailment-Tracker/curtailment_history.csv</x:v>
      </x:c>
    </x:row>
    <x:row r="44">
      <x:c r="A44" s="26" t="n">
        <x:v>46152</x:v>
      </x:c>
      <x:c r="B44" s="28" t="n">
        <x:v>1022</x:v>
      </x:c>
      <x:c r="C44" s="30" t="n">
        <x:v>1.94</x:v>
      </x:c>
      <x:c r="D44" s="30" t="n">
        <x:v>3635</x:v>
      </x:c>
      <x:c r="E44" s="30" t="n">
        <x:v>6.52</x:v>
      </x:c>
      <x:c r="F44" s="30" t="n">
        <x:f>C44+E44</x:f>
        <x:v>8.459999999999999</x:v>
      </x:c>
      <x:c r="G44" s="30" t="n">
        <x:v>8.46</x:v>
      </x:c>
      <x:c r="H44" s="30" t="n">
        <x:f>F44-G44</x:f>
        <x:v>-1.7763568394002505e-15</x:v>
      </x:c>
      <x:c r="I44" s="32" t="str">
        <x:v>र र्स्थ न / Rajasthan: 155 MW Due to over loading of 220 Gajner Bikaner ckt, 1583 M | गर्ुर त / Gujarat: To control Underdrawl</x:v>
      </x:c>
      <x:c r="J44" s="32" t="str">
        <x:v>https://grid-india.in/en/reports/daily-vre-report</x:v>
      </x:c>
      <x:c r="K44" s="32" t="str">
        <x:v>https://sanketik-sankhyaki.github.io/Renewable-Energy-Curtailment-Tracker/curtailment_history.csv</x:v>
      </x:c>
    </x:row>
    <x:row r="45">
      <x:c r="A45" s="26" t="n">
        <x:v>46153</x:v>
      </x:c>
      <x:c r="B45" s="28" t="n">
        <x:v>235</x:v>
      </x:c>
      <x:c r="C45" s="30" t="n">
        <x:v>0.95</x:v>
      </x:c>
      <x:c r="D45" s="30" t="n">
        <x:v>940</x:v>
      </x:c>
      <x:c r="E45" s="30" t="n">
        <x:v>3.7</x:v>
      </x:c>
      <x:c r="F45" s="30" t="n">
        <x:f>C45+E45</x:f>
        <x:v>4.65</x:v>
      </x:c>
      <x:c r="G45" s="30" t="n">
        <x:v>4.65</x:v>
      </x:c>
      <x:c r="H45" s="30" t="n">
        <x:f>F45-G45</x:f>
        <x:v>0</x:v>
      </x:c>
      <x:c r="I45" s="32" t="str">
        <x:v>र र्स्थ न / Rajasthan: Due to O/L at 220 KV Bikaner - Gajner I &amp; II and O/L of ICT'</x:v>
      </x:c>
      <x:c r="J45" s="32" t="str">
        <x:v>https://grid-india.in/en/reports/daily-vre-report</x:v>
      </x:c>
      <x:c r="K45" s="32" t="str">
        <x:v>https://sanketik-sankhyaki.github.io/Renewable-Energy-Curtailment-Tracker/curtailment_history.csv</x:v>
      </x:c>
    </x:row>
    <x:row r="46">
      <x:c r="A46" s="26" t="n">
        <x:v>46154</x:v>
      </x:c>
      <x:c r="B46" s="28" t="n">
        <x:v>147</x:v>
      </x:c>
      <x:c r="C46" s="30" t="n">
        <x:v>0.41</x:v>
      </x:c>
      <x:c r="D46" s="30" t="n">
        <x:v>1424</x:v>
      </x:c>
      <x:c r="E46" s="30" t="n">
        <x:v>2.62</x:v>
      </x:c>
      <x:c r="F46" s="30" t="n">
        <x:f>C46+E46</x:f>
        <x:v>3.0300000000000002</x:v>
      </x:c>
      <x:c r="G46" s="30" t="n">
        <x:v>3.03</x:v>
      </x:c>
      <x:c r="H46" s="30" t="n">
        <x:f>F46-G46</x:f>
        <x:v>4.440892098500626e-16</x:v>
      </x:c>
      <x:c r="I46" s="32" t="str">
        <x:v>र र्स्थ न / Rajasthan: Due to O/L at 220 KV Bikaner - Gajner I &amp; II and O/L of ICT' | बीक नरे / Bikaner: Due to outage(tripping) of 765kV Aligarh-Sikar2 ckt 2(This F | फतहेगढ़ 2 / Fatehgarh 2: Due to outage(tripping) of 765kV Aligarh-Sikar2 ckt 2(This F | फतहेगढ़ 1 / Fatehgarh1: Due to outage(tripping) of 765kV Aligarh-Sikar2 ckt 2(This F | भ दल 2 / Bhadla2: Due to outage(tripping) of 765kV Aligarh-Sikar2 ckt 2 | फतहेगढ़ 3 / Fatehgarh 3: Due to outage(tripping) of 765kV Aligarh-Sikar2 ckt 2 | बीक नरे 2 / Bikaner 2: Due to outage(tripping) of 765kV Aligarh-Sikar2 ckt 2</x:v>
      </x:c>
      <x:c r="J46" s="32" t="str">
        <x:v>https://grid-india.in/en/reports/daily-vre-report</x:v>
      </x:c>
      <x:c r="K46" s="32" t="str">
        <x:v>https://sanketik-sankhyaki.github.io/Renewable-Energy-Curtailment-Tracker/curtailment_history.csv</x:v>
      </x:c>
    </x:row>
    <x:row r="47">
      <x:c r="A47" s="26" t="n">
        <x:v>46155</x:v>
      </x:c>
      <x:c r="B47" s="28" t="n">
        <x:v>989</x:v>
      </x:c>
      <x:c r="C47" s="30" t="n">
        <x:v>2.39</x:v>
      </x:c>
      <x:c r="D47" s="30" t="n">
        <x:v>2278</x:v>
      </x:c>
      <x:c r="E47" s="30" t="n">
        <x:v>5.92</x:v>
      </x:c>
      <x:c r="F47" s="30" t="n">
        <x:f>C47+E47</x:f>
        <x:v>8.31</x:v>
      </x:c>
      <x:c r="G47" s="30" t="n">
        <x:v>8.31</x:v>
      </x:c>
      <x:c r="H47" s="30" t="n">
        <x:f>F47-G47</x:f>
        <x:v>0</x:v>
      </x:c>
      <x:c r="I47" s="32" t="str">
        <x:v>र र्स्थ न / Rajasthan: Due to O/L at 220 KV Bikaner - Gajner I &amp; II and O/L of ICT' | गर्ुर त / Gujarat: DUE TO HEAVY UD IN GUJARAT SYSTEM</x:v>
      </x:c>
      <x:c r="J47" s="32" t="str">
        <x:v>https://grid-india.in/en/reports/daily-vre-report</x:v>
      </x:c>
      <x:c r="K47" s="32" t="str">
        <x:v>https://sanketik-sankhyaki.github.io/Renewable-Energy-Curtailment-Tracker/curtailment_history.csv</x:v>
      </x:c>
    </x:row>
    <x:row r="48">
      <x:c r="A48" s="26" t="n">
        <x:v>46156</x:v>
      </x:c>
      <x:c r="B48" s="28" t="n">
        <x:v>976</x:v>
      </x:c>
      <x:c r="C48" s="30" t="n">
        <x:v>2.35</x:v>
      </x:c>
      <x:c r="D48" s="30" t="n">
        <x:v>2300</x:v>
      </x:c>
      <x:c r="E48" s="30" t="n">
        <x:v>5.42</x:v>
      </x:c>
      <x:c r="F48" s="30" t="n">
        <x:f>C48+E48</x:f>
        <x:v>7.77</x:v>
      </x:c>
      <x:c r="G48" s="30" t="n">
        <x:v>7.77</x:v>
      </x:c>
      <x:c r="H48" s="30" t="n">
        <x:f>F48-G48</x:f>
        <x:v>0</x:v>
      </x:c>
      <x:c r="I48" s="32" t="str">
        <x:v>र र्स्थ न / Rajasthan: Due to O/L at 220 KV Bikaner - Gajner I &amp; II line | गर्ुर त / Gujarat: To control underdrawl</x:v>
      </x:c>
      <x:c r="J48" s="32" t="str">
        <x:v>https://grid-india.in/en/reports/daily-vre-report</x:v>
      </x:c>
      <x:c r="K48" s="32" t="str">
        <x:v>https://sanketik-sankhyaki.github.io/Renewable-Energy-Curtailment-Tracker/curtailment_history.csv</x:v>
      </x:c>
    </x:row>
    <x:row r="49">
      <x:c r="A49" s="26" t="n">
        <x:v>46157</x:v>
      </x:c>
      <x:c r="B49" s="28" t="n">
        <x:v>976</x:v>
      </x:c>
      <x:c r="C49" s="30" t="n">
        <x:v>2.35</x:v>
      </x:c>
      <x:c r="D49" s="30" t="n">
        <x:v>2400</x:v>
      </x:c>
      <x:c r="E49" s="30" t="n">
        <x:v>5.81</x:v>
      </x:c>
      <x:c r="F49" s="30" t="n">
        <x:f>C49+E49</x:f>
        <x:v>8.16</x:v>
      </x:c>
      <x:c r="G49" s="30" t="n">
        <x:v>8.16</x:v>
      </x:c>
      <x:c r="H49" s="30" t="n">
        <x:f>F49-G49</x:f>
        <x:v>0</x:v>
      </x:c>
      <x:c r="I49" s="32" t="str">
        <x:v>र र्स्थ न / Rajasthan: Due to overloading of ICts at Bhadla and 220 KV Bikaner-Gajn | गर्ुर त / Gujarat: To control underdrawl</x:v>
      </x:c>
      <x:c r="J49" s="32" t="str">
        <x:v>https://grid-india.in/en/reports/daily-vre-report</x:v>
      </x:c>
      <x:c r="K49" s="32" t="str">
        <x:v>https://sanketik-sankhyaki.github.io/Renewable-Energy-Curtailment-Tracker/curtailment_history.csv</x:v>
      </x:c>
    </x:row>
    <x:row r="50">
      <x:c r="A50" s="26" t="n">
        <x:v>46158</x:v>
      </x:c>
      <x:c r="B50" s="28" t="n">
        <x:v>0</x:v>
      </x:c>
      <x:c r="C50" s="30" t="n">
        <x:v>0</x:v>
      </x:c>
      <x:c r="D50" s="30" t="n">
        <x:v>173</x:v>
      </x:c>
      <x:c r="E50" s="30" t="n">
        <x:v>0.51</x:v>
      </x:c>
      <x:c r="F50" s="30" t="n">
        <x:f>C50+E50</x:f>
        <x:v>0.51</x:v>
      </x:c>
      <x:c r="G50" s="30" t="n">
        <x:v>0.51</x:v>
      </x:c>
      <x:c r="H50" s="30" t="n">
        <x:f>F50-G50</x:f>
        <x:v>0</x:v>
      </x:c>
      <x:c r="I50" s="32" t="str">
        <x:v>र र्स्थ न / Rajasthan: Due to overloading of ICts at Bhadla and Over loading of 220</x:v>
      </x:c>
      <x:c r="J50" s="32" t="str">
        <x:v>https://grid-india.in/en/reports/daily-vre-report</x:v>
      </x:c>
      <x:c r="K50" s="32" t="str">
        <x:v>https://sanketik-sankhyaki.github.io/Renewable-Energy-Curtailment-Tracker/curtailment_history.csv</x:v>
      </x:c>
    </x:row>
    <x:row r="51">
      <x:c r="A51" s="26" t="n">
        <x:v>46159</x:v>
      </x:c>
      <x:c r="B51" s="28" t="n">
        <x:v>600</x:v>
      </x:c>
      <x:c r="C51" s="30" t="n">
        <x:v>0.8</x:v>
      </x:c>
      <x:c r="D51" s="30" t="n">
        <x:v>2078</x:v>
      </x:c>
      <x:c r="E51" s="30" t="n">
        <x:v>3.34</x:v>
      </x:c>
      <x:c r="F51" s="30" t="n">
        <x:f>C51+E51</x:f>
        <x:v>4.14</x:v>
      </x:c>
      <x:c r="G51" s="30" t="n">
        <x:v>4.14</x:v>
      </x:c>
      <x:c r="H51" s="30" t="n">
        <x:f>F51-G51</x:f>
        <x:v>0</x:v>
      </x:c>
      <x:c r="I51" s="32" t="str">
        <x:v>र र्स्थ न / Rajasthan: Due to O/L at 220 KV Bikaner - Gajner I &amp; II and O/L of ICT' | गर्ुर त / Gujarat: In view of system requirement and for grid securtiy and reli</x:v>
      </x:c>
      <x:c r="J51" s="32" t="str">
        <x:v>https://grid-india.in/en/reports/daily-vre-report</x:v>
      </x:c>
      <x:c r="K51" s="32" t="str">
        <x:v>https://sanketik-sankhyaki.github.io/Renewable-Energy-Curtailment-Tracker/curtailment_history.csv</x:v>
      </x:c>
    </x:row>
    <x:row r="52">
      <x:c r="A52" s="26" t="n">
        <x:v>46160</x:v>
      </x:c>
      <x:c r="B52" s="28" t="n">
        <x:v>497</x:v>
      </x:c>
      <x:c r="C52" s="30" t="n">
        <x:v>0.66</x:v>
      </x:c>
      <x:c r="D52" s="30" t="n">
        <x:v>2175</x:v>
      </x:c>
      <x:c r="E52" s="30" t="n">
        <x:v>3.9</x:v>
      </x:c>
      <x:c r="F52" s="30" t="n">
        <x:f>C52+E52</x:f>
        <x:v>4.56</x:v>
      </x:c>
      <x:c r="G52" s="30" t="n">
        <x:v>4.56</x:v>
      </x:c>
      <x:c r="H52" s="30" t="n">
        <x:f>F52-G52</x:f>
        <x:v>0</x:v>
      </x:c>
      <x:c r="I52" s="32" t="str">
        <x:v>र र्स्थ न / Rajasthan: Due to O/L at 220 KV Bikaner - Gajner I &amp; II and 400 KV Kank | गर्ुर त / Gujarat: To control Underdrawl</x:v>
      </x:c>
      <x:c r="J52" s="32" t="str">
        <x:v>https://grid-india.in/en/reports/daily-vre-report</x:v>
      </x:c>
      <x:c r="K52" s="32" t="str">
        <x:v>https://sanketik-sankhyaki.github.io/Renewable-Energy-Curtailment-Tracker/curtailment_history.csv</x:v>
      </x:c>
    </x:row>
    <x:row r="53">
      <x:c r="A53" s="26" t="n">
        <x:v>46161</x:v>
      </x:c>
      <x:c r="B53" s="28" t="n">
        <x:v>655</x:v>
      </x:c>
      <x:c r="C53" s="30" t="n">
        <x:v>1.06</x:v>
      </x:c>
      <x:c r="D53" s="30" t="n">
        <x:v>2924</x:v>
      </x:c>
      <x:c r="E53" s="30" t="n">
        <x:v>4.57</x:v>
      </x:c>
      <x:c r="F53" s="30" t="n">
        <x:f>C53+E53</x:f>
        <x:v>5.630000000000001</x:v>
      </x:c>
      <x:c r="G53" s="30" t="n">
        <x:v>5.63</x:v>
      </x:c>
      <x:c r="H53" s="30" t="n">
        <x:f>F53-G53</x:f>
        <x:v>8.881784197001252e-16</x:v>
      </x:c>
      <x:c r="I53" s="32" t="str">
        <x:v>र र्स्थ न / Rajasthan: Due to O/L at 220 KV Bikaner - Gajner I &amp; II and 400 KV Kank | गर्ुर त / Gujarat: In view of system requirement and for grid securtiy and reli</x:v>
      </x:c>
      <x:c r="J53" s="32" t="str">
        <x:v>https://grid-india.in/en/reports/daily-vre-report</x:v>
      </x:c>
      <x:c r="K53" s="32" t="str">
        <x:v>https://sanketik-sankhyaki.github.io/Renewable-Energy-Curtailment-Tracker/curtailment_history.csv</x:v>
      </x:c>
    </x:row>
    <x:row r="54">
      <x:c r="A54" s="26" t="n">
        <x:v>46162</x:v>
      </x:c>
      <x:c r="B54" s="28" t="n">
        <x:v>771</x:v>
      </x:c>
      <x:c r="C54" s="30" t="n">
        <x:v>1.25</x:v>
      </x:c>
      <x:c r="D54" s="30" t="n">
        <x:v>2096</x:v>
      </x:c>
      <x:c r="E54" s="30" t="n">
        <x:v>3.06</x:v>
      </x:c>
      <x:c r="F54" s="30" t="n">
        <x:f>C54+E54</x:f>
        <x:v>4.3100000000000005</x:v>
      </x:c>
      <x:c r="G54" s="30" t="n">
        <x:v>4.31</x:v>
      </x:c>
      <x:c r="H54" s="30" t="n">
        <x:f>F54-G54</x:f>
        <x:v>8.881784197001252e-16</x:v>
      </x:c>
      <x:c r="I54" s="32" t="str">
        <x:v>गर्ुर त / Gujarat: In view of system requirement and for grid securtiy and reli</x:v>
      </x:c>
      <x:c r="J54" s="32" t="str">
        <x:v>https://grid-india.in/en/reports/daily-vre-report</x:v>
      </x:c>
      <x:c r="K54" s="32" t="str">
        <x:v>https://sanketik-sankhyaki.github.io/Renewable-Energy-Curtailment-Tracker/curtailment_history.csv</x:v>
      </x:c>
    </x:row>
    <x:row r="55">
      <x:c r="A55" s="26" t="n">
        <x:v>46163</x:v>
      </x:c>
      <x:c r="B55" s="28" t="n">
        <x:v>0</x:v>
      </x:c>
      <x:c r="C55" s="30" t="n">
        <x:v>0</x:v>
      </x:c>
      <x:c r="D55" s="30" t="n">
        <x:v>3082</x:v>
      </x:c>
      <x:c r="E55" s="30" t="n">
        <x:v>10.24</x:v>
      </x:c>
      <x:c r="F55" s="30" t="n">
        <x:f>C55+E55</x:f>
        <x:v>10.24</x:v>
      </x:c>
      <x:c r="G55" s="30" t="n">
        <x:v>10.24</x:v>
      </x:c>
      <x:c r="H55" s="30" t="n">
        <x:f>F55-G55</x:f>
        <x:v>0</x:v>
      </x:c>
      <x:c r="I55" s="32" t="str">
        <x:v>र र्स्थ न / Rajasthan: Due to O/L at 220 KV Bikaner - Gajner I &amp; II and O/L of ICT' | भ दल / Bhadla: Due to forced outage of 765kV Moga Meerut | बीक नरे / Bikaner: Due to forced outage of 765kV Moga Meerut | फतहेगढ़ 2 / Fatehgarh 2: Due to forced outage of 765kV Moga Meerut | फतहेगढ़ 1 / Fatehgarh1: Due to forced outage of 765kV Moga Meerut | भ दल 2 / Bhadla2: Due to forced outage of 765kV Moga Meerut | फतहेगढ़ 3 / Fatehgarh 3: Due to forced outage of 765kV Moga Meerut | बीक नरे 2 / Bikaner 2: Due to forced outage of 765kV Moga Meerut and 400/220 KV 500 | गर्ुर त / Gujarat: To Control the heavy under drawl</x:v>
      </x:c>
      <x:c r="J55" s="32" t="str">
        <x:v>https://grid-india.in/en/reports/daily-vre-report</x:v>
      </x:c>
      <x:c r="K55" s="32" t="str">
        <x:v>https://sanketik-sankhyaki.github.io/Renewable-Energy-Curtailment-Tracker/curtailment_history.csv</x:v>
      </x:c>
    </x:row>
    <x:row r="56">
      <x:c r="A56" s="26" t="n">
        <x:v>46164</x:v>
      </x:c>
      <x:c r="B56" s="28" t="n">
        <x:v>0</x:v>
      </x:c>
      <x:c r="C56" s="30" t="n">
        <x:v>0</x:v>
      </x:c>
      <x:c r="D56" s="30" t="n">
        <x:v>945</x:v>
      </x:c>
      <x:c r="E56" s="30" t="n">
        <x:v>0.98</x:v>
      </x:c>
      <x:c r="F56" s="30" t="n">
        <x:f>C56+E56</x:f>
        <x:v>0.98</x:v>
      </x:c>
      <x:c r="G56" s="30" t="n">
        <x:v>0.98</x:v>
      </x:c>
      <x:c r="H56" s="30" t="n">
        <x:f>F56-G56</x:f>
        <x:v>0</x:v>
      </x:c>
      <x:c r="I56" s="32" t="str">
        <x:v>गर्ुर त / Gujarat: To control UD</x:v>
      </x:c>
      <x:c r="J56" s="32" t="str">
        <x:v>https://grid-india.in/en/reports/daily-vre-report</x:v>
      </x:c>
      <x:c r="K56" s="32" t="str">
        <x:v>https://sanketik-sankhyaki.github.io/Renewable-Energy-Curtailment-Tracker/curtailment_history.csv</x:v>
      </x:c>
    </x:row>
    <x:row r="57">
      <x:c r="A57" s="26" t="n">
        <x:v>46165</x:v>
      </x:c>
      <x:c r="B57" s="28" t="n">
        <x:v>130</x:v>
      </x:c>
      <x:c r="C57" s="30" t="n">
        <x:v>0.39</x:v>
      </x:c>
      <x:c r="D57" s="30" t="n">
        <x:v>490</x:v>
      </x:c>
      <x:c r="E57" s="30" t="n">
        <x:v>1.47</x:v>
      </x:c>
      <x:c r="F57" s="30" t="n">
        <x:f>C57+E57</x:f>
        <x:v>1.8599999999999999</x:v>
      </x:c>
      <x:c r="G57" s="30" t="n">
        <x:v>1.86</x:v>
      </x:c>
      <x:c r="H57" s="30" t="n">
        <x:f>F57-G57</x:f>
        <x:v>-2.220446049250313e-16</x:v>
      </x:c>
      <x:c r="I57" s="32" t="str">
        <x:v>र र्स्थ न / Rajasthan: Due to overloading of Kankani merta, Due to O/L at 220 KV Bi</x:v>
      </x:c>
      <x:c r="J57" s="32" t="str">
        <x:v>https://grid-india.in/en/reports/daily-vre-report</x:v>
      </x:c>
      <x:c r="K57" s="32" t="str">
        <x:v>https://sanketik-sankhyaki.github.io/Renewable-Energy-Curtailment-Tracker/curtailment_history.csv</x:v>
      </x:c>
    </x:row>
    <x:row r="58">
      <x:c r="A58" s="26" t="n">
        <x:v>46166</x:v>
      </x:c>
      <x:c r="B58" s="28" t="n">
        <x:v>1552</x:v>
      </x:c>
      <x:c r="C58" s="30" t="n">
        <x:v>6.32</x:v>
      </x:c>
      <x:c r="D58" s="30" t="n">
        <x:v>2101</x:v>
      </x:c>
      <x:c r="E58" s="30" t="n">
        <x:v>9.83</x:v>
      </x:c>
      <x:c r="F58" s="30" t="n">
        <x:f>C58+E58</x:f>
        <x:v>16.15</x:v>
      </x:c>
      <x:c r="G58" s="30" t="n">
        <x:v>16.15</x:v>
      </x:c>
      <x:c r="H58" s="30" t="n">
        <x:f>F58-G58</x:f>
        <x:v>0</x:v>
      </x:c>
      <x:c r="I58" s="32" t="str">
        <x:v>र र्स्थ न / Rajasthan: Due to high frequency and heavy underdrawal | गर्ुर त / Gujarat: To control UD</x:v>
      </x:c>
      <x:c r="J58" s="32" t="str">
        <x:v>https://grid-india.in/en/reports/daily-vre-report</x:v>
      </x:c>
      <x:c r="K58" s="32" t="str">
        <x:v>https://sanketik-sankhyaki.github.io/Renewable-Energy-Curtailment-Tracker/curtailment_history.csv</x:v>
      </x:c>
    </x:row>
    <x:row r="59">
      <x:c r="A59" s="26" t="n">
        <x:v>46167</x:v>
      </x:c>
      <x:c r="B59" s="28" t="n">
        <x:v>771</x:v>
      </x:c>
      <x:c r="C59" s="30" t="n">
        <x:v>1.25</x:v>
      </x:c>
      <x:c r="D59" s="30" t="n">
        <x:v>2221</x:v>
      </x:c>
      <x:c r="E59" s="30" t="n">
        <x:v>3.5</x:v>
      </x:c>
      <x:c r="F59" s="30" t="n">
        <x:f>C59+E59</x:f>
        <x:v>4.75</x:v>
      </x:c>
      <x:c r="G59" s="30" t="n">
        <x:v>4.75</x:v>
      </x:c>
      <x:c r="H59" s="30" t="n">
        <x:f>F59-G59</x:f>
        <x:v>0</x:v>
      </x:c>
      <x:c r="I59" s="32" t="str">
        <x:v>र र्स्थ न / Rajasthan: due to O/L at 400 KV ICTs at 400 KV Bhadla | गुर्र त / Gujarat: In view of system requirement and for grid securtiy and reli</x:v>
      </x:c>
      <x:c r="J59" s="32" t="str">
        <x:v>https://grid-india.in/en/reports/daily-vre-report</x:v>
      </x:c>
      <x:c r="K59" s="32" t="str">
        <x:v>https://sanketik-sankhyaki.github.io/Renewable-Energy-Curtailment-Tracker/curtailment_history.csv</x:v>
      </x:c>
    </x:row>
    <x:row r="60">
      <x:c r="A60" s="26" t="n">
        <x:v>46169</x:v>
      </x:c>
      <x:c r="B60" s="28" t="n">
        <x:v>1157</x:v>
      </x:c>
      <x:c r="C60" s="30" t="n">
        <x:v>1.6</x:v>
      </x:c>
      <x:c r="D60" s="30" t="n">
        <x:v>2847</x:v>
      </x:c>
      <x:c r="E60" s="30" t="n">
        <x:v>4.43</x:v>
      </x:c>
      <x:c r="F60" s="30" t="n">
        <x:f>C60+E60</x:f>
        <x:v>6.029999999999999</x:v>
      </x:c>
      <x:c r="G60" s="30" t="n">
        <x:v>6.03</x:v>
      </x:c>
      <x:c r="H60" s="30" t="n">
        <x:f>F60-G60</x:f>
        <x:v>-8.881784197001252e-16</x:v>
      </x:c>
      <x:c r="I60" s="32" t="str">
        <x:v>र र्स्थ न / Rajasthan: DUE TO 400 KV KAKANI - MERTA LINE AND ICT'S OF 400 KV BHADLA | गुर्र त / Gujarat: To control UD</x:v>
      </x:c>
      <x:c r="J60" s="32" t="str">
        <x:v>https://grid-india.in/en/reports/daily-vre-report</x:v>
      </x:c>
      <x:c r="K60" s="32" t="str">
        <x:v>https://sanketik-sankhyaki.github.io/Renewable-Energy-Curtailment-Tracker/curtailment_history.csv</x:v>
      </x:c>
    </x:row>
    <x:row r="61">
      <x:c r="A61" s="26" t="n">
        <x:v>46170</x:v>
      </x:c>
      <x:c r="B61" s="28" t="n">
        <x:v>820</x:v>
      </x:c>
      <x:c r="C61" s="30" t="n">
        <x:v>0.9</x:v>
      </x:c>
      <x:c r="D61" s="30" t="n">
        <x:v>2736</x:v>
      </x:c>
      <x:c r="E61" s="30" t="n">
        <x:v>3.2</x:v>
      </x:c>
      <x:c r="F61" s="30" t="n">
        <x:f>C61+E61</x:f>
        <x:v>4.1000000000000005</x:v>
      </x:c>
      <x:c r="G61" s="30" t="n">
        <x:v>4.1</x:v>
      </x:c>
      <x:c r="H61" s="30" t="n">
        <x:f>F61-G61</x:f>
        <x:v>8.881784197001252e-16</x:v>
      </x:c>
      <x:c r="I61" s="32" t="str">
        <x:v>गर्ुर त / Gujarat: To control UD</x:v>
      </x:c>
      <x:c r="J61" s="32" t="str">
        <x:v>https://grid-india.in/en/reports/daily-vre-report</x:v>
      </x:c>
      <x:c r="K61" s="32" t="str">
        <x:v>https://sanketik-sankhyaki.github.io/Renewable-Energy-Curtailment-Tracker/curtailment_history.csv</x:v>
      </x:c>
    </x:row>
    <x:row r="62">
      <x:c r="A62" s="26" t="n">
        <x:v>46171</x:v>
      </x:c>
      <x:c r="B62" s="28" t="n">
        <x:v>2877</x:v>
      </x:c>
      <x:c r="C62" s="30" t="n">
        <x:v>5.97</x:v>
      </x:c>
      <x:c r="D62" s="30" t="n">
        <x:v>3805</x:v>
      </x:c>
      <x:c r="E62" s="30" t="n">
        <x:v>8.12</x:v>
      </x:c>
      <x:c r="F62" s="30" t="n">
        <x:f>C62+E62</x:f>
        <x:v>14.09</x:v>
      </x:c>
      <x:c r="G62" s="30" t="n">
        <x:v>14.09</x:v>
      </x:c>
      <x:c r="H62" s="30" t="n">
        <x:f>F62-G62</x:f>
        <x:v>0</x:v>
      </x:c>
      <x:c r="I62" s="32" t="str">
        <x:v>र र्स्थ न / Rajasthan: Due to High Frequency and heavy underdrwal | गर्ुर त / Gujarat: To control UD</x:v>
      </x:c>
      <x:c r="J62" s="32" t="str">
        <x:v>https://grid-india.in/en/reports/daily-vre-report</x:v>
      </x:c>
      <x:c r="K62" s="32" t="str">
        <x:v>https://sanketik-sankhyaki.github.io/Renewable-Energy-Curtailment-Tracker/curtailment_history.csv</x:v>
      </x:c>
    </x:row>
    <x:row r="63">
      <x:c r="A63" s="26" t="n">
        <x:v>46172</x:v>
      </x:c>
      <x:c r="B63" s="28" t="n">
        <x:v>1104</x:v>
      </x:c>
      <x:c r="C63" s="30" t="n">
        <x:v>3.2</x:v>
      </x:c>
      <x:c r="D63" s="30" t="n">
        <x:v>2829</x:v>
      </x:c>
      <x:c r="E63" s="30" t="n">
        <x:v>7.81</x:v>
      </x:c>
      <x:c r="F63" s="30" t="n">
        <x:f>C63+E63</x:f>
        <x:v>11.01</x:v>
      </x:c>
      <x:c r="G63" s="30" t="n">
        <x:v>11.01</x:v>
      </x:c>
      <x:c r="H63" s="30" t="n">
        <x:f>F63-G63</x:f>
        <x:v>0</x:v>
      </x:c>
      <x:c r="I63" s="32" t="str">
        <x:v>र र्स्थ न / Rajasthan: Due to High Frequency and heavy underdrwal | गर्ुर त / Gujarat: To control UD</x:v>
      </x:c>
      <x:c r="J63" s="32" t="str">
        <x:v>https://grid-india.in/en/reports/daily-vre-report</x:v>
      </x:c>
      <x:c r="K63" s="32" t="str">
        <x:v>https://sanketik-sankhyaki.github.io/Renewable-Energy-Curtailment-Tracker/curtailment_history.csv</x:v>
      </x:c>
    </x:row>
    <x:row r="64">
      <x:c r="A64" s="26" t="n">
        <x:v>46173</x:v>
      </x:c>
      <x:c r="B64" s="28" t="n">
        <x:v>1257</x:v>
      </x:c>
      <x:c r="C64" s="30" t="n">
        <x:v>3.34</x:v>
      </x:c>
      <x:c r="D64" s="30" t="n">
        <x:v>3761</x:v>
      </x:c>
      <x:c r="E64" s="30" t="n">
        <x:v>10.78</x:v>
      </x:c>
      <x:c r="F64" s="30" t="n">
        <x:f>C64+E64</x:f>
        <x:v>14.12</x:v>
      </x:c>
      <x:c r="G64" s="30" t="n">
        <x:v>14.12</x:v>
      </x:c>
      <x:c r="H64" s="30" t="n">
        <x:f>F64-G64</x:f>
        <x:v>0</x:v>
      </x:c>
      <x:c r="I64" s="32" t="str">
        <x:v>र र्स्थ न / Rajasthan: Due to high frequency and heavy underdrawal | गर्ुर त / Gujarat: To control UD | मह र ष्ट्ट्र / Maharashtra: To control UD</x:v>
      </x:c>
      <x:c r="J64" s="32" t="str">
        <x:v>https://grid-india.in/en/reports/daily-vre-report</x:v>
      </x:c>
      <x:c r="K64" s="32" t="str">
        <x:v>https://sanketik-sankhyaki.github.io/Renewable-Energy-Curtailment-Tracker/curtailment_history.csv</x:v>
      </x:c>
    </x:row>
    <x:row r="65">
      <x:c r="A65" s="26" t="n">
        <x:v>46176</x:v>
      </x:c>
      <x:c r="B65" s="28" t="n">
        <x:v>262</x:v>
      </x:c>
      <x:c r="C65" s="30" t="n">
        <x:v>0.46</x:v>
      </x:c>
      <x:c r="D65" s="30" t="n">
        <x:v>1746</x:v>
      </x:c>
      <x:c r="E65" s="30" t="n">
        <x:v>3.74</x:v>
      </x:c>
      <x:c r="F65" s="30" t="n">
        <x:f>C65+E65</x:f>
        <x:v>4.2</x:v>
      </x:c>
      <x:c r="G65" s="30" t="n">
        <x:v>4.2</x:v>
      </x:c>
      <x:c r="H65" s="30" t="n">
        <x:f>F65-G65</x:f>
        <x:v>0</x:v>
      </x:c>
      <x:c r="I65" s="32" t="str">
        <x:v>गर्ुर त / Gujarat: In view of the system requirement and grid security and stab</x:v>
      </x:c>
      <x:c r="J65" s="32" t="str">
        <x:v>https://grid-india.in/en/reports/daily-vre-report</x:v>
      </x:c>
      <x:c r="K65" s="32" t="str">
        <x:v>https://sanketik-sankhyaki.github.io/Renewable-Energy-Curtailment-Tracker/curtailment_history.csv</x:v>
      </x:c>
    </x:row>
    <x:row r="66">
      <x:c r="A66" s="26" t="n">
        <x:v>46177</x:v>
      </x:c>
      <x:c r="B66" s="28" t="n">
        <x:v>1238</x:v>
      </x:c>
      <x:c r="C66" s="30" t="n">
        <x:v>4.51</x:v>
      </x:c>
      <x:c r="D66" s="30" t="n">
        <x:v>2822</x:v>
      </x:c>
      <x:c r="E66" s="30" t="n">
        <x:v>8.64</x:v>
      </x:c>
      <x:c r="F66" s="30" t="n">
        <x:f>C66+E66</x:f>
        <x:v>13.15</x:v>
      </x:c>
      <x:c r="G66" s="30" t="n">
        <x:v>13.15</x:v>
      </x:c>
      <x:c r="H66" s="30" t="n">
        <x:f>F66-G66</x:f>
        <x:v>0</x:v>
      </x:c>
      <x:c r="I66" s="32" t="str">
        <x:v>र र्स्थ न / Rajasthan: due to O/L of 400 KV Kankani - Merta line | गर्ुर त / Gujarat: In view of the system requirement and grid security and stab</x:v>
      </x:c>
      <x:c r="J66" s="32" t="str">
        <x:v>https://grid-india.in/en/reports/daily-vre-report</x:v>
      </x:c>
      <x:c r="K66" s="32" t="str">
        <x:v>https://sanketik-sankhyaki.github.io/Renewable-Energy-Curtailment-Tracker/curtailment_history.csv</x:v>
      </x:c>
    </x:row>
    <x:row r="67">
      <x:c r="A67" s="26" t="n">
        <x:v>46183</x:v>
      </x:c>
      <x:c r="B67" s="28" t="n">
        <x:v>2328</x:v>
      </x:c>
      <x:c r="C67" s="30" t="n">
        <x:v>3.03</x:v>
      </x:c>
      <x:c r="D67" s="30" t="n">
        <x:v>4572</x:v>
      </x:c>
      <x:c r="E67" s="30" t="n">
        <x:v>7.6</x:v>
      </x:c>
      <x:c r="F67" s="30" t="n">
        <x:f>C67+E67</x:f>
        <x:v>10.629999999999999</x:v>
      </x:c>
      <x:c r="G67" s="30" t="n">
        <x:v>10.63</x:v>
      </x:c>
      <x:c r="H67" s="30" t="n">
        <x:f>F67-G67</x:f>
        <x:v>-1.7763568394002505e-15</x:v>
      </x:c>
      <x:c r="I67" s="32" t="str">
        <x:v>र र्स्थ न / Rajasthan: Due to Overloading of 400 kV Kankni Merta Line | गर्ुर त / Gujarat: To control UD</x:v>
      </x:c>
      <x:c r="J67" s="32" t="str">
        <x:v>https://grid-india.in/en/reports/daily-vre-report</x:v>
      </x:c>
      <x:c r="K67" s="32" t="str">
        <x:v>https://sanketik-sankhyaki.github.io/Renewable-Energy-Curtailment-Tracker/curtailment_history.csv</x:v>
      </x:c>
    </x:row>
    <x:row r="68">
      <x:c r="A68" s="26" t="n">
        <x:v>46184</x:v>
      </x:c>
      <x:c r="B68" s="28" t="n">
        <x:v>1207</x:v>
      </x:c>
      <x:c r="C68" s="30" t="n">
        <x:v>1.35</x:v>
      </x:c>
      <x:c r="D68" s="30" t="n">
        <x:v>1794</x:v>
      </x:c>
      <x:c r="E68" s="30" t="n">
        <x:v>2.37</x:v>
      </x:c>
      <x:c r="F68" s="30" t="n">
        <x:f>C68+E68</x:f>
        <x:v>3.72</x:v>
      </x:c>
      <x:c r="G68" s="30" t="n">
        <x:v>3.72</x:v>
      </x:c>
      <x:c r="H68" s="30" t="n">
        <x:f>F68-G68</x:f>
        <x:v>0</x:v>
      </x:c>
      <x:c r="I68" s="32" t="str">
        <x:v>गर्ुर त / Gujarat: To control UD</x:v>
      </x:c>
      <x:c r="J68" s="32" t="str">
        <x:v>https://grid-india.in/en/reports/daily-vre-report</x:v>
      </x:c>
      <x:c r="K68" s="32" t="str">
        <x:v>https://sanketik-sankhyaki.github.io/Renewable-Energy-Curtailment-Tracker/curtailment_history.csv</x:v>
      </x:c>
    </x:row>
    <x:row r="69">
      <x:c r="A69" s="26" t="n">
        <x:v>46185</x:v>
      </x:c>
      <x:c r="B69" s="28" t="n">
        <x:v>1015</x:v>
      </x:c>
      <x:c r="C69" s="30" t="n">
        <x:v>1.9</x:v>
      </x:c>
      <x:c r="D69" s="30" t="n">
        <x:v>2108</x:v>
      </x:c>
      <x:c r="E69" s="30" t="n">
        <x:v>4.79</x:v>
      </x:c>
      <x:c r="F69" s="30" t="n">
        <x:f>C69+E69</x:f>
        <x:v>6.6899999999999995</x:v>
      </x:c>
      <x:c r="G69" s="30" t="n">
        <x:v>6.69</x:v>
      </x:c>
      <x:c r="H69" s="30" t="n">
        <x:f>F69-G69</x:f>
        <x:v>-8.881784197001252e-16</x:v>
      </x:c>
      <x:c r="I69" s="32" t="str">
        <x:v>गर्ुर त / Gujarat: To control UD</x:v>
      </x:c>
      <x:c r="J69" s="32" t="str">
        <x:v>https://grid-india.in/en/reports/daily-vre-report</x:v>
      </x:c>
      <x:c r="K69" s="32" t="str">
        <x:v>https://sanketik-sankhyaki.github.io/Renewable-Energy-Curtailment-Tracker/curtailment_history.csv</x:v>
      </x:c>
    </x:row>
    <x:row r="70">
      <x:c r="A70" s="26" t="n">
        <x:v>46186</x:v>
      </x:c>
      <x:c r="B70" s="28" t="n">
        <x:v>0</x:v>
      </x:c>
      <x:c r="C70" s="30" t="n">
        <x:v>0</x:v>
      </x:c>
      <x:c r="D70" s="30" t="n">
        <x:v>0</x:v>
      </x:c>
      <x:c r="E70" s="30" t="n">
        <x:v>0</x:v>
      </x:c>
      <x:c r="F70" s="30" t="n">
        <x:f>C70+E70</x:f>
        <x:v>0</x:v>
      </x:c>
      <x:c r="G70" s="30" t="n">
        <x:v>0</x:v>
      </x:c>
      <x:c r="H70" s="30" t="n">
        <x:f>F70-G70</x:f>
        <x:v>0</x:v>
      </x:c>
      <x:c r="I70" s="32" t="str">
        <x:v>No curtailment</x:v>
      </x:c>
      <x:c r="J70" s="32" t="str">
        <x:v>https://grid-india.in/en/reports/daily-vre-report</x:v>
      </x:c>
      <x:c r="K70" s="32" t="str">
        <x:v>https://sanketik-sankhyaki.github.io/Renewable-Energy-Curtailment-Tracker/curtailment_history.csv</x:v>
      </x:c>
    </x:row>
    <x:row r="71">
      <x:c r="A71" s="26" t="n">
        <x:v>46187</x:v>
      </x:c>
      <x:c r="B71" s="28" t="n">
        <x:v>1071</x:v>
      </x:c>
      <x:c r="C71" s="30" t="n">
        <x:v>3.61</x:v>
      </x:c>
      <x:c r="D71" s="30" t="n">
        <x:v>3209</x:v>
      </x:c>
      <x:c r="E71" s="30" t="n">
        <x:v>10.24</x:v>
      </x:c>
      <x:c r="F71" s="30" t="n">
        <x:f>C71+E71</x:f>
        <x:v>13.85</x:v>
      </x:c>
      <x:c r="G71" s="30" t="n">
        <x:v>13.85</x:v>
      </x:c>
      <x:c r="H71" s="30" t="n">
        <x:f>F71-G71</x:f>
        <x:v>0</x:v>
      </x:c>
      <x:c r="I71" s="32" t="str">
        <x:v>र र्स्थ न / Rajasthan: Due to O/L at 220 KV Bikaner - Gajner I &amp; II and high freque | गर्ुर त / Gujarat: To control UD</x:v>
      </x:c>
      <x:c r="J71" s="32" t="str">
        <x:v>https://grid-india.in/en/reports/daily-vre-report</x:v>
      </x:c>
      <x:c r="K71" s="32" t="str">
        <x:v>https://sanketik-sankhyaki.github.io/Renewable-Energy-Curtailment-Tracker/curtailment_history.csv</x:v>
      </x:c>
    </x:row>
    <x:row r="72">
      <x:c r="A72" s="26" t="n">
        <x:v>46188</x:v>
      </x:c>
      <x:c r="B72" s="28" t="n">
        <x:v>857</x:v>
      </x:c>
      <x:c r="C72" s="30" t="n">
        <x:v>2.4</x:v>
      </x:c>
      <x:c r="D72" s="30" t="n">
        <x:v>1763</x:v>
      </x:c>
      <x:c r="E72" s="30" t="n">
        <x:v>4.58</x:v>
      </x:c>
      <x:c r="F72" s="30" t="n">
        <x:f>C72+E72</x:f>
        <x:v>6.98</x:v>
      </x:c>
      <x:c r="G72" s="30" t="n">
        <x:v>6.98</x:v>
      </x:c>
      <x:c r="H72" s="30" t="n">
        <x:f>F72-G72</x:f>
        <x:v>0</x:v>
      </x:c>
      <x:c r="I72" s="32" t="str">
        <x:v>र र्स्थ न / Rajasthan: Due to high frequency and heavy underdrawal | गर्ुर त / Gujarat: To control UD</x:v>
      </x:c>
      <x:c r="J72" s="32" t="str">
        <x:v>https://grid-india.in/en/reports/daily-vre-report</x:v>
      </x:c>
      <x:c r="K72" s="32" t="str">
        <x:v>https://sanketik-sankhyaki.github.io/Renewable-Energy-Curtailment-Tracker/curtailment_history.csv</x:v>
      </x:c>
    </x:row>
    <x:row r="73">
      <x:c r="A73" s="26" t="n">
        <x:v>46189</x:v>
      </x:c>
      <x:c r="B73" s="28" t="n">
        <x:v>0</x:v>
      </x:c>
      <x:c r="C73" s="30" t="n">
        <x:v>0</x:v>
      </x:c>
      <x:c r="D73" s="30" t="n">
        <x:v>0</x:v>
      </x:c>
      <x:c r="E73" s="30" t="n">
        <x:v>0</x:v>
      </x:c>
      <x:c r="F73" s="30" t="n">
        <x:f>C73+E73</x:f>
        <x:v>0</x:v>
      </x:c>
      <x:c r="G73" s="30" t="n">
        <x:v>0</x:v>
      </x:c>
      <x:c r="H73" s="30" t="n">
        <x:f>F73-G73</x:f>
        <x:v>0</x:v>
      </x:c>
      <x:c r="I73" s="32" t="str">
        <x:v>No curtailment</x:v>
      </x:c>
      <x:c r="J73" s="32" t="str">
        <x:v>https://grid-india.in/en/reports/daily-vre-report</x:v>
      </x:c>
      <x:c r="K73" s="32" t="str">
        <x:v>https://sanketik-sankhyaki.github.io/Renewable-Energy-Curtailment-Tracker/curtailment_history.csv</x:v>
      </x:c>
    </x:row>
    <x:row r="74">
      <x:c r="A74" s="26" t="n">
        <x:v>46190</x:v>
      </x:c>
      <x:c r="B74" s="28" t="n">
        <x:v>0</x:v>
      </x:c>
      <x:c r="C74" s="30" t="n">
        <x:v>0</x:v>
      </x:c>
      <x:c r="D74" s="30" t="n">
        <x:v>72</x:v>
      </x:c>
      <x:c r="E74" s="30" t="n">
        <x:v>0.24</x:v>
      </x:c>
      <x:c r="F74" s="30" t="n">
        <x:f>C74+E74</x:f>
        <x:v>0.24</x:v>
      </x:c>
      <x:c r="G74" s="30" t="n">
        <x:v>0.24</x:v>
      </x:c>
      <x:c r="H74" s="30" t="n">
        <x:f>F74-G74</x:f>
        <x:v>0</x:v>
      </x:c>
      <x:c r="I74" s="32" t="str">
        <x:v>र र्स्थ न / Rajasthan: Due to O/L at 220 KV Bikaner - Gajner I &amp; II Line</x:v>
      </x:c>
      <x:c r="J74" s="32" t="str">
        <x:v>https://grid-india.in/en/reports/daily-vre-report</x:v>
      </x:c>
      <x:c r="K74" s="32" t="str">
        <x:v>https://sanketik-sankhyaki.github.io/Renewable-Energy-Curtailment-Tracker/curtailment_history.csv</x:v>
      </x:c>
    </x:row>
    <x:row r="75">
      <x:c r="A75" s="26" t="n">
        <x:v>46191</x:v>
      </x:c>
      <x:c r="B75" s="28" t="n">
        <x:v>0</x:v>
      </x:c>
      <x:c r="C75" s="30" t="n">
        <x:v>0</x:v>
      </x:c>
      <x:c r="D75" s="30" t="n">
        <x:v>32</x:v>
      </x:c>
      <x:c r="E75" s="30" t="n">
        <x:v>0.12</x:v>
      </x:c>
      <x:c r="F75" s="30" t="n">
        <x:f>C75+E75</x:f>
        <x:v>0.12</x:v>
      </x:c>
      <x:c r="G75" s="30" t="n">
        <x:v>0.12</x:v>
      </x:c>
      <x:c r="H75" s="30" t="n">
        <x:f>F75-G75</x:f>
        <x:v>0</x:v>
      </x:c>
      <x:c r="I75" s="32" t="str">
        <x:v>र र्स्थ न / Rajasthan: Due to O/L at 220 KV Bikaner - Gajner I &amp; II line</x:v>
      </x:c>
      <x:c r="J75" s="32" t="str">
        <x:v>https://grid-india.in/en/reports/daily-vre-report</x:v>
      </x:c>
      <x:c r="K75" s="32" t="str">
        <x:v>https://sanketik-sankhyaki.github.io/Renewable-Energy-Curtailment-Tracker/curtailment_history.csv</x:v>
      </x:c>
    </x:row>
    <x:row r="76">
      <x:c r="A76" s="26" t="n">
        <x:v>46193</x:v>
      </x:c>
      <x:c r="B76" s="28" t="n">
        <x:v>330</x:v>
      </x:c>
      <x:c r="C76" s="30" t="n">
        <x:v>0.93</x:v>
      </x:c>
      <x:c r="D76" s="30" t="n">
        <x:v>550</x:v>
      </x:c>
      <x:c r="E76" s="30" t="n">
        <x:v>1.58</x:v>
      </x:c>
      <x:c r="F76" s="30" t="n">
        <x:f>C76+E76</x:f>
        <x:v>2.5100000000000002</x:v>
      </x:c>
      <x:c r="G76" s="30" t="n">
        <x:v>2.51</x:v>
      </x:c>
      <x:c r="H76" s="30" t="n">
        <x:f>F76-G76</x:f>
        <x:v>4.440892098500626e-16</x:v>
      </x:c>
      <x:c r="I76" s="32" t="str">
        <x:v>र र्स्थ न / Rajasthan: For compliance of N-1 and as per direction of NRLDC</x:v>
      </x:c>
      <x:c r="J76" s="32" t="str">
        <x:v>https://grid-india.in/en/reports/daily-vre-report</x:v>
      </x:c>
      <x:c r="K76" s="32" t="str">
        <x:v>https://sanketik-sankhyaki.github.io/Renewable-Energy-Curtailment-Tracker/curtailment_history.csv</x:v>
      </x:c>
    </x:row>
    <x:row r="77">
      <x:c r="A77" s="26" t="n">
        <x:v>46195</x:v>
      </x:c>
      <x:c r="B77" s="28" t="n">
        <x:v>405</x:v>
      </x:c>
      <x:c r="C77" s="30" t="n">
        <x:v>0.34</x:v>
      </x:c>
      <x:c r="D77" s="30" t="n">
        <x:v>1050</x:v>
      </x:c>
      <x:c r="E77" s="30" t="n">
        <x:v>2.47</x:v>
      </x:c>
      <x:c r="F77" s="30" t="n">
        <x:f>C77+E77</x:f>
        <x:v>2.81</x:v>
      </x:c>
      <x:c r="G77" s="30" t="n">
        <x:v>2.81</x:v>
      </x:c>
      <x:c r="H77" s="30" t="n">
        <x:f>F77-G77</x:f>
        <x:v>0</x:v>
      </x:c>
      <x:c r="I77" s="32" t="str">
        <x:v>र र्स्थ न / Rajasthan: DUE TO O/L 400 KV KANKANI - MERTA , 400 KV MERTA - HEERAPURA</x:v>
      </x:c>
      <x:c r="J77" s="32" t="str">
        <x:v>https://grid-india.in/en/reports/daily-vre-report</x:v>
      </x:c>
      <x:c r="K77" s="32" t="str">
        <x:v>https://sanketik-sankhyaki.github.io/Renewable-Energy-Curtailment-Tracker/curtailment_history.csv</x:v>
      </x:c>
    </x:row>
    <x:row r="78">
      <x:c r="A78" s="26" t="n">
        <x:v>46196</x:v>
      </x:c>
      <x:c r="B78" s="28" t="n">
        <x:v>6</x:v>
      </x:c>
      <x:c r="C78" s="30" t="n">
        <x:v>0</x:v>
      </x:c>
      <x:c r="D78" s="30" t="n">
        <x:v>841</x:v>
      </x:c>
      <x:c r="E78" s="30" t="n">
        <x:v>1.03</x:v>
      </x:c>
      <x:c r="F78" s="30" t="n">
        <x:f>C78+E78</x:f>
        <x:v>1.03</x:v>
      </x:c>
      <x:c r="G78" s="30" t="n">
        <x:v>1.03</x:v>
      </x:c>
      <x:c r="H78" s="30" t="n">
        <x:f>F78-G78</x:f>
        <x:v>0</x:v>
      </x:c>
      <x:c r="I78" s="32" t="str">
        <x:v>र र्स्थ न / Rajasthan: DUE TO O/L AT 220 KV BIKANER - GAJNER LINE 1 &amp; 2 AND ICTs OF | भ दल / Bhadla: Due to tripping of 765kV Bikaner-Moga ckt2 | बीक नरे / Bikaner: Due to tripping of 765kV Bikaner-Moga ckt2 | फतहेगढ़ 2 / Fatehgarh 2: Due to tripping of 765kV Bikaner-Moga ckt2 | फतहेगढ़ 1 / Fatehgarh1: Due to tripping of 765kV Bikaner-Moga ckt2 | भ दल 2 / Bhadla2: Due to tripping of 765kV Bikaner-Moga ckt2 | फतहेगढ़ 3 / Fatehgarh 3: Due to tripping of 765kV Bikaner-Moga ckt2 | बीक नरे 2 / Bikaner 2: Due to tripping of 765kV Bikaner-Moga ckt2 | भ दल 3 / Bhadla3: Due to tripping of 765kV Bikaner-Moga ckt2 | फतहेगढ़ 4 / FATEHGARH4: Due to tripping of 765kV Bikaner-Moga ckt2 | र मगढ़ /Ramgarh: Due to tripping of 765kV Bikaner-Moga ckt2</x:v>
      </x:c>
      <x:c r="J78" s="32" t="str">
        <x:v>https://grid-india.in/en/reports/daily-vre-report</x:v>
      </x:c>
      <x:c r="K78" s="32" t="str">
        <x:v>https://sanketik-sankhyaki.github.io/Renewable-Energy-Curtailment-Tracker/curtailment_history.csv</x:v>
      </x:c>
    </x:row>
    <x:row r="79">
      <x:c r="A79" s="26" t="n">
        <x:v>46197</x:v>
      </x:c>
      <x:c r="B79" s="28" t="n">
        <x:v>2186</x:v>
      </x:c>
      <x:c r="C79" s="30" t="n">
        <x:v>3.99</x:v>
      </x:c>
      <x:c r="D79" s="30" t="n">
        <x:v>4109</x:v>
      </x:c>
      <x:c r="E79" s="30" t="n">
        <x:v>9.06</x:v>
      </x:c>
      <x:c r="F79" s="30" t="n">
        <x:f>C79+E79</x:f>
        <x:v>13.05</x:v>
      </x:c>
      <x:c r="G79" s="30" t="n">
        <x:v>13.05</x:v>
      </x:c>
      <x:c r="H79" s="30" t="n">
        <x:f>F79-G79</x:f>
        <x:v>0</x:v>
      </x:c>
      <x:c r="I79" s="32" t="str">
        <x:v>र र्स्थ न / Rajasthan: DUE TO O/L OF 400 KV KANKANI - MERTA LINE , 400 KV MERTA - H | गर्ुर त / Gujarat: To control under drawl</x:v>
      </x:c>
      <x:c r="J79" s="32" t="str">
        <x:v>https://grid-india.in/en/reports/daily-vre-report</x:v>
      </x:c>
      <x:c r="K79" s="32" t="str">
        <x:v>https://sanketik-sankhyaki.github.io/Renewable-Energy-Curtailment-Tracker/curtailment_history.csv</x:v>
      </x:c>
    </x:row>
    <x:row r="80">
      <x:c r="A80" s="26" t="n">
        <x:v>46197</x:v>
      </x:c>
      <x:c r="B80" s="28" t="n">
        <x:v>2186</x:v>
      </x:c>
      <x:c r="C80" s="30" t="n">
        <x:v>3.99</x:v>
      </x:c>
      <x:c r="D80" s="30" t="n">
        <x:v>4109</x:v>
      </x:c>
      <x:c r="E80" s="30" t="n">
        <x:v>9.06</x:v>
      </x:c>
      <x:c r="F80" s="30" t="n">
        <x:f>C80+E80</x:f>
        <x:v>13.05</x:v>
      </x:c>
      <x:c r="G80" s="30" t="n">
        <x:v>13.05</x:v>
      </x:c>
      <x:c r="H80" s="30" t="n">
        <x:f>F80-G80</x:f>
        <x:v>0</x:v>
      </x:c>
      <x:c r="I80" s="32" t="str">
        <x:v>र र्स्थ न / Rajasthan: DUE TO O/L OF 400 KV KANKANI - MERTA LINE , 400 KV MERTA - H | गर्ुर त / Gujarat: To control under drawl</x:v>
      </x:c>
      <x:c r="J80" s="32" t="str">
        <x:v>https://grid-india.in/en/reports/daily-vre-report</x:v>
      </x:c>
      <x:c r="K80" s="32" t="str">
        <x:v>https://sanketik-sankhyaki.github.io/Renewable-Energy-Curtailment-Tracker/curtailment_history.csv</x:v>
      </x:c>
    </x:row>
    <x:row r="81">
      <x:c r="A81" s="26" t="n">
        <x:v>46198</x:v>
      </x:c>
      <x:c r="B81" s="28" t="n">
        <x:v>1334</x:v>
      </x:c>
      <x:c r="C81" s="30" t="n">
        <x:v>2.25</x:v>
      </x:c>
      <x:c r="D81" s="30" t="n">
        <x:v>2998</x:v>
      </x:c>
      <x:c r="E81" s="30" t="n">
        <x:v>6.3</x:v>
      </x:c>
      <x:c r="F81" s="30" t="n">
        <x:f>C81+E81</x:f>
        <x:v>8.55</x:v>
      </x:c>
      <x:c r="G81" s="30" t="n">
        <x:v>8.55</x:v>
      </x:c>
      <x:c r="H81" s="30" t="n">
        <x:f>F81-G81</x:f>
        <x:v>0</x:v>
      </x:c>
      <x:c r="I81" s="32" t="str">
        <x:v>र र्स्थ न / Rajasthan: DUE TO O/L OF 400 KV KANKANI - MERTA LINE , 400 KV MERTA - H | गर्ुर त / Gujarat: To control under drawl</x:v>
      </x:c>
      <x:c r="J81" s="32" t="str">
        <x:v>https://grid-india.in/en/reports/daily-vre-report</x:v>
      </x:c>
      <x:c r="K81" s="32" t="str">
        <x:v>https://sanketik-sankhyaki.github.io/Renewable-Energy-Curtailment-Tracker/curtailment_history.csv</x:v>
      </x:c>
    </x:row>
    <x:row r="82">
      <x:c r="A82" s="26" t="n">
        <x:v>46198</x:v>
      </x:c>
      <x:c r="B82" s="28" t="n">
        <x:v>1334</x:v>
      </x:c>
      <x:c r="C82" s="30" t="n">
        <x:v>2.25</x:v>
      </x:c>
      <x:c r="D82" s="30" t="n">
        <x:v>2998</x:v>
      </x:c>
      <x:c r="E82" s="30" t="n">
        <x:v>6.3</x:v>
      </x:c>
      <x:c r="F82" s="30" t="n">
        <x:f>C82+E82</x:f>
        <x:v>8.55</x:v>
      </x:c>
      <x:c r="G82" s="30" t="n">
        <x:v>8.55</x:v>
      </x:c>
      <x:c r="H82" s="30" t="n">
        <x:f>F82-G82</x:f>
        <x:v>0</x:v>
      </x:c>
      <x:c r="I82" s="32" t="str">
        <x:v>र र्स्थ न / Rajasthan: DUE TO O/L OF 400 KV KANKANI - MERTA LINE , 400 KV MERTA - H | गर्ुर त / Gujarat: To control under drawl</x:v>
      </x:c>
      <x:c r="J82" s="32" t="str">
        <x:v>https://grid-india.in/en/reports/daily-vre-report</x:v>
      </x:c>
      <x:c r="K82" s="32" t="str">
        <x:v>https://sanketik-sankhyaki.github.io/Renewable-Energy-Curtailment-Tracker/curtailment_history.csv</x:v>
      </x:c>
    </x:row>
    <x:row r="83">
      <x:c r="A83" s="26" t="n">
        <x:v>46199</x:v>
      </x:c>
      <x:c r="B83" s="28" t="n">
        <x:v>0</x:v>
      </x:c>
      <x:c r="C83" s="30" t="n">
        <x:v>0</x:v>
      </x:c>
      <x:c r="D83" s="30" t="n">
        <x:v>0</x:v>
      </x:c>
      <x:c r="E83" s="30" t="n">
        <x:v>0</x:v>
      </x:c>
      <x:c r="F83" s="30" t="n">
        <x:f>C83+E83</x:f>
        <x:v>0</x:v>
      </x:c>
      <x:c r="G83" s="30" t="n">
        <x:v>0</x:v>
      </x:c>
      <x:c r="H83" s="30" t="n">
        <x:f>F83-G83</x:f>
        <x:v>0</x:v>
      </x:c>
      <x:c r="I83" s="32" t="str">
        <x:v>No curtailment</x:v>
      </x:c>
      <x:c r="J83" s="32" t="str">
        <x:v>https://grid-india.in/en/reports/daily-vre-report</x:v>
      </x:c>
      <x:c r="K83" s="32" t="str">
        <x:v>https://sanketik-sankhyaki.github.io/Renewable-Energy-Curtailment-Tracker/curtailment_history.csv</x:v>
      </x:c>
    </x:row>
    <x:row r="84">
      <x:c r="A84" s="26" t="n">
        <x:v>46200</x:v>
      </x:c>
      <x:c r="B84" s="28" t="n">
        <x:v>0</x:v>
      </x:c>
      <x:c r="C84" s="30" t="n">
        <x:v>0</x:v>
      </x:c>
      <x:c r="D84" s="30" t="n">
        <x:v>0</x:v>
      </x:c>
      <x:c r="E84" s="30" t="n">
        <x:v>0</x:v>
      </x:c>
      <x:c r="F84" s="30" t="n">
        <x:f>C84+E84</x:f>
        <x:v>0</x:v>
      </x:c>
      <x:c r="G84" s="30" t="n">
        <x:v>0</x:v>
      </x:c>
      <x:c r="H84" s="30" t="n">
        <x:f>F84-G84</x:f>
        <x:v>0</x:v>
      </x:c>
      <x:c r="I84" s="32" t="str">
        <x:v>No curtailment</x:v>
      </x:c>
      <x:c r="J84" s="32" t="str">
        <x:v>https://grid-india.in/en/reports/daily-vre-report</x:v>
      </x:c>
      <x:c r="K84" s="32" t="str">
        <x:v>https://sanketik-sankhyaki.github.io/Renewable-Energy-Curtailment-Tracker/curtailment_history.csv</x:v>
      </x:c>
    </x:row>
    <x:row r="85">
      <x:c r="A85" s="26" t="n">
        <x:v>46201</x:v>
      </x:c>
      <x:c r="B85" s="28" t="n">
        <x:v>350</x:v>
      </x:c>
      <x:c r="C85" s="30" t="n">
        <x:v>0.71</x:v>
      </x:c>
      <x:c r="D85" s="30" t="n">
        <x:v>1450</x:v>
      </x:c>
      <x:c r="E85" s="30" t="n">
        <x:v>3.03</x:v>
      </x:c>
      <x:c r="F85" s="30" t="n">
        <x:f>C85+E85</x:f>
        <x:v>3.7399999999999998</x:v>
      </x:c>
      <x:c r="G85" s="30" t="n">
        <x:v>3.74</x:v>
      </x:c>
      <x:c r="H85" s="30" t="n">
        <x:f>F85-G85</x:f>
        <x:v>-4.440892098500626e-16</x:v>
      </x:c>
      <x:c r="I85" s="32" t="str">
        <x:v>र र्स्थ न / Rajasthan: due to outage of 400 KV Kakani - Jaisalmer-II &amp; O/L of 400 A</x:v>
      </x:c>
      <x:c r="J85" s="32" t="str">
        <x:v>https://grid-india.in/en/reports/daily-vre-report</x:v>
      </x:c>
      <x:c r="K85" s="32" t="str">
        <x:v>https://sanketik-sankhyaki.github.io/Renewable-Energy-Curtailment-Tracker/curtailment_history.csv</x:v>
      </x:c>
    </x:row>
    <x:row r="86">
      <x:c r="A86" s="26" t="n">
        <x:v>46201</x:v>
      </x:c>
      <x:c r="B86" s="28" t="n">
        <x:v>350</x:v>
      </x:c>
      <x:c r="C86" s="30" t="n">
        <x:v>0.71</x:v>
      </x:c>
      <x:c r="D86" s="30" t="n">
        <x:v>1450</x:v>
      </x:c>
      <x:c r="E86" s="30" t="n">
        <x:v>3.03</x:v>
      </x:c>
      <x:c r="F86" s="30" t="n">
        <x:f>C86+E86</x:f>
        <x:v>3.7399999999999998</x:v>
      </x:c>
      <x:c r="G86" s="30" t="n">
        <x:v>3.74</x:v>
      </x:c>
      <x:c r="H86" s="30" t="n">
        <x:f>F86-G86</x:f>
        <x:v>-4.440892098500626e-16</x:v>
      </x:c>
      <x:c r="I86" s="32" t="str">
        <x:v>र र्स्थ न / Rajasthan: due to outage of 400 KV Kakani - Jaisalmer-II &amp; O/L of 400 A</x:v>
      </x:c>
      <x:c r="J86" s="32" t="str">
        <x:v>https://grid-india.in/en/reports/daily-vre-report</x:v>
      </x:c>
      <x:c r="K86" s="32" t="str">
        <x:v>https://sanketik-sankhyaki.github.io/Renewable-Energy-Curtailment-Tracker/curtailment_history.csv</x:v>
      </x:c>
    </x:row>
    <x:row r="87">
      <x:c r="A87" s="26" t="n">
        <x:v>46202</x:v>
      </x:c>
      <x:c r="B87" s="28" t="n">
        <x:v>250</x:v>
      </x:c>
      <x:c r="C87" s="30" t="n">
        <x:v>1.31</x:v>
      </x:c>
      <x:c r="D87" s="30" t="n">
        <x:v>255</x:v>
      </x:c>
      <x:c r="E87" s="30" t="n">
        <x:v>1.33</x:v>
      </x:c>
      <x:c r="F87" s="30" t="n">
        <x:f>C87+E87</x:f>
        <x:v>2.64</x:v>
      </x:c>
      <x:c r="G87" s="30" t="n">
        <x:v>2.64</x:v>
      </x:c>
      <x:c r="H87" s="30" t="n">
        <x:f>F87-G87</x:f>
        <x:v>0</x:v>
      </x:c>
      <x:c r="I87" s="32" t="str">
        <x:v>र र्स्थ न / Rajasthan: due to outage of 400 KV kankani - jaisamer-II and o/L of 400</x:v>
      </x:c>
      <x:c r="J87" s="32" t="str">
        <x:v>https://grid-india.in/en/reports/daily-vre-report</x:v>
      </x:c>
      <x:c r="K87" s="32" t="str">
        <x:v>https://sanketik-sankhyaki.github.io/Renewable-Energy-Curtailment-Tracker/curtailment_history.csv</x:v>
      </x:c>
    </x:row>
    <x:row r="88">
      <x:c r="A88" s="26" t="n">
        <x:v>46202</x:v>
      </x:c>
      <x:c r="B88" s="28" t="n">
        <x:v>250</x:v>
      </x:c>
      <x:c r="C88" s="30" t="n">
        <x:v>1.31</x:v>
      </x:c>
      <x:c r="D88" s="30" t="n">
        <x:v>255</x:v>
      </x:c>
      <x:c r="E88" s="30" t="n">
        <x:v>1.33</x:v>
      </x:c>
      <x:c r="F88" s="30" t="n">
        <x:f>C88+E88</x:f>
        <x:v>2.64</x:v>
      </x:c>
      <x:c r="G88" s="30" t="n">
        <x:v>2.64</x:v>
      </x:c>
      <x:c r="H88" s="30" t="n">
        <x:f>F88-G88</x:f>
        <x:v>0</x:v>
      </x:c>
      <x:c r="I88" s="32" t="str">
        <x:v>र र्स्थ न / Rajasthan: due to outage of 400 KV kankani - jaisamer-II and o/L of 400</x:v>
      </x:c>
      <x:c r="J88" s="32" t="str">
        <x:v>https://grid-india.in/en/reports/daily-vre-report</x:v>
      </x:c>
      <x:c r="K88" s="32" t="str">
        <x:v>https://sanketik-sankhyaki.github.io/Renewable-Energy-Curtailment-Tracker/curtailment_history.csv</x:v>
      </x:c>
    </x:row>
    <x:row r="89">
      <x:c r="A89" s="26" t="n">
        <x:v>46203</x:v>
      </x:c>
      <x:c r="B89" s="28" t="n">
        <x:v>0</x:v>
      </x:c>
      <x:c r="C89" s="30" t="n">
        <x:v>0</x:v>
      </x:c>
      <x:c r="D89" s="30" t="n">
        <x:v>279</x:v>
      </x:c>
      <x:c r="E89" s="30" t="n">
        <x:v>0.63</x:v>
      </x:c>
      <x:c r="F89" s="30" t="n">
        <x:f>C89+E89</x:f>
        <x:v>0.63</x:v>
      </x:c>
      <x:c r="G89" s="30" t="n">
        <x:v>0.63</x:v>
      </x:c>
      <x:c r="H89" s="30" t="n">
        <x:f>F89-G89</x:f>
        <x:v>0</x:v>
      </x:c>
      <x:c r="I89" s="32" t="str">
        <x:v>र र्स्थ न / Rajasthan: Due to O/L at 220 KV Bikaner - Gajner I &amp; II | मह र ष्ट्ट्र / Maharashtra: To control heavy underdrawl (1675MW) at high frequency.</x:v>
      </x:c>
      <x:c r="J89" s="32" t="str">
        <x:v>https://grid-india.in/en/reports/daily-vre-report</x:v>
      </x:c>
      <x:c r="K89" s="32" t="str">
        <x:v>https://sanketik-sankhyaki.github.io/Renewable-Energy-Curtailment-Tracker/curtailment_history.csv</x:v>
      </x:c>
    </x:row>
    <x:row r="90">
      <x:c r="A90" s="26" t="n">
        <x:v>46203</x:v>
      </x:c>
      <x:c r="B90" s="28" t="n">
        <x:v>0</x:v>
      </x:c>
      <x:c r="C90" s="30" t="n">
        <x:v>0</x:v>
      </x:c>
      <x:c r="D90" s="30" t="n">
        <x:v>279</x:v>
      </x:c>
      <x:c r="E90" s="30" t="n">
        <x:v>0.63</x:v>
      </x:c>
      <x:c r="F90" s="30" t="n">
        <x:f>C90+E90</x:f>
        <x:v>0.63</x:v>
      </x:c>
      <x:c r="G90" s="30" t="n">
        <x:v>0.63</x:v>
      </x:c>
      <x:c r="H90" s="30" t="n">
        <x:f>F90-G90</x:f>
        <x:v>0</x:v>
      </x:c>
      <x:c r="I90" s="32" t="str">
        <x:v>र र्स्थ न / Rajasthan: Due to O/L at 220 KV Bikaner - Gajner I &amp; II | मह र ष्ट्ट्र / Maharashtra: To control heavy underdrawl (1675MW) at high frequency.</x:v>
      </x:c>
      <x:c r="J90" s="32" t="str">
        <x:v>https://grid-india.in/en/reports/daily-vre-report</x:v>
      </x:c>
      <x:c r="K90" s="32" t="str">
        <x:v>https://sanketik-sankhyaki.github.io/Renewable-Energy-Curtailment-Tracker/curtailment_history.csv</x:v>
      </x:c>
    </x:row>
    <x:row r="91">
      <x:c r="A91" s="26" t="n">
        <x:v>46204</x:v>
      </x:c>
      <x:c r="B91" s="28" t="n">
        <x:v>1359</x:v>
      </x:c>
      <x:c r="C91" s="30" t="n">
        <x:v>1.59</x:v>
      </x:c>
      <x:c r="D91" s="30" t="n">
        <x:v>380</x:v>
      </x:c>
      <x:c r="E91" s="30" t="n">
        <x:v>1.24</x:v>
      </x:c>
      <x:c r="F91" s="30" t="n">
        <x:f>C91+E91</x:f>
        <x:v>2.83</x:v>
      </x:c>
      <x:c r="G91" s="30" t="n">
        <x:v>2.83</x:v>
      </x:c>
      <x:c r="H91" s="30" t="n">
        <x:f>F91-G91</x:f>
        <x:v>0</x:v>
      </x:c>
      <x:c r="I91" s="32" t="str">
        <x:v>र र्स्थ न / Rajasthan: Due to O/L at 400 KV Merta - Heerapura &amp; 400 KV Merta - Kank | गर्ुर त / Gujarat: To control heavy underdrawl.</x:v>
      </x:c>
      <x:c r="J91" s="32" t="str">
        <x:v>https://grid-india.in/en/reports/daily-vre-report</x:v>
      </x:c>
      <x:c r="K91" s="32" t="str">
        <x:v>https://sanketik-sankhyaki.github.io/Renewable-Energy-Curtailment-Tracker/curtailment_history.csv</x:v>
      </x:c>
    </x:row>
    <x:row r="92">
      <x:c r="A92" s="26" t="n">
        <x:v>46204</x:v>
      </x:c>
      <x:c r="B92" s="28" t="n">
        <x:v>1359</x:v>
      </x:c>
      <x:c r="C92" s="30" t="n">
        <x:v>1.59</x:v>
      </x:c>
      <x:c r="D92" s="30" t="n">
        <x:v>380</x:v>
      </x:c>
      <x:c r="E92" s="30" t="n">
        <x:v>1.24</x:v>
      </x:c>
      <x:c r="F92" s="30" t="n">
        <x:f>C92+E92</x:f>
        <x:v>2.83</x:v>
      </x:c>
      <x:c r="G92" s="30" t="n">
        <x:v>2.83</x:v>
      </x:c>
      <x:c r="H92" s="30" t="n">
        <x:f>F92-G92</x:f>
        <x:v>0</x:v>
      </x:c>
      <x:c r="I92" s="32" t="str">
        <x:v>र र्स्थ न / Rajasthan: Due to O/L at 400 KV Merta - Heerapura &amp; 400 KV Merta - Kank | गर्ुर त / Gujarat: To control heavy underdrawl.</x:v>
      </x:c>
      <x:c r="J92" s="32" t="str">
        <x:v>https://grid-india.in/en/reports/daily-vre-report</x:v>
      </x:c>
      <x:c r="K92" s="32" t="str">
        <x:v>https://sanketik-sankhyaki.github.io/Renewable-Energy-Curtailment-Tracker/curtailment_history.csv</x:v>
      </x:c>
    </x:row>
    <x:row r="93">
      <x:c r="A93" s="26" t="n">
        <x:v>46205</x:v>
      </x:c>
      <x:c r="B93" s="28" t="n">
        <x:v>190</x:v>
      </x:c>
      <x:c r="C93" s="30" t="n">
        <x:v>0.24</x:v>
      </x:c>
      <x:c r="D93" s="30" t="n">
        <x:v>1280</x:v>
      </x:c>
      <x:c r="E93" s="30" t="n">
        <x:v>2.6</x:v>
      </x:c>
      <x:c r="F93" s="30" t="n">
        <x:f>C93+E93</x:f>
        <x:v>2.84</x:v>
      </x:c>
      <x:c r="G93" s="30" t="n">
        <x:v>2.84</x:v>
      </x:c>
      <x:c r="H93" s="30" t="n">
        <x:f>F93-G93</x:f>
        <x:v>0</x:v>
      </x:c>
      <x:c r="I93" s="32" t="str">
        <x:v>र र्स्थ न / Rajasthan: Due to high frequency and heavy underdrawal</x:v>
      </x:c>
      <x:c r="J93" s="32" t="str">
        <x:v>https://grid-india.in/en/reports/daily-vre-report</x:v>
      </x:c>
      <x:c r="K93" s="32" t="str">
        <x:v>https://sanketik-sankhyaki.github.io/Renewable-Energy-Curtailment-Tracker/curtailment_history.csv</x:v>
      </x:c>
    </x:row>
    <x:row r="94">
      <x:c r="A94" s="26" t="n">
        <x:v>46208</x:v>
      </x:c>
      <x:c r="B94" s="28" t="n">
        <x:v>567</x:v>
      </x:c>
      <x:c r="C94" s="30" t="n">
        <x:v>4.71</x:v>
      </x:c>
      <x:c r="D94" s="30" t="n">
        <x:v>3296</x:v>
      </x:c>
      <x:c r="E94" s="30" t="n">
        <x:v>11.97</x:v>
      </x:c>
      <x:c r="F94" s="30" t="n">
        <x:f>C94+E94</x:f>
        <x:v>16.68</x:v>
      </x:c>
      <x:c r="G94" s="30" t="n">
        <x:v>16.68</x:v>
      </x:c>
      <x:c r="H94" s="30" t="n">
        <x:f>F94-G94</x:f>
        <x:v>0</x:v>
      </x:c>
      <x:c r="I94" s="32" t="str">
        <x:v>र र्स्थ न / Rajasthan: DUE TO HIGH FREQUENCY AND HEAVY UNDERDRAWLFREQ AND HEAVY UND | गर्ुर त / Gujarat: To control Under drawal | मह र ष्ट्ट्र / Maharashtra: To control Under drawal</x:v>
      </x:c>
      <x:c r="J94" s="32" t="str">
        <x:v>https://grid-india.in/en/reports/daily-vre-report</x:v>
      </x:c>
      <x:c r="K94" s="32" t="str">
        <x:v>https://sanketik-sankhyaki.github.io/Renewable-Energy-Curtailment-Tracker/curtailment_history.csv</x:v>
      </x:c>
    </x:row>
    <x:row r="95">
      <x:c r="A95" s="26" t="n">
        <x:v>46209</x:v>
      </x:c>
      <x:c r="B95" s="28" t="n">
        <x:v>1783</x:v>
      </x:c>
      <x:c r="C95" s="30" t="n">
        <x:v>2.56</x:v>
      </x:c>
      <x:c r="D95" s="30" t="n">
        <x:v>6540</x:v>
      </x:c>
      <x:c r="E95" s="30" t="n">
        <x:v>12.44</x:v>
      </x:c>
      <x:c r="F95" s="30" t="n">
        <x:f>C95+E95</x:f>
        <x:v>15</x:v>
      </x:c>
      <x:c r="G95" s="30" t="n">
        <x:v>15</x:v>
      </x:c>
      <x:c r="H95" s="30" t="n">
        <x:f>F95-G95</x:f>
        <x:v>0</x:v>
      </x:c>
      <x:c r="I95" s="32" t="str">
        <x:v>र र्स्थ न / Rajasthan: Due to high frequency and heavy underdrawal | गर्ुर त / Gujarat: To control Under drawal | मह र ष्ट्ट्र / Maharashtra: To control Under drawal</x:v>
      </x:c>
      <x:c r="J95" s="32" t="str">
        <x:v>https://grid-india.in/en/reports/daily-vre-report</x:v>
      </x:c>
      <x:c r="K95" s="32" t="str">
        <x:v>https://sanketik-sankhyaki.github.io/Renewable-Energy-Curtailment-Tracker/curtailment_history.csv</x:v>
      </x:c>
    </x:row>
    <x:row r="96">
      <x:c r="A96" s="26" t="n">
        <x:v>46210</x:v>
      </x:c>
      <x:c r="B96" s="28" t="n">
        <x:v>684</x:v>
      </x:c>
      <x:c r="C96" s="30" t="n">
        <x:v>1.5</x:v>
      </x:c>
      <x:c r="D96" s="30" t="n">
        <x:v>1613</x:v>
      </x:c>
      <x:c r="E96" s="30" t="n">
        <x:v>2.1</x:v>
      </x:c>
      <x:c r="F96" s="30" t="n">
        <x:f>C96+E96</x:f>
        <x:v>3.6</x:v>
      </x:c>
      <x:c r="G96" s="30" t="n">
        <x:v>3.6</x:v>
      </x:c>
      <x:c r="H96" s="30" t="n">
        <x:f>F96-G96</x:f>
        <x:v>0</x:v>
      </x:c>
      <x:c r="I96" s="32" t="str">
        <x:v>र र्स्थ न / Rajasthan: Due to high frequency and heavy underdrawal | मह र ष्ट्ट्र / Maharashtra: To control heavy underdrawal (1565MW) at high frequency.</x:v>
      </x:c>
      <x:c r="J96" s="32" t="str">
        <x:v>https://grid-india.in/en/reports/daily-vre-report</x:v>
      </x:c>
      <x:c r="K96" s="32" t="str">
        <x:v>https://sanketik-sankhyaki.github.io/Renewable-Energy-Curtailment-Tracker/curtailment_history.csv</x:v>
      </x:c>
    </x:row>
    <x:row r="97">
      <x:c r="A97" s="26" t="n">
        <x:v>46211</x:v>
      </x:c>
      <x:c r="B97" s="28" t="n">
        <x:v>3132</x:v>
      </x:c>
      <x:c r="C97" s="30" t="n">
        <x:v>11.35</x:v>
      </x:c>
      <x:c r="D97" s="30" t="n">
        <x:v>4317</x:v>
      </x:c>
      <x:c r="E97" s="30" t="n">
        <x:v>17.51</x:v>
      </x:c>
      <x:c r="F97" s="30" t="n">
        <x:f>C97+E97</x:f>
        <x:v>28.86</x:v>
      </x:c>
      <x:c r="G97" s="30" t="n">
        <x:v>28.86</x:v>
      </x:c>
      <x:c r="H97" s="30" t="n">
        <x:f>F97-G97</x:f>
        <x:v>0</x:v>
      </x:c>
      <x:c r="I97" s="32" t="str">
        <x:v>र र्स्थ न / Rajasthan: Due to high frequency and heavy underdrawal | भ दल 3 / BHADLA3: Due to Tripping of 765kV Bhadla_3-Ramgarh_2 ckt 1&amp;2 and Trip | र मगढ़ / RAMGARH: Due to Tripping of 765kV Bhadla_3-Ramgarh_2 ckt 1&amp;2 and Trip | गर्ुर त / Gujarat: To control Underdrawl</x:v>
      </x:c>
      <x:c r="J97" s="32" t="str">
        <x:v>https://grid-india.in/en/reports/daily-vre-report</x:v>
      </x:c>
      <x:c r="K97" s="32" t="str">
        <x:v>https://sanketik-sankhyaki.github.io/Renewable-Energy-Curtailment-Tracker/curtailment_history.csv</x:v>
      </x:c>
    </x:row>
    <x:row r="98">
      <x:c r="A98" s="26" t="n">
        <x:v>46213</x:v>
      </x:c>
      <x:c r="B98" s="28" t="n">
        <x:v>4018</x:v>
      </x:c>
      <x:c r="C98" s="30" t="n">
        <x:v>9.85</x:v>
      </x:c>
      <x:c r="D98" s="30" t="n">
        <x:v>5477</x:v>
      </x:c>
      <x:c r="E98" s="30" t="n">
        <x:v>15.41</x:v>
      </x:c>
      <x:c r="F98" s="30" t="n">
        <x:f>C98+E98</x:f>
        <x:v>25.259999999999998</x:v>
      </x:c>
      <x:c r="G98" s="30" t="n">
        <x:v>25.26</x:v>
      </x:c>
      <x:c r="H98" s="30" t="n">
        <x:f>F98-G98</x:f>
        <x:v>-3.552713678800501e-15</x:v>
      </x:c>
      <x:c r="I98" s="32" t="str">
        <x:v>र र्स्थ न / Rajasthan: DUE TO OVERLOADING OF ICT'S AT 400 KV BHADLA AND D/C 220 KV  | गर्ुर त / Gujarat: To control Underdrawl | मह र ष्ट्ट्र / Maharashtra: Due to overloading of Dhule -Sakari line GTS operated &amp; To c</x:v>
      </x:c>
      <x:c r="J98" s="32" t="str">
        <x:v>https://grid-india.in/en/reports/daily-vre-report</x:v>
      </x:c>
      <x:c r="K98" s="32" t="str">
        <x:v>https://sanketik-sankhyaki.github.io/Renewable-Energy-Curtailment-Tracker/curtailment_history.csv</x:v>
      </x:c>
    </x:row>
    <x:row r="99">
      <x:c r="A99" s="26" t="n">
        <x:v>46214</x:v>
      </x:c>
      <x:c r="B99" s="28" t="n">
        <x:v>4275</x:v>
      </x:c>
      <x:c r="C99" s="30" t="n">
        <x:v>10.48</x:v>
      </x:c>
      <x:c r="D99" s="30" t="n">
        <x:v>8116</x:v>
      </x:c>
      <x:c r="E99" s="30" t="n">
        <x:v>21.38</x:v>
      </x:c>
      <x:c r="F99" s="30" t="n">
        <x:f>C99+E99</x:f>
        <x:v>31.86</x:v>
      </x:c>
      <x:c r="G99" s="30" t="n">
        <x:v>31.86</x:v>
      </x:c>
      <x:c r="H99" s="30" t="n">
        <x:f>F99-G99</x:f>
        <x:v>0</x:v>
      </x:c>
      <x:c r="I99" s="32" t="str">
        <x:v>र र्स्थ न / Rajasthan: DUE TO OVERLOADING OF ICT'S AT 400 KV BHADLA AND D/C 220 KV  | गर्ुर त / Gujarat: In view of the system requirement and grid security and stab | मह र ष्ट्ट्र / Maharashtra: Due To Overloading Of Dhule -Sakari Line GTS Operated and to</x:v>
      </x:c>
      <x:c r="J99" s="32" t="str">
        <x:v>https://grid-india.in/en/reports/daily-vre-report</x:v>
      </x:c>
      <x:c r="K99" s="32" t="str">
        <x:v>https://sanketik-sankhyaki.github.io/Renewable-Energy-Curtailment-Tracker/curtailment_history.csv</x:v>
      </x:c>
    </x:row>
    <x:row r="100">
      <x:c r="A100" s="26" t="n">
        <x:v>46215</x:v>
      </x:c>
      <x:c r="B100" s="28" t="n">
        <x:v>3753</x:v>
      </x:c>
      <x:c r="C100" s="30" t="n">
        <x:v>8.08</x:v>
      </x:c>
      <x:c r="D100" s="30" t="n">
        <x:v>6830</x:v>
      </x:c>
      <x:c r="E100" s="30" t="n">
        <x:v>15.37</x:v>
      </x:c>
      <x:c r="F100" s="30" t="n">
        <x:f>C100+E100</x:f>
        <x:v>23.45</x:v>
      </x:c>
      <x:c r="G100" s="30" t="n">
        <x:v>23.45</x:v>
      </x:c>
      <x:c r="H100" s="30" t="n">
        <x:f>F100-G100</x:f>
        <x:v>0</x:v>
      </x:c>
      <x:c r="I100" s="32" t="str">
        <x:v>र र्स्थ न / Rajasthan: Due to high frequency and heavy underdrawal | गर्ुर त / Gujarat: To control under drawl | मह र ष्ट्ट्र / Maharashtra: To control under drawl</x:v>
      </x:c>
      <x:c r="J100" s="32" t="str">
        <x:v>https://grid-india.in/en/reports/daily-vre-report</x:v>
      </x:c>
      <x:c r="K100" s="32" t="str">
        <x:v>https://sanketik-sankhyaki.github.io/Renewable-Energy-Curtailment-Tracker/curtailment_history.csv</x:v>
      </x:c>
    </x:row>
    <x:row r="101">
      <x:c r="A101" s="26" t="n">
        <x:v>46216</x:v>
      </x:c>
      <x:c r="B101" s="28" t="n">
        <x:v>2333</x:v>
      </x:c>
      <x:c r="C101" s="30" t="n">
        <x:v>3.22</x:v>
      </x:c>
      <x:c r="D101" s="30" t="n">
        <x:v>5091</x:v>
      </x:c>
      <x:c r="E101" s="30" t="n">
        <x:v>8.39</x:v>
      </x:c>
      <x:c r="F101" s="30" t="n">
        <x:f>C101+E101</x:f>
        <x:v>11.610000000000001</x:v>
      </x:c>
      <x:c r="G101" s="30" t="n">
        <x:v>11.61</x:v>
      </x:c>
      <x:c r="H101" s="30" t="n">
        <x:f>F101-G101</x:f>
        <x:v>1.7763568394002505e-15</x:v>
      </x:c>
      <x:c r="I101" s="32" t="str">
        <x:v>गर्ुर त / Gujarat: To control Underdrawl | मह र ष्ट्ट्र / Maharashtra: To control Underdrawl</x:v>
      </x:c>
      <x:c r="J101" s="32" t="str">
        <x:v>https://grid-india.in/en/reports/daily-vre-report</x:v>
      </x:c>
      <x:c r="K101" s="32" t="str">
        <x:v>https://sanketik-sankhyaki.github.io/Renewable-Energy-Curtailment-Tracker/curtailment_history.csv</x:v>
      </x:c>
    </x:row>
    <x:row r="102">
      <x:c r="A102" s="26" t="n">
        <x:v>46217</x:v>
      </x:c>
      <x:c r="B102" s="28" t="n">
        <x:v>1728</x:v>
      </x:c>
      <x:c r="C102" s="30" t="n">
        <x:v>2.99</x:v>
      </x:c>
      <x:c r="D102" s="30" t="n">
        <x:v>2830</x:v>
      </x:c>
      <x:c r="E102" s="30" t="n">
        <x:v>6.05</x:v>
      </x:c>
      <x:c r="F102" s="30" t="n">
        <x:f>C102+E102</x:f>
        <x:v>9.04</x:v>
      </x:c>
      <x:c r="G102" s="30" t="n">
        <x:v>9.04</x:v>
      </x:c>
      <x:c r="H102" s="30" t="n">
        <x:f>F102-G102</x:f>
        <x:v>0</x:v>
      </x:c>
      <x:c r="I102" s="32" t="str">
        <x:v>गर्ुर त / Gujarat: To control Underdrawl | मह र ष्ट्ट्र / Maharashtra: At 220kv Shivajinagar PSS, Due to overloading of 132kV Sakri</x:v>
      </x:c>
      <x:c r="J102" s="32" t="str">
        <x:v>https://grid-india.in/en/reports/daily-vre-report</x:v>
      </x:c>
      <x:c r="K102" s="32" t="str">
        <x:v>https://sanketik-sankhyaki.github.io/Renewable-Energy-Curtailment-Tracker/curtailment_history.csv</x:v>
      </x:c>
    </x:row>
    <x:row r="103">
      <x:c r="A103" s="26" t="n">
        <x:v>46218</x:v>
      </x:c>
      <x:c r="B103" s="28" t="n">
        <x:v>1027</x:v>
      </x:c>
      <x:c r="C103" s="30" t="n">
        <x:v>2.11</x:v>
      </x:c>
      <x:c r="D103" s="30" t="n">
        <x:v>2859</x:v>
      </x:c>
      <x:c r="E103" s="30" t="n">
        <x:v>6.74</x:v>
      </x:c>
      <x:c r="F103" s="30" t="n">
        <x:f>C103+E103</x:f>
        <x:v>8.85</x:v>
      </x:c>
      <x:c r="G103" s="30" t="n">
        <x:v>8.85</x:v>
      </x:c>
      <x:c r="H103" s="30" t="n">
        <x:f>F103-G103</x:f>
        <x:v>0</x:v>
      </x:c>
      <x:c r="I103" s="32" t="str">
        <x:v>गर्ुर त / Gujarat: In view of the system requirement and grid security and stab</x:v>
      </x:c>
      <x:c r="J103" s="32" t="str">
        <x:v>https://grid-india.in/en/reports/daily-vre-report</x:v>
      </x:c>
      <x:c r="K103" s="32" t="str">
        <x:v>https://sanketik-sankhyaki.github.io/Renewable-Energy-Curtailment-Tracker/curtailment_history.csv</x:v>
      </x:c>
    </x:row>
    <x:row r="104">
      <x:c r="A104" s="26" t="n">
        <x:v>46220</x:v>
      </x:c>
      <x:c r="B104" s="28" t="n">
        <x:v>0</x:v>
      </x:c>
      <x:c r="C104" s="30" t="n">
        <x:v>0</x:v>
      </x:c>
      <x:c r="D104" s="30" t="n">
        <x:v>0</x:v>
      </x:c>
      <x:c r="E104" s="30" t="n">
        <x:v>0</x:v>
      </x:c>
      <x:c r="F104" s="30" t="n">
        <x:f>C104+E104</x:f>
        <x:v>0</x:v>
      </x:c>
      <x:c r="G104" s="30" t="n">
        <x:v>0</x:v>
      </x:c>
      <x:c r="H104" s="30" t="n">
        <x:f>F104-G104</x:f>
        <x:v>0</x:v>
      </x:c>
      <x:c r="I104" s="32" t="str">
        <x:v>No curtailment</x:v>
      </x:c>
      <x:c r="J104" s="32" t="str">
        <x:v>https://grid-india.in/en/reports/daily-vre-report</x:v>
      </x:c>
      <x:c r="K104" s="32" t="str">
        <x:v>https://sanketik-sankhyaki.github.io/Renewable-Energy-Curtailment-Tracker/curtailment_history.csv</x:v>
      </x:c>
    </x:row>
    <x:row r="105">
      <x:c r="A105" s="26" t="n">
        <x:v>46223</x:v>
      </x:c>
      <x:c r="B105" s="28" t="n">
        <x:v>0</x:v>
      </x:c>
      <x:c r="C105" s="30" t="n">
        <x:v>0</x:v>
      </x:c>
      <x:c r="D105" s="30" t="n">
        <x:v>77</x:v>
      </x:c>
      <x:c r="E105" s="30" t="n">
        <x:v>0.05</x:v>
      </x:c>
      <x:c r="F105" s="30" t="n">
        <x:f>C105+E105</x:f>
        <x:v>0.05</x:v>
      </x:c>
      <x:c r="G105" s="30" t="n">
        <x:v>0.05</x:v>
      </x:c>
      <x:c r="H105" s="30" t="n">
        <x:f>F105-G105</x:f>
        <x:v>0</x:v>
      </x:c>
      <x:c r="I105" s="32" t="str">
        <x:v>मह र ष्ट्ट्र / Maharashtra: GTS operated (stage-1 &amp; stage-2) due to overloading of 132kV</x:v>
      </x:c>
      <x:c r="J105" s="32" t="str">
        <x:v>https://grid-india.in/en/reports/daily-vre-report</x:v>
      </x:c>
      <x:c r="K105" s="32" t="str">
        <x:v>https://sanketik-sankhyaki.github.io/Renewable-Energy-Curtailment-Tracker/curtailment_history.csv</x:v>
      </x:c>
    </x:row>
    <x:row r="106">
      <x:c r="A106" s="26" t="n">
        <x:v>46225</x:v>
      </x:c>
      <x:c r="B106" s="28" t="n">
        <x:v>0</x:v>
      </x:c>
      <x:c r="C106" s="30" t="n">
        <x:v>0</x:v>
      </x:c>
      <x:c r="D106" s="30" t="n">
        <x:v>0</x:v>
      </x:c>
      <x:c r="E106" s="30" t="n">
        <x:v>0</x:v>
      </x:c>
      <x:c r="F106" s="30" t="n">
        <x:f>C106+E106</x:f>
        <x:v>0</x:v>
      </x:c>
      <x:c r="G106" s="30" t="n">
        <x:v>0</x:v>
      </x:c>
      <x:c r="H106" s="30" t="n">
        <x:f>F106-G106</x:f>
        <x:v>0</x:v>
      </x:c>
      <x:c r="I106" s="32" t="str">
        <x:v>No curtailment</x:v>
      </x:c>
      <x:c r="J106" s="32" t="str">
        <x:v>https://grid-india.in/en/reports/daily-vre-report</x:v>
      </x:c>
      <x:c r="K106" s="32" t="str">
        <x:v>https://sanketik-sankhyaki.github.io/Renewable-Energy-Curtailment-Tracker/curtailment_history.csv</x:v>
      </x:c>
    </x:row>
    <x:row r="107">
      <x:c r="A107" s="26" t="n">
        <x:v>46227</x:v>
      </x:c>
      <x:c r="B107" s="28" t="n">
        <x:v>4236</x:v>
      </x:c>
      <x:c r="C107" s="30" t="n">
        <x:v>8.24</x:v>
      </x:c>
      <x:c r="D107" s="30" t="n">
        <x:v>3456</x:v>
      </x:c>
      <x:c r="E107" s="30" t="n">
        <x:v>7.12</x:v>
      </x:c>
      <x:c r="F107" s="30" t="n">
        <x:f>C107+E107</x:f>
        <x:v>15.36</x:v>
      </x:c>
      <x:c r="G107" s="30" t="n">
        <x:v>15.36</x:v>
      </x:c>
      <x:c r="H107" s="30" t="n">
        <x:f>F107-G107</x:f>
        <x:v>0</x:v>
      </x:c>
      <x:c r="I107" s="32" t="str">
        <x:v>र र्स्थ न / Rajasthan: To control overloading of 220kV Gajner Bikaner Ckt 1 &amp; 2 | गर्ुर त / Gujarat: To control underdrawl | मह र ष्ट्ट्र / Maharashtra: To control heavy underdrawal (1461MW) at high frequency.</x:v>
      </x:c>
      <x:c r="J107" s="32" t="str">
        <x:v>https://grid-india.in/en/reports/daily-vre-report</x:v>
      </x:c>
      <x:c r="K107" s="32" t="str">
        <x:v>https://sanketik-sankhyaki.github.io/Renewable-Energy-Curtailment-Tracker/curtailment_history.csv</x:v>
      </x:c>
    </x:row>
    <x:row r="108">
      <x:c r="A108" s="26" t="n">
        <x:v>46228</x:v>
      </x:c>
      <x:c r="B108" s="28" t="n">
        <x:v>0</x:v>
      </x:c>
      <x:c r="C108" s="30" t="n">
        <x:v>0</x:v>
      </x:c>
      <x:c r="D108" s="30" t="n">
        <x:v>0</x:v>
      </x:c>
      <x:c r="E108" s="30" t="n">
        <x:v>0</x:v>
      </x:c>
      <x:c r="F108" s="30" t="n">
        <x:f>C108+E108</x:f>
        <x:v>0</x:v>
      </x:c>
      <x:c r="G108" s="30" t="n">
        <x:v>0</x:v>
      </x:c>
      <x:c r="H108" s="30" t="n">
        <x:f>F108-G108</x:f>
        <x:v>0</x:v>
      </x:c>
      <x:c r="I108" s="32" t="str">
        <x:v>No curtailment</x:v>
      </x:c>
      <x:c r="J108" s="32" t="str">
        <x:v>https://grid-india.in/en/reports/daily-vre-report</x:v>
      </x:c>
      <x:c r="K108" s="32" t="str">
        <x:v>https://sanketik-sankhyaki.github.io/Renewable-Energy-Curtailment-Tracker/curtailment_history.csv</x:v>
      </x:c>
    </x:row>
    <x:row r="109">
      <x:c r="A109" s="26" t="n">
        <x:v>46229</x:v>
      </x:c>
      <x:c r="B109" s="28" t="n">
        <x:v>1664</x:v>
      </x:c>
      <x:c r="C109" s="30" t="n">
        <x:v>3.29</x:v>
      </x:c>
      <x:c r="D109" s="30" t="n">
        <x:v>2856</x:v>
      </x:c>
      <x:c r="E109" s="30" t="n">
        <x:v>6.01</x:v>
      </x:c>
      <x:c r="F109" s="30" t="n">
        <x:f>C109+E109</x:f>
        <x:v>9.3</x:v>
      </x:c>
      <x:c r="G109" s="30" t="n">
        <x:v>9.3</x:v>
      </x:c>
      <x:c r="H109" s="30" t="n">
        <x:f>F109-G109</x:f>
        <x:v>0</x:v>
      </x:c>
      <x:c r="I109" s="32" t="str">
        <x:v>गुर्र त / Gujarat: To control under drawl</x:v>
      </x:c>
      <x:c r="J109" s="32" t="str">
        <x:v>https://grid-india.in/en/reports/daily-vre-report</x:v>
      </x:c>
      <x:c r="K109" s="32" t="str">
        <x:v>https://sanketik-sankhyaki.github.io/Renewable-Energy-Curtailment-Tracker/curtailment_history.csv</x:v>
      </x:c>
    </x:row>
    <x:row r="110">
      <x:c r="A110" s="26" t="n">
        <x:v>46230</x:v>
      </x:c>
      <x:c r="B110" s="28" t="n">
        <x:v>1664</x:v>
      </x:c>
      <x:c r="C110" s="30" t="n">
        <x:v>3.29</x:v>
      </x:c>
      <x:c r="D110" s="30" t="n">
        <x:v>2856</x:v>
      </x:c>
      <x:c r="E110" s="30" t="n">
        <x:v>6.01</x:v>
      </x:c>
      <x:c r="F110" s="30" t="n">
        <x:f>C110+E110</x:f>
        <x:v>9.3</x:v>
      </x:c>
      <x:c r="G110" s="30" t="n">
        <x:v>9.3</x:v>
      </x:c>
      <x:c r="H110" s="30" t="n">
        <x:f>F110-G110</x:f>
        <x:v>0</x:v>
      </x:c>
      <x:c r="I110" s="32" t="str">
        <x:v>गुर्र त / Gujarat: To control under drawl</x:v>
      </x:c>
      <x:c r="J110" s="32" t="str">
        <x:v>https://grid-india.in/en/reports/daily-vre-report</x:v>
      </x:c>
      <x:c r="K110" s="32" t="str">
        <x:v>https://sanketik-sankhyaki.github.io/Renewable-Energy-Curtailment-Tracker/curtailment_history.csv</x:v>
      </x:c>
    </x:row>
    <x:row r="111">
      <x:c r="A111" s="26" t="n">
        <x:v>46231</x:v>
      </x:c>
      <x:c r="B111" s="28" t="n">
        <x:v>1928</x:v>
      </x:c>
      <x:c r="C111" s="30" t="n">
        <x:v>6.16</x:v>
      </x:c>
      <x:c r="D111" s="30" t="n">
        <x:v>2742</x:v>
      </x:c>
      <x:c r="E111" s="30" t="n">
        <x:v>9.31</x:v>
      </x:c>
      <x:c r="F111" s="30" t="n">
        <x:f>C111+E111</x:f>
        <x:v>15.47</x:v>
      </x:c>
      <x:c r="G111" s="30" t="n">
        <x:v>15.47</x:v>
      </x:c>
      <x:c r="H111" s="30" t="n">
        <x:f>F111-G111</x:f>
        <x:v>0</x:v>
      </x:c>
      <x:c r="I111" s="32" t="str">
        <x:v>र र्स्थ न / Rajasthan: due to O/L of 220 KV Gajner - Bikaner Line | गुर्र त / Gujarat: To control under drawl</x:v>
      </x:c>
      <x:c r="J111" s="32" t="str">
        <x:v>https://grid-india.in/en/reports/daily-vre-report</x:v>
      </x:c>
      <x:c r="K111" s="32" t="str">
        <x:v>https://sanketik-sankhyaki.github.io/Renewable-Energy-Curtailment-Tracker/curtailment_history.csv</x:v>
      </x:c>
    </x:row>
    <x:row r="112">
      <x:c r="A112" s="26" t="n">
        <x:v>46232</x:v>
      </x:c>
      <x:c r="B112" s="28" t="n">
        <x:v>944</x:v>
      </x:c>
      <x:c r="C112" s="30" t="n">
        <x:v>1.7</x:v>
      </x:c>
      <x:c r="D112" s="30" t="n">
        <x:v>2446</x:v>
      </x:c>
      <x:c r="E112" s="30" t="n">
        <x:v>4.31</x:v>
      </x:c>
      <x:c r="F112" s="30" t="n">
        <x:f>C112+E112</x:f>
        <x:v>6.01</x:v>
      </x:c>
      <x:c r="G112" s="30" t="n">
        <x:v>6.01</x:v>
      </x:c>
      <x:c r="H112" s="30" t="n">
        <x:f>F112-G112</x:f>
        <x:v>0</x:v>
      </x:c>
      <x:c r="I112" s="32" t="str">
        <x:v>र र्स्थ न / Rajasthan: due to overloading of 220kv Bikaner-Gajner | गुर्र त / Gujarat: To control under drawl</x:v>
      </x:c>
      <x:c r="J112" s="32" t="str">
        <x:v>https://grid-india.in/en/reports/daily-vre-report</x:v>
      </x:c>
      <x:c r="K112" s="32" t="str">
        <x:v>https://sanketik-sankhyaki.github.io/Renewable-Energy-Curtailment-Tracker/curtailment_history.csv</x:v>
      </x:c>
    </x:row>
    <x:row r="113">
      <x:c r="A113" s="26" t="n">
        <x:v>46233</x:v>
      </x:c>
      <x:c r="B113" s="28" t="n">
        <x:v>0</x:v>
      </x:c>
      <x:c r="C113" s="30" t="n">
        <x:v>0</x:v>
      </x:c>
      <x:c r="D113" s="30" t="n">
        <x:v>0</x:v>
      </x:c>
      <x:c r="E113" s="30" t="n">
        <x:v>0</x:v>
      </x:c>
      <x:c r="F113" s="30" t="n">
        <x:f>C113+E113</x:f>
        <x:v>0</x:v>
      </x:c>
      <x:c r="G113" s="30" t="n">
        <x:v>0</x:v>
      </x:c>
      <x:c r="H113" s="30" t="n">
        <x:f>F113-G113</x:f>
        <x:v>0</x:v>
      </x:c>
      <x:c r="I113" s="32" t="str">
        <x:v>No curtailment</x:v>
      </x:c>
      <x:c r="J113" s="32" t="str">
        <x:v>https://grid-india.in/en/reports/daily-vre-report</x:v>
      </x:c>
      <x:c r="K113" s="32" t="str">
        <x:v>https://sanketik-sankhyaki.github.io/Renewable-Energy-Curtailment-Tracker/curtailment_history.csv</x:v>
      </x:c>
    </x:row>
    <x:row r="114">
      <x:c r="A114" s="26" t="n">
        <x:v>46234</x:v>
      </x:c>
      <x:c r="B114" s="28" t="n">
        <x:v>0</x:v>
      </x:c>
      <x:c r="C114" s="30" t="n">
        <x:v>0</x:v>
      </x:c>
      <x:c r="D114" s="30" t="n">
        <x:v>0</x:v>
      </x:c>
      <x:c r="E114" s="30" t="n">
        <x:v>0</x:v>
      </x:c>
      <x:c r="F114" s="30" t="n">
        <x:f>C114+E114</x:f>
        <x:v>0</x:v>
      </x:c>
      <x:c r="G114" s="30" t="n">
        <x:v>0</x:v>
      </x:c>
      <x:c r="H114" s="30" t="n">
        <x:f>F114-G114</x:f>
        <x:v>0</x:v>
      </x:c>
      <x:c r="I114" s="32" t="str">
        <x:v>No curtailment</x:v>
      </x:c>
      <x:c r="J114" s="32" t="str">
        <x:v>https://grid-india.in/en/reports/daily-vre-report</x:v>
      </x:c>
      <x:c r="K114" s="32" t="str">
        <x:v>https://sanketik-sankhyaki.github.io/Renewable-Energy-Curtailment-Tracker/curtailment_history.csv</x:v>
      </x:c>
    </x:row>
    <x:row r="115">
      <x:c r="A115" s="26" t="n">
        <x:v>46235</x:v>
      </x:c>
      <x:c r="B115" s="28" t="n">
        <x:v>1828</x:v>
      </x:c>
      <x:c r="C115" s="30" t="n">
        <x:v>3.34</x:v>
      </x:c>
      <x:c r="D115" s="30" t="n">
        <x:v>2712</x:v>
      </x:c>
      <x:c r="E115" s="30" t="n">
        <x:v>11.78</x:v>
      </x:c>
      <x:c r="F115" s="30" t="n">
        <x:f>C115+E115</x:f>
        <x:v>15.12</x:v>
      </x:c>
      <x:c r="G115" s="30" t="n">
        <x:v>15.12</x:v>
      </x:c>
      <x:c r="H115" s="30" t="n">
        <x:f>F115-G115</x:f>
        <x:v>0</x:v>
      </x:c>
      <x:c r="I115" s="32" t="str">
        <x:v>गुर्र त / Gujarat: To control Under Drawl | मह र ष्ट्र / Maharashtra: To control heavy underdrawal (1230MW) at high frequency.</x:v>
      </x:c>
      <x:c r="J115" s="32" t="str">
        <x:v>https://grid-india.in/en/reports/daily-vre-report</x:v>
      </x:c>
      <x:c r="K115" s="32" t="str">
        <x:v>https://sanketik-sankhyaki.github.io/Renewable-Energy-Curtailment-Tracker/curtailment_history.csv</x:v>
      </x:c>
    </x:row>
    <x:row r="116">
      <x:c r="A116" s="26" t="n">
        <x:v>46236</x:v>
      </x:c>
      <x:c r="B116" s="28" t="n">
        <x:v>0</x:v>
      </x:c>
      <x:c r="C116" s="30" t="n">
        <x:v>0</x:v>
      </x:c>
      <x:c r="D116" s="30" t="n">
        <x:v>1413</x:v>
      </x:c>
      <x:c r="E116" s="30" t="n">
        <x:v>3.84</x:v>
      </x:c>
      <x:c r="F116" s="30" t="n">
        <x:f>C116+E116</x:f>
        <x:v>3.84</x:v>
      </x:c>
      <x:c r="G116" s="30" t="n">
        <x:v>3.84</x:v>
      </x:c>
      <x:c r="H116" s="30" t="n">
        <x:f>F116-G116</x:f>
        <x:v>0</x:v>
      </x:c>
      <x:c r="I116" s="32" t="str">
        <x:v>मह र ष्ट्ट्र / Maharashtra: To control heavy underdrawal (1230MW) at high frequency.</x:v>
      </x:c>
      <x:c r="J116" s="32" t="str">
        <x:v>https://grid-india.in/en/reports/daily-vre-report</x:v>
      </x:c>
      <x:c r="K116" s="32" t="str">
        <x:v>https://sanketik-sankhyaki.github.io/Renewable-Energy-Curtailment-Tracker/curtailment_history.csv</x:v>
      </x:c>
    </x:row>
    <x:row r="117">
      <x:c r="A117" s="26" t="n">
        <x:v>46237</x:v>
      </x:c>
      <x:c r="B117" s="28" t="n">
        <x:v>1295</x:v>
      </x:c>
      <x:c r="C117" s="30" t="n">
        <x:v>1.98</x:v>
      </x:c>
      <x:c r="D117" s="30" t="n">
        <x:v>3365</x:v>
      </x:c>
      <x:c r="E117" s="30" t="n">
        <x:v>5.49</x:v>
      </x:c>
      <x:c r="F117" s="30" t="n">
        <x:f>C117+E117</x:f>
        <x:v>7.470000000000001</x:v>
      </x:c>
      <x:c r="G117" s="30" t="n">
        <x:v>7.47</x:v>
      </x:c>
      <x:c r="H117" s="30" t="n">
        <x:f>F117-G117</x:f>
        <x:v>8.881784197001252e-16</x:v>
      </x:c>
      <x:c r="I117" s="32" t="str">
        <x:v>गर्ुर त / Gujarat: To control heavy underdrawal (1230MW) at high frequency.</x:v>
      </x:c>
      <x:c r="J117" s="32" t="str">
        <x:v>https://grid-india.in/en/reports/daily-vre-report</x:v>
      </x:c>
      <x:c r="K117" s="32" t="str">
        <x:v>https://sanketik-sankhyaki.github.io/Renewable-Energy-Curtailment-Tracker/curtailment_history.csv</x:v>
      </x:c>
    </x:row>
    <x:row r="118">
      <x:c r="A118" s="26" t="n">
        <x:v>46238</x:v>
      </x:c>
      <x:c r="B118" s="28" t="n">
        <x:v>1046</x:v>
      </x:c>
      <x:c r="C118" s="30" t="n">
        <x:v>1.73</x:v>
      </x:c>
      <x:c r="D118" s="30" t="n">
        <x:v>3838</x:v>
      </x:c>
      <x:c r="E118" s="30" t="n">
        <x:v>7.41</x:v>
      </x:c>
      <x:c r="F118" s="30" t="n">
        <x:f>C118+E118</x:f>
        <x:v>9.14</x:v>
      </x:c>
      <x:c r="G118" s="30" t="n">
        <x:v>9.14</x:v>
      </x:c>
      <x:c r="H118" s="30" t="n">
        <x:f>F118-G118</x:f>
        <x:v>0</x:v>
      </x:c>
      <x:c r="I118" s="32" t="str">
        <x:v>गुर्र त / Gujarat: To control heavy underdrawal (1230MW) at high frequency.</x:v>
      </x:c>
      <x:c r="J118" s="32" t="str">
        <x:v>https://grid-india.in/en/reports/daily-vre-report</x:v>
      </x:c>
      <x:c r="K118" s="32" t="str">
        <x:v>https://sanketik-sankhyaki.github.io/Renewable-Energy-Curtailment-Tracker/curtailment_history.csv</x:v>
      </x:c>
    </x:row>
    <x:row r="119">
      <x:c r="A119" s="26" t="n">
        <x:v>46241</x:v>
      </x:c>
      <x:c r="B119" s="28" t="n">
        <x:v>2531</x:v>
      </x:c>
      <x:c r="C119" s="30" t="n">
        <x:v>5.7</x:v>
      </x:c>
      <x:c r="D119" s="30" t="n">
        <x:v>2785</x:v>
      </x:c>
      <x:c r="E119" s="30" t="n">
        <x:v>7.28</x:v>
      </x:c>
      <x:c r="F119" s="30" t="n">
        <x:f>C119+E119</x:f>
        <x:v>12.98</x:v>
      </x:c>
      <x:c r="G119" s="30" t="n">
        <x:v>12.98</x:v>
      </x:c>
      <x:c r="H119" s="30" t="n">
        <x:f>F119-G119</x:f>
        <x:v>0</x:v>
      </x:c>
      <x:c r="I119" s="32" t="str">
        <x:v>गर्ुर त / Gujarat: To control underdrawal</x:v>
      </x:c>
      <x:c r="J119" s="32" t="str">
        <x:v>https://grid-india.in/en/reports/daily-vre-report</x:v>
      </x:c>
      <x:c r="K119" s="32" t="str">
        <x:v>https://sanketik-sankhyaki.github.io/Renewable-Energy-Curtailment-Tracker/curtailment_history.csv</x:v>
      </x:c>
    </x:row>
    <x:row r="120">
      <x:c r="A120" s="26" t="n">
        <x:v>46243</x:v>
      </x:c>
      <x:c r="B120" s="28" t="n">
        <x:v>983</x:v>
      </x:c>
      <x:c r="C120" s="30" t="n">
        <x:v>1.41</x:v>
      </x:c>
      <x:c r="D120" s="30" t="n">
        <x:v>4076</x:v>
      </x:c>
      <x:c r="E120" s="30" t="n">
        <x:v>6.21</x:v>
      </x:c>
      <x:c r="F120" s="30" t="n">
        <x:f>C120+E120</x:f>
        <x:v>7.62</x:v>
      </x:c>
      <x:c r="G120" s="30" t="n">
        <x:v>7.62</x:v>
      </x:c>
      <x:c r="H120" s="30" t="n">
        <x:f>F120-G120</x:f>
        <x:v>0</x:v>
      </x:c>
      <x:c r="I120" s="32" t="str">
        <x:v>गर्ुर त / Gujarat: To control UD In view of the system requirement and grid sec</x:v>
      </x:c>
      <x:c r="J120" s="32" t="str">
        <x:v>https://grid-india.in/en/reports/daily-vre-report</x:v>
      </x:c>
      <x:c r="K120" s="32" t="str">
        <x:v>https://sanketik-sankhyaki.github.io/Renewable-Energy-Curtailment-Tracker/curtailment_history.csv</x:v>
      </x:c>
    </x:row>
    <x:row r="121">
      <x:c r="A121" s="26" t="n">
        <x:v>46244</x:v>
      </x:c>
      <x:c r="B121" s="28" t="n">
        <x:v>0</x:v>
      </x:c>
      <x:c r="C121" s="30" t="n">
        <x:v>0</x:v>
      </x:c>
      <x:c r="D121" s="30" t="n">
        <x:v>0</x:v>
      </x:c>
      <x:c r="E121" s="30" t="n">
        <x:v>0</x:v>
      </x:c>
      <x:c r="F121" s="30" t="n">
        <x:f>C121+E121</x:f>
        <x:v>0</x:v>
      </x:c>
      <x:c r="G121" s="30" t="n">
        <x:v>0</x:v>
      </x:c>
      <x:c r="H121" s="30" t="n">
        <x:f>F121-G121</x:f>
        <x:v>0</x:v>
      </x:c>
      <x:c r="I121" s="32" t="str">
        <x:v>No curtailment</x:v>
      </x:c>
      <x:c r="J121" s="32" t="str">
        <x:v>https://grid-india.in/en/reports/daily-vre-report</x:v>
      </x:c>
      <x:c r="K121" s="32" t="str">
        <x:v>https://sanketik-sankhyaki.github.io/Renewable-Energy-Curtailment-Tracker/curtailment_history.csv</x:v>
      </x:c>
    </x:row>
    <x:row r="122">
      <x:c r="A122" s="26" t="n">
        <x:v>46245</x:v>
      </x:c>
      <x:c r="B122" s="28" t="n">
        <x:v>0</x:v>
      </x:c>
      <x:c r="C122" s="30" t="n">
        <x:v>0</x:v>
      </x:c>
      <x:c r="D122" s="30" t="n">
        <x:v>0</x:v>
      </x:c>
      <x:c r="E122" s="30" t="n">
        <x:v>0</x:v>
      </x:c>
      <x:c r="F122" s="30" t="n">
        <x:f>C122+E122</x:f>
        <x:v>0</x:v>
      </x:c>
      <x:c r="G122" s="30" t="n">
        <x:v>0</x:v>
      </x:c>
      <x:c r="H122" s="30" t="n">
        <x:f>F122-G122</x:f>
        <x:v>0</x:v>
      </x:c>
      <x:c r="I122" s="32" t="str">
        <x:v>No curtailment</x:v>
      </x:c>
      <x:c r="J122" s="32" t="str">
        <x:v>https://grid-india.in/en/reports/daily-vre-report</x:v>
      </x:c>
      <x:c r="K122" s="32" t="str">
        <x:v>https://sanketik-sankhyaki.github.io/Renewable-Energy-Curtailment-Tracker/curtailment_history.csv</x:v>
      </x:c>
    </x:row>
  </x:sheetData>
  <x:mergeCells>
    <x:mergeCell ref="A1:K1"/>
    <x:mergeCell ref="A2:K2"/>
  </x:mergeCells>
  <x:conditionalFormatting sqref="H5:H122">
    <x:cfRule type="expression" dxfId="0" priority="1">
      <x:formula>ABS(H5)&gt;0.01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fbb65837b74c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40" hidden="0" customWidth="1"/>
  </x:cols>
  <x:sheetData>
    <x:row r="1">
      <x:c r="A1" s="5" t="str">
        <x:v>Calendar Coverage / Missing Report Dates</x:v>
      </x:c>
      <x:c r="B1" s="5"/>
      <x:c r="C1" s="5"/>
      <x:c r="D1" s="5"/>
    </x:row>
    <x:row r="2">
      <x:c r="A2" s="12" t="str">
        <x:v>Missing means the date is absent from the extracted source dataset; it is not treated as zero curtailment.</x:v>
      </x:c>
      <x:c r="B2" s="12"/>
      <x:c r="C2" s="12"/>
      <x:c r="D2" s="12"/>
    </x:row>
    <x:row r="4">
      <x:c r="A4" s="20" t="str">
        <x:v>Date</x:v>
      </x:c>
      <x:c r="B4" s="20" t="str">
        <x:v>Status</x:v>
      </x:c>
      <x:c r="C4" s="20" t="str">
        <x:v>Section 8 Total (MU)</x:v>
      </x:c>
      <x:c r="D4" s="20" t="str">
        <x:v>Comment</x:v>
      </x:c>
    </x:row>
    <x:row r="5">
      <x:c r="A5" s="26" t="n">
        <x:v>46113</x:v>
      </x:c>
      <x:c r="B5" t="str">
        <x:v>Available</x:v>
      </x:c>
      <x:c r="C5" s="30" t="n">
        <x:v>5.99</x:v>
      </x:c>
      <x:c r="D5" t="str"/>
    </x:row>
    <x:row r="6">
      <x:c r="A6" s="26" t="n">
        <x:v>46114</x:v>
      </x:c>
      <x:c r="B6" t="str">
        <x:v>Available</x:v>
      </x:c>
      <x:c r="C6" s="30" t="n">
        <x:v>6.28</x:v>
      </x:c>
      <x:c r="D6" t="str"/>
    </x:row>
    <x:row r="7">
      <x:c r="A7" s="26" t="n">
        <x:v>46115</x:v>
      </x:c>
      <x:c r="B7" t="str">
        <x:v>Available</x:v>
      </x:c>
      <x:c r="C7" s="30" t="n">
        <x:v>0</x:v>
      </x:c>
      <x:c r="D7" t="str"/>
    </x:row>
    <x:row r="8">
      <x:c r="A8" s="26" t="n">
        <x:v>46116</x:v>
      </x:c>
      <x:c r="B8" t="str">
        <x:v>Available</x:v>
      </x:c>
      <x:c r="C8" s="30" t="n">
        <x:v>0.86</x:v>
      </x:c>
      <x:c r="D8" t="str"/>
    </x:row>
    <x:row r="9">
      <x:c r="A9" s="26" t="n">
        <x:v>46117</x:v>
      </x:c>
      <x:c r="B9" t="str">
        <x:v>Available</x:v>
      </x:c>
      <x:c r="C9" s="30" t="n">
        <x:v>9.66</x:v>
      </x:c>
      <x:c r="D9" t="str"/>
    </x:row>
    <x:row r="10">
      <x:c r="A10" s="26" t="n">
        <x:v>46118</x:v>
      </x:c>
      <x:c r="B10" t="str">
        <x:v>Available</x:v>
      </x:c>
      <x:c r="C10" s="30" t="n">
        <x:v>11.56</x:v>
      </x:c>
      <x:c r="D10" t="str"/>
    </x:row>
    <x:row r="11">
      <x:c r="A11" s="26" t="n">
        <x:v>46119</x:v>
      </x:c>
      <x:c r="B11" t="str">
        <x:v>Available</x:v>
      </x:c>
      <x:c r="C11" s="30" t="n">
        <x:v>17.06</x:v>
      </x:c>
      <x:c r="D11" t="str"/>
    </x:row>
    <x:row r="12">
      <x:c r="A12" s="26" t="n">
        <x:v>46120</x:v>
      </x:c>
      <x:c r="B12" t="str">
        <x:v>Available</x:v>
      </x:c>
      <x:c r="C12" s="30" t="n">
        <x:v>17.69</x:v>
      </x:c>
      <x:c r="D12" t="str"/>
    </x:row>
    <x:row r="13">
      <x:c r="A13" s="26" t="n">
        <x:v>46121</x:v>
      </x:c>
      <x:c r="B13" t="str">
        <x:v>Available</x:v>
      </x:c>
      <x:c r="C13" s="30" t="n">
        <x:v>11.76</x:v>
      </x:c>
      <x:c r="D13" t="str"/>
    </x:row>
    <x:row r="14">
      <x:c r="A14" s="26" t="n">
        <x:v>46122</x:v>
      </x:c>
      <x:c r="B14" t="str">
        <x:v>Available</x:v>
      </x:c>
      <x:c r="C14" s="30" t="n">
        <x:v>15.79</x:v>
      </x:c>
      <x:c r="D14" t="str"/>
    </x:row>
    <x:row r="15">
      <x:c r="A15" s="26" t="n">
        <x:v>46123</x:v>
      </x:c>
      <x:c r="B15" t="str">
        <x:v>Available</x:v>
      </x:c>
      <x:c r="C15" s="30" t="n">
        <x:v>8.81</x:v>
      </x:c>
      <x:c r="D15" t="str"/>
    </x:row>
    <x:row r="16">
      <x:c r="A16" s="26" t="n">
        <x:v>46124</x:v>
      </x:c>
      <x:c r="B16" t="str">
        <x:v>Available</x:v>
      </x:c>
      <x:c r="C16" s="30" t="n">
        <x:v>15.04</x:v>
      </x:c>
      <x:c r="D16" t="str"/>
    </x:row>
    <x:row r="17">
      <x:c r="A17" s="26" t="n">
        <x:v>46125</x:v>
      </x:c>
      <x:c r="B17" t="str">
        <x:v>Available</x:v>
      </x:c>
      <x:c r="C17" s="30" t="n">
        <x:v>5.77</x:v>
      </x:c>
      <x:c r="D17" t="str"/>
    </x:row>
    <x:row r="18">
      <x:c r="A18" s="26" t="n">
        <x:v>46126</x:v>
      </x:c>
      <x:c r="B18" t="str">
        <x:v>Available</x:v>
      </x:c>
      <x:c r="C18" s="30" t="n">
        <x:v>7.7</x:v>
      </x:c>
      <x:c r="D18" t="str"/>
    </x:row>
    <x:row r="19">
      <x:c r="A19" s="26" t="n">
        <x:v>46127</x:v>
      </x:c>
      <x:c r="B19" t="str">
        <x:v>Available</x:v>
      </x:c>
      <x:c r="C19" s="30" t="n">
        <x:v>8.02</x:v>
      </x:c>
      <x:c r="D19" t="str"/>
    </x:row>
    <x:row r="20">
      <x:c r="A20" s="26" t="n">
        <x:v>46128</x:v>
      </x:c>
      <x:c r="B20" t="str">
        <x:v>Available</x:v>
      </x:c>
      <x:c r="C20" s="30" t="n">
        <x:v>4.42</x:v>
      </x:c>
      <x:c r="D20" t="str"/>
    </x:row>
    <x:row r="21">
      <x:c r="A21" s="26" t="n">
        <x:v>46129</x:v>
      </x:c>
      <x:c r="B21" t="str">
        <x:v>Available</x:v>
      </x:c>
      <x:c r="C21" s="30" t="n">
        <x:v>9.88</x:v>
      </x:c>
      <x:c r="D21" t="str"/>
    </x:row>
    <x:row r="22">
      <x:c r="A22" s="26" t="n">
        <x:v>46130</x:v>
      </x:c>
      <x:c r="B22" t="str">
        <x:v>Available</x:v>
      </x:c>
      <x:c r="C22" s="30" t="n">
        <x:v>3.95</x:v>
      </x:c>
      <x:c r="D22" t="str"/>
    </x:row>
    <x:row r="23">
      <x:c r="A23" s="26" t="n">
        <x:v>46131</x:v>
      </x:c>
      <x:c r="B23" t="str">
        <x:v>Available</x:v>
      </x:c>
      <x:c r="C23" s="30" t="n">
        <x:v>7.6</x:v>
      </x:c>
      <x:c r="D23" t="str"/>
    </x:row>
    <x:row r="24">
      <x:c r="A24" s="26" t="n">
        <x:v>46132</x:v>
      </x:c>
      <x:c r="B24" t="str">
        <x:v>Available</x:v>
      </x:c>
      <x:c r="C24" s="30" t="n">
        <x:v>4.4</x:v>
      </x:c>
      <x:c r="D24" t="str"/>
    </x:row>
    <x:row r="25">
      <x:c r="A25" s="26" t="n">
        <x:v>46133</x:v>
      </x:c>
      <x:c r="B25" t="str">
        <x:v>Available</x:v>
      </x:c>
      <x:c r="C25" s="30" t="n">
        <x:v>9.93</x:v>
      </x:c>
      <x:c r="D25" t="str"/>
    </x:row>
    <x:row r="26">
      <x:c r="A26" s="26" t="n">
        <x:v>46134</x:v>
      </x:c>
      <x:c r="B26" t="str">
        <x:v>Available</x:v>
      </x:c>
      <x:c r="C26" s="30" t="n">
        <x:v>12.72</x:v>
      </x:c>
      <x:c r="D26" t="str"/>
    </x:row>
    <x:row r="27">
      <x:c r="A27" s="26" t="n">
        <x:v>46135</x:v>
      </x:c>
      <x:c r="B27" t="str">
        <x:v>Available</x:v>
      </x:c>
      <x:c r="C27" s="30" t="n">
        <x:v>6.19</x:v>
      </x:c>
      <x:c r="D27" t="str"/>
    </x:row>
    <x:row r="28">
      <x:c r="A28" s="26" t="n">
        <x:v>46136</x:v>
      </x:c>
      <x:c r="B28" t="str">
        <x:v>Available</x:v>
      </x:c>
      <x:c r="C28" s="30" t="n">
        <x:v>3.64</x:v>
      </x:c>
      <x:c r="D28" t="str"/>
    </x:row>
    <x:row r="29">
      <x:c r="A29" s="26" t="n">
        <x:v>46137</x:v>
      </x:c>
      <x:c r="B29" t="str">
        <x:v>Available</x:v>
      </x:c>
      <x:c r="C29" s="30" t="n">
        <x:v>0.42</x:v>
      </x:c>
      <x:c r="D29" t="str"/>
    </x:row>
    <x:row r="30">
      <x:c r="A30" s="26" t="n">
        <x:v>46138</x:v>
      </x:c>
      <x:c r="B30" t="str">
        <x:v>Available</x:v>
      </x:c>
      <x:c r="C30" s="30" t="n">
        <x:v>8.3</x:v>
      </x:c>
      <x:c r="D30" t="str"/>
    </x:row>
    <x:row r="31">
      <x:c r="A31" s="26" t="n">
        <x:v>46139</x:v>
      </x:c>
      <x:c r="B31" t="str">
        <x:v>Available</x:v>
      </x:c>
      <x:c r="C31" s="30" t="n">
        <x:v>8.71</x:v>
      </x:c>
      <x:c r="D31" t="str"/>
    </x:row>
    <x:row r="32">
      <x:c r="A32" s="26" t="n">
        <x:v>46140</x:v>
      </x:c>
      <x:c r="B32" t="str">
        <x:v>Available</x:v>
      </x:c>
      <x:c r="C32" s="30" t="n">
        <x:v>8.28</x:v>
      </x:c>
      <x:c r="D32" t="str"/>
    </x:row>
    <x:row r="33">
      <x:c r="A33" s="26" t="n">
        <x:v>46141</x:v>
      </x:c>
      <x:c r="B33" t="str">
        <x:v>Available</x:v>
      </x:c>
      <x:c r="C33" s="30" t="n">
        <x:v>10.47</x:v>
      </x:c>
      <x:c r="D33" t="str"/>
    </x:row>
    <x:row r="34">
      <x:c r="A34" s="26" t="n">
        <x:v>46142</x:v>
      </x:c>
      <x:c r="B34" t="str">
        <x:v>Available</x:v>
      </x:c>
      <x:c r="C34" s="30" t="n">
        <x:v>8.66</x:v>
      </x:c>
      <x:c r="D34" t="str"/>
    </x:row>
    <x:row r="35">
      <x:c r="A35" s="26" t="n">
        <x:v>46143</x:v>
      </x:c>
      <x:c r="B35" t="str">
        <x:v>Available</x:v>
      </x:c>
      <x:c r="C35" s="30" t="n">
        <x:v>21.97</x:v>
      </x:c>
      <x:c r="D35" t="str"/>
    </x:row>
    <x:row r="36">
      <x:c r="A36" s="26" t="n">
        <x:v>46144</x:v>
      </x:c>
      <x:c r="B36" t="str">
        <x:v>Available</x:v>
      </x:c>
      <x:c r="C36" s="30" t="n">
        <x:v>9</x:v>
      </x:c>
      <x:c r="D36" t="str"/>
    </x:row>
    <x:row r="37">
      <x:c r="A37" s="26" t="n">
        <x:v>46145</x:v>
      </x:c>
      <x:c r="B37" t="str">
        <x:v>Available</x:v>
      </x:c>
      <x:c r="C37" s="30" t="n">
        <x:v>22.48</x:v>
      </x:c>
      <x:c r="D37" t="str"/>
    </x:row>
    <x:row r="38">
      <x:c r="A38" s="26" t="n">
        <x:v>46146</x:v>
      </x:c>
      <x:c r="B38" t="str">
        <x:v>Available</x:v>
      </x:c>
      <x:c r="C38" s="30" t="n">
        <x:v>4.5</x:v>
      </x:c>
      <x:c r="D38" t="str"/>
    </x:row>
    <x:row r="39">
      <x:c r="A39" s="26" t="n">
        <x:v>46147</x:v>
      </x:c>
      <x:c r="B39" t="str">
        <x:v>Available</x:v>
      </x:c>
      <x:c r="C39" s="30" t="n">
        <x:v>0.66</x:v>
      </x:c>
      <x:c r="D39" t="str"/>
    </x:row>
    <x:row r="40">
      <x:c r="A40" s="26" t="n">
        <x:v>46148</x:v>
      </x:c>
      <x:c r="B40" t="str">
        <x:v>Available</x:v>
      </x:c>
      <x:c r="C40" s="30" t="n">
        <x:v>0</x:v>
      </x:c>
      <x:c r="D40" t="str"/>
    </x:row>
    <x:row r="41">
      <x:c r="A41" s="26" t="n">
        <x:v>46149</x:v>
      </x:c>
      <x:c r="B41" t="str">
        <x:v>Available</x:v>
      </x:c>
      <x:c r="C41" s="30" t="n">
        <x:v>5.39</x:v>
      </x:c>
      <x:c r="D41" t="str"/>
    </x:row>
    <x:row r="42">
      <x:c r="A42" s="26" t="n">
        <x:v>46150</x:v>
      </x:c>
      <x:c r="B42" t="str">
        <x:v>Available</x:v>
      </x:c>
      <x:c r="C42" s="30" t="n">
        <x:v>1.68</x:v>
      </x:c>
      <x:c r="D42" t="str"/>
    </x:row>
    <x:row r="43">
      <x:c r="A43" s="26" t="n">
        <x:v>46151</x:v>
      </x:c>
      <x:c r="B43" t="str">
        <x:v>Available</x:v>
      </x:c>
      <x:c r="C43" s="30" t="n">
        <x:v>2.44</x:v>
      </x:c>
      <x:c r="D43" t="str"/>
    </x:row>
    <x:row r="44">
      <x:c r="A44" s="26" t="n">
        <x:v>46152</x:v>
      </x:c>
      <x:c r="B44" t="str">
        <x:v>Available</x:v>
      </x:c>
      <x:c r="C44" s="30" t="n">
        <x:v>8.46</x:v>
      </x:c>
      <x:c r="D44" t="str"/>
    </x:row>
    <x:row r="45">
      <x:c r="A45" s="26" t="n">
        <x:v>46153</x:v>
      </x:c>
      <x:c r="B45" t="str">
        <x:v>Available</x:v>
      </x:c>
      <x:c r="C45" s="30" t="n">
        <x:v>4.65</x:v>
      </x:c>
      <x:c r="D45" t="str"/>
    </x:row>
    <x:row r="46">
      <x:c r="A46" s="26" t="n">
        <x:v>46154</x:v>
      </x:c>
      <x:c r="B46" t="str">
        <x:v>Available</x:v>
      </x:c>
      <x:c r="C46" s="30" t="n">
        <x:v>3.03</x:v>
      </x:c>
      <x:c r="D46" t="str"/>
    </x:row>
    <x:row r="47">
      <x:c r="A47" s="26" t="n">
        <x:v>46155</x:v>
      </x:c>
      <x:c r="B47" t="str">
        <x:v>Available</x:v>
      </x:c>
      <x:c r="C47" s="30" t="n">
        <x:v>8.31</x:v>
      </x:c>
      <x:c r="D47" t="str"/>
    </x:row>
    <x:row r="48">
      <x:c r="A48" s="26" t="n">
        <x:v>46156</x:v>
      </x:c>
      <x:c r="B48" t="str">
        <x:v>Available</x:v>
      </x:c>
      <x:c r="C48" s="30" t="n">
        <x:v>7.77</x:v>
      </x:c>
      <x:c r="D48" t="str"/>
    </x:row>
    <x:row r="49">
      <x:c r="A49" s="26" t="n">
        <x:v>46157</x:v>
      </x:c>
      <x:c r="B49" t="str">
        <x:v>Available</x:v>
      </x:c>
      <x:c r="C49" s="30" t="n">
        <x:v>8.16</x:v>
      </x:c>
      <x:c r="D49" t="str"/>
    </x:row>
    <x:row r="50">
      <x:c r="A50" s="26" t="n">
        <x:v>46158</x:v>
      </x:c>
      <x:c r="B50" t="str">
        <x:v>Available</x:v>
      </x:c>
      <x:c r="C50" s="30" t="n">
        <x:v>0.51</x:v>
      </x:c>
      <x:c r="D50" t="str"/>
    </x:row>
    <x:row r="51">
      <x:c r="A51" s="26" t="n">
        <x:v>46159</x:v>
      </x:c>
      <x:c r="B51" t="str">
        <x:v>Available</x:v>
      </x:c>
      <x:c r="C51" s="30" t="n">
        <x:v>4.14</x:v>
      </x:c>
      <x:c r="D51" t="str"/>
    </x:row>
    <x:row r="52">
      <x:c r="A52" s="26" t="n">
        <x:v>46160</x:v>
      </x:c>
      <x:c r="B52" t="str">
        <x:v>Available</x:v>
      </x:c>
      <x:c r="C52" s="30" t="n">
        <x:v>4.56</x:v>
      </x:c>
      <x:c r="D52" t="str"/>
    </x:row>
    <x:row r="53">
      <x:c r="A53" s="26" t="n">
        <x:v>46161</x:v>
      </x:c>
      <x:c r="B53" t="str">
        <x:v>Available</x:v>
      </x:c>
      <x:c r="C53" s="30" t="n">
        <x:v>5.63</x:v>
      </x:c>
      <x:c r="D53" t="str"/>
    </x:row>
    <x:row r="54">
      <x:c r="A54" s="26" t="n">
        <x:v>46162</x:v>
      </x:c>
      <x:c r="B54" t="str">
        <x:v>Available</x:v>
      </x:c>
      <x:c r="C54" s="30" t="n">
        <x:v>4.31</x:v>
      </x:c>
      <x:c r="D54" t="str"/>
    </x:row>
    <x:row r="55">
      <x:c r="A55" s="26" t="n">
        <x:v>46163</x:v>
      </x:c>
      <x:c r="B55" t="str">
        <x:v>Available</x:v>
      </x:c>
      <x:c r="C55" s="30" t="n">
        <x:v>10.24</x:v>
      </x:c>
      <x:c r="D55" t="str"/>
    </x:row>
    <x:row r="56">
      <x:c r="A56" s="26" t="n">
        <x:v>46164</x:v>
      </x:c>
      <x:c r="B56" t="str">
        <x:v>Available</x:v>
      </x:c>
      <x:c r="C56" s="30" t="n">
        <x:v>0.98</x:v>
      </x:c>
      <x:c r="D56" t="str"/>
    </x:row>
    <x:row r="57">
      <x:c r="A57" s="26" t="n">
        <x:v>46165</x:v>
      </x:c>
      <x:c r="B57" t="str">
        <x:v>Available</x:v>
      </x:c>
      <x:c r="C57" s="30" t="n">
        <x:v>1.86</x:v>
      </x:c>
      <x:c r="D57" t="str"/>
    </x:row>
    <x:row r="58">
      <x:c r="A58" s="26" t="n">
        <x:v>46166</x:v>
      </x:c>
      <x:c r="B58" t="str">
        <x:v>Available</x:v>
      </x:c>
      <x:c r="C58" s="30" t="n">
        <x:v>16.15</x:v>
      </x:c>
      <x:c r="D58" t="str"/>
    </x:row>
    <x:row r="59">
      <x:c r="A59" s="26" t="n">
        <x:v>46167</x:v>
      </x:c>
      <x:c r="B59" t="str">
        <x:v>Available</x:v>
      </x:c>
      <x:c r="C59" s="30" t="n">
        <x:v>4.75</x:v>
      </x:c>
      <x:c r="D59" t="str"/>
    </x:row>
    <x:row r="60">
      <x:c r="A60" s="26" t="n">
        <x:v>46168</x:v>
      </x:c>
      <x:c r="B60" t="str">
        <x:v>Missing in source</x:v>
      </x:c>
      <x:c r="C60" s="30"/>
      <x:c r="D60" t="str">
        <x:v>No report row in extracted source dataset</x:v>
      </x:c>
    </x:row>
    <x:row r="61">
      <x:c r="A61" s="26" t="n">
        <x:v>46169</x:v>
      </x:c>
      <x:c r="B61" t="str">
        <x:v>Available</x:v>
      </x:c>
      <x:c r="C61" s="30" t="n">
        <x:v>6.03</x:v>
      </x:c>
      <x:c r="D61" t="str"/>
    </x:row>
    <x:row r="62">
      <x:c r="A62" s="26" t="n">
        <x:v>46170</x:v>
      </x:c>
      <x:c r="B62" t="str">
        <x:v>Available</x:v>
      </x:c>
      <x:c r="C62" s="30" t="n">
        <x:v>4.1</x:v>
      </x:c>
      <x:c r="D62" t="str"/>
    </x:row>
    <x:row r="63">
      <x:c r="A63" s="26" t="n">
        <x:v>46171</x:v>
      </x:c>
      <x:c r="B63" t="str">
        <x:v>Available</x:v>
      </x:c>
      <x:c r="C63" s="30" t="n">
        <x:v>14.09</x:v>
      </x:c>
      <x:c r="D63" t="str"/>
    </x:row>
    <x:row r="64">
      <x:c r="A64" s="26" t="n">
        <x:v>46172</x:v>
      </x:c>
      <x:c r="B64" t="str">
        <x:v>Available</x:v>
      </x:c>
      <x:c r="C64" s="30" t="n">
        <x:v>11.01</x:v>
      </x:c>
      <x:c r="D64" t="str"/>
    </x:row>
    <x:row r="65">
      <x:c r="A65" s="26" t="n">
        <x:v>46173</x:v>
      </x:c>
      <x:c r="B65" t="str">
        <x:v>Available</x:v>
      </x:c>
      <x:c r="C65" s="30" t="n">
        <x:v>14.12</x:v>
      </x:c>
      <x:c r="D65" t="str"/>
    </x:row>
    <x:row r="66">
      <x:c r="A66" s="26" t="n">
        <x:v>46174</x:v>
      </x:c>
      <x:c r="B66" t="str">
        <x:v>Missing in source</x:v>
      </x:c>
      <x:c r="C66" s="30"/>
      <x:c r="D66" t="str">
        <x:v>No report row in extracted source dataset</x:v>
      </x:c>
    </x:row>
    <x:row r="67">
      <x:c r="A67" s="26" t="n">
        <x:v>46175</x:v>
      </x:c>
      <x:c r="B67" t="str">
        <x:v>Missing in source</x:v>
      </x:c>
      <x:c r="C67" s="30"/>
      <x:c r="D67" t="str">
        <x:v>No report row in extracted source dataset</x:v>
      </x:c>
    </x:row>
    <x:row r="68">
      <x:c r="A68" s="26" t="n">
        <x:v>46176</x:v>
      </x:c>
      <x:c r="B68" t="str">
        <x:v>Available</x:v>
      </x:c>
      <x:c r="C68" s="30" t="n">
        <x:v>4.2</x:v>
      </x:c>
      <x:c r="D68" t="str"/>
    </x:row>
    <x:row r="69">
      <x:c r="A69" s="26" t="n">
        <x:v>46177</x:v>
      </x:c>
      <x:c r="B69" t="str">
        <x:v>Available</x:v>
      </x:c>
      <x:c r="C69" s="30" t="n">
        <x:v>13.15</x:v>
      </x:c>
      <x:c r="D69" t="str"/>
    </x:row>
    <x:row r="70">
      <x:c r="A70" s="26" t="n">
        <x:v>46178</x:v>
      </x:c>
      <x:c r="B70" t="str">
        <x:v>Missing in source</x:v>
      </x:c>
      <x:c r="C70" s="30"/>
      <x:c r="D70" t="str">
        <x:v>No report row in extracted source dataset</x:v>
      </x:c>
    </x:row>
    <x:row r="71">
      <x:c r="A71" s="26" t="n">
        <x:v>46179</x:v>
      </x:c>
      <x:c r="B71" t="str">
        <x:v>Missing in source</x:v>
      </x:c>
      <x:c r="C71" s="30"/>
      <x:c r="D71" t="str">
        <x:v>No report row in extracted source dataset</x:v>
      </x:c>
    </x:row>
    <x:row r="72">
      <x:c r="A72" s="26" t="n">
        <x:v>46180</x:v>
      </x:c>
      <x:c r="B72" t="str">
        <x:v>Missing in source</x:v>
      </x:c>
      <x:c r="C72" s="30"/>
      <x:c r="D72" t="str">
        <x:v>No report row in extracted source dataset</x:v>
      </x:c>
    </x:row>
    <x:row r="73">
      <x:c r="A73" s="26" t="n">
        <x:v>46181</x:v>
      </x:c>
      <x:c r="B73" t="str">
        <x:v>Missing in source</x:v>
      </x:c>
      <x:c r="C73" s="30"/>
      <x:c r="D73" t="str">
        <x:v>No report row in extracted source dataset</x:v>
      </x:c>
    </x:row>
    <x:row r="74">
      <x:c r="A74" s="26" t="n">
        <x:v>46182</x:v>
      </x:c>
      <x:c r="B74" t="str">
        <x:v>Missing in source</x:v>
      </x:c>
      <x:c r="C74" s="30"/>
      <x:c r="D74" t="str">
        <x:v>No report row in extracted source dataset</x:v>
      </x:c>
    </x:row>
    <x:row r="75">
      <x:c r="A75" s="26" t="n">
        <x:v>46183</x:v>
      </x:c>
      <x:c r="B75" t="str">
        <x:v>Available</x:v>
      </x:c>
      <x:c r="C75" s="30" t="n">
        <x:v>10.63</x:v>
      </x:c>
      <x:c r="D75" t="str"/>
    </x:row>
    <x:row r="76">
      <x:c r="A76" s="26" t="n">
        <x:v>46184</x:v>
      </x:c>
      <x:c r="B76" t="str">
        <x:v>Available</x:v>
      </x:c>
      <x:c r="C76" s="30" t="n">
        <x:v>3.72</x:v>
      </x:c>
      <x:c r="D76" t="str"/>
    </x:row>
    <x:row r="77">
      <x:c r="A77" s="26" t="n">
        <x:v>46185</x:v>
      </x:c>
      <x:c r="B77" t="str">
        <x:v>Available</x:v>
      </x:c>
      <x:c r="C77" s="30" t="n">
        <x:v>6.69</x:v>
      </x:c>
      <x:c r="D77" t="str"/>
    </x:row>
    <x:row r="78">
      <x:c r="A78" s="26" t="n">
        <x:v>46186</x:v>
      </x:c>
      <x:c r="B78" t="str">
        <x:v>Available</x:v>
      </x:c>
      <x:c r="C78" s="30" t="n">
        <x:v>0</x:v>
      </x:c>
      <x:c r="D78" t="str"/>
    </x:row>
    <x:row r="79">
      <x:c r="A79" s="26" t="n">
        <x:v>46187</x:v>
      </x:c>
      <x:c r="B79" t="str">
        <x:v>Available</x:v>
      </x:c>
      <x:c r="C79" s="30" t="n">
        <x:v>13.85</x:v>
      </x:c>
      <x:c r="D79" t="str"/>
    </x:row>
    <x:row r="80">
      <x:c r="A80" s="26" t="n">
        <x:v>46188</x:v>
      </x:c>
      <x:c r="B80" t="str">
        <x:v>Available</x:v>
      </x:c>
      <x:c r="C80" s="30" t="n">
        <x:v>6.98</x:v>
      </x:c>
      <x:c r="D80" t="str"/>
    </x:row>
    <x:row r="81">
      <x:c r="A81" s="26" t="n">
        <x:v>46189</x:v>
      </x:c>
      <x:c r="B81" t="str">
        <x:v>Available</x:v>
      </x:c>
      <x:c r="C81" s="30" t="n">
        <x:v>0</x:v>
      </x:c>
      <x:c r="D81" t="str"/>
    </x:row>
    <x:row r="82">
      <x:c r="A82" s="26" t="n">
        <x:v>46190</x:v>
      </x:c>
      <x:c r="B82" t="str">
        <x:v>Available</x:v>
      </x:c>
      <x:c r="C82" s="30" t="n">
        <x:v>0.24</x:v>
      </x:c>
      <x:c r="D82" t="str"/>
    </x:row>
    <x:row r="83">
      <x:c r="A83" s="26" t="n">
        <x:v>46191</x:v>
      </x:c>
      <x:c r="B83" t="str">
        <x:v>Available</x:v>
      </x:c>
      <x:c r="C83" s="30" t="n">
        <x:v>0.12</x:v>
      </x:c>
      <x:c r="D83" t="str"/>
    </x:row>
    <x:row r="84">
      <x:c r="A84" s="26" t="n">
        <x:v>46192</x:v>
      </x:c>
      <x:c r="B84" t="str">
        <x:v>Missing in source</x:v>
      </x:c>
      <x:c r="C84" s="30"/>
      <x:c r="D84" t="str">
        <x:v>No report row in extracted source dataset</x:v>
      </x:c>
    </x:row>
    <x:row r="85">
      <x:c r="A85" s="26" t="n">
        <x:v>46193</x:v>
      </x:c>
      <x:c r="B85" t="str">
        <x:v>Available</x:v>
      </x:c>
      <x:c r="C85" s="30" t="n">
        <x:v>2.51</x:v>
      </x:c>
      <x:c r="D85" t="str"/>
    </x:row>
    <x:row r="86">
      <x:c r="A86" s="26" t="n">
        <x:v>46194</x:v>
      </x:c>
      <x:c r="B86" t="str">
        <x:v>Missing in source</x:v>
      </x:c>
      <x:c r="C86" s="30"/>
      <x:c r="D86" t="str">
        <x:v>No report row in extracted source dataset</x:v>
      </x:c>
    </x:row>
    <x:row r="87">
      <x:c r="A87" s="26" t="n">
        <x:v>46195</x:v>
      </x:c>
      <x:c r="B87" t="str">
        <x:v>Available</x:v>
      </x:c>
      <x:c r="C87" s="30" t="n">
        <x:v>2.81</x:v>
      </x:c>
      <x:c r="D87" t="str"/>
    </x:row>
    <x:row r="88">
      <x:c r="A88" s="26" t="n">
        <x:v>46196</x:v>
      </x:c>
      <x:c r="B88" t="str">
        <x:v>Available</x:v>
      </x:c>
      <x:c r="C88" s="30" t="n">
        <x:v>1.03</x:v>
      </x:c>
      <x:c r="D88" t="str"/>
    </x:row>
    <x:row r="89">
      <x:c r="A89" s="26" t="n">
        <x:v>46197</x:v>
      </x:c>
      <x:c r="B89" t="str">
        <x:v>Available</x:v>
      </x:c>
      <x:c r="C89" s="30" t="n">
        <x:v>13.05</x:v>
      </x:c>
      <x:c r="D89" t="str"/>
    </x:row>
    <x:row r="90">
      <x:c r="A90" s="26" t="n">
        <x:v>46198</x:v>
      </x:c>
      <x:c r="B90" t="str">
        <x:v>Available</x:v>
      </x:c>
      <x:c r="C90" s="30" t="n">
        <x:v>8.55</x:v>
      </x:c>
      <x:c r="D90" t="str"/>
    </x:row>
    <x:row r="91">
      <x:c r="A91" s="26" t="n">
        <x:v>46199</x:v>
      </x:c>
      <x:c r="B91" t="str">
        <x:v>Available</x:v>
      </x:c>
      <x:c r="C91" s="30" t="n">
        <x:v>0</x:v>
      </x:c>
      <x:c r="D91" t="str"/>
    </x:row>
    <x:row r="92">
      <x:c r="A92" s="26" t="n">
        <x:v>46200</x:v>
      </x:c>
      <x:c r="B92" t="str">
        <x:v>Available</x:v>
      </x:c>
      <x:c r="C92" s="30" t="n">
        <x:v>0</x:v>
      </x:c>
      <x:c r="D92" t="str"/>
    </x:row>
    <x:row r="93">
      <x:c r="A93" s="26" t="n">
        <x:v>46201</x:v>
      </x:c>
      <x:c r="B93" t="str">
        <x:v>Available</x:v>
      </x:c>
      <x:c r="C93" s="30" t="n">
        <x:v>3.74</x:v>
      </x:c>
      <x:c r="D93" t="str"/>
    </x:row>
    <x:row r="94">
      <x:c r="A94" s="26" t="n">
        <x:v>46202</x:v>
      </x:c>
      <x:c r="B94" t="str">
        <x:v>Available</x:v>
      </x:c>
      <x:c r="C94" s="30" t="n">
        <x:v>2.64</x:v>
      </x:c>
      <x:c r="D94" t="str"/>
    </x:row>
    <x:row r="95">
      <x:c r="A95" s="26" t="n">
        <x:v>46203</x:v>
      </x:c>
      <x:c r="B95" t="str">
        <x:v>Available</x:v>
      </x:c>
      <x:c r="C95" s="30" t="n">
        <x:v>0.63</x:v>
      </x:c>
      <x:c r="D95" t="str"/>
    </x:row>
    <x:row r="96">
      <x:c r="A96" s="26" t="n">
        <x:v>46204</x:v>
      </x:c>
      <x:c r="B96" t="str">
        <x:v>Available</x:v>
      </x:c>
      <x:c r="C96" s="30" t="n">
        <x:v>2.83</x:v>
      </x:c>
      <x:c r="D96" t="str"/>
    </x:row>
    <x:row r="97">
      <x:c r="A97" s="26" t="n">
        <x:v>46205</x:v>
      </x:c>
      <x:c r="B97" t="str">
        <x:v>Available</x:v>
      </x:c>
      <x:c r="C97" s="30" t="n">
        <x:v>2.84</x:v>
      </x:c>
      <x:c r="D97" t="str"/>
    </x:row>
    <x:row r="98">
      <x:c r="A98" s="26" t="n">
        <x:v>46206</x:v>
      </x:c>
      <x:c r="B98" t="str">
        <x:v>Missing in source</x:v>
      </x:c>
      <x:c r="C98" s="30"/>
      <x:c r="D98" t="str">
        <x:v>No report row in extracted source dataset</x:v>
      </x:c>
    </x:row>
    <x:row r="99">
      <x:c r="A99" s="26" t="n">
        <x:v>46207</x:v>
      </x:c>
      <x:c r="B99" t="str">
        <x:v>Missing in source</x:v>
      </x:c>
      <x:c r="C99" s="30"/>
      <x:c r="D99" t="str">
        <x:v>No report row in extracted source dataset</x:v>
      </x:c>
    </x:row>
    <x:row r="100">
      <x:c r="A100" s="26" t="n">
        <x:v>46208</x:v>
      </x:c>
      <x:c r="B100" t="str">
        <x:v>Available</x:v>
      </x:c>
      <x:c r="C100" s="30" t="n">
        <x:v>16.68</x:v>
      </x:c>
      <x:c r="D100" t="str"/>
    </x:row>
    <x:row r="101">
      <x:c r="A101" s="26" t="n">
        <x:v>46209</x:v>
      </x:c>
      <x:c r="B101" t="str">
        <x:v>Available</x:v>
      </x:c>
      <x:c r="C101" s="30" t="n">
        <x:v>15</x:v>
      </x:c>
      <x:c r="D101" t="str"/>
    </x:row>
    <x:row r="102">
      <x:c r="A102" s="26" t="n">
        <x:v>46210</x:v>
      </x:c>
      <x:c r="B102" t="str">
        <x:v>Available</x:v>
      </x:c>
      <x:c r="C102" s="30" t="n">
        <x:v>3.6</x:v>
      </x:c>
      <x:c r="D102" t="str"/>
    </x:row>
    <x:row r="103">
      <x:c r="A103" s="26" t="n">
        <x:v>46211</x:v>
      </x:c>
      <x:c r="B103" t="str">
        <x:v>Available</x:v>
      </x:c>
      <x:c r="C103" s="30" t="n">
        <x:v>28.86</x:v>
      </x:c>
      <x:c r="D103" t="str"/>
    </x:row>
    <x:row r="104">
      <x:c r="A104" s="26" t="n">
        <x:v>46212</x:v>
      </x:c>
      <x:c r="B104" t="str">
        <x:v>Missing in source</x:v>
      </x:c>
      <x:c r="C104" s="30"/>
      <x:c r="D104" t="str">
        <x:v>No report row in extracted source dataset</x:v>
      </x:c>
    </x:row>
    <x:row r="105">
      <x:c r="A105" s="26" t="n">
        <x:v>46213</x:v>
      </x:c>
      <x:c r="B105" t="str">
        <x:v>Available</x:v>
      </x:c>
      <x:c r="C105" s="30" t="n">
        <x:v>25.26</x:v>
      </x:c>
      <x:c r="D105" t="str"/>
    </x:row>
    <x:row r="106">
      <x:c r="A106" s="26" t="n">
        <x:v>46214</x:v>
      </x:c>
      <x:c r="B106" t="str">
        <x:v>Available</x:v>
      </x:c>
      <x:c r="C106" s="30" t="n">
        <x:v>31.86</x:v>
      </x:c>
      <x:c r="D106" t="str"/>
    </x:row>
    <x:row r="107">
      <x:c r="A107" s="26" t="n">
        <x:v>46215</x:v>
      </x:c>
      <x:c r="B107" t="str">
        <x:v>Available</x:v>
      </x:c>
      <x:c r="C107" s="30" t="n">
        <x:v>23.45</x:v>
      </x:c>
      <x:c r="D107" t="str"/>
    </x:row>
    <x:row r="108">
      <x:c r="A108" s="26" t="n">
        <x:v>46216</x:v>
      </x:c>
      <x:c r="B108" t="str">
        <x:v>Available</x:v>
      </x:c>
      <x:c r="C108" s="30" t="n">
        <x:v>11.61</x:v>
      </x:c>
      <x:c r="D108" t="str"/>
    </x:row>
    <x:row r="109">
      <x:c r="A109" s="26" t="n">
        <x:v>46217</x:v>
      </x:c>
      <x:c r="B109" t="str">
        <x:v>Available</x:v>
      </x:c>
      <x:c r="C109" s="30" t="n">
        <x:v>9.04</x:v>
      </x:c>
      <x:c r="D109" t="str"/>
    </x:row>
    <x:row r="110">
      <x:c r="A110" s="26" t="n">
        <x:v>46218</x:v>
      </x:c>
      <x:c r="B110" t="str">
        <x:v>Available</x:v>
      </x:c>
      <x:c r="C110" s="30" t="n">
        <x:v>8.85</x:v>
      </x:c>
      <x:c r="D110" t="str"/>
    </x:row>
    <x:row r="111">
      <x:c r="A111" s="26" t="n">
        <x:v>46219</x:v>
      </x:c>
      <x:c r="B111" t="str">
        <x:v>Missing in source</x:v>
      </x:c>
      <x:c r="C111" s="30"/>
      <x:c r="D111" t="str">
        <x:v>No report row in extracted source dataset</x:v>
      </x:c>
    </x:row>
    <x:row r="112">
      <x:c r="A112" s="26" t="n">
        <x:v>46220</x:v>
      </x:c>
      <x:c r="B112" t="str">
        <x:v>Available</x:v>
      </x:c>
      <x:c r="C112" s="30" t="n">
        <x:v>0</x:v>
      </x:c>
      <x:c r="D112" t="str"/>
    </x:row>
    <x:row r="113">
      <x:c r="A113" s="26" t="n">
        <x:v>46221</x:v>
      </x:c>
      <x:c r="B113" t="str">
        <x:v>Missing in source</x:v>
      </x:c>
      <x:c r="C113" s="30"/>
      <x:c r="D113" t="str">
        <x:v>No report row in extracted source dataset</x:v>
      </x:c>
    </x:row>
    <x:row r="114">
      <x:c r="A114" s="26" t="n">
        <x:v>46222</x:v>
      </x:c>
      <x:c r="B114" t="str">
        <x:v>Missing in source</x:v>
      </x:c>
      <x:c r="C114" s="30"/>
      <x:c r="D114" t="str">
        <x:v>No report row in extracted source dataset</x:v>
      </x:c>
    </x:row>
    <x:row r="115">
      <x:c r="A115" s="26" t="n">
        <x:v>46223</x:v>
      </x:c>
      <x:c r="B115" t="str">
        <x:v>Available</x:v>
      </x:c>
      <x:c r="C115" s="30" t="n">
        <x:v>0.05</x:v>
      </x:c>
      <x:c r="D115" t="str"/>
    </x:row>
    <x:row r="116">
      <x:c r="A116" s="26" t="n">
        <x:v>46224</x:v>
      </x:c>
      <x:c r="B116" t="str">
        <x:v>Missing in source</x:v>
      </x:c>
      <x:c r="C116" s="30"/>
      <x:c r="D116" t="str">
        <x:v>No report row in extracted source dataset</x:v>
      </x:c>
    </x:row>
    <x:row r="117">
      <x:c r="A117" s="26" t="n">
        <x:v>46225</x:v>
      </x:c>
      <x:c r="B117" t="str">
        <x:v>Available</x:v>
      </x:c>
      <x:c r="C117" s="30" t="n">
        <x:v>0</x:v>
      </x:c>
      <x:c r="D117" t="str"/>
    </x:row>
    <x:row r="118">
      <x:c r="A118" s="26" t="n">
        <x:v>46226</x:v>
      </x:c>
      <x:c r="B118" t="str">
        <x:v>Missing in source</x:v>
      </x:c>
      <x:c r="C118" s="30"/>
      <x:c r="D118" t="str">
        <x:v>No report row in extracted source dataset</x:v>
      </x:c>
    </x:row>
    <x:row r="119">
      <x:c r="A119" s="26" t="n">
        <x:v>46227</x:v>
      </x:c>
      <x:c r="B119" t="str">
        <x:v>Available</x:v>
      </x:c>
      <x:c r="C119" s="30" t="n">
        <x:v>15.36</x:v>
      </x:c>
      <x:c r="D119" t="str"/>
    </x:row>
    <x:row r="120">
      <x:c r="A120" s="26" t="n">
        <x:v>46228</x:v>
      </x:c>
      <x:c r="B120" t="str">
        <x:v>Available</x:v>
      </x:c>
      <x:c r="C120" s="30" t="n">
        <x:v>0</x:v>
      </x:c>
      <x:c r="D120" t="str"/>
    </x:row>
    <x:row r="121">
      <x:c r="A121" s="26" t="n">
        <x:v>46229</x:v>
      </x:c>
      <x:c r="B121" t="str">
        <x:v>Available</x:v>
      </x:c>
      <x:c r="C121" s="30" t="n">
        <x:v>9.3</x:v>
      </x:c>
      <x:c r="D121" t="str"/>
    </x:row>
    <x:row r="122">
      <x:c r="A122" s="26" t="n">
        <x:v>46230</x:v>
      </x:c>
      <x:c r="B122" t="str">
        <x:v>Available</x:v>
      </x:c>
      <x:c r="C122" s="30" t="n">
        <x:v>9.3</x:v>
      </x:c>
      <x:c r="D122" t="str"/>
    </x:row>
    <x:row r="123">
      <x:c r="A123" s="26" t="n">
        <x:v>46231</x:v>
      </x:c>
      <x:c r="B123" t="str">
        <x:v>Available</x:v>
      </x:c>
      <x:c r="C123" s="30" t="n">
        <x:v>15.47</x:v>
      </x:c>
      <x:c r="D123" t="str"/>
    </x:row>
    <x:row r="124">
      <x:c r="A124" s="26" t="n">
        <x:v>46232</x:v>
      </x:c>
      <x:c r="B124" t="str">
        <x:v>Available</x:v>
      </x:c>
      <x:c r="C124" s="30" t="n">
        <x:v>6.01</x:v>
      </x:c>
      <x:c r="D124" t="str"/>
    </x:row>
    <x:row r="125">
      <x:c r="A125" s="26" t="n">
        <x:v>46233</x:v>
      </x:c>
      <x:c r="B125" t="str">
        <x:v>Available</x:v>
      </x:c>
      <x:c r="C125" s="30" t="n">
        <x:v>0</x:v>
      </x:c>
      <x:c r="D125" t="str"/>
    </x:row>
    <x:row r="126">
      <x:c r="A126" s="26" t="n">
        <x:v>46234</x:v>
      </x:c>
      <x:c r="B126" t="str">
        <x:v>Available</x:v>
      </x:c>
      <x:c r="C126" s="30" t="n">
        <x:v>0</x:v>
      </x:c>
      <x:c r="D126" t="str"/>
    </x:row>
    <x:row r="127">
      <x:c r="A127" s="26" t="n">
        <x:v>46235</x:v>
      </x:c>
      <x:c r="B127" t="str">
        <x:v>Available</x:v>
      </x:c>
      <x:c r="C127" s="30" t="n">
        <x:v>15.12</x:v>
      </x:c>
      <x:c r="D127" t="str"/>
    </x:row>
    <x:row r="128">
      <x:c r="A128" s="26" t="n">
        <x:v>46236</x:v>
      </x:c>
      <x:c r="B128" t="str">
        <x:v>Available</x:v>
      </x:c>
      <x:c r="C128" s="30" t="n">
        <x:v>3.84</x:v>
      </x:c>
      <x:c r="D128" t="str"/>
    </x:row>
    <x:row r="129">
      <x:c r="A129" s="26" t="n">
        <x:v>46237</x:v>
      </x:c>
      <x:c r="B129" t="str">
        <x:v>Available</x:v>
      </x:c>
      <x:c r="C129" s="30" t="n">
        <x:v>7.47</x:v>
      </x:c>
      <x:c r="D129" t="str"/>
    </x:row>
    <x:row r="130">
      <x:c r="A130" s="26" t="n">
        <x:v>46238</x:v>
      </x:c>
      <x:c r="B130" t="str">
        <x:v>Available</x:v>
      </x:c>
      <x:c r="C130" s="30" t="n">
        <x:v>9.14</x:v>
      </x:c>
      <x:c r="D130" t="str"/>
    </x:row>
    <x:row r="131">
      <x:c r="A131" s="26" t="n">
        <x:v>46239</x:v>
      </x:c>
      <x:c r="B131" t="str">
        <x:v>Missing in source</x:v>
      </x:c>
      <x:c r="C131" s="30"/>
      <x:c r="D131" t="str">
        <x:v>No report row in extracted source dataset</x:v>
      </x:c>
    </x:row>
    <x:row r="132">
      <x:c r="A132" s="26" t="n">
        <x:v>46240</x:v>
      </x:c>
      <x:c r="B132" t="str">
        <x:v>Missing in source</x:v>
      </x:c>
      <x:c r="C132" s="30"/>
      <x:c r="D132" t="str">
        <x:v>No report row in extracted source dataset</x:v>
      </x:c>
    </x:row>
    <x:row r="133">
      <x:c r="A133" s="26" t="n">
        <x:v>46241</x:v>
      </x:c>
      <x:c r="B133" t="str">
        <x:v>Available</x:v>
      </x:c>
      <x:c r="C133" s="30" t="n">
        <x:v>12.98</x:v>
      </x:c>
      <x:c r="D133" t="str"/>
    </x:row>
    <x:row r="134">
      <x:c r="A134" s="26" t="n">
        <x:v>46242</x:v>
      </x:c>
      <x:c r="B134" t="str">
        <x:v>Missing in source</x:v>
      </x:c>
      <x:c r="C134" s="30"/>
      <x:c r="D134" t="str">
        <x:v>No report row in extracted source dataset</x:v>
      </x:c>
    </x:row>
    <x:row r="135">
      <x:c r="A135" s="26" t="n">
        <x:v>46243</x:v>
      </x:c>
      <x:c r="B135" t="str">
        <x:v>Available</x:v>
      </x:c>
      <x:c r="C135" s="30" t="n">
        <x:v>7.62</x:v>
      </x:c>
      <x:c r="D135" t="str"/>
    </x:row>
    <x:row r="136">
      <x:c r="A136" s="26" t="n">
        <x:v>46244</x:v>
      </x:c>
      <x:c r="B136" t="str">
        <x:v>Available</x:v>
      </x:c>
      <x:c r="C136" s="30" t="n">
        <x:v>0</x:v>
      </x:c>
      <x:c r="D136" t="str"/>
    </x:row>
    <x:row r="137">
      <x:c r="A137" s="26" t="n">
        <x:v>46245</x:v>
      </x:c>
      <x:c r="B137" t="str">
        <x:v>Available</x:v>
      </x:c>
      <x:c r="C137" s="30" t="n">
        <x:v>0</x:v>
      </x:c>
      <x:c r="D137" t="str"/>
    </x:row>
  </x:sheetData>
  <x:mergeCells>
    <x:mergeCell ref="A1:D1"/>
    <x:mergeCell ref="A2:D2"/>
  </x:mergeCells>
  <x:conditionalFormatting sqref="B5:B137">
    <x:cfRule type="expression" dxfId="1" priority="1">
      <x:formula>B5="Missing in source"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79a7247b9846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14" hidden="0" customWidth="1"/>
  </x:cols>
  <x:sheetData>
    <x:row r="1">
      <x:c r="A1" s="5" t="str">
        <x:v>Section 8 Monthly Summary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Summary uses available report dates only; missing dates are excluded from averages.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Month</x:v>
      </x:c>
      <x:c r="B4" s="20" t="str">
        <x:v>Reports Available</x:v>
      </x:c>
      <x:c r="C4" s="20" t="str">
        <x:v>Wind Curtailment (MU)</x:v>
      </x:c>
      <x:c r="D4" s="20" t="str">
        <x:v>Solar Curtailment (MU)</x:v>
      </x:c>
      <x:c r="E4" s="20" t="str">
        <x:v>Total Curtailment (MU)</x:v>
      </x:c>
      <x:c r="F4" s="20" t="str">
        <x:v>Avg / Report (MU)</x:v>
      </x:c>
      <x:c r="G4" s="20" t="str">
        <x:v>Share Solar</x:v>
      </x:c>
      <x:c r="H4" s="20" t="str">
        <x:v>Share Wind</x:v>
      </x:c>
    </x:row>
    <x:row r="5">
      <x:c r="A5" s="34" t="n">
        <x:v>46113</x:v>
      </x:c>
      <x:c r="B5" s="36" t="n">
        <x:f>COUNTIFS('Daily Section 8'!$A$5:$A$122,"&gt;="&amp;A5,'Daily Section 8'!$A$5:$A$122,"&lt;"&amp;EDATE(A5,1))</x:f>
        <x:v>30</x:v>
      </x:c>
      <x:c r="C5" s="30" t="n">
        <x:f>SUMIFS('Daily Section 8'!$C$5:$C$122,'Daily Section 8'!$A$5:$A$122,"&gt;="&amp;A5,'Daily Section 8'!$A$5:$A$122,"&lt;"&amp;EDATE(A5,1))</x:f>
        <x:v>28.73</x:v>
      </x:c>
      <x:c r="D5" s="30" t="n">
        <x:f>SUMIFS('Daily Section 8'!$E$5:$E$122,'Daily Section 8'!$A$5:$A$122,"&gt;="&amp;A5,'Daily Section 8'!$A$5:$A$122,"&lt;"&amp;EDATE(A5,1))</x:f>
        <x:v>220.82999999999996</x:v>
      </x:c>
      <x:c r="E5" s="30" t="n">
        <x:f>C5+D5</x:f>
        <x:v>249.55999999999995</x:v>
      </x:c>
      <x:c r="F5" s="30" t="n">
        <x:f>IF(B5=0,"",E5/B5)</x:f>
        <x:v>8.318666666666665</x:v>
      </x:c>
      <x:c r="G5" s="38" t="n">
        <x:f>IF(E5=0,0,D5/E5)</x:f>
        <x:v>0.8848773841961853</x:v>
      </x:c>
      <x:c r="H5" s="38" t="n">
        <x:f>IF(E5=0,0,C5/E5)</x:f>
        <x:v>0.11512261580381473</x:v>
      </x:c>
    </x:row>
    <x:row r="6">
      <x:c r="A6" s="34" t="n">
        <x:v>46143</x:v>
      </x:c>
      <x:c r="B6" s="36" t="n">
        <x:f>COUNTIFS('Daily Section 8'!$A$5:$A$122,"&gt;="&amp;A6,'Daily Section 8'!$A$5:$A$122,"&lt;"&amp;EDATE(A6,1))</x:f>
        <x:v>30</x:v>
      </x:c>
      <x:c r="C6" s="30" t="n">
        <x:f>SUMIFS('Daily Section 8'!$C$5:$C$122,'Daily Section 8'!$A$5:$A$122,"&gt;="&amp;A6,'Daily Section 8'!$A$5:$A$122,"&lt;"&amp;EDATE(A6,1))</x:f>
        <x:v>49.900000000000006</x:v>
      </x:c>
      <x:c r="D6" s="30" t="n">
        <x:f>SUMIFS('Daily Section 8'!$E$5:$E$122,'Daily Section 8'!$A$5:$A$122,"&gt;="&amp;A6,'Daily Section 8'!$A$5:$A$122,"&lt;"&amp;EDATE(A6,1))</x:f>
        <x:v>161.08</x:v>
      </x:c>
      <x:c r="E6" s="30" t="n">
        <x:f>C6+D6</x:f>
        <x:v>210.98000000000002</x:v>
      </x:c>
      <x:c r="F6" s="30" t="n">
        <x:f>IF(B6=0,"",E6/B6)</x:f>
        <x:v>7.0326666666666675</x:v>
      </x:c>
      <x:c r="G6" s="38" t="n">
        <x:f>IF(E6=0,0,D6/E6)</x:f>
        <x:v>0.7634846904919897</x:v>
      </x:c>
      <x:c r="H6" s="38" t="n">
        <x:f>IF(E6=0,0,C6/E6)</x:f>
        <x:v>0.23651530950801025</x:v>
      </x:c>
    </x:row>
    <x:row r="7">
      <x:c r="A7" s="34" t="n">
        <x:v>46174</x:v>
      </x:c>
      <x:c r="B7" s="36" t="n">
        <x:f>COUNTIFS('Daily Section 8'!$A$5:$A$122,"&gt;="&amp;A7,'Daily Section 8'!$A$5:$A$122,"&lt;"&amp;EDATE(A7,1))</x:f>
        <x:v>26</x:v>
      </x:c>
      <x:c r="C7" s="30" t="n">
        <x:f>SUMIFS('Daily Section 8'!$C$5:$C$122,'Daily Section 8'!$A$5:$A$122,"&gt;="&amp;A7,'Daily Section 8'!$A$5:$A$122,"&lt;"&amp;EDATE(A7,1))</x:f>
        <x:v>35.050000000000004</x:v>
      </x:c>
      <x:c r="D7" s="30" t="n">
        <x:f>SUMIFS('Daily Section 8'!$E$5:$E$122,'Daily Section 8'!$A$5:$A$122,"&gt;="&amp;A7,'Daily Section 8'!$A$5:$A$122,"&lt;"&amp;EDATE(A7,1))</x:f>
        <x:v>88.09999999999998</x:v>
      </x:c>
      <x:c r="E7" s="30" t="n">
        <x:f>C7+D7</x:f>
        <x:v>123.14999999999998</x:v>
      </x:c>
      <x:c r="F7" s="30" t="n">
        <x:f>IF(B7=0,"",E7/B7)</x:f>
        <x:v>4.73653846153846</x:v>
      </x:c>
      <x:c r="G7" s="38" t="n">
        <x:f>IF(E7=0,0,D7/E7)</x:f>
        <x:v>0.7153877385302476</x:v>
      </x:c>
      <x:c r="H7" s="38" t="n">
        <x:f>IF(E7=0,0,C7/E7)</x:f>
        <x:v>0.28461226146975244</x:v>
      </x:c>
    </x:row>
    <x:row r="8">
      <x:c r="A8" s="34" t="n">
        <x:v>46204</x:v>
      </x:c>
      <x:c r="B8" s="36" t="n">
        <x:f>COUNTIFS('Daily Section 8'!$A$5:$A$122,"&gt;="&amp;A8,'Daily Section 8'!$A$5:$A$122,"&lt;"&amp;EDATE(A8,1))</x:f>
        <x:v>24</x:v>
      </x:c>
      <x:c r="C8" s="30" t="n">
        <x:f>SUMIFS('Daily Section 8'!$C$5:$C$122,'Daily Section 8'!$A$5:$A$122,"&gt;="&amp;A8,'Daily Section 8'!$A$5:$A$122,"&lt;"&amp;EDATE(A8,1))</x:f>
        <x:v>82.95000000000002</x:v>
      </x:c>
      <x:c r="D8" s="30" t="n">
        <x:f>SUMIFS('Daily Section 8'!$E$5:$E$122,'Daily Section 8'!$A$5:$A$122,"&gt;="&amp;A8,'Daily Section 8'!$A$5:$A$122,"&lt;"&amp;EDATE(A8,1))</x:f>
        <x:v>155.24999999999997</x:v>
      </x:c>
      <x:c r="E8" s="30" t="n">
        <x:f>C8+D8</x:f>
        <x:v>238.2</x:v>
      </x:c>
      <x:c r="F8" s="30" t="n">
        <x:f>IF(B8=0,"",E8/B8)</x:f>
        <x:v>9.924999999999999</x:v>
      </x:c>
      <x:c r="G8" s="38" t="n">
        <x:f>IF(E8=0,0,D8/E8)</x:f>
        <x:v>0.6517632241813601</x:v>
      </x:c>
      <x:c r="H8" s="38" t="n">
        <x:f>IF(E8=0,0,C8/E8)</x:f>
        <x:v>0.3482367758186399</x:v>
      </x:c>
    </x:row>
    <x:row r="9">
      <x:c r="A9" s="34" t="n">
        <x:v>46235</x:v>
      </x:c>
      <x:c r="B9" s="36" t="n">
        <x:f>COUNTIFS('Daily Section 8'!$A$5:$A$122,"&gt;="&amp;A9,'Daily Section 8'!$A$5:$A$122,"&lt;"&amp;EDATE(A9,1))</x:f>
        <x:v>8</x:v>
      </x:c>
      <x:c r="C9" s="30" t="n">
        <x:f>SUMIFS('Daily Section 8'!$C$5:$C$122,'Daily Section 8'!$A$5:$A$122,"&gt;="&amp;A9,'Daily Section 8'!$A$5:$A$122,"&lt;"&amp;EDATE(A9,1))</x:f>
        <x:v>14.16</x:v>
      </x:c>
      <x:c r="D9" s="30" t="n">
        <x:f>SUMIFS('Daily Section 8'!$E$5:$E$122,'Daily Section 8'!$A$5:$A$122,"&gt;="&amp;A9,'Daily Section 8'!$A$5:$A$122,"&lt;"&amp;EDATE(A9,1))</x:f>
        <x:v>42.01</x:v>
      </x:c>
      <x:c r="E9" s="30" t="n">
        <x:f>C9+D9</x:f>
        <x:v>56.17</x:v>
      </x:c>
      <x:c r="F9" s="30" t="n">
        <x:f>IF(B9=0,"",E9/B9)</x:f>
        <x:v>7.02125</x:v>
      </x:c>
      <x:c r="G9" s="38" t="n">
        <x:f>IF(E9=0,0,D9/E9)</x:f>
        <x:v>0.7479081360156666</x:v>
      </x:c>
      <x:c r="H9" s="38" t="n">
        <x:f>IF(E9=0,0,C9/E9)</x:f>
        <x:v>0.25209186398433325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734803097e242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20" t="str">
        <x:v>Item</x:v>
      </x:c>
      <x:c r="B1" s="20" t="str">
        <x:v>Detail</x:v>
      </x:c>
    </x:row>
    <x:row r="2">
      <x:c r="A2" t="str">
        <x:v>Requested scope</x:v>
      </x:c>
      <x:c r="B2" s="32" t="str">
        <x:v>Section 8: VRE Curtailment Details due to real time system constraints.</x:v>
      </x:c>
    </x:row>
    <x:row r="3">
      <x:c r="A3" t="str">
        <x:v>Coverage</x:v>
      </x:c>
      <x:c r="B3" s="32" t="str">
        <x:v>01-Apr-2026 to 11-Aug-2026; 118 report dates available.</x:v>
      </x:c>
    </x:row>
    <x:row r="4">
      <x:c r="A4" t="str">
        <x:v>Missing dates</x:v>
      </x:c>
      <x:c r="B4" s="32" t="str">
        <x:v>15 calendar dates are absent inside the covered period; see Coverage sheet.</x:v>
      </x:c>
    </x:row>
    <x:row r="5">
      <x:c r="A5" t="str">
        <x:v>Primary report page</x:v>
      </x:c>
      <x:c r="B5" s="32" t="str">
        <x:v>https://grid-india.in/en/reports/daily-vre-report</x:v>
      </x:c>
    </x:row>
    <x:row r="6">
      <x:c r="A6" t="str">
        <x:v>Extraction dataset</x:v>
      </x:c>
      <x:c r="B6" s="32" t="str">
        <x:v>https://sanketik-sankhyaki.github.io/Renewable-Energy-Curtailment-Tracker/curtailment_history.csv</x:v>
      </x:c>
    </x:row>
    <x:row r="7">
      <x:c r="A7" t="str">
        <x:v>Repository</x:v>
      </x:c>
      <x:c r="B7" s="32" t="str">
        <x:v>https://github.com/SANKETIK-SANKHYAKI/Renewable-Energy-Curtailment-Tracker</x:v>
      </x:c>
    </x:row>
    <x:row r="8">
      <x:c r="A8" t="str">
        <x:v>Data caveat</x:v>
      </x:c>
      <x:c r="B8" s="32" t="str">
        <x:v>The parsing layer reproduces Section 8 daily totals and reason text from GRID-INDIA NLDC-REMC PDFs. Some reason strings are visibly truncated in the parser output; verify exact wording in the original PDF for audit-critical use.</x:v>
      </x:c>
    </x:row>
    <x:row r="9">
      <x:c r="A9" t="str">
        <x:v>Zero vs missing</x:v>
      </x:c>
      <x:c r="B9" s="32" t="str">
        <x:v>Zero is retained only where the source records zero curtailment. Missing report dates are left blank and never converted to zero.</x:v>
      </x:c>
    </x:row>
  </x:sheetData>
  <x:pageMargins left="0.7" right="0.7" top="0.75" bottom="0.75" header="0.3" footer="0.3"/>
</x:worksheet>
</file>