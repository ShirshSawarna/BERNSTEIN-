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74af465db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ntration" sheetId="1" r:id="R364960e7a0df4951"/>
    <x:sheet xmlns:r="http://schemas.openxmlformats.org/officeDocument/2006/relationships" name="Source Data" sheetId="2" r:id="Ra5fedafd4949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-yy"/>
    <x:numFmt numFmtId="201" formatCode="#,##0.00;(#,##0.00);&quot;–&quot;"/>
    <x:numFmt numFmtId="202" formatCode="0.0%;(0.0%);&quot;–&quot;"/>
    <x:numFmt numFmtId="203" formatCode="0.0&quot; pp&quot;;(0.0)&quot; pp&quot;;&quot;–&quot;"/>
    <x:numFmt numFmtId="204" formatCode="0"/>
  </x:numFmts>
  <x:fonts count="9">
    <x:font>
      <x:sz val="11"/>
      <x:name val="Carlito"/>
    </x:font>
    <x:font>
      <x:sz val="10"/>
      <x:color rgb="FF172B3A"/>
      <x:name val="Arial"/>
    </x:font>
    <x:font>
      <x:b/>
      <x:sz val="15"/>
      <x:color rgb="FF003C71"/>
      <x:name val="Arial"/>
    </x:font>
    <x:font>
      <x:i/>
      <x:sz val="10"/>
      <x:color rgb="FF667784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667784"/>
      <x:name val="Arial"/>
    </x:font>
    <x:font>
      <x:b/>
      <x:sz val="11"/>
      <x:color rgb="FF003C71"/>
      <x:name val="Arial"/>
    </x:font>
    <x:font>
      <x:b/>
      <x:sz val="10"/>
      <x:color rgb="FF003C7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3C71"/>
      </x:patternFill>
    </x:fill>
    <x:fill>
      <x:patternFill patternType="solid">
        <x:fgColor rgb="FFF4F7FA"/>
      </x:patternFill>
    </x:fill>
    <x:fill>
      <x:patternFill patternType="solid">
        <x:fgColor rgb="FFF1F5F8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003C7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003C71"/>
      </x:top>
      <x:bottom style="thin">
        <x:color rgb="FF003C71"/>
      </x:bottom>
      <x:diagonal/>
    </x:border>
    <x:border>
      <x:left/>
      <x:right/>
      <x:top/>
      <x:bottom style="thin">
        <x:color rgb="FFB7C8D5"/>
      </x:bottom>
      <x:diagonal/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4" fillId="2" borderId="3" xfId="0" applyNumberFormat="1" applyFont="1" applyFill="1" applyBorder="1" applyAlignment="1">
      <x:alignment horizontal="center" vertical="center" wrapText="1"/>
    </x:xf>
    <x:xf numFmtId="200" fontId="4" fillId="2" borderId="4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3" fontId="1" fillId="0" borderId="6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2" fontId="1" fillId="0" borderId="6" xfId="0" applyNumberFormat="1" applyFont="1" applyFill="1" applyBorder="1" applyAlignment="1">
      <x:alignment horizontal="right" vertical="center"/>
    </x:xf>
    <x:xf numFmtId="204" fontId="1" fillId="0" borderId="6" xfId="0" applyNumberFormat="1" applyFont="1" applyFill="1" applyBorder="1" applyAlignment="1">
      <x:alignment horizontal="right" vertical="center"/>
    </x:xf>
    <x:xf numFmtId="202" fontId="8" fillId="3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2" fontId="8" fillId="0" borderId="6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8" fillId="0" borderId="6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horizontal="right" vertical="center"/>
    </x:xf>
    <x:xf numFmtId="203" fontId="8" fillId="0" borderId="6" xfId="0" applyNumberFormat="1" applyFont="1" applyFill="1" applyBorder="1" applyAlignment="1">
      <x:alignment horizontal="right" vertical="center"/>
    </x:xf>
    <x:xf numFmtId="0" fontId="8" fillId="0" borderId="5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horizontal="right" vertical="center"/>
    </x:xf>
    <x:xf numFmtId="202" fontId="8" fillId="0" borderId="5" xfId="0" applyNumberFormat="1" applyFont="1" applyFill="1" applyBorder="1" applyAlignment="1">
      <x:alignment horizontal="right" vertical="center"/>
    </x:xf>
    <x:xf numFmtId="203" fontId="8" fillId="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color rgb="FFA12D3C"/>
      </x:font>
    </x:dxf>
    <x:dxf>
      <x:font>
        <x:color rgb="FFA12D3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9d5a6db894e52" /><Relationship Type="http://schemas.openxmlformats.org/officeDocument/2006/relationships/theme" Target="/xl/theme/theme1.xml" Id="R689a3f83527c4634" /><Relationship Type="http://schemas.openxmlformats.org/officeDocument/2006/relationships/sharedStrings" Target="/xl/sharedStrings.xml" Id="R3ce293ad5c7b42b1" /><Relationship Type="http://schemas.openxmlformats.org/officeDocument/2006/relationships/worksheet" Target="/xl/worksheets/sheet1.xml" Id="R364960e7a0df4951" /><Relationship Type="http://schemas.openxmlformats.org/officeDocument/2006/relationships/worksheet" Target="/xl/worksheets/sheet2.xml" Id="Ra5fedafd494949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d4e9249fb441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Tracked brands as a share of ABBOTT monthly sales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Fixed 12 share</c:v>
          </c:tx>
          <c:spPr>
            <a:solidFill xmlns:a="http://schemas.openxmlformats.org/drawingml/2006/main">
              <a:srgbClr val="003C71"/>
            </a:solidFill>
            <a:ln xmlns:a="http://schemas.openxmlformats.org/drawingml/2006/main" w="19050">
              <a:solidFill>
                <a:srgbClr val="003C71"/>
              </a:solidFill>
              <a:prstDash val="solid"/>
            </a:ln>
          </c:spPr>
          <c:marker>
            <c:symbol val="none"/>
          </c:marker>
          <c:cat>
            <c:strRef>
              <c:f>'Concentration'!$K$13:$K$30</c:f>
              <c:strCache>
                <c:ptCount val="0"/>
              </c:strCache>
            </c:strRef>
          </c:cat>
          <c:val>
            <c:numRef>
              <c:f>'Concentration'!$F$13:$F$30</c:f>
              <c:numCache>
                <c:formatCode>0.0%;(0.0%);"–"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Fixed 10 share</c:v>
          </c:tx>
          <c:spPr>
            <a:solidFill xmlns:a="http://schemas.openxmlformats.org/drawingml/2006/main">
              <a:srgbClr val="00629B"/>
            </a:solidFill>
            <a:ln xmlns:a="http://schemas.openxmlformats.org/drawingml/2006/main" w="19050">
              <a:solidFill>
                <a:srgbClr val="00629B"/>
              </a:solidFill>
              <a:prstDash val="solid"/>
            </a:ln>
          </c:spPr>
          <c:marker>
            <c:symbol val="none"/>
          </c:marker>
          <c:cat>
            <c:strRef>
              <c:f>'Concentration'!$K$13:$K$30</c:f>
              <c:strCache>
                <c:ptCount val="0"/>
              </c:strCache>
            </c:strRef>
          </c:cat>
          <c:val>
            <c:numRef>
              <c:f>'Concentration'!$D$13:$D$30</c:f>
              <c:numCache>
                <c:formatCode>0.0%;(0.0%);"–"</c:formatCode>
                <c:ptCount val="0"/>
              </c:numCache>
            </c:numRef>
          </c:val>
          <c:smooth val="0"/>
        </c:ser>
        <c:ser>
          <c:idx val="2"/>
          <c:order val="2"/>
          <c:tx>
            <c:v>All shown share</c:v>
          </c:tx>
          <c:spPr>
            <a:solidFill xmlns:a="http://schemas.openxmlformats.org/drawingml/2006/main">
              <a:srgbClr val="339B9B"/>
            </a:solidFill>
            <a:ln xmlns:a="http://schemas.openxmlformats.org/drawingml/2006/main" w="19050">
              <a:solidFill>
                <a:srgbClr val="339B9B"/>
              </a:solidFill>
              <a:prstDash val="dash"/>
            </a:ln>
          </c:spPr>
          <c:marker>
            <c:symbol val="none"/>
          </c:marker>
          <c:cat>
            <c:strRef>
              <c:f>'Concentration'!$K$13:$K$30</c:f>
              <c:strCache>
                <c:ptCount val="0"/>
              </c:strCache>
            </c:strRef>
          </c:cat>
          <c:val>
            <c:numRef>
              <c:f>'Concentration'!$H$13:$H$30</c:f>
              <c:numCache>
                <c:formatCode>0.0%;(0.0%);"–"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10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d4e9249fb441c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2621feff5b41a4" /></Relationships>
</file>

<file path=xl/worksheets/sheet1.xml><?xml version="1.0" encoding="utf-8"?>
<x:worksheet xmlns:x="http://schemas.openxmlformats.org/spreadsheetml/2006/main">
  <x:sheetPr>
    <x:tabColor rgb="FF003C71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Abbott: share of sales from tracked brands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</x:row>
    <x:row r="4" ht="22" customHeight="1">
      <x:c r="A4" s="25" t="str">
        <x:f>"The same 12 brands fell from "&amp;TEXT(D6,"0.0%")&amp;" to "&amp;TEXT(D7,"0.0%")&amp;" of ABT sales in comparable April–September periods."</x:f>
        <x:v>The same 12 brands fell from 66.0% to 59.3% of ABT sales in comparable April–September periods.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8" customHeight="1">
      <x:c r="A5" s="10" t="str">
        <x:v>Comparable period</x:v>
      </x:c>
      <x:c r="B5" s="11" t="str">
        <x:v>Abbott sales (INR cr)</x:v>
      </x:c>
      <x:c r="C5" s="11" t="str">
        <x:v>Fixed 12 sales (INR cr)</x:v>
      </x:c>
      <x:c r="D5" s="11" t="str">
        <x:v>Fixed 12 share</x:v>
      </x:c>
      <x:c r="E5" s="11" t="str">
        <x:v>Fixed 10 share</x:v>
      </x:c>
      <x:c r="F5" s="12" t="str">
        <x:v>All shown share</x:v>
      </x:c>
      <x:c r="G5" s="25" t="str">
        <x:v>ABT / ABBOTT source scope</x:v>
      </x:c>
      <x:c r="H5" s="2"/>
      <x:c r="I5" s="2"/>
      <x:c r="J5" s="2"/>
      <x:c r="K5" s="2"/>
    </x:row>
    <x:row r="6" ht="22" customHeight="1">
      <x:c r="A6" s="2" t="str">
        <x:v>Apr–Sep 2025</x:v>
      </x:c>
      <x:c r="B6" s="30" t="n">
        <x:f>SUM(B13:B18)</x:f>
        <x:v>3566.45</x:v>
      </x:c>
      <x:c r="C6" s="30" t="n">
        <x:f>SUM(E13:E18)</x:f>
        <x:v>2353.6899999999996</x:v>
      </x:c>
      <x:c r="D6" s="31" t="n">
        <x:f>C6/B6</x:f>
        <x:v>0.6599531747255674</x:v>
      </x:c>
      <x:c r="E6" s="31" t="n">
        <x:f>SUM(C13:C18)/B6</x:f>
        <x:v>0.6127297452648993</x:v>
      </x:c>
      <x:c r="F6" s="31" t="n">
        <x:f>SUM(G13:G18)/B6</x:f>
        <x:v>0.6661217737526111</x:v>
      </x:c>
      <x:c r="G6" s="27" t="str">
        <x:v>Fixed cohorts remove changes in the displayed brand list. Other ABT sales are not classified as new launches.</x:v>
      </x:c>
      <x:c r="H6" s="27"/>
      <x:c r="I6" s="27"/>
      <x:c r="J6" s="2"/>
      <x:c r="K6" s="2"/>
    </x:row>
    <x:row r="7" ht="22" customHeight="1">
      <x:c r="A7" s="33" t="str">
        <x:v>Apr–Sep 2026</x:v>
      </x:c>
      <x:c r="B7" s="34" t="n">
        <x:f>SUM(B25:B30)</x:f>
        <x:v>3829.9000000000005</x:v>
      </x:c>
      <x:c r="C7" s="34" t="n">
        <x:f>SUM(E25:E30)</x:f>
        <x:v>2270.98</x:v>
      </x:c>
      <x:c r="D7" s="35" t="n">
        <x:f>C7/B7</x:f>
        <x:v>0.5929606517141439</x:v>
      </x:c>
      <x:c r="E7" s="35" t="n">
        <x:f>SUM(C25:C30)/B7</x:f>
        <x:v>0.5457374866184495</x:v>
      </x:c>
      <x:c r="F7" s="35" t="n">
        <x:f>SUM(G25:G30)/B7</x:f>
        <x:v>0.6398026058121621</x:v>
      </x:c>
      <x:c r="G7" s="27"/>
      <x:c r="H7" s="27"/>
      <x:c r="I7" s="27"/>
      <x:c r="J7" s="2"/>
      <x:c r="K7" s="2"/>
    </x:row>
    <x:row r="8" ht="22" customHeight="1">
      <x:c r="A8" s="36" t="str">
        <x:v>Change (INR cr / pp)</x:v>
      </x:c>
      <x:c r="B8" s="37" t="n">
        <x:f>B7-B6</x:f>
        <x:v>263.4500000000007</x:v>
      </x:c>
      <x:c r="C8" s="37" t="n">
        <x:f>C7-C6</x:f>
        <x:v>-82.70999999999958</x:v>
      </x:c>
      <x:c r="D8" s="38" t="n">
        <x:f>(D7-D6)*100</x:f>
        <x:v>-6.699252301142344</x:v>
      </x:c>
      <x:c r="E8" s="38" t="n">
        <x:f>(E7-E6)*100</x:f>
        <x:v>-6.699225864644987</x:v>
      </x:c>
      <x:c r="F8" s="38" t="n">
        <x:f>(F7-F6)*100</x:f>
        <x:v>-2.6319167940448973</x:v>
      </x:c>
      <x:c r="G8" s="27"/>
      <x:c r="H8" s="27"/>
      <x:c r="I8" s="27"/>
      <x:c r="J8" s="2"/>
      <x:c r="K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2" customHeight="1">
      <x:c r="A10" s="25" t="str">
        <x:v>Monthly concentration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2" customHeight="1">
      <x:c r="A11" s="5" t="str">
        <x:v>INR crore. Fixed cohorts retain April 2025 brands. All shown follows each photograph’s visible list.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8" customHeight="1">
      <x:c r="A12" s="10" t="str">
        <x:v>Month</x:v>
      </x:c>
      <x:c r="B12" s="11" t="str">
        <x:v>Abbott sales</x:v>
      </x:c>
      <x:c r="C12" s="11" t="str">
        <x:v>Fixed 10 sales</x:v>
      </x:c>
      <x:c r="D12" s="11" t="str">
        <x:v>Fixed 10 share</x:v>
      </x:c>
      <x:c r="E12" s="11" t="str">
        <x:v>Fixed 12 sales</x:v>
      </x:c>
      <x:c r="F12" s="11" t="str">
        <x:v>Fixed 12 share</x:v>
      </x:c>
      <x:c r="G12" s="11" t="str">
        <x:v>All shown sales</x:v>
      </x:c>
      <x:c r="H12" s="11" t="str">
        <x:v>All shown share</x:v>
      </x:c>
      <x:c r="I12" s="12" t="str">
        <x:v>Brands shown</x:v>
      </x:c>
      <x:c r="J12" s="2"/>
      <x:c r="K12" s="5" t="str">
        <x:v>Chart month</x:v>
      </x:c>
    </x:row>
    <x:row r="13" ht="22" customHeight="1">
      <x:c r="A13" s="39" t="d">
        <x:v>2025-04-01T00:00:00.000Z</x:v>
      </x:c>
      <x:c r="B13" s="49" t="n">
        <x:f>'Source Data'!C25</x:f>
        <x:v>614.6</x:v>
      </x:c>
      <x:c r="C13" s="49" t="n">
        <x:f>SUM('Source Data'!C8:C17)</x:f>
        <x:v>381.93999999999994</x:v>
      </x:c>
      <x:c r="D13" s="50" t="n">
        <x:f>C13/B13</x:f>
        <x:v>0.6214448421737715</x:v>
      </x:c>
      <x:c r="E13" s="49" t="n">
        <x:f>SUM('Source Data'!C8:C19)</x:f>
        <x:v>412.41999999999996</x:v>
      </x:c>
      <x:c r="F13" s="55" t="n">
        <x:f>E13/B13</x:f>
        <x:v>0.6710380735437682</x:v>
      </x:c>
      <x:c r="G13" s="49" t="n">
        <x:f>SUM('Source Data'!C8:C21)</x:f>
        <x:v>412.41999999999996</x:v>
      </x:c>
      <x:c r="H13" s="50" t="n">
        <x:f>G13/B13</x:f>
        <x:v>0.6710380735437682</x:v>
      </x:c>
      <x:c r="I13" s="51" t="n">
        <x:f>'Source Data'!C23</x:f>
        <x:v>12</x:v>
      </x:c>
      <x:c r="J13" s="2"/>
      <x:c r="K13" s="5" t="str">
        <x:f>TEXT(A13,"mmm-yy")</x:f>
        <x:v>Apr-25</x:v>
      </x:c>
    </x:row>
    <x:row r="14" ht="22" customHeight="1">
      <x:c r="A14" s="40" t="d">
        <x:v>2025-05-01T00:00:00.000Z</x:v>
      </x:c>
      <x:c r="B14" s="30" t="n">
        <x:f>'Source Data'!D25</x:f>
        <x:v>590.56</x:v>
      </x:c>
      <x:c r="C14" s="30" t="n">
        <x:f>SUM('Source Data'!D8:D17)</x:f>
        <x:v>367.47999999999996</x:v>
      </x:c>
      <x:c r="D14" s="31" t="n">
        <x:f>C14/B14</x:f>
        <x:v>0.6222568409645083</x:v>
      </x:c>
      <x:c r="E14" s="30" t="n">
        <x:f>SUM('Source Data'!D8:D19)</x:f>
        <x:v>395.92999999999995</x:v>
      </x:c>
      <x:c r="F14" s="56" t="n">
        <x:f>E14/B14</x:f>
        <x:v>0.6704314548902737</x:v>
      </x:c>
      <x:c r="G14" s="30" t="n">
        <x:f>SUM('Source Data'!D8:D21)</x:f>
        <x:v>395.92999999999995</x:v>
      </x:c>
      <x:c r="H14" s="31" t="n">
        <x:f>G14/B14</x:f>
        <x:v>0.6704314548902737</x:v>
      </x:c>
      <x:c r="I14" s="52" t="n">
        <x:f>'Source Data'!D23</x:f>
        <x:v>12</x:v>
      </x:c>
      <x:c r="J14" s="2"/>
      <x:c r="K14" s="5" t="str">
        <x:f>TEXT(A14,"mmm-yy")</x:f>
        <x:v>May-25</x:v>
      </x:c>
    </x:row>
    <x:row r="15" ht="22" customHeight="1">
      <x:c r="A15" s="39" t="d">
        <x:v>2025-06-01T00:00:00.000Z</x:v>
      </x:c>
      <x:c r="B15" s="49" t="n">
        <x:f>'Source Data'!E25</x:f>
        <x:v>568.11</x:v>
      </x:c>
      <x:c r="C15" s="49" t="n">
        <x:f>SUM('Source Data'!E8:E17)</x:f>
        <x:v>349.97</x:v>
      </x:c>
      <x:c r="D15" s="50" t="n">
        <x:f>C15/B15</x:f>
        <x:v>0.6160250655682878</x:v>
      </x:c>
      <x:c r="E15" s="49" t="n">
        <x:f>SUM('Source Data'!E8:E19)</x:f>
        <x:v>376.74000000000007</x:v>
      </x:c>
      <x:c r="F15" s="55" t="n">
        <x:f>E15/B15</x:f>
        <x:v>0.6631462216824208</x:v>
      </x:c>
      <x:c r="G15" s="49" t="n">
        <x:f>SUM('Source Data'!E8:E21)</x:f>
        <x:v>376.74000000000007</x:v>
      </x:c>
      <x:c r="H15" s="50" t="n">
        <x:f>G15/B15</x:f>
        <x:v>0.6631462216824208</x:v>
      </x:c>
      <x:c r="I15" s="51" t="n">
        <x:f>'Source Data'!E23</x:f>
        <x:v>12</x:v>
      </x:c>
      <x:c r="J15" s="2"/>
      <x:c r="K15" s="5" t="str">
        <x:f>TEXT(A15,"mmm-yy")</x:f>
        <x:v>Jun-25</x:v>
      </x:c>
    </x:row>
    <x:row r="16" ht="22" customHeight="1">
      <x:c r="A16" s="40" t="d">
        <x:v>2025-07-01T00:00:00.000Z</x:v>
      </x:c>
      <x:c r="B16" s="30" t="n">
        <x:f>'Source Data'!F25</x:f>
        <x:v>605.89</x:v>
      </x:c>
      <x:c r="C16" s="30" t="n">
        <x:f>SUM('Source Data'!F8:F17)</x:f>
        <x:v>365.73999999999995</x:v>
      </x:c>
      <x:c r="D16" s="31" t="n">
        <x:f>C16/B16</x:f>
        <x:v>0.603640924920365</x:v>
      </x:c>
      <x:c r="E16" s="30" t="n">
        <x:f>SUM('Source Data'!F8:F19)</x:f>
        <x:v>393.63999999999993</x:v>
      </x:c>
      <x:c r="F16" s="56" t="n">
        <x:f>E16/B16</x:f>
        <x:v>0.6496888874218092</x:v>
      </x:c>
      <x:c r="G16" s="30" t="n">
        <x:f>SUM('Source Data'!F8:F21)</x:f>
        <x:v>404.63999999999993</x:v>
      </x:c>
      <x:c r="H16" s="31" t="n">
        <x:f>G16/B16</x:f>
        <x:v>0.6678439980854609</x:v>
      </x:c>
      <x:c r="I16" s="52" t="n">
        <x:f>'Source Data'!F23</x:f>
        <x:v>13</x:v>
      </x:c>
      <x:c r="J16" s="2"/>
      <x:c r="K16" s="5" t="str">
        <x:f>TEXT(A16,"mmm-yy")</x:f>
        <x:v>Jul-25</x:v>
      </x:c>
    </x:row>
    <x:row r="17" ht="22" customHeight="1">
      <x:c r="A17" s="39" t="d">
        <x:v>2025-08-01T00:00:00.000Z</x:v>
      </x:c>
      <x:c r="B17" s="49" t="n">
        <x:f>'Source Data'!G25</x:f>
        <x:v>591.62</x:v>
      </x:c>
      <x:c r="C17" s="49" t="n">
        <x:f>SUM('Source Data'!G8:G17)</x:f>
        <x:v>356.7</x:v>
      </x:c>
      <x:c r="D17" s="50" t="n">
        <x:f>C17/B17</x:f>
        <x:v>0.6029207937527467</x:v>
      </x:c>
      <x:c r="E17" s="49" t="n">
        <x:f>SUM('Source Data'!G8:G19)</x:f>
        <x:v>384.52</x:v>
      </x:c>
      <x:c r="F17" s="55" t="n">
        <x:f>E17/B17</x:f>
        <x:v>0.6499442209526385</x:v>
      </x:c>
      <x:c r="G17" s="49" t="n">
        <x:f>SUM('Source Data'!G8:G21)</x:f>
        <x:v>384.52</x:v>
      </x:c>
      <x:c r="H17" s="50" t="n">
        <x:f>G17/B17</x:f>
        <x:v>0.6499442209526385</x:v>
      </x:c>
      <x:c r="I17" s="51" t="n">
        <x:f>'Source Data'!G23</x:f>
        <x:v>12</x:v>
      </x:c>
      <x:c r="J17" s="2"/>
      <x:c r="K17" s="5" t="str">
        <x:f>TEXT(A17,"mmm-yy")</x:f>
        <x:v>Aug-25</x:v>
      </x:c>
    </x:row>
    <x:row r="18" ht="22" customHeight="1">
      <x:c r="A18" s="40" t="d">
        <x:v>2025-09-01T00:00:00.000Z</x:v>
      </x:c>
      <x:c r="B18" s="30" t="n">
        <x:f>'Source Data'!H25</x:f>
        <x:v>595.67</x:v>
      </x:c>
      <x:c r="C18" s="30" t="n">
        <x:f>SUM('Source Data'!H8:H17)</x:f>
        <x:v>363.44000000000005</x:v>
      </x:c>
      <x:c r="D18" s="31" t="n">
        <x:f>C18/B18</x:f>
        <x:v>0.6101364849665084</x:v>
      </x:c>
      <x:c r="E18" s="30" t="n">
        <x:f>SUM('Source Data'!H8:H19)</x:f>
        <x:v>390.44000000000005</x:v>
      </x:c>
      <x:c r="F18" s="56" t="n">
        <x:f>E18/B18</x:f>
        <x:v>0.6554635956150219</x:v>
      </x:c>
      <x:c r="G18" s="30" t="n">
        <x:f>SUM('Source Data'!H8:H21)</x:f>
        <x:v>401.44000000000005</x:v>
      </x:c>
      <x:c r="H18" s="31" t="n">
        <x:f>G18/B18</x:f>
        <x:v>0.6739301962496014</x:v>
      </x:c>
      <x:c r="I18" s="52" t="n">
        <x:f>'Source Data'!H23</x:f>
        <x:v>13</x:v>
      </x:c>
      <x:c r="J18" s="2"/>
      <x:c r="K18" s="5" t="str">
        <x:f>TEXT(A18,"mmm-yy")</x:f>
        <x:v>Sep-25</x:v>
      </x:c>
    </x:row>
    <x:row r="19" ht="22" customHeight="1">
      <x:c r="A19" s="39" t="d">
        <x:v>2025-10-01T00:00:00.000Z</x:v>
      </x:c>
      <x:c r="B19" s="49" t="n">
        <x:f>'Source Data'!I25</x:f>
        <x:v>593.01</x:v>
      </x:c>
      <x:c r="C19" s="49" t="n">
        <x:f>SUM('Source Data'!I8:I17)</x:f>
        <x:v>354.80000000000007</x:v>
      </x:c>
      <x:c r="D19" s="50" t="n">
        <x:f>C19/B19</x:f>
        <x:v>0.5983035699229357</x:v>
      </x:c>
      <x:c r="E19" s="49" t="n">
        <x:f>SUM('Source Data'!I8:I19)</x:f>
        <x:v>383.19000000000005</x:v>
      </x:c>
      <x:c r="F19" s="55" t="n">
        <x:f>E19/B19</x:f>
        <x:v>0.6461779733899935</x:v>
      </x:c>
      <x:c r="G19" s="49" t="n">
        <x:f>SUM('Source Data'!I8:I21)</x:f>
        <x:v>394.19000000000005</x:v>
      </x:c>
      <x:c r="H19" s="50" t="n">
        <x:f>G19/B19</x:f>
        <x:v>0.6647274076322491</x:v>
      </x:c>
      <x:c r="I19" s="51" t="n">
        <x:f>'Source Data'!I23</x:f>
        <x:v>13</x:v>
      </x:c>
      <x:c r="J19" s="2"/>
      <x:c r="K19" s="5" t="str">
        <x:f>TEXT(A19,"mmm-yy")</x:f>
        <x:v>Oct-25</x:v>
      </x:c>
    </x:row>
    <x:row r="20" ht="22" customHeight="1">
      <x:c r="A20" s="40" t="d">
        <x:v>2025-11-01T00:00:00.000Z</x:v>
      </x:c>
      <x:c r="B20" s="30" t="n">
        <x:f>'Source Data'!J25</x:f>
        <x:v>569.51</x:v>
      </x:c>
      <x:c r="C20" s="30" t="n">
        <x:f>SUM('Source Data'!J8:J17)</x:f>
        <x:v>335.68</x:v>
      </x:c>
      <x:c r="D20" s="31" t="n">
        <x:f>C20/B20</x:f>
        <x:v>0.5894189742058963</x:v>
      </x:c>
      <x:c r="E20" s="30" t="n">
        <x:f>SUM('Source Data'!J8:J19)</x:f>
        <x:v>362.35</x:v>
      </x:c>
      <x:c r="F20" s="56" t="n">
        <x:f>E20/B20</x:f>
        <x:v>0.6362487050271286</x:v>
      </x:c>
      <x:c r="G20" s="30" t="n">
        <x:f>SUM('Source Data'!J8:J21)</x:f>
        <x:v>374.35</x:v>
      </x:c>
      <x:c r="H20" s="31" t="n">
        <x:f>G20/B20</x:f>
        <x:v>0.6573194500535549</x:v>
      </x:c>
      <x:c r="I20" s="52" t="n">
        <x:f>'Source Data'!J23</x:f>
        <x:v>13</x:v>
      </x:c>
      <x:c r="J20" s="2"/>
      <x:c r="K20" s="5" t="str">
        <x:f>TEXT(A20,"mmm-yy")</x:f>
        <x:v>Nov-25</x:v>
      </x:c>
    </x:row>
    <x:row r="21" ht="22" customHeight="1">
      <x:c r="A21" s="39" t="d">
        <x:v>2025-12-01T00:00:00.000Z</x:v>
      </x:c>
      <x:c r="B21" s="49" t="n">
        <x:f>'Source Data'!K25</x:f>
        <x:v>593.6</x:v>
      </x:c>
      <x:c r="C21" s="49" t="n">
        <x:f>SUM('Source Data'!K8:K17)</x:f>
        <x:v>345.72</x:v>
      </x:c>
      <x:c r="D21" s="50" t="n">
        <x:f>C21/B21</x:f>
        <x:v>0.5824123989218329</x:v>
      </x:c>
      <x:c r="E21" s="49" t="n">
        <x:f>SUM('Source Data'!K8:K19)</x:f>
        <x:v>373.54</x:v>
      </x:c>
      <x:c r="F21" s="55" t="n">
        <x:f>E21/B21</x:f>
        <x:v>0.6292789757412399</x:v>
      </x:c>
      <x:c r="G21" s="49" t="n">
        <x:f>SUM('Source Data'!K8:K21)</x:f>
        <x:v>385.54</x:v>
      </x:c>
      <x:c r="H21" s="50" t="n">
        <x:f>G21/B21</x:f>
        <x:v>0.6494946091644205</x:v>
      </x:c>
      <x:c r="I21" s="51" t="n">
        <x:f>'Source Data'!K23</x:f>
        <x:v>13</x:v>
      </x:c>
      <x:c r="J21" s="2"/>
      <x:c r="K21" s="5" t="str">
        <x:f>TEXT(A21,"mmm-yy")</x:f>
        <x:v>Dec-25</x:v>
      </x:c>
    </x:row>
    <x:row r="22" ht="22" customHeight="1">
      <x:c r="A22" s="40" t="d">
        <x:v>2026-01-01T00:00:00.000Z</x:v>
      </x:c>
      <x:c r="B22" s="30" t="n">
        <x:f>'Source Data'!L25</x:f>
        <x:v>592.26</x:v>
      </x:c>
      <x:c r="C22" s="30" t="n">
        <x:f>SUM('Source Data'!L8:L17)</x:f>
        <x:v>342.53</x:v>
      </x:c>
      <x:c r="D22" s="31" t="n">
        <x:f>C22/B22</x:f>
        <x:v>0.5783439705534731</x:v>
      </x:c>
      <x:c r="E22" s="30" t="n">
        <x:f>SUM('Source Data'!L8:L19)</x:f>
        <x:v>369.78999999999996</x:v>
      </x:c>
      <x:c r="F22" s="56" t="n">
        <x:f>E22/B22</x:f>
        <x:v>0.6243710532536385</x:v>
      </x:c>
      <x:c r="G22" s="30" t="n">
        <x:f>SUM('Source Data'!L8:L21)</x:f>
        <x:v>381.78999999999996</x:v>
      </x:c>
      <x:c r="H22" s="31" t="n">
        <x:f>G22/B22</x:f>
        <x:v>0.6446324249485023</x:v>
      </x:c>
      <x:c r="I22" s="52" t="n">
        <x:f>'Source Data'!L23</x:f>
        <x:v>13</x:v>
      </x:c>
      <x:c r="J22" s="2"/>
      <x:c r="K22" s="5" t="str">
        <x:f>TEXT(A22,"mmm-yy")</x:f>
        <x:v>Jan-26</x:v>
      </x:c>
    </x:row>
    <x:row r="23" ht="22" customHeight="1">
      <x:c r="A23" s="39" t="d">
        <x:v>2026-02-01T00:00:00.000Z</x:v>
      </x:c>
      <x:c r="B23" s="49" t="n">
        <x:f>'Source Data'!M25</x:f>
        <x:v>578.68</x:v>
      </x:c>
      <x:c r="C23" s="49" t="n">
        <x:f>SUM('Source Data'!M8:M17)</x:f>
        <x:v>332.89</x:v>
      </x:c>
      <x:c r="D23" s="50" t="n">
        <x:f>C23/B23</x:f>
        <x:v>0.5752574825464851</x:v>
      </x:c>
      <x:c r="E23" s="49" t="n">
        <x:f>SUM('Source Data'!M8:M19)</x:f>
        <x:v>358.65999999999997</x:v>
      </x:c>
      <x:c r="F23" s="55" t="n">
        <x:f>E23/B23</x:f>
        <x:v>0.6197898665929357</x:v>
      </x:c>
      <x:c r="G23" s="49" t="n">
        <x:f>SUM('Source Data'!M8:M21)</x:f>
        <x:v>370.65999999999997</x:v>
      </x:c>
      <x:c r="H23" s="50" t="n">
        <x:f>G23/B23</x:f>
        <x:v>0.6405267159742863</x:v>
      </x:c>
      <x:c r="I23" s="51" t="n">
        <x:f>'Source Data'!M23</x:f>
        <x:v>13</x:v>
      </x:c>
      <x:c r="J23" s="2"/>
      <x:c r="K23" s="5" t="str">
        <x:f>TEXT(A23,"mmm-yy")</x:f>
        <x:v>Feb-26</x:v>
      </x:c>
    </x:row>
    <x:row r="24" ht="22" customHeight="1">
      <x:c r="A24" s="40" t="d">
        <x:v>2026-03-01T00:00:00.000Z</x:v>
      </x:c>
      <x:c r="B24" s="30" t="n">
        <x:f>'Source Data'!N25</x:f>
        <x:v>592.56</x:v>
      </x:c>
      <x:c r="C24" s="30" t="n">
        <x:f>SUM('Source Data'!N8:N17)</x:f>
        <x:v>334.06</x:v>
      </x:c>
      <x:c r="D24" s="31" t="n">
        <x:f>C24/B24</x:f>
        <x:v>0.5637572566491158</x:v>
      </x:c>
      <x:c r="E24" s="30" t="n">
        <x:f>SUM('Source Data'!N8:N19)</x:f>
        <x:v>361.01</x:v>
      </x:c>
      <x:c r="F24" s="56" t="n">
        <x:f>E24/B24</x:f>
        <x:v>0.6092378830835696</x:v>
      </x:c>
      <x:c r="G24" s="30" t="n">
        <x:f>SUM('Source Data'!N8:N21)</x:f>
        <x:v>374.01</x:v>
      </x:c>
      <x:c r="H24" s="31" t="n">
        <x:f>G24/B24</x:f>
        <x:v>0.6311765897124342</x:v>
      </x:c>
      <x:c r="I24" s="52" t="n">
        <x:f>'Source Data'!N23</x:f>
        <x:v>13</x:v>
      </x:c>
      <x:c r="J24" s="2"/>
      <x:c r="K24" s="5" t="str">
        <x:f>TEXT(A24,"mmm-yy")</x:f>
        <x:v>Mar-26</x:v>
      </x:c>
    </x:row>
    <x:row r="25" ht="22" customHeight="1">
      <x:c r="A25" s="39" t="d">
        <x:v>2026-04-01T00:00:00.000Z</x:v>
      </x:c>
      <x:c r="B25" s="49" t="n">
        <x:f>'Source Data'!O25</x:f>
        <x:v>645.21</x:v>
      </x:c>
      <x:c r="C25" s="49" t="n">
        <x:f>SUM('Source Data'!O8:O17)</x:f>
        <x:v>359.54</x:v>
      </x:c>
      <x:c r="D25" s="50" t="n">
        <x:f>C25/B25</x:f>
        <x:v>0.5572449280079353</x:v>
      </x:c>
      <x:c r="E25" s="49" t="n">
        <x:f>SUM('Source Data'!O8:O19)</x:f>
        <x:v>391.29</x:v>
      </x:c>
      <x:c r="F25" s="55" t="n">
        <x:f>E25/B25</x:f>
        <x:v>0.6064537127446877</x:v>
      </x:c>
      <x:c r="G25" s="49" t="n">
        <x:f>SUM('Source Data'!O8:O21)</x:f>
        <x:v>420.29</x:v>
      </x:c>
      <x:c r="H25" s="50" t="n">
        <x:f>G25/B25</x:f>
        <x:v>0.6514003192758947</x:v>
      </x:c>
      <x:c r="I25" s="51" t="n">
        <x:f>'Source Data'!O23</x:f>
        <x:v>14</x:v>
      </x:c>
      <x:c r="J25" s="2"/>
      <x:c r="K25" s="5" t="str">
        <x:f>TEXT(A25,"mmm-yy")</x:f>
        <x:v>Apr-26</x:v>
      </x:c>
    </x:row>
    <x:row r="26" ht="22" customHeight="1">
      <x:c r="A26" s="40" t="d">
        <x:v>2026-05-01T00:00:00.000Z</x:v>
      </x:c>
      <x:c r="B26" s="30" t="n">
        <x:f>'Source Data'!P25</x:f>
        <x:v>623.45</x:v>
      </x:c>
      <x:c r="C26" s="30" t="n">
        <x:f>SUM('Source Data'!P8:P17)</x:f>
        <x:v>348.95</x:v>
      </x:c>
      <x:c r="D26" s="31" t="n">
        <x:f>C26/B26</x:f>
        <x:v>0.5597080760285508</x:v>
      </x:c>
      <x:c r="E26" s="30" t="n">
        <x:f>SUM('Source Data'!P8:P19)</x:f>
        <x:v>378.77</x:v>
      </x:c>
      <x:c r="F26" s="56" t="n">
        <x:f>E26/B26</x:f>
        <x:v>0.6075386959659956</x:v>
      </x:c>
      <x:c r="G26" s="30" t="n">
        <x:f>SUM('Source Data'!P8:P21)</x:f>
        <x:v>405.77</x:v>
      </x:c>
      <x:c r="H26" s="31" t="n">
        <x:f>G26/B26</x:f>
        <x:v>0.6508460983238431</x:v>
      </x:c>
      <x:c r="I26" s="52" t="n">
        <x:f>'Source Data'!P23</x:f>
        <x:v>14</x:v>
      </x:c>
      <x:c r="J26" s="2"/>
      <x:c r="K26" s="5" t="str">
        <x:f>TEXT(A26,"mmm-yy")</x:f>
        <x:v>May-26</x:v>
      </x:c>
    </x:row>
    <x:row r="27" ht="22" customHeight="1">
      <x:c r="A27" s="39" t="d">
        <x:v>2026-06-01T00:00:00.000Z</x:v>
      </x:c>
      <x:c r="B27" s="49" t="n">
        <x:f>'Source Data'!Q25</x:f>
        <x:v>632.85</x:v>
      </x:c>
      <x:c r="C27" s="49" t="n">
        <x:f>SUM('Source Data'!Q8:Q17)</x:f>
        <x:v>345.52</x:v>
      </x:c>
      <x:c r="D27" s="50" t="n">
        <x:f>C27/B27</x:f>
        <x:v>0.5459745595322746</x:v>
      </x:c>
      <x:c r="E27" s="49" t="n">
        <x:f>SUM('Source Data'!Q8:Q19)</x:f>
        <x:v>375.54999999999995</x:v>
      </x:c>
      <x:c r="F27" s="55" t="n">
        <x:f>E27/B27</x:f>
        <x:v>0.5934265623765504</x:v>
      </x:c>
      <x:c r="G27" s="49" t="n">
        <x:f>SUM('Source Data'!Q8:Q21)</x:f>
        <x:v>403.54999999999995</x:v>
      </x:c>
      <x:c r="H27" s="50" t="n">
        <x:f>G27/B27</x:f>
        <x:v>0.637670854072845</x:v>
      </x:c>
      <x:c r="I27" s="51" t="n">
        <x:f>'Source Data'!Q23</x:f>
        <x:v>14</x:v>
      </x:c>
      <x:c r="J27" s="2"/>
      <x:c r="K27" s="5" t="str">
        <x:f>TEXT(A27,"mmm-yy")</x:f>
        <x:v>Jun-26</x:v>
      </x:c>
    </x:row>
    <x:row r="28" ht="22" customHeight="1">
      <x:c r="A28" s="40" t="d">
        <x:v>2026-07-01T00:00:00.000Z</x:v>
      </x:c>
      <x:c r="B28" s="30" t="n">
        <x:f>'Source Data'!R25</x:f>
        <x:v>647.59</x:v>
      </x:c>
      <x:c r="C28" s="30" t="n">
        <x:f>SUM('Source Data'!R8:R17)</x:f>
        <x:v>349.86</x:v>
      </x:c>
      <x:c r="D28" s="31" t="n">
        <x:f>C28/B28</x:f>
        <x:v>0.5402492317670131</x:v>
      </x:c>
      <x:c r="E28" s="30" t="n">
        <x:f>SUM('Source Data'!R8:R19)</x:f>
        <x:v>381.23</x:v>
      </x:c>
      <x:c r="F28" s="56" t="n">
        <x:f>E28/B28</x:f>
        <x:v>0.588690375083</x:v>
      </x:c>
      <x:c r="G28" s="30" t="n">
        <x:f>SUM('Source Data'!R8:R21)</x:f>
        <x:v>412.23</x:v>
      </x:c>
      <x:c r="H28" s="31" t="n">
        <x:f>G28/B28</x:f>
        <x:v>0.6365601692428852</x:v>
      </x:c>
      <x:c r="I28" s="52" t="n">
        <x:f>'Source Data'!R23</x:f>
        <x:v>14</x:v>
      </x:c>
      <x:c r="J28" s="2"/>
      <x:c r="K28" s="5" t="str">
        <x:f>TEXT(A28,"mmm-yy")</x:f>
        <x:v>Jul-26</x:v>
      </x:c>
    </x:row>
    <x:row r="29" ht="22" customHeight="1">
      <x:c r="A29" s="39" t="d">
        <x:v>2026-08-01T00:00:00.000Z</x:v>
      </x:c>
      <x:c r="B29" s="49" t="n">
        <x:f>'Source Data'!S25</x:f>
        <x:v>633.5</x:v>
      </x:c>
      <x:c r="C29" s="49" t="n">
        <x:f>SUM('Source Data'!S8:S17)</x:f>
        <x:v>341.53999999999996</x:v>
      </x:c>
      <x:c r="D29" s="50" t="n">
        <x:f>C29/B29</x:f>
        <x:v>0.5391318074191002</x:v>
      </x:c>
      <x:c r="E29" s="49" t="n">
        <x:f>SUM('Source Data'!S8:S19)</x:f>
        <x:v>371.04999999999995</x:v>
      </x:c>
      <x:c r="F29" s="55" t="n">
        <x:f>E29/B29</x:f>
        <x:v>0.5857142857142856</x:v>
      </x:c>
      <x:c r="G29" s="49" t="n">
        <x:f>SUM('Source Data'!S8:S21)</x:f>
        <x:v>403.48999999999995</x:v>
      </x:c>
      <x:c r="H29" s="50" t="n">
        <x:f>G29/B29</x:f>
        <x:v>0.636921862667719</x:v>
      </x:c>
      <x:c r="I29" s="51" t="n">
        <x:f>'Source Data'!S23</x:f>
        <x:v>14</x:v>
      </x:c>
      <x:c r="J29" s="2"/>
      <x:c r="K29" s="5" t="str">
        <x:f>TEXT(A29,"mmm-yy")</x:f>
        <x:v>Aug-26</x:v>
      </x:c>
    </x:row>
    <x:row r="30" ht="22" customHeight="1">
      <x:c r="A30" s="41" t="d">
        <x:v>2026-09-01T00:00:00.000Z</x:v>
      </x:c>
      <x:c r="B30" s="37" t="n">
        <x:f>'Source Data'!T25</x:f>
        <x:v>647.3</x:v>
      </x:c>
      <x:c r="C30" s="37" t="n">
        <x:f>SUM('Source Data'!T8:T17)</x:f>
        <x:v>344.71000000000004</x:v>
      </x:c>
      <x:c r="D30" s="53" t="n">
        <x:f>C30/B30</x:f>
        <x:v>0.5325351459910398</x:v>
      </x:c>
      <x:c r="E30" s="37" t="n">
        <x:f>SUM('Source Data'!T8:T19)</x:f>
        <x:v>373.09000000000003</x:v>
      </x:c>
      <x:c r="F30" s="57" t="n">
        <x:f>E30/B30</x:f>
        <x:v>0.5763788042638653</x:v>
      </x:c>
      <x:c r="G30" s="37" t="n">
        <x:f>SUM('Source Data'!T8:T21)</x:f>
        <x:v>405.05</x:v>
      </x:c>
      <x:c r="H30" s="53" t="n">
        <x:f>G30/B30</x:f>
        <x:v>0.6257531283794223</x:v>
      </x:c>
      <x:c r="I30" s="54" t="n">
        <x:f>'Source Data'!T23</x:f>
        <x:v>14</x:v>
      </x:c>
      <x:c r="J30" s="2"/>
      <x:c r="K30" s="5" t="str">
        <x:f>TEXT(A30,"mmm-yy")</x:f>
        <x:v>Sep-26</x:v>
      </x:c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2" customHeight="1">
      <x:c r="A32" s="24" t="str">
        <x:f>"April 2025 to September 2026: fixed 12 share "&amp;TEXT(F13,"0.0%")&amp;" to "&amp;TEXT(F30,"0.0%")&amp;"; all shown share "&amp;TEXT(H13,"0.0%")&amp;" to "&amp;TEXT(H30,"0.0%")&amp;"."</x:f>
        <x:v>April 2025 to September 2026: fixed 12 share 67.1% to 57.6%; all shown share 67.1% to 62.6%.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2" customHeight="1">
      <x:c r="A53" s="25" t="str">
        <x:v>What changed within the same 12 brands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2" customHeight="1">
      <x:c r="A54" s="5" t="str">
        <x:v>April–September 2026 versus April–September 2025. Other ABT sales are the residual outside the fixed 12.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44" customHeight="1">
      <x:c r="A55" s="10" t="str">
        <x:v>Brand / portfolio</x:v>
      </x:c>
      <x:c r="B55" s="11" t="str">
        <x:v>Apr–Sep 2025</x:v>
      </x:c>
      <x:c r="C55" s="11" t="str">
        <x:v>Apr–Sep 2026</x:v>
      </x:c>
      <x:c r="D55" s="11" t="str">
        <x:v>Change (INR cr)</x:v>
      </x:c>
      <x:c r="E55" s="11" t="str">
        <x:v>Sales growth</x:v>
      </x:c>
      <x:c r="F55" s="11" t="str">
        <x:v>ABT growth contribution (pp)</x:v>
      </x:c>
      <x:c r="G55" s="11" t="str">
        <x:v>2025 ABT share</x:v>
      </x:c>
      <x:c r="H55" s="11" t="str">
        <x:v>2026 ABT share</x:v>
      </x:c>
      <x:c r="I55" s="12" t="str">
        <x:v>Share change (pp)</x:v>
      </x:c>
      <x:c r="J55" s="2"/>
      <x:c r="K55" s="2"/>
    </x:row>
    <x:row r="56" ht="22" customHeight="1">
      <x:c r="A56" s="18" t="str">
        <x:v>Mixtard</x:v>
      </x:c>
      <x:c r="B56" s="49" t="n">
        <x:f>SUM('Source Data'!C8:H8)</x:f>
        <x:v>359.94</x:v>
      </x:c>
      <x:c r="C56" s="49" t="n">
        <x:f>SUM('Source Data'!O8:T8)</x:f>
        <x:v>235.88000000000002</x:v>
      </x:c>
      <x:c r="D56" s="49" t="n">
        <x:f>C56-B56</x:f>
        <x:v>-124.05999999999997</x:v>
      </x:c>
      <x:c r="E56" s="50" t="n">
        <x:f>C56/B56-1</x:f>
        <x:v>-0.3446685558704228</x:v>
      </x:c>
      <x:c r="F56" s="60" t="n">
        <x:f>D56/$B$6*100</x:f>
        <x:v>-3.478529069522914</x:v>
      </x:c>
      <x:c r="G56" s="50" t="n">
        <x:f>B56/$B$6</x:f>
        <x:v>0.10092388789973224</x:v>
      </x:c>
      <x:c r="H56" s="50" t="n">
        <x:f>C56/$B$7</x:f>
        <x:v>0.061589075432778924</x:v>
      </x:c>
      <x:c r="I56" s="60" t="n">
        <x:f>(H56-G56)*100</x:f>
        <x:v>-3.9334812466953313</x:v>
      </x:c>
      <x:c r="J56" s="2"/>
      <x:c r="K56" s="2"/>
    </x:row>
    <x:row r="57" ht="22" customHeight="1">
      <x:c r="A57" s="2" t="str">
        <x:v>Thyronorm</x:v>
      </x:c>
      <x:c r="B57" s="30" t="n">
        <x:f>SUM('Source Data'!C9:H9)</x:f>
        <x:v>374.97</x:v>
      </x:c>
      <x:c r="C57" s="30" t="n">
        <x:f>SUM('Source Data'!O9:T9)</x:f>
        <x:v>412.82</x:v>
      </x:c>
      <x:c r="D57" s="30" t="n">
        <x:f>C57-B57</x:f>
        <x:v>37.849999999999966</x:v>
      </x:c>
      <x:c r="E57" s="31" t="n">
        <x:f>C57/B57-1</x:f>
        <x:v>0.10094140864602497</x:v>
      </x:c>
      <x:c r="F57" s="32" t="n">
        <x:f>D57/$B$6*100</x:f>
        <x:v>1.061279423516381</x:v>
      </x:c>
      <x:c r="G57" s="31" t="n">
        <x:f>B57/$B$6</x:f>
        <x:v>0.10513816259866254</x:v>
      </x:c>
      <x:c r="H57" s="31" t="n">
        <x:f>C57/$B$7</x:f>
        <x:v>0.10778871511005507</x:v>
      </x:c>
      <x:c r="I57" s="32" t="n">
        <x:f>(H57-G57)*100</x:f>
        <x:v>0.2650552511392526</x:v>
      </x:c>
      <x:c r="J57" s="2"/>
      <x:c r="K57" s="2"/>
    </x:row>
    <x:row r="58" ht="22" customHeight="1">
      <x:c r="A58" s="18" t="str">
        <x:v>Ryzodeg</x:v>
      </x:c>
      <x:c r="B58" s="49" t="n">
        <x:f>SUM('Source Data'!C10:H10)</x:f>
        <x:v>345.71</x:v>
      </x:c>
      <x:c r="C58" s="49" t="n">
        <x:f>SUM('Source Data'!O10:T10)</x:f>
        <x:v>385.18000000000006</x:v>
      </x:c>
      <x:c r="D58" s="49" t="n">
        <x:f>C58-B58</x:f>
        <x:v>39.470000000000084</x:v>
      </x:c>
      <x:c r="E58" s="50" t="n">
        <x:f>C58/B58-1</x:f>
        <x:v>0.11417083682855589</x:v>
      </x:c>
      <x:c r="F58" s="60" t="n">
        <x:f>D58/$B$6*100</x:f>
        <x:v>1.106702743624615</x:v>
      </x:c>
      <x:c r="G58" s="50" t="n">
        <x:f>B58/$B$6</x:f>
        <x:v>0.09693392589269441</x:v>
      </x:c>
      <x:c r="H58" s="50" t="n">
        <x:f>C58/$B$7</x:f>
        <x:v>0.10057181649651427</x:v>
      </x:c>
      <x:c r="I58" s="60" t="n">
        <x:f>(H58-G58)*100</x:f>
        <x:v>0.363789060381986</x:v>
      </x:c>
      <x:c r="J58" s="2"/>
      <x:c r="K58" s="2"/>
    </x:row>
    <x:row r="59" ht="22" customHeight="1">
      <x:c r="A59" s="2" t="str">
        <x:v>Rybelsus</x:v>
      </x:c>
      <x:c r="B59" s="30" t="n">
        <x:f>SUM('Source Data'!C11:H11)</x:f>
        <x:v>248.38</x:v>
      </x:c>
      <x:c r="C59" s="30" t="n">
        <x:f>SUM('Source Data'!O11:T11)</x:f>
        <x:v>161.60000000000002</x:v>
      </x:c>
      <x:c r="D59" s="30" t="n">
        <x:f>C59-B59</x:f>
        <x:v>-86.77999999999997</x:v>
      </x:c>
      <x:c r="E59" s="31" t="n">
        <x:f>C59/B59-1</x:f>
        <x:v>-0.3493840083742651</x:v>
      </x:c>
      <x:c r="F59" s="32" t="n">
        <x:f>D59/$B$6*100</x:f>
        <x:v>-2.4332319253038732</x:v>
      </x:c>
      <x:c r="G59" s="31" t="n">
        <x:f>B59/$B$6</x:f>
        <x:v>0.06964348301532336</x:v>
      </x:c>
      <x:c r="H59" s="31" t="n">
        <x:f>C59/$B$7</x:f>
        <x:v>0.042194313167445624</x:v>
      </x:c>
      <x:c r="I59" s="32" t="n">
        <x:f>(H59-G59)*100</x:f>
        <x:v>-2.7449169847877735</x:v>
      </x:c>
      <x:c r="J59" s="2"/>
      <x:c r="K59" s="2"/>
    </x:row>
    <x:row r="60" ht="22" customHeight="1">
      <x:c r="A60" s="18" t="str">
        <x:v>Novomix</x:v>
      </x:c>
      <x:c r="B60" s="49" t="n">
        <x:f>SUM('Source Data'!C12:H12)</x:f>
        <x:v>179.8</x:v>
      </x:c>
      <x:c r="C60" s="49" t="n">
        <x:f>SUM('Source Data'!O12:T12)</x:f>
        <x:v>167.2</x:v>
      </x:c>
      <x:c r="D60" s="49" t="n">
        <x:f>C60-B60</x:f>
        <x:v>-12.600000000000023</x:v>
      </x:c>
      <x:c r="E60" s="50" t="n">
        <x:f>C60/B60-1</x:f>
        <x:v>-0.0700778642936597</x:v>
      </x:c>
      <x:c r="F60" s="60" t="n">
        <x:f>D60/$B$6*100</x:f>
        <x:v>-0.3532924897306852</x:v>
      </x:c>
      <x:c r="G60" s="50" t="n">
        <x:f>B60/$B$6</x:f>
        <x:v>0.050414277502838965</x:v>
      </x:c>
      <x:c r="H60" s="50" t="n">
        <x:f>C60/$B$7</x:f>
        <x:v>0.043656492336614526</x:v>
      </x:c>
      <x:c r="I60" s="60" t="n">
        <x:f>(H60-G60)*100</x:f>
        <x:v>-0.6757785166224439</x:v>
      </x:c>
      <x:c r="J60" s="2"/>
      <x:c r="K60" s="2"/>
    </x:row>
    <x:row r="61" ht="22" customHeight="1">
      <x:c r="A61" s="2" t="str">
        <x:v>Cremaffin Plus</x:v>
      </x:c>
      <x:c r="B61" s="30" t="n">
        <x:f>SUM('Source Data'!C13:H13)</x:f>
        <x:v>191.24</x:v>
      </x:c>
      <x:c r="C61" s="30" t="n">
        <x:f>SUM('Source Data'!O13:T13)</x:f>
        <x:v>241.94</x:v>
      </x:c>
      <x:c r="D61" s="30" t="n">
        <x:f>C61-B61</x:f>
        <x:v>50.69999999999999</x:v>
      </x:c>
      <x:c r="E61" s="31" t="n">
        <x:f>C61/B61-1</x:f>
        <x:v>0.2651119012758836</x:v>
      </x:c>
      <x:c r="F61" s="32" t="n">
        <x:f>D61/$B$6*100</x:f>
        <x:v>1.4215816848687068</x:v>
      </x:c>
      <x:c r="G61" s="31" t="n">
        <x:f>B61/$B$6</x:f>
        <x:v>0.05362194899690169</x:v>
      </x:c>
      <x:c r="H61" s="31" t="n">
        <x:f>C61/$B$7</x:f>
        <x:v>0.06317136217655812</x:v>
      </x:c>
      <x:c r="I61" s="32" t="n">
        <x:f>(H61-G61)*100</x:f>
        <x:v>0.9549413179656435</x:v>
      </x:c>
      <x:c r="J61" s="2"/>
      <x:c r="K61" s="2"/>
    </x:row>
    <x:row r="62" ht="22" customHeight="1">
      <x:c r="A62" s="18" t="str">
        <x:v>Novo Rapid</x:v>
      </x:c>
      <x:c r="B62" s="49" t="n">
        <x:f>SUM('Source Data'!C14:H14)</x:f>
        <x:v>131.71</x:v>
      </x:c>
      <x:c r="C62" s="49" t="n">
        <x:f>SUM('Source Data'!O14:T14)</x:f>
        <x:v>140.75</x:v>
      </x:c>
      <x:c r="D62" s="49" t="n">
        <x:f>C62-B62</x:f>
        <x:v>9.039999999999992</x:v>
      </x:c>
      <x:c r="E62" s="50" t="n">
        <x:f>C62/B62-1</x:f>
        <x:v>0.06863563890365199</x:v>
      </x:c>
      <x:c r="F62" s="60" t="n">
        <x:f>D62/$B$6*100</x:f>
        <x:v>0.2534733418385227</x:v>
      </x:c>
      <x:c r="G62" s="50" t="n">
        <x:f>B62/$B$6</x:f>
        <x:v>0.036930280811451166</x:v>
      </x:c>
      <x:c r="H62" s="50" t="n">
        <x:f>C62/$B$7</x:f>
        <x:v>0.036750306796522095</x:v>
      </x:c>
      <x:c r="I62" s="60" t="n">
        <x:f>(H62-G62)*100</x:f>
        <x:v>-0.017997401492907128</x:v>
      </x:c>
      <x:c r="J62" s="2"/>
      <x:c r="K62" s="2"/>
    </x:row>
    <x:row r="63" ht="22" customHeight="1">
      <x:c r="A63" s="2" t="str">
        <x:v>Digene</x:v>
      </x:c>
      <x:c r="B63" s="30" t="n">
        <x:f>SUM('Source Data'!C15:H15)</x:f>
        <x:v>124.09000000000002</x:v>
      </x:c>
      <x:c r="C63" s="30" t="n">
        <x:f>SUM('Source Data'!O15:T15)</x:f>
        <x:v>144.94</x:v>
      </x:c>
      <x:c r="D63" s="30" t="n">
        <x:f>C63-B63</x:f>
        <x:v>20.84999999999998</x:v>
      </x:c>
      <x:c r="E63" s="31" t="n">
        <x:f>C63/B63-1</x:f>
        <x:v>0.16802320896123768</x:v>
      </x:c>
      <x:c r="F63" s="32" t="n">
        <x:f>D63/$B$6*100</x:f>
        <x:v>0.5846149532448227</x:v>
      </x:c>
      <x:c r="G63" s="31" t="n">
        <x:f>B63/$B$6</x:f>
        <x:v>0.034793702421175125</x:v>
      </x:c>
      <x:c r="H63" s="31" t="n">
        <x:f>C63/$B$7</x:f>
        <x:v>0.03784433013916812</x:v>
      </x:c>
      <x:c r="I63" s="32" t="n">
        <x:f>(H63-G63)*100</x:f>
        <x:v>0.3050627717992992</x:v>
      </x:c>
      <x:c r="J63" s="2"/>
      <x:c r="K63" s="2"/>
    </x:row>
    <x:row r="64" ht="22" customHeight="1">
      <x:c r="A64" s="18" t="str">
        <x:v>Actrapid</x:v>
      </x:c>
      <x:c r="B64" s="49" t="n">
        <x:f>SUM('Source Data'!C16:H16)</x:f>
        <x:v>114.50999999999999</x:v>
      </x:c>
      <x:c r="C64" s="49" t="n">
        <x:f>SUM('Source Data'!O16:T16)</x:f>
        <x:v>73.78999999999999</x:v>
      </x:c>
      <x:c r="D64" s="49" t="n">
        <x:f>C64-B64</x:f>
        <x:v>-40.72</x:v>
      </x:c>
      <x:c r="E64" s="50" t="n">
        <x:f>C64/B64-1</x:f>
        <x:v>-0.3556021308182692</x:v>
      </x:c>
      <x:c r="F64" s="60" t="n">
        <x:f>D64/$B$6*100</x:f>
        <x:v>-1.1417516017328155</x:v>
      </x:c>
      <x:c r="G64" s="50" t="n">
        <x:f>B64/$B$6</x:f>
        <x:v>0.03210755793576245</x:v>
      </x:c>
      <x:c r="H64" s="50" t="n">
        <x:f>C64/$B$7</x:f>
        <x:v>0.019266821588031013</x:v>
      </x:c>
      <x:c r="I64" s="60" t="n">
        <x:f>(H64-G64)*100</x:f>
        <x:v>-1.2840736347731436</x:v>
      </x:c>
      <x:c r="J64" s="2"/>
      <x:c r="K64" s="2"/>
    </x:row>
    <x:row r="65" ht="22" customHeight="1">
      <x:c r="A65" s="2" t="str">
        <x:v>Tresiba</x:v>
      </x:c>
      <x:c r="B65" s="30" t="n">
        <x:f>SUM('Source Data'!C17:H17)</x:f>
        <x:v>114.92</x:v>
      </x:c>
      <x:c r="C65" s="30" t="n">
        <x:f>SUM('Source Data'!O17:T17)</x:f>
        <x:v>126.02</x:v>
      </x:c>
      <x:c r="D65" s="30" t="n">
        <x:f>C65-B65</x:f>
        <x:v>11.099999999999994</x:v>
      </x:c>
      <x:c r="E65" s="31" t="n">
        <x:f>C65/B65-1</x:f>
        <x:v>0.09658893143056035</x:v>
      </x:c>
      <x:c r="F65" s="32" t="n">
        <x:f>D65/$B$6*100</x:f>
        <x:v>0.311233860000841</x:v>
      </x:c>
      <x:c r="G65" s="31" t="n">
        <x:f>B65/$B$6</x:f>
        <x:v>0.03222251819035736</x:v>
      </x:c>
      <x:c r="H65" s="31" t="n">
        <x:f>C65/$B$7</x:f>
        <x:v>0.03290425337476174</x:v>
      </x:c>
      <x:c r="I65" s="32" t="n">
        <x:f>(H65-G65)*100</x:f>
        <x:v>0.06817351844043765</x:v>
      </x:c>
      <x:c r="J65" s="2"/>
      <x:c r="K65" s="2"/>
    </x:row>
    <x:row r="66" ht="22" customHeight="1">
      <x:c r="A66" s="18" t="str">
        <x:v>Similac</x:v>
      </x:c>
      <x:c r="B66" s="49" t="n">
        <x:f>SUM('Source Data'!C18:H18)</x:f>
        <x:v>84</x:v>
      </x:c>
      <x:c r="C66" s="49" t="n">
        <x:f>SUM('Source Data'!O18:T18)</x:f>
        <x:v>76</x:v>
      </x:c>
      <x:c r="D66" s="49" t="n">
        <x:f>C66-B66</x:f>
        <x:v>-8</x:v>
      </x:c>
      <x:c r="E66" s="50" t="n">
        <x:f>C66/B66-1</x:f>
        <x:v>-0.09523809523809523</x:v>
      </x:c>
      <x:c r="F66" s="60" t="n">
        <x:f>D66/$B$6*100</x:f>
        <x:v>-0.22431269189249814</x:v>
      </x:c>
      <x:c r="G66" s="50" t="n">
        <x:f>B66/$B$6</x:f>
        <x:v>0.023552832648712305</x:v>
      </x:c>
      <x:c r="H66" s="50" t="n">
        <x:f>C66/$B$7</x:f>
        <x:v>0.019843860153006602</x:v>
      </x:c>
      <x:c r="I66" s="60" t="n">
        <x:f>(H66-G66)*100</x:f>
        <x:v>-0.37089724957057035</x:v>
      </x:c>
      <x:c r="J66" s="2"/>
      <x:c r="K66" s="2"/>
    </x:row>
    <x:row r="67" ht="22" customHeight="1">
      <x:c r="A67" s="2" t="str">
        <x:v>Cremaffin</x:v>
      </x:c>
      <x:c r="B67" s="30" t="n">
        <x:f>SUM('Source Data'!C19:H19)</x:f>
        <x:v>84.42</x:v>
      </x:c>
      <x:c r="C67" s="30" t="n">
        <x:f>SUM('Source Data'!O19:T19)</x:f>
        <x:v>104.86</x:v>
      </x:c>
      <x:c r="D67" s="30" t="n">
        <x:f>C67-B67</x:f>
        <x:v>20.439999999999998</x:v>
      </x:c>
      <x:c r="E67" s="31" t="n">
        <x:f>C67/B67-1</x:f>
        <x:v>0.24212271973466004</x:v>
      </x:c>
      <x:c r="F67" s="32" t="n">
        <x:f>D67/$B$6*100</x:f>
        <x:v>0.5731189277853327</x:v>
      </x:c>
      <x:c r="G67" s="31" t="n">
        <x:f>B67/$B$6</x:f>
        <x:v>0.02367059681195587</x:v>
      </x:c>
      <x:c r="H67" s="31" t="n">
        <x:f>C67/$B$7</x:f>
        <x:v>0.027379304942687796</x:v>
      </x:c>
      <x:c r="I67" s="32" t="n">
        <x:f>(H67-G67)*100</x:f>
        <x:v>0.3708708130731927</x:v>
      </x:c>
      <x:c r="J67" s="2"/>
      <x:c r="K67" s="2"/>
    </x:row>
    <x:row r="68" ht="22" customHeight="1">
      <x:c r="A68" s="18" t="str">
        <x:v>Other ABT sales</x:v>
      </x:c>
      <x:c r="B68" s="49" t="n">
        <x:f>$B$6-SUM(B56:B67)</x:f>
        <x:v>1212.7599999999998</x:v>
      </x:c>
      <x:c r="C68" s="49" t="n">
        <x:f>$B$7-SUM(C56:C67)</x:f>
        <x:v>1558.92</x:v>
      </x:c>
      <x:c r="D68" s="49" t="n">
        <x:f>C68-B68</x:f>
        <x:v>346.1600000000003</x:v>
      </x:c>
      <x:c r="E68" s="50" t="n">
        <x:f>C68/B68-1</x:f>
        <x:v>0.2854315775586269</x:v>
      </x:c>
      <x:c r="F68" s="60" t="n">
        <x:f>D68/$B$6*100</x:f>
        <x:v>9.706010178188404</x:v>
      </x:c>
      <x:c r="G68" s="50" t="n">
        <x:f>B68/$B$6</x:f>
        <x:v>0.34004682527443253</x:v>
      </x:c>
      <x:c r="H68" s="50" t="n">
        <x:f>C68/$B$7</x:f>
        <x:v>0.407039348285856</x:v>
      </x:c>
      <x:c r="I68" s="60" t="n">
        <x:f>(H68-G68)*100</x:f>
        <x:v>6.699252301142344</x:v>
      </x:c>
      <x:c r="J68" s="2"/>
      <x:c r="K68" s="2"/>
    </x:row>
    <x:row r="69" ht="22" customHeight="1">
      <x:c r="A69" s="64" t="str">
        <x:v>Total ABBOTT</x:v>
      </x:c>
      <x:c r="B69" s="65" t="n">
        <x:f>SUM(B56:B68)</x:f>
        <x:v>3566.45</x:v>
      </x:c>
      <x:c r="C69" s="65" t="n">
        <x:f>SUM(C56:C68)</x:f>
        <x:v>3829.9000000000005</x:v>
      </x:c>
      <x:c r="D69" s="65" t="n">
        <x:f>C69-B69</x:f>
        <x:v>263.4500000000007</x:v>
      </x:c>
      <x:c r="E69" s="66" t="n">
        <x:f>C69/B69-1</x:f>
        <x:v>0.07386897334884845</x:v>
      </x:c>
      <x:c r="F69" s="67" t="n">
        <x:f>SUM(F56:F68)</x:f>
        <x:v>7.386897334884839</x:v>
      </x:c>
      <x:c r="G69" s="66" t="n">
        <x:f>SUM(G56:G68)</x:f>
        <x:v>0.9999999999999999</x:v>
      </x:c>
      <x:c r="H69" s="66" t="n">
        <x:f>SUM(H56:H68)</x:f>
        <x:v>1</x:v>
      </x:c>
      <x:c r="I69" s="67" t="n">
        <x:f>ROUND((H69-G69)*100,8)</x:f>
        <x:v>0</x:v>
      </x:c>
      <x:c r="J69" s="2"/>
      <x:c r="K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22" customHeight="1">
      <x:c r="A72" s="24" t="str">
        <x:v>The stable-concentration hypothesis is not supported by this ABT dataset. The same 12-brand cohort lost share.</x:v>
      </x:c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22" customHeight="1">
      <x:c r="A73" s="24" t="str">
        <x:v>A lower cohort share does not identify the source of growth elsewhere. Product launch dates and new-launch sales are not established.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22" customHeight="1">
      <x:c r="A74" s="24" t="str">
        <x:v>Wegovy appears in the supplied list from April 2026. Earlier missing observations are not treated as zero or as a launch-date estimate.</x:v>
      </x:c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2" customHeight="1">
      <x:c r="A75" s="24" t="str">
        <x:v>The numerator includes only the photographed ABT brands. The denominator excludes ABBOTT HEALTHCARE and SOLVAY PHARMA.</x:v>
      </x:c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22" customHeight="1">
      <x:c r="A76" s="24" t="str">
        <x:v>Detailed sales, cohort definitions, source filenames and precision limitations are in Source Data.</x:v>
      </x:c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</x:sheetData>
  <x:mergeCells>
    <x:mergeCell ref="A2:I2"/>
    <x:mergeCell ref="A4:I4"/>
    <x:mergeCell ref="G5:I5"/>
    <x:mergeCell ref="G6:I8"/>
    <x:mergeCell ref="A11:I11"/>
    <x:mergeCell ref="A32:I32"/>
    <x:mergeCell ref="A54:I54"/>
    <x:mergeCell ref="A72:I72"/>
    <x:mergeCell ref="A73:I73"/>
    <x:mergeCell ref="A74:I74"/>
    <x:mergeCell ref="A75:I75"/>
    <x:mergeCell ref="A76:I76"/>
  </x:mergeCells>
  <x:conditionalFormatting sqref="D56:F69">
    <x:cfRule type="cellIs" dxfId="0" priority="1" operator="lessThan">
      <x:formula>0</x:formula>
    </x:cfRule>
  </x:conditionalFormatting>
  <x:conditionalFormatting sqref="I56:I69"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32621feff5b41a4"/>
</x:worksheet>
</file>

<file path=xl/worksheets/sheet2.xml><?xml version="1.0" encoding="utf-8"?>
<x:worksheet xmlns:x="http://schemas.openxmlformats.org/spreadsheetml/2006/main">
  <x:sheetPr>
    <x:tabColor rgb="FFD9C6A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5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3" t="str">
        <x:v>Abbott ABT portfolio: monthly brand sales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22" customHeight="1">
      <x:c r="A4" s="5" t="str">
        <x:v>Source: supplied IQVIA product and corporation reports. MONTH values in INR crore. ABT matched to ABBOTT.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38" customHeight="1">
      <x:c r="A7" s="10" t="str">
        <x:v>Brand</x:v>
      </x:c>
      <x:c r="B7" s="11" t="str">
        <x:v>Fixed cohort</x:v>
      </x:c>
      <x:c r="C7" s="13" t="d">
        <x:v>2025-04-01T00:00:00.000Z</x:v>
      </x:c>
      <x:c r="D7" s="13" t="d">
        <x:v>2025-05-01T00:00:00.000Z</x:v>
      </x:c>
      <x:c r="E7" s="13" t="d">
        <x:v>2025-06-01T00:00:00.000Z</x:v>
      </x:c>
      <x:c r="F7" s="13" t="d">
        <x:v>2025-07-01T00:00:00.000Z</x:v>
      </x:c>
      <x:c r="G7" s="13" t="d">
        <x:v>2025-08-01T00:00:00.000Z</x:v>
      </x:c>
      <x:c r="H7" s="13" t="d">
        <x:v>2025-09-01T00:00:00.000Z</x:v>
      </x:c>
      <x:c r="I7" s="13" t="d">
        <x:v>2025-10-01T00:00:00.000Z</x:v>
      </x:c>
      <x:c r="J7" s="13" t="d">
        <x:v>2025-11-01T00:00:00.000Z</x:v>
      </x:c>
      <x:c r="K7" s="13" t="d">
        <x:v>2025-12-01T00:00:00.000Z</x:v>
      </x:c>
      <x:c r="L7" s="13" t="d">
        <x:v>2026-01-01T00:00:00.000Z</x:v>
      </x:c>
      <x:c r="M7" s="13" t="d">
        <x:v>2026-02-01T00:00:00.000Z</x:v>
      </x:c>
      <x:c r="N7" s="13" t="d">
        <x:v>2026-03-01T00:00:00.000Z</x:v>
      </x:c>
      <x:c r="O7" s="13" t="d">
        <x:v>2026-04-01T00:00:00.000Z</x:v>
      </x:c>
      <x:c r="P7" s="13" t="d">
        <x:v>2026-05-01T00:00:00.000Z</x:v>
      </x:c>
      <x:c r="Q7" s="13" t="d">
        <x:v>2026-06-01T00:00:00.000Z</x:v>
      </x:c>
      <x:c r="R7" s="13" t="d">
        <x:v>2026-07-01T00:00:00.000Z</x:v>
      </x:c>
      <x:c r="S7" s="13" t="d">
        <x:v>2026-08-01T00:00:00.000Z</x:v>
      </x:c>
      <x:c r="T7" s="14" t="d">
        <x:v>2026-09-01T00:00:00.000Z</x:v>
      </x:c>
    </x:row>
    <x:row r="8" ht="22" customHeight="1">
      <x:c r="A8" s="18" t="str">
        <x:v>Mixtard</x:v>
      </x:c>
      <x:c r="B8" s="18" t="str">
        <x:v>Core 10 and 12</x:v>
      </x:c>
      <x:c r="C8" s="19" t="n">
        <x:v>66.62</x:v>
      </x:c>
      <x:c r="D8" s="19" t="n">
        <x:v>60.68</x:v>
      </x:c>
      <x:c r="E8" s="19" t="n">
        <x:v>56.92</x:v>
      </x:c>
      <x:c r="F8" s="19" t="n">
        <x:v>59.45</x:v>
      </x:c>
      <x:c r="G8" s="19" t="n">
        <x:v>58.2</x:v>
      </x:c>
      <x:c r="H8" s="19" t="n">
        <x:v>58.07</x:v>
      </x:c>
      <x:c r="I8" s="19" t="n">
        <x:v>53.8</x:v>
      </x:c>
      <x:c r="J8" s="19" t="n">
        <x:v>42.91</x:v>
      </x:c>
      <x:c r="K8" s="19" t="n">
        <x:v>42.81</x:v>
      </x:c>
      <x:c r="L8" s="19" t="n">
        <x:v>41.42</x:v>
      </x:c>
      <x:c r="M8" s="19" t="n">
        <x:v>37.85</x:v>
      </x:c>
      <x:c r="N8" s="19" t="n">
        <x:v>37.38</x:v>
      </x:c>
      <x:c r="O8" s="19" t="n">
        <x:v>42.45</x:v>
      </x:c>
      <x:c r="P8" s="19" t="n">
        <x:v>39.38</x:v>
      </x:c>
      <x:c r="Q8" s="19" t="n">
        <x:v>39.15</x:v>
      </x:c>
      <x:c r="R8" s="19" t="n">
        <x:v>39.62</x:v>
      </x:c>
      <x:c r="S8" s="19" t="n">
        <x:v>37.76</x:v>
      </x:c>
      <x:c r="T8" s="19" t="n">
        <x:v>37.52</x:v>
      </x:c>
    </x:row>
    <x:row r="9" ht="22" customHeight="1">
      <x:c r="A9" s="2" t="str">
        <x:v>Thyronorm</x:v>
      </x:c>
      <x:c r="B9" s="2" t="str">
        <x:v>Core 10 and 12</x:v>
      </x:c>
      <x:c r="C9" s="17" t="n">
        <x:v>64.93</x:v>
      </x:c>
      <x:c r="D9" s="17" t="n">
        <x:v>62.24</x:v>
      </x:c>
      <x:c r="E9" s="17" t="n">
        <x:v>58.33</x:v>
      </x:c>
      <x:c r="F9" s="17" t="n">
        <x:v>62.03</x:v>
      </x:c>
      <x:c r="G9" s="17" t="n">
        <x:v>59.13</x:v>
      </x:c>
      <x:c r="H9" s="17" t="n">
        <x:v>68.31</x:v>
      </x:c>
      <x:c r="I9" s="17" t="n">
        <x:v>62.34</x:v>
      </x:c>
      <x:c r="J9" s="17" t="n">
        <x:v>63.72</x:v>
      </x:c>
      <x:c r="K9" s="17" t="n">
        <x:v>65.39</x:v>
      </x:c>
      <x:c r="L9" s="17" t="n">
        <x:v>64.77</x:v>
      </x:c>
      <x:c r="M9" s="17" t="n">
        <x:v>65.06</x:v>
      </x:c>
      <x:c r="N9" s="17" t="n">
        <x:v>63.9</x:v>
      </x:c>
      <x:c r="O9" s="17" t="n">
        <x:v>74.04</x:v>
      </x:c>
      <x:c r="P9" s="17" t="n">
        <x:v>70.47</x:v>
      </x:c>
      <x:c r="Q9" s="17" t="n">
        <x:v>65.35</x:v>
      </x:c>
      <x:c r="R9" s="17" t="n">
        <x:v>68.06</x:v>
      </x:c>
      <x:c r="S9" s="17" t="n">
        <x:v>63.86</x:v>
      </x:c>
      <x:c r="T9" s="17" t="n">
        <x:v>71.04</x:v>
      </x:c>
    </x:row>
    <x:row r="10" ht="22" customHeight="1">
      <x:c r="A10" s="18" t="str">
        <x:v>Ryzodeg</x:v>
      </x:c>
      <x:c r="B10" s="18" t="str">
        <x:v>Core 10 and 12</x:v>
      </x:c>
      <x:c r="C10" s="19" t="n">
        <x:v>57.46</x:v>
      </x:c>
      <x:c r="D10" s="19" t="n">
        <x:v>56.53</x:v>
      </x:c>
      <x:c r="E10" s="19" t="n">
        <x:v>56.15</x:v>
      </x:c>
      <x:c r="F10" s="19" t="n">
        <x:v>57.58</x:v>
      </x:c>
      <x:c r="G10" s="19" t="n">
        <x:v>57.53</x:v>
      </x:c>
      <x:c r="H10" s="19" t="n">
        <x:v>60.46</x:v>
      </x:c>
      <x:c r="I10" s="19" t="n">
        <x:v>59.59</x:v>
      </x:c>
      <x:c r="J10" s="19" t="n">
        <x:v>57.14</x:v>
      </x:c>
      <x:c r="K10" s="19" t="n">
        <x:v>62.91</x:v>
      </x:c>
      <x:c r="L10" s="19" t="n">
        <x:v>61.99</x:v>
      </x:c>
      <x:c r="M10" s="19" t="n">
        <x:v>60.22</x:v>
      </x:c>
      <x:c r="N10" s="19" t="n">
        <x:v>60.55</x:v>
      </x:c>
      <x:c r="O10" s="19" t="n">
        <x:v>64.68</x:v>
      </x:c>
      <x:c r="P10" s="19" t="n">
        <x:v>64.82</x:v>
      </x:c>
      <x:c r="Q10" s="19" t="n">
        <x:v>63.06</x:v>
      </x:c>
      <x:c r="R10" s="19" t="n">
        <x:v>65.3</x:v>
      </x:c>
      <x:c r="S10" s="19" t="n">
        <x:v>63.6</x:v>
      </x:c>
      <x:c r="T10" s="19" t="n">
        <x:v>63.72</x:v>
      </x:c>
    </x:row>
    <x:row r="11" ht="22" customHeight="1">
      <x:c r="A11" s="2" t="str">
        <x:v>Rybelsus</x:v>
      </x:c>
      <x:c r="B11" s="2" t="str">
        <x:v>Core 10 and 12</x:v>
      </x:c>
      <x:c r="C11" s="17" t="n">
        <x:v>43.57</x:v>
      </x:c>
      <x:c r="D11" s="17" t="n">
        <x:v>44.72</x:v>
      </x:c>
      <x:c r="E11" s="17" t="n">
        <x:v>41.41</x:v>
      </x:c>
      <x:c r="F11" s="17" t="n">
        <x:v>42.72</x:v>
      </x:c>
      <x:c r="G11" s="17" t="n">
        <x:v>39.09</x:v>
      </x:c>
      <x:c r="H11" s="17" t="n">
        <x:v>36.87</x:v>
      </x:c>
      <x:c r="I11" s="17" t="n">
        <x:v>37.78</x:v>
      </x:c>
      <x:c r="J11" s="17" t="n">
        <x:v>36</x:v>
      </x:c>
      <x:c r="K11" s="17" t="n">
        <x:v>36.98</x:v>
      </x:c>
      <x:c r="L11" s="17" t="n">
        <x:v>34.96</x:v>
      </x:c>
      <x:c r="M11" s="17" t="n">
        <x:v>33.17</x:v>
      </x:c>
      <x:c r="N11" s="17" t="n">
        <x:v>31.71</x:v>
      </x:c>
      <x:c r="O11" s="17" t="n">
        <x:v>30.9</x:v>
      </x:c>
      <x:c r="P11" s="17" t="n">
        <x:v>30</x:v>
      </x:c>
      <x:c r="Q11" s="17" t="n">
        <x:v>26.85</x:v>
      </x:c>
      <x:c r="R11" s="17" t="n">
        <x:v>25.81</x:v>
      </x:c>
      <x:c r="S11" s="17" t="n">
        <x:v>24.9</x:v>
      </x:c>
      <x:c r="T11" s="17" t="n">
        <x:v>23.14</x:v>
      </x:c>
    </x:row>
    <x:row r="12" ht="22" customHeight="1">
      <x:c r="A12" s="18" t="str">
        <x:v>Novomix</x:v>
      </x:c>
      <x:c r="B12" s="18" t="str">
        <x:v>Core 10 and 12</x:v>
      </x:c>
      <x:c r="C12" s="19" t="n">
        <x:v>31.42</x:v>
      </x:c>
      <x:c r="D12" s="19" t="n">
        <x:v>30.51</x:v>
      </x:c>
      <x:c r="E12" s="19" t="n">
        <x:v>28.53</x:v>
      </x:c>
      <x:c r="F12" s="19" t="n">
        <x:v>30.22</x:v>
      </x:c>
      <x:c r="G12" s="19" t="n">
        <x:v>30.47</x:v>
      </x:c>
      <x:c r="H12" s="19" t="n">
        <x:v>28.65</x:v>
      </x:c>
      <x:c r="I12" s="19" t="n">
        <x:v>30.41</x:v>
      </x:c>
      <x:c r="J12" s="19" t="n">
        <x:v>28.45</x:v>
      </x:c>
      <x:c r="K12" s="19" t="n">
        <x:v>30.12</x:v>
      </x:c>
      <x:c r="L12" s="19" t="n">
        <x:v>30.14</x:v>
      </x:c>
      <x:c r="M12" s="19" t="n">
        <x:v>26.51</x:v>
      </x:c>
      <x:c r="N12" s="19" t="n">
        <x:v>28.02</x:v>
      </x:c>
      <x:c r="O12" s="19" t="n">
        <x:v>28.6</x:v>
      </x:c>
      <x:c r="P12" s="19" t="n">
        <x:v>26.64</x:v>
      </x:c>
      <x:c r="Q12" s="19" t="n">
        <x:v>28.4</x:v>
      </x:c>
      <x:c r="R12" s="19" t="n">
        <x:v>28.28</x:v>
      </x:c>
      <x:c r="S12" s="19" t="n">
        <x:v>27.78</x:v>
      </x:c>
      <x:c r="T12" s="19" t="n">
        <x:v>27.5</x:v>
      </x:c>
    </x:row>
    <x:row r="13" ht="22" customHeight="1">
      <x:c r="A13" s="2" t="str">
        <x:v>Cremaffin Plus</x:v>
      </x:c>
      <x:c r="B13" s="2" t="str">
        <x:v>Core 10 and 12</x:v>
      </x:c>
      <x:c r="C13" s="17" t="n">
        <x:v>32.52</x:v>
      </x:c>
      <x:c r="D13" s="17" t="n">
        <x:v>31.02</x:v>
      </x:c>
      <x:c r="E13" s="17" t="n">
        <x:v>29.54</x:v>
      </x:c>
      <x:c r="F13" s="17" t="n">
        <x:v>32.3</x:v>
      </x:c>
      <x:c r="G13" s="17" t="n">
        <x:v>32.39</x:v>
      </x:c>
      <x:c r="H13" s="17" t="n">
        <x:v>33.47</x:v>
      </x:c>
      <x:c r="I13" s="17" t="n">
        <x:v>32.6</x:v>
      </x:c>
      <x:c r="J13" s="17" t="n">
        <x:v>32.9</x:v>
      </x:c>
      <x:c r="K13" s="17" t="n">
        <x:v>30.73</x:v>
      </x:c>
      <x:c r="L13" s="17" t="n">
        <x:v>32.89</x:v>
      </x:c>
      <x:c r="M13" s="17" t="n">
        <x:v>35.94</x:v>
      </x:c>
      <x:c r="N13" s="17" t="n">
        <x:v>37.19</x:v>
      </x:c>
      <x:c r="O13" s="17" t="n">
        <x:v>39.67</x:v>
      </x:c>
      <x:c r="P13" s="17" t="n">
        <x:v>38.77</x:v>
      </x:c>
      <x:c r="Q13" s="17" t="n">
        <x:v>39.83</x:v>
      </x:c>
      <x:c r="R13" s="17" t="n">
        <x:v>41.39</x:v>
      </x:c>
      <x:c r="S13" s="17" t="n">
        <x:v>42.11</x:v>
      </x:c>
      <x:c r="T13" s="17" t="n">
        <x:v>40.17</x:v>
      </x:c>
    </x:row>
    <x:row r="14" ht="22" customHeight="1">
      <x:c r="A14" s="18" t="str">
        <x:v>Novo Rapid</x:v>
      </x:c>
      <x:c r="B14" s="18" t="str">
        <x:v>Core 10 and 12</x:v>
      </x:c>
      <x:c r="C14" s="19" t="n">
        <x:v>22.32</x:v>
      </x:c>
      <x:c r="D14" s="19" t="n">
        <x:v>22.4</x:v>
      </x:c>
      <x:c r="E14" s="19" t="n">
        <x:v>20.66</x:v>
      </x:c>
      <x:c r="F14" s="19" t="n">
        <x:v>22.39</x:v>
      </x:c>
      <x:c r="G14" s="19" t="n">
        <x:v>21.95</x:v>
      </x:c>
      <x:c r="H14" s="19" t="n">
        <x:v>21.99</x:v>
      </x:c>
      <x:c r="I14" s="19" t="n">
        <x:v>22.98</x:v>
      </x:c>
      <x:c r="J14" s="19" t="n">
        <x:v>21.42</x:v>
      </x:c>
      <x:c r="K14" s="19" t="n">
        <x:v>23.16</x:v>
      </x:c>
      <x:c r="L14" s="19" t="n">
        <x:v>22.58</x:v>
      </x:c>
      <x:c r="M14" s="19" t="n">
        <x:v>21.11</x:v>
      </x:c>
      <x:c r="N14" s="19" t="n">
        <x:v>23.13</x:v>
      </x:c>
      <x:c r="O14" s="19" t="n">
        <x:v>23.67</x:v>
      </x:c>
      <x:c r="P14" s="19" t="n">
        <x:v>23.39</x:v>
      </x:c>
      <x:c r="Q14" s="19" t="n">
        <x:v>23.45</x:v>
      </x:c>
      <x:c r="R14" s="19" t="n">
        <x:v>23.62</x:v>
      </x:c>
      <x:c r="S14" s="19" t="n">
        <x:v>23.36</x:v>
      </x:c>
      <x:c r="T14" s="19" t="n">
        <x:v>23.26</x:v>
      </x:c>
    </x:row>
    <x:row r="15" ht="22" customHeight="1">
      <x:c r="A15" s="2" t="str">
        <x:v>Digene</x:v>
      </x:c>
      <x:c r="B15" s="2" t="str">
        <x:v>Core 10 and 12</x:v>
      </x:c>
      <x:c r="C15" s="17" t="n">
        <x:v>23.46</x:v>
      </x:c>
      <x:c r="D15" s="17" t="n">
        <x:v>20.64</x:v>
      </x:c>
      <x:c r="E15" s="17" t="n">
        <x:v>21.38</x:v>
      </x:c>
      <x:c r="F15" s="17" t="n">
        <x:v>19.84</x:v>
      </x:c>
      <x:c r="G15" s="17" t="n">
        <x:v>19.54</x:v>
      </x:c>
      <x:c r="H15" s="17" t="n">
        <x:v>19.23</x:v>
      </x:c>
      <x:c r="I15" s="17" t="n">
        <x:v>21.42</x:v>
      </x:c>
      <x:c r="J15" s="17" t="n">
        <x:v>22.67</x:v>
      </x:c>
      <x:c r="K15" s="17" t="n">
        <x:v>21.47</x:v>
      </x:c>
      <x:c r="L15" s="17" t="n">
        <x:v>21.74</x:v>
      </x:c>
      <x:c r="M15" s="17" t="n">
        <x:v>22.08</x:v>
      </x:c>
      <x:c r="N15" s="17" t="n">
        <x:v>21.68</x:v>
      </x:c>
      <x:c r="O15" s="17" t="n">
        <x:v>22.22</x:v>
      </x:c>
      <x:c r="P15" s="17" t="n">
        <x:v>23.32</x:v>
      </x:c>
      <x:c r="Q15" s="17" t="n">
        <x:v>26.73</x:v>
      </x:c>
      <x:c r="R15" s="17" t="n">
        <x:v>24.2</x:v>
      </x:c>
      <x:c r="S15" s="17" t="n">
        <x:v>23.84</x:v>
      </x:c>
      <x:c r="T15" s="17" t="n">
        <x:v>24.63</x:v>
      </x:c>
    </x:row>
    <x:row r="16" ht="22" customHeight="1">
      <x:c r="A16" s="18" t="str">
        <x:v>Actrapid</x:v>
      </x:c>
      <x:c r="B16" s="18" t="str">
        <x:v>Core 10 and 12</x:v>
      </x:c>
      <x:c r="C16" s="19" t="n">
        <x:v>20.37</x:v>
      </x:c>
      <x:c r="D16" s="19" t="n">
        <x:v>19.29</x:v>
      </x:c>
      <x:c r="E16" s="19" t="n">
        <x:v>18.8</x:v>
      </x:c>
      <x:c r="F16" s="19" t="n">
        <x:v>19.53</x:v>
      </x:c>
      <x:c r="G16" s="19" t="n">
        <x:v>19.15</x:v>
      </x:c>
      <x:c r="H16" s="19" t="n">
        <x:v>17.37</x:v>
      </x:c>
      <x:c r="I16" s="19" t="n">
        <x:v>14.04</x:v>
      </x:c>
      <x:c r="J16" s="19" t="n">
        <x:v>11.97</x:v>
      </x:c>
      <x:c r="K16" s="19" t="n">
        <x:v>12.4</x:v>
      </x:c>
      <x:c r="L16" s="19" t="n">
        <x:v>12.34</x:v>
      </x:c>
      <x:c r="M16" s="19" t="n">
        <x:v>11.67</x:v>
      </x:c>
      <x:c r="N16" s="19" t="n">
        <x:v>11.24</x:v>
      </x:c>
      <x:c r="O16" s="19" t="n">
        <x:v>12.79</x:v>
      </x:c>
      <x:c r="P16" s="19" t="n">
        <x:v>12</x:v>
      </x:c>
      <x:c r="Q16" s="19" t="n">
        <x:v>12</x:v>
      </x:c>
      <x:c r="R16" s="19" t="n">
        <x:v>12</x:v>
      </x:c>
      <x:c r="S16" s="19" t="n">
        <x:v>13</x:v>
      </x:c>
      <x:c r="T16" s="19" t="n">
        <x:v>12</x:v>
      </x:c>
    </x:row>
    <x:row r="17" ht="22" customHeight="1">
      <x:c r="A17" s="2" t="str">
        <x:v>Tresiba</x:v>
      </x:c>
      <x:c r="B17" s="2" t="str">
        <x:v>Core 10 and 12</x:v>
      </x:c>
      <x:c r="C17" s="17" t="n">
        <x:v>19.27</x:v>
      </x:c>
      <x:c r="D17" s="17" t="n">
        <x:v>19.45</x:v>
      </x:c>
      <x:c r="E17" s="17" t="n">
        <x:v>18.25</x:v>
      </x:c>
      <x:c r="F17" s="17" t="n">
        <x:v>19.68</x:v>
      </x:c>
      <x:c r="G17" s="17" t="n">
        <x:v>19.25</x:v>
      </x:c>
      <x:c r="H17" s="17" t="n">
        <x:v>19.02</x:v>
      </x:c>
      <x:c r="I17" s="17" t="n">
        <x:v>19.84</x:v>
      </x:c>
      <x:c r="J17" s="17" t="n">
        <x:v>18.5</x:v>
      </x:c>
      <x:c r="K17" s="17" t="n">
        <x:v>19.75</x:v>
      </x:c>
      <x:c r="L17" s="17" t="n">
        <x:v>19.7</x:v>
      </x:c>
      <x:c r="M17" s="17" t="n">
        <x:v>19.28</x:v>
      </x:c>
      <x:c r="N17" s="17" t="n">
        <x:v>19.26</x:v>
      </x:c>
      <x:c r="O17" s="17" t="n">
        <x:v>20.52</x:v>
      </x:c>
      <x:c r="P17" s="17" t="n">
        <x:v>20.16</x:v>
      </x:c>
      <x:c r="Q17" s="17" t="n">
        <x:v>20.7</x:v>
      </x:c>
      <x:c r="R17" s="17" t="n">
        <x:v>21.58</x:v>
      </x:c>
      <x:c r="S17" s="17" t="n">
        <x:v>21.33</x:v>
      </x:c>
      <x:c r="T17" s="17" t="n">
        <x:v>21.73</x:v>
      </x:c>
    </x:row>
    <x:row r="18" ht="22" customHeight="1">
      <x:c r="A18" s="18" t="str">
        <x:v>Similac</x:v>
      </x:c>
      <x:c r="B18" s="18" t="str">
        <x:v>Core 12</x:v>
      </x:c>
      <x:c r="C18" s="19" t="n">
        <x:v>15.48</x:v>
      </x:c>
      <x:c r="D18" s="19" t="n">
        <x:v>14.19</x:v>
      </x:c>
      <x:c r="E18" s="19" t="n">
        <x:v>13.42</x:v>
      </x:c>
      <x:c r="F18" s="19" t="n">
        <x:v>13.83</x:v>
      </x:c>
      <x:c r="G18" s="19" t="n">
        <x:v>14.06</x:v>
      </x:c>
      <x:c r="H18" s="19" t="n">
        <x:v>13.02</x:v>
      </x:c>
      <x:c r="I18" s="19" t="n">
        <x:v>13.45</x:v>
      </x:c>
      <x:c r="J18" s="19" t="n">
        <x:v>12.87</x:v>
      </x:c>
      <x:c r="K18" s="19" t="n">
        <x:v>13.19</x:v>
      </x:c>
      <x:c r="L18" s="19" t="n">
        <x:v>13</x:v>
      </x:c>
      <x:c r="M18" s="19" t="n">
        <x:v>12</x:v>
      </x:c>
      <x:c r="N18" s="19" t="n">
        <x:v>12</x:v>
      </x:c>
      <x:c r="O18" s="19" t="n">
        <x:v>13</x:v>
      </x:c>
      <x:c r="P18" s="19" t="n">
        <x:v>12</x:v>
      </x:c>
      <x:c r="Q18" s="19" t="n">
        <x:v>12</x:v>
      </x:c>
      <x:c r="R18" s="19" t="n">
        <x:v>13</x:v>
      </x:c>
      <x:c r="S18" s="19" t="n">
        <x:v>13</x:v>
      </x:c>
      <x:c r="T18" s="19" t="n">
        <x:v>13</x:v>
      </x:c>
    </x:row>
    <x:row r="19" ht="22" customHeight="1">
      <x:c r="A19" s="2" t="str">
        <x:v>Cremaffin</x:v>
      </x:c>
      <x:c r="B19" s="2" t="str">
        <x:v>Core 12</x:v>
      </x:c>
      <x:c r="C19" s="17" t="n">
        <x:v>15</x:v>
      </x:c>
      <x:c r="D19" s="17" t="n">
        <x:v>14.26</x:v>
      </x:c>
      <x:c r="E19" s="17" t="n">
        <x:v>13.35</x:v>
      </x:c>
      <x:c r="F19" s="17" t="n">
        <x:v>14.07</x:v>
      </x:c>
      <x:c r="G19" s="17" t="n">
        <x:v>13.76</x:v>
      </x:c>
      <x:c r="H19" s="17" t="n">
        <x:v>13.98</x:v>
      </x:c>
      <x:c r="I19" s="17" t="n">
        <x:v>14.94</x:v>
      </x:c>
      <x:c r="J19" s="17" t="n">
        <x:v>13.8</x:v>
      </x:c>
      <x:c r="K19" s="17" t="n">
        <x:v>14.63</x:v>
      </x:c>
      <x:c r="L19" s="17" t="n">
        <x:v>14.26</x:v>
      </x:c>
      <x:c r="M19" s="17" t="n">
        <x:v>13.77</x:v>
      </x:c>
      <x:c r="N19" s="17" t="n">
        <x:v>14.95</x:v>
      </x:c>
      <x:c r="O19" s="17" t="n">
        <x:v>18.75</x:v>
      </x:c>
      <x:c r="P19" s="17" t="n">
        <x:v>17.82</x:v>
      </x:c>
      <x:c r="Q19" s="17" t="n">
        <x:v>18.03</x:v>
      </x:c>
      <x:c r="R19" s="17" t="n">
        <x:v>18.37</x:v>
      </x:c>
      <x:c r="S19" s="17" t="n">
        <x:v>16.51</x:v>
      </x:c>
      <x:c r="T19" s="17" t="n">
        <x:v>15.38</x:v>
      </x:c>
    </x:row>
    <x:row r="20" ht="22" customHeight="1">
      <x:c r="A20" s="18" t="str">
        <x:v>Fiasp</x:v>
      </x:c>
      <x:c r="B20" s="18" t="str">
        <x:v>Additional shown</x:v>
      </x:c>
      <x:c r="C20" s="19" t="str">
        <x:v>not shown</x:v>
      </x:c>
      <x:c r="D20" s="19" t="str">
        <x:v>not shown</x:v>
      </x:c>
      <x:c r="E20" s="19" t="str">
        <x:v>not shown</x:v>
      </x:c>
      <x:c r="F20" s="19" t="n">
        <x:v>11</x:v>
      </x:c>
      <x:c r="G20" s="19" t="str">
        <x:v>not shown</x:v>
      </x:c>
      <x:c r="H20" s="19" t="n">
        <x:v>11</x:v>
      </x:c>
      <x:c r="I20" s="19" t="n">
        <x:v>11</x:v>
      </x:c>
      <x:c r="J20" s="19" t="n">
        <x:v>12</x:v>
      </x:c>
      <x:c r="K20" s="19" t="n">
        <x:v>12</x:v>
      </x:c>
      <x:c r="L20" s="19" t="n">
        <x:v>12</x:v>
      </x:c>
      <x:c r="M20" s="19" t="n">
        <x:v>12</x:v>
      </x:c>
      <x:c r="N20" s="19" t="n">
        <x:v>13</x:v>
      </x:c>
      <x:c r="O20" s="19" t="n">
        <x:v>13</x:v>
      </x:c>
      <x:c r="P20" s="19" t="n">
        <x:v>13</x:v>
      </x:c>
      <x:c r="Q20" s="19" t="n">
        <x:v>13</x:v>
      </x:c>
      <x:c r="R20" s="19" t="n">
        <x:v>14</x:v>
      </x:c>
      <x:c r="S20" s="19" t="n">
        <x:v>14</x:v>
      </x:c>
      <x:c r="T20" s="19" t="n">
        <x:v>13</x:v>
      </x:c>
    </x:row>
    <x:row r="21" ht="22" customHeight="1">
      <x:c r="A21" s="2" t="str">
        <x:v>Wegovy</x:v>
      </x:c>
      <x:c r="B21" s="2" t="str">
        <x:v>Additional shown</x:v>
      </x:c>
      <x:c r="C21" s="17" t="str">
        <x:v>not shown</x:v>
      </x:c>
      <x:c r="D21" s="17" t="str">
        <x:v>not shown</x:v>
      </x:c>
      <x:c r="E21" s="17" t="str">
        <x:v>not shown</x:v>
      </x:c>
      <x:c r="F21" s="17" t="str">
        <x:v>not shown</x:v>
      </x:c>
      <x:c r="G21" s="17" t="str">
        <x:v>not shown</x:v>
      </x:c>
      <x:c r="H21" s="17" t="str">
        <x:v>not shown</x:v>
      </x:c>
      <x:c r="I21" s="17" t="str">
        <x:v>not shown</x:v>
      </x:c>
      <x:c r="J21" s="17" t="str">
        <x:v>not shown</x:v>
      </x:c>
      <x:c r="K21" s="17" t="str">
        <x:v>not shown</x:v>
      </x:c>
      <x:c r="L21" s="17" t="str">
        <x:v>not shown</x:v>
      </x:c>
      <x:c r="M21" s="17" t="str">
        <x:v>not shown</x:v>
      </x:c>
      <x:c r="N21" s="17" t="str">
        <x:v>not shown</x:v>
      </x:c>
      <x:c r="O21" s="17" t="n">
        <x:v>16</x:v>
      </x:c>
      <x:c r="P21" s="17" t="n">
        <x:v>14</x:v>
      </x:c>
      <x:c r="Q21" s="17" t="n">
        <x:v>15</x:v>
      </x:c>
      <x:c r="R21" s="17" t="n">
        <x:v>17</x:v>
      </x:c>
      <x:c r="S21" s="17" t="n">
        <x:v>18.44</x:v>
      </x:c>
      <x:c r="T21" s="17" t="n">
        <x:v>18.96</x:v>
      </x:c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2" customHeight="1">
      <x:c r="A23" s="2" t="str">
        <x:v>Brands shown</x:v>
      </x:c>
      <x:c r="B23" s="2"/>
      <x:c r="C23" s="2" t="n">
        <x:f>COUNT(C8:C21)</x:f>
        <x:v>12</x:v>
      </x:c>
      <x:c r="D23" s="2" t="n">
        <x:f>COUNT(D8:D21)</x:f>
        <x:v>12</x:v>
      </x:c>
      <x:c r="E23" s="2" t="n">
        <x:f>COUNT(E8:E21)</x:f>
        <x:v>12</x:v>
      </x:c>
      <x:c r="F23" s="2" t="n">
        <x:f>COUNT(F8:F21)</x:f>
        <x:v>13</x:v>
      </x:c>
      <x:c r="G23" s="2" t="n">
        <x:f>COUNT(G8:G21)</x:f>
        <x:v>12</x:v>
      </x:c>
      <x:c r="H23" s="2" t="n">
        <x:f>COUNT(H8:H21)</x:f>
        <x:v>13</x:v>
      </x:c>
      <x:c r="I23" s="2" t="n">
        <x:f>COUNT(I8:I21)</x:f>
        <x:v>13</x:v>
      </x:c>
      <x:c r="J23" s="2" t="n">
        <x:f>COUNT(J8:J21)</x:f>
        <x:v>13</x:v>
      </x:c>
      <x:c r="K23" s="2" t="n">
        <x:f>COUNT(K8:K21)</x:f>
        <x:v>13</x:v>
      </x:c>
      <x:c r="L23" s="2" t="n">
        <x:f>COUNT(L8:L21)</x:f>
        <x:v>13</x:v>
      </x:c>
      <x:c r="M23" s="2" t="n">
        <x:f>COUNT(M8:M21)</x:f>
        <x:v>13</x:v>
      </x:c>
      <x:c r="N23" s="2" t="n">
        <x:f>COUNT(N8:N21)</x:f>
        <x:v>13</x:v>
      </x:c>
      <x:c r="O23" s="2" t="n">
        <x:f>COUNT(O8:O21)</x:f>
        <x:v>14</x:v>
      </x:c>
      <x:c r="P23" s="2" t="n">
        <x:f>COUNT(P8:P21)</x:f>
        <x:v>14</x:v>
      </x:c>
      <x:c r="Q23" s="2" t="n">
        <x:f>COUNT(Q8:Q21)</x:f>
        <x:v>14</x:v>
      </x:c>
      <x:c r="R23" s="2" t="n">
        <x:f>COUNT(R8:R21)</x:f>
        <x:v>14</x:v>
      </x:c>
      <x:c r="S23" s="2" t="n">
        <x:f>COUNT(S8:S21)</x:f>
        <x:v>14</x:v>
      </x:c>
      <x:c r="T23" s="2" t="n">
        <x:f>COUNT(T8:T21)</x:f>
        <x:v>14</x:v>
      </x:c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2" customHeight="1">
      <x:c r="A25" s="22" t="str">
        <x:v>ABBOTT monthly sales</x:v>
      </x:c>
      <x:c r="B25" s="22"/>
      <x:c r="C25" s="23" t="n">
        <x:v>614.6</x:v>
      </x:c>
      <x:c r="D25" s="23" t="n">
        <x:v>590.56</x:v>
      </x:c>
      <x:c r="E25" s="23" t="n">
        <x:v>568.11</x:v>
      </x:c>
      <x:c r="F25" s="23" t="n">
        <x:v>605.89</x:v>
      </x:c>
      <x:c r="G25" s="23" t="n">
        <x:v>591.62</x:v>
      </x:c>
      <x:c r="H25" s="23" t="n">
        <x:v>595.67</x:v>
      </x:c>
      <x:c r="I25" s="23" t="n">
        <x:v>593.01</x:v>
      </x:c>
      <x:c r="J25" s="23" t="n">
        <x:v>569.51</x:v>
      </x:c>
      <x:c r="K25" s="23" t="n">
        <x:v>593.6</x:v>
      </x:c>
      <x:c r="L25" s="23" t="n">
        <x:v>592.26</x:v>
      </x:c>
      <x:c r="M25" s="23" t="n">
        <x:v>578.68</x:v>
      </x:c>
      <x:c r="N25" s="23" t="n">
        <x:v>592.56</x:v>
      </x:c>
      <x:c r="O25" s="23" t="n">
        <x:v>645.21</x:v>
      </x:c>
      <x:c r="P25" s="23" t="n">
        <x:v>623.45</x:v>
      </x:c>
      <x:c r="Q25" s="23" t="n">
        <x:v>632.85</x:v>
      </x:c>
      <x:c r="R25" s="23" t="n">
        <x:v>647.59</x:v>
      </x:c>
      <x:c r="S25" s="23" t="n">
        <x:v>633.5</x:v>
      </x:c>
      <x:c r="T25" s="23" t="n">
        <x:v>647.3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2" customHeight="1">
      <x:c r="A28" s="2" t="str">
        <x:v>Product photo</x:v>
      </x:c>
      <x:c r="B28" s="2"/>
      <x:c r="C28" s="24" t="str">
        <x:v>IMG_3236.jpg</x:v>
      </x:c>
      <x:c r="D28" s="24" t="str">
        <x:v>IMG_3237.jpg</x:v>
      </x:c>
      <x:c r="E28" s="24" t="str">
        <x:v>IMG_3238.jpg</x:v>
      </x:c>
      <x:c r="F28" s="24" t="str">
        <x:v>IMG_3239.jpg</x:v>
      </x:c>
      <x:c r="G28" s="24" t="str">
        <x:v>IMG_3240.jpg</x:v>
      </x:c>
      <x:c r="H28" s="24" t="str">
        <x:v>IMG_3241.jpg</x:v>
      </x:c>
      <x:c r="I28" s="24" t="str">
        <x:v>IMG_3242.jpg</x:v>
      </x:c>
      <x:c r="J28" s="24" t="str">
        <x:v>IMG_3243.jpg</x:v>
      </x:c>
      <x:c r="K28" s="24" t="str">
        <x:v>IMG_3244.jpg</x:v>
      </x:c>
      <x:c r="L28" s="24" t="str">
        <x:v>IMG_3245.jpg</x:v>
      </x:c>
      <x:c r="M28" s="24" t="str">
        <x:v>IMG_3246.jpg</x:v>
      </x:c>
      <x:c r="N28" s="24" t="str">
        <x:v>IMG_3247.jpg</x:v>
      </x:c>
      <x:c r="O28" s="24" t="str">
        <x:v>IMG_3248.jpg</x:v>
      </x:c>
      <x:c r="P28" s="24" t="str">
        <x:v>IMG_3249.jpg</x:v>
      </x:c>
      <x:c r="Q28" s="24" t="str">
        <x:v>IMG_3250.jpg</x:v>
      </x:c>
      <x:c r="R28" s="24" t="str">
        <x:v>IMG_3251.jpg</x:v>
      </x:c>
      <x:c r="S28" s="24" t="str">
        <x:v>IMG_3252.jpg</x:v>
      </x:c>
      <x:c r="T28" s="24" t="str">
        <x:v>IMG_3253.jpg</x:v>
      </x:c>
    </x:row>
    <x:row r="29" ht="22" customHeight="1">
      <x:c r="A29" s="2" t="str">
        <x:v>Corporation photo</x:v>
      </x:c>
      <x:c r="B29" s="2"/>
      <x:c r="C29" s="24" t="str">
        <x:v>IMG_3218.jpg</x:v>
      </x:c>
      <x:c r="D29" s="24" t="str">
        <x:v>IMG_3219.jpg</x:v>
      </x:c>
      <x:c r="E29" s="24" t="str">
        <x:v>IMG_3220.jpg</x:v>
      </x:c>
      <x:c r="F29" s="24" t="str">
        <x:v>IMG_3221.jpg</x:v>
      </x:c>
      <x:c r="G29" s="24" t="str">
        <x:v>IMG_3222.jpg</x:v>
      </x:c>
      <x:c r="H29" s="24" t="str">
        <x:v>IMG_3223.jpg</x:v>
      </x:c>
      <x:c r="I29" s="24" t="str">
        <x:v>IMG_3224.jpg</x:v>
      </x:c>
      <x:c r="J29" s="24" t="str">
        <x:v>IMG_3225.jpg</x:v>
      </x:c>
      <x:c r="K29" s="24" t="str">
        <x:v>IMG_3226.jpg</x:v>
      </x:c>
      <x:c r="L29" s="24" t="str">
        <x:v>IMG_3227.jpg</x:v>
      </x:c>
      <x:c r="M29" s="24" t="str">
        <x:v>IMG_3228.jpg</x:v>
      </x:c>
      <x:c r="N29" s="24" t="str">
        <x:v>IMG_3229.jpg</x:v>
      </x:c>
      <x:c r="O29" s="24" t="str">
        <x:v>IMG_3230.jpg</x:v>
      </x:c>
      <x:c r="P29" s="24" t="str">
        <x:v>IMG_3231.jpg</x:v>
      </x:c>
      <x:c r="Q29" s="24" t="str">
        <x:v>IMG_3232.jpg</x:v>
      </x:c>
      <x:c r="R29" s="24" t="str">
        <x:v>IMG_3233.jpg</x:v>
      </x:c>
      <x:c r="S29" s="24" t="str">
        <x:v>IMG_3234.jpg</x:v>
      </x:c>
      <x:c r="T29" s="24" t="str">
        <x:v>IMG_3235.jpg</x:v>
      </x:c>
    </x:row>
    <x:row r="30" ht="22" customHeight="1">
      <x:c r="A30" s="2" t="str">
        <x:v>Product report</x:v>
      </x:c>
      <x:c r="B30" s="2"/>
      <x:c r="C30" s="24" t="str">
        <x:v>TSAPROD0425</x:v>
      </x:c>
      <x:c r="D30" s="24" t="str">
        <x:v>TSAPROD0525</x:v>
      </x:c>
      <x:c r="E30" s="24" t="str">
        <x:v>TSAPROD0625</x:v>
      </x:c>
      <x:c r="F30" s="24" t="str">
        <x:v>TSAPROD0725</x:v>
      </x:c>
      <x:c r="G30" s="24" t="str">
        <x:v>TSAPROD0825</x:v>
      </x:c>
      <x:c r="H30" s="24" t="str">
        <x:v>TSAPROD0925</x:v>
      </x:c>
      <x:c r="I30" s="24" t="str">
        <x:v>TSAPROD1025</x:v>
      </x:c>
      <x:c r="J30" s="24" t="str">
        <x:v>TSAPROD1125</x:v>
      </x:c>
      <x:c r="K30" s="24" t="str">
        <x:v>TSAPROD1225</x:v>
      </x:c>
      <x:c r="L30" s="24" t="str">
        <x:v>TSAPROD0126</x:v>
      </x:c>
      <x:c r="M30" s="24" t="str">
        <x:v>TSAPROD0226</x:v>
      </x:c>
      <x:c r="N30" s="24" t="str">
        <x:v>TSAPROD0326</x:v>
      </x:c>
      <x:c r="O30" s="24" t="str">
        <x:v>TSAPROD0426</x:v>
      </x:c>
      <x:c r="P30" s="24" t="str">
        <x:v>TSAPROD0526</x:v>
      </x:c>
      <x:c r="Q30" s="24" t="str">
        <x:v>TSAPROD0626</x:v>
      </x:c>
      <x:c r="R30" s="24" t="str">
        <x:v>TSAPROD0726</x:v>
      </x:c>
      <x:c r="S30" s="24" t="str">
        <x:v>TSAPROD0826</x:v>
      </x:c>
      <x:c r="T30" s="24" t="str">
        <x:v>TSAPROD0926</x:v>
      </x:c>
    </x:row>
    <x:row r="31" ht="22" customHeight="1">
      <x:c r="A31" s="2" t="str">
        <x:v>Corporation report</x:v>
      </x:c>
      <x:c r="B31" s="2"/>
      <x:c r="C31" s="24" t="str">
        <x:v>TSACORP0425</x:v>
      </x:c>
      <x:c r="D31" s="24" t="str">
        <x:v>TSACORP0525</x:v>
      </x:c>
      <x:c r="E31" s="24" t="str">
        <x:v>TSACORP0625</x:v>
      </x:c>
      <x:c r="F31" s="24" t="str">
        <x:v>TSACORP0725</x:v>
      </x:c>
      <x:c r="G31" s="24" t="str">
        <x:v>TSACORP0825</x:v>
      </x:c>
      <x:c r="H31" s="24" t="str">
        <x:v>TSACORP0925</x:v>
      </x:c>
      <x:c r="I31" s="24" t="str">
        <x:v>TSACORP1025</x:v>
      </x:c>
      <x:c r="J31" s="24" t="str">
        <x:v>TSACORP1125</x:v>
      </x:c>
      <x:c r="K31" s="24" t="str">
        <x:v>TSACORP1225</x:v>
      </x:c>
      <x:c r="L31" s="24" t="str">
        <x:v>TSACORP0126</x:v>
      </x:c>
      <x:c r="M31" s="24" t="str">
        <x:v>TSACORP0226</x:v>
      </x:c>
      <x:c r="N31" s="24" t="str">
        <x:v>TSACORP0326</x:v>
      </x:c>
      <x:c r="O31" s="24" t="str">
        <x:v>TSACORP0426</x:v>
      </x:c>
      <x:c r="P31" s="24" t="str">
        <x:v>TSACORP0526</x:v>
      </x:c>
      <x:c r="Q31" s="24" t="str">
        <x:v>TSACORP0626</x:v>
      </x:c>
      <x:c r="R31" s="24" t="str">
        <x:v>TSACORP0726</x:v>
      </x:c>
      <x:c r="S31" s="24" t="str">
        <x:v>TSACORP0826</x:v>
      </x:c>
      <x:c r="T31" s="24" t="str">
        <x:v>TSACORP0926</x:v>
      </x:c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2" customHeight="1">
      <x:c r="A34" s="25" t="str">
        <x:v>Definitions and scope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8" customHeight="1">
      <x:c r="A36" s="27" t="str">
        <x:v>Fixed 10: the ten largest displayed ABT brands by monthly sales in April 2025, held constant for all months.</x:v>
      </x:c>
      <x:c r="B36" s="26"/>
      <x:c r="C36" s="26"/>
      <x:c r="D36" s="26"/>
      <x:c r="E36" s="26"/>
      <x:c r="F36" s="26"/>
      <x:c r="G36" s="26"/>
      <x:c r="H36" s="26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8" customHeight="1">
      <x:c r="A37" s="27" t="str">
        <x:v>Fixed 12: the twelve ABT brands shown in every supplied month. This is the consistent cohort used to test concentration.</x:v>
      </x:c>
      <x:c r="B37" s="26"/>
      <x:c r="C37" s="26"/>
      <x:c r="D37" s="26"/>
      <x:c r="E37" s="26"/>
      <x:c r="F37" s="26"/>
      <x:c r="G37" s="26"/>
      <x:c r="H37" s="26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8" customHeight="1">
      <x:c r="A38" s="27" t="str">
        <x:v>The screenshots are a selected brand list. They do not establish the complete company-wide top ten in every month.</x:v>
      </x:c>
      <x:c r="B38" s="26"/>
      <x:c r="C38" s="26"/>
      <x:c r="D38" s="26"/>
      <x:c r="E38" s="26"/>
      <x:c r="F38" s="26"/>
      <x:c r="G38" s="26"/>
      <x:c r="H38" s="26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8" customHeight="1">
      <x:c r="A39" s="27" t="str">
        <x:v>All shown: sum of every brand visible in that month, including Fiasp and Wegovy only where shown. List size varies.</x:v>
      </x:c>
      <x:c r="B39" s="26"/>
      <x:c r="C39" s="26"/>
      <x:c r="D39" s="26"/>
      <x:c r="E39" s="26"/>
      <x:c r="F39" s="26"/>
      <x:c r="G39" s="26"/>
      <x:c r="H39" s="26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8" customHeight="1">
      <x:c r="A40" s="27" t="str">
        <x:v>Not shown is missing disclosure, not zero sales. Missing Fiasp or Wegovy observations are not imputed.</x:v>
      </x:c>
      <x:c r="B40" s="26"/>
      <x:c r="C40" s="26"/>
      <x:c r="D40" s="26"/>
      <x:c r="E40" s="26"/>
      <x:c r="F40" s="26"/>
      <x:c r="G40" s="26"/>
      <x:c r="H40" s="26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8" customHeight="1">
      <x:c r="A41" s="27" t="str">
        <x:v>Denominator: ABBOTT corporation-row MONTH sales. ABBOTT* group, ABBOTT HEALTHCARE and SOLVAY PHARMA are excluded.</x:v>
      </x:c>
      <x:c r="B41" s="26"/>
      <x:c r="C41" s="26"/>
      <x:c r="D41" s="26"/>
      <x:c r="E41" s="26"/>
      <x:c r="F41" s="26"/>
      <x:c r="G41" s="26"/>
      <x:c r="H41" s="26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8" customHeight="1">
      <x:c r="A42" s="27" t="str">
        <x:v>These are IQVIA market-sales figures for the ABT/ABBOTT source scope, not statutory listed-company revenue.</x:v>
      </x:c>
      <x:c r="B42" s="26"/>
      <x:c r="C42" s="26"/>
      <x:c r="D42" s="26"/>
      <x:c r="E42" s="26"/>
      <x:c r="F42" s="26"/>
      <x:c r="G42" s="26"/>
      <x:c r="H42" s="26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8" customHeight="1">
      <x:c r="A43" s="27" t="str">
        <x:v>Product values use the MONTH column, not CUMULATIVE, 12 MONTHS TO DATE or the IPM-wide percentage column.</x:v>
      </x:c>
      <x:c r="B43" s="26"/>
      <x:c r="C43" s="26"/>
      <x:c r="D43" s="26"/>
      <x:c r="E43" s="26"/>
      <x:c r="F43" s="26"/>
      <x:c r="G43" s="26"/>
      <x:c r="H43" s="26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8" customHeight="1">
      <x:c r="A44" s="27" t="str">
        <x:v>Values retain displayed precision. Some small-brand figures are rounded to whole crores in the photographs.</x:v>
      </x:c>
      <x:c r="B44" s="26"/>
      <x:c r="C44" s="26"/>
      <x:c r="D44" s="26"/>
      <x:c r="E44" s="26"/>
      <x:c r="F44" s="26"/>
      <x:c r="G44" s="26"/>
      <x:c r="H44" s="26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8" customHeight="1">
      <x:c r="A45" s="27" t="str">
        <x:v>Shares use the sales displayed in each monthly report. Source revisions may affect comparisons of historical levels.</x:v>
      </x:c>
      <x:c r="B45" s="26"/>
      <x:c r="C45" s="26"/>
      <x:c r="D45" s="26"/>
      <x:c r="E45" s="26"/>
      <x:c r="F45" s="26"/>
      <x:c r="G45" s="26"/>
      <x:c r="H45" s="26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8" customHeight="1">
      <x:c r="A46" s="27" t="str">
        <x:v>Wegovy first appears in the supplied list in April 2026. First appearance is not an inferred launch date.</x:v>
      </x:c>
      <x:c r="B46" s="26"/>
      <x:c r="C46" s="26"/>
      <x:c r="D46" s="26"/>
      <x:c r="E46" s="26"/>
      <x:c r="F46" s="26"/>
      <x:c r="G46" s="26"/>
      <x:c r="H46" s="26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8" customHeight="1">
      <x:c r="A47" s="27" t="str">
        <x:v>A brand predating April 2025 is part of the baseline cohort. This does not classify every brand as acute or establish its launch age.</x:v>
      </x:c>
      <x:c r="B47" s="26"/>
      <x:c r="C47" s="26"/>
      <x:c r="D47" s="26"/>
      <x:c r="E47" s="26"/>
      <x:c r="F47" s="26"/>
      <x:c r="G47" s="26"/>
      <x:c r="H47" s="26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8" customHeight="1">
      <x:c r="A48" s="27" t="str">
        <x:v>Other ABT sales equals total ABBOTT sales less the fixed 12. It includes untracked brands and is not labelled new-launch revenue.</x:v>
      </x:c>
      <x:c r="B48" s="26"/>
      <x:c r="C48" s="26"/>
      <x:c r="D48" s="26"/>
      <x:c r="E48" s="26"/>
      <x:c r="F48" s="26"/>
      <x:c r="G48" s="26"/>
      <x:c r="H48" s="26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</x:sheetData>
  <x:mergeCells>
    <x:mergeCell ref="A2:H2"/>
    <x:mergeCell ref="A4:H4"/>
    <x:mergeCell ref="A36:H36"/>
    <x:mergeCell ref="A37:H37"/>
    <x:mergeCell ref="A38:H38"/>
    <x:mergeCell ref="A39:H39"/>
    <x:mergeCell ref="A40:H40"/>
    <x:mergeCell ref="A41:H41"/>
    <x:mergeCell ref="A42:H42"/>
    <x:mergeCell ref="A43:H43"/>
    <x:mergeCell ref="A44:H44"/>
    <x:mergeCell ref="A45:H45"/>
    <x:mergeCell ref="A46:H46"/>
    <x:mergeCell ref="A47:H47"/>
    <x:mergeCell ref="A48:H48"/>
  </x:mergeCells>
  <x:pageMargins left="0.7" right="0.7" top="0.75" bottom="0.75" header="0.3" footer="0.3"/>
</x:worksheet>
</file>