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c07f9ad7e84097" /></Relationships>
</file>

<file path=xl/workbook.xml><?xml version="1.0" encoding="utf-8"?>
<x:workbook xmlns:x="http://schemas.openxmlformats.org/spreadsheetml/2006/main">
  <x:sheets>
    <x:sheet xmlns:r="http://schemas.openxmlformats.org/officeDocument/2006/relationships" name="Brand Outlook" sheetId="1" r:id="R4e2e236767d7432c"/>
    <x:sheet xmlns:r="http://schemas.openxmlformats.org/officeDocument/2006/relationships" name="Price Competition" sheetId="2" r:id="R3fab2ee8c86d413f"/>
    <x:sheet xmlns:r="http://schemas.openxmlformats.org/officeDocument/2006/relationships" name="Specialist Reach" sheetId="3" r:id="R7a6ba18fd8d94842"/>
    <x:sheet xmlns:r="http://schemas.openxmlformats.org/officeDocument/2006/relationships" name="Evidence" sheetId="4" r:id="R727d484ed6f840c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00"/>
    <x:numFmt numFmtId="203" formatCode="#,##0"/>
  </x:numFmts>
  <x:fonts count="4">
    <x:font>
      <x:sz val="11"/>
      <x:name val="Carlito"/>
    </x:font>
    <x:font>
      <x:sz val="11"/>
      <x:color rgb="FF000000"/>
      <x:name val="Arial"/>
    </x:font>
    <x:font>
      <x:b/>
      <x:sz val="14"/>
      <x:color rgb="FF000000"/>
      <x:name val="Arial"/>
    </x:font>
    <x:font>
      <x:b/>
      <x:sz val="11"/>
      <x:color rgb="FF000000"/>
      <x:name val="Arial"/>
    </x:font>
  </x:fonts>
  <x:fills count="2">
    <x:fill>
      <x:patternFill patternType="none"/>
    </x:fill>
    <x:fill>
      <x:patternFill patternType="gray125"/>
    </x:fill>
  </x:fills>
  <x:borders count="2">
    <x:border>
      <x:left/>
      <x:right/>
      <x:top/>
      <x:bottom/>
      <x:diagonal/>
    </x:border>
    <x:border>
      <x:left/>
      <x:right/>
      <x:top/>
      <x:bottom style="thin">
        <x:color rgb="FF000000"/>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3" fillId="0" borderId="1"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2d0be1c78b4abd" /><Relationship Type="http://schemas.openxmlformats.org/officeDocument/2006/relationships/theme" Target="/xl/theme/theme1.xml" Id="R0d548b5068ef4b47" /><Relationship Type="http://schemas.openxmlformats.org/officeDocument/2006/relationships/sharedStrings" Target="/xl/sharedStrings.xml" Id="Rc8d6d572c91840d5" /><Relationship Type="http://schemas.openxmlformats.org/officeDocument/2006/relationships/worksheet" Target="/xl/worksheets/sheet1.xml" Id="R4e2e236767d7432c" /><Relationship Type="http://schemas.openxmlformats.org/officeDocument/2006/relationships/worksheet" Target="/xl/worksheets/sheet2.xml" Id="R3fab2ee8c86d413f" /><Relationship Type="http://schemas.openxmlformats.org/officeDocument/2006/relationships/worksheet" Target="/xl/worksheets/sheet3.xml" Id="R7a6ba18fd8d94842" /><Relationship Type="http://schemas.openxmlformats.org/officeDocument/2006/relationships/worksheet" Target="/xl/worksheets/sheet4.xml" Id="R727d484ed6f840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5.5600004196167" hidden="0" customWidth="1"/>
    <x:col min="3" max="3" width="15.5600004196167" hidden="0" customWidth="1"/>
    <x:col min="4" max="4" width="15.5600004196167" hidden="0" customWidth="1"/>
    <x:col min="5" max="5" width="15.5600004196167" hidden="0" customWidth="1"/>
    <x:col min="6" max="6" width="14.4399995803833" hidden="0" customWidth="1"/>
    <x:col min="7" max="7" width="15.5600004196167" hidden="0" customWidth="1"/>
    <x:col min="8" max="8" width="54.439998626708984" hidden="0" customWidth="1"/>
  </x:cols>
  <x:sheetData>
    <x:row r="1" ht="24" customHeight="1">
      <x:c r="A1" s="2"/>
      <x:c r="B1" s="2"/>
      <x:c r="C1" s="2"/>
      <x:c r="D1" s="2"/>
      <x:c r="E1" s="2"/>
      <x:c r="F1" s="2"/>
      <x:c r="G1" s="2"/>
      <x:c r="H1" s="2"/>
    </x:row>
    <x:row r="2" ht="24" customHeight="1">
      <x:c r="A2" s="3" t="str">
        <x:v>Abbott India: key franchise growth and risks</x:v>
      </x:c>
      <x:c r="B2" s="2"/>
      <x:c r="C2" s="2"/>
      <x:c r="D2" s="2"/>
      <x:c r="E2" s="2"/>
      <x:c r="F2" s="2"/>
      <x:c r="G2" s="2"/>
      <x:c r="H2" s="2"/>
    </x:row>
    <x:row r="3" ht="24" customHeight="1">
      <x:c r="A3" s="2" t="str">
        <x:v>INR million. Saved-model estimates, not reported standalone brand sales.</x:v>
      </x:c>
      <x:c r="B3" s="2"/>
      <x:c r="C3" s="2"/>
      <x:c r="D3" s="2"/>
      <x:c r="E3" s="2"/>
      <x:c r="F3" s="2"/>
      <x:c r="G3" s="2"/>
      <x:c r="H3" s="2"/>
    </x:row>
    <x:row r="4" ht="24" customHeight="1">
      <x:c r="A4" s="2"/>
      <x:c r="B4" s="2"/>
      <x:c r="C4" s="2"/>
      <x:c r="D4" s="2"/>
      <x:c r="E4" s="2"/>
      <x:c r="F4" s="2"/>
      <x:c r="G4" s="2"/>
      <x:c r="H4" s="2"/>
    </x:row>
    <x:row r="5" ht="42" customHeight="1">
      <x:c r="A5" s="6" t="str">
        <x:v>Brand / franchise</x:v>
      </x:c>
      <x:c r="B5" s="6" t="str">
        <x:v>FY26 model base</x:v>
      </x:c>
      <x:c r="C5" s="6" t="str">
        <x:v>FY27E</x:v>
      </x:c>
      <x:c r="D5" s="6" t="str">
        <x:v>FY28E</x:v>
      </x:c>
      <x:c r="E5" s="6" t="str">
        <x:v>FY29E</x:v>
      </x:c>
      <x:c r="F5" s="6" t="str">
        <x:v>FY26–29 CAGR</x:v>
      </x:c>
      <x:c r="G5" s="6" t="str">
        <x:v>FY26 revenue share</x:v>
      </x:c>
      <x:c r="H5" s="6" t="str">
        <x:v>Basis</x:v>
      </x:c>
    </x:row>
    <x:row r="6" ht="47" customHeight="1">
      <x:c r="A6" s="2" t="str">
        <x:v>Thyronorm</x:v>
      </x:c>
      <x:c r="B6" s="7" t="n">
        <x:v>7952.8</x:v>
      </x:c>
      <x:c r="C6" s="7" t="n">
        <x:v>8764.78088</x:v>
      </x:c>
      <x:c r="D6" s="7" t="n">
        <x:v>9614.526386316</x:v>
      </x:c>
      <x:c r="E6" s="7" t="n">
        <x:v>10497.13990857981</x:v>
      </x:c>
      <x:c r="F6" s="9" t="n">
        <x:f>(E6/B6)^(1/3)-1</x:f>
        <x:v>0.09694194047286642</x:v>
      </x:c>
      <x:c r="G6" s="9" t="n">
        <x:f>B6/$B$12</x:f>
        <x:v>0.11477475267172267</x:v>
      </x:c>
      <x:c r="H6" s="11" t="str">
        <x:v>TTM Aug-26 IQVIA base mapped into FY26 by source model</x:v>
      </x:c>
    </x:row>
    <x:row r="7" ht="47" customHeight="1">
      <x:c r="A7" s="2" t="str">
        <x:v>Udiliv</x:v>
      </x:c>
      <x:c r="B7" s="7" t="n">
        <x:v>7100</x:v>
      </x:c>
      <x:c r="C7" s="7" t="n">
        <x:v>7788.344999999999</x:v>
      </x:c>
      <x:c r="D7" s="7" t="n">
        <x:v>8503.315071</x:v>
      </x:c>
      <x:c r="E7" s="7" t="n">
        <x:v>9240.12732190215</x:v>
      </x:c>
      <x:c r="F7" s="9" t="n">
        <x:f>(E7/B7)^(1/3)-1</x:f>
        <x:v>0.09179190245566637</x:v>
      </x:c>
      <x:c r="G7" s="9" t="n">
        <x:f>B7/$B$12</x:f>
        <x:v>0.10246714917629401</x:v>
      </x:c>
      <x:c r="H7" s="11" t="str">
        <x:v>Company threshold &gt;7,000mn. Model exact base is an estimate</x:v>
      </x:c>
    </x:row>
    <x:row r="8" ht="47" customHeight="1">
      <x:c r="A8" s="2" t="str">
        <x:v>Duphaston and Femoston</x:v>
      </x:c>
      <x:c r="B8" s="7" t="n">
        <x:v>7000</x:v>
      </x:c>
      <x:c r="C8" s="7" t="n">
        <x:v>7318.499999999999</x:v>
      </x:c>
      <x:c r="D8" s="7" t="n">
        <x:v>7688.816099999999</x:v>
      </x:c>
      <x:c r="E8" s="7" t="n">
        <x:v>8117.083156769998</x:v>
      </x:c>
      <x:c r="F8" s="9" t="n">
        <x:f>(E8/B8)^(1/3)-1</x:f>
        <x:v>0.050591747507992</x:v>
      </x:c>
      <x:c r="G8" s="9" t="n">
        <x:f>B8/$B$12</x:f>
        <x:v>0.10102394989212085</x:v>
      </x:c>
      <x:c r="H8" s="11" t="str">
        <x:v>Combined Duphaston and Femoston. Not Duphaston standalone</x:v>
      </x:c>
    </x:row>
    <x:row r="9" ht="47" customHeight="1">
      <x:c r="A9" s="2" t="str">
        <x:v>Cremaffin franchise</x:v>
      </x:c>
      <x:c r="B9" s="7" t="n">
        <x:v>6273</x:v>
      </x:c>
      <x:c r="C9" s="7" t="n">
        <x:v>7042.6971</x:v>
      </x:c>
      <x:c r="D9" s="7" t="n">
        <x:v>7834.29625404</x:v>
      </x:c>
      <x:c r="E9" s="7" t="n">
        <x:v>8634.177901577485</x:v>
      </x:c>
      <x:c r="F9" s="9" t="n">
        <x:f>(E9/B9)^(1/3)-1</x:f>
        <x:v>0.11236820896800315</x:v>
      </x:c>
      <x:c r="G9" s="9" t="n">
        <x:f>B9/$B$12</x:f>
        <x:v>0.09053189109618201</x:v>
      </x:c>
      <x:c r="H9" s="11" t="str">
        <x:v>Context only. Franchise grouping, not a separate audited brand disclosure</x:v>
      </x:c>
    </x:row>
    <x:row r="10" ht="24" customHeight="1">
      <x:c r="A10" s="2"/>
      <x:c r="B10" s="7"/>
      <x:c r="C10" s="7"/>
      <x:c r="D10" s="7"/>
      <x:c r="E10" s="7"/>
      <x:c r="F10" s="9"/>
      <x:c r="G10" s="9"/>
      <x:c r="H10" s="2"/>
    </x:row>
    <x:row r="11" ht="24" customHeight="1">
      <x:c r="A11" s="4" t="str">
        <x:v>Selected three franchises</x:v>
      </x:c>
      <x:c r="B11" s="8" t="n">
        <x:f>SUM(B6:B8)</x:f>
        <x:v>22052.8</x:v>
      </x:c>
      <x:c r="C11" s="8" t="n">
        <x:f>SUM(C6:C8)</x:f>
        <x:v>23871.62588</x:v>
      </x:c>
      <x:c r="D11" s="8" t="n">
        <x:f>SUM(D6:D8)</x:f>
        <x:v>25806.657557316</x:v>
      </x:c>
      <x:c r="E11" s="8" t="n">
        <x:f>SUM(E6:E8)</x:f>
        <x:v>27854.350387251954</x:v>
      </x:c>
      <x:c r="F11" s="10" t="n">
        <x:f>(E11/B11)^(1/3)-1</x:f>
        <x:v>0.08096035254620593</x:v>
      </x:c>
      <x:c r="G11" s="10" t="n">
        <x:f>B11/B12</x:f>
        <x:v>0.31826585174013755</x:v>
      </x:c>
      <x:c r="H11" s="4"/>
    </x:row>
    <x:row r="12" ht="24" customHeight="1">
      <x:c r="A12" s="2" t="str">
        <x:v>Company revenue</x:v>
      </x:c>
      <x:c r="B12" s="7" t="n">
        <x:v>69290.5</x:v>
      </x:c>
      <x:c r="C12" s="7"/>
      <x:c r="D12" s="7"/>
      <x:c r="E12" s="7" t="n">
        <x:v>90608.04524422914</x:v>
      </x:c>
      <x:c r="F12" s="9" t="n">
        <x:f>(E12/B12)^(1/3)-1</x:f>
        <x:v>0.09353080565782945</x:v>
      </x:c>
      <x:c r="G12" s="9"/>
      <x:c r="H12" s="2"/>
    </x:row>
    <x:row r="13" ht="24" customHeight="1">
      <x:c r="A13" s="2"/>
      <x:c r="B13" s="2"/>
      <x:c r="C13" s="2"/>
      <x:c r="D13" s="2"/>
      <x:c r="E13" s="2"/>
      <x:c r="F13" s="2"/>
      <x:c r="G13" s="2"/>
      <x:c r="H13" s="2"/>
    </x:row>
    <x:row r="14" ht="24" customHeight="1">
      <x:c r="A14" s="2"/>
      <x:c r="B14" s="2"/>
      <x:c r="C14" s="2"/>
      <x:c r="D14" s="2"/>
      <x:c r="E14" s="2"/>
      <x:c r="F14" s="2"/>
      <x:c r="G14" s="2"/>
      <x:c r="H14" s="2"/>
    </x:row>
    <x:row r="15" ht="42" customHeight="1">
      <x:c r="A15" s="4" t="str">
        <x:v>Thyronorm</x:v>
      </x:c>
      <x:c r="B15" s="11" t="str">
        <x:v>Diagnosis and adherence support repeat prescriptions. A mature leader needs category volume growth to sustain acceleration.</x:v>
      </x:c>
      <x:c r="C15" s="11"/>
      <x:c r="D15" s="11"/>
      <x:c r="E15" s="11"/>
      <x:c r="F15" s="11"/>
      <x:c r="G15" s="11"/>
      <x:c r="H15" s="11"/>
    </x:row>
    <x:row r="16" ht="42" customHeight="1">
      <x:c r="A16" s="2"/>
      <x:c r="B16" s="11" t="str">
        <x:v>Company confirms sustained leadership, not a growth collapse. No verified consensus forecast or brand share loss is available.</x:v>
      </x:c>
      <x:c r="C16" s="11"/>
      <x:c r="D16" s="11"/>
      <x:c r="E16" s="11"/>
      <x:c r="F16" s="11"/>
      <x:c r="G16" s="11"/>
      <x:c r="H16" s="11"/>
    </x:row>
    <x:row r="17" ht="42" customHeight="1">
      <x:c r="A17" s="2"/>
      <x:c r="B17" s="11" t="str">
        <x:v>Monitor unit growth, net realisation and patient retention. Retain the saved-model forecast.</x:v>
      </x:c>
      <x:c r="C17" s="11"/>
      <x:c r="D17" s="11"/>
      <x:c r="E17" s="11"/>
      <x:c r="F17" s="11"/>
      <x:c r="G17" s="11"/>
      <x:c r="H17" s="11"/>
    </x:row>
    <x:row r="18" ht="42" customHeight="1">
      <x:c r="A18" s="4" t="str">
        <x:v>Udiliv</x:v>
      </x:c>
      <x:c r="B18" s="11" t="str">
        <x:v>Do not equate the entire MASLD population with an evidence-backed UDCA opportunity.</x:v>
      </x:c>
      <x:c r="C18" s="11"/>
      <x:c r="D18" s="11"/>
      <x:c r="E18" s="11"/>
      <x:c r="F18" s="11"/>
      <x:c r="G18" s="11"/>
      <x:c r="H18" s="11"/>
    </x:row>
    <x:row r="19" ht="42" customHeight="1">
      <x:c r="A19" s="2"/>
      <x:c r="B19" s="11" t="str">
        <x:v>FY26 sales exceeded INR7,000mn and GI grew double digits. The 2024 EASL guideline found no proven histological efficacy of UDCA in MASH. This does not negate use in cholestatic disease.</x:v>
      </x:c>
      <x:c r="C19" s="11"/>
      <x:c r="D19" s="11"/>
      <x:c r="E19" s="11"/>
      <x:c r="F19" s="11"/>
      <x:c r="G19" s="11"/>
      <x:c r="H19" s="11"/>
    </x:row>
    <x:row r="20" ht="42" customHeight="1">
      <x:c r="A20" s="2"/>
      <x:c r="B20" s="11" t="str">
        <x:v>Model normalisation rather than collapse. Watch incremental prescriptions and the treatment mix.</x:v>
      </x:c>
      <x:c r="C20" s="11"/>
      <x:c r="D20" s="11"/>
      <x:c r="E20" s="11"/>
      <x:c r="F20" s="11"/>
      <x:c r="G20" s="11"/>
      <x:c r="H20" s="11"/>
    </x:row>
    <x:row r="21" ht="42" customHeight="1">
      <x:c r="A21" s="4" t="str">
        <x:v>Duphaston and Femoston</x:v>
      </x:c>
      <x:c r="B21" s="11" t="str">
        <x:v>Lower-priced dydrogesterone alternatives and stronger specialist competitors make brand-premium defence harder.</x:v>
      </x:c>
      <x:c r="C21" s="11"/>
      <x:c r="D21" s="11"/>
      <x:c r="E21" s="11"/>
      <x:c r="F21" s="11"/>
      <x:c r="G21" s="11"/>
      <x:c r="H21" s="11"/>
    </x:row>
    <x:row r="22" ht="42" customHeight="1">
      <x:c r="A22" s="2"/>
      <x:c r="B22" s="11" t="str">
        <x:v>Abbott acknowledges slow category growth, generic competition and pricing pressure. Duphaston OD and menopause diversification can offset pressure.</x:v>
      </x:c>
      <x:c r="C22" s="11"/>
      <x:c r="D22" s="11"/>
      <x:c r="E22" s="11"/>
      <x:c r="F22" s="11"/>
      <x:c r="G22" s="11"/>
      <x:c r="H22" s="11"/>
    </x:row>
    <x:row r="23" ht="42" customHeight="1">
      <x:c r="A23" s="2"/>
      <x:c r="B23" s="11" t="str">
        <x:v>The combined franchise grows 5.1% in the saved model. Its INR7,000mn base is not Duphaston standalone sales.</x:v>
      </x:c>
      <x:c r="C23" s="11"/>
      <x:c r="D23" s="11"/>
      <x:c r="E23" s="11"/>
      <x:c r="F23" s="11"/>
      <x:c r="G23" s="11"/>
      <x:c r="H23" s="11"/>
    </x:row>
    <x:row r="24" ht="24" customHeight="1">
      <x:c r="A24" s="2"/>
      <x:c r="B24" s="2"/>
      <x:c r="C24" s="2"/>
      <x:c r="D24" s="2"/>
      <x:c r="E24" s="2"/>
      <x:c r="F24" s="2"/>
      <x:c r="G24" s="2"/>
      <x:c r="H24" s="2"/>
    </x:row>
    <x:row r="25" ht="24" customHeight="1">
      <x:c r="A25" s="2"/>
      <x:c r="B25" s="2"/>
      <x:c r="C25" s="2"/>
      <x:c r="D25" s="2"/>
      <x:c r="E25" s="2"/>
      <x:c r="F25" s="2"/>
      <x:c r="G25" s="2"/>
      <x:c r="H25" s="2"/>
    </x:row>
    <x:row r="26" ht="24" customHeight="1">
      <x:c r="A26" s="2" t="str">
        <x:v>Suggested slide title</x:v>
      </x:c>
      <x:c r="B26" s="2" t="str">
        <x:v>Mature anchor franchises constrain Abbott’s growth acceleration</x:v>
      </x:c>
      <x:c r="C26" s="2"/>
      <x:c r="D26" s="2"/>
      <x:c r="E26" s="2"/>
      <x:c r="F26" s="2"/>
      <x:c r="G26" s="2"/>
      <x:c r="H26" s="2"/>
    </x:row>
    <x:row r="27" ht="24" customHeight="1">
      <x:c r="A27" s="2"/>
      <x:c r="B27" s="2"/>
      <x:c r="C27" s="2"/>
      <x:c r="D27" s="2"/>
      <x:c r="E27" s="2"/>
      <x:c r="F27" s="2"/>
      <x:c r="G27" s="2"/>
      <x:c r="H27" s="2"/>
    </x:row>
    <x:row r="28" ht="24" customHeight="1">
      <x:c r="A28" s="2" t="str">
        <x:v>Interpretation</x:v>
      </x:c>
      <x:c r="B28" s="11" t="str">
        <x:v>Thyronorm and Udiliv remain healthy growth anchors. The clearest documented competitive risk is in dydrogesterone. No verified consensus forecast is available, so no invented consensus gap is shown.</x:v>
      </x:c>
      <x:c r="C28" s="11"/>
      <x:c r="D28" s="11"/>
      <x:c r="E28" s="11"/>
      <x:c r="F28" s="11"/>
      <x:c r="G28" s="11"/>
      <x:c r="H28" s="11"/>
    </x:row>
    <x:row r="29" ht="24" customHeight="1">
      <x:c r="A29" s="2"/>
      <x:c r="B29" s="11"/>
      <x:c r="C29" s="11"/>
      <x:c r="D29" s="11"/>
      <x:c r="E29" s="11"/>
      <x:c r="F29" s="11"/>
      <x:c r="G29" s="11"/>
      <x:c r="H29" s="11"/>
    </x:row>
    <x:row r="30" ht="24" customHeight="1">
      <x:c r="A30" s="2"/>
      <x:c r="B30" s="2"/>
      <x:c r="C30" s="2"/>
      <x:c r="D30" s="2"/>
      <x:c r="E30" s="2"/>
      <x:c r="F30" s="2"/>
      <x:c r="G30" s="2"/>
      <x:c r="H30" s="2"/>
    </x:row>
    <x:row r="31" ht="24" customHeight="1">
      <x:c r="A31" s="2"/>
      <x:c r="B31" s="2"/>
      <x:c r="C31" s="2"/>
      <x:c r="D31" s="2"/>
      <x:c r="E31" s="2"/>
      <x:c r="F31" s="2"/>
      <x:c r="G31" s="2"/>
      <x:c r="H31" s="2"/>
    </x:row>
    <x:row r="32" ht="24" customHeight="1">
      <x:c r="A32" s="2"/>
      <x:c r="B32" s="2"/>
      <x:c r="C32" s="2"/>
      <x:c r="D32" s="2"/>
      <x:c r="E32" s="2"/>
      <x:c r="F32" s="2"/>
      <x:c r="G32" s="2"/>
      <x:c r="H32" s="2"/>
    </x:row>
    <x:row r="33" ht="24" customHeight="1">
      <x:c r="A33" s="2"/>
      <x:c r="B33" s="2"/>
      <x:c r="C33" s="2"/>
      <x:c r="D33" s="2"/>
      <x:c r="E33" s="2"/>
      <x:c r="F33" s="2"/>
      <x:c r="G33" s="2"/>
      <x:c r="H33" s="2"/>
    </x:row>
    <x:row r="34" ht="24" customHeight="1">
      <x:c r="A34" s="2"/>
      <x:c r="B34" s="2"/>
      <x:c r="C34" s="2"/>
      <x:c r="D34" s="2"/>
      <x:c r="E34" s="2"/>
      <x:c r="F34" s="2"/>
      <x:c r="G34" s="2"/>
      <x:c r="H34" s="2"/>
    </x:row>
    <x:row r="35" ht="24" customHeight="1">
      <x:c r="A35" s="2"/>
      <x:c r="B35" s="2"/>
      <x:c r="C35" s="2"/>
      <x:c r="D35" s="2"/>
      <x:c r="E35" s="2"/>
      <x:c r="F35" s="2"/>
      <x:c r="G35" s="2"/>
      <x:c r="H35" s="2"/>
    </x:row>
  </x:sheetData>
  <x:mergeCells>
    <x:mergeCell ref="B15:H15"/>
    <x:mergeCell ref="B16:H16"/>
    <x:mergeCell ref="B17:H17"/>
    <x:mergeCell ref="B18:H18"/>
    <x:mergeCell ref="B19:H19"/>
    <x:mergeCell ref="B20:H20"/>
    <x:mergeCell ref="B21:H21"/>
    <x:mergeCell ref="B22:H22"/>
    <x:mergeCell ref="B23:H23"/>
    <x:mergeCell ref="B26:H26"/>
    <x:mergeCell ref="B28:H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5" hidden="0" customWidth="1"/>
    <x:col min="3" max="3" width="11.670000076293945" hidden="0" customWidth="1"/>
    <x:col min="4" max="4" width="17.219999313354492" hidden="0" customWidth="1"/>
    <x:col min="5" max="5" width="16.110000610351562" hidden="0" customWidth="1"/>
    <x:col min="6" max="6" width="16.670000076293945" hidden="0" customWidth="1"/>
    <x:col min="7" max="7" width="56.66999816894531" hidden="0" customWidth="1"/>
    <x:col min="8" max="8" width="36.11000061035156" hidden="0" customWidth="1"/>
  </x:cols>
  <x:sheetData>
    <x:row r="1" ht="24" customHeight="1">
      <x:c r="A1" s="2"/>
      <x:c r="B1" s="2"/>
      <x:c r="C1" s="2"/>
      <x:c r="D1" s="2"/>
      <x:c r="E1" s="2"/>
      <x:c r="F1" s="2"/>
      <x:c r="G1" s="2"/>
      <x:c r="H1" s="2"/>
    </x:row>
    <x:row r="2" ht="24" customHeight="1">
      <x:c r="A2" s="3" t="str">
        <x:v>Dydrogesterone: competing brands and Abbott pack variants</x:v>
      </x:c>
      <x:c r="B2" s="2"/>
      <x:c r="C2" s="2"/>
      <x:c r="D2" s="2"/>
      <x:c r="E2" s="2"/>
      <x:c r="F2" s="2"/>
      <x:c r="G2" s="2"/>
      <x:c r="H2" s="2"/>
    </x:row>
    <x:row r="3" ht="24" customHeight="1">
      <x:c r="A3" s="2" t="str">
        <x:v>Immediate-release 10mg tablets. Retail MRPs retrieved 21 Oct 26. Not net company realisations.</x:v>
      </x:c>
      <x:c r="B3" s="2"/>
      <x:c r="C3" s="2"/>
      <x:c r="D3" s="2"/>
      <x:c r="E3" s="2"/>
      <x:c r="F3" s="2"/>
      <x:c r="G3" s="2"/>
      <x:c r="H3" s="2"/>
    </x:row>
    <x:row r="4" ht="24" customHeight="1">
      <x:c r="A4" s="2"/>
      <x:c r="B4" s="2"/>
      <x:c r="C4" s="2"/>
      <x:c r="D4" s="2"/>
      <x:c r="E4" s="2"/>
      <x:c r="F4" s="2"/>
      <x:c r="G4" s="2"/>
      <x:c r="H4" s="2"/>
    </x:row>
    <x:row r="5" ht="42" customHeight="1">
      <x:c r="A5" s="6" t="str">
        <x:v>Company</x:v>
      </x:c>
      <x:c r="B5" s="6" t="str">
        <x:v>Brand / presentation</x:v>
      </x:c>
      <x:c r="C5" s="6" t="str">
        <x:v>Tablets / pack</x:v>
      </x:c>
      <x:c r="D5" s="6" t="str">
        <x:v>Pack MRP, INR</x:v>
      </x:c>
      <x:c r="E5" s="6" t="str">
        <x:v>MRP / tablet, INR</x:v>
      </x:c>
      <x:c r="F5" s="6" t="str">
        <x:v>Discount to Abbott standard</x:v>
      </x:c>
      <x:c r="G5" s="6" t="str">
        <x:v>Source URL</x:v>
      </x:c>
      <x:c r="H5" s="6" t="str">
        <x:v>Scope / availability</x:v>
      </x:c>
    </x:row>
    <x:row r="6" ht="50" customHeight="1">
      <x:c r="A6" s="2" t="str">
        <x:v>Abbott</x:v>
      </x:c>
      <x:c r="B6" s="2" t="str">
        <x:v>Duphaston standard</x:v>
      </x:c>
      <x:c r="C6" s="2" t="n">
        <x:v>10</x:v>
      </x:c>
      <x:c r="D6" s="12" t="n">
        <x:v>901.82</x:v>
      </x:c>
      <x:c r="E6" s="12" t="n">
        <x:f>D6/C6</x:f>
        <x:v>90.182</x:v>
      </x:c>
      <x:c r="F6" s="9" t="n">
        <x:f>1-E6/$E$6</x:f>
        <x:v>0</x:v>
      </x:c>
      <x:c r="G6" s="11" t="str">
        <x:v>https://pharmeasy.in/online-medicine-order/duphaston-10mg-tab-10-s-723</x:v>
      </x:c>
      <x:c r="H6" s="11" t="str">
        <x:v>Standard 10-tablet presentation</x:v>
      </x:c>
    </x:row>
    <x:row r="7" ht="50" customHeight="1">
      <x:c r="A7" s="2" t="str">
        <x:v>Zydus</x:v>
      </x:c>
      <x:c r="B7" s="2" t="str">
        <x:v>Dydrogest</x:v>
      </x:c>
      <x:c r="C7" s="2" t="n">
        <x:v>10</x:v>
      </x:c>
      <x:c r="D7" s="12" t="n">
        <x:v>817.32</x:v>
      </x:c>
      <x:c r="E7" s="12" t="n">
        <x:f>D7/C7</x:f>
        <x:v>81.732</x:v>
      </x:c>
      <x:c r="F7" s="9" t="n">
        <x:f>1-E7/$E$6</x:f>
        <x:v>0.09369940786409703</x:v>
      </x:c>
      <x:c r="G7" s="11" t="str">
        <x:v>https://pharmeasy.in/online-medicine-order/dydrogest-strip-of-10-tablets-3562231</x:v>
      </x:c>
      <x:c r="H7" s="11" t="str">
        <x:v>Competing immediate-release 10mg brand</x:v>
      </x:c>
    </x:row>
    <x:row r="8" ht="50" customHeight="1">
      <x:c r="A8" s="2" t="str">
        <x:v>Abbott</x:v>
      </x:c>
      <x:c r="B8" s="2" t="str">
        <x:v>Duphaston IVF</x:v>
      </x:c>
      <x:c r="C8" s="2" t="n">
        <x:v>30</x:v>
      </x:c>
      <x:c r="D8" s="12" t="n">
        <x:v>2333.86</x:v>
      </x:c>
      <x:c r="E8" s="12" t="n">
        <x:f>D8/C8</x:f>
        <x:v>77.79533333333333</x:v>
      </x:c>
      <x:c r="F8" s="9" t="n">
        <x:f>1-E8/$E$6</x:f>
        <x:v>0.1373518736185344</x:v>
      </x:c>
      <x:c r="G8" s="11" t="str">
        <x:v>https://pharmeasy.in/online-medicine-order/duphaston-ivf-10mg-strip-of-30-tablets-4261536</x:v>
      </x:c>
      <x:c r="H8" s="11" t="str">
        <x:v>Listed out of stock on retrieval</x:v>
      </x:c>
    </x:row>
    <x:row r="9" ht="50" customHeight="1">
      <x:c r="A9" s="2" t="str">
        <x:v>Mankind</x:v>
      </x:c>
      <x:c r="B9" s="2" t="str">
        <x:v>Dydroboon</x:v>
      </x:c>
      <x:c r="C9" s="2" t="n">
        <x:v>10</x:v>
      </x:c>
      <x:c r="D9" s="12" t="n">
        <x:v>735.27</x:v>
      </x:c>
      <x:c r="E9" s="12" t="n">
        <x:f>D9/C9</x:f>
        <x:v>73.527</x:v>
      </x:c>
      <x:c r="F9" s="9" t="n">
        <x:f>1-E9/$E$6</x:f>
        <x:v>0.1846820873345013</x:v>
      </x:c>
      <x:c r="G9" s="11" t="str">
        <x:v>https://pharmeasy.in/online-medicine-order/dydroboon-strip-of-10-tablets-233408</x:v>
      </x:c>
      <x:c r="H9" s="11" t="str">
        <x:v>Competing immediate-release 10mg brand</x:v>
      </x:c>
    </x:row>
    <x:row r="10" ht="50" customHeight="1">
      <x:c r="A10" s="2" t="str">
        <x:v>Emcure</x:v>
      </x:c>
      <x:c r="B10" s="2" t="str">
        <x:v>Dydrofem</x:v>
      </x:c>
      <x:c r="C10" s="2" t="n">
        <x:v>10</x:v>
      </x:c>
      <x:c r="D10" s="12" t="n">
        <x:v>721.15</x:v>
      </x:c>
      <x:c r="E10" s="12" t="n">
        <x:f>D10/C10</x:f>
        <x:v>72.115</x:v>
      </x:c>
      <x:c r="F10" s="9" t="n">
        <x:f>1-E10/$E$6</x:f>
        <x:v>0.20033931383202863</x:v>
      </x:c>
      <x:c r="G10" s="11" t="str">
        <x:v>https://pharmeasy.in/online-medicine-order/dydrofem-10mg-strip-of-10-tablets-3030045</x:v>
      </x:c>
      <x:c r="H10" s="11" t="str">
        <x:v>Competing immediate-release 10mg brand</x:v>
      </x:c>
    </x:row>
    <x:row r="11" ht="50" customHeight="1">
      <x:c r="A11" s="2" t="str">
        <x:v>Abbott</x:v>
      </x:c>
      <x:c r="B11" s="2" t="str">
        <x:v>Duphaston Pro</x:v>
      </x:c>
      <x:c r="C11" s="2" t="n">
        <x:v>4</x:v>
      </x:c>
      <x:c r="D11" s="12" t="n">
        <x:v>274.32</x:v>
      </x:c>
      <x:c r="E11" s="12" t="n">
        <x:f>D11/C11</x:f>
        <x:v>68.58</x:v>
      </x:c>
      <x:c r="F11" s="9" t="n">
        <x:f>1-E11/$E$6</x:f>
        <x:v>0.23953782351245267</x:v>
      </x:c>
      <x:c r="G11" s="11" t="str">
        <x:v>https://pharmeasy.in/online-medicine-order/duphaston-pro-10mg-strip-of-4-tablets-2932757</x:v>
      </x:c>
      <x:c r="H11" s="11" t="str">
        <x:v>Listed out of stock on retrieval</x:v>
      </x:c>
    </x:row>
    <x:row r="12" ht="50" customHeight="1">
      <x:c r="A12" s="2" t="str">
        <x:v>Cipla</x:v>
      </x:c>
      <x:c r="B12" s="2" t="str">
        <x:v>Dydrolady</x:v>
      </x:c>
      <x:c r="C12" s="2" t="n">
        <x:v>10</x:v>
      </x:c>
      <x:c r="D12" s="12" t="n">
        <x:v>487.78</x:v>
      </x:c>
      <x:c r="E12" s="12" t="n">
        <x:f>D12/C12</x:f>
        <x:v>48.778</x:v>
      </x:c>
      <x:c r="F12" s="9" t="n">
        <x:f>1-E12/$E$6</x:f>
        <x:v>0.4591160098467544</x:v>
      </x:c>
      <x:c r="G12" s="11" t="str">
        <x:v>https://pharmeasy.in/online-medicine-order/dydrolady-10mg-strip-of-10-tablets-3822033</x:v>
      </x:c>
      <x:c r="H12" s="11" t="str">
        <x:v>Competing immediate-release 10mg brand</x:v>
      </x:c>
    </x:row>
    <x:row r="13" ht="24" customHeight="1">
      <x:c r="A13" s="2"/>
      <x:c r="B13" s="2"/>
      <x:c r="C13" s="2"/>
      <x:c r="D13" s="2"/>
      <x:c r="E13" s="2"/>
      <x:c r="F13" s="2"/>
      <x:c r="G13" s="2"/>
      <x:c r="H13" s="2"/>
    </x:row>
    <x:row r="14" ht="24" customHeight="1">
      <x:c r="A14" s="2"/>
      <x:c r="B14" s="2"/>
      <x:c r="C14" s="2"/>
      <x:c r="D14" s="2"/>
      <x:c r="E14" s="2"/>
      <x:c r="F14" s="2"/>
      <x:c r="G14" s="2"/>
      <x:c r="H14" s="2"/>
    </x:row>
    <x:row r="15" ht="40" customHeight="1">
      <x:c r="A15" s="2" t="str">
        <x:v>Message</x:v>
      </x:c>
      <x:c r="B15" s="11" t="str">
        <x:v>Rival brands undercut Abbott standard 10s, but the premium varies by presentation. Cipla is also below both cheaper Abbott variants.</x:v>
      </x:c>
      <x:c r="C15" s="11"/>
      <x:c r="D15" s="11"/>
      <x:c r="E15" s="11"/>
      <x:c r="F15" s="11"/>
      <x:c r="G15" s="11"/>
      <x:c r="H15" s="11"/>
    </x:row>
    <x:row r="16" ht="24" customHeight="1">
      <x:c r="A16" s="2"/>
      <x:c r="B16" s="2"/>
      <x:c r="C16" s="2"/>
      <x:c r="D16" s="2"/>
      <x:c r="E16" s="2"/>
      <x:c r="F16" s="2"/>
      <x:c r="G16" s="2"/>
      <x:c r="H16" s="2"/>
    </x:row>
    <x:row r="17" ht="40" customHeight="1">
      <x:c r="A17" s="2" t="str">
        <x:v>Economic mechanism</x:v>
      </x:c>
      <x:c r="B17" s="11" t="str">
        <x:v>Same molecule and strength give prescribers a price alternative. Abbott can defend a premium with evidence, familiarity and adherence support, or compete through pack mix.</x:v>
      </x:c>
      <x:c r="C17" s="11"/>
      <x:c r="D17" s="11"/>
      <x:c r="E17" s="11"/>
      <x:c r="F17" s="11"/>
      <x:c r="G17" s="11"/>
      <x:c r="H17" s="11"/>
    </x:row>
    <x:row r="18" ht="24" customHeight="1">
      <x:c r="A18" s="2"/>
      <x:c r="B18" s="2"/>
      <x:c r="C18" s="2"/>
      <x:c r="D18" s="2"/>
      <x:c r="E18" s="2"/>
      <x:c r="F18" s="2"/>
      <x:c r="G18" s="2"/>
      <x:c r="H18" s="2"/>
    </x:row>
    <x:row r="19" ht="40" customHeight="1">
      <x:c r="A19" s="2" t="str">
        <x:v>Important limits</x:v>
      </x:c>
      <x:c r="B19" s="11" t="str">
        <x:v>IVF 30s and Pro 4s were listed out of stock at retrieval. Display them as listed portfolio prices, not guaranteed available alternatives. MRPs differ by batch and are not weighted ASPs.</x:v>
      </x:c>
      <x:c r="C19" s="11"/>
      <x:c r="D19" s="11"/>
      <x:c r="E19" s="11"/>
      <x:c r="F19" s="11"/>
      <x:c r="G19" s="11"/>
      <x:c r="H19" s="11"/>
    </x:row>
    <x:row r="20" ht="24" customHeight="1">
      <x:c r="A20" s="2"/>
      <x:c r="B20" s="2"/>
      <x:c r="C20" s="2"/>
      <x:c r="D20" s="2"/>
      <x:c r="E20" s="2"/>
      <x:c r="F20" s="2"/>
      <x:c r="G20" s="2"/>
      <x:c r="H20" s="2"/>
    </x:row>
    <x:row r="21" ht="40" customHeight="1">
      <x:c r="A21" s="2" t="str">
        <x:v>Clinical boundary</x:v>
      </x:c>
      <x:c r="B21" s="11" t="str">
        <x:v>This is a commercial comparison of listed formulations. It does not establish therapeutic equivalence, automatic substitution or identical licensed indications.</x:v>
      </x:c>
      <x:c r="C21" s="11"/>
      <x:c r="D21" s="11"/>
      <x:c r="E21" s="11"/>
      <x:c r="F21" s="11"/>
      <x:c r="G21" s="11"/>
      <x:c r="H21" s="11"/>
    </x:row>
    <x:row r="22" ht="24" customHeight="1">
      <x:c r="A22" s="2"/>
      <x:c r="B22" s="2"/>
      <x:c r="C22" s="2"/>
      <x:c r="D22" s="2"/>
      <x:c r="E22" s="2"/>
      <x:c r="F22" s="2"/>
      <x:c r="G22" s="2"/>
      <x:c r="H22" s="2"/>
    </x:row>
    <x:row r="23" ht="40" customHeight="1">
      <x:c r="A23" s="2" t="str">
        <x:v>Chart setup</x:v>
      </x:c>
      <x:c r="B23" s="11" t="str">
        <x:v>Horizontal bar chart, Brand / presentation versus MRP per tablet. Include all seven rows to retain Abbott pack context.</x:v>
      </x:c>
      <x:c r="C23" s="11"/>
      <x:c r="D23" s="11"/>
      <x:c r="E23" s="11"/>
      <x:c r="F23" s="11"/>
      <x:c r="G23" s="11"/>
      <x:c r="H23" s="11"/>
    </x:row>
    <x:row r="24" ht="24" customHeight="1">
      <x:c r="A24" s="2"/>
      <x:c r="B24" s="2"/>
      <x:c r="C24" s="2"/>
      <x:c r="D24" s="2"/>
      <x:c r="E24" s="2"/>
      <x:c r="F24" s="2"/>
      <x:c r="G24" s="2"/>
      <x:c r="H24" s="2"/>
    </x:row>
    <x:row r="25" ht="24" customHeight="1">
      <x:c r="A25" s="2"/>
      <x:c r="B25" s="2"/>
      <x:c r="C25" s="2"/>
      <x:c r="D25" s="2"/>
      <x:c r="E25" s="2"/>
      <x:c r="F25" s="2"/>
      <x:c r="G25" s="2"/>
      <x:c r="H25" s="2"/>
    </x:row>
    <x:row r="26" ht="24" customHeight="1">
      <x:c r="A26" s="2"/>
      <x:c r="B26" s="2"/>
      <x:c r="C26" s="2"/>
      <x:c r="D26" s="2"/>
      <x:c r="E26" s="2"/>
      <x:c r="F26" s="2"/>
      <x:c r="G26" s="2"/>
      <x:c r="H26" s="2"/>
    </x:row>
    <x:row r="27" ht="24" customHeight="1">
      <x:c r="A27" s="2"/>
      <x:c r="B27" s="2"/>
      <x:c r="C27" s="2"/>
      <x:c r="D27" s="2"/>
      <x:c r="E27" s="2"/>
      <x:c r="F27" s="2"/>
      <x:c r="G27" s="2"/>
      <x:c r="H27" s="2"/>
    </x:row>
  </x:sheetData>
  <x:mergeCells>
    <x:mergeCell ref="B15:H15"/>
    <x:mergeCell ref="B17:H17"/>
    <x:mergeCell ref="B19:H19"/>
    <x:mergeCell ref="B21:H21"/>
    <x:mergeCell ref="B23:H2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2.220001220703125" hidden="0" customWidth="1"/>
    <x:col min="2" max="2" width="20" hidden="0" customWidth="1"/>
    <x:col min="3" max="3" width="20" hidden="0" customWidth="1"/>
    <x:col min="4" max="4" width="20" hidden="0" customWidth="1"/>
    <x:col min="5" max="5" width="20" hidden="0" customWidth="1"/>
    <x:col min="6" max="6" width="61.11000061035156" hidden="0" customWidth="1"/>
  </x:cols>
  <x:sheetData>
    <x:row r="1" ht="24" customHeight="1">
      <x:c r="A1" s="2"/>
      <x:c r="B1" s="2"/>
      <x:c r="C1" s="2"/>
      <x:c r="D1" s="2"/>
      <x:c r="E1" s="2"/>
      <x:c r="F1" s="2"/>
    </x:row>
    <x:row r="2" ht="24" customHeight="1">
      <x:c r="A2" s="3" t="str">
        <x:v>Specialist access: BSV reach expansion and portfolio traction</x:v>
      </x:c>
      <x:c r="B2" s="2"/>
      <x:c r="C2" s="2"/>
      <x:c r="D2" s="2"/>
      <x:c r="E2" s="2"/>
      <x:c r="F2" s="2"/>
    </x:row>
    <x:row r="3" ht="24" customHeight="1">
      <x:c r="A3" s="2" t="str">
        <x:v>Management disclosures from the Mankind Q1FY27 call on30July26.</x:v>
      </x:c>
      <x:c r="B3" s="2"/>
      <x:c r="C3" s="2"/>
      <x:c r="D3" s="2"/>
      <x:c r="E3" s="2"/>
      <x:c r="F3" s="2"/>
    </x:row>
    <x:row r="4" ht="24" customHeight="1">
      <x:c r="A4" s="2"/>
      <x:c r="B4" s="2"/>
      <x:c r="C4" s="2"/>
      <x:c r="D4" s="2"/>
      <x:c r="E4" s="2"/>
      <x:c r="F4" s="2"/>
    </x:row>
    <x:row r="5" ht="42" customHeight="1">
      <x:c r="A5" s="6" t="str">
        <x:v>Metric</x:v>
      </x:c>
      <x:c r="B5" s="6" t="str">
        <x:v>FY25</x:v>
      </x:c>
      <x:c r="C5" s="6" t="str">
        <x:v>By July-26 call</x:v>
      </x:c>
      <x:c r="D5" s="6" t="str">
        <x:v>Absolute increase</x:v>
      </x:c>
      <x:c r="E5" s="6" t="str">
        <x:v>Relative increase</x:v>
      </x:c>
      <x:c r="F5" s="6" t="str">
        <x:v>Scope</x:v>
      </x:c>
    </x:row>
    <x:row r="6" ht="42" customHeight="1">
      <x:c r="A6" s="2" t="str">
        <x:v>Gynaecologists covered</x:v>
      </x:c>
      <x:c r="B6" s="13" t="n">
        <x:v>33000</x:v>
      </x:c>
      <x:c r="C6" s="13" t="n">
        <x:v>37000</x:v>
      </x:c>
      <x:c r="D6" s="13" t="n">
        <x:f>C6-B6</x:f>
        <x:v>4000</x:v>
      </x:c>
      <x:c r="E6" s="9" t="n">
        <x:f>C6/B6-1</x:f>
        <x:v>0.1212121212121211</x:v>
      </x:c>
      <x:c r="F6" s="11" t="str">
        <x:v>BSV discussion context. Not unique combined group reach or call frequency.</x:v>
      </x:c>
    </x:row>
    <x:row r="7" ht="24" customHeight="1">
      <x:c r="A7" s="2"/>
      <x:c r="B7" s="2"/>
      <x:c r="C7" s="2"/>
      <x:c r="D7" s="2"/>
      <x:c r="E7" s="2"/>
      <x:c r="F7" s="2"/>
    </x:row>
    <x:row r="8" ht="24" customHeight="1">
      <x:c r="A8" s="2"/>
      <x:c r="B8" s="2"/>
      <x:c r="C8" s="2"/>
      <x:c r="D8" s="2"/>
      <x:c r="E8" s="2"/>
      <x:c r="F8" s="2"/>
    </x:row>
    <x:row r="9" ht="42" customHeight="1">
      <x:c r="A9" s="6" t="str">
        <x:v>Brand / therapy</x:v>
      </x:c>
      <x:c r="B9" s="6" t="str">
        <x:v>Q1FY27 YoY growth</x:v>
      </x:c>
      <x:c r="C9" s="6" t="str">
        <x:v>Molecule / role</x:v>
      </x:c>
      <x:c r="D9" s="6" t="str">
        <x:v>Interpretation</x:v>
      </x:c>
      <x:c r="E9" s="2"/>
      <x:c r="F9" s="2"/>
    </x:row>
    <x:row r="10" ht="43" customHeight="1">
      <x:c r="A10" s="2" t="str">
        <x:v>Dydroboon</x:v>
      </x:c>
      <x:c r="B10" s="9" t="n">
        <x:v>0.2</x:v>
      </x:c>
      <x:c r="C10" s="11" t="str">
        <x:v>Dydrogesterone</x:v>
      </x:c>
      <x:c r="D10" s="11" t="str">
        <x:v>1.5x market growth, as stated by management</x:v>
      </x:c>
      <x:c r="E10" s="2"/>
      <x:c r="F10" s="2"/>
    </x:row>
    <x:row r="11" ht="43" customHeight="1">
      <x:c r="A11" s="2" t="str">
        <x:v>Foligraf</x:v>
      </x:c>
      <x:c r="B11" s="9" t="n">
        <x:v>0.39</x:v>
      </x:c>
      <x:c r="C11" s="11" t="str">
        <x:v>Recombinant FSH</x:v>
      </x:c>
      <x:c r="D11" s="11" t="str">
        <x:v>Fertility specialist portfolio</x:v>
      </x:c>
      <x:c r="E11" s="2"/>
      <x:c r="F11" s="2"/>
    </x:row>
    <x:row r="12" ht="43" customHeight="1">
      <x:c r="A12" s="2" t="str">
        <x:v>Humog</x:v>
      </x:c>
      <x:c r="B12" s="9" t="n">
        <x:v>0.39</x:v>
      </x:c>
      <x:c r="C12" s="11" t="str">
        <x:v>hMG</x:v>
      </x:c>
      <x:c r="D12" s="11" t="str">
        <x:v>Fertility specialist portfolio</x:v>
      </x:c>
      <x:c r="E12" s="2"/>
      <x:c r="F12" s="2"/>
    </x:row>
    <x:row r="13" ht="43" customHeight="1">
      <x:c r="A13" s="2" t="str">
        <x:v>Mankind gynaecology</x:v>
      </x:c>
      <x:c r="B13" s="9" t="n">
        <x:v>0.127</x:v>
      </x:c>
      <x:c r="C13" s="11" t="str">
        <x:v>Overall therapy</x:v>
      </x:c>
      <x:c r="D13" s="11" t="str">
        <x:v>Only0.6pp ahead of IPM gynaecology</x:v>
      </x:c>
      <x:c r="E13" s="2"/>
      <x:c r="F13" s="2"/>
    </x:row>
    <x:row r="14" ht="43" customHeight="1">
      <x:c r="A14" s="2" t="str">
        <x:v>IPM gynaecology</x:v>
      </x:c>
      <x:c r="B14" s="9" t="n">
        <x:v>0.121</x:v>
      </x:c>
      <x:c r="C14" s="11" t="str">
        <x:v>Overall therapy benchmark</x:v>
      </x:c>
      <x:c r="D14" s="11" t="str">
        <x:v>Not a like-for-like molecule benchmark for each brand</x:v>
      </x:c>
      <x:c r="E14" s="2"/>
      <x:c r="F14" s="2"/>
    </x:row>
    <x:row r="15" ht="24" customHeight="1">
      <x:c r="A15" s="2"/>
      <x:c r="B15" s="2"/>
      <x:c r="C15" s="2"/>
      <x:c r="D15" s="2"/>
      <x:c r="E15" s="2"/>
      <x:c r="F15" s="2"/>
    </x:row>
    <x:row r="16" ht="24" customHeight="1">
      <x:c r="A16" s="2" t="str">
        <x:v>IVF coverage, management claim</x:v>
      </x:c>
      <x:c r="B16" s="2" t="str">
        <x:v>&gt;80%</x:v>
      </x:c>
      <x:c r="C16" s="2"/>
      <x:c r="D16" s="2"/>
      <x:c r="E16" s="2"/>
      <x:c r="F16" s="2"/>
    </x:row>
    <x:row r="17" ht="24" customHeight="1">
      <x:c r="A17" s="2"/>
      <x:c r="B17" s="2"/>
      <x:c r="C17" s="2"/>
      <x:c r="D17" s="2"/>
      <x:c r="E17" s="2"/>
      <x:c r="F17" s="2"/>
    </x:row>
    <x:row r="18" ht="45" customHeight="1">
      <x:c r="A18" s="2" t="str">
        <x:v>Source</x:v>
      </x:c>
      <x:c r="B18" s="11" t="str">
        <x:v>https://nsearchives.nseindia.com/corporate/MANKIND1_04082026131209_EarningCallFinal.pdf [transcript pp4,17; PDF pp5,18]</x:v>
      </x:c>
      <x:c r="C18" s="11"/>
      <x:c r="D18" s="11"/>
      <x:c r="E18" s="11"/>
      <x:c r="F18" s="11"/>
    </x:row>
    <x:row r="19" ht="24" customHeight="1">
      <x:c r="A19" s="2"/>
      <x:c r="B19" s="2"/>
      <x:c r="C19" s="2"/>
      <x:c r="D19" s="2"/>
      <x:c r="E19" s="2"/>
      <x:c r="F19" s="2"/>
    </x:row>
    <x:row r="20" ht="24" customHeight="1">
      <x:c r="A20" s="2"/>
      <x:c r="B20" s="2"/>
      <x:c r="C20" s="2"/>
      <x:c r="D20" s="2"/>
      <x:c r="E20" s="2"/>
      <x:c r="F20" s="2"/>
    </x:row>
    <x:row r="21" ht="42" customHeight="1">
      <x:c r="A21" s="2" t="str">
        <x:v>Driver</x:v>
      </x:c>
      <x:c r="B21" s="11" t="str">
        <x:v>A wider specialist footprint and complementary injectable fertility products can improve access and cross-selling for Mankind’s oral women’s health brands.</x:v>
      </x:c>
      <x:c r="C21" s="11"/>
      <x:c r="D21" s="11"/>
      <x:c r="E21" s="11"/>
      <x:c r="F21" s="11"/>
    </x:row>
    <x:row r="22" ht="24" customHeight="1">
      <x:c r="A22" s="2"/>
      <x:c r="B22" s="2"/>
      <x:c r="C22" s="2"/>
      <x:c r="D22" s="2"/>
      <x:c r="E22" s="2"/>
      <x:c r="F22" s="2"/>
    </x:row>
    <x:row r="23" ht="42" customHeight="1">
      <x:c r="A23" s="2" t="str">
        <x:v>Causality</x:v>
      </x:c>
      <x:c r="B23" s="11" t="str">
        <x:v>Reach and brand growth are concurrent observations. They do not quantify cross-selling conversion or prove that the acquisition caused growth.</x:v>
      </x:c>
      <x:c r="C23" s="11"/>
      <x:c r="D23" s="11"/>
      <x:c r="E23" s="11"/>
      <x:c r="F23" s="11"/>
    </x:row>
    <x:row r="24" ht="24" customHeight="1">
      <x:c r="A24" s="2"/>
      <x:c r="B24" s="2"/>
      <x:c r="C24" s="2"/>
      <x:c r="D24" s="2"/>
      <x:c r="E24" s="2"/>
      <x:c r="F24" s="2"/>
    </x:row>
    <x:row r="25" ht="42" customHeight="1">
      <x:c r="A25" s="2" t="str">
        <x:v>Leadership</x:v>
      </x:c>
      <x:c r="B25" s="11" t="str">
        <x:v>Abbott retains molecule/subcategory leadership according to its FY26 report. Broad gynaecology ranks and specific brand leadership have different denominators.</x:v>
      </x:c>
      <x:c r="C25" s="11"/>
      <x:c r="D25" s="11"/>
      <x:c r="E25" s="11"/>
      <x:c r="F25" s="11"/>
    </x:row>
    <x:row r="26" ht="24" customHeight="1">
      <x:c r="A26" s="2"/>
      <x:c r="B26" s="2"/>
      <x:c r="C26" s="2"/>
      <x:c r="D26" s="2"/>
      <x:c r="E26" s="2"/>
      <x:c r="F26" s="2"/>
    </x:row>
    <x:row r="27" ht="42" customHeight="1">
      <x:c r="A27" s="2" t="str">
        <x:v>Peers</x:v>
      </x:c>
      <x:c r="B27" s="11" t="str">
        <x:v>Emcure plans another dedicated gynae division. Sun’s proposed Organon deal adds a future competitive risk, subject to closing and India execution.</x:v>
      </x:c>
      <x:c r="C27" s="11"/>
      <x:c r="D27" s="11"/>
      <x:c r="E27" s="11"/>
      <x:c r="F27" s="11"/>
    </x:row>
    <x:row r="28" ht="24" customHeight="1">
      <x:c r="A28" s="2"/>
      <x:c r="B28" s="2"/>
      <x:c r="C28" s="2"/>
      <x:c r="D28" s="2"/>
      <x:c r="E28" s="2"/>
      <x:c r="F28" s="2"/>
    </x:row>
    <x:row r="29" ht="42" customHeight="1">
      <x:c r="A29" s="2" t="str">
        <x:v>Chart setup</x:v>
      </x:c>
      <x:c r="B29" s="11" t="str">
        <x:v>Columns: FY25 coverage33,000 and July-26 coverage37,000. Add +12.1% / +4,000 doctors annotation and separate Q1FY27 brand-growth callouts.</x:v>
      </x:c>
      <x:c r="C29" s="11"/>
      <x:c r="D29" s="11"/>
      <x:c r="E29" s="11"/>
      <x:c r="F29" s="11"/>
    </x:row>
    <x:row r="30" ht="24" customHeight="1">
      <x:c r="A30" s="2"/>
      <x:c r="B30" s="2"/>
      <x:c r="C30" s="2"/>
      <x:c r="D30" s="2"/>
      <x:c r="E30" s="2"/>
      <x:c r="F30" s="2"/>
    </x:row>
    <x:row r="31" ht="24" customHeight="1">
      <x:c r="A31" s="2"/>
      <x:c r="B31" s="2"/>
      <x:c r="C31" s="2"/>
      <x:c r="D31" s="2"/>
      <x:c r="E31" s="2"/>
      <x:c r="F31" s="2"/>
    </x:row>
    <x:row r="32" ht="24" customHeight="1">
      <x:c r="A32" s="2"/>
      <x:c r="B32" s="2"/>
      <x:c r="C32" s="2"/>
      <x:c r="D32" s="2"/>
      <x:c r="E32" s="2"/>
      <x:c r="F32" s="2"/>
    </x:row>
    <x:row r="33" ht="24" customHeight="1">
      <x:c r="A33" s="2"/>
      <x:c r="B33" s="2"/>
      <x:c r="C33" s="2"/>
      <x:c r="D33" s="2"/>
      <x:c r="E33" s="2"/>
      <x:c r="F33" s="2"/>
    </x:row>
    <x:row r="34" ht="24" customHeight="1">
      <x:c r="A34" s="2"/>
      <x:c r="B34" s="2"/>
      <x:c r="C34" s="2"/>
      <x:c r="D34" s="2"/>
      <x:c r="E34" s="2"/>
      <x:c r="F34" s="2"/>
    </x:row>
  </x:sheetData>
  <x:mergeCells>
    <x:mergeCell ref="B18:F18"/>
    <x:mergeCell ref="B21:F21"/>
    <x:mergeCell ref="B23:F23"/>
    <x:mergeCell ref="B25:F25"/>
    <x:mergeCell ref="B27:F27"/>
    <x:mergeCell ref="B29:F29"/>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219999313354492" hidden="0" customWidth="1"/>
    <x:col min="2" max="2" width="47.779998779296875" hidden="0" customWidth="1"/>
    <x:col min="3" max="3" width="71.11000061035156" hidden="0" customWidth="1"/>
    <x:col min="4" max="4" width="20" hidden="0" customWidth="1"/>
    <x:col min="5" max="5" width="66.66999816894531" hidden="0" customWidth="1"/>
  </x:cols>
  <x:sheetData>
    <x:row r="1" ht="24" customHeight="1">
      <x:c r="A1" s="2"/>
      <x:c r="B1" s="2"/>
      <x:c r="C1" s="2"/>
      <x:c r="D1" s="2"/>
      <x:c r="E1" s="2"/>
    </x:row>
    <x:row r="2" ht="24" customHeight="1">
      <x:c r="A2" s="3" t="str">
        <x:v>Sources, definitions and analytical boundaries</x:v>
      </x:c>
      <x:c r="B2" s="2"/>
      <x:c r="C2" s="2"/>
      <x:c r="D2" s="2"/>
      <x:c r="E2" s="2"/>
    </x:row>
    <x:row r="3" ht="24" customHeight="1">
      <x:c r="A3" s="2"/>
      <x:c r="B3" s="2"/>
      <x:c r="C3" s="2"/>
      <x:c r="D3" s="2"/>
      <x:c r="E3" s="2"/>
    </x:row>
    <x:row r="4" ht="42" customHeight="1">
      <x:c r="A4" s="6" t="str">
        <x:v>Topic</x:v>
      </x:c>
      <x:c r="B4" s="6" t="str">
        <x:v>Fact / metric</x:v>
      </x:c>
      <x:c r="C4" s="6" t="str">
        <x:v>Source / locator</x:v>
      </x:c>
      <x:c r="D4" s="6" t="str">
        <x:v>Classification</x:v>
      </x:c>
      <x:c r="E4" s="6" t="str">
        <x:v>Limit / interpretation</x:v>
      </x:c>
    </x:row>
    <x:row r="5" ht="70" customHeight="1">
      <x:c r="A5" s="11" t="str">
        <x:v>Abbott key brands</x:v>
      </x:c>
      <x:c r="B5" s="11" t="str">
        <x:v>FY26 model base and FY27–FY29 estimates</x:v>
      </x:c>
      <x:c r="C5" s="11" t="str">
        <x:v>Abbott_Revenue_Model.xlsx v2, saved 27 Sep 2026. Revenue Model rows 6,16,21. FY26 H, FY27 M, FY28 R, FY29 S.</x:v>
      </x:c>
      <x:c r="D5" s="11" t="str">
        <x:v>User model</x:v>
      </x:c>
      <x:c r="E5" s="11" t="str">
        <x:v>All brand allocations are model estimates. Thyronorm uses TTM Aug-26 mapped to FY26. Duphaston and Femoston remain combined.</x:v>
      </x:c>
    </x:row>
    <x:row r="6" ht="70" customHeight="1">
      <x:c r="A6" s="11" t="str">
        <x:v>Udiliv scale</x:v>
      </x:c>
      <x:c r="B6" s="11" t="str">
        <x:v>Above INR7,000mn annual sales</x:v>
      </x:c>
      <x:c r="C6" s="11" t="str">
        <x:v>https://www.abbott.co.in/content/dam/corp/abbott/en-ind/pdf/financials/2025-26-Annual-Report.pdf [printed pp20–21]</x:v>
      </x:c>
      <x:c r="D6" s="11" t="str">
        <x:v>Company disclosure</x:v>
      </x:c>
      <x:c r="E6" s="11" t="str">
        <x:v>The model uses INR7,100mn. Company disclosure is a threshold, not that exact value.</x:v>
      </x:c>
    </x:row>
    <x:row r="7" ht="70" customHeight="1">
      <x:c r="A7" s="11" t="str">
        <x:v>Thyronorm</x:v>
      </x:c>
      <x:c r="B7" s="11" t="str">
        <x:v>Sustained thyroid leadership</x:v>
      </x:c>
      <x:c r="C7" s="11" t="str">
        <x:v>https://www.abbott.co.in/content/dam/corp/abbott/en-ind/pdf/financials/2025-26-Annual-Report.pdf [printed pp22–23]</x:v>
      </x:c>
      <x:c r="D7" s="11" t="str">
        <x:v>Company disclosure</x:v>
      </x:c>
      <x:c r="E7" s="11" t="str">
        <x:v>No primary evidence of impending collapse. Diagnosis and adherence are growth drivers.</x:v>
      </x:c>
    </x:row>
    <x:row r="8" ht="70" customHeight="1">
      <x:c r="A8" s="11" t="str">
        <x:v>Dydrogesterone</x:v>
      </x:c>
      <x:c r="B8" s="11" t="str">
        <x:v>Slow growth, lower-priced generics, pricing pressure and fragmentation</x:v>
      </x:c>
      <x:c r="C8" s="11" t="str">
        <x:v>https://www.abbott.co.in/content/dam/corp/abbott/en-ind/pdf/financials/2025-26-Annual-Report.pdf [printed pp24–25,38]</x:v>
      </x:c>
      <x:c r="D8" s="11" t="str">
        <x:v>Company disclosure</x:v>
      </x:c>
      <x:c r="E8" s="11" t="str">
        <x:v>Abbott says it sustained leadership. Loss of leadership is a risk scenario, not an observed fact.</x:v>
      </x:c>
    </x:row>
    <x:row r="9" ht="70" customHeight="1">
      <x:c r="A9" s="11" t="str">
        <x:v>UDCA / MASH</x:v>
      </x:c>
      <x:c r="B9" s="11" t="str">
        <x:v>No proof of histological efficacy</x:v>
      </x:c>
      <x:c r="C9" s="11" t="str">
        <x:v>https://karger.com/ofa/article/17/4/374/908875/EASL-EASD-EASO-Clinical-Practice-Guidelines-on-the [section Ursodeoxycholic Acid]</x:v>
      </x:c>
      <x:c r="D9" s="11" t="str">
        <x:v>Clinical guideline</x:v>
      </x:c>
      <x:c r="E9" s="11" t="str">
        <x:v>Applies to MASH. Do not generalise to all Udiliv indications or assume instant displacement.</x:v>
      </x:c>
    </x:row>
    <x:row r="10" ht="70" customHeight="1">
      <x:c r="A10" s="11" t="str">
        <x:v>Specialist reach</x:v>
      </x:c>
      <x:c r="B10" s="11" t="str">
        <x:v>33,000 FY25 to 37,000 by July-26 call</x:v>
      </x:c>
      <x:c r="C10" s="11" t="str">
        <x:v>https://nsearchives.nseindia.com/corporate/MANKIND1_04082026131209_EarningCallFinal.pdf [transcript p17, PDF p18]</x:v>
      </x:c>
      <x:c r="D10" s="11" t="str">
        <x:v>Management disclosure</x:v>
      </x:c>
      <x:c r="E10" s="11" t="str">
        <x:v>BSV discussion context. Not combined unique Mankind group doctors. The source does not disclose deduplication or call intensity.</x:v>
      </x:c>
    </x:row>
    <x:row r="11" ht="70" customHeight="1">
      <x:c r="A11" s="11" t="str">
        <x:v>IVF access</x:v>
      </x:c>
      <x:c r="B11" s="11" t="str">
        <x:v>More than 80% coverage</x:v>
      </x:c>
      <x:c r="C11" s="11" t="str">
        <x:v>https://nsearchives.nseindia.com/corporate/MANKIND1_04082026131209_EarningCallFinal.pdf [transcript p17, PDF p18]</x:v>
      </x:c>
      <x:c r="D11" s="11" t="str">
        <x:v>Management disclosure</x:v>
      </x:c>
      <x:c r="E11" s="11" t="str">
        <x:v>Management does not specify the exact denominator. Not market share, prescriptions or treatment penetration.</x:v>
      </x:c>
    </x:row>
    <x:row r="12" ht="70" customHeight="1">
      <x:c r="A12" s="11" t="str">
        <x:v>Mankind brand traction</x:v>
      </x:c>
      <x:c r="B12" s="11" t="str">
        <x:v>Dydroboon +20%, Foligraf +39%, Humog +39%</x:v>
      </x:c>
      <x:c r="C12" s="11" t="str">
        <x:v>https://nsearchives.nseindia.com/corporate/MANKIND1_04082026131209_EarningCallFinal.pdf [transcript p4, PDF p5]; https://nsearchives.nseindia.com/corporate/MANKIND1_30072026155320_CoveringPR.pdf [PDF p3]</x:v>
      </x:c>
      <x:c r="D12" s="11" t="str">
        <x:v>Management / cited IQVIA Jun-26</x:v>
      </x:c>
      <x:c r="E12" s="11" t="str">
        <x:v>Q1FY27 growth. Dydroboon stated at 1.5x market growth. Do not infer Abbott lost an equivalent amount.</x:v>
      </x:c>
    </x:row>
    <x:row r="13" ht="70" customHeight="1">
      <x:c r="A13" s="11" t="str">
        <x:v>Gynaecology benchmark</x:v>
      </x:c>
      <x:c r="B13" s="11" t="str">
        <x:v>Mankind +12.7% versus IPM gynaecology +12.1%</x:v>
      </x:c>
      <x:c r="C13" s="11" t="str">
        <x:v>https://nsearchives.nseindia.com/corporate/MANKIND1_04082026131209_EarningCallFinal.pdf [transcript p4, PDF p5]</x:v>
      </x:c>
      <x:c r="D13" s="11" t="str">
        <x:v>Management disclosure</x:v>
      </x:c>
      <x:c r="E13" s="11" t="str">
        <x:v>Only 0.6 percentage point outperformance overall. Brand winners do not prove a category-wide collapse at Abbott.</x:v>
      </x:c>
    </x:row>
    <x:row r="14" ht="70" customHeight="1">
      <x:c r="A14" s="11" t="str">
        <x:v>BSV acquired capability</x:v>
      </x:c>
      <x:c r="B14" s="11" t="str">
        <x:v>12 of top15 infertility drugs present/in pipeline, FY24 disclosure</x:v>
      </x:c>
      <x:c r="C14" s="11" t="str">
        <x:v>https://www.mankindpharma.com/wp-content/uploads/2024/12/mankind-bsv-investor-presentation-2024-1722064871.pdf [PDF pp7,12]</x:v>
      </x:c>
      <x:c r="D14" s="11" t="str">
        <x:v>Acquisition presentation</x:v>
      </x:c>
      <x:c r="E14" s="11" t="str">
        <x:v>Historical capability evidence. Includes pipeline. Not12 commercially launched drugs as of 2026.</x:v>
      </x:c>
    </x:row>
    <x:row r="15" ht="70" customHeight="1">
      <x:c r="A15" s="11" t="str">
        <x:v>Emcure investment</x:v>
      </x:c>
      <x:c r="B15" s="11" t="str">
        <x:v>Additional dedicated gynaecology division planned</x:v>
      </x:c>
      <x:c r="C15" s="11" t="str">
        <x:v>https://www.emcure.com/wp-content/uploads/2026/08/Annual-Report-FY-2025-26.pdf [printed p33, PDF p35]</x:v>
      </x:c>
      <x:c r="D15" s="11" t="str">
        <x:v>FY26 annual report</x:v>
      </x:c>
      <x:c r="E15" s="11" t="str">
        <x:v>Forward plan, not a completed headcount increase.</x:v>
      </x:c>
    </x:row>
    <x:row r="16" ht="70" customHeight="1">
      <x:c r="A16" s="11" t="str">
        <x:v>Emcure access</x:v>
      </x:c>
      <x:c r="B16" s="11" t="str">
        <x:v>More than14,000 anaemia camps reaching more than200,000 women</x:v>
      </x:c>
      <x:c r="C16" s="11" t="str">
        <x:v>https://www.emcure.com/wp-content/uploads/2026/08/Annual-Report-FY-2025-26.pdf [printed p35, PDF p37]</x:v>
      </x:c>
      <x:c r="D16" s="11" t="str">
        <x:v>FY26 annual report</x:v>
      </x:c>
      <x:c r="E16" s="11" t="str">
        <x:v>Patients reached, not doctors covered. Cannot add to Mankind doctor counts.</x:v>
      </x:c>
    </x:row>
    <x:row r="17" ht="70" customHeight="1">
      <x:c r="A17" s="11" t="str">
        <x:v>Emcure position</x:v>
      </x:c>
      <x:c r="B17" s="11" t="str">
        <x:v>#2 in India gynaecology</x:v>
      </x:c>
      <x:c r="C17" s="11" t="str">
        <x:v>https://www.emcure.com/wp-content/uploads/2026/08/Annual-Report-FY-2025-26.pdf [Emcure at a Glance, PDF p2]</x:v>
      </x:c>
      <x:c r="D17" s="11" t="str">
        <x:v>FY26 annual report</x:v>
      </x:c>
      <x:c r="E17" s="11" t="str">
        <x:v>Broader gynaecology rank is distinct from Abbott leadership in a specific molecule or subcategory.</x:v>
      </x:c>
    </x:row>
    <x:row r="18" ht="70" customHeight="1">
      <x:c r="A18" s="11" t="str">
        <x:v>Sun / Organon</x:v>
      </x:c>
      <x:c r="B18" s="11" t="str">
        <x:v>Proposed acquisition announced27Apr26, expected early2027 close</x:v>
      </x:c>
      <x:c r="C18" s="11" t="str">
        <x:v>https://www.organon.com/news/sun-pharma-signs-definitive-agreement-to-acquire-organon/ ; https://sunpharma.com/wp-content/uploads/2026/07/PRforOrganonShareholderapproval.pdf</x:v>
      </x:c>
      <x:c r="D18" s="11" t="str">
        <x:v>Company announcement</x:v>
      </x:c>
      <x:c r="E18" s="11" t="str">
        <x:v>Treat as pending in this analysis. July shareholder approval did not equal closing. Do not double-count as two incremental independent competitive platforms after a merger.</x:v>
      </x:c>
    </x:row>
    <x:row r="19" ht="70" customHeight="1">
      <x:c r="A19" s="11" t="str">
        <x:v>Pricing</x:v>
      </x:c>
      <x:c r="B19" s="11" t="str">
        <x:v>MRPs normalised per 10mg immediate-release tablet</x:v>
      </x:c>
      <x:c r="C19" s="11" t="str">
        <x:v>PharmEasy individual product pages in Price Competition tab, retrieved 21 Oct 26</x:v>
      </x:c>
      <x:c r="D19" s="11" t="str">
        <x:v>Retail listing, not manufacturer ASP</x:v>
      </x:c>
      <x:c r="E19" s="11" t="str">
        <x:v>Batch-specific MRPs may differ. Retail discounts, availability and indication/pack differences matter. No bioequivalence conclusion is made.</x:v>
      </x:c>
    </x:row>
    <x:row r="20" ht="70" customHeight="1">
      <x:c r="A20" s="11" t="str">
        <x:v>Valuation conclusion</x:v>
      </x:c>
      <x:c r="B20" s="11" t="str">
        <x:v>More spending to defend prescription share can limit operating leverage</x:v>
      </x:c>
      <x:c r="C20" s="11" t="str">
        <x:v>Analyst inference</x:v>
      </x:c>
      <x:c r="D20" s="11" t="str">
        <x:v>Inference</x:v>
      </x:c>
      <x:c r="E20" s="11" t="str">
        <x:v>No disclosed brand contribution margin, promotion spend, earnings sensitivity or forced market-share forecast is invented.</x:v>
      </x:c>
    </x:row>
    <x:row r="21" ht="70" customHeight="1">
      <x:c r="A21" s="11" t="str">
        <x:v>Selection</x:v>
      </x:c>
      <x:c r="B21" s="11" t="str">
        <x:v>Three strategically important franchises, not an audited top-three product ranking</x:v>
      </x:c>
      <x:c r="C21" s="11" t="str">
        <x:v>User model and company annual report</x:v>
      </x:c>
      <x:c r="D21" s="11" t="str">
        <x:v>Analyst selection</x:v>
      </x:c>
      <x:c r="E21" s="11" t="str">
        <x:v>A combined Duphaston/Femoston row cannot establish the standalone brand ranking. Cremaffin franchise is also shown for context.</x:v>
      </x:c>
    </x:row>
    <x:row r="22" ht="24" customHeight="1">
      <x:c r="A22" s="2"/>
      <x:c r="B22" s="2"/>
      <x:c r="C22" s="2"/>
      <x:c r="D22" s="2"/>
      <x:c r="E22" s="2"/>
    </x:row>
    <x:row r="23" ht="24" customHeight="1">
      <x:c r="A23" s="2"/>
      <x:c r="B23" s="2"/>
      <x:c r="C23" s="2"/>
      <x:c r="D23" s="2"/>
      <x:c r="E23" s="2"/>
    </x:row>
    <x:row r="24" ht="24" customHeight="1">
      <x:c r="A24" s="2"/>
      <x:c r="B24" s="2"/>
      <x:c r="C24" s="2"/>
      <x:c r="D24" s="2"/>
      <x:c r="E24" s="2"/>
    </x:row>
    <x:row r="25" ht="24" customHeight="1">
      <x:c r="A25" s="2"/>
      <x:c r="B25" s="2"/>
      <x:c r="C25" s="2"/>
      <x:c r="D25" s="2"/>
      <x:c r="E25" s="2"/>
    </x:row>
  </x:sheetData>
  <x:pageMargins left="0.7" right="0.7" top="0.75" bottom="0.75" header="0.3" footer="0.3"/>
</x:worksheet>
</file>