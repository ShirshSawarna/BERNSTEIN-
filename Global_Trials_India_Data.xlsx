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295598561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s" sheetId="1" r:id="Rd94b7c49c6004fde"/>
    <x:sheet xmlns:r="http://schemas.openxmlformats.org/officeDocument/2006/relationships" name="Approval lag" sheetId="2" r:id="Rf309068d5ca84b21"/>
    <x:sheet xmlns:r="http://schemas.openxmlformats.org/officeDocument/2006/relationships" name="Study records" sheetId="3" r:id="Rcde46f343a88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dd-mmm-yyyy"/>
  </x:numFmts>
  <x:fonts count="5">
    <x:font>
      <x:sz val="11"/>
      <x:name val="Carlito"/>
    </x:font>
    <x:font>
      <x:sz val="11"/>
      <x:color rgb="FF000000"/>
      <x:name val="Arial"/>
    </x:font>
    <x:font>
      <x:b/>
      <x:sz val="14"/>
      <x:color rgb="FF000000"/>
      <x:name val="Arial"/>
    </x:font>
    <x:font>
      <x:b/>
      <x:sz val="11"/>
      <x:color rgb="FF000000"/>
      <x:name val="Arial"/>
    </x:font>
    <x:font>
      <x:b/>
      <x:sz val="12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9f55e508f4453" /><Relationship Type="http://schemas.openxmlformats.org/officeDocument/2006/relationships/theme" Target="/xl/theme/theme1.xml" Id="R84aba1eccad345d4" /><Relationship Type="http://schemas.openxmlformats.org/officeDocument/2006/relationships/sharedStrings" Target="/xl/sharedStrings.xml" Id="R2d697ce689c24cdb" /><Relationship Type="http://schemas.openxmlformats.org/officeDocument/2006/relationships/worksheet" Target="/xl/worksheets/sheet1.xml" Id="Rd94b7c49c6004fde" /><Relationship Type="http://schemas.openxmlformats.org/officeDocument/2006/relationships/worksheet" Target="/xl/worksheets/sheet2.xml" Id="Rf309068d5ca84b21" /><Relationship Type="http://schemas.openxmlformats.org/officeDocument/2006/relationships/worksheet" Target="/xl/worksheets/sheet3.xml" Id="Rcde46f343a884a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3.890000343322754" hidden="0" customWidth="1"/>
    <x:col min="3" max="3" width="17.219999313354492" hidden="0" customWidth="1"/>
    <x:col min="4" max="4" width="17.780000686645508" hidden="0" customWidth="1"/>
    <x:col min="5" max="5" width="15.5600004196167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89000034332275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India participation in MNC global Phase III registrations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 t="str">
        <x:v>Calendar-year posting cohorts. Current India site listings. Source: ClinicalTrials.gov API, 21 Oct 2026.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4" customHeight="1">
      <x:c r="A5" s="6" t="str">
        <x:v>Sponsor group</x:v>
      </x:c>
      <x:c r="B5" s="6" t="str">
        <x:v>Global 2015–19</x:v>
      </x:c>
      <x:c r="C5" s="6" t="str">
        <x:v>India 2015–19</x:v>
      </x:c>
      <x:c r="D5" s="6" t="str">
        <x:v>India share 2015–19</x:v>
      </x:c>
      <x:c r="E5" s="6" t="str">
        <x:v>Global 2021–25</x:v>
      </x:c>
      <x:c r="F5" s="6" t="str">
        <x:v>India 2021–25</x:v>
      </x:c>
      <x:c r="G5" s="6" t="str">
        <x:v>India share 2021–25</x:v>
      </x:c>
      <x:c r="H5" s="6" t="str">
        <x:v>Change (pp)</x:v>
      </x:c>
      <x:c r="I5" s="6" t="str">
        <x:v>India count growth</x:v>
      </x:c>
    </x:row>
    <x:row r="6" ht="23" customHeight="1">
      <x:c r="A6" s="2" t="str">
        <x:v>AstraZeneca</x:v>
      </x:c>
      <x:c r="B6" s="2" t="n">
        <x:f>COUNTIFS('Study records'!$A$4:$A$1245,A6,'Study records'!$B$4:$B$1245,"2015-19")</x:f>
        <x:v>114</x:v>
      </x:c>
      <x:c r="C6" s="2" t="n">
        <x:f>COUNTIFS('Study records'!$A$4:$A$1245,A6,'Study records'!$B$4:$B$1245,"2015-19",'Study records'!$E$4:$E$1245,1)</x:f>
        <x:v>26</x:v>
      </x:c>
      <x:c r="D6" s="7" t="n">
        <x:f>C6/B6</x:f>
        <x:v>0.22807017543859648</x:v>
      </x:c>
      <x:c r="E6" s="2" t="n">
        <x:f>COUNTIFS('Study records'!$A$4:$A$1245,A6,'Study records'!$B$4:$B$1245,"2021-25")</x:f>
        <x:v>147</x:v>
      </x:c>
      <x:c r="F6" s="2" t="n">
        <x:f>COUNTIFS('Study records'!$A$4:$A$1245,A6,'Study records'!$B$4:$B$1245,"2021-25",'Study records'!$E$4:$E$1245,1)</x:f>
        <x:v>63</x:v>
      </x:c>
      <x:c r="G6" s="7" t="n">
        <x:f>F6/E6</x:f>
        <x:v>0.42857142857142855</x:v>
      </x:c>
      <x:c r="H6" s="9" t="n">
        <x:f>(G6-D6)*100</x:f>
        <x:v>20.050125313283207</x:v>
      </x:c>
      <x:c r="I6" s="7" t="n">
        <x:f>F6/C6-1</x:f>
        <x:v>1.423076923076923</x:v>
      </x:c>
    </x:row>
    <x:row r="7" ht="23" customHeight="1">
      <x:c r="A7" s="2" t="str">
        <x:v>Novartis</x:v>
      </x:c>
      <x:c r="B7" s="2" t="n">
        <x:f>COUNTIFS('Study records'!$A$4:$A$1245,A7,'Study records'!$B$4:$B$1245,"2015-19")</x:f>
        <x:v>140</x:v>
      </x:c>
      <x:c r="C7" s="2" t="n">
        <x:f>COUNTIFS('Study records'!$A$4:$A$1245,A7,'Study records'!$B$4:$B$1245,"2015-19",'Study records'!$E$4:$E$1245,1)</x:f>
        <x:v>38</x:v>
      </x:c>
      <x:c r="D7" s="7" t="n">
        <x:f>C7/B7</x:f>
        <x:v>0.2714285714285714</x:v>
      </x:c>
      <x:c r="E7" s="2" t="n">
        <x:f>COUNTIFS('Study records'!$A$4:$A$1245,A7,'Study records'!$B$4:$B$1245,"2021-25")</x:f>
        <x:v>109</x:v>
      </x:c>
      <x:c r="F7" s="2" t="n">
        <x:f>COUNTIFS('Study records'!$A$4:$A$1245,A7,'Study records'!$B$4:$B$1245,"2021-25",'Study records'!$E$4:$E$1245,1)</x:f>
        <x:v>34</x:v>
      </x:c>
      <x:c r="G7" s="7" t="n">
        <x:f>F7/E7</x:f>
        <x:v>0.3119266055045872</x:v>
      </x:c>
      <x:c r="H7" s="9" t="n">
        <x:f>(G7-D7)*100</x:f>
        <x:v>4.049803407601576</x:v>
      </x:c>
      <x:c r="I7" s="7" t="n">
        <x:f>F7/C7-1</x:f>
        <x:v>-0.10526315789473684</x:v>
      </x:c>
    </x:row>
    <x:row r="8" ht="23" customHeight="1">
      <x:c r="A8" s="2" t="str">
        <x:v>Pfizer</x:v>
      </x:c>
      <x:c r="B8" s="2" t="n">
        <x:f>COUNTIFS('Study records'!$A$4:$A$1245,A8,'Study records'!$B$4:$B$1245,"2015-19")</x:f>
        <x:v>78</x:v>
      </x:c>
      <x:c r="C8" s="2" t="n">
        <x:f>COUNTIFS('Study records'!$A$4:$A$1245,A8,'Study records'!$B$4:$B$1245,"2015-19",'Study records'!$E$4:$E$1245,1)</x:f>
        <x:v>9</x:v>
      </x:c>
      <x:c r="D8" s="7" t="n">
        <x:f>C8/B8</x:f>
        <x:v>0.11538461538461539</x:v>
      </x:c>
      <x:c r="E8" s="2" t="n">
        <x:f>COUNTIFS('Study records'!$A$4:$A$1245,A8,'Study records'!$B$4:$B$1245,"2021-25")</x:f>
        <x:v>91</x:v>
      </x:c>
      <x:c r="F8" s="2" t="n">
        <x:f>COUNTIFS('Study records'!$A$4:$A$1245,A8,'Study records'!$B$4:$B$1245,"2021-25",'Study records'!$E$4:$E$1245,1)</x:f>
        <x:v>21</x:v>
      </x:c>
      <x:c r="G8" s="7" t="n">
        <x:f>F8/E8</x:f>
        <x:v>0.23076923076923078</x:v>
      </x:c>
      <x:c r="H8" s="9" t="n">
        <x:f>(G8-D8)*100</x:f>
        <x:v>11.538461538461538</x:v>
      </x:c>
      <x:c r="I8" s="7" t="n">
        <x:f>F8/C8-1</x:f>
        <x:v>1.3333333333333335</x:v>
      </x:c>
    </x:row>
    <x:row r="9" ht="23" customHeight="1">
      <x:c r="A9" s="2" t="str">
        <x:v>GSK</x:v>
      </x:c>
      <x:c r="B9" s="2" t="n">
        <x:f>COUNTIFS('Study records'!$A$4:$A$1245,A9,'Study records'!$B$4:$B$1245,"2015-19")</x:f>
        <x:v>96</x:v>
      </x:c>
      <x:c r="C9" s="2" t="n">
        <x:f>COUNTIFS('Study records'!$A$4:$A$1245,A9,'Study records'!$B$4:$B$1245,"2015-19",'Study records'!$E$4:$E$1245,1)</x:f>
        <x:v>7</x:v>
      </x:c>
      <x:c r="D9" s="7" t="n">
        <x:f>C9/B9</x:f>
        <x:v>0.07291666666666667</x:v>
      </x:c>
      <x:c r="E9" s="2" t="n">
        <x:f>COUNTIFS('Study records'!$A$4:$A$1245,A9,'Study records'!$B$4:$B$1245,"2021-25")</x:f>
        <x:v>76</x:v>
      </x:c>
      <x:c r="F9" s="2" t="n">
        <x:f>COUNTIFS('Study records'!$A$4:$A$1245,A9,'Study records'!$B$4:$B$1245,"2021-25",'Study records'!$E$4:$E$1245,1)</x:f>
        <x:v>13</x:v>
      </x:c>
      <x:c r="G9" s="7" t="n">
        <x:f>F9/E9</x:f>
        <x:v>0.17105263157894737</x:v>
      </x:c>
      <x:c r="H9" s="9" t="n">
        <x:f>(G9-D9)*100</x:f>
        <x:v>9.81359649122807</x:v>
      </x:c>
      <x:c r="I9" s="7" t="n">
        <x:f>F9/C9-1</x:f>
        <x:v>0.8571428571428572</x:v>
      </x:c>
    </x:row>
    <x:row r="10" ht="23" customHeight="1">
      <x:c r="A10" s="2" t="str">
        <x:v>Sanofi</x:v>
      </x:c>
      <x:c r="B10" s="2" t="n">
        <x:f>COUNTIFS('Study records'!$A$4:$A$1245,A10,'Study records'!$B$4:$B$1245,"2015-19")</x:f>
        <x:v>114</x:v>
      </x:c>
      <x:c r="C10" s="2" t="n">
        <x:f>COUNTIFS('Study records'!$A$4:$A$1245,A10,'Study records'!$B$4:$B$1245,"2015-19",'Study records'!$E$4:$E$1245,1)</x:f>
        <x:v>10</x:v>
      </x:c>
      <x:c r="D10" s="7" t="n">
        <x:f>C10/B10</x:f>
        <x:v>0.08771929824561403</x:v>
      </x:c>
      <x:c r="E10" s="2" t="n">
        <x:f>COUNTIFS('Study records'!$A$4:$A$1245,A10,'Study records'!$B$4:$B$1245,"2021-25")</x:f>
        <x:v>78</x:v>
      </x:c>
      <x:c r="F10" s="2" t="n">
        <x:f>COUNTIFS('Study records'!$A$4:$A$1245,A10,'Study records'!$B$4:$B$1245,"2021-25",'Study records'!$E$4:$E$1245,1)</x:f>
        <x:v>13</x:v>
      </x:c>
      <x:c r="G10" s="7" t="n">
        <x:f>F10/E10</x:f>
        <x:v>0.16666666666666666</x:v>
      </x:c>
      <x:c r="H10" s="9" t="n">
        <x:f>(G10-D10)*100</x:f>
        <x:v>7.894736842105263</x:v>
      </x:c>
      <x:c r="I10" s="7" t="n">
        <x:f>F10/C10-1</x:f>
        <x:v>0.30000000000000004</x:v>
      </x:c>
    </x:row>
    <x:row r="11" ht="23" customHeight="1">
      <x:c r="A11" s="2" t="str">
        <x:v>Roche</x:v>
      </x:c>
      <x:c r="B11" s="2" t="n">
        <x:f>COUNTIFS('Study records'!$A$4:$A$1245,A11,'Study records'!$B$4:$B$1245,"2015-19")</x:f>
        <x:v>128</x:v>
      </x:c>
      <x:c r="C11" s="2" t="n">
        <x:f>COUNTIFS('Study records'!$A$4:$A$1245,A11,'Study records'!$B$4:$B$1245,"2015-19",'Study records'!$E$4:$E$1245,1)</x:f>
        <x:v>10</x:v>
      </x:c>
      <x:c r="D11" s="7" t="n">
        <x:f>C11/B11</x:f>
        <x:v>0.078125</x:v>
      </x:c>
      <x:c r="E11" s="2" t="n">
        <x:f>COUNTIFS('Study records'!$A$4:$A$1245,A11,'Study records'!$B$4:$B$1245,"2021-25")</x:f>
        <x:v>71</x:v>
      </x:c>
      <x:c r="F11" s="2" t="n">
        <x:f>COUNTIFS('Study records'!$A$4:$A$1245,A11,'Study records'!$B$4:$B$1245,"2021-25",'Study records'!$E$4:$E$1245,1)</x:f>
        <x:v>16</x:v>
      </x:c>
      <x:c r="G11" s="7" t="n">
        <x:f>F11/E11</x:f>
        <x:v>0.22535211267605634</x:v>
      </x:c>
      <x:c r="H11" s="9" t="n">
        <x:f>(G11-D11)*100</x:f>
        <x:v>14.722711267605634</x:v>
      </x:c>
      <x:c r="I11" s="7" t="n">
        <x:f>F11/C11-1</x:f>
        <x:v>0.6000000000000001</x:v>
      </x:c>
    </x:row>
    <x:row r="12" ht="23" customHeight="1">
      <x:c r="A12" s="4" t="str">
        <x:v>Six groups combined</x:v>
      </x:c>
      <x:c r="B12" s="4" t="n">
        <x:f>SUM(B6:B11)</x:f>
        <x:v>670</x:v>
      </x:c>
      <x:c r="C12" s="4" t="n">
        <x:f>SUM(C6:C11)</x:f>
        <x:v>100</x:v>
      </x:c>
      <x:c r="D12" s="8" t="n">
        <x:f>C12/B12</x:f>
        <x:v>0.14925373134328357</x:v>
      </x:c>
      <x:c r="E12" s="4" t="n">
        <x:f>SUM(E6:E11)</x:f>
        <x:v>572</x:v>
      </x:c>
      <x:c r="F12" s="4" t="n">
        <x:f>SUM(F6:F11)</x:f>
        <x:v>160</x:v>
      </x:c>
      <x:c r="G12" s="8" t="n">
        <x:f>F12/E12</x:f>
        <x:v>0.27972027972027974</x:v>
      </x:c>
      <x:c r="H12" s="10" t="n">
        <x:f>(G12-D12)*100</x:f>
        <x:v>13.046654837699617</x:v>
      </x:c>
      <x:c r="I12" s="8" t="n">
        <x:f>F12/C12-1</x:f>
        <x:v>0.6000000000000001</x:v>
      </x:c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3" customHeight="1">
      <x:c r="A14" s="2" t="str">
        <x:v>Global registration count growth</x:v>
      </x:c>
      <x:c r="B14" s="2"/>
      <x:c r="C14" s="7" t="n">
        <x:f>E12/B12-1</x:f>
        <x:v>-0.14626865671641787</x:v>
      </x:c>
      <x:c r="D14" s="2"/>
      <x:c r="E14" s="2"/>
      <x:c r="F14" s="2"/>
      <x:c r="G14" s="2"/>
      <x:c r="H14" s="2"/>
      <x:c r="I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3" customHeight="1">
      <x:c r="A16" s="11" t="str">
        <x:v>Definition: industry-led interventional studies with DRUG or BIOLOGICAL intervention and a Phase III component. First global registry posting, not India recruitment start. All statuses. India site and sponsor names reflect current records. The series is not a full CTRI census.</x:v>
      </x:c>
      <x:c r="B16" s="11"/>
      <x:c r="C16" s="11"/>
      <x:c r="D16" s="11"/>
      <x:c r="E16" s="11"/>
      <x:c r="F16" s="11"/>
      <x:c r="G16" s="11"/>
      <x:c r="H16" s="11"/>
      <x:c r="I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3" customHeight="1">
      <x:c r="A19" s="12" t="str">
        <x:v>Examples of specialised programmes with India sites in the 2021–25 cohort</x:v>
      </x:c>
      <x:c r="B19" s="2"/>
      <x:c r="C19" s="2"/>
      <x:c r="D19" s="2"/>
      <x:c r="E19" s="2"/>
      <x:c r="F19" s="2"/>
      <x:c r="G19" s="2"/>
      <x:c r="H19" s="2"/>
      <x:c r="I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44" customHeight="1">
      <x:c r="A21" s="6" t="str">
        <x:v>Sponsor group</x:v>
      </x:c>
      <x:c r="B21" s="6" t="str">
        <x:v>Programme</x:v>
      </x:c>
      <x:c r="C21" s="6" t="str">
        <x:v>Mechanism</x:v>
      </x:c>
      <x:c r="D21" s="6" t="str">
        <x:v>Condition</x:v>
      </x:c>
      <x:c r="E21" s="6" t="str">
        <x:v>NCT ID</x:v>
      </x:c>
      <x:c r="F21" s="6" t="str">
        <x:v>Study source</x:v>
      </x:c>
      <x:c r="G21" s="2"/>
      <x:c r="H21" s="2"/>
      <x:c r="I21" s="2"/>
    </x:row>
    <x:row r="22" ht="70" customHeight="1">
      <x:c r="A22" s="11" t="str">
        <x:v>AstraZeneca</x:v>
      </x:c>
      <x:c r="B22" s="11" t="str">
        <x:v>Tozorakimab</x:v>
      </x:c>
      <x:c r="C22" s="11" t="str">
        <x:v>Anti-IL-33 antibody</x:v>
      </x:c>
      <x:c r="D22" s="11" t="str">
        <x:v>COPD</x:v>
      </x:c>
      <x:c r="E22" s="11" t="str">
        <x:v>NCT05166889</x:v>
      </x:c>
      <x:c r="F22" s="11" t="str">
        <x:v>https://clinicaltrials.gov/study/NCT05166889</x:v>
      </x:c>
      <x:c r="G22" s="2"/>
      <x:c r="H22" s="2"/>
      <x:c r="I22" s="2"/>
    </x:row>
    <x:row r="23" ht="70" customHeight="1">
      <x:c r="A23" s="11" t="str">
        <x:v>Novartis</x:v>
      </x:c>
      <x:c r="B23" s="11" t="str">
        <x:v>Iptacopan</x:v>
      </x:c>
      <x:c r="C23" s="11" t="str">
        <x:v>Complement factor B inhibitor</x:v>
      </x:c>
      <x:c r="D23" s="11" t="str">
        <x:v>C3 glomerulopathy</x:v>
      </x:c>
      <x:c r="E23" s="11" t="str">
        <x:v>NCT04817618</x:v>
      </x:c>
      <x:c r="F23" s="11" t="str">
        <x:v>https://clinicaltrials.gov/study/NCT04817618</x:v>
      </x:c>
      <x:c r="G23" s="2"/>
      <x:c r="H23" s="2"/>
      <x:c r="I23" s="2"/>
    </x:row>
    <x:row r="24" ht="70" customHeight="1">
      <x:c r="A24" s="11" t="str">
        <x:v>Pfizer</x:v>
      </x:c>
      <x:c r="B24" s="11" t="str">
        <x:v>Marstacimab</x:v>
      </x:c>
      <x:c r="C24" s="11" t="str">
        <x:v>Anti-TFPI antibody</x:v>
      </x:c>
      <x:c r="D24" s="11" t="str">
        <x:v>Haemophilia A/B</x:v>
      </x:c>
      <x:c r="E24" s="11" t="str">
        <x:v>NCT05611801</x:v>
      </x:c>
      <x:c r="F24" s="11" t="str">
        <x:v>https://clinicaltrials.gov/study/NCT05611801</x:v>
      </x:c>
      <x:c r="G24" s="2"/>
      <x:c r="H24" s="2"/>
      <x:c r="I24" s="2"/>
    </x:row>
    <x:row r="25" ht="70" customHeight="1">
      <x:c r="A25" s="11" t="str">
        <x:v>GSK</x:v>
      </x:c>
      <x:c r="B25" s="11" t="str">
        <x:v>Bepirovirsen</x:v>
      </x:c>
      <x:c r="C25" s="11" t="str">
        <x:v>Antisense oligonucleotide</x:v>
      </x:c>
      <x:c r="D25" s="11" t="str">
        <x:v>Chronic hepatitis B</x:v>
      </x:c>
      <x:c r="E25" s="11" t="str">
        <x:v>NCT05630807</x:v>
      </x:c>
      <x:c r="F25" s="11" t="str">
        <x:v>https://clinicaltrials.gov/study/NCT05630807</x:v>
      </x:c>
      <x:c r="G25" s="2"/>
      <x:c r="H25" s="2"/>
      <x:c r="I25" s="2"/>
    </x:row>
    <x:row r="26" ht="70" customHeight="1">
      <x:c r="A26" s="11" t="str">
        <x:v>Sanofi</x:v>
      </x:c>
      <x:c r="B26" s="11" t="str">
        <x:v>Frexalimab</x:v>
      </x:c>
      <x:c r="C26" s="11" t="str">
        <x:v>Anti-CD40L antibody</x:v>
      </x:c>
      <x:c r="D26" s="11" t="str">
        <x:v>Multiple sclerosis</x:v>
      </x:c>
      <x:c r="E26" s="11" t="str">
        <x:v>NCT06141473</x:v>
      </x:c>
      <x:c r="F26" s="11" t="str">
        <x:v>https://clinicaltrials.gov/study/NCT06141473</x:v>
      </x:c>
      <x:c r="G26" s="2"/>
      <x:c r="H26" s="2"/>
      <x:c r="I26" s="2"/>
    </x:row>
    <x:row r="27" ht="70" customHeight="1">
      <x:c r="A27" s="11" t="str">
        <x:v>Roche</x:v>
      </x:c>
      <x:c r="B27" s="11" t="str">
        <x:v>Crovalimab</x:v>
      </x:c>
      <x:c r="C27" s="11" t="str">
        <x:v>Anti-C5 antibody</x:v>
      </x:c>
      <x:c r="D27" s="11" t="str">
        <x:v>Atypical haemolytic uraemic syndrome</x:v>
      </x:c>
      <x:c r="E27" s="11" t="str">
        <x:v>NCT04958265</x:v>
      </x:c>
      <x:c r="F27" s="11" t="str">
        <x:v>https://clinicaltrials.gov/study/NCT04958265</x:v>
      </x:c>
      <x:c r="G27" s="2"/>
      <x:c r="H27" s="2"/>
      <x:c r="I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11" t="str">
        <x:v>Programme examples are selected to illustrate technology and disease breadth. They are not a count of all rare-disease studies or a claim that every programme remains active or will receive approval. COPD and chronic hepatitis B are specialised development opportunities, not rare diseases.</x:v>
      </x:c>
      <x:c r="B29" s="11"/>
      <x:c r="C29" s="11"/>
      <x:c r="D29" s="11"/>
      <x:c r="E29" s="11"/>
      <x:c r="F29" s="11"/>
      <x:c r="G29" s="11"/>
      <x:c r="H29" s="11"/>
      <x:c r="I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3" customHeight="1">
      <x:c r="A32" s="11" t="str">
        <x:v>Scope: sponsor families follow named registry lead sponsors, including explicit parent-name subsidiaries, Alexion/MedImmune, ViiV, Genzyme and Genentech. Current sponsor attribution can reflect acquisitions. Each NCT ID appears once within each cohort/group. Six-group totals do not represent all MNCs in India. Source queries and all 1,242 global records are retained on Study records.</x:v>
      </x:c>
      <x:c r="B32" s="11"/>
      <x:c r="C32" s="11"/>
      <x:c r="D32" s="11"/>
      <x:c r="E32" s="11"/>
      <x:c r="F32" s="11"/>
      <x:c r="G32" s="11"/>
      <x:c r="H32" s="11"/>
      <x:c r="I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</x:row>
  </x:sheetData>
  <x:mergeCells>
    <x:mergeCell ref="A16:I17"/>
    <x:mergeCell ref="A29:I30"/>
    <x:mergeCell ref="A32:I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1.110000610351562" hidden="0" customWidth="1"/>
    <x:col min="3" max="3" width="35.560001373291016" hidden="0" customWidth="1"/>
    <x:col min="4" max="4" width="12.779999732971191" hidden="0" customWidth="1"/>
    <x:col min="5" max="5" width="12.220000267028809" hidden="0" customWidth="1"/>
    <x:col min="6" max="6" width="12.779999732971191" hidden="0" customWidth="1"/>
    <x:col min="7" max="7" width="11.109999656677246" hidden="0" customWidth="1"/>
    <x:col min="8" max="8" width="23.889999389648438" hidden="0" customWidth="1"/>
    <x:col min="9" max="9" width="3.329999923706054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Selected MNC innovations: major-market-to-India approval lag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 t="str">
        <x:v>Approval dates, not commercial launches. Six selected illustrations, not an industry-wide average.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4" customHeight="1">
      <x:c r="A5" s="6" t="str">
        <x:v>Company</x:v>
      </x:c>
      <x:c r="B5" s="6" t="str">
        <x:v>Asset</x:v>
      </x:c>
      <x:c r="C5" s="6" t="str">
        <x:v>Indication / regimen</x:v>
      </x:c>
      <x:c r="D5" s="6" t="str">
        <x:v>Major-market approval</x:v>
      </x:c>
      <x:c r="E5" s="6" t="str">
        <x:v>Reference market</x:v>
      </x:c>
      <x:c r="F5" s="6" t="str">
        <x:v>India permission</x:v>
      </x:c>
      <x:c r="G5" s="6" t="str">
        <x:v>Lag (months)</x:v>
      </x:c>
      <x:c r="H5" s="6" t="str">
        <x:v>Approval event</x:v>
      </x:c>
      <x:c r="I5" s="2"/>
    </x:row>
    <x:row r="6" ht="66" customHeight="1">
      <x:c r="A6" s="11" t="str">
        <x:v>AstraZeneca</x:v>
      </x:c>
      <x:c r="B6" s="11" t="str">
        <x:v>Imjudo</x:v>
      </x:c>
      <x:c r="C6" s="11" t="str">
        <x:v>Unresectable hepatocellular carcinoma, with durvalumab</x:v>
      </x:c>
      <x:c r="D6" s="13" t="d">
        <x:v>2022-10-21T00:00:00.000Z</x:v>
      </x:c>
      <x:c r="E6" s="11" t="str">
        <x:v>US FDA</x:v>
      </x:c>
      <x:c r="F6" s="13" t="d">
        <x:v>2023-05-26T00:00:00.000Z</x:v>
      </x:c>
      <x:c r="G6" s="14" t="n">
        <x:f>(F6-D6)/(365.25/12)</x:f>
        <x:v>7.129363449691992</x:v>
      </x:c>
      <x:c r="H6" s="11" t="str">
        <x:v>New molecule / HCC regimen</x:v>
      </x:c>
      <x:c r="I6" s="2"/>
    </x:row>
    <x:row r="7" ht="66" customHeight="1">
      <x:c r="A7" s="11" t="str">
        <x:v>GSK</x:v>
      </x:c>
      <x:c r="B7" s="11" t="str">
        <x:v>Blenrep combination</x:v>
      </x:c>
      <x:c r="C7" s="11" t="str">
        <x:v>Relapsed/refractory multiple myeloma, combination regimen</x:v>
      </x:c>
      <x:c r="D7" s="13" t="d">
        <x:v>2025-04-17T00:00:00.000Z</x:v>
      </x:c>
      <x:c r="E7" s="11" t="str">
        <x:v>UK MHRA</x:v>
      </x:c>
      <x:c r="F7" s="13" t="d">
        <x:v>2026-04-10T00:00:00.000Z</x:v>
      </x:c>
      <x:c r="G7" s="14" t="n">
        <x:f>(F7-D7)/(365.25/12)</x:f>
        <x:v>11.761806981519507</x:v>
      </x:c>
      <x:c r="H7" s="11" t="str">
        <x:v>New combination regimen</x:v>
      </x:c>
      <x:c r="I7" s="2"/>
    </x:row>
    <x:row r="8" ht="66" customHeight="1">
      <x:c r="A8" s="11" t="str">
        <x:v>Roche</x:v>
      </x:c>
      <x:c r="B8" s="11" t="str">
        <x:v>Vabysmo</x:v>
      </x:c>
      <x:c r="C8" s="11" t="str">
        <x:v>Neovascular AMD and diabetic macular oedema</x:v>
      </x:c>
      <x:c r="D8" s="13" t="d">
        <x:v>2022-01-28T00:00:00.000Z</x:v>
      </x:c>
      <x:c r="E8" s="11" t="str">
        <x:v>US FDA</x:v>
      </x:c>
      <x:c r="F8" s="13" t="d">
        <x:v>2023-04-13T00:00:00.000Z</x:v>
      </x:c>
      <x:c r="G8" s="14" t="n">
        <x:f>(F8-D8)/(365.25/12)</x:f>
        <x:v>14.455852156057494</x:v>
      </x:c>
      <x:c r="H8" s="11" t="str">
        <x:v>New molecule</x:v>
      </x:c>
      <x:c r="I8" s="2"/>
    </x:row>
    <x:row r="9" ht="66" customHeight="1">
      <x:c r="A9" s="11" t="str">
        <x:v>Sanofi</x:v>
      </x:c>
      <x:c r="B9" s="11" t="str">
        <x:v>Beyfortus</x:v>
      </x:c>
      <x:c r="C9" s="11" t="str">
        <x:v>Prevention of infant RSV lower respiratory tract disease</x:v>
      </x:c>
      <x:c r="D9" s="13" t="d">
        <x:v>2022-10-31T00:00:00.000Z</x:v>
      </x:c>
      <x:c r="E9" s="11" t="str">
        <x:v>EU / EC</x:v>
      </x:c>
      <x:c r="F9" s="13" t="d">
        <x:v>2024-06-10T00:00:00.000Z</x:v>
      </x:c>
      <x:c r="G9" s="14" t="n">
        <x:f>(F9-D9)/(365.25/12)</x:f>
        <x:v>19.318275154004105</x:v>
      </x:c>
      <x:c r="H9" s="11" t="str">
        <x:v>New molecule</x:v>
      </x:c>
      <x:c r="I9" s="2"/>
    </x:row>
    <x:row r="10" ht="66" customHeight="1">
      <x:c r="A10" s="11" t="str">
        <x:v>Novartis</x:v>
      </x:c>
      <x:c r="B10" s="11" t="str">
        <x:v>Scemblix</x:v>
      </x:c>
      <x:c r="C10" s="11" t="str">
        <x:v>Previously treated Ph+ chronic myeloid leukaemia</x:v>
      </x:c>
      <x:c r="D10" s="13" t="d">
        <x:v>2021-10-29T00:00:00.000Z</x:v>
      </x:c>
      <x:c r="E10" s="11" t="str">
        <x:v>US FDA</x:v>
      </x:c>
      <x:c r="F10" s="13" t="d">
        <x:v>2023-10-20T00:00:00.000Z</x:v>
      </x:c>
      <x:c r="G10" s="14" t="n">
        <x:f>(F10-D10)/(365.25/12)</x:f>
        <x:v>23.68788501026694</x:v>
      </x:c>
      <x:c r="H10" s="11" t="str">
        <x:v>New molecule</x:v>
      </x:c>
      <x:c r="I10" s="2"/>
    </x:row>
    <x:row r="11" ht="66" customHeight="1">
      <x:c r="A11" s="11" t="str">
        <x:v>Pfizer</x:v>
      </x:c>
      <x:c r="B11" s="11" t="str">
        <x:v>Cibinqo</x:v>
      </x:c>
      <x:c r="C11" s="11" t="str">
        <x:v>Refractory moderate-to-severe atopic dermatitis</x:v>
      </x:c>
      <x:c r="D11" s="13" t="d">
        <x:v>2021-09-08T00:00:00.000Z</x:v>
      </x:c>
      <x:c r="E11" s="11" t="str">
        <x:v>UK MHRA</x:v>
      </x:c>
      <x:c r="F11" s="13" t="d">
        <x:v>2023-11-29T00:00:00.000Z</x:v>
      </x:c>
      <x:c r="G11" s="14" t="n">
        <x:f>(F11-D11)/(365.25/12)</x:f>
        <x:v>26.677618069815196</x:v>
      </x:c>
      <x:c r="H11" s="11" t="str">
        <x:v>New molecule</x:v>
      </x:c>
      <x:c r="I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3" customHeight="1">
      <x:c r="A13" s="4" t="str">
        <x:v>Selected-sample median</x:v>
      </x:c>
      <x:c r="B13" s="4"/>
      <x:c r="C13" s="4"/>
      <x:c r="D13" s="4"/>
      <x:c r="E13" s="4"/>
      <x:c r="F13" s="4"/>
      <x:c r="G13" s="10" t="n">
        <x:f>MEDIAN(G6:G11)</x:f>
        <x:v>16.8870636550308</x:v>
      </x:c>
      <x:c r="H13" s="4"/>
      <x:c r="I13" s="2"/>
    </x:row>
    <x:row r="14" ht="23" customHeight="1">
      <x:c r="A14" s="2" t="str">
        <x:v>Number within 24 months</x:v>
      </x:c>
      <x:c r="B14" s="2"/>
      <x:c r="C14" s="2"/>
      <x:c r="D14" s="2"/>
      <x:c r="E14" s="2"/>
      <x:c r="F14" s="2"/>
      <x:c r="G14" s="2" t="n">
        <x:f>COUNTIF(G6:G11,"&lt;=24")</x:f>
        <x:v>5</x:v>
      </x:c>
      <x:c r="H14" s="2"/>
      <x:c r="I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3" customHeight="1">
      <x:c r="A16" s="11" t="str">
        <x:v>Use: earliest documented major-market approval for the stated asset or regimen. Major-market references vary because UK/EU approvals sometimes preceded the US. The Blenrep observation begins at the 2025 combination-regimen approval, rather than its 2020 monotherapy approval. Dates include company filing strategy and review time. This selected sample cannot establish an industry-wide reduction to 12–24 months.</x:v>
      </x:c>
      <x:c r="B16" s="11"/>
      <x:c r="C16" s="11"/>
      <x:c r="D16" s="11"/>
      <x:c r="E16" s="11"/>
      <x:c r="F16" s="11"/>
      <x:c r="G16" s="11"/>
      <x:c r="H16" s="11"/>
      <x:c r="I16" s="2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2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3" customHeight="1">
      <x:c r="A21" s="4" t="str">
        <x:v>AstraZeneca / Imjudo</x:v>
      </x:c>
      <x:c r="B21" s="2"/>
      <x:c r="C21" s="2"/>
      <x:c r="D21" s="2"/>
      <x:c r="E21" s="2"/>
      <x:c r="F21" s="2"/>
      <x:c r="G21" s="2"/>
      <x:c r="H21" s="2"/>
      <x:c r="I21" s="2"/>
    </x:row>
    <x:row r="22" ht="42" customHeight="1">
      <x:c r="A22" s="2" t="str">
        <x:v>Foreign source</x:v>
      </x:c>
      <x:c r="B22" s="11" t="str">
        <x:v>https://www.accessdata.fda.gov/drugsatfda_docs/appletter/2022/761289Orig1s000Correctedltr.pdf</x:v>
      </x:c>
      <x:c r="C22" s="11"/>
      <x:c r="D22" s="11"/>
      <x:c r="E22" s="11"/>
      <x:c r="F22" s="11"/>
      <x:c r="G22" s="11"/>
      <x:c r="H22" s="11"/>
      <x:c r="I22" s="2"/>
    </x:row>
    <x:row r="23" ht="42" customHeight="1">
      <x:c r="A23" s="2" t="str">
        <x:v>India source</x:v>
      </x:c>
      <x:c r="B23" s="11" t="str">
        <x:v>https://cdsco.gov.in/opencms/resources/UploadCDSCOWeb/2018/UploadBiologicalrDNA/CT-18%20Approvals%20Jan%2C%202020%20-%20July%2C%202024.pdf</x:v>
      </x:c>
      <x:c r="C23" s="11"/>
      <x:c r="D23" s="11"/>
      <x:c r="E23" s="11"/>
      <x:c r="F23" s="11"/>
      <x:c r="G23" s="11"/>
      <x:c r="H23" s="11"/>
      <x:c r="I23" s="2"/>
    </x:row>
    <x:row r="24" ht="62" customHeight="1">
      <x:c r="A24" s="2" t="str">
        <x:v>Source notes</x:v>
      </x:c>
      <x:c r="B24" s="11" t="str">
        <x:v>India source p23 row68. Approval lag, not commercial-launch lag.</x:v>
      </x:c>
      <x:c r="C24" s="11"/>
      <x:c r="D24" s="11"/>
      <x:c r="E24" s="11"/>
      <x:c r="F24" s="11"/>
      <x:c r="G24" s="11"/>
      <x:c r="H24" s="11"/>
      <x:c r="I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3" customHeight="1">
      <x:c r="A26" s="4" t="str">
        <x:v>GSK / Blenrep combination</x:v>
      </x:c>
      <x:c r="B26" s="2"/>
      <x:c r="C26" s="2"/>
      <x:c r="D26" s="2"/>
      <x:c r="E26" s="2"/>
      <x:c r="F26" s="2"/>
      <x:c r="G26" s="2"/>
      <x:c r="H26" s="2"/>
      <x:c r="I26" s="2"/>
    </x:row>
    <x:row r="27" ht="42" customHeight="1">
      <x:c r="A27" s="2" t="str">
        <x:v>Foreign source</x:v>
      </x:c>
      <x:c r="B27" s="11" t="str">
        <x:v>https://assets.publishing.service.gov.uk/media/6822290bced319d02c90613d/Marketing_Authorisations_Granted_15_April_to_30_April_2025.pdf</x:v>
      </x:c>
      <x:c r="C27" s="11"/>
      <x:c r="D27" s="11"/>
      <x:c r="E27" s="11"/>
      <x:c r="F27" s="11"/>
      <x:c r="G27" s="11"/>
      <x:c r="H27" s="11"/>
      <x:c r="I27" s="2"/>
    </x:row>
    <x:row r="28" ht="42" customHeight="1">
      <x:c r="A28" s="2" t="str">
        <x:v>India source</x:v>
      </x:c>
      <x:c r="B28" s="11" t="str">
        <x:v>https://india-pharma.gsk.com/media/u1tlj13l/blenrep.pdf</x:v>
      </x:c>
      <x:c r="C28" s="11"/>
      <x:c r="D28" s="11"/>
      <x:c r="E28" s="11"/>
      <x:c r="F28" s="11"/>
      <x:c r="G28" s="11"/>
      <x:c r="H28" s="11"/>
      <x:c r="I28" s="2"/>
    </x:row>
    <x:row r="29" ht="62" customHeight="1">
      <x:c r="A29" s="2" t="str">
        <x:v>Source notes</x:v>
      </x:c>
      <x:c r="B29" s="11" t="str">
        <x:v>India PI p27: IMP/BIO/26/000039 dated10Apr2026. Measures the 2025 combination-regimen approval, not the original 2020 monotherapy approval. UK approval is the first worldwide in this setting. US approved later, 23Oct2025. Commercial launch was still pending in Aug2026.</x:v>
      </x:c>
      <x:c r="C29" s="11"/>
      <x:c r="D29" s="11"/>
      <x:c r="E29" s="11"/>
      <x:c r="F29" s="11"/>
      <x:c r="G29" s="11"/>
      <x:c r="H29" s="11"/>
      <x:c r="I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3" customHeight="1">
      <x:c r="A31" s="4" t="str">
        <x:v>Roche / Vabysmo</x:v>
      </x:c>
      <x:c r="B31" s="2"/>
      <x:c r="C31" s="2"/>
      <x:c r="D31" s="2"/>
      <x:c r="E31" s="2"/>
      <x:c r="F31" s="2"/>
      <x:c r="G31" s="2"/>
      <x:c r="H31" s="2"/>
      <x:c r="I31" s="2"/>
    </x:row>
    <x:row r="32" ht="42" customHeight="1">
      <x:c r="A32" s="2" t="str">
        <x:v>Foreign source</x:v>
      </x:c>
      <x:c r="B32" s="11" t="str">
        <x:v>https://www.accessdata.fda.gov/drugsatfda_docs/nda/2022/761235Orig1s000Approv.pdf</x:v>
      </x:c>
      <x:c r="C32" s="11"/>
      <x:c r="D32" s="11"/>
      <x:c r="E32" s="11"/>
      <x:c r="F32" s="11"/>
      <x:c r="G32" s="11"/>
      <x:c r="H32" s="11"/>
      <x:c r="I32" s="2"/>
    </x:row>
    <x:row r="33" ht="42" customHeight="1">
      <x:c r="A33" s="2" t="str">
        <x:v>India source</x:v>
      </x:c>
      <x:c r="B33" s="11" t="str">
        <x:v>https://cdsco.gov.in/opencms/resources/UploadCDSCOWeb/2018/UploadBiologicalrDNA/CT-20%20Approval%20Feb%202023%20to%2015%20Apr%202023.pdf</x:v>
      </x:c>
      <x:c r="C33" s="11"/>
      <x:c r="D33" s="11"/>
      <x:c r="E33" s="11"/>
      <x:c r="F33" s="11"/>
      <x:c r="G33" s="11"/>
      <x:c r="H33" s="11"/>
      <x:c r="I33" s="2"/>
    </x:row>
    <x:row r="34" ht="62" customHeight="1">
      <x:c r="A34" s="2" t="str">
        <x:v>Source notes</x:v>
      </x:c>
      <x:c r="B34" s="11" t="str">
        <x:v>Contemporaneous CDSCO CT-20 list p4 row11 states permission issued13Apr2023 for IMP/BIO/23/000032. Later CT-18 cumulative lists show24Mar2023 for the same permission, an official-source discrepancy. We use the contemporaneous permission-issued table. The alternative date yields13.8months rather than14.5months. Commercial-launch announcements are in2024.</x:v>
      </x:c>
      <x:c r="C34" s="11"/>
      <x:c r="D34" s="11"/>
      <x:c r="E34" s="11"/>
      <x:c r="F34" s="11"/>
      <x:c r="G34" s="11"/>
      <x:c r="H34" s="11"/>
      <x:c r="I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3" customHeight="1">
      <x:c r="A36" s="4" t="str">
        <x:v>Sanofi / Beyfortus</x:v>
      </x:c>
      <x:c r="B36" s="2"/>
      <x:c r="C36" s="2"/>
      <x:c r="D36" s="2"/>
      <x:c r="E36" s="2"/>
      <x:c r="F36" s="2"/>
      <x:c r="G36" s="2"/>
      <x:c r="H36" s="2"/>
      <x:c r="I36" s="2"/>
    </x:row>
    <x:row r="37" ht="42" customHeight="1">
      <x:c r="A37" s="2" t="str">
        <x:v>Foreign source</x:v>
      </x:c>
      <x:c r="B37" s="11" t="str">
        <x:v>https://www.ema.europa.eu/en/medicines/human/EPAR/beyfortus</x:v>
      </x:c>
      <x:c r="C37" s="11"/>
      <x:c r="D37" s="11"/>
      <x:c r="E37" s="11"/>
      <x:c r="F37" s="11"/>
      <x:c r="G37" s="11"/>
      <x:c r="H37" s="11"/>
      <x:c r="I37" s="2"/>
    </x:row>
    <x:row r="38" ht="42" customHeight="1">
      <x:c r="A38" s="2" t="str">
        <x:v>India source</x:v>
      </x:c>
      <x:c r="B38" s="11" t="str">
        <x:v>https://www.sanofi.com/assets/countries/india/docs/Media/press-releases/2024/sanofi-receives-marketing-authorization-for-beyfortus-in-india-to-protect-infants-and-children-against-respiratory-syncytial-virus-rsv.pdf</x:v>
      </x:c>
      <x:c r="C38" s="11"/>
      <x:c r="D38" s="11"/>
      <x:c r="E38" s="11"/>
      <x:c r="F38" s="11"/>
      <x:c r="G38" s="11"/>
      <x:c r="H38" s="11"/>
      <x:c r="I38" s="2"/>
    </x:row>
    <x:row r="39" ht="62" customHeight="1">
      <x:c r="A39" s="2" t="str">
        <x:v>Source notes</x:v>
      </x:c>
      <x:c r="B39" s="11" t="str">
        <x:v>Sanofi release31Jul2024 explicitly gives10Jun2024 as India approval date. EU approval predates US approval17Jul2023. Developed with AstraZeneca, counted once under India commercial lead Sanofi.</x:v>
      </x:c>
      <x:c r="C39" s="11"/>
      <x:c r="D39" s="11"/>
      <x:c r="E39" s="11"/>
      <x:c r="F39" s="11"/>
      <x:c r="G39" s="11"/>
      <x:c r="H39" s="11"/>
      <x:c r="I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3" customHeight="1">
      <x:c r="A41" s="4" t="str">
        <x:v>Novartis / Scemblix</x:v>
      </x:c>
      <x:c r="B41" s="2"/>
      <x:c r="C41" s="2"/>
      <x:c r="D41" s="2"/>
      <x:c r="E41" s="2"/>
      <x:c r="F41" s="2"/>
      <x:c r="G41" s="2"/>
      <x:c r="H41" s="2"/>
      <x:c r="I41" s="2"/>
    </x:row>
    <x:row r="42" ht="42" customHeight="1">
      <x:c r="A42" s="2" t="str">
        <x:v>Foreign source</x:v>
      </x:c>
      <x:c r="B42" s="11" t="str">
        <x:v>https://www.accessdata.fda.gov/drugsatfda_docs/nda/2021/215358Orig1s000%2COrig2s000Approv.pdf</x:v>
      </x:c>
      <x:c r="C42" s="11"/>
      <x:c r="D42" s="11"/>
      <x:c r="E42" s="11"/>
      <x:c r="F42" s="11"/>
      <x:c r="G42" s="11"/>
      <x:c r="H42" s="11"/>
      <x:c r="I42" s="2"/>
    </x:row>
    <x:row r="43" ht="42" customHeight="1">
      <x:c r="A43" s="2" t="str">
        <x:v>India source</x:v>
      </x:c>
      <x:c r="B43" s="11" t="str">
        <x:v>https://cdsco.gov.in/opencms/resources/UploadCDSCOWeb/2018/UploadApprovalNewDrugs/List%20of%20New%20Drugs%20approved%20in%20the%20year%202023dec.pdf</x:v>
      </x:c>
      <x:c r="C43" s="11"/>
      <x:c r="D43" s="11"/>
      <x:c r="E43" s="11"/>
      <x:c r="F43" s="11"/>
      <x:c r="G43" s="11"/>
      <x:c r="H43" s="11"/>
      <x:c r="I43" s="2"/>
    </x:row>
    <x:row r="44" ht="62" customHeight="1">
      <x:c r="A44" s="2" t="str">
        <x:v>Source notes</x:v>
      </x:c>
      <x:c r="B44" s="11" t="str">
        <x:v>CDSCO2023list pp3-4 row25. Covers later-line/T315I indications, not the2024USfirst-line expansion. Approval does not establish Indian commercial-launch date.</x:v>
      </x:c>
      <x:c r="C44" s="11"/>
      <x:c r="D44" s="11"/>
      <x:c r="E44" s="11"/>
      <x:c r="F44" s="11"/>
      <x:c r="G44" s="11"/>
      <x:c r="H44" s="11"/>
      <x:c r="I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3" customHeight="1">
      <x:c r="A46" s="4" t="str">
        <x:v>Pfizer / Cibinqo</x:v>
      </x:c>
      <x:c r="B46" s="2"/>
      <x:c r="C46" s="2"/>
      <x:c r="D46" s="2"/>
      <x:c r="E46" s="2"/>
      <x:c r="F46" s="2"/>
      <x:c r="G46" s="2"/>
      <x:c r="H46" s="2"/>
      <x:c r="I46" s="2"/>
    </x:row>
    <x:row r="47" ht="42" customHeight="1">
      <x:c r="A47" s="2" t="str">
        <x:v>Foreign source</x:v>
      </x:c>
      <x:c r="B47" s="11" t="str">
        <x:v>https://assets.publishing.service.gov.uk/media/6166e4c0e90e07197718297a/Monthly_new_MA_listing_Sept_2021.pdf</x:v>
      </x:c>
      <x:c r="C47" s="11"/>
      <x:c r="D47" s="11"/>
      <x:c r="E47" s="11"/>
      <x:c r="F47" s="11"/>
      <x:c r="G47" s="11"/>
      <x:c r="H47" s="11"/>
      <x:c r="I47" s="2"/>
    </x:row>
    <x:row r="48" ht="42" customHeight="1">
      <x:c r="A48" s="2" t="str">
        <x:v>India source</x:v>
      </x:c>
      <x:c r="B48" s="11" t="str">
        <x:v>https://cdsco.gov.in/opencms/resources/UploadCDSCOWeb/2018/UploadApprovalNewDrugs/List%20of%20New%20Drugs%20approved%20in%20the%20year%202023dec.pdf</x:v>
      </x:c>
      <x:c r="C48" s="11"/>
      <x:c r="D48" s="11"/>
      <x:c r="E48" s="11"/>
      <x:c r="F48" s="11"/>
      <x:c r="G48" s="11"/>
      <x:c r="H48" s="11"/>
      <x:c r="I48" s="2"/>
    </x:row>
    <x:row r="49" ht="62" customHeight="1">
      <x:c r="A49" s="2" t="str">
        <x:v>Source notes</x:v>
      </x:c>
      <x:c r="B49" s="11" t="str">
        <x:v>MHRAauthorisationlist gives8Sep2021. Companyannouncementwas9Sep2021. CDSCO2023listp4row27 gives29Nov2023. UKlabel includes adolescents, Indiaapprovalshown isadult. India co-marketing announcement31Jan2024 is later than permission.</x:v>
      </x:c>
      <x:c r="C49" s="11"/>
      <x:c r="D49" s="11"/>
      <x:c r="E49" s="11"/>
      <x:c r="F49" s="11"/>
      <x:c r="G49" s="11"/>
      <x:c r="H49" s="11"/>
      <x:c r="I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</x:row>
  </x:sheetData>
  <x:mergeCells>
    <x:mergeCell ref="A16:H18"/>
    <x:mergeCell ref="B22:H22"/>
    <x:mergeCell ref="B23:H23"/>
    <x:mergeCell ref="B24:H24"/>
    <x:mergeCell ref="B27:H27"/>
    <x:mergeCell ref="B28:H28"/>
    <x:mergeCell ref="B29:H29"/>
    <x:mergeCell ref="B32:H32"/>
    <x:mergeCell ref="B33:H33"/>
    <x:mergeCell ref="B34:H34"/>
    <x:mergeCell ref="B37:H37"/>
    <x:mergeCell ref="B38:H38"/>
    <x:mergeCell ref="B39:H39"/>
    <x:mergeCell ref="B42:H42"/>
    <x:mergeCell ref="B43:H43"/>
    <x:mergeCell ref="B44:H44"/>
    <x:mergeCell ref="B47:H47"/>
    <x:mergeCell ref="B48:H48"/>
    <x:mergeCell ref="B49:H4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.670000076293945" hidden="0" customWidth="1"/>
    <x:col min="2" max="2" width="11.670000076293945" hidden="0" customWidth="1"/>
    <x:col min="3" max="3" width="13.890000343322754" hidden="0" customWidth="1"/>
    <x:col min="4" max="4" width="48.88999938964844" hidden="0" customWidth="1"/>
    <x:col min="5" max="5" width="12.779999732971191" hidden="0" customWidth="1"/>
    <x:col min="6" max="6" width="44.439998626708984" hidden="0" customWidth="1"/>
    <x:col min="7" max="7" width="77.77999877929688" hidden="0" customWidth="1"/>
  </x:cols>
  <x:sheetData>
    <x:row r="1" ht="23" customHeight="1">
      <x:c r="A1" s="3" t="str">
        <x:v>Phase III study records used in the denominator and India numerator</x:v>
      </x:c>
      <x:c r="B1" s="2"/>
      <x:c r="C1" s="2"/>
      <x:c r="D1" s="2"/>
      <x:c r="E1" s="2"/>
      <x:c r="F1" s="2"/>
      <x:c r="G1" s="2"/>
    </x:row>
    <x:row r="2" ht="23" customHeight="1">
      <x:c r="A2" s="2"/>
      <x:c r="B2" s="2"/>
      <x:c r="C2" s="2"/>
      <x:c r="D2" s="2"/>
      <x:c r="E2" s="2"/>
      <x:c r="F2" s="2"/>
      <x:c r="G2" s="2"/>
    </x:row>
    <x:row r="3" ht="44" customHeight="1">
      <x:c r="A3" s="6" t="str">
        <x:v>Sponsor group</x:v>
      </x:c>
      <x:c r="B3" s="6" t="str">
        <x:v>Posting cohort</x:v>
      </x:c>
      <x:c r="C3" s="6" t="str">
        <x:v>NCT ID</x:v>
      </x:c>
      <x:c r="D3" s="6" t="str">
        <x:v>Registry lead sponsor</x:v>
      </x:c>
      <x:c r="E3" s="6" t="str">
        <x:v>India site flag</x:v>
      </x:c>
      <x:c r="F3" s="6" t="str">
        <x:v>Study record URL</x:v>
      </x:c>
      <x:c r="G3" s="6" t="str">
        <x:v>Source query URL</x:v>
      </x:c>
    </x:row>
    <x:row r="4" ht="23" customHeight="1">
      <x:c r="A4" s="2" t="str">
        <x:v>AstraZeneca</x:v>
      </x:c>
      <x:c r="B4" s="2" t="str">
        <x:v>2015-19</x:v>
      </x:c>
      <x:c r="C4" s="2" t="str">
        <x:v>NCT03091192</x:v>
      </x:c>
      <x:c r="D4" s="2" t="str">
        <x:v>AstraZeneca</x:v>
      </x:c>
      <x:c r="E4" s="2" t="n">
        <x:v>0</x:v>
      </x:c>
      <x:c r="F4" s="2" t="str">
        <x:v>https://clinicaltrials.gov/study/NCT03091192</x:v>
      </x:c>
      <x:c r="G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5" ht="23" customHeight="1">
      <x:c r="A5" s="2" t="str">
        <x:v>AstraZeneca</x:v>
      </x:c>
      <x:c r="B5" s="2" t="str">
        <x:v>2015-19</x:v>
      </x:c>
      <x:c r="C5" s="2" t="str">
        <x:v>NCT02875834</x:v>
      </x:c>
      <x:c r="D5" s="2" t="str">
        <x:v>AstraZeneca</x:v>
      </x:c>
      <x:c r="E5" s="2" t="n">
        <x:v>0</x:v>
      </x:c>
      <x:c r="F5" s="2" t="str">
        <x:v>https://clinicaltrials.gov/study/NCT02875834</x:v>
      </x:c>
      <x:c r="G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6" ht="23" customHeight="1">
      <x:c r="A6" s="2" t="str">
        <x:v>AstraZeneca</x:v>
      </x:c>
      <x:c r="B6" s="2" t="str">
        <x:v>2015-19</x:v>
      </x:c>
      <x:c r="C6" s="2" t="str">
        <x:v>NCT02511106</x:v>
      </x:c>
      <x:c r="D6" s="2" t="str">
        <x:v>AstraZeneca</x:v>
      </x:c>
      <x:c r="E6" s="2" t="n">
        <x:v>0</x:v>
      </x:c>
      <x:c r="F6" s="2" t="str">
        <x:v>https://clinicaltrials.gov/study/NCT02511106</x:v>
      </x:c>
      <x:c r="G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7" ht="23" customHeight="1">
      <x:c r="A7" s="2" t="str">
        <x:v>AstraZeneca</x:v>
      </x:c>
      <x:c r="B7" s="2" t="str">
        <x:v>2015-19</x:v>
      </x:c>
      <x:c r="C7" s="2" t="str">
        <x:v>NCT02808819</x:v>
      </x:c>
      <x:c r="D7" s="2" t="str">
        <x:v>AstraZeneca</x:v>
      </x:c>
      <x:c r="E7" s="2" t="n">
        <x:v>0</x:v>
      </x:c>
      <x:c r="F7" s="2" t="str">
        <x:v>https://clinicaltrials.gov/study/NCT02808819</x:v>
      </x:c>
      <x:c r="G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8" ht="23" customHeight="1">
      <x:c r="A8" s="2" t="str">
        <x:v>AstraZeneca</x:v>
      </x:c>
      <x:c r="B8" s="2" t="str">
        <x:v>2015-19</x:v>
      </x:c>
      <x:c r="C8" s="2" t="str">
        <x:v>NCT03732677</x:v>
      </x:c>
      <x:c r="D8" s="2" t="str">
        <x:v>AstraZeneca</x:v>
      </x:c>
      <x:c r="E8" s="2" t="n">
        <x:v>0</x:v>
      </x:c>
      <x:c r="F8" s="2" t="str">
        <x:v>https://clinicaltrials.gov/study/NCT03732677</x:v>
      </x:c>
      <x:c r="G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9" ht="23" customHeight="1">
      <x:c r="A9" s="2" t="str">
        <x:v>AstraZeneca</x:v>
      </x:c>
      <x:c r="B9" s="2" t="str">
        <x:v>2015-19</x:v>
      </x:c>
      <x:c r="C9" s="2" t="str">
        <x:v>NCT03877224</x:v>
      </x:c>
      <x:c r="D9" s="2" t="str">
        <x:v>AstraZeneca</x:v>
      </x:c>
      <x:c r="E9" s="2" t="n">
        <x:v>0</x:v>
      </x:c>
      <x:c r="F9" s="2" t="str">
        <x:v>https://clinicaltrials.gov/study/NCT03877224</x:v>
      </x:c>
      <x:c r="G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0" ht="23" customHeight="1">
      <x:c r="A10" s="2" t="str">
        <x:v>AstraZeneca</x:v>
      </x:c>
      <x:c r="B10" s="2" t="str">
        <x:v>2015-19</x:v>
      </x:c>
      <x:c r="C10" s="2" t="str">
        <x:v>NCT03703297</x:v>
      </x:c>
      <x:c r="D10" s="2" t="str">
        <x:v>AstraZeneca</x:v>
      </x:c>
      <x:c r="E10" s="2" t="n">
        <x:v>1</x:v>
      </x:c>
      <x:c r="F10" s="2" t="str">
        <x:v>https://clinicaltrials.gov/study/NCT03703297</x:v>
      </x:c>
      <x:c r="G1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1" ht="23" customHeight="1">
      <x:c r="A11" s="2" t="str">
        <x:v>AstraZeneca</x:v>
      </x:c>
      <x:c r="B11" s="2" t="str">
        <x:v>2015-19</x:v>
      </x:c>
      <x:c r="C11" s="2" t="str">
        <x:v>NCT03732820</x:v>
      </x:c>
      <x:c r="D11" s="2" t="str">
        <x:v>AstraZeneca</x:v>
      </x:c>
      <x:c r="E11" s="2" t="n">
        <x:v>0</x:v>
      </x:c>
      <x:c r="F11" s="2" t="str">
        <x:v>https://clinicaltrials.gov/study/NCT03732820</x:v>
      </x:c>
      <x:c r="G1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2" ht="23" customHeight="1">
      <x:c r="A12" s="2" t="str">
        <x:v>AstraZeneca</x:v>
      </x:c>
      <x:c r="B12" s="2" t="str">
        <x:v>2015-19</x:v>
      </x:c>
      <x:c r="C12" s="2" t="str">
        <x:v>NCT03833154</x:v>
      </x:c>
      <x:c r="D12" s="2" t="str">
        <x:v>AstraZeneca</x:v>
      </x:c>
      <x:c r="E12" s="2" t="n">
        <x:v>0</x:v>
      </x:c>
      <x:c r="F12" s="2" t="str">
        <x:v>https://clinicaltrials.gov/study/NCT03833154</x:v>
      </x:c>
      <x:c r="G1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3" ht="23" customHeight="1">
      <x:c r="A13" s="2" t="str">
        <x:v>AstraZeneca</x:v>
      </x:c>
      <x:c r="B13" s="2" t="str">
        <x:v>2015-19</x:v>
      </x:c>
      <x:c r="C13" s="2" t="str">
        <x:v>NCT03172702</x:v>
      </x:c>
      <x:c r="D13" s="2" t="str">
        <x:v>AstraZeneca</x:v>
      </x:c>
      <x:c r="E13" s="2" t="n">
        <x:v>0</x:v>
      </x:c>
      <x:c r="F13" s="2" t="str">
        <x:v>https://clinicaltrials.gov/study/NCT03172702</x:v>
      </x:c>
      <x:c r="G1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4" ht="23" customHeight="1">
      <x:c r="A14" s="2" t="str">
        <x:v>AstraZeneca</x:v>
      </x:c>
      <x:c r="B14" s="2" t="str">
        <x:v>2015-19</x:v>
      </x:c>
      <x:c r="C14" s="2" t="str">
        <x:v>NCT03961815</x:v>
      </x:c>
      <x:c r="D14" s="2" t="str">
        <x:v>AstraZeneca</x:v>
      </x:c>
      <x:c r="E14" s="2" t="n">
        <x:v>0</x:v>
      </x:c>
      <x:c r="F14" s="2" t="str">
        <x:v>https://clinicaltrials.gov/study/NCT03961815</x:v>
      </x:c>
      <x:c r="G1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5" ht="23" customHeight="1">
      <x:c r="A15" s="2" t="str">
        <x:v>AstraZeneca</x:v>
      </x:c>
      <x:c r="B15" s="2" t="str">
        <x:v>2015-19</x:v>
      </x:c>
      <x:c r="C15" s="2" t="str">
        <x:v>NCT02821416</x:v>
      </x:c>
      <x:c r="D15" s="2" t="str">
        <x:v>AstraZeneca</x:v>
      </x:c>
      <x:c r="E15" s="2" t="n">
        <x:v>0</x:v>
      </x:c>
      <x:c r="F15" s="2" t="str">
        <x:v>https://clinicaltrials.gov/study/NCT02821416</x:v>
      </x:c>
      <x:c r="G1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6" ht="23" customHeight="1">
      <x:c r="A16" s="2" t="str">
        <x:v>AstraZeneca</x:v>
      </x:c>
      <x:c r="B16" s="2" t="str">
        <x:v>2015-19</x:v>
      </x:c>
      <x:c r="C16" s="2" t="str">
        <x:v>NCT03406507</x:v>
      </x:c>
      <x:c r="D16" s="2" t="str">
        <x:v>Alexion Pharmaceuticals, Inc.</x:v>
      </x:c>
      <x:c r="E16" s="2" t="n">
        <x:v>0</x:v>
      </x:c>
      <x:c r="F16" s="2" t="str">
        <x:v>https://clinicaltrials.gov/study/NCT03406507</x:v>
      </x:c>
      <x:c r="G1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7" ht="23" customHeight="1">
      <x:c r="A17" s="2" t="str">
        <x:v>AstraZeneca</x:v>
      </x:c>
      <x:c r="B17" s="2" t="str">
        <x:v>2015-19</x:v>
      </x:c>
      <x:c r="C17" s="2" t="str">
        <x:v>NCT03519971</x:v>
      </x:c>
      <x:c r="D17" s="2" t="str">
        <x:v>AstraZeneca</x:v>
      </x:c>
      <x:c r="E17" s="2" t="n">
        <x:v>1</x:v>
      </x:c>
      <x:c r="F17" s="2" t="str">
        <x:v>https://clinicaltrials.gov/study/NCT03519971</x:v>
      </x:c>
      <x:c r="G1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8" ht="23" customHeight="1">
      <x:c r="A18" s="2" t="str">
        <x:v>AstraZeneca</x:v>
      </x:c>
      <x:c r="B18" s="2" t="str">
        <x:v>2015-19</x:v>
      </x:c>
      <x:c r="C18" s="2" t="str">
        <x:v>NCT03979313</x:v>
      </x:c>
      <x:c r="D18" s="2" t="str">
        <x:v>AstraZeneca</x:v>
      </x:c>
      <x:c r="E18" s="2" t="n">
        <x:v>0</x:v>
      </x:c>
      <x:c r="F18" s="2" t="str">
        <x:v>https://clinicaltrials.gov/study/NCT03979313</x:v>
      </x:c>
      <x:c r="G1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9" ht="23" customHeight="1">
      <x:c r="A19" s="2" t="str">
        <x:v>AstraZeneca</x:v>
      </x:c>
      <x:c r="B19" s="2" t="str">
        <x:v>2015-19</x:v>
      </x:c>
      <x:c r="C19" s="2" t="str">
        <x:v>NCT04157335</x:v>
      </x:c>
      <x:c r="D19" s="2" t="str">
        <x:v>AstraZeneca</x:v>
      </x:c>
      <x:c r="E19" s="2" t="n">
        <x:v>0</x:v>
      </x:c>
      <x:c r="F19" s="2" t="str">
        <x:v>https://clinicaltrials.gov/study/NCT04157335</x:v>
      </x:c>
      <x:c r="G1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0" ht="23" customHeight="1">
      <x:c r="A20" s="2" t="str">
        <x:v>AstraZeneca</x:v>
      </x:c>
      <x:c r="B20" s="2" t="str">
        <x:v>2015-19</x:v>
      </x:c>
      <x:c r="C20" s="2" t="str">
        <x:v>NCT03303521</x:v>
      </x:c>
      <x:c r="D20" s="2" t="str">
        <x:v>AstraZeneca</x:v>
      </x:c>
      <x:c r="E20" s="2" t="n">
        <x:v>0</x:v>
      </x:c>
      <x:c r="F20" s="2" t="str">
        <x:v>https://clinicaltrials.gov/study/NCT03303521</x:v>
      </x:c>
      <x:c r="G2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1" ht="23" customHeight="1">
      <x:c r="A21" s="2" t="str">
        <x:v>AstraZeneca</x:v>
      </x:c>
      <x:c r="B21" s="2" t="str">
        <x:v>2015-19</x:v>
      </x:c>
      <x:c r="C21" s="2" t="str">
        <x:v>NCT02987543</x:v>
      </x:c>
      <x:c r="D21" s="2" t="str">
        <x:v>AstraZeneca</x:v>
      </x:c>
      <x:c r="E21" s="2" t="n">
        <x:v>0</x:v>
      </x:c>
      <x:c r="F21" s="2" t="str">
        <x:v>https://clinicaltrials.gov/study/NCT02987543</x:v>
      </x:c>
      <x:c r="G2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2" ht="23" customHeight="1">
      <x:c r="A22" s="2" t="str">
        <x:v>AstraZeneca</x:v>
      </x:c>
      <x:c r="B22" s="2" t="str">
        <x:v>2015-19</x:v>
      </x:c>
      <x:c r="C22" s="2" t="str">
        <x:v>NCT03800134</x:v>
      </x:c>
      <x:c r="D22" s="2" t="str">
        <x:v>AstraZeneca</x:v>
      </x:c>
      <x:c r="E22" s="2" t="n">
        <x:v>1</x:v>
      </x:c>
      <x:c r="F22" s="2" t="str">
        <x:v>https://clinicaltrials.gov/study/NCT03800134</x:v>
      </x:c>
      <x:c r="G2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3" ht="23" customHeight="1">
      <x:c r="A23" s="2" t="str">
        <x:v>AstraZeneca</x:v>
      </x:c>
      <x:c r="B23" s="2" t="str">
        <x:v>2015-19</x:v>
      </x:c>
      <x:c r="C23" s="2" t="str">
        <x:v>NCT02794285</x:v>
      </x:c>
      <x:c r="D23" s="2" t="str">
        <x:v>AstraZeneca</x:v>
      </x:c>
      <x:c r="E23" s="2" t="n">
        <x:v>0</x:v>
      </x:c>
      <x:c r="F23" s="2" t="str">
        <x:v>https://clinicaltrials.gov/study/NCT02794285</x:v>
      </x:c>
      <x:c r="G2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4" ht="23" customHeight="1">
      <x:c r="A24" s="2" t="str">
        <x:v>AstraZeneca</x:v>
      </x:c>
      <x:c r="B24" s="2" t="str">
        <x:v>2015-19</x:v>
      </x:c>
      <x:c r="C24" s="2" t="str">
        <x:v>NCT03615924</x:v>
      </x:c>
      <x:c r="D24" s="2" t="str">
        <x:v>AstraZeneca</x:v>
      </x:c>
      <x:c r="E24" s="2" t="n">
        <x:v>1</x:v>
      </x:c>
      <x:c r="F24" s="2" t="str">
        <x:v>https://clinicaltrials.gov/study/NCT03615924</x:v>
      </x:c>
      <x:c r="G2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5" ht="23" customHeight="1">
      <x:c r="A25" s="2" t="str">
        <x:v>AstraZeneca</x:v>
      </x:c>
      <x:c r="B25" s="2" t="str">
        <x:v>2015-19</x:v>
      </x:c>
      <x:c r="C25" s="2" t="str">
        <x:v>NCT03022097</x:v>
      </x:c>
      <x:c r="D25" s="2" t="str">
        <x:v>AstraZeneca</x:v>
      </x:c>
      <x:c r="E25" s="2" t="n">
        <x:v>1</x:v>
      </x:c>
      <x:c r="F25" s="2" t="str">
        <x:v>https://clinicaltrials.gov/study/NCT03022097</x:v>
      </x:c>
      <x:c r="G2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6" ht="23" customHeight="1">
      <x:c r="A26" s="2" t="str">
        <x:v>AstraZeneca</x:v>
      </x:c>
      <x:c r="B26" s="2" t="str">
        <x:v>2015-19</x:v>
      </x:c>
      <x:c r="C26" s="2" t="str">
        <x:v>NCT02869438</x:v>
      </x:c>
      <x:c r="D26" s="2" t="str">
        <x:v>AstraZeneca</x:v>
      </x:c>
      <x:c r="E26" s="2" t="n">
        <x:v>0</x:v>
      </x:c>
      <x:c r="F26" s="2" t="str">
        <x:v>https://clinicaltrials.gov/study/NCT02869438</x:v>
      </x:c>
      <x:c r="G2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7" ht="23" customHeight="1">
      <x:c r="A27" s="2" t="str">
        <x:v>AstraZeneca</x:v>
      </x:c>
      <x:c r="B27" s="2" t="str">
        <x:v>2015-19</x:v>
      </x:c>
      <x:c r="C27" s="2" t="str">
        <x:v>NCT02546323</x:v>
      </x:c>
      <x:c r="D27" s="2" t="str">
        <x:v>AstraZeneca</x:v>
      </x:c>
      <x:c r="E27" s="2" t="n">
        <x:v>0</x:v>
      </x:c>
      <x:c r="F27" s="2" t="str">
        <x:v>https://clinicaltrials.gov/study/NCT02546323</x:v>
      </x:c>
      <x:c r="G2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8" ht="23" customHeight="1">
      <x:c r="A28" s="2" t="str">
        <x:v>AstraZeneca</x:v>
      </x:c>
      <x:c r="B28" s="2" t="str">
        <x:v>2015-19</x:v>
      </x:c>
      <x:c r="C28" s="2" t="str">
        <x:v>NCT03003962</x:v>
      </x:c>
      <x:c r="D28" s="2" t="str">
        <x:v>AstraZeneca</x:v>
      </x:c>
      <x:c r="E28" s="2" t="n">
        <x:v>0</x:v>
      </x:c>
      <x:c r="F28" s="2" t="str">
        <x:v>https://clinicaltrials.gov/study/NCT03003962</x:v>
      </x:c>
      <x:c r="G2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9" ht="23" customHeight="1">
      <x:c r="A29" s="2" t="str">
        <x:v>AstraZeneca</x:v>
      </x:c>
      <x:c r="B29" s="2" t="str">
        <x:v>2015-19</x:v>
      </x:c>
      <x:c r="C29" s="2" t="str">
        <x:v>NCT02551159</x:v>
      </x:c>
      <x:c r="D29" s="2" t="str">
        <x:v>AstraZeneca</x:v>
      </x:c>
      <x:c r="E29" s="2" t="n">
        <x:v>1</x:v>
      </x:c>
      <x:c r="F29" s="2" t="str">
        <x:v>https://clinicaltrials.gov/study/NCT02551159</x:v>
      </x:c>
      <x:c r="G2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30" ht="23" customHeight="1">
      <x:c r="A30" s="2" t="str">
        <x:v>AstraZeneca</x:v>
      </x:c>
      <x:c r="B30" s="2" t="str">
        <x:v>2015-19</x:v>
      </x:c>
      <x:c r="C30" s="2" t="str">
        <x:v>NCT03920293</x:v>
      </x:c>
      <x:c r="D30" s="2" t="str">
        <x:v>Alexion Pharmaceuticals, Inc.</x:v>
      </x:c>
      <x:c r="E30" s="2" t="n">
        <x:v>0</x:v>
      </x:c>
      <x:c r="F30" s="2" t="str">
        <x:v>https://clinicaltrials.gov/study/NCT03920293</x:v>
      </x:c>
      <x:c r="G3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31" ht="23" customHeight="1">
      <x:c r="A31" s="2" t="str">
        <x:v>AstraZeneca</x:v>
      </x:c>
      <x:c r="B31" s="2" t="str">
        <x:v>2015-19</x:v>
      </x:c>
      <x:c r="C31" s="2" t="str">
        <x:v>NCT03877237</x:v>
      </x:c>
      <x:c r="D31" s="2" t="str">
        <x:v>AstraZeneca</x:v>
      </x:c>
      <x:c r="E31" s="2" t="n">
        <x:v>0</x:v>
      </x:c>
      <x:c r="F31" s="2" t="str">
        <x:v>https://clinicaltrials.gov/study/NCT03877237</x:v>
      </x:c>
      <x:c r="G3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32" ht="23" customHeight="1">
      <x:c r="A32" s="2" t="str">
        <x:v>AstraZeneca</x:v>
      </x:c>
      <x:c r="B32" s="2" t="str">
        <x:v>2015-19</x:v>
      </x:c>
      <x:c r="C32" s="2" t="str">
        <x:v>NCT03706690</x:v>
      </x:c>
      <x:c r="D32" s="2" t="str">
        <x:v>AstraZeneca</x:v>
      </x:c>
      <x:c r="E32" s="2" t="n">
        <x:v>1</x:v>
      </x:c>
      <x:c r="F32" s="2" t="str">
        <x:v>https://clinicaltrials.gov/study/NCT03706690</x:v>
      </x:c>
      <x:c r="G3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33" ht="23" customHeight="1">
      <x:c r="A33" s="2" t="str">
        <x:v>AstraZeneca</x:v>
      </x:c>
      <x:c r="B33" s="2" t="str">
        <x:v>2015-19</x:v>
      </x:c>
      <x:c r="C33" s="2" t="str">
        <x:v>NCT03528694</x:v>
      </x:c>
      <x:c r="D33" s="2" t="str">
        <x:v>AstraZeneca</x:v>
      </x:c>
      <x:c r="E33" s="2" t="n">
        <x:v>0</x:v>
      </x:c>
      <x:c r="F33" s="2" t="str">
        <x:v>https://clinicaltrials.gov/study/NCT03528694</x:v>
      </x:c>
      <x:c r="G3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34" ht="23" customHeight="1">
      <x:c r="A34" s="2" t="str">
        <x:v>AstraZeneca</x:v>
      </x:c>
      <x:c r="B34" s="2" t="str">
        <x:v>2015-19</x:v>
      </x:c>
      <x:c r="C34" s="2" t="str">
        <x:v>NCT03682068</x:v>
      </x:c>
      <x:c r="D34" s="2" t="str">
        <x:v>AstraZeneca</x:v>
      </x:c>
      <x:c r="E34" s="2" t="n">
        <x:v>1</x:v>
      </x:c>
      <x:c r="F34" s="2" t="str">
        <x:v>https://clinicaltrials.gov/study/NCT03682068</x:v>
      </x:c>
      <x:c r="G3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35" ht="23" customHeight="1">
      <x:c r="A35" s="2" t="str">
        <x:v>AstraZeneca</x:v>
      </x:c>
      <x:c r="B35" s="2" t="str">
        <x:v>2015-19</x:v>
      </x:c>
      <x:c r="C35" s="2" t="str">
        <x:v>NCT02352948</x:v>
      </x:c>
      <x:c r="D35" s="2" t="str">
        <x:v>AstraZeneca</x:v>
      </x:c>
      <x:c r="E35" s="2" t="n">
        <x:v>0</x:v>
      </x:c>
      <x:c r="F35" s="2" t="str">
        <x:v>https://clinicaltrials.gov/study/NCT02352948</x:v>
      </x:c>
      <x:c r="G3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36" ht="23" customHeight="1">
      <x:c r="A36" s="2" t="str">
        <x:v>AstraZeneca</x:v>
      </x:c>
      <x:c r="B36" s="2" t="str">
        <x:v>2015-19</x:v>
      </x:c>
      <x:c r="C36" s="2" t="str">
        <x:v>NCT03557307</x:v>
      </x:c>
      <x:c r="D36" s="2" t="str">
        <x:v>AstraZeneca</x:v>
      </x:c>
      <x:c r="E36" s="2" t="n">
        <x:v>0</x:v>
      </x:c>
      <x:c r="F36" s="2" t="str">
        <x:v>https://clinicaltrials.gov/study/NCT03557307</x:v>
      </x:c>
      <x:c r="G3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37" ht="23" customHeight="1">
      <x:c r="A37" s="2" t="str">
        <x:v>AstraZeneca</x:v>
      </x:c>
      <x:c r="B37" s="2" t="str">
        <x:v>2015-19</x:v>
      </x:c>
      <x:c r="C37" s="2" t="str">
        <x:v>NCT03875235</x:v>
      </x:c>
      <x:c r="D37" s="2" t="str">
        <x:v>AstraZeneca</x:v>
      </x:c>
      <x:c r="E37" s="2" t="n">
        <x:v>1</x:v>
      </x:c>
      <x:c r="F37" s="2" t="str">
        <x:v>https://clinicaltrials.gov/study/NCT03875235</x:v>
      </x:c>
      <x:c r="G3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38" ht="23" customHeight="1">
      <x:c r="A38" s="2" t="str">
        <x:v>AstraZeneca</x:v>
      </x:c>
      <x:c r="B38" s="2" t="str">
        <x:v>2015-19</x:v>
      </x:c>
      <x:c r="C38" s="2" t="str">
        <x:v>NCT03043872</x:v>
      </x:c>
      <x:c r="D38" s="2" t="str">
        <x:v>AstraZeneca</x:v>
      </x:c>
      <x:c r="E38" s="2" t="n">
        <x:v>0</x:v>
      </x:c>
      <x:c r="F38" s="2" t="str">
        <x:v>https://clinicaltrials.gov/study/NCT03043872</x:v>
      </x:c>
      <x:c r="G3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39" ht="23" customHeight="1">
      <x:c r="A39" s="2" t="str">
        <x:v>AstraZeneca</x:v>
      </x:c>
      <x:c r="B39" s="2" t="str">
        <x:v>2015-19</x:v>
      </x:c>
      <x:c r="C39" s="2" t="str">
        <x:v>NCT02419612</x:v>
      </x:c>
      <x:c r="D39" s="2" t="str">
        <x:v>AstraZeneca</x:v>
      </x:c>
      <x:c r="E39" s="2" t="n">
        <x:v>0</x:v>
      </x:c>
      <x:c r="F39" s="2" t="str">
        <x:v>https://clinicaltrials.gov/study/NCT02419612</x:v>
      </x:c>
      <x:c r="G3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40" ht="23" customHeight="1">
      <x:c r="A40" s="2" t="str">
        <x:v>AstraZeneca</x:v>
      </x:c>
      <x:c r="B40" s="2" t="str">
        <x:v>2015-19</x:v>
      </x:c>
      <x:c r="C40" s="2" t="str">
        <x:v>NCT03056040</x:v>
      </x:c>
      <x:c r="D40" s="2" t="str">
        <x:v>Alexion Pharmaceuticals, Inc.</x:v>
      </x:c>
      <x:c r="E40" s="2" t="n">
        <x:v>0</x:v>
      </x:c>
      <x:c r="F40" s="2" t="str">
        <x:v>https://clinicaltrials.gov/study/NCT03056040</x:v>
      </x:c>
      <x:c r="G4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41" ht="23" customHeight="1">
      <x:c r="A41" s="2" t="str">
        <x:v>AstraZeneca</x:v>
      </x:c>
      <x:c r="B41" s="2" t="str">
        <x:v>2015-19</x:v>
      </x:c>
      <x:c r="C41" s="2" t="str">
        <x:v>NCT03401229</x:v>
      </x:c>
      <x:c r="D41" s="2" t="str">
        <x:v>AstraZeneca</x:v>
      </x:c>
      <x:c r="E41" s="2" t="n">
        <x:v>0</x:v>
      </x:c>
      <x:c r="F41" s="2" t="str">
        <x:v>https://clinicaltrials.gov/study/NCT03401229</x:v>
      </x:c>
      <x:c r="G4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42" ht="23" customHeight="1">
      <x:c r="A42" s="2" t="str">
        <x:v>AstraZeneca</x:v>
      </x:c>
      <x:c r="B42" s="2" t="str">
        <x:v>2015-19</x:v>
      </x:c>
      <x:c r="C42" s="2" t="str">
        <x:v>NCT03298451</x:v>
      </x:c>
      <x:c r="D42" s="2" t="str">
        <x:v>AstraZeneca</x:v>
      </x:c>
      <x:c r="E42" s="2" t="n">
        <x:v>1</x:v>
      </x:c>
      <x:c r="F42" s="2" t="str">
        <x:v>https://clinicaltrials.gov/study/NCT03298451</x:v>
      </x:c>
      <x:c r="G4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43" ht="23" customHeight="1">
      <x:c r="A43" s="2" t="str">
        <x:v>AstraZeneca</x:v>
      </x:c>
      <x:c r="B43" s="2" t="str">
        <x:v>2015-19</x:v>
      </x:c>
      <x:c r="C43" s="2" t="str">
        <x:v>NCT03170271</x:v>
      </x:c>
      <x:c r="D43" s="2" t="str">
        <x:v>AstraZeneca</x:v>
      </x:c>
      <x:c r="E43" s="2" t="n">
        <x:v>0</x:v>
      </x:c>
      <x:c r="F43" s="2" t="str">
        <x:v>https://clinicaltrials.gov/study/NCT03170271</x:v>
      </x:c>
      <x:c r="G4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44" ht="23" customHeight="1">
      <x:c r="A44" s="2" t="str">
        <x:v>AstraZeneca</x:v>
      </x:c>
      <x:c r="B44" s="2" t="str">
        <x:v>2015-19</x:v>
      </x:c>
      <x:c r="C44" s="2" t="str">
        <x:v>NCT03106987</x:v>
      </x:c>
      <x:c r="D44" s="2" t="str">
        <x:v>AstraZeneca</x:v>
      </x:c>
      <x:c r="E44" s="2" t="n">
        <x:v>0</x:v>
      </x:c>
      <x:c r="F44" s="2" t="str">
        <x:v>https://clinicaltrials.gov/study/NCT03106987</x:v>
      </x:c>
      <x:c r="G4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45" ht="23" customHeight="1">
      <x:c r="A45" s="2" t="str">
        <x:v>AstraZeneca</x:v>
      </x:c>
      <x:c r="B45" s="2" t="str">
        <x:v>2015-19</x:v>
      </x:c>
      <x:c r="C45" s="2" t="str">
        <x:v>NCT03759366</x:v>
      </x:c>
      <x:c r="D45" s="2" t="str">
        <x:v>Alexion Pharmaceuticals, Inc.</x:v>
      </x:c>
      <x:c r="E45" s="2" t="n">
        <x:v>0</x:v>
      </x:c>
      <x:c r="F45" s="2" t="str">
        <x:v>https://clinicaltrials.gov/study/NCT03759366</x:v>
      </x:c>
      <x:c r="G4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46" ht="23" customHeight="1">
      <x:c r="A46" s="2" t="str">
        <x:v>AstraZeneca</x:v>
      </x:c>
      <x:c r="B46" s="2" t="str">
        <x:v>2015-19</x:v>
      </x:c>
      <x:c r="C46" s="2" t="str">
        <x:v>NCT03162055</x:v>
      </x:c>
      <x:c r="D46" s="2" t="str">
        <x:v>AstraZeneca</x:v>
      </x:c>
      <x:c r="E46" s="2" t="n">
        <x:v>0</x:v>
      </x:c>
      <x:c r="F46" s="2" t="str">
        <x:v>https://clinicaltrials.gov/study/NCT03162055</x:v>
      </x:c>
      <x:c r="G4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47" ht="23" customHeight="1">
      <x:c r="A47" s="2" t="str">
        <x:v>AstraZeneca</x:v>
      </x:c>
      <x:c r="B47" s="2" t="str">
        <x:v>2015-19</x:v>
      </x:c>
      <x:c r="C47" s="2" t="str">
        <x:v>NCT02446912</x:v>
      </x:c>
      <x:c r="D47" s="2" t="str">
        <x:v>AstraZeneca</x:v>
      </x:c>
      <x:c r="E47" s="2" t="n">
        <x:v>0</x:v>
      </x:c>
      <x:c r="F47" s="2" t="str">
        <x:v>https://clinicaltrials.gov/study/NCT02446912</x:v>
      </x:c>
      <x:c r="G4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48" ht="23" customHeight="1">
      <x:c r="A48" s="2" t="str">
        <x:v>AstraZeneca</x:v>
      </x:c>
      <x:c r="B48" s="2" t="str">
        <x:v>2015-19</x:v>
      </x:c>
      <x:c r="C48" s="2" t="str">
        <x:v>NCT02902809</x:v>
      </x:c>
      <x:c r="D48" s="2" t="str">
        <x:v>AstraZeneca</x:v>
      </x:c>
      <x:c r="E48" s="2" t="n">
        <x:v>0</x:v>
      </x:c>
      <x:c r="F48" s="2" t="str">
        <x:v>https://clinicaltrials.gov/study/NCT02902809</x:v>
      </x:c>
      <x:c r="G4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49" ht="23" customHeight="1">
      <x:c r="A49" s="2" t="str">
        <x:v>AstraZeneca</x:v>
      </x:c>
      <x:c r="B49" s="2" t="str">
        <x:v>2015-19</x:v>
      </x:c>
      <x:c r="C49" s="2" t="str">
        <x:v>NCT04075292</x:v>
      </x:c>
      <x:c r="D49" s="2" t="str">
        <x:v>AstraZeneca</x:v>
      </x:c>
      <x:c r="E49" s="2" t="n">
        <x:v>0</x:v>
      </x:c>
      <x:c r="F49" s="2" t="str">
        <x:v>https://clinicaltrials.gov/study/NCT04075292</x:v>
      </x:c>
      <x:c r="G4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50" ht="23" customHeight="1">
      <x:c r="A50" s="2" t="str">
        <x:v>AstraZeneca</x:v>
      </x:c>
      <x:c r="B50" s="2" t="str">
        <x:v>2015-19</x:v>
      </x:c>
      <x:c r="C50" s="2" t="str">
        <x:v>NCT03286842</x:v>
      </x:c>
      <x:c r="D50" s="2" t="str">
        <x:v>AstraZeneca</x:v>
      </x:c>
      <x:c r="E50" s="2" t="n">
        <x:v>0</x:v>
      </x:c>
      <x:c r="F50" s="2" t="str">
        <x:v>https://clinicaltrials.gov/study/NCT03286842</x:v>
      </x:c>
      <x:c r="G5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51" ht="23" customHeight="1">
      <x:c r="A51" s="2" t="str">
        <x:v>AstraZeneca</x:v>
      </x:c>
      <x:c r="B51" s="2" t="str">
        <x:v>2015-19</x:v>
      </x:c>
      <x:c r="C51" s="2" t="str">
        <x:v>NCT03199053</x:v>
      </x:c>
      <x:c r="D51" s="2" t="str">
        <x:v>AstraZeneca</x:v>
      </x:c>
      <x:c r="E51" s="2" t="n">
        <x:v>1</x:v>
      </x:c>
      <x:c r="F51" s="2" t="str">
        <x:v>https://clinicaltrials.gov/study/NCT03199053</x:v>
      </x:c>
      <x:c r="G5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52" ht="23" customHeight="1">
      <x:c r="A52" s="2" t="str">
        <x:v>AstraZeneca</x:v>
      </x:c>
      <x:c r="B52" s="2" t="str">
        <x:v>2015-19</x:v>
      </x:c>
      <x:c r="C52" s="2" t="str">
        <x:v>NCT04053634</x:v>
      </x:c>
      <x:c r="D52" s="2" t="str">
        <x:v>AstraZeneca</x:v>
      </x:c>
      <x:c r="E52" s="2" t="n">
        <x:v>1</x:v>
      </x:c>
      <x:c r="F52" s="2" t="str">
        <x:v>https://clinicaltrials.gov/study/NCT04053634</x:v>
      </x:c>
      <x:c r="G5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53" ht="23" customHeight="1">
      <x:c r="A53" s="2" t="str">
        <x:v>AstraZeneca</x:v>
      </x:c>
      <x:c r="B53" s="2" t="str">
        <x:v>2015-19</x:v>
      </x:c>
      <x:c r="C53" s="2" t="str">
        <x:v>NCT03534453</x:v>
      </x:c>
      <x:c r="D53" s="2" t="str">
        <x:v>AstraZeneca</x:v>
      </x:c>
      <x:c r="E53" s="2" t="n">
        <x:v>0</x:v>
      </x:c>
      <x:c r="F53" s="2" t="str">
        <x:v>https://clinicaltrials.gov/study/NCT03534453</x:v>
      </x:c>
      <x:c r="G5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54" ht="23" customHeight="1">
      <x:c r="A54" s="2" t="str">
        <x:v>AstraZeneca</x:v>
      </x:c>
      <x:c r="B54" s="2" t="str">
        <x:v>2015-19</x:v>
      </x:c>
      <x:c r="C54" s="2" t="str">
        <x:v>NCT03402841</x:v>
      </x:c>
      <x:c r="D54" s="2" t="str">
        <x:v>AstraZeneca</x:v>
      </x:c>
      <x:c r="E54" s="2" t="n">
        <x:v>0</x:v>
      </x:c>
      <x:c r="F54" s="2" t="str">
        <x:v>https://clinicaltrials.gov/study/NCT03402841</x:v>
      </x:c>
      <x:c r="G5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55" ht="23" customHeight="1">
      <x:c r="A55" s="2" t="str">
        <x:v>AstraZeneca</x:v>
      </x:c>
      <x:c r="B55" s="2" t="str">
        <x:v>2015-19</x:v>
      </x:c>
      <x:c r="C55" s="2" t="str">
        <x:v>NCT02417961</x:v>
      </x:c>
      <x:c r="D55" s="2" t="str">
        <x:v>AstraZeneca</x:v>
      </x:c>
      <x:c r="E55" s="2" t="n">
        <x:v>0</x:v>
      </x:c>
      <x:c r="F55" s="2" t="str">
        <x:v>https://clinicaltrials.gov/study/NCT02417961</x:v>
      </x:c>
      <x:c r="G5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56" ht="23" customHeight="1">
      <x:c r="A56" s="2" t="str">
        <x:v>AstraZeneca</x:v>
      </x:c>
      <x:c r="B56" s="2" t="str">
        <x:v>2015-19</x:v>
      </x:c>
      <x:c r="C56" s="2" t="str">
        <x:v>NCT02814643</x:v>
      </x:c>
      <x:c r="D56" s="2" t="str">
        <x:v>AstraZeneca</x:v>
      </x:c>
      <x:c r="E56" s="2" t="n">
        <x:v>0</x:v>
      </x:c>
      <x:c r="F56" s="2" t="str">
        <x:v>https://clinicaltrials.gov/study/NCT02814643</x:v>
      </x:c>
      <x:c r="G5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57" ht="23" customHeight="1">
      <x:c r="A57" s="2" t="str">
        <x:v>AstraZeneca</x:v>
      </x:c>
      <x:c r="B57" s="2" t="str">
        <x:v>2015-19</x:v>
      </x:c>
      <x:c r="C57" s="2" t="str">
        <x:v>NCT02681094</x:v>
      </x:c>
      <x:c r="D57" s="2" t="str">
        <x:v>AstraZeneca</x:v>
      </x:c>
      <x:c r="E57" s="2" t="n">
        <x:v>0</x:v>
      </x:c>
      <x:c r="F57" s="2" t="str">
        <x:v>https://clinicaltrials.gov/study/NCT02681094</x:v>
      </x:c>
      <x:c r="G5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58" ht="23" customHeight="1">
      <x:c r="A58" s="2" t="str">
        <x:v>AstraZeneca</x:v>
      </x:c>
      <x:c r="B58" s="2" t="str">
        <x:v>2015-19</x:v>
      </x:c>
      <x:c r="C58" s="2" t="str">
        <x:v>NCT04157348</x:v>
      </x:c>
      <x:c r="D58" s="2" t="str">
        <x:v>AstraZeneca</x:v>
      </x:c>
      <x:c r="E58" s="2" t="n">
        <x:v>0</x:v>
      </x:c>
      <x:c r="F58" s="2" t="str">
        <x:v>https://clinicaltrials.gov/study/NCT04157348</x:v>
      </x:c>
      <x:c r="G5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59" ht="23" customHeight="1">
      <x:c r="A59" s="2" t="str">
        <x:v>AstraZeneca</x:v>
      </x:c>
      <x:c r="B59" s="2" t="str">
        <x:v>2015-19</x:v>
      </x:c>
      <x:c r="C59" s="2" t="str">
        <x:v>NCT03959488</x:v>
      </x:c>
      <x:c r="D59" s="2" t="str">
        <x:v>AstraZeneca</x:v>
      </x:c>
      <x:c r="E59" s="2" t="n">
        <x:v>0</x:v>
      </x:c>
      <x:c r="F59" s="2" t="str">
        <x:v>https://clinicaltrials.gov/study/NCT03959488</x:v>
      </x:c>
      <x:c r="G5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60" ht="23" customHeight="1">
      <x:c r="A60" s="2" t="str">
        <x:v>AstraZeneca</x:v>
      </x:c>
      <x:c r="B60" s="2" t="str">
        <x:v>2015-19</x:v>
      </x:c>
      <x:c r="C60" s="2" t="str">
        <x:v>NCT02547935</x:v>
      </x:c>
      <x:c r="D60" s="2" t="str">
        <x:v>AstraZeneca</x:v>
      </x:c>
      <x:c r="E60" s="2" t="n">
        <x:v>0</x:v>
      </x:c>
      <x:c r="F60" s="2" t="str">
        <x:v>https://clinicaltrials.gov/study/NCT02547935</x:v>
      </x:c>
      <x:c r="G6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61" ht="23" customHeight="1">
      <x:c r="A61" s="2" t="str">
        <x:v>AstraZeneca</x:v>
      </x:c>
      <x:c r="B61" s="2" t="str">
        <x:v>2015-19</x:v>
      </x:c>
      <x:c r="C61" s="2" t="str">
        <x:v>NCT03127644</x:v>
      </x:c>
      <x:c r="D61" s="2" t="str">
        <x:v>AstraZeneca</x:v>
      </x:c>
      <x:c r="E61" s="2" t="n">
        <x:v>0</x:v>
      </x:c>
      <x:c r="F61" s="2" t="str">
        <x:v>https://clinicaltrials.gov/study/NCT03127644</x:v>
      </x:c>
      <x:c r="G6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62" ht="23" customHeight="1">
      <x:c r="A62" s="2" t="str">
        <x:v>AstraZeneca</x:v>
      </x:c>
      <x:c r="B62" s="2" t="str">
        <x:v>2015-19</x:v>
      </x:c>
      <x:c r="C62" s="2" t="str">
        <x:v>NCT03406078</x:v>
      </x:c>
      <x:c r="D62" s="2" t="str">
        <x:v>AstraZeneca</x:v>
      </x:c>
      <x:c r="E62" s="2" t="n">
        <x:v>0</x:v>
      </x:c>
      <x:c r="F62" s="2" t="str">
        <x:v>https://clinicaltrials.gov/study/NCT03406078</x:v>
      </x:c>
      <x:c r="G6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63" ht="23" customHeight="1">
      <x:c r="A63" s="2" t="str">
        <x:v>AstraZeneca</x:v>
      </x:c>
      <x:c r="B63" s="2" t="str">
        <x:v>2015-19</x:v>
      </x:c>
      <x:c r="C63" s="2" t="str">
        <x:v>NCT02796677</x:v>
      </x:c>
      <x:c r="D63" s="2" t="str">
        <x:v>AstraZeneca</x:v>
      </x:c>
      <x:c r="E63" s="2" t="n">
        <x:v>0</x:v>
      </x:c>
      <x:c r="F63" s="2" t="str">
        <x:v>https://clinicaltrials.gov/study/NCT02796677</x:v>
      </x:c>
      <x:c r="G6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64" ht="23" customHeight="1">
      <x:c r="A64" s="2" t="str">
        <x:v>AstraZeneca</x:v>
      </x:c>
      <x:c r="B64" s="2" t="str">
        <x:v>2015-19</x:v>
      </x:c>
      <x:c r="C64" s="2" t="str">
        <x:v>NCT02670642</x:v>
      </x:c>
      <x:c r="D64" s="2" t="str">
        <x:v>AstraZeneca</x:v>
      </x:c>
      <x:c r="E64" s="2" t="n">
        <x:v>0</x:v>
      </x:c>
      <x:c r="F64" s="2" t="str">
        <x:v>https://clinicaltrials.gov/study/NCT02670642</x:v>
      </x:c>
      <x:c r="G6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65" ht="23" customHeight="1">
      <x:c r="A65" s="2" t="str">
        <x:v>AstraZeneca</x:v>
      </x:c>
      <x:c r="B65" s="2" t="str">
        <x:v>2015-19</x:v>
      </x:c>
      <x:c r="C65" s="2" t="str">
        <x:v>NCT03737643</x:v>
      </x:c>
      <x:c r="D65" s="2" t="str">
        <x:v>AstraZeneca</x:v>
      </x:c>
      <x:c r="E65" s="2" t="n">
        <x:v>0</x:v>
      </x:c>
      <x:c r="F65" s="2" t="str">
        <x:v>https://clinicaltrials.gov/study/NCT03737643</x:v>
      </x:c>
      <x:c r="G6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66" ht="23" customHeight="1">
      <x:c r="A66" s="2" t="str">
        <x:v>AstraZeneca</x:v>
      </x:c>
      <x:c r="B66" s="2" t="str">
        <x:v>2015-19</x:v>
      </x:c>
      <x:c r="C66" s="2" t="str">
        <x:v>NCT02997501</x:v>
      </x:c>
      <x:c r="D66" s="2" t="str">
        <x:v>AstraZeneca</x:v>
      </x:c>
      <x:c r="E66" s="2" t="n">
        <x:v>0</x:v>
      </x:c>
      <x:c r="F66" s="2" t="str">
        <x:v>https://clinicaltrials.gov/study/NCT02997501</x:v>
      </x:c>
      <x:c r="G6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67" ht="23" customHeight="1">
      <x:c r="A67" s="2" t="str">
        <x:v>AstraZeneca</x:v>
      </x:c>
      <x:c r="B67" s="2" t="str">
        <x:v>2015-19</x:v>
      </x:c>
      <x:c r="C67" s="2" t="str">
        <x:v>NCT03658213</x:v>
      </x:c>
      <x:c r="D67" s="2" t="str">
        <x:v>AstraZeneca</x:v>
      </x:c>
      <x:c r="E67" s="2" t="n">
        <x:v>0</x:v>
      </x:c>
      <x:c r="F67" s="2" t="str">
        <x:v>https://clinicaltrials.gov/study/NCT03658213</x:v>
      </x:c>
      <x:c r="G6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68" ht="23" customHeight="1">
      <x:c r="A68" s="2" t="str">
        <x:v>AstraZeneca</x:v>
      </x:c>
      <x:c r="B68" s="2" t="str">
        <x:v>2015-19</x:v>
      </x:c>
      <x:c r="C68" s="2" t="str">
        <x:v>NCT02392676</x:v>
      </x:c>
      <x:c r="D68" s="2" t="str">
        <x:v>AstraZeneca</x:v>
      </x:c>
      <x:c r="E68" s="2" t="n">
        <x:v>0</x:v>
      </x:c>
      <x:c r="F68" s="2" t="str">
        <x:v>https://clinicaltrials.gov/study/NCT02392676</x:v>
      </x:c>
      <x:c r="G6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69" ht="23" customHeight="1">
      <x:c r="A69" s="2" t="str">
        <x:v>AstraZeneca</x:v>
      </x:c>
      <x:c r="B69" s="2" t="str">
        <x:v>2015-19</x:v>
      </x:c>
      <x:c r="C69" s="2" t="str">
        <x:v>NCT03354429</x:v>
      </x:c>
      <x:c r="D69" s="2" t="str">
        <x:v>AstraZeneca</x:v>
      </x:c>
      <x:c r="E69" s="2" t="n">
        <x:v>1</x:v>
      </x:c>
      <x:c r="F69" s="2" t="str">
        <x:v>https://clinicaltrials.gov/study/NCT03354429</x:v>
      </x:c>
      <x:c r="G6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70" ht="23" customHeight="1">
      <x:c r="A70" s="2" t="str">
        <x:v>AstraZeneca</x:v>
      </x:c>
      <x:c r="B70" s="2" t="str">
        <x:v>2015-19</x:v>
      </x:c>
      <x:c r="C70" s="2" t="str">
        <x:v>NCT03403205</x:v>
      </x:c>
      <x:c r="D70" s="2" t="str">
        <x:v>Alexion Pharmaceuticals, Inc.</x:v>
      </x:c>
      <x:c r="E70" s="2" t="n">
        <x:v>0</x:v>
      </x:c>
      <x:c r="F70" s="2" t="str">
        <x:v>https://clinicaltrials.gov/study/NCT03403205</x:v>
      </x:c>
      <x:c r="G7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71" ht="23" customHeight="1">
      <x:c r="A71" s="2" t="str">
        <x:v>AstraZeneca</x:v>
      </x:c>
      <x:c r="B71" s="2" t="str">
        <x:v>2015-19</x:v>
      </x:c>
      <x:c r="C71" s="2" t="str">
        <x:v>NCT03813407</x:v>
      </x:c>
      <x:c r="D71" s="2" t="str">
        <x:v>AstraZeneca</x:v>
      </x:c>
      <x:c r="E71" s="2" t="n">
        <x:v>1</x:v>
      </x:c>
      <x:c r="F71" s="2" t="str">
        <x:v>https://clinicaltrials.gov/study/NCT03813407</x:v>
      </x:c>
      <x:c r="G7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72" ht="23" customHeight="1">
      <x:c r="A72" s="2" t="str">
        <x:v>AstraZeneca</x:v>
      </x:c>
      <x:c r="B72" s="2" t="str">
        <x:v>2015-19</x:v>
      </x:c>
      <x:c r="C72" s="2" t="str">
        <x:v>NCT02413398</x:v>
      </x:c>
      <x:c r="D72" s="2" t="str">
        <x:v>AstraZeneca</x:v>
      </x:c>
      <x:c r="E72" s="2" t="n">
        <x:v>0</x:v>
      </x:c>
      <x:c r="F72" s="2" t="str">
        <x:v>https://clinicaltrials.gov/study/NCT02413398</x:v>
      </x:c>
      <x:c r="G7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73" ht="23" customHeight="1">
      <x:c r="A73" s="2" t="str">
        <x:v>AstraZeneca</x:v>
      </x:c>
      <x:c r="B73" s="2" t="str">
        <x:v>2015-19</x:v>
      </x:c>
      <x:c r="C73" s="2" t="str">
        <x:v>NCT03608358</x:v>
      </x:c>
      <x:c r="D73" s="2" t="str">
        <x:v>AstraZeneca</x:v>
      </x:c>
      <x:c r="E73" s="2" t="n">
        <x:v>0</x:v>
      </x:c>
      <x:c r="F73" s="2" t="str">
        <x:v>https://clinicaltrials.gov/study/NCT03608358</x:v>
      </x:c>
      <x:c r="G7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74" ht="23" customHeight="1">
      <x:c r="A74" s="2" t="str">
        <x:v>AstraZeneca</x:v>
      </x:c>
      <x:c r="B74" s="2" t="str">
        <x:v>2015-19</x:v>
      </x:c>
      <x:c r="C74" s="2" t="str">
        <x:v>NCT02946463</x:v>
      </x:c>
      <x:c r="D74" s="2" t="str">
        <x:v>Alexion Pharmaceuticals, Inc.</x:v>
      </x:c>
      <x:c r="E74" s="2" t="n">
        <x:v>0</x:v>
      </x:c>
      <x:c r="F74" s="2" t="str">
        <x:v>https://clinicaltrials.gov/study/NCT02946463</x:v>
      </x:c>
      <x:c r="G7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75" ht="23" customHeight="1">
      <x:c r="A75" s="2" t="str">
        <x:v>AstraZeneca</x:v>
      </x:c>
      <x:c r="B75" s="2" t="str">
        <x:v>2015-19</x:v>
      </x:c>
      <x:c r="C75" s="2" t="str">
        <x:v>NCT03036150</x:v>
      </x:c>
      <x:c r="D75" s="2" t="str">
        <x:v>AstraZeneca</x:v>
      </x:c>
      <x:c r="E75" s="2" t="n">
        <x:v>1</x:v>
      </x:c>
      <x:c r="F75" s="2" t="str">
        <x:v>https://clinicaltrials.gov/study/NCT03036150</x:v>
      </x:c>
      <x:c r="G7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76" ht="23" customHeight="1">
      <x:c r="A76" s="2" t="str">
        <x:v>AstraZeneca</x:v>
      </x:c>
      <x:c r="B76" s="2" t="str">
        <x:v>2015-19</x:v>
      </x:c>
      <x:c r="C76" s="2" t="str">
        <x:v>NCT03036124</x:v>
      </x:c>
      <x:c r="D76" s="2" t="str">
        <x:v>AstraZeneca</x:v>
      </x:c>
      <x:c r="E76" s="2" t="n">
        <x:v>1</x:v>
      </x:c>
      <x:c r="F76" s="2" t="str">
        <x:v>https://clinicaltrials.gov/study/NCT03036124</x:v>
      </x:c>
      <x:c r="G7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77" ht="23" customHeight="1">
      <x:c r="A77" s="2" t="str">
        <x:v>AstraZeneca</x:v>
      </x:c>
      <x:c r="B77" s="2" t="str">
        <x:v>2015-19</x:v>
      </x:c>
      <x:c r="C77" s="2" t="str">
        <x:v>NCT03997123</x:v>
      </x:c>
      <x:c r="D77" s="2" t="str">
        <x:v>AstraZeneca</x:v>
      </x:c>
      <x:c r="E77" s="2" t="n">
        <x:v>1</x:v>
      </x:c>
      <x:c r="F77" s="2" t="str">
        <x:v>https://clinicaltrials.gov/study/NCT03997123</x:v>
      </x:c>
      <x:c r="G7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78" ht="23" customHeight="1">
      <x:c r="A78" s="2" t="str">
        <x:v>AstraZeneca</x:v>
      </x:c>
      <x:c r="B78" s="2" t="str">
        <x:v>2015-19</x:v>
      </x:c>
      <x:c r="C78" s="2" t="str">
        <x:v>NCT04035486</x:v>
      </x:c>
      <x:c r="D78" s="2" t="str">
        <x:v>AstraZeneca</x:v>
      </x:c>
      <x:c r="E78" s="2" t="n">
        <x:v>1</x:v>
      </x:c>
      <x:c r="F78" s="2" t="str">
        <x:v>https://clinicaltrials.gov/study/NCT04035486</x:v>
      </x:c>
      <x:c r="G7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79" ht="23" customHeight="1">
      <x:c r="A79" s="2" t="str">
        <x:v>AstraZeneca</x:v>
      </x:c>
      <x:c r="B79" s="2" t="str">
        <x:v>2015-19</x:v>
      </x:c>
      <x:c r="C79" s="2" t="str">
        <x:v>NCT02551874</x:v>
      </x:c>
      <x:c r="D79" s="2" t="str">
        <x:v>AstraZeneca</x:v>
      </x:c>
      <x:c r="E79" s="2" t="n">
        <x:v>0</x:v>
      </x:c>
      <x:c r="F79" s="2" t="str">
        <x:v>https://clinicaltrials.gov/study/NCT02551874</x:v>
      </x:c>
      <x:c r="G7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80" ht="23" customHeight="1">
      <x:c r="A80" s="2" t="str">
        <x:v>AstraZeneca</x:v>
      </x:c>
      <x:c r="B80" s="2" t="str">
        <x:v>2015-19</x:v>
      </x:c>
      <x:c r="C80" s="2" t="str">
        <x:v>NCT03186209</x:v>
      </x:c>
      <x:c r="D80" s="2" t="str">
        <x:v>AstraZeneca</x:v>
      </x:c>
      <x:c r="E80" s="2" t="n">
        <x:v>0</x:v>
      </x:c>
      <x:c r="F80" s="2" t="str">
        <x:v>https://clinicaltrials.gov/study/NCT03186209</x:v>
      </x:c>
      <x:c r="G8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81" ht="23" customHeight="1">
      <x:c r="A81" s="2" t="str">
        <x:v>AstraZeneca</x:v>
      </x:c>
      <x:c r="B81" s="2" t="str">
        <x:v>2015-19</x:v>
      </x:c>
      <x:c r="C81" s="2" t="str">
        <x:v>NCT02474355</x:v>
      </x:c>
      <x:c r="D81" s="2" t="str">
        <x:v>AstraZeneca</x:v>
      </x:c>
      <x:c r="E81" s="2" t="n">
        <x:v>0</x:v>
      </x:c>
      <x:c r="F81" s="2" t="str">
        <x:v>https://clinicaltrials.gov/study/NCT02474355</x:v>
      </x:c>
      <x:c r="G8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82" ht="23" customHeight="1">
      <x:c r="A82" s="2" t="str">
        <x:v>AstraZeneca</x:v>
      </x:c>
      <x:c r="B82" s="2" t="str">
        <x:v>2015-19</x:v>
      </x:c>
      <x:c r="C82" s="2" t="str">
        <x:v>NCT03706079</x:v>
      </x:c>
      <x:c r="D82" s="2" t="str">
        <x:v>AstraZeneca</x:v>
      </x:c>
      <x:c r="E82" s="2" t="n">
        <x:v>0</x:v>
      </x:c>
      <x:c r="F82" s="2" t="str">
        <x:v>https://clinicaltrials.gov/study/NCT03706079</x:v>
      </x:c>
      <x:c r="G8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83" ht="23" customHeight="1">
      <x:c r="A83" s="2" t="str">
        <x:v>AstraZeneca</x:v>
      </x:c>
      <x:c r="B83" s="2" t="str">
        <x:v>2015-19</x:v>
      </x:c>
      <x:c r="C83" s="2" t="str">
        <x:v>NCT03084471</x:v>
      </x:c>
      <x:c r="D83" s="2" t="str">
        <x:v>AstraZeneca</x:v>
      </x:c>
      <x:c r="E83" s="2" t="n">
        <x:v>0</x:v>
      </x:c>
      <x:c r="F83" s="2" t="str">
        <x:v>https://clinicaltrials.gov/study/NCT03084471</x:v>
      </x:c>
      <x:c r="G8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84" ht="23" customHeight="1">
      <x:c r="A84" s="2" t="str">
        <x:v>AstraZeneca</x:v>
      </x:c>
      <x:c r="B84" s="2" t="str">
        <x:v>2015-19</x:v>
      </x:c>
      <x:c r="C84" s="2" t="str">
        <x:v>NCT03164616</x:v>
      </x:c>
      <x:c r="D84" s="2" t="str">
        <x:v>AstraZeneca</x:v>
      </x:c>
      <x:c r="E84" s="2" t="n">
        <x:v>0</x:v>
      </x:c>
      <x:c r="F84" s="2" t="str">
        <x:v>https://clinicaltrials.gov/study/NCT03164616</x:v>
      </x:c>
      <x:c r="G8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85" ht="23" customHeight="1">
      <x:c r="A85" s="2" t="str">
        <x:v>AstraZeneca</x:v>
      </x:c>
      <x:c r="B85" s="2" t="str">
        <x:v>2015-19</x:v>
      </x:c>
      <x:c r="C85" s="2" t="str">
        <x:v>NCT02949128</x:v>
      </x:c>
      <x:c r="D85" s="2" t="str">
        <x:v>Alexion Pharmaceuticals, Inc.</x:v>
      </x:c>
      <x:c r="E85" s="2" t="n">
        <x:v>0</x:v>
      </x:c>
      <x:c r="F85" s="2" t="str">
        <x:v>https://clinicaltrials.gov/study/NCT02949128</x:v>
      </x:c>
      <x:c r="G8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86" ht="23" customHeight="1">
      <x:c r="A86" s="2" t="str">
        <x:v>AstraZeneca</x:v>
      </x:c>
      <x:c r="B86" s="2" t="str">
        <x:v>2015-19</x:v>
      </x:c>
      <x:c r="C86" s="2" t="str">
        <x:v>NCT02725593</x:v>
      </x:c>
      <x:c r="D86" s="2" t="str">
        <x:v>AstraZeneca</x:v>
      </x:c>
      <x:c r="E86" s="2" t="n">
        <x:v>0</x:v>
      </x:c>
      <x:c r="F86" s="2" t="str">
        <x:v>https://clinicaltrials.gov/study/NCT02725593</x:v>
      </x:c>
      <x:c r="G8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87" ht="23" customHeight="1">
      <x:c r="A87" s="2" t="str">
        <x:v>AstraZeneca</x:v>
      </x:c>
      <x:c r="B87" s="2" t="str">
        <x:v>2015-19</x:v>
      </x:c>
      <x:c r="C87" s="2" t="str">
        <x:v>NCT04191304</x:v>
      </x:c>
      <x:c r="D87" s="2" t="str">
        <x:v>AstraZeneca</x:v>
      </x:c>
      <x:c r="E87" s="2" t="n">
        <x:v>1</x:v>
      </x:c>
      <x:c r="F87" s="2" t="str">
        <x:v>https://clinicaltrials.gov/study/NCT04191304</x:v>
      </x:c>
      <x:c r="G8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88" ht="23" customHeight="1">
      <x:c r="A88" s="2" t="str">
        <x:v>AstraZeneca</x:v>
      </x:c>
      <x:c r="B88" s="2" t="str">
        <x:v>2015-19</x:v>
      </x:c>
      <x:c r="C88" s="2" t="str">
        <x:v>NCT02582814</x:v>
      </x:c>
      <x:c r="D88" s="2" t="str">
        <x:v>AstraZeneca</x:v>
      </x:c>
      <x:c r="E88" s="2" t="n">
        <x:v>0</x:v>
      </x:c>
      <x:c r="F88" s="2" t="str">
        <x:v>https://clinicaltrials.gov/study/NCT02582814</x:v>
      </x:c>
      <x:c r="G8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89" ht="23" customHeight="1">
      <x:c r="A89" s="2" t="str">
        <x:v>AstraZeneca</x:v>
      </x:c>
      <x:c r="B89" s="2" t="str">
        <x:v>2015-19</x:v>
      </x:c>
      <x:c r="C89" s="2" t="str">
        <x:v>NCT02460978</x:v>
      </x:c>
      <x:c r="D89" s="2" t="str">
        <x:v>AstraZeneca</x:v>
      </x:c>
      <x:c r="E89" s="2" t="n">
        <x:v>0</x:v>
      </x:c>
      <x:c r="F89" s="2" t="str">
        <x:v>https://clinicaltrials.gov/study/NCT02460978</x:v>
      </x:c>
      <x:c r="G8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90" ht="23" customHeight="1">
      <x:c r="A90" s="2" t="str">
        <x:v>AstraZeneca</x:v>
      </x:c>
      <x:c r="B90" s="2" t="str">
        <x:v>2015-19</x:v>
      </x:c>
      <x:c r="C90" s="2" t="str">
        <x:v>NCT02434497</x:v>
      </x:c>
      <x:c r="D90" s="2" t="str">
        <x:v>AstraZeneca</x:v>
      </x:c>
      <x:c r="E90" s="2" t="n">
        <x:v>0</x:v>
      </x:c>
      <x:c r="F90" s="2" t="str">
        <x:v>https://clinicaltrials.gov/study/NCT02434497</x:v>
      </x:c>
      <x:c r="G9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91" ht="23" customHeight="1">
      <x:c r="A91" s="2" t="str">
        <x:v>AstraZeneca</x:v>
      </x:c>
      <x:c r="B91" s="2" t="str">
        <x:v>2015-19</x:v>
      </x:c>
      <x:c r="C91" s="2" t="str">
        <x:v>NCT03927157</x:v>
      </x:c>
      <x:c r="D91" s="2" t="str">
        <x:v>AstraZeneca</x:v>
      </x:c>
      <x:c r="E91" s="2" t="n">
        <x:v>0</x:v>
      </x:c>
      <x:c r="F91" s="2" t="str">
        <x:v>https://clinicaltrials.gov/study/NCT03927157</x:v>
      </x:c>
      <x:c r="G9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92" ht="23" customHeight="1">
      <x:c r="A92" s="2" t="str">
        <x:v>AstraZeneca</x:v>
      </x:c>
      <x:c r="B92" s="2" t="str">
        <x:v>2015-19</x:v>
      </x:c>
      <x:c r="C92" s="2" t="str">
        <x:v>NCT03778957</x:v>
      </x:c>
      <x:c r="D92" s="2" t="str">
        <x:v>AstraZeneca</x:v>
      </x:c>
      <x:c r="E92" s="2" t="n">
        <x:v>1</x:v>
      </x:c>
      <x:c r="F92" s="2" t="str">
        <x:v>https://clinicaltrials.gov/study/NCT03778957</x:v>
      </x:c>
      <x:c r="G9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93" ht="23" customHeight="1">
      <x:c r="A93" s="2" t="str">
        <x:v>AstraZeneca</x:v>
      </x:c>
      <x:c r="B93" s="2" t="str">
        <x:v>2015-19</x:v>
      </x:c>
      <x:c r="C93" s="2" t="str">
        <x:v>NCT03528681</x:v>
      </x:c>
      <x:c r="D93" s="2" t="str">
        <x:v>AstraZeneca</x:v>
      </x:c>
      <x:c r="E93" s="2" t="n">
        <x:v>1</x:v>
      </x:c>
      <x:c r="F93" s="2" t="str">
        <x:v>https://clinicaltrials.gov/study/NCT03528681</x:v>
      </x:c>
      <x:c r="G9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94" ht="23" customHeight="1">
      <x:c r="A94" s="2" t="str">
        <x:v>AstraZeneca</x:v>
      </x:c>
      <x:c r="B94" s="2" t="str">
        <x:v>2015-19</x:v>
      </x:c>
      <x:c r="C94" s="2" t="str">
        <x:v>NCT03830866</x:v>
      </x:c>
      <x:c r="D94" s="2" t="str">
        <x:v>AstraZeneca</x:v>
      </x:c>
      <x:c r="E94" s="2" t="n">
        <x:v>1</x:v>
      </x:c>
      <x:c r="F94" s="2" t="str">
        <x:v>https://clinicaltrials.gov/study/NCT03830866</x:v>
      </x:c>
      <x:c r="G9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95" ht="23" customHeight="1">
      <x:c r="A95" s="2" t="str">
        <x:v>AstraZeneca</x:v>
      </x:c>
      <x:c r="B95" s="2" t="str">
        <x:v>2015-19</x:v>
      </x:c>
      <x:c r="C95" s="2" t="str">
        <x:v>NCT03131219</x:v>
      </x:c>
      <x:c r="D95" s="2" t="str">
        <x:v>Alexion Pharmaceuticals, Inc.</x:v>
      </x:c>
      <x:c r="E95" s="2" t="n">
        <x:v>0</x:v>
      </x:c>
      <x:c r="F95" s="2" t="str">
        <x:v>https://clinicaltrials.gov/study/NCT03131219</x:v>
      </x:c>
      <x:c r="G9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96" ht="23" customHeight="1">
      <x:c r="A96" s="2" t="str">
        <x:v>AstraZeneca</x:v>
      </x:c>
      <x:c r="B96" s="2" t="str">
        <x:v>2015-19</x:v>
      </x:c>
      <x:c r="C96" s="2" t="str">
        <x:v>NCT02369874</x:v>
      </x:c>
      <x:c r="D96" s="2" t="str">
        <x:v>AstraZeneca</x:v>
      </x:c>
      <x:c r="E96" s="2" t="n">
        <x:v>0</x:v>
      </x:c>
      <x:c r="F96" s="2" t="str">
        <x:v>https://clinicaltrials.gov/study/NCT02369874</x:v>
      </x:c>
      <x:c r="G9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97" ht="23" customHeight="1">
      <x:c r="A97" s="2" t="str">
        <x:v>AstraZeneca</x:v>
      </x:c>
      <x:c r="B97" s="2" t="str">
        <x:v>2015-19</x:v>
      </x:c>
      <x:c r="C97" s="2" t="str">
        <x:v>NCT02918071</x:v>
      </x:c>
      <x:c r="D97" s="2" t="str">
        <x:v>AstraZeneca</x:v>
      </x:c>
      <x:c r="E97" s="2" t="n">
        <x:v>0</x:v>
      </x:c>
      <x:c r="F97" s="2" t="str">
        <x:v>https://clinicaltrials.gov/study/NCT02918071</x:v>
      </x:c>
      <x:c r="G9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98" ht="23" customHeight="1">
      <x:c r="A98" s="2" t="str">
        <x:v>AstraZeneca</x:v>
      </x:c>
      <x:c r="B98" s="2" t="str">
        <x:v>2015-19</x:v>
      </x:c>
      <x:c r="C98" s="2" t="str">
        <x:v>NCT02463071</x:v>
      </x:c>
      <x:c r="D98" s="2" t="str">
        <x:v>AstraZeneca</x:v>
      </x:c>
      <x:c r="E98" s="2" t="n">
        <x:v>0</x:v>
      </x:c>
      <x:c r="F98" s="2" t="str">
        <x:v>https://clinicaltrials.gov/study/NCT02463071</x:v>
      </x:c>
      <x:c r="G9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99" ht="23" customHeight="1">
      <x:c r="A99" s="2" t="str">
        <x:v>AstraZeneca</x:v>
      </x:c>
      <x:c r="B99" s="2" t="str">
        <x:v>2015-19</x:v>
      </x:c>
      <x:c r="C99" s="2" t="str">
        <x:v>NCT04008706</x:v>
      </x:c>
      <x:c r="D99" s="2" t="str">
        <x:v>AstraZeneca</x:v>
      </x:c>
      <x:c r="E99" s="2" t="n">
        <x:v>0</x:v>
      </x:c>
      <x:c r="F99" s="2" t="str">
        <x:v>https://clinicaltrials.gov/study/NCT04008706</x:v>
      </x:c>
      <x:c r="G9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00" ht="23" customHeight="1">
      <x:c r="A100" s="2" t="str">
        <x:v>AstraZeneca</x:v>
      </x:c>
      <x:c r="B100" s="2" t="str">
        <x:v>2015-19</x:v>
      </x:c>
      <x:c r="C100" s="2" t="str">
        <x:v>NCT02446899</x:v>
      </x:c>
      <x:c r="D100" s="2" t="str">
        <x:v>AstraZeneca</x:v>
      </x:c>
      <x:c r="E100" s="2" t="n">
        <x:v>0</x:v>
      </x:c>
      <x:c r="F100" s="2" t="str">
        <x:v>https://clinicaltrials.gov/study/NCT02446899</x:v>
      </x:c>
      <x:c r="G10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01" ht="23" customHeight="1">
      <x:c r="A101" s="2" t="str">
        <x:v>AstraZeneca</x:v>
      </x:c>
      <x:c r="B101" s="2" t="str">
        <x:v>2015-19</x:v>
      </x:c>
      <x:c r="C101" s="2" t="str">
        <x:v>NCT03748823</x:v>
      </x:c>
      <x:c r="D101" s="2" t="str">
        <x:v>Alexion Pharmaceuticals, Inc.</x:v>
      </x:c>
      <x:c r="E101" s="2" t="n">
        <x:v>0</x:v>
      </x:c>
      <x:c r="F101" s="2" t="str">
        <x:v>https://clinicaltrials.gov/study/NCT03748823</x:v>
      </x:c>
      <x:c r="G10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02" ht="23" customHeight="1">
      <x:c r="A102" s="2" t="str">
        <x:v>AstraZeneca</x:v>
      </x:c>
      <x:c r="B102" s="2" t="str">
        <x:v>2015-19</x:v>
      </x:c>
      <x:c r="C102" s="2" t="str">
        <x:v>NCT04201262</x:v>
      </x:c>
      <x:c r="D102" s="2" t="str">
        <x:v>Alexion Pharmaceuticals, Inc.</x:v>
      </x:c>
      <x:c r="E102" s="2" t="n">
        <x:v>0</x:v>
      </x:c>
      <x:c r="F102" s="2" t="str">
        <x:v>https://clinicaltrials.gov/study/NCT04201262</x:v>
      </x:c>
      <x:c r="G10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03" ht="23" customHeight="1">
      <x:c r="A103" s="2" t="str">
        <x:v>AstraZeneca</x:v>
      </x:c>
      <x:c r="B103" s="2" t="str">
        <x:v>2015-19</x:v>
      </x:c>
      <x:c r="C103" s="2" t="str">
        <x:v>NCT02453282</x:v>
      </x:c>
      <x:c r="D103" s="2" t="str">
        <x:v>AstraZeneca</x:v>
      </x:c>
      <x:c r="E103" s="2" t="n">
        <x:v>0</x:v>
      </x:c>
      <x:c r="F103" s="2" t="str">
        <x:v>https://clinicaltrials.gov/study/NCT02453282</x:v>
      </x:c>
      <x:c r="G10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04" ht="23" customHeight="1">
      <x:c r="A104" s="2" t="str">
        <x:v>AstraZeneca</x:v>
      </x:c>
      <x:c r="B104" s="2" t="str">
        <x:v>2015-19</x:v>
      </x:c>
      <x:c r="C104" s="2" t="str">
        <x:v>NCT03968978</x:v>
      </x:c>
      <x:c r="D104" s="2" t="str">
        <x:v>AstraZeneca</x:v>
      </x:c>
      <x:c r="E104" s="2" t="n">
        <x:v>0</x:v>
      </x:c>
      <x:c r="F104" s="2" t="str">
        <x:v>https://clinicaltrials.gov/study/NCT03968978</x:v>
      </x:c>
      <x:c r="G10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05" ht="23" customHeight="1">
      <x:c r="A105" s="2" t="str">
        <x:v>AstraZeneca</x:v>
      </x:c>
      <x:c r="B105" s="2" t="str">
        <x:v>2015-19</x:v>
      </x:c>
      <x:c r="C105" s="2" t="str">
        <x:v>NCT04155424</x:v>
      </x:c>
      <x:c r="D105" s="2" t="str">
        <x:v>Alexion Pharmaceuticals, Inc.</x:v>
      </x:c>
      <x:c r="E105" s="2" t="n">
        <x:v>0</x:v>
      </x:c>
      <x:c r="F105" s="2" t="str">
        <x:v>https://clinicaltrials.gov/study/NCT04155424</x:v>
      </x:c>
      <x:c r="G10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06" ht="23" customHeight="1">
      <x:c r="A106" s="2" t="str">
        <x:v>AstraZeneca</x:v>
      </x:c>
      <x:c r="B106" s="2" t="str">
        <x:v>2015-19</x:v>
      </x:c>
      <x:c r="C106" s="2" t="str">
        <x:v>NCT03759288</x:v>
      </x:c>
      <x:c r="D106" s="2" t="str">
        <x:v>AstraZeneca</x:v>
      </x:c>
      <x:c r="E106" s="2" t="n">
        <x:v>1</x:v>
      </x:c>
      <x:c r="F106" s="2" t="str">
        <x:v>https://clinicaltrials.gov/study/NCT03759288</x:v>
      </x:c>
      <x:c r="G10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07" ht="23" customHeight="1">
      <x:c r="A107" s="2" t="str">
        <x:v>AstraZeneca</x:v>
      </x:c>
      <x:c r="B107" s="2" t="str">
        <x:v>2015-19</x:v>
      </x:c>
      <x:c r="C107" s="2" t="str">
        <x:v>NCT03521154</x:v>
      </x:c>
      <x:c r="D107" s="2" t="str">
        <x:v>AstraZeneca</x:v>
      </x:c>
      <x:c r="E107" s="2" t="n">
        <x:v>1</x:v>
      </x:c>
      <x:c r="F107" s="2" t="str">
        <x:v>https://clinicaltrials.gov/study/NCT03521154</x:v>
      </x:c>
      <x:c r="G10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08" ht="23" customHeight="1">
      <x:c r="A108" s="2" t="str">
        <x:v>AstraZeneca</x:v>
      </x:c>
      <x:c r="B108" s="2" t="str">
        <x:v>2015-19</x:v>
      </x:c>
      <x:c r="C108" s="2" t="str">
        <x:v>NCT03619213</x:v>
      </x:c>
      <x:c r="D108" s="2" t="str">
        <x:v>AstraZeneca</x:v>
      </x:c>
      <x:c r="E108" s="2" t="n">
        <x:v>0</x:v>
      </x:c>
      <x:c r="F108" s="2" t="str">
        <x:v>https://clinicaltrials.gov/study/NCT03619213</x:v>
      </x:c>
      <x:c r="G10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09" ht="23" customHeight="1">
      <x:c r="A109" s="2" t="str">
        <x:v>AstraZeneca</x:v>
      </x:c>
      <x:c r="B109" s="2" t="str">
        <x:v>2015-19</x:v>
      </x:c>
      <x:c r="C109" s="2" t="str">
        <x:v>NCT02516241</x:v>
      </x:c>
      <x:c r="D109" s="2" t="str">
        <x:v>AstraZeneca</x:v>
      </x:c>
      <x:c r="E109" s="2" t="n">
        <x:v>0</x:v>
      </x:c>
      <x:c r="F109" s="2" t="str">
        <x:v>https://clinicaltrials.gov/study/NCT02516241</x:v>
      </x:c>
      <x:c r="G10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10" ht="23" customHeight="1">
      <x:c r="A110" s="2" t="str">
        <x:v>AstraZeneca</x:v>
      </x:c>
      <x:c r="B110" s="2" t="str">
        <x:v>2015-19</x:v>
      </x:c>
      <x:c r="C110" s="2" t="str">
        <x:v>NCT02542293</x:v>
      </x:c>
      <x:c r="D110" s="2" t="str">
        <x:v>AstraZeneca</x:v>
      </x:c>
      <x:c r="E110" s="2" t="n">
        <x:v>1</x:v>
      </x:c>
      <x:c r="F110" s="2" t="str">
        <x:v>https://clinicaltrials.gov/study/NCT02542293</x:v>
      </x:c>
      <x:c r="G11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11" ht="23" customHeight="1">
      <x:c r="A111" s="2" t="str">
        <x:v>AstraZeneca</x:v>
      </x:c>
      <x:c r="B111" s="2" t="str">
        <x:v>2015-19</x:v>
      </x:c>
      <x:c r="C111" s="2" t="str">
        <x:v>NCT03347279</x:v>
      </x:c>
      <x:c r="D111" s="2" t="str">
        <x:v>AstraZeneca</x:v>
      </x:c>
      <x:c r="E111" s="2" t="n">
        <x:v>0</x:v>
      </x:c>
      <x:c r="F111" s="2" t="str">
        <x:v>https://clinicaltrials.gov/study/NCT03347279</x:v>
      </x:c>
      <x:c r="G11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12" ht="23" customHeight="1">
      <x:c r="A112" s="2" t="str">
        <x:v>AstraZeneca</x:v>
      </x:c>
      <x:c r="B112" s="2" t="str">
        <x:v>2015-19</x:v>
      </x:c>
      <x:c r="C112" s="2" t="str">
        <x:v>NCT02783573</x:v>
      </x:c>
      <x:c r="D112" s="2" t="str">
        <x:v>AstraZeneca</x:v>
      </x:c>
      <x:c r="E112" s="2" t="n">
        <x:v>0</x:v>
      </x:c>
      <x:c r="F112" s="2" t="str">
        <x:v>https://clinicaltrials.gov/study/NCT02783573</x:v>
      </x:c>
      <x:c r="G11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13" ht="23" customHeight="1">
      <x:c r="A113" s="2" t="str">
        <x:v>AstraZeneca</x:v>
      </x:c>
      <x:c r="B113" s="2" t="str">
        <x:v>2015-19</x:v>
      </x:c>
      <x:c r="C113" s="2" t="str">
        <x:v>NCT02454933</x:v>
      </x:c>
      <x:c r="D113" s="2" t="str">
        <x:v>AstraZeneca</x:v>
      </x:c>
      <x:c r="E113" s="2" t="n">
        <x:v>0</x:v>
      </x:c>
      <x:c r="F113" s="2" t="str">
        <x:v>https://clinicaltrials.gov/study/NCT02454933</x:v>
      </x:c>
      <x:c r="G11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14" ht="23" customHeight="1">
      <x:c r="A114" s="2" t="str">
        <x:v>AstraZeneca</x:v>
      </x:c>
      <x:c r="B114" s="2" t="str">
        <x:v>2015-19</x:v>
      </x:c>
      <x:c r="C114" s="2" t="str">
        <x:v>NCT04048343</x:v>
      </x:c>
      <x:c r="D114" s="2" t="str">
        <x:v>AstraZeneca</x:v>
      </x:c>
      <x:c r="E114" s="2" t="n">
        <x:v>0</x:v>
      </x:c>
      <x:c r="F114" s="2" t="str">
        <x:v>https://clinicaltrials.gov/study/NCT04048343</x:v>
      </x:c>
      <x:c r="G11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15" ht="23" customHeight="1">
      <x:c r="A115" s="2" t="str">
        <x:v>AstraZeneca</x:v>
      </x:c>
      <x:c r="B115" s="2" t="str">
        <x:v>2015-19</x:v>
      </x:c>
      <x:c r="C115" s="2" t="str">
        <x:v>NCT03847428</x:v>
      </x:c>
      <x:c r="D115" s="2" t="str">
        <x:v>AstraZeneca</x:v>
      </x:c>
      <x:c r="E115" s="2" t="n">
        <x:v>1</x:v>
      </x:c>
      <x:c r="F115" s="2" t="str">
        <x:v>https://clinicaltrials.gov/study/NCT03847428</x:v>
      </x:c>
      <x:c r="G11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16" ht="23" customHeight="1">
      <x:c r="A116" s="2" t="str">
        <x:v>AstraZeneca</x:v>
      </x:c>
      <x:c r="B116" s="2" t="str">
        <x:v>2015-19</x:v>
      </x:c>
      <x:c r="C116" s="2" t="str">
        <x:v>NCT03553563</x:v>
      </x:c>
      <x:c r="D116" s="2" t="str">
        <x:v>AstraZeneca</x:v>
      </x:c>
      <x:c r="E116" s="2" t="n">
        <x:v>0</x:v>
      </x:c>
      <x:c r="F116" s="2" t="str">
        <x:v>https://clinicaltrials.gov/study/NCT03553563</x:v>
      </x:c>
      <x:c r="G11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17" ht="23" customHeight="1">
      <x:c r="A117" s="2" t="str">
        <x:v>AstraZeneca</x:v>
      </x:c>
      <x:c r="B117" s="2" t="str">
        <x:v>2015-19</x:v>
      </x:c>
      <x:c r="C117" s="2" t="str">
        <x:v>NCT02972658</x:v>
      </x:c>
      <x:c r="D117" s="2" t="str">
        <x:v>AstraZeneca</x:v>
      </x:c>
      <x:c r="E117" s="2" t="n">
        <x:v>0</x:v>
      </x:c>
      <x:c r="F117" s="2" t="str">
        <x:v>https://clinicaltrials.gov/study/NCT02972658</x:v>
      </x:c>
      <x:c r="G11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18" ht="23" customHeight="1">
      <x:c r="A118" s="2" t="str">
        <x:v>AstraZeneca</x:v>
      </x:c>
      <x:c r="B118" s="2" t="str">
        <x:v>2021-25</x:v>
      </x:c>
      <x:c r="C118" s="2" t="str">
        <x:v>NCT06067828</x:v>
      </x:c>
      <x:c r="D118" s="2" t="str">
        <x:v>AstraZeneca</x:v>
      </x:c>
      <x:c r="E118" s="2" t="n">
        <x:v>0</x:v>
      </x:c>
      <x:c r="F118" s="2" t="str">
        <x:v>https://clinicaltrials.gov/study/NCT06067828</x:v>
      </x:c>
      <x:c r="G11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19" ht="23" customHeight="1">
      <x:c r="A119" s="2" t="str">
        <x:v>AstraZeneca</x:v>
      </x:c>
      <x:c r="B119" s="2" t="str">
        <x:v>2021-25</x:v>
      </x:c>
      <x:c r="C119" s="2" t="str">
        <x:v>NCT06692738</x:v>
      </x:c>
      <x:c r="D119" s="2" t="str">
        <x:v>AstraZeneca</x:v>
      </x:c>
      <x:c r="E119" s="2" t="n">
        <x:v>1</x:v>
      </x:c>
      <x:c r="F119" s="2" t="str">
        <x:v>https://clinicaltrials.gov/study/NCT06692738</x:v>
      </x:c>
      <x:c r="G11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20" ht="23" customHeight="1">
      <x:c r="A120" s="2" t="str">
        <x:v>AstraZeneca</x:v>
      </x:c>
      <x:c r="B120" s="2" t="str">
        <x:v>2021-25</x:v>
      </x:c>
      <x:c r="C120" s="2" t="str">
        <x:v>NCT05573464</x:v>
      </x:c>
      <x:c r="D120" s="2" t="str">
        <x:v>AstraZeneca</x:v>
      </x:c>
      <x:c r="E120" s="2" t="n">
        <x:v>0</x:v>
      </x:c>
      <x:c r="F120" s="2" t="str">
        <x:v>https://clinicaltrials.gov/study/NCT05573464</x:v>
      </x:c>
      <x:c r="G12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21" ht="23" customHeight="1">
      <x:c r="A121" s="2" t="str">
        <x:v>AstraZeneca</x:v>
      </x:c>
      <x:c r="B121" s="2" t="str">
        <x:v>2021-25</x:v>
      </x:c>
      <x:c r="C121" s="2" t="str">
        <x:v>NCT04851964</x:v>
      </x:c>
      <x:c r="D121" s="2" t="str">
        <x:v>AstraZeneca</x:v>
      </x:c>
      <x:c r="E121" s="2" t="n">
        <x:v>0</x:v>
      </x:c>
      <x:c r="F121" s="2" t="str">
        <x:v>https://clinicaltrials.gov/study/NCT04851964</x:v>
      </x:c>
      <x:c r="G12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22" ht="23" customHeight="1">
      <x:c r="A122" s="2" t="str">
        <x:v>AstraZeneca</x:v>
      </x:c>
      <x:c r="B122" s="2" t="str">
        <x:v>2021-25</x:v>
      </x:c>
      <x:c r="C122" s="2" t="str">
        <x:v>NCT06350097</x:v>
      </x:c>
      <x:c r="D122" s="2" t="str">
        <x:v>AstraZeneca</x:v>
      </x:c>
      <x:c r="E122" s="2" t="n">
        <x:v>1</x:v>
      </x:c>
      <x:c r="F122" s="2" t="str">
        <x:v>https://clinicaltrials.gov/study/NCT06350097</x:v>
      </x:c>
      <x:c r="G12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23" ht="23" customHeight="1">
      <x:c r="A123" s="2" t="str">
        <x:v>AstraZeneca</x:v>
      </x:c>
      <x:c r="B123" s="2" t="str">
        <x:v>2021-25</x:v>
      </x:c>
      <x:c r="C123" s="2" t="str">
        <x:v>NCT05774951</x:v>
      </x:c>
      <x:c r="D123" s="2" t="str">
        <x:v>AstraZeneca</x:v>
      </x:c>
      <x:c r="E123" s="2" t="n">
        <x:v>1</x:v>
      </x:c>
      <x:c r="F123" s="2" t="str">
        <x:v>https://clinicaltrials.gov/study/NCT05774951</x:v>
      </x:c>
      <x:c r="G12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24" ht="23" customHeight="1">
      <x:c r="A124" s="2" t="str">
        <x:v>AstraZeneca</x:v>
      </x:c>
      <x:c r="B124" s="2" t="str">
        <x:v>2021-25</x:v>
      </x:c>
      <x:c r="C124" s="2" t="str">
        <x:v>NCT05104866</x:v>
      </x:c>
      <x:c r="D124" s="2" t="str">
        <x:v>AstraZeneca</x:v>
      </x:c>
      <x:c r="E124" s="2" t="n">
        <x:v>1</x:v>
      </x:c>
      <x:c r="F124" s="2" t="str">
        <x:v>https://clinicaltrials.gov/study/NCT05104866</x:v>
      </x:c>
      <x:c r="G12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25" ht="23" customHeight="1">
      <x:c r="A125" s="2" t="str">
        <x:v>AstraZeneca</x:v>
      </x:c>
      <x:c r="B125" s="2" t="str">
        <x:v>2021-25</x:v>
      </x:c>
      <x:c r="C125" s="2" t="str">
        <x:v>NCT04973449</x:v>
      </x:c>
      <x:c r="D125" s="2" t="str">
        <x:v>AstraZeneca</x:v>
      </x:c>
      <x:c r="E125" s="2" t="n">
        <x:v>0</x:v>
      </x:c>
      <x:c r="F125" s="2" t="str">
        <x:v>https://clinicaltrials.gov/study/NCT04973449</x:v>
      </x:c>
      <x:c r="G12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26" ht="23" customHeight="1">
      <x:c r="A126" s="2" t="str">
        <x:v>AstraZeneca</x:v>
      </x:c>
      <x:c r="B126" s="2" t="str">
        <x:v>2021-25</x:v>
      </x:c>
      <x:c r="C126" s="2" t="str">
        <x:v>NCT05835310</x:v>
      </x:c>
      <x:c r="D126" s="2" t="str">
        <x:v>AstraZeneca</x:v>
      </x:c>
      <x:c r="E126" s="2" t="n">
        <x:v>0</x:v>
      </x:c>
      <x:c r="F126" s="2" t="str">
        <x:v>https://clinicaltrials.gov/study/NCT05835310</x:v>
      </x:c>
      <x:c r="G12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27" ht="23" customHeight="1">
      <x:c r="A127" s="2" t="str">
        <x:v>AstraZeneca</x:v>
      </x:c>
      <x:c r="B127" s="2" t="str">
        <x:v>2021-25</x:v>
      </x:c>
      <x:c r="C127" s="2" t="str">
        <x:v>NCT05924880</x:v>
      </x:c>
      <x:c r="D127" s="2" t="str">
        <x:v>AstraZeneca</x:v>
      </x:c>
      <x:c r="E127" s="2" t="n">
        <x:v>0</x:v>
      </x:c>
      <x:c r="F127" s="2" t="str">
        <x:v>https://clinicaltrials.gov/study/NCT05924880</x:v>
      </x:c>
      <x:c r="G12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28" ht="23" customHeight="1">
      <x:c r="A128" s="2" t="str">
        <x:v>AstraZeneca</x:v>
      </x:c>
      <x:c r="B128" s="2" t="str">
        <x:v>2021-25</x:v>
      </x:c>
      <x:c r="C128" s="2" t="str">
        <x:v>NCT04739761</x:v>
      </x:c>
      <x:c r="D128" s="2" t="str">
        <x:v>AstraZeneca</x:v>
      </x:c>
      <x:c r="E128" s="2" t="n">
        <x:v>0</x:v>
      </x:c>
      <x:c r="F128" s="2" t="str">
        <x:v>https://clinicaltrials.gov/study/NCT04739761</x:v>
      </x:c>
      <x:c r="G12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29" ht="23" customHeight="1">
      <x:c r="A129" s="2" t="str">
        <x:v>AstraZeneca</x:v>
      </x:c>
      <x:c r="B129" s="2" t="str">
        <x:v>2021-25</x:v>
      </x:c>
      <x:c r="C129" s="2" t="str">
        <x:v>NCT05006573</x:v>
      </x:c>
      <x:c r="D129" s="2" t="str">
        <x:v>AstraZeneca</x:v>
      </x:c>
      <x:c r="E129" s="2" t="n">
        <x:v>1</x:v>
      </x:c>
      <x:c r="F129" s="2" t="str">
        <x:v>https://clinicaltrials.gov/study/NCT05006573</x:v>
      </x:c>
      <x:c r="G12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30" ht="23" customHeight="1">
      <x:c r="A130" s="2" t="str">
        <x:v>AstraZeneca</x:v>
      </x:c>
      <x:c r="B130" s="2" t="str">
        <x:v>2021-25</x:v>
      </x:c>
      <x:c r="C130" s="2" t="str">
        <x:v>NCT06268873</x:v>
      </x:c>
      <x:c r="D130" s="2" t="str">
        <x:v>AstraZeneca</x:v>
      </x:c>
      <x:c r="E130" s="2" t="n">
        <x:v>1</x:v>
      </x:c>
      <x:c r="F130" s="2" t="str">
        <x:v>https://clinicaltrials.gov/study/NCT06268873</x:v>
      </x:c>
      <x:c r="G13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31" ht="23" customHeight="1">
      <x:c r="A131" s="2" t="str">
        <x:v>AstraZeneca</x:v>
      </x:c>
      <x:c r="B131" s="2" t="str">
        <x:v>2021-25</x:v>
      </x:c>
      <x:c r="C131" s="2" t="str">
        <x:v>NCT06467357</x:v>
      </x:c>
      <x:c r="D131" s="2" t="str">
        <x:v>AstraZeneca</x:v>
      </x:c>
      <x:c r="E131" s="2" t="n">
        <x:v>1</x:v>
      </x:c>
      <x:c r="F131" s="2" t="str">
        <x:v>https://clinicaltrials.gov/study/NCT06467357</x:v>
      </x:c>
      <x:c r="G13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32" ht="23" customHeight="1">
      <x:c r="A132" s="2" t="str">
        <x:v>AstraZeneca</x:v>
      </x:c>
      <x:c r="B132" s="2" t="str">
        <x:v>2021-25</x:v>
      </x:c>
      <x:c r="C132" s="2" t="str">
        <x:v>NCT05267613</x:v>
      </x:c>
      <x:c r="D132" s="2" t="str">
        <x:v>AstraZeneca</x:v>
      </x:c>
      <x:c r="E132" s="2" t="n">
        <x:v>0</x:v>
      </x:c>
      <x:c r="F132" s="2" t="str">
        <x:v>https://clinicaltrials.gov/study/NCT05267613</x:v>
      </x:c>
      <x:c r="G13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33" ht="23" customHeight="1">
      <x:c r="A133" s="2" t="str">
        <x:v>AstraZeneca</x:v>
      </x:c>
      <x:c r="B133" s="2" t="str">
        <x:v>2021-25</x:v>
      </x:c>
      <x:c r="C133" s="2" t="str">
        <x:v>NCT06449001</x:v>
      </x:c>
      <x:c r="D133" s="2" t="str">
        <x:v>Alexion Pharmaceuticals, Inc.</x:v>
      </x:c>
      <x:c r="E133" s="2" t="n">
        <x:v>0</x:v>
      </x:c>
      <x:c r="F133" s="2" t="str">
        <x:v>https://clinicaltrials.gov/study/NCT06449001</x:v>
      </x:c>
      <x:c r="G13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34" ht="23" customHeight="1">
      <x:c r="A134" s="2" t="str">
        <x:v>AstraZeneca</x:v>
      </x:c>
      <x:c r="B134" s="2" t="str">
        <x:v>2021-25</x:v>
      </x:c>
      <x:c r="C134" s="2" t="str">
        <x:v>NCT06357533</x:v>
      </x:c>
      <x:c r="D134" s="2" t="str">
        <x:v>AstraZeneca</x:v>
      </x:c>
      <x:c r="E134" s="2" t="n">
        <x:v>1</x:v>
      </x:c>
      <x:c r="F134" s="2" t="str">
        <x:v>https://clinicaltrials.gov/study/NCT06357533</x:v>
      </x:c>
      <x:c r="G13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35" ht="23" customHeight="1">
      <x:c r="A135" s="2" t="str">
        <x:v>AstraZeneca</x:v>
      </x:c>
      <x:c r="B135" s="2" t="str">
        <x:v>2021-25</x:v>
      </x:c>
      <x:c r="C135" s="2" t="str">
        <x:v>NCT06868277</x:v>
      </x:c>
      <x:c r="D135" s="2" t="str">
        <x:v>AstraZeneca</x:v>
      </x:c>
      <x:c r="E135" s="2" t="n">
        <x:v>0</x:v>
      </x:c>
      <x:c r="F135" s="2" t="str">
        <x:v>https://clinicaltrials.gov/study/NCT06868277</x:v>
      </x:c>
      <x:c r="G13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36" ht="23" customHeight="1">
      <x:c r="A136" s="2" t="str">
        <x:v>AstraZeneca</x:v>
      </x:c>
      <x:c r="B136" s="2" t="str">
        <x:v>2021-25</x:v>
      </x:c>
      <x:c r="C136" s="2" t="str">
        <x:v>NCT05450692</x:v>
      </x:c>
      <x:c r="D136" s="2" t="str">
        <x:v>AstraZeneca</x:v>
      </x:c>
      <x:c r="E136" s="2" t="n">
        <x:v>1</x:v>
      </x:c>
      <x:c r="F136" s="2" t="str">
        <x:v>https://clinicaltrials.gov/study/NCT05450692</x:v>
      </x:c>
      <x:c r="G13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37" ht="23" customHeight="1">
      <x:c r="A137" s="2" t="str">
        <x:v>AstraZeneca</x:v>
      </x:c>
      <x:c r="B137" s="2" t="str">
        <x:v>2021-25</x:v>
      </x:c>
      <x:c r="C137" s="2" t="str">
        <x:v>NCT05171816</x:v>
      </x:c>
      <x:c r="D137" s="2" t="str">
        <x:v>AstraZeneca</x:v>
      </x:c>
      <x:c r="E137" s="2" t="n">
        <x:v>0</x:v>
      </x:c>
      <x:c r="F137" s="2" t="str">
        <x:v>https://clinicaltrials.gov/study/NCT05171816</x:v>
      </x:c>
      <x:c r="G13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38" ht="23" customHeight="1">
      <x:c r="A138" s="2" t="str">
        <x:v>AstraZeneca</x:v>
      </x:c>
      <x:c r="B138" s="2" t="str">
        <x:v>2021-25</x:v>
      </x:c>
      <x:c r="C138" s="2" t="str">
        <x:v>NCT05047523</x:v>
      </x:c>
      <x:c r="D138" s="2" t="str">
        <x:v>Alexion Pharmaceuticals, Inc.</x:v>
      </x:c>
      <x:c r="E138" s="2" t="n">
        <x:v>0</x:v>
      </x:c>
      <x:c r="F138" s="2" t="str">
        <x:v>https://clinicaltrials.gov/study/NCT05047523</x:v>
      </x:c>
      <x:c r="G13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39" ht="23" customHeight="1">
      <x:c r="A139" s="2" t="str">
        <x:v>AstraZeneca</x:v>
      </x:c>
      <x:c r="B139" s="2" t="str">
        <x:v>2021-25</x:v>
      </x:c>
      <x:c r="C139" s="2" t="str">
        <x:v>NCT06465485</x:v>
      </x:c>
      <x:c r="D139" s="2" t="str">
        <x:v>AstraZeneca</x:v>
      </x:c>
      <x:c r="E139" s="2" t="n">
        <x:v>0</x:v>
      </x:c>
      <x:c r="F139" s="2" t="str">
        <x:v>https://clinicaltrials.gov/study/NCT06465485</x:v>
      </x:c>
      <x:c r="G13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40" ht="23" customHeight="1">
      <x:c r="A140" s="2" t="str">
        <x:v>AstraZeneca</x:v>
      </x:c>
      <x:c r="B140" s="2" t="str">
        <x:v>2021-25</x:v>
      </x:c>
      <x:c r="C140" s="2" t="str">
        <x:v>NCT04924608</x:v>
      </x:c>
      <x:c r="D140" s="2" t="str">
        <x:v>AstraZeneca</x:v>
      </x:c>
      <x:c r="E140" s="2" t="n">
        <x:v>0</x:v>
      </x:c>
      <x:c r="F140" s="2" t="str">
        <x:v>https://clinicaltrials.gov/study/NCT04924608</x:v>
      </x:c>
      <x:c r="G14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41" ht="23" customHeight="1">
      <x:c r="A141" s="2" t="str">
        <x:v>AstraZeneca</x:v>
      </x:c>
      <x:c r="B141" s="2" t="str">
        <x:v>2021-25</x:v>
      </x:c>
      <x:c r="C141" s="2" t="str">
        <x:v>NCT07218809</x:v>
      </x:c>
      <x:c r="D141" s="2" t="str">
        <x:v>AstraZeneca</x:v>
      </x:c>
      <x:c r="E141" s="2" t="n">
        <x:v>1</x:v>
      </x:c>
      <x:c r="F141" s="2" t="str">
        <x:v>https://clinicaltrials.gov/study/NCT07218809</x:v>
      </x:c>
      <x:c r="G14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42" ht="23" customHeight="1">
      <x:c r="A142" s="2" t="str">
        <x:v>AstraZeneca</x:v>
      </x:c>
      <x:c r="B142" s="2" t="str">
        <x:v>2021-25</x:v>
      </x:c>
      <x:c r="C142" s="2" t="str">
        <x:v>NCT06724809</x:v>
      </x:c>
      <x:c r="D142" s="2" t="str">
        <x:v>Alexion Pharmaceuticals, Inc.</x:v>
      </x:c>
      <x:c r="E142" s="2" t="n">
        <x:v>0</x:v>
      </x:c>
      <x:c r="F142" s="2" t="str">
        <x:v>https://clinicaltrials.gov/study/NCT06724809</x:v>
      </x:c>
      <x:c r="G14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43" ht="23" customHeight="1">
      <x:c r="A143" s="2" t="str">
        <x:v>AstraZeneca</x:v>
      </x:c>
      <x:c r="B143" s="2" t="str">
        <x:v>2021-25</x:v>
      </x:c>
      <x:c r="C143" s="2" t="str">
        <x:v>NCT06023589</x:v>
      </x:c>
      <x:c r="D143" s="2" t="str">
        <x:v>AstraZeneca</x:v>
      </x:c>
      <x:c r="E143" s="2" t="n">
        <x:v>0</x:v>
      </x:c>
      <x:c r="F143" s="2" t="str">
        <x:v>https://clinicaltrials.gov/study/NCT06023589</x:v>
      </x:c>
      <x:c r="G14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44" ht="23" customHeight="1">
      <x:c r="A144" s="2" t="str">
        <x:v>AstraZeneca</x:v>
      </x:c>
      <x:c r="B144" s="2" t="str">
        <x:v>2021-25</x:v>
      </x:c>
      <x:c r="C144" s="2" t="str">
        <x:v>NCT05261399</x:v>
      </x:c>
      <x:c r="D144" s="2" t="str">
        <x:v>AstraZeneca</x:v>
      </x:c>
      <x:c r="E144" s="2" t="n">
        <x:v>0</x:v>
      </x:c>
      <x:c r="F144" s="2" t="str">
        <x:v>https://clinicaltrials.gov/study/NCT05261399</x:v>
      </x:c>
      <x:c r="G14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45" ht="23" customHeight="1">
      <x:c r="A145" s="2" t="str">
        <x:v>AstraZeneca</x:v>
      </x:c>
      <x:c r="B145" s="2" t="str">
        <x:v>2021-25</x:v>
      </x:c>
      <x:c r="C145" s="2" t="str">
        <x:v>NCT06830798</x:v>
      </x:c>
      <x:c r="D145" s="2" t="str">
        <x:v>Alexion Pharmaceuticals, Inc.</x:v>
      </x:c>
      <x:c r="E145" s="2" t="n">
        <x:v>0</x:v>
      </x:c>
      <x:c r="F145" s="2" t="str">
        <x:v>https://clinicaltrials.gov/study/NCT06830798</x:v>
      </x:c>
      <x:c r="G14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46" ht="23" customHeight="1">
      <x:c r="A146" s="2" t="str">
        <x:v>AstraZeneca</x:v>
      </x:c>
      <x:c r="B146" s="2" t="str">
        <x:v>2021-25</x:v>
      </x:c>
      <x:c r="C146" s="2" t="str">
        <x:v>NCT06344104</x:v>
      </x:c>
      <x:c r="D146" s="2" t="str">
        <x:v>AstraZeneca</x:v>
      </x:c>
      <x:c r="E146" s="2" t="n">
        <x:v>1</x:v>
      </x:c>
      <x:c r="F146" s="2" t="str">
        <x:v>https://clinicaltrials.gov/study/NCT06344104</x:v>
      </x:c>
      <x:c r="G14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47" ht="23" customHeight="1">
      <x:c r="A147" s="2" t="str">
        <x:v>AstraZeneca</x:v>
      </x:c>
      <x:c r="B147" s="2" t="str">
        <x:v>2021-25</x:v>
      </x:c>
      <x:c r="C147" s="2" t="str">
        <x:v>NCT06194825</x:v>
      </x:c>
      <x:c r="D147" s="2" t="str">
        <x:v>AstraZeneca</x:v>
      </x:c>
      <x:c r="E147" s="2" t="n">
        <x:v>0</x:v>
      </x:c>
      <x:c r="F147" s="2" t="str">
        <x:v>https://clinicaltrials.gov/study/NCT06194825</x:v>
      </x:c>
      <x:c r="G14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48" ht="23" customHeight="1">
      <x:c r="A148" s="2" t="str">
        <x:v>AstraZeneca</x:v>
      </x:c>
      <x:c r="B148" s="2" t="str">
        <x:v>2021-25</x:v>
      </x:c>
      <x:c r="C148" s="2" t="str">
        <x:v>NCT06040086</x:v>
      </x:c>
      <x:c r="D148" s="2" t="str">
        <x:v>AstraZeneca</x:v>
      </x:c>
      <x:c r="E148" s="2" t="n">
        <x:v>1</x:v>
      </x:c>
      <x:c r="F148" s="2" t="str">
        <x:v>https://clinicaltrials.gov/study/NCT06040086</x:v>
      </x:c>
      <x:c r="G14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49" ht="23" customHeight="1">
      <x:c r="A149" s="2" t="str">
        <x:v>AstraZeneca</x:v>
      </x:c>
      <x:c r="B149" s="2" t="str">
        <x:v>2021-25</x:v>
      </x:c>
      <x:c r="C149" s="2" t="str">
        <x:v>NCT06883305</x:v>
      </x:c>
      <x:c r="D149" s="2" t="str">
        <x:v>AstraZeneca</x:v>
      </x:c>
      <x:c r="E149" s="2" t="n">
        <x:v>1</x:v>
      </x:c>
      <x:c r="F149" s="2" t="str">
        <x:v>https://clinicaltrials.gov/study/NCT06883305</x:v>
      </x:c>
      <x:c r="G14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50" ht="23" customHeight="1">
      <x:c r="A150" s="2" t="str">
        <x:v>AstraZeneca</x:v>
      </x:c>
      <x:c r="B150" s="2" t="str">
        <x:v>2021-25</x:v>
      </x:c>
      <x:c r="C150" s="2" t="str">
        <x:v>NCT06878261</x:v>
      </x:c>
      <x:c r="D150" s="2" t="str">
        <x:v>AstraZeneca</x:v>
      </x:c>
      <x:c r="E150" s="2" t="n">
        <x:v>0</x:v>
      </x:c>
      <x:c r="F150" s="2" t="str">
        <x:v>https://clinicaltrials.gov/study/NCT06878261</x:v>
      </x:c>
      <x:c r="G15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51" ht="23" customHeight="1">
      <x:c r="A151" s="2" t="str">
        <x:v>AstraZeneca</x:v>
      </x:c>
      <x:c r="B151" s="2" t="str">
        <x:v>2021-25</x:v>
      </x:c>
      <x:c r="C151" s="2" t="str">
        <x:v>NCT04999020</x:v>
      </x:c>
      <x:c r="D151" s="2" t="str">
        <x:v>Alexion Pharmaceuticals, Inc.</x:v>
      </x:c>
      <x:c r="E151" s="2" t="n">
        <x:v>0</x:v>
      </x:c>
      <x:c r="F151" s="2" t="str">
        <x:v>https://clinicaltrials.gov/study/NCT04999020</x:v>
      </x:c>
      <x:c r="G15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52" ht="23" customHeight="1">
      <x:c r="A152" s="2" t="str">
        <x:v>AstraZeneca</x:v>
      </x:c>
      <x:c r="B152" s="2" t="str">
        <x:v>2021-25</x:v>
      </x:c>
      <x:c r="C152" s="2" t="str">
        <x:v>NCT06746116</x:v>
      </x:c>
      <x:c r="D152" s="2" t="str">
        <x:v>AstraZeneca</x:v>
      </x:c>
      <x:c r="E152" s="2" t="n">
        <x:v>0</x:v>
      </x:c>
      <x:c r="F152" s="2" t="str">
        <x:v>https://clinicaltrials.gov/study/NCT06746116</x:v>
      </x:c>
      <x:c r="G15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53" ht="23" customHeight="1">
      <x:c r="A153" s="2" t="str">
        <x:v>AstraZeneca</x:v>
      </x:c>
      <x:c r="B153" s="2" t="str">
        <x:v>2021-25</x:v>
      </x:c>
      <x:c r="C153" s="2" t="str">
        <x:v>NCT07024563</x:v>
      </x:c>
      <x:c r="D153" s="2" t="str">
        <x:v>Alexion Pharmaceuticals, Inc.</x:v>
      </x:c>
      <x:c r="E153" s="2" t="n">
        <x:v>0</x:v>
      </x:c>
      <x:c r="F153" s="2" t="str">
        <x:v>https://clinicaltrials.gov/study/NCT07024563</x:v>
      </x:c>
      <x:c r="G15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54" ht="23" customHeight="1">
      <x:c r="A154" s="2" t="str">
        <x:v>AstraZeneca</x:v>
      </x:c>
      <x:c r="B154" s="2" t="str">
        <x:v>2021-25</x:v>
      </x:c>
      <x:c r="C154" s="2" t="str">
        <x:v>NCT05113251</x:v>
      </x:c>
      <x:c r="D154" s="2" t="str">
        <x:v>AstraZeneca</x:v>
      </x:c>
      <x:c r="E154" s="2" t="n">
        <x:v>1</x:v>
      </x:c>
      <x:c r="F154" s="2" t="str">
        <x:v>https://clinicaltrials.gov/study/NCT05113251</x:v>
      </x:c>
      <x:c r="G15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55" ht="23" customHeight="1">
      <x:c r="A155" s="2" t="str">
        <x:v>AstraZeneca</x:v>
      </x:c>
      <x:c r="B155" s="2" t="str">
        <x:v>2021-25</x:v>
      </x:c>
      <x:c r="C155" s="2" t="str">
        <x:v>NCT04743804</x:v>
      </x:c>
      <x:c r="D155" s="2" t="str">
        <x:v>Alexion Pharmaceuticals, Inc.</x:v>
      </x:c>
      <x:c r="E155" s="2" t="n">
        <x:v>0</x:v>
      </x:c>
      <x:c r="F155" s="2" t="str">
        <x:v>https://clinicaltrials.gov/study/NCT04743804</x:v>
      </x:c>
      <x:c r="G15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56" ht="23" customHeight="1">
      <x:c r="A156" s="2" t="str">
        <x:v>AstraZeneca</x:v>
      </x:c>
      <x:c r="B156" s="2" t="str">
        <x:v>2021-25</x:v>
      </x:c>
      <x:c r="C156" s="2" t="str">
        <x:v>NCT06103864</x:v>
      </x:c>
      <x:c r="D156" s="2" t="str">
        <x:v>AstraZeneca</x:v>
      </x:c>
      <x:c r="E156" s="2" t="n">
        <x:v>1</x:v>
      </x:c>
      <x:c r="F156" s="2" t="str">
        <x:v>https://clinicaltrials.gov/study/NCT06103864</x:v>
      </x:c>
      <x:c r="G15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57" ht="23" customHeight="1">
      <x:c r="A157" s="2" t="str">
        <x:v>AstraZeneca</x:v>
      </x:c>
      <x:c r="B157" s="2" t="str">
        <x:v>2021-25</x:v>
      </x:c>
      <x:c r="C157" s="2" t="str">
        <x:v>NCT07291037</x:v>
      </x:c>
      <x:c r="D157" s="2" t="str">
        <x:v>AstraZeneca</x:v>
      </x:c>
      <x:c r="E157" s="2" t="n">
        <x:v>1</x:v>
      </x:c>
      <x:c r="F157" s="2" t="str">
        <x:v>https://clinicaltrials.gov/study/NCT07291037</x:v>
      </x:c>
      <x:c r="G15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58" ht="23" customHeight="1">
      <x:c r="A158" s="2" t="str">
        <x:v>AstraZeneca</x:v>
      </x:c>
      <x:c r="B158" s="2" t="str">
        <x:v>2021-25</x:v>
      </x:c>
      <x:c r="C158" s="2" t="str">
        <x:v>NCT05398263</x:v>
      </x:c>
      <x:c r="D158" s="2" t="str">
        <x:v>AstraZeneca</x:v>
      </x:c>
      <x:c r="E158" s="2" t="n">
        <x:v>1</x:v>
      </x:c>
      <x:c r="F158" s="2" t="str">
        <x:v>https://clinicaltrials.gov/study/NCT05398263</x:v>
      </x:c>
      <x:c r="G15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59" ht="23" customHeight="1">
      <x:c r="A159" s="2" t="str">
        <x:v>AstraZeneca</x:v>
      </x:c>
      <x:c r="B159" s="2" t="str">
        <x:v>2021-25</x:v>
      </x:c>
      <x:c r="C159" s="2" t="str">
        <x:v>NCT06564844</x:v>
      </x:c>
      <x:c r="D159" s="2" t="str">
        <x:v>AstraZeneca</x:v>
      </x:c>
      <x:c r="E159" s="2" t="n">
        <x:v>0</x:v>
      </x:c>
      <x:c r="F159" s="2" t="str">
        <x:v>https://clinicaltrials.gov/study/NCT06564844</x:v>
      </x:c>
      <x:c r="G15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60" ht="23" customHeight="1">
      <x:c r="A160" s="2" t="str">
        <x:v>AstraZeneca</x:v>
      </x:c>
      <x:c r="B160" s="2" t="str">
        <x:v>2021-25</x:v>
      </x:c>
      <x:c r="C160" s="2" t="str">
        <x:v>NCT05138133</x:v>
      </x:c>
      <x:c r="D160" s="2" t="str">
        <x:v>AstraZeneca</x:v>
      </x:c>
      <x:c r="E160" s="2" t="n">
        <x:v>1</x:v>
      </x:c>
      <x:c r="F160" s="2" t="str">
        <x:v>https://clinicaltrials.gov/study/NCT05138133</x:v>
      </x:c>
      <x:c r="G16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61" ht="23" customHeight="1">
      <x:c r="A161" s="2" t="str">
        <x:v>AstraZeneca</x:v>
      </x:c>
      <x:c r="B161" s="2" t="str">
        <x:v>2021-25</x:v>
      </x:c>
      <x:c r="C161" s="2" t="str">
        <x:v>NCT05952557</x:v>
      </x:c>
      <x:c r="D161" s="2" t="str">
        <x:v>AstraZeneca</x:v>
      </x:c>
      <x:c r="E161" s="2" t="n">
        <x:v>1</x:v>
      </x:c>
      <x:c r="F161" s="2" t="str">
        <x:v>https://clinicaltrials.gov/study/NCT05952557</x:v>
      </x:c>
      <x:c r="G16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62" ht="23" customHeight="1">
      <x:c r="A162" s="2" t="str">
        <x:v>AstraZeneca</x:v>
      </x:c>
      <x:c r="B162" s="2" t="str">
        <x:v>2021-25</x:v>
      </x:c>
      <x:c r="C162" s="2" t="str">
        <x:v>NCT06034743</x:v>
      </x:c>
      <x:c r="D162" s="2" t="str">
        <x:v>AstraZeneca</x:v>
      </x:c>
      <x:c r="E162" s="2" t="n">
        <x:v>1</x:v>
      </x:c>
      <x:c r="F162" s="2" t="str">
        <x:v>https://clinicaltrials.gov/study/NCT06034743</x:v>
      </x:c>
      <x:c r="G16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63" ht="23" customHeight="1">
      <x:c r="A163" s="2" t="str">
        <x:v>AstraZeneca</x:v>
      </x:c>
      <x:c r="B163" s="2" t="str">
        <x:v>2021-25</x:v>
      </x:c>
      <x:c r="C163" s="2" t="str">
        <x:v>NCT06075095</x:v>
      </x:c>
      <x:c r="D163" s="2" t="str">
        <x:v>AstraZeneca</x:v>
      </x:c>
      <x:c r="E163" s="2" t="n">
        <x:v>1</x:v>
      </x:c>
      <x:c r="F163" s="2" t="str">
        <x:v>https://clinicaltrials.gov/study/NCT06075095</x:v>
      </x:c>
      <x:c r="G16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64" ht="23" customHeight="1">
      <x:c r="A164" s="2" t="str">
        <x:v>AstraZeneca</x:v>
      </x:c>
      <x:c r="B164" s="2" t="str">
        <x:v>2021-25</x:v>
      </x:c>
      <x:c r="C164" s="2" t="str">
        <x:v>NCT05886244</x:v>
      </x:c>
      <x:c r="D164" s="2" t="str">
        <x:v>Alexion Pharmaceuticals, Inc.</x:v>
      </x:c>
      <x:c r="E164" s="2" t="n">
        <x:v>0</x:v>
      </x:c>
      <x:c r="F164" s="2" t="str">
        <x:v>https://clinicaltrials.gov/study/NCT05886244</x:v>
      </x:c>
      <x:c r="G16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65" ht="23" customHeight="1">
      <x:c r="A165" s="2" t="str">
        <x:v>AstraZeneca</x:v>
      </x:c>
      <x:c r="B165" s="2" t="str">
        <x:v>2021-25</x:v>
      </x:c>
      <x:c r="C165" s="2" t="str">
        <x:v>NCT05883644</x:v>
      </x:c>
      <x:c r="D165" s="2" t="str">
        <x:v>AstraZeneca</x:v>
      </x:c>
      <x:c r="E165" s="2" t="n">
        <x:v>0</x:v>
      </x:c>
      <x:c r="F165" s="2" t="str">
        <x:v>https://clinicaltrials.gov/study/NCT05883644</x:v>
      </x:c>
      <x:c r="G16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66" ht="23" customHeight="1">
      <x:c r="A166" s="2" t="str">
        <x:v>AstraZeneca</x:v>
      </x:c>
      <x:c r="B166" s="2" t="str">
        <x:v>2021-25</x:v>
      </x:c>
      <x:c r="C166" s="2" t="str">
        <x:v>NCT05301842</x:v>
      </x:c>
      <x:c r="D166" s="2" t="str">
        <x:v>AstraZeneca</x:v>
      </x:c>
      <x:c r="E166" s="2" t="n">
        <x:v>1</x:v>
      </x:c>
      <x:c r="F166" s="2" t="str">
        <x:v>https://clinicaltrials.gov/study/NCT05301842</x:v>
      </x:c>
      <x:c r="G16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67" ht="23" customHeight="1">
      <x:c r="A167" s="2" t="str">
        <x:v>AstraZeneca</x:v>
      </x:c>
      <x:c r="B167" s="2" t="str">
        <x:v>2021-25</x:v>
      </x:c>
      <x:c r="C167" s="2" t="str">
        <x:v>NCT05048797</x:v>
      </x:c>
      <x:c r="D167" s="2" t="str">
        <x:v>AstraZeneca</x:v>
      </x:c>
      <x:c r="E167" s="2" t="n">
        <x:v>1</x:v>
      </x:c>
      <x:c r="F167" s="2" t="str">
        <x:v>https://clinicaltrials.gov/study/NCT05048797</x:v>
      </x:c>
      <x:c r="G16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68" ht="23" customHeight="1">
      <x:c r="A168" s="2" t="str">
        <x:v>AstraZeneca</x:v>
      </x:c>
      <x:c r="B168" s="2" t="str">
        <x:v>2021-25</x:v>
      </x:c>
      <x:c r="C168" s="2" t="str">
        <x:v>NCT05648110</x:v>
      </x:c>
      <x:c r="D168" s="2" t="str">
        <x:v>AstraZeneca</x:v>
      </x:c>
      <x:c r="E168" s="2" t="n">
        <x:v>0</x:v>
      </x:c>
      <x:c r="F168" s="2" t="str">
        <x:v>https://clinicaltrials.gov/study/NCT05648110</x:v>
      </x:c>
      <x:c r="G16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69" ht="23" customHeight="1">
      <x:c r="A169" s="2" t="str">
        <x:v>AstraZeneca</x:v>
      </x:c>
      <x:c r="B169" s="2" t="str">
        <x:v>2021-25</x:v>
      </x:c>
      <x:c r="C169" s="2" t="str">
        <x:v>NCT06380751</x:v>
      </x:c>
      <x:c r="D169" s="2" t="str">
        <x:v>AstraZeneca</x:v>
      </x:c>
      <x:c r="E169" s="2" t="n">
        <x:v>1</x:v>
      </x:c>
      <x:c r="F169" s="2" t="str">
        <x:v>https://clinicaltrials.gov/study/NCT06380751</x:v>
      </x:c>
      <x:c r="G16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70" ht="23" customHeight="1">
      <x:c r="A170" s="2" t="str">
        <x:v>AstraZeneca</x:v>
      </x:c>
      <x:c r="B170" s="2" t="str">
        <x:v>2021-25</x:v>
      </x:c>
      <x:c r="C170" s="2" t="str">
        <x:v>NCT05166889</x:v>
      </x:c>
      <x:c r="D170" s="2" t="str">
        <x:v>AstraZeneca</x:v>
      </x:c>
      <x:c r="E170" s="2" t="n">
        <x:v>1</x:v>
      </x:c>
      <x:c r="F170" s="2" t="str">
        <x:v>https://clinicaltrials.gov/study/NCT05166889</x:v>
      </x:c>
      <x:c r="G17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71" ht="23" customHeight="1">
      <x:c r="A171" s="2" t="str">
        <x:v>AstraZeneca</x:v>
      </x:c>
      <x:c r="B171" s="2" t="str">
        <x:v>2021-25</x:v>
      </x:c>
      <x:c r="C171" s="2" t="str">
        <x:v>NCT06764186</x:v>
      </x:c>
      <x:c r="D171" s="2" t="str">
        <x:v>AstraZeneca</x:v>
      </x:c>
      <x:c r="E171" s="2" t="n">
        <x:v>0</x:v>
      </x:c>
      <x:c r="F171" s="2" t="str">
        <x:v>https://clinicaltrials.gov/study/NCT06764186</x:v>
      </x:c>
      <x:c r="G17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72" ht="23" customHeight="1">
      <x:c r="A172" s="2" t="str">
        <x:v>AstraZeneca</x:v>
      </x:c>
      <x:c r="B172" s="2" t="str">
        <x:v>2021-25</x:v>
      </x:c>
      <x:c r="C172" s="2" t="str">
        <x:v>NCT06245551</x:v>
      </x:c>
      <x:c r="D172" s="2" t="str">
        <x:v>AstraZeneca</x:v>
      </x:c>
      <x:c r="E172" s="2" t="n">
        <x:v>0</x:v>
      </x:c>
      <x:c r="F172" s="2" t="str">
        <x:v>https://clinicaltrials.gov/study/NCT06245551</x:v>
      </x:c>
      <x:c r="G17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73" ht="23" customHeight="1">
      <x:c r="A173" s="2" t="str">
        <x:v>AstraZeneca</x:v>
      </x:c>
      <x:c r="B173" s="2" t="str">
        <x:v>2021-25</x:v>
      </x:c>
      <x:c r="C173" s="2" t="str">
        <x:v>NCT06635447</x:v>
      </x:c>
      <x:c r="D173" s="2" t="str">
        <x:v>AstraZeneca</x:v>
      </x:c>
      <x:c r="E173" s="2" t="n">
        <x:v>0</x:v>
      </x:c>
      <x:c r="F173" s="2" t="str">
        <x:v>https://clinicaltrials.gov/study/NCT06635447</x:v>
      </x:c>
      <x:c r="G17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74" ht="23" customHeight="1">
      <x:c r="A174" s="2" t="str">
        <x:v>AstraZeneca</x:v>
      </x:c>
      <x:c r="B174" s="2" t="str">
        <x:v>2021-25</x:v>
      </x:c>
      <x:c r="C174" s="2" t="str">
        <x:v>NCT05755932</x:v>
      </x:c>
      <x:c r="D174" s="2" t="str">
        <x:v>AstraZeneca</x:v>
      </x:c>
      <x:c r="E174" s="2" t="n">
        <x:v>0</x:v>
      </x:c>
      <x:c r="F174" s="2" t="str">
        <x:v>https://clinicaltrials.gov/study/NCT05755932</x:v>
      </x:c>
      <x:c r="G17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75" ht="23" customHeight="1">
      <x:c r="A175" s="2" t="str">
        <x:v>AstraZeneca</x:v>
      </x:c>
      <x:c r="B175" s="2" t="str">
        <x:v>2021-25</x:v>
      </x:c>
      <x:c r="C175" s="2" t="str">
        <x:v>NCT04847232</x:v>
      </x:c>
      <x:c r="D175" s="2" t="str">
        <x:v>AstraZeneca</x:v>
      </x:c>
      <x:c r="E175" s="2" t="n">
        <x:v>1</x:v>
      </x:c>
      <x:c r="F175" s="2" t="str">
        <x:v>https://clinicaltrials.gov/study/NCT04847232</x:v>
      </x:c>
      <x:c r="G17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76" ht="23" customHeight="1">
      <x:c r="A176" s="2" t="str">
        <x:v>AstraZeneca</x:v>
      </x:c>
      <x:c r="B176" s="2" t="str">
        <x:v>2021-25</x:v>
      </x:c>
      <x:c r="C176" s="2" t="str">
        <x:v>NCT05583227</x:v>
      </x:c>
      <x:c r="D176" s="2" t="str">
        <x:v>AstraZeneca</x:v>
      </x:c>
      <x:c r="E176" s="2" t="n">
        <x:v>0</x:v>
      </x:c>
      <x:c r="F176" s="2" t="str">
        <x:v>https://clinicaltrials.gov/study/NCT05583227</x:v>
      </x:c>
      <x:c r="G17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77" ht="23" customHeight="1">
      <x:c r="A177" s="2" t="str">
        <x:v>AstraZeneca</x:v>
      </x:c>
      <x:c r="B177" s="2" t="str">
        <x:v>2021-25</x:v>
      </x:c>
      <x:c r="C177" s="2" t="str">
        <x:v>NCT05348577</x:v>
      </x:c>
      <x:c r="D177" s="2" t="str">
        <x:v>AstraZeneca</x:v>
      </x:c>
      <x:c r="E177" s="2" t="n">
        <x:v>1</x:v>
      </x:c>
      <x:c r="F177" s="2" t="str">
        <x:v>https://clinicaltrials.gov/study/NCT05348577</x:v>
      </x:c>
      <x:c r="G17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78" ht="23" customHeight="1">
      <x:c r="A178" s="2" t="str">
        <x:v>AstraZeneca</x:v>
      </x:c>
      <x:c r="B178" s="2" t="str">
        <x:v>2021-25</x:v>
      </x:c>
      <x:c r="C178" s="2" t="str">
        <x:v>NCT05251909</x:v>
      </x:c>
      <x:c r="D178" s="2" t="str">
        <x:v>AstraZeneca</x:v>
      </x:c>
      <x:c r="E178" s="2" t="n">
        <x:v>0</x:v>
      </x:c>
      <x:c r="F178" s="2" t="str">
        <x:v>https://clinicaltrials.gov/study/NCT05251909</x:v>
      </x:c>
      <x:c r="G17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79" ht="23" customHeight="1">
      <x:c r="A179" s="2" t="str">
        <x:v>AstraZeneca</x:v>
      </x:c>
      <x:c r="B179" s="2" t="str">
        <x:v>2021-25</x:v>
      </x:c>
      <x:c r="C179" s="2" t="str">
        <x:v>NCT05057494</x:v>
      </x:c>
      <x:c r="D179" s="2" t="str">
        <x:v>AstraZeneca</x:v>
      </x:c>
      <x:c r="E179" s="2" t="n">
        <x:v>0</x:v>
      </x:c>
      <x:c r="F179" s="2" t="str">
        <x:v>https://clinicaltrials.gov/study/NCT05057494</x:v>
      </x:c>
      <x:c r="G17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80" ht="23" customHeight="1">
      <x:c r="A180" s="2" t="str">
        <x:v>AstraZeneca</x:v>
      </x:c>
      <x:c r="B180" s="2" t="str">
        <x:v>2021-25</x:v>
      </x:c>
      <x:c r="C180" s="2" t="str">
        <x:v>NCT07000357</x:v>
      </x:c>
      <x:c r="D180" s="2" t="str">
        <x:v>AstraZeneca</x:v>
      </x:c>
      <x:c r="E180" s="2" t="n">
        <x:v>1</x:v>
      </x:c>
      <x:c r="F180" s="2" t="str">
        <x:v>https://clinicaltrials.gov/study/NCT07000357</x:v>
      </x:c>
      <x:c r="G18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81" ht="23" customHeight="1">
      <x:c r="A181" s="2" t="str">
        <x:v>AstraZeneca</x:v>
      </x:c>
      <x:c r="B181" s="2" t="str">
        <x:v>2021-25</x:v>
      </x:c>
      <x:c r="C181" s="2" t="str">
        <x:v>NCT06079372</x:v>
      </x:c>
      <x:c r="D181" s="2" t="str">
        <x:v>Alexion Pharmaceuticals, Inc.</x:v>
      </x:c>
      <x:c r="E181" s="2" t="n">
        <x:v>0</x:v>
      </x:c>
      <x:c r="F181" s="2" t="str">
        <x:v>https://clinicaltrials.gov/study/NCT06079372</x:v>
      </x:c>
      <x:c r="G18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82" ht="23" customHeight="1">
      <x:c r="A182" s="2" t="str">
        <x:v>AstraZeneca</x:v>
      </x:c>
      <x:c r="B182" s="2" t="str">
        <x:v>2021-25</x:v>
      </x:c>
      <x:c r="C182" s="2" t="str">
        <x:v>NCT05687266</x:v>
      </x:c>
      <x:c r="D182" s="2" t="str">
        <x:v>AstraZeneca</x:v>
      </x:c>
      <x:c r="E182" s="2" t="n">
        <x:v>1</x:v>
      </x:c>
      <x:c r="F182" s="2" t="str">
        <x:v>https://clinicaltrials.gov/study/NCT05687266</x:v>
      </x:c>
      <x:c r="G18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83" ht="23" customHeight="1">
      <x:c r="A183" s="2" t="str">
        <x:v>AstraZeneca</x:v>
      </x:c>
      <x:c r="B183" s="2" t="str">
        <x:v>2021-25</x:v>
      </x:c>
      <x:c r="C183" s="2" t="str">
        <x:v>NCT05876351</x:v>
      </x:c>
      <x:c r="D183" s="2" t="str">
        <x:v>Alexion Pharmaceuticals, Inc.</x:v>
      </x:c>
      <x:c r="E183" s="2" t="n">
        <x:v>0</x:v>
      </x:c>
      <x:c r="F183" s="2" t="str">
        <x:v>https://clinicaltrials.gov/study/NCT05876351</x:v>
      </x:c>
      <x:c r="G18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84" ht="23" customHeight="1">
      <x:c r="A184" s="2" t="str">
        <x:v>AstraZeneca</x:v>
      </x:c>
      <x:c r="B184" s="2" t="str">
        <x:v>2021-25</x:v>
      </x:c>
      <x:c r="C184" s="2" t="str">
        <x:v>NCT04712903</x:v>
      </x:c>
      <x:c r="D184" s="2" t="str">
        <x:v>AstraZeneca</x:v>
      </x:c>
      <x:c r="E184" s="2" t="n">
        <x:v>0</x:v>
      </x:c>
      <x:c r="F184" s="2" t="str">
        <x:v>https://clinicaltrials.gov/study/NCT04712903</x:v>
      </x:c>
      <x:c r="G18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85" ht="23" customHeight="1">
      <x:c r="A185" s="2" t="str">
        <x:v>AstraZeneca</x:v>
      </x:c>
      <x:c r="B185" s="2" t="str">
        <x:v>2021-25</x:v>
      </x:c>
      <x:c r="C185" s="2" t="str">
        <x:v>NCT05557838</x:v>
      </x:c>
      <x:c r="D185" s="2" t="str">
        <x:v>AstraZeneca</x:v>
      </x:c>
      <x:c r="E185" s="2" t="n">
        <x:v>0</x:v>
      </x:c>
      <x:c r="F185" s="2" t="str">
        <x:v>https://clinicaltrials.gov/study/NCT05557838</x:v>
      </x:c>
      <x:c r="G18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86" ht="23" customHeight="1">
      <x:c r="A186" s="2" t="str">
        <x:v>AstraZeneca</x:v>
      </x:c>
      <x:c r="B186" s="2" t="str">
        <x:v>2021-25</x:v>
      </x:c>
      <x:c r="C186" s="2" t="str">
        <x:v>NCT06079671</x:v>
      </x:c>
      <x:c r="D186" s="2" t="str">
        <x:v>AstraZeneca</x:v>
      </x:c>
      <x:c r="E186" s="2" t="n">
        <x:v>1</x:v>
      </x:c>
      <x:c r="F186" s="2" t="str">
        <x:v>https://clinicaltrials.gov/study/NCT06079671</x:v>
      </x:c>
      <x:c r="G18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87" ht="23" customHeight="1">
      <x:c r="A187" s="2" t="str">
        <x:v>AstraZeneca</x:v>
      </x:c>
      <x:c r="B187" s="2" t="str">
        <x:v>2021-25</x:v>
      </x:c>
      <x:c r="C187" s="2" t="str">
        <x:v>NCT06627647</x:v>
      </x:c>
      <x:c r="D187" s="2" t="str">
        <x:v>AstraZeneca</x:v>
      </x:c>
      <x:c r="E187" s="2" t="n">
        <x:v>1</x:v>
      </x:c>
      <x:c r="F187" s="2" t="str">
        <x:v>https://clinicaltrials.gov/study/NCT06627647</x:v>
      </x:c>
      <x:c r="G18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88" ht="23" customHeight="1">
      <x:c r="A188" s="2" t="str">
        <x:v>AstraZeneca</x:v>
      </x:c>
      <x:c r="B188" s="2" t="str">
        <x:v>2021-25</x:v>
      </x:c>
      <x:c r="C188" s="2" t="str">
        <x:v>NCT05926349</x:v>
      </x:c>
      <x:c r="D188" s="2" t="str">
        <x:v>AstraZeneca</x:v>
      </x:c>
      <x:c r="E188" s="2" t="n">
        <x:v>0</x:v>
      </x:c>
      <x:c r="F188" s="2" t="str">
        <x:v>https://clinicaltrials.gov/study/NCT05926349</x:v>
      </x:c>
      <x:c r="G18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89" ht="23" customHeight="1">
      <x:c r="A189" s="2" t="str">
        <x:v>AstraZeneca</x:v>
      </x:c>
      <x:c r="B189" s="2" t="str">
        <x:v>2021-25</x:v>
      </x:c>
      <x:c r="C189" s="2" t="str">
        <x:v>NCT05629585</x:v>
      </x:c>
      <x:c r="D189" s="2" t="str">
        <x:v>AstraZeneca</x:v>
      </x:c>
      <x:c r="E189" s="2" t="n">
        <x:v>0</x:v>
      </x:c>
      <x:c r="F189" s="2" t="str">
        <x:v>https://clinicaltrials.gov/study/NCT05629585</x:v>
      </x:c>
      <x:c r="G18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90" ht="23" customHeight="1">
      <x:c r="A190" s="2" t="str">
        <x:v>AstraZeneca</x:v>
      </x:c>
      <x:c r="B190" s="2" t="str">
        <x:v>2021-25</x:v>
      </x:c>
      <x:c r="C190" s="2" t="str">
        <x:v>NCT06183931</x:v>
      </x:c>
      <x:c r="D190" s="2" t="str">
        <x:v>Alexion Pharmaceuticals, Inc.</x:v>
      </x:c>
      <x:c r="E190" s="2" t="n">
        <x:v>0</x:v>
      </x:c>
      <x:c r="F190" s="2" t="str">
        <x:v>https://clinicaltrials.gov/study/NCT06183931</x:v>
      </x:c>
      <x:c r="G19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91" ht="23" customHeight="1">
      <x:c r="A191" s="2" t="str">
        <x:v>AstraZeneca</x:v>
      </x:c>
      <x:c r="B191" s="2" t="str">
        <x:v>2021-25</x:v>
      </x:c>
      <x:c r="C191" s="2" t="str">
        <x:v>NCT06079281</x:v>
      </x:c>
      <x:c r="D191" s="2" t="str">
        <x:v>Alexion Pharmaceuticals, Inc.</x:v>
      </x:c>
      <x:c r="E191" s="2" t="n">
        <x:v>0</x:v>
      </x:c>
      <x:c r="F191" s="2" t="str">
        <x:v>https://clinicaltrials.gov/study/NCT06079281</x:v>
      </x:c>
      <x:c r="G19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92" ht="23" customHeight="1">
      <x:c r="A192" s="2" t="str">
        <x:v>AstraZeneca</x:v>
      </x:c>
      <x:c r="B192" s="2" t="str">
        <x:v>2021-25</x:v>
      </x:c>
      <x:c r="C192" s="2" t="str">
        <x:v>NCT06989112</x:v>
      </x:c>
      <x:c r="D192" s="2" t="str">
        <x:v>AstraZeneca</x:v>
      </x:c>
      <x:c r="E192" s="2" t="n">
        <x:v>0</x:v>
      </x:c>
      <x:c r="F192" s="2" t="str">
        <x:v>https://clinicaltrials.gov/study/NCT06989112</x:v>
      </x:c>
      <x:c r="G19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93" ht="23" customHeight="1">
      <x:c r="A193" s="2" t="str">
        <x:v>AstraZeneca</x:v>
      </x:c>
      <x:c r="B193" s="2" t="str">
        <x:v>2021-25</x:v>
      </x:c>
      <x:c r="C193" s="2" t="str">
        <x:v>NCT07221253</x:v>
      </x:c>
      <x:c r="D193" s="2" t="str">
        <x:v>AstraZeneca</x:v>
      </x:c>
      <x:c r="E193" s="2" t="n">
        <x:v>1</x:v>
      </x:c>
      <x:c r="F193" s="2" t="str">
        <x:v>https://clinicaltrials.gov/study/NCT07221253</x:v>
      </x:c>
      <x:c r="G19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94" ht="23" customHeight="1">
      <x:c r="A194" s="2" t="str">
        <x:v>AstraZeneca</x:v>
      </x:c>
      <x:c r="B194" s="2" t="str">
        <x:v>2021-25</x:v>
      </x:c>
      <x:c r="C194" s="2" t="str">
        <x:v>NCT06109779</x:v>
      </x:c>
      <x:c r="D194" s="2" t="str">
        <x:v>AstraZeneca</x:v>
      </x:c>
      <x:c r="E194" s="2" t="n">
        <x:v>1</x:v>
      </x:c>
      <x:c r="F194" s="2" t="str">
        <x:v>https://clinicaltrials.gov/study/NCT06109779</x:v>
      </x:c>
      <x:c r="G19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95" ht="23" customHeight="1">
      <x:c r="A195" s="2" t="str">
        <x:v>AstraZeneca</x:v>
      </x:c>
      <x:c r="B195" s="2" t="str">
        <x:v>2021-25</x:v>
      </x:c>
      <x:c r="C195" s="2" t="str">
        <x:v>NCT05202262</x:v>
      </x:c>
      <x:c r="D195" s="2" t="str">
        <x:v>AstraZeneca</x:v>
      </x:c>
      <x:c r="E195" s="2" t="n">
        <x:v>0</x:v>
      </x:c>
      <x:c r="F195" s="2" t="str">
        <x:v>https://clinicaltrials.gov/study/NCT05202262</x:v>
      </x:c>
      <x:c r="G19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96" ht="23" customHeight="1">
      <x:c r="A196" s="2" t="str">
        <x:v>AstraZeneca</x:v>
      </x:c>
      <x:c r="B196" s="2" t="str">
        <x:v>2021-25</x:v>
      </x:c>
      <x:c r="C196" s="2" t="str">
        <x:v>NCT06764160</x:v>
      </x:c>
      <x:c r="D196" s="2" t="str">
        <x:v>Alexion Pharmaceuticals, Inc.</x:v>
      </x:c>
      <x:c r="E196" s="2" t="n">
        <x:v>0</x:v>
      </x:c>
      <x:c r="F196" s="2" t="str">
        <x:v>https://clinicaltrials.gov/study/NCT06764160</x:v>
      </x:c>
      <x:c r="G19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97" ht="23" customHeight="1">
      <x:c r="A197" s="2" t="str">
        <x:v>AstraZeneca</x:v>
      </x:c>
      <x:c r="B197" s="2" t="str">
        <x:v>2021-25</x:v>
      </x:c>
      <x:c r="C197" s="2" t="str">
        <x:v>NCT05644561</x:v>
      </x:c>
      <x:c r="D197" s="2" t="str">
        <x:v>Alexion Pharmaceuticals, Inc.</x:v>
      </x:c>
      <x:c r="E197" s="2" t="n">
        <x:v>0</x:v>
      </x:c>
      <x:c r="F197" s="2" t="str">
        <x:v>https://clinicaltrials.gov/study/NCT05644561</x:v>
      </x:c>
      <x:c r="G19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98" ht="23" customHeight="1">
      <x:c r="A198" s="2" t="str">
        <x:v>AstraZeneca</x:v>
      </x:c>
      <x:c r="B198" s="2" t="str">
        <x:v>2021-25</x:v>
      </x:c>
      <x:c r="C198" s="2" t="str">
        <x:v>NCT04877691</x:v>
      </x:c>
      <x:c r="D198" s="2" t="str">
        <x:v>AstraZeneca</x:v>
      </x:c>
      <x:c r="E198" s="2" t="n">
        <x:v>0</x:v>
      </x:c>
      <x:c r="F198" s="2" t="str">
        <x:v>https://clinicaltrials.gov/study/NCT04877691</x:v>
      </x:c>
      <x:c r="G19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199" ht="23" customHeight="1">
      <x:c r="A199" s="2" t="str">
        <x:v>AstraZeneca</x:v>
      </x:c>
      <x:c r="B199" s="2" t="str">
        <x:v>2021-25</x:v>
      </x:c>
      <x:c r="C199" s="2" t="str">
        <x:v>NCT06079359</x:v>
      </x:c>
      <x:c r="D199" s="2" t="str">
        <x:v>Alexion Pharmaceuticals, Inc.</x:v>
      </x:c>
      <x:c r="E199" s="2" t="n">
        <x:v>0</x:v>
      </x:c>
      <x:c r="F199" s="2" t="str">
        <x:v>https://clinicaltrials.gov/study/NCT06079359</x:v>
      </x:c>
      <x:c r="G19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00" ht="23" customHeight="1">
      <x:c r="A200" s="2" t="str">
        <x:v>AstraZeneca</x:v>
      </x:c>
      <x:c r="B200" s="2" t="str">
        <x:v>2021-25</x:v>
      </x:c>
      <x:c r="C200" s="2" t="str">
        <x:v>NCT06307652</x:v>
      </x:c>
      <x:c r="D200" s="2" t="str">
        <x:v>AstraZeneca</x:v>
      </x:c>
      <x:c r="E200" s="2" t="n">
        <x:v>1</x:v>
      </x:c>
      <x:c r="F200" s="2" t="str">
        <x:v>https://clinicaltrials.gov/study/NCT06307652</x:v>
      </x:c>
      <x:c r="G20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01" ht="23" customHeight="1">
      <x:c r="A201" s="2" t="str">
        <x:v>AstraZeneca</x:v>
      </x:c>
      <x:c r="B201" s="2" t="str">
        <x:v>2021-25</x:v>
      </x:c>
      <x:c r="C201" s="2" t="str">
        <x:v>NCT05274815</x:v>
      </x:c>
      <x:c r="D201" s="2" t="str">
        <x:v>AstraZeneca</x:v>
      </x:c>
      <x:c r="E201" s="2" t="n">
        <x:v>0</x:v>
      </x:c>
      <x:c r="F201" s="2" t="str">
        <x:v>https://clinicaltrials.gov/study/NCT05274815</x:v>
      </x:c>
      <x:c r="G20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02" ht="23" customHeight="1">
      <x:c r="A202" s="2" t="str">
        <x:v>AstraZeneca</x:v>
      </x:c>
      <x:c r="B202" s="2" t="str">
        <x:v>2021-25</x:v>
      </x:c>
      <x:c r="C202" s="2" t="str">
        <x:v>NCT05062759</x:v>
      </x:c>
      <x:c r="D202" s="2" t="str">
        <x:v>AstraZeneca</x:v>
      </x:c>
      <x:c r="E202" s="2" t="n">
        <x:v>0</x:v>
      </x:c>
      <x:c r="F202" s="2" t="str">
        <x:v>https://clinicaltrials.gov/study/NCT05062759</x:v>
      </x:c>
      <x:c r="G20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03" ht="23" customHeight="1">
      <x:c r="A203" s="2" t="str">
        <x:v>AstraZeneca</x:v>
      </x:c>
      <x:c r="B203" s="2" t="str">
        <x:v>2021-25</x:v>
      </x:c>
      <x:c r="C203" s="2" t="str">
        <x:v>NCT05850494</x:v>
      </x:c>
      <x:c r="D203" s="2" t="str">
        <x:v>AstraZeneca</x:v>
      </x:c>
      <x:c r="E203" s="2" t="n">
        <x:v>0</x:v>
      </x:c>
      <x:c r="F203" s="2" t="str">
        <x:v>https://clinicaltrials.gov/study/NCT05850494</x:v>
      </x:c>
      <x:c r="G20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04" ht="23" customHeight="1">
      <x:c r="A204" s="2" t="str">
        <x:v>AstraZeneca</x:v>
      </x:c>
      <x:c r="B204" s="2" t="str">
        <x:v>2021-25</x:v>
      </x:c>
      <x:c r="C204" s="2" t="str">
        <x:v>NCT06112379</x:v>
      </x:c>
      <x:c r="D204" s="2" t="str">
        <x:v>AstraZeneca</x:v>
      </x:c>
      <x:c r="E204" s="2" t="n">
        <x:v>1</x:v>
      </x:c>
      <x:c r="F204" s="2" t="str">
        <x:v>https://clinicaltrials.gov/study/NCT06112379</x:v>
      </x:c>
      <x:c r="G20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05" ht="23" customHeight="1">
      <x:c r="A205" s="2" t="str">
        <x:v>AstraZeneca</x:v>
      </x:c>
      <x:c r="B205" s="2" t="str">
        <x:v>2021-25</x:v>
      </x:c>
      <x:c r="C205" s="2" t="str">
        <x:v>NCT06742723</x:v>
      </x:c>
      <x:c r="D205" s="2" t="str">
        <x:v>AstraZeneca</x:v>
      </x:c>
      <x:c r="E205" s="2" t="n">
        <x:v>1</x:v>
      </x:c>
      <x:c r="F205" s="2" t="str">
        <x:v>https://clinicaltrials.gov/study/NCT06742723</x:v>
      </x:c>
      <x:c r="G20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06" ht="23" customHeight="1">
      <x:c r="A206" s="2" t="str">
        <x:v>AstraZeneca</x:v>
      </x:c>
      <x:c r="B206" s="2" t="str">
        <x:v>2021-25</x:v>
      </x:c>
      <x:c r="C206" s="2" t="str">
        <x:v>NCT05629234</x:v>
      </x:c>
      <x:c r="D206" s="2" t="str">
        <x:v>AstraZeneca</x:v>
      </x:c>
      <x:c r="E206" s="2" t="n">
        <x:v>0</x:v>
      </x:c>
      <x:c r="F206" s="2" t="str">
        <x:v>https://clinicaltrials.gov/study/NCT05629234</x:v>
      </x:c>
      <x:c r="G20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07" ht="23" customHeight="1">
      <x:c r="A207" s="2" t="str">
        <x:v>AstraZeneca</x:v>
      </x:c>
      <x:c r="B207" s="2" t="str">
        <x:v>2021-25</x:v>
      </x:c>
      <x:c r="C207" s="2" t="str">
        <x:v>NCT06578949</x:v>
      </x:c>
      <x:c r="D207" s="2" t="str">
        <x:v>Alexion Pharmaceuticals, Inc.</x:v>
      </x:c>
      <x:c r="E207" s="2" t="n">
        <x:v>0</x:v>
      </x:c>
      <x:c r="F207" s="2" t="str">
        <x:v>https://clinicaltrials.gov/study/NCT06578949</x:v>
      </x:c>
      <x:c r="G20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08" ht="23" customHeight="1">
      <x:c r="A208" s="2" t="str">
        <x:v>AstraZeneca</x:v>
      </x:c>
      <x:c r="B208" s="2" t="str">
        <x:v>2021-25</x:v>
      </x:c>
      <x:c r="C208" s="2" t="str">
        <x:v>NCT06087835</x:v>
      </x:c>
      <x:c r="D208" s="2" t="str">
        <x:v>AstraZeneca</x:v>
      </x:c>
      <x:c r="E208" s="2" t="n">
        <x:v>1</x:v>
      </x:c>
      <x:c r="F208" s="2" t="str">
        <x:v>https://clinicaltrials.gov/study/NCT06087835</x:v>
      </x:c>
      <x:c r="G20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09" ht="23" customHeight="1">
      <x:c r="A209" s="2" t="str">
        <x:v>AstraZeneca</x:v>
      </x:c>
      <x:c r="B209" s="2" t="str">
        <x:v>2021-25</x:v>
      </x:c>
      <x:c r="C209" s="2" t="str">
        <x:v>NCT06992609</x:v>
      </x:c>
      <x:c r="D209" s="2" t="str">
        <x:v>AstraZeneca</x:v>
      </x:c>
      <x:c r="E209" s="2" t="n">
        <x:v>0</x:v>
      </x:c>
      <x:c r="F209" s="2" t="str">
        <x:v>https://clinicaltrials.gov/study/NCT06992609</x:v>
      </x:c>
      <x:c r="G20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10" ht="23" customHeight="1">
      <x:c r="A210" s="2" t="str">
        <x:v>AstraZeneca</x:v>
      </x:c>
      <x:c r="B210" s="2" t="str">
        <x:v>2021-25</x:v>
      </x:c>
      <x:c r="C210" s="2" t="str">
        <x:v>NCT04964934</x:v>
      </x:c>
      <x:c r="D210" s="2" t="str">
        <x:v>AstraZeneca</x:v>
      </x:c>
      <x:c r="E210" s="2" t="n">
        <x:v>0</x:v>
      </x:c>
      <x:c r="F210" s="2" t="str">
        <x:v>https://clinicaltrials.gov/study/NCT04964934</x:v>
      </x:c>
      <x:c r="G21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11" ht="23" customHeight="1">
      <x:c r="A211" s="2" t="str">
        <x:v>AstraZeneca</x:v>
      </x:c>
      <x:c r="B211" s="2" t="str">
        <x:v>2021-25</x:v>
      </x:c>
      <x:c r="C211" s="2" t="str">
        <x:v>NCT06834932</x:v>
      </x:c>
      <x:c r="D211" s="2" t="str">
        <x:v>AstraZeneca</x:v>
      </x:c>
      <x:c r="E211" s="2" t="n">
        <x:v>0</x:v>
      </x:c>
      <x:c r="F211" s="2" t="str">
        <x:v>https://clinicaltrials.gov/study/NCT06834932</x:v>
      </x:c>
      <x:c r="G21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12" ht="23" customHeight="1">
      <x:c r="A212" s="2" t="str">
        <x:v>AstraZeneca</x:v>
      </x:c>
      <x:c r="B212" s="2" t="str">
        <x:v>2021-25</x:v>
      </x:c>
      <x:c r="C212" s="2" t="str">
        <x:v>NCT05158387</x:v>
      </x:c>
      <x:c r="D212" s="2" t="str">
        <x:v>AstraZeneca</x:v>
      </x:c>
      <x:c r="E212" s="2" t="n">
        <x:v>0</x:v>
      </x:c>
      <x:c r="F212" s="2" t="str">
        <x:v>https://clinicaltrials.gov/study/NCT05158387</x:v>
      </x:c>
      <x:c r="G21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13" ht="23" customHeight="1">
      <x:c r="A213" s="2" t="str">
        <x:v>AstraZeneca</x:v>
      </x:c>
      <x:c r="B213" s="2" t="str">
        <x:v>2021-25</x:v>
      </x:c>
      <x:c r="C213" s="2" t="str">
        <x:v>NCT06129864</x:v>
      </x:c>
      <x:c r="D213" s="2" t="str">
        <x:v>AstraZeneca</x:v>
      </x:c>
      <x:c r="E213" s="2" t="n">
        <x:v>1</x:v>
      </x:c>
      <x:c r="F213" s="2" t="str">
        <x:v>https://clinicaltrials.gov/study/NCT06129864</x:v>
      </x:c>
      <x:c r="G21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14" ht="23" customHeight="1">
      <x:c r="A214" s="2" t="str">
        <x:v>AstraZeneca</x:v>
      </x:c>
      <x:c r="B214" s="2" t="str">
        <x:v>2021-25</x:v>
      </x:c>
      <x:c r="C214" s="2" t="str">
        <x:v>NCT05692180</x:v>
      </x:c>
      <x:c r="D214" s="2" t="str">
        <x:v>AstraZeneca</x:v>
      </x:c>
      <x:c r="E214" s="2" t="n">
        <x:v>0</x:v>
      </x:c>
      <x:c r="F214" s="2" t="str">
        <x:v>https://clinicaltrials.gov/study/NCT05692180</x:v>
      </x:c>
      <x:c r="G21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15" ht="23" customHeight="1">
      <x:c r="A215" s="2" t="str">
        <x:v>AstraZeneca</x:v>
      </x:c>
      <x:c r="B215" s="2" t="str">
        <x:v>2021-25</x:v>
      </x:c>
      <x:c r="C215" s="2" t="str">
        <x:v>NCT05043090</x:v>
      </x:c>
      <x:c r="D215" s="2" t="str">
        <x:v>AstraZeneca</x:v>
      </x:c>
      <x:c r="E215" s="2" t="n">
        <x:v>1</x:v>
      </x:c>
      <x:c r="F215" s="2" t="str">
        <x:v>https://clinicaltrials.gov/study/NCT05043090</x:v>
      </x:c>
      <x:c r="G21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16" ht="23" customHeight="1">
      <x:c r="A216" s="2" t="str">
        <x:v>AstraZeneca</x:v>
      </x:c>
      <x:c r="B216" s="2" t="str">
        <x:v>2021-25</x:v>
      </x:c>
      <x:c r="C216" s="2" t="str">
        <x:v>NCT04752566</x:v>
      </x:c>
      <x:c r="D216" s="2" t="str">
        <x:v>Alexion Pharmaceuticals, Inc.</x:v>
      </x:c>
      <x:c r="E216" s="2" t="n">
        <x:v>0</x:v>
      </x:c>
      <x:c r="F216" s="2" t="str">
        <x:v>https://clinicaltrials.gov/study/NCT04752566</x:v>
      </x:c>
      <x:c r="G21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17" ht="23" customHeight="1">
      <x:c r="A217" s="2" t="str">
        <x:v>AstraZeneca</x:v>
      </x:c>
      <x:c r="B217" s="2" t="str">
        <x:v>2021-25</x:v>
      </x:c>
      <x:c r="C217" s="2" t="str">
        <x:v>NCT05746559</x:v>
      </x:c>
      <x:c r="D217" s="2" t="str">
        <x:v>Alexion Pharmaceuticals, Inc.</x:v>
      </x:c>
      <x:c r="E217" s="2" t="n">
        <x:v>1</x:v>
      </x:c>
      <x:c r="F217" s="2" t="str">
        <x:v>https://clinicaltrials.gov/study/NCT05746559</x:v>
      </x:c>
      <x:c r="G21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18" ht="23" customHeight="1">
      <x:c r="A218" s="2" t="str">
        <x:v>AstraZeneca</x:v>
      </x:c>
      <x:c r="B218" s="2" t="str">
        <x:v>2021-25</x:v>
      </x:c>
      <x:c r="C218" s="2" t="str">
        <x:v>NCT06764875</x:v>
      </x:c>
      <x:c r="D218" s="2" t="str">
        <x:v>AstraZeneca</x:v>
      </x:c>
      <x:c r="E218" s="2" t="n">
        <x:v>1</x:v>
      </x:c>
      <x:c r="F218" s="2" t="str">
        <x:v>https://clinicaltrials.gov/study/NCT06764875</x:v>
      </x:c>
      <x:c r="G21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19" ht="23" customHeight="1">
      <x:c r="A219" s="2" t="str">
        <x:v>AstraZeneca</x:v>
      </x:c>
      <x:c r="B219" s="2" t="str">
        <x:v>2021-25</x:v>
      </x:c>
      <x:c r="C219" s="2" t="str">
        <x:v>NCT05346354</x:v>
      </x:c>
      <x:c r="D219" s="2" t="str">
        <x:v>Alexion Pharmaceuticals, Inc.</x:v>
      </x:c>
      <x:c r="E219" s="2" t="n">
        <x:v>0</x:v>
      </x:c>
      <x:c r="F219" s="2" t="str">
        <x:v>https://clinicaltrials.gov/study/NCT05346354</x:v>
      </x:c>
      <x:c r="G21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20" ht="23" customHeight="1">
      <x:c r="A220" s="2" t="str">
        <x:v>AstraZeneca</x:v>
      </x:c>
      <x:c r="B220" s="2" t="str">
        <x:v>2021-25</x:v>
      </x:c>
      <x:c r="C220" s="2" t="str">
        <x:v>NCT04784715</x:v>
      </x:c>
      <x:c r="D220" s="2" t="str">
        <x:v>AstraZeneca</x:v>
      </x:c>
      <x:c r="E220" s="2" t="n">
        <x:v>1</x:v>
      </x:c>
      <x:c r="F220" s="2" t="str">
        <x:v>https://clinicaltrials.gov/study/NCT04784715</x:v>
      </x:c>
      <x:c r="G22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21" ht="23" customHeight="1">
      <x:c r="A221" s="2" t="str">
        <x:v>AstraZeneca</x:v>
      </x:c>
      <x:c r="B221" s="2" t="str">
        <x:v>2021-25</x:v>
      </x:c>
      <x:c r="C221" s="2" t="str">
        <x:v>NCT07007793</x:v>
      </x:c>
      <x:c r="D221" s="2" t="str">
        <x:v>AstraZeneca</x:v>
      </x:c>
      <x:c r="E221" s="2" t="n">
        <x:v>1</x:v>
      </x:c>
      <x:c r="F221" s="2" t="str">
        <x:v>https://clinicaltrials.gov/study/NCT07007793</x:v>
      </x:c>
      <x:c r="G22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22" ht="23" customHeight="1">
      <x:c r="A222" s="2" t="str">
        <x:v>AstraZeneca</x:v>
      </x:c>
      <x:c r="B222" s="2" t="str">
        <x:v>2021-25</x:v>
      </x:c>
      <x:c r="C222" s="2" t="str">
        <x:v>NCT05943106</x:v>
      </x:c>
      <x:c r="D222" s="2" t="str">
        <x:v>AstraZeneca</x:v>
      </x:c>
      <x:c r="E222" s="2" t="n">
        <x:v>0</x:v>
      </x:c>
      <x:c r="F222" s="2" t="str">
        <x:v>https://clinicaltrials.gov/study/NCT05943106</x:v>
      </x:c>
      <x:c r="G22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23" ht="23" customHeight="1">
      <x:c r="A223" s="2" t="str">
        <x:v>AstraZeneca</x:v>
      </x:c>
      <x:c r="B223" s="2" t="str">
        <x:v>2021-25</x:v>
      </x:c>
      <x:c r="C223" s="2" t="str">
        <x:v>NCT05120349</x:v>
      </x:c>
      <x:c r="D223" s="2" t="str">
        <x:v>AstraZeneca</x:v>
      </x:c>
      <x:c r="E223" s="2" t="n">
        <x:v>0</x:v>
      </x:c>
      <x:c r="F223" s="2" t="str">
        <x:v>https://clinicaltrials.gov/study/NCT05120349</x:v>
      </x:c>
      <x:c r="G22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24" ht="23" customHeight="1">
      <x:c r="A224" s="2" t="str">
        <x:v>AstraZeneca</x:v>
      </x:c>
      <x:c r="B224" s="2" t="str">
        <x:v>2021-25</x:v>
      </x:c>
      <x:c r="C224" s="2" t="str">
        <x:v>NCT06042049</x:v>
      </x:c>
      <x:c r="D224" s="2" t="str">
        <x:v>AstraZeneca</x:v>
      </x:c>
      <x:c r="E224" s="2" t="n">
        <x:v>0</x:v>
      </x:c>
      <x:c r="F224" s="2" t="str">
        <x:v>https://clinicaltrials.gov/study/NCT06042049</x:v>
      </x:c>
      <x:c r="G22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25" ht="23" customHeight="1">
      <x:c r="A225" s="2" t="str">
        <x:v>AstraZeneca</x:v>
      </x:c>
      <x:c r="B225" s="2" t="str">
        <x:v>2021-25</x:v>
      </x:c>
      <x:c r="C225" s="2" t="str">
        <x:v>NCT05624450</x:v>
      </x:c>
      <x:c r="D225" s="2" t="str">
        <x:v>AstraZeneca</x:v>
      </x:c>
      <x:c r="E225" s="2" t="n">
        <x:v>1</x:v>
      </x:c>
      <x:c r="F225" s="2" t="str">
        <x:v>https://clinicaltrials.gov/study/NCT05624450</x:v>
      </x:c>
      <x:c r="G22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26" ht="23" customHeight="1">
      <x:c r="A226" s="2" t="str">
        <x:v>AstraZeneca</x:v>
      </x:c>
      <x:c r="B226" s="2" t="str">
        <x:v>2021-25</x:v>
      </x:c>
      <x:c r="C226" s="2" t="str">
        <x:v>NCT06677060</x:v>
      </x:c>
      <x:c r="D226" s="2" t="str">
        <x:v>AstraZeneca</x:v>
      </x:c>
      <x:c r="E226" s="2" t="n">
        <x:v>1</x:v>
      </x:c>
      <x:c r="F226" s="2" t="str">
        <x:v>https://clinicaltrials.gov/study/NCT06677060</x:v>
      </x:c>
      <x:c r="G22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27" ht="23" customHeight="1">
      <x:c r="A227" s="2" t="str">
        <x:v>AstraZeneca</x:v>
      </x:c>
      <x:c r="B227" s="2" t="str">
        <x:v>2021-25</x:v>
      </x:c>
      <x:c r="C227" s="2" t="str">
        <x:v>NCT07000136</x:v>
      </x:c>
      <x:c r="D227" s="2" t="str">
        <x:v>AstraZeneca</x:v>
      </x:c>
      <x:c r="E227" s="2" t="n">
        <x:v>0</x:v>
      </x:c>
      <x:c r="F227" s="2" t="str">
        <x:v>https://clinicaltrials.gov/study/NCT07000136</x:v>
      </x:c>
      <x:c r="G22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28" ht="23" customHeight="1">
      <x:c r="A228" s="2" t="str">
        <x:v>AstraZeneca</x:v>
      </x:c>
      <x:c r="B228" s="2" t="str">
        <x:v>2021-25</x:v>
      </x:c>
      <x:c r="C228" s="2" t="str">
        <x:v>NCT07044336</x:v>
      </x:c>
      <x:c r="D228" s="2" t="str">
        <x:v>AstraZeneca</x:v>
      </x:c>
      <x:c r="E228" s="2" t="n">
        <x:v>0</x:v>
      </x:c>
      <x:c r="F228" s="2" t="str">
        <x:v>https://clinicaltrials.gov/study/NCT07044336</x:v>
      </x:c>
      <x:c r="G22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29" ht="23" customHeight="1">
      <x:c r="A229" s="2" t="str">
        <x:v>AstraZeneca</x:v>
      </x:c>
      <x:c r="B229" s="2" t="str">
        <x:v>2021-25</x:v>
      </x:c>
      <x:c r="C229" s="2" t="str">
        <x:v>NCT04960709</x:v>
      </x:c>
      <x:c r="D229" s="2" t="str">
        <x:v>AstraZeneca</x:v>
      </x:c>
      <x:c r="E229" s="2" t="n">
        <x:v>0</x:v>
      </x:c>
      <x:c r="F229" s="2" t="str">
        <x:v>https://clinicaltrials.gov/study/NCT04960709</x:v>
      </x:c>
      <x:c r="G22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30" ht="23" customHeight="1">
      <x:c r="A230" s="2" t="str">
        <x:v>AstraZeneca</x:v>
      </x:c>
      <x:c r="B230" s="2" t="str">
        <x:v>2021-25</x:v>
      </x:c>
      <x:c r="C230" s="2" t="str">
        <x:v>NCT06097728</x:v>
      </x:c>
      <x:c r="D230" s="2" t="str">
        <x:v>AstraZeneca</x:v>
      </x:c>
      <x:c r="E230" s="2" t="n">
        <x:v>0</x:v>
      </x:c>
      <x:c r="F230" s="2" t="str">
        <x:v>https://clinicaltrials.gov/study/NCT06097728</x:v>
      </x:c>
      <x:c r="G23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31" ht="23" customHeight="1">
      <x:c r="A231" s="2" t="str">
        <x:v>AstraZeneca</x:v>
      </x:c>
      <x:c r="B231" s="2" t="str">
        <x:v>2021-25</x:v>
      </x:c>
      <x:c r="C231" s="2" t="str">
        <x:v>NCT04862663</x:v>
      </x:c>
      <x:c r="D231" s="2" t="str">
        <x:v>AstraZeneca</x:v>
      </x:c>
      <x:c r="E231" s="2" t="n">
        <x:v>1</x:v>
      </x:c>
      <x:c r="F231" s="2" t="str">
        <x:v>https://clinicaltrials.gov/study/NCT04862663</x:v>
      </x:c>
      <x:c r="G23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32" ht="23" customHeight="1">
      <x:c r="A232" s="2" t="str">
        <x:v>AstraZeneca</x:v>
      </x:c>
      <x:c r="B232" s="2" t="str">
        <x:v>2021-25</x:v>
      </x:c>
      <x:c r="C232" s="2" t="str">
        <x:v>NCT04931563</x:v>
      </x:c>
      <x:c r="D232" s="2" t="str">
        <x:v>AstraZeneca</x:v>
      </x:c>
      <x:c r="E232" s="2" t="n">
        <x:v>0</x:v>
      </x:c>
      <x:c r="F232" s="2" t="str">
        <x:v>https://clinicaltrials.gov/study/NCT04931563</x:v>
      </x:c>
      <x:c r="G23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33" ht="23" customHeight="1">
      <x:c r="A233" s="2" t="str">
        <x:v>AstraZeneca</x:v>
      </x:c>
      <x:c r="B233" s="2" t="str">
        <x:v>2021-25</x:v>
      </x:c>
      <x:c r="C233" s="2" t="str">
        <x:v>NCT05110261</x:v>
      </x:c>
      <x:c r="D233" s="2" t="str">
        <x:v>AstraZeneca</x:v>
      </x:c>
      <x:c r="E233" s="2" t="n">
        <x:v>0</x:v>
      </x:c>
      <x:c r="F233" s="2" t="str">
        <x:v>https://clinicaltrials.gov/study/NCT05110261</x:v>
      </x:c>
      <x:c r="G23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34" ht="23" customHeight="1">
      <x:c r="A234" s="2" t="str">
        <x:v>AstraZeneca</x:v>
      </x:c>
      <x:c r="B234" s="2" t="str">
        <x:v>2021-25</x:v>
      </x:c>
      <x:c r="C234" s="2" t="str">
        <x:v>NCT05211895</x:v>
      </x:c>
      <x:c r="D234" s="2" t="str">
        <x:v>AstraZeneca</x:v>
      </x:c>
      <x:c r="E234" s="2" t="n">
        <x:v>1</x:v>
      </x:c>
      <x:c r="F234" s="2" t="str">
        <x:v>https://clinicaltrials.gov/study/NCT05211895</x:v>
      </x:c>
      <x:c r="G23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35" ht="23" customHeight="1">
      <x:c r="A235" s="2" t="str">
        <x:v>AstraZeneca</x:v>
      </x:c>
      <x:c r="B235" s="2" t="str">
        <x:v>2021-25</x:v>
      </x:c>
      <x:c r="C235" s="2" t="str">
        <x:v>NCT04765059</x:v>
      </x:c>
      <x:c r="D235" s="2" t="str">
        <x:v>AstraZeneca</x:v>
      </x:c>
      <x:c r="E235" s="2" t="n">
        <x:v>0</x:v>
      </x:c>
      <x:c r="F235" s="2" t="str">
        <x:v>https://clinicaltrials.gov/study/NCT04765059</x:v>
      </x:c>
      <x:c r="G23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36" ht="23" customHeight="1">
      <x:c r="A236" s="2" t="str">
        <x:v>AstraZeneca</x:v>
      </x:c>
      <x:c r="B236" s="2" t="str">
        <x:v>2021-25</x:v>
      </x:c>
      <x:c r="C236" s="2" t="str">
        <x:v>NCT07215585</x:v>
      </x:c>
      <x:c r="D236" s="2" t="str">
        <x:v>AstraZeneca</x:v>
      </x:c>
      <x:c r="E236" s="2" t="n">
        <x:v>0</x:v>
      </x:c>
      <x:c r="F236" s="2" t="str">
        <x:v>https://clinicaltrials.gov/study/NCT07215585</x:v>
      </x:c>
      <x:c r="G23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37" ht="23" customHeight="1">
      <x:c r="A237" s="2" t="str">
        <x:v>AstraZeneca</x:v>
      </x:c>
      <x:c r="B237" s="2" t="str">
        <x:v>2021-25</x:v>
      </x:c>
      <x:c r="C237" s="2" t="str">
        <x:v>NCT05389449</x:v>
      </x:c>
      <x:c r="D237" s="2" t="str">
        <x:v>Alexion Pharmaceuticals, Inc.</x:v>
      </x:c>
      <x:c r="E237" s="2" t="n">
        <x:v>0</x:v>
      </x:c>
      <x:c r="F237" s="2" t="str">
        <x:v>https://clinicaltrials.gov/study/NCT05389449</x:v>
      </x:c>
      <x:c r="G23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38" ht="23" customHeight="1">
      <x:c r="A238" s="2" t="str">
        <x:v>AstraZeneca</x:v>
      </x:c>
      <x:c r="B238" s="2" t="str">
        <x:v>2021-25</x:v>
      </x:c>
      <x:c r="C238" s="2" t="str">
        <x:v>NCT06168409</x:v>
      </x:c>
      <x:c r="D238" s="2" t="str">
        <x:v>AstraZeneca</x:v>
      </x:c>
      <x:c r="E238" s="2" t="n">
        <x:v>0</x:v>
      </x:c>
      <x:c r="F238" s="2" t="str">
        <x:v>https://clinicaltrials.gov/study/NCT06168409</x:v>
      </x:c>
      <x:c r="G23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39" ht="23" customHeight="1">
      <x:c r="A239" s="2" t="str">
        <x:v>AstraZeneca</x:v>
      </x:c>
      <x:c r="B239" s="2" t="str">
        <x:v>2021-25</x:v>
      </x:c>
      <x:c r="C239" s="2" t="str">
        <x:v>NCT05374512</x:v>
      </x:c>
      <x:c r="D239" s="2" t="str">
        <x:v>AstraZeneca</x:v>
      </x:c>
      <x:c r="E239" s="2" t="n">
        <x:v>1</x:v>
      </x:c>
      <x:c r="F239" s="2" t="str">
        <x:v>https://clinicaltrials.gov/study/NCT05374512</x:v>
      </x:c>
      <x:c r="G23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40" ht="23" customHeight="1">
      <x:c r="A240" s="2" t="str">
        <x:v>AstraZeneca</x:v>
      </x:c>
      <x:c r="B240" s="2" t="str">
        <x:v>2021-25</x:v>
      </x:c>
      <x:c r="C240" s="2" t="str">
        <x:v>NCT06512883</x:v>
      </x:c>
      <x:c r="D240" s="2" t="str">
        <x:v>AstraZeneca</x:v>
      </x:c>
      <x:c r="E240" s="2" t="n">
        <x:v>1</x:v>
      </x:c>
      <x:c r="F240" s="2" t="str">
        <x:v>https://clinicaltrials.gov/study/NCT06512883</x:v>
      </x:c>
      <x:c r="G24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41" ht="23" customHeight="1">
      <x:c r="A241" s="2" t="str">
        <x:v>AstraZeneca</x:v>
      </x:c>
      <x:c r="B241" s="2" t="str">
        <x:v>2021-25</x:v>
      </x:c>
      <x:c r="C241" s="2" t="str">
        <x:v>NCT05984277</x:v>
      </x:c>
      <x:c r="D241" s="2" t="str">
        <x:v>AstraZeneca</x:v>
      </x:c>
      <x:c r="E241" s="2" t="n">
        <x:v>1</x:v>
      </x:c>
      <x:c r="F241" s="2" t="str">
        <x:v>https://clinicaltrials.gov/study/NCT05984277</x:v>
      </x:c>
      <x:c r="G24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42" ht="23" customHeight="1">
      <x:c r="A242" s="2" t="str">
        <x:v>AstraZeneca</x:v>
      </x:c>
      <x:c r="B242" s="2" t="str">
        <x:v>2021-25</x:v>
      </x:c>
      <x:c r="C242" s="2" t="str">
        <x:v>NCT07205822</x:v>
      </x:c>
      <x:c r="D242" s="2" t="str">
        <x:v>AstraZeneca</x:v>
      </x:c>
      <x:c r="E242" s="2" t="n">
        <x:v>0</x:v>
      </x:c>
      <x:c r="F242" s="2" t="str">
        <x:v>https://clinicaltrials.gov/study/NCT07205822</x:v>
      </x:c>
      <x:c r="G24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43" ht="23" customHeight="1">
      <x:c r="A243" s="2" t="str">
        <x:v>AstraZeneca</x:v>
      </x:c>
      <x:c r="B243" s="2" t="str">
        <x:v>2021-25</x:v>
      </x:c>
      <x:c r="C243" s="2" t="str">
        <x:v>NCT04986202</x:v>
      </x:c>
      <x:c r="D243" s="2" t="str">
        <x:v>AstraZeneca</x:v>
      </x:c>
      <x:c r="E243" s="2" t="n">
        <x:v>0</x:v>
      </x:c>
      <x:c r="F243" s="2" t="str">
        <x:v>https://clinicaltrials.gov/study/NCT04986202</x:v>
      </x:c>
      <x:c r="G24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44" ht="23" customHeight="1">
      <x:c r="A244" s="2" t="str">
        <x:v>AstraZeneca</x:v>
      </x:c>
      <x:c r="B244" s="2" t="str">
        <x:v>2021-25</x:v>
      </x:c>
      <x:c r="C244" s="2" t="str">
        <x:v>NCT06502366</x:v>
      </x:c>
      <x:c r="D244" s="2" t="str">
        <x:v>AstraZeneca</x:v>
      </x:c>
      <x:c r="E244" s="2" t="n">
        <x:v>0</x:v>
      </x:c>
      <x:c r="F244" s="2" t="str">
        <x:v>https://clinicaltrials.gov/study/NCT06502366</x:v>
      </x:c>
      <x:c r="G24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45" ht="23" customHeight="1">
      <x:c r="A245" s="2" t="str">
        <x:v>AstraZeneca</x:v>
      </x:c>
      <x:c r="B245" s="2" t="str">
        <x:v>2021-25</x:v>
      </x:c>
      <x:c r="C245" s="2" t="str">
        <x:v>NCT06283966</x:v>
      </x:c>
      <x:c r="D245" s="2" t="str">
        <x:v>AstraZeneca</x:v>
      </x:c>
      <x:c r="E245" s="2" t="n">
        <x:v>1</x:v>
      </x:c>
      <x:c r="F245" s="2" t="str">
        <x:v>https://clinicaltrials.gov/study/NCT06283966</x:v>
      </x:c>
      <x:c r="G24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46" ht="23" customHeight="1">
      <x:c r="A246" s="2" t="str">
        <x:v>AstraZeneca</x:v>
      </x:c>
      <x:c r="B246" s="2" t="str">
        <x:v>2021-25</x:v>
      </x:c>
      <x:c r="C246" s="2" t="str">
        <x:v>NCT04723394</x:v>
      </x:c>
      <x:c r="D246" s="2" t="str">
        <x:v>AstraZeneca</x:v>
      </x:c>
      <x:c r="E246" s="2" t="n">
        <x:v>0</x:v>
      </x:c>
      <x:c r="F246" s="2" t="str">
        <x:v>https://clinicaltrials.gov/study/NCT04723394</x:v>
      </x:c>
      <x:c r="G24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47" ht="23" customHeight="1">
      <x:c r="A247" s="2" t="str">
        <x:v>AstraZeneca</x:v>
      </x:c>
      <x:c r="B247" s="2" t="str">
        <x:v>2021-25</x:v>
      </x:c>
      <x:c r="C247" s="2" t="str">
        <x:v>NCT04884360</x:v>
      </x:c>
      <x:c r="D247" s="2" t="str">
        <x:v>AstraZeneca</x:v>
      </x:c>
      <x:c r="E247" s="2" t="n">
        <x:v>1</x:v>
      </x:c>
      <x:c r="F247" s="2" t="str">
        <x:v>https://clinicaltrials.gov/study/NCT04884360</x:v>
      </x:c>
      <x:c r="G24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48" ht="23" customHeight="1">
      <x:c r="A248" s="2" t="str">
        <x:v>AstraZeneca</x:v>
      </x:c>
      <x:c r="B248" s="2" t="str">
        <x:v>2021-25</x:v>
      </x:c>
      <x:c r="C248" s="2" t="str">
        <x:v>NCT06120491</x:v>
      </x:c>
      <x:c r="D248" s="2" t="str">
        <x:v>AstraZeneca</x:v>
      </x:c>
      <x:c r="E248" s="2" t="n">
        <x:v>1</x:v>
      </x:c>
      <x:c r="F248" s="2" t="str">
        <x:v>https://clinicaltrials.gov/study/NCT06120491</x:v>
      </x:c>
      <x:c r="G24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49" ht="23" customHeight="1">
      <x:c r="A249" s="2" t="str">
        <x:v>AstraZeneca</x:v>
      </x:c>
      <x:c r="B249" s="2" t="str">
        <x:v>2021-25</x:v>
      </x:c>
      <x:c r="C249" s="2" t="str">
        <x:v>NCT06346392</x:v>
      </x:c>
      <x:c r="D249" s="2" t="str">
        <x:v>AstraZeneca</x:v>
      </x:c>
      <x:c r="E249" s="2" t="n">
        <x:v>1</x:v>
      </x:c>
      <x:c r="F249" s="2" t="str">
        <x:v>https://clinicaltrials.gov/study/NCT06346392</x:v>
      </x:c>
      <x:c r="G24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50" ht="23" customHeight="1">
      <x:c r="A250" s="2" t="str">
        <x:v>AstraZeneca</x:v>
      </x:c>
      <x:c r="B250" s="2" t="str">
        <x:v>2021-25</x:v>
      </x:c>
      <x:c r="C250" s="2" t="str">
        <x:v>NCT05771480</x:v>
      </x:c>
      <x:c r="D250" s="2" t="str">
        <x:v>AstraZeneca</x:v>
      </x:c>
      <x:c r="E250" s="2" t="n">
        <x:v>0</x:v>
      </x:c>
      <x:c r="F250" s="2" t="str">
        <x:v>https://clinicaltrials.gov/study/NCT05771480</x:v>
      </x:c>
      <x:c r="G25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51" ht="23" customHeight="1">
      <x:c r="A251" s="2" t="str">
        <x:v>AstraZeneca</x:v>
      </x:c>
      <x:c r="B251" s="2" t="str">
        <x:v>2021-25</x:v>
      </x:c>
      <x:c r="C251" s="2" t="str">
        <x:v>NCT05303532</x:v>
      </x:c>
      <x:c r="D251" s="2" t="str">
        <x:v>AstraZeneca</x:v>
      </x:c>
      <x:c r="E251" s="2" t="n">
        <x:v>1</x:v>
      </x:c>
      <x:c r="F251" s="2" t="str">
        <x:v>https://clinicaltrials.gov/study/NCT05303532</x:v>
      </x:c>
      <x:c r="G25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52" ht="23" customHeight="1">
      <x:c r="A252" s="2" t="str">
        <x:v>AstraZeneca</x:v>
      </x:c>
      <x:c r="B252" s="2" t="str">
        <x:v>2021-25</x:v>
      </x:c>
      <x:c r="C252" s="2" t="str">
        <x:v>NCT04727528</x:v>
      </x:c>
      <x:c r="D252" s="2" t="str">
        <x:v>AstraZeneca</x:v>
      </x:c>
      <x:c r="E252" s="2" t="n">
        <x:v>0</x:v>
      </x:c>
      <x:c r="F252" s="2" t="str">
        <x:v>https://clinicaltrials.gov/study/NCT04727528</x:v>
      </x:c>
      <x:c r="G25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53" ht="23" customHeight="1">
      <x:c r="A253" s="2" t="str">
        <x:v>AstraZeneca</x:v>
      </x:c>
      <x:c r="B253" s="2" t="str">
        <x:v>2021-25</x:v>
      </x:c>
      <x:c r="C253" s="2" t="str">
        <x:v>NCT06952803</x:v>
      </x:c>
      <x:c r="D253" s="2" t="str">
        <x:v>AstraZeneca</x:v>
      </x:c>
      <x:c r="E253" s="2" t="n">
        <x:v>1</x:v>
      </x:c>
      <x:c r="F253" s="2" t="str">
        <x:v>https://clinicaltrials.gov/study/NCT06952803</x:v>
      </x:c>
      <x:c r="G25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54" ht="23" customHeight="1">
      <x:c r="A254" s="2" t="str">
        <x:v>AstraZeneca</x:v>
      </x:c>
      <x:c r="B254" s="2" t="str">
        <x:v>2021-25</x:v>
      </x:c>
      <x:c r="C254" s="2" t="str">
        <x:v>NCT05056727</x:v>
      </x:c>
      <x:c r="D254" s="2" t="str">
        <x:v>AstraZeneca</x:v>
      </x:c>
      <x:c r="E254" s="2" t="n">
        <x:v>1</x:v>
      </x:c>
      <x:c r="F254" s="2" t="str">
        <x:v>https://clinicaltrials.gov/study/NCT05056727</x:v>
      </x:c>
      <x:c r="G25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55" ht="23" customHeight="1">
      <x:c r="A255" s="2" t="str">
        <x:v>AstraZeneca</x:v>
      </x:c>
      <x:c r="B255" s="2" t="str">
        <x:v>2021-25</x:v>
      </x:c>
      <x:c r="C255" s="2" t="str">
        <x:v>NCT05925803</x:v>
      </x:c>
      <x:c r="D255" s="2" t="str">
        <x:v>AstraZeneca</x:v>
      </x:c>
      <x:c r="E255" s="2" t="n">
        <x:v>1</x:v>
      </x:c>
      <x:c r="F255" s="2" t="str">
        <x:v>https://clinicaltrials.gov/study/NCT05925803</x:v>
      </x:c>
      <x:c r="G25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56" ht="23" customHeight="1">
      <x:c r="A256" s="2" t="str">
        <x:v>AstraZeneca</x:v>
      </x:c>
      <x:c r="B256" s="2" t="str">
        <x:v>2021-25</x:v>
      </x:c>
      <x:c r="C256" s="2" t="str">
        <x:v>NCT05755906</x:v>
      </x:c>
      <x:c r="D256" s="2" t="str">
        <x:v>AstraZeneca</x:v>
      </x:c>
      <x:c r="E256" s="2" t="n">
        <x:v>0</x:v>
      </x:c>
      <x:c r="F256" s="2" t="str">
        <x:v>https://clinicaltrials.gov/study/NCT05755906</x:v>
      </x:c>
      <x:c r="G25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57" ht="23" customHeight="1">
      <x:c r="A257" s="2" t="str">
        <x:v>AstraZeneca</x:v>
      </x:c>
      <x:c r="B257" s="2" t="str">
        <x:v>2021-25</x:v>
      </x:c>
      <x:c r="C257" s="2" t="str">
        <x:v>NCT04711252</x:v>
      </x:c>
      <x:c r="D257" s="2" t="str">
        <x:v>AstraZeneca</x:v>
      </x:c>
      <x:c r="E257" s="2" t="n">
        <x:v>1</x:v>
      </x:c>
      <x:c r="F257" s="2" t="str">
        <x:v>https://clinicaltrials.gov/study/NCT04711252</x:v>
      </x:c>
      <x:c r="G25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58" ht="23" customHeight="1">
      <x:c r="A258" s="2" t="str">
        <x:v>AstraZeneca</x:v>
      </x:c>
      <x:c r="B258" s="2" t="str">
        <x:v>2021-25</x:v>
      </x:c>
      <x:c r="C258" s="2" t="str">
        <x:v>NCT06921785</x:v>
      </x:c>
      <x:c r="D258" s="2" t="str">
        <x:v>AstraZeneca</x:v>
      </x:c>
      <x:c r="E258" s="2" t="n">
        <x:v>1</x:v>
      </x:c>
      <x:c r="F258" s="2" t="str">
        <x:v>https://clinicaltrials.gov/study/NCT06921785</x:v>
      </x:c>
      <x:c r="G25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59" ht="23" customHeight="1">
      <x:c r="A259" s="2" t="str">
        <x:v>AstraZeneca</x:v>
      </x:c>
      <x:c r="B259" s="2" t="str">
        <x:v>2021-25</x:v>
      </x:c>
      <x:c r="C259" s="2" t="str">
        <x:v>NCT05221840</x:v>
      </x:c>
      <x:c r="D259" s="2" t="str">
        <x:v>AstraZeneca</x:v>
      </x:c>
      <x:c r="E259" s="2" t="n">
        <x:v>0</x:v>
      </x:c>
      <x:c r="F259" s="2" t="str">
        <x:v>https://clinicaltrials.gov/study/NCT05221840</x:v>
      </x:c>
      <x:c r="G25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60" ht="23" customHeight="1">
      <x:c r="A260" s="2" t="str">
        <x:v>AstraZeneca</x:v>
      </x:c>
      <x:c r="B260" s="2" t="str">
        <x:v>2021-25</x:v>
      </x:c>
      <x:c r="C260" s="2" t="str">
        <x:v>NCT04774380</x:v>
      </x:c>
      <x:c r="D260" s="2" t="str">
        <x:v>AstraZeneca</x:v>
      </x:c>
      <x:c r="E260" s="2" t="n">
        <x:v>0</x:v>
      </x:c>
      <x:c r="F260" s="2" t="str">
        <x:v>https://clinicaltrials.gov/study/NCT04774380</x:v>
      </x:c>
      <x:c r="G26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61" ht="23" customHeight="1">
      <x:c r="A261" s="2" t="str">
        <x:v>AstraZeneca</x:v>
      </x:c>
      <x:c r="B261" s="2" t="str">
        <x:v>2021-25</x:v>
      </x:c>
      <x:c r="C261" s="2" t="str">
        <x:v>NCT06417814</x:v>
      </x:c>
      <x:c r="D261" s="2" t="str">
        <x:v>AstraZeneca</x:v>
      </x:c>
      <x:c r="E261" s="2" t="n">
        <x:v>1</x:v>
      </x:c>
      <x:c r="F261" s="2" t="str">
        <x:v>https://clinicaltrials.gov/study/NCT06417814</x:v>
      </x:c>
      <x:c r="G26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62" ht="23" customHeight="1">
      <x:c r="A262" s="2" t="str">
        <x:v>AstraZeneca</x:v>
      </x:c>
      <x:c r="B262" s="2" t="str">
        <x:v>2021-25</x:v>
      </x:c>
      <x:c r="C262" s="2" t="str">
        <x:v>NCT06549595</x:v>
      </x:c>
      <x:c r="D262" s="2" t="str">
        <x:v>AstraZeneca</x:v>
      </x:c>
      <x:c r="E262" s="2" t="n">
        <x:v>1</x:v>
      </x:c>
      <x:c r="F262" s="2" t="str">
        <x:v>https://clinicaltrials.gov/study/NCT06549595</x:v>
      </x:c>
      <x:c r="G26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63" ht="23" customHeight="1">
      <x:c r="A263" s="2" t="str">
        <x:v>AstraZeneca</x:v>
      </x:c>
      <x:c r="B263" s="2" t="str">
        <x:v>2021-25</x:v>
      </x:c>
      <x:c r="C263" s="2" t="str">
        <x:v>NCT06291376</x:v>
      </x:c>
      <x:c r="D263" s="2" t="str">
        <x:v>Alexion Pharmaceuticals, Inc.</x:v>
      </x:c>
      <x:c r="E263" s="2" t="n">
        <x:v>0</x:v>
      </x:c>
      <x:c r="F263" s="2" t="str">
        <x:v>https://clinicaltrials.gov/study/NCT06291376</x:v>
      </x:c>
      <x:c r="G26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64" ht="23" customHeight="1">
      <x:c r="A264" s="2" t="str">
        <x:v>AstraZeneca</x:v>
      </x:c>
      <x:c r="B264" s="2" t="str">
        <x:v>2021-25</x:v>
      </x:c>
      <x:c r="C264" s="2" t="str">
        <x:v>NCT07000123</x:v>
      </x:c>
      <x:c r="D264" s="2" t="str">
        <x:v>AstraZeneca</x:v>
      </x:c>
      <x:c r="E264" s="2" t="n">
        <x:v>1</x:v>
      </x:c>
      <x:c r="F264" s="2" t="str">
        <x:v>https://clinicaltrials.gov/study/NCT07000123</x:v>
      </x:c>
      <x:c r="G26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AstraZeneca+OR+AREA%5BLeadSponsorName%5DMedImmune+OR+AREA%5BLeadSponsorName%5DAlexion%29&amp;countTotal=true&amp;pageSize=1</x:v>
      </x:c>
    </x:row>
    <x:row r="265" ht="23" customHeight="1">
      <x:c r="A265" s="2" t="str">
        <x:v>Novartis</x:v>
      </x:c>
      <x:c r="B265" s="2" t="str">
        <x:v>2015-19</x:v>
      </x:c>
      <x:c r="C265" s="2" t="str">
        <x:v>NCT03909295</x:v>
      </x:c>
      <x:c r="D265" s="2" t="str">
        <x:v>Novartis Pharmaceuticals</x:v>
      </x:c>
      <x:c r="E265" s="2" t="n">
        <x:v>0</x:v>
      </x:c>
      <x:c r="F265" s="2" t="str">
        <x:v>https://clinicaltrials.gov/study/NCT03909295</x:v>
      </x:c>
      <x:c r="G26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66" ht="23" customHeight="1">
      <x:c r="A266" s="2" t="str">
        <x:v>Novartis</x:v>
      </x:c>
      <x:c r="B266" s="2" t="str">
        <x:v>2015-19</x:v>
      </x:c>
      <x:c r="C266" s="2" t="str">
        <x:v>NCT03215758</x:v>
      </x:c>
      <x:c r="D266" s="2" t="str">
        <x:v>Novartis Pharmaceuticals</x:v>
      </x:c>
      <x:c r="E266" s="2" t="n">
        <x:v>0</x:v>
      </x:c>
      <x:c r="F266" s="2" t="str">
        <x:v>https://clinicaltrials.gov/study/NCT03215758</x:v>
      </x:c>
      <x:c r="G26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67" ht="23" customHeight="1">
      <x:c r="A267" s="2" t="str">
        <x:v>Novartis</x:v>
      </x:c>
      <x:c r="B267" s="2" t="str">
        <x:v>2015-19</x:v>
      </x:c>
      <x:c r="C267" s="2" t="str">
        <x:v>NCT02396212</x:v>
      </x:c>
      <x:c r="D267" s="2" t="str">
        <x:v>Novartis Pharmaceuticals</x:v>
      </x:c>
      <x:c r="E267" s="2" t="n">
        <x:v>0</x:v>
      </x:c>
      <x:c r="F267" s="2" t="str">
        <x:v>https://clinicaltrials.gov/study/NCT02396212</x:v>
      </x:c>
      <x:c r="G26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68" ht="23" customHeight="1">
      <x:c r="A268" s="2" t="str">
        <x:v>Novartis</x:v>
      </x:c>
      <x:c r="B268" s="2" t="str">
        <x:v>2015-19</x:v>
      </x:c>
      <x:c r="C268" s="2" t="str">
        <x:v>NCT03070691</x:v>
      </x:c>
      <x:c r="D268" s="2" t="str">
        <x:v>Novartis Pharmaceuticals</x:v>
      </x:c>
      <x:c r="E268" s="2" t="n">
        <x:v>0</x:v>
      </x:c>
      <x:c r="F268" s="2" t="str">
        <x:v>https://clinicaltrials.gov/study/NCT03070691</x:v>
      </x:c>
      <x:c r="G26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69" ht="23" customHeight="1">
      <x:c r="A269" s="2" t="str">
        <x:v>Novartis</x:v>
      </x:c>
      <x:c r="B269" s="2" t="str">
        <x:v>2015-19</x:v>
      </x:c>
      <x:c r="C269" s="2" t="str">
        <x:v>NCT02662985</x:v>
      </x:c>
      <x:c r="D269" s="2" t="str">
        <x:v>Novartis Pharmaceuticals</x:v>
      </x:c>
      <x:c r="E269" s="2" t="n">
        <x:v>0</x:v>
      </x:c>
      <x:c r="F269" s="2" t="str">
        <x:v>https://clinicaltrials.gov/study/NCT02662985</x:v>
      </x:c>
      <x:c r="G26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70" ht="23" customHeight="1">
      <x:c r="A270" s="2" t="str">
        <x:v>Novartis</x:v>
      </x:c>
      <x:c r="B270" s="2" t="str">
        <x:v>2015-19</x:v>
      </x:c>
      <x:c r="C270" s="2" t="str">
        <x:v>NCT03623243</x:v>
      </x:c>
      <x:c r="D270" s="2" t="str">
        <x:v>Novartis Pharmaceuticals</x:v>
      </x:c>
      <x:c r="E270" s="2" t="n">
        <x:v>0</x:v>
      </x:c>
      <x:c r="F270" s="2" t="str">
        <x:v>https://clinicaltrials.gov/study/NCT03623243</x:v>
      </x:c>
      <x:c r="G27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71" ht="23" customHeight="1">
      <x:c r="A271" s="2" t="str">
        <x:v>Novartis</x:v>
      </x:c>
      <x:c r="B271" s="2" t="str">
        <x:v>2015-19</x:v>
      </x:c>
      <x:c r="C271" s="2" t="str">
        <x:v>NCT03814746</x:v>
      </x:c>
      <x:c r="D271" s="2" t="str">
        <x:v>Novartis Pharmaceuticals</x:v>
      </x:c>
      <x:c r="E271" s="2" t="n">
        <x:v>1</x:v>
      </x:c>
      <x:c r="F271" s="2" t="str">
        <x:v>https://clinicaltrials.gov/study/NCT03814746</x:v>
      </x:c>
      <x:c r="G27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72" ht="23" customHeight="1">
      <x:c r="A272" s="2" t="str">
        <x:v>Novartis</x:v>
      </x:c>
      <x:c r="B272" s="2" t="str">
        <x:v>2015-19</x:v>
      </x:c>
      <x:c r="C272" s="2" t="str">
        <x:v>NCT03810313</x:v>
      </x:c>
      <x:c r="D272" s="2" t="str">
        <x:v>Novartis Pharmaceuticals</x:v>
      </x:c>
      <x:c r="E272" s="2" t="n">
        <x:v>0</x:v>
      </x:c>
      <x:c r="F272" s="2" t="str">
        <x:v>https://clinicaltrials.gov/study/NCT03810313</x:v>
      </x:c>
      <x:c r="G27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73" ht="23" customHeight="1">
      <x:c r="A273" s="2" t="str">
        <x:v>Novartis</x:v>
      </x:c>
      <x:c r="B273" s="2" t="str">
        <x:v>2015-19</x:v>
      </x:c>
      <x:c r="C273" s="2" t="str">
        <x:v>NCT03447769</x:v>
      </x:c>
      <x:c r="D273" s="2" t="str">
        <x:v>Novartis Pharmaceuticals</x:v>
      </x:c>
      <x:c r="E273" s="2" t="n">
        <x:v>1</x:v>
      </x:c>
      <x:c r="F273" s="2" t="str">
        <x:v>https://clinicaltrials.gov/study/NCT03447769</x:v>
      </x:c>
      <x:c r="G27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74" ht="23" customHeight="1">
      <x:c r="A274" s="2" t="str">
        <x:v>Novartis</x:v>
      </x:c>
      <x:c r="B274" s="2" t="str">
        <x:v>2015-19</x:v>
      </x:c>
      <x:c r="C274" s="2" t="str">
        <x:v>NCT02792218</x:v>
      </x:c>
      <x:c r="D274" s="2" t="str">
        <x:v>Novartis Pharmaceuticals</x:v>
      </x:c>
      <x:c r="E274" s="2" t="n">
        <x:v>1</x:v>
      </x:c>
      <x:c r="F274" s="2" t="str">
        <x:v>https://clinicaltrials.gov/study/NCT02792218</x:v>
      </x:c>
      <x:c r="G27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75" ht="23" customHeight="1">
      <x:c r="A275" s="2" t="str">
        <x:v>Novartis</x:v>
      </x:c>
      <x:c r="B275" s="2" t="str">
        <x:v>2015-19</x:v>
      </x:c>
      <x:c r="C275" s="2" t="str">
        <x:v>NCT03930641</x:v>
      </x:c>
      <x:c r="D275" s="2" t="str">
        <x:v>Novartis Pharmaceuticals</x:v>
      </x:c>
      <x:c r="E275" s="2" t="n">
        <x:v>0</x:v>
      </x:c>
      <x:c r="F275" s="2" t="str">
        <x:v>https://clinicaltrials.gov/study/NCT03930641</x:v>
      </x:c>
      <x:c r="G27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76" ht="23" customHeight="1">
      <x:c r="A276" s="2" t="str">
        <x:v>Novartis</x:v>
      </x:c>
      <x:c r="B276" s="2" t="str">
        <x:v>2015-19</x:v>
      </x:c>
      <x:c r="C276" s="2" t="str">
        <x:v>NCT02748863</x:v>
      </x:c>
      <x:c r="D276" s="2" t="str">
        <x:v>Novartis Pharmaceuticals</x:v>
      </x:c>
      <x:c r="E276" s="2" t="n">
        <x:v>0</x:v>
      </x:c>
      <x:c r="F276" s="2" t="str">
        <x:v>https://clinicaltrials.gov/study/NCT02748863</x:v>
      </x:c>
      <x:c r="G27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77" ht="23" customHeight="1">
      <x:c r="A277" s="2" t="str">
        <x:v>Novartis</x:v>
      </x:c>
      <x:c r="B277" s="2" t="str">
        <x:v>2015-19</x:v>
      </x:c>
      <x:c r="C277" s="2" t="str">
        <x:v>NCT03917472</x:v>
      </x:c>
      <x:c r="D277" s="2" t="str">
        <x:v>Novartis Pharmaceuticals</x:v>
      </x:c>
      <x:c r="E277" s="2" t="n">
        <x:v>0</x:v>
      </x:c>
      <x:c r="F277" s="2" t="str">
        <x:v>https://clinicaltrials.gov/study/NCT03917472</x:v>
      </x:c>
      <x:c r="G27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78" ht="23" customHeight="1">
      <x:c r="A278" s="2" t="str">
        <x:v>Novartis</x:v>
      </x:c>
      <x:c r="B278" s="2" t="str">
        <x:v>2015-19</x:v>
      </x:c>
      <x:c r="C278" s="2" t="str">
        <x:v>NCT03529084</x:v>
      </x:c>
      <x:c r="D278" s="2" t="str">
        <x:v>Novartis Pharmaceuticals</x:v>
      </x:c>
      <x:c r="E278" s="2" t="n">
        <x:v>0</x:v>
      </x:c>
      <x:c r="F278" s="2" t="str">
        <x:v>https://clinicaltrials.gov/study/NCT03529084</x:v>
      </x:c>
      <x:c r="G27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79" ht="23" customHeight="1">
      <x:c r="A279" s="2" t="str">
        <x:v>Novartis</x:v>
      </x:c>
      <x:c r="B279" s="2" t="str">
        <x:v>2015-19</x:v>
      </x:c>
      <x:c r="C279" s="2" t="str">
        <x:v>NCT02554786</x:v>
      </x:c>
      <x:c r="D279" s="2" t="str">
        <x:v>Novartis Pharmaceuticals</x:v>
      </x:c>
      <x:c r="E279" s="2" t="n">
        <x:v>1</x:v>
      </x:c>
      <x:c r="F279" s="2" t="str">
        <x:v>https://clinicaltrials.gov/study/NCT02554786</x:v>
      </x:c>
      <x:c r="G27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80" ht="23" customHeight="1">
      <x:c r="A280" s="2" t="str">
        <x:v>Novartis</x:v>
      </x:c>
      <x:c r="B280" s="2" t="str">
        <x:v>2015-19</x:v>
      </x:c>
      <x:c r="C280" s="2" t="str">
        <x:v>NCT03100825</x:v>
      </x:c>
      <x:c r="D280" s="2" t="str">
        <x:v>Novartis Pharmaceuticals</x:v>
      </x:c>
      <x:c r="E280" s="2" t="n">
        <x:v>0</x:v>
      </x:c>
      <x:c r="F280" s="2" t="str">
        <x:v>https://clinicaltrials.gov/study/NCT03100825</x:v>
      </x:c>
      <x:c r="G28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81" ht="23" customHeight="1">
      <x:c r="A281" s="2" t="str">
        <x:v>Novartis</x:v>
      </x:c>
      <x:c r="B281" s="2" t="str">
        <x:v>2015-19</x:v>
      </x:c>
      <x:c r="C281" s="2" t="str">
        <x:v>NCT04179175</x:v>
      </x:c>
      <x:c r="D281" s="2" t="str">
        <x:v>Novartis Pharmaceuticals</x:v>
      </x:c>
      <x:c r="E281" s="2" t="n">
        <x:v>1</x:v>
      </x:c>
      <x:c r="F281" s="2" t="str">
        <x:v>https://clinicaltrials.gov/study/NCT04179175</x:v>
      </x:c>
      <x:c r="G28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82" ht="23" customHeight="1">
      <x:c r="A282" s="2" t="str">
        <x:v>Novartis</x:v>
      </x:c>
      <x:c r="B282" s="2" t="str">
        <x:v>2015-19</x:v>
      </x:c>
      <x:c r="C282" s="2" t="str">
        <x:v>NCT02697734</x:v>
      </x:c>
      <x:c r="D282" s="2" t="str">
        <x:v>Novartis Pharmaceuticals</x:v>
      </x:c>
      <x:c r="E282" s="2" t="n">
        <x:v>0</x:v>
      </x:c>
      <x:c r="F282" s="2" t="str">
        <x:v>https://clinicaltrials.gov/study/NCT02697734</x:v>
      </x:c>
      <x:c r="G28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83" ht="23" customHeight="1">
      <x:c r="A283" s="2" t="str">
        <x:v>Novartis</x:v>
      </x:c>
      <x:c r="B283" s="2" t="str">
        <x:v>2015-19</x:v>
      </x:c>
      <x:c r="C283" s="2" t="str">
        <x:v>NCT03136861</x:v>
      </x:c>
      <x:c r="D283" s="2" t="str">
        <x:v>Novartis Pharmaceuticals</x:v>
      </x:c>
      <x:c r="E283" s="2" t="n">
        <x:v>0</x:v>
      </x:c>
      <x:c r="F283" s="2" t="str">
        <x:v>https://clinicaltrials.gov/study/NCT03136861</x:v>
      </x:c>
      <x:c r="G28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84" ht="23" customHeight="1">
      <x:c r="A284" s="2" t="str">
        <x:v>Novartis</x:v>
      </x:c>
      <x:c r="B284" s="2" t="str">
        <x:v>2015-19</x:v>
      </x:c>
      <x:c r="C284" s="2" t="str">
        <x:v>NCT03369704</x:v>
      </x:c>
      <x:c r="D284" s="2" t="str">
        <x:v>Novartis Pharmaceuticals</x:v>
      </x:c>
      <x:c r="E284" s="2" t="n">
        <x:v>0</x:v>
      </x:c>
      <x:c r="F284" s="2" t="str">
        <x:v>https://clinicaltrials.gov/study/NCT03369704</x:v>
      </x:c>
      <x:c r="G28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85" ht="23" customHeight="1">
      <x:c r="A285" s="2" t="str">
        <x:v>Novartis</x:v>
      </x:c>
      <x:c r="B285" s="2" t="str">
        <x:v>2015-19</x:v>
      </x:c>
      <x:c r="C285" s="2" t="str">
        <x:v>NCT03031782</x:v>
      </x:c>
      <x:c r="D285" s="2" t="str">
        <x:v>Novartis Pharmaceuticals</x:v>
      </x:c>
      <x:c r="E285" s="2" t="n">
        <x:v>0</x:v>
      </x:c>
      <x:c r="F285" s="2" t="str">
        <x:v>https://clinicaltrials.gov/study/NCT03031782</x:v>
      </x:c>
      <x:c r="G28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86" ht="23" customHeight="1">
      <x:c r="A286" s="2" t="str">
        <x:v>Novartis</x:v>
      </x:c>
      <x:c r="B286" s="2" t="str">
        <x:v>2015-19</x:v>
      </x:c>
      <x:c r="C286" s="2" t="str">
        <x:v>NCT03713632</x:v>
      </x:c>
      <x:c r="D286" s="2" t="str">
        <x:v>Novartis Pharmaceuticals</x:v>
      </x:c>
      <x:c r="E286" s="2" t="n">
        <x:v>1</x:v>
      </x:c>
      <x:c r="F286" s="2" t="str">
        <x:v>https://clinicaltrials.gov/study/NCT03713632</x:v>
      </x:c>
      <x:c r="G28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87" ht="23" customHeight="1">
      <x:c r="A287" s="2" t="str">
        <x:v>Novartis</x:v>
      </x:c>
      <x:c r="B287" s="2" t="str">
        <x:v>2015-19</x:v>
      </x:c>
      <x:c r="C287" s="2" t="str">
        <x:v>NCT03096834</x:v>
      </x:c>
      <x:c r="D287" s="2" t="str">
        <x:v>Novartis Pharmaceuticals</x:v>
      </x:c>
      <x:c r="E287" s="2" t="n">
        <x:v>0</x:v>
      </x:c>
      <x:c r="F287" s="2" t="str">
        <x:v>https://clinicaltrials.gov/study/NCT03096834</x:v>
      </x:c>
      <x:c r="G28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88" ht="23" customHeight="1">
      <x:c r="A288" s="2" t="str">
        <x:v>Novartis</x:v>
      </x:c>
      <x:c r="B288" s="2" t="str">
        <x:v>2015-19</x:v>
      </x:c>
      <x:c r="C288" s="2" t="str">
        <x:v>NCT02362789</x:v>
      </x:c>
      <x:c r="D288" s="2" t="str">
        <x:v>Novartis Pharmaceuticals</x:v>
      </x:c>
      <x:c r="E288" s="2" t="n">
        <x:v>0</x:v>
      </x:c>
      <x:c r="F288" s="2" t="str">
        <x:v>https://clinicaltrials.gov/study/NCT02362789</x:v>
      </x:c>
      <x:c r="G28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89" ht="23" customHeight="1">
      <x:c r="A289" s="2" t="str">
        <x:v>Novartis</x:v>
      </x:c>
      <x:c r="B289" s="2" t="str">
        <x:v>2015-19</x:v>
      </x:c>
      <x:c r="C289" s="2" t="str">
        <x:v>NCT02394561</x:v>
      </x:c>
      <x:c r="D289" s="2" t="str">
        <x:v>Novartis Pharmaceuticals</x:v>
      </x:c>
      <x:c r="E289" s="2" t="n">
        <x:v>0</x:v>
      </x:c>
      <x:c r="F289" s="2" t="str">
        <x:v>https://clinicaltrials.gov/study/NCT02394561</x:v>
      </x:c>
      <x:c r="G28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90" ht="23" customHeight="1">
      <x:c r="A290" s="2" t="str">
        <x:v>Novartis</x:v>
      </x:c>
      <x:c r="B290" s="2" t="str">
        <x:v>2015-19</x:v>
      </x:c>
      <x:c r="C290" s="2" t="str">
        <x:v>NCT04023552</x:v>
      </x:c>
      <x:c r="D290" s="2" t="str">
        <x:v>Novartis Pharmaceuticals</x:v>
      </x:c>
      <x:c r="E290" s="2" t="n">
        <x:v>1</x:v>
      </x:c>
      <x:c r="F290" s="2" t="str">
        <x:v>https://clinicaltrials.gov/study/NCT04023552</x:v>
      </x:c>
      <x:c r="G29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91" ht="23" customHeight="1">
      <x:c r="A291" s="2" t="str">
        <x:v>Novartis</x:v>
      </x:c>
      <x:c r="B291" s="2" t="str">
        <x:v>2015-19</x:v>
      </x:c>
      <x:c r="C291" s="2" t="str">
        <x:v>NCT02896127</x:v>
      </x:c>
      <x:c r="D291" s="2" t="str">
        <x:v>Novartis Pharmaceuticals</x:v>
      </x:c>
      <x:c r="E291" s="2" t="n">
        <x:v>0</x:v>
      </x:c>
      <x:c r="F291" s="2" t="str">
        <x:v>https://clinicaltrials.gov/study/NCT02896127</x:v>
      </x:c>
      <x:c r="G29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92" ht="23" customHeight="1">
      <x:c r="A292" s="2" t="str">
        <x:v>Novartis</x:v>
      </x:c>
      <x:c r="B292" s="2" t="str">
        <x:v>2015-19</x:v>
      </x:c>
      <x:c r="C292" s="2" t="str">
        <x:v>NCT03052517</x:v>
      </x:c>
      <x:c r="D292" s="2" t="str">
        <x:v>Novartis Pharmaceuticals</x:v>
      </x:c>
      <x:c r="E292" s="2" t="n">
        <x:v>1</x:v>
      </x:c>
      <x:c r="F292" s="2" t="str">
        <x:v>https://clinicaltrials.gov/study/NCT03052517</x:v>
      </x:c>
      <x:c r="G29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93" ht="23" customHeight="1">
      <x:c r="A293" s="2" t="str">
        <x:v>Novartis</x:v>
      </x:c>
      <x:c r="B293" s="2" t="str">
        <x:v>2015-19</x:v>
      </x:c>
      <x:c r="C293" s="2" t="str">
        <x:v>NCT03123939</x:v>
      </x:c>
      <x:c r="D293" s="2" t="str">
        <x:v>Novartis Pharmaceuticals</x:v>
      </x:c>
      <x:c r="E293" s="2" t="n">
        <x:v>0</x:v>
      </x:c>
      <x:c r="F293" s="2" t="str">
        <x:v>https://clinicaltrials.gov/study/NCT03123939</x:v>
      </x:c>
      <x:c r="G29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94" ht="23" customHeight="1">
      <x:c r="A294" s="2" t="str">
        <x:v>Novartis</x:v>
      </x:c>
      <x:c r="B294" s="2" t="str">
        <x:v>2015-19</x:v>
      </x:c>
      <x:c r="C294" s="2" t="str">
        <x:v>NCT03837184</x:v>
      </x:c>
      <x:c r="D294" s="2" t="str">
        <x:v>Novartis Gene Therapies</x:v>
      </x:c>
      <x:c r="E294" s="2" t="n">
        <x:v>0</x:v>
      </x:c>
      <x:c r="F294" s="2" t="str">
        <x:v>https://clinicaltrials.gov/study/NCT03837184</x:v>
      </x:c>
      <x:c r="G29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95" ht="23" customHeight="1">
      <x:c r="A295" s="2" t="str">
        <x:v>Novartis</x:v>
      </x:c>
      <x:c r="B295" s="2" t="str">
        <x:v>2015-19</x:v>
      </x:c>
      <x:c r="C295" s="2" t="str">
        <x:v>NCT02941926</x:v>
      </x:c>
      <x:c r="D295" s="2" t="str">
        <x:v>Novartis Pharmaceuticals</x:v>
      </x:c>
      <x:c r="E295" s="2" t="n">
        <x:v>1</x:v>
      </x:c>
      <x:c r="F295" s="2" t="str">
        <x:v>https://clinicaltrials.gov/study/NCT02941926</x:v>
      </x:c>
      <x:c r="G29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96" ht="23" customHeight="1">
      <x:c r="A296" s="2" t="str">
        <x:v>Novartis</x:v>
      </x:c>
      <x:c r="B296" s="2" t="str">
        <x:v>2015-19</x:v>
      </x:c>
      <x:c r="C296" s="2" t="str">
        <x:v>NCT04210843</x:v>
      </x:c>
      <x:c r="D296" s="2" t="str">
        <x:v>Novartis Pharmaceuticals</x:v>
      </x:c>
      <x:c r="E296" s="2" t="n">
        <x:v>1</x:v>
      </x:c>
      <x:c r="F296" s="2" t="str">
        <x:v>https://clinicaltrials.gov/study/NCT04210843</x:v>
      </x:c>
      <x:c r="G29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97" ht="23" customHeight="1">
      <x:c r="A297" s="2" t="str">
        <x:v>Novartis</x:v>
      </x:c>
      <x:c r="B297" s="2" t="str">
        <x:v>2015-19</x:v>
      </x:c>
      <x:c r="C297" s="2" t="str">
        <x:v>NCT03596970</x:v>
      </x:c>
      <x:c r="D297" s="2" t="str">
        <x:v>Novartis Pharmaceuticals</x:v>
      </x:c>
      <x:c r="E297" s="2" t="n">
        <x:v>0</x:v>
      </x:c>
      <x:c r="F297" s="2" t="str">
        <x:v>https://clinicaltrials.gov/study/NCT03596970</x:v>
      </x:c>
      <x:c r="G29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98" ht="23" customHeight="1">
      <x:c r="A298" s="2" t="str">
        <x:v>Novartis</x:v>
      </x:c>
      <x:c r="B298" s="2" t="str">
        <x:v>2015-19</x:v>
      </x:c>
      <x:c r="C298" s="2" t="str">
        <x:v>NCT02640664</x:v>
      </x:c>
      <x:c r="D298" s="2" t="str">
        <x:v>Novartis Pharmaceuticals</x:v>
      </x:c>
      <x:c r="E298" s="2" t="n">
        <x:v>1</x:v>
      </x:c>
      <x:c r="F298" s="2" t="str">
        <x:v>https://clinicaltrials.gov/study/NCT02640664</x:v>
      </x:c>
      <x:c r="G29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299" ht="23" customHeight="1">
      <x:c r="A299" s="2" t="str">
        <x:v>Novartis</x:v>
      </x:c>
      <x:c r="B299" s="2" t="str">
        <x:v>2015-19</x:v>
      </x:c>
      <x:c r="C299" s="2" t="str">
        <x:v>NCT03668613</x:v>
      </x:c>
      <x:c r="D299" s="2" t="str">
        <x:v>Novartis Pharmaceuticals</x:v>
      </x:c>
      <x:c r="E299" s="2" t="n">
        <x:v>0</x:v>
      </x:c>
      <x:c r="F299" s="2" t="str">
        <x:v>https://clinicaltrials.gov/study/NCT03668613</x:v>
      </x:c>
      <x:c r="G29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00" ht="23" customHeight="1">
      <x:c r="A300" s="2" t="str">
        <x:v>Novartis</x:v>
      </x:c>
      <x:c r="B300" s="2" t="str">
        <x:v>2015-19</x:v>
      </x:c>
      <x:c r="C300" s="2" t="str">
        <x:v>NCT02573467</x:v>
      </x:c>
      <x:c r="D300" s="2" t="str">
        <x:v>Novartis Pharmaceuticals</x:v>
      </x:c>
      <x:c r="E300" s="2" t="n">
        <x:v>0</x:v>
      </x:c>
      <x:c r="F300" s="2" t="str">
        <x:v>https://clinicaltrials.gov/study/NCT02573467</x:v>
      </x:c>
      <x:c r="G30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01" ht="23" customHeight="1">
      <x:c r="A301" s="2" t="str">
        <x:v>Novartis</x:v>
      </x:c>
      <x:c r="B301" s="2" t="str">
        <x:v>2015-19</x:v>
      </x:c>
      <x:c r="C301" s="2" t="str">
        <x:v>NCT03814187</x:v>
      </x:c>
      <x:c r="D301" s="2" t="str">
        <x:v>Novartis Pharmaceuticals</x:v>
      </x:c>
      <x:c r="E301" s="2" t="n">
        <x:v>0</x:v>
      </x:c>
      <x:c r="F301" s="2" t="str">
        <x:v>https://clinicaltrials.gov/study/NCT03814187</x:v>
      </x:c>
      <x:c r="G30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02" ht="23" customHeight="1">
      <x:c r="A302" s="2" t="str">
        <x:v>Novartis</x:v>
      </x:c>
      <x:c r="B302" s="2" t="str">
        <x:v>2015-19</x:v>
      </x:c>
      <x:c r="C302" s="2" t="str">
        <x:v>NCT03802630</x:v>
      </x:c>
      <x:c r="D302" s="2" t="str">
        <x:v>Novartis Pharmaceuticals</x:v>
      </x:c>
      <x:c r="E302" s="2" t="n">
        <x:v>0</x:v>
      </x:c>
      <x:c r="F302" s="2" t="str">
        <x:v>https://clinicaltrials.gov/study/NCT03802630</x:v>
      </x:c>
      <x:c r="G30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03" ht="23" customHeight="1">
      <x:c r="A303" s="2" t="str">
        <x:v>Novartis</x:v>
      </x:c>
      <x:c r="B303" s="2" t="str">
        <x:v>2015-19</x:v>
      </x:c>
      <x:c r="C303" s="2" t="str">
        <x:v>NCT02745080</x:v>
      </x:c>
      <x:c r="D303" s="2" t="str">
        <x:v>Novartis Pharmaceuticals</x:v>
      </x:c>
      <x:c r="E303" s="2" t="n">
        <x:v>1</x:v>
      </x:c>
      <x:c r="F303" s="2" t="str">
        <x:v>https://clinicaltrials.gov/study/NCT02745080</x:v>
      </x:c>
      <x:c r="G30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04" ht="23" customHeight="1">
      <x:c r="A304" s="2" t="str">
        <x:v>Novartis</x:v>
      </x:c>
      <x:c r="B304" s="2" t="str">
        <x:v>2015-19</x:v>
      </x:c>
      <x:c r="C304" s="2" t="str">
        <x:v>NCT02487446</x:v>
      </x:c>
      <x:c r="D304" s="2" t="str">
        <x:v>Novartis Pharmaceuticals</x:v>
      </x:c>
      <x:c r="E304" s="2" t="n">
        <x:v>0</x:v>
      </x:c>
      <x:c r="F304" s="2" t="str">
        <x:v>https://clinicaltrials.gov/study/NCT02487446</x:v>
      </x:c>
      <x:c r="G30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05" ht="23" customHeight="1">
      <x:c r="A305" s="2" t="str">
        <x:v>Novartis</x:v>
      </x:c>
      <x:c r="B305" s="2" t="str">
        <x:v>2015-19</x:v>
      </x:c>
      <x:c r="C305" s="2" t="str">
        <x:v>NCT03176238</x:v>
      </x:c>
      <x:c r="D305" s="2" t="str">
        <x:v>Novartis Pharmaceuticals</x:v>
      </x:c>
      <x:c r="E305" s="2" t="n">
        <x:v>1</x:v>
      </x:c>
      <x:c r="F305" s="2" t="str">
        <x:v>https://clinicaltrials.gov/study/NCT03176238</x:v>
      </x:c>
      <x:c r="G30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06" ht="23" customHeight="1">
      <x:c r="A306" s="2" t="str">
        <x:v>Novartis</x:v>
      </x:c>
      <x:c r="B306" s="2" t="str">
        <x:v>2015-19</x:v>
      </x:c>
      <x:c r="C306" s="2" t="str">
        <x:v>NCT03158311</x:v>
      </x:c>
      <x:c r="D306" s="2" t="str">
        <x:v>Novartis Pharmaceuticals</x:v>
      </x:c>
      <x:c r="E306" s="2" t="n">
        <x:v>1</x:v>
      </x:c>
      <x:c r="F306" s="2" t="str">
        <x:v>https://clinicaltrials.gov/study/NCT03158311</x:v>
      </x:c>
      <x:c r="G30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07" ht="23" customHeight="1">
      <x:c r="A307" s="2" t="str">
        <x:v>Novartis</x:v>
      </x:c>
      <x:c r="B307" s="2" t="str">
        <x:v>2015-19</x:v>
      </x:c>
      <x:c r="C307" s="2" t="str">
        <x:v>NCT02474069</x:v>
      </x:c>
      <x:c r="D307" s="2" t="str">
        <x:v>Novartis Pharmaceuticals</x:v>
      </x:c>
      <x:c r="E307" s="2" t="n">
        <x:v>0</x:v>
      </x:c>
      <x:c r="F307" s="2" t="str">
        <x:v>https://clinicaltrials.gov/study/NCT02474069</x:v>
      </x:c>
      <x:c r="G30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08" ht="23" customHeight="1">
      <x:c r="A308" s="2" t="str">
        <x:v>Novartis</x:v>
      </x:c>
      <x:c r="B308" s="2" t="str">
        <x:v>2015-19</x:v>
      </x:c>
      <x:c r="C308" s="2" t="str">
        <x:v>NCT03050398</x:v>
      </x:c>
      <x:c r="D308" s="2" t="str">
        <x:v>Novartis Pharmaceuticals</x:v>
      </x:c>
      <x:c r="E308" s="2" t="n">
        <x:v>0</x:v>
      </x:c>
      <x:c r="F308" s="2" t="str">
        <x:v>https://clinicaltrials.gov/study/NCT03050398</x:v>
      </x:c>
      <x:c r="G30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09" ht="23" customHeight="1">
      <x:c r="A309" s="2" t="str">
        <x:v>Novartis</x:v>
      </x:c>
      <x:c r="B309" s="2" t="str">
        <x:v>2015-19</x:v>
      </x:c>
      <x:c r="C309" s="2" t="str">
        <x:v>NCT02720536</x:v>
      </x:c>
      <x:c r="D309" s="2" t="str">
        <x:v>Novartis Pharmaceuticals</x:v>
      </x:c>
      <x:c r="E309" s="2" t="n">
        <x:v>0</x:v>
      </x:c>
      <x:c r="F309" s="2" t="str">
        <x:v>https://clinicaltrials.gov/study/NCT02720536</x:v>
      </x:c>
      <x:c r="G30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10" ht="23" customHeight="1">
      <x:c r="A310" s="2" t="str">
        <x:v>Novartis</x:v>
      </x:c>
      <x:c r="B310" s="2" t="str">
        <x:v>2015-19</x:v>
      </x:c>
      <x:c r="C310" s="2" t="str">
        <x:v>NCT03954626</x:v>
      </x:c>
      <x:c r="D310" s="2" t="str">
        <x:v>Novartis Pharmaceuticals</x:v>
      </x:c>
      <x:c r="E310" s="2" t="n">
        <x:v>0</x:v>
      </x:c>
      <x:c r="F310" s="2" t="str">
        <x:v>https://clinicaltrials.gov/study/NCT03954626</x:v>
      </x:c>
      <x:c r="G31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11" ht="23" customHeight="1">
      <x:c r="A311" s="2" t="str">
        <x:v>Novartis</x:v>
      </x:c>
      <x:c r="B311" s="2" t="str">
        <x:v>2015-19</x:v>
      </x:c>
      <x:c r="C311" s="2" t="str">
        <x:v>NCT02471144</x:v>
      </x:c>
      <x:c r="D311" s="2" t="str">
        <x:v>Novartis Pharmaceuticals</x:v>
      </x:c>
      <x:c r="E311" s="2" t="n">
        <x:v>0</x:v>
      </x:c>
      <x:c r="F311" s="2" t="str">
        <x:v>https://clinicaltrials.gov/study/NCT02471144</x:v>
      </x:c>
      <x:c r="G31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12" ht="23" customHeight="1">
      <x:c r="A312" s="2" t="str">
        <x:v>Novartis</x:v>
      </x:c>
      <x:c r="B312" s="2" t="str">
        <x:v>2015-19</x:v>
      </x:c>
      <x:c r="C312" s="2" t="str">
        <x:v>NCT02924727</x:v>
      </x:c>
      <x:c r="D312" s="2" t="str">
        <x:v>Novartis Pharmaceuticals</x:v>
      </x:c>
      <x:c r="E312" s="2" t="n">
        <x:v>1</x:v>
      </x:c>
      <x:c r="F312" s="2" t="str">
        <x:v>https://clinicaltrials.gov/study/NCT02924727</x:v>
      </x:c>
      <x:c r="G31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13" ht="23" customHeight="1">
      <x:c r="A313" s="2" t="str">
        <x:v>Novartis</x:v>
      </x:c>
      <x:c r="B313" s="2" t="str">
        <x:v>2015-19</x:v>
      </x:c>
      <x:c r="C313" s="2" t="str">
        <x:v>NCT03629249</x:v>
      </x:c>
      <x:c r="D313" s="2" t="str">
        <x:v>Novartis Pharmaceuticals</x:v>
      </x:c>
      <x:c r="E313" s="2" t="n">
        <x:v>0</x:v>
      </x:c>
      <x:c r="F313" s="2" t="str">
        <x:v>https://clinicaltrials.gov/study/NCT03629249</x:v>
      </x:c>
      <x:c r="G31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14" ht="23" customHeight="1">
      <x:c r="A314" s="2" t="str">
        <x:v>Novartis</x:v>
      </x:c>
      <x:c r="B314" s="2" t="str">
        <x:v>2015-19</x:v>
      </x:c>
      <x:c r="C314" s="2" t="str">
        <x:v>NCT02795416</x:v>
      </x:c>
      <x:c r="D314" s="2" t="str">
        <x:v>Novartis Pharmaceuticals</x:v>
      </x:c>
      <x:c r="E314" s="2" t="n">
        <x:v>0</x:v>
      </x:c>
      <x:c r="F314" s="2" t="str">
        <x:v>https://clinicaltrials.gov/study/NCT02795416</x:v>
      </x:c>
      <x:c r="G31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15" ht="23" customHeight="1">
      <x:c r="A315" s="2" t="str">
        <x:v>Novartis</x:v>
      </x:c>
      <x:c r="B315" s="2" t="str">
        <x:v>2015-19</x:v>
      </x:c>
      <x:c r="C315" s="2" t="str">
        <x:v>NCT02334748</x:v>
      </x:c>
      <x:c r="D315" s="2" t="str">
        <x:v>Novartis Pharmaceuticals</x:v>
      </x:c>
      <x:c r="E315" s="2" t="n">
        <x:v>0</x:v>
      </x:c>
      <x:c r="F315" s="2" t="str">
        <x:v>https://clinicaltrials.gov/study/NCT02334748</x:v>
      </x:c>
      <x:c r="G31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16" ht="23" customHeight="1">
      <x:c r="A316" s="2" t="str">
        <x:v>Novartis</x:v>
      </x:c>
      <x:c r="B316" s="2" t="str">
        <x:v>2015-19</x:v>
      </x:c>
      <x:c r="C316" s="2" t="str">
        <x:v>NCT03955445</x:v>
      </x:c>
      <x:c r="D316" s="2" t="str">
        <x:v>Novartis Pharmaceuticals</x:v>
      </x:c>
      <x:c r="E316" s="2" t="n">
        <x:v>0</x:v>
      </x:c>
      <x:c r="F316" s="2" t="str">
        <x:v>https://clinicaltrials.gov/study/NCT03955445</x:v>
      </x:c>
      <x:c r="G31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17" ht="23" customHeight="1">
      <x:c r="A317" s="2" t="str">
        <x:v>Novartis</x:v>
      </x:c>
      <x:c r="B317" s="2" t="str">
        <x:v>2015-19</x:v>
      </x:c>
      <x:c r="C317" s="2" t="str">
        <x:v>NCT03907878</x:v>
      </x:c>
      <x:c r="D317" s="2" t="str">
        <x:v>Novartis Pharmaceuticals</x:v>
      </x:c>
      <x:c r="E317" s="2" t="n">
        <x:v>0</x:v>
      </x:c>
      <x:c r="F317" s="2" t="str">
        <x:v>https://clinicaltrials.gov/study/NCT03907878</x:v>
      </x:c>
      <x:c r="G31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18" ht="23" customHeight="1">
      <x:c r="A318" s="2" t="str">
        <x:v>Novartis</x:v>
      </x:c>
      <x:c r="B318" s="2" t="str">
        <x:v>2015-19</x:v>
      </x:c>
      <x:c r="C318" s="2" t="str">
        <x:v>NCT02476422</x:v>
      </x:c>
      <x:c r="D318" s="2" t="str">
        <x:v>Novartis Pharmaceuticals</x:v>
      </x:c>
      <x:c r="E318" s="2" t="n">
        <x:v>0</x:v>
      </x:c>
      <x:c r="F318" s="2" t="str">
        <x:v>https://clinicaltrials.gov/study/NCT02476422</x:v>
      </x:c>
      <x:c r="G31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19" ht="23" customHeight="1">
      <x:c r="A319" s="2" t="str">
        <x:v>Novartis</x:v>
      </x:c>
      <x:c r="B319" s="2" t="str">
        <x:v>2015-19</x:v>
      </x:c>
      <x:c r="C319" s="2" t="str">
        <x:v>NCT03512197</x:v>
      </x:c>
      <x:c r="D319" s="2" t="str">
        <x:v>Novartis Pharmaceuticals</x:v>
      </x:c>
      <x:c r="E319" s="2" t="n">
        <x:v>0</x:v>
      </x:c>
      <x:c r="F319" s="2" t="str">
        <x:v>https://clinicaltrials.gov/study/NCT03512197</x:v>
      </x:c>
      <x:c r="G31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20" ht="23" customHeight="1">
      <x:c r="A320" s="2" t="str">
        <x:v>Novartis</x:v>
      </x:c>
      <x:c r="B320" s="2" t="str">
        <x:v>2015-19</x:v>
      </x:c>
      <x:c r="C320" s="2" t="str">
        <x:v>NCT03570892</x:v>
      </x:c>
      <x:c r="D320" s="2" t="str">
        <x:v>Novartis Pharmaceuticals</x:v>
      </x:c>
      <x:c r="E320" s="2" t="n">
        <x:v>0</x:v>
      </x:c>
      <x:c r="F320" s="2" t="str">
        <x:v>https://clinicaltrials.gov/study/NCT03570892</x:v>
      </x:c>
      <x:c r="G32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21" ht="23" customHeight="1">
      <x:c r="A321" s="2" t="str">
        <x:v>Novartis</x:v>
      </x:c>
      <x:c r="B321" s="2" t="str">
        <x:v>2015-19</x:v>
      </x:c>
      <x:c r="C321" s="2" t="str">
        <x:v>NCT02884206</x:v>
      </x:c>
      <x:c r="D321" s="2" t="str">
        <x:v>Novartis Pharmaceuticals</x:v>
      </x:c>
      <x:c r="E321" s="2" t="n">
        <x:v>0</x:v>
      </x:c>
      <x:c r="F321" s="2" t="str">
        <x:v>https://clinicaltrials.gov/study/NCT02884206</x:v>
      </x:c>
      <x:c r="G32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22" ht="23" customHeight="1">
      <x:c r="A322" s="2" t="str">
        <x:v>Novartis</x:v>
      </x:c>
      <x:c r="B322" s="2" t="str">
        <x:v>2015-19</x:v>
      </x:c>
      <x:c r="C322" s="2" t="str">
        <x:v>NCT02900378</x:v>
      </x:c>
      <x:c r="D322" s="2" t="str">
        <x:v>Novartis Pharmaceuticals</x:v>
      </x:c>
      <x:c r="E322" s="2" t="n">
        <x:v>0</x:v>
      </x:c>
      <x:c r="F322" s="2" t="str">
        <x:v>https://clinicaltrials.gov/study/NCT02900378</x:v>
      </x:c>
      <x:c r="G32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23" ht="23" customHeight="1">
      <x:c r="A323" s="2" t="str">
        <x:v>Novartis</x:v>
      </x:c>
      <x:c r="B323" s="2" t="str">
        <x:v>2015-19</x:v>
      </x:c>
      <x:c r="C323" s="2" t="str">
        <x:v>NCT03906136</x:v>
      </x:c>
      <x:c r="D323" s="2" t="str">
        <x:v>Novartis Pharmaceuticals</x:v>
      </x:c>
      <x:c r="E323" s="2" t="n">
        <x:v>0</x:v>
      </x:c>
      <x:c r="F323" s="2" t="str">
        <x:v>https://clinicaltrials.gov/study/NCT03906136</x:v>
      </x:c>
      <x:c r="G32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24" ht="23" customHeight="1">
      <x:c r="A324" s="2" t="str">
        <x:v>Novartis</x:v>
      </x:c>
      <x:c r="B324" s="2" t="str">
        <x:v>2015-19</x:v>
      </x:c>
      <x:c r="C324" s="2" t="str">
        <x:v>NCT02571777</x:v>
      </x:c>
      <x:c r="D324" s="2" t="str">
        <x:v>Novartis Pharmaceuticals</x:v>
      </x:c>
      <x:c r="E324" s="2" t="n">
        <x:v>1</x:v>
      </x:c>
      <x:c r="F324" s="2" t="str">
        <x:v>https://clinicaltrials.gov/study/NCT02571777</x:v>
      </x:c>
      <x:c r="G32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25" ht="23" customHeight="1">
      <x:c r="A325" s="2" t="str">
        <x:v>Novartis</x:v>
      </x:c>
      <x:c r="B325" s="2" t="str">
        <x:v>2015-19</x:v>
      </x:c>
      <x:c r="C325" s="2" t="str">
        <x:v>NCT02487498</x:v>
      </x:c>
      <x:c r="D325" s="2" t="str">
        <x:v>Novartis Pharmaceuticals</x:v>
      </x:c>
      <x:c r="E325" s="2" t="n">
        <x:v>0</x:v>
      </x:c>
      <x:c r="F325" s="2" t="str">
        <x:v>https://clinicaltrials.gov/study/NCT02487498</x:v>
      </x:c>
      <x:c r="G32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26" ht="23" customHeight="1">
      <x:c r="A326" s="2" t="str">
        <x:v>Novartis</x:v>
      </x:c>
      <x:c r="B326" s="2" t="str">
        <x:v>2015-19</x:v>
      </x:c>
      <x:c r="C326" s="2" t="str">
        <x:v>NCT02409667</x:v>
      </x:c>
      <x:c r="D326" s="2" t="str">
        <x:v>Novartis Pharmaceuticals</x:v>
      </x:c>
      <x:c r="E326" s="2" t="n">
        <x:v>0</x:v>
      </x:c>
      <x:c r="F326" s="2" t="str">
        <x:v>https://clinicaltrials.gov/study/NCT02409667</x:v>
      </x:c>
      <x:c r="G32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27" ht="23" customHeight="1">
      <x:c r="A327" s="2" t="str">
        <x:v>Novartis</x:v>
      </x:c>
      <x:c r="B327" s="2" t="str">
        <x:v>2015-19</x:v>
      </x:c>
      <x:c r="C327" s="2" t="str">
        <x:v>NCT02555683</x:v>
      </x:c>
      <x:c r="D327" s="2" t="str">
        <x:v>Novartis Pharmaceuticals</x:v>
      </x:c>
      <x:c r="E327" s="2" t="n">
        <x:v>0</x:v>
      </x:c>
      <x:c r="F327" s="2" t="str">
        <x:v>https://clinicaltrials.gov/study/NCT02555683</x:v>
      </x:c>
      <x:c r="G32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28" ht="23" customHeight="1">
      <x:c r="A328" s="2" t="str">
        <x:v>Novartis</x:v>
      </x:c>
      <x:c r="B328" s="2" t="str">
        <x:v>2015-19</x:v>
      </x:c>
      <x:c r="C328" s="2" t="str">
        <x:v>NCT04079231</x:v>
      </x:c>
      <x:c r="D328" s="2" t="str">
        <x:v>Novartis Pharmaceuticals</x:v>
      </x:c>
      <x:c r="E328" s="2" t="n">
        <x:v>0</x:v>
      </x:c>
      <x:c r="F328" s="2" t="str">
        <x:v>https://clinicaltrials.gov/study/NCT04079231</x:v>
      </x:c>
      <x:c r="G32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29" ht="23" customHeight="1">
      <x:c r="A329" s="2" t="str">
        <x:v>Novartis</x:v>
      </x:c>
      <x:c r="B329" s="2" t="str">
        <x:v>2015-19</x:v>
      </x:c>
      <x:c r="C329" s="2" t="str">
        <x:v>NCT03106779</x:v>
      </x:c>
      <x:c r="D329" s="2" t="str">
        <x:v>Novartis Pharmaceuticals</x:v>
      </x:c>
      <x:c r="E329" s="2" t="n">
        <x:v>0</x:v>
      </x:c>
      <x:c r="F329" s="2" t="str">
        <x:v>https://clinicaltrials.gov/study/NCT03106779</x:v>
      </x:c>
      <x:c r="G32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30" ht="23" customHeight="1">
      <x:c r="A330" s="2" t="str">
        <x:v>Novartis</x:v>
      </x:c>
      <x:c r="B330" s="2" t="str">
        <x:v>2015-19</x:v>
      </x:c>
      <x:c r="C330" s="2" t="str">
        <x:v>NCT02598297</x:v>
      </x:c>
      <x:c r="D330" s="2" t="str">
        <x:v>Novartis Pharmaceuticals</x:v>
      </x:c>
      <x:c r="E330" s="2" t="n">
        <x:v>0</x:v>
      </x:c>
      <x:c r="F330" s="2" t="str">
        <x:v>https://clinicaltrials.gov/study/NCT02598297</x:v>
      </x:c>
      <x:c r="G33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31" ht="23" customHeight="1">
      <x:c r="A331" s="2" t="str">
        <x:v>Novartis</x:v>
      </x:c>
      <x:c r="B331" s="2" t="str">
        <x:v>2015-19</x:v>
      </x:c>
      <x:c r="C331" s="2" t="str">
        <x:v>NCT02435173</x:v>
      </x:c>
      <x:c r="D331" s="2" t="str">
        <x:v>Novartis Pharmaceuticals</x:v>
      </x:c>
      <x:c r="E331" s="2" t="n">
        <x:v>0</x:v>
      </x:c>
      <x:c r="F331" s="2" t="str">
        <x:v>https://clinicaltrials.gov/study/NCT02435173</x:v>
      </x:c>
      <x:c r="G33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32" ht="23" customHeight="1">
      <x:c r="A332" s="2" t="str">
        <x:v>Novartis</x:v>
      </x:c>
      <x:c r="B332" s="2" t="str">
        <x:v>2015-19</x:v>
      </x:c>
      <x:c r="C332" s="2" t="str">
        <x:v>NCT02721966</x:v>
      </x:c>
      <x:c r="D332" s="2" t="str">
        <x:v>Novartis Pharmaceuticals</x:v>
      </x:c>
      <x:c r="E332" s="2" t="n">
        <x:v>0</x:v>
      </x:c>
      <x:c r="F332" s="2" t="str">
        <x:v>https://clinicaltrials.gov/study/NCT02721966</x:v>
      </x:c>
      <x:c r="G33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33" ht="23" customHeight="1">
      <x:c r="A333" s="2" t="str">
        <x:v>Novartis</x:v>
      </x:c>
      <x:c r="B333" s="2" t="str">
        <x:v>2015-19</x:v>
      </x:c>
      <x:c r="C333" s="2" t="str">
        <x:v>NCT02565511</x:v>
      </x:c>
      <x:c r="D333" s="2" t="str">
        <x:v>Novartis Pharmaceuticals</x:v>
      </x:c>
      <x:c r="E333" s="2" t="n">
        <x:v>0</x:v>
      </x:c>
      <x:c r="F333" s="2" t="str">
        <x:v>https://clinicaltrials.gov/study/NCT02565511</x:v>
      </x:c>
      <x:c r="G33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34" ht="23" customHeight="1">
      <x:c r="A334" s="2" t="str">
        <x:v>Novartis</x:v>
      </x:c>
      <x:c r="B334" s="2" t="str">
        <x:v>2015-19</x:v>
      </x:c>
      <x:c r="C334" s="2" t="str">
        <x:v>NCT04181762</x:v>
      </x:c>
      <x:c r="D334" s="2" t="str">
        <x:v>Novartis Pharmaceuticals</x:v>
      </x:c>
      <x:c r="E334" s="2" t="n">
        <x:v>1</x:v>
      </x:c>
      <x:c r="F334" s="2" t="str">
        <x:v>https://clinicaltrials.gov/study/NCT04181762</x:v>
      </x:c>
      <x:c r="G33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35" ht="23" customHeight="1">
      <x:c r="A335" s="2" t="str">
        <x:v>Novartis</x:v>
      </x:c>
      <x:c r="B335" s="2" t="str">
        <x:v>2015-19</x:v>
      </x:c>
      <x:c r="C335" s="2" t="str">
        <x:v>NCT03461289</x:v>
      </x:c>
      <x:c r="D335" s="2" t="str">
        <x:v>Novartis Gene Therapies</x:v>
      </x:c>
      <x:c r="E335" s="2" t="n">
        <x:v>0</x:v>
      </x:c>
      <x:c r="F335" s="2" t="str">
        <x:v>https://clinicaltrials.gov/study/NCT03461289</x:v>
      </x:c>
      <x:c r="G33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36" ht="23" customHeight="1">
      <x:c r="A336" s="2" t="str">
        <x:v>Novartis</x:v>
      </x:c>
      <x:c r="B336" s="2" t="str">
        <x:v>2015-19</x:v>
      </x:c>
      <x:c r="C336" s="2" t="str">
        <x:v>NCT03096847</x:v>
      </x:c>
      <x:c r="D336" s="2" t="str">
        <x:v>Novartis Pharmaceuticals</x:v>
      </x:c>
      <x:c r="E336" s="2" t="n">
        <x:v>0</x:v>
      </x:c>
      <x:c r="F336" s="2" t="str">
        <x:v>https://clinicaltrials.gov/study/NCT03096847</x:v>
      </x:c>
      <x:c r="G33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37" ht="23" customHeight="1">
      <x:c r="A337" s="2" t="str">
        <x:v>Novartis</x:v>
      </x:c>
      <x:c r="B337" s="2" t="str">
        <x:v>2015-19</x:v>
      </x:c>
      <x:c r="C337" s="2" t="str">
        <x:v>NCT04005352</x:v>
      </x:c>
      <x:c r="D337" s="2" t="str">
        <x:v>Novartis Pharmaceuticals</x:v>
      </x:c>
      <x:c r="E337" s="2" t="n">
        <x:v>0</x:v>
      </x:c>
      <x:c r="F337" s="2" t="str">
        <x:v>https://clinicaltrials.gov/study/NCT04005352</x:v>
      </x:c>
      <x:c r="G33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38" ht="23" customHeight="1">
      <x:c r="A338" s="2" t="str">
        <x:v>Novartis</x:v>
      </x:c>
      <x:c r="B338" s="2" t="str">
        <x:v>2015-19</x:v>
      </x:c>
      <x:c r="C338" s="2" t="str">
        <x:v>NCT04208178</x:v>
      </x:c>
      <x:c r="D338" s="2" t="str">
        <x:v>Novartis Pharmaceuticals</x:v>
      </x:c>
      <x:c r="E338" s="2" t="n">
        <x:v>0</x:v>
      </x:c>
      <x:c r="F338" s="2" t="str">
        <x:v>https://clinicaltrials.gov/study/NCT04208178</x:v>
      </x:c>
      <x:c r="G33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39" ht="23" customHeight="1">
      <x:c r="A339" s="2" t="str">
        <x:v>Novartis</x:v>
      </x:c>
      <x:c r="B339" s="2" t="str">
        <x:v>2015-19</x:v>
      </x:c>
      <x:c r="C339" s="2" t="str">
        <x:v>NCT02422615</x:v>
      </x:c>
      <x:c r="D339" s="2" t="str">
        <x:v>Novartis Pharmaceuticals</x:v>
      </x:c>
      <x:c r="E339" s="2" t="n">
        <x:v>0</x:v>
      </x:c>
      <x:c r="F339" s="2" t="str">
        <x:v>https://clinicaltrials.gov/study/NCT02422615</x:v>
      </x:c>
      <x:c r="G33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40" ht="23" customHeight="1">
      <x:c r="A340" s="2" t="str">
        <x:v>Novartis</x:v>
      </x:c>
      <x:c r="B340" s="2" t="str">
        <x:v>2015-19</x:v>
      </x:c>
      <x:c r="C340" s="2" t="str">
        <x:v>NCT03626545</x:v>
      </x:c>
      <x:c r="D340" s="2" t="str">
        <x:v>Novartis Pharmaceuticals</x:v>
      </x:c>
      <x:c r="E340" s="2" t="n">
        <x:v>0</x:v>
      </x:c>
      <x:c r="F340" s="2" t="str">
        <x:v>https://clinicaltrials.gov/study/NCT03626545</x:v>
      </x:c>
      <x:c r="G34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41" ht="23" customHeight="1">
      <x:c r="A341" s="2" t="str">
        <x:v>Novartis</x:v>
      </x:c>
      <x:c r="B341" s="2" t="str">
        <x:v>2015-19</x:v>
      </x:c>
      <x:c r="C341" s="2" t="str">
        <x:v>NCT02771210</x:v>
      </x:c>
      <x:c r="D341" s="2" t="str">
        <x:v>Novartis Pharmaceuticals</x:v>
      </x:c>
      <x:c r="E341" s="2" t="n">
        <x:v>0</x:v>
      </x:c>
      <x:c r="F341" s="2" t="str">
        <x:v>https://clinicaltrials.gov/study/NCT02771210</x:v>
      </x:c>
      <x:c r="G34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42" ht="23" customHeight="1">
      <x:c r="A342" s="2" t="str">
        <x:v>Novartis</x:v>
      </x:c>
      <x:c r="B342" s="2" t="str">
        <x:v>2015-19</x:v>
      </x:c>
      <x:c r="C342" s="2" t="str">
        <x:v>NCT04156620</x:v>
      </x:c>
      <x:c r="D342" s="2" t="str">
        <x:v>Novartis Pharmaceuticals</x:v>
      </x:c>
      <x:c r="E342" s="2" t="n">
        <x:v>1</x:v>
      </x:c>
      <x:c r="F342" s="2" t="str">
        <x:v>https://clinicaltrials.gov/study/NCT04156620</x:v>
      </x:c>
      <x:c r="G34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43" ht="23" customHeight="1">
      <x:c r="A343" s="2" t="str">
        <x:v>Novartis</x:v>
      </x:c>
      <x:c r="B343" s="2" t="str">
        <x:v>2015-19</x:v>
      </x:c>
      <x:c r="C343" s="2" t="str">
        <x:v>NCT04042025</x:v>
      </x:c>
      <x:c r="D343" s="2" t="str">
        <x:v>Novartis Gene Therapies</x:v>
      </x:c>
      <x:c r="E343" s="2" t="n">
        <x:v>0</x:v>
      </x:c>
      <x:c r="F343" s="2" t="str">
        <x:v>https://clinicaltrials.gov/study/NCT04042025</x:v>
      </x:c>
      <x:c r="G34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44" ht="23" customHeight="1">
      <x:c r="A344" s="2" t="str">
        <x:v>Novartis</x:v>
      </x:c>
      <x:c r="B344" s="2" t="str">
        <x:v>2015-19</x:v>
      </x:c>
      <x:c r="C344" s="2" t="str">
        <x:v>NCT03851705</x:v>
      </x:c>
      <x:c r="D344" s="2" t="str">
        <x:v>Novartis Pharmaceuticals</x:v>
      </x:c>
      <x:c r="E344" s="2" t="n">
        <x:v>0</x:v>
      </x:c>
      <x:c r="F344" s="2" t="str">
        <x:v>https://clinicaltrials.gov/study/NCT03851705</x:v>
      </x:c>
      <x:c r="G34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45" ht="23" customHeight="1">
      <x:c r="A345" s="2" t="str">
        <x:v>Novartis</x:v>
      </x:c>
      <x:c r="B345" s="2" t="str">
        <x:v>2015-19</x:v>
      </x:c>
      <x:c r="C345" s="2" t="str">
        <x:v>NCT02474082</x:v>
      </x:c>
      <x:c r="D345" s="2" t="str">
        <x:v>Novartis Pharmaceuticals</x:v>
      </x:c>
      <x:c r="E345" s="2" t="n">
        <x:v>0</x:v>
      </x:c>
      <x:c r="F345" s="2" t="str">
        <x:v>https://clinicaltrials.gov/study/NCT02474082</x:v>
      </x:c>
      <x:c r="G34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46" ht="23" customHeight="1">
      <x:c r="A346" s="2" t="str">
        <x:v>Novartis</x:v>
      </x:c>
      <x:c r="B346" s="2" t="str">
        <x:v>2015-19</x:v>
      </x:c>
      <x:c r="C346" s="2" t="str">
        <x:v>NCT03580356</x:v>
      </x:c>
      <x:c r="D346" s="2" t="str">
        <x:v>Novartis Pharmaceuticals</x:v>
      </x:c>
      <x:c r="E346" s="2" t="n">
        <x:v>1</x:v>
      </x:c>
      <x:c r="F346" s="2" t="str">
        <x:v>https://clinicaltrials.gov/study/NCT03580356</x:v>
      </x:c>
      <x:c r="G34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47" ht="23" customHeight="1">
      <x:c r="A347" s="2" t="str">
        <x:v>Novartis</x:v>
      </x:c>
      <x:c r="B347" s="2" t="str">
        <x:v>2015-19</x:v>
      </x:c>
      <x:c r="C347" s="2" t="str">
        <x:v>NCT03439046</x:v>
      </x:c>
      <x:c r="D347" s="2" t="str">
        <x:v>Novartis Pharmaceuticals</x:v>
      </x:c>
      <x:c r="E347" s="2" t="n">
        <x:v>0</x:v>
      </x:c>
      <x:c r="F347" s="2" t="str">
        <x:v>https://clinicaltrials.gov/study/NCT03439046</x:v>
      </x:c>
      <x:c r="G34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48" ht="23" customHeight="1">
      <x:c r="A348" s="2" t="str">
        <x:v>Novartis</x:v>
      </x:c>
      <x:c r="B348" s="2" t="str">
        <x:v>2015-19</x:v>
      </x:c>
      <x:c r="C348" s="2" t="str">
        <x:v>NCT02826603</x:v>
      </x:c>
      <x:c r="D348" s="2" t="str">
        <x:v>Novartis Pharmaceuticals</x:v>
      </x:c>
      <x:c r="E348" s="2" t="n">
        <x:v>0</x:v>
      </x:c>
      <x:c r="F348" s="2" t="str">
        <x:v>https://clinicaltrials.gov/study/NCT02826603</x:v>
      </x:c>
      <x:c r="G34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49" ht="23" customHeight="1">
      <x:c r="A349" s="2" t="str">
        <x:v>Novartis</x:v>
      </x:c>
      <x:c r="B349" s="2" t="str">
        <x:v>2015-19</x:v>
      </x:c>
      <x:c r="C349" s="2" t="str">
        <x:v>NCT03306277</x:v>
      </x:c>
      <x:c r="D349" s="2" t="str">
        <x:v>Novartis Gene Therapies</x:v>
      </x:c>
      <x:c r="E349" s="2" t="n">
        <x:v>0</x:v>
      </x:c>
      <x:c r="F349" s="2" t="str">
        <x:v>https://clinicaltrials.gov/study/NCT03306277</x:v>
      </x:c>
      <x:c r="G34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50" ht="23" customHeight="1">
      <x:c r="A350" s="2" t="str">
        <x:v>Novartis</x:v>
      </x:c>
      <x:c r="B350" s="2" t="str">
        <x:v>2015-19</x:v>
      </x:c>
      <x:c r="C350" s="2" t="str">
        <x:v>NCT04094311</x:v>
      </x:c>
      <x:c r="D350" s="2" t="str">
        <x:v>Novartis Pharmaceuticals</x:v>
      </x:c>
      <x:c r="E350" s="2" t="n">
        <x:v>0</x:v>
      </x:c>
      <x:c r="F350" s="2" t="str">
        <x:v>https://clinicaltrials.gov/study/NCT04094311</x:v>
      </x:c>
      <x:c r="G35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51" ht="23" customHeight="1">
      <x:c r="A351" s="2" t="str">
        <x:v>Novartis</x:v>
      </x:c>
      <x:c r="B351" s="2" t="str">
        <x:v>2015-19</x:v>
      </x:c>
      <x:c r="C351" s="2" t="str">
        <x:v>NCT03628053</x:v>
      </x:c>
      <x:c r="D351" s="2" t="str">
        <x:v>Novartis Pharmaceuticals</x:v>
      </x:c>
      <x:c r="E351" s="2" t="n">
        <x:v>0</x:v>
      </x:c>
      <x:c r="F351" s="2" t="str">
        <x:v>https://clinicaltrials.gov/study/NCT03628053</x:v>
      </x:c>
      <x:c r="G35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52" ht="23" customHeight="1">
      <x:c r="A352" s="2" t="str">
        <x:v>Novartis</x:v>
      </x:c>
      <x:c r="B352" s="2" t="str">
        <x:v>2015-19</x:v>
      </x:c>
      <x:c r="C352" s="2" t="str">
        <x:v>NCT03551626</x:v>
      </x:c>
      <x:c r="D352" s="2" t="str">
        <x:v>Novartis Pharmaceuticals</x:v>
      </x:c>
      <x:c r="E352" s="2" t="n">
        <x:v>0</x:v>
      </x:c>
      <x:c r="F352" s="2" t="str">
        <x:v>https://clinicaltrials.gov/study/NCT03551626</x:v>
      </x:c>
      <x:c r="G35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53" ht="23" customHeight="1">
      <x:c r="A353" s="2" t="str">
        <x:v>Novartis</x:v>
      </x:c>
      <x:c r="B353" s="2" t="str">
        <x:v>2015-19</x:v>
      </x:c>
      <x:c r="C353" s="2" t="str">
        <x:v>NCT03481660</x:v>
      </x:c>
      <x:c r="D353" s="2" t="str">
        <x:v>Novartis Pharmaceuticals</x:v>
      </x:c>
      <x:c r="E353" s="2" t="n">
        <x:v>1</x:v>
      </x:c>
      <x:c r="F353" s="2" t="str">
        <x:v>https://clinicaltrials.gov/study/NCT03481660</x:v>
      </x:c>
      <x:c r="G35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54" ht="23" customHeight="1">
      <x:c r="A354" s="2" t="str">
        <x:v>Novartis</x:v>
      </x:c>
      <x:c r="B354" s="2" t="str">
        <x:v>2015-19</x:v>
      </x:c>
      <x:c r="C354" s="2" t="str">
        <x:v>NCT03226392</x:v>
      </x:c>
      <x:c r="D354" s="2" t="str">
        <x:v>Novartis Pharmaceuticals</x:v>
      </x:c>
      <x:c r="E354" s="2" t="n">
        <x:v>1</x:v>
      </x:c>
      <x:c r="F354" s="2" t="str">
        <x:v>https://clinicaltrials.gov/study/NCT03226392</x:v>
      </x:c>
      <x:c r="G35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55" ht="23" customHeight="1">
      <x:c r="A355" s="2" t="str">
        <x:v>Novartis</x:v>
      </x:c>
      <x:c r="B355" s="2" t="str">
        <x:v>2015-19</x:v>
      </x:c>
      <x:c r="C355" s="2" t="str">
        <x:v>NCT02465203</x:v>
      </x:c>
      <x:c r="D355" s="2" t="str">
        <x:v>Novartis Pharmaceuticals</x:v>
      </x:c>
      <x:c r="E355" s="2" t="n">
        <x:v>1</x:v>
      </x:c>
      <x:c r="F355" s="2" t="str">
        <x:v>https://clinicaltrials.gov/study/NCT02465203</x:v>
      </x:c>
      <x:c r="G35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56" ht="23" customHeight="1">
      <x:c r="A356" s="2" t="str">
        <x:v>Novartis</x:v>
      </x:c>
      <x:c r="B356" s="2" t="str">
        <x:v>2015-19</x:v>
      </x:c>
      <x:c r="C356" s="2" t="str">
        <x:v>NCT02792231</x:v>
      </x:c>
      <x:c r="D356" s="2" t="str">
        <x:v>Novartis Pharmaceuticals</x:v>
      </x:c>
      <x:c r="E356" s="2" t="n">
        <x:v>1</x:v>
      </x:c>
      <x:c r="F356" s="2" t="str">
        <x:v>https://clinicaltrials.gov/study/NCT02792231</x:v>
      </x:c>
      <x:c r="G35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57" ht="23" customHeight="1">
      <x:c r="A357" s="2" t="str">
        <x:v>Novartis</x:v>
      </x:c>
      <x:c r="B357" s="2" t="str">
        <x:v>2015-19</x:v>
      </x:c>
      <x:c r="C357" s="2" t="str">
        <x:v>NCT03580369</x:v>
      </x:c>
      <x:c r="D357" s="2" t="str">
        <x:v>Novartis Pharmaceuticals</x:v>
      </x:c>
      <x:c r="E357" s="2" t="n">
        <x:v>1</x:v>
      </x:c>
      <x:c r="F357" s="2" t="str">
        <x:v>https://clinicaltrials.gov/study/NCT03580369</x:v>
      </x:c>
      <x:c r="G35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58" ht="23" customHeight="1">
      <x:c r="A358" s="2" t="str">
        <x:v>Novartis</x:v>
      </x:c>
      <x:c r="B358" s="2" t="str">
        <x:v>2015-19</x:v>
      </x:c>
      <x:c r="C358" s="2" t="str">
        <x:v>NCT03505099</x:v>
      </x:c>
      <x:c r="D358" s="2" t="str">
        <x:v>Novartis Gene Therapies</x:v>
      </x:c>
      <x:c r="E358" s="2" t="n">
        <x:v>0</x:v>
      </x:c>
      <x:c r="F358" s="2" t="str">
        <x:v>https://clinicaltrials.gov/study/NCT03505099</x:v>
      </x:c>
      <x:c r="G35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59" ht="23" customHeight="1">
      <x:c r="A359" s="2" t="str">
        <x:v>Novartis</x:v>
      </x:c>
      <x:c r="B359" s="2" t="str">
        <x:v>2015-19</x:v>
      </x:c>
      <x:c r="C359" s="2" t="str">
        <x:v>NCT03710564</x:v>
      </x:c>
      <x:c r="D359" s="2" t="str">
        <x:v>Novartis Pharmaceuticals</x:v>
      </x:c>
      <x:c r="E359" s="2" t="n">
        <x:v>0</x:v>
      </x:c>
      <x:c r="F359" s="2" t="str">
        <x:v>https://clinicaltrials.gov/study/NCT03710564</x:v>
      </x:c>
      <x:c r="G35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60" ht="23" customHeight="1">
      <x:c r="A360" s="2" t="str">
        <x:v>Novartis</x:v>
      </x:c>
      <x:c r="B360" s="2" t="str">
        <x:v>2015-19</x:v>
      </x:c>
      <x:c r="C360" s="2" t="str">
        <x:v>NCT03100500</x:v>
      </x:c>
      <x:c r="D360" s="2" t="str">
        <x:v>Novartis Pharmaceuticals</x:v>
      </x:c>
      <x:c r="E360" s="2" t="n">
        <x:v>0</x:v>
      </x:c>
      <x:c r="F360" s="2" t="str">
        <x:v>https://clinicaltrials.gov/study/NCT03100500</x:v>
      </x:c>
      <x:c r="G36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61" ht="23" customHeight="1">
      <x:c r="A361" s="2" t="str">
        <x:v>Novartis</x:v>
      </x:c>
      <x:c r="B361" s="2" t="str">
        <x:v>2015-19</x:v>
      </x:c>
      <x:c r="C361" s="2" t="str">
        <x:v>NCT03988634</x:v>
      </x:c>
      <x:c r="D361" s="2" t="str">
        <x:v>Novartis Pharmaceuticals</x:v>
      </x:c>
      <x:c r="E361" s="2" t="n">
        <x:v>0</x:v>
      </x:c>
      <x:c r="F361" s="2" t="str">
        <x:v>https://clinicaltrials.gov/study/NCT03988634</x:v>
      </x:c>
      <x:c r="G36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62" ht="23" customHeight="1">
      <x:c r="A362" s="2" t="str">
        <x:v>Novartis</x:v>
      </x:c>
      <x:c r="B362" s="2" t="str">
        <x:v>2015-19</x:v>
      </x:c>
      <x:c r="C362" s="2" t="str">
        <x:v>NCT02354508</x:v>
      </x:c>
      <x:c r="D362" s="2" t="str">
        <x:v>Novartis Pharmaceuticals</x:v>
      </x:c>
      <x:c r="E362" s="2" t="n">
        <x:v>0</x:v>
      </x:c>
      <x:c r="F362" s="2" t="str">
        <x:v>https://clinicaltrials.gov/study/NCT02354508</x:v>
      </x:c>
      <x:c r="G36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63" ht="23" customHeight="1">
      <x:c r="A363" s="2" t="str">
        <x:v>Novartis</x:v>
      </x:c>
      <x:c r="B363" s="2" t="str">
        <x:v>2015-19</x:v>
      </x:c>
      <x:c r="C363" s="2" t="str">
        <x:v>NCT03701334</x:v>
      </x:c>
      <x:c r="D363" s="2" t="str">
        <x:v>Novartis Pharmaceuticals</x:v>
      </x:c>
      <x:c r="E363" s="2" t="n">
        <x:v>0</x:v>
      </x:c>
      <x:c r="F363" s="2" t="str">
        <x:v>https://clinicaltrials.gov/study/NCT03701334</x:v>
      </x:c>
      <x:c r="G36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64" ht="23" customHeight="1">
      <x:c r="A364" s="2" t="str">
        <x:v>Novartis</x:v>
      </x:c>
      <x:c r="B364" s="2" t="str">
        <x:v>2015-19</x:v>
      </x:c>
      <x:c r="C364" s="2" t="str">
        <x:v>NCT03481634</x:v>
      </x:c>
      <x:c r="D364" s="2" t="str">
        <x:v>Novartis Pharmaceuticals</x:v>
      </x:c>
      <x:c r="E364" s="2" t="n">
        <x:v>0</x:v>
      </x:c>
      <x:c r="F364" s="2" t="str">
        <x:v>https://clinicaltrials.gov/study/NCT03481634</x:v>
      </x:c>
      <x:c r="G36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65" ht="23" customHeight="1">
      <x:c r="A365" s="2" t="str">
        <x:v>Novartis</x:v>
      </x:c>
      <x:c r="B365" s="2" t="str">
        <x:v>2015-19</x:v>
      </x:c>
      <x:c r="C365" s="2" t="str">
        <x:v>NCT02962414</x:v>
      </x:c>
      <x:c r="D365" s="2" t="str">
        <x:v>Novartis Pharmaceuticals</x:v>
      </x:c>
      <x:c r="E365" s="2" t="n">
        <x:v>0</x:v>
      </x:c>
      <x:c r="F365" s="2" t="str">
        <x:v>https://clinicaltrials.gov/study/NCT02962414</x:v>
      </x:c>
      <x:c r="G36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66" ht="23" customHeight="1">
      <x:c r="A366" s="2" t="str">
        <x:v>Novartis</x:v>
      </x:c>
      <x:c r="B366" s="2" t="str">
        <x:v>2015-19</x:v>
      </x:c>
      <x:c r="C366" s="2" t="str">
        <x:v>NCT03137784</x:v>
      </x:c>
      <x:c r="D366" s="2" t="str">
        <x:v>Novartis Pharmaceuticals</x:v>
      </x:c>
      <x:c r="E366" s="2" t="n">
        <x:v>0</x:v>
      </x:c>
      <x:c r="F366" s="2" t="str">
        <x:v>https://clinicaltrials.gov/study/NCT03137784</x:v>
      </x:c>
      <x:c r="G36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67" ht="23" customHeight="1">
      <x:c r="A367" s="2" t="str">
        <x:v>Novartis</x:v>
      </x:c>
      <x:c r="B367" s="2" t="str">
        <x:v>2015-19</x:v>
      </x:c>
      <x:c r="C367" s="2" t="str">
        <x:v>NCT02967692</x:v>
      </x:c>
      <x:c r="D367" s="2" t="str">
        <x:v>Novartis Pharmaceuticals</x:v>
      </x:c>
      <x:c r="E367" s="2" t="n">
        <x:v>0</x:v>
      </x:c>
      <x:c r="F367" s="2" t="str">
        <x:v>https://clinicaltrials.gov/study/NCT02967692</x:v>
      </x:c>
      <x:c r="G36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68" ht="23" customHeight="1">
      <x:c r="A368" s="2" t="str">
        <x:v>Novartis</x:v>
      </x:c>
      <x:c r="B368" s="2" t="str">
        <x:v>2015-19</x:v>
      </x:c>
      <x:c r="C368" s="2" t="str">
        <x:v>NCT03713619</x:v>
      </x:c>
      <x:c r="D368" s="2" t="str">
        <x:v>Novartis Pharmaceuticals</x:v>
      </x:c>
      <x:c r="E368" s="2" t="n">
        <x:v>1</x:v>
      </x:c>
      <x:c r="F368" s="2" t="str">
        <x:v>https://clinicaltrials.gov/study/NCT03713619</x:v>
      </x:c>
      <x:c r="G36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69" ht="23" customHeight="1">
      <x:c r="A369" s="2" t="str">
        <x:v>Novartis</x:v>
      </x:c>
      <x:c r="B369" s="2" t="str">
        <x:v>2015-19</x:v>
      </x:c>
      <x:c r="C369" s="2" t="str">
        <x:v>NCT04209205</x:v>
      </x:c>
      <x:c r="D369" s="2" t="str">
        <x:v>Novartis Pharmaceuticals</x:v>
      </x:c>
      <x:c r="E369" s="2" t="n">
        <x:v>1</x:v>
      </x:c>
      <x:c r="F369" s="2" t="str">
        <x:v>https://clinicaltrials.gov/study/NCT04209205</x:v>
      </x:c>
      <x:c r="G36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70" ht="23" customHeight="1">
      <x:c r="A370" s="2" t="str">
        <x:v>Novartis</x:v>
      </x:c>
      <x:c r="B370" s="2" t="str">
        <x:v>2015-19</x:v>
      </x:c>
      <x:c r="C370" s="2" t="str">
        <x:v>NCT03681093</x:v>
      </x:c>
      <x:c r="D370" s="2" t="str">
        <x:v>Novartis Pharmaceuticals</x:v>
      </x:c>
      <x:c r="E370" s="2" t="n">
        <x:v>0</x:v>
      </x:c>
      <x:c r="F370" s="2" t="str">
        <x:v>https://clinicaltrials.gov/study/NCT03681093</x:v>
      </x:c>
      <x:c r="G37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71" ht="23" customHeight="1">
      <x:c r="A371" s="2" t="str">
        <x:v>Novartis</x:v>
      </x:c>
      <x:c r="B371" s="2" t="str">
        <x:v>2015-19</x:v>
      </x:c>
      <x:c r="C371" s="2" t="str">
        <x:v>NCT03631199</x:v>
      </x:c>
      <x:c r="D371" s="2" t="str">
        <x:v>Novartis Pharmaceuticals</x:v>
      </x:c>
      <x:c r="E371" s="2" t="n">
        <x:v>1</x:v>
      </x:c>
      <x:c r="F371" s="2" t="str">
        <x:v>https://clinicaltrials.gov/study/NCT03631199</x:v>
      </x:c>
      <x:c r="G37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72" ht="23" customHeight="1">
      <x:c r="A372" s="2" t="str">
        <x:v>Novartis</x:v>
      </x:c>
      <x:c r="B372" s="2" t="str">
        <x:v>2015-19</x:v>
      </x:c>
      <x:c r="C372" s="2" t="str">
        <x:v>NCT02563067</x:v>
      </x:c>
      <x:c r="D372" s="2" t="str">
        <x:v>Novartis Pharmaceuticals</x:v>
      </x:c>
      <x:c r="E372" s="2" t="n">
        <x:v>1</x:v>
      </x:c>
      <x:c r="F372" s="2" t="str">
        <x:v>https://clinicaltrials.gov/study/NCT02563067</x:v>
      </x:c>
      <x:c r="G37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73" ht="23" customHeight="1">
      <x:c r="A373" s="2" t="str">
        <x:v>Novartis</x:v>
      </x:c>
      <x:c r="B373" s="2" t="str">
        <x:v>2015-19</x:v>
      </x:c>
      <x:c r="C373" s="2" t="str">
        <x:v>NCT03131453</x:v>
      </x:c>
      <x:c r="D373" s="2" t="str">
        <x:v>Novartis Pharmaceuticals</x:v>
      </x:c>
      <x:c r="E373" s="2" t="n">
        <x:v>0</x:v>
      </x:c>
      <x:c r="F373" s="2" t="str">
        <x:v>https://clinicaltrials.gov/study/NCT03131453</x:v>
      </x:c>
      <x:c r="G37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74" ht="23" customHeight="1">
      <x:c r="A374" s="2" t="str">
        <x:v>Novartis</x:v>
      </x:c>
      <x:c r="B374" s="2" t="str">
        <x:v>2015-19</x:v>
      </x:c>
      <x:c r="C374" s="2" t="str">
        <x:v>NCT03066609</x:v>
      </x:c>
      <x:c r="D374" s="2" t="str">
        <x:v>Novartis Pharmaceuticals</x:v>
      </x:c>
      <x:c r="E374" s="2" t="n">
        <x:v>0</x:v>
      </x:c>
      <x:c r="F374" s="2" t="str">
        <x:v>https://clinicaltrials.gov/study/NCT03066609</x:v>
      </x:c>
      <x:c r="G37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75" ht="23" customHeight="1">
      <x:c r="A375" s="2" t="str">
        <x:v>Novartis</x:v>
      </x:c>
      <x:c r="B375" s="2" t="str">
        <x:v>2015-19</x:v>
      </x:c>
      <x:c r="C375" s="2" t="str">
        <x:v>NCT03785405</x:v>
      </x:c>
      <x:c r="D375" s="2" t="str">
        <x:v>Novartis Pharmaceuticals</x:v>
      </x:c>
      <x:c r="E375" s="2" t="n">
        <x:v>1</x:v>
      </x:c>
      <x:c r="F375" s="2" t="str">
        <x:v>https://clinicaltrials.gov/study/NCT03785405</x:v>
      </x:c>
      <x:c r="G37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76" ht="23" customHeight="1">
      <x:c r="A376" s="2" t="str">
        <x:v>Novartis</x:v>
      </x:c>
      <x:c r="B376" s="2" t="str">
        <x:v>2015-19</x:v>
      </x:c>
      <x:c r="C376" s="2" t="str">
        <x:v>NCT03333109</x:v>
      </x:c>
      <x:c r="D376" s="2" t="str">
        <x:v>Novartis Pharmaceuticals</x:v>
      </x:c>
      <x:c r="E376" s="2" t="n">
        <x:v>1</x:v>
      </x:c>
      <x:c r="F376" s="2" t="str">
        <x:v>https://clinicaltrials.gov/study/NCT03333109</x:v>
      </x:c>
      <x:c r="G37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77" ht="23" customHeight="1">
      <x:c r="A377" s="2" t="str">
        <x:v>Novartis</x:v>
      </x:c>
      <x:c r="B377" s="2" t="str">
        <x:v>2015-19</x:v>
      </x:c>
      <x:c r="C377" s="2" t="str">
        <x:v>NCT03081234</x:v>
      </x:c>
      <x:c r="D377" s="2" t="str">
        <x:v>Novartis Pharmaceuticals</x:v>
      </x:c>
      <x:c r="E377" s="2" t="n">
        <x:v>0</x:v>
      </x:c>
      <x:c r="F377" s="2" t="str">
        <x:v>https://clinicaltrials.gov/study/NCT03081234</x:v>
      </x:c>
      <x:c r="G37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78" ht="23" customHeight="1">
      <x:c r="A378" s="2" t="str">
        <x:v>Novartis</x:v>
      </x:c>
      <x:c r="B378" s="2" t="str">
        <x:v>2015-19</x:v>
      </x:c>
      <x:c r="C378" s="2" t="str">
        <x:v>NCT02750592</x:v>
      </x:c>
      <x:c r="D378" s="2" t="str">
        <x:v>Novartis Pharmaceuticals</x:v>
      </x:c>
      <x:c r="E378" s="2" t="n">
        <x:v>0</x:v>
      </x:c>
      <x:c r="F378" s="2" t="str">
        <x:v>https://clinicaltrials.gov/study/NCT02750592</x:v>
      </x:c>
      <x:c r="G37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79" ht="23" customHeight="1">
      <x:c r="A379" s="2" t="str">
        <x:v>Novartis</x:v>
      </x:c>
      <x:c r="B379" s="2" t="str">
        <x:v>2015-19</x:v>
      </x:c>
      <x:c r="C379" s="2" t="str">
        <x:v>NCT02559622</x:v>
      </x:c>
      <x:c r="D379" s="2" t="str">
        <x:v>Novartis Pharmaceuticals</x:v>
      </x:c>
      <x:c r="E379" s="2" t="n">
        <x:v>0</x:v>
      </x:c>
      <x:c r="F379" s="2" t="str">
        <x:v>https://clinicaltrials.gov/study/NCT02559622</x:v>
      </x:c>
      <x:c r="G37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80" ht="23" customHeight="1">
      <x:c r="A380" s="2" t="str">
        <x:v>Novartis</x:v>
      </x:c>
      <x:c r="B380" s="2" t="str">
        <x:v>2015-19</x:v>
      </x:c>
      <x:c r="C380" s="2" t="str">
        <x:v>NCT03386474</x:v>
      </x:c>
      <x:c r="D380" s="2" t="str">
        <x:v>Novartis Pharmaceuticals</x:v>
      </x:c>
      <x:c r="E380" s="2" t="n">
        <x:v>0</x:v>
      </x:c>
      <x:c r="F380" s="2" t="str">
        <x:v>https://clinicaltrials.gov/study/NCT03386474</x:v>
      </x:c>
      <x:c r="G38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81" ht="23" customHeight="1">
      <x:c r="A381" s="2" t="str">
        <x:v>Novartis</x:v>
      </x:c>
      <x:c r="B381" s="2" t="str">
        <x:v>2015-19</x:v>
      </x:c>
      <x:c r="C381" s="2" t="str">
        <x:v>NCT02678312</x:v>
      </x:c>
      <x:c r="D381" s="2" t="str">
        <x:v>Novartis Pharmaceuticals</x:v>
      </x:c>
      <x:c r="E381" s="2" t="n">
        <x:v>1</x:v>
      </x:c>
      <x:c r="F381" s="2" t="str">
        <x:v>https://clinicaltrials.gov/study/NCT02678312</x:v>
      </x:c>
      <x:c r="G38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82" ht="23" customHeight="1">
      <x:c r="A382" s="2" t="str">
        <x:v>Novartis</x:v>
      </x:c>
      <x:c r="B382" s="2" t="str">
        <x:v>2015-19</x:v>
      </x:c>
      <x:c r="C382" s="2" t="str">
        <x:v>NCT03917459</x:v>
      </x:c>
      <x:c r="D382" s="2" t="str">
        <x:v>Novartis Pharmaceuticals</x:v>
      </x:c>
      <x:c r="E382" s="2" t="n">
        <x:v>0</x:v>
      </x:c>
      <x:c r="F382" s="2" t="str">
        <x:v>https://clinicaltrials.gov/study/NCT03917459</x:v>
      </x:c>
      <x:c r="G38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83" ht="23" customHeight="1">
      <x:c r="A383" s="2" t="str">
        <x:v>Novartis</x:v>
      </x:c>
      <x:c r="B383" s="2" t="str">
        <x:v>2015-19</x:v>
      </x:c>
      <x:c r="C383" s="2" t="str">
        <x:v>NCT03504852</x:v>
      </x:c>
      <x:c r="D383" s="2" t="str">
        <x:v>Novartis Pharmaceuticals</x:v>
      </x:c>
      <x:c r="E383" s="2" t="n">
        <x:v>0</x:v>
      </x:c>
      <x:c r="F383" s="2" t="str">
        <x:v>https://clinicaltrials.gov/study/NCT03504852</x:v>
      </x:c>
      <x:c r="G38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84" ht="23" customHeight="1">
      <x:c r="A384" s="2" t="str">
        <x:v>Novartis</x:v>
      </x:c>
      <x:c r="B384" s="2" t="str">
        <x:v>2015-19</x:v>
      </x:c>
      <x:c r="C384" s="2" t="str">
        <x:v>NCT02468232</x:v>
      </x:c>
      <x:c r="D384" s="2" t="str">
        <x:v>Novartis Pharmaceuticals</x:v>
      </x:c>
      <x:c r="E384" s="2" t="n">
        <x:v>0</x:v>
      </x:c>
      <x:c r="F384" s="2" t="str">
        <x:v>https://clinicaltrials.gov/study/NCT02468232</x:v>
      </x:c>
      <x:c r="G38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85" ht="23" customHeight="1">
      <x:c r="A385" s="2" t="str">
        <x:v>Novartis</x:v>
      </x:c>
      <x:c r="B385" s="2" t="str">
        <x:v>2015-19</x:v>
      </x:c>
      <x:c r="C385" s="2" t="str">
        <x:v>NCT04114630</x:v>
      </x:c>
      <x:c r="D385" s="2" t="str">
        <x:v>Novartis Pharmaceuticals</x:v>
      </x:c>
      <x:c r="E385" s="2" t="n">
        <x:v>0</x:v>
      </x:c>
      <x:c r="F385" s="2" t="str">
        <x:v>https://clinicaltrials.gov/study/NCT04114630</x:v>
      </x:c>
      <x:c r="G38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86" ht="23" customHeight="1">
      <x:c r="A386" s="2" t="str">
        <x:v>Novartis</x:v>
      </x:c>
      <x:c r="B386" s="2" t="str">
        <x:v>2015-19</x:v>
      </x:c>
      <x:c r="C386" s="2" t="str">
        <x:v>NCT03650114</x:v>
      </x:c>
      <x:c r="D386" s="2" t="str">
        <x:v>Novartis Pharmaceuticals</x:v>
      </x:c>
      <x:c r="E386" s="2" t="n">
        <x:v>1</x:v>
      </x:c>
      <x:c r="F386" s="2" t="str">
        <x:v>https://clinicaltrials.gov/study/NCT03650114</x:v>
      </x:c>
      <x:c r="G38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87" ht="23" customHeight="1">
      <x:c r="A387" s="2" t="str">
        <x:v>Novartis</x:v>
      </x:c>
      <x:c r="B387" s="2" t="str">
        <x:v>2015-19</x:v>
      </x:c>
      <x:c r="C387" s="2" t="str">
        <x:v>NCT02913261</x:v>
      </x:c>
      <x:c r="D387" s="2" t="str">
        <x:v>Novartis Pharmaceuticals</x:v>
      </x:c>
      <x:c r="E387" s="2" t="n">
        <x:v>0</x:v>
      </x:c>
      <x:c r="F387" s="2" t="str">
        <x:v>https://clinicaltrials.gov/study/NCT02913261</x:v>
      </x:c>
      <x:c r="G38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88" ht="23" customHeight="1">
      <x:c r="A388" s="2" t="str">
        <x:v>Novartis</x:v>
      </x:c>
      <x:c r="B388" s="2" t="str">
        <x:v>2015-19</x:v>
      </x:c>
      <x:c r="C388" s="2" t="str">
        <x:v>NCT03328897</x:v>
      </x:c>
      <x:c r="D388" s="2" t="str">
        <x:v>Novartis Pharmaceuticals</x:v>
      </x:c>
      <x:c r="E388" s="2" t="n">
        <x:v>0</x:v>
      </x:c>
      <x:c r="F388" s="2" t="str">
        <x:v>https://clinicaltrials.gov/study/NCT03328897</x:v>
      </x:c>
      <x:c r="G38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89" ht="23" customHeight="1">
      <x:c r="A389" s="2" t="str">
        <x:v>Novartis</x:v>
      </x:c>
      <x:c r="B389" s="2" t="str">
        <x:v>2015-19</x:v>
      </x:c>
      <x:c r="C389" s="2" t="str">
        <x:v>NCT02911857</x:v>
      </x:c>
      <x:c r="D389" s="2" t="str">
        <x:v>Novartis Pharmaceuticals</x:v>
      </x:c>
      <x:c r="E389" s="2" t="n">
        <x:v>0</x:v>
      </x:c>
      <x:c r="F389" s="2" t="str">
        <x:v>https://clinicaltrials.gov/study/NCT02911857</x:v>
      </x:c>
      <x:c r="G38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90" ht="23" customHeight="1">
      <x:c r="A390" s="2" t="str">
        <x:v>Novartis</x:v>
      </x:c>
      <x:c r="B390" s="2" t="str">
        <x:v>2015-19</x:v>
      </x:c>
      <x:c r="C390" s="2" t="str">
        <x:v>NCT03379727</x:v>
      </x:c>
      <x:c r="D390" s="2" t="str">
        <x:v>Novartis Pharmaceuticals</x:v>
      </x:c>
      <x:c r="E390" s="2" t="n">
        <x:v>0</x:v>
      </x:c>
      <x:c r="F390" s="2" t="str">
        <x:v>https://clinicaltrials.gov/study/NCT03379727</x:v>
      </x:c>
      <x:c r="G39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91" ht="23" customHeight="1">
      <x:c r="A391" s="2" t="str">
        <x:v>Novartis</x:v>
      </x:c>
      <x:c r="B391" s="2" t="str">
        <x:v>2015-19</x:v>
      </x:c>
      <x:c r="C391" s="2" t="str">
        <x:v>NCT02595970</x:v>
      </x:c>
      <x:c r="D391" s="2" t="str">
        <x:v>Novartis Pharmaceuticals</x:v>
      </x:c>
      <x:c r="E391" s="2" t="n">
        <x:v>0</x:v>
      </x:c>
      <x:c r="F391" s="2" t="str">
        <x:v>https://clinicaltrials.gov/study/NCT02595970</x:v>
      </x:c>
      <x:c r="G39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92" ht="23" customHeight="1">
      <x:c r="A392" s="2" t="str">
        <x:v>Novartis</x:v>
      </x:c>
      <x:c r="B392" s="2" t="str">
        <x:v>2015-19</x:v>
      </x:c>
      <x:c r="C392" s="2" t="str">
        <x:v>NCT02404350</x:v>
      </x:c>
      <x:c r="D392" s="2" t="str">
        <x:v>Novartis Pharmaceuticals</x:v>
      </x:c>
      <x:c r="E392" s="2" t="n">
        <x:v>1</x:v>
      </x:c>
      <x:c r="F392" s="2" t="str">
        <x:v>https://clinicaltrials.gov/study/NCT02404350</x:v>
      </x:c>
      <x:c r="G39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93" ht="23" customHeight="1">
      <x:c r="A393" s="2" t="str">
        <x:v>Novartis</x:v>
      </x:c>
      <x:c r="B393" s="2" t="str">
        <x:v>2015-19</x:v>
      </x:c>
      <x:c r="C393" s="2" t="str">
        <x:v>NCT02892344</x:v>
      </x:c>
      <x:c r="D393" s="2" t="str">
        <x:v>Novartis Pharmaceuticals</x:v>
      </x:c>
      <x:c r="E393" s="2" t="n">
        <x:v>1</x:v>
      </x:c>
      <x:c r="F393" s="2" t="str">
        <x:v>https://clinicaltrials.gov/study/NCT02892344</x:v>
      </x:c>
      <x:c r="G39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94" ht="23" customHeight="1">
      <x:c r="A394" s="2" t="str">
        <x:v>Novartis</x:v>
      </x:c>
      <x:c r="B394" s="2" t="str">
        <x:v>2015-19</x:v>
      </x:c>
      <x:c r="C394" s="2" t="str">
        <x:v>NCT02375971</x:v>
      </x:c>
      <x:c r="D394" s="2" t="str">
        <x:v>Novartis Pharmaceuticals</x:v>
      </x:c>
      <x:c r="E394" s="2" t="n">
        <x:v>1</x:v>
      </x:c>
      <x:c r="F394" s="2" t="str">
        <x:v>https://clinicaltrials.gov/study/NCT02375971</x:v>
      </x:c>
      <x:c r="G39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95" ht="23" customHeight="1">
      <x:c r="A395" s="2" t="str">
        <x:v>Novartis</x:v>
      </x:c>
      <x:c r="B395" s="2" t="str">
        <x:v>2015-19</x:v>
      </x:c>
      <x:c r="C395" s="2" t="str">
        <x:v>NCT03589885</x:v>
      </x:c>
      <x:c r="D395" s="2" t="str">
        <x:v>Novartis Pharmaceuticals</x:v>
      </x:c>
      <x:c r="E395" s="2" t="n">
        <x:v>0</x:v>
      </x:c>
      <x:c r="F395" s="2" t="str">
        <x:v>https://clinicaltrials.gov/study/NCT03589885</x:v>
      </x:c>
      <x:c r="G39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96" ht="23" customHeight="1">
      <x:c r="A396" s="2" t="str">
        <x:v>Novartis</x:v>
      </x:c>
      <x:c r="B396" s="2" t="str">
        <x:v>2015-19</x:v>
      </x:c>
      <x:c r="C396" s="2" t="str">
        <x:v>NCT03867201</x:v>
      </x:c>
      <x:c r="D396" s="2" t="str">
        <x:v>Novartis Pharmaceuticals</x:v>
      </x:c>
      <x:c r="E396" s="2" t="n">
        <x:v>1</x:v>
      </x:c>
      <x:c r="F396" s="2" t="str">
        <x:v>https://clinicaltrials.gov/study/NCT03867201</x:v>
      </x:c>
      <x:c r="G39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97" ht="23" customHeight="1">
      <x:c r="A397" s="2" t="str">
        <x:v>Novartis</x:v>
      </x:c>
      <x:c r="B397" s="2" t="str">
        <x:v>2015-19</x:v>
      </x:c>
      <x:c r="C397" s="2" t="str">
        <x:v>NCT02437318</x:v>
      </x:c>
      <x:c r="D397" s="2" t="str">
        <x:v>Novartis Pharmaceuticals</x:v>
      </x:c>
      <x:c r="E397" s="2" t="n">
        <x:v>1</x:v>
      </x:c>
      <x:c r="F397" s="2" t="str">
        <x:v>https://clinicaltrials.gov/study/NCT02437318</x:v>
      </x:c>
      <x:c r="G39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98" ht="23" customHeight="1">
      <x:c r="A398" s="2" t="str">
        <x:v>Novartis</x:v>
      </x:c>
      <x:c r="B398" s="2" t="str">
        <x:v>2015-19</x:v>
      </x:c>
      <x:c r="C398" s="2" t="str">
        <x:v>NCT03066804</x:v>
      </x:c>
      <x:c r="D398" s="2" t="str">
        <x:v>Novartis Pharmaceuticals</x:v>
      </x:c>
      <x:c r="E398" s="2" t="n">
        <x:v>1</x:v>
      </x:c>
      <x:c r="F398" s="2" t="str">
        <x:v>https://clinicaltrials.gov/study/NCT03066804</x:v>
      </x:c>
      <x:c r="G39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399" ht="23" customHeight="1">
      <x:c r="A399" s="2" t="str">
        <x:v>Novartis</x:v>
      </x:c>
      <x:c r="B399" s="2" t="str">
        <x:v>2015-19</x:v>
      </x:c>
      <x:c r="C399" s="2" t="str">
        <x:v>NCT04058067</x:v>
      </x:c>
      <x:c r="D399" s="2" t="str">
        <x:v>Novartis Pharmaceuticals</x:v>
      </x:c>
      <x:c r="E399" s="2" t="n">
        <x:v>0</x:v>
      </x:c>
      <x:c r="F399" s="2" t="str">
        <x:v>https://clinicaltrials.gov/study/NCT04058067</x:v>
      </x:c>
      <x:c r="G39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00" ht="23" customHeight="1">
      <x:c r="A400" s="2" t="str">
        <x:v>Novartis</x:v>
      </x:c>
      <x:c r="B400" s="2" t="str">
        <x:v>2015-19</x:v>
      </x:c>
      <x:c r="C400" s="2" t="str">
        <x:v>NCT04047472</x:v>
      </x:c>
      <x:c r="D400" s="2" t="str">
        <x:v>Novartis Pharmaceuticals</x:v>
      </x:c>
      <x:c r="E400" s="2" t="n">
        <x:v>0</x:v>
      </x:c>
      <x:c r="F400" s="2" t="str">
        <x:v>https://clinicaltrials.gov/study/NCT04047472</x:v>
      </x:c>
      <x:c r="G40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01" ht="23" customHeight="1">
      <x:c r="A401" s="2" t="str">
        <x:v>Novartis</x:v>
      </x:c>
      <x:c r="B401" s="2" t="str">
        <x:v>2015-19</x:v>
      </x:c>
      <x:c r="C401" s="2" t="str">
        <x:v>NCT03259074</x:v>
      </x:c>
      <x:c r="D401" s="2" t="str">
        <x:v>Novartis Pharmaceuticals</x:v>
      </x:c>
      <x:c r="E401" s="2" t="n">
        <x:v>0</x:v>
      </x:c>
      <x:c r="F401" s="2" t="str">
        <x:v>https://clinicaltrials.gov/study/NCT03259074</x:v>
      </x:c>
      <x:c r="G40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02" ht="23" customHeight="1">
      <x:c r="A402" s="2" t="str">
        <x:v>Novartis</x:v>
      </x:c>
      <x:c r="B402" s="2" t="str">
        <x:v>2015-19</x:v>
      </x:c>
      <x:c r="C402" s="2" t="str">
        <x:v>NCT03769168</x:v>
      </x:c>
      <x:c r="D402" s="2" t="str">
        <x:v>Novartis Pharmaceuticals</x:v>
      </x:c>
      <x:c r="E402" s="2" t="n">
        <x:v>0</x:v>
      </x:c>
      <x:c r="F402" s="2" t="str">
        <x:v>https://clinicaltrials.gov/study/NCT03769168</x:v>
      </x:c>
      <x:c r="G40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03" ht="23" customHeight="1">
      <x:c r="A403" s="2" t="str">
        <x:v>Novartis</x:v>
      </x:c>
      <x:c r="B403" s="2" t="str">
        <x:v>2015-19</x:v>
      </x:c>
      <x:c r="C403" s="2" t="str">
        <x:v>NCT03217422</x:v>
      </x:c>
      <x:c r="D403" s="2" t="str">
        <x:v>Novartis Pharmaceuticals</x:v>
      </x:c>
      <x:c r="E403" s="2" t="n">
        <x:v>0</x:v>
      </x:c>
      <x:c r="F403" s="2" t="str">
        <x:v>https://clinicaltrials.gov/study/NCT03217422</x:v>
      </x:c>
      <x:c r="G40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04" ht="23" customHeight="1">
      <x:c r="A404" s="2" t="str">
        <x:v>Novartis</x:v>
      </x:c>
      <x:c r="B404" s="2" t="str">
        <x:v>2015-19</x:v>
      </x:c>
      <x:c r="C404" s="2" t="str">
        <x:v>NCT02696031</x:v>
      </x:c>
      <x:c r="D404" s="2" t="str">
        <x:v>Novartis Pharmaceuticals</x:v>
      </x:c>
      <x:c r="E404" s="2" t="n">
        <x:v>0</x:v>
      </x:c>
      <x:c r="F404" s="2" t="str">
        <x:v>https://clinicaltrials.gov/study/NCT02696031</x:v>
      </x:c>
      <x:c r="G40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05" ht="23" customHeight="1">
      <x:c r="A405" s="2" t="str">
        <x:v>Novartis</x:v>
      </x:c>
      <x:c r="B405" s="2" t="str">
        <x:v>2021-25</x:v>
      </x:c>
      <x:c r="C405" s="2" t="str">
        <x:v>NCT05888493</x:v>
      </x:c>
      <x:c r="D405" s="2" t="str">
        <x:v>Novartis Pharmaceuticals</x:v>
      </x:c>
      <x:c r="E405" s="2" t="n">
        <x:v>0</x:v>
      </x:c>
      <x:c r="F405" s="2" t="str">
        <x:v>https://clinicaltrials.gov/study/NCT05888493</x:v>
      </x:c>
      <x:c r="G40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06" ht="23" customHeight="1">
      <x:c r="A406" s="2" t="str">
        <x:v>Novartis</x:v>
      </x:c>
      <x:c r="B406" s="2" t="str">
        <x:v>2021-25</x:v>
      </x:c>
      <x:c r="C406" s="2" t="str">
        <x:v>NCT04720157</x:v>
      </x:c>
      <x:c r="D406" s="2" t="str">
        <x:v>Novartis Pharmaceuticals</x:v>
      </x:c>
      <x:c r="E406" s="2" t="n">
        <x:v>0</x:v>
      </x:c>
      <x:c r="F406" s="2" t="str">
        <x:v>https://clinicaltrials.gov/study/NCT04720157</x:v>
      </x:c>
      <x:c r="G40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07" ht="23" customHeight="1">
      <x:c r="A407" s="2" t="str">
        <x:v>Novartis</x:v>
      </x:c>
      <x:c r="B407" s="2" t="str">
        <x:v>2021-25</x:v>
      </x:c>
      <x:c r="C407" s="2" t="str">
        <x:v>NCT04935359</x:v>
      </x:c>
      <x:c r="D407" s="2" t="str">
        <x:v>Novartis Pharmaceuticals</x:v>
      </x:c>
      <x:c r="E407" s="2" t="n">
        <x:v>0</x:v>
      </x:c>
      <x:c r="F407" s="2" t="str">
        <x:v>https://clinicaltrials.gov/study/NCT04935359</x:v>
      </x:c>
      <x:c r="G40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08" ht="23" customHeight="1">
      <x:c r="A408" s="2" t="str">
        <x:v>Novartis</x:v>
      </x:c>
      <x:c r="B408" s="2" t="str">
        <x:v>2021-25</x:v>
      </x:c>
      <x:c r="C408" s="2" t="str">
        <x:v>NCT05776927</x:v>
      </x:c>
      <x:c r="D408" s="2" t="str">
        <x:v>Novartis Pharmaceuticals</x:v>
      </x:c>
      <x:c r="E408" s="2" t="n">
        <x:v>0</x:v>
      </x:c>
      <x:c r="F408" s="2" t="str">
        <x:v>https://clinicaltrials.gov/study/NCT05776927</x:v>
      </x:c>
      <x:c r="G40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09" ht="23" customHeight="1">
      <x:c r="A409" s="2" t="str">
        <x:v>Novartis</x:v>
      </x:c>
      <x:c r="B409" s="2" t="str">
        <x:v>2021-25</x:v>
      </x:c>
      <x:c r="C409" s="2" t="str">
        <x:v>NCT05935215</x:v>
      </x:c>
      <x:c r="D409" s="2" t="str">
        <x:v>Novartis Pharmaceuticals</x:v>
      </x:c>
      <x:c r="E409" s="2" t="n">
        <x:v>0</x:v>
      </x:c>
      <x:c r="F409" s="2" t="str">
        <x:v>https://clinicaltrials.gov/study/NCT05935215</x:v>
      </x:c>
      <x:c r="G40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10" ht="23" customHeight="1">
      <x:c r="A410" s="2" t="str">
        <x:v>Novartis</x:v>
      </x:c>
      <x:c r="B410" s="2" t="str">
        <x:v>2021-25</x:v>
      </x:c>
      <x:c r="C410" s="2" t="str">
        <x:v>NCT04948333</x:v>
      </x:c>
      <x:c r="D410" s="2" t="str">
        <x:v>Novartis Pharmaceuticals</x:v>
      </x:c>
      <x:c r="E410" s="2" t="n">
        <x:v>0</x:v>
      </x:c>
      <x:c r="F410" s="2" t="str">
        <x:v>https://clinicaltrials.gov/study/NCT04948333</x:v>
      </x:c>
      <x:c r="G41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11" ht="23" customHeight="1">
      <x:c r="A411" s="2" t="str">
        <x:v>Novartis</x:v>
      </x:c>
      <x:c r="B411" s="2" t="str">
        <x:v>2021-25</x:v>
      </x:c>
      <x:c r="C411" s="2" t="str">
        <x:v>NCT04747613</x:v>
      </x:c>
      <x:c r="D411" s="2" t="str">
        <x:v>Novartis Pharmaceuticals</x:v>
      </x:c>
      <x:c r="E411" s="2" t="n">
        <x:v>0</x:v>
      </x:c>
      <x:c r="F411" s="2" t="str">
        <x:v>https://clinicaltrials.gov/study/NCT04747613</x:v>
      </x:c>
      <x:c r="G41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12" ht="23" customHeight="1">
      <x:c r="A412" s="2" t="str">
        <x:v>Novartis</x:v>
      </x:c>
      <x:c r="B412" s="2" t="str">
        <x:v>2021-25</x:v>
      </x:c>
      <x:c r="C412" s="2" t="str">
        <x:v>NCT06934967</x:v>
      </x:c>
      <x:c r="D412" s="2" t="str">
        <x:v>Novartis Pharmaceuticals</x:v>
      </x:c>
      <x:c r="E412" s="2" t="n">
        <x:v>0</x:v>
      </x:c>
      <x:c r="F412" s="2" t="str">
        <x:v>https://clinicaltrials.gov/study/NCT06934967</x:v>
      </x:c>
      <x:c r="G41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13" ht="23" customHeight="1">
      <x:c r="A413" s="2" t="str">
        <x:v>Novartis</x:v>
      </x:c>
      <x:c r="B413" s="2" t="str">
        <x:v>2021-25</x:v>
      </x:c>
      <x:c r="C413" s="2" t="str">
        <x:v>NCT04820530</x:v>
      </x:c>
      <x:c r="D413" s="2" t="str">
        <x:v>Novartis Pharmaceuticals</x:v>
      </x:c>
      <x:c r="E413" s="2" t="n">
        <x:v>0</x:v>
      </x:c>
      <x:c r="F413" s="2" t="str">
        <x:v>https://clinicaltrials.gov/study/NCT04820530</x:v>
      </x:c>
      <x:c r="G41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14" ht="23" customHeight="1">
      <x:c r="A414" s="2" t="str">
        <x:v>Novartis</x:v>
      </x:c>
      <x:c r="B414" s="2" t="str">
        <x:v>2021-25</x:v>
      </x:c>
      <x:c r="C414" s="2" t="str">
        <x:v>NCT06868212</x:v>
      </x:c>
      <x:c r="D414" s="2" t="str">
        <x:v>Novartis Pharmaceuticals</x:v>
      </x:c>
      <x:c r="E414" s="2" t="n">
        <x:v>0</x:v>
      </x:c>
      <x:c r="F414" s="2" t="str">
        <x:v>https://clinicaltrials.gov/study/NCT06868212</x:v>
      </x:c>
      <x:c r="G41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15" ht="23" customHeight="1">
      <x:c r="A415" s="2" t="str">
        <x:v>Novartis</x:v>
      </x:c>
      <x:c r="B415" s="2" t="str">
        <x:v>2021-25</x:v>
      </x:c>
      <x:c r="C415" s="2" t="str">
        <x:v>NCT06799000</x:v>
      </x:c>
      <x:c r="D415" s="2" t="str">
        <x:v>Novartis Pharmaceuticals</x:v>
      </x:c>
      <x:c r="E415" s="2" t="n">
        <x:v>0</x:v>
      </x:c>
      <x:c r="F415" s="2" t="str">
        <x:v>https://clinicaltrials.gov/study/NCT06799000</x:v>
      </x:c>
      <x:c r="G41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16" ht="23" customHeight="1">
      <x:c r="A416" s="2" t="str">
        <x:v>Novartis</x:v>
      </x:c>
      <x:c r="B416" s="2" t="str">
        <x:v>2021-25</x:v>
      </x:c>
      <x:c r="C416" s="2" t="str">
        <x:v>NCT06517758</x:v>
      </x:c>
      <x:c r="D416" s="2" t="str">
        <x:v>Novartis Pharmaceuticals</x:v>
      </x:c>
      <x:c r="E416" s="2" t="n">
        <x:v>0</x:v>
      </x:c>
      <x:c r="F416" s="2" t="str">
        <x:v>https://clinicaltrials.gov/study/NCT06517758</x:v>
      </x:c>
      <x:c r="G41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17" ht="23" customHeight="1">
      <x:c r="A417" s="2" t="str">
        <x:v>Novartis</x:v>
      </x:c>
      <x:c r="B417" s="2" t="str">
        <x:v>2021-25</x:v>
      </x:c>
      <x:c r="C417" s="2" t="str">
        <x:v>NCT04889430</x:v>
      </x:c>
      <x:c r="D417" s="2" t="str">
        <x:v>Novartis Pharmaceuticals</x:v>
      </x:c>
      <x:c r="E417" s="2" t="n">
        <x:v>1</x:v>
      </x:c>
      <x:c r="F417" s="2" t="str">
        <x:v>https://clinicaltrials.gov/study/NCT04889430</x:v>
      </x:c>
      <x:c r="G41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18" ht="23" customHeight="1">
      <x:c r="A418" s="2" t="str">
        <x:v>Novartis</x:v>
      </x:c>
      <x:c r="B418" s="2" t="str">
        <x:v>2021-25</x:v>
      </x:c>
      <x:c r="C418" s="2" t="str">
        <x:v>NCT05024058</x:v>
      </x:c>
      <x:c r="D418" s="2" t="str">
        <x:v>Novartis Pharmaceuticals</x:v>
      </x:c>
      <x:c r="E418" s="2" t="n">
        <x:v>0</x:v>
      </x:c>
      <x:c r="F418" s="2" t="str">
        <x:v>https://clinicaltrials.gov/study/NCT05024058</x:v>
      </x:c>
      <x:c r="G41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19" ht="23" customHeight="1">
      <x:c r="A419" s="2" t="str">
        <x:v>Novartis</x:v>
      </x:c>
      <x:c r="B419" s="2" t="str">
        <x:v>2021-25</x:v>
      </x:c>
      <x:c r="C419" s="2" t="str">
        <x:v>NCT04729387</x:v>
      </x:c>
      <x:c r="D419" s="2" t="str">
        <x:v>Novartis Pharmaceuticals</x:v>
      </x:c>
      <x:c r="E419" s="2" t="n">
        <x:v>0</x:v>
      </x:c>
      <x:c r="F419" s="2" t="str">
        <x:v>https://clinicaltrials.gov/study/NCT04729387</x:v>
      </x:c>
      <x:c r="G41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20" ht="23" customHeight="1">
      <x:c r="A420" s="2" t="str">
        <x:v>Novartis</x:v>
      </x:c>
      <x:c r="B420" s="2" t="str">
        <x:v>2021-25</x:v>
      </x:c>
      <x:c r="C420" s="2" t="str">
        <x:v>NCT05380453</x:v>
      </x:c>
      <x:c r="D420" s="2" t="str">
        <x:v>Novartis Pharmaceuticals</x:v>
      </x:c>
      <x:c r="E420" s="2" t="n">
        <x:v>0</x:v>
      </x:c>
      <x:c r="F420" s="2" t="str">
        <x:v>https://clinicaltrials.gov/study/NCT05380453</x:v>
      </x:c>
      <x:c r="G42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21" ht="23" customHeight="1">
      <x:c r="A421" s="2" t="str">
        <x:v>Novartis</x:v>
      </x:c>
      <x:c r="B421" s="2" t="str">
        <x:v>2021-25</x:v>
      </x:c>
      <x:c r="C421" s="2" t="str">
        <x:v>NCT05900141</x:v>
      </x:c>
      <x:c r="D421" s="2" t="str">
        <x:v>Novartis Pharmaceuticals</x:v>
      </x:c>
      <x:c r="E421" s="2" t="n">
        <x:v>0</x:v>
      </x:c>
      <x:c r="F421" s="2" t="str">
        <x:v>https://clinicaltrials.gov/study/NCT05900141</x:v>
      </x:c>
      <x:c r="G42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22" ht="23" customHeight="1">
      <x:c r="A422" s="2" t="str">
        <x:v>Novartis</x:v>
      </x:c>
      <x:c r="B422" s="2" t="str">
        <x:v>2021-25</x:v>
      </x:c>
      <x:c r="C422" s="2" t="str">
        <x:v>NCT06994845</x:v>
      </x:c>
      <x:c r="D422" s="2" t="str">
        <x:v>Novartis Pharmaceuticals</x:v>
      </x:c>
      <x:c r="E422" s="2" t="n">
        <x:v>0</x:v>
      </x:c>
      <x:c r="F422" s="2" t="str">
        <x:v>https://clinicaltrials.gov/study/NCT06994845</x:v>
      </x:c>
      <x:c r="G42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23" ht="23" customHeight="1">
      <x:c r="A423" s="2" t="str">
        <x:v>Novartis</x:v>
      </x:c>
      <x:c r="B423" s="2" t="str">
        <x:v>2021-25</x:v>
      </x:c>
      <x:c r="C423" s="2" t="str">
        <x:v>NCT05678959</x:v>
      </x:c>
      <x:c r="D423" s="2" t="str">
        <x:v>Novartis Pharmaceuticals</x:v>
      </x:c>
      <x:c r="E423" s="2" t="n">
        <x:v>0</x:v>
      </x:c>
      <x:c r="F423" s="2" t="str">
        <x:v>https://clinicaltrials.gov/study/NCT05678959</x:v>
      </x:c>
      <x:c r="G42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24" ht="23" customHeight="1">
      <x:c r="A424" s="2" t="str">
        <x:v>Novartis</x:v>
      </x:c>
      <x:c r="B424" s="2" t="str">
        <x:v>2021-25</x:v>
      </x:c>
      <x:c r="C424" s="2" t="str">
        <x:v>NCT04828161</x:v>
      </x:c>
      <x:c r="D424" s="2" t="str">
        <x:v>Novartis Pharmaceuticals</x:v>
      </x:c>
      <x:c r="E424" s="2" t="n">
        <x:v>1</x:v>
      </x:c>
      <x:c r="F424" s="2" t="str">
        <x:v>https://clinicaltrials.gov/study/NCT04828161</x:v>
      </x:c>
      <x:c r="G42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25" ht="23" customHeight="1">
      <x:c r="A425" s="2" t="str">
        <x:v>Novartis</x:v>
      </x:c>
      <x:c r="B425" s="2" t="str">
        <x:v>2021-25</x:v>
      </x:c>
      <x:c r="C425" s="2" t="str">
        <x:v>NCT05335876</x:v>
      </x:c>
      <x:c r="D425" s="2" t="str">
        <x:v>Novartis Pharmaceuticals</x:v>
      </x:c>
      <x:c r="E425" s="2" t="n">
        <x:v>0</x:v>
      </x:c>
      <x:c r="F425" s="2" t="str">
        <x:v>https://clinicaltrials.gov/study/NCT05335876</x:v>
      </x:c>
      <x:c r="G42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26" ht="23" customHeight="1">
      <x:c r="A426" s="2" t="str">
        <x:v>Novartis</x:v>
      </x:c>
      <x:c r="B426" s="2" t="str">
        <x:v>2021-25</x:v>
      </x:c>
      <x:c r="C426" s="2" t="str">
        <x:v>NCT06784752</x:v>
      </x:c>
      <x:c r="D426" s="2" t="str">
        <x:v>Novartis Pharmaceuticals</x:v>
      </x:c>
      <x:c r="E426" s="2" t="n">
        <x:v>0</x:v>
      </x:c>
      <x:c r="F426" s="2" t="str">
        <x:v>https://clinicaltrials.gov/study/NCT06784752</x:v>
      </x:c>
      <x:c r="G42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27" ht="23" customHeight="1">
      <x:c r="A427" s="2" t="str">
        <x:v>Novartis</x:v>
      </x:c>
      <x:c r="B427" s="2" t="str">
        <x:v>2021-25</x:v>
      </x:c>
      <x:c r="C427" s="2" t="str">
        <x:v>NCT05791097</x:v>
      </x:c>
      <x:c r="D427" s="2" t="str">
        <x:v>Novartis Pharmaceuticals</x:v>
      </x:c>
      <x:c r="E427" s="2" t="n">
        <x:v>0</x:v>
      </x:c>
      <x:c r="F427" s="2" t="str">
        <x:v>https://clinicaltrials.gov/study/NCT05791097</x:v>
      </x:c>
      <x:c r="G42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28" ht="23" customHeight="1">
      <x:c r="A428" s="2" t="str">
        <x:v>Novartis</x:v>
      </x:c>
      <x:c r="B428" s="2" t="str">
        <x:v>2021-25</x:v>
      </x:c>
      <x:c r="C428" s="2" t="str">
        <x:v>NCT05739383</x:v>
      </x:c>
      <x:c r="D428" s="2" t="str">
        <x:v>Novartis Pharmaceuticals</x:v>
      </x:c>
      <x:c r="E428" s="2" t="n">
        <x:v>1</x:v>
      </x:c>
      <x:c r="F428" s="2" t="str">
        <x:v>https://clinicaltrials.gov/study/NCT05739383</x:v>
      </x:c>
      <x:c r="G42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29" ht="23" customHeight="1">
      <x:c r="A429" s="2" t="str">
        <x:v>Novartis</x:v>
      </x:c>
      <x:c r="B429" s="2" t="str">
        <x:v>2021-25</x:v>
      </x:c>
      <x:c r="C429" s="2" t="str">
        <x:v>NCT05624749</x:v>
      </x:c>
      <x:c r="D429" s="2" t="str">
        <x:v>Novartis Pharmaceuticals</x:v>
      </x:c>
      <x:c r="E429" s="2" t="n">
        <x:v>1</x:v>
      </x:c>
      <x:c r="F429" s="2" t="str">
        <x:v>https://clinicaltrials.gov/study/NCT05624749</x:v>
      </x:c>
      <x:c r="G42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30" ht="23" customHeight="1">
      <x:c r="A430" s="2" t="str">
        <x:v>Novartis</x:v>
      </x:c>
      <x:c r="B430" s="2" t="str">
        <x:v>2021-25</x:v>
      </x:c>
      <x:c r="C430" s="2" t="str">
        <x:v>NCT05653349</x:v>
      </x:c>
      <x:c r="D430" s="2" t="str">
        <x:v>Novartis Pharmaceuticals</x:v>
      </x:c>
      <x:c r="E430" s="2" t="n">
        <x:v>1</x:v>
      </x:c>
      <x:c r="F430" s="2" t="str">
        <x:v>https://clinicaltrials.gov/study/NCT05653349</x:v>
      </x:c>
      <x:c r="G43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31" ht="23" customHeight="1">
      <x:c r="A431" s="2" t="str">
        <x:v>Novartis</x:v>
      </x:c>
      <x:c r="B431" s="2" t="str">
        <x:v>2021-25</x:v>
      </x:c>
      <x:c r="C431" s="2" t="str">
        <x:v>NCT04873934</x:v>
      </x:c>
      <x:c r="D431" s="2" t="str">
        <x:v>Novartis Pharmaceuticals</x:v>
      </x:c>
      <x:c r="E431" s="2" t="n">
        <x:v>0</x:v>
      </x:c>
      <x:c r="F431" s="2" t="str">
        <x:v>https://clinicaltrials.gov/study/NCT04873934</x:v>
      </x:c>
      <x:c r="G43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32" ht="23" customHeight="1">
      <x:c r="A432" s="2" t="str">
        <x:v>Novartis</x:v>
      </x:c>
      <x:c r="B432" s="2" t="str">
        <x:v>2021-25</x:v>
      </x:c>
      <x:c r="C432" s="2" t="str">
        <x:v>NCT06780670</x:v>
      </x:c>
      <x:c r="D432" s="2" t="str">
        <x:v>Novartis Pharmaceuticals</x:v>
      </x:c>
      <x:c r="E432" s="2" t="n">
        <x:v>0</x:v>
      </x:c>
      <x:c r="F432" s="2" t="str">
        <x:v>https://clinicaltrials.gov/study/NCT06780670</x:v>
      </x:c>
      <x:c r="G43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33" ht="23" customHeight="1">
      <x:c r="A433" s="2" t="str">
        <x:v>Novartis</x:v>
      </x:c>
      <x:c r="B433" s="2" t="str">
        <x:v>2021-25</x:v>
      </x:c>
      <x:c r="C433" s="2" t="str">
        <x:v>NCT07225504</x:v>
      </x:c>
      <x:c r="D433" s="2" t="str">
        <x:v>Novartis Pharmaceuticals</x:v>
      </x:c>
      <x:c r="E433" s="2" t="n">
        <x:v>1</x:v>
      </x:c>
      <x:c r="F433" s="2" t="str">
        <x:v>https://clinicaltrials.gov/study/NCT07225504</x:v>
      </x:c>
      <x:c r="G43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34" ht="23" customHeight="1">
      <x:c r="A434" s="2" t="str">
        <x:v>Novartis</x:v>
      </x:c>
      <x:c r="B434" s="2" t="str">
        <x:v>2021-25</x:v>
      </x:c>
      <x:c r="C434" s="2" t="str">
        <x:v>NCT05030428</x:v>
      </x:c>
      <x:c r="D434" s="2" t="str">
        <x:v>Novartis Pharmaceuticals</x:v>
      </x:c>
      <x:c r="E434" s="2" t="n">
        <x:v>1</x:v>
      </x:c>
      <x:c r="F434" s="2" t="str">
        <x:v>https://clinicaltrials.gov/study/NCT05030428</x:v>
      </x:c>
      <x:c r="G43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35" ht="23" customHeight="1">
      <x:c r="A435" s="2" t="str">
        <x:v>Novartis</x:v>
      </x:c>
      <x:c r="B435" s="2" t="str">
        <x:v>2021-25</x:v>
      </x:c>
      <x:c r="C435" s="2" t="str">
        <x:v>NCT05939414</x:v>
      </x:c>
      <x:c r="D435" s="2" t="str">
        <x:v>Novartis Pharmaceuticals</x:v>
      </x:c>
      <x:c r="E435" s="2" t="n">
        <x:v>0</x:v>
      </x:c>
      <x:c r="F435" s="2" t="str">
        <x:v>https://clinicaltrials.gov/study/NCT05939414</x:v>
      </x:c>
      <x:c r="G43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36" ht="23" customHeight="1">
      <x:c r="A436" s="2" t="str">
        <x:v>Novartis</x:v>
      </x:c>
      <x:c r="B436" s="2" t="str">
        <x:v>2021-25</x:v>
      </x:c>
      <x:c r="C436" s="2" t="str">
        <x:v>NCT05206591</x:v>
      </x:c>
      <x:c r="D436" s="2" t="str">
        <x:v>Novartis Pharmaceuticals</x:v>
      </x:c>
      <x:c r="E436" s="2" t="n">
        <x:v>0</x:v>
      </x:c>
      <x:c r="F436" s="2" t="str">
        <x:v>https://clinicaltrials.gov/study/NCT05206591</x:v>
      </x:c>
      <x:c r="G43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37" ht="23" customHeight="1">
      <x:c r="A437" s="2" t="str">
        <x:v>Novartis</x:v>
      </x:c>
      <x:c r="B437" s="2" t="str">
        <x:v>2021-25</x:v>
      </x:c>
      <x:c r="C437" s="2" t="str">
        <x:v>NCT06331312</x:v>
      </x:c>
      <x:c r="D437" s="2" t="str">
        <x:v>Novartis Pharmaceuticals</x:v>
      </x:c>
      <x:c r="E437" s="2" t="n">
        <x:v>0</x:v>
      </x:c>
      <x:c r="F437" s="2" t="str">
        <x:v>https://clinicaltrials.gov/study/NCT06331312</x:v>
      </x:c>
      <x:c r="G43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38" ht="23" customHeight="1">
      <x:c r="A438" s="2" t="str">
        <x:v>Novartis</x:v>
      </x:c>
      <x:c r="B438" s="2" t="str">
        <x:v>2021-25</x:v>
      </x:c>
      <x:c r="C438" s="2" t="str">
        <x:v>NCT05976243</x:v>
      </x:c>
      <x:c r="D438" s="2" t="str">
        <x:v>Novartis Pharmaceuticals</x:v>
      </x:c>
      <x:c r="E438" s="2" t="n">
        <x:v>1</x:v>
      </x:c>
      <x:c r="F438" s="2" t="str">
        <x:v>https://clinicaltrials.gov/study/NCT05976243</x:v>
      </x:c>
      <x:c r="G43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39" ht="23" customHeight="1">
      <x:c r="A439" s="2" t="str">
        <x:v>Novartis</x:v>
      </x:c>
      <x:c r="B439" s="2" t="str">
        <x:v>2021-25</x:v>
      </x:c>
      <x:c r="C439" s="2" t="str">
        <x:v>NCT04807400</x:v>
      </x:c>
      <x:c r="D439" s="2" t="str">
        <x:v>Novartis Pharmaceuticals</x:v>
      </x:c>
      <x:c r="E439" s="2" t="n">
        <x:v>0</x:v>
      </x:c>
      <x:c r="F439" s="2" t="str">
        <x:v>https://clinicaltrials.gov/study/NCT04807400</x:v>
      </x:c>
      <x:c r="G43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40" ht="23" customHeight="1">
      <x:c r="A440" s="2" t="str">
        <x:v>Novartis</x:v>
      </x:c>
      <x:c r="B440" s="2" t="str">
        <x:v>2021-25</x:v>
      </x:c>
      <x:c r="C440" s="2" t="str">
        <x:v>NCT04940052</x:v>
      </x:c>
      <x:c r="D440" s="2" t="str">
        <x:v>Novartis Pharmaceuticals</x:v>
      </x:c>
      <x:c r="E440" s="2" t="n">
        <x:v>1</x:v>
      </x:c>
      <x:c r="F440" s="2" t="str">
        <x:v>https://clinicaltrials.gov/study/NCT04940052</x:v>
      </x:c>
      <x:c r="G44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41" ht="23" customHeight="1">
      <x:c r="A441" s="2" t="str">
        <x:v>Novartis</x:v>
      </x:c>
      <x:c r="B441" s="2" t="str">
        <x:v>2021-25</x:v>
      </x:c>
      <x:c r="C441" s="2" t="str">
        <x:v>NCT06875973</x:v>
      </x:c>
      <x:c r="D441" s="2" t="str">
        <x:v>Novartis Pharmaceuticals</x:v>
      </x:c>
      <x:c r="E441" s="2" t="n">
        <x:v>0</x:v>
      </x:c>
      <x:c r="F441" s="2" t="str">
        <x:v>https://clinicaltrials.gov/study/NCT06875973</x:v>
      </x:c>
      <x:c r="G44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42" ht="23" customHeight="1">
      <x:c r="A442" s="2" t="str">
        <x:v>Novartis</x:v>
      </x:c>
      <x:c r="B442" s="2" t="str">
        <x:v>2021-25</x:v>
      </x:c>
      <x:c r="C442" s="2" t="str">
        <x:v>NCT04737330</x:v>
      </x:c>
      <x:c r="D442" s="2" t="str">
        <x:v>Novartis Pharmaceuticals</x:v>
      </x:c>
      <x:c r="E442" s="2" t="n">
        <x:v>0</x:v>
      </x:c>
      <x:c r="F442" s="2" t="str">
        <x:v>https://clinicaltrials.gov/study/NCT04737330</x:v>
      </x:c>
      <x:c r="G44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43" ht="23" customHeight="1">
      <x:c r="A443" s="2" t="str">
        <x:v>Novartis</x:v>
      </x:c>
      <x:c r="B443" s="2" t="str">
        <x:v>2021-25</x:v>
      </x:c>
      <x:c r="C443" s="2" t="str">
        <x:v>NCT04711902</x:v>
      </x:c>
      <x:c r="D443" s="2" t="str">
        <x:v>Novartis Pharmaceuticals</x:v>
      </x:c>
      <x:c r="E443" s="2" t="n">
        <x:v>0</x:v>
      </x:c>
      <x:c r="F443" s="2" t="str">
        <x:v>https://clinicaltrials.gov/study/NCT04711902</x:v>
      </x:c>
      <x:c r="G44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44" ht="23" customHeight="1">
      <x:c r="A444" s="2" t="str">
        <x:v>Novartis</x:v>
      </x:c>
      <x:c r="B444" s="2" t="str">
        <x:v>2021-25</x:v>
      </x:c>
      <x:c r="C444" s="2" t="str">
        <x:v>NCT05038735</x:v>
      </x:c>
      <x:c r="D444" s="2" t="str">
        <x:v>Novartis Pharmaceuticals</x:v>
      </x:c>
      <x:c r="E444" s="2" t="n">
        <x:v>0</x:v>
      </x:c>
      <x:c r="F444" s="2" t="str">
        <x:v>https://clinicaltrials.gov/study/NCT05038735</x:v>
      </x:c>
      <x:c r="G44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45" ht="23" customHeight="1">
      <x:c r="A445" s="2" t="str">
        <x:v>Novartis</x:v>
      </x:c>
      <x:c r="B445" s="2" t="str">
        <x:v>2021-25</x:v>
      </x:c>
      <x:c r="C445" s="2" t="str">
        <x:v>NCT06711887</x:v>
      </x:c>
      <x:c r="D445" s="2" t="str">
        <x:v>Novartis Pharmaceuticals</x:v>
      </x:c>
      <x:c r="E445" s="2" t="n">
        <x:v>0</x:v>
      </x:c>
      <x:c r="F445" s="2" t="str">
        <x:v>https://clinicaltrials.gov/study/NCT06711887</x:v>
      </x:c>
      <x:c r="G44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46" ht="23" customHeight="1">
      <x:c r="A446" s="2" t="str">
        <x:v>Novartis</x:v>
      </x:c>
      <x:c r="B446" s="2" t="str">
        <x:v>2021-25</x:v>
      </x:c>
      <x:c r="C446" s="2" t="str">
        <x:v>NCT04838613</x:v>
      </x:c>
      <x:c r="D446" s="2" t="str">
        <x:v>Novartis Pharmaceuticals</x:v>
      </x:c>
      <x:c r="E446" s="2" t="n">
        <x:v>0</x:v>
      </x:c>
      <x:c r="F446" s="2" t="str">
        <x:v>https://clinicaltrials.gov/study/NCT04838613</x:v>
      </x:c>
      <x:c r="G44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47" ht="23" customHeight="1">
      <x:c r="A447" s="2" t="str">
        <x:v>Novartis</x:v>
      </x:c>
      <x:c r="B447" s="2" t="str">
        <x:v>2021-25</x:v>
      </x:c>
      <x:c r="C447" s="2" t="str">
        <x:v>NCT06840392</x:v>
      </x:c>
      <x:c r="D447" s="2" t="str">
        <x:v>Novartis Pharmaceuticals</x:v>
      </x:c>
      <x:c r="E447" s="2" t="n">
        <x:v>0</x:v>
      </x:c>
      <x:c r="F447" s="2" t="str">
        <x:v>https://clinicaltrials.gov/study/NCT06840392</x:v>
      </x:c>
      <x:c r="G44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48" ht="23" customHeight="1">
      <x:c r="A448" s="2" t="str">
        <x:v>Novartis</x:v>
      </x:c>
      <x:c r="B448" s="2" t="str">
        <x:v>2021-25</x:v>
      </x:c>
      <x:c r="C448" s="2" t="str">
        <x:v>NCT05350072</x:v>
      </x:c>
      <x:c r="D448" s="2" t="str">
        <x:v>Novartis Pharmaceuticals</x:v>
      </x:c>
      <x:c r="E448" s="2" t="n">
        <x:v>0</x:v>
      </x:c>
      <x:c r="F448" s="2" t="str">
        <x:v>https://clinicaltrials.gov/study/NCT05350072</x:v>
      </x:c>
      <x:c r="G44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49" ht="23" customHeight="1">
      <x:c r="A449" s="2" t="str">
        <x:v>Novartis</x:v>
      </x:c>
      <x:c r="B449" s="2" t="str">
        <x:v>2021-25</x:v>
      </x:c>
      <x:c r="C449" s="2" t="str">
        <x:v>NCT04697953</x:v>
      </x:c>
      <x:c r="D449" s="2" t="str">
        <x:v>Novartis Pharmaceuticals</x:v>
      </x:c>
      <x:c r="E449" s="2" t="n">
        <x:v>0</x:v>
      </x:c>
      <x:c r="F449" s="2" t="str">
        <x:v>https://clinicaltrials.gov/study/NCT04697953</x:v>
      </x:c>
      <x:c r="G44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50" ht="23" customHeight="1">
      <x:c r="A450" s="2" t="str">
        <x:v>Novartis</x:v>
      </x:c>
      <x:c r="B450" s="2" t="str">
        <x:v>2021-25</x:v>
      </x:c>
      <x:c r="C450" s="2" t="str">
        <x:v>NCT04765657</x:v>
      </x:c>
      <x:c r="D450" s="2" t="str">
        <x:v>Novartis Pharmaceuticals</x:v>
      </x:c>
      <x:c r="E450" s="2" t="n">
        <x:v>0</x:v>
      </x:c>
      <x:c r="F450" s="2" t="str">
        <x:v>https://clinicaltrials.gov/study/NCT04765657</x:v>
      </x:c>
      <x:c r="G45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51" ht="23" customHeight="1">
      <x:c r="A451" s="2" t="str">
        <x:v>Novartis</x:v>
      </x:c>
      <x:c r="B451" s="2" t="str">
        <x:v>2021-25</x:v>
      </x:c>
      <x:c r="C451" s="2" t="str">
        <x:v>NCT05630001</x:v>
      </x:c>
      <x:c r="D451" s="2" t="str">
        <x:v>Novartis Pharmaceuticals</x:v>
      </x:c>
      <x:c r="E451" s="2" t="n">
        <x:v>0</x:v>
      </x:c>
      <x:c r="F451" s="2" t="str">
        <x:v>https://clinicaltrials.gov/study/NCT05630001</x:v>
      </x:c>
      <x:c r="G45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52" ht="23" customHeight="1">
      <x:c r="A452" s="2" t="str">
        <x:v>Novartis</x:v>
      </x:c>
      <x:c r="B452" s="2" t="str">
        <x:v>2021-25</x:v>
      </x:c>
      <x:c r="C452" s="2" t="str">
        <x:v>NCT05032157</x:v>
      </x:c>
      <x:c r="D452" s="2" t="str">
        <x:v>Novartis Pharmaceuticals</x:v>
      </x:c>
      <x:c r="E452" s="2" t="n">
        <x:v>1</x:v>
      </x:c>
      <x:c r="F452" s="2" t="str">
        <x:v>https://clinicaltrials.gov/study/NCT05032157</x:v>
      </x:c>
      <x:c r="G45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53" ht="23" customHeight="1">
      <x:c r="A453" s="2" t="str">
        <x:v>Novartis</x:v>
      </x:c>
      <x:c r="B453" s="2" t="str">
        <x:v>2021-25</x:v>
      </x:c>
      <x:c r="C453" s="2" t="str">
        <x:v>NCT04984876</x:v>
      </x:c>
      <x:c r="D453" s="2" t="str">
        <x:v>Novartis Pharmaceuticals</x:v>
      </x:c>
      <x:c r="E453" s="2" t="n">
        <x:v>0</x:v>
      </x:c>
      <x:c r="F453" s="2" t="str">
        <x:v>https://clinicaltrials.gov/study/NCT04984876</x:v>
      </x:c>
      <x:c r="G45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54" ht="23" customHeight="1">
      <x:c r="A454" s="2" t="str">
        <x:v>Novartis</x:v>
      </x:c>
      <x:c r="B454" s="2" t="str">
        <x:v>2021-25</x:v>
      </x:c>
      <x:c r="C454" s="2" t="str">
        <x:v>NCT05305664</x:v>
      </x:c>
      <x:c r="D454" s="2" t="str">
        <x:v>Novartis Pharmaceuticals</x:v>
      </x:c>
      <x:c r="E454" s="2" t="n">
        <x:v>0</x:v>
      </x:c>
      <x:c r="F454" s="2" t="str">
        <x:v>https://clinicaltrials.gov/study/NCT05305664</x:v>
      </x:c>
      <x:c r="G45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55" ht="23" customHeight="1">
      <x:c r="A455" s="2" t="str">
        <x:v>Novartis</x:v>
      </x:c>
      <x:c r="B455" s="2" t="str">
        <x:v>2021-25</x:v>
      </x:c>
      <x:c r="C455" s="2" t="str">
        <x:v>NCT06401356</x:v>
      </x:c>
      <x:c r="D455" s="2" t="str">
        <x:v>Novartis Pharmaceuticals</x:v>
      </x:c>
      <x:c r="E455" s="2" t="n">
        <x:v>0</x:v>
      </x:c>
      <x:c r="F455" s="2" t="str">
        <x:v>https://clinicaltrials.gov/study/NCT06401356</x:v>
      </x:c>
      <x:c r="G45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56" ht="23" customHeight="1">
      <x:c r="A456" s="2" t="str">
        <x:v>Novartis</x:v>
      </x:c>
      <x:c r="B456" s="2" t="str">
        <x:v>2021-25</x:v>
      </x:c>
      <x:c r="C456" s="2" t="str">
        <x:v>NCT05648968</x:v>
      </x:c>
      <x:c r="D456" s="2" t="str">
        <x:v>Novartis Pharmaceuticals</x:v>
      </x:c>
      <x:c r="E456" s="2" t="n">
        <x:v>1</x:v>
      </x:c>
      <x:c r="F456" s="2" t="str">
        <x:v>https://clinicaltrials.gov/study/NCT05648968</x:v>
      </x:c>
      <x:c r="G45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57" ht="23" customHeight="1">
      <x:c r="A457" s="2" t="str">
        <x:v>Novartis</x:v>
      </x:c>
      <x:c r="B457" s="2" t="str">
        <x:v>2021-25</x:v>
      </x:c>
      <x:c r="C457" s="2" t="str">
        <x:v>NCT05948943</x:v>
      </x:c>
      <x:c r="D457" s="2" t="str">
        <x:v>Novartis Pharmaceuticals</x:v>
      </x:c>
      <x:c r="E457" s="2" t="n">
        <x:v>0</x:v>
      </x:c>
      <x:c r="F457" s="2" t="str">
        <x:v>https://clinicaltrials.gov/study/NCT05948943</x:v>
      </x:c>
      <x:c r="G45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58" ht="23" customHeight="1">
      <x:c r="A458" s="2" t="str">
        <x:v>Novartis</x:v>
      </x:c>
      <x:c r="B458" s="2" t="str">
        <x:v>2021-25</x:v>
      </x:c>
      <x:c r="C458" s="2" t="str">
        <x:v>NCT04788615</x:v>
      </x:c>
      <x:c r="D458" s="2" t="str">
        <x:v>Novartis Pharmaceuticals</x:v>
      </x:c>
      <x:c r="E458" s="2" t="n">
        <x:v>0</x:v>
      </x:c>
      <x:c r="F458" s="2" t="str">
        <x:v>https://clinicaltrials.gov/study/NCT04788615</x:v>
      </x:c>
      <x:c r="G45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59" ht="23" customHeight="1">
      <x:c r="A459" s="2" t="str">
        <x:v>Novartis</x:v>
      </x:c>
      <x:c r="B459" s="2" t="str">
        <x:v>2021-25</x:v>
      </x:c>
      <x:c r="C459" s="2" t="str">
        <x:v>NCT04838626</x:v>
      </x:c>
      <x:c r="D459" s="2" t="str">
        <x:v>Novartis Pharmaceuticals</x:v>
      </x:c>
      <x:c r="E459" s="2" t="n">
        <x:v>0</x:v>
      </x:c>
      <x:c r="F459" s="2" t="str">
        <x:v>https://clinicaltrials.gov/study/NCT04838626</x:v>
      </x:c>
      <x:c r="G45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60" ht="23" customHeight="1">
      <x:c r="A460" s="2" t="str">
        <x:v>Novartis</x:v>
      </x:c>
      <x:c r="B460" s="2" t="str">
        <x:v>2021-25</x:v>
      </x:c>
      <x:c r="C460" s="2" t="str">
        <x:v>NCT05985915</x:v>
      </x:c>
      <x:c r="D460" s="2" t="str">
        <x:v>Novartis Pharmaceuticals</x:v>
      </x:c>
      <x:c r="E460" s="2" t="n">
        <x:v>1</x:v>
      </x:c>
      <x:c r="F460" s="2" t="str">
        <x:v>https://clinicaltrials.gov/study/NCT05985915</x:v>
      </x:c>
      <x:c r="G46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61" ht="23" customHeight="1">
      <x:c r="A461" s="2" t="str">
        <x:v>Novartis</x:v>
      </x:c>
      <x:c r="B461" s="2" t="str">
        <x:v>2021-25</x:v>
      </x:c>
      <x:c r="C461" s="2" t="str">
        <x:v>NCT05569174</x:v>
      </x:c>
      <x:c r="D461" s="2" t="str">
        <x:v>Novartis Pharmaceuticals</x:v>
      </x:c>
      <x:c r="E461" s="2" t="n">
        <x:v>0</x:v>
      </x:c>
      <x:c r="F461" s="2" t="str">
        <x:v>https://clinicaltrials.gov/study/NCT05569174</x:v>
      </x:c>
      <x:c r="G46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62" ht="23" customHeight="1">
      <x:c r="A462" s="2" t="str">
        <x:v>Novartis</x:v>
      </x:c>
      <x:c r="B462" s="2" t="str">
        <x:v>2021-25</x:v>
      </x:c>
      <x:c r="C462" s="2" t="str">
        <x:v>NCT05126277</x:v>
      </x:c>
      <x:c r="D462" s="2" t="str">
        <x:v>Novartis Pharmaceuticals</x:v>
      </x:c>
      <x:c r="E462" s="2" t="n">
        <x:v>1</x:v>
      </x:c>
      <x:c r="F462" s="2" t="str">
        <x:v>https://clinicaltrials.gov/study/NCT05126277</x:v>
      </x:c>
      <x:c r="G46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63" ht="23" customHeight="1">
      <x:c r="A463" s="2" t="str">
        <x:v>Novartis</x:v>
      </x:c>
      <x:c r="B463" s="2" t="str">
        <x:v>2021-25</x:v>
      </x:c>
      <x:c r="C463" s="2" t="str">
        <x:v>NCT05722522</x:v>
      </x:c>
      <x:c r="D463" s="2" t="str">
        <x:v>Novartis Pharmaceuticals</x:v>
      </x:c>
      <x:c r="E463" s="2" t="n">
        <x:v>0</x:v>
      </x:c>
      <x:c r="F463" s="2" t="str">
        <x:v>https://clinicaltrials.gov/study/NCT05722522</x:v>
      </x:c>
      <x:c r="G46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64" ht="23" customHeight="1">
      <x:c r="A464" s="2" t="str">
        <x:v>Novartis</x:v>
      </x:c>
      <x:c r="B464" s="2" t="str">
        <x:v>2021-25</x:v>
      </x:c>
      <x:c r="C464" s="2" t="str">
        <x:v>NCT06133972</x:v>
      </x:c>
      <x:c r="D464" s="2" t="str">
        <x:v>Novartis Pharmaceuticals</x:v>
      </x:c>
      <x:c r="E464" s="2" t="n">
        <x:v>1</x:v>
      </x:c>
      <x:c r="F464" s="2" t="str">
        <x:v>https://clinicaltrials.gov/study/NCT06133972</x:v>
      </x:c>
      <x:c r="G46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65" ht="23" customHeight="1">
      <x:c r="A465" s="2" t="str">
        <x:v>Novartis</x:v>
      </x:c>
      <x:c r="B465" s="2" t="str">
        <x:v>2021-25</x:v>
      </x:c>
      <x:c r="C465" s="2" t="str">
        <x:v>NCT06439082</x:v>
      </x:c>
      <x:c r="D465" s="2" t="str">
        <x:v>Novartis Pharmaceuticals</x:v>
      </x:c>
      <x:c r="E465" s="2" t="n">
        <x:v>0</x:v>
      </x:c>
      <x:c r="F465" s="2" t="str">
        <x:v>https://clinicaltrials.gov/study/NCT06439082</x:v>
      </x:c>
      <x:c r="G46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66" ht="23" customHeight="1">
      <x:c r="A466" s="2" t="str">
        <x:v>Novartis</x:v>
      </x:c>
      <x:c r="B466" s="2" t="str">
        <x:v>2021-25</x:v>
      </x:c>
      <x:c r="C466" s="2" t="str">
        <x:v>NCT05147220</x:v>
      </x:c>
      <x:c r="D466" s="2" t="str">
        <x:v>Novartis Pharmaceuticals</x:v>
      </x:c>
      <x:c r="E466" s="2" t="n">
        <x:v>1</x:v>
      </x:c>
      <x:c r="F466" s="2" t="str">
        <x:v>https://clinicaltrials.gov/study/NCT05147220</x:v>
      </x:c>
      <x:c r="G46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67" ht="23" customHeight="1">
      <x:c r="A467" s="2" t="str">
        <x:v>Novartis</x:v>
      </x:c>
      <x:c r="B467" s="2" t="str">
        <x:v>2021-25</x:v>
      </x:c>
      <x:c r="C467" s="2" t="str">
        <x:v>NCT06267560</x:v>
      </x:c>
      <x:c r="D467" s="2" t="str">
        <x:v>Novartis Pharmaceuticals</x:v>
      </x:c>
      <x:c r="E467" s="2" t="n">
        <x:v>0</x:v>
      </x:c>
      <x:c r="F467" s="2" t="str">
        <x:v>https://clinicaltrials.gov/study/NCT06267560</x:v>
      </x:c>
      <x:c r="G46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68" ht="23" customHeight="1">
      <x:c r="A468" s="2" t="str">
        <x:v>Novartis</x:v>
      </x:c>
      <x:c r="B468" s="2" t="str">
        <x:v>2021-25</x:v>
      </x:c>
      <x:c r="C468" s="2" t="str">
        <x:v>NCT05677451</x:v>
      </x:c>
      <x:c r="D468" s="2" t="str">
        <x:v>Novartis Pharmaceuticals</x:v>
      </x:c>
      <x:c r="E468" s="2" t="n">
        <x:v>0</x:v>
      </x:c>
      <x:c r="F468" s="2" t="str">
        <x:v>https://clinicaltrials.gov/study/NCT05677451</x:v>
      </x:c>
      <x:c r="G46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69" ht="23" customHeight="1">
      <x:c r="A469" s="2" t="str">
        <x:v>Novartis</x:v>
      </x:c>
      <x:c r="B469" s="2" t="str">
        <x:v>2021-25</x:v>
      </x:c>
      <x:c r="C469" s="2" t="str">
        <x:v>NCT05763875</x:v>
      </x:c>
      <x:c r="D469" s="2" t="str">
        <x:v>Novartis Pharmaceuticals</x:v>
      </x:c>
      <x:c r="E469" s="2" t="n">
        <x:v>0</x:v>
      </x:c>
      <x:c r="F469" s="2" t="str">
        <x:v>https://clinicaltrials.gov/study/NCT05763875</x:v>
      </x:c>
      <x:c r="G46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70" ht="23" customHeight="1">
      <x:c r="A470" s="2" t="str">
        <x:v>Novartis</x:v>
      </x:c>
      <x:c r="B470" s="2" t="str">
        <x:v>2021-25</x:v>
      </x:c>
      <x:c r="C470" s="2" t="str">
        <x:v>NCT05030311</x:v>
      </x:c>
      <x:c r="D470" s="2" t="str">
        <x:v>Novartis Pharmaceuticals</x:v>
      </x:c>
      <x:c r="E470" s="2" t="n">
        <x:v>1</x:v>
      </x:c>
      <x:c r="F470" s="2" t="str">
        <x:v>https://clinicaltrials.gov/study/NCT05030311</x:v>
      </x:c>
      <x:c r="G47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71" ht="23" customHeight="1">
      <x:c r="A471" s="2" t="str">
        <x:v>Novartis</x:v>
      </x:c>
      <x:c r="B471" s="2" t="str">
        <x:v>2021-25</x:v>
      </x:c>
      <x:c r="C471" s="2" t="str">
        <x:v>NCT06744920</x:v>
      </x:c>
      <x:c r="D471" s="2" t="str">
        <x:v>Novartis Pharmaceuticals</x:v>
      </x:c>
      <x:c r="E471" s="2" t="n">
        <x:v>1</x:v>
      </x:c>
      <x:c r="F471" s="2" t="str">
        <x:v>https://clinicaltrials.gov/study/NCT06744920</x:v>
      </x:c>
      <x:c r="G47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72" ht="23" customHeight="1">
      <x:c r="A472" s="2" t="str">
        <x:v>Novartis</x:v>
      </x:c>
      <x:c r="B472" s="2" t="str">
        <x:v>2021-25</x:v>
      </x:c>
      <x:c r="C472" s="2" t="str">
        <x:v>NCT05456191</x:v>
      </x:c>
      <x:c r="D472" s="2" t="str">
        <x:v>Novartis Pharmaceuticals</x:v>
      </x:c>
      <x:c r="E472" s="2" t="n">
        <x:v>1</x:v>
      </x:c>
      <x:c r="F472" s="2" t="str">
        <x:v>https://clinicaltrials.gov/study/NCT05456191</x:v>
      </x:c>
      <x:c r="G47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73" ht="23" customHeight="1">
      <x:c r="A473" s="2" t="str">
        <x:v>Novartis</x:v>
      </x:c>
      <x:c r="B473" s="2" t="str">
        <x:v>2021-25</x:v>
      </x:c>
      <x:c r="C473" s="2" t="str">
        <x:v>NCT06236061</x:v>
      </x:c>
      <x:c r="D473" s="2" t="str">
        <x:v>Novartis Pharmaceuticals</x:v>
      </x:c>
      <x:c r="E473" s="2" t="n">
        <x:v>0</x:v>
      </x:c>
      <x:c r="F473" s="2" t="str">
        <x:v>https://clinicaltrials.gov/study/NCT06236061</x:v>
      </x:c>
      <x:c r="G47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74" ht="23" customHeight="1">
      <x:c r="A474" s="2" t="str">
        <x:v>Novartis</x:v>
      </x:c>
      <x:c r="B474" s="2" t="str">
        <x:v>2021-25</x:v>
      </x:c>
      <x:c r="C474" s="2" t="str">
        <x:v>NCT05653219</x:v>
      </x:c>
      <x:c r="D474" s="2" t="str">
        <x:v>Novartis Pharmaceuticals</x:v>
      </x:c>
      <x:c r="E474" s="2" t="n">
        <x:v>1</x:v>
      </x:c>
      <x:c r="F474" s="2" t="str">
        <x:v>https://clinicaltrials.gov/study/NCT05653219</x:v>
      </x:c>
      <x:c r="G47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75" ht="23" customHeight="1">
      <x:c r="A475" s="2" t="str">
        <x:v>Novartis</x:v>
      </x:c>
      <x:c r="B475" s="2" t="str">
        <x:v>2021-25</x:v>
      </x:c>
      <x:c r="C475" s="2" t="str">
        <x:v>NCT05767034</x:v>
      </x:c>
      <x:c r="D475" s="2" t="str">
        <x:v>Novartis Pharmaceuticals</x:v>
      </x:c>
      <x:c r="E475" s="2" t="n">
        <x:v>0</x:v>
      </x:c>
      <x:c r="F475" s="2" t="str">
        <x:v>https://clinicaltrials.gov/study/NCT05767034</x:v>
      </x:c>
      <x:c r="G47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76" ht="23" customHeight="1">
      <x:c r="A476" s="2" t="str">
        <x:v>Novartis</x:v>
      </x:c>
      <x:c r="B476" s="2" t="str">
        <x:v>2021-25</x:v>
      </x:c>
      <x:c r="C476" s="2" t="str">
        <x:v>NCT05513001</x:v>
      </x:c>
      <x:c r="D476" s="2" t="str">
        <x:v>Novartis Pharmaceuticals</x:v>
      </x:c>
      <x:c r="E476" s="2" t="n">
        <x:v>1</x:v>
      </x:c>
      <x:c r="F476" s="2" t="str">
        <x:v>https://clinicaltrials.gov/study/NCT05513001</x:v>
      </x:c>
      <x:c r="G47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77" ht="23" customHeight="1">
      <x:c r="A477" s="2" t="str">
        <x:v>Novartis</x:v>
      </x:c>
      <x:c r="B477" s="2" t="str">
        <x:v>2021-25</x:v>
      </x:c>
      <x:c r="C477" s="2" t="str">
        <x:v>NCT07102628</x:v>
      </x:c>
      <x:c r="D477" s="2" t="str">
        <x:v>Novartis Pharmaceuticals</x:v>
      </x:c>
      <x:c r="E477" s="2" t="n">
        <x:v>1</x:v>
      </x:c>
      <x:c r="F477" s="2" t="str">
        <x:v>https://clinicaltrials.gov/study/NCT07102628</x:v>
      </x:c>
      <x:c r="G47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78" ht="23" customHeight="1">
      <x:c r="A478" s="2" t="str">
        <x:v>Novartis</x:v>
      </x:c>
      <x:c r="B478" s="2" t="str">
        <x:v>2021-25</x:v>
      </x:c>
      <x:c r="C478" s="2" t="str">
        <x:v>NCT04926818</x:v>
      </x:c>
      <x:c r="D478" s="2" t="str">
        <x:v>Novartis Pharmaceuticals</x:v>
      </x:c>
      <x:c r="E478" s="2" t="n">
        <x:v>1</x:v>
      </x:c>
      <x:c r="F478" s="2" t="str">
        <x:v>https://clinicaltrials.gov/study/NCT04926818</x:v>
      </x:c>
      <x:c r="G47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79" ht="23" customHeight="1">
      <x:c r="A479" s="2" t="str">
        <x:v>Novartis</x:v>
      </x:c>
      <x:c r="B479" s="2" t="str">
        <x:v>2021-25</x:v>
      </x:c>
      <x:c r="C479" s="2" t="str">
        <x:v>NCT04817618</x:v>
      </x:c>
      <x:c r="D479" s="2" t="str">
        <x:v>Novartis Pharmaceuticals</x:v>
      </x:c>
      <x:c r="E479" s="2" t="n">
        <x:v>1</x:v>
      </x:c>
      <x:c r="F479" s="2" t="str">
        <x:v>https://clinicaltrials.gov/study/NCT04817618</x:v>
      </x:c>
      <x:c r="G47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80" ht="23" customHeight="1">
      <x:c r="A480" s="2" t="str">
        <x:v>Novartis</x:v>
      </x:c>
      <x:c r="B480" s="2" t="str">
        <x:v>2021-25</x:v>
      </x:c>
      <x:c r="C480" s="2" t="str">
        <x:v>NCT04929249</x:v>
      </x:c>
      <x:c r="D480" s="2" t="str">
        <x:v>Novartis Pharmaceuticals</x:v>
      </x:c>
      <x:c r="E480" s="2" t="n">
        <x:v>0</x:v>
      </x:c>
      <x:c r="F480" s="2" t="str">
        <x:v>https://clinicaltrials.gov/study/NCT04929249</x:v>
      </x:c>
      <x:c r="G48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81" ht="23" customHeight="1">
      <x:c r="A481" s="2" t="str">
        <x:v>Novartis</x:v>
      </x:c>
      <x:c r="B481" s="2" t="str">
        <x:v>2021-25</x:v>
      </x:c>
      <x:c r="C481" s="2" t="str">
        <x:v>NCT04717635</x:v>
      </x:c>
      <x:c r="D481" s="2" t="str">
        <x:v>Novartis Pharmaceuticals</x:v>
      </x:c>
      <x:c r="E481" s="2" t="n">
        <x:v>0</x:v>
      </x:c>
      <x:c r="F481" s="2" t="str">
        <x:v>https://clinicaltrials.gov/study/NCT04717635</x:v>
      </x:c>
      <x:c r="G48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82" ht="23" customHeight="1">
      <x:c r="A482" s="2" t="str">
        <x:v>Novartis</x:v>
      </x:c>
      <x:c r="B482" s="2" t="str">
        <x:v>2021-25</x:v>
      </x:c>
      <x:c r="C482" s="2" t="str">
        <x:v>NCT05795140</x:v>
      </x:c>
      <x:c r="D482" s="2" t="str">
        <x:v>Novartis Pharmaceuticals</x:v>
      </x:c>
      <x:c r="E482" s="2" t="n">
        <x:v>1</x:v>
      </x:c>
      <x:c r="F482" s="2" t="str">
        <x:v>https://clinicaltrials.gov/study/NCT05795140</x:v>
      </x:c>
      <x:c r="G48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83" ht="23" customHeight="1">
      <x:c r="A483" s="2" t="str">
        <x:v>Novartis</x:v>
      </x:c>
      <x:c r="B483" s="2" t="str">
        <x:v>2021-25</x:v>
      </x:c>
      <x:c r="C483" s="2" t="str">
        <x:v>NCT06813911</x:v>
      </x:c>
      <x:c r="D483" s="2" t="str">
        <x:v>Novartis Pharmaceuticals</x:v>
      </x:c>
      <x:c r="E483" s="2" t="n">
        <x:v>0</x:v>
      </x:c>
      <x:c r="F483" s="2" t="str">
        <x:v>https://clinicaltrials.gov/study/NCT06813911</x:v>
      </x:c>
      <x:c r="G48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84" ht="23" customHeight="1">
      <x:c r="A484" s="2" t="str">
        <x:v>Novartis</x:v>
      </x:c>
      <x:c r="B484" s="2" t="str">
        <x:v>2021-25</x:v>
      </x:c>
      <x:c r="C484" s="2" t="str">
        <x:v>NCT05232864</x:v>
      </x:c>
      <x:c r="D484" s="2" t="str">
        <x:v>Novartis Pharmaceuticals</x:v>
      </x:c>
      <x:c r="E484" s="2" t="n">
        <x:v>0</x:v>
      </x:c>
      <x:c r="F484" s="2" t="str">
        <x:v>https://clinicaltrials.gov/study/NCT05232864</x:v>
      </x:c>
      <x:c r="G48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85" ht="23" customHeight="1">
      <x:c r="A485" s="2" t="str">
        <x:v>Novartis</x:v>
      </x:c>
      <x:c r="B485" s="2" t="str">
        <x:v>2021-25</x:v>
      </x:c>
      <x:c r="C485" s="2" t="str">
        <x:v>NCT06597019</x:v>
      </x:c>
      <x:c r="D485" s="2" t="str">
        <x:v>Novartis Pharmaceuticals</x:v>
      </x:c>
      <x:c r="E485" s="2" t="n">
        <x:v>0</x:v>
      </x:c>
      <x:c r="F485" s="2" t="str">
        <x:v>https://clinicaltrials.gov/study/NCT06597019</x:v>
      </x:c>
      <x:c r="G48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86" ht="23" customHeight="1">
      <x:c r="A486" s="2" t="str">
        <x:v>Novartis</x:v>
      </x:c>
      <x:c r="B486" s="2" t="str">
        <x:v>2021-25</x:v>
      </x:c>
      <x:c r="C486" s="2" t="str">
        <x:v>NCT06597006</x:v>
      </x:c>
      <x:c r="D486" s="2" t="str">
        <x:v>Novartis Pharmaceuticals</x:v>
      </x:c>
      <x:c r="E486" s="2" t="n">
        <x:v>0</x:v>
      </x:c>
      <x:c r="F486" s="2" t="str">
        <x:v>https://clinicaltrials.gov/study/NCT06597006</x:v>
      </x:c>
      <x:c r="G48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87" ht="23" customHeight="1">
      <x:c r="A487" s="2" t="str">
        <x:v>Novartis</x:v>
      </x:c>
      <x:c r="B487" s="2" t="str">
        <x:v>2021-25</x:v>
      </x:c>
      <x:c r="C487" s="2" t="str">
        <x:v>NCT05827081</x:v>
      </x:c>
      <x:c r="D487" s="2" t="str">
        <x:v>Novartis Pharmaceuticals</x:v>
      </x:c>
      <x:c r="E487" s="2" t="n">
        <x:v>1</x:v>
      </x:c>
      <x:c r="F487" s="2" t="str">
        <x:v>https://clinicaltrials.gov/study/NCT05827081</x:v>
      </x:c>
      <x:c r="G48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88" ht="23" customHeight="1">
      <x:c r="A488" s="2" t="str">
        <x:v>Novartis</x:v>
      </x:c>
      <x:c r="B488" s="2" t="str">
        <x:v>2021-25</x:v>
      </x:c>
      <x:c r="C488" s="2" t="str">
        <x:v>NCT06855277</x:v>
      </x:c>
      <x:c r="D488" s="2" t="str">
        <x:v>Novartis Pharmaceuticals</x:v>
      </x:c>
      <x:c r="E488" s="2" t="n">
        <x:v>1</x:v>
      </x:c>
      <x:c r="F488" s="2" t="str">
        <x:v>https://clinicaltrials.gov/study/NCT06855277</x:v>
      </x:c>
      <x:c r="G48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89" ht="23" customHeight="1">
      <x:c r="A489" s="2" t="str">
        <x:v>Novartis</x:v>
      </x:c>
      <x:c r="B489" s="2" t="str">
        <x:v>2021-25</x:v>
      </x:c>
      <x:c r="C489" s="2" t="str">
        <x:v>NCT05132075</x:v>
      </x:c>
      <x:c r="D489" s="2" t="str">
        <x:v>Novartis Pharmaceuticals</x:v>
      </x:c>
      <x:c r="E489" s="2" t="n">
        <x:v>1</x:v>
      </x:c>
      <x:c r="F489" s="2" t="str">
        <x:v>https://clinicaltrials.gov/study/NCT05132075</x:v>
      </x:c>
      <x:c r="G48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90" ht="23" customHeight="1">
      <x:c r="A490" s="2" t="str">
        <x:v>Novartis</x:v>
      </x:c>
      <x:c r="B490" s="2" t="str">
        <x:v>2021-25</x:v>
      </x:c>
      <x:c r="C490" s="2" t="str">
        <x:v>NCT04930094</x:v>
      </x:c>
      <x:c r="D490" s="2" t="str">
        <x:v>Novartis Pharmaceuticals</x:v>
      </x:c>
      <x:c r="E490" s="2" t="n">
        <x:v>0</x:v>
      </x:c>
      <x:c r="F490" s="2" t="str">
        <x:v>https://clinicaltrials.gov/study/NCT04930094</x:v>
      </x:c>
      <x:c r="G49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91" ht="23" customHeight="1">
      <x:c r="A491" s="2" t="str">
        <x:v>Novartis</x:v>
      </x:c>
      <x:c r="B491" s="2" t="str">
        <x:v>2021-25</x:v>
      </x:c>
      <x:c r="C491" s="2" t="str">
        <x:v>NCT04816214</x:v>
      </x:c>
      <x:c r="D491" s="2" t="str">
        <x:v>Novartis Pharmaceuticals</x:v>
      </x:c>
      <x:c r="E491" s="2" t="n">
        <x:v>0</x:v>
      </x:c>
      <x:c r="F491" s="2" t="str">
        <x:v>https://clinicaltrials.gov/study/NCT04816214</x:v>
      </x:c>
      <x:c r="G49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92" ht="23" customHeight="1">
      <x:c r="A492" s="2" t="str">
        <x:v>Novartis</x:v>
      </x:c>
      <x:c r="B492" s="2" t="str">
        <x:v>2021-25</x:v>
      </x:c>
      <x:c r="C492" s="2" t="str">
        <x:v>NCT05758415</x:v>
      </x:c>
      <x:c r="D492" s="2" t="str">
        <x:v>Novartis Pharmaceuticals</x:v>
      </x:c>
      <x:c r="E492" s="2" t="n">
        <x:v>0</x:v>
      </x:c>
      <x:c r="F492" s="2" t="str">
        <x:v>https://clinicaltrials.gov/study/NCT05758415</x:v>
      </x:c>
      <x:c r="G49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93" ht="23" customHeight="1">
      <x:c r="A493" s="2" t="str">
        <x:v>Novartis</x:v>
      </x:c>
      <x:c r="B493" s="2" t="str">
        <x:v>2021-25</x:v>
      </x:c>
      <x:c r="C493" s="2" t="str">
        <x:v>NCT05888103</x:v>
      </x:c>
      <x:c r="D493" s="2" t="str">
        <x:v>Novartis Pharmaceuticals</x:v>
      </x:c>
      <x:c r="E493" s="2" t="n">
        <x:v>0</x:v>
      </x:c>
      <x:c r="F493" s="2" t="str">
        <x:v>https://clinicaltrials.gov/study/NCT05888103</x:v>
      </x:c>
      <x:c r="G49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94" ht="23" customHeight="1">
      <x:c r="A494" s="2" t="str">
        <x:v>Novartis</x:v>
      </x:c>
      <x:c r="B494" s="2" t="str">
        <x:v>2021-25</x:v>
      </x:c>
      <x:c r="C494" s="2" t="str">
        <x:v>NCT04971226</x:v>
      </x:c>
      <x:c r="D494" s="2" t="str">
        <x:v>Novartis Pharmaceuticals</x:v>
      </x:c>
      <x:c r="E494" s="2" t="n">
        <x:v>1</x:v>
      </x:c>
      <x:c r="F494" s="2" t="str">
        <x:v>https://clinicaltrials.gov/study/NCT04971226</x:v>
      </x:c>
      <x:c r="G49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95" ht="23" customHeight="1">
      <x:c r="A495" s="2" t="str">
        <x:v>Novartis</x:v>
      </x:c>
      <x:c r="B495" s="2" t="str">
        <x:v>2021-25</x:v>
      </x:c>
      <x:c r="C495" s="2" t="str">
        <x:v>NCT06858319</x:v>
      </x:c>
      <x:c r="D495" s="2" t="str">
        <x:v>Novartis Pharmaceuticals</x:v>
      </x:c>
      <x:c r="E495" s="2" t="n">
        <x:v>0</x:v>
      </x:c>
      <x:c r="F495" s="2" t="str">
        <x:v>https://clinicaltrials.gov/study/NCT06858319</x:v>
      </x:c>
      <x:c r="G49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96" ht="23" customHeight="1">
      <x:c r="A496" s="2" t="str">
        <x:v>Novartis</x:v>
      </x:c>
      <x:c r="B496" s="2" t="str">
        <x:v>2021-25</x:v>
      </x:c>
      <x:c r="C496" s="2" t="str">
        <x:v>NCT05048342</x:v>
      </x:c>
      <x:c r="D496" s="2" t="str">
        <x:v>Novartis Pharmaceuticals</x:v>
      </x:c>
      <x:c r="E496" s="2" t="n">
        <x:v>0</x:v>
      </x:c>
      <x:c r="F496" s="2" t="str">
        <x:v>https://clinicaltrials.gov/study/NCT05048342</x:v>
      </x:c>
      <x:c r="G49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97" ht="23" customHeight="1">
      <x:c r="A497" s="2" t="str">
        <x:v>Novartis</x:v>
      </x:c>
      <x:c r="B497" s="2" t="str">
        <x:v>2021-25</x:v>
      </x:c>
      <x:c r="C497" s="2" t="str">
        <x:v>NCT06149104</x:v>
      </x:c>
      <x:c r="D497" s="2" t="str">
        <x:v>Novartis Pharmaceuticals</x:v>
      </x:c>
      <x:c r="E497" s="2" t="n">
        <x:v>0</x:v>
      </x:c>
      <x:c r="F497" s="2" t="str">
        <x:v>https://clinicaltrials.gov/study/NCT06149104</x:v>
      </x:c>
      <x:c r="G49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98" ht="23" customHeight="1">
      <x:c r="A498" s="2" t="str">
        <x:v>Novartis</x:v>
      </x:c>
      <x:c r="B498" s="2" t="str">
        <x:v>2021-25</x:v>
      </x:c>
      <x:c r="C498" s="2" t="str">
        <x:v>NCT05639114</x:v>
      </x:c>
      <x:c r="D498" s="2" t="str">
        <x:v>Novartis Pharmaceuticals</x:v>
      </x:c>
      <x:c r="E498" s="2" t="n">
        <x:v>0</x:v>
      </x:c>
      <x:c r="F498" s="2" t="str">
        <x:v>https://clinicaltrials.gov/study/NCT05639114</x:v>
      </x:c>
      <x:c r="G49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499" ht="23" customHeight="1">
      <x:c r="A499" s="2" t="str">
        <x:v>Novartis</x:v>
      </x:c>
      <x:c r="B499" s="2" t="str">
        <x:v>2021-25</x:v>
      </x:c>
      <x:c r="C499" s="2" t="str">
        <x:v>NCT06042478</x:v>
      </x:c>
      <x:c r="D499" s="2" t="str">
        <x:v>Novartis Pharmaceuticals</x:v>
      </x:c>
      <x:c r="E499" s="2" t="n">
        <x:v>1</x:v>
      </x:c>
      <x:c r="F499" s="2" t="str">
        <x:v>https://clinicaltrials.gov/study/NCT06042478</x:v>
      </x:c>
      <x:c r="G49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00" ht="23" customHeight="1">
      <x:c r="A500" s="2" t="str">
        <x:v>Novartis</x:v>
      </x:c>
      <x:c r="B500" s="2" t="str">
        <x:v>2021-25</x:v>
      </x:c>
      <x:c r="C500" s="2" t="str">
        <x:v>NCT05360446</x:v>
      </x:c>
      <x:c r="D500" s="2" t="str">
        <x:v>Novartis Pharmaceuticals</x:v>
      </x:c>
      <x:c r="E500" s="2" t="n">
        <x:v>1</x:v>
      </x:c>
      <x:c r="F500" s="2" t="str">
        <x:v>https://clinicaltrials.gov/study/NCT05360446</x:v>
      </x:c>
      <x:c r="G50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01" ht="23" customHeight="1">
      <x:c r="A501" s="2" t="str">
        <x:v>Novartis</x:v>
      </x:c>
      <x:c r="B501" s="2" t="str">
        <x:v>2021-25</x:v>
      </x:c>
      <x:c r="C501" s="2" t="str">
        <x:v>NCT05562466</x:v>
      </x:c>
      <x:c r="D501" s="2" t="str">
        <x:v>Novartis Pharmaceuticals</x:v>
      </x:c>
      <x:c r="E501" s="2" t="n">
        <x:v>0</x:v>
      </x:c>
      <x:c r="F501" s="2" t="str">
        <x:v>https://clinicaltrials.gov/study/NCT05562466</x:v>
      </x:c>
      <x:c r="G50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02" ht="23" customHeight="1">
      <x:c r="A502" s="2" t="str">
        <x:v>Novartis</x:v>
      </x:c>
      <x:c r="B502" s="2" t="str">
        <x:v>2021-25</x:v>
      </x:c>
      <x:c r="C502" s="2" t="str">
        <x:v>NCT06240741</x:v>
      </x:c>
      <x:c r="D502" s="2" t="str">
        <x:v>Novartis Pharmaceuticals</x:v>
      </x:c>
      <x:c r="E502" s="2" t="n">
        <x:v>0</x:v>
      </x:c>
      <x:c r="F502" s="2" t="str">
        <x:v>https://clinicaltrials.gov/study/NCT06240741</x:v>
      </x:c>
      <x:c r="G50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03" ht="23" customHeight="1">
      <x:c r="A503" s="2" t="str">
        <x:v>Novartis</x:v>
      </x:c>
      <x:c r="B503" s="2" t="str">
        <x:v>2021-25</x:v>
      </x:c>
      <x:c r="C503" s="2" t="str">
        <x:v>NCT05852938</x:v>
      </x:c>
      <x:c r="D503" s="2" t="str">
        <x:v>Novartis Pharmaceuticals</x:v>
      </x:c>
      <x:c r="E503" s="2" t="n">
        <x:v>1</x:v>
      </x:c>
      <x:c r="F503" s="2" t="str">
        <x:v>https://clinicaltrials.gov/study/NCT05852938</x:v>
      </x:c>
      <x:c r="G50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04" ht="23" customHeight="1">
      <x:c r="A504" s="2" t="str">
        <x:v>Novartis</x:v>
      </x:c>
      <x:c r="B504" s="2" t="str">
        <x:v>2021-25</x:v>
      </x:c>
      <x:c r="C504" s="2" t="str">
        <x:v>NCT05682378</x:v>
      </x:c>
      <x:c r="D504" s="2" t="str">
        <x:v>Novartis Pharmaceuticals</x:v>
      </x:c>
      <x:c r="E504" s="2" t="n">
        <x:v>0</x:v>
      </x:c>
      <x:c r="F504" s="2" t="str">
        <x:v>https://clinicaltrials.gov/study/NCT05682378</x:v>
      </x:c>
      <x:c r="G50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05" ht="23" customHeight="1">
      <x:c r="A505" s="2" t="str">
        <x:v>Novartis</x:v>
      </x:c>
      <x:c r="B505" s="2" t="str">
        <x:v>2021-25</x:v>
      </x:c>
      <x:c r="C505" s="2" t="str">
        <x:v>NCT05666804</x:v>
      </x:c>
      <x:c r="D505" s="2" t="str">
        <x:v>Novartis Pharmaceuticals</x:v>
      </x:c>
      <x:c r="E505" s="2" t="n">
        <x:v>0</x:v>
      </x:c>
      <x:c r="F505" s="2" t="str">
        <x:v>https://clinicaltrials.gov/study/NCT05666804</x:v>
      </x:c>
      <x:c r="G50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06" ht="23" customHeight="1">
      <x:c r="A506" s="2" t="str">
        <x:v>Novartis</x:v>
      </x:c>
      <x:c r="B506" s="2" t="str">
        <x:v>2021-25</x:v>
      </x:c>
      <x:c r="C506" s="2" t="str">
        <x:v>NCT05349214</x:v>
      </x:c>
      <x:c r="D506" s="2" t="str">
        <x:v>Novartis Pharmaceuticals</x:v>
      </x:c>
      <x:c r="E506" s="2" t="n">
        <x:v>1</x:v>
      </x:c>
      <x:c r="F506" s="2" t="str">
        <x:v>https://clinicaltrials.gov/study/NCT05349214</x:v>
      </x:c>
      <x:c r="G50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07" ht="23" customHeight="1">
      <x:c r="A507" s="2" t="str">
        <x:v>Novartis</x:v>
      </x:c>
      <x:c r="B507" s="2" t="str">
        <x:v>2021-25</x:v>
      </x:c>
      <x:c r="C507" s="2" t="str">
        <x:v>NCT05755386</x:v>
      </x:c>
      <x:c r="D507" s="2" t="str">
        <x:v>Novartis Pharmaceuticals</x:v>
      </x:c>
      <x:c r="E507" s="2" t="n">
        <x:v>1</x:v>
      </x:c>
      <x:c r="F507" s="2" t="str">
        <x:v>https://clinicaltrials.gov/study/NCT05755386</x:v>
      </x:c>
      <x:c r="G50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08" ht="23" customHeight="1">
      <x:c r="A508" s="2" t="str">
        <x:v>Novartis</x:v>
      </x:c>
      <x:c r="B508" s="2" t="str">
        <x:v>2021-25</x:v>
      </x:c>
      <x:c r="C508" s="2" t="str">
        <x:v>NCT05842954</x:v>
      </x:c>
      <x:c r="D508" s="2" t="str">
        <x:v>Novartis Pharmaceuticals</x:v>
      </x:c>
      <x:c r="E508" s="2" t="n">
        <x:v>0</x:v>
      </x:c>
      <x:c r="F508" s="2" t="str">
        <x:v>https://clinicaltrials.gov/study/NCT05842954</x:v>
      </x:c>
      <x:c r="G50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09" ht="23" customHeight="1">
      <x:c r="A509" s="2" t="str">
        <x:v>Novartis</x:v>
      </x:c>
      <x:c r="B509" s="2" t="str">
        <x:v>2021-25</x:v>
      </x:c>
      <x:c r="C509" s="2" t="str">
        <x:v>NCT05795153</x:v>
      </x:c>
      <x:c r="D509" s="2" t="str">
        <x:v>Novartis Pharmaceuticals</x:v>
      </x:c>
      <x:c r="E509" s="2" t="n">
        <x:v>0</x:v>
      </x:c>
      <x:c r="F509" s="2" t="str">
        <x:v>https://clinicaltrials.gov/study/NCT05795153</x:v>
      </x:c>
      <x:c r="G50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10" ht="23" customHeight="1">
      <x:c r="A510" s="2" t="str">
        <x:v>Novartis</x:v>
      </x:c>
      <x:c r="B510" s="2" t="str">
        <x:v>2021-25</x:v>
      </x:c>
      <x:c r="C510" s="2" t="str">
        <x:v>NCT04732117</x:v>
      </x:c>
      <x:c r="D510" s="2" t="str">
        <x:v>Novartis Pharmaceuticals</x:v>
      </x:c>
      <x:c r="E510" s="2" t="n">
        <x:v>0</x:v>
      </x:c>
      <x:c r="F510" s="2" t="str">
        <x:v>https://clinicaltrials.gov/study/NCT04732117</x:v>
      </x:c>
      <x:c r="G51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11" ht="23" customHeight="1">
      <x:c r="A511" s="2" t="str">
        <x:v>Novartis</x:v>
      </x:c>
      <x:c r="B511" s="2" t="str">
        <x:v>2021-25</x:v>
      </x:c>
      <x:c r="C511" s="2" t="str">
        <x:v>NCT05156281</x:v>
      </x:c>
      <x:c r="D511" s="2" t="str">
        <x:v>Novartis Pharmaceuticals</x:v>
      </x:c>
      <x:c r="E511" s="2" t="n">
        <x:v>1</x:v>
      </x:c>
      <x:c r="F511" s="2" t="str">
        <x:v>https://clinicaltrials.gov/study/NCT05156281</x:v>
      </x:c>
      <x:c r="G51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12" ht="23" customHeight="1">
      <x:c r="A512" s="2" t="str">
        <x:v>Novartis</x:v>
      </x:c>
      <x:c r="B512" s="2" t="str">
        <x:v>2021-25</x:v>
      </x:c>
      <x:c r="C512" s="2" t="str">
        <x:v>NCT06869785</x:v>
      </x:c>
      <x:c r="D512" s="2" t="str">
        <x:v>Novartis Pharmaceuticals</x:v>
      </x:c>
      <x:c r="E512" s="2" t="n">
        <x:v>0</x:v>
      </x:c>
      <x:c r="F512" s="2" t="str">
        <x:v>https://clinicaltrials.gov/study/NCT06869785</x:v>
      </x:c>
      <x:c r="G51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13" ht="23" customHeight="1">
      <x:c r="A513" s="2" t="str">
        <x:v>Novartis</x:v>
      </x:c>
      <x:c r="B513" s="2" t="str">
        <x:v>2021-25</x:v>
      </x:c>
      <x:c r="C513" s="2" t="str">
        <x:v>NCT06846281</x:v>
      </x:c>
      <x:c r="D513" s="2" t="str">
        <x:v>Novartis Pharmaceuticals</x:v>
      </x:c>
      <x:c r="E513" s="2" t="n">
        <x:v>0</x:v>
      </x:c>
      <x:c r="F513" s="2" t="str">
        <x:v>https://clinicaltrials.gov/study/NCT06846281</x:v>
      </x:c>
      <x:c r="G51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Novartis%29&amp;countTotal=true&amp;pageSize=1</x:v>
      </x:c>
    </x:row>
    <x:row r="514" ht="23" customHeight="1">
      <x:c r="A514" s="2" t="str">
        <x:v>Pfizer</x:v>
      </x:c>
      <x:c r="B514" s="2" t="str">
        <x:v>2015-19</x:v>
      </x:c>
      <x:c r="C514" s="2" t="str">
        <x:v>NCT03872453</x:v>
      </x:c>
      <x:c r="D514" s="2" t="str">
        <x:v>Pfizer</x:v>
      </x:c>
      <x:c r="E514" s="2" t="n">
        <x:v>0</x:v>
      </x:c>
      <x:c r="F514" s="2" t="str">
        <x:v>https://clinicaltrials.gov/study/NCT03872453</x:v>
      </x:c>
      <x:c r="G51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15" ht="23" customHeight="1">
      <x:c r="A515" s="2" t="str">
        <x:v>Pfizer</x:v>
      </x:c>
      <x:c r="B515" s="2" t="str">
        <x:v>2015-19</x:v>
      </x:c>
      <x:c r="C515" s="2" t="str">
        <x:v>NCT03573882</x:v>
      </x:c>
      <x:c r="D515" s="2" t="str">
        <x:v>Pfizer</x:v>
      </x:c>
      <x:c r="E515" s="2" t="n">
        <x:v>0</x:v>
      </x:c>
      <x:c r="F515" s="2" t="str">
        <x:v>https://clinicaltrials.gov/study/NCT03573882</x:v>
      </x:c>
      <x:c r="G51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16" ht="23" customHeight="1">
      <x:c r="A516" s="2" t="str">
        <x:v>Pfizer</x:v>
      </x:c>
      <x:c r="B516" s="2" t="str">
        <x:v>2015-19</x:v>
      </x:c>
      <x:c r="C516" s="2" t="str">
        <x:v>NCT02504294</x:v>
      </x:c>
      <x:c r="D516" s="2" t="str">
        <x:v>Pfizer</x:v>
      </x:c>
      <x:c r="E516" s="2" t="n">
        <x:v>0</x:v>
      </x:c>
      <x:c r="F516" s="2" t="str">
        <x:v>https://clinicaltrials.gov/study/NCT02504294</x:v>
      </x:c>
      <x:c r="G51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17" ht="23" customHeight="1">
      <x:c r="A517" s="2" t="str">
        <x:v>Pfizer</x:v>
      </x:c>
      <x:c r="B517" s="2" t="str">
        <x:v>2015-19</x:v>
      </x:c>
      <x:c r="C517" s="2" t="str">
        <x:v>NCT03090191</x:v>
      </x:c>
      <x:c r="D517" s="2" t="str">
        <x:v>Pfizer</x:v>
      </x:c>
      <x:c r="E517" s="2" t="n">
        <x:v>0</x:v>
      </x:c>
      <x:c r="F517" s="2" t="str">
        <x:v>https://clinicaltrials.gov/study/NCT03090191</x:v>
      </x:c>
      <x:c r="G51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18" ht="23" customHeight="1">
      <x:c r="A518" s="2" t="str">
        <x:v>Pfizer</x:v>
      </x:c>
      <x:c r="B518" s="2" t="str">
        <x:v>2015-19</x:v>
      </x:c>
      <x:c r="C518" s="2" t="str">
        <x:v>NCT03439514</x:v>
      </x:c>
      <x:c r="D518" s="2" t="str">
        <x:v>Pfizer</x:v>
      </x:c>
      <x:c r="E518" s="2" t="n">
        <x:v>0</x:v>
      </x:c>
      <x:c r="F518" s="2" t="str">
        <x:v>https://clinicaltrials.gov/study/NCT03439514</x:v>
      </x:c>
      <x:c r="G51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19" ht="23" customHeight="1">
      <x:c r="A519" s="2" t="str">
        <x:v>Pfizer</x:v>
      </x:c>
      <x:c r="B519" s="2" t="str">
        <x:v>2015-19</x:v>
      </x:c>
      <x:c r="C519" s="2" t="str">
        <x:v>NCT02458287</x:v>
      </x:c>
      <x:c r="D519" s="2" t="str">
        <x:v>Pfizer</x:v>
      </x:c>
      <x:c r="E519" s="2" t="n">
        <x:v>0</x:v>
      </x:c>
      <x:c r="F519" s="2" t="str">
        <x:v>https://clinicaltrials.gov/study/NCT02458287</x:v>
      </x:c>
      <x:c r="G51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20" ht="23" customHeight="1">
      <x:c r="A520" s="2" t="str">
        <x:v>Pfizer</x:v>
      </x:c>
      <x:c r="B520" s="2" t="str">
        <x:v>2015-19</x:v>
      </x:c>
      <x:c r="C520" s="2" t="str">
        <x:v>NCT03938792</x:v>
      </x:c>
      <x:c r="D520" s="2" t="str">
        <x:v>Pfizer</x:v>
      </x:c>
      <x:c r="E520" s="2" t="n">
        <x:v>1</x:v>
      </x:c>
      <x:c r="F520" s="2" t="str">
        <x:v>https://clinicaltrials.gov/study/NCT03938792</x:v>
      </x:c>
      <x:c r="G52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21" ht="23" customHeight="1">
      <x:c r="A521" s="2" t="str">
        <x:v>Pfizer</x:v>
      </x:c>
      <x:c r="B521" s="2" t="str">
        <x:v>2015-19</x:v>
      </x:c>
      <x:c r="C521" s="2" t="str">
        <x:v>NCT03052608</x:v>
      </x:c>
      <x:c r="D521" s="2" t="str">
        <x:v>Pfizer</x:v>
      </x:c>
      <x:c r="E521" s="2" t="n">
        <x:v>1</x:v>
      </x:c>
      <x:c r="F521" s="2" t="str">
        <x:v>https://clinicaltrials.gov/study/NCT03052608</x:v>
      </x:c>
      <x:c r="G52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22" ht="23" customHeight="1">
      <x:c r="A522" s="2" t="str">
        <x:v>Pfizer</x:v>
      </x:c>
      <x:c r="B522" s="2" t="str">
        <x:v>2015-19</x:v>
      </x:c>
      <x:c r="C522" s="2" t="str">
        <x:v>NCT03571607</x:v>
      </x:c>
      <x:c r="D522" s="2" t="str">
        <x:v>Pfizer</x:v>
      </x:c>
      <x:c r="E522" s="2" t="n">
        <x:v>0</x:v>
      </x:c>
      <x:c r="F522" s="2" t="str">
        <x:v>https://clinicaltrials.gov/study/NCT03571607</x:v>
      </x:c>
      <x:c r="G52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23" ht="23" customHeight="1">
      <x:c r="A523" s="2" t="str">
        <x:v>Pfizer</x:v>
      </x:c>
      <x:c r="B523" s="2" t="str">
        <x:v>2015-19</x:v>
      </x:c>
      <x:c r="C523" s="2" t="str">
        <x:v>NCT03861273</x:v>
      </x:c>
      <x:c r="D523" s="2" t="str">
        <x:v>Pfizer</x:v>
      </x:c>
      <x:c r="E523" s="2" t="n">
        <x:v>0</x:v>
      </x:c>
      <x:c r="F523" s="2" t="str">
        <x:v>https://clinicaltrials.gov/study/NCT03861273</x:v>
      </x:c>
      <x:c r="G52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24" ht="23" customHeight="1">
      <x:c r="A524" s="2" t="str">
        <x:v>Pfizer</x:v>
      </x:c>
      <x:c r="B524" s="2" t="str">
        <x:v>2015-19</x:v>
      </x:c>
      <x:c r="C524" s="2" t="str">
        <x:v>NCT02364999</x:v>
      </x:c>
      <x:c r="D524" s="2" t="str">
        <x:v>Pfizer</x:v>
      </x:c>
      <x:c r="E524" s="2" t="n">
        <x:v>1</x:v>
      </x:c>
      <x:c r="F524" s="2" t="str">
        <x:v>https://clinicaltrials.gov/study/NCT02364999</x:v>
      </x:c>
      <x:c r="G52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25" ht="23" customHeight="1">
      <x:c r="A525" s="2" t="str">
        <x:v>Pfizer</x:v>
      </x:c>
      <x:c r="B525" s="2" t="str">
        <x:v>2015-19</x:v>
      </x:c>
      <x:c r="C525" s="2" t="str">
        <x:v>NCT03266588</x:v>
      </x:c>
      <x:c r="D525" s="2" t="str">
        <x:v>Pfizer</x:v>
      </x:c>
      <x:c r="E525" s="2" t="n">
        <x:v>0</x:v>
      </x:c>
      <x:c r="F525" s="2" t="str">
        <x:v>https://clinicaltrials.gov/study/NCT03266588</x:v>
      </x:c>
      <x:c r="G52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26" ht="23" customHeight="1">
      <x:c r="A526" s="2" t="str">
        <x:v>Pfizer</x:v>
      </x:c>
      <x:c r="B526" s="2" t="str">
        <x:v>2015-19</x:v>
      </x:c>
      <x:c r="C526" s="2" t="str">
        <x:v>NCT03416179</x:v>
      </x:c>
      <x:c r="D526" s="2" t="str">
        <x:v>Pfizer</x:v>
      </x:c>
      <x:c r="E526" s="2" t="n">
        <x:v>0</x:v>
      </x:c>
      <x:c r="F526" s="2" t="str">
        <x:v>https://clinicaltrials.gov/study/NCT03416179</x:v>
      </x:c>
      <x:c r="G52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27" ht="23" customHeight="1">
      <x:c r="A527" s="2" t="str">
        <x:v>Pfizer</x:v>
      </x:c>
      <x:c r="B527" s="2" t="str">
        <x:v>2015-19</x:v>
      </x:c>
      <x:c r="C527" s="2" t="str">
        <x:v>NCT03828617</x:v>
      </x:c>
      <x:c r="D527" s="2" t="str">
        <x:v>Pfizer</x:v>
      </x:c>
      <x:c r="E527" s="2" t="n">
        <x:v>0</x:v>
      </x:c>
      <x:c r="F527" s="2" t="str">
        <x:v>https://clinicaltrials.gov/study/NCT03828617</x:v>
      </x:c>
      <x:c r="G52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28" ht="23" customHeight="1">
      <x:c r="A528" s="2" t="str">
        <x:v>Pfizer</x:v>
      </x:c>
      <x:c r="B528" s="2" t="str">
        <x:v>2015-19</x:v>
      </x:c>
      <x:c r="C528" s="2" t="str">
        <x:v>NCT02684006</x:v>
      </x:c>
      <x:c r="D528" s="2" t="str">
        <x:v>Pfizer</x:v>
      </x:c>
      <x:c r="E528" s="2" t="n">
        <x:v>0</x:v>
      </x:c>
      <x:c r="F528" s="2" t="str">
        <x:v>https://clinicaltrials.gov/study/NCT02684006</x:v>
      </x:c>
      <x:c r="G52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29" ht="23" customHeight="1">
      <x:c r="A529" s="2" t="str">
        <x:v>Pfizer</x:v>
      </x:c>
      <x:c r="B529" s="2" t="str">
        <x:v>2015-19</x:v>
      </x:c>
      <x:c r="C529" s="2" t="str">
        <x:v>NCT03237845</x:v>
      </x:c>
      <x:c r="D529" s="2" t="str">
        <x:v>Pfizer</x:v>
      </x:c>
      <x:c r="E529" s="2" t="n">
        <x:v>0</x:v>
      </x:c>
      <x:c r="F529" s="2" t="str">
        <x:v>https://clinicaltrials.gov/study/NCT03237845</x:v>
      </x:c>
      <x:c r="G52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30" ht="23" customHeight="1">
      <x:c r="A530" s="2" t="str">
        <x:v>Pfizer</x:v>
      </x:c>
      <x:c r="B530" s="2" t="str">
        <x:v>2015-19</x:v>
      </x:c>
      <x:c r="C530" s="2" t="str">
        <x:v>NCT02697773</x:v>
      </x:c>
      <x:c r="D530" s="2" t="str">
        <x:v>Pfizer</x:v>
      </x:c>
      <x:c r="E530" s="2" t="n">
        <x:v>0</x:v>
      </x:c>
      <x:c r="F530" s="2" t="str">
        <x:v>https://clinicaltrials.gov/study/NCT02697773</x:v>
      </x:c>
      <x:c r="G53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31" ht="23" customHeight="1">
      <x:c r="A531" s="2" t="str">
        <x:v>Pfizer</x:v>
      </x:c>
      <x:c r="B531" s="2" t="str">
        <x:v>2015-19</x:v>
      </x:c>
      <x:c r="C531" s="2" t="str">
        <x:v>NCT03975647</x:v>
      </x:c>
      <x:c r="D531" s="2" t="str">
        <x:v>Seagen, a wholly owned subsidiary of Pfizer</x:v>
      </x:c>
      <x:c r="E531" s="2" t="n">
        <x:v>0</x:v>
      </x:c>
      <x:c r="F531" s="2" t="str">
        <x:v>https://clinicaltrials.gov/study/NCT03975647</x:v>
      </x:c>
      <x:c r="G53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32" ht="23" customHeight="1">
      <x:c r="A532" s="2" t="str">
        <x:v>Pfizer</x:v>
      </x:c>
      <x:c r="B532" s="2" t="str">
        <x:v>2015-19</x:v>
      </x:c>
      <x:c r="C532" s="2" t="str">
        <x:v>NCT03486457</x:v>
      </x:c>
      <x:c r="D532" s="2" t="str">
        <x:v>Pfizer</x:v>
      </x:c>
      <x:c r="E532" s="2" t="n">
        <x:v>0</x:v>
      </x:c>
      <x:c r="F532" s="2" t="str">
        <x:v>https://clinicaltrials.gov/study/NCT03486457</x:v>
      </x:c>
      <x:c r="G53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33" ht="23" customHeight="1">
      <x:c r="A533" s="2" t="str">
        <x:v>Pfizer</x:v>
      </x:c>
      <x:c r="B533" s="2" t="str">
        <x:v>2015-19</x:v>
      </x:c>
      <x:c r="C533" s="2" t="str">
        <x:v>NCT03575871</x:v>
      </x:c>
      <x:c r="D533" s="2" t="str">
        <x:v>Pfizer</x:v>
      </x:c>
      <x:c r="E533" s="2" t="n">
        <x:v>0</x:v>
      </x:c>
      <x:c r="F533" s="2" t="str">
        <x:v>https://clinicaltrials.gov/study/NCT03575871</x:v>
      </x:c>
      <x:c r="G53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34" ht="23" customHeight="1">
      <x:c r="A534" s="2" t="str">
        <x:v>Pfizer</x:v>
      </x:c>
      <x:c r="B534" s="2" t="str">
        <x:v>2015-19</x:v>
      </x:c>
      <x:c r="C534" s="2" t="str">
        <x:v>NCT02929576</x:v>
      </x:c>
      <x:c r="D534" s="2" t="str">
        <x:v>Pfizer</x:v>
      </x:c>
      <x:c r="E534" s="2" t="n">
        <x:v>0</x:v>
      </x:c>
      <x:c r="F534" s="2" t="str">
        <x:v>https://clinicaltrials.gov/study/NCT02929576</x:v>
      </x:c>
      <x:c r="G53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35" ht="23" customHeight="1">
      <x:c r="A535" s="2" t="str">
        <x:v>Pfizer</x:v>
      </x:c>
      <x:c r="B535" s="2" t="str">
        <x:v>2015-19</x:v>
      </x:c>
      <x:c r="C535" s="2" t="str">
        <x:v>NCT02501928</x:v>
      </x:c>
      <x:c r="D535" s="2" t="str">
        <x:v>Pfizer</x:v>
      </x:c>
      <x:c r="E535" s="2" t="n">
        <x:v>0</x:v>
      </x:c>
      <x:c r="F535" s="2" t="str">
        <x:v>https://clinicaltrials.gov/study/NCT02501928</x:v>
      </x:c>
      <x:c r="G53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36" ht="23" customHeight="1">
      <x:c r="A536" s="2" t="str">
        <x:v>Pfizer</x:v>
      </x:c>
      <x:c r="B536" s="2" t="str">
        <x:v>2015-19</x:v>
      </x:c>
      <x:c r="C536" s="2" t="str">
        <x:v>NCT02952586</x:v>
      </x:c>
      <x:c r="D536" s="2" t="str">
        <x:v>Pfizer</x:v>
      </x:c>
      <x:c r="E536" s="2" t="n">
        <x:v>0</x:v>
      </x:c>
      <x:c r="F536" s="2" t="str">
        <x:v>https://clinicaltrials.gov/study/NCT02952586</x:v>
      </x:c>
      <x:c r="G53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37" ht="23" customHeight="1">
      <x:c r="A537" s="2" t="str">
        <x:v>Pfizer</x:v>
      </x:c>
      <x:c r="B537" s="2" t="str">
        <x:v>2015-19</x:v>
      </x:c>
      <x:c r="C537" s="2" t="str">
        <x:v>NCT02725411</x:v>
      </x:c>
      <x:c r="D537" s="2" t="str">
        <x:v>Pfizer</x:v>
      </x:c>
      <x:c r="E537" s="2" t="n">
        <x:v>0</x:v>
      </x:c>
      <x:c r="F537" s="2" t="str">
        <x:v>https://clinicaltrials.gov/study/NCT02725411</x:v>
      </x:c>
      <x:c r="G53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38" ht="23" customHeight="1">
      <x:c r="A538" s="2" t="str">
        <x:v>Pfizer</x:v>
      </x:c>
      <x:c r="B538" s="2" t="str">
        <x:v>2015-19</x:v>
      </x:c>
      <x:c r="C538" s="2" t="str">
        <x:v>NCT03235479</x:v>
      </x:c>
      <x:c r="D538" s="2" t="str">
        <x:v>Pfizer</x:v>
      </x:c>
      <x:c r="E538" s="2" t="n">
        <x:v>0</x:v>
      </x:c>
      <x:c r="F538" s="2" t="str">
        <x:v>https://clinicaltrials.gov/study/NCT03235479</x:v>
      </x:c>
      <x:c r="G53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39" ht="23" customHeight="1">
      <x:c r="A539" s="2" t="str">
        <x:v>Pfizer</x:v>
      </x:c>
      <x:c r="B539" s="2" t="str">
        <x:v>2015-19</x:v>
      </x:c>
      <x:c r="C539" s="2" t="str">
        <x:v>NCT03796676</x:v>
      </x:c>
      <x:c r="D539" s="2" t="str">
        <x:v>Pfizer</x:v>
      </x:c>
      <x:c r="E539" s="2" t="n">
        <x:v>0</x:v>
      </x:c>
      <x:c r="F539" s="2" t="str">
        <x:v>https://clinicaltrials.gov/study/NCT03796676</x:v>
      </x:c>
      <x:c r="G53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40" ht="23" customHeight="1">
      <x:c r="A540" s="2" t="str">
        <x:v>Pfizer</x:v>
      </x:c>
      <x:c r="B540" s="2" t="str">
        <x:v>2015-19</x:v>
      </x:c>
      <x:c r="C540" s="2" t="str">
        <x:v>NCT02603432</x:v>
      </x:c>
      <x:c r="D540" s="2" t="str">
        <x:v>Pfizer</x:v>
      </x:c>
      <x:c r="E540" s="2" t="n">
        <x:v>1</x:v>
      </x:c>
      <x:c r="F540" s="2" t="str">
        <x:v>https://clinicaltrials.gov/study/NCT02603432</x:v>
      </x:c>
      <x:c r="G54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41" ht="23" customHeight="1">
      <x:c r="A541" s="2" t="str">
        <x:v>Pfizer</x:v>
      </x:c>
      <x:c r="B541" s="2" t="str">
        <x:v>2015-19</x:v>
      </x:c>
      <x:c r="C541" s="2" t="str">
        <x:v>NCT02791230</x:v>
      </x:c>
      <x:c r="D541" s="2" t="str">
        <x:v>Pfizer</x:v>
      </x:c>
      <x:c r="E541" s="2" t="n">
        <x:v>0</x:v>
      </x:c>
      <x:c r="F541" s="2" t="str">
        <x:v>https://clinicaltrials.gov/study/NCT02791230</x:v>
      </x:c>
      <x:c r="G54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42" ht="23" customHeight="1">
      <x:c r="A542" s="2" t="str">
        <x:v>Pfizer</x:v>
      </x:c>
      <x:c r="B542" s="2" t="str">
        <x:v>2015-19</x:v>
      </x:c>
      <x:c r="C542" s="2" t="str">
        <x:v>NCT03835975</x:v>
      </x:c>
      <x:c r="D542" s="2" t="str">
        <x:v>Pfizer</x:v>
      </x:c>
      <x:c r="E542" s="2" t="n">
        <x:v>0</x:v>
      </x:c>
      <x:c r="F542" s="2" t="str">
        <x:v>https://clinicaltrials.gov/study/NCT03835975</x:v>
      </x:c>
      <x:c r="G54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43" ht="23" customHeight="1">
      <x:c r="A543" s="2" t="str">
        <x:v>Pfizer</x:v>
      </x:c>
      <x:c r="B543" s="2" t="str">
        <x:v>2015-19</x:v>
      </x:c>
      <x:c r="C543" s="2" t="str">
        <x:v>NCT03135834</x:v>
      </x:c>
      <x:c r="D543" s="2" t="str">
        <x:v>Pfizer</x:v>
      </x:c>
      <x:c r="E543" s="2" t="n">
        <x:v>0</x:v>
      </x:c>
      <x:c r="F543" s="2" t="str">
        <x:v>https://clinicaltrials.gov/study/NCT03135834</x:v>
      </x:c>
      <x:c r="G54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44" ht="23" customHeight="1">
      <x:c r="A544" s="2" t="str">
        <x:v>Pfizer</x:v>
      </x:c>
      <x:c r="B544" s="2" t="str">
        <x:v>2015-19</x:v>
      </x:c>
      <x:c r="C544" s="2" t="str">
        <x:v>NCT04188509</x:v>
      </x:c>
      <x:c r="D544" s="2" t="str">
        <x:v>Pfizer</x:v>
      </x:c>
      <x:c r="E544" s="2" t="n">
        <x:v>0</x:v>
      </x:c>
      <x:c r="F544" s="2" t="str">
        <x:v>https://clinicaltrials.gov/study/NCT04188509</x:v>
      </x:c>
      <x:c r="G54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45" ht="23" customHeight="1">
      <x:c r="A545" s="2" t="str">
        <x:v>Pfizer</x:v>
      </x:c>
      <x:c r="B545" s="2" t="str">
        <x:v>2015-19</x:v>
      </x:c>
      <x:c r="C545" s="2" t="str">
        <x:v>NCT02757625</x:v>
      </x:c>
      <x:c r="D545" s="2" t="str">
        <x:v>Pfizer</x:v>
      </x:c>
      <x:c r="E545" s="2" t="n">
        <x:v>0</x:v>
      </x:c>
      <x:c r="F545" s="2" t="str">
        <x:v>https://clinicaltrials.gov/study/NCT02757625</x:v>
      </x:c>
      <x:c r="G54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46" ht="23" customHeight="1">
      <x:c r="A546" s="2" t="str">
        <x:v>Pfizer</x:v>
      </x:c>
      <x:c r="B546" s="2" t="str">
        <x:v>2015-19</x:v>
      </x:c>
      <x:c r="C546" s="2" t="str">
        <x:v>NCT03627767</x:v>
      </x:c>
      <x:c r="D546" s="2" t="str">
        <x:v>Pfizer</x:v>
      </x:c>
      <x:c r="E546" s="2" t="n">
        <x:v>0</x:v>
      </x:c>
      <x:c r="F546" s="2" t="str">
        <x:v>https://clinicaltrials.gov/study/NCT03627767</x:v>
      </x:c>
      <x:c r="G54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47" ht="23" customHeight="1">
      <x:c r="A547" s="2" t="str">
        <x:v>Pfizer</x:v>
      </x:c>
      <x:c r="B547" s="2" t="str">
        <x:v>2015-19</x:v>
      </x:c>
      <x:c r="C547" s="2" t="str">
        <x:v>NCT04040192</x:v>
      </x:c>
      <x:c r="D547" s="2" t="str">
        <x:v>Pfizer</x:v>
      </x:c>
      <x:c r="E547" s="2" t="n">
        <x:v>0</x:v>
      </x:c>
      <x:c r="F547" s="2" t="str">
        <x:v>https://clinicaltrials.gov/study/NCT04040192</x:v>
      </x:c>
      <x:c r="G54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48" ht="23" customHeight="1">
      <x:c r="A548" s="2" t="str">
        <x:v>Pfizer</x:v>
      </x:c>
      <x:c r="B548" s="2" t="str">
        <x:v>2015-19</x:v>
      </x:c>
      <x:c r="C548" s="2" t="str">
        <x:v>NCT02528188</x:v>
      </x:c>
      <x:c r="D548" s="2" t="str">
        <x:v>Pfizer</x:v>
      </x:c>
      <x:c r="E548" s="2" t="n">
        <x:v>0</x:v>
      </x:c>
      <x:c r="F548" s="2" t="str">
        <x:v>https://clinicaltrials.gov/study/NCT02528188</x:v>
      </x:c>
      <x:c r="G54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49" ht="23" customHeight="1">
      <x:c r="A549" s="2" t="str">
        <x:v>Pfizer</x:v>
      </x:c>
      <x:c r="B549" s="2" t="str">
        <x:v>2015-19</x:v>
      </x:c>
      <x:c r="C549" s="2" t="str">
        <x:v>NCT02928224</x:v>
      </x:c>
      <x:c r="D549" s="2" t="str">
        <x:v>Pfizer</x:v>
      </x:c>
      <x:c r="E549" s="2" t="n">
        <x:v>0</x:v>
      </x:c>
      <x:c r="F549" s="2" t="str">
        <x:v>https://clinicaltrials.gov/study/NCT02928224</x:v>
      </x:c>
      <x:c r="G54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50" ht="23" customHeight="1">
      <x:c r="A550" s="2" t="str">
        <x:v>Pfizer</x:v>
      </x:c>
      <x:c r="B550" s="2" t="str">
        <x:v>2015-19</x:v>
      </x:c>
      <x:c r="C550" s="2" t="str">
        <x:v>NCT04006457</x:v>
      </x:c>
      <x:c r="D550" s="2" t="str">
        <x:v>Pfizer</x:v>
      </x:c>
      <x:c r="E550" s="2" t="n">
        <x:v>0</x:v>
      </x:c>
      <x:c r="F550" s="2" t="str">
        <x:v>https://clinicaltrials.gov/study/NCT04006457</x:v>
      </x:c>
      <x:c r="G55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51" ht="23" customHeight="1">
      <x:c r="A551" s="2" t="str">
        <x:v>Pfizer</x:v>
      </x:c>
      <x:c r="B551" s="2" t="str">
        <x:v>2015-19</x:v>
      </x:c>
      <x:c r="C551" s="2" t="str">
        <x:v>NCT02709486</x:v>
      </x:c>
      <x:c r="D551" s="2" t="str">
        <x:v>Pfizer</x:v>
      </x:c>
      <x:c r="E551" s="2" t="n">
        <x:v>0</x:v>
      </x:c>
      <x:c r="F551" s="2" t="str">
        <x:v>https://clinicaltrials.gov/study/NCT02709486</x:v>
      </x:c>
      <x:c r="G55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52" ht="23" customHeight="1">
      <x:c r="A552" s="2" t="str">
        <x:v>Pfizer</x:v>
      </x:c>
      <x:c r="B552" s="2" t="str">
        <x:v>2015-19</x:v>
      </x:c>
      <x:c r="C552" s="2" t="str">
        <x:v>NCT02528253</x:v>
      </x:c>
      <x:c r="D552" s="2" t="str">
        <x:v>Pfizer</x:v>
      </x:c>
      <x:c r="E552" s="2" t="n">
        <x:v>0</x:v>
      </x:c>
      <x:c r="F552" s="2" t="str">
        <x:v>https://clinicaltrials.gov/study/NCT02528253</x:v>
      </x:c>
      <x:c r="G55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53" ht="23" customHeight="1">
      <x:c r="A553" s="2" t="str">
        <x:v>Pfizer</x:v>
      </x:c>
      <x:c r="B553" s="2" t="str">
        <x:v>2015-19</x:v>
      </x:c>
      <x:c r="C553" s="2" t="str">
        <x:v>NCT03950232</x:v>
      </x:c>
      <x:c r="D553" s="2" t="str">
        <x:v>Pfizer</x:v>
      </x:c>
      <x:c r="E553" s="2" t="n">
        <x:v>1</x:v>
      </x:c>
      <x:c r="F553" s="2" t="str">
        <x:v>https://clinicaltrials.gov/study/NCT03950232</x:v>
      </x:c>
      <x:c r="G55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54" ht="23" customHeight="1">
      <x:c r="A554" s="2" t="str">
        <x:v>Pfizer</x:v>
      </x:c>
      <x:c r="B554" s="2" t="str">
        <x:v>2015-19</x:v>
      </x:c>
      <x:c r="C554" s="2" t="str">
        <x:v>NCT03760146</x:v>
      </x:c>
      <x:c r="D554" s="2" t="str">
        <x:v>Pfizer</x:v>
      </x:c>
      <x:c r="E554" s="2" t="n">
        <x:v>0</x:v>
      </x:c>
      <x:c r="F554" s="2" t="str">
        <x:v>https://clinicaltrials.gov/study/NCT03760146</x:v>
      </x:c>
      <x:c r="G55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55" ht="23" customHeight="1">
      <x:c r="A555" s="2" t="str">
        <x:v>Pfizer</x:v>
      </x:c>
      <x:c r="B555" s="2" t="str">
        <x:v>2015-19</x:v>
      </x:c>
      <x:c r="C555" s="2" t="str">
        <x:v>NCT03036813</x:v>
      </x:c>
      <x:c r="D555" s="2" t="str">
        <x:v>Pfizer</x:v>
      </x:c>
      <x:c r="E555" s="2" t="n">
        <x:v>0</x:v>
      </x:c>
      <x:c r="F555" s="2" t="str">
        <x:v>https://clinicaltrials.gov/study/NCT03036813</x:v>
      </x:c>
      <x:c r="G55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56" ht="23" customHeight="1">
      <x:c r="A556" s="2" t="str">
        <x:v>Pfizer</x:v>
      </x:c>
      <x:c r="B556" s="2" t="str">
        <x:v>2015-19</x:v>
      </x:c>
      <x:c r="C556" s="2" t="str">
        <x:v>NCT02600923</x:v>
      </x:c>
      <x:c r="D556" s="2" t="str">
        <x:v>Pfizer</x:v>
      </x:c>
      <x:c r="E556" s="2" t="n">
        <x:v>0</x:v>
      </x:c>
      <x:c r="F556" s="2" t="str">
        <x:v>https://clinicaltrials.gov/study/NCT02600923</x:v>
      </x:c>
      <x:c r="G55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57" ht="23" customHeight="1">
      <x:c r="A557" s="2" t="str">
        <x:v>Pfizer</x:v>
      </x:c>
      <x:c r="B557" s="2" t="str">
        <x:v>2015-19</x:v>
      </x:c>
      <x:c r="C557" s="2" t="str">
        <x:v>NCT03574389</x:v>
      </x:c>
      <x:c r="D557" s="2" t="str">
        <x:v>Pfizer</x:v>
      </x:c>
      <x:c r="E557" s="2" t="n">
        <x:v>0</x:v>
      </x:c>
      <x:c r="F557" s="2" t="str">
        <x:v>https://clinicaltrials.gov/study/NCT03574389</x:v>
      </x:c>
      <x:c r="G55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58" ht="23" customHeight="1">
      <x:c r="A558" s="2" t="str">
        <x:v>Pfizer</x:v>
      </x:c>
      <x:c r="B558" s="2" t="str">
        <x:v>2015-19</x:v>
      </x:c>
      <x:c r="C558" s="2" t="str">
        <x:v>NCT03580044</x:v>
      </x:c>
      <x:c r="D558" s="2" t="str">
        <x:v>Pfizer</x:v>
      </x:c>
      <x:c r="E558" s="2" t="n">
        <x:v>1</x:v>
      </x:c>
      <x:c r="F558" s="2" t="str">
        <x:v>https://clinicaltrials.gov/study/NCT03580044</x:v>
      </x:c>
      <x:c r="G55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59" ht="23" customHeight="1">
      <x:c r="A559" s="2" t="str">
        <x:v>Pfizer</x:v>
      </x:c>
      <x:c r="B559" s="2" t="str">
        <x:v>2015-19</x:v>
      </x:c>
      <x:c r="C559" s="2" t="str">
        <x:v>NCT02761980</x:v>
      </x:c>
      <x:c r="D559" s="2" t="str">
        <x:v>Pfizer</x:v>
      </x:c>
      <x:c r="E559" s="2" t="n">
        <x:v>0</x:v>
      </x:c>
      <x:c r="F559" s="2" t="str">
        <x:v>https://clinicaltrials.gov/study/NCT02761980</x:v>
      </x:c>
      <x:c r="G55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60" ht="23" customHeight="1">
      <x:c r="A560" s="2" t="str">
        <x:v>Pfizer</x:v>
      </x:c>
      <x:c r="B560" s="2" t="str">
        <x:v>2015-19</x:v>
      </x:c>
      <x:c r="C560" s="2" t="str">
        <x:v>NCT03732638</x:v>
      </x:c>
      <x:c r="D560" s="2" t="str">
        <x:v>Pfizer</x:v>
      </x:c>
      <x:c r="E560" s="2" t="n">
        <x:v>0</x:v>
      </x:c>
      <x:c r="F560" s="2" t="str">
        <x:v>https://clinicaltrials.gov/study/NCT03732638</x:v>
      </x:c>
      <x:c r="G56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61" ht="23" customHeight="1">
      <x:c r="A561" s="2" t="str">
        <x:v>Pfizer</x:v>
      </x:c>
      <x:c r="B561" s="2" t="str">
        <x:v>2015-19</x:v>
      </x:c>
      <x:c r="C561" s="2" t="str">
        <x:v>NCT03579459</x:v>
      </x:c>
      <x:c r="D561" s="2" t="str">
        <x:v>Pfizer</x:v>
      </x:c>
      <x:c r="E561" s="2" t="n">
        <x:v>0</x:v>
      </x:c>
      <x:c r="F561" s="2" t="str">
        <x:v>https://clinicaltrials.gov/study/NCT03579459</x:v>
      </x:c>
      <x:c r="G56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62" ht="23" customHeight="1">
      <x:c r="A562" s="2" t="str">
        <x:v>Pfizer</x:v>
      </x:c>
      <x:c r="B562" s="2" t="str">
        <x:v>2015-19</x:v>
      </x:c>
      <x:c r="C562" s="2" t="str">
        <x:v>NCT02951156</x:v>
      </x:c>
      <x:c r="D562" s="2" t="str">
        <x:v>Pfizer</x:v>
      </x:c>
      <x:c r="E562" s="2" t="n">
        <x:v>0</x:v>
      </x:c>
      <x:c r="F562" s="2" t="str">
        <x:v>https://clinicaltrials.gov/study/NCT02951156</x:v>
      </x:c>
      <x:c r="G56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63" ht="23" customHeight="1">
      <x:c r="A563" s="2" t="str">
        <x:v>Pfizer</x:v>
      </x:c>
      <x:c r="B563" s="2" t="str">
        <x:v>2015-19</x:v>
      </x:c>
      <x:c r="C563" s="2" t="str">
        <x:v>NCT03349060</x:v>
      </x:c>
      <x:c r="D563" s="2" t="str">
        <x:v>Pfizer</x:v>
      </x:c>
      <x:c r="E563" s="2" t="n">
        <x:v>0</x:v>
      </x:c>
      <x:c r="F563" s="2" t="str">
        <x:v>https://clinicaltrials.gov/study/NCT03349060</x:v>
      </x:c>
      <x:c r="G56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64" ht="23" customHeight="1">
      <x:c r="A564" s="2" t="str">
        <x:v>Pfizer</x:v>
      </x:c>
      <x:c r="B564" s="2" t="str">
        <x:v>2015-19</x:v>
      </x:c>
      <x:c r="C564" s="2" t="str">
        <x:v>NCT03000439</x:v>
      </x:c>
      <x:c r="D564" s="2" t="str">
        <x:v>Pfizer</x:v>
      </x:c>
      <x:c r="E564" s="2" t="n">
        <x:v>1</x:v>
      </x:c>
      <x:c r="F564" s="2" t="str">
        <x:v>https://clinicaltrials.gov/study/NCT03000439</x:v>
      </x:c>
      <x:c r="G56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65" ht="23" customHeight="1">
      <x:c r="A565" s="2" t="str">
        <x:v>Pfizer</x:v>
      </x:c>
      <x:c r="B565" s="2" t="str">
        <x:v>2015-19</x:v>
      </x:c>
      <x:c r="C565" s="2" t="str">
        <x:v>NCT02912650</x:v>
      </x:c>
      <x:c r="D565" s="2" t="str">
        <x:v>Pfizer</x:v>
      </x:c>
      <x:c r="E565" s="2" t="n">
        <x:v>0</x:v>
      </x:c>
      <x:c r="F565" s="2" t="str">
        <x:v>https://clinicaltrials.gov/study/NCT02912650</x:v>
      </x:c>
      <x:c r="G56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66" ht="23" customHeight="1">
      <x:c r="A566" s="2" t="str">
        <x:v>Pfizer</x:v>
      </x:c>
      <x:c r="B566" s="2" t="str">
        <x:v>2015-19</x:v>
      </x:c>
      <x:c r="C566" s="2" t="str">
        <x:v>NCT02837952</x:v>
      </x:c>
      <x:c r="D566" s="2" t="str">
        <x:v>Pfizer</x:v>
      </x:c>
      <x:c r="E566" s="2" t="n">
        <x:v>0</x:v>
      </x:c>
      <x:c r="F566" s="2" t="str">
        <x:v>https://clinicaltrials.gov/study/NCT02837952</x:v>
      </x:c>
      <x:c r="G56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67" ht="23" customHeight="1">
      <x:c r="A567" s="2" t="str">
        <x:v>Pfizer</x:v>
      </x:c>
      <x:c r="B567" s="2" t="str">
        <x:v>2015-19</x:v>
      </x:c>
      <x:c r="C567" s="2" t="str">
        <x:v>NCT03461757</x:v>
      </x:c>
      <x:c r="D567" s="2" t="str">
        <x:v>Pfizer</x:v>
      </x:c>
      <x:c r="E567" s="2" t="n">
        <x:v>0</x:v>
      </x:c>
      <x:c r="F567" s="2" t="str">
        <x:v>https://clinicaltrials.gov/study/NCT03461757</x:v>
      </x:c>
      <x:c r="G56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68" ht="23" customHeight="1">
      <x:c r="A568" s="2" t="str">
        <x:v>Pfizer</x:v>
      </x:c>
      <x:c r="B568" s="2" t="str">
        <x:v>2015-19</x:v>
      </x:c>
      <x:c r="C568" s="2" t="str">
        <x:v>NCT02480153</x:v>
      </x:c>
      <x:c r="D568" s="2" t="str">
        <x:v>Pfizer</x:v>
      </x:c>
      <x:c r="E568" s="2" t="n">
        <x:v>0</x:v>
      </x:c>
      <x:c r="F568" s="2" t="str">
        <x:v>https://clinicaltrials.gov/study/NCT02480153</x:v>
      </x:c>
      <x:c r="G56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69" ht="23" customHeight="1">
      <x:c r="A569" s="2" t="str">
        <x:v>Pfizer</x:v>
      </x:c>
      <x:c r="B569" s="2" t="str">
        <x:v>2015-19</x:v>
      </x:c>
      <x:c r="C569" s="2" t="str">
        <x:v>NCT02863575</x:v>
      </x:c>
      <x:c r="D569" s="2" t="str">
        <x:v>Pfizer</x:v>
      </x:c>
      <x:c r="E569" s="2" t="n">
        <x:v>0</x:v>
      </x:c>
      <x:c r="F569" s="2" t="str">
        <x:v>https://clinicaltrials.gov/study/NCT02863575</x:v>
      </x:c>
      <x:c r="G56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70" ht="23" customHeight="1">
      <x:c r="A570" s="2" t="str">
        <x:v>Pfizer</x:v>
      </x:c>
      <x:c r="B570" s="2" t="str">
        <x:v>2015-19</x:v>
      </x:c>
      <x:c r="C570" s="2" t="str">
        <x:v>NCT03642132</x:v>
      </x:c>
      <x:c r="D570" s="2" t="str">
        <x:v>Pfizer</x:v>
      </x:c>
      <x:c r="E570" s="2" t="n">
        <x:v>0</x:v>
      </x:c>
      <x:c r="F570" s="2" t="str">
        <x:v>https://clinicaltrials.gov/study/NCT03642132</x:v>
      </x:c>
      <x:c r="G57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71" ht="23" customHeight="1">
      <x:c r="A571" s="2" t="str">
        <x:v>Pfizer</x:v>
      </x:c>
      <x:c r="B571" s="2" t="str">
        <x:v>2015-19</x:v>
      </x:c>
      <x:c r="C571" s="2" t="str">
        <x:v>NCT02947334</x:v>
      </x:c>
      <x:c r="D571" s="2" t="str">
        <x:v>Pfizer</x:v>
      </x:c>
      <x:c r="E571" s="2" t="n">
        <x:v>0</x:v>
      </x:c>
      <x:c r="F571" s="2" t="str">
        <x:v>https://clinicaltrials.gov/study/NCT02947334</x:v>
      </x:c>
      <x:c r="G57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72" ht="23" customHeight="1">
      <x:c r="A572" s="2" t="str">
        <x:v>Pfizer</x:v>
      </x:c>
      <x:c r="B572" s="2" t="str">
        <x:v>2015-19</x:v>
      </x:c>
      <x:c r="C572" s="2" t="str">
        <x:v>NCT03587116</x:v>
      </x:c>
      <x:c r="D572" s="2" t="str">
        <x:v>Pfizer</x:v>
      </x:c>
      <x:c r="E572" s="2" t="n">
        <x:v>0</x:v>
      </x:c>
      <x:c r="F572" s="2" t="str">
        <x:v>https://clinicaltrials.gov/study/NCT03587116</x:v>
      </x:c>
      <x:c r="G57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73" ht="23" customHeight="1">
      <x:c r="A573" s="2" t="str">
        <x:v>Pfizer</x:v>
      </x:c>
      <x:c r="B573" s="2" t="str">
        <x:v>2015-19</x:v>
      </x:c>
      <x:c r="C573" s="2" t="str">
        <x:v>NCT04165317</x:v>
      </x:c>
      <x:c r="D573" s="2" t="str">
        <x:v>Pfizer</x:v>
      </x:c>
      <x:c r="E573" s="2" t="n">
        <x:v>0</x:v>
      </x:c>
      <x:c r="F573" s="2" t="str">
        <x:v>https://clinicaltrials.gov/study/NCT04165317</x:v>
      </x:c>
      <x:c r="G57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74" ht="23" customHeight="1">
      <x:c r="A574" s="2" t="str">
        <x:v>Pfizer</x:v>
      </x:c>
      <x:c r="B574" s="2" t="str">
        <x:v>2015-19</x:v>
      </x:c>
      <x:c r="C574" s="2" t="str">
        <x:v>NCT03329092</x:v>
      </x:c>
      <x:c r="D574" s="2" t="str">
        <x:v>Pfizer</x:v>
      </x:c>
      <x:c r="E574" s="2" t="n">
        <x:v>1</x:v>
      </x:c>
      <x:c r="F574" s="2" t="str">
        <x:v>https://clinicaltrials.gov/study/NCT03329092</x:v>
      </x:c>
      <x:c r="G57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75" ht="23" customHeight="1">
      <x:c r="A575" s="2" t="str">
        <x:v>Pfizer</x:v>
      </x:c>
      <x:c r="B575" s="2" t="str">
        <x:v>2015-19</x:v>
      </x:c>
      <x:c r="C575" s="2" t="str">
        <x:v>NCT03732807</x:v>
      </x:c>
      <x:c r="D575" s="2" t="str">
        <x:v>Pfizer</x:v>
      </x:c>
      <x:c r="E575" s="2" t="n">
        <x:v>0</x:v>
      </x:c>
      <x:c r="F575" s="2" t="str">
        <x:v>https://clinicaltrials.gov/study/NCT03732807</x:v>
      </x:c>
      <x:c r="G57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76" ht="23" customHeight="1">
      <x:c r="A576" s="2" t="str">
        <x:v>Pfizer</x:v>
      </x:c>
      <x:c r="B576" s="2" t="str">
        <x:v>2015-19</x:v>
      </x:c>
      <x:c r="C576" s="2" t="str">
        <x:v>NCT03918629</x:v>
      </x:c>
      <x:c r="D576" s="2" t="str">
        <x:v>Pfizer</x:v>
      </x:c>
      <x:c r="E576" s="2" t="n">
        <x:v>0</x:v>
      </x:c>
      <x:c r="F576" s="2" t="str">
        <x:v>https://clinicaltrials.gov/study/NCT03918629</x:v>
      </x:c>
      <x:c r="G57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77" ht="23" customHeight="1">
      <x:c r="A577" s="2" t="str">
        <x:v>Pfizer</x:v>
      </x:c>
      <x:c r="B577" s="2" t="str">
        <x:v>2015-19</x:v>
      </x:c>
      <x:c r="C577" s="2" t="str">
        <x:v>NCT04173273</x:v>
      </x:c>
      <x:c r="D577" s="2" t="str">
        <x:v>Pfizer</x:v>
      </x:c>
      <x:c r="E577" s="2" t="n">
        <x:v>1</x:v>
      </x:c>
      <x:c r="F577" s="2" t="str">
        <x:v>https://clinicaltrials.gov/study/NCT04173273</x:v>
      </x:c>
      <x:c r="G57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78" ht="23" customHeight="1">
      <x:c r="A578" s="2" t="str">
        <x:v>Pfizer</x:v>
      </x:c>
      <x:c r="B578" s="2" t="str">
        <x:v>2015-19</x:v>
      </x:c>
      <x:c r="C578" s="2" t="str">
        <x:v>NCT03422822</x:v>
      </x:c>
      <x:c r="D578" s="2" t="str">
        <x:v>Pfizer</x:v>
      </x:c>
      <x:c r="E578" s="2" t="n">
        <x:v>0</x:v>
      </x:c>
      <x:c r="F578" s="2" t="str">
        <x:v>https://clinicaltrials.gov/study/NCT03422822</x:v>
      </x:c>
      <x:c r="G57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79" ht="23" customHeight="1">
      <x:c r="A579" s="2" t="str">
        <x:v>Pfizer</x:v>
      </x:c>
      <x:c r="B579" s="2" t="str">
        <x:v>2015-19</x:v>
      </x:c>
      <x:c r="C579" s="2" t="str">
        <x:v>NCT02378506</x:v>
      </x:c>
      <x:c r="D579" s="2" t="str">
        <x:v>Pfizer</x:v>
      </x:c>
      <x:c r="E579" s="2" t="n">
        <x:v>0</x:v>
      </x:c>
      <x:c r="F579" s="2" t="str">
        <x:v>https://clinicaltrials.gov/study/NCT02378506</x:v>
      </x:c>
      <x:c r="G57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80" ht="23" customHeight="1">
      <x:c r="A580" s="2" t="str">
        <x:v>Pfizer</x:v>
      </x:c>
      <x:c r="B580" s="2" t="str">
        <x:v>2015-19</x:v>
      </x:c>
      <x:c r="C580" s="2" t="str">
        <x:v>NCT02609828</x:v>
      </x:c>
      <x:c r="D580" s="2" t="str">
        <x:v>Pfizer</x:v>
      </x:c>
      <x:c r="E580" s="2" t="n">
        <x:v>0</x:v>
      </x:c>
      <x:c r="F580" s="2" t="str">
        <x:v>https://clinicaltrials.gov/study/NCT02609828</x:v>
      </x:c>
      <x:c r="G58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81" ht="23" customHeight="1">
      <x:c r="A581" s="2" t="str">
        <x:v>Pfizer</x:v>
      </x:c>
      <x:c r="B581" s="2" t="str">
        <x:v>2015-19</x:v>
      </x:c>
      <x:c r="C581" s="2" t="str">
        <x:v>NCT02580058</x:v>
      </x:c>
      <x:c r="D581" s="2" t="str">
        <x:v>Pfizer</x:v>
      </x:c>
      <x:c r="E581" s="2" t="n">
        <x:v>0</x:v>
      </x:c>
      <x:c r="F581" s="2" t="str">
        <x:v>https://clinicaltrials.gov/study/NCT02580058</x:v>
      </x:c>
      <x:c r="G58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82" ht="23" customHeight="1">
      <x:c r="A582" s="2" t="str">
        <x:v>Pfizer</x:v>
      </x:c>
      <x:c r="B582" s="2" t="str">
        <x:v>2015-19</x:v>
      </x:c>
      <x:c r="C582" s="2" t="str">
        <x:v>NCT03189745</x:v>
      </x:c>
      <x:c r="D582" s="2" t="str">
        <x:v>Pfizer</x:v>
      </x:c>
      <x:c r="E582" s="2" t="n">
        <x:v>0</x:v>
      </x:c>
      <x:c r="F582" s="2" t="str">
        <x:v>https://clinicaltrials.gov/study/NCT03189745</x:v>
      </x:c>
      <x:c r="G58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83" ht="23" customHeight="1">
      <x:c r="A583" s="2" t="str">
        <x:v>Pfizer</x:v>
      </x:c>
      <x:c r="B583" s="2" t="str">
        <x:v>2015-19</x:v>
      </x:c>
      <x:c r="C583" s="2" t="str">
        <x:v>NCT03720470</x:v>
      </x:c>
      <x:c r="D583" s="2" t="str">
        <x:v>Pfizer</x:v>
      </x:c>
      <x:c r="E583" s="2" t="n">
        <x:v>0</x:v>
      </x:c>
      <x:c r="F583" s="2" t="str">
        <x:v>https://clinicaltrials.gov/study/NCT03720470</x:v>
      </x:c>
      <x:c r="G58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84" ht="23" customHeight="1">
      <x:c r="A584" s="2" t="str">
        <x:v>Pfizer</x:v>
      </x:c>
      <x:c r="B584" s="2" t="str">
        <x:v>2015-19</x:v>
      </x:c>
      <x:c r="C584" s="2" t="str">
        <x:v>NCT03831880</x:v>
      </x:c>
      <x:c r="D584" s="2" t="str">
        <x:v>Pfizer</x:v>
      </x:c>
      <x:c r="E584" s="2" t="n">
        <x:v>0</x:v>
      </x:c>
      <x:c r="F584" s="2" t="str">
        <x:v>https://clinicaltrials.gov/study/NCT03831880</x:v>
      </x:c>
      <x:c r="G58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85" ht="23" customHeight="1">
      <x:c r="A585" s="2" t="str">
        <x:v>Pfizer</x:v>
      </x:c>
      <x:c r="B585" s="2" t="str">
        <x:v>2015-19</x:v>
      </x:c>
      <x:c r="C585" s="2" t="str">
        <x:v>NCT03502616</x:v>
      </x:c>
      <x:c r="D585" s="2" t="str">
        <x:v>Pfizer</x:v>
      </x:c>
      <x:c r="E585" s="2" t="n">
        <x:v>0</x:v>
      </x:c>
      <x:c r="F585" s="2" t="str">
        <x:v>https://clinicaltrials.gov/study/NCT03502616</x:v>
      </x:c>
      <x:c r="G58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86" ht="23" customHeight="1">
      <x:c r="A586" s="2" t="str">
        <x:v>Pfizer</x:v>
      </x:c>
      <x:c r="B586" s="2" t="str">
        <x:v>2015-19</x:v>
      </x:c>
      <x:c r="C586" s="2" t="str">
        <x:v>NCT03031938</x:v>
      </x:c>
      <x:c r="D586" s="2" t="str">
        <x:v>Pfizer</x:v>
      </x:c>
      <x:c r="E586" s="2" t="n">
        <x:v>0</x:v>
      </x:c>
      <x:c r="F586" s="2" t="str">
        <x:v>https://clinicaltrials.gov/study/NCT03031938</x:v>
      </x:c>
      <x:c r="G58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87" ht="23" customHeight="1">
      <x:c r="A587" s="2" t="str">
        <x:v>Pfizer</x:v>
      </x:c>
      <x:c r="B587" s="2" t="str">
        <x:v>2015-19</x:v>
      </x:c>
      <x:c r="C587" s="2" t="str">
        <x:v>NCT03395197</x:v>
      </x:c>
      <x:c r="D587" s="2" t="str">
        <x:v>Pfizer</x:v>
      </x:c>
      <x:c r="E587" s="2" t="n">
        <x:v>0</x:v>
      </x:c>
      <x:c r="F587" s="2" t="str">
        <x:v>https://clinicaltrials.gov/study/NCT03395197</x:v>
      </x:c>
      <x:c r="G58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88" ht="23" customHeight="1">
      <x:c r="A588" s="2" t="str">
        <x:v>Pfizer</x:v>
      </x:c>
      <x:c r="B588" s="2" t="str">
        <x:v>2015-19</x:v>
      </x:c>
      <x:c r="C588" s="2" t="str">
        <x:v>NCT03722238</x:v>
      </x:c>
      <x:c r="D588" s="2" t="str">
        <x:v>Pfizer</x:v>
      </x:c>
      <x:c r="E588" s="2" t="n">
        <x:v>0</x:v>
      </x:c>
      <x:c r="F588" s="2" t="str">
        <x:v>https://clinicaltrials.gov/study/NCT03722238</x:v>
      </x:c>
      <x:c r="G58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89" ht="23" customHeight="1">
      <x:c r="A589" s="2" t="str">
        <x:v>Pfizer</x:v>
      </x:c>
      <x:c r="B589" s="2" t="str">
        <x:v>2015-19</x:v>
      </x:c>
      <x:c r="C589" s="2" t="str">
        <x:v>NCT02718417</x:v>
      </x:c>
      <x:c r="D589" s="2" t="str">
        <x:v>Pfizer</x:v>
      </x:c>
      <x:c r="E589" s="2" t="n">
        <x:v>0</x:v>
      </x:c>
      <x:c r="F589" s="2" t="str">
        <x:v>https://clinicaltrials.gov/study/NCT02718417</x:v>
      </x:c>
      <x:c r="G58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90" ht="23" customHeight="1">
      <x:c r="A590" s="2" t="str">
        <x:v>Pfizer</x:v>
      </x:c>
      <x:c r="B590" s="2" t="str">
        <x:v>2015-19</x:v>
      </x:c>
      <x:c r="C590" s="2" t="str">
        <x:v>NCT02592434</x:v>
      </x:c>
      <x:c r="D590" s="2" t="str">
        <x:v>Pfizer</x:v>
      </x:c>
      <x:c r="E590" s="2" t="n">
        <x:v>0</x:v>
      </x:c>
      <x:c r="F590" s="2" t="str">
        <x:v>https://clinicaltrials.gov/study/NCT02592434</x:v>
      </x:c>
      <x:c r="G59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91" ht="23" customHeight="1">
      <x:c r="A591" s="2" t="str">
        <x:v>Pfizer</x:v>
      </x:c>
      <x:c r="B591" s="2" t="str">
        <x:v>2015-19</x:v>
      </x:c>
      <x:c r="C591" s="2" t="str">
        <x:v>NCT02674386</x:v>
      </x:c>
      <x:c r="D591" s="2" t="str">
        <x:v>Pfizer</x:v>
      </x:c>
      <x:c r="E591" s="2" t="n">
        <x:v>0</x:v>
      </x:c>
      <x:c r="F591" s="2" t="str">
        <x:v>https://clinicaltrials.gov/study/NCT02674386</x:v>
      </x:c>
      <x:c r="G59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92" ht="23" customHeight="1">
      <x:c r="A592" s="2" t="str">
        <x:v>Pfizer</x:v>
      </x:c>
      <x:c r="B592" s="2" t="str">
        <x:v>2021-25</x:v>
      </x:c>
      <x:c r="C592" s="2" t="str">
        <x:v>NCT06807281</x:v>
      </x:c>
      <x:c r="D592" s="2" t="str">
        <x:v>Pfizer</x:v>
      </x:c>
      <x:c r="E592" s="2" t="n">
        <x:v>0</x:v>
      </x:c>
      <x:c r="F592" s="2" t="str">
        <x:v>https://clinicaltrials.gov/study/NCT06807281</x:v>
      </x:c>
      <x:c r="G59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93" ht="23" customHeight="1">
      <x:c r="A593" s="2" t="str">
        <x:v>Pfizer</x:v>
      </x:c>
      <x:c r="B593" s="2" t="str">
        <x:v>2021-25</x:v>
      </x:c>
      <x:c r="C593" s="2" t="str">
        <x:v>NCT05035212</x:v>
      </x:c>
      <x:c r="D593" s="2" t="str">
        <x:v>Pfizer</x:v>
      </x:c>
      <x:c r="E593" s="2" t="n">
        <x:v>0</x:v>
      </x:c>
      <x:c r="F593" s="2" t="str">
        <x:v>https://clinicaltrials.gov/study/NCT05035212</x:v>
      </x:c>
      <x:c r="G59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94" ht="23" customHeight="1">
      <x:c r="A594" s="2" t="str">
        <x:v>Pfizer</x:v>
      </x:c>
      <x:c r="B594" s="2" t="str">
        <x:v>2021-25</x:v>
      </x:c>
      <x:c r="C594" s="2" t="str">
        <x:v>NCT07222566</x:v>
      </x:c>
      <x:c r="D594" s="2" t="str">
        <x:v>Pfizer</x:v>
      </x:c>
      <x:c r="E594" s="2" t="n">
        <x:v>1</x:v>
      </x:c>
      <x:c r="F594" s="2" t="str">
        <x:v>https://clinicaltrials.gov/study/NCT07222566</x:v>
      </x:c>
      <x:c r="G59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95" ht="23" customHeight="1">
      <x:c r="A595" s="2" t="str">
        <x:v>Pfizer</x:v>
      </x:c>
      <x:c r="B595" s="2" t="str">
        <x:v>2021-25</x:v>
      </x:c>
      <x:c r="C595" s="2" t="str">
        <x:v>NCT05623020</x:v>
      </x:c>
      <x:c r="D595" s="2" t="str">
        <x:v>Pfizer</x:v>
      </x:c>
      <x:c r="E595" s="2" t="n">
        <x:v>0</x:v>
      </x:c>
      <x:c r="F595" s="2" t="str">
        <x:v>https://clinicaltrials.gov/study/NCT05623020</x:v>
      </x:c>
      <x:c r="G59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96" ht="23" customHeight="1">
      <x:c r="A596" s="2" t="str">
        <x:v>Pfizer</x:v>
      </x:c>
      <x:c r="B596" s="2" t="str">
        <x:v>2021-25</x:v>
      </x:c>
      <x:c r="C596" s="2" t="str">
        <x:v>NCT04743141</x:v>
      </x:c>
      <x:c r="D596" s="2" t="str">
        <x:v>Pfizer</x:v>
      </x:c>
      <x:c r="E596" s="2" t="n">
        <x:v>0</x:v>
      </x:c>
      <x:c r="F596" s="2" t="str">
        <x:v>https://clinicaltrials.gov/study/NCT04743141</x:v>
      </x:c>
      <x:c r="G59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97" ht="23" customHeight="1">
      <x:c r="A597" s="2" t="str">
        <x:v>Pfizer</x:v>
      </x:c>
      <x:c r="B597" s="2" t="str">
        <x:v>2021-25</x:v>
      </x:c>
      <x:c r="C597" s="2" t="str">
        <x:v>NCT05375929</x:v>
      </x:c>
      <x:c r="D597" s="2" t="str">
        <x:v>Pfizer</x:v>
      </x:c>
      <x:c r="E597" s="2" t="n">
        <x:v>1</x:v>
      </x:c>
      <x:c r="F597" s="2" t="str">
        <x:v>https://clinicaltrials.gov/study/NCT05375929</x:v>
      </x:c>
      <x:c r="G59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98" ht="23" customHeight="1">
      <x:c r="A598" s="2" t="str">
        <x:v>Pfizer</x:v>
      </x:c>
      <x:c r="B598" s="2" t="str">
        <x:v>2021-25</x:v>
      </x:c>
      <x:c r="C598" s="2" t="str">
        <x:v>NCT04706793</x:v>
      </x:c>
      <x:c r="D598" s="2" t="str">
        <x:v>Pfizer</x:v>
      </x:c>
      <x:c r="E598" s="2" t="n">
        <x:v>0</x:v>
      </x:c>
      <x:c r="F598" s="2" t="str">
        <x:v>https://clinicaltrials.gov/study/NCT04706793</x:v>
      </x:c>
      <x:c r="G59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599" ht="23" customHeight="1">
      <x:c r="A599" s="2" t="str">
        <x:v>Pfizer</x:v>
      </x:c>
      <x:c r="B599" s="2" t="str">
        <x:v>2021-25</x:v>
      </x:c>
      <x:c r="C599" s="2" t="str">
        <x:v>NCT05909397</x:v>
      </x:c>
      <x:c r="D599" s="2" t="str">
        <x:v>Pfizer</x:v>
      </x:c>
      <x:c r="E599" s="2" t="n">
        <x:v>0</x:v>
      </x:c>
      <x:c r="F599" s="2" t="str">
        <x:v>https://clinicaltrials.gov/study/NCT05909397</x:v>
      </x:c>
      <x:c r="G59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00" ht="23" customHeight="1">
      <x:c r="A600" s="2" t="str">
        <x:v>Pfizer</x:v>
      </x:c>
      <x:c r="B600" s="2" t="str">
        <x:v>2021-25</x:v>
      </x:c>
      <x:c r="C600" s="2" t="str">
        <x:v>NCT06616194</x:v>
      </x:c>
      <x:c r="D600" s="2" t="str">
        <x:v>Pfizer</x:v>
      </x:c>
      <x:c r="E600" s="2" t="n">
        <x:v>1</x:v>
      </x:c>
      <x:c r="F600" s="2" t="str">
        <x:v>https://clinicaltrials.gov/study/NCT06616194</x:v>
      </x:c>
      <x:c r="G60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01" ht="23" customHeight="1">
      <x:c r="A601" s="2" t="str">
        <x:v>Pfizer</x:v>
      </x:c>
      <x:c r="B601" s="2" t="str">
        <x:v>2021-25</x:v>
      </x:c>
      <x:c r="C601" s="2" t="str">
        <x:v>NCT06760637</x:v>
      </x:c>
      <x:c r="D601" s="2" t="str">
        <x:v>Pfizer</x:v>
      </x:c>
      <x:c r="E601" s="2" t="n">
        <x:v>1</x:v>
      </x:c>
      <x:c r="F601" s="2" t="str">
        <x:v>https://clinicaltrials.gov/study/NCT06760637</x:v>
      </x:c>
      <x:c r="G60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02" ht="23" customHeight="1">
      <x:c r="A602" s="2" t="str">
        <x:v>Pfizer</x:v>
      </x:c>
      <x:c r="B602" s="2" t="str">
        <x:v>2021-25</x:v>
      </x:c>
      <x:c r="C602" s="2" t="str">
        <x:v>NCT05561140</x:v>
      </x:c>
      <x:c r="D602" s="2" t="str">
        <x:v>Pfizer</x:v>
      </x:c>
      <x:c r="E602" s="2" t="n">
        <x:v>0</x:v>
      </x:c>
      <x:c r="F602" s="2" t="str">
        <x:v>https://clinicaltrials.gov/study/NCT05561140</x:v>
      </x:c>
      <x:c r="G60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03" ht="23" customHeight="1">
      <x:c r="A603" s="2" t="str">
        <x:v>Pfizer</x:v>
      </x:c>
      <x:c r="B603" s="2" t="str">
        <x:v>2021-25</x:v>
      </x:c>
      <x:c r="C603" s="2" t="str">
        <x:v>NCT04819113</x:v>
      </x:c>
      <x:c r="D603" s="2" t="str">
        <x:v>Pfizer</x:v>
      </x:c>
      <x:c r="E603" s="2" t="n">
        <x:v>0</x:v>
      </x:c>
      <x:c r="F603" s="2" t="str">
        <x:v>https://clinicaltrials.gov/study/NCT04819113</x:v>
      </x:c>
      <x:c r="G60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04" ht="23" customHeight="1">
      <x:c r="A604" s="2" t="str">
        <x:v>Pfizer</x:v>
      </x:c>
      <x:c r="B604" s="2" t="str">
        <x:v>2021-25</x:v>
      </x:c>
      <x:c r="C604" s="2" t="str">
        <x:v>NCT05540522</x:v>
      </x:c>
      <x:c r="D604" s="2" t="str">
        <x:v>Pfizer</x:v>
      </x:c>
      <x:c r="E604" s="2" t="n">
        <x:v>0</x:v>
      </x:c>
      <x:c r="F604" s="2" t="str">
        <x:v>https://clinicaltrials.gov/study/NCT05540522</x:v>
      </x:c>
      <x:c r="G60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05" ht="23" customHeight="1">
      <x:c r="A605" s="2" t="str">
        <x:v>Pfizer</x:v>
      </x:c>
      <x:c r="B605" s="2" t="str">
        <x:v>2021-25</x:v>
      </x:c>
      <x:c r="C605" s="2" t="str">
        <x:v>NCT04927247</x:v>
      </x:c>
      <x:c r="D605" s="2" t="str">
        <x:v>Pfizer</x:v>
      </x:c>
      <x:c r="E605" s="2" t="n">
        <x:v>0</x:v>
      </x:c>
      <x:c r="F605" s="2" t="str">
        <x:v>https://clinicaltrials.gov/study/NCT04927247</x:v>
      </x:c>
      <x:c r="G60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06" ht="23" customHeight="1">
      <x:c r="A606" s="2" t="str">
        <x:v>Pfizer</x:v>
      </x:c>
      <x:c r="B606" s="2" t="str">
        <x:v>2021-25</x:v>
      </x:c>
      <x:c r="C606" s="2" t="str">
        <x:v>NCT04697628</x:v>
      </x:c>
      <x:c r="D606" s="2" t="str">
        <x:v>Seagen, a wholly owned subsidiary of Pfizer</x:v>
      </x:c>
      <x:c r="E606" s="2" t="n">
        <x:v>0</x:v>
      </x:c>
      <x:c r="F606" s="2" t="str">
        <x:v>https://clinicaltrials.gov/study/NCT04697628</x:v>
      </x:c>
      <x:c r="G60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07" ht="23" customHeight="1">
      <x:c r="A607" s="2" t="str">
        <x:v>Pfizer</x:v>
      </x:c>
      <x:c r="B607" s="2" t="str">
        <x:v>2021-25</x:v>
      </x:c>
      <x:c r="C607" s="2" t="str">
        <x:v>NCT05348915</x:v>
      </x:c>
      <x:c r="D607" s="2" t="str">
        <x:v>Pfizer</x:v>
      </x:c>
      <x:c r="E607" s="2" t="n">
        <x:v>0</x:v>
      </x:c>
      <x:c r="F607" s="2" t="str">
        <x:v>https://clinicaltrials.gov/study/NCT05348915</x:v>
      </x:c>
      <x:c r="G60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08" ht="23" customHeight="1">
      <x:c r="A608" s="2" t="str">
        <x:v>Pfizer</x:v>
      </x:c>
      <x:c r="B608" s="2" t="str">
        <x:v>2021-25</x:v>
      </x:c>
      <x:c r="C608" s="2" t="str">
        <x:v>NCT05301322</x:v>
      </x:c>
      <x:c r="D608" s="2" t="str">
        <x:v>Pfizer</x:v>
      </x:c>
      <x:c r="E608" s="2" t="n">
        <x:v>0</x:v>
      </x:c>
      <x:c r="F608" s="2" t="str">
        <x:v>https://clinicaltrials.gov/study/NCT05301322</x:v>
      </x:c>
      <x:c r="G60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09" ht="23" customHeight="1">
      <x:c r="A609" s="2" t="str">
        <x:v>Pfizer</x:v>
      </x:c>
      <x:c r="B609" s="2" t="str">
        <x:v>2021-25</x:v>
      </x:c>
      <x:c r="C609" s="2" t="str">
        <x:v>NCT06079320</x:v>
      </x:c>
      <x:c r="D609" s="2" t="str">
        <x:v>Pfizer</x:v>
      </x:c>
      <x:c r="E609" s="2" t="n">
        <x:v>1</x:v>
      </x:c>
      <x:c r="F609" s="2" t="str">
        <x:v>https://clinicaltrials.gov/study/NCT06079320</x:v>
      </x:c>
      <x:c r="G60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10" ht="23" customHeight="1">
      <x:c r="A610" s="2" t="str">
        <x:v>Pfizer</x:v>
      </x:c>
      <x:c r="B610" s="2" t="str">
        <x:v>2021-25</x:v>
      </x:c>
      <x:c r="C610" s="2" t="str">
        <x:v>NCT05634811</x:v>
      </x:c>
      <x:c r="D610" s="2" t="str">
        <x:v>Pfizer</x:v>
      </x:c>
      <x:c r="E610" s="2" t="n">
        <x:v>0</x:v>
      </x:c>
      <x:c r="F610" s="2" t="str">
        <x:v>https://clinicaltrials.gov/study/NCT05634811</x:v>
      </x:c>
      <x:c r="G61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11" ht="23" customHeight="1">
      <x:c r="A611" s="2" t="str">
        <x:v>Pfizer</x:v>
      </x:c>
      <x:c r="B611" s="2" t="str">
        <x:v>2021-25</x:v>
      </x:c>
      <x:c r="C611" s="2" t="str">
        <x:v>NCT05431088</x:v>
      </x:c>
      <x:c r="D611" s="2" t="str">
        <x:v>Pfizer</x:v>
      </x:c>
      <x:c r="E611" s="2" t="n">
        <x:v>1</x:v>
      </x:c>
      <x:c r="F611" s="2" t="str">
        <x:v>https://clinicaltrials.gov/study/NCT05431088</x:v>
      </x:c>
      <x:c r="G61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12" ht="23" customHeight="1">
      <x:c r="A612" s="2" t="str">
        <x:v>Pfizer</x:v>
      </x:c>
      <x:c r="B612" s="2" t="str">
        <x:v>2021-25</x:v>
      </x:c>
      <x:c r="C612" s="2" t="str">
        <x:v>NCT07311850</x:v>
      </x:c>
      <x:c r="D612" s="2" t="str">
        <x:v>Pfizer</x:v>
      </x:c>
      <x:c r="E612" s="2" t="n">
        <x:v>0</x:v>
      </x:c>
      <x:c r="F612" s="2" t="str">
        <x:v>https://clinicaltrials.gov/study/NCT07311850</x:v>
      </x:c>
      <x:c r="G61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13" ht="23" customHeight="1">
      <x:c r="A613" s="2" t="str">
        <x:v>Pfizer</x:v>
      </x:c>
      <x:c r="B613" s="2" t="str">
        <x:v>2021-25</x:v>
      </x:c>
      <x:c r="C613" s="2" t="str">
        <x:v>NCT04927312</x:v>
      </x:c>
      <x:c r="D613" s="2" t="str">
        <x:v>Pfizer</x:v>
      </x:c>
      <x:c r="E613" s="2" t="n">
        <x:v>0</x:v>
      </x:c>
      <x:c r="F613" s="2" t="str">
        <x:v>https://clinicaltrials.gov/study/NCT04927312</x:v>
      </x:c>
      <x:c r="G61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14" ht="23" customHeight="1">
      <x:c r="A614" s="2" t="str">
        <x:v>Pfizer</x:v>
      </x:c>
      <x:c r="B614" s="2" t="str">
        <x:v>2021-25</x:v>
      </x:c>
      <x:c r="C614" s="2" t="str">
        <x:v>NCT05689164</x:v>
      </x:c>
      <x:c r="D614" s="2" t="str">
        <x:v>Pfizer</x:v>
      </x:c>
      <x:c r="E614" s="2" t="n">
        <x:v>0</x:v>
      </x:c>
      <x:c r="F614" s="2" t="str">
        <x:v>https://clinicaltrials.gov/study/NCT05689164</x:v>
      </x:c>
      <x:c r="G61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15" ht="23" customHeight="1">
      <x:c r="A615" s="2" t="str">
        <x:v>Pfizer</x:v>
      </x:c>
      <x:c r="B615" s="2" t="str">
        <x:v>2021-25</x:v>
      </x:c>
      <x:c r="C615" s="2" t="str">
        <x:v>NCT06758401</x:v>
      </x:c>
      <x:c r="D615" s="2" t="str">
        <x:v>Pfizer</x:v>
      </x:c>
      <x:c r="E615" s="2" t="n">
        <x:v>1</x:v>
      </x:c>
      <x:c r="F615" s="2" t="str">
        <x:v>https://clinicaltrials.gov/study/NCT06758401</x:v>
      </x:c>
      <x:c r="G61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16" ht="23" customHeight="1">
      <x:c r="A616" s="2" t="str">
        <x:v>Pfizer</x:v>
      </x:c>
      <x:c r="B616" s="2" t="str">
        <x:v>2021-25</x:v>
      </x:c>
      <x:c r="C616" s="2" t="str">
        <x:v>NCT05895786</x:v>
      </x:c>
      <x:c r="D616" s="2" t="str">
        <x:v>Pfizer</x:v>
      </x:c>
      <x:c r="E616" s="2" t="n">
        <x:v>1</x:v>
      </x:c>
      <x:c r="F616" s="2" t="str">
        <x:v>https://clinicaltrials.gov/study/NCT05895786</x:v>
      </x:c>
      <x:c r="G61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17" ht="23" customHeight="1">
      <x:c r="A617" s="2" t="str">
        <x:v>Pfizer</x:v>
      </x:c>
      <x:c r="B617" s="2" t="str">
        <x:v>2021-25</x:v>
      </x:c>
      <x:c r="C617" s="2" t="str">
        <x:v>NCT05096208</x:v>
      </x:c>
      <x:c r="D617" s="2" t="str">
        <x:v>Pfizer</x:v>
      </x:c>
      <x:c r="E617" s="2" t="n">
        <x:v>0</x:v>
      </x:c>
      <x:c r="F617" s="2" t="str">
        <x:v>https://clinicaltrials.gov/study/NCT05096208</x:v>
      </x:c>
      <x:c r="G61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18" ht="23" customHeight="1">
      <x:c r="A618" s="2" t="str">
        <x:v>Pfizer</x:v>
      </x:c>
      <x:c r="B618" s="2" t="str">
        <x:v>2021-25</x:v>
      </x:c>
      <x:c r="C618" s="2" t="str">
        <x:v>NCT05253651</x:v>
      </x:c>
      <x:c r="D618" s="2" t="str">
        <x:v>Seagen, a wholly owned subsidiary of Pfizer</x:v>
      </x:c>
      <x:c r="E618" s="2" t="n">
        <x:v>0</x:v>
      </x:c>
      <x:c r="F618" s="2" t="str">
        <x:v>https://clinicaltrials.gov/study/NCT05253651</x:v>
      </x:c>
      <x:c r="G61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19" ht="23" customHeight="1">
      <x:c r="A619" s="2" t="str">
        <x:v>Pfizer</x:v>
      </x:c>
      <x:c r="B619" s="2" t="str">
        <x:v>2021-25</x:v>
      </x:c>
      <x:c r="C619" s="2" t="str">
        <x:v>NCT06012435</x:v>
      </x:c>
      <x:c r="D619" s="2" t="str">
        <x:v>Seagen, a wholly owned subsidiary of Pfizer</x:v>
      </x:c>
      <x:c r="E619" s="2" t="n">
        <x:v>0</x:v>
      </x:c>
      <x:c r="F619" s="2" t="str">
        <x:v>https://clinicaltrials.gov/study/NCT06012435</x:v>
      </x:c>
      <x:c r="G61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20" ht="23" customHeight="1">
      <x:c r="A620" s="2" t="str">
        <x:v>Pfizer</x:v>
      </x:c>
      <x:c r="B620" s="2" t="str">
        <x:v>2021-25</x:v>
      </x:c>
      <x:c r="C620" s="2" t="str">
        <x:v>NCT05512819</x:v>
      </x:c>
      <x:c r="D620" s="2" t="str">
        <x:v>Pfizer</x:v>
      </x:c>
      <x:c r="E620" s="2" t="n">
        <x:v>1</x:v>
      </x:c>
      <x:c r="F620" s="2" t="str">
        <x:v>https://clinicaltrials.gov/study/NCT05512819</x:v>
      </x:c>
      <x:c r="G62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21" ht="23" customHeight="1">
      <x:c r="A621" s="2" t="str">
        <x:v>Pfizer</x:v>
      </x:c>
      <x:c r="B621" s="2" t="str">
        <x:v>2021-25</x:v>
      </x:c>
      <x:c r="C621" s="2" t="str">
        <x:v>NCT05611801</x:v>
      </x:c>
      <x:c r="D621" s="2" t="str">
        <x:v>Pfizer</x:v>
      </x:c>
      <x:c r="E621" s="2" t="n">
        <x:v>1</x:v>
      </x:c>
      <x:c r="F621" s="2" t="str">
        <x:v>https://clinicaltrials.gov/study/NCT05611801</x:v>
      </x:c>
      <x:c r="G62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22" ht="23" customHeight="1">
      <x:c r="A622" s="2" t="str">
        <x:v>Pfizer</x:v>
      </x:c>
      <x:c r="B622" s="2" t="str">
        <x:v>2021-25</x:v>
      </x:c>
      <x:c r="C622" s="2" t="str">
        <x:v>NCT06807268</x:v>
      </x:c>
      <x:c r="D622" s="2" t="str">
        <x:v>Pfizer</x:v>
      </x:c>
      <x:c r="E622" s="2" t="n">
        <x:v>0</x:v>
      </x:c>
      <x:c r="F622" s="2" t="str">
        <x:v>https://clinicaltrials.gov/study/NCT06807268</x:v>
      </x:c>
      <x:c r="G62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23" ht="23" customHeight="1">
      <x:c r="A623" s="2" t="str">
        <x:v>Pfizer</x:v>
      </x:c>
      <x:c r="B623" s="2" t="str">
        <x:v>2021-25</x:v>
      </x:c>
      <x:c r="C623" s="2" t="str">
        <x:v>NCT06551324</x:v>
      </x:c>
      <x:c r="D623" s="2" t="str">
        <x:v>Pfizer</x:v>
      </x:c>
      <x:c r="E623" s="2" t="n">
        <x:v>0</x:v>
      </x:c>
      <x:c r="F623" s="2" t="str">
        <x:v>https://clinicaltrials.gov/study/NCT06551324</x:v>
      </x:c>
      <x:c r="G62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24" ht="23" customHeight="1">
      <x:c r="A624" s="2" t="str">
        <x:v>Pfizer</x:v>
      </x:c>
      <x:c r="B624" s="2" t="str">
        <x:v>2021-25</x:v>
      </x:c>
      <x:c r="C624" s="2" t="str">
        <x:v>NCT05408429</x:v>
      </x:c>
      <x:c r="D624" s="2" t="str">
        <x:v>Pfizer</x:v>
      </x:c>
      <x:c r="E624" s="2" t="n">
        <x:v>0</x:v>
      </x:c>
      <x:c r="F624" s="2" t="str">
        <x:v>https://clinicaltrials.gov/study/NCT05408429</x:v>
      </x:c>
      <x:c r="G62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25" ht="23" customHeight="1">
      <x:c r="A625" s="2" t="str">
        <x:v>Pfizer</x:v>
      </x:c>
      <x:c r="B625" s="2" t="str">
        <x:v>2021-25</x:v>
      </x:c>
      <x:c r="C625" s="2" t="str">
        <x:v>NCT05989048</x:v>
      </x:c>
      <x:c r="D625" s="2" t="str">
        <x:v>Pfizer</x:v>
      </x:c>
      <x:c r="E625" s="2" t="n">
        <x:v>0</x:v>
      </x:c>
      <x:c r="F625" s="2" t="str">
        <x:v>https://clinicaltrials.gov/study/NCT05989048</x:v>
      </x:c>
      <x:c r="G62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26" ht="23" customHeight="1">
      <x:c r="A626" s="2" t="str">
        <x:v>Pfizer</x:v>
      </x:c>
      <x:c r="B626" s="2" t="str">
        <x:v>2021-25</x:v>
      </x:c>
      <x:c r="C626" s="2" t="str">
        <x:v>NCT07013474</x:v>
      </x:c>
      <x:c r="D626" s="2" t="str">
        <x:v>Pfizer</x:v>
      </x:c>
      <x:c r="E626" s="2" t="n">
        <x:v>0</x:v>
      </x:c>
      <x:c r="F626" s="2" t="str">
        <x:v>https://clinicaltrials.gov/study/NCT07013474</x:v>
      </x:c>
      <x:c r="G62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27" ht="23" customHeight="1">
      <x:c r="A627" s="2" t="str">
        <x:v>Pfizer</x:v>
      </x:c>
      <x:c r="B627" s="2" t="str">
        <x:v>2021-25</x:v>
      </x:c>
      <x:c r="C627" s="2" t="str">
        <x:v>NCT05248997</x:v>
      </x:c>
      <x:c r="D627" s="2" t="str">
        <x:v>Pfizer</x:v>
      </x:c>
      <x:c r="E627" s="2" t="n">
        <x:v>0</x:v>
      </x:c>
      <x:c r="F627" s="2" t="str">
        <x:v>https://clinicaltrials.gov/study/NCT05248997</x:v>
      </x:c>
      <x:c r="G62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28" ht="23" customHeight="1">
      <x:c r="A628" s="2" t="str">
        <x:v>Pfizer</x:v>
      </x:c>
      <x:c r="B628" s="2" t="str">
        <x:v>2021-25</x:v>
      </x:c>
      <x:c r="C628" s="2" t="str">
        <x:v>NCT07029711</x:v>
      </x:c>
      <x:c r="D628" s="2" t="str">
        <x:v>Pfizer</x:v>
      </x:c>
      <x:c r="E628" s="2" t="n">
        <x:v>0</x:v>
      </x:c>
      <x:c r="F628" s="2" t="str">
        <x:v>https://clinicaltrials.gov/study/NCT07029711</x:v>
      </x:c>
      <x:c r="G62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29" ht="23" customHeight="1">
      <x:c r="A629" s="2" t="str">
        <x:v>Pfizer</x:v>
      </x:c>
      <x:c r="B629" s="2" t="str">
        <x:v>2021-25</x:v>
      </x:c>
      <x:c r="C629" s="2" t="str">
        <x:v>NCT05654623</x:v>
      </x:c>
      <x:c r="D629" s="2" t="str">
        <x:v>Pfizer</x:v>
      </x:c>
      <x:c r="E629" s="2" t="n">
        <x:v>1</x:v>
      </x:c>
      <x:c r="F629" s="2" t="str">
        <x:v>https://clinicaltrials.gov/study/NCT05654623</x:v>
      </x:c>
      <x:c r="G62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30" ht="23" customHeight="1">
      <x:c r="A630" s="2" t="str">
        <x:v>Pfizer</x:v>
      </x:c>
      <x:c r="B630" s="2" t="str">
        <x:v>2021-25</x:v>
      </x:c>
      <x:c r="C630" s="2" t="str">
        <x:v>NCT06698796</x:v>
      </x:c>
      <x:c r="D630" s="2" t="str">
        <x:v>Pfizer</x:v>
      </x:c>
      <x:c r="E630" s="2" t="n">
        <x:v>1</x:v>
      </x:c>
      <x:c r="F630" s="2" t="str">
        <x:v>https://clinicaltrials.gov/study/NCT06698796</x:v>
      </x:c>
      <x:c r="G63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31" ht="23" customHeight="1">
      <x:c r="A631" s="2" t="str">
        <x:v>Pfizer</x:v>
      </x:c>
      <x:c r="B631" s="2" t="str">
        <x:v>2021-25</x:v>
      </x:c>
      <x:c r="C631" s="2" t="str">
        <x:v>NCT05228834</x:v>
      </x:c>
      <x:c r="D631" s="2" t="str">
        <x:v>Pfizer</x:v>
      </x:c>
      <x:c r="E631" s="2" t="n">
        <x:v>0</x:v>
      </x:c>
      <x:c r="F631" s="2" t="str">
        <x:v>https://clinicaltrials.gov/study/NCT05228834</x:v>
      </x:c>
      <x:c r="G63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32" ht="23" customHeight="1">
      <x:c r="A632" s="2" t="str">
        <x:v>Pfizer</x:v>
      </x:c>
      <x:c r="B632" s="2" t="str">
        <x:v>2021-25</x:v>
      </x:c>
      <x:c r="C632" s="2" t="str">
        <x:v>NCT06163326</x:v>
      </x:c>
      <x:c r="D632" s="2" t="str">
        <x:v>Pfizer</x:v>
      </x:c>
      <x:c r="E632" s="2" t="n">
        <x:v>0</x:v>
      </x:c>
      <x:c r="F632" s="2" t="str">
        <x:v>https://clinicaltrials.gov/study/NCT06163326</x:v>
      </x:c>
      <x:c r="G63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33" ht="23" customHeight="1">
      <x:c r="A633" s="2" t="str">
        <x:v>Pfizer</x:v>
      </x:c>
      <x:c r="B633" s="2" t="str">
        <x:v>2021-25</x:v>
      </x:c>
      <x:c r="C633" s="2" t="str">
        <x:v>NCT06072183</x:v>
      </x:c>
      <x:c r="D633" s="2" t="str">
        <x:v>Pfizer</x:v>
      </x:c>
      <x:c r="E633" s="2" t="n">
        <x:v>0</x:v>
      </x:c>
      <x:c r="F633" s="2" t="str">
        <x:v>https://clinicaltrials.gov/study/NCT06072183</x:v>
      </x:c>
      <x:c r="G63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34" ht="23" customHeight="1">
      <x:c r="A634" s="2" t="str">
        <x:v>Pfizer</x:v>
      </x:c>
      <x:c r="B634" s="2" t="str">
        <x:v>2021-25</x:v>
      </x:c>
      <x:c r="C634" s="2" t="str">
        <x:v>NCT05047601</x:v>
      </x:c>
      <x:c r="D634" s="2" t="str">
        <x:v>Pfizer</x:v>
      </x:c>
      <x:c r="E634" s="2" t="n">
        <x:v>0</x:v>
      </x:c>
      <x:c r="F634" s="2" t="str">
        <x:v>https://clinicaltrials.gov/study/NCT05047601</x:v>
      </x:c>
      <x:c r="G63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35" ht="23" customHeight="1">
      <x:c r="A635" s="2" t="str">
        <x:v>Pfizer</x:v>
      </x:c>
      <x:c r="B635" s="2" t="str">
        <x:v>2021-25</x:v>
      </x:c>
      <x:c r="C635" s="2" t="str">
        <x:v>NCT07062965</x:v>
      </x:c>
      <x:c r="D635" s="2" t="str">
        <x:v>Pfizer</x:v>
      </x:c>
      <x:c r="E635" s="2" t="n">
        <x:v>1</x:v>
      </x:c>
      <x:c r="F635" s="2" t="str">
        <x:v>https://clinicaltrials.gov/study/NCT07062965</x:v>
      </x:c>
      <x:c r="G63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36" ht="23" customHeight="1">
      <x:c r="A636" s="2" t="str">
        <x:v>Pfizer</x:v>
      </x:c>
      <x:c r="B636" s="2" t="str">
        <x:v>2021-25</x:v>
      </x:c>
      <x:c r="C636" s="2" t="str">
        <x:v>NCT04960202</x:v>
      </x:c>
      <x:c r="D636" s="2" t="str">
        <x:v>Pfizer</x:v>
      </x:c>
      <x:c r="E636" s="2" t="n">
        <x:v>1</x:v>
      </x:c>
      <x:c r="F636" s="2" t="str">
        <x:v>https://clinicaltrials.gov/study/NCT04960202</x:v>
      </x:c>
      <x:c r="G63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37" ht="23" customHeight="1">
      <x:c r="A637" s="2" t="str">
        <x:v>Pfizer</x:v>
      </x:c>
      <x:c r="B637" s="2" t="str">
        <x:v>2021-25</x:v>
      </x:c>
      <x:c r="C637" s="2" t="str">
        <x:v>NCT04821622</x:v>
      </x:c>
      <x:c r="D637" s="2" t="str">
        <x:v>Pfizer</x:v>
      </x:c>
      <x:c r="E637" s="2" t="n">
        <x:v>1</x:v>
      </x:c>
      <x:c r="F637" s="2" t="str">
        <x:v>https://clinicaltrials.gov/study/NCT04821622</x:v>
      </x:c>
      <x:c r="G63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38" ht="23" customHeight="1">
      <x:c r="A638" s="2" t="str">
        <x:v>Pfizer</x:v>
      </x:c>
      <x:c r="B638" s="2" t="str">
        <x:v>2021-25</x:v>
      </x:c>
      <x:c r="C638" s="2" t="str">
        <x:v>NCT05262517</x:v>
      </x:c>
      <x:c r="D638" s="2" t="str">
        <x:v>Pfizer</x:v>
      </x:c>
      <x:c r="E638" s="2" t="n">
        <x:v>0</x:v>
      </x:c>
      <x:c r="F638" s="2" t="str">
        <x:v>https://clinicaltrials.gov/study/NCT05262517</x:v>
      </x:c>
      <x:c r="G63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39" ht="23" customHeight="1">
      <x:c r="A639" s="2" t="str">
        <x:v>Pfizer</x:v>
      </x:c>
      <x:c r="B639" s="2" t="str">
        <x:v>2021-25</x:v>
      </x:c>
      <x:c r="C639" s="2" t="str">
        <x:v>NCT06890416</x:v>
      </x:c>
      <x:c r="D639" s="2" t="str">
        <x:v>Pfizer</x:v>
      </x:c>
      <x:c r="E639" s="2" t="n">
        <x:v>0</x:v>
      </x:c>
      <x:c r="F639" s="2" t="str">
        <x:v>https://clinicaltrials.gov/study/NCT06890416</x:v>
      </x:c>
      <x:c r="G63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40" ht="23" customHeight="1">
      <x:c r="A640" s="2" t="str">
        <x:v>Pfizer</x:v>
      </x:c>
      <x:c r="B640" s="2" t="str">
        <x:v>2021-25</x:v>
      </x:c>
      <x:c r="C640" s="2" t="str">
        <x:v>NCT04804033</x:v>
      </x:c>
      <x:c r="D640" s="2" t="str">
        <x:v>Pfizer</x:v>
      </x:c>
      <x:c r="E640" s="2" t="n">
        <x:v>0</x:v>
      </x:c>
      <x:c r="F640" s="2" t="str">
        <x:v>https://clinicaltrials.gov/study/NCT04804033</x:v>
      </x:c>
      <x:c r="G64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41" ht="23" customHeight="1">
      <x:c r="A641" s="2" t="str">
        <x:v>Pfizer</x:v>
      </x:c>
      <x:c r="B641" s="2" t="str">
        <x:v>2021-25</x:v>
      </x:c>
      <x:c r="C641" s="2" t="str">
        <x:v>NCT05911295</x:v>
      </x:c>
      <x:c r="D641" s="2" t="str">
        <x:v>Seagen, a wholly owned subsidiary of Pfizer</x:v>
      </x:c>
      <x:c r="E641" s="2" t="n">
        <x:v>0</x:v>
      </x:c>
      <x:c r="F641" s="2" t="str">
        <x:v>https://clinicaltrials.gov/study/NCT05911295</x:v>
      </x:c>
      <x:c r="G64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42" ht="23" customHeight="1">
      <x:c r="A642" s="2" t="str">
        <x:v>Pfizer</x:v>
      </x:c>
      <x:c r="B642" s="2" t="str">
        <x:v>2021-25</x:v>
      </x:c>
      <x:c r="C642" s="2" t="str">
        <x:v>NCT06152575</x:v>
      </x:c>
      <x:c r="D642" s="2" t="str">
        <x:v>Pfizer</x:v>
      </x:c>
      <x:c r="E642" s="2" t="n">
        <x:v>0</x:v>
      </x:c>
      <x:c r="F642" s="2" t="str">
        <x:v>https://clinicaltrials.gov/study/NCT06152575</x:v>
      </x:c>
      <x:c r="G64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43" ht="23" customHeight="1">
      <x:c r="A643" s="2" t="str">
        <x:v>Pfizer</x:v>
      </x:c>
      <x:c r="B643" s="2" t="str">
        <x:v>2021-25</x:v>
      </x:c>
      <x:c r="C643" s="2" t="str">
        <x:v>NCT05261139</x:v>
      </x:c>
      <x:c r="D643" s="2" t="str">
        <x:v>Pfizer</x:v>
      </x:c>
      <x:c r="E643" s="2" t="n">
        <x:v>0</x:v>
      </x:c>
      <x:c r="F643" s="2" t="str">
        <x:v>https://clinicaltrials.gov/study/NCT05261139</x:v>
      </x:c>
      <x:c r="G64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44" ht="23" customHeight="1">
      <x:c r="A644" s="2" t="str">
        <x:v>Pfizer</x:v>
      </x:c>
      <x:c r="B644" s="2" t="str">
        <x:v>2021-25</x:v>
      </x:c>
      <x:c r="C644" s="2" t="str">
        <x:v>NCT06866405</x:v>
      </x:c>
      <x:c r="D644" s="2" t="str">
        <x:v>Pfizer</x:v>
      </x:c>
      <x:c r="E644" s="2" t="n">
        <x:v>0</x:v>
      </x:c>
      <x:c r="F644" s="2" t="str">
        <x:v>https://clinicaltrials.gov/study/NCT06866405</x:v>
      </x:c>
      <x:c r="G64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45" ht="23" customHeight="1">
      <x:c r="A645" s="2" t="str">
        <x:v>Pfizer</x:v>
      </x:c>
      <x:c r="B645" s="2" t="str">
        <x:v>2021-25</x:v>
      </x:c>
      <x:c r="C645" s="2" t="str">
        <x:v>NCT07282665</x:v>
      </x:c>
      <x:c r="D645" s="2" t="str">
        <x:v>Pfizer</x:v>
      </x:c>
      <x:c r="E645" s="2" t="n">
        <x:v>0</x:v>
      </x:c>
      <x:c r="F645" s="2" t="str">
        <x:v>https://clinicaltrials.gov/study/NCT07282665</x:v>
      </x:c>
      <x:c r="G64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46" ht="23" customHeight="1">
      <x:c r="A646" s="2" t="str">
        <x:v>Pfizer</x:v>
      </x:c>
      <x:c r="B646" s="2" t="str">
        <x:v>2021-25</x:v>
      </x:c>
      <x:c r="C646" s="2" t="str">
        <x:v>NCT04842604</x:v>
      </x:c>
      <x:c r="D646" s="2" t="str">
        <x:v>Pfizer</x:v>
      </x:c>
      <x:c r="E646" s="2" t="n">
        <x:v>0</x:v>
      </x:c>
      <x:c r="F646" s="2" t="str">
        <x:v>https://clinicaltrials.gov/study/NCT04842604</x:v>
      </x:c>
      <x:c r="G64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47" ht="23" customHeight="1">
      <x:c r="A647" s="2" t="str">
        <x:v>Pfizer</x:v>
      </x:c>
      <x:c r="B647" s="2" t="str">
        <x:v>2021-25</x:v>
      </x:c>
      <x:c r="C647" s="2" t="str">
        <x:v>NCT04935879</x:v>
      </x:c>
      <x:c r="D647" s="2" t="str">
        <x:v>Pfizer</x:v>
      </x:c>
      <x:c r="E647" s="2" t="n">
        <x:v>0</x:v>
      </x:c>
      <x:c r="F647" s="2" t="str">
        <x:v>https://clinicaltrials.gov/study/NCT04935879</x:v>
      </x:c>
      <x:c r="G64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48" ht="23" customHeight="1">
      <x:c r="A648" s="2" t="str">
        <x:v>Pfizer</x:v>
      </x:c>
      <x:c r="B648" s="2" t="str">
        <x:v>2021-25</x:v>
      </x:c>
      <x:c r="C648" s="2" t="str">
        <x:v>NCT05632354</x:v>
      </x:c>
      <x:c r="D648" s="2" t="str">
        <x:v>Pfizer</x:v>
      </x:c>
      <x:c r="E648" s="2" t="n">
        <x:v>0</x:v>
      </x:c>
      <x:c r="F648" s="2" t="str">
        <x:v>https://clinicaltrials.gov/study/NCT05632354</x:v>
      </x:c>
      <x:c r="G64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49" ht="23" customHeight="1">
      <x:c r="A649" s="2" t="str">
        <x:v>Pfizer</x:v>
      </x:c>
      <x:c r="B649" s="2" t="str">
        <x:v>2021-25</x:v>
      </x:c>
      <x:c r="C649" s="2" t="str">
        <x:v>NCT07028853</x:v>
      </x:c>
      <x:c r="D649" s="2" t="str">
        <x:v>Pfizer</x:v>
      </x:c>
      <x:c r="E649" s="2" t="n">
        <x:v>0</x:v>
      </x:c>
      <x:c r="F649" s="2" t="str">
        <x:v>https://clinicaltrials.gov/study/NCT07028853</x:v>
      </x:c>
      <x:c r="G64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50" ht="23" customHeight="1">
      <x:c r="A650" s="2" t="str">
        <x:v>Pfizer</x:v>
      </x:c>
      <x:c r="B650" s="2" t="str">
        <x:v>2021-25</x:v>
      </x:c>
      <x:c r="C650" s="2" t="str">
        <x:v>NCT05059522</x:v>
      </x:c>
      <x:c r="D650" s="2" t="str">
        <x:v>Pfizer</x:v>
      </x:c>
      <x:c r="E650" s="2" t="n">
        <x:v>0</x:v>
      </x:c>
      <x:c r="F650" s="2" t="str">
        <x:v>https://clinicaltrials.gov/study/NCT05059522</x:v>
      </x:c>
      <x:c r="G65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51" ht="23" customHeight="1">
      <x:c r="A651" s="2" t="str">
        <x:v>Pfizer</x:v>
      </x:c>
      <x:c r="B651" s="2" t="str">
        <x:v>2021-25</x:v>
      </x:c>
      <x:c r="C651" s="2" t="str">
        <x:v>NCT06593587</x:v>
      </x:c>
      <x:c r="D651" s="2" t="str">
        <x:v>Pfizer</x:v>
      </x:c>
      <x:c r="E651" s="2" t="n">
        <x:v>0</x:v>
      </x:c>
      <x:c r="F651" s="2" t="str">
        <x:v>https://clinicaltrials.gov/study/NCT06593587</x:v>
      </x:c>
      <x:c r="G65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52" ht="23" customHeight="1">
      <x:c r="A652" s="2" t="str">
        <x:v>Pfizer</x:v>
      </x:c>
      <x:c r="B652" s="2" t="str">
        <x:v>2021-25</x:v>
      </x:c>
      <x:c r="C652" s="2" t="str">
        <x:v>NCT05156398</x:v>
      </x:c>
      <x:c r="D652" s="2" t="str">
        <x:v>Pfizer</x:v>
      </x:c>
      <x:c r="E652" s="2" t="n">
        <x:v>0</x:v>
      </x:c>
      <x:c r="F652" s="2" t="str">
        <x:v>https://clinicaltrials.gov/study/NCT05156398</x:v>
      </x:c>
      <x:c r="G65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53" ht="23" customHeight="1">
      <x:c r="A653" s="2" t="str">
        <x:v>Pfizer</x:v>
      </x:c>
      <x:c r="B653" s="2" t="str">
        <x:v>2021-25</x:v>
      </x:c>
      <x:c r="C653" s="2" t="str">
        <x:v>NCT05371652</x:v>
      </x:c>
      <x:c r="D653" s="2" t="str">
        <x:v>Pfizer</x:v>
      </x:c>
      <x:c r="E653" s="2" t="n">
        <x:v>0</x:v>
      </x:c>
      <x:c r="F653" s="2" t="str">
        <x:v>https://clinicaltrials.gov/study/NCT05371652</x:v>
      </x:c>
      <x:c r="G65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54" ht="23" customHeight="1">
      <x:c r="A654" s="2" t="str">
        <x:v>Pfizer</x:v>
      </x:c>
      <x:c r="B654" s="2" t="str">
        <x:v>2021-25</x:v>
      </x:c>
      <x:c r="C654" s="2" t="str">
        <x:v>NCT04887948</x:v>
      </x:c>
      <x:c r="D654" s="2" t="str">
        <x:v>Pfizer</x:v>
      </x:c>
      <x:c r="E654" s="2" t="n">
        <x:v>0</x:v>
      </x:c>
      <x:c r="F654" s="2" t="str">
        <x:v>https://clinicaltrials.gov/study/NCT04887948</x:v>
      </x:c>
      <x:c r="G65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55" ht="23" customHeight="1">
      <x:c r="A655" s="2" t="str">
        <x:v>Pfizer</x:v>
      </x:c>
      <x:c r="B655" s="2" t="str">
        <x:v>2021-25</x:v>
      </x:c>
      <x:c r="C655" s="2" t="str">
        <x:v>NCT05011513</x:v>
      </x:c>
      <x:c r="D655" s="2" t="str">
        <x:v>Pfizer</x:v>
      </x:c>
      <x:c r="E655" s="2" t="n">
        <x:v>0</x:v>
      </x:c>
      <x:c r="F655" s="2" t="str">
        <x:v>https://clinicaltrials.gov/study/NCT05011513</x:v>
      </x:c>
      <x:c r="G65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56" ht="23" customHeight="1">
      <x:c r="A656" s="2" t="str">
        <x:v>Pfizer</x:v>
      </x:c>
      <x:c r="B656" s="2" t="str">
        <x:v>2021-25</x:v>
      </x:c>
      <x:c r="C656" s="2" t="str">
        <x:v>NCT06989437</x:v>
      </x:c>
      <x:c r="D656" s="2" t="str">
        <x:v>Pfizer</x:v>
      </x:c>
      <x:c r="E656" s="2" t="n">
        <x:v>1</x:v>
      </x:c>
      <x:c r="F656" s="2" t="str">
        <x:v>https://clinicaltrials.gov/study/NCT06989437</x:v>
      </x:c>
      <x:c r="G65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57" ht="23" customHeight="1">
      <x:c r="A657" s="2" t="str">
        <x:v>Pfizer</x:v>
      </x:c>
      <x:c r="B657" s="2" t="str">
        <x:v>2021-25</x:v>
      </x:c>
      <x:c r="C657" s="2" t="str">
        <x:v>NCT06325657</x:v>
      </x:c>
      <x:c r="D657" s="2" t="str">
        <x:v>Pfizer</x:v>
      </x:c>
      <x:c r="E657" s="2" t="n">
        <x:v>0</x:v>
      </x:c>
      <x:c r="F657" s="2" t="str">
        <x:v>https://clinicaltrials.gov/study/NCT06325657</x:v>
      </x:c>
      <x:c r="G65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58" ht="23" customHeight="1">
      <x:c r="A658" s="2" t="str">
        <x:v>Pfizer</x:v>
      </x:c>
      <x:c r="B658" s="2" t="str">
        <x:v>2021-25</x:v>
      </x:c>
      <x:c r="C658" s="2" t="str">
        <x:v>NCT07029828</x:v>
      </x:c>
      <x:c r="D658" s="2" t="str">
        <x:v>Pfizer</x:v>
      </x:c>
      <x:c r="E658" s="2" t="n">
        <x:v>0</x:v>
      </x:c>
      <x:c r="F658" s="2" t="str">
        <x:v>https://clinicaltrials.gov/study/NCT07029828</x:v>
      </x:c>
      <x:c r="G65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59" ht="23" customHeight="1">
      <x:c r="A659" s="2" t="str">
        <x:v>Pfizer</x:v>
      </x:c>
      <x:c r="B659" s="2" t="str">
        <x:v>2021-25</x:v>
      </x:c>
      <x:c r="C659" s="2" t="str">
        <x:v>NCT05020236</x:v>
      </x:c>
      <x:c r="D659" s="2" t="str">
        <x:v>Pfizer</x:v>
      </x:c>
      <x:c r="E659" s="2" t="n">
        <x:v>0</x:v>
      </x:c>
      <x:c r="F659" s="2" t="str">
        <x:v>https://clinicaltrials.gov/study/NCT05020236</x:v>
      </x:c>
      <x:c r="G65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60" ht="23" customHeight="1">
      <x:c r="A660" s="2" t="str">
        <x:v>Pfizer</x:v>
      </x:c>
      <x:c r="B660" s="2" t="str">
        <x:v>2021-25</x:v>
      </x:c>
      <x:c r="C660" s="2" t="str">
        <x:v>NCT06873945</x:v>
      </x:c>
      <x:c r="D660" s="2" t="str">
        <x:v>Pfizer</x:v>
      </x:c>
      <x:c r="E660" s="2" t="n">
        <x:v>0</x:v>
      </x:c>
      <x:c r="F660" s="2" t="str">
        <x:v>https://clinicaltrials.gov/study/NCT06873945</x:v>
      </x:c>
      <x:c r="G66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61" ht="23" customHeight="1">
      <x:c r="A661" s="2" t="str">
        <x:v>Pfizer</x:v>
      </x:c>
      <x:c r="B661" s="2" t="str">
        <x:v>2021-25</x:v>
      </x:c>
      <x:c r="C661" s="2" t="str">
        <x:v>NCT06629779</x:v>
      </x:c>
      <x:c r="D661" s="2" t="str">
        <x:v>Pfizer</x:v>
      </x:c>
      <x:c r="E661" s="2" t="n">
        <x:v>0</x:v>
      </x:c>
      <x:c r="F661" s="2" t="str">
        <x:v>https://clinicaltrials.gov/study/NCT06629779</x:v>
      </x:c>
      <x:c r="G66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62" ht="23" customHeight="1">
      <x:c r="A662" s="2" t="str">
        <x:v>Pfizer</x:v>
      </x:c>
      <x:c r="B662" s="2" t="str">
        <x:v>2021-25</x:v>
      </x:c>
      <x:c r="C662" s="2" t="str">
        <x:v>NCT04875533</x:v>
      </x:c>
      <x:c r="D662" s="2" t="str">
        <x:v>Pfizer</x:v>
      </x:c>
      <x:c r="E662" s="2" t="n">
        <x:v>0</x:v>
      </x:c>
      <x:c r="F662" s="2" t="str">
        <x:v>https://clinicaltrials.gov/study/NCT04875533</x:v>
      </x:c>
      <x:c r="G66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63" ht="23" customHeight="1">
      <x:c r="A663" s="2" t="str">
        <x:v>Pfizer</x:v>
      </x:c>
      <x:c r="B663" s="2" t="str">
        <x:v>2021-25</x:v>
      </x:c>
      <x:c r="C663" s="2" t="str">
        <x:v>NCT07222800</x:v>
      </x:c>
      <x:c r="D663" s="2" t="str">
        <x:v>Pfizer</x:v>
      </x:c>
      <x:c r="E663" s="2" t="n">
        <x:v>0</x:v>
      </x:c>
      <x:c r="F663" s="2" t="str">
        <x:v>https://clinicaltrials.gov/study/NCT07222800</x:v>
      </x:c>
      <x:c r="G66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64" ht="23" customHeight="1">
      <x:c r="A664" s="2" t="str">
        <x:v>Pfizer</x:v>
      </x:c>
      <x:c r="B664" s="2" t="str">
        <x:v>2021-25</x:v>
      </x:c>
      <x:c r="C664" s="2" t="str">
        <x:v>NCT05583526</x:v>
      </x:c>
      <x:c r="D664" s="2" t="str">
        <x:v>Pfizer</x:v>
      </x:c>
      <x:c r="E664" s="2" t="n">
        <x:v>0</x:v>
      </x:c>
      <x:c r="F664" s="2" t="str">
        <x:v>https://clinicaltrials.gov/study/NCT05583526</x:v>
      </x:c>
      <x:c r="G66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65" ht="23" customHeight="1">
      <x:c r="A665" s="2" t="str">
        <x:v>Pfizer</x:v>
      </x:c>
      <x:c r="B665" s="2" t="str">
        <x:v>2021-25</x:v>
      </x:c>
      <x:c r="C665" s="2" t="str">
        <x:v>NCT05810038</x:v>
      </x:c>
      <x:c r="D665" s="2" t="str">
        <x:v>Pfizer</x:v>
      </x:c>
      <x:c r="E665" s="2" t="n">
        <x:v>0</x:v>
      </x:c>
      <x:c r="F665" s="2" t="str">
        <x:v>https://clinicaltrials.gov/study/NCT05810038</x:v>
      </x:c>
      <x:c r="G66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66" ht="23" customHeight="1">
      <x:c r="A666" s="2" t="str">
        <x:v>Pfizer</x:v>
      </x:c>
      <x:c r="B666" s="2" t="str">
        <x:v>2021-25</x:v>
      </x:c>
      <x:c r="C666" s="2" t="str">
        <x:v>NCT05399485</x:v>
      </x:c>
      <x:c r="D666" s="2" t="str">
        <x:v>Pfizer</x:v>
      </x:c>
      <x:c r="E666" s="2" t="n">
        <x:v>0</x:v>
      </x:c>
      <x:c r="F666" s="2" t="str">
        <x:v>https://clinicaltrials.gov/study/NCT05399485</x:v>
      </x:c>
      <x:c r="G66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67" ht="23" customHeight="1">
      <x:c r="A667" s="2" t="str">
        <x:v>Pfizer</x:v>
      </x:c>
      <x:c r="B667" s="2" t="str">
        <x:v>2021-25</x:v>
      </x:c>
      <x:c r="C667" s="2" t="str">
        <x:v>NCT05732454</x:v>
      </x:c>
      <x:c r="D667" s="2" t="str">
        <x:v>Pfizer</x:v>
      </x:c>
      <x:c r="E667" s="2" t="n">
        <x:v>0</x:v>
      </x:c>
      <x:c r="F667" s="2" t="str">
        <x:v>https://clinicaltrials.gov/study/NCT05732454</x:v>
      </x:c>
      <x:c r="G66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68" ht="23" customHeight="1">
      <x:c r="A668" s="2" t="str">
        <x:v>Pfizer</x:v>
      </x:c>
      <x:c r="B668" s="2" t="str">
        <x:v>2021-25</x:v>
      </x:c>
      <x:c r="C668" s="2" t="str">
        <x:v>NCT05145127</x:v>
      </x:c>
      <x:c r="D668" s="2" t="str">
        <x:v>Pfizer</x:v>
      </x:c>
      <x:c r="E668" s="2" t="n">
        <x:v>1</x:v>
      </x:c>
      <x:c r="F668" s="2" t="str">
        <x:v>https://clinicaltrials.gov/study/NCT05145127</x:v>
      </x:c>
      <x:c r="G66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69" ht="23" customHeight="1">
      <x:c r="A669" s="2" t="str">
        <x:v>Pfizer</x:v>
      </x:c>
      <x:c r="B669" s="2" t="str">
        <x:v>2021-25</x:v>
      </x:c>
      <x:c r="C669" s="2" t="str">
        <x:v>NCT05132582</x:v>
      </x:c>
      <x:c r="D669" s="2" t="str">
        <x:v>Seagen, a wholly owned subsidiary of Pfizer</x:v>
      </x:c>
      <x:c r="E669" s="2" t="n">
        <x:v>0</x:v>
      </x:c>
      <x:c r="F669" s="2" t="str">
        <x:v>https://clinicaltrials.gov/study/NCT05132582</x:v>
      </x:c>
      <x:c r="G66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70" ht="23" customHeight="1">
      <x:c r="A670" s="2" t="str">
        <x:v>Pfizer</x:v>
      </x:c>
      <x:c r="B670" s="2" t="str">
        <x:v>2021-25</x:v>
      </x:c>
      <x:c r="C670" s="2" t="str">
        <x:v>NCT07144280</x:v>
      </x:c>
      <x:c r="D670" s="2" t="str">
        <x:v>Pfizer</x:v>
      </x:c>
      <x:c r="E670" s="2" t="n">
        <x:v>1</x:v>
      </x:c>
      <x:c r="F670" s="2" t="str">
        <x:v>https://clinicaltrials.gov/study/NCT07144280</x:v>
      </x:c>
      <x:c r="G67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71" ht="23" customHeight="1">
      <x:c r="A671" s="2" t="str">
        <x:v>Pfizer</x:v>
      </x:c>
      <x:c r="B671" s="2" t="str">
        <x:v>2021-25</x:v>
      </x:c>
      <x:c r="C671" s="2" t="str">
        <x:v>NCT06679140</x:v>
      </x:c>
      <x:c r="D671" s="2" t="str">
        <x:v>Pfizer</x:v>
      </x:c>
      <x:c r="E671" s="2" t="n">
        <x:v>0</x:v>
      </x:c>
      <x:c r="F671" s="2" t="str">
        <x:v>https://clinicaltrials.gov/study/NCT06679140</x:v>
      </x:c>
      <x:c r="G67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72" ht="23" customHeight="1">
      <x:c r="A672" s="2" t="str">
        <x:v>Pfizer</x:v>
      </x:c>
      <x:c r="B672" s="2" t="str">
        <x:v>2021-25</x:v>
      </x:c>
      <x:c r="C672" s="2" t="str">
        <x:v>NCT07226999</x:v>
      </x:c>
      <x:c r="D672" s="2" t="str">
        <x:v>Pfizer</x:v>
      </x:c>
      <x:c r="E672" s="2" t="n">
        <x:v>0</x:v>
      </x:c>
      <x:c r="F672" s="2" t="str">
        <x:v>https://clinicaltrials.gov/study/NCT07226999</x:v>
      </x:c>
      <x:c r="G67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73" ht="23" customHeight="1">
      <x:c r="A673" s="2" t="str">
        <x:v>Pfizer</x:v>
      </x:c>
      <x:c r="B673" s="2" t="str">
        <x:v>2021-25</x:v>
      </x:c>
      <x:c r="C673" s="2" t="str">
        <x:v>NCT05842967</x:v>
      </x:c>
      <x:c r="D673" s="2" t="str">
        <x:v>Pfizer</x:v>
      </x:c>
      <x:c r="E673" s="2" t="n">
        <x:v>0</x:v>
      </x:c>
      <x:c r="F673" s="2" t="str">
        <x:v>https://clinicaltrials.gov/study/NCT05842967</x:v>
      </x:c>
      <x:c r="G67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74" ht="23" customHeight="1">
      <x:c r="A674" s="2" t="str">
        <x:v>Pfizer</x:v>
      </x:c>
      <x:c r="B674" s="2" t="str">
        <x:v>2021-25</x:v>
      </x:c>
      <x:c r="C674" s="2" t="str">
        <x:v>NCT05875727</x:v>
      </x:c>
      <x:c r="D674" s="2" t="str">
        <x:v>Pfizer</x:v>
      </x:c>
      <x:c r="E674" s="2" t="n">
        <x:v>1</x:v>
      </x:c>
      <x:c r="F674" s="2" t="str">
        <x:v>https://clinicaltrials.gov/study/NCT05875727</x:v>
      </x:c>
      <x:c r="G67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75" ht="23" customHeight="1">
      <x:c r="A675" s="2" t="str">
        <x:v>Pfizer</x:v>
      </x:c>
      <x:c r="B675" s="2" t="str">
        <x:v>2021-25</x:v>
      </x:c>
      <x:c r="C675" s="2" t="str">
        <x:v>NCT06473519</x:v>
      </x:c>
      <x:c r="D675" s="2" t="str">
        <x:v>Pfizer</x:v>
      </x:c>
      <x:c r="E675" s="2" t="n">
        <x:v>0</x:v>
      </x:c>
      <x:c r="F675" s="2" t="str">
        <x:v>https://clinicaltrials.gov/study/NCT06473519</x:v>
      </x:c>
      <x:c r="G67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76" ht="23" customHeight="1">
      <x:c r="A676" s="2" t="str">
        <x:v>Pfizer</x:v>
      </x:c>
      <x:c r="B676" s="2" t="str">
        <x:v>2021-25</x:v>
      </x:c>
      <x:c r="C676" s="2" t="str">
        <x:v>NCT05317416</x:v>
      </x:c>
      <x:c r="D676" s="2" t="str">
        <x:v>Pfizer</x:v>
      </x:c>
      <x:c r="E676" s="2" t="n">
        <x:v>1</x:v>
      </x:c>
      <x:c r="F676" s="2" t="str">
        <x:v>https://clinicaltrials.gov/study/NCT05317416</x:v>
      </x:c>
      <x:c r="G67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77" ht="23" customHeight="1">
      <x:c r="A677" s="2" t="str">
        <x:v>Pfizer</x:v>
      </x:c>
      <x:c r="B677" s="2" t="str">
        <x:v>2021-25</x:v>
      </x:c>
      <x:c r="C677" s="2" t="str">
        <x:v>NCT05477524</x:v>
      </x:c>
      <x:c r="D677" s="2" t="str">
        <x:v>Pfizer</x:v>
      </x:c>
      <x:c r="E677" s="2" t="n">
        <x:v>0</x:v>
      </x:c>
      <x:c r="F677" s="2" t="str">
        <x:v>https://clinicaltrials.gov/study/NCT05477524</x:v>
      </x:c>
      <x:c r="G67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78" ht="23" customHeight="1">
      <x:c r="A678" s="2" t="str">
        <x:v>Pfizer</x:v>
      </x:c>
      <x:c r="B678" s="2" t="str">
        <x:v>2021-25</x:v>
      </x:c>
      <x:c r="C678" s="2" t="str">
        <x:v>NCT05399459</x:v>
      </x:c>
      <x:c r="D678" s="2" t="str">
        <x:v>Pfizer</x:v>
      </x:c>
      <x:c r="E678" s="2" t="n">
        <x:v>0</x:v>
      </x:c>
      <x:c r="F678" s="2" t="str">
        <x:v>https://clinicaltrials.gov/study/NCT05399459</x:v>
      </x:c>
      <x:c r="G67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79" ht="23" customHeight="1">
      <x:c r="A679" s="2" t="str">
        <x:v>Pfizer</x:v>
      </x:c>
      <x:c r="B679" s="2" t="str">
        <x:v>2021-25</x:v>
      </x:c>
      <x:c r="C679" s="2" t="str">
        <x:v>NCT04697381</x:v>
      </x:c>
      <x:c r="D679" s="2" t="str">
        <x:v>Pfizer</x:v>
      </x:c>
      <x:c r="E679" s="2" t="n">
        <x:v>0</x:v>
      </x:c>
      <x:c r="F679" s="2" t="str">
        <x:v>https://clinicaltrials.gov/study/NCT04697381</x:v>
      </x:c>
      <x:c r="G67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80" ht="23" customHeight="1">
      <x:c r="A680" s="2" t="str">
        <x:v>Pfizer</x:v>
      </x:c>
      <x:c r="B680" s="2" t="str">
        <x:v>2021-25</x:v>
      </x:c>
      <x:c r="C680" s="2" t="str">
        <x:v>NCT07226882</x:v>
      </x:c>
      <x:c r="D680" s="2" t="str">
        <x:v>Pfizer</x:v>
      </x:c>
      <x:c r="E680" s="2" t="n">
        <x:v>0</x:v>
      </x:c>
      <x:c r="F680" s="2" t="str">
        <x:v>https://clinicaltrials.gov/study/NCT07226882</x:v>
      </x:c>
      <x:c r="G68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81" ht="23" customHeight="1">
      <x:c r="A681" s="2" t="str">
        <x:v>Pfizer</x:v>
      </x:c>
      <x:c r="B681" s="2" t="str">
        <x:v>2021-25</x:v>
      </x:c>
      <x:c r="C681" s="2" t="str">
        <x:v>NCT06641466</x:v>
      </x:c>
      <x:c r="D681" s="2" t="str">
        <x:v>Pfizer</x:v>
      </x:c>
      <x:c r="E681" s="2" t="n">
        <x:v>1</x:v>
      </x:c>
      <x:c r="F681" s="2" t="str">
        <x:v>https://clinicaltrials.gov/study/NCT06641466</x:v>
      </x:c>
      <x:c r="G68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82" ht="23" customHeight="1">
      <x:c r="A682" s="2" t="str">
        <x:v>Pfizer</x:v>
      </x:c>
      <x:c r="B682" s="2" t="str">
        <x:v>2021-25</x:v>
      </x:c>
      <x:c r="C682" s="2" t="str">
        <x:v>NCT07160244</x:v>
      </x:c>
      <x:c r="D682" s="2" t="str">
        <x:v>Pfizer</x:v>
      </x:c>
      <x:c r="E682" s="2" t="n">
        <x:v>0</x:v>
      </x:c>
      <x:c r="F682" s="2" t="str">
        <x:v>https://clinicaltrials.gov/study/NCT07160244</x:v>
      </x:c>
      <x:c r="G68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Pfizer+OR+AREA%5BLeadSponsorName%5DWyeth%29&amp;countTotal=true&amp;pageSize=1</x:v>
      </x:c>
    </x:row>
    <x:row r="683" ht="23" customHeight="1">
      <x:c r="A683" s="2" t="str">
        <x:v>GSK</x:v>
      </x:c>
      <x:c r="B683" s="2" t="str">
        <x:v>2015-19</x:v>
      </x:c>
      <x:c r="C683" s="2" t="str">
        <x:v>NCT03072719</x:v>
      </x:c>
      <x:c r="D683" s="2" t="str">
        <x:v>GlaxoSmithKline</x:v>
      </x:c>
      <x:c r="E683" s="2" t="n">
        <x:v>0</x:v>
      </x:c>
      <x:c r="F683" s="2" t="str">
        <x:v>https://clinicaltrials.gov/study/NCT03072719</x:v>
      </x:c>
      <x:c r="G68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84" ht="23" customHeight="1">
      <x:c r="A684" s="2" t="str">
        <x:v>GSK</x:v>
      </x:c>
      <x:c r="B684" s="2" t="str">
        <x:v>2015-19</x:v>
      </x:c>
      <x:c r="C684" s="2" t="str">
        <x:v>NCT02369341</x:v>
      </x:c>
      <x:c r="D684" s="2" t="str">
        <x:v>GlaxoSmithKline</x:v>
      </x:c>
      <x:c r="E684" s="2" t="n">
        <x:v>0</x:v>
      </x:c>
      <x:c r="F684" s="2" t="str">
        <x:v>https://clinicaltrials.gov/study/NCT02369341</x:v>
      </x:c>
      <x:c r="G68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85" ht="23" customHeight="1">
      <x:c r="A685" s="2" t="str">
        <x:v>GSK</x:v>
      </x:c>
      <x:c r="B685" s="2" t="str">
        <x:v>2015-19</x:v>
      </x:c>
      <x:c r="C685" s="2" t="str">
        <x:v>NCT03807700</x:v>
      </x:c>
      <x:c r="D685" s="2" t="str">
        <x:v>GlaxoSmithKline</x:v>
      </x:c>
      <x:c r="E685" s="2" t="n">
        <x:v>0</x:v>
      </x:c>
      <x:c r="F685" s="2" t="str">
        <x:v>https://clinicaltrials.gov/study/NCT03807700</x:v>
      </x:c>
      <x:c r="G68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86" ht="23" customHeight="1">
      <x:c r="A686" s="2" t="str">
        <x:v>GSK</x:v>
      </x:c>
      <x:c r="B686" s="2" t="str">
        <x:v>2015-19</x:v>
      </x:c>
      <x:c r="C686" s="2" t="str">
        <x:v>NCT02876835</x:v>
      </x:c>
      <x:c r="D686" s="2" t="str">
        <x:v>GlaxoSmithKline</x:v>
      </x:c>
      <x:c r="E686" s="2" t="n">
        <x:v>1</x:v>
      </x:c>
      <x:c r="F686" s="2" t="str">
        <x:v>https://clinicaltrials.gov/study/NCT02876835</x:v>
      </x:c>
      <x:c r="G68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87" ht="23" customHeight="1">
      <x:c r="A687" s="2" t="str">
        <x:v>GSK</x:v>
      </x:c>
      <x:c r="B687" s="2" t="str">
        <x:v>2015-19</x:v>
      </x:c>
      <x:c r="C687" s="2" t="str">
        <x:v>NCT02429791</x:v>
      </x:c>
      <x:c r="D687" s="2" t="str">
        <x:v>ViiV Healthcare</x:v>
      </x:c>
      <x:c r="E687" s="2" t="n">
        <x:v>0</x:v>
      </x:c>
      <x:c r="F687" s="2" t="str">
        <x:v>https://clinicaltrials.gov/study/NCT02429791</x:v>
      </x:c>
      <x:c r="G68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88" ht="23" customHeight="1">
      <x:c r="A688" s="2" t="str">
        <x:v>GSK</x:v>
      </x:c>
      <x:c r="B688" s="2" t="str">
        <x:v>2015-19</x:v>
      </x:c>
      <x:c r="C688" s="2" t="str">
        <x:v>NCT02979639</x:v>
      </x:c>
      <x:c r="D688" s="2" t="str">
        <x:v>GlaxoSmithKline</x:v>
      </x:c>
      <x:c r="E688" s="2" t="n">
        <x:v>0</x:v>
      </x:c>
      <x:c r="F688" s="2" t="str">
        <x:v>https://clinicaltrials.gov/study/NCT02979639</x:v>
      </x:c>
      <x:c r="G68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89" ht="23" customHeight="1">
      <x:c r="A689" s="2" t="str">
        <x:v>GSK</x:v>
      </x:c>
      <x:c r="B689" s="2" t="str">
        <x:v>2015-19</x:v>
      </x:c>
      <x:c r="C689" s="2" t="str">
        <x:v>NCT04173494</x:v>
      </x:c>
      <x:c r="D689" s="2" t="str">
        <x:v>Sierra Oncology LLC - a GSK company</x:v>
      </x:c>
      <x:c r="E689" s="2" t="n">
        <x:v>0</x:v>
      </x:c>
      <x:c r="F689" s="2" t="str">
        <x:v>https://clinicaltrials.gov/study/NCT04173494</x:v>
      </x:c>
      <x:c r="G68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90" ht="23" customHeight="1">
      <x:c r="A690" s="2" t="str">
        <x:v>GSK</x:v>
      </x:c>
      <x:c r="B690" s="2" t="str">
        <x:v>2015-19</x:v>
      </x:c>
      <x:c r="C690" s="2" t="str">
        <x:v>NCT02938520</x:v>
      </x:c>
      <x:c r="D690" s="2" t="str">
        <x:v>ViiV Healthcare</x:v>
      </x:c>
      <x:c r="E690" s="2" t="n">
        <x:v>0</x:v>
      </x:c>
      <x:c r="F690" s="2" t="str">
        <x:v>https://clinicaltrials.gov/study/NCT02938520</x:v>
      </x:c>
      <x:c r="G69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91" ht="23" customHeight="1">
      <x:c r="A691" s="2" t="str">
        <x:v>GSK</x:v>
      </x:c>
      <x:c r="B691" s="2" t="str">
        <x:v>2015-19</x:v>
      </x:c>
      <x:c r="C691" s="2" t="str">
        <x:v>NCT02924688</x:v>
      </x:c>
      <x:c r="D691" s="2" t="str">
        <x:v>GlaxoSmithKline</x:v>
      </x:c>
      <x:c r="E691" s="2" t="n">
        <x:v>0</x:v>
      </x:c>
      <x:c r="F691" s="2" t="str">
        <x:v>https://clinicaltrials.gov/study/NCT02924688</x:v>
      </x:c>
      <x:c r="G69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92" ht="23" customHeight="1">
      <x:c r="A692" s="2" t="str">
        <x:v>GSK</x:v>
      </x:c>
      <x:c r="B692" s="2" t="str">
        <x:v>2015-19</x:v>
      </x:c>
      <x:c r="C692" s="2" t="str">
        <x:v>NCT03945981</x:v>
      </x:c>
      <x:c r="D692" s="2" t="str">
        <x:v>ViiV Healthcare</x:v>
      </x:c>
      <x:c r="E692" s="2" t="n">
        <x:v>0</x:v>
      </x:c>
      <x:c r="F692" s="2" t="str">
        <x:v>https://clinicaltrials.gov/study/NCT03945981</x:v>
      </x:c>
      <x:c r="G69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93" ht="23" customHeight="1">
      <x:c r="A693" s="2" t="str">
        <x:v>GSK</x:v>
      </x:c>
      <x:c r="B693" s="2" t="str">
        <x:v>2015-19</x:v>
      </x:c>
      <x:c r="C693" s="2" t="str">
        <x:v>NCT04020341</x:v>
      </x:c>
      <x:c r="D693" s="2" t="str">
        <x:v>GlaxoSmithKline</x:v>
      </x:c>
      <x:c r="E693" s="2" t="n">
        <x:v>1</x:v>
      </x:c>
      <x:c r="F693" s="2" t="str">
        <x:v>https://clinicaltrials.gov/study/NCT04020341</x:v>
      </x:c>
      <x:c r="G69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94" ht="23" customHeight="1">
      <x:c r="A694" s="2" t="str">
        <x:v>GSK</x:v>
      </x:c>
      <x:c r="B694" s="2" t="str">
        <x:v>2015-19</x:v>
      </x:c>
      <x:c r="C694" s="2" t="str">
        <x:v>NCT03970837</x:v>
      </x:c>
      <x:c r="D694" s="2" t="str">
        <x:v>GlaxoSmithKline</x:v>
      </x:c>
      <x:c r="E694" s="2" t="n">
        <x:v>0</x:v>
      </x:c>
      <x:c r="F694" s="2" t="str">
        <x:v>https://clinicaltrials.gov/study/NCT03970837</x:v>
      </x:c>
      <x:c r="G69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95" ht="23" customHeight="1">
      <x:c r="A695" s="2" t="str">
        <x:v>GSK</x:v>
      </x:c>
      <x:c r="B695" s="2" t="str">
        <x:v>2015-19</x:v>
      </x:c>
      <x:c r="C695" s="2" t="str">
        <x:v>NCT02422797</x:v>
      </x:c>
      <x:c r="D695" s="2" t="str">
        <x:v>ViiV Healthcare</x:v>
      </x:c>
      <x:c r="E695" s="2" t="n">
        <x:v>0</x:v>
      </x:c>
      <x:c r="F695" s="2" t="str">
        <x:v>https://clinicaltrials.gov/study/NCT02422797</x:v>
      </x:c>
      <x:c r="G69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96" ht="23" customHeight="1">
      <x:c r="A696" s="2" t="str">
        <x:v>GSK</x:v>
      </x:c>
      <x:c r="B696" s="2" t="str">
        <x:v>2015-19</x:v>
      </x:c>
      <x:c r="C696" s="2" t="str">
        <x:v>NCT04176939</x:v>
      </x:c>
      <x:c r="D696" s="2" t="str">
        <x:v>GlaxoSmithKline</x:v>
      </x:c>
      <x:c r="E696" s="2" t="n">
        <x:v>0</x:v>
      </x:c>
      <x:c r="F696" s="2" t="str">
        <x:v>https://clinicaltrials.gov/study/NCT04176939</x:v>
      </x:c>
      <x:c r="G69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97" ht="23" customHeight="1">
      <x:c r="A697" s="2" t="str">
        <x:v>GSK</x:v>
      </x:c>
      <x:c r="B697" s="2" t="str">
        <x:v>2015-19</x:v>
      </x:c>
      <x:c r="C697" s="2" t="str">
        <x:v>NCT02858440</x:v>
      </x:c>
      <x:c r="D697" s="2" t="str">
        <x:v>GlaxoSmithKline</x:v>
      </x:c>
      <x:c r="E697" s="2" t="n">
        <x:v>0</x:v>
      </x:c>
      <x:c r="F697" s="2" t="str">
        <x:v>https://clinicaltrials.gov/study/NCT02858440</x:v>
      </x:c>
      <x:c r="G69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98" ht="23" customHeight="1">
      <x:c r="A698" s="2" t="str">
        <x:v>GSK</x:v>
      </x:c>
      <x:c r="B698" s="2" t="str">
        <x:v>2015-19</x:v>
      </x:c>
      <x:c r="C698" s="2" t="str">
        <x:v>NCT02446743</x:v>
      </x:c>
      <x:c r="D698" s="2" t="str">
        <x:v>GlaxoSmithKline</x:v>
      </x:c>
      <x:c r="E698" s="2" t="n">
        <x:v>0</x:v>
      </x:c>
      <x:c r="F698" s="2" t="str">
        <x:v>https://clinicaltrials.gov/study/NCT02446743</x:v>
      </x:c>
      <x:c r="G69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699" ht="23" customHeight="1">
      <x:c r="A699" s="2" t="str">
        <x:v>GSK</x:v>
      </x:c>
      <x:c r="B699" s="2" t="str">
        <x:v>2015-19</x:v>
      </x:c>
      <x:c r="C699" s="2" t="str">
        <x:v>NCT02683746</x:v>
      </x:c>
      <x:c r="D699" s="2" t="str">
        <x:v>GlaxoSmithKline</x:v>
      </x:c>
      <x:c r="E699" s="2" t="n">
        <x:v>0</x:v>
      </x:c>
      <x:c r="F699" s="2" t="str">
        <x:v>https://clinicaltrials.gov/study/NCT02683746</x:v>
      </x:c>
      <x:c r="G69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00" ht="23" customHeight="1">
      <x:c r="A700" s="2" t="str">
        <x:v>GSK</x:v>
      </x:c>
      <x:c r="B700" s="2" t="str">
        <x:v>2015-19</x:v>
      </x:c>
      <x:c r="C700" s="2" t="str">
        <x:v>NCT03085797</x:v>
      </x:c>
      <x:c r="D700" s="2" t="str">
        <x:v>GlaxoSmithKline</x:v>
      </x:c>
      <x:c r="E700" s="2" t="n">
        <x:v>0</x:v>
      </x:c>
      <x:c r="F700" s="2" t="str">
        <x:v>https://clinicaltrials.gov/study/NCT03085797</x:v>
      </x:c>
      <x:c r="G70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01" ht="23" customHeight="1">
      <x:c r="A701" s="2" t="str">
        <x:v>GSK</x:v>
      </x:c>
      <x:c r="B701" s="2" t="str">
        <x:v>2015-19</x:v>
      </x:c>
      <x:c r="C701" s="2" t="str">
        <x:v>NCT04133909</x:v>
      </x:c>
      <x:c r="D701" s="2" t="str">
        <x:v>GlaxoSmithKline</x:v>
      </x:c>
      <x:c r="E701" s="2" t="n">
        <x:v>1</x:v>
      </x:c>
      <x:c r="F701" s="2" t="str">
        <x:v>https://clinicaltrials.gov/study/NCT04133909</x:v>
      </x:c>
      <x:c r="G70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02" ht="23" customHeight="1">
      <x:c r="A702" s="2" t="str">
        <x:v>GSK</x:v>
      </x:c>
      <x:c r="B702" s="2" t="str">
        <x:v>2015-19</x:v>
      </x:c>
      <x:c r="C702" s="2" t="str">
        <x:v>NCT03184987</x:v>
      </x:c>
      <x:c r="D702" s="2" t="str">
        <x:v>GlaxoSmithKline</x:v>
      </x:c>
      <x:c r="E702" s="2" t="n">
        <x:v>0</x:v>
      </x:c>
      <x:c r="F702" s="2" t="str">
        <x:v>https://clinicaltrials.gov/study/NCT03184987</x:v>
      </x:c>
      <x:c r="G70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03" ht="23" customHeight="1">
      <x:c r="A703" s="2" t="str">
        <x:v>GSK</x:v>
      </x:c>
      <x:c r="B703" s="2" t="str">
        <x:v>2015-19</x:v>
      </x:c>
      <x:c r="C703" s="2" t="str">
        <x:v>NCT03021304</x:v>
      </x:c>
      <x:c r="D703" s="2" t="str">
        <x:v>GlaxoSmithKline</x:v>
      </x:c>
      <x:c r="E703" s="2" t="n">
        <x:v>0</x:v>
      </x:c>
      <x:c r="F703" s="2" t="str">
        <x:v>https://clinicaltrials.gov/study/NCT03021304</x:v>
      </x:c>
      <x:c r="G70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04" ht="23" customHeight="1">
      <x:c r="A704" s="2" t="str">
        <x:v>GSK</x:v>
      </x:c>
      <x:c r="B704" s="2" t="str">
        <x:v>2015-19</x:v>
      </x:c>
      <x:c r="C704" s="2" t="str">
        <x:v>NCT03128489</x:v>
      </x:c>
      <x:c r="D704" s="2" t="str">
        <x:v>GlaxoSmithKline</x:v>
      </x:c>
      <x:c r="E704" s="2" t="n">
        <x:v>0</x:v>
      </x:c>
      <x:c r="F704" s="2" t="str">
        <x:v>https://clinicaltrials.gov/study/NCT03128489</x:v>
      </x:c>
      <x:c r="G70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05" ht="23" customHeight="1">
      <x:c r="A705" s="2" t="str">
        <x:v>GSK</x:v>
      </x:c>
      <x:c r="B705" s="2" t="str">
        <x:v>2015-19</x:v>
      </x:c>
      <x:c r="C705" s="2" t="str">
        <x:v>NCT02731846</x:v>
      </x:c>
      <x:c r="D705" s="2" t="str">
        <x:v>GlaxoSmithKline</x:v>
      </x:c>
      <x:c r="E705" s="2" t="n">
        <x:v>0</x:v>
      </x:c>
      <x:c r="F705" s="2" t="str">
        <x:v>https://clinicaltrials.gov/study/NCT02731846</x:v>
      </x:c>
      <x:c r="G70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06" ht="23" customHeight="1">
      <x:c r="A706" s="2" t="str">
        <x:v>GSK</x:v>
      </x:c>
      <x:c r="B706" s="2" t="str">
        <x:v>2015-19</x:v>
      </x:c>
      <x:c r="C706" s="2" t="str">
        <x:v>NCT04162210</x:v>
      </x:c>
      <x:c r="D706" s="2" t="str">
        <x:v>GlaxoSmithKline</x:v>
      </x:c>
      <x:c r="E706" s="2" t="n">
        <x:v>0</x:v>
      </x:c>
      <x:c r="F706" s="2" t="str">
        <x:v>https://clinicaltrials.gov/study/NCT04162210</x:v>
      </x:c>
      <x:c r="G70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07" ht="23" customHeight="1">
      <x:c r="A707" s="2" t="str">
        <x:v>GSK</x:v>
      </x:c>
      <x:c r="B707" s="2" t="str">
        <x:v>2015-19</x:v>
      </x:c>
      <x:c r="C707" s="2" t="str">
        <x:v>NCT02446418</x:v>
      </x:c>
      <x:c r="D707" s="2" t="str">
        <x:v>GlaxoSmithKline</x:v>
      </x:c>
      <x:c r="E707" s="2" t="n">
        <x:v>0</x:v>
      </x:c>
      <x:c r="F707" s="2" t="str">
        <x:v>https://clinicaltrials.gov/study/NCT02446418</x:v>
      </x:c>
      <x:c r="G70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08" ht="23" customHeight="1">
      <x:c r="A708" s="2" t="str">
        <x:v>GSK</x:v>
      </x:c>
      <x:c r="B708" s="2" t="str">
        <x:v>2015-19</x:v>
      </x:c>
      <x:c r="C708" s="2" t="str">
        <x:v>NCT02723773</x:v>
      </x:c>
      <x:c r="D708" s="2" t="str">
        <x:v>GlaxoSmithKline</x:v>
      </x:c>
      <x:c r="E708" s="2" t="n">
        <x:v>0</x:v>
      </x:c>
      <x:c r="F708" s="2" t="str">
        <x:v>https://clinicaltrials.gov/study/NCT02723773</x:v>
      </x:c>
      <x:c r="G70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09" ht="23" customHeight="1">
      <x:c r="A709" s="2" t="str">
        <x:v>GSK</x:v>
      </x:c>
      <x:c r="B709" s="2" t="str">
        <x:v>2015-19</x:v>
      </x:c>
      <x:c r="C709" s="2" t="str">
        <x:v>NCT03409107</x:v>
      </x:c>
      <x:c r="D709" s="2" t="str">
        <x:v>GlaxoSmithKline</x:v>
      </x:c>
      <x:c r="E709" s="2" t="n">
        <x:v>0</x:v>
      </x:c>
      <x:c r="F709" s="2" t="str">
        <x:v>https://clinicaltrials.gov/study/NCT03409107</x:v>
      </x:c>
      <x:c r="G70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10" ht="23" customHeight="1">
      <x:c r="A710" s="2" t="str">
        <x:v>GSK</x:v>
      </x:c>
      <x:c r="B710" s="2" t="str">
        <x:v>2015-19</x:v>
      </x:c>
      <x:c r="C710" s="2" t="str">
        <x:v>NCT02555371</x:v>
      </x:c>
      <x:c r="D710" s="2" t="str">
        <x:v>GlaxoSmithKline</x:v>
      </x:c>
      <x:c r="E710" s="2" t="n">
        <x:v>0</x:v>
      </x:c>
      <x:c r="F710" s="2" t="str">
        <x:v>https://clinicaltrials.gov/study/NCT02555371</x:v>
      </x:c>
      <x:c r="G71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11" ht="23" customHeight="1">
      <x:c r="A711" s="2" t="str">
        <x:v>GSK</x:v>
      </x:c>
      <x:c r="B711" s="2" t="str">
        <x:v>2015-19</x:v>
      </x:c>
      <x:c r="C711" s="2" t="str">
        <x:v>NCT03296072</x:v>
      </x:c>
      <x:c r="D711" s="2" t="str">
        <x:v>GlaxoSmithKline</x:v>
      </x:c>
      <x:c r="E711" s="2" t="n">
        <x:v>0</x:v>
      </x:c>
      <x:c r="F711" s="2" t="str">
        <x:v>https://clinicaltrials.gov/study/NCT03296072</x:v>
      </x:c>
      <x:c r="G71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12" ht="23" customHeight="1">
      <x:c r="A712" s="2" t="str">
        <x:v>GSK</x:v>
      </x:c>
      <x:c r="B712" s="2" t="str">
        <x:v>2015-19</x:v>
      </x:c>
      <x:c r="C712" s="2" t="str">
        <x:v>NCT03306043</x:v>
      </x:c>
      <x:c r="D712" s="2" t="str">
        <x:v>GlaxoSmithKline</x:v>
      </x:c>
      <x:c r="E712" s="2" t="n">
        <x:v>0</x:v>
      </x:c>
      <x:c r="F712" s="2" t="str">
        <x:v>https://clinicaltrials.gov/study/NCT03306043</x:v>
      </x:c>
      <x:c r="G71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13" ht="23" customHeight="1">
      <x:c r="A713" s="2" t="str">
        <x:v>GSK</x:v>
      </x:c>
      <x:c r="B713" s="2" t="str">
        <x:v>2015-19</x:v>
      </x:c>
      <x:c r="C713" s="2" t="str">
        <x:v>NCT04134728</x:v>
      </x:c>
      <x:c r="D713" s="2" t="str">
        <x:v>GlaxoSmithKline</x:v>
      </x:c>
      <x:c r="E713" s="2" t="n">
        <x:v>0</x:v>
      </x:c>
      <x:c r="F713" s="2" t="str">
        <x:v>https://clinicaltrials.gov/study/NCT04134728</x:v>
      </x:c>
      <x:c r="G71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14" ht="23" customHeight="1">
      <x:c r="A714" s="2" t="str">
        <x:v>GSK</x:v>
      </x:c>
      <x:c r="B714" s="2" t="str">
        <x:v>2015-19</x:v>
      </x:c>
      <x:c r="C714" s="2" t="str">
        <x:v>NCT02879305</x:v>
      </x:c>
      <x:c r="D714" s="2" t="str">
        <x:v>GlaxoSmithKline</x:v>
      </x:c>
      <x:c r="E714" s="2" t="n">
        <x:v>1</x:v>
      </x:c>
      <x:c r="F714" s="2" t="str">
        <x:v>https://clinicaltrials.gov/study/NCT02879305</x:v>
      </x:c>
      <x:c r="G71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15" ht="23" customHeight="1">
      <x:c r="A715" s="2" t="str">
        <x:v>GSK</x:v>
      </x:c>
      <x:c r="B715" s="2" t="str">
        <x:v>2015-19</x:v>
      </x:c>
      <x:c r="C715" s="2" t="str">
        <x:v>NCT02447432</x:v>
      </x:c>
      <x:c r="D715" s="2" t="str">
        <x:v>GlaxoSmithKline</x:v>
      </x:c>
      <x:c r="E715" s="2" t="n">
        <x:v>0</x:v>
      </x:c>
      <x:c r="F715" s="2" t="str">
        <x:v>https://clinicaltrials.gov/study/NCT02447432</x:v>
      </x:c>
      <x:c r="G71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16" ht="23" customHeight="1">
      <x:c r="A716" s="2" t="str">
        <x:v>GSK</x:v>
      </x:c>
      <x:c r="B716" s="2" t="str">
        <x:v>2015-19</x:v>
      </x:c>
      <x:c r="C716" s="2" t="str">
        <x:v>NCT02829320</x:v>
      </x:c>
      <x:c r="D716" s="2" t="str">
        <x:v>GlaxoSmithKline</x:v>
      </x:c>
      <x:c r="E716" s="2" t="n">
        <x:v>0</x:v>
      </x:c>
      <x:c r="F716" s="2" t="str">
        <x:v>https://clinicaltrials.gov/study/NCT02829320</x:v>
      </x:c>
      <x:c r="G71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17" ht="23" customHeight="1">
      <x:c r="A717" s="2" t="str">
        <x:v>GSK</x:v>
      </x:c>
      <x:c r="B717" s="2" t="str">
        <x:v>2015-19</x:v>
      </x:c>
      <x:c r="C717" s="2" t="str">
        <x:v>NCT02735915</x:v>
      </x:c>
      <x:c r="D717" s="2" t="str">
        <x:v>GlaxoSmithKline</x:v>
      </x:c>
      <x:c r="E717" s="2" t="n">
        <x:v>0</x:v>
      </x:c>
      <x:c r="F717" s="2" t="str">
        <x:v>https://clinicaltrials.gov/study/NCT02735915</x:v>
      </x:c>
      <x:c r="G71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18" ht="23" customHeight="1">
      <x:c r="A718" s="2" t="str">
        <x:v>GSK</x:v>
      </x:c>
      <x:c r="B718" s="2" t="str">
        <x:v>2015-19</x:v>
      </x:c>
      <x:c r="C718" s="2" t="str">
        <x:v>NCT02802501</x:v>
      </x:c>
      <x:c r="D718" s="2" t="str">
        <x:v>GlaxoSmithKline</x:v>
      </x:c>
      <x:c r="E718" s="2" t="n">
        <x:v>0</x:v>
      </x:c>
      <x:c r="F718" s="2" t="str">
        <x:v>https://clinicaltrials.gov/study/NCT02802501</x:v>
      </x:c>
      <x:c r="G71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19" ht="23" customHeight="1">
      <x:c r="A719" s="2" t="str">
        <x:v>GSK</x:v>
      </x:c>
      <x:c r="B719" s="2" t="str">
        <x:v>2015-19</x:v>
      </x:c>
      <x:c r="C719" s="2" t="str">
        <x:v>NCT03015519</x:v>
      </x:c>
      <x:c r="D719" s="2" t="str">
        <x:v>GlaxoSmithKline</x:v>
      </x:c>
      <x:c r="E719" s="2" t="n">
        <x:v>0</x:v>
      </x:c>
      <x:c r="F719" s="2" t="str">
        <x:v>https://clinicaltrials.gov/study/NCT03015519</x:v>
      </x:c>
      <x:c r="G71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20" ht="23" customHeight="1">
      <x:c r="A720" s="2" t="str">
        <x:v>GSK</x:v>
      </x:c>
      <x:c r="B720" s="2" t="str">
        <x:v>2015-19</x:v>
      </x:c>
      <x:c r="C720" s="2" t="str">
        <x:v>NCT02820844</x:v>
      </x:c>
      <x:c r="D720" s="2" t="str">
        <x:v>GlaxoSmithKline</x:v>
      </x:c>
      <x:c r="E720" s="2" t="n">
        <x:v>0</x:v>
      </x:c>
      <x:c r="F720" s="2" t="str">
        <x:v>https://clinicaltrials.gov/study/NCT02820844</x:v>
      </x:c>
      <x:c r="G72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21" ht="23" customHeight="1">
      <x:c r="A721" s="2" t="str">
        <x:v>GSK</x:v>
      </x:c>
      <x:c r="B721" s="2" t="str">
        <x:v>2015-19</x:v>
      </x:c>
      <x:c r="C721" s="2" t="str">
        <x:v>NCT04091451</x:v>
      </x:c>
      <x:c r="D721" s="2" t="str">
        <x:v>GlaxoSmithKline</x:v>
      </x:c>
      <x:c r="E721" s="2" t="n">
        <x:v>0</x:v>
      </x:c>
      <x:c r="F721" s="2" t="str">
        <x:v>https://clinicaltrials.gov/study/NCT04091451</x:v>
      </x:c>
      <x:c r="G72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22" ht="23" customHeight="1">
      <x:c r="A722" s="2" t="str">
        <x:v>GSK</x:v>
      </x:c>
      <x:c r="B722" s="2" t="str">
        <x:v>2015-19</x:v>
      </x:c>
      <x:c r="C722" s="2" t="str">
        <x:v>NCT03400033</x:v>
      </x:c>
      <x:c r="D722" s="2" t="str">
        <x:v>GlaxoSmithKline</x:v>
      </x:c>
      <x:c r="E722" s="2" t="n">
        <x:v>0</x:v>
      </x:c>
      <x:c r="F722" s="2" t="str">
        <x:v>https://clinicaltrials.gov/study/NCT03400033</x:v>
      </x:c>
      <x:c r="G72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23" ht="23" customHeight="1">
      <x:c r="A723" s="2" t="str">
        <x:v>GSK</x:v>
      </x:c>
      <x:c r="B723" s="2" t="str">
        <x:v>2015-19</x:v>
      </x:c>
      <x:c r="C723" s="2" t="str">
        <x:v>NCT03311659</x:v>
      </x:c>
      <x:c r="D723" s="2" t="str">
        <x:v>GlaxoSmithKline</x:v>
      </x:c>
      <x:c r="E723" s="2" t="n">
        <x:v>0</x:v>
      </x:c>
      <x:c r="F723" s="2" t="str">
        <x:v>https://clinicaltrials.gov/study/NCT03311659</x:v>
      </x:c>
      <x:c r="G72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24" ht="23" customHeight="1">
      <x:c r="A724" s="2" t="str">
        <x:v>GSK</x:v>
      </x:c>
      <x:c r="B724" s="2" t="str">
        <x:v>2015-19</x:v>
      </x:c>
      <x:c r="C724" s="2" t="str">
        <x:v>NCT03207750</x:v>
      </x:c>
      <x:c r="D724" s="2" t="str">
        <x:v>GlaxoSmithKline</x:v>
      </x:c>
      <x:c r="E724" s="2" t="n">
        <x:v>0</x:v>
      </x:c>
      <x:c r="F724" s="2" t="str">
        <x:v>https://clinicaltrials.gov/study/NCT03207750</x:v>
      </x:c>
      <x:c r="G72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25" ht="23" customHeight="1">
      <x:c r="A725" s="2" t="str">
        <x:v>GSK</x:v>
      </x:c>
      <x:c r="B725" s="2" t="str">
        <x:v>2015-19</x:v>
      </x:c>
      <x:c r="C725" s="2" t="str">
        <x:v>NCT02832375</x:v>
      </x:c>
      <x:c r="D725" s="2" t="str">
        <x:v>GlaxoSmithKline</x:v>
      </x:c>
      <x:c r="E725" s="2" t="n">
        <x:v>0</x:v>
      </x:c>
      <x:c r="F725" s="2" t="str">
        <x:v>https://clinicaltrials.gov/study/NCT02832375</x:v>
      </x:c>
      <x:c r="G72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26" ht="23" customHeight="1">
      <x:c r="A726" s="2" t="str">
        <x:v>GSK</x:v>
      </x:c>
      <x:c r="B726" s="2" t="str">
        <x:v>2015-19</x:v>
      </x:c>
      <x:c r="C726" s="2" t="str">
        <x:v>NCT03376932</x:v>
      </x:c>
      <x:c r="D726" s="2" t="str">
        <x:v>GlaxoSmithKline</x:v>
      </x:c>
      <x:c r="E726" s="2" t="n">
        <x:v>0</x:v>
      </x:c>
      <x:c r="F726" s="2" t="str">
        <x:v>https://clinicaltrials.gov/study/NCT03376932</x:v>
      </x:c>
      <x:c r="G72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27" ht="23" customHeight="1">
      <x:c r="A727" s="2" t="str">
        <x:v>GSK</x:v>
      </x:c>
      <x:c r="B727" s="2" t="str">
        <x:v>2015-19</x:v>
      </x:c>
      <x:c r="C727" s="2" t="str">
        <x:v>NCT03202004</x:v>
      </x:c>
      <x:c r="D727" s="2" t="str">
        <x:v>GlaxoSmithKline</x:v>
      </x:c>
      <x:c r="E727" s="2" t="n">
        <x:v>0</x:v>
      </x:c>
      <x:c r="F727" s="2" t="str">
        <x:v>https://clinicaltrials.gov/study/NCT03202004</x:v>
      </x:c>
      <x:c r="G72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28" ht="23" customHeight="1">
      <x:c r="A728" s="2" t="str">
        <x:v>GSK</x:v>
      </x:c>
      <x:c r="B728" s="2" t="str">
        <x:v>2015-19</x:v>
      </x:c>
      <x:c r="C728" s="2" t="str">
        <x:v>NCT02849418</x:v>
      </x:c>
      <x:c r="D728" s="2" t="str">
        <x:v>GlaxoSmithKline</x:v>
      </x:c>
      <x:c r="E728" s="2" t="n">
        <x:v>0</x:v>
      </x:c>
      <x:c r="F728" s="2" t="str">
        <x:v>https://clinicaltrials.gov/study/NCT02849418</x:v>
      </x:c>
      <x:c r="G72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29" ht="23" customHeight="1">
      <x:c r="A729" s="2" t="str">
        <x:v>GSK</x:v>
      </x:c>
      <x:c r="B729" s="2" t="str">
        <x:v>2015-19</x:v>
      </x:c>
      <x:c r="C729" s="2" t="str">
        <x:v>NCT02377466</x:v>
      </x:c>
      <x:c r="D729" s="2" t="str">
        <x:v>GlaxoSmithKline</x:v>
      </x:c>
      <x:c r="E729" s="2" t="n">
        <x:v>0</x:v>
      </x:c>
      <x:c r="F729" s="2" t="str">
        <x:v>https://clinicaltrials.gov/study/NCT02377466</x:v>
      </x:c>
      <x:c r="G72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30" ht="23" customHeight="1">
      <x:c r="A730" s="2" t="str">
        <x:v>GSK</x:v>
      </x:c>
      <x:c r="B730" s="2" t="str">
        <x:v>2015-19</x:v>
      </x:c>
      <x:c r="C730" s="2" t="str">
        <x:v>NCT03298061</x:v>
      </x:c>
      <x:c r="D730" s="2" t="str">
        <x:v>GlaxoSmithKline</x:v>
      </x:c>
      <x:c r="E730" s="2" t="n">
        <x:v>0</x:v>
      </x:c>
      <x:c r="F730" s="2" t="str">
        <x:v>https://clinicaltrials.gov/study/NCT03298061</x:v>
      </x:c>
      <x:c r="G73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31" ht="23" customHeight="1">
      <x:c r="A731" s="2" t="str">
        <x:v>GSK</x:v>
      </x:c>
      <x:c r="B731" s="2" t="str">
        <x:v>2015-19</x:v>
      </x:c>
      <x:c r="C731" s="2" t="str">
        <x:v>NCT03248128</x:v>
      </x:c>
      <x:c r="D731" s="2" t="str">
        <x:v>GlaxoSmithKline</x:v>
      </x:c>
      <x:c r="E731" s="2" t="n">
        <x:v>0</x:v>
      </x:c>
      <x:c r="F731" s="2" t="str">
        <x:v>https://clinicaltrials.gov/study/NCT03248128</x:v>
      </x:c>
      <x:c r="G73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32" ht="23" customHeight="1">
      <x:c r="A732" s="2" t="str">
        <x:v>GSK</x:v>
      </x:c>
      <x:c r="B732" s="2" t="str">
        <x:v>2015-19</x:v>
      </x:c>
      <x:c r="C732" s="2" t="str">
        <x:v>NCT04001803</x:v>
      </x:c>
      <x:c r="D732" s="2" t="str">
        <x:v>ViiV Healthcare</x:v>
      </x:c>
      <x:c r="E732" s="2" t="n">
        <x:v>0</x:v>
      </x:c>
      <x:c r="F732" s="2" t="str">
        <x:v>https://clinicaltrials.gov/study/NCT04001803</x:v>
      </x:c>
      <x:c r="G73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33" ht="23" customHeight="1">
      <x:c r="A733" s="2" t="str">
        <x:v>GSK</x:v>
      </x:c>
      <x:c r="B733" s="2" t="str">
        <x:v>2015-19</x:v>
      </x:c>
      <x:c r="C733" s="2" t="str">
        <x:v>NCT02362503</x:v>
      </x:c>
      <x:c r="D733" s="2" t="str">
        <x:v>ViiV Healthcare</x:v>
      </x:c>
      <x:c r="E733" s="2" t="n">
        <x:v>0</x:v>
      </x:c>
      <x:c r="F733" s="2" t="str">
        <x:v>https://clinicaltrials.gov/study/NCT02362503</x:v>
      </x:c>
      <x:c r="G73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34" ht="23" customHeight="1">
      <x:c r="A734" s="2" t="str">
        <x:v>GSK</x:v>
      </x:c>
      <x:c r="B734" s="2" t="str">
        <x:v>2015-19</x:v>
      </x:c>
      <x:c r="C734" s="2" t="str">
        <x:v>NCT03016533</x:v>
      </x:c>
      <x:c r="D734" s="2" t="str">
        <x:v>ViiV Healthcare</x:v>
      </x:c>
      <x:c r="E734" s="2" t="n">
        <x:v>0</x:v>
      </x:c>
      <x:c r="F734" s="2" t="str">
        <x:v>https://clinicaltrials.gov/study/NCT03016533</x:v>
      </x:c>
      <x:c r="G73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35" ht="23" customHeight="1">
      <x:c r="A735" s="2" t="str">
        <x:v>GSK</x:v>
      </x:c>
      <x:c r="B735" s="2" t="str">
        <x:v>2015-19</x:v>
      </x:c>
      <x:c r="C735" s="2" t="str">
        <x:v>NCT02899026</x:v>
      </x:c>
      <x:c r="D735" s="2" t="str">
        <x:v>GlaxoSmithKline</x:v>
      </x:c>
      <x:c r="E735" s="2" t="n">
        <x:v>0</x:v>
      </x:c>
      <x:c r="F735" s="2" t="str">
        <x:v>https://clinicaltrials.gov/study/NCT02899026</x:v>
      </x:c>
      <x:c r="G73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36" ht="23" customHeight="1">
      <x:c r="A736" s="2" t="str">
        <x:v>GSK</x:v>
      </x:c>
      <x:c r="B736" s="2" t="str">
        <x:v>2015-19</x:v>
      </x:c>
      <x:c r="C736" s="2" t="str">
        <x:v>NCT02986854</x:v>
      </x:c>
      <x:c r="D736" s="2" t="str">
        <x:v>GlaxoSmithKline</x:v>
      </x:c>
      <x:c r="E736" s="2" t="n">
        <x:v>0</x:v>
      </x:c>
      <x:c r="F736" s="2" t="str">
        <x:v>https://clinicaltrials.gov/study/NCT02986854</x:v>
      </x:c>
      <x:c r="G73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37" ht="23" customHeight="1">
      <x:c r="A737" s="2" t="str">
        <x:v>GSK</x:v>
      </x:c>
      <x:c r="B737" s="2" t="str">
        <x:v>2015-19</x:v>
      </x:c>
      <x:c r="C737" s="2" t="str">
        <x:v>NCT02914184</x:v>
      </x:c>
      <x:c r="D737" s="2" t="str">
        <x:v>GlaxoSmithKline</x:v>
      </x:c>
      <x:c r="E737" s="2" t="n">
        <x:v>0</x:v>
      </x:c>
      <x:c r="F737" s="2" t="str">
        <x:v>https://clinicaltrials.gov/study/NCT02914184</x:v>
      </x:c>
      <x:c r="G73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38" ht="23" customHeight="1">
      <x:c r="A738" s="2" t="str">
        <x:v>GSK</x:v>
      </x:c>
      <x:c r="B738" s="2" t="str">
        <x:v>2015-19</x:v>
      </x:c>
      <x:c r="C738" s="2" t="str">
        <x:v>NCT04021290</x:v>
      </x:c>
      <x:c r="D738" s="2" t="str">
        <x:v>ViiV Healthcare</x:v>
      </x:c>
      <x:c r="E738" s="2" t="n">
        <x:v>0</x:v>
      </x:c>
      <x:c r="F738" s="2" t="str">
        <x:v>https://clinicaltrials.gov/study/NCT04021290</x:v>
      </x:c>
      <x:c r="G73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39" ht="23" customHeight="1">
      <x:c r="A739" s="2" t="str">
        <x:v>GSK</x:v>
      </x:c>
      <x:c r="B739" s="2" t="str">
        <x:v>2015-19</x:v>
      </x:c>
      <x:c r="C739" s="2" t="str">
        <x:v>NCT02836496</x:v>
      </x:c>
      <x:c r="D739" s="2" t="str">
        <x:v>GlaxoSmithKline</x:v>
      </x:c>
      <x:c r="E739" s="2" t="n">
        <x:v>0</x:v>
      </x:c>
      <x:c r="F739" s="2" t="str">
        <x:v>https://clinicaltrials.gov/study/NCT02836496</x:v>
      </x:c>
      <x:c r="G73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40" ht="23" customHeight="1">
      <x:c r="A740" s="2" t="str">
        <x:v>GSK</x:v>
      </x:c>
      <x:c r="B740" s="2" t="str">
        <x:v>2015-19</x:v>
      </x:c>
      <x:c r="C740" s="2" t="str">
        <x:v>NCT02483975</x:v>
      </x:c>
      <x:c r="D740" s="2" t="str">
        <x:v>GlaxoSmithKline</x:v>
      </x:c>
      <x:c r="E740" s="2" t="n">
        <x:v>0</x:v>
      </x:c>
      <x:c r="F740" s="2" t="str">
        <x:v>https://clinicaltrials.gov/study/NCT02483975</x:v>
      </x:c>
      <x:c r="G74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41" ht="23" customHeight="1">
      <x:c r="A741" s="2" t="str">
        <x:v>GSK</x:v>
      </x:c>
      <x:c r="B741" s="2" t="str">
        <x:v>2015-19</x:v>
      </x:c>
      <x:c r="C741" s="2" t="str">
        <x:v>NCT02831673</x:v>
      </x:c>
      <x:c r="D741" s="2" t="str">
        <x:v>ViiV Healthcare</x:v>
      </x:c>
      <x:c r="E741" s="2" t="n">
        <x:v>0</x:v>
      </x:c>
      <x:c r="F741" s="2" t="str">
        <x:v>https://clinicaltrials.gov/study/NCT02831673</x:v>
      </x:c>
      <x:c r="G74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42" ht="23" customHeight="1">
      <x:c r="A742" s="2" t="str">
        <x:v>GSK</x:v>
      </x:c>
      <x:c r="B742" s="2" t="str">
        <x:v>2015-19</x:v>
      </x:c>
      <x:c r="C742" s="2" t="str">
        <x:v>NCT02545517</x:v>
      </x:c>
      <x:c r="D742" s="2" t="str">
        <x:v>GlaxoSmithKline</x:v>
      </x:c>
      <x:c r="E742" s="2" t="n">
        <x:v>0</x:v>
      </x:c>
      <x:c r="F742" s="2" t="str">
        <x:v>https://clinicaltrials.gov/study/NCT02545517</x:v>
      </x:c>
      <x:c r="G74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43" ht="23" customHeight="1">
      <x:c r="A743" s="2" t="str">
        <x:v>GSK</x:v>
      </x:c>
      <x:c r="B743" s="2" t="str">
        <x:v>2015-19</x:v>
      </x:c>
      <x:c r="C743" s="2" t="str">
        <x:v>NCT03562195</x:v>
      </x:c>
      <x:c r="D743" s="2" t="str">
        <x:v>GlaxoSmithKline</x:v>
      </x:c>
      <x:c r="E743" s="2" t="n">
        <x:v>0</x:v>
      </x:c>
      <x:c r="F743" s="2" t="str">
        <x:v>https://clinicaltrials.gov/study/NCT03562195</x:v>
      </x:c>
      <x:c r="G74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44" ht="23" customHeight="1">
      <x:c r="A744" s="2" t="str">
        <x:v>GSK</x:v>
      </x:c>
      <x:c r="B744" s="2" t="str">
        <x:v>2015-19</x:v>
      </x:c>
      <x:c r="C744" s="2" t="str">
        <x:v>NCT02345161</x:v>
      </x:c>
      <x:c r="D744" s="2" t="str">
        <x:v>GlaxoSmithKline</x:v>
      </x:c>
      <x:c r="E744" s="2" t="n">
        <x:v>0</x:v>
      </x:c>
      <x:c r="F744" s="2" t="str">
        <x:v>https://clinicaltrials.gov/study/NCT02345161</x:v>
      </x:c>
      <x:c r="G74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45" ht="23" customHeight="1">
      <x:c r="A745" s="2" t="str">
        <x:v>GSK</x:v>
      </x:c>
      <x:c r="B745" s="2" t="str">
        <x:v>2015-19</x:v>
      </x:c>
      <x:c r="C745" s="2" t="str">
        <x:v>NCT03446573</x:v>
      </x:c>
      <x:c r="D745" s="2" t="str">
        <x:v>ViiV Healthcare</x:v>
      </x:c>
      <x:c r="E745" s="2" t="n">
        <x:v>0</x:v>
      </x:c>
      <x:c r="F745" s="2" t="str">
        <x:v>https://clinicaltrials.gov/study/NCT03446573</x:v>
      </x:c>
      <x:c r="G74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46" ht="23" customHeight="1">
      <x:c r="A746" s="2" t="str">
        <x:v>GSK</x:v>
      </x:c>
      <x:c r="B746" s="2" t="str">
        <x:v>2015-19</x:v>
      </x:c>
      <x:c r="C746" s="2" t="str">
        <x:v>NCT02478632</x:v>
      </x:c>
      <x:c r="D746" s="2" t="str">
        <x:v>ViiV Healthcare</x:v>
      </x:c>
      <x:c r="E746" s="2" t="n">
        <x:v>0</x:v>
      </x:c>
      <x:c r="F746" s="2" t="str">
        <x:v>https://clinicaltrials.gov/study/NCT02478632</x:v>
      </x:c>
      <x:c r="G74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47" ht="23" customHeight="1">
      <x:c r="A747" s="2" t="str">
        <x:v>GSK</x:v>
      </x:c>
      <x:c r="B747" s="2" t="str">
        <x:v>2015-19</x:v>
      </x:c>
      <x:c r="C747" s="2" t="str">
        <x:v>NCT03261167</x:v>
      </x:c>
      <x:c r="D747" s="2" t="str">
        <x:v>GlaxoSmithKline</x:v>
      </x:c>
      <x:c r="E747" s="2" t="n">
        <x:v>0</x:v>
      </x:c>
      <x:c r="F747" s="2" t="str">
        <x:v>https://clinicaltrials.gov/study/NCT03261167</x:v>
      </x:c>
      <x:c r="G74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48" ht="23" customHeight="1">
      <x:c r="A748" s="2" t="str">
        <x:v>GSK</x:v>
      </x:c>
      <x:c r="B748" s="2" t="str">
        <x:v>2015-19</x:v>
      </x:c>
      <x:c r="C748" s="2" t="str">
        <x:v>NCT03014674</x:v>
      </x:c>
      <x:c r="D748" s="2" t="str">
        <x:v>GlaxoSmithKline</x:v>
      </x:c>
      <x:c r="E748" s="2" t="n">
        <x:v>0</x:v>
      </x:c>
      <x:c r="F748" s="2" t="str">
        <x:v>https://clinicaltrials.gov/study/NCT03014674</x:v>
      </x:c>
      <x:c r="G74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49" ht="23" customHeight="1">
      <x:c r="A749" s="2" t="str">
        <x:v>GSK</x:v>
      </x:c>
      <x:c r="B749" s="2" t="str">
        <x:v>2015-19</x:v>
      </x:c>
      <x:c r="C749" s="2" t="str">
        <x:v>NCT02791763</x:v>
      </x:c>
      <x:c r="D749" s="2" t="str">
        <x:v>GlaxoSmithKline</x:v>
      </x:c>
      <x:c r="E749" s="2" t="n">
        <x:v>0</x:v>
      </x:c>
      <x:c r="F749" s="2" t="str">
        <x:v>https://clinicaltrials.gov/study/NCT02791763</x:v>
      </x:c>
      <x:c r="G74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50" ht="23" customHeight="1">
      <x:c r="A750" s="2" t="str">
        <x:v>GSK</x:v>
      </x:c>
      <x:c r="B750" s="2" t="str">
        <x:v>2015-19</x:v>
      </x:c>
      <x:c r="C750" s="2" t="str">
        <x:v>NCT03682848</x:v>
      </x:c>
      <x:c r="D750" s="2" t="str">
        <x:v>ViiV Healthcare</x:v>
      </x:c>
      <x:c r="E750" s="2" t="n">
        <x:v>0</x:v>
      </x:c>
      <x:c r="F750" s="2" t="str">
        <x:v>https://clinicaltrials.gov/study/NCT03682848</x:v>
      </x:c>
      <x:c r="G75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51" ht="23" customHeight="1">
      <x:c r="A751" s="2" t="str">
        <x:v>GSK</x:v>
      </x:c>
      <x:c r="B751" s="2" t="str">
        <x:v>2015-19</x:v>
      </x:c>
      <x:c r="C751" s="2" t="str">
        <x:v>NCT04010539</x:v>
      </x:c>
      <x:c r="D751" s="2" t="str">
        <x:v>GlaxoSmithKline</x:v>
      </x:c>
      <x:c r="E751" s="2" t="n">
        <x:v>0</x:v>
      </x:c>
      <x:c r="F751" s="2" t="str">
        <x:v>https://clinicaltrials.gov/study/NCT04010539</x:v>
      </x:c>
      <x:c r="G75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52" ht="23" customHeight="1">
      <x:c r="A752" s="2" t="str">
        <x:v>GSK</x:v>
      </x:c>
      <x:c r="B752" s="2" t="str">
        <x:v>2015-19</x:v>
      </x:c>
      <x:c r="C752" s="2" t="str">
        <x:v>NCT02678234</x:v>
      </x:c>
      <x:c r="D752" s="2" t="str">
        <x:v>GlaxoSmithKline</x:v>
      </x:c>
      <x:c r="E752" s="2" t="n">
        <x:v>0</x:v>
      </x:c>
      <x:c r="F752" s="2" t="str">
        <x:v>https://clinicaltrials.gov/study/NCT02678234</x:v>
      </x:c>
      <x:c r="G75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53" ht="23" customHeight="1">
      <x:c r="A753" s="2" t="str">
        <x:v>GSK</x:v>
      </x:c>
      <x:c r="B753" s="2" t="str">
        <x:v>2015-19</x:v>
      </x:c>
      <x:c r="C753" s="2" t="str">
        <x:v>NCT02690207</x:v>
      </x:c>
      <x:c r="D753" s="2" t="str">
        <x:v>GlaxoSmithKline</x:v>
      </x:c>
      <x:c r="E753" s="2" t="n">
        <x:v>0</x:v>
      </x:c>
      <x:c r="F753" s="2" t="str">
        <x:v>https://clinicaltrials.gov/study/NCT02690207</x:v>
      </x:c>
      <x:c r="G75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54" ht="23" customHeight="1">
      <x:c r="A754" s="2" t="str">
        <x:v>GSK</x:v>
      </x:c>
      <x:c r="B754" s="2" t="str">
        <x:v>2015-19</x:v>
      </x:c>
      <x:c r="C754" s="2" t="str">
        <x:v>NCT02730364</x:v>
      </x:c>
      <x:c r="D754" s="2" t="str">
        <x:v>GlaxoSmithKline</x:v>
      </x:c>
      <x:c r="E754" s="2" t="n">
        <x:v>0</x:v>
      </x:c>
      <x:c r="F754" s="2" t="str">
        <x:v>https://clinicaltrials.gov/study/NCT02730364</x:v>
      </x:c>
      <x:c r="G75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55" ht="23" customHeight="1">
      <x:c r="A755" s="2" t="str">
        <x:v>GSK</x:v>
      </x:c>
      <x:c r="B755" s="2" t="str">
        <x:v>2015-19</x:v>
      </x:c>
      <x:c r="C755" s="2" t="str">
        <x:v>NCT02822287</x:v>
      </x:c>
      <x:c r="D755" s="2" t="str">
        <x:v>GlaxoSmithKline</x:v>
      </x:c>
      <x:c r="E755" s="2" t="n">
        <x:v>0</x:v>
      </x:c>
      <x:c r="F755" s="2" t="str">
        <x:v>https://clinicaltrials.gov/study/NCT02822287</x:v>
      </x:c>
      <x:c r="G75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56" ht="23" customHeight="1">
      <x:c r="A756" s="2" t="str">
        <x:v>GSK</x:v>
      </x:c>
      <x:c r="B756" s="2" t="str">
        <x:v>2015-19</x:v>
      </x:c>
      <x:c r="C756" s="2" t="str">
        <x:v>NCT02502734</x:v>
      </x:c>
      <x:c r="D756" s="2" t="str">
        <x:v>GlaxoSmithKline</x:v>
      </x:c>
      <x:c r="E756" s="2" t="n">
        <x:v>0</x:v>
      </x:c>
      <x:c r="F756" s="2" t="str">
        <x:v>https://clinicaltrials.gov/study/NCT02502734</x:v>
      </x:c>
      <x:c r="G75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57" ht="23" customHeight="1">
      <x:c r="A757" s="2" t="str">
        <x:v>GSK</x:v>
      </x:c>
      <x:c r="B757" s="2" t="str">
        <x:v>2015-19</x:v>
      </x:c>
      <x:c r="C757" s="2" t="str">
        <x:v>NCT02729051</x:v>
      </x:c>
      <x:c r="D757" s="2" t="str">
        <x:v>GlaxoSmithKline</x:v>
      </x:c>
      <x:c r="E757" s="2" t="n">
        <x:v>0</x:v>
      </x:c>
      <x:c r="F757" s="2" t="str">
        <x:v>https://clinicaltrials.gov/study/NCT02729051</x:v>
      </x:c>
      <x:c r="G75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58" ht="23" customHeight="1">
      <x:c r="A758" s="2" t="str">
        <x:v>GSK</x:v>
      </x:c>
      <x:c r="B758" s="2" t="str">
        <x:v>2015-19</x:v>
      </x:c>
      <x:c r="C758" s="2" t="str">
        <x:v>NCT03099096</x:v>
      </x:c>
      <x:c r="D758" s="2" t="str">
        <x:v>GlaxoSmithKline</x:v>
      </x:c>
      <x:c r="E758" s="2" t="n">
        <x:v>0</x:v>
      </x:c>
      <x:c r="F758" s="2" t="str">
        <x:v>https://clinicaltrials.gov/study/NCT03099096</x:v>
      </x:c>
      <x:c r="G75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59" ht="23" customHeight="1">
      <x:c r="A759" s="2" t="str">
        <x:v>GSK</x:v>
      </x:c>
      <x:c r="B759" s="2" t="str">
        <x:v>2015-19</x:v>
      </x:c>
      <x:c r="C759" s="2" t="str">
        <x:v>NCT02613910</x:v>
      </x:c>
      <x:c r="D759" s="2" t="str">
        <x:v>GlaxoSmithKline</x:v>
      </x:c>
      <x:c r="E759" s="2" t="n">
        <x:v>0</x:v>
      </x:c>
      <x:c r="F759" s="2" t="str">
        <x:v>https://clinicaltrials.gov/study/NCT02613910</x:v>
      </x:c>
      <x:c r="G75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60" ht="23" customHeight="1">
      <x:c r="A760" s="2" t="str">
        <x:v>GSK</x:v>
      </x:c>
      <x:c r="B760" s="2" t="str">
        <x:v>2015-19</x:v>
      </x:c>
      <x:c r="C760" s="2" t="str">
        <x:v>NCT04187144</x:v>
      </x:c>
      <x:c r="D760" s="2" t="str">
        <x:v>GlaxoSmithKline</x:v>
      </x:c>
      <x:c r="E760" s="2" t="n">
        <x:v>1</x:v>
      </x:c>
      <x:c r="F760" s="2" t="str">
        <x:v>https://clinicaltrials.gov/study/NCT04187144</x:v>
      </x:c>
      <x:c r="G76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61" ht="23" customHeight="1">
      <x:c r="A761" s="2" t="str">
        <x:v>GSK</x:v>
      </x:c>
      <x:c r="B761" s="2" t="str">
        <x:v>2015-19</x:v>
      </x:c>
      <x:c r="C761" s="2" t="str">
        <x:v>NCT03621670</x:v>
      </x:c>
      <x:c r="D761" s="2" t="str">
        <x:v>GlaxoSmithKline</x:v>
      </x:c>
      <x:c r="E761" s="2" t="n">
        <x:v>0</x:v>
      </x:c>
      <x:c r="F761" s="2" t="str">
        <x:v>https://clinicaltrials.gov/study/NCT03621670</x:v>
      </x:c>
      <x:c r="G76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62" ht="23" customHeight="1">
      <x:c r="A762" s="2" t="str">
        <x:v>GSK</x:v>
      </x:c>
      <x:c r="B762" s="2" t="str">
        <x:v>2015-19</x:v>
      </x:c>
      <x:c r="C762" s="2" t="str">
        <x:v>NCT03299049</x:v>
      </x:c>
      <x:c r="D762" s="2" t="str">
        <x:v>ViiV Healthcare</x:v>
      </x:c>
      <x:c r="E762" s="2" t="n">
        <x:v>0</x:v>
      </x:c>
      <x:c r="F762" s="2" t="str">
        <x:v>https://clinicaltrials.gov/study/NCT03299049</x:v>
      </x:c>
      <x:c r="G76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63" ht="23" customHeight="1">
      <x:c r="A763" s="2" t="str">
        <x:v>GSK</x:v>
      </x:c>
      <x:c r="B763" s="2" t="str">
        <x:v>2015-19</x:v>
      </x:c>
      <x:c r="C763" s="2" t="str">
        <x:v>NCT02699099</x:v>
      </x:c>
      <x:c r="D763" s="2" t="str">
        <x:v>GlaxoSmithKline</x:v>
      </x:c>
      <x:c r="E763" s="2" t="n">
        <x:v>0</x:v>
      </x:c>
      <x:c r="F763" s="2" t="str">
        <x:v>https://clinicaltrials.gov/study/NCT02699099</x:v>
      </x:c>
      <x:c r="G76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64" ht="23" customHeight="1">
      <x:c r="A764" s="2" t="str">
        <x:v>GSK</x:v>
      </x:c>
      <x:c r="B764" s="2" t="str">
        <x:v>2015-19</x:v>
      </x:c>
      <x:c r="C764" s="2" t="str">
        <x:v>NCT02951052</x:v>
      </x:c>
      <x:c r="D764" s="2" t="str">
        <x:v>ViiV Healthcare</x:v>
      </x:c>
      <x:c r="E764" s="2" t="n">
        <x:v>0</x:v>
      </x:c>
      <x:c r="F764" s="2" t="str">
        <x:v>https://clinicaltrials.gov/study/NCT02951052</x:v>
      </x:c>
      <x:c r="G76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65" ht="23" customHeight="1">
      <x:c r="A765" s="2" t="str">
        <x:v>GSK</x:v>
      </x:c>
      <x:c r="B765" s="2" t="str">
        <x:v>2015-19</x:v>
      </x:c>
      <x:c r="C765" s="2" t="str">
        <x:v>NCT03029208</x:v>
      </x:c>
      <x:c r="D765" s="2" t="str">
        <x:v>GlaxoSmithKline</x:v>
      </x:c>
      <x:c r="E765" s="2" t="n">
        <x:v>1</x:v>
      </x:c>
      <x:c r="F765" s="2" t="str">
        <x:v>https://clinicaltrials.gov/study/NCT03029208</x:v>
      </x:c>
      <x:c r="G76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66" ht="23" customHeight="1">
      <x:c r="A766" s="2" t="str">
        <x:v>GSK</x:v>
      </x:c>
      <x:c r="B766" s="2" t="str">
        <x:v>2015-19</x:v>
      </x:c>
      <x:c r="C766" s="2" t="str">
        <x:v>NCT03954743</x:v>
      </x:c>
      <x:c r="D766" s="2" t="str">
        <x:v>GlaxoSmithKline</x:v>
      </x:c>
      <x:c r="E766" s="2" t="n">
        <x:v>0</x:v>
      </x:c>
      <x:c r="F766" s="2" t="str">
        <x:v>https://clinicaltrials.gov/study/NCT03954743</x:v>
      </x:c>
      <x:c r="G76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67" ht="23" customHeight="1">
      <x:c r="A767" s="2" t="str">
        <x:v>GSK</x:v>
      </x:c>
      <x:c r="B767" s="2" t="str">
        <x:v>2015-19</x:v>
      </x:c>
      <x:c r="C767" s="2" t="str">
        <x:v>NCT04128696</x:v>
      </x:c>
      <x:c r="D767" s="2" t="str">
        <x:v>GlaxoSmithKline</x:v>
      </x:c>
      <x:c r="E767" s="2" t="n">
        <x:v>0</x:v>
      </x:c>
      <x:c r="F767" s="2" t="str">
        <x:v>https://clinicaltrials.gov/study/NCT04128696</x:v>
      </x:c>
      <x:c r="G76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68" ht="23" customHeight="1">
      <x:c r="A768" s="2" t="str">
        <x:v>GSK</x:v>
      </x:c>
      <x:c r="B768" s="2" t="str">
        <x:v>2015-19</x:v>
      </x:c>
      <x:c r="C768" s="2" t="str">
        <x:v>NCT04167358</x:v>
      </x:c>
      <x:c r="D768" s="2" t="str">
        <x:v>GlaxoSmithKline</x:v>
      </x:c>
      <x:c r="E768" s="2" t="n">
        <x:v>0</x:v>
      </x:c>
      <x:c r="F768" s="2" t="str">
        <x:v>https://clinicaltrials.gov/study/NCT04167358</x:v>
      </x:c>
      <x:c r="G76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69" ht="23" customHeight="1">
      <x:c r="A769" s="2" t="str">
        <x:v>GSK</x:v>
      </x:c>
      <x:c r="B769" s="2" t="str">
        <x:v>2015-19</x:v>
      </x:c>
      <x:c r="C769" s="2" t="str">
        <x:v>NCT04123665</x:v>
      </x:c>
      <x:c r="D769" s="2" t="str">
        <x:v>GlaxoSmithKline</x:v>
      </x:c>
      <x:c r="E769" s="2" t="n">
        <x:v>0</x:v>
      </x:c>
      <x:c r="F769" s="2" t="str">
        <x:v>https://clinicaltrials.gov/study/NCT04123665</x:v>
      </x:c>
      <x:c r="G76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70" ht="23" customHeight="1">
      <x:c r="A770" s="2" t="str">
        <x:v>GSK</x:v>
      </x:c>
      <x:c r="B770" s="2" t="str">
        <x:v>2015-19</x:v>
      </x:c>
      <x:c r="C770" s="2" t="str">
        <x:v>NCT02570126</x:v>
      </x:c>
      <x:c r="D770" s="2" t="str">
        <x:v>GlaxoSmithKline</x:v>
      </x:c>
      <x:c r="E770" s="2" t="n">
        <x:v>0</x:v>
      </x:c>
      <x:c r="F770" s="2" t="str">
        <x:v>https://clinicaltrials.gov/study/NCT02570126</x:v>
      </x:c>
      <x:c r="G77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71" ht="23" customHeight="1">
      <x:c r="A771" s="2" t="str">
        <x:v>GSK</x:v>
      </x:c>
      <x:c r="B771" s="2" t="str">
        <x:v>2015-19</x:v>
      </x:c>
      <x:c r="C771" s="2" t="str">
        <x:v>NCT02831764</x:v>
      </x:c>
      <x:c r="D771" s="2" t="str">
        <x:v>ViiV Healthcare</x:v>
      </x:c>
      <x:c r="E771" s="2" t="n">
        <x:v>0</x:v>
      </x:c>
      <x:c r="F771" s="2" t="str">
        <x:v>https://clinicaltrials.gov/study/NCT02831764</x:v>
      </x:c>
      <x:c r="G77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72" ht="23" customHeight="1">
      <x:c r="A772" s="2" t="str">
        <x:v>GSK</x:v>
      </x:c>
      <x:c r="B772" s="2" t="str">
        <x:v>2015-19</x:v>
      </x:c>
      <x:c r="C772" s="2" t="str">
        <x:v>NCT02969655</x:v>
      </x:c>
      <x:c r="D772" s="2" t="str">
        <x:v>GlaxoSmithKline</x:v>
      </x:c>
      <x:c r="E772" s="2" t="n">
        <x:v>0</x:v>
      </x:c>
      <x:c r="F772" s="2" t="str">
        <x:v>https://clinicaltrials.gov/study/NCT02969655</x:v>
      </x:c>
      <x:c r="G77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73" ht="23" customHeight="1">
      <x:c r="A773" s="2" t="str">
        <x:v>GSK</x:v>
      </x:c>
      <x:c r="B773" s="2" t="str">
        <x:v>2015-19</x:v>
      </x:c>
      <x:c r="C773" s="2" t="str">
        <x:v>NCT02581410</x:v>
      </x:c>
      <x:c r="D773" s="2" t="str">
        <x:v>GlaxoSmithKline</x:v>
      </x:c>
      <x:c r="E773" s="2" t="n">
        <x:v>0</x:v>
      </x:c>
      <x:c r="F773" s="2" t="str">
        <x:v>https://clinicaltrials.gov/study/NCT02581410</x:v>
      </x:c>
      <x:c r="G77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74" ht="23" customHeight="1">
      <x:c r="A774" s="2" t="str">
        <x:v>GSK</x:v>
      </x:c>
      <x:c r="B774" s="2" t="str">
        <x:v>2015-19</x:v>
      </x:c>
      <x:c r="C774" s="2" t="str">
        <x:v>NCT04052620</x:v>
      </x:c>
      <x:c r="D774" s="2" t="str">
        <x:v>GlaxoSmithKline</x:v>
      </x:c>
      <x:c r="E774" s="2" t="n">
        <x:v>0</x:v>
      </x:c>
      <x:c r="F774" s="2" t="str">
        <x:v>https://clinicaltrials.gov/study/NCT04052620</x:v>
      </x:c>
      <x:c r="G77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75" ht="23" customHeight="1">
      <x:c r="A775" s="2" t="str">
        <x:v>GSK</x:v>
      </x:c>
      <x:c r="B775" s="2" t="str">
        <x:v>2015-19</x:v>
      </x:c>
      <x:c r="C775" s="2" t="str">
        <x:v>NCT03980483</x:v>
      </x:c>
      <x:c r="D775" s="2" t="str">
        <x:v>GlaxoSmithKline</x:v>
      </x:c>
      <x:c r="E775" s="2" t="n">
        <x:v>1</x:v>
      </x:c>
      <x:c r="F775" s="2" t="str">
        <x:v>https://clinicaltrials.gov/study/NCT03980483</x:v>
      </x:c>
      <x:c r="G77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76" ht="23" customHeight="1">
      <x:c r="A776" s="2" t="str">
        <x:v>GSK</x:v>
      </x:c>
      <x:c r="B776" s="2" t="str">
        <x:v>2015-19</x:v>
      </x:c>
      <x:c r="C776" s="2" t="str">
        <x:v>NCT02531633</x:v>
      </x:c>
      <x:c r="D776" s="2" t="str">
        <x:v>GlaxoSmithKline</x:v>
      </x:c>
      <x:c r="E776" s="2" t="n">
        <x:v>0</x:v>
      </x:c>
      <x:c r="F776" s="2" t="str">
        <x:v>https://clinicaltrials.gov/study/NCT02531633</x:v>
      </x:c>
      <x:c r="G77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77" ht="23" customHeight="1">
      <x:c r="A777" s="2" t="str">
        <x:v>GSK</x:v>
      </x:c>
      <x:c r="B777" s="2" t="str">
        <x:v>2015-19</x:v>
      </x:c>
      <x:c r="C777" s="2" t="str">
        <x:v>NCT03439657</x:v>
      </x:c>
      <x:c r="D777" s="2" t="str">
        <x:v>GlaxoSmithKline</x:v>
      </x:c>
      <x:c r="E777" s="2" t="n">
        <x:v>0</x:v>
      </x:c>
      <x:c r="F777" s="2" t="str">
        <x:v>https://clinicaltrials.gov/study/NCT03439657</x:v>
      </x:c>
      <x:c r="G77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78" ht="23" customHeight="1">
      <x:c r="A778" s="2" t="str">
        <x:v>GSK</x:v>
      </x:c>
      <x:c r="B778" s="2" t="str">
        <x:v>2015-19</x:v>
      </x:c>
      <x:c r="C778" s="2" t="str">
        <x:v>NCT03312907</x:v>
      </x:c>
      <x:c r="D778" s="2" t="str">
        <x:v>GlaxoSmithKline</x:v>
      </x:c>
      <x:c r="E778" s="2" t="n">
        <x:v>0</x:v>
      </x:c>
      <x:c r="F778" s="2" t="str">
        <x:v>https://clinicaltrials.gov/study/NCT03312907</x:v>
      </x:c>
      <x:c r="G77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79" ht="23" customHeight="1">
      <x:c r="A779" s="2" t="str">
        <x:v>GSK</x:v>
      </x:c>
      <x:c r="B779" s="2" t="str">
        <x:v>2021-25</x:v>
      </x:c>
      <x:c r="C779" s="2" t="str">
        <x:v>NCT05590403</x:v>
      </x:c>
      <x:c r="D779" s="2" t="str">
        <x:v>GlaxoSmithKline</x:v>
      </x:c>
      <x:c r="E779" s="2" t="n">
        <x:v>0</x:v>
      </x:c>
      <x:c r="F779" s="2" t="str">
        <x:v>https://clinicaltrials.gov/study/NCT05590403</x:v>
      </x:c>
      <x:c r="G77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80" ht="23" customHeight="1">
      <x:c r="A780" s="2" t="str">
        <x:v>GSK</x:v>
      </x:c>
      <x:c r="B780" s="2" t="str">
        <x:v>2021-25</x:v>
      </x:c>
      <x:c r="C780" s="2" t="str">
        <x:v>NCT05059301</x:v>
      </x:c>
      <x:c r="D780" s="2" t="str">
        <x:v>GlaxoSmithKline</x:v>
      </x:c>
      <x:c r="E780" s="2" t="n">
        <x:v>0</x:v>
      </x:c>
      <x:c r="F780" s="2" t="str">
        <x:v>https://clinicaltrials.gov/study/NCT05059301</x:v>
      </x:c>
      <x:c r="G78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81" ht="23" customHeight="1">
      <x:c r="A781" s="2" t="str">
        <x:v>GSK</x:v>
      </x:c>
      <x:c r="B781" s="2" t="str">
        <x:v>2021-25</x:v>
      </x:c>
      <x:c r="C781" s="2" t="str">
        <x:v>NCT04980391</x:v>
      </x:c>
      <x:c r="D781" s="2" t="str">
        <x:v>GlaxoSmithKline</x:v>
      </x:c>
      <x:c r="E781" s="2" t="n">
        <x:v>1</x:v>
      </x:c>
      <x:c r="F781" s="2" t="str">
        <x:v>https://clinicaltrials.gov/study/NCT04980391</x:v>
      </x:c>
      <x:c r="G78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82" ht="23" customHeight="1">
      <x:c r="A782" s="2" t="str">
        <x:v>GSK</x:v>
      </x:c>
      <x:c r="B782" s="2" t="str">
        <x:v>2021-25</x:v>
      </x:c>
      <x:c r="C782" s="2" t="str">
        <x:v>NCT06679101</x:v>
      </x:c>
      <x:c r="D782" s="2" t="str">
        <x:v>GlaxoSmithKline</x:v>
      </x:c>
      <x:c r="E782" s="2" t="n">
        <x:v>1</x:v>
      </x:c>
      <x:c r="F782" s="2" t="str">
        <x:v>https://clinicaltrials.gov/study/NCT06679101</x:v>
      </x:c>
      <x:c r="G78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83" ht="23" customHeight="1">
      <x:c r="A783" s="2" t="str">
        <x:v>GSK</x:v>
      </x:c>
      <x:c r="B783" s="2" t="str">
        <x:v>2021-25</x:v>
      </x:c>
      <x:c r="C783" s="2" t="str">
        <x:v>NCT04886596</x:v>
      </x:c>
      <x:c r="D783" s="2" t="str">
        <x:v>GlaxoSmithKline</x:v>
      </x:c>
      <x:c r="E783" s="2" t="n">
        <x:v>0</x:v>
      </x:c>
      <x:c r="F783" s="2" t="str">
        <x:v>https://clinicaltrials.gov/study/NCT04886596</x:v>
      </x:c>
      <x:c r="G78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84" ht="23" customHeight="1">
      <x:c r="A784" s="2" t="str">
        <x:v>GSK</x:v>
      </x:c>
      <x:c r="B784" s="2" t="str">
        <x:v>2021-25</x:v>
      </x:c>
      <x:c r="C784" s="2" t="str">
        <x:v>NCT05966090</x:v>
      </x:c>
      <x:c r="D784" s="2" t="str">
        <x:v>GlaxoSmithKline</x:v>
      </x:c>
      <x:c r="E784" s="2" t="n">
        <x:v>0</x:v>
      </x:c>
      <x:c r="F784" s="2" t="str">
        <x:v>https://clinicaltrials.gov/study/NCT05966090</x:v>
      </x:c>
      <x:c r="G78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85" ht="23" customHeight="1">
      <x:c r="A785" s="2" t="str">
        <x:v>GSK</x:v>
      </x:c>
      <x:c r="B785" s="2" t="str">
        <x:v>2021-25</x:v>
      </x:c>
      <x:c r="C785" s="2" t="str">
        <x:v>NCT07286266</x:v>
      </x:c>
      <x:c r="D785" s="2" t="str">
        <x:v>GlaxoSmithKline</x:v>
      </x:c>
      <x:c r="E785" s="2" t="n">
        <x:v>0</x:v>
      </x:c>
      <x:c r="F785" s="2" t="str">
        <x:v>https://clinicaltrials.gov/study/NCT07286266</x:v>
      </x:c>
      <x:c r="G78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86" ht="23" customHeight="1">
      <x:c r="A786" s="2" t="str">
        <x:v>GSK</x:v>
      </x:c>
      <x:c r="B786" s="2" t="str">
        <x:v>2021-25</x:v>
      </x:c>
      <x:c r="C786" s="2" t="str">
        <x:v>NCT07221188</x:v>
      </x:c>
      <x:c r="D786" s="2" t="str">
        <x:v>GlaxoSmithKline</x:v>
      </x:c>
      <x:c r="E786" s="2" t="n">
        <x:v>0</x:v>
      </x:c>
      <x:c r="F786" s="2" t="str">
        <x:v>https://clinicaltrials.gov/study/NCT07221188</x:v>
      </x:c>
      <x:c r="G78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87" ht="23" customHeight="1">
      <x:c r="A787" s="2" t="str">
        <x:v>GSK</x:v>
      </x:c>
      <x:c r="B787" s="2" t="str">
        <x:v>2021-25</x:v>
      </x:c>
      <x:c r="C787" s="2" t="str">
        <x:v>NCT06534892</x:v>
      </x:c>
      <x:c r="D787" s="2" t="str">
        <x:v>GlaxoSmithKline</x:v>
      </x:c>
      <x:c r="E787" s="2" t="n">
        <x:v>0</x:v>
      </x:c>
      <x:c r="F787" s="2" t="str">
        <x:v>https://clinicaltrials.gov/study/NCT06534892</x:v>
      </x:c>
      <x:c r="G78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88" ht="23" customHeight="1">
      <x:c r="A788" s="2" t="str">
        <x:v>GSK</x:v>
      </x:c>
      <x:c r="B788" s="2" t="str">
        <x:v>2021-25</x:v>
      </x:c>
      <x:c r="C788" s="2" t="str">
        <x:v>NCT06572384</x:v>
      </x:c>
      <x:c r="D788" s="2" t="str">
        <x:v>GlaxoSmithKline</x:v>
      </x:c>
      <x:c r="E788" s="2" t="n">
        <x:v>0</x:v>
      </x:c>
      <x:c r="F788" s="2" t="str">
        <x:v>https://clinicaltrials.gov/study/NCT06572384</x:v>
      </x:c>
      <x:c r="G78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89" ht="23" customHeight="1">
      <x:c r="A789" s="2" t="str">
        <x:v>GSK</x:v>
      </x:c>
      <x:c r="B789" s="2" t="str">
        <x:v>2021-25</x:v>
      </x:c>
      <x:c r="C789" s="2" t="str">
        <x:v>NCT04718389</x:v>
      </x:c>
      <x:c r="D789" s="2" t="str">
        <x:v>GlaxoSmithKline</x:v>
      </x:c>
      <x:c r="E789" s="2" t="n">
        <x:v>0</x:v>
      </x:c>
      <x:c r="F789" s="2" t="str">
        <x:v>https://clinicaltrials.gov/study/NCT04718389</x:v>
      </x:c>
      <x:c r="G78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90" ht="23" customHeight="1">
      <x:c r="A790" s="2" t="str">
        <x:v>GSK</x:v>
      </x:c>
      <x:c r="B790" s="2" t="str">
        <x:v>2021-25</x:v>
      </x:c>
      <x:c r="C790" s="2" t="str">
        <x:v>NCT04937387</x:v>
      </x:c>
      <x:c r="D790" s="2" t="str">
        <x:v>GlaxoSmithKline</x:v>
      </x:c>
      <x:c r="E790" s="2" t="n">
        <x:v>0</x:v>
      </x:c>
      <x:c r="F790" s="2" t="str">
        <x:v>https://clinicaltrials.gov/study/NCT04937387</x:v>
      </x:c>
      <x:c r="G79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91" ht="23" customHeight="1">
      <x:c r="A791" s="2" t="str">
        <x:v>GSK</x:v>
      </x:c>
      <x:c r="B791" s="2" t="str">
        <x:v>2021-25</x:v>
      </x:c>
      <x:c r="C791" s="2" t="str">
        <x:v>NCT05705440</x:v>
      </x:c>
      <x:c r="D791" s="2" t="str">
        <x:v>GlaxoSmithKline</x:v>
      </x:c>
      <x:c r="E791" s="2" t="n">
        <x:v>1</x:v>
      </x:c>
      <x:c r="F791" s="2" t="str">
        <x:v>https://clinicaltrials.gov/study/NCT05705440</x:v>
      </x:c>
      <x:c r="G79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92" ht="23" customHeight="1">
      <x:c r="A792" s="2" t="str">
        <x:v>GSK</x:v>
      </x:c>
      <x:c r="B792" s="2" t="str">
        <x:v>2021-25</x:v>
      </x:c>
      <x:c r="C792" s="2" t="str">
        <x:v>NCT05274750</x:v>
      </x:c>
      <x:c r="D792" s="2" t="str">
        <x:v>GlaxoSmithKline</x:v>
      </x:c>
      <x:c r="E792" s="2" t="n">
        <x:v>0</x:v>
      </x:c>
      <x:c r="F792" s="2" t="str">
        <x:v>https://clinicaltrials.gov/study/NCT05274750</x:v>
      </x:c>
      <x:c r="G79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93" ht="23" customHeight="1">
      <x:c r="A793" s="2" t="str">
        <x:v>GSK</x:v>
      </x:c>
      <x:c r="B793" s="2" t="str">
        <x:v>2021-25</x:v>
      </x:c>
      <x:c r="C793" s="2" t="str">
        <x:v>NCT06134362</x:v>
      </x:c>
      <x:c r="D793" s="2" t="str">
        <x:v>ViiV Healthcare</x:v>
      </x:c>
      <x:c r="E793" s="2" t="n">
        <x:v>0</x:v>
      </x:c>
      <x:c r="F793" s="2" t="str">
        <x:v>https://clinicaltrials.gov/study/NCT06134362</x:v>
      </x:c>
      <x:c r="G79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94" ht="23" customHeight="1">
      <x:c r="A794" s="2" t="str">
        <x:v>GSK</x:v>
      </x:c>
      <x:c r="B794" s="2" t="str">
        <x:v>2021-25</x:v>
      </x:c>
      <x:c r="C794" s="2" t="str">
        <x:v>NCT05599191</x:v>
      </x:c>
      <x:c r="D794" s="2" t="str">
        <x:v>Bellus Health Inc. - a GSK company</x:v>
      </x:c>
      <x:c r="E794" s="2" t="n">
        <x:v>1</x:v>
      </x:c>
      <x:c r="F794" s="2" t="str">
        <x:v>https://clinicaltrials.gov/study/NCT05599191</x:v>
      </x:c>
      <x:c r="G79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95" ht="23" customHeight="1">
      <x:c r="A795" s="2" t="str">
        <x:v>GSK</x:v>
      </x:c>
      <x:c r="B795" s="2" t="str">
        <x:v>2021-25</x:v>
      </x:c>
      <x:c r="C795" s="2" t="str">
        <x:v>NCT06614725</x:v>
      </x:c>
      <x:c r="D795" s="2" t="str">
        <x:v>GlaxoSmithKline</x:v>
      </x:c>
      <x:c r="E795" s="2" t="n">
        <x:v>1</x:v>
      </x:c>
      <x:c r="F795" s="2" t="str">
        <x:v>https://clinicaltrials.gov/study/NCT06614725</x:v>
      </x:c>
      <x:c r="G79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96" ht="23" customHeight="1">
      <x:c r="A796" s="2" t="str">
        <x:v>GSK</x:v>
      </x:c>
      <x:c r="B796" s="2" t="str">
        <x:v>2021-25</x:v>
      </x:c>
      <x:c r="C796" s="2" t="str">
        <x:v>NCT07218926</x:v>
      </x:c>
      <x:c r="D796" s="2" t="str">
        <x:v>GlaxoSmithKline</x:v>
      </x:c>
      <x:c r="E796" s="2" t="n">
        <x:v>0</x:v>
      </x:c>
      <x:c r="F796" s="2" t="str">
        <x:v>https://clinicaltrials.gov/study/NCT07218926</x:v>
      </x:c>
      <x:c r="G79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97" ht="23" customHeight="1">
      <x:c r="A797" s="2" t="str">
        <x:v>GSK</x:v>
      </x:c>
      <x:c r="B797" s="2" t="str">
        <x:v>2021-25</x:v>
      </x:c>
      <x:c r="C797" s="2" t="str">
        <x:v>NCT06961214</x:v>
      </x:c>
      <x:c r="D797" s="2" t="str">
        <x:v>GlaxoSmithKline</x:v>
      </x:c>
      <x:c r="E797" s="2" t="n">
        <x:v>0</x:v>
      </x:c>
      <x:c r="F797" s="2" t="str">
        <x:v>https://clinicaltrials.gov/study/NCT06961214</x:v>
      </x:c>
      <x:c r="G79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98" ht="23" customHeight="1">
      <x:c r="A798" s="2" t="str">
        <x:v>GSK</x:v>
      </x:c>
      <x:c r="B798" s="2" t="str">
        <x:v>2021-25</x:v>
      </x:c>
      <x:c r="C798" s="2" t="str">
        <x:v>NCT07220109</x:v>
      </x:c>
      <x:c r="D798" s="2" t="str">
        <x:v>GlaxoSmithKline</x:v>
      </x:c>
      <x:c r="E798" s="2" t="n">
        <x:v>0</x:v>
      </x:c>
      <x:c r="F798" s="2" t="str">
        <x:v>https://clinicaltrials.gov/study/NCT07220109</x:v>
      </x:c>
      <x:c r="G79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799" ht="23" customHeight="1">
      <x:c r="A799" s="2" t="str">
        <x:v>GSK</x:v>
      </x:c>
      <x:c r="B799" s="2" t="str">
        <x:v>2021-25</x:v>
      </x:c>
      <x:c r="C799" s="2" t="str">
        <x:v>NCT06374394</x:v>
      </x:c>
      <x:c r="D799" s="2" t="str">
        <x:v>GlaxoSmithKline</x:v>
      </x:c>
      <x:c r="E799" s="2" t="n">
        <x:v>0</x:v>
      </x:c>
      <x:c r="F799" s="2" t="str">
        <x:v>https://clinicaltrials.gov/study/NCT06374394</x:v>
      </x:c>
      <x:c r="G79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00" ht="23" customHeight="1">
      <x:c r="A800" s="2" t="str">
        <x:v>GSK</x:v>
      </x:c>
      <x:c r="B800" s="2" t="str">
        <x:v>2021-25</x:v>
      </x:c>
      <x:c r="C800" s="2" t="str">
        <x:v>NCT06694805</x:v>
      </x:c>
      <x:c r="D800" s="2" t="str">
        <x:v>ViiV Healthcare</x:v>
      </x:c>
      <x:c r="E800" s="2" t="n">
        <x:v>0</x:v>
      </x:c>
      <x:c r="F800" s="2" t="str">
        <x:v>https://clinicaltrials.gov/study/NCT06694805</x:v>
      </x:c>
      <x:c r="G80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01" ht="23" customHeight="1">
      <x:c r="A801" s="2" t="str">
        <x:v>GSK</x:v>
      </x:c>
      <x:c r="B801" s="2" t="str">
        <x:v>2021-25</x:v>
      </x:c>
      <x:c r="C801" s="2" t="str">
        <x:v>NCT06979323</x:v>
      </x:c>
      <x:c r="D801" s="2" t="str">
        <x:v>GlaxoSmithKline</x:v>
      </x:c>
      <x:c r="E801" s="2" t="n">
        <x:v>0</x:v>
      </x:c>
      <x:c r="F801" s="2" t="str">
        <x:v>https://clinicaltrials.gov/study/NCT06979323</x:v>
      </x:c>
      <x:c r="G80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02" ht="23" customHeight="1">
      <x:c r="A802" s="2" t="str">
        <x:v>GSK</x:v>
      </x:c>
      <x:c r="B802" s="2" t="str">
        <x:v>2021-25</x:v>
      </x:c>
      <x:c r="C802" s="2" t="str">
        <x:v>NCT05047770</x:v>
      </x:c>
      <x:c r="D802" s="2" t="str">
        <x:v>GlaxoSmithKline</x:v>
      </x:c>
      <x:c r="E802" s="2" t="n">
        <x:v>0</x:v>
      </x:c>
      <x:c r="F802" s="2" t="str">
        <x:v>https://clinicaltrials.gov/study/NCT05047770</x:v>
      </x:c>
      <x:c r="G80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03" ht="23" customHeight="1">
      <x:c r="A803" s="2" t="str">
        <x:v>GSK</x:v>
      </x:c>
      <x:c r="B803" s="2" t="str">
        <x:v>2021-25</x:v>
      </x:c>
      <x:c r="C803" s="2" t="str">
        <x:v>NCT05334368</x:v>
      </x:c>
      <x:c r="D803" s="2" t="str">
        <x:v>GlaxoSmithKline</x:v>
      </x:c>
      <x:c r="E803" s="2" t="n">
        <x:v>0</x:v>
      </x:c>
      <x:c r="F803" s="2" t="str">
        <x:v>https://clinicaltrials.gov/study/NCT05334368</x:v>
      </x:c>
      <x:c r="G80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04" ht="23" customHeight="1">
      <x:c r="A804" s="2" t="str">
        <x:v>GSK</x:v>
      </x:c>
      <x:c r="B804" s="2" t="str">
        <x:v>2021-25</x:v>
      </x:c>
      <x:c r="C804" s="2" t="str">
        <x:v>NCT05559476</x:v>
      </x:c>
      <x:c r="D804" s="2" t="str">
        <x:v>GlaxoSmithKline</x:v>
      </x:c>
      <x:c r="E804" s="2" t="n">
        <x:v>0</x:v>
      </x:c>
      <x:c r="F804" s="2" t="str">
        <x:v>https://clinicaltrials.gov/study/NCT05559476</x:v>
      </x:c>
      <x:c r="G80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05" ht="23" customHeight="1">
      <x:c r="A805" s="2" t="str">
        <x:v>GSK</x:v>
      </x:c>
      <x:c r="B805" s="2" t="str">
        <x:v>2021-25</x:v>
      </x:c>
      <x:c r="C805" s="2" t="str">
        <x:v>NCT05878717</x:v>
      </x:c>
      <x:c r="D805" s="2" t="str">
        <x:v>GlaxoSmithKline</x:v>
      </x:c>
      <x:c r="E805" s="2" t="n">
        <x:v>0</x:v>
      </x:c>
      <x:c r="F805" s="2" t="str">
        <x:v>https://clinicaltrials.gov/study/NCT05878717</x:v>
      </x:c>
      <x:c r="G80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06" ht="23" customHeight="1">
      <x:c r="A806" s="2" t="str">
        <x:v>GSK</x:v>
      </x:c>
      <x:c r="B806" s="2" t="str">
        <x:v>2021-25</x:v>
      </x:c>
      <x:c r="C806" s="2" t="str">
        <x:v>NCT06261957</x:v>
      </x:c>
      <x:c r="D806" s="2" t="str">
        <x:v>GlaxoSmithKline</x:v>
      </x:c>
      <x:c r="E806" s="2" t="n">
        <x:v>0</x:v>
      </x:c>
      <x:c r="F806" s="2" t="str">
        <x:v>https://clinicaltrials.gov/study/NCT06261957</x:v>
      </x:c>
      <x:c r="G80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07" ht="23" customHeight="1">
      <x:c r="A807" s="2" t="str">
        <x:v>GSK</x:v>
      </x:c>
      <x:c r="B807" s="2" t="str">
        <x:v>2021-25</x:v>
      </x:c>
      <x:c r="C807" s="2" t="str">
        <x:v>NCT05896748</x:v>
      </x:c>
      <x:c r="D807" s="2" t="str">
        <x:v>ViiV Healthcare</x:v>
      </x:c>
      <x:c r="E807" s="2" t="n">
        <x:v>0</x:v>
      </x:c>
      <x:c r="F807" s="2" t="str">
        <x:v>https://clinicaltrials.gov/study/NCT05896748</x:v>
      </x:c>
      <x:c r="G80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08" ht="23" customHeight="1">
      <x:c r="A808" s="2" t="str">
        <x:v>GSK</x:v>
      </x:c>
      <x:c r="B808" s="2" t="str">
        <x:v>2021-25</x:v>
      </x:c>
      <x:c r="C808" s="2" t="str">
        <x:v>NCT05896761</x:v>
      </x:c>
      <x:c r="D808" s="2" t="str">
        <x:v>ViiV Healthcare</x:v>
      </x:c>
      <x:c r="E808" s="2" t="n">
        <x:v>0</x:v>
      </x:c>
      <x:c r="F808" s="2" t="str">
        <x:v>https://clinicaltrials.gov/study/NCT05896761</x:v>
      </x:c>
      <x:c r="G80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09" ht="23" customHeight="1">
      <x:c r="A809" s="2" t="str">
        <x:v>GSK</x:v>
      </x:c>
      <x:c r="B809" s="2" t="str">
        <x:v>2021-25</x:v>
      </x:c>
      <x:c r="C809" s="2" t="str">
        <x:v>NCT06472076</x:v>
      </x:c>
      <x:c r="D809" s="2" t="str">
        <x:v>GlaxoSmithKline</x:v>
      </x:c>
      <x:c r="E809" s="2" t="n">
        <x:v>1</x:v>
      </x:c>
      <x:c r="F809" s="2" t="str">
        <x:v>https://clinicaltrials.gov/study/NCT06472076</x:v>
      </x:c>
      <x:c r="G80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10" ht="23" customHeight="1">
      <x:c r="A810" s="2" t="str">
        <x:v>GSK</x:v>
      </x:c>
      <x:c r="B810" s="2" t="str">
        <x:v>2021-25</x:v>
      </x:c>
      <x:c r="C810" s="2" t="str">
        <x:v>NCT05263934</x:v>
      </x:c>
      <x:c r="D810" s="2" t="str">
        <x:v>GlaxoSmithKline</x:v>
      </x:c>
      <x:c r="E810" s="2" t="n">
        <x:v>0</x:v>
      </x:c>
      <x:c r="F810" s="2" t="str">
        <x:v>https://clinicaltrials.gov/study/NCT05263934</x:v>
      </x:c>
      <x:c r="G81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11" ht="23" customHeight="1">
      <x:c r="A811" s="2" t="str">
        <x:v>GSK</x:v>
      </x:c>
      <x:c r="B811" s="2" t="str">
        <x:v>2021-25</x:v>
      </x:c>
      <x:c r="C811" s="2" t="str">
        <x:v>NCT06868654</x:v>
      </x:c>
      <x:c r="D811" s="2" t="str">
        <x:v>GlaxoSmithKline</x:v>
      </x:c>
      <x:c r="E811" s="2" t="n">
        <x:v>0</x:v>
      </x:c>
      <x:c r="F811" s="2" t="str">
        <x:v>https://clinicaltrials.gov/study/NCT06868654</x:v>
      </x:c>
      <x:c r="G81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12" ht="23" customHeight="1">
      <x:c r="A812" s="2" t="str">
        <x:v>GSK</x:v>
      </x:c>
      <x:c r="B812" s="2" t="str">
        <x:v>2021-25</x:v>
      </x:c>
      <x:c r="C812" s="2" t="str">
        <x:v>NCT06666491</x:v>
      </x:c>
      <x:c r="D812" s="2" t="str">
        <x:v>GlaxoSmithKline</x:v>
      </x:c>
      <x:c r="E812" s="2" t="n">
        <x:v>1</x:v>
      </x:c>
      <x:c r="F812" s="2" t="str">
        <x:v>https://clinicaltrials.gov/study/NCT06666491</x:v>
      </x:c>
      <x:c r="G81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13" ht="23" customHeight="1">
      <x:c r="A813" s="2" t="str">
        <x:v>GSK</x:v>
      </x:c>
      <x:c r="B813" s="2" t="str">
        <x:v>2021-25</x:v>
      </x:c>
      <x:c r="C813" s="2" t="str">
        <x:v>NCT06551181</x:v>
      </x:c>
      <x:c r="D813" s="2" t="str">
        <x:v>GlaxoSmithKline</x:v>
      </x:c>
      <x:c r="E813" s="2" t="n">
        <x:v>0</x:v>
      </x:c>
      <x:c r="F813" s="2" t="str">
        <x:v>https://clinicaltrials.gov/study/NCT06551181</x:v>
      </x:c>
      <x:c r="G81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14" ht="23" customHeight="1">
      <x:c r="A814" s="2" t="str">
        <x:v>GSK</x:v>
      </x:c>
      <x:c r="B814" s="2" t="str">
        <x:v>2021-25</x:v>
      </x:c>
      <x:c r="C814" s="2" t="str">
        <x:v>NCT04841577</x:v>
      </x:c>
      <x:c r="D814" s="2" t="str">
        <x:v>GlaxoSmithKline</x:v>
      </x:c>
      <x:c r="E814" s="2" t="n">
        <x:v>0</x:v>
      </x:c>
      <x:c r="F814" s="2" t="str">
        <x:v>https://clinicaltrials.gov/study/NCT04841577</x:v>
      </x:c>
      <x:c r="G81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15" ht="23" customHeight="1">
      <x:c r="A815" s="2" t="str">
        <x:v>GSK</x:v>
      </x:c>
      <x:c r="B815" s="2" t="str">
        <x:v>2021-25</x:v>
      </x:c>
      <x:c r="C815" s="2" t="str">
        <x:v>NCT06256588</x:v>
      </x:c>
      <x:c r="D815" s="2" t="str">
        <x:v>GlaxoSmithKline</x:v>
      </x:c>
      <x:c r="E815" s="2" t="n">
        <x:v>1</x:v>
      </x:c>
      <x:c r="F815" s="2" t="str">
        <x:v>https://clinicaltrials.gov/study/NCT06256588</x:v>
      </x:c>
      <x:c r="G81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16" ht="23" customHeight="1">
      <x:c r="A816" s="2" t="str">
        <x:v>GSK</x:v>
      </x:c>
      <x:c r="B816" s="2" t="str">
        <x:v>2021-25</x:v>
      </x:c>
      <x:c r="C816" s="2" t="str">
        <x:v>NCT06959095</x:v>
      </x:c>
      <x:c r="D816" s="2" t="str">
        <x:v>GlaxoSmithKline</x:v>
      </x:c>
      <x:c r="E816" s="2" t="n">
        <x:v>0</x:v>
      </x:c>
      <x:c r="F816" s="2" t="str">
        <x:v>https://clinicaltrials.gov/study/NCT06959095</x:v>
      </x:c>
      <x:c r="G81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17" ht="23" customHeight="1">
      <x:c r="A817" s="2" t="str">
        <x:v>GSK</x:v>
      </x:c>
      <x:c r="B817" s="2" t="str">
        <x:v>2021-25</x:v>
      </x:c>
      <x:c r="C817" s="2" t="str">
        <x:v>NCT05630833</x:v>
      </x:c>
      <x:c r="D817" s="2" t="str">
        <x:v>GlaxoSmithKline</x:v>
      </x:c>
      <x:c r="E817" s="2" t="n">
        <x:v>0</x:v>
      </x:c>
      <x:c r="F817" s="2" t="str">
        <x:v>https://clinicaltrials.gov/study/NCT05630833</x:v>
      </x:c>
      <x:c r="G81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18" ht="23" customHeight="1">
      <x:c r="A818" s="2" t="str">
        <x:v>GSK</x:v>
      </x:c>
      <x:c r="B818" s="2" t="str">
        <x:v>2021-25</x:v>
      </x:c>
      <x:c r="C818" s="2" t="str">
        <x:v>NCT05630807</x:v>
      </x:c>
      <x:c r="D818" s="2" t="str">
        <x:v>GlaxoSmithKline</x:v>
      </x:c>
      <x:c r="E818" s="2" t="n">
        <x:v>1</x:v>
      </x:c>
      <x:c r="F818" s="2" t="str">
        <x:v>https://clinicaltrials.gov/study/NCT05630807</x:v>
      </x:c>
      <x:c r="G81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19" ht="23" customHeight="1">
      <x:c r="A819" s="2" t="str">
        <x:v>GSK</x:v>
      </x:c>
      <x:c r="B819" s="2" t="str">
        <x:v>2021-25</x:v>
      </x:c>
      <x:c r="C819" s="2" t="str">
        <x:v>NCT04732871</x:v>
      </x:c>
      <x:c r="D819" s="2" t="str">
        <x:v>GlaxoSmithKline</x:v>
      </x:c>
      <x:c r="E819" s="2" t="n">
        <x:v>0</x:v>
      </x:c>
      <x:c r="F819" s="2" t="str">
        <x:v>https://clinicaltrials.gov/study/NCT04732871</x:v>
      </x:c>
      <x:c r="G81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20" ht="23" customHeight="1">
      <x:c r="A820" s="2" t="str">
        <x:v>GSK</x:v>
      </x:c>
      <x:c r="B820" s="2" t="str">
        <x:v>2021-25</x:v>
      </x:c>
      <x:c r="C820" s="2" t="str">
        <x:v>NCT07177339</x:v>
      </x:c>
      <x:c r="D820" s="2" t="str">
        <x:v>GlaxoSmithKline</x:v>
      </x:c>
      <x:c r="E820" s="2" t="n">
        <x:v>0</x:v>
      </x:c>
      <x:c r="F820" s="2" t="str">
        <x:v>https://clinicaltrials.gov/study/NCT07177339</x:v>
      </x:c>
      <x:c r="G82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21" ht="23" customHeight="1">
      <x:c r="A821" s="2" t="str">
        <x:v>GSK</x:v>
      </x:c>
      <x:c r="B821" s="2" t="str">
        <x:v>2021-25</x:v>
      </x:c>
      <x:c r="C821" s="2" t="str">
        <x:v>NCT05917509</x:v>
      </x:c>
      <x:c r="D821" s="2" t="str">
        <x:v>ViiV Healthcare</x:v>
      </x:c>
      <x:c r="E821" s="2" t="n">
        <x:v>0</x:v>
      </x:c>
      <x:c r="F821" s="2" t="str">
        <x:v>https://clinicaltrials.gov/study/NCT05917509</x:v>
      </x:c>
      <x:c r="G82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22" ht="23" customHeight="1">
      <x:c r="A822" s="2" t="str">
        <x:v>GSK</x:v>
      </x:c>
      <x:c r="B822" s="2" t="str">
        <x:v>2021-25</x:v>
      </x:c>
      <x:c r="C822" s="2" t="str">
        <x:v>NCT05630820</x:v>
      </x:c>
      <x:c r="D822" s="2" t="str">
        <x:v>GlaxoSmithKline</x:v>
      </x:c>
      <x:c r="E822" s="2" t="n">
        <x:v>1</x:v>
      </x:c>
      <x:c r="F822" s="2" t="str">
        <x:v>https://clinicaltrials.gov/study/NCT05630820</x:v>
      </x:c>
      <x:c r="G82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23" ht="23" customHeight="1">
      <x:c r="A823" s="2" t="str">
        <x:v>GSK</x:v>
      </x:c>
      <x:c r="B823" s="2" t="str">
        <x:v>2021-25</x:v>
      </x:c>
      <x:c r="C823" s="2" t="str">
        <x:v>NCT05281523</x:v>
      </x:c>
      <x:c r="D823" s="2" t="str">
        <x:v>GlaxoSmithKline</x:v>
      </x:c>
      <x:c r="E823" s="2" t="n">
        <x:v>0</x:v>
      </x:c>
      <x:c r="F823" s="2" t="str">
        <x:v>https://clinicaltrials.gov/study/NCT05281523</x:v>
      </x:c>
      <x:c r="G82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24" ht="23" customHeight="1">
      <x:c r="A824" s="2" t="str">
        <x:v>GSK</x:v>
      </x:c>
      <x:c r="B824" s="2" t="str">
        <x:v>2021-25</x:v>
      </x:c>
      <x:c r="C824" s="2" t="str">
        <x:v>NCT05568797</x:v>
      </x:c>
      <x:c r="D824" s="2" t="str">
        <x:v>GlaxoSmithKline</x:v>
      </x:c>
      <x:c r="E824" s="2" t="n">
        <x:v>0</x:v>
      </x:c>
      <x:c r="F824" s="2" t="str">
        <x:v>https://clinicaltrials.gov/study/NCT05568797</x:v>
      </x:c>
      <x:c r="G82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25" ht="23" customHeight="1">
      <x:c r="A825" s="2" t="str">
        <x:v>GSK</x:v>
      </x:c>
      <x:c r="B825" s="2" t="str">
        <x:v>2021-25</x:v>
      </x:c>
      <x:c r="C825" s="2" t="str">
        <x:v>NCT04915755</x:v>
      </x:c>
      <x:c r="D825" s="2" t="str">
        <x:v>GlaxoSmithKline</x:v>
      </x:c>
      <x:c r="E825" s="2" t="n">
        <x:v>0</x:v>
      </x:c>
      <x:c r="F825" s="2" t="str">
        <x:v>https://clinicaltrials.gov/study/NCT04915755</x:v>
      </x:c>
      <x:c r="G82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26" ht="23" customHeight="1">
      <x:c r="A826" s="2" t="str">
        <x:v>GSK</x:v>
      </x:c>
      <x:c r="B826" s="2" t="str">
        <x:v>2021-25</x:v>
      </x:c>
      <x:c r="C826" s="2" t="str">
        <x:v>NCT06716606</x:v>
      </x:c>
      <x:c r="D826" s="2" t="str">
        <x:v>GlaxoSmithKline</x:v>
      </x:c>
      <x:c r="E826" s="2" t="n">
        <x:v>0</x:v>
      </x:c>
      <x:c r="F826" s="2" t="str">
        <x:v>https://clinicaltrials.gov/study/NCT06716606</x:v>
      </x:c>
      <x:c r="G82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27" ht="23" customHeight="1">
      <x:c r="A827" s="2" t="str">
        <x:v>GSK</x:v>
      </x:c>
      <x:c r="B827" s="2" t="str">
        <x:v>2021-25</x:v>
      </x:c>
      <x:c r="C827" s="2" t="str">
        <x:v>NCT04719832</x:v>
      </x:c>
      <x:c r="D827" s="2" t="str">
        <x:v>GlaxoSmithKline</x:v>
      </x:c>
      <x:c r="E827" s="2" t="n">
        <x:v>0</x:v>
      </x:c>
      <x:c r="F827" s="2" t="str">
        <x:v>https://clinicaltrials.gov/study/NCT04719832</x:v>
      </x:c>
      <x:c r="G82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28" ht="23" customHeight="1">
      <x:c r="A828" s="2" t="str">
        <x:v>GSK</x:v>
      </x:c>
      <x:c r="B828" s="2" t="str">
        <x:v>2021-25</x:v>
      </x:c>
      <x:c r="C828" s="2" t="str">
        <x:v>NCT05911360</x:v>
      </x:c>
      <x:c r="D828" s="2" t="str">
        <x:v>ViiV Healthcare</x:v>
      </x:c>
      <x:c r="E828" s="2" t="n">
        <x:v>0</x:v>
      </x:c>
      <x:c r="F828" s="2" t="str">
        <x:v>https://clinicaltrials.gov/study/NCT05911360</x:v>
      </x:c>
      <x:c r="G82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29" ht="23" customHeight="1">
      <x:c r="A829" s="2" t="str">
        <x:v>GSK</x:v>
      </x:c>
      <x:c r="B829" s="2" t="str">
        <x:v>2021-25</x:v>
      </x:c>
      <x:c r="C829" s="2" t="str">
        <x:v>NCT07221227</x:v>
      </x:c>
      <x:c r="D829" s="2" t="str">
        <x:v>GlaxoSmithKline</x:v>
      </x:c>
      <x:c r="E829" s="2" t="n">
        <x:v>0</x:v>
      </x:c>
      <x:c r="F829" s="2" t="str">
        <x:v>https://clinicaltrials.gov/study/NCT07221227</x:v>
      </x:c>
      <x:c r="G82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30" ht="23" customHeight="1">
      <x:c r="A830" s="2" t="str">
        <x:v>GSK</x:v>
      </x:c>
      <x:c r="B830" s="2" t="str">
        <x:v>2021-25</x:v>
      </x:c>
      <x:c r="C830" s="2" t="str">
        <x:v>NCT06693895</x:v>
      </x:c>
      <x:c r="D830" s="2" t="str">
        <x:v>GlaxoSmithKline</x:v>
      </x:c>
      <x:c r="E830" s="2" t="n">
        <x:v>0</x:v>
      </x:c>
      <x:c r="F830" s="2" t="str">
        <x:v>https://clinicaltrials.gov/study/NCT06693895</x:v>
      </x:c>
      <x:c r="G83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31" ht="23" customHeight="1">
      <x:c r="A831" s="2" t="str">
        <x:v>GSK</x:v>
      </x:c>
      <x:c r="B831" s="2" t="str">
        <x:v>2021-25</x:v>
      </x:c>
      <x:c r="C831" s="2" t="str">
        <x:v>NCT05855200</x:v>
      </x:c>
      <x:c r="D831" s="2" t="str">
        <x:v>GlaxoSmithKline</x:v>
      </x:c>
      <x:c r="E831" s="2" t="n">
        <x:v>1</x:v>
      </x:c>
      <x:c r="F831" s="2" t="str">
        <x:v>https://clinicaltrials.gov/study/NCT05855200</x:v>
      </x:c>
      <x:c r="G83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32" ht="23" customHeight="1">
      <x:c r="A832" s="2" t="str">
        <x:v>GSK</x:v>
      </x:c>
      <x:c r="B832" s="2" t="str">
        <x:v>2021-25</x:v>
      </x:c>
      <x:c r="C832" s="2" t="str">
        <x:v>NCT04965636</x:v>
      </x:c>
      <x:c r="D832" s="2" t="str">
        <x:v>GlaxoSmithKline</x:v>
      </x:c>
      <x:c r="E832" s="2" t="n">
        <x:v>0</x:v>
      </x:c>
      <x:c r="F832" s="2" t="str">
        <x:v>https://clinicaltrials.gov/study/NCT04965636</x:v>
      </x:c>
      <x:c r="G83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33" ht="23" customHeight="1">
      <x:c r="A833" s="2" t="str">
        <x:v>GSK</x:v>
      </x:c>
      <x:c r="B833" s="2" t="str">
        <x:v>2021-25</x:v>
      </x:c>
      <x:c r="C833" s="2" t="str">
        <x:v>NCT06995430</x:v>
      </x:c>
      <x:c r="D833" s="2" t="str">
        <x:v>GlaxoSmithKline</x:v>
      </x:c>
      <x:c r="E833" s="2" t="n">
        <x:v>0</x:v>
      </x:c>
      <x:c r="F833" s="2" t="str">
        <x:v>https://clinicaltrials.gov/study/NCT06995430</x:v>
      </x:c>
      <x:c r="G83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34" ht="23" customHeight="1">
      <x:c r="A834" s="2" t="str">
        <x:v>GSK</x:v>
      </x:c>
      <x:c r="B834" s="2" t="str">
        <x:v>2021-25</x:v>
      </x:c>
      <x:c r="C834" s="2" t="str">
        <x:v>NCT04950127</x:v>
      </x:c>
      <x:c r="D834" s="2" t="str">
        <x:v>GlaxoSmithKline</x:v>
      </x:c>
      <x:c r="E834" s="2" t="n">
        <x:v>0</x:v>
      </x:c>
      <x:c r="F834" s="2" t="str">
        <x:v>https://clinicaltrials.gov/study/NCT04950127</x:v>
      </x:c>
      <x:c r="G83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35" ht="23" customHeight="1">
      <x:c r="A835" s="2" t="str">
        <x:v>GSK</x:v>
      </x:c>
      <x:c r="B835" s="2" t="str">
        <x:v>2021-25</x:v>
      </x:c>
      <x:c r="C835" s="2" t="str">
        <x:v>NCT07286331</x:v>
      </x:c>
      <x:c r="D835" s="2" t="str">
        <x:v>GlaxoSmithKline</x:v>
      </x:c>
      <x:c r="E835" s="2" t="n">
        <x:v>0</x:v>
      </x:c>
      <x:c r="F835" s="2" t="str">
        <x:v>https://clinicaltrials.gov/study/NCT07286331</x:v>
      </x:c>
      <x:c r="G83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36" ht="23" customHeight="1">
      <x:c r="A836" s="2" t="str">
        <x:v>GSK</x:v>
      </x:c>
      <x:c r="B836" s="2" t="str">
        <x:v>2021-25</x:v>
      </x:c>
      <x:c r="C836" s="2" t="str">
        <x:v>NCT05757102</x:v>
      </x:c>
      <x:c r="D836" s="2" t="str">
        <x:v>GlaxoSmithKline</x:v>
      </x:c>
      <x:c r="E836" s="2" t="n">
        <x:v>0</x:v>
      </x:c>
      <x:c r="F836" s="2" t="str">
        <x:v>https://clinicaltrials.gov/study/NCT05757102</x:v>
      </x:c>
      <x:c r="G83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37" ht="23" customHeight="1">
      <x:c r="A837" s="2" t="str">
        <x:v>GSK</x:v>
      </x:c>
      <x:c r="B837" s="2" t="str">
        <x:v>2021-25</x:v>
      </x:c>
      <x:c r="C837" s="2" t="str">
        <x:v>NCT05371080</x:v>
      </x:c>
      <x:c r="D837" s="2" t="str">
        <x:v>GlaxoSmithKline</x:v>
      </x:c>
      <x:c r="E837" s="2" t="n">
        <x:v>0</x:v>
      </x:c>
      <x:c r="F837" s="2" t="str">
        <x:v>https://clinicaltrials.gov/study/NCT05371080</x:v>
      </x:c>
      <x:c r="G83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38" ht="23" customHeight="1">
      <x:c r="A838" s="2" t="str">
        <x:v>GSK</x:v>
      </x:c>
      <x:c r="B838" s="2" t="str">
        <x:v>2021-25</x:v>
      </x:c>
      <x:c r="C838" s="2" t="str">
        <x:v>NCT06855160</x:v>
      </x:c>
      <x:c r="D838" s="2" t="str">
        <x:v>GlaxoSmithKline</x:v>
      </x:c>
      <x:c r="E838" s="2" t="n">
        <x:v>0</x:v>
      </x:c>
      <x:c r="F838" s="2" t="str">
        <x:v>https://clinicaltrials.gov/study/NCT06855160</x:v>
      </x:c>
      <x:c r="G83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39" ht="23" customHeight="1">
      <x:c r="A839" s="2" t="str">
        <x:v>GSK</x:v>
      </x:c>
      <x:c r="B839" s="2" t="str">
        <x:v>2021-25</x:v>
      </x:c>
      <x:c r="C839" s="2" t="str">
        <x:v>NCT05243680</x:v>
      </x:c>
      <x:c r="D839" s="2" t="str">
        <x:v>GlaxoSmithKline</x:v>
      </x:c>
      <x:c r="E839" s="2" t="n">
        <x:v>0</x:v>
      </x:c>
      <x:c r="F839" s="2" t="str">
        <x:v>https://clinicaltrials.gov/study/NCT05243680</x:v>
      </x:c>
      <x:c r="G83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40" ht="23" customHeight="1">
      <x:c r="A840" s="2" t="str">
        <x:v>GSK</x:v>
      </x:c>
      <x:c r="B840" s="2" t="str">
        <x:v>2021-25</x:v>
      </x:c>
      <x:c r="C840" s="2" t="str">
        <x:v>NCT05979311</x:v>
      </x:c>
      <x:c r="D840" s="2" t="str">
        <x:v>ViiV Healthcare</x:v>
      </x:c>
      <x:c r="E840" s="2" t="n">
        <x:v>0</x:v>
      </x:c>
      <x:c r="F840" s="2" t="str">
        <x:v>https://clinicaltrials.gov/study/NCT05979311</x:v>
      </x:c>
      <x:c r="G84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41" ht="23" customHeight="1">
      <x:c r="A841" s="2" t="str">
        <x:v>GSK</x:v>
      </x:c>
      <x:c r="B841" s="2" t="str">
        <x:v>2021-25</x:v>
      </x:c>
      <x:c r="C841" s="2" t="str">
        <x:v>NCT04718103</x:v>
      </x:c>
      <x:c r="D841" s="2" t="str">
        <x:v>GlaxoSmithKline</x:v>
      </x:c>
      <x:c r="E841" s="2" t="n">
        <x:v>0</x:v>
      </x:c>
      <x:c r="F841" s="2" t="str">
        <x:v>https://clinicaltrials.gov/study/NCT04718103</x:v>
      </x:c>
      <x:c r="G84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42" ht="23" customHeight="1">
      <x:c r="A842" s="2" t="str">
        <x:v>GSK</x:v>
      </x:c>
      <x:c r="B842" s="2" t="str">
        <x:v>2021-25</x:v>
      </x:c>
      <x:c r="C842" s="2" t="str">
        <x:v>NCT07099898</x:v>
      </x:c>
      <x:c r="D842" s="2" t="str">
        <x:v>GlaxoSmithKline</x:v>
      </x:c>
      <x:c r="E842" s="2" t="n">
        <x:v>0</x:v>
      </x:c>
      <x:c r="F842" s="2" t="str">
        <x:v>https://clinicaltrials.gov/study/NCT07099898</x:v>
      </x:c>
      <x:c r="G84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43" ht="23" customHeight="1">
      <x:c r="A843" s="2" t="str">
        <x:v>GSK</x:v>
      </x:c>
      <x:c r="B843" s="2" t="str">
        <x:v>2021-25</x:v>
      </x:c>
      <x:c r="C843" s="2" t="str">
        <x:v>NCT05682326</x:v>
      </x:c>
      <x:c r="D843" s="2" t="str">
        <x:v>GlaxoSmithKline</x:v>
      </x:c>
      <x:c r="E843" s="2" t="n">
        <x:v>0</x:v>
      </x:c>
      <x:c r="F843" s="2" t="str">
        <x:v>https://clinicaltrials.gov/study/NCT05682326</x:v>
      </x:c>
      <x:c r="G84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44" ht="23" customHeight="1">
      <x:c r="A844" s="2" t="str">
        <x:v>GSK</x:v>
      </x:c>
      <x:c r="B844" s="2" t="str">
        <x:v>2021-25</x:v>
      </x:c>
      <x:c r="C844" s="2" t="str">
        <x:v>NCT06868667</x:v>
      </x:c>
      <x:c r="D844" s="2" t="str">
        <x:v>GlaxoSmithKline</x:v>
      </x:c>
      <x:c r="E844" s="2" t="n">
        <x:v>0</x:v>
      </x:c>
      <x:c r="F844" s="2" t="str">
        <x:v>https://clinicaltrials.gov/study/NCT06868667</x:v>
      </x:c>
      <x:c r="G84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45" ht="23" customHeight="1">
      <x:c r="A845" s="2" t="str">
        <x:v>GSK</x:v>
      </x:c>
      <x:c r="B845" s="2" t="str">
        <x:v>2021-25</x:v>
      </x:c>
      <x:c r="C845" s="2" t="str">
        <x:v>NCT04707391</x:v>
      </x:c>
      <x:c r="D845" s="2" t="str">
        <x:v>GlaxoSmithKline</x:v>
      </x:c>
      <x:c r="E845" s="2" t="n">
        <x:v>0</x:v>
      </x:c>
      <x:c r="F845" s="2" t="str">
        <x:v>https://clinicaltrials.gov/study/NCT04707391</x:v>
      </x:c>
      <x:c r="G84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46" ht="23" customHeight="1">
      <x:c r="A846" s="2" t="str">
        <x:v>GSK</x:v>
      </x:c>
      <x:c r="B846" s="2" t="str">
        <x:v>2021-25</x:v>
      </x:c>
      <x:c r="C846" s="2" t="str">
        <x:v>NCT06956170</x:v>
      </x:c>
      <x:c r="D846" s="2" t="str">
        <x:v>GlaxoSmithKline</x:v>
      </x:c>
      <x:c r="E846" s="2" t="n">
        <x:v>0</x:v>
      </x:c>
      <x:c r="F846" s="2" t="str">
        <x:v>https://clinicaltrials.gov/study/NCT06956170</x:v>
      </x:c>
      <x:c r="G84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47" ht="23" customHeight="1">
      <x:c r="A847" s="2" t="str">
        <x:v>GSK</x:v>
      </x:c>
      <x:c r="B847" s="2" t="str">
        <x:v>2021-25</x:v>
      </x:c>
      <x:c r="C847" s="2" t="str">
        <x:v>NCT06740630</x:v>
      </x:c>
      <x:c r="D847" s="2" t="str">
        <x:v>GlaxoSmithKline</x:v>
      </x:c>
      <x:c r="E847" s="2" t="n">
        <x:v>0</x:v>
      </x:c>
      <x:c r="F847" s="2" t="str">
        <x:v>https://clinicaltrials.gov/study/NCT06740630</x:v>
      </x:c>
      <x:c r="G84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48" ht="23" customHeight="1">
      <x:c r="A848" s="2" t="str">
        <x:v>GSK</x:v>
      </x:c>
      <x:c r="B848" s="2" t="str">
        <x:v>2021-25</x:v>
      </x:c>
      <x:c r="C848" s="2" t="str">
        <x:v>NCT05879107</x:v>
      </x:c>
      <x:c r="D848" s="2" t="str">
        <x:v>GlaxoSmithKline</x:v>
      </x:c>
      <x:c r="E848" s="2" t="n">
        <x:v>0</x:v>
      </x:c>
      <x:c r="F848" s="2" t="str">
        <x:v>https://clinicaltrials.gov/study/NCT05879107</x:v>
      </x:c>
      <x:c r="G84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49" ht="23" customHeight="1">
      <x:c r="A849" s="2" t="str">
        <x:v>GSK</x:v>
      </x:c>
      <x:c r="B849" s="2" t="str">
        <x:v>2021-25</x:v>
      </x:c>
      <x:c r="C849" s="2" t="str">
        <x:v>NCT05229068</x:v>
      </x:c>
      <x:c r="D849" s="2" t="str">
        <x:v>GlaxoSmithKline</x:v>
      </x:c>
      <x:c r="E849" s="2" t="n">
        <x:v>0</x:v>
      </x:c>
      <x:c r="F849" s="2" t="str">
        <x:v>https://clinicaltrials.gov/study/NCT05229068</x:v>
      </x:c>
      <x:c r="G84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50" ht="23" customHeight="1">
      <x:c r="A850" s="2" t="str">
        <x:v>GSK</x:v>
      </x:c>
      <x:c r="B850" s="2" t="str">
        <x:v>2021-25</x:v>
      </x:c>
      <x:c r="C850" s="2" t="str">
        <x:v>NCT06597344</x:v>
      </x:c>
      <x:c r="D850" s="2" t="str">
        <x:v>GlaxoSmithKline</x:v>
      </x:c>
      <x:c r="E850" s="2" t="n">
        <x:v>0</x:v>
      </x:c>
      <x:c r="F850" s="2" t="str">
        <x:v>https://clinicaltrials.gov/study/NCT06597344</x:v>
      </x:c>
      <x:c r="G85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51" ht="23" customHeight="1">
      <x:c r="A851" s="2" t="str">
        <x:v>GSK</x:v>
      </x:c>
      <x:c r="B851" s="2" t="str">
        <x:v>2021-25</x:v>
      </x:c>
      <x:c r="C851" s="2" t="str">
        <x:v>NCT06806137</x:v>
      </x:c>
      <x:c r="D851" s="2" t="str">
        <x:v>GlaxoSmithKline</x:v>
      </x:c>
      <x:c r="E851" s="2" t="n">
        <x:v>0</x:v>
      </x:c>
      <x:c r="F851" s="2" t="str">
        <x:v>https://clinicaltrials.gov/study/NCT06806137</x:v>
      </x:c>
      <x:c r="G85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52" ht="23" customHeight="1">
      <x:c r="A852" s="2" t="str">
        <x:v>GSK</x:v>
      </x:c>
      <x:c r="B852" s="2" t="str">
        <x:v>2021-25</x:v>
      </x:c>
      <x:c r="C852" s="2" t="str">
        <x:v>NCT06389487</x:v>
      </x:c>
      <x:c r="D852" s="2" t="str">
        <x:v>GlaxoSmithKline</x:v>
      </x:c>
      <x:c r="E852" s="2" t="n">
        <x:v>0</x:v>
      </x:c>
      <x:c r="F852" s="2" t="str">
        <x:v>https://clinicaltrials.gov/study/NCT06389487</x:v>
      </x:c>
      <x:c r="G85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53" ht="23" customHeight="1">
      <x:c r="A853" s="2" t="str">
        <x:v>GSK</x:v>
      </x:c>
      <x:c r="B853" s="2" t="str">
        <x:v>2021-25</x:v>
      </x:c>
      <x:c r="C853" s="2" t="str">
        <x:v>NCT05219253</x:v>
      </x:c>
      <x:c r="D853" s="2" t="str">
        <x:v>GlaxoSmithKline</x:v>
      </x:c>
      <x:c r="E853" s="2" t="n">
        <x:v>1</x:v>
      </x:c>
      <x:c r="F853" s="2" t="str">
        <x:v>https://clinicaltrials.gov/study/NCT05219253</x:v>
      </x:c>
      <x:c r="G85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54" ht="23" customHeight="1">
      <x:c r="A854" s="2" t="str">
        <x:v>GSK</x:v>
      </x:c>
      <x:c r="B854" s="2" t="str">
        <x:v>2021-25</x:v>
      </x:c>
      <x:c r="C854" s="2" t="str">
        <x:v>NCT05600777</x:v>
      </x:c>
      <x:c r="D854" s="2" t="str">
        <x:v>Bellus Health Inc. - a GSK company</x:v>
      </x:c>
      <x:c r="E854" s="2" t="n">
        <x:v>1</x:v>
      </x:c>
      <x:c r="F854" s="2" t="str">
        <x:v>https://clinicaltrials.gov/study/NCT05600777</x:v>
      </x:c>
      <x:c r="G85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GlaxoSmithKline+OR+AREA%5BLeadSponsorName%5DGSK+OR+AREA%5BLeadSponsorName%5DViiV%29&amp;countTotal=true&amp;pageSize=1</x:v>
      </x:c>
    </x:row>
    <x:row r="855" ht="23" customHeight="1">
      <x:c r="A855" s="2" t="str">
        <x:v>Sanofi</x:v>
      </x:c>
      <x:c r="B855" s="2" t="str">
        <x:v>2015-19</x:v>
      </x:c>
      <x:c r="C855" s="2" t="str">
        <x:v>NCT03417245</x:v>
      </x:c>
      <x:c r="D855" s="2" t="str">
        <x:v>Genzyme, a Sanofi Company</x:v>
      </x:c>
      <x:c r="E855" s="2" t="n">
        <x:v>1</x:v>
      </x:c>
      <x:c r="F855" s="2" t="str">
        <x:v>https://clinicaltrials.gov/study/NCT03417245</x:v>
      </x:c>
      <x:c r="G85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56" ht="23" customHeight="1">
      <x:c r="A856" s="2" t="str">
        <x:v>Sanofi</x:v>
      </x:c>
      <x:c r="B856" s="2" t="str">
        <x:v>2015-19</x:v>
      </x:c>
      <x:c r="C856" s="2" t="str">
        <x:v>NCT04154956</x:v>
      </x:c>
      <x:c r="D856" s="2" t="str">
        <x:v>Sanofi</x:v>
      </x:c>
      <x:c r="E856" s="2" t="n">
        <x:v>0</x:v>
      </x:c>
      <x:c r="F856" s="2" t="str">
        <x:v>https://clinicaltrials.gov/study/NCT04154956</x:v>
      </x:c>
      <x:c r="G85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57" ht="23" customHeight="1">
      <x:c r="A857" s="2" t="str">
        <x:v>Sanofi</x:v>
      </x:c>
      <x:c r="B857" s="2" t="str">
        <x:v>2015-19</x:v>
      </x:c>
      <x:c r="C857" s="2" t="str">
        <x:v>NCT02817451</x:v>
      </x:c>
      <x:c r="D857" s="2" t="str">
        <x:v>Sanofi Pasteur, a Sanofi Company</x:v>
      </x:c>
      <x:c r="E857" s="2" t="n">
        <x:v>0</x:v>
      </x:c>
      <x:c r="F857" s="2" t="str">
        <x:v>https://clinicaltrials.gov/study/NCT02817451</x:v>
      </x:c>
      <x:c r="G85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58" ht="23" customHeight="1">
      <x:c r="A858" s="2" t="str">
        <x:v>Sanofi</x:v>
      </x:c>
      <x:c r="B858" s="2" t="str">
        <x:v>2015-19</x:v>
      </x:c>
      <x:c r="C858" s="2" t="str">
        <x:v>NCT03347422</x:v>
      </x:c>
      <x:c r="D858" s="2" t="str">
        <x:v>Bioverativ, a Sanofi company</x:v>
      </x:c>
      <x:c r="E858" s="2" t="n">
        <x:v>0</x:v>
      </x:c>
      <x:c r="F858" s="2" t="str">
        <x:v>https://clinicaltrials.gov/study/NCT03347422</x:v>
      </x:c>
      <x:c r="G85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59" ht="23" customHeight="1">
      <x:c r="A859" s="2" t="str">
        <x:v>Sanofi</x:v>
      </x:c>
      <x:c r="B859" s="2" t="str">
        <x:v>2015-19</x:v>
      </x:c>
      <x:c r="C859" s="2" t="str">
        <x:v>NCT04210349</x:v>
      </x:c>
      <x:c r="D859" s="2" t="str">
        <x:v>Sanofi Pasteur, a Sanofi Company</x:v>
      </x:c>
      <x:c r="E859" s="2" t="n">
        <x:v>0</x:v>
      </x:c>
      <x:c r="F859" s="2" t="str">
        <x:v>https://clinicaltrials.gov/study/NCT04210349</x:v>
      </x:c>
      <x:c r="G85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60" ht="23" customHeight="1">
      <x:c r="A860" s="2" t="str">
        <x:v>Sanofi</x:v>
      </x:c>
      <x:c r="B860" s="2" t="str">
        <x:v>2015-19</x:v>
      </x:c>
      <x:c r="C860" s="2" t="str">
        <x:v>NCT03547271</x:v>
      </x:c>
      <x:c r="D860" s="2" t="str">
        <x:v>Sanofi Pasteur, a Sanofi Company</x:v>
      </x:c>
      <x:c r="E860" s="2" t="n">
        <x:v>0</x:v>
      </x:c>
      <x:c r="F860" s="2" t="str">
        <x:v>https://clinicaltrials.gov/study/NCT03547271</x:v>
      </x:c>
      <x:c r="G86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61" ht="23" customHeight="1">
      <x:c r="A861" s="2" t="str">
        <x:v>Sanofi</x:v>
      </x:c>
      <x:c r="B861" s="2" t="str">
        <x:v>2015-19</x:v>
      </x:c>
      <x:c r="C861" s="2" t="str">
        <x:v>NCT03798080</x:v>
      </x:c>
      <x:c r="D861" s="2" t="str">
        <x:v>Sanofi</x:v>
      </x:c>
      <x:c r="E861" s="2" t="n">
        <x:v>0</x:v>
      </x:c>
      <x:c r="F861" s="2" t="str">
        <x:v>https://clinicaltrials.gov/study/NCT03798080</x:v>
      </x:c>
      <x:c r="G86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62" ht="23" customHeight="1">
      <x:c r="A862" s="2" t="str">
        <x:v>Sanofi</x:v>
      </x:c>
      <x:c r="B862" s="2" t="str">
        <x:v>2015-19</x:v>
      </x:c>
      <x:c r="C862" s="2" t="str">
        <x:v>NCT03684642</x:v>
      </x:c>
      <x:c r="D862" s="2" t="str">
        <x:v>Sanofi</x:v>
      </x:c>
      <x:c r="E862" s="2" t="n">
        <x:v>0</x:v>
      </x:c>
      <x:c r="F862" s="2" t="str">
        <x:v>https://clinicaltrials.gov/study/NCT03684642</x:v>
      </x:c>
      <x:c r="G86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63" ht="23" customHeight="1">
      <x:c r="A863" s="2" t="str">
        <x:v>Sanofi</x:v>
      </x:c>
      <x:c r="B863" s="2" t="str">
        <x:v>2015-19</x:v>
      </x:c>
      <x:c r="C863" s="2" t="str">
        <x:v>NCT02787551</x:v>
      </x:c>
      <x:c r="D863" s="2" t="str">
        <x:v>Sanofi</x:v>
      </x:c>
      <x:c r="E863" s="2" t="n">
        <x:v>0</x:v>
      </x:c>
      <x:c r="F863" s="2" t="str">
        <x:v>https://clinicaltrials.gov/study/NCT02787551</x:v>
      </x:c>
      <x:c r="G86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64" ht="23" customHeight="1">
      <x:c r="A864" s="2" t="str">
        <x:v>Sanofi</x:v>
      </x:c>
      <x:c r="B864" s="2" t="str">
        <x:v>2015-19</x:v>
      </x:c>
      <x:c r="C864" s="2" t="str">
        <x:v>NCT04161495</x:v>
      </x:c>
      <x:c r="D864" s="2" t="str">
        <x:v>Bioverativ, a Sanofi company</x:v>
      </x:c>
      <x:c r="E864" s="2" t="n">
        <x:v>0</x:v>
      </x:c>
      <x:c r="F864" s="2" t="str">
        <x:v>https://clinicaltrials.gov/study/NCT04161495</x:v>
      </x:c>
      <x:c r="G86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65" ht="23" customHeight="1">
      <x:c r="A865" s="2" t="str">
        <x:v>Sanofi</x:v>
      </x:c>
      <x:c r="B865" s="2" t="str">
        <x:v>2015-19</x:v>
      </x:c>
      <x:c r="C865" s="2" t="str">
        <x:v>NCT03529123</x:v>
      </x:c>
      <x:c r="D865" s="2" t="str">
        <x:v>Sanofi</x:v>
      </x:c>
      <x:c r="E865" s="2" t="n">
        <x:v>1</x:v>
      </x:c>
      <x:c r="F865" s="2" t="str">
        <x:v>https://clinicaltrials.gov/study/NCT03529123</x:v>
      </x:c>
      <x:c r="G86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66" ht="23" customHeight="1">
      <x:c r="A866" s="2" t="str">
        <x:v>Sanofi</x:v>
      </x:c>
      <x:c r="B866" s="2" t="str">
        <x:v>2015-19</x:v>
      </x:c>
      <x:c r="C866" s="2" t="str">
        <x:v>NCT02842866</x:v>
      </x:c>
      <x:c r="D866" s="2" t="str">
        <x:v>Sanofi Pasteur, a Sanofi Company</x:v>
      </x:c>
      <x:c r="E866" s="2" t="n">
        <x:v>0</x:v>
      </x:c>
      <x:c r="F866" s="2" t="str">
        <x:v>https://clinicaltrials.gov/study/NCT02842866</x:v>
      </x:c>
      <x:c r="G86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67" ht="23" customHeight="1">
      <x:c r="A867" s="2" t="str">
        <x:v>Sanofi</x:v>
      </x:c>
      <x:c r="B867" s="2" t="str">
        <x:v>2015-19</x:v>
      </x:c>
      <x:c r="C867" s="2" t="str">
        <x:v>NCT03275285</x:v>
      </x:c>
      <x:c r="D867" s="2" t="str">
        <x:v>Sanofi</x:v>
      </x:c>
      <x:c r="E867" s="2" t="n">
        <x:v>0</x:v>
      </x:c>
      <x:c r="F867" s="2" t="str">
        <x:v>https://clinicaltrials.gov/study/NCT03275285</x:v>
      </x:c>
      <x:c r="G86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68" ht="23" customHeight="1">
      <x:c r="A868" s="2" t="str">
        <x:v>Sanofi</x:v>
      </x:c>
      <x:c r="B868" s="2" t="str">
        <x:v>2015-19</x:v>
      </x:c>
      <x:c r="C868" s="2" t="str">
        <x:v>NCT02401243</x:v>
      </x:c>
      <x:c r="D868" s="2" t="str">
        <x:v>Sanofi</x:v>
      </x:c>
      <x:c r="E868" s="2" t="n">
        <x:v>0</x:v>
      </x:c>
      <x:c r="F868" s="2" t="str">
        <x:v>https://clinicaltrials.gov/study/NCT02401243</x:v>
      </x:c>
      <x:c r="G86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69" ht="23" customHeight="1">
      <x:c r="A869" s="2" t="str">
        <x:v>Sanofi</x:v>
      </x:c>
      <x:c r="B869" s="2" t="str">
        <x:v>2015-19</x:v>
      </x:c>
      <x:c r="C869" s="2" t="str">
        <x:v>NCT02855684</x:v>
      </x:c>
      <x:c r="D869" s="2" t="str">
        <x:v>Sanofi</x:v>
      </x:c>
      <x:c r="E869" s="2" t="n">
        <x:v>0</x:v>
      </x:c>
      <x:c r="F869" s="2" t="str">
        <x:v>https://clinicaltrials.gov/study/NCT02855684</x:v>
      </x:c>
      <x:c r="G86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70" ht="23" customHeight="1">
      <x:c r="A870" s="2" t="str">
        <x:v>Sanofi</x:v>
      </x:c>
      <x:c r="B870" s="2" t="str">
        <x:v>2015-19</x:v>
      </x:c>
      <x:c r="C870" s="2" t="str">
        <x:v>NCT03713684</x:v>
      </x:c>
      <x:c r="D870" s="2" t="str">
        <x:v>Sanofi</x:v>
      </x:c>
      <x:c r="E870" s="2" t="n">
        <x:v>0</x:v>
      </x:c>
      <x:c r="F870" s="2" t="str">
        <x:v>https://clinicaltrials.gov/study/NCT03713684</x:v>
      </x:c>
      <x:c r="G87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71" ht="23" customHeight="1">
      <x:c r="A871" s="2" t="str">
        <x:v>Sanofi</x:v>
      </x:c>
      <x:c r="B871" s="2" t="str">
        <x:v>2015-19</x:v>
      </x:c>
      <x:c r="C871" s="2" t="str">
        <x:v>NCT02550197</x:v>
      </x:c>
      <x:c r="D871" s="2" t="str">
        <x:v>Sanofi Pasteur, a Sanofi Company</x:v>
      </x:c>
      <x:c r="E871" s="2" t="n">
        <x:v>0</x:v>
      </x:c>
      <x:c r="F871" s="2" t="str">
        <x:v>https://clinicaltrials.gov/study/NCT02550197</x:v>
      </x:c>
      <x:c r="G87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72" ht="23" customHeight="1">
      <x:c r="A872" s="2" t="str">
        <x:v>Sanofi</x:v>
      </x:c>
      <x:c r="B872" s="2" t="str">
        <x:v>2015-19</x:v>
      </x:c>
      <x:c r="C872" s="2" t="str">
        <x:v>NCT03767543</x:v>
      </x:c>
      <x:c r="D872" s="2" t="str">
        <x:v>Sanofi</x:v>
      </x:c>
      <x:c r="E872" s="2" t="n">
        <x:v>0</x:v>
      </x:c>
      <x:c r="F872" s="2" t="str">
        <x:v>https://clinicaltrials.gov/study/NCT03767543</x:v>
      </x:c>
      <x:c r="G87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73" ht="23" customHeight="1">
      <x:c r="A873" s="2" t="str">
        <x:v>Sanofi</x:v>
      </x:c>
      <x:c r="B873" s="2" t="str">
        <x:v>2015-19</x:v>
      </x:c>
      <x:c r="C873" s="2" t="str">
        <x:v>NCT03664882</x:v>
      </x:c>
      <x:c r="D873" s="2" t="str">
        <x:v>Sanofi</x:v>
      </x:c>
      <x:c r="E873" s="2" t="n">
        <x:v>0</x:v>
      </x:c>
      <x:c r="F873" s="2" t="str">
        <x:v>https://clinicaltrials.gov/study/NCT03664882</x:v>
      </x:c>
      <x:c r="G87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74" ht="23" customHeight="1">
      <x:c r="A874" s="2" t="str">
        <x:v>Sanofi</x:v>
      </x:c>
      <x:c r="B874" s="2" t="str">
        <x:v>2015-19</x:v>
      </x:c>
      <x:c r="C874" s="2" t="str">
        <x:v>NCT04074187</x:v>
      </x:c>
      <x:c r="D874" s="2" t="str">
        <x:v>Sanofi</x:v>
      </x:c>
      <x:c r="E874" s="2" t="n">
        <x:v>0</x:v>
      </x:c>
      <x:c r="F874" s="2" t="str">
        <x:v>https://clinicaltrials.gov/study/NCT04074187</x:v>
      </x:c>
      <x:c r="G87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75" ht="23" customHeight="1">
      <x:c r="A875" s="2" t="str">
        <x:v>Sanofi</x:v>
      </x:c>
      <x:c r="B875" s="2" t="str">
        <x:v>2015-19</x:v>
      </x:c>
      <x:c r="C875" s="2" t="str">
        <x:v>NCT02503306</x:v>
      </x:c>
      <x:c r="D875" s="2" t="str">
        <x:v>Sanofi</x:v>
      </x:c>
      <x:c r="E875" s="2" t="n">
        <x:v>0</x:v>
      </x:c>
      <x:c r="F875" s="2" t="str">
        <x:v>https://clinicaltrials.gov/study/NCT02503306</x:v>
      </x:c>
      <x:c r="G87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76" ht="23" customHeight="1">
      <x:c r="A876" s="2" t="str">
        <x:v>Sanofi</x:v>
      </x:c>
      <x:c r="B876" s="2" t="str">
        <x:v>2015-19</x:v>
      </x:c>
      <x:c r="C876" s="2" t="str">
        <x:v>NCT03760965</x:v>
      </x:c>
      <x:c r="D876" s="2" t="str">
        <x:v>Sanofi</x:v>
      </x:c>
      <x:c r="E876" s="2" t="n">
        <x:v>0</x:v>
      </x:c>
      <x:c r="F876" s="2" t="str">
        <x:v>https://clinicaltrials.gov/study/NCT03760965</x:v>
      </x:c>
      <x:c r="G87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77" ht="23" customHeight="1">
      <x:c r="A877" s="2" t="str">
        <x:v>Sanofi</x:v>
      </x:c>
      <x:c r="B877" s="2" t="str">
        <x:v>2015-19</x:v>
      </x:c>
      <x:c r="C877" s="2" t="str">
        <x:v>NCT04180488</x:v>
      </x:c>
      <x:c r="D877" s="2" t="str">
        <x:v>Sanofi</x:v>
      </x:c>
      <x:c r="E877" s="2" t="n">
        <x:v>0</x:v>
      </x:c>
      <x:c r="F877" s="2" t="str">
        <x:v>https://clinicaltrials.gov/study/NCT04180488</x:v>
      </x:c>
      <x:c r="G87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78" ht="23" customHeight="1">
      <x:c r="A878" s="2" t="str">
        <x:v>Sanofi</x:v>
      </x:c>
      <x:c r="B878" s="2" t="str">
        <x:v>2015-19</x:v>
      </x:c>
      <x:c r="C878" s="2" t="str">
        <x:v>NCT03510715</x:v>
      </x:c>
      <x:c r="D878" s="2" t="str">
        <x:v>Sanofi</x:v>
      </x:c>
      <x:c r="E878" s="2" t="n">
        <x:v>0</x:v>
      </x:c>
      <x:c r="F878" s="2" t="str">
        <x:v>https://clinicaltrials.gov/study/NCT03510715</x:v>
      </x:c>
      <x:c r="G87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79" ht="23" customHeight="1">
      <x:c r="A879" s="2" t="str">
        <x:v>Sanofi</x:v>
      </x:c>
      <x:c r="B879" s="2" t="str">
        <x:v>2015-19</x:v>
      </x:c>
      <x:c r="C879" s="2" t="str">
        <x:v>NCT03001011</x:v>
      </x:c>
      <x:c r="D879" s="2" t="str">
        <x:v>Sanofi</x:v>
      </x:c>
      <x:c r="E879" s="2" t="n">
        <x:v>0</x:v>
      </x:c>
      <x:c r="F879" s="2" t="str">
        <x:v>https://clinicaltrials.gov/study/NCT03001011</x:v>
      </x:c>
      <x:c r="G87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80" ht="23" customHeight="1">
      <x:c r="A880" s="2" t="str">
        <x:v>Sanofi</x:v>
      </x:c>
      <x:c r="B880" s="2" t="str">
        <x:v>2015-19</x:v>
      </x:c>
      <x:c r="C880" s="2" t="str">
        <x:v>NCT02990338</x:v>
      </x:c>
      <x:c r="D880" s="2" t="str">
        <x:v>Sanofi</x:v>
      </x:c>
      <x:c r="E880" s="2" t="n">
        <x:v>0</x:v>
      </x:c>
      <x:c r="F880" s="2" t="str">
        <x:v>https://clinicaltrials.gov/study/NCT02990338</x:v>
      </x:c>
      <x:c r="G88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81" ht="23" customHeight="1">
      <x:c r="A881" s="2" t="str">
        <x:v>Sanofi</x:v>
      </x:c>
      <x:c r="B881" s="2" t="str">
        <x:v>2015-19</x:v>
      </x:c>
      <x:c r="C881" s="2" t="str">
        <x:v>NCT03765437</x:v>
      </x:c>
      <x:c r="D881" s="2" t="str">
        <x:v>Sanofi Pasteur, a Sanofi Company</x:v>
      </x:c>
      <x:c r="E881" s="2" t="n">
        <x:v>0</x:v>
      </x:c>
      <x:c r="F881" s="2" t="str">
        <x:v>https://clinicaltrials.gov/study/NCT03765437</x:v>
      </x:c>
      <x:c r="G88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82" ht="23" customHeight="1">
      <x:c r="A882" s="2" t="str">
        <x:v>Sanofi</x:v>
      </x:c>
      <x:c r="B882" s="2" t="str">
        <x:v>2015-19</x:v>
      </x:c>
      <x:c r="C882" s="2" t="str">
        <x:v>NCT03632720</x:v>
      </x:c>
      <x:c r="D882" s="2" t="str">
        <x:v>Sanofi Pasteur, a Sanofi Company</x:v>
      </x:c>
      <x:c r="E882" s="2" t="n">
        <x:v>0</x:v>
      </x:c>
      <x:c r="F882" s="2" t="str">
        <x:v>https://clinicaltrials.gov/study/NCT03632720</x:v>
      </x:c>
      <x:c r="G88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83" ht="23" customHeight="1">
      <x:c r="A883" s="2" t="str">
        <x:v>Sanofi</x:v>
      </x:c>
      <x:c r="B883" s="2" t="str">
        <x:v>2015-19</x:v>
      </x:c>
      <x:c r="C883" s="2" t="str">
        <x:v>NCT03782532</x:v>
      </x:c>
      <x:c r="D883" s="2" t="str">
        <x:v>Sanofi</x:v>
      </x:c>
      <x:c r="E883" s="2" t="n">
        <x:v>1</x:v>
      </x:c>
      <x:c r="F883" s="2" t="str">
        <x:v>https://clinicaltrials.gov/study/NCT03782532</x:v>
      </x:c>
      <x:c r="G88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84" ht="23" customHeight="1">
      <x:c r="A884" s="2" t="str">
        <x:v>Sanofi</x:v>
      </x:c>
      <x:c r="B884" s="2" t="str">
        <x:v>2015-19</x:v>
      </x:c>
      <x:c r="C884" s="2" t="str">
        <x:v>NCT03549871</x:v>
      </x:c>
      <x:c r="D884" s="2" t="str">
        <x:v>Genzyme, a Sanofi Company</x:v>
      </x:c>
      <x:c r="E884" s="2" t="n">
        <x:v>0</x:v>
      </x:c>
      <x:c r="F884" s="2" t="str">
        <x:v>https://clinicaltrials.gov/study/NCT03549871</x:v>
      </x:c>
      <x:c r="G88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85" ht="23" customHeight="1">
      <x:c r="A885" s="2" t="str">
        <x:v>Sanofi</x:v>
      </x:c>
      <x:c r="B885" s="2" t="str">
        <x:v>2015-19</x:v>
      </x:c>
      <x:c r="C885" s="2" t="str">
        <x:v>NCT02343926</x:v>
      </x:c>
      <x:c r="D885" s="2" t="str">
        <x:v>Sanofi</x:v>
      </x:c>
      <x:c r="E885" s="2" t="n">
        <x:v>0</x:v>
      </x:c>
      <x:c r="F885" s="2" t="str">
        <x:v>https://clinicaltrials.gov/study/NCT02343926</x:v>
      </x:c>
      <x:c r="G88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86" ht="23" customHeight="1">
      <x:c r="A886" s="2" t="str">
        <x:v>Sanofi</x:v>
      </x:c>
      <x:c r="B886" s="2" t="str">
        <x:v>2015-19</x:v>
      </x:c>
      <x:c r="C886" s="2" t="str">
        <x:v>NCT03620747</x:v>
      </x:c>
      <x:c r="D886" s="2" t="str">
        <x:v>Sanofi</x:v>
      </x:c>
      <x:c r="E886" s="2" t="n">
        <x:v>0</x:v>
      </x:c>
      <x:c r="F886" s="2" t="str">
        <x:v>https://clinicaltrials.gov/study/NCT03620747</x:v>
      </x:c>
      <x:c r="G88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87" ht="23" customHeight="1">
      <x:c r="A887" s="2" t="str">
        <x:v>Sanofi</x:v>
      </x:c>
      <x:c r="B887" s="2" t="str">
        <x:v>2015-19</x:v>
      </x:c>
      <x:c r="C887" s="2" t="str">
        <x:v>NCT04142242</x:v>
      </x:c>
      <x:c r="D887" s="2" t="str">
        <x:v>Sanofi Pasteur, a Sanofi Company</x:v>
      </x:c>
      <x:c r="E887" s="2" t="n">
        <x:v>0</x:v>
      </x:c>
      <x:c r="F887" s="2" t="str">
        <x:v>https://clinicaltrials.gov/study/NCT04142242</x:v>
      </x:c>
      <x:c r="G88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88" ht="23" customHeight="1">
      <x:c r="A888" s="2" t="str">
        <x:v>Sanofi</x:v>
      </x:c>
      <x:c r="B888" s="2" t="str">
        <x:v>2015-19</x:v>
      </x:c>
      <x:c r="C888" s="2" t="str">
        <x:v>NCT03391193</x:v>
      </x:c>
      <x:c r="D888" s="2" t="str">
        <x:v>Sanofi Pasteur, a Sanofi Company</x:v>
      </x:c>
      <x:c r="E888" s="2" t="n">
        <x:v>0</x:v>
      </x:c>
      <x:c r="F888" s="2" t="str">
        <x:v>https://clinicaltrials.gov/study/NCT03391193</x:v>
      </x:c>
      <x:c r="G88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89" ht="23" customHeight="1">
      <x:c r="A889" s="2" t="str">
        <x:v>Sanofi</x:v>
      </x:c>
      <x:c r="B889" s="2" t="str">
        <x:v>2015-19</x:v>
      </x:c>
      <x:c r="C889" s="2" t="str">
        <x:v>NCT02492165</x:v>
      </x:c>
      <x:c r="D889" s="2" t="str">
        <x:v>Sanofi Pasteur, a Sanofi Company</x:v>
      </x:c>
      <x:c r="E889" s="2" t="n">
        <x:v>0</x:v>
      </x:c>
      <x:c r="F889" s="2" t="str">
        <x:v>https://clinicaltrials.gov/study/NCT02492165</x:v>
      </x:c>
      <x:c r="G88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90" ht="23" customHeight="1">
      <x:c r="A890" s="2" t="str">
        <x:v>Sanofi</x:v>
      </x:c>
      <x:c r="B890" s="2" t="str">
        <x:v>2015-19</x:v>
      </x:c>
      <x:c r="C890" s="2" t="str">
        <x:v>NCT03965962</x:v>
      </x:c>
      <x:c r="D890" s="2" t="str">
        <x:v>Sanofi Pasteur, a Sanofi Company</x:v>
      </x:c>
      <x:c r="E890" s="2" t="n">
        <x:v>0</x:v>
      </x:c>
      <x:c r="F890" s="2" t="str">
        <x:v>https://clinicaltrials.gov/study/NCT03965962</x:v>
      </x:c>
      <x:c r="G89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91" ht="23" customHeight="1">
      <x:c r="A891" s="2" t="str">
        <x:v>Sanofi</x:v>
      </x:c>
      <x:c r="B891" s="2" t="str">
        <x:v>2015-19</x:v>
      </x:c>
      <x:c r="C891" s="2" t="str">
        <x:v>NCT02697474</x:v>
      </x:c>
      <x:c r="D891" s="2" t="str">
        <x:v>Sanofi Pasteur, a Sanofi Company</x:v>
      </x:c>
      <x:c r="E891" s="2" t="n">
        <x:v>0</x:v>
      </x:c>
      <x:c r="F891" s="2" t="str">
        <x:v>https://clinicaltrials.gov/study/NCT02697474</x:v>
      </x:c>
      <x:c r="G89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92" ht="23" customHeight="1">
      <x:c r="A892" s="2" t="str">
        <x:v>Sanofi</x:v>
      </x:c>
      <x:c r="B892" s="2" t="str">
        <x:v>2015-19</x:v>
      </x:c>
      <x:c r="C892" s="2" t="str">
        <x:v>NCT02585674</x:v>
      </x:c>
      <x:c r="D892" s="2" t="str">
        <x:v>Sanofi</x:v>
      </x:c>
      <x:c r="E892" s="2" t="n">
        <x:v>0</x:v>
      </x:c>
      <x:c r="F892" s="2" t="str">
        <x:v>https://clinicaltrials.gov/study/NCT02585674</x:v>
      </x:c>
      <x:c r="G89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93" ht="23" customHeight="1">
      <x:c r="A893" s="2" t="str">
        <x:v>Sanofi</x:v>
      </x:c>
      <x:c r="B893" s="2" t="str">
        <x:v>2015-19</x:v>
      </x:c>
      <x:c r="C893" s="2" t="str">
        <x:v>NCT03754790</x:v>
      </x:c>
      <x:c r="D893" s="2" t="str">
        <x:v>Genzyme, a Sanofi Company</x:v>
      </x:c>
      <x:c r="E893" s="2" t="n">
        <x:v>1</x:v>
      </x:c>
      <x:c r="F893" s="2" t="str">
        <x:v>https://clinicaltrials.gov/study/NCT03754790</x:v>
      </x:c>
      <x:c r="G89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94" ht="23" customHeight="1">
      <x:c r="A894" s="2" t="str">
        <x:v>Sanofi</x:v>
      </x:c>
      <x:c r="B894" s="2" t="str">
        <x:v>2015-19</x:v>
      </x:c>
      <x:c r="C894" s="2" t="str">
        <x:v>NCT03205371</x:v>
      </x:c>
      <x:c r="D894" s="2" t="str">
        <x:v>Sanofi Pasteur, a Sanofi Company</x:v>
      </x:c>
      <x:c r="E894" s="2" t="n">
        <x:v>0</x:v>
      </x:c>
      <x:c r="F894" s="2" t="str">
        <x:v>https://clinicaltrials.gov/study/NCT03205371</x:v>
      </x:c>
      <x:c r="G89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95" ht="23" customHeight="1">
      <x:c r="A895" s="2" t="str">
        <x:v>Sanofi</x:v>
      </x:c>
      <x:c r="B895" s="2" t="str">
        <x:v>2015-19</x:v>
      </x:c>
      <x:c r="C895" s="2" t="str">
        <x:v>NCT03874715</x:v>
      </x:c>
      <x:c r="D895" s="2" t="str">
        <x:v>Sanofi</x:v>
      </x:c>
      <x:c r="E895" s="2" t="n">
        <x:v>0</x:v>
      </x:c>
      <x:c r="F895" s="2" t="str">
        <x:v>https://clinicaltrials.gov/study/NCT03874715</x:v>
      </x:c>
      <x:c r="G89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96" ht="23" customHeight="1">
      <x:c r="A896" s="2" t="str">
        <x:v>Sanofi</x:v>
      </x:c>
      <x:c r="B896" s="2" t="str">
        <x:v>2015-19</x:v>
      </x:c>
      <x:c r="C896" s="2" t="str">
        <x:v>NCT03347396</x:v>
      </x:c>
      <x:c r="D896" s="2" t="str">
        <x:v>Bioverativ, a Sanofi company</x:v>
      </x:c>
      <x:c r="E896" s="2" t="n">
        <x:v>0</x:v>
      </x:c>
      <x:c r="F896" s="2" t="str">
        <x:v>https://clinicaltrials.gov/study/NCT03347396</x:v>
      </x:c>
      <x:c r="G89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97" ht="23" customHeight="1">
      <x:c r="A897" s="2" t="str">
        <x:v>Sanofi</x:v>
      </x:c>
      <x:c r="B897" s="2" t="str">
        <x:v>2015-19</x:v>
      </x:c>
      <x:c r="C897" s="2" t="str">
        <x:v>NCT03912259</x:v>
      </x:c>
      <x:c r="D897" s="2" t="str">
        <x:v>Sanofi</x:v>
      </x:c>
      <x:c r="E897" s="2" t="n">
        <x:v>0</x:v>
      </x:c>
      <x:c r="F897" s="2" t="str">
        <x:v>https://clinicaltrials.gov/study/NCT03912259</x:v>
      </x:c>
      <x:c r="G89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98" ht="23" customHeight="1">
      <x:c r="A898" s="2" t="str">
        <x:v>Sanofi</x:v>
      </x:c>
      <x:c r="B898" s="2" t="str">
        <x:v>2015-19</x:v>
      </x:c>
      <x:c r="C898" s="2" t="str">
        <x:v>NCT02979535</x:v>
      </x:c>
      <x:c r="D898" s="2" t="str">
        <x:v>Sanofi Pasteur, a Sanofi Company</x:v>
      </x:c>
      <x:c r="E898" s="2" t="n">
        <x:v>0</x:v>
      </x:c>
      <x:c r="F898" s="2" t="str">
        <x:v>https://clinicaltrials.gov/study/NCT02979535</x:v>
      </x:c>
      <x:c r="G89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899" ht="23" customHeight="1">
      <x:c r="A899" s="2" t="str">
        <x:v>Sanofi</x:v>
      </x:c>
      <x:c r="B899" s="2" t="str">
        <x:v>2015-19</x:v>
      </x:c>
      <x:c r="C899" s="2" t="str">
        <x:v>NCT02752828</x:v>
      </x:c>
      <x:c r="D899" s="2" t="str">
        <x:v>Sanofi</x:v>
      </x:c>
      <x:c r="E899" s="2" t="n">
        <x:v>0</x:v>
      </x:c>
      <x:c r="F899" s="2" t="str">
        <x:v>https://clinicaltrials.gov/study/NCT02752828</x:v>
      </x:c>
      <x:c r="G89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00" ht="23" customHeight="1">
      <x:c r="A900" s="2" t="str">
        <x:v>Sanofi</x:v>
      </x:c>
      <x:c r="B900" s="2" t="str">
        <x:v>2015-19</x:v>
      </x:c>
      <x:c r="C900" s="2" t="str">
        <x:v>NCT02735044</x:v>
      </x:c>
      <x:c r="D900" s="2" t="str">
        <x:v>Sanofi</x:v>
      </x:c>
      <x:c r="E900" s="2" t="n">
        <x:v>0</x:v>
      </x:c>
      <x:c r="F900" s="2" t="str">
        <x:v>https://clinicaltrials.gov/study/NCT02735044</x:v>
      </x:c>
      <x:c r="G90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01" ht="23" customHeight="1">
      <x:c r="A901" s="2" t="str">
        <x:v>Sanofi</x:v>
      </x:c>
      <x:c r="B901" s="2" t="str">
        <x:v>2015-19</x:v>
      </x:c>
      <x:c r="C901" s="2" t="str">
        <x:v>NCT03691610</x:v>
      </x:c>
      <x:c r="D901" s="2" t="str">
        <x:v>Sanofi Pasteur, a Sanofi Company</x:v>
      </x:c>
      <x:c r="E901" s="2" t="n">
        <x:v>0</x:v>
      </x:c>
      <x:c r="F901" s="2" t="str">
        <x:v>https://clinicaltrials.gov/study/NCT03691610</x:v>
      </x:c>
      <x:c r="G90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02" ht="23" customHeight="1">
      <x:c r="A902" s="2" t="str">
        <x:v>Sanofi</x:v>
      </x:c>
      <x:c r="B902" s="2" t="str">
        <x:v>2015-19</x:v>
      </x:c>
      <x:c r="C902" s="2" t="str">
        <x:v>NCT02585778</x:v>
      </x:c>
      <x:c r="D902" s="2" t="str">
        <x:v>Sanofi</x:v>
      </x:c>
      <x:c r="E902" s="2" t="n">
        <x:v>0</x:v>
      </x:c>
      <x:c r="F902" s="2" t="str">
        <x:v>https://clinicaltrials.gov/study/NCT02585778</x:v>
      </x:c>
      <x:c r="G90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03" ht="23" customHeight="1">
      <x:c r="A903" s="2" t="str">
        <x:v>Sanofi</x:v>
      </x:c>
      <x:c r="B903" s="2" t="str">
        <x:v>2015-19</x:v>
      </x:c>
      <x:c r="C903" s="2" t="str">
        <x:v>NCT02332590</x:v>
      </x:c>
      <x:c r="D903" s="2" t="str">
        <x:v>Sanofi</x:v>
      </x:c>
      <x:c r="E903" s="2" t="n">
        <x:v>0</x:v>
      </x:c>
      <x:c r="F903" s="2" t="str">
        <x:v>https://clinicaltrials.gov/study/NCT02332590</x:v>
      </x:c>
      <x:c r="G90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04" ht="23" customHeight="1">
      <x:c r="A904" s="2" t="str">
        <x:v>Sanofi</x:v>
      </x:c>
      <x:c r="B904" s="2" t="str">
        <x:v>2015-19</x:v>
      </x:c>
      <x:c r="C904" s="2" t="str">
        <x:v>NCT02434822</x:v>
      </x:c>
      <x:c r="D904" s="2" t="str">
        <x:v>Sanofi Pasteur, a Sanofi Company</x:v>
      </x:c>
      <x:c r="E904" s="2" t="n">
        <x:v>0</x:v>
      </x:c>
      <x:c r="F904" s="2" t="str">
        <x:v>https://clinicaltrials.gov/study/NCT02434822</x:v>
      </x:c>
      <x:c r="G90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05" ht="23" customHeight="1">
      <x:c r="A905" s="2" t="str">
        <x:v>Sanofi</x:v>
      </x:c>
      <x:c r="B905" s="2" t="str">
        <x:v>2015-19</x:v>
      </x:c>
      <x:c r="C905" s="2" t="str">
        <x:v>NCT04084769</x:v>
      </x:c>
      <x:c r="D905" s="2" t="str">
        <x:v>Sanofi Pasteur, a Sanofi Company</x:v>
      </x:c>
      <x:c r="E905" s="2" t="n">
        <x:v>0</x:v>
      </x:c>
      <x:c r="F905" s="2" t="str">
        <x:v>https://clinicaltrials.gov/study/NCT04084769</x:v>
      </x:c>
      <x:c r="G90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06" ht="23" customHeight="1">
      <x:c r="A906" s="2" t="str">
        <x:v>Sanofi</x:v>
      </x:c>
      <x:c r="B906" s="2" t="str">
        <x:v>2015-19</x:v>
      </x:c>
      <x:c r="C906" s="2" t="str">
        <x:v>NCT03417102</x:v>
      </x:c>
      <x:c r="D906" s="2" t="str">
        <x:v>Genzyme, a Sanofi Company</x:v>
      </x:c>
      <x:c r="E906" s="2" t="n">
        <x:v>1</x:v>
      </x:c>
      <x:c r="F906" s="2" t="str">
        <x:v>https://clinicaltrials.gov/study/NCT03417102</x:v>
      </x:c>
      <x:c r="G90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07" ht="23" customHeight="1">
      <x:c r="A907" s="2" t="str">
        <x:v>Sanofi</x:v>
      </x:c>
      <x:c r="B907" s="2" t="str">
        <x:v>2015-19</x:v>
      </x:c>
      <x:c r="C907" s="2" t="str">
        <x:v>NCT02517385</x:v>
      </x:c>
      <x:c r="D907" s="2" t="str">
        <x:v>Sanofi</x:v>
      </x:c>
      <x:c r="E907" s="2" t="n">
        <x:v>0</x:v>
      </x:c>
      <x:c r="F907" s="2" t="str">
        <x:v>https://clinicaltrials.gov/study/NCT02517385</x:v>
      </x:c>
      <x:c r="G90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08" ht="23" customHeight="1">
      <x:c r="A908" s="2" t="str">
        <x:v>Sanofi</x:v>
      </x:c>
      <x:c r="B908" s="2" t="str">
        <x:v>2015-19</x:v>
      </x:c>
      <x:c r="C908" s="2" t="str">
        <x:v>NCT03523728</x:v>
      </x:c>
      <x:c r="D908" s="2" t="str">
        <x:v>Genzyme, a Sanofi Company</x:v>
      </x:c>
      <x:c r="E908" s="2" t="n">
        <x:v>0</x:v>
      </x:c>
      <x:c r="F908" s="2" t="str">
        <x:v>https://clinicaltrials.gov/study/NCT03523728</x:v>
      </x:c>
      <x:c r="G90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09" ht="23" customHeight="1">
      <x:c r="A909" s="2" t="str">
        <x:v>Sanofi</x:v>
      </x:c>
      <x:c r="B909" s="2" t="str">
        <x:v>2015-19</x:v>
      </x:c>
      <x:c r="C909" s="2" t="str">
        <x:v>NCT02752412</x:v>
      </x:c>
      <x:c r="D909" s="2" t="str">
        <x:v>Sanofi</x:v>
      </x:c>
      <x:c r="E909" s="2" t="n">
        <x:v>0</x:v>
      </x:c>
      <x:c r="F909" s="2" t="str">
        <x:v>https://clinicaltrials.gov/study/NCT02752412</x:v>
      </x:c>
      <x:c r="G90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10" ht="23" customHeight="1">
      <x:c r="A910" s="2" t="str">
        <x:v>Sanofi</x:v>
      </x:c>
      <x:c r="B910" s="2" t="str">
        <x:v>2015-19</x:v>
      </x:c>
      <x:c r="C910" s="2" t="str">
        <x:v>NCT03537508</x:v>
      </x:c>
      <x:c r="D910" s="2" t="str">
        <x:v>Sanofi Pasteur, a Sanofi Company</x:v>
      </x:c>
      <x:c r="E910" s="2" t="n">
        <x:v>0</x:v>
      </x:c>
      <x:c r="F910" s="2" t="str">
        <x:v>https://clinicaltrials.gov/study/NCT03537508</x:v>
      </x:c>
      <x:c r="G91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11" ht="23" customHeight="1">
      <x:c r="A911" s="2" t="str">
        <x:v>Sanofi</x:v>
      </x:c>
      <x:c r="B911" s="2" t="str">
        <x:v>2015-19</x:v>
      </x:c>
      <x:c r="C911" s="2" t="str">
        <x:v>NCT03190369</x:v>
      </x:c>
      <x:c r="D911" s="2" t="str">
        <x:v>Genzyme, a Sanofi Company</x:v>
      </x:c>
      <x:c r="E911" s="2" t="n">
        <x:v>0</x:v>
      </x:c>
      <x:c r="F911" s="2" t="str">
        <x:v>https://clinicaltrials.gov/study/NCT03190369</x:v>
      </x:c>
      <x:c r="G91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12" ht="23" customHeight="1">
      <x:c r="A912" s="2" t="str">
        <x:v>Sanofi</x:v>
      </x:c>
      <x:c r="B912" s="2" t="str">
        <x:v>2015-19</x:v>
      </x:c>
      <x:c r="C912" s="2" t="str">
        <x:v>NCT03485677</x:v>
      </x:c>
      <x:c r="D912" s="2" t="str">
        <x:v>Sanofi</x:v>
      </x:c>
      <x:c r="E912" s="2" t="n">
        <x:v>0</x:v>
      </x:c>
      <x:c r="F912" s="2" t="str">
        <x:v>https://clinicaltrials.gov/study/NCT03485677</x:v>
      </x:c>
      <x:c r="G91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13" ht="23" customHeight="1">
      <x:c r="A913" s="2" t="str">
        <x:v>Sanofi</x:v>
      </x:c>
      <x:c r="B913" s="2" t="str">
        <x:v>2015-19</x:v>
      </x:c>
      <x:c r="C913" s="2" t="str">
        <x:v>NCT02912468</x:v>
      </x:c>
      <x:c r="D913" s="2" t="str">
        <x:v>Sanofi</x:v>
      </x:c>
      <x:c r="E913" s="2" t="n">
        <x:v>0</x:v>
      </x:c>
      <x:c r="F913" s="2" t="str">
        <x:v>https://clinicaltrials.gov/study/NCT02912468</x:v>
      </x:c>
      <x:c r="G91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14" ht="23" customHeight="1">
      <x:c r="A914" s="2" t="str">
        <x:v>Sanofi</x:v>
      </x:c>
      <x:c r="B914" s="2" t="str">
        <x:v>2015-19</x:v>
      </x:c>
      <x:c r="C914" s="2" t="str">
        <x:v>NCT03583658</x:v>
      </x:c>
      <x:c r="D914" s="2" t="str">
        <x:v>Sanofi</x:v>
      </x:c>
      <x:c r="E914" s="2" t="n">
        <x:v>0</x:v>
      </x:c>
      <x:c r="F914" s="2" t="str">
        <x:v>https://clinicaltrials.gov/study/NCT03583658</x:v>
      </x:c>
      <x:c r="G91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15" ht="23" customHeight="1">
      <x:c r="A915" s="2" t="str">
        <x:v>Sanofi</x:v>
      </x:c>
      <x:c r="B915" s="2" t="str">
        <x:v>2015-19</x:v>
      </x:c>
      <x:c r="C915" s="2" t="str">
        <x:v>NCT03415178</x:v>
      </x:c>
      <x:c r="D915" s="2" t="str">
        <x:v>Sanofi</x:v>
      </x:c>
      <x:c r="E915" s="2" t="n">
        <x:v>0</x:v>
      </x:c>
      <x:c r="F915" s="2" t="str">
        <x:v>https://clinicaltrials.gov/study/NCT03415178</x:v>
      </x:c>
      <x:c r="G91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16" ht="23" customHeight="1">
      <x:c r="A916" s="2" t="str">
        <x:v>Sanofi</x:v>
      </x:c>
      <x:c r="B916" s="2" t="str">
        <x:v>2015-19</x:v>
      </x:c>
      <x:c r="C916" s="2" t="str">
        <x:v>NCT03700242</x:v>
      </x:c>
      <x:c r="D916" s="2" t="str">
        <x:v>Sanofi Pasteur, a Sanofi Company</x:v>
      </x:c>
      <x:c r="E916" s="2" t="n">
        <x:v>0</x:v>
      </x:c>
      <x:c r="F916" s="2" t="str">
        <x:v>https://clinicaltrials.gov/study/NCT03700242</x:v>
      </x:c>
      <x:c r="G91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17" ht="23" customHeight="1">
      <x:c r="A917" s="2" t="str">
        <x:v>Sanofi</x:v>
      </x:c>
      <x:c r="B917" s="2" t="str">
        <x:v>2015-19</x:v>
      </x:c>
      <x:c r="C917" s="2" t="str">
        <x:v>NCT03869866</x:v>
      </x:c>
      <x:c r="D917" s="2" t="str">
        <x:v>Sanofi Pasteur, a Sanofi Company</x:v>
      </x:c>
      <x:c r="E917" s="2" t="n">
        <x:v>0</x:v>
      </x:c>
      <x:c r="F917" s="2" t="str">
        <x:v>https://clinicaltrials.gov/study/NCT03869866</x:v>
      </x:c>
      <x:c r="G91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18" ht="23" customHeight="1">
      <x:c r="A918" s="2" t="str">
        <x:v>Sanofi</x:v>
      </x:c>
      <x:c r="B918" s="2" t="str">
        <x:v>2015-19</x:v>
      </x:c>
      <x:c r="C918" s="2" t="str">
        <x:v>NCT03600805</x:v>
      </x:c>
      <x:c r="D918" s="2" t="str">
        <x:v>Sanofi</x:v>
      </x:c>
      <x:c r="E918" s="2" t="n">
        <x:v>0</x:v>
      </x:c>
      <x:c r="F918" s="2" t="str">
        <x:v>https://clinicaltrials.gov/study/NCT03600805</x:v>
      </x:c>
      <x:c r="G91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19" ht="23" customHeight="1">
      <x:c r="A919" s="2" t="str">
        <x:v>Sanofi</x:v>
      </x:c>
      <x:c r="B919" s="2" t="str">
        <x:v>2015-19</x:v>
      </x:c>
      <x:c r="C919" s="2" t="str">
        <x:v>NCT02955797</x:v>
      </x:c>
      <x:c r="D919" s="2" t="str">
        <x:v>Sanofi Pasteur, a Sanofi Company</x:v>
      </x:c>
      <x:c r="E919" s="2" t="n">
        <x:v>0</x:v>
      </x:c>
      <x:c r="F919" s="2" t="str">
        <x:v>https://clinicaltrials.gov/study/NCT02955797</x:v>
      </x:c>
      <x:c r="G91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20" ht="23" customHeight="1">
      <x:c r="A920" s="2" t="str">
        <x:v>Sanofi</x:v>
      </x:c>
      <x:c r="B920" s="2" t="str">
        <x:v>2015-19</x:v>
      </x:c>
      <x:c r="C920" s="2" t="str">
        <x:v>NCT03476135</x:v>
      </x:c>
      <x:c r="D920" s="2" t="str">
        <x:v>Sanofi Pasteur, a Sanofi Company</x:v>
      </x:c>
      <x:c r="E920" s="2" t="n">
        <x:v>0</x:v>
      </x:c>
      <x:c r="F920" s="2" t="str">
        <x:v>https://clinicaltrials.gov/study/NCT03476135</x:v>
      </x:c>
      <x:c r="G92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21" ht="23" customHeight="1">
      <x:c r="A921" s="2" t="str">
        <x:v>Sanofi</x:v>
      </x:c>
      <x:c r="B921" s="2" t="str">
        <x:v>2015-19</x:v>
      </x:c>
      <x:c r="C921" s="2" t="str">
        <x:v>NCT02451358</x:v>
      </x:c>
      <x:c r="D921" s="2" t="str">
        <x:v>Sanofi Pasteur, a Sanofi Company</x:v>
      </x:c>
      <x:c r="E921" s="2" t="n">
        <x:v>1</x:v>
      </x:c>
      <x:c r="F921" s="2" t="str">
        <x:v>https://clinicaltrials.gov/study/NCT02451358</x:v>
      </x:c>
      <x:c r="G92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22" ht="23" customHeight="1">
      <x:c r="A922" s="2" t="str">
        <x:v>Sanofi</x:v>
      </x:c>
      <x:c r="B922" s="2" t="str">
        <x:v>2015-19</x:v>
      </x:c>
      <x:c r="C922" s="2" t="str">
        <x:v>NCT02752906</x:v>
      </x:c>
      <x:c r="D922" s="2" t="str">
        <x:v>Sanofi Pasteur, a Sanofi Company</x:v>
      </x:c>
      <x:c r="E922" s="2" t="n">
        <x:v>0</x:v>
      </x:c>
      <x:c r="F922" s="2" t="str">
        <x:v>https://clinicaltrials.gov/study/NCT02752906</x:v>
      </x:c>
      <x:c r="G92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23" ht="23" customHeight="1">
      <x:c r="A923" s="2" t="str">
        <x:v>Sanofi</x:v>
      </x:c>
      <x:c r="B923" s="2" t="str">
        <x:v>2015-19</x:v>
      </x:c>
      <x:c r="C923" s="2" t="str">
        <x:v>NCT03510884</x:v>
      </x:c>
      <x:c r="D923" s="2" t="str">
        <x:v>Sanofi</x:v>
      </x:c>
      <x:c r="E923" s="2" t="n">
        <x:v>0</x:v>
      </x:c>
      <x:c r="F923" s="2" t="str">
        <x:v>https://clinicaltrials.gov/study/NCT03510884</x:v>
      </x:c>
      <x:c r="G92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24" ht="23" customHeight="1">
      <x:c r="A924" s="2" t="str">
        <x:v>Sanofi</x:v>
      </x:c>
      <x:c r="B924" s="2" t="str">
        <x:v>2015-19</x:v>
      </x:c>
      <x:c r="C924" s="2" t="str">
        <x:v>NCT02859896</x:v>
      </x:c>
      <x:c r="D924" s="2" t="str">
        <x:v>Sanofi</x:v>
      </x:c>
      <x:c r="E924" s="2" t="n">
        <x:v>0</x:v>
      </x:c>
      <x:c r="F924" s="2" t="str">
        <x:v>https://clinicaltrials.gov/study/NCT02859896</x:v>
      </x:c>
      <x:c r="G92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25" ht="23" customHeight="1">
      <x:c r="A925" s="2" t="str">
        <x:v>Sanofi</x:v>
      </x:c>
      <x:c r="B925" s="2" t="str">
        <x:v>2015-19</x:v>
      </x:c>
      <x:c r="C925" s="2" t="str">
        <x:v>NCT02898454</x:v>
      </x:c>
      <x:c r="D925" s="2" t="str">
        <x:v>Sanofi</x:v>
      </x:c>
      <x:c r="E925" s="2" t="n">
        <x:v>0</x:v>
      </x:c>
      <x:c r="F925" s="2" t="str">
        <x:v>https://clinicaltrials.gov/study/NCT02898454</x:v>
      </x:c>
      <x:c r="G92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26" ht="23" customHeight="1">
      <x:c r="A926" s="2" t="str">
        <x:v>Sanofi</x:v>
      </x:c>
      <x:c r="B926" s="2" t="str">
        <x:v>2015-19</x:v>
      </x:c>
      <x:c r="C926" s="2" t="str">
        <x:v>NCT02584504</x:v>
      </x:c>
      <x:c r="D926" s="2" t="str">
        <x:v>Sanofi</x:v>
      </x:c>
      <x:c r="E926" s="2" t="n">
        <x:v>0</x:v>
      </x:c>
      <x:c r="F926" s="2" t="str">
        <x:v>https://clinicaltrials.gov/study/NCT02584504</x:v>
      </x:c>
      <x:c r="G92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27" ht="23" customHeight="1">
      <x:c r="A927" s="2" t="str">
        <x:v>Sanofi</x:v>
      </x:c>
      <x:c r="B927" s="2" t="str">
        <x:v>2015-19</x:v>
      </x:c>
      <x:c r="C927" s="2" t="str">
        <x:v>NCT02476006</x:v>
      </x:c>
      <x:c r="D927" s="2" t="str">
        <x:v>Sanofi</x:v>
      </x:c>
      <x:c r="E927" s="2" t="n">
        <x:v>0</x:v>
      </x:c>
      <x:c r="F927" s="2" t="str">
        <x:v>https://clinicaltrials.gov/study/NCT02476006</x:v>
      </x:c>
      <x:c r="G92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28" ht="23" customHeight="1">
      <x:c r="A928" s="2" t="str">
        <x:v>Sanofi</x:v>
      </x:c>
      <x:c r="B928" s="2" t="str">
        <x:v>2015-19</x:v>
      </x:c>
      <x:c r="C928" s="2" t="str">
        <x:v>NCT04183335</x:v>
      </x:c>
      <x:c r="D928" s="2" t="str">
        <x:v>Sanofi</x:v>
      </x:c>
      <x:c r="E928" s="2" t="n">
        <x:v>0</x:v>
      </x:c>
      <x:c r="F928" s="2" t="str">
        <x:v>https://clinicaltrials.gov/study/NCT04183335</x:v>
      </x:c>
      <x:c r="G92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29" ht="23" customHeight="1">
      <x:c r="A929" s="2" t="str">
        <x:v>Sanofi</x:v>
      </x:c>
      <x:c r="B929" s="2" t="str">
        <x:v>2015-19</x:v>
      </x:c>
      <x:c r="C929" s="2" t="str">
        <x:v>NCT03560466</x:v>
      </x:c>
      <x:c r="D929" s="2" t="str">
        <x:v>Sanofi</x:v>
      </x:c>
      <x:c r="E929" s="2" t="n">
        <x:v>0</x:v>
      </x:c>
      <x:c r="F929" s="2" t="str">
        <x:v>https://clinicaltrials.gov/study/NCT03560466</x:v>
      </x:c>
      <x:c r="G92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30" ht="23" customHeight="1">
      <x:c r="A930" s="2" t="str">
        <x:v>Sanofi</x:v>
      </x:c>
      <x:c r="B930" s="2" t="str">
        <x:v>2015-19</x:v>
      </x:c>
      <x:c r="C930" s="2" t="str">
        <x:v>NCT02553317</x:v>
      </x:c>
      <x:c r="D930" s="2" t="str">
        <x:v>Ablynx, a Sanofi company</x:v>
      </x:c>
      <x:c r="E930" s="2" t="n">
        <x:v>0</x:v>
      </x:c>
      <x:c r="F930" s="2" t="str">
        <x:v>https://clinicaltrials.gov/study/NCT02553317</x:v>
      </x:c>
      <x:c r="G93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31" ht="23" customHeight="1">
      <x:c r="A931" s="2" t="str">
        <x:v>Sanofi</x:v>
      </x:c>
      <x:c r="B931" s="2" t="str">
        <x:v>2015-19</x:v>
      </x:c>
      <x:c r="C931" s="2" t="str">
        <x:v>NCT03282240</x:v>
      </x:c>
      <x:c r="D931" s="2" t="str">
        <x:v>Sanofi Pasteur, a Sanofi Company</x:v>
      </x:c>
      <x:c r="E931" s="2" t="n">
        <x:v>0</x:v>
      </x:c>
      <x:c r="F931" s="2" t="str">
        <x:v>https://clinicaltrials.gov/study/NCT03282240</x:v>
      </x:c>
      <x:c r="G93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32" ht="23" customHeight="1">
      <x:c r="A932" s="2" t="str">
        <x:v>Sanofi</x:v>
      </x:c>
      <x:c r="B932" s="2" t="str">
        <x:v>2015-19</x:v>
      </x:c>
      <x:c r="C932" s="2" t="str">
        <x:v>NCT02948959</x:v>
      </x:c>
      <x:c r="D932" s="2" t="str">
        <x:v>Sanofi</x:v>
      </x:c>
      <x:c r="E932" s="2" t="n">
        <x:v>0</x:v>
      </x:c>
      <x:c r="F932" s="2" t="str">
        <x:v>https://clinicaltrials.gov/study/NCT02948959</x:v>
      </x:c>
      <x:c r="G93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33" ht="23" customHeight="1">
      <x:c r="A933" s="2" t="str">
        <x:v>Sanofi</x:v>
      </x:c>
      <x:c r="B933" s="2" t="str">
        <x:v>2015-19</x:v>
      </x:c>
      <x:c r="C933" s="2" t="str">
        <x:v>NCT03600818</x:v>
      </x:c>
      <x:c r="D933" s="2" t="str">
        <x:v>Sanofi</x:v>
      </x:c>
      <x:c r="E933" s="2" t="n">
        <x:v>0</x:v>
      </x:c>
      <x:c r="F933" s="2" t="str">
        <x:v>https://clinicaltrials.gov/study/NCT03600818</x:v>
      </x:c>
      <x:c r="G93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34" ht="23" customHeight="1">
      <x:c r="A934" s="2" t="str">
        <x:v>Sanofi</x:v>
      </x:c>
      <x:c r="B934" s="2" t="str">
        <x:v>2015-19</x:v>
      </x:c>
      <x:c r="C934" s="2" t="str">
        <x:v>NCT02401191</x:v>
      </x:c>
      <x:c r="D934" s="2" t="str">
        <x:v>Sanofi</x:v>
      </x:c>
      <x:c r="E934" s="2" t="n">
        <x:v>0</x:v>
      </x:c>
      <x:c r="F934" s="2" t="str">
        <x:v>https://clinicaltrials.gov/study/NCT02401191</x:v>
      </x:c>
      <x:c r="G93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35" ht="23" customHeight="1">
      <x:c r="A935" s="2" t="str">
        <x:v>Sanofi</x:v>
      </x:c>
      <x:c r="B935" s="2" t="str">
        <x:v>2015-19</x:v>
      </x:c>
      <x:c r="C935" s="2" t="str">
        <x:v>NCT02332811</x:v>
      </x:c>
      <x:c r="D935" s="2" t="str">
        <x:v>Genzyme, a Sanofi Company</x:v>
      </x:c>
      <x:c r="E935" s="2" t="n">
        <x:v>0</x:v>
      </x:c>
      <x:c r="F935" s="2" t="str">
        <x:v>https://clinicaltrials.gov/study/NCT02332811</x:v>
      </x:c>
      <x:c r="G93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36" ht="23" customHeight="1">
      <x:c r="A936" s="2" t="str">
        <x:v>Sanofi</x:v>
      </x:c>
      <x:c r="B936" s="2" t="str">
        <x:v>2015-19</x:v>
      </x:c>
      <x:c r="C936" s="2" t="str">
        <x:v>NCT03077438</x:v>
      </x:c>
      <x:c r="D936" s="2" t="str">
        <x:v>Sanofi Pasteur, a Sanofi Company</x:v>
      </x:c>
      <x:c r="E936" s="2" t="n">
        <x:v>0</x:v>
      </x:c>
      <x:c r="F936" s="2" t="str">
        <x:v>https://clinicaltrials.gov/study/NCT03077438</x:v>
      </x:c>
      <x:c r="G93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37" ht="23" customHeight="1">
      <x:c r="A937" s="2" t="str">
        <x:v>Sanofi</x:v>
      </x:c>
      <x:c r="B937" s="2" t="str">
        <x:v>2015-19</x:v>
      </x:c>
      <x:c r="C937" s="2" t="str">
        <x:v>NCT02842853</x:v>
      </x:c>
      <x:c r="D937" s="2" t="str">
        <x:v>Sanofi Pasteur, a Sanofi Company</x:v>
      </x:c>
      <x:c r="E937" s="2" t="n">
        <x:v>0</x:v>
      </x:c>
      <x:c r="F937" s="2" t="str">
        <x:v>https://clinicaltrials.gov/study/NCT02842853</x:v>
      </x:c>
      <x:c r="G93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38" ht="23" customHeight="1">
      <x:c r="A938" s="2" t="str">
        <x:v>Sanofi</x:v>
      </x:c>
      <x:c r="B938" s="2" t="str">
        <x:v>2015-19</x:v>
      </x:c>
      <x:c r="C938" s="2" t="str">
        <x:v>NCT03762265</x:v>
      </x:c>
      <x:c r="D938" s="2" t="str">
        <x:v>Principia Biopharma, a Sanofi Company</x:v>
      </x:c>
      <x:c r="E938" s="2" t="n">
        <x:v>0</x:v>
      </x:c>
      <x:c r="F938" s="2" t="str">
        <x:v>https://clinicaltrials.gov/study/NCT03762265</x:v>
      </x:c>
      <x:c r="G93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39" ht="23" customHeight="1">
      <x:c r="A939" s="2" t="str">
        <x:v>Sanofi</x:v>
      </x:c>
      <x:c r="B939" s="2" t="str">
        <x:v>2015-19</x:v>
      </x:c>
      <x:c r="C939" s="2" t="str">
        <x:v>NCT03434119</x:v>
      </x:c>
      <x:c r="D939" s="2" t="str">
        <x:v>Sanofi</x:v>
      </x:c>
      <x:c r="E939" s="2" t="n">
        <x:v>0</x:v>
      </x:c>
      <x:c r="F939" s="2" t="str">
        <x:v>https://clinicaltrials.gov/study/NCT03434119</x:v>
      </x:c>
      <x:c r="G93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40" ht="23" customHeight="1">
      <x:c r="A940" s="2" t="str">
        <x:v>Sanofi</x:v>
      </x:c>
      <x:c r="B940" s="2" t="str">
        <x:v>2015-19</x:v>
      </x:c>
      <x:c r="C940" s="2" t="str">
        <x:v>NCT03673462</x:v>
      </x:c>
      <x:c r="D940" s="2" t="str">
        <x:v>Sanofi Pasteur, a Sanofi Company</x:v>
      </x:c>
      <x:c r="E940" s="2" t="n">
        <x:v>0</x:v>
      </x:c>
      <x:c r="F940" s="2" t="str">
        <x:v>https://clinicaltrials.gov/study/NCT03673462</x:v>
      </x:c>
      <x:c r="G94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41" ht="23" customHeight="1">
      <x:c r="A941" s="2" t="str">
        <x:v>Sanofi</x:v>
      </x:c>
      <x:c r="B941" s="2" t="str">
        <x:v>2015-19</x:v>
      </x:c>
      <x:c r="C941" s="2" t="str">
        <x:v>NCT02878603</x:v>
      </x:c>
      <x:c r="D941" s="2" t="str">
        <x:v>Sanofi</x:v>
      </x:c>
      <x:c r="E941" s="2" t="n">
        <x:v>0</x:v>
      </x:c>
      <x:c r="F941" s="2" t="str">
        <x:v>https://clinicaltrials.gov/study/NCT02878603</x:v>
      </x:c>
      <x:c r="G94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42" ht="23" customHeight="1">
      <x:c r="A942" s="2" t="str">
        <x:v>Sanofi</x:v>
      </x:c>
      <x:c r="B942" s="2" t="str">
        <x:v>2015-19</x:v>
      </x:c>
      <x:c r="C942" s="2" t="str">
        <x:v>NCT02414854</x:v>
      </x:c>
      <x:c r="D942" s="2" t="str">
        <x:v>Sanofi</x:v>
      </x:c>
      <x:c r="E942" s="2" t="n">
        <x:v>0</x:v>
      </x:c>
      <x:c r="F942" s="2" t="str">
        <x:v>https://clinicaltrials.gov/study/NCT02414854</x:v>
      </x:c>
      <x:c r="G94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43" ht="23" customHeight="1">
      <x:c r="A943" s="2" t="str">
        <x:v>Sanofi</x:v>
      </x:c>
      <x:c r="B943" s="2" t="str">
        <x:v>2015-19</x:v>
      </x:c>
      <x:c r="C943" s="2" t="str">
        <x:v>NCT02373202</x:v>
      </x:c>
      <x:c r="D943" s="2" t="str">
        <x:v>Sanofi</x:v>
      </x:c>
      <x:c r="E943" s="2" t="n">
        <x:v>0</x:v>
      </x:c>
      <x:c r="F943" s="2" t="str">
        <x:v>https://clinicaltrials.gov/study/NCT02373202</x:v>
      </x:c>
      <x:c r="G94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44" ht="23" customHeight="1">
      <x:c r="A944" s="2" t="str">
        <x:v>Sanofi</x:v>
      </x:c>
      <x:c r="B944" s="2" t="str">
        <x:v>2015-19</x:v>
      </x:c>
      <x:c r="C944" s="2" t="str">
        <x:v>NCT02749890</x:v>
      </x:c>
      <x:c r="D944" s="2" t="str">
        <x:v>Sanofi</x:v>
      </x:c>
      <x:c r="E944" s="2" t="n">
        <x:v>0</x:v>
      </x:c>
      <x:c r="F944" s="2" t="str">
        <x:v>https://clinicaltrials.gov/study/NCT02749890</x:v>
      </x:c>
      <x:c r="G94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45" ht="23" customHeight="1">
      <x:c r="A945" s="2" t="str">
        <x:v>Sanofi</x:v>
      </x:c>
      <x:c r="B945" s="2" t="str">
        <x:v>2015-19</x:v>
      </x:c>
      <x:c r="C945" s="2" t="str">
        <x:v>NCT03761134</x:v>
      </x:c>
      <x:c r="D945" s="2" t="str">
        <x:v>Sanofi</x:v>
      </x:c>
      <x:c r="E945" s="2" t="n">
        <x:v>0</x:v>
      </x:c>
      <x:c r="F945" s="2" t="str">
        <x:v>https://clinicaltrials.gov/study/NCT03761134</x:v>
      </x:c>
      <x:c r="G94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46" ht="23" customHeight="1">
      <x:c r="A946" s="2" t="str">
        <x:v>Sanofi</x:v>
      </x:c>
      <x:c r="B946" s="2" t="str">
        <x:v>2015-19</x:v>
      </x:c>
      <x:c r="C946" s="2" t="str">
        <x:v>NCT03798054</x:v>
      </x:c>
      <x:c r="D946" s="2" t="str">
        <x:v>Sanofi</x:v>
      </x:c>
      <x:c r="E946" s="2" t="n">
        <x:v>0</x:v>
      </x:c>
      <x:c r="F946" s="2" t="str">
        <x:v>https://clinicaltrials.gov/study/NCT03798054</x:v>
      </x:c>
      <x:c r="G94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47" ht="23" customHeight="1">
      <x:c r="A947" s="2" t="str">
        <x:v>Sanofi</x:v>
      </x:c>
      <x:c r="B947" s="2" t="str">
        <x:v>2015-19</x:v>
      </x:c>
      <x:c r="C947" s="2" t="str">
        <x:v>NCT04202679</x:v>
      </x:c>
      <x:c r="D947" s="2" t="str">
        <x:v>Sanofi</x:v>
      </x:c>
      <x:c r="E947" s="2" t="n">
        <x:v>0</x:v>
      </x:c>
      <x:c r="F947" s="2" t="str">
        <x:v>https://clinicaltrials.gov/study/NCT04202679</x:v>
      </x:c>
      <x:c r="G94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48" ht="23" customHeight="1">
      <x:c r="A948" s="2" t="str">
        <x:v>Sanofi</x:v>
      </x:c>
      <x:c r="B948" s="2" t="str">
        <x:v>2015-19</x:v>
      </x:c>
      <x:c r="C948" s="2" t="str">
        <x:v>NCT02528214</x:v>
      </x:c>
      <x:c r="D948" s="2" t="str">
        <x:v>Sanofi</x:v>
      </x:c>
      <x:c r="E948" s="2" t="n">
        <x:v>0</x:v>
      </x:c>
      <x:c r="F948" s="2" t="str">
        <x:v>https://clinicaltrials.gov/study/NCT02528214</x:v>
      </x:c>
      <x:c r="G94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49" ht="23" customHeight="1">
      <x:c r="A949" s="2" t="str">
        <x:v>Sanofi</x:v>
      </x:c>
      <x:c r="B949" s="2" t="str">
        <x:v>2015-19</x:v>
      </x:c>
      <x:c r="C949" s="2" t="str">
        <x:v>NCT03368664</x:v>
      </x:c>
      <x:c r="D949" s="2" t="str">
        <x:v>Genzyme, a Sanofi Company</x:v>
      </x:c>
      <x:c r="E949" s="2" t="n">
        <x:v>0</x:v>
      </x:c>
      <x:c r="F949" s="2" t="str">
        <x:v>https://clinicaltrials.gov/study/NCT03368664</x:v>
      </x:c>
      <x:c r="G94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50" ht="23" customHeight="1">
      <x:c r="A950" s="2" t="str">
        <x:v>Sanofi</x:v>
      </x:c>
      <x:c r="B950" s="2" t="str">
        <x:v>2015-19</x:v>
      </x:c>
      <x:c r="C950" s="2" t="str">
        <x:v>NCT03890367</x:v>
      </x:c>
      <x:c r="D950" s="2" t="str">
        <x:v>Sanofi Pasteur, a Sanofi Company</x:v>
      </x:c>
      <x:c r="E950" s="2" t="n">
        <x:v>0</x:v>
      </x:c>
      <x:c r="F950" s="2" t="str">
        <x:v>https://clinicaltrials.gov/study/NCT03890367</x:v>
      </x:c>
      <x:c r="G95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51" ht="23" customHeight="1">
      <x:c r="A951" s="2" t="str">
        <x:v>Sanofi</x:v>
      </x:c>
      <x:c r="B951" s="2" t="str">
        <x:v>2015-19</x:v>
      </x:c>
      <x:c r="C951" s="2" t="str">
        <x:v>NCT02782741</x:v>
      </x:c>
      <x:c r="D951" s="2" t="str">
        <x:v>Genzyme, a Sanofi Company</x:v>
      </x:c>
      <x:c r="E951" s="2" t="n">
        <x:v>0</x:v>
      </x:c>
      <x:c r="F951" s="2" t="str">
        <x:v>https://clinicaltrials.gov/study/NCT02782741</x:v>
      </x:c>
      <x:c r="G95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52" ht="23" customHeight="1">
      <x:c r="A952" s="2" t="str">
        <x:v>Sanofi</x:v>
      </x:c>
      <x:c r="B952" s="2" t="str">
        <x:v>2015-19</x:v>
      </x:c>
      <x:c r="C952" s="2" t="str">
        <x:v>NCT04143061</x:v>
      </x:c>
      <x:c r="D952" s="2" t="str">
        <x:v>Sanofi Pasteur, a Sanofi Company</x:v>
      </x:c>
      <x:c r="E952" s="2" t="n">
        <x:v>1</x:v>
      </x:c>
      <x:c r="F952" s="2" t="str">
        <x:v>https://clinicaltrials.gov/study/NCT04143061</x:v>
      </x:c>
      <x:c r="G95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53" ht="23" customHeight="1">
      <x:c r="A953" s="2" t="str">
        <x:v>Sanofi</x:v>
      </x:c>
      <x:c r="B953" s="2" t="str">
        <x:v>2015-19</x:v>
      </x:c>
      <x:c r="C953" s="2" t="str">
        <x:v>NCT02428491</x:v>
      </x:c>
      <x:c r="D953" s="2" t="str">
        <x:v>Sanofi Pasteur, a Sanofi Company</x:v>
      </x:c>
      <x:c r="E953" s="2" t="n">
        <x:v>0</x:v>
      </x:c>
      <x:c r="F953" s="2" t="str">
        <x:v>https://clinicaltrials.gov/study/NCT02428491</x:v>
      </x:c>
      <x:c r="G95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54" ht="23" customHeight="1">
      <x:c r="A954" s="2" t="str">
        <x:v>Sanofi</x:v>
      </x:c>
      <x:c r="B954" s="2" t="str">
        <x:v>2015-19</x:v>
      </x:c>
      <x:c r="C954" s="2" t="str">
        <x:v>NCT03211858</x:v>
      </x:c>
      <x:c r="D954" s="2" t="str">
        <x:v>Sanofi</x:v>
      </x:c>
      <x:c r="E954" s="2" t="n">
        <x:v>0</x:v>
      </x:c>
      <x:c r="F954" s="2" t="str">
        <x:v>https://clinicaltrials.gov/study/NCT03211858</x:v>
      </x:c>
      <x:c r="G95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55" ht="23" customHeight="1">
      <x:c r="A955" s="2" t="str">
        <x:v>Sanofi</x:v>
      </x:c>
      <x:c r="B955" s="2" t="str">
        <x:v>2015-19</x:v>
      </x:c>
      <x:c r="C955" s="2" t="str">
        <x:v>NCT03496298</x:v>
      </x:c>
      <x:c r="D955" s="2" t="str">
        <x:v>Sanofi</x:v>
      </x:c>
      <x:c r="E955" s="2" t="n">
        <x:v>1</x:v>
      </x:c>
      <x:c r="F955" s="2" t="str">
        <x:v>https://clinicaltrials.gov/study/NCT03496298</x:v>
      </x:c>
      <x:c r="G95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56" ht="23" customHeight="1">
      <x:c r="A956" s="2" t="str">
        <x:v>Sanofi</x:v>
      </x:c>
      <x:c r="B956" s="2" t="str">
        <x:v>2015-19</x:v>
      </x:c>
      <x:c r="C956" s="2" t="str">
        <x:v>NCT03319667</x:v>
      </x:c>
      <x:c r="D956" s="2" t="str">
        <x:v>Sanofi</x:v>
      </x:c>
      <x:c r="E956" s="2" t="n">
        <x:v>0</x:v>
      </x:c>
      <x:c r="F956" s="2" t="str">
        <x:v>https://clinicaltrials.gov/study/NCT03319667</x:v>
      </x:c>
      <x:c r="G95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57" ht="23" customHeight="1">
      <x:c r="A957" s="2" t="str">
        <x:v>Sanofi</x:v>
      </x:c>
      <x:c r="B957" s="2" t="str">
        <x:v>2015-19</x:v>
      </x:c>
      <x:c r="C957" s="2" t="str">
        <x:v>NCT03630705</x:v>
      </x:c>
      <x:c r="D957" s="2" t="str">
        <x:v>Sanofi Pasteur, a Sanofi Company</x:v>
      </x:c>
      <x:c r="E957" s="2" t="n">
        <x:v>0</x:v>
      </x:c>
      <x:c r="F957" s="2" t="str">
        <x:v>https://clinicaltrials.gov/study/NCT03630705</x:v>
      </x:c>
      <x:c r="G95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58" ht="23" customHeight="1">
      <x:c r="A958" s="2" t="str">
        <x:v>Sanofi</x:v>
      </x:c>
      <x:c r="B958" s="2" t="str">
        <x:v>2015-19</x:v>
      </x:c>
      <x:c r="C958" s="2" t="str">
        <x:v>NCT02536755</x:v>
      </x:c>
      <x:c r="D958" s="2" t="str">
        <x:v>Genzyme, a Sanofi Company</x:v>
      </x:c>
      <x:c r="E958" s="2" t="n">
        <x:v>0</x:v>
      </x:c>
      <x:c r="F958" s="2" t="str">
        <x:v>https://clinicaltrials.gov/study/NCT02536755</x:v>
      </x:c>
      <x:c r="G95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59" ht="23" customHeight="1">
      <x:c r="A959" s="2" t="str">
        <x:v>Sanofi</x:v>
      </x:c>
      <x:c r="B959" s="2" t="str">
        <x:v>2015-19</x:v>
      </x:c>
      <x:c r="C959" s="2" t="str">
        <x:v>NCT02992418</x:v>
      </x:c>
      <x:c r="D959" s="2" t="str">
        <x:v>Sanofi Pasteur, a Sanofi Company</x:v>
      </x:c>
      <x:c r="E959" s="2" t="n">
        <x:v>0</x:v>
      </x:c>
      <x:c r="F959" s="2" t="str">
        <x:v>https://clinicaltrials.gov/study/NCT02992418</x:v>
      </x:c>
      <x:c r="G95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60" ht="23" customHeight="1">
      <x:c r="A960" s="2" t="str">
        <x:v>Sanofi</x:v>
      </x:c>
      <x:c r="B960" s="2" t="str">
        <x:v>2015-19</x:v>
      </x:c>
      <x:c r="C960" s="2" t="str">
        <x:v>NCT04137887</x:v>
      </x:c>
      <x:c r="D960" s="2" t="str">
        <x:v>Sanofi Pasteur, a Sanofi Company</x:v>
      </x:c>
      <x:c r="E960" s="2" t="n">
        <x:v>0</x:v>
      </x:c>
      <x:c r="F960" s="2" t="str">
        <x:v>https://clinicaltrials.gov/study/NCT04137887</x:v>
      </x:c>
      <x:c r="G96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61" ht="23" customHeight="1">
      <x:c r="A961" s="2" t="str">
        <x:v>Sanofi</x:v>
      </x:c>
      <x:c r="B961" s="2" t="str">
        <x:v>2015-19</x:v>
      </x:c>
      <x:c r="C961" s="2" t="str">
        <x:v>NCT03930732</x:v>
      </x:c>
      <x:c r="D961" s="2" t="str">
        <x:v>Sanofi</x:v>
      </x:c>
      <x:c r="E961" s="2" t="n">
        <x:v>0</x:v>
      </x:c>
      <x:c r="F961" s="2" t="str">
        <x:v>https://clinicaltrials.gov/study/NCT03930732</x:v>
      </x:c>
      <x:c r="G96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62" ht="23" customHeight="1">
      <x:c r="A962" s="2" t="str">
        <x:v>Sanofi</x:v>
      </x:c>
      <x:c r="B962" s="2" t="str">
        <x:v>2015-19</x:v>
      </x:c>
      <x:c r="C962" s="2" t="str">
        <x:v>NCT03974113</x:v>
      </x:c>
      <x:c r="D962" s="2" t="str">
        <x:v>Genzyme, a Sanofi Company</x:v>
      </x:c>
      <x:c r="E962" s="2" t="n">
        <x:v>1</x:v>
      </x:c>
      <x:c r="F962" s="2" t="str">
        <x:v>https://clinicaltrials.gov/study/NCT03974113</x:v>
      </x:c>
      <x:c r="G96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63" ht="23" customHeight="1">
      <x:c r="A963" s="2" t="str">
        <x:v>Sanofi</x:v>
      </x:c>
      <x:c r="B963" s="2" t="str">
        <x:v>2015-19</x:v>
      </x:c>
      <x:c r="C963" s="2" t="str">
        <x:v>NCT02993757</x:v>
      </x:c>
      <x:c r="D963" s="2" t="str">
        <x:v>Sanofi Pasteur, a Sanofi Company</x:v>
      </x:c>
      <x:c r="E963" s="2" t="n">
        <x:v>0</x:v>
      </x:c>
      <x:c r="F963" s="2" t="str">
        <x:v>https://clinicaltrials.gov/study/NCT02993757</x:v>
      </x:c>
      <x:c r="G96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64" ht="23" customHeight="1">
      <x:c r="A964" s="2" t="str">
        <x:v>Sanofi</x:v>
      </x:c>
      <x:c r="B964" s="2" t="str">
        <x:v>2015-19</x:v>
      </x:c>
      <x:c r="C964" s="2" t="str">
        <x:v>NCT04024228</x:v>
      </x:c>
      <x:c r="D964" s="2" t="str">
        <x:v>Sanofi Pasteur, a Sanofi Company</x:v>
      </x:c>
      <x:c r="E964" s="2" t="n">
        <x:v>0</x:v>
      </x:c>
      <x:c r="F964" s="2" t="str">
        <x:v>https://clinicaltrials.gov/study/NCT04024228</x:v>
      </x:c>
      <x:c r="G96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65" ht="23" customHeight="1">
      <x:c r="A965" s="2" t="str">
        <x:v>Sanofi</x:v>
      </x:c>
      <x:c r="B965" s="2" t="str">
        <x:v>2015-19</x:v>
      </x:c>
      <x:c r="C965" s="2" t="str">
        <x:v>NCT03770728</x:v>
      </x:c>
      <x:c r="D965" s="2" t="str">
        <x:v>Sanofi</x:v>
      </x:c>
      <x:c r="E965" s="2" t="n">
        <x:v>0</x:v>
      </x:c>
      <x:c r="F965" s="2" t="str">
        <x:v>https://clinicaltrials.gov/study/NCT03770728</x:v>
      </x:c>
      <x:c r="G96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66" ht="23" customHeight="1">
      <x:c r="A966" s="2" t="str">
        <x:v>Sanofi</x:v>
      </x:c>
      <x:c r="B966" s="2" t="str">
        <x:v>2015-19</x:v>
      </x:c>
      <x:c r="C966" s="2" t="str">
        <x:v>NCT04127786</x:v>
      </x:c>
      <x:c r="D966" s="2" t="str">
        <x:v>Sanofi Pasteur, a Sanofi Company</x:v>
      </x:c>
      <x:c r="E966" s="2" t="n">
        <x:v>0</x:v>
      </x:c>
      <x:c r="F966" s="2" t="str">
        <x:v>https://clinicaltrials.gov/study/NCT04127786</x:v>
      </x:c>
      <x:c r="G96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67" ht="23" customHeight="1">
      <x:c r="A967" s="2" t="str">
        <x:v>Sanofi</x:v>
      </x:c>
      <x:c r="B967" s="2" t="str">
        <x:v>2015-19</x:v>
      </x:c>
      <x:c r="C967" s="2" t="str">
        <x:v>NCT02715726</x:v>
      </x:c>
      <x:c r="D967" s="2" t="str">
        <x:v>Sanofi</x:v>
      </x:c>
      <x:c r="E967" s="2" t="n">
        <x:v>1</x:v>
      </x:c>
      <x:c r="F967" s="2" t="str">
        <x:v>https://clinicaltrials.gov/study/NCT02715726</x:v>
      </x:c>
      <x:c r="G96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68" ht="23" customHeight="1">
      <x:c r="A968" s="2" t="str">
        <x:v>Sanofi</x:v>
      </x:c>
      <x:c r="B968" s="2" t="str">
        <x:v>2015-19</x:v>
      </x:c>
      <x:c r="C968" s="2" t="str">
        <x:v>NCT03317015</x:v>
      </x:c>
      <x:c r="D968" s="2" t="str">
        <x:v>Sanofi</x:v>
      </x:c>
      <x:c r="E968" s="2" t="n">
        <x:v>0</x:v>
      </x:c>
      <x:c r="F968" s="2" t="str">
        <x:v>https://clinicaltrials.gov/study/NCT03317015</x:v>
      </x:c>
      <x:c r="G96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69" ht="23" customHeight="1">
      <x:c r="A969" s="2" t="str">
        <x:v>Sanofi</x:v>
      </x:c>
      <x:c r="B969" s="2" t="str">
        <x:v>2021-25</x:v>
      </x:c>
      <x:c r="C969" s="2" t="str">
        <x:v>NCT05128773</x:v>
      </x:c>
      <x:c r="D969" s="2" t="str">
        <x:v>Sanofi</x:v>
      </x:c>
      <x:c r="E969" s="2" t="n">
        <x:v>0</x:v>
      </x:c>
      <x:c r="F969" s="2" t="str">
        <x:v>https://clinicaltrials.gov/study/NCT05128773</x:v>
      </x:c>
      <x:c r="G96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70" ht="23" customHeight="1">
      <x:c r="A970" s="2" t="str">
        <x:v>Sanofi</x:v>
      </x:c>
      <x:c r="B970" s="2" t="str">
        <x:v>2021-25</x:v>
      </x:c>
      <x:c r="C970" s="2" t="str">
        <x:v>NCT05132127</x:v>
      </x:c>
      <x:c r="D970" s="2" t="str">
        <x:v>Sanofi</x:v>
      </x:c>
      <x:c r="E970" s="2" t="n">
        <x:v>0</x:v>
      </x:c>
      <x:c r="F970" s="2" t="str">
        <x:v>https://clinicaltrials.gov/study/NCT05132127</x:v>
      </x:c>
      <x:c r="G97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71" ht="23" customHeight="1">
      <x:c r="A971" s="2" t="str">
        <x:v>Sanofi</x:v>
      </x:c>
      <x:c r="B971" s="2" t="str">
        <x:v>2021-25</x:v>
      </x:c>
      <x:c r="C971" s="2" t="str">
        <x:v>NCT06141486</x:v>
      </x:c>
      <x:c r="D971" s="2" t="str">
        <x:v>Sanofi</x:v>
      </x:c>
      <x:c r="E971" s="2" t="n">
        <x:v>1</x:v>
      </x:c>
      <x:c r="F971" s="2" t="str">
        <x:v>https://clinicaltrials.gov/study/NCT06141486</x:v>
      </x:c>
      <x:c r="G97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72" ht="23" customHeight="1">
      <x:c r="A972" s="2" t="str">
        <x:v>Sanofi</x:v>
      </x:c>
      <x:c r="B972" s="2" t="str">
        <x:v>2021-25</x:v>
      </x:c>
      <x:c r="C972" s="2" t="str">
        <x:v>NCT06143891</x:v>
      </x:c>
      <x:c r="D972" s="2" t="str">
        <x:v>Sanofi</x:v>
      </x:c>
      <x:c r="E972" s="2" t="n">
        <x:v>0</x:v>
      </x:c>
      <x:c r="F972" s="2" t="str">
        <x:v>https://clinicaltrials.gov/study/NCT06143891</x:v>
      </x:c>
      <x:c r="G97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73" ht="23" customHeight="1">
      <x:c r="A973" s="2" t="str">
        <x:v>Sanofi</x:v>
      </x:c>
      <x:c r="B973" s="2" t="str">
        <x:v>2021-25</x:v>
      </x:c>
      <x:c r="C973" s="2" t="str">
        <x:v>NCT06641180</x:v>
      </x:c>
      <x:c r="D973" s="2" t="str">
        <x:v>Sanofi Pasteur, a Sanofi Company</x:v>
      </x:c>
      <x:c r="E973" s="2" t="n">
        <x:v>0</x:v>
      </x:c>
      <x:c r="F973" s="2" t="str">
        <x:v>https://clinicaltrials.gov/study/NCT06641180</x:v>
      </x:c>
      <x:c r="G97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74" ht="23" customHeight="1">
      <x:c r="A974" s="2" t="str">
        <x:v>Sanofi</x:v>
      </x:c>
      <x:c r="B974" s="2" t="str">
        <x:v>2021-25</x:v>
      </x:c>
      <x:c r="C974" s="2" t="str">
        <x:v>NCT05878093</x:v>
      </x:c>
      <x:c r="D974" s="2" t="str">
        <x:v>Sanofi</x:v>
      </x:c>
      <x:c r="E974" s="2" t="n">
        <x:v>0</x:v>
      </x:c>
      <x:c r="F974" s="2" t="str">
        <x:v>https://clinicaltrials.gov/study/NCT05878093</x:v>
      </x:c>
      <x:c r="G97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75" ht="23" customHeight="1">
      <x:c r="A975" s="2" t="str">
        <x:v>Sanofi</x:v>
      </x:c>
      <x:c r="B975" s="2" t="str">
        <x:v>2021-25</x:v>
      </x:c>
      <x:c r="C975" s="2" t="str">
        <x:v>NCT04701983</x:v>
      </x:c>
      <x:c r="D975" s="2" t="str">
        <x:v>Sanofi</x:v>
      </x:c>
      <x:c r="E975" s="2" t="n">
        <x:v>1</x:v>
      </x:c>
      <x:c r="F975" s="2" t="str">
        <x:v>https://clinicaltrials.gov/study/NCT04701983</x:v>
      </x:c>
      <x:c r="G97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76" ht="23" customHeight="1">
      <x:c r="A976" s="2" t="str">
        <x:v>Sanofi</x:v>
      </x:c>
      <x:c r="B976" s="2" t="str">
        <x:v>2021-25</x:v>
      </x:c>
      <x:c r="C976" s="2" t="str">
        <x:v>NCT07135986</x:v>
      </x:c>
      <x:c r="D976" s="2" t="str">
        <x:v>Sanofi</x:v>
      </x:c>
      <x:c r="E976" s="2" t="n">
        <x:v>0</x:v>
      </x:c>
      <x:c r="F976" s="2" t="str">
        <x:v>https://clinicaltrials.gov/study/NCT07135986</x:v>
      </x:c>
      <x:c r="G97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77" ht="23" customHeight="1">
      <x:c r="A977" s="2" t="str">
        <x:v>Sanofi</x:v>
      </x:c>
      <x:c r="B977" s="2" t="str">
        <x:v>2021-25</x:v>
      </x:c>
      <x:c r="C977" s="2" t="str">
        <x:v>NCT05405166</x:v>
      </x:c>
      <x:c r="D977" s="2" t="str">
        <x:v>Sanofi</x:v>
      </x:c>
      <x:c r="E977" s="2" t="n">
        <x:v>0</x:v>
      </x:c>
      <x:c r="F977" s="2" t="str">
        <x:v>https://clinicaltrials.gov/study/NCT05405166</x:v>
      </x:c>
      <x:c r="G97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78" ht="23" customHeight="1">
      <x:c r="A978" s="2" t="str">
        <x:v>Sanofi</x:v>
      </x:c>
      <x:c r="B978" s="2" t="str">
        <x:v>2021-25</x:v>
      </x:c>
      <x:c r="C978" s="2" t="str">
        <x:v>NCT07086976</x:v>
      </x:c>
      <x:c r="D978" s="2" t="str">
        <x:v>Sanofi</x:v>
      </x:c>
      <x:c r="E978" s="2" t="n">
        <x:v>0</x:v>
      </x:c>
      <x:c r="F978" s="2" t="str">
        <x:v>https://clinicaltrials.gov/study/NCT07086976</x:v>
      </x:c>
      <x:c r="G97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79" ht="23" customHeight="1">
      <x:c r="A979" s="2" t="str">
        <x:v>Sanofi</x:v>
      </x:c>
      <x:c r="B979" s="2" t="str">
        <x:v>2021-25</x:v>
      </x:c>
      <x:c r="C979" s="2" t="str">
        <x:v>NCT06397768</x:v>
      </x:c>
      <x:c r="D979" s="2" t="str">
        <x:v>Sanofi Pasteur, a Sanofi Company</x:v>
      </x:c>
      <x:c r="E979" s="2" t="n">
        <x:v>0</x:v>
      </x:c>
      <x:c r="F979" s="2" t="str">
        <x:v>https://clinicaltrials.gov/study/NCT06397768</x:v>
      </x:c>
      <x:c r="G97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80" ht="23" customHeight="1">
      <x:c r="A980" s="2" t="str">
        <x:v>Sanofi</x:v>
      </x:c>
      <x:c r="B980" s="2" t="str">
        <x:v>2021-25</x:v>
      </x:c>
      <x:c r="C980" s="2" t="str">
        <x:v>NCT06687980</x:v>
      </x:c>
      <x:c r="D980" s="2" t="str">
        <x:v>Sanofi</x:v>
      </x:c>
      <x:c r="E980" s="2" t="n">
        <x:v>0</x:v>
      </x:c>
      <x:c r="F980" s="2" t="str">
        <x:v>https://clinicaltrials.gov/study/NCT06687980</x:v>
      </x:c>
      <x:c r="G98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81" ht="23" customHeight="1">
      <x:c r="A981" s="2" t="str">
        <x:v>Sanofi</x:v>
      </x:c>
      <x:c r="B981" s="2" t="str">
        <x:v>2021-25</x:v>
      </x:c>
      <x:c r="C981" s="2" t="str">
        <x:v>NCT04705051</x:v>
      </x:c>
      <x:c r="D981" s="2" t="str">
        <x:v>Sanofi</x:v>
      </x:c>
      <x:c r="E981" s="2" t="n">
        <x:v>0</x:v>
      </x:c>
      <x:c r="F981" s="2" t="str">
        <x:v>https://clinicaltrials.gov/study/NCT04705051</x:v>
      </x:c>
      <x:c r="G98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82" ht="23" customHeight="1">
      <x:c r="A982" s="2" t="str">
        <x:v>Sanofi</x:v>
      </x:c>
      <x:c r="B982" s="2" t="str">
        <x:v>2021-25</x:v>
      </x:c>
      <x:c r="C982" s="2" t="str">
        <x:v>NCT05794230</x:v>
      </x:c>
      <x:c r="D982" s="2" t="str">
        <x:v>Sanofi Pasteur, a Sanofi Company</x:v>
      </x:c>
      <x:c r="E982" s="2" t="n">
        <x:v>1</x:v>
      </x:c>
      <x:c r="F982" s="2" t="str">
        <x:v>https://clinicaltrials.gov/study/NCT05794230</x:v>
      </x:c>
      <x:c r="G98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83" ht="23" customHeight="1">
      <x:c r="A983" s="2" t="str">
        <x:v>Sanofi</x:v>
      </x:c>
      <x:c r="B983" s="2" t="str">
        <x:v>2021-25</x:v>
      </x:c>
      <x:c r="C983" s="2" t="str">
        <x:v>NCT05437510</x:v>
      </x:c>
      <x:c r="D983" s="2" t="str">
        <x:v>Sanofi Pasteur, a Sanofi Company</x:v>
      </x:c>
      <x:c r="E983" s="2" t="n">
        <x:v>0</x:v>
      </x:c>
      <x:c r="F983" s="2" t="str">
        <x:v>https://clinicaltrials.gov/study/NCT05437510</x:v>
      </x:c>
      <x:c r="G98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84" ht="23" customHeight="1">
      <x:c r="A984" s="2" t="str">
        <x:v>Sanofi</x:v>
      </x:c>
      <x:c r="B984" s="2" t="str">
        <x:v>2021-25</x:v>
      </x:c>
      <x:c r="C984" s="2" t="str">
        <x:v>NCT07002060</x:v>
      </x:c>
      <x:c r="D984" s="2" t="str">
        <x:v>Sanofi</x:v>
      </x:c>
      <x:c r="E984" s="2" t="n">
        <x:v>0</x:v>
      </x:c>
      <x:c r="F984" s="2" t="str">
        <x:v>https://clinicaltrials.gov/study/NCT07002060</x:v>
      </x:c>
      <x:c r="G98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85" ht="23" customHeight="1">
      <x:c r="A985" s="2" t="str">
        <x:v>Sanofi</x:v>
      </x:c>
      <x:c r="B985" s="2" t="str">
        <x:v>2021-25</x:v>
      </x:c>
      <x:c r="C985" s="2" t="str">
        <x:v>NCT06859099</x:v>
      </x:c>
      <x:c r="D985" s="2" t="str">
        <x:v>Sanofi</x:v>
      </x:c>
      <x:c r="E985" s="2" t="n">
        <x:v>0</x:v>
      </x:c>
      <x:c r="F985" s="2" t="str">
        <x:v>https://clinicaltrials.gov/study/NCT06859099</x:v>
      </x:c>
      <x:c r="G98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86" ht="23" customHeight="1">
      <x:c r="A986" s="2" t="str">
        <x:v>Sanofi</x:v>
      </x:c>
      <x:c r="B986" s="2" t="str">
        <x:v>2021-25</x:v>
      </x:c>
      <x:c r="C986" s="2" t="str">
        <x:v>NCT06293053</x:v>
      </x:c>
      <x:c r="D986" s="2" t="str">
        <x:v>Sanofi</x:v>
      </x:c>
      <x:c r="E986" s="2" t="n">
        <x:v>0</x:v>
      </x:c>
      <x:c r="F986" s="2" t="str">
        <x:v>https://clinicaltrials.gov/study/NCT06293053</x:v>
      </x:c>
      <x:c r="G98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87" ht="23" customHeight="1">
      <x:c r="A987" s="2" t="str">
        <x:v>Sanofi</x:v>
      </x:c>
      <x:c r="B987" s="2" t="str">
        <x:v>2021-25</x:v>
      </x:c>
      <x:c r="C987" s="2" t="str">
        <x:v>NCT04910776</x:v>
      </x:c>
      <x:c r="D987" s="2" t="str">
        <x:v>Sanofi</x:v>
      </x:c>
      <x:c r="E987" s="2" t="n">
        <x:v>0</x:v>
      </x:c>
      <x:c r="F987" s="2" t="str">
        <x:v>https://clinicaltrials.gov/study/NCT04910776</x:v>
      </x:c>
      <x:c r="G98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88" ht="23" customHeight="1">
      <x:c r="A988" s="2" t="str">
        <x:v>Sanofi</x:v>
      </x:c>
      <x:c r="B988" s="2" t="str">
        <x:v>2021-25</x:v>
      </x:c>
      <x:c r="C988" s="2" t="str">
        <x:v>NCT07184996</x:v>
      </x:c>
      <x:c r="D988" s="2" t="str">
        <x:v>Sanofi</x:v>
      </x:c>
      <x:c r="E988" s="2" t="n">
        <x:v>0</x:v>
      </x:c>
      <x:c r="F988" s="2" t="str">
        <x:v>https://clinicaltrials.gov/study/NCT07184996</x:v>
      </x:c>
      <x:c r="G98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89" ht="23" customHeight="1">
      <x:c r="A989" s="2" t="str">
        <x:v>Sanofi</x:v>
      </x:c>
      <x:c r="B989" s="2" t="str">
        <x:v>2021-25</x:v>
      </x:c>
      <x:c r="C989" s="2" t="str">
        <x:v>NCT06372145</x:v>
      </x:c>
      <x:c r="D989" s="2" t="str">
        <x:v>Sanofi</x:v>
      </x:c>
      <x:c r="E989" s="2" t="n">
        <x:v>1</x:v>
      </x:c>
      <x:c r="F989" s="2" t="str">
        <x:v>https://clinicaltrials.gov/study/NCT06372145</x:v>
      </x:c>
      <x:c r="G98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90" ht="23" customHeight="1">
      <x:c r="A990" s="2" t="str">
        <x:v>Sanofi</x:v>
      </x:c>
      <x:c r="B990" s="2" t="str">
        <x:v>2021-25</x:v>
      </x:c>
      <x:c r="C990" s="2" t="str">
        <x:v>NCT06834360</x:v>
      </x:c>
      <x:c r="D990" s="2" t="str">
        <x:v>Sanofi</x:v>
      </x:c>
      <x:c r="E990" s="2" t="n">
        <x:v>0</x:v>
      </x:c>
      <x:c r="F990" s="2" t="str">
        <x:v>https://clinicaltrials.gov/study/NCT06834360</x:v>
      </x:c>
      <x:c r="G99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91" ht="23" customHeight="1">
      <x:c r="A991" s="2" t="str">
        <x:v>Sanofi</x:v>
      </x:c>
      <x:c r="B991" s="2" t="str">
        <x:v>2021-25</x:v>
      </x:c>
      <x:c r="C991" s="2" t="str">
        <x:v>NCT04904549</x:v>
      </x:c>
      <x:c r="D991" s="2" t="str">
        <x:v>Sanofi Pasteur, a Sanofi Company</x:v>
      </x:c>
      <x:c r="E991" s="2" t="n">
        <x:v>1</x:v>
      </x:c>
      <x:c r="F991" s="2" t="str">
        <x:v>https://clinicaltrials.gov/study/NCT04904549</x:v>
      </x:c>
      <x:c r="G99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92" ht="23" customHeight="1">
      <x:c r="A992" s="2" t="str">
        <x:v>Sanofi</x:v>
      </x:c>
      <x:c r="B992" s="2" t="str">
        <x:v>2021-25</x:v>
      </x:c>
      <x:c r="C992" s="2" t="str">
        <x:v>NCT05513391</x:v>
      </x:c>
      <x:c r="D992" s="2" t="str">
        <x:v>Sanofi Pasteur, a Sanofi Company</x:v>
      </x:c>
      <x:c r="E992" s="2" t="n">
        <x:v>0</x:v>
      </x:c>
      <x:c r="F992" s="2" t="str">
        <x:v>https://clinicaltrials.gov/study/NCT05513391</x:v>
      </x:c>
      <x:c r="G99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93" ht="23" customHeight="1">
      <x:c r="A993" s="2" t="str">
        <x:v>Sanofi</x:v>
      </x:c>
      <x:c r="B993" s="2" t="str">
        <x:v>2021-25</x:v>
      </x:c>
      <x:c r="C993" s="2" t="str">
        <x:v>NCT05492578</x:v>
      </x:c>
      <x:c r="D993" s="2" t="str">
        <x:v>Sanofi</x:v>
      </x:c>
      <x:c r="E993" s="2" t="n">
        <x:v>1</x:v>
      </x:c>
      <x:c r="F993" s="2" t="str">
        <x:v>https://clinicaltrials.gov/study/NCT05492578</x:v>
      </x:c>
      <x:c r="G99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94" ht="23" customHeight="1">
      <x:c r="A994" s="2" t="str">
        <x:v>Sanofi</x:v>
      </x:c>
      <x:c r="B994" s="2" t="str">
        <x:v>2021-25</x:v>
      </x:c>
      <x:c r="C994" s="2" t="str">
        <x:v>NCT07079670</x:v>
      </x:c>
      <x:c r="D994" s="2" t="str">
        <x:v>Sanofi</x:v>
      </x:c>
      <x:c r="E994" s="2" t="n">
        <x:v>0</x:v>
      </x:c>
      <x:c r="F994" s="2" t="str">
        <x:v>https://clinicaltrials.gov/study/NCT07079670</x:v>
      </x:c>
      <x:c r="G99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95" ht="23" customHeight="1">
      <x:c r="A995" s="2" t="str">
        <x:v>Sanofi</x:v>
      </x:c>
      <x:c r="B995" s="2" t="str">
        <x:v>2021-25</x:v>
      </x:c>
      <x:c r="C995" s="2" t="str">
        <x:v>NCT06224348</x:v>
      </x:c>
      <x:c r="D995" s="2" t="str">
        <x:v>Sanofi</x:v>
      </x:c>
      <x:c r="E995" s="2" t="n">
        <x:v>0</x:v>
      </x:c>
      <x:c r="F995" s="2" t="str">
        <x:v>https://clinicaltrials.gov/study/NCT06224348</x:v>
      </x:c>
      <x:c r="G99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96" ht="23" customHeight="1">
      <x:c r="A996" s="2" t="str">
        <x:v>Sanofi</x:v>
      </x:c>
      <x:c r="B996" s="2" t="str">
        <x:v>2021-25</x:v>
      </x:c>
      <x:c r="C996" s="2" t="str">
        <x:v>NCT06290141</x:v>
      </x:c>
      <x:c r="D996" s="2" t="str">
        <x:v>Sanofi</x:v>
      </x:c>
      <x:c r="E996" s="2" t="n">
        <x:v>0</x:v>
      </x:c>
      <x:c r="F996" s="2" t="str">
        <x:v>https://clinicaltrials.gov/study/NCT06290141</x:v>
      </x:c>
      <x:c r="G99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97" ht="23" customHeight="1">
      <x:c r="A997" s="2" t="str">
        <x:v>Sanofi</x:v>
      </x:c>
      <x:c r="B997" s="2" t="str">
        <x:v>2021-25</x:v>
      </x:c>
      <x:c r="C997" s="2" t="str">
        <x:v>NCT05413369</x:v>
      </x:c>
      <x:c r="D997" s="2" t="str">
        <x:v>Sanofi</x:v>
      </x:c>
      <x:c r="E997" s="2" t="n">
        <x:v>0</x:v>
      </x:c>
      <x:c r="F997" s="2" t="str">
        <x:v>https://clinicaltrials.gov/study/NCT05413369</x:v>
      </x:c>
      <x:c r="G99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98" ht="23" customHeight="1">
      <x:c r="A998" s="2" t="str">
        <x:v>Sanofi</x:v>
      </x:c>
      <x:c r="B998" s="2" t="str">
        <x:v>2021-25</x:v>
      </x:c>
      <x:c r="C998" s="2" t="str">
        <x:v>NCT06736041</x:v>
      </x:c>
      <x:c r="D998" s="2" t="str">
        <x:v>Sanofi Pasteur, a Sanofi Company</x:v>
      </x:c>
      <x:c r="E998" s="2" t="n">
        <x:v>0</x:v>
      </x:c>
      <x:c r="F998" s="2" t="str">
        <x:v>https://clinicaltrials.gov/study/NCT06736041</x:v>
      </x:c>
      <x:c r="G99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999" ht="23" customHeight="1">
      <x:c r="A999" s="2" t="str">
        <x:v>Sanofi</x:v>
      </x:c>
      <x:c r="B999" s="2" t="str">
        <x:v>2021-25</x:v>
      </x:c>
      <x:c r="C999" s="2" t="str">
        <x:v>NCT04762680</x:v>
      </x:c>
      <x:c r="D999" s="2" t="str">
        <x:v>Sanofi Pasteur, a Sanofi Company</x:v>
      </x:c>
      <x:c r="E999" s="2" t="n">
        <x:v>0</x:v>
      </x:c>
      <x:c r="F999" s="2" t="str">
        <x:v>https://clinicaltrials.gov/study/NCT04762680</x:v>
      </x:c>
      <x:c r="G99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00" ht="23" customHeight="1">
      <x:c r="A1000" s="2" t="str">
        <x:v>Sanofi</x:v>
      </x:c>
      <x:c r="B1000" s="2" t="str">
        <x:v>2021-25</x:v>
      </x:c>
      <x:c r="C1000" s="2" t="str">
        <x:v>NCT06252285</x:v>
      </x:c>
      <x:c r="D1000" s="2" t="str">
        <x:v>Sanofi Pasteur, a Sanofi Company</x:v>
      </x:c>
      <x:c r="E1000" s="2" t="n">
        <x:v>0</x:v>
      </x:c>
      <x:c r="F1000" s="2" t="str">
        <x:v>https://clinicaltrials.gov/study/NCT06252285</x:v>
      </x:c>
      <x:c r="G100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01" ht="23" customHeight="1">
      <x:c r="A1001" s="2" t="str">
        <x:v>Sanofi</x:v>
      </x:c>
      <x:c r="B1001" s="2" t="str">
        <x:v>2021-25</x:v>
      </x:c>
      <x:c r="C1001" s="2" t="str">
        <x:v>NCT07247188</x:v>
      </x:c>
      <x:c r="D1001" s="2" t="str">
        <x:v>Sanofi</x:v>
      </x:c>
      <x:c r="E1001" s="2" t="n">
        <x:v>0</x:v>
      </x:c>
      <x:c r="F1001" s="2" t="str">
        <x:v>https://clinicaltrials.gov/study/NCT07247188</x:v>
      </x:c>
      <x:c r="G100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02" ht="23" customHeight="1">
      <x:c r="A1002" s="2" t="str">
        <x:v>Sanofi</x:v>
      </x:c>
      <x:c r="B1002" s="2" t="str">
        <x:v>2021-25</x:v>
      </x:c>
      <x:c r="C1002" s="2" t="str">
        <x:v>NCT04751487</x:v>
      </x:c>
      <x:c r="D1002" s="2" t="str">
        <x:v>Sanofi</x:v>
      </x:c>
      <x:c r="E1002" s="2" t="n">
        <x:v>1</x:v>
      </x:c>
      <x:c r="F1002" s="2" t="str">
        <x:v>https://clinicaltrials.gov/study/NCT04751487</x:v>
      </x:c>
      <x:c r="G100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03" ht="23" customHeight="1">
      <x:c r="A1003" s="2" t="str">
        <x:v>Sanofi</x:v>
      </x:c>
      <x:c r="B1003" s="2" t="str">
        <x:v>2021-25</x:v>
      </x:c>
      <x:c r="C1003" s="2" t="str">
        <x:v>NCT05263206</x:v>
      </x:c>
      <x:c r="D1003" s="2" t="str">
        <x:v>Sanofi</x:v>
      </x:c>
      <x:c r="E1003" s="2" t="n">
        <x:v>0</x:v>
      </x:c>
      <x:c r="F1003" s="2" t="str">
        <x:v>https://clinicaltrials.gov/study/NCT05263206</x:v>
      </x:c>
      <x:c r="G100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04" ht="23" customHeight="1">
      <x:c r="A1004" s="2" t="str">
        <x:v>Sanofi</x:v>
      </x:c>
      <x:c r="B1004" s="2" t="str">
        <x:v>2021-25</x:v>
      </x:c>
      <x:c r="C1004" s="2" t="str">
        <x:v>NCT06824194</x:v>
      </x:c>
      <x:c r="D1004" s="2" t="str">
        <x:v>Sanofi</x:v>
      </x:c>
      <x:c r="E1004" s="2" t="n">
        <x:v>0</x:v>
      </x:c>
      <x:c r="F1004" s="2" t="str">
        <x:v>https://clinicaltrials.gov/study/NCT06824194</x:v>
      </x:c>
      <x:c r="G100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05" ht="23" customHeight="1">
      <x:c r="A1005" s="2" t="str">
        <x:v>Sanofi</x:v>
      </x:c>
      <x:c r="B1005" s="2" t="str">
        <x:v>2021-25</x:v>
      </x:c>
      <x:c r="C1005" s="2" t="str">
        <x:v>NCT04936685</x:v>
      </x:c>
      <x:c r="D1005" s="2" t="str">
        <x:v>Sanofi Pasteur, a Sanofi Company</x:v>
      </x:c>
      <x:c r="E1005" s="2" t="n">
        <x:v>0</x:v>
      </x:c>
      <x:c r="F1005" s="2" t="str">
        <x:v>https://clinicaltrials.gov/study/NCT04936685</x:v>
      </x:c>
      <x:c r="G100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06" ht="23" customHeight="1">
      <x:c r="A1006" s="2" t="str">
        <x:v>Sanofi</x:v>
      </x:c>
      <x:c r="B1006" s="2" t="str">
        <x:v>2021-25</x:v>
      </x:c>
      <x:c r="C1006" s="2" t="str">
        <x:v>NCT06834347</x:v>
      </x:c>
      <x:c r="D1006" s="2" t="str">
        <x:v>Sanofi</x:v>
      </x:c>
      <x:c r="E1006" s="2" t="n">
        <x:v>0</x:v>
      </x:c>
      <x:c r="F1006" s="2" t="str">
        <x:v>https://clinicaltrials.gov/study/NCT06834347</x:v>
      </x:c>
      <x:c r="G100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07" ht="23" customHeight="1">
      <x:c r="A1007" s="2" t="str">
        <x:v>Sanofi</x:v>
      </x:c>
      <x:c r="B1007" s="2" t="str">
        <x:v>2021-25</x:v>
      </x:c>
      <x:c r="C1007" s="2" t="str">
        <x:v>NCT05692154</x:v>
      </x:c>
      <x:c r="D1007" s="2" t="str">
        <x:v>Opella Healthcare Group SAS, a Sanofi Company</x:v>
      </x:c>
      <x:c r="E1007" s="2" t="n">
        <x:v>0</x:v>
      </x:c>
      <x:c r="F1007" s="2" t="str">
        <x:v>https://clinicaltrials.gov/study/NCT05692154</x:v>
      </x:c>
      <x:c r="G100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08" ht="23" customHeight="1">
      <x:c r="A1008" s="2" t="str">
        <x:v>Sanofi</x:v>
      </x:c>
      <x:c r="B1008" s="2" t="str">
        <x:v>2021-25</x:v>
      </x:c>
      <x:c r="C1008" s="2" t="str">
        <x:v>NCT07088068</x:v>
      </x:c>
      <x:c r="D1008" s="2" t="str">
        <x:v>Sanofi</x:v>
      </x:c>
      <x:c r="E1008" s="2" t="n">
        <x:v>0</x:v>
      </x:c>
      <x:c r="F1008" s="2" t="str">
        <x:v>https://clinicaltrials.gov/study/NCT07088068</x:v>
      </x:c>
      <x:c r="G100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09" ht="23" customHeight="1">
      <x:c r="A1009" s="2" t="str">
        <x:v>Sanofi</x:v>
      </x:c>
      <x:c r="B1009" s="2" t="str">
        <x:v>2021-25</x:v>
      </x:c>
      <x:c r="C1009" s="2" t="str">
        <x:v>NCT04759131</x:v>
      </x:c>
      <x:c r="D1009" s="2" t="str">
        <x:v>Bioverativ, a Sanofi company</x:v>
      </x:c>
      <x:c r="E1009" s="2" t="n">
        <x:v>0</x:v>
      </x:c>
      <x:c r="F1009" s="2" t="str">
        <x:v>https://clinicaltrials.gov/study/NCT04759131</x:v>
      </x:c>
      <x:c r="G100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10" ht="23" customHeight="1">
      <x:c r="A1010" s="2" t="str">
        <x:v>Sanofi</x:v>
      </x:c>
      <x:c r="B1010" s="2" t="str">
        <x:v>2021-25</x:v>
      </x:c>
      <x:c r="C1010" s="2" t="str">
        <x:v>NCT06141473</x:v>
      </x:c>
      <x:c r="D1010" s="2" t="str">
        <x:v>Sanofi</x:v>
      </x:c>
      <x:c r="E1010" s="2" t="n">
        <x:v>1</x:v>
      </x:c>
      <x:c r="F1010" s="2" t="str">
        <x:v>https://clinicaltrials.gov/study/NCT06141473</x:v>
      </x:c>
      <x:c r="G101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11" ht="23" customHeight="1">
      <x:c r="A1011" s="2" t="str">
        <x:v>Sanofi</x:v>
      </x:c>
      <x:c r="B1011" s="2" t="str">
        <x:v>2021-25</x:v>
      </x:c>
      <x:c r="C1011" s="2" t="str">
        <x:v>NCT05662319</x:v>
      </x:c>
      <x:c r="D1011" s="2" t="str">
        <x:v>Sanofi</x:v>
      </x:c>
      <x:c r="E1011" s="2" t="n">
        <x:v>1</x:v>
      </x:c>
      <x:c r="F1011" s="2" t="str">
        <x:v>https://clinicaltrials.gov/study/NCT05662319</x:v>
      </x:c>
      <x:c r="G101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12" ht="23" customHeight="1">
      <x:c r="A1012" s="2" t="str">
        <x:v>Sanofi</x:v>
      </x:c>
      <x:c r="B1012" s="2" t="str">
        <x:v>2021-25</x:v>
      </x:c>
      <x:c r="C1012" s="2" t="str">
        <x:v>NCT07285460</x:v>
      </x:c>
      <x:c r="D1012" s="2" t="str">
        <x:v>Sanofi</x:v>
      </x:c>
      <x:c r="E1012" s="2" t="n">
        <x:v>1</x:v>
      </x:c>
      <x:c r="F1012" s="2" t="str">
        <x:v>https://clinicaltrials.gov/study/NCT07285460</x:v>
      </x:c>
      <x:c r="G101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13" ht="23" customHeight="1">
      <x:c r="A1013" s="2" t="str">
        <x:v>Sanofi</x:v>
      </x:c>
      <x:c r="B1013" s="2" t="str">
        <x:v>2021-25</x:v>
      </x:c>
      <x:c r="C1013" s="2" t="str">
        <x:v>NCT06284915</x:v>
      </x:c>
      <x:c r="D1013" s="2" t="str">
        <x:v>Sanofi Pasteur, a Sanofi Company</x:v>
      </x:c>
      <x:c r="E1013" s="2" t="n">
        <x:v>0</x:v>
      </x:c>
      <x:c r="F1013" s="2" t="str">
        <x:v>https://clinicaltrials.gov/study/NCT06284915</x:v>
      </x:c>
      <x:c r="G101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14" ht="23" customHeight="1">
      <x:c r="A1014" s="2" t="str">
        <x:v>Sanofi</x:v>
      </x:c>
      <x:c r="B1014" s="2" t="str">
        <x:v>2021-25</x:v>
      </x:c>
      <x:c r="C1014" s="2" t="str">
        <x:v>NCT07216079</x:v>
      </x:c>
      <x:c r="D1014" s="2" t="str">
        <x:v>Sanofi</x:v>
      </x:c>
      <x:c r="E1014" s="2" t="n">
        <x:v>0</x:v>
      </x:c>
      <x:c r="F1014" s="2" t="str">
        <x:v>https://clinicaltrials.gov/study/NCT07216079</x:v>
      </x:c>
      <x:c r="G101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15" ht="23" customHeight="1">
      <x:c r="A1015" s="2" t="str">
        <x:v>Sanofi</x:v>
      </x:c>
      <x:c r="B1015" s="2" t="str">
        <x:v>2021-25</x:v>
      </x:c>
      <x:c r="C1015" s="2" t="str">
        <x:v>NCT06975878</x:v>
      </x:c>
      <x:c r="D1015" s="2" t="str">
        <x:v>Sanofi</x:v>
      </x:c>
      <x:c r="E1015" s="2" t="n">
        <x:v>0</x:v>
      </x:c>
      <x:c r="F1015" s="2" t="str">
        <x:v>https://clinicaltrials.gov/study/NCT06975878</x:v>
      </x:c>
      <x:c r="G101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16" ht="23" customHeight="1">
      <x:c r="A1016" s="2" t="str">
        <x:v>Sanofi</x:v>
      </x:c>
      <x:c r="B1016" s="2" t="str">
        <x:v>2021-25</x:v>
      </x:c>
      <x:c r="C1016" s="2" t="str">
        <x:v>NCT06705140</x:v>
      </x:c>
      <x:c r="D1016" s="2" t="str">
        <x:v>Sanofi Pasteur, a Sanofi Company</x:v>
      </x:c>
      <x:c r="E1016" s="2" t="n">
        <x:v>0</x:v>
      </x:c>
      <x:c r="F1016" s="2" t="str">
        <x:v>https://clinicaltrials.gov/study/NCT06705140</x:v>
      </x:c>
      <x:c r="G101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17" ht="23" customHeight="1">
      <x:c r="A1017" s="2" t="str">
        <x:v>Sanofi</x:v>
      </x:c>
      <x:c r="B1017" s="2" t="str">
        <x:v>2021-25</x:v>
      </x:c>
      <x:c r="C1017" s="2" t="str">
        <x:v>NCT07222059</x:v>
      </x:c>
      <x:c r="D1017" s="2" t="str">
        <x:v>Sanofi Pasteur, a Sanofi Company</x:v>
      </x:c>
      <x:c r="E1017" s="2" t="n">
        <x:v>0</x:v>
      </x:c>
      <x:c r="F1017" s="2" t="str">
        <x:v>https://clinicaltrials.gov/study/NCT07222059</x:v>
      </x:c>
      <x:c r="G101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18" ht="23" customHeight="1">
      <x:c r="A1018" s="2" t="str">
        <x:v>Sanofi</x:v>
      </x:c>
      <x:c r="B1018" s="2" t="str">
        <x:v>2021-25</x:v>
      </x:c>
      <x:c r="C1018" s="2" t="str">
        <x:v>NCT07184931</x:v>
      </x:c>
      <x:c r="D1018" s="2" t="str">
        <x:v>Sanofi</x:v>
      </x:c>
      <x:c r="E1018" s="2" t="n">
        <x:v>0</x:v>
      </x:c>
      <x:c r="F1018" s="2" t="str">
        <x:v>https://clinicaltrials.gov/study/NCT07184931</x:v>
      </x:c>
      <x:c r="G101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19" ht="23" customHeight="1">
      <x:c r="A1019" s="2" t="str">
        <x:v>Sanofi</x:v>
      </x:c>
      <x:c r="B1019" s="2" t="str">
        <x:v>2021-25</x:v>
      </x:c>
      <x:c r="C1019" s="2" t="str">
        <x:v>NCT05132569</x:v>
      </x:c>
      <x:c r="D1019" s="2" t="str">
        <x:v>Sanofi</x:v>
      </x:c>
      <x:c r="E1019" s="2" t="n">
        <x:v>0</x:v>
      </x:c>
      <x:c r="F1019" s="2" t="str">
        <x:v>https://clinicaltrials.gov/study/NCT05132569</x:v>
      </x:c>
      <x:c r="G101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20" ht="23" customHeight="1">
      <x:c r="A1020" s="2" t="str">
        <x:v>Sanofi</x:v>
      </x:c>
      <x:c r="B1020" s="2" t="str">
        <x:v>2021-25</x:v>
      </x:c>
      <x:c r="C1020" s="2" t="str">
        <x:v>NCT06130566</x:v>
      </x:c>
      <x:c r="D1020" s="2" t="str">
        <x:v>Sanofi</x:v>
      </x:c>
      <x:c r="E1020" s="2" t="n">
        <x:v>1</x:v>
      </x:c>
      <x:c r="F1020" s="2" t="str">
        <x:v>https://clinicaltrials.gov/study/NCT06130566</x:v>
      </x:c>
      <x:c r="G102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21" ht="23" customHeight="1">
      <x:c r="A1021" s="2" t="str">
        <x:v>Sanofi</x:v>
      </x:c>
      <x:c r="B1021" s="2" t="str">
        <x:v>2021-25</x:v>
      </x:c>
      <x:c r="C1021" s="2" t="str">
        <x:v>NCT07190222</x:v>
      </x:c>
      <x:c r="D1021" s="2" t="str">
        <x:v>Sanofi</x:v>
      </x:c>
      <x:c r="E1021" s="2" t="n">
        <x:v>0</x:v>
      </x:c>
      <x:c r="F1021" s="2" t="str">
        <x:v>https://clinicaltrials.gov/study/NCT07190222</x:v>
      </x:c>
      <x:c r="G102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22" ht="23" customHeight="1">
      <x:c r="A1022" s="2" t="str">
        <x:v>Sanofi</x:v>
      </x:c>
      <x:c r="B1022" s="2" t="str">
        <x:v>2021-25</x:v>
      </x:c>
      <x:c r="C1022" s="2" t="str">
        <x:v>NCT06208306</x:v>
      </x:c>
      <x:c r="D1022" s="2" t="str">
        <x:v>Sanofi</x:v>
      </x:c>
      <x:c r="E1022" s="2" t="n">
        <x:v>1</x:v>
      </x:c>
      <x:c r="F1022" s="2" t="str">
        <x:v>https://clinicaltrials.gov/study/NCT06208306</x:v>
      </x:c>
      <x:c r="G102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23" ht="23" customHeight="1">
      <x:c r="A1023" s="2" t="str">
        <x:v>Sanofi</x:v>
      </x:c>
      <x:c r="B1023" s="2" t="str">
        <x:v>2021-25</x:v>
      </x:c>
      <x:c r="C1023" s="2" t="str">
        <x:v>NCT06191315</x:v>
      </x:c>
      <x:c r="D1023" s="2" t="str">
        <x:v>Sanofi</x:v>
      </x:c>
      <x:c r="E1023" s="2" t="n">
        <x:v>0</x:v>
      </x:c>
      <x:c r="F1023" s="2" t="str">
        <x:v>https://clinicaltrials.gov/study/NCT06191315</x:v>
      </x:c>
      <x:c r="G102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24" ht="23" customHeight="1">
      <x:c r="A1024" s="2" t="str">
        <x:v>Sanofi</x:v>
      </x:c>
      <x:c r="B1024" s="2" t="str">
        <x:v>2021-25</x:v>
      </x:c>
      <x:c r="C1024" s="2" t="str">
        <x:v>NCT05222906</x:v>
      </x:c>
      <x:c r="D1024" s="2" t="str">
        <x:v>Sanofi</x:v>
      </x:c>
      <x:c r="E1024" s="2" t="n">
        <x:v>0</x:v>
      </x:c>
      <x:c r="F1024" s="2" t="str">
        <x:v>https://clinicaltrials.gov/study/NCT05222906</x:v>
      </x:c>
      <x:c r="G102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25" ht="23" customHeight="1">
      <x:c r="A1025" s="2" t="str">
        <x:v>Sanofi</x:v>
      </x:c>
      <x:c r="B1025" s="2" t="str">
        <x:v>2021-25</x:v>
      </x:c>
      <x:c r="C1025" s="2" t="str">
        <x:v>NCT06181435</x:v>
      </x:c>
      <x:c r="D1025" s="2" t="str">
        <x:v>Sanofi</x:v>
      </x:c>
      <x:c r="E1025" s="2" t="n">
        <x:v>0</x:v>
      </x:c>
      <x:c r="F1025" s="2" t="str">
        <x:v>https://clinicaltrials.gov/study/NCT06181435</x:v>
      </x:c>
      <x:c r="G102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26" ht="23" customHeight="1">
      <x:c r="A1026" s="2" t="str">
        <x:v>Sanofi</x:v>
      </x:c>
      <x:c r="B1026" s="2" t="str">
        <x:v>2021-25</x:v>
      </x:c>
      <x:c r="C1026" s="2" t="str">
        <x:v>NCT07184944</x:v>
      </x:c>
      <x:c r="D1026" s="2" t="str">
        <x:v>Sanofi</x:v>
      </x:c>
      <x:c r="E1026" s="2" t="n">
        <x:v>0</x:v>
      </x:c>
      <x:c r="F1026" s="2" t="str">
        <x:v>https://clinicaltrials.gov/study/NCT07184944</x:v>
      </x:c>
      <x:c r="G102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27" ht="23" customHeight="1">
      <x:c r="A1027" s="2" t="str">
        <x:v>Sanofi</x:v>
      </x:c>
      <x:c r="B1027" s="2" t="str">
        <x:v>2021-25</x:v>
      </x:c>
      <x:c r="C1027" s="2" t="str">
        <x:v>NCT06241118</x:v>
      </x:c>
      <x:c r="D1027" s="2" t="str">
        <x:v>Sanofi</x:v>
      </x:c>
      <x:c r="E1027" s="2" t="n">
        <x:v>0</x:v>
      </x:c>
      <x:c r="F1027" s="2" t="str">
        <x:v>https://clinicaltrials.gov/study/NCT06241118</x:v>
      </x:c>
      <x:c r="G102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28" ht="23" customHeight="1">
      <x:c r="A1028" s="2" t="str">
        <x:v>Sanofi</x:v>
      </x:c>
      <x:c r="B1028" s="2" t="str">
        <x:v>2021-25</x:v>
      </x:c>
      <x:c r="C1028" s="2" t="str">
        <x:v>NCT06824181</x:v>
      </x:c>
      <x:c r="D1028" s="2" t="str">
        <x:v>Sanofi</x:v>
      </x:c>
      <x:c r="E1028" s="2" t="n">
        <x:v>0</x:v>
      </x:c>
      <x:c r="F1028" s="2" t="str">
        <x:v>https://clinicaltrials.gov/study/NCT06824181</x:v>
      </x:c>
      <x:c r="G102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29" ht="23" customHeight="1">
      <x:c r="A1029" s="2" t="str">
        <x:v>Sanofi</x:v>
      </x:c>
      <x:c r="B1029" s="2" t="str">
        <x:v>2021-25</x:v>
      </x:c>
      <x:c r="C1029" s="2" t="str">
        <x:v>NCT05513053</x:v>
      </x:c>
      <x:c r="D1029" s="2" t="str">
        <x:v>Sanofi Pasteur, a Sanofi Company</x:v>
      </x:c>
      <x:c r="E1029" s="2" t="n">
        <x:v>0</x:v>
      </x:c>
      <x:c r="F1029" s="2" t="str">
        <x:v>https://clinicaltrials.gov/study/NCT05513053</x:v>
      </x:c>
      <x:c r="G102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30" ht="23" customHeight="1">
      <x:c r="A1030" s="2" t="str">
        <x:v>Sanofi</x:v>
      </x:c>
      <x:c r="B1030" s="2" t="str">
        <x:v>2021-25</x:v>
      </x:c>
      <x:c r="C1030" s="2" t="str">
        <x:v>NCT06687967</x:v>
      </x:c>
      <x:c r="D1030" s="2" t="str">
        <x:v>Sanofi</x:v>
      </x:c>
      <x:c r="E1030" s="2" t="n">
        <x:v>0</x:v>
      </x:c>
      <x:c r="F1030" s="2" t="str">
        <x:v>https://clinicaltrials.gov/study/NCT06687967</x:v>
      </x:c>
      <x:c r="G103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31" ht="23" customHeight="1">
      <x:c r="A1031" s="2" t="str">
        <x:v>Sanofi</x:v>
      </x:c>
      <x:c r="B1031" s="2" t="str">
        <x:v>2021-25</x:v>
      </x:c>
      <x:c r="C1031" s="2" t="str">
        <x:v>NCT06082037</x:v>
      </x:c>
      <x:c r="D1031" s="2" t="str">
        <x:v>Sanofi</x:v>
      </x:c>
      <x:c r="E1031" s="2" t="n">
        <x:v>0</x:v>
      </x:c>
      <x:c r="F1031" s="2" t="str">
        <x:v>https://clinicaltrials.gov/study/NCT06082037</x:v>
      </x:c>
      <x:c r="G103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32" ht="23" customHeight="1">
      <x:c r="A1032" s="2" t="str">
        <x:v>Sanofi</x:v>
      </x:c>
      <x:c r="B1032" s="2" t="str">
        <x:v>2021-25</x:v>
      </x:c>
      <x:c r="C1032" s="2" t="str">
        <x:v>NCT05144945</x:v>
      </x:c>
      <x:c r="D1032" s="2" t="str">
        <x:v>Sanofi Pasteur, a Sanofi Company</x:v>
      </x:c>
      <x:c r="E1032" s="2" t="n">
        <x:v>0</x:v>
      </x:c>
      <x:c r="F1032" s="2" t="str">
        <x:v>https://clinicaltrials.gov/study/NCT05144945</x:v>
      </x:c>
      <x:c r="G103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33" ht="23" customHeight="1">
      <x:c r="A1033" s="2" t="str">
        <x:v>Sanofi</x:v>
      </x:c>
      <x:c r="B1033" s="2" t="str">
        <x:v>2021-25</x:v>
      </x:c>
      <x:c r="C1033" s="2" t="str">
        <x:v>NCT06838000</x:v>
      </x:c>
      <x:c r="D1033" s="2" t="str">
        <x:v>Sanofi Pasteur, a Sanofi Company</x:v>
      </x:c>
      <x:c r="E1033" s="2" t="n">
        <x:v>0</x:v>
      </x:c>
      <x:c r="F1033" s="2" t="str">
        <x:v>https://clinicaltrials.gov/study/NCT06838000</x:v>
      </x:c>
      <x:c r="G103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34" ht="23" customHeight="1">
      <x:c r="A1034" s="2" t="str">
        <x:v>Sanofi</x:v>
      </x:c>
      <x:c r="B1034" s="2" t="str">
        <x:v>2021-25</x:v>
      </x:c>
      <x:c r="C1034" s="2" t="str">
        <x:v>NCT07190209</x:v>
      </x:c>
      <x:c r="D1034" s="2" t="str">
        <x:v>Sanofi</x:v>
      </x:c>
      <x:c r="E1034" s="2" t="n">
        <x:v>0</x:v>
      </x:c>
      <x:c r="F1034" s="2" t="str">
        <x:v>https://clinicaltrials.gov/study/NCT07190209</x:v>
      </x:c>
      <x:c r="G103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35" ht="23" customHeight="1">
      <x:c r="A1035" s="2" t="str">
        <x:v>Sanofi</x:v>
      </x:c>
      <x:c r="B1035" s="2" t="str">
        <x:v>2021-25</x:v>
      </x:c>
      <x:c r="C1035" s="2" t="str">
        <x:v>NCT06290128</x:v>
      </x:c>
      <x:c r="D1035" s="2" t="str">
        <x:v>Sanofi</x:v>
      </x:c>
      <x:c r="E1035" s="2" t="n">
        <x:v>0</x:v>
      </x:c>
      <x:c r="F1035" s="2" t="str">
        <x:v>https://clinicaltrials.gov/study/NCT06290128</x:v>
      </x:c>
      <x:c r="G103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36" ht="23" customHeight="1">
      <x:c r="A1036" s="2" t="str">
        <x:v>Sanofi</x:v>
      </x:c>
      <x:c r="B1036" s="2" t="str">
        <x:v>2021-25</x:v>
      </x:c>
      <x:c r="C1036" s="2" t="str">
        <x:v>NCT06407934</x:v>
      </x:c>
      <x:c r="D1036" s="2" t="str">
        <x:v>Sanofi</x:v>
      </x:c>
      <x:c r="E1036" s="2" t="n">
        <x:v>1</x:v>
      </x:c>
      <x:c r="F1036" s="2" t="str">
        <x:v>https://clinicaltrials.gov/study/NCT06407934</x:v>
      </x:c>
      <x:c r="G103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37" ht="23" customHeight="1">
      <x:c r="A1037" s="2" t="str">
        <x:v>Sanofi</x:v>
      </x:c>
      <x:c r="B1037" s="2" t="str">
        <x:v>2021-25</x:v>
      </x:c>
      <x:c r="C1037" s="2" t="str">
        <x:v>NCT07103148</x:v>
      </x:c>
      <x:c r="D1037" s="2" t="str">
        <x:v>Sanofi</x:v>
      </x:c>
      <x:c r="E1037" s="2" t="n">
        <x:v>0</x:v>
      </x:c>
      <x:c r="F1037" s="2" t="str">
        <x:v>https://clinicaltrials.gov/study/NCT07103148</x:v>
      </x:c>
      <x:c r="G103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38" ht="23" customHeight="1">
      <x:c r="A1038" s="2" t="str">
        <x:v>Sanofi</x:v>
      </x:c>
      <x:c r="B1038" s="2" t="str">
        <x:v>2021-25</x:v>
      </x:c>
      <x:c r="C1038" s="2" t="str">
        <x:v>NCT07190196</x:v>
      </x:c>
      <x:c r="D1038" s="2" t="str">
        <x:v>Sanofi</x:v>
      </x:c>
      <x:c r="E1038" s="2" t="n">
        <x:v>0</x:v>
      </x:c>
      <x:c r="F1038" s="2" t="str">
        <x:v>https://clinicaltrials.gov/study/NCT07190196</x:v>
      </x:c>
      <x:c r="G103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39" ht="23" customHeight="1">
      <x:c r="A1039" s="2" t="str">
        <x:v>Sanofi</x:v>
      </x:c>
      <x:c r="B1039" s="2" t="str">
        <x:v>2021-25</x:v>
      </x:c>
      <x:c r="C1039" s="2" t="str">
        <x:v>NCT05280548</x:v>
      </x:c>
      <x:c r="D1039" s="2" t="str">
        <x:v>Sanofi</x:v>
      </x:c>
      <x:c r="E1039" s="2" t="n">
        <x:v>0</x:v>
      </x:c>
      <x:c r="F1039" s="2" t="str">
        <x:v>https://clinicaltrials.gov/study/NCT05280548</x:v>
      </x:c>
      <x:c r="G103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40" ht="23" customHeight="1">
      <x:c r="A1040" s="2" t="str">
        <x:v>Sanofi</x:v>
      </x:c>
      <x:c r="B1040" s="2" t="str">
        <x:v>2021-25</x:v>
      </x:c>
      <x:c r="C1040" s="2" t="str">
        <x:v>NCT07007962</x:v>
      </x:c>
      <x:c r="D1040" s="2" t="str">
        <x:v>Sanofi</x:v>
      </x:c>
      <x:c r="E1040" s="2" t="n">
        <x:v>0</x:v>
      </x:c>
      <x:c r="F1040" s="2" t="str">
        <x:v>https://clinicaltrials.gov/study/NCT07007962</x:v>
      </x:c>
      <x:c r="G104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41" ht="23" customHeight="1">
      <x:c r="A1041" s="2" t="str">
        <x:v>Sanofi</x:v>
      </x:c>
      <x:c r="B1041" s="2" t="str">
        <x:v>2021-25</x:v>
      </x:c>
      <x:c r="C1041" s="2" t="str">
        <x:v>NCT06228586</x:v>
      </x:c>
      <x:c r="D1041" s="2" t="str">
        <x:v>Sanofi Pasteur, a Sanofi Company</x:v>
      </x:c>
      <x:c r="E1041" s="2" t="n">
        <x:v>0</x:v>
      </x:c>
      <x:c r="F1041" s="2" t="str">
        <x:v>https://clinicaltrials.gov/study/NCT06228586</x:v>
      </x:c>
      <x:c r="G104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42" ht="23" customHeight="1">
      <x:c r="A1042" s="2" t="str">
        <x:v>Sanofi</x:v>
      </x:c>
      <x:c r="B1042" s="2" t="str">
        <x:v>2021-25</x:v>
      </x:c>
      <x:c r="C1042" s="2" t="str">
        <x:v>NCT05526521</x:v>
      </x:c>
      <x:c r="D1042" s="2" t="str">
        <x:v>Sanofi</x:v>
      </x:c>
      <x:c r="E1042" s="2" t="n">
        <x:v>0</x:v>
      </x:c>
      <x:c r="F1042" s="2" t="str">
        <x:v>https://clinicaltrials.gov/study/NCT05526521</x:v>
      </x:c>
      <x:c r="G104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43" ht="23" customHeight="1">
      <x:c r="A1043" s="2" t="str">
        <x:v>Sanofi</x:v>
      </x:c>
      <x:c r="B1043" s="2" t="str">
        <x:v>2021-25</x:v>
      </x:c>
      <x:c r="C1043" s="2" t="str">
        <x:v>NCT05468320</x:v>
      </x:c>
      <x:c r="D1043" s="2" t="str">
        <x:v>Sanofi</x:v>
      </x:c>
      <x:c r="E1043" s="2" t="n">
        <x:v>0</x:v>
      </x:c>
      <x:c r="F1043" s="2" t="str">
        <x:v>https://clinicaltrials.gov/study/NCT05468320</x:v>
      </x:c>
      <x:c r="G104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44" ht="23" customHeight="1">
      <x:c r="A1044" s="2" t="str">
        <x:v>Sanofi</x:v>
      </x:c>
      <x:c r="B1044" s="2" t="str">
        <x:v>2021-25</x:v>
      </x:c>
      <x:c r="C1044" s="2" t="str">
        <x:v>NCT07185009</x:v>
      </x:c>
      <x:c r="D1044" s="2" t="str">
        <x:v>Sanofi</x:v>
      </x:c>
      <x:c r="E1044" s="2" t="n">
        <x:v>0</x:v>
      </x:c>
      <x:c r="F1044" s="2" t="str">
        <x:v>https://clinicaltrials.gov/study/NCT07185009</x:v>
      </x:c>
      <x:c r="G104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45" ht="23" customHeight="1">
      <x:c r="A1045" s="2" t="str">
        <x:v>Sanofi</x:v>
      </x:c>
      <x:c r="B1045" s="2" t="str">
        <x:v>2021-25</x:v>
      </x:c>
      <x:c r="C1045" s="2" t="str">
        <x:v>NCT05206773</x:v>
      </x:c>
      <x:c r="D1045" s="2" t="str">
        <x:v>Sanofi</x:v>
      </x:c>
      <x:c r="E1045" s="2" t="n">
        <x:v>0</x:v>
      </x:c>
      <x:c r="F1045" s="2" t="str">
        <x:v>https://clinicaltrials.gov/study/NCT05206773</x:v>
      </x:c>
      <x:c r="G104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46" ht="23" customHeight="1">
      <x:c r="A1046" s="2" t="str">
        <x:v>Sanofi</x:v>
      </x:c>
      <x:c r="B1046" s="2" t="str">
        <x:v>2021-25</x:v>
      </x:c>
      <x:c r="C1046" s="2" t="str">
        <x:v>NCT06975865</x:v>
      </x:c>
      <x:c r="D1046" s="2" t="str">
        <x:v>Sanofi</x:v>
      </x:c>
      <x:c r="E1046" s="2" t="n">
        <x:v>0</x:v>
      </x:c>
      <x:c r="F1046" s="2" t="str">
        <x:v>https://clinicaltrials.gov/study/NCT06975865</x:v>
      </x:c>
      <x:c r="G104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Sanofi+OR+AREA%5BLeadSponsorName%5DGenzyme%29&amp;countTotal=true&amp;pageSize=1</x:v>
      </x:c>
    </x:row>
    <x:row r="1047" ht="23" customHeight="1">
      <x:c r="A1047" s="2" t="str">
        <x:v>Roche</x:v>
      </x:c>
      <x:c r="B1047" s="2" t="str">
        <x:v>2015-19</x:v>
      </x:c>
      <x:c r="C1047" s="2" t="str">
        <x:v>NCT02394028</x:v>
      </x:c>
      <x:c r="D1047" s="2" t="str">
        <x:v>Hoffmann-La Roche</x:v>
      </x:c>
      <x:c r="E1047" s="2" t="n">
        <x:v>0</x:v>
      </x:c>
      <x:c r="F1047" s="2" t="str">
        <x:v>https://clinicaltrials.gov/study/NCT02394028</x:v>
      </x:c>
      <x:c r="G104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48" ht="23" customHeight="1">
      <x:c r="A1048" s="2" t="str">
        <x:v>Roche</x:v>
      </x:c>
      <x:c r="B1048" s="2" t="str">
        <x:v>2015-19</x:v>
      </x:c>
      <x:c r="C1048" s="2" t="str">
        <x:v>NCT03761849</x:v>
      </x:c>
      <x:c r="D1048" s="2" t="str">
        <x:v>Hoffmann-La Roche</x:v>
      </x:c>
      <x:c r="E1048" s="2" t="n">
        <x:v>0</x:v>
      </x:c>
      <x:c r="F1048" s="2" t="str">
        <x:v>https://clinicaltrials.gov/study/NCT03761849</x:v>
      </x:c>
      <x:c r="G104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49" ht="23" customHeight="1">
      <x:c r="A1049" s="2" t="str">
        <x:v>Roche</x:v>
      </x:c>
      <x:c r="B1049" s="2" t="str">
        <x:v>2015-19</x:v>
      </x:c>
      <x:c r="C1049" s="2" t="str">
        <x:v>NCT04102098</x:v>
      </x:c>
      <x:c r="D1049" s="2" t="str">
        <x:v>Hoffmann-La Roche</x:v>
      </x:c>
      <x:c r="E1049" s="2" t="n">
        <x:v>0</x:v>
      </x:c>
      <x:c r="F1049" s="2" t="str">
        <x:v>https://clinicaltrials.gov/study/NCT04102098</x:v>
      </x:c>
      <x:c r="G104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50" ht="23" customHeight="1">
      <x:c r="A1050" s="2" t="str">
        <x:v>Roche</x:v>
      </x:c>
      <x:c r="B1050" s="2" t="str">
        <x:v>2015-19</x:v>
      </x:c>
      <x:c r="C1050" s="2" t="str">
        <x:v>NCT02698566</x:v>
      </x:c>
      <x:c r="D1050" s="2" t="str">
        <x:v>Genentech, Inc.</x:v>
      </x:c>
      <x:c r="E1050" s="2" t="n">
        <x:v>0</x:v>
      </x:c>
      <x:c r="F1050" s="2" t="str">
        <x:v>https://clinicaltrials.gov/study/NCT02698566</x:v>
      </x:c>
      <x:c r="G105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51" ht="23" customHeight="1">
      <x:c r="A1051" s="2" t="str">
        <x:v>Roche</x:v>
      </x:c>
      <x:c r="B1051" s="2" t="str">
        <x:v>2015-19</x:v>
      </x:c>
      <x:c r="C1051" s="2" t="str">
        <x:v>NCT02745119</x:v>
      </x:c>
      <x:c r="D1051" s="2" t="str">
        <x:v>Hoffmann-La Roche</x:v>
      </x:c>
      <x:c r="E1051" s="2" t="n">
        <x:v>0</x:v>
      </x:c>
      <x:c r="F1051" s="2" t="str">
        <x:v>https://clinicaltrials.gov/study/NCT02745119</x:v>
      </x:c>
      <x:c r="G105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52" ht="23" customHeight="1">
      <x:c r="A1052" s="2" t="str">
        <x:v>Roche</x:v>
      </x:c>
      <x:c r="B1052" s="2" t="str">
        <x:v>2015-19</x:v>
      </x:c>
      <x:c r="C1052" s="2" t="str">
        <x:v>NCT03684044</x:v>
      </x:c>
      <x:c r="D1052" s="2" t="str">
        <x:v>Hoffmann-La Roche</x:v>
      </x:c>
      <x:c r="E1052" s="2" t="n">
        <x:v>0</x:v>
      </x:c>
      <x:c r="F1052" s="2" t="str">
        <x:v>https://clinicaltrials.gov/study/NCT03684044</x:v>
      </x:c>
      <x:c r="G105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53" ht="23" customHeight="1">
      <x:c r="A1053" s="2" t="str">
        <x:v>Roche</x:v>
      </x:c>
      <x:c r="B1053" s="2" t="str">
        <x:v>2015-19</x:v>
      </x:c>
      <x:c r="C1053" s="2" t="str">
        <x:v>NCT03085810</x:v>
      </x:c>
      <x:c r="D1053" s="2" t="str">
        <x:v>Hoffmann-La Roche</x:v>
      </x:c>
      <x:c r="E1053" s="2" t="n">
        <x:v>0</x:v>
      </x:c>
      <x:c r="F1053" s="2" t="str">
        <x:v>https://clinicaltrials.gov/study/NCT03085810</x:v>
      </x:c>
      <x:c r="G105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54" ht="23" customHeight="1">
      <x:c r="A1054" s="2" t="str">
        <x:v>Roche</x:v>
      </x:c>
      <x:c r="B1054" s="2" t="str">
        <x:v>2015-19</x:v>
      </x:c>
      <x:c r="C1054" s="2" t="str">
        <x:v>NCT03726879</x:v>
      </x:c>
      <x:c r="D1054" s="2" t="str">
        <x:v>Hoffmann-La Roche</x:v>
      </x:c>
      <x:c r="E1054" s="2" t="n">
        <x:v>0</x:v>
      </x:c>
      <x:c r="F1054" s="2" t="str">
        <x:v>https://clinicaltrials.gov/study/NCT03726879</x:v>
      </x:c>
      <x:c r="G105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55" ht="23" customHeight="1">
      <x:c r="A1055" s="2" t="str">
        <x:v>Roche</x:v>
      </x:c>
      <x:c r="B1055" s="2" t="str">
        <x:v>2015-19</x:v>
      </x:c>
      <x:c r="C1055" s="2" t="str">
        <x:v>NCT03148418</x:v>
      </x:c>
      <x:c r="D1055" s="2" t="str">
        <x:v>Hoffmann-La Roche</x:v>
      </x:c>
      <x:c r="E1055" s="2" t="n">
        <x:v>0</x:v>
      </x:c>
      <x:c r="F1055" s="2" t="str">
        <x:v>https://clinicaltrials.gov/study/NCT03148418</x:v>
      </x:c>
      <x:c r="G105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56" ht="23" customHeight="1">
      <x:c r="A1056" s="2" t="str">
        <x:v>Roche</x:v>
      </x:c>
      <x:c r="B1056" s="2" t="str">
        <x:v>2015-19</x:v>
      </x:c>
      <x:c r="C1056" s="2" t="str">
        <x:v>NCT03922997</x:v>
      </x:c>
      <x:c r="D1056" s="2" t="str">
        <x:v>Hoffmann-La Roche</x:v>
      </x:c>
      <x:c r="E1056" s="2" t="n">
        <x:v>0</x:v>
      </x:c>
      <x:c r="F1056" s="2" t="str">
        <x:v>https://clinicaltrials.gov/study/NCT03922997</x:v>
      </x:c>
      <x:c r="G105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57" ht="23" customHeight="1">
      <x:c r="A1057" s="2" t="str">
        <x:v>Roche</x:v>
      </x:c>
      <x:c r="B1057" s="2" t="str">
        <x:v>2015-19</x:v>
      </x:c>
      <x:c r="C1057" s="2" t="str">
        <x:v>NCT03020160</x:v>
      </x:c>
      <x:c r="D1057" s="2" t="str">
        <x:v>Hoffmann-La Roche</x:v>
      </x:c>
      <x:c r="E1057" s="2" t="n">
        <x:v>0</x:v>
      </x:c>
      <x:c r="F1057" s="2" t="str">
        <x:v>https://clinicaltrials.gov/study/NCT03020160</x:v>
      </x:c>
      <x:c r="G105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58" ht="23" customHeight="1">
      <x:c r="A1058" s="2" t="str">
        <x:v>Roche</x:v>
      </x:c>
      <x:c r="B1058" s="2" t="str">
        <x:v>2015-19</x:v>
      </x:c>
      <x:c r="C1058" s="2" t="str">
        <x:v>NCT02762383</x:v>
      </x:c>
      <x:c r="D1058" s="2" t="str">
        <x:v>Hoffmann-La Roche</x:v>
      </x:c>
      <x:c r="E1058" s="2" t="n">
        <x:v>0</x:v>
      </x:c>
      <x:c r="F1058" s="2" t="str">
        <x:v>https://clinicaltrials.gov/study/NCT02762383</x:v>
      </x:c>
      <x:c r="G105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59" ht="23" customHeight="1">
      <x:c r="A1059" s="2" t="str">
        <x:v>Roche</x:v>
      </x:c>
      <x:c r="B1059" s="2" t="str">
        <x:v>2015-19</x:v>
      </x:c>
      <x:c r="C1059" s="2" t="str">
        <x:v>NCT04177108</x:v>
      </x:c>
      <x:c r="D1059" s="2" t="str">
        <x:v>Hoffmann-La Roche</x:v>
      </x:c>
      <x:c r="E1059" s="2" t="n">
        <x:v>1</x:v>
      </x:c>
      <x:c r="F1059" s="2" t="str">
        <x:v>https://clinicaltrials.gov/study/NCT04177108</x:v>
      </x:c>
      <x:c r="G105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60" ht="23" customHeight="1">
      <x:c r="A1060" s="2" t="str">
        <x:v>Roche</x:v>
      </x:c>
      <x:c r="B1060" s="2" t="str">
        <x:v>2015-19</x:v>
      </x:c>
      <x:c r="C1060" s="2" t="str">
        <x:v>NCT02340221</x:v>
      </x:c>
      <x:c r="D1060" s="2" t="str">
        <x:v>Hoffmann-La Roche</x:v>
      </x:c>
      <x:c r="E1060" s="2" t="n">
        <x:v>0</x:v>
      </x:c>
      <x:c r="F1060" s="2" t="str">
        <x:v>https://clinicaltrials.gov/study/NCT02340221</x:v>
      </x:c>
      <x:c r="G106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61" ht="23" customHeight="1">
      <x:c r="A1061" s="2" t="str">
        <x:v>Roche</x:v>
      </x:c>
      <x:c r="B1061" s="2" t="str">
        <x:v>2015-19</x:v>
      </x:c>
      <x:c r="C1061" s="2" t="str">
        <x:v>NCT04158648</x:v>
      </x:c>
      <x:c r="D1061" s="2" t="str">
        <x:v>Hoffmann-La Roche</x:v>
      </x:c>
      <x:c r="E1061" s="2" t="n">
        <x:v>0</x:v>
      </x:c>
      <x:c r="F1061" s="2" t="str">
        <x:v>https://clinicaltrials.gov/study/NCT04158648</x:v>
      </x:c>
      <x:c r="G106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62" ht="23" customHeight="1">
      <x:c r="A1062" s="2" t="str">
        <x:v>Roche</x:v>
      </x:c>
      <x:c r="B1062" s="2" t="str">
        <x:v>2015-19</x:v>
      </x:c>
      <x:c r="C1062" s="2" t="str">
        <x:v>NCT03125902</x:v>
      </x:c>
      <x:c r="D1062" s="2" t="str">
        <x:v>Hoffmann-La Roche</x:v>
      </x:c>
      <x:c r="E1062" s="2" t="n">
        <x:v>1</x:v>
      </x:c>
      <x:c r="F1062" s="2" t="str">
        <x:v>https://clinicaltrials.gov/study/NCT03125902</x:v>
      </x:c>
      <x:c r="G106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63" ht="23" customHeight="1">
      <x:c r="A1063" s="2" t="str">
        <x:v>Roche</x:v>
      </x:c>
      <x:c r="B1063" s="2" t="str">
        <x:v>2015-19</x:v>
      </x:c>
      <x:c r="C1063" s="2" t="str">
        <x:v>NCT04148911</x:v>
      </x:c>
      <x:c r="D1063" s="2" t="str">
        <x:v>Hoffmann-La Roche</x:v>
      </x:c>
      <x:c r="E1063" s="2" t="n">
        <x:v>0</x:v>
      </x:c>
      <x:c r="F1063" s="2" t="str">
        <x:v>https://clinicaltrials.gov/study/NCT04148911</x:v>
      </x:c>
      <x:c r="G106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64" ht="23" customHeight="1">
      <x:c r="A1064" s="2" t="str">
        <x:v>Roche</x:v>
      </x:c>
      <x:c r="B1064" s="2" t="str">
        <x:v>2015-19</x:v>
      </x:c>
      <x:c r="C1064" s="2" t="str">
        <x:v>NCT02406092</x:v>
      </x:c>
      <x:c r="D1064" s="2" t="str">
        <x:v>Hoffmann-La Roche</x:v>
      </x:c>
      <x:c r="E1064" s="2" t="n">
        <x:v>0</x:v>
      </x:c>
      <x:c r="F1064" s="2" t="str">
        <x:v>https://clinicaltrials.gov/study/NCT02406092</x:v>
      </x:c>
      <x:c r="G106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65" ht="23" customHeight="1">
      <x:c r="A1065" s="2" t="str">
        <x:v>Roche</x:v>
      </x:c>
      <x:c r="B1065" s="2" t="str">
        <x:v>2015-19</x:v>
      </x:c>
      <x:c r="C1065" s="2" t="str">
        <x:v>NCT03653364</x:v>
      </x:c>
      <x:c r="D1065" s="2" t="str">
        <x:v>Hoffmann-La Roche</x:v>
      </x:c>
      <x:c r="E1065" s="2" t="n">
        <x:v>0</x:v>
      </x:c>
      <x:c r="F1065" s="2" t="str">
        <x:v>https://clinicaltrials.gov/study/NCT03653364</x:v>
      </x:c>
      <x:c r="G106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66" ht="23" customHeight="1">
      <x:c r="A1066" s="2" t="str">
        <x:v>Roche</x:v>
      </x:c>
      <x:c r="B1066" s="2" t="str">
        <x:v>2015-19</x:v>
      </x:c>
      <x:c r="C1066" s="2" t="str">
        <x:v>NCT02420821</x:v>
      </x:c>
      <x:c r="D1066" s="2" t="str">
        <x:v>Hoffmann-La Roche</x:v>
      </x:c>
      <x:c r="E1066" s="2" t="n">
        <x:v>0</x:v>
      </x:c>
      <x:c r="F1066" s="2" t="str">
        <x:v>https://clinicaltrials.gov/study/NCT02420821</x:v>
      </x:c>
      <x:c r="G106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67" ht="23" customHeight="1">
      <x:c r="A1067" s="2" t="str">
        <x:v>Roche</x:v>
      </x:c>
      <x:c r="B1067" s="2" t="str">
        <x:v>2015-19</x:v>
      </x:c>
      <x:c r="C1067" s="2" t="str">
        <x:v>NCT02791256</x:v>
      </x:c>
      <x:c r="D1067" s="2" t="str">
        <x:v>Hoffmann-La Roche</x:v>
      </x:c>
      <x:c r="E1067" s="2" t="n">
        <x:v>0</x:v>
      </x:c>
      <x:c r="F1067" s="2" t="str">
        <x:v>https://clinicaltrials.gov/study/NCT02791256</x:v>
      </x:c>
      <x:c r="G106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68" ht="23" customHeight="1">
      <x:c r="A1068" s="2" t="str">
        <x:v>Roche</x:v>
      </x:c>
      <x:c r="B1068" s="2" t="str">
        <x:v>2015-19</x:v>
      </x:c>
      <x:c r="C1068" s="2" t="str">
        <x:v>NCT03491150</x:v>
      </x:c>
      <x:c r="D1068" s="2" t="str">
        <x:v>Hoffmann-La Roche</x:v>
      </x:c>
      <x:c r="E1068" s="2" t="n">
        <x:v>0</x:v>
      </x:c>
      <x:c r="F1068" s="2" t="str">
        <x:v>https://clinicaltrials.gov/study/NCT03491150</x:v>
      </x:c>
      <x:c r="G106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69" ht="23" customHeight="1">
      <x:c r="A1069" s="2" t="str">
        <x:v>Roche</x:v>
      </x:c>
      <x:c r="B1069" s="2" t="str">
        <x:v>2015-19</x:v>
      </x:c>
      <x:c r="C1069" s="2" t="str">
        <x:v>NCT02861014</x:v>
      </x:c>
      <x:c r="D1069" s="2" t="str">
        <x:v>Hoffmann-La Roche</x:v>
      </x:c>
      <x:c r="E1069" s="2" t="n">
        <x:v>0</x:v>
      </x:c>
      <x:c r="F1069" s="2" t="str">
        <x:v>https://clinicaltrials.gov/study/NCT02861014</x:v>
      </x:c>
      <x:c r="G106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70" ht="23" customHeight="1">
      <x:c r="A1070" s="2" t="str">
        <x:v>Roche</x:v>
      </x:c>
      <x:c r="B1070" s="2" t="str">
        <x:v>2015-19</x:v>
      </x:c>
      <x:c r="C1070" s="2" t="str">
        <x:v>NCT03016312</x:v>
      </x:c>
      <x:c r="D1070" s="2" t="str">
        <x:v>Hoffmann-La Roche</x:v>
      </x:c>
      <x:c r="E1070" s="2" t="n">
        <x:v>0</x:v>
      </x:c>
      <x:c r="F1070" s="2" t="str">
        <x:v>https://clinicaltrials.gov/study/NCT03016312</x:v>
      </x:c>
      <x:c r="G107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71" ht="23" customHeight="1">
      <x:c r="A1071" s="2" t="str">
        <x:v>Roche</x:v>
      </x:c>
      <x:c r="B1071" s="2" t="str">
        <x:v>2015-19</x:v>
      </x:c>
      <x:c r="C1071" s="2" t="str">
        <x:v>NCT02694536</x:v>
      </x:c>
      <x:c r="D1071" s="2" t="str">
        <x:v>Hoffmann-La Roche</x:v>
      </x:c>
      <x:c r="E1071" s="2" t="n">
        <x:v>0</x:v>
      </x:c>
      <x:c r="F1071" s="2" t="str">
        <x:v>https://clinicaltrials.gov/study/NCT02694536</x:v>
      </x:c>
      <x:c r="G107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72" ht="23" customHeight="1">
      <x:c r="A1072" s="2" t="str">
        <x:v>Roche</x:v>
      </x:c>
      <x:c r="B1072" s="2" t="str">
        <x:v>2015-19</x:v>
      </x:c>
      <x:c r="C1072" s="2" t="str">
        <x:v>NCT02795767</x:v>
      </x:c>
      <x:c r="D1072" s="2" t="str">
        <x:v>Hoffmann-La Roche</x:v>
      </x:c>
      <x:c r="E1072" s="2" t="n">
        <x:v>0</x:v>
      </x:c>
      <x:c r="F1072" s="2" t="str">
        <x:v>https://clinicaltrials.gov/study/NCT02795767</x:v>
      </x:c>
      <x:c r="G107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73" ht="23" customHeight="1">
      <x:c r="A1073" s="2" t="str">
        <x:v>Roche</x:v>
      </x:c>
      <x:c r="B1073" s="2" t="str">
        <x:v>2015-19</x:v>
      </x:c>
      <x:c r="C1073" s="2" t="str">
        <x:v>NCT02403323</x:v>
      </x:c>
      <x:c r="D1073" s="2" t="str">
        <x:v>Hoffmann-La Roche</x:v>
      </x:c>
      <x:c r="E1073" s="2" t="n">
        <x:v>0</x:v>
      </x:c>
      <x:c r="F1073" s="2" t="str">
        <x:v>https://clinicaltrials.gov/study/NCT02403323</x:v>
      </x:c>
      <x:c r="G107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74" ht="23" customHeight="1">
      <x:c r="A1074" s="2" t="str">
        <x:v>Roche</x:v>
      </x:c>
      <x:c r="B1074" s="2" t="str">
        <x:v>2015-19</x:v>
      </x:c>
      <x:c r="C1074" s="2" t="str">
        <x:v>NCT03197935</x:v>
      </x:c>
      <x:c r="D1074" s="2" t="str">
        <x:v>Hoffmann-La Roche</x:v>
      </x:c>
      <x:c r="E1074" s="2" t="n">
        <x:v>0</x:v>
      </x:c>
      <x:c r="F1074" s="2" t="str">
        <x:v>https://clinicaltrials.gov/study/NCT03197935</x:v>
      </x:c>
      <x:c r="G107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75" ht="23" customHeight="1">
      <x:c r="A1075" s="2" t="str">
        <x:v>Roche</x:v>
      </x:c>
      <x:c r="B1075" s="2" t="str">
        <x:v>2015-19</x:v>
      </x:c>
      <x:c r="C1075" s="2" t="str">
        <x:v>NCT03498716</x:v>
      </x:c>
      <x:c r="D1075" s="2" t="str">
        <x:v>Hoffmann-La Roche</x:v>
      </x:c>
      <x:c r="E1075" s="2" t="n">
        <x:v>0</x:v>
      </x:c>
      <x:c r="F1075" s="2" t="str">
        <x:v>https://clinicaltrials.gov/study/NCT03498716</x:v>
      </x:c>
      <x:c r="G107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76" ht="23" customHeight="1">
      <x:c r="A1076" s="2" t="str">
        <x:v>Roche</x:v>
      </x:c>
      <x:c r="B1076" s="2" t="str">
        <x:v>2015-19</x:v>
      </x:c>
      <x:c r="C1076" s="2" t="str">
        <x:v>NCT03635489</x:v>
      </x:c>
      <x:c r="D1076" s="2" t="str">
        <x:v>Hoffmann-La Roche</x:v>
      </x:c>
      <x:c r="E1076" s="2" t="n">
        <x:v>0</x:v>
      </x:c>
      <x:c r="F1076" s="2" t="str">
        <x:v>https://clinicaltrials.gov/study/NCT03635489</x:v>
      </x:c>
      <x:c r="G107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77" ht="23" customHeight="1">
      <x:c r="A1077" s="2" t="str">
        <x:v>Roche</x:v>
      </x:c>
      <x:c r="B1077" s="2" t="str">
        <x:v>2015-19</x:v>
      </x:c>
      <x:c r="C1077" s="2" t="str">
        <x:v>NCT03178552</x:v>
      </x:c>
      <x:c r="D1077" s="2" t="str">
        <x:v>Hoffmann-La Roche</x:v>
      </x:c>
      <x:c r="E1077" s="2" t="n">
        <x:v>0</x:v>
      </x:c>
      <x:c r="F1077" s="2" t="str">
        <x:v>https://clinicaltrials.gov/study/NCT03178552</x:v>
      </x:c>
      <x:c r="G107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78" ht="23" customHeight="1">
      <x:c r="A1078" s="2" t="str">
        <x:v>Roche</x:v>
      </x:c>
      <x:c r="B1078" s="2" t="str">
        <x:v>2015-19</x:v>
      </x:c>
      <x:c r="C1078" s="2" t="str">
        <x:v>NCT03493854</x:v>
      </x:c>
      <x:c r="D1078" s="2" t="str">
        <x:v>Hoffmann-La Roche</x:v>
      </x:c>
      <x:c r="E1078" s="2" t="n">
        <x:v>0</x:v>
      </x:c>
      <x:c r="F1078" s="2" t="str">
        <x:v>https://clinicaltrials.gov/study/NCT03493854</x:v>
      </x:c>
      <x:c r="G107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79" ht="23" customHeight="1">
      <x:c r="A1079" s="2" t="str">
        <x:v>Roche</x:v>
      </x:c>
      <x:c r="B1079" s="2" t="str">
        <x:v>2015-19</x:v>
      </x:c>
      <x:c r="C1079" s="2" t="str">
        <x:v>NCT03155347</x:v>
      </x:c>
      <x:c r="D1079" s="2" t="str">
        <x:v>Hoffmann-La Roche</x:v>
      </x:c>
      <x:c r="E1079" s="2" t="n">
        <x:v>0</x:v>
      </x:c>
      <x:c r="F1079" s="2" t="str">
        <x:v>https://clinicaltrials.gov/study/NCT03155347</x:v>
      </x:c>
      <x:c r="G107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80" ht="23" customHeight="1">
      <x:c r="A1080" s="2" t="str">
        <x:v>Roche</x:v>
      </x:c>
      <x:c r="B1080" s="2" t="str">
        <x:v>2015-19</x:v>
      </x:c>
      <x:c r="C1080" s="2" t="str">
        <x:v>NCT03072238</x:v>
      </x:c>
      <x:c r="D1080" s="2" t="str">
        <x:v>Hoffmann-La Roche</x:v>
      </x:c>
      <x:c r="E1080" s="2" t="n">
        <x:v>0</x:v>
      </x:c>
      <x:c r="F1080" s="2" t="str">
        <x:v>https://clinicaltrials.gov/study/NCT03072238</x:v>
      </x:c>
      <x:c r="G108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81" ht="23" customHeight="1">
      <x:c r="A1081" s="2" t="str">
        <x:v>Roche</x:v>
      </x:c>
      <x:c r="B1081" s="2" t="str">
        <x:v>2015-19</x:v>
      </x:c>
      <x:c r="C1081" s="2" t="str">
        <x:v>NCT02546869</x:v>
      </x:c>
      <x:c r="D1081" s="2" t="str">
        <x:v>Hoffmann-La Roche</x:v>
      </x:c>
      <x:c r="E1081" s="2" t="n">
        <x:v>0</x:v>
      </x:c>
      <x:c r="F1081" s="2" t="str">
        <x:v>https://clinicaltrials.gov/study/NCT02546869</x:v>
      </x:c>
      <x:c r="G108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82" ht="23" customHeight="1">
      <x:c r="A1082" s="2" t="str">
        <x:v>Roche</x:v>
      </x:c>
      <x:c r="B1082" s="2" t="str">
        <x:v>2015-19</x:v>
      </x:c>
      <x:c r="C1082" s="2" t="str">
        <x:v>NCT03024996</x:v>
      </x:c>
      <x:c r="D1082" s="2" t="str">
        <x:v>Hoffmann-La Roche</x:v>
      </x:c>
      <x:c r="E1082" s="2" t="n">
        <x:v>0</x:v>
      </x:c>
      <x:c r="F1082" s="2" t="str">
        <x:v>https://clinicaltrials.gov/study/NCT03024996</x:v>
      </x:c>
      <x:c r="G108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83" ht="23" customHeight="1">
      <x:c r="A1083" s="2" t="str">
        <x:v>Roche</x:v>
      </x:c>
      <x:c r="B1083" s="2" t="str">
        <x:v>2015-19</x:v>
      </x:c>
      <x:c r="C1083" s="2" t="str">
        <x:v>NCT03280550</x:v>
      </x:c>
      <x:c r="D1083" s="2" t="str">
        <x:v>Hoffmann-La Roche</x:v>
      </x:c>
      <x:c r="E1083" s="2" t="n">
        <x:v>0</x:v>
      </x:c>
      <x:c r="F1083" s="2" t="str">
        <x:v>https://clinicaltrials.gov/study/NCT03280550</x:v>
      </x:c>
      <x:c r="G108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84" ht="23" customHeight="1">
      <x:c r="A1084" s="2" t="str">
        <x:v>Roche</x:v>
      </x:c>
      <x:c r="B1084" s="2" t="str">
        <x:v>2015-19</x:v>
      </x:c>
      <x:c r="C1084" s="2" t="str">
        <x:v>NCT03785678</x:v>
      </x:c>
      <x:c r="D1084" s="2" t="str">
        <x:v>Genentech, Inc.</x:v>
      </x:c>
      <x:c r="E1084" s="2" t="n">
        <x:v>0</x:v>
      </x:c>
      <x:c r="F1084" s="2" t="str">
        <x:v>https://clinicaltrials.gov/study/NCT03785678</x:v>
      </x:c>
      <x:c r="G108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85" ht="23" customHeight="1">
      <x:c r="A1085" s="2" t="str">
        <x:v>Roche</x:v>
      </x:c>
      <x:c r="B1085" s="2" t="str">
        <x:v>2015-19</x:v>
      </x:c>
      <x:c r="C1085" s="2" t="str">
        <x:v>NCT03456063</x:v>
      </x:c>
      <x:c r="D1085" s="2" t="str">
        <x:v>Hoffmann-La Roche</x:v>
      </x:c>
      <x:c r="E1085" s="2" t="n">
        <x:v>0</x:v>
      </x:c>
      <x:c r="F1085" s="2" t="str">
        <x:v>https://clinicaltrials.gov/study/NCT03456063</x:v>
      </x:c>
      <x:c r="G108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86" ht="23" customHeight="1">
      <x:c r="A1086" s="2" t="str">
        <x:v>Roche</x:v>
      </x:c>
      <x:c r="B1086" s="2" t="str">
        <x:v>2015-19</x:v>
      </x:c>
      <x:c r="C1086" s="2" t="str">
        <x:v>NCT03504917</x:v>
      </x:c>
      <x:c r="D1086" s="2" t="str">
        <x:v>Hoffmann-La Roche</x:v>
      </x:c>
      <x:c r="E1086" s="2" t="n">
        <x:v>0</x:v>
      </x:c>
      <x:c r="F1086" s="2" t="str">
        <x:v>https://clinicaltrials.gov/study/NCT03504917</x:v>
      </x:c>
      <x:c r="G108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87" ht="23" customHeight="1">
      <x:c r="A1087" s="2" t="str">
        <x:v>Roche</x:v>
      </x:c>
      <x:c r="B1087" s="2" t="str">
        <x:v>2015-19</x:v>
      </x:c>
      <x:c r="C1087" s="2" t="str">
        <x:v>NCT04194203</x:v>
      </x:c>
      <x:c r="D1087" s="2" t="str">
        <x:v>Hoffmann-La Roche</x:v>
      </x:c>
      <x:c r="E1087" s="2" t="n">
        <x:v>0</x:v>
      </x:c>
      <x:c r="F1087" s="2" t="str">
        <x:v>https://clinicaltrials.gov/study/NCT04194203</x:v>
      </x:c>
      <x:c r="G108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88" ht="23" customHeight="1">
      <x:c r="A1088" s="2" t="str">
        <x:v>Roche</x:v>
      </x:c>
      <x:c r="B1088" s="2" t="str">
        <x:v>2015-19</x:v>
      </x:c>
      <x:c r="C1088" s="2" t="str">
        <x:v>NCT03599245</x:v>
      </x:c>
      <x:c r="D1088" s="2" t="str">
        <x:v>Hoffmann-La Roche</x:v>
      </x:c>
      <x:c r="E1088" s="2" t="n">
        <x:v>0</x:v>
      </x:c>
      <x:c r="F1088" s="2" t="str">
        <x:v>https://clinicaltrials.gov/study/NCT03599245</x:v>
      </x:c>
      <x:c r="G108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89" ht="23" customHeight="1">
      <x:c r="A1089" s="2" t="str">
        <x:v>Roche</x:v>
      </x:c>
      <x:c r="B1089" s="2" t="str">
        <x:v>2015-19</x:v>
      </x:c>
      <x:c r="C1089" s="2" t="str">
        <x:v>NCT03683251</x:v>
      </x:c>
      <x:c r="D1089" s="2" t="str">
        <x:v>Hoffmann-La Roche</x:v>
      </x:c>
      <x:c r="E1089" s="2" t="n">
        <x:v>0</x:v>
      </x:c>
      <x:c r="F1089" s="2" t="str">
        <x:v>https://clinicaltrials.gov/study/NCT03683251</x:v>
      </x:c>
      <x:c r="G108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90" ht="23" customHeight="1">
      <x:c r="A1090" s="2" t="str">
        <x:v>Roche</x:v>
      </x:c>
      <x:c r="B1090" s="2" t="str">
        <x:v>2015-19</x:v>
      </x:c>
      <x:c r="C1090" s="2" t="str">
        <x:v>NCT02622321</x:v>
      </x:c>
      <x:c r="D1090" s="2" t="str">
        <x:v>Hoffmann-La Roche</x:v>
      </x:c>
      <x:c r="E1090" s="2" t="n">
        <x:v>0</x:v>
      </x:c>
      <x:c r="F1090" s="2" t="str">
        <x:v>https://clinicaltrials.gov/study/NCT02622321</x:v>
      </x:c>
      <x:c r="G109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91" ht="23" customHeight="1">
      <x:c r="A1091" s="2" t="str">
        <x:v>Roche</x:v>
      </x:c>
      <x:c r="B1091" s="2" t="str">
        <x:v>2015-19</x:v>
      </x:c>
      <x:c r="C1091" s="2" t="str">
        <x:v>NCT02847637</x:v>
      </x:c>
      <x:c r="D1091" s="2" t="str">
        <x:v>Hoffmann-La Roche</x:v>
      </x:c>
      <x:c r="E1091" s="2" t="n">
        <x:v>0</x:v>
      </x:c>
      <x:c r="F1091" s="2" t="str">
        <x:v>https://clinicaltrials.gov/study/NCT02847637</x:v>
      </x:c>
      <x:c r="G109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92" ht="23" customHeight="1">
      <x:c r="A1092" s="2" t="str">
        <x:v>Roche</x:v>
      </x:c>
      <x:c r="B1092" s="2" t="str">
        <x:v>2015-19</x:v>
      </x:c>
      <x:c r="C1092" s="2" t="str">
        <x:v>NCT03434379</x:v>
      </x:c>
      <x:c r="D1092" s="2" t="str">
        <x:v>Hoffmann-La Roche</x:v>
      </x:c>
      <x:c r="E1092" s="2" t="n">
        <x:v>0</x:v>
      </x:c>
      <x:c r="F1092" s="2" t="str">
        <x:v>https://clinicaltrials.gov/study/NCT03434379</x:v>
      </x:c>
      <x:c r="G109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93" ht="23" customHeight="1">
      <x:c r="A1093" s="2" t="str">
        <x:v>Roche</x:v>
      </x:c>
      <x:c r="B1093" s="2" t="str">
        <x:v>2015-19</x:v>
      </x:c>
      <x:c r="C1093" s="2" t="str">
        <x:v>NCT03315455</x:v>
      </x:c>
      <x:c r="D1093" s="2" t="str">
        <x:v>Hoffmann-La Roche</x:v>
      </x:c>
      <x:c r="E1093" s="2" t="n">
        <x:v>0</x:v>
      </x:c>
      <x:c r="F1093" s="2" t="str">
        <x:v>https://clinicaltrials.gov/study/NCT03315455</x:v>
      </x:c>
      <x:c r="G109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94" ht="23" customHeight="1">
      <x:c r="A1094" s="2" t="str">
        <x:v>Roche</x:v>
      </x:c>
      <x:c r="B1094" s="2" t="str">
        <x:v>2015-19</x:v>
      </x:c>
      <x:c r="C1094" s="2" t="str">
        <x:v>NCT03523858</x:v>
      </x:c>
      <x:c r="D1094" s="2" t="str">
        <x:v>Hoffmann-La Roche</x:v>
      </x:c>
      <x:c r="E1094" s="2" t="n">
        <x:v>0</x:v>
      </x:c>
      <x:c r="F1094" s="2" t="str">
        <x:v>https://clinicaltrials.gov/study/NCT03523858</x:v>
      </x:c>
      <x:c r="G109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95" ht="23" customHeight="1">
      <x:c r="A1095" s="2" t="str">
        <x:v>Roche</x:v>
      </x:c>
      <x:c r="B1095" s="2" t="str">
        <x:v>2015-19</x:v>
      </x:c>
      <x:c r="C1095" s="2" t="str">
        <x:v>NCT02732639</x:v>
      </x:c>
      <x:c r="D1095" s="2" t="str">
        <x:v>Hoffmann-La Roche</x:v>
      </x:c>
      <x:c r="E1095" s="2" t="n">
        <x:v>0</x:v>
      </x:c>
      <x:c r="F1095" s="2" t="str">
        <x:v>https://clinicaltrials.gov/study/NCT02732639</x:v>
      </x:c>
      <x:c r="G109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96" ht="23" customHeight="1">
      <x:c r="A1096" s="2" t="str">
        <x:v>Roche</x:v>
      </x:c>
      <x:c r="B1096" s="2" t="str">
        <x:v>2015-19</x:v>
      </x:c>
      <x:c r="C1096" s="2" t="str">
        <x:v>NCT02670083</x:v>
      </x:c>
      <x:c r="D1096" s="2" t="str">
        <x:v>Hoffmann-La Roche</x:v>
      </x:c>
      <x:c r="E1096" s="2" t="n">
        <x:v>0</x:v>
      </x:c>
      <x:c r="F1096" s="2" t="str">
        <x:v>https://clinicaltrials.gov/study/NCT02670083</x:v>
      </x:c>
      <x:c r="G109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97" ht="23" customHeight="1">
      <x:c r="A1097" s="2" t="str">
        <x:v>Roche</x:v>
      </x:c>
      <x:c r="B1097" s="2" t="str">
        <x:v>2015-19</x:v>
      </x:c>
      <x:c r="C1097" s="2" t="str">
        <x:v>NCT03280537</x:v>
      </x:c>
      <x:c r="D1097" s="2" t="str">
        <x:v>Hoffmann-La Roche</x:v>
      </x:c>
      <x:c r="E1097" s="2" t="n">
        <x:v>0</x:v>
      </x:c>
      <x:c r="F1097" s="2" t="str">
        <x:v>https://clinicaltrials.gov/study/NCT03280537</x:v>
      </x:c>
      <x:c r="G109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98" ht="23" customHeight="1">
      <x:c r="A1098" s="2" t="str">
        <x:v>Roche</x:v>
      </x:c>
      <x:c r="B1098" s="2" t="str">
        <x:v>2015-19</x:v>
      </x:c>
      <x:c r="C1098" s="2" t="str">
        <x:v>NCT03038100</x:v>
      </x:c>
      <x:c r="D1098" s="2" t="str">
        <x:v>Hoffmann-La Roche</x:v>
      </x:c>
      <x:c r="E1098" s="2" t="n">
        <x:v>0</x:v>
      </x:c>
      <x:c r="F1098" s="2" t="str">
        <x:v>https://clinicaltrials.gov/study/NCT03038100</x:v>
      </x:c>
      <x:c r="G109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099" ht="23" customHeight="1">
      <x:c r="A1099" s="2" t="str">
        <x:v>Roche</x:v>
      </x:c>
      <x:c r="B1099" s="2" t="str">
        <x:v>2015-19</x:v>
      </x:c>
      <x:c r="C1099" s="2" t="str">
        <x:v>NCT02545283</x:v>
      </x:c>
      <x:c r="D1099" s="2" t="str">
        <x:v>Hoffmann-La Roche</x:v>
      </x:c>
      <x:c r="E1099" s="2" t="n">
        <x:v>0</x:v>
      </x:c>
      <x:c r="F1099" s="2" t="str">
        <x:v>https://clinicaltrials.gov/study/NCT02545283</x:v>
      </x:c>
      <x:c r="G109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00" ht="23" customHeight="1">
      <x:c r="A1100" s="2" t="str">
        <x:v>Roche</x:v>
      </x:c>
      <x:c r="B1100" s="2" t="str">
        <x:v>2015-19</x:v>
      </x:c>
      <x:c r="C1100" s="2" t="str">
        <x:v>NCT02721641</x:v>
      </x:c>
      <x:c r="D1100" s="2" t="str">
        <x:v>Hoffmann-La Roche</x:v>
      </x:c>
      <x:c r="E1100" s="2" t="n">
        <x:v>0</x:v>
      </x:c>
      <x:c r="F1100" s="2" t="str">
        <x:v>https://clinicaltrials.gov/study/NCT02721641</x:v>
      </x:c>
      <x:c r="G110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01" ht="23" customHeight="1">
      <x:c r="A1101" s="2" t="str">
        <x:v>Roche</x:v>
      </x:c>
      <x:c r="B1101" s="2" t="str">
        <x:v>2015-19</x:v>
      </x:c>
      <x:c r="C1101" s="2" t="str">
        <x:v>NCT02409342</x:v>
      </x:c>
      <x:c r="D1101" s="2" t="str">
        <x:v>Hoffmann-La Roche</x:v>
      </x:c>
      <x:c r="E1101" s="2" t="n">
        <x:v>0</x:v>
      </x:c>
      <x:c r="F1101" s="2" t="str">
        <x:v>https://clinicaltrials.gov/study/NCT02409342</x:v>
      </x:c>
      <x:c r="G110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02" ht="23" customHeight="1">
      <x:c r="A1102" s="2" t="str">
        <x:v>Roche</x:v>
      </x:c>
      <x:c r="B1102" s="2" t="str">
        <x:v>2015-19</x:v>
      </x:c>
      <x:c r="C1102" s="2" t="str">
        <x:v>NCT03606460</x:v>
      </x:c>
      <x:c r="D1102" s="2" t="str">
        <x:v>Genentech, Inc.</x:v>
      </x:c>
      <x:c r="E1102" s="2" t="n">
        <x:v>0</x:v>
      </x:c>
      <x:c r="F1102" s="2" t="str">
        <x:v>https://clinicaltrials.gov/study/NCT03606460</x:v>
      </x:c>
      <x:c r="G110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03" ht="23" customHeight="1">
      <x:c r="A1103" s="2" t="str">
        <x:v>Roche</x:v>
      </x:c>
      <x:c r="B1103" s="2" t="str">
        <x:v>2015-19</x:v>
      </x:c>
      <x:c r="C1103" s="2" t="str">
        <x:v>NCT03191799</x:v>
      </x:c>
      <x:c r="D1103" s="2" t="str">
        <x:v>Hoffmann-La Roche</x:v>
      </x:c>
      <x:c r="E1103" s="2" t="n">
        <x:v>1</x:v>
      </x:c>
      <x:c r="F1103" s="2" t="str">
        <x:v>https://clinicaltrials.gov/study/NCT03191799</x:v>
      </x:c>
      <x:c r="G110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04" ht="23" customHeight="1">
      <x:c r="A1104" s="2" t="str">
        <x:v>Roche</x:v>
      </x:c>
      <x:c r="B1104" s="2" t="str">
        <x:v>2015-19</x:v>
      </x:c>
      <x:c r="C1104" s="2" t="str">
        <x:v>NCT02453256</x:v>
      </x:c>
      <x:c r="D1104" s="2" t="str">
        <x:v>Hoffmann-La Roche</x:v>
      </x:c>
      <x:c r="E1104" s="2" t="n">
        <x:v>0</x:v>
      </x:c>
      <x:c r="F1104" s="2" t="str">
        <x:v>https://clinicaltrials.gov/study/NCT02453256</x:v>
      </x:c>
      <x:c r="G110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05" ht="23" customHeight="1">
      <x:c r="A1105" s="2" t="str">
        <x:v>Roche</x:v>
      </x:c>
      <x:c r="B1105" s="2" t="str">
        <x:v>2015-19</x:v>
      </x:c>
      <x:c r="C1105" s="2" t="str">
        <x:v>NCT02763579</x:v>
      </x:c>
      <x:c r="D1105" s="2" t="str">
        <x:v>Hoffmann-La Roche</x:v>
      </x:c>
      <x:c r="E1105" s="2" t="n">
        <x:v>0</x:v>
      </x:c>
      <x:c r="F1105" s="2" t="str">
        <x:v>https://clinicaltrials.gov/study/NCT02763579</x:v>
      </x:c>
      <x:c r="G110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06" ht="23" customHeight="1">
      <x:c r="A1106" s="2" t="str">
        <x:v>Roche</x:v>
      </x:c>
      <x:c r="B1106" s="2" t="str">
        <x:v>2015-19</x:v>
      </x:c>
      <x:c r="C1106" s="2" t="str">
        <x:v>NCT04108156</x:v>
      </x:c>
      <x:c r="D1106" s="2" t="str">
        <x:v>Hoffmann-La Roche</x:v>
      </x:c>
      <x:c r="E1106" s="2" t="n">
        <x:v>0</x:v>
      </x:c>
      <x:c r="F1106" s="2" t="str">
        <x:v>https://clinicaltrials.gov/study/NCT04108156</x:v>
      </x:c>
      <x:c r="G110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07" ht="23" customHeight="1">
      <x:c r="A1107" s="2" t="str">
        <x:v>Roche</x:v>
      </x:c>
      <x:c r="B1107" s="2" t="str">
        <x:v>2015-19</x:v>
      </x:c>
      <x:c r="C1107" s="2" t="str">
        <x:v>NCT02604342</x:v>
      </x:c>
      <x:c r="D1107" s="2" t="str">
        <x:v>Hoffmann-La Roche</x:v>
      </x:c>
      <x:c r="E1107" s="2" t="n">
        <x:v>0</x:v>
      </x:c>
      <x:c r="F1107" s="2" t="str">
        <x:v>https://clinicaltrials.gov/study/NCT02604342</x:v>
      </x:c>
      <x:c r="G110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08" ht="23" customHeight="1">
      <x:c r="A1108" s="2" t="str">
        <x:v>Roche</x:v>
      </x:c>
      <x:c r="B1108" s="2" t="str">
        <x:v>2015-19</x:v>
      </x:c>
      <x:c r="C1108" s="2" t="str">
        <x:v>NCT03622580</x:v>
      </x:c>
      <x:c r="D1108" s="2" t="str">
        <x:v>Hoffmann-La Roche</x:v>
      </x:c>
      <x:c r="E1108" s="2" t="n">
        <x:v>0</x:v>
      </x:c>
      <x:c r="F1108" s="2" t="str">
        <x:v>https://clinicaltrials.gov/study/NCT03622580</x:v>
      </x:c>
      <x:c r="G110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09" ht="23" customHeight="1">
      <x:c r="A1109" s="2" t="str">
        <x:v>Roche</x:v>
      </x:c>
      <x:c r="B1109" s="2" t="str">
        <x:v>2015-19</x:v>
      </x:c>
      <x:c r="C1109" s="2" t="str">
        <x:v>NCT02586025</x:v>
      </x:c>
      <x:c r="D1109" s="2" t="str">
        <x:v>Hoffmann-La Roche</x:v>
      </x:c>
      <x:c r="E1109" s="2" t="n">
        <x:v>0</x:v>
      </x:c>
      <x:c r="F1109" s="2" t="str">
        <x:v>https://clinicaltrials.gov/study/NCT02586025</x:v>
      </x:c>
      <x:c r="G110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10" ht="23" customHeight="1">
      <x:c r="A1110" s="2" t="str">
        <x:v>Roche</x:v>
      </x:c>
      <x:c r="B1110" s="2" t="str">
        <x:v>2015-19</x:v>
      </x:c>
      <x:c r="C1110" s="2" t="str">
        <x:v>NCT03842969</x:v>
      </x:c>
      <x:c r="D1110" s="2" t="str">
        <x:v>Hoffmann-La Roche</x:v>
      </x:c>
      <x:c r="E1110" s="2" t="n">
        <x:v>0</x:v>
      </x:c>
      <x:c r="F1110" s="2" t="str">
        <x:v>https://clinicaltrials.gov/study/NCT03842969</x:v>
      </x:c>
      <x:c r="G111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11" ht="23" customHeight="1">
      <x:c r="A1111" s="2" t="str">
        <x:v>Roche</x:v>
      </x:c>
      <x:c r="B1111" s="2" t="str">
        <x:v>2015-19</x:v>
      </x:c>
      <x:c r="C1111" s="2" t="str">
        <x:v>NCT03202368</x:v>
      </x:c>
      <x:c r="D1111" s="2" t="str">
        <x:v>Hoffmann-La Roche</x:v>
      </x:c>
      <x:c r="E1111" s="2" t="n">
        <x:v>0</x:v>
      </x:c>
      <x:c r="F1111" s="2" t="str">
        <x:v>https://clinicaltrials.gov/study/NCT03202368</x:v>
      </x:c>
      <x:c r="G111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12" ht="23" customHeight="1">
      <x:c r="A1112" s="2" t="str">
        <x:v>Roche</x:v>
      </x:c>
      <x:c r="B1112" s="2" t="str">
        <x:v>2015-19</x:v>
      </x:c>
      <x:c r="C1112" s="2" t="str">
        <x:v>NCT02788279</x:v>
      </x:c>
      <x:c r="D1112" s="2" t="str">
        <x:v>Hoffmann-La Roche</x:v>
      </x:c>
      <x:c r="E1112" s="2" t="n">
        <x:v>0</x:v>
      </x:c>
      <x:c r="F1112" s="2" t="str">
        <x:v>https://clinicaltrials.gov/study/NCT02788279</x:v>
      </x:c>
      <x:c r="G111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13" ht="23" customHeight="1">
      <x:c r="A1113" s="2" t="str">
        <x:v>Roche</x:v>
      </x:c>
      <x:c r="B1113" s="2" t="str">
        <x:v>2015-19</x:v>
      </x:c>
      <x:c r="C1113" s="2" t="str">
        <x:v>NCT03337724</x:v>
      </x:c>
      <x:c r="D1113" s="2" t="str">
        <x:v>Hoffmann-La Roche</x:v>
      </x:c>
      <x:c r="E1113" s="2" t="n">
        <x:v>1</x:v>
      </x:c>
      <x:c r="F1113" s="2" t="str">
        <x:v>https://clinicaltrials.gov/study/NCT03337724</x:v>
      </x:c>
      <x:c r="G111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14" ht="23" customHeight="1">
      <x:c r="A1114" s="2" t="str">
        <x:v>Roche</x:v>
      </x:c>
      <x:c r="B1114" s="2" t="str">
        <x:v>2015-19</x:v>
      </x:c>
      <x:c r="C1114" s="2" t="str">
        <x:v>NCT02813785</x:v>
      </x:c>
      <x:c r="D1114" s="2" t="str">
        <x:v>Hoffmann-La Roche</x:v>
      </x:c>
      <x:c r="E1114" s="2" t="n">
        <x:v>0</x:v>
      </x:c>
      <x:c r="F1114" s="2" t="str">
        <x:v>https://clinicaltrials.gov/study/NCT02813785</x:v>
      </x:c>
      <x:c r="G111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15" ht="23" customHeight="1">
      <x:c r="A1115" s="2" t="str">
        <x:v>Roche</x:v>
      </x:c>
      <x:c r="B1115" s="2" t="str">
        <x:v>2015-19</x:v>
      </x:c>
      <x:c r="C1115" s="2" t="str">
        <x:v>NCT02488330</x:v>
      </x:c>
      <x:c r="D1115" s="2" t="str">
        <x:v>Hoffmann-La Roche</x:v>
      </x:c>
      <x:c r="E1115" s="2" t="n">
        <x:v>0</x:v>
      </x:c>
      <x:c r="F1115" s="2" t="str">
        <x:v>https://clinicaltrials.gov/study/NCT02488330</x:v>
      </x:c>
      <x:c r="G111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16" ht="23" customHeight="1">
      <x:c r="A1116" s="2" t="str">
        <x:v>Roche</x:v>
      </x:c>
      <x:c r="B1116" s="2" t="str">
        <x:v>2015-19</x:v>
      </x:c>
      <x:c r="C1116" s="2" t="str">
        <x:v>NCT03194893</x:v>
      </x:c>
      <x:c r="D1116" s="2" t="str">
        <x:v>Hoffmann-La Roche</x:v>
      </x:c>
      <x:c r="E1116" s="2" t="n">
        <x:v>0</x:v>
      </x:c>
      <x:c r="F1116" s="2" t="str">
        <x:v>https://clinicaltrials.gov/study/NCT03194893</x:v>
      </x:c>
      <x:c r="G111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17" ht="23" customHeight="1">
      <x:c r="A1117" s="2" t="str">
        <x:v>Roche</x:v>
      </x:c>
      <x:c r="B1117" s="2" t="str">
        <x:v>2015-19</x:v>
      </x:c>
      <x:c r="C1117" s="2" t="str">
        <x:v>NCT02806505</x:v>
      </x:c>
      <x:c r="D1117" s="2" t="str">
        <x:v>Hoffmann-La Roche</x:v>
      </x:c>
      <x:c r="E1117" s="2" t="n">
        <x:v>0</x:v>
      </x:c>
      <x:c r="F1117" s="2" t="str">
        <x:v>https://clinicaltrials.gov/study/NCT02806505</x:v>
      </x:c>
      <x:c r="G111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18" ht="23" customHeight="1">
      <x:c r="A1118" s="2" t="str">
        <x:v>Roche</x:v>
      </x:c>
      <x:c r="B1118" s="2" t="str">
        <x:v>2015-19</x:v>
      </x:c>
      <x:c r="C1118" s="2" t="str">
        <x:v>NCT03084939</x:v>
      </x:c>
      <x:c r="D1118" s="2" t="str">
        <x:v>Hoffmann-La Roche</x:v>
      </x:c>
      <x:c r="E1118" s="2" t="n">
        <x:v>0</x:v>
      </x:c>
      <x:c r="F1118" s="2" t="str">
        <x:v>https://clinicaltrials.gov/study/NCT03084939</x:v>
      </x:c>
      <x:c r="G111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19" ht="23" customHeight="1">
      <x:c r="A1119" s="2" t="str">
        <x:v>Roche</x:v>
      </x:c>
      <x:c r="B1119" s="2" t="str">
        <x:v>2015-19</x:v>
      </x:c>
      <x:c r="C1119" s="2" t="str">
        <x:v>NCT03969212</x:v>
      </x:c>
      <x:c r="D1119" s="2" t="str">
        <x:v>Hoffmann-La Roche</x:v>
      </x:c>
      <x:c r="E1119" s="2" t="n">
        <x:v>1</x:v>
      </x:c>
      <x:c r="F1119" s="2" t="str">
        <x:v>https://clinicaltrials.gov/study/NCT03969212</x:v>
      </x:c>
      <x:c r="G111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20" ht="23" customHeight="1">
      <x:c r="A1120" s="2" t="str">
        <x:v>Roche</x:v>
      </x:c>
      <x:c r="B1120" s="2" t="str">
        <x:v>2015-19</x:v>
      </x:c>
      <x:c r="C1120" s="2" t="str">
        <x:v>NCT03478930</x:v>
      </x:c>
      <x:c r="D1120" s="2" t="str">
        <x:v>Hoffmann-La Roche</x:v>
      </x:c>
      <x:c r="E1120" s="2" t="n">
        <x:v>0</x:v>
      </x:c>
      <x:c r="F1120" s="2" t="str">
        <x:v>https://clinicaltrials.gov/study/NCT03478930</x:v>
      </x:c>
      <x:c r="G112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21" ht="23" customHeight="1">
      <x:c r="A1121" s="2" t="str">
        <x:v>Roche</x:v>
      </x:c>
      <x:c r="B1121" s="2" t="str">
        <x:v>2015-19</x:v>
      </x:c>
      <x:c r="C1121" s="2" t="str">
        <x:v>NCT03273153</x:v>
      </x:c>
      <x:c r="D1121" s="2" t="str">
        <x:v>Hoffmann-La Roche</x:v>
      </x:c>
      <x:c r="E1121" s="2" t="n">
        <x:v>0</x:v>
      </x:c>
      <x:c r="F1121" s="2" t="str">
        <x:v>https://clinicaltrials.gov/study/NCT03273153</x:v>
      </x:c>
      <x:c r="G112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22" ht="23" customHeight="1">
      <x:c r="A1122" s="2" t="str">
        <x:v>Roche</x:v>
      </x:c>
      <x:c r="B1122" s="2" t="str">
        <x:v>2015-19</x:v>
      </x:c>
      <x:c r="C1122" s="2" t="str">
        <x:v>NCT02402712</x:v>
      </x:c>
      <x:c r="D1122" s="2" t="str">
        <x:v>Hoffmann-La Roche</x:v>
      </x:c>
      <x:c r="E1122" s="2" t="n">
        <x:v>0</x:v>
      </x:c>
      <x:c r="F1122" s="2" t="str">
        <x:v>https://clinicaltrials.gov/study/NCT02402712</x:v>
      </x:c>
      <x:c r="G112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23" ht="23" customHeight="1">
      <x:c r="A1123" s="2" t="str">
        <x:v>Roche</x:v>
      </x:c>
      <x:c r="B1123" s="2" t="str">
        <x:v>2015-19</x:v>
      </x:c>
      <x:c r="C1123" s="2" t="str">
        <x:v>NCT03208933</x:v>
      </x:c>
      <x:c r="D1123" s="2" t="str">
        <x:v>Hoffmann-La Roche</x:v>
      </x:c>
      <x:c r="E1123" s="2" t="n">
        <x:v>0</x:v>
      </x:c>
      <x:c r="F1123" s="2" t="str">
        <x:v>https://clinicaltrials.gov/study/NCT03208933</x:v>
      </x:c>
      <x:c r="G112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24" ht="23" customHeight="1">
      <x:c r="A1124" s="2" t="str">
        <x:v>Roche</x:v>
      </x:c>
      <x:c r="B1124" s="2" t="str">
        <x:v>2015-19</x:v>
      </x:c>
      <x:c r="C1124" s="2" t="str">
        <x:v>NCT02563054</x:v>
      </x:c>
      <x:c r="D1124" s="2" t="str">
        <x:v>Hoffmann-La Roche</x:v>
      </x:c>
      <x:c r="E1124" s="2" t="n">
        <x:v>0</x:v>
      </x:c>
      <x:c r="F1124" s="2" t="str">
        <x:v>https://clinicaltrials.gov/study/NCT02563054</x:v>
      </x:c>
      <x:c r="G112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25" ht="23" customHeight="1">
      <x:c r="A1125" s="2" t="str">
        <x:v>Roche</x:v>
      </x:c>
      <x:c r="B1125" s="2" t="str">
        <x:v>2015-19</x:v>
      </x:c>
      <x:c r="C1125" s="2" t="str">
        <x:v>NCT02688985</x:v>
      </x:c>
      <x:c r="D1125" s="2" t="str">
        <x:v>Genentech, Inc.</x:v>
      </x:c>
      <x:c r="E1125" s="2" t="n">
        <x:v>0</x:v>
      </x:c>
      <x:c r="F1125" s="2" t="str">
        <x:v>https://clinicaltrials.gov/study/NCT02688985</x:v>
      </x:c>
      <x:c r="G112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26" ht="23" customHeight="1">
      <x:c r="A1126" s="2" t="str">
        <x:v>Roche</x:v>
      </x:c>
      <x:c r="B1126" s="2" t="str">
        <x:v>2015-19</x:v>
      </x:c>
      <x:c r="C1126" s="2" t="str">
        <x:v>NCT02486718</x:v>
      </x:c>
      <x:c r="D1126" s="2" t="str">
        <x:v>Hoffmann-La Roche</x:v>
      </x:c>
      <x:c r="E1126" s="2" t="n">
        <x:v>0</x:v>
      </x:c>
      <x:c r="F1126" s="2" t="str">
        <x:v>https://clinicaltrials.gov/study/NCT02486718</x:v>
      </x:c>
      <x:c r="G112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27" ht="23" customHeight="1">
      <x:c r="A1127" s="2" t="str">
        <x:v>Roche</x:v>
      </x:c>
      <x:c r="B1127" s="2" t="str">
        <x:v>2015-19</x:v>
      </x:c>
      <x:c r="C1127" s="2" t="str">
        <x:v>NCT03371017</x:v>
      </x:c>
      <x:c r="D1127" s="2" t="str">
        <x:v>Hoffmann-La Roche</x:v>
      </x:c>
      <x:c r="E1127" s="2" t="n">
        <x:v>0</x:v>
      </x:c>
      <x:c r="F1127" s="2" t="str">
        <x:v>https://clinicaltrials.gov/study/NCT03371017</x:v>
      </x:c>
      <x:c r="G112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28" ht="23" customHeight="1">
      <x:c r="A1128" s="2" t="str">
        <x:v>Roche</x:v>
      </x:c>
      <x:c r="B1128" s="2" t="str">
        <x:v>2015-19</x:v>
      </x:c>
      <x:c r="C1128" s="2" t="str">
        <x:v>NCT02367794</x:v>
      </x:c>
      <x:c r="D1128" s="2" t="str">
        <x:v>Hoffmann-La Roche</x:v>
      </x:c>
      <x:c r="E1128" s="2" t="n">
        <x:v>0</x:v>
      </x:c>
      <x:c r="F1128" s="2" t="str">
        <x:v>https://clinicaltrials.gov/study/NCT02367794</x:v>
      </x:c>
      <x:c r="G112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29" ht="23" customHeight="1">
      <x:c r="A1129" s="2" t="str">
        <x:v>Roche</x:v>
      </x:c>
      <x:c r="B1129" s="2" t="str">
        <x:v>2015-19</x:v>
      </x:c>
      <x:c r="C1129" s="2" t="str">
        <x:v>NCT02450331</x:v>
      </x:c>
      <x:c r="D1129" s="2" t="str">
        <x:v>Hoffmann-La Roche</x:v>
      </x:c>
      <x:c r="E1129" s="2" t="n">
        <x:v>0</x:v>
      </x:c>
      <x:c r="F1129" s="2" t="str">
        <x:v>https://clinicaltrials.gov/study/NCT02450331</x:v>
      </x:c>
      <x:c r="G112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30" ht="23" customHeight="1">
      <x:c r="A1130" s="2" t="str">
        <x:v>Roche</x:v>
      </x:c>
      <x:c r="B1130" s="2" t="str">
        <x:v>2015-19</x:v>
      </x:c>
      <x:c r="C1130" s="2" t="str">
        <x:v>NCT03114657</x:v>
      </x:c>
      <x:c r="D1130" s="2" t="str">
        <x:v>Hoffmann-La Roche</x:v>
      </x:c>
      <x:c r="E1130" s="2" t="n">
        <x:v>0</x:v>
      </x:c>
      <x:c r="F1130" s="2" t="str">
        <x:v>https://clinicaltrials.gov/study/NCT03114657</x:v>
      </x:c>
      <x:c r="G113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31" ht="23" customHeight="1">
      <x:c r="A1131" s="2" t="str">
        <x:v>Roche</x:v>
      </x:c>
      <x:c r="B1131" s="2" t="str">
        <x:v>2015-19</x:v>
      </x:c>
      <x:c r="C1131" s="2" t="str">
        <x:v>NCT02838420</x:v>
      </x:c>
      <x:c r="D1131" s="2" t="str">
        <x:v>Hoffmann-La Roche</x:v>
      </x:c>
      <x:c r="E1131" s="2" t="n">
        <x:v>0</x:v>
      </x:c>
      <x:c r="F1131" s="2" t="str">
        <x:v>https://clinicaltrials.gov/study/NCT02838420</x:v>
      </x:c>
      <x:c r="G113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32" ht="23" customHeight="1">
      <x:c r="A1132" s="2" t="str">
        <x:v>Roche</x:v>
      </x:c>
      <x:c r="B1132" s="2" t="str">
        <x:v>2015-19</x:v>
      </x:c>
      <x:c r="C1132" s="2" t="str">
        <x:v>NCT03456076</x:v>
      </x:c>
      <x:c r="D1132" s="2" t="str">
        <x:v>Hoffmann-La Roche</x:v>
      </x:c>
      <x:c r="E1132" s="2" t="n">
        <x:v>0</x:v>
      </x:c>
      <x:c r="F1132" s="2" t="str">
        <x:v>https://clinicaltrials.gov/study/NCT03456076</x:v>
      </x:c>
      <x:c r="G113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33" ht="23" customHeight="1">
      <x:c r="A1133" s="2" t="str">
        <x:v>Roche</x:v>
      </x:c>
      <x:c r="B1133" s="2" t="str">
        <x:v>2015-19</x:v>
      </x:c>
      <x:c r="C1133" s="2" t="str">
        <x:v>NCT04028050</x:v>
      </x:c>
      <x:c r="D1133" s="2" t="str">
        <x:v>Hoffmann-La Roche</x:v>
      </x:c>
      <x:c r="E1133" s="2" t="n">
        <x:v>0</x:v>
      </x:c>
      <x:c r="F1133" s="2" t="str">
        <x:v>https://clinicaltrials.gov/study/NCT04028050</x:v>
      </x:c>
      <x:c r="G113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34" ht="23" customHeight="1">
      <x:c r="A1134" s="2" t="str">
        <x:v>Roche</x:v>
      </x:c>
      <x:c r="B1134" s="2" t="str">
        <x:v>2015-19</x:v>
      </x:c>
      <x:c r="C1134" s="2" t="str">
        <x:v>NCT02569996</x:v>
      </x:c>
      <x:c r="D1134" s="2" t="str">
        <x:v>Hoffmann-La Roche</x:v>
      </x:c>
      <x:c r="E1134" s="2" t="n">
        <x:v>0</x:v>
      </x:c>
      <x:c r="F1134" s="2" t="str">
        <x:v>https://clinicaltrials.gov/study/NCT02569996</x:v>
      </x:c>
      <x:c r="G113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35" ht="23" customHeight="1">
      <x:c r="A1135" s="2" t="str">
        <x:v>Roche</x:v>
      </x:c>
      <x:c r="B1135" s="2" t="str">
        <x:v>2015-19</x:v>
      </x:c>
      <x:c r="C1135" s="2" t="str">
        <x:v>NCT02367781</x:v>
      </x:c>
      <x:c r="D1135" s="2" t="str">
        <x:v>Hoffmann-La Roche</x:v>
      </x:c>
      <x:c r="E1135" s="2" t="n">
        <x:v>0</x:v>
      </x:c>
      <x:c r="F1135" s="2" t="str">
        <x:v>https://clinicaltrials.gov/study/NCT02367781</x:v>
      </x:c>
      <x:c r="G113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36" ht="23" customHeight="1">
      <x:c r="A1136" s="2" t="str">
        <x:v>Roche</x:v>
      </x:c>
      <x:c r="B1136" s="2" t="str">
        <x:v>2015-19</x:v>
      </x:c>
      <x:c r="C1136" s="2" t="str">
        <x:v>NCT03444870</x:v>
      </x:c>
      <x:c r="D1136" s="2" t="str">
        <x:v>Hoffmann-La Roche</x:v>
      </x:c>
      <x:c r="E1136" s="2" t="n">
        <x:v>0</x:v>
      </x:c>
      <x:c r="F1136" s="2" t="str">
        <x:v>https://clinicaltrials.gov/study/NCT03444870</x:v>
      </x:c>
      <x:c r="G113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37" ht="23" customHeight="1">
      <x:c r="A1137" s="2" t="str">
        <x:v>Roche</x:v>
      </x:c>
      <x:c r="B1137" s="2" t="str">
        <x:v>2015-19</x:v>
      </x:c>
      <x:c r="C1137" s="2" t="str">
        <x:v>NCT02637856</x:v>
      </x:c>
      <x:c r="D1137" s="2" t="str">
        <x:v>Genentech, Inc.</x:v>
      </x:c>
      <x:c r="E1137" s="2" t="n">
        <x:v>0</x:v>
      </x:c>
      <x:c r="F1137" s="2" t="str">
        <x:v>https://clinicaltrials.gov/study/NCT02637856</x:v>
      </x:c>
      <x:c r="G113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38" ht="23" customHeight="1">
      <x:c r="A1138" s="2" t="str">
        <x:v>Roche</x:v>
      </x:c>
      <x:c r="B1138" s="2" t="str">
        <x:v>2015-19</x:v>
      </x:c>
      <x:c r="C1138" s="2" t="str">
        <x:v>NCT03629184</x:v>
      </x:c>
      <x:c r="D1138" s="2" t="str">
        <x:v>Hoffmann-La Roche</x:v>
      </x:c>
      <x:c r="E1138" s="2" t="n">
        <x:v>0</x:v>
      </x:c>
      <x:c r="F1138" s="2" t="str">
        <x:v>https://clinicaltrials.gov/study/NCT03629184</x:v>
      </x:c>
      <x:c r="G113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39" ht="23" customHeight="1">
      <x:c r="A1139" s="2" t="str">
        <x:v>Roche</x:v>
      </x:c>
      <x:c r="B1139" s="2" t="str">
        <x:v>2015-19</x:v>
      </x:c>
      <x:c r="C1139" s="2" t="str">
        <x:v>NCT02928406</x:v>
      </x:c>
      <x:c r="D1139" s="2" t="str">
        <x:v>Hoffmann-La Roche</x:v>
      </x:c>
      <x:c r="E1139" s="2" t="n">
        <x:v>1</x:v>
      </x:c>
      <x:c r="F1139" s="2" t="str">
        <x:v>https://clinicaltrials.gov/study/NCT02928406</x:v>
      </x:c>
      <x:c r="G113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40" ht="23" customHeight="1">
      <x:c r="A1140" s="2" t="str">
        <x:v>Roche</x:v>
      </x:c>
      <x:c r="B1140" s="2" t="str">
        <x:v>2015-19</x:v>
      </x:c>
      <x:c r="C1140" s="2" t="str">
        <x:v>NCT03768063</x:v>
      </x:c>
      <x:c r="D1140" s="2" t="str">
        <x:v>Hoffmann-La Roche</x:v>
      </x:c>
      <x:c r="E1140" s="2" t="n">
        <x:v>0</x:v>
      </x:c>
      <x:c r="F1140" s="2" t="str">
        <x:v>https://clinicaltrials.gov/study/NCT03768063</x:v>
      </x:c>
      <x:c r="G114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41" ht="23" customHeight="1">
      <x:c r="A1141" s="2" t="str">
        <x:v>Roche</x:v>
      </x:c>
      <x:c r="B1141" s="2" t="str">
        <x:v>2015-19</x:v>
      </x:c>
      <x:c r="C1141" s="2" t="str">
        <x:v>NCT02739594</x:v>
      </x:c>
      <x:c r="D1141" s="2" t="str">
        <x:v>Hoffmann-La Roche</x:v>
      </x:c>
      <x:c r="E1141" s="2" t="n">
        <x:v>0</x:v>
      </x:c>
      <x:c r="F1141" s="2" t="str">
        <x:v>https://clinicaltrials.gov/study/NCT02739594</x:v>
      </x:c>
      <x:c r="G114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42" ht="23" customHeight="1">
      <x:c r="A1142" s="2" t="str">
        <x:v>Roche</x:v>
      </x:c>
      <x:c r="B1142" s="2" t="str">
        <x:v>2015-19</x:v>
      </x:c>
      <x:c r="C1142" s="2" t="str">
        <x:v>NCT02716792</x:v>
      </x:c>
      <x:c r="D1142" s="2" t="str">
        <x:v>Hoffmann-La Roche</x:v>
      </x:c>
      <x:c r="E1142" s="2" t="n">
        <x:v>0</x:v>
      </x:c>
      <x:c r="F1142" s="2" t="str">
        <x:v>https://clinicaltrials.gov/study/NCT02716792</x:v>
      </x:c>
      <x:c r="G114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43" ht="23" customHeight="1">
      <x:c r="A1143" s="2" t="str">
        <x:v>Roche</x:v>
      </x:c>
      <x:c r="B1143" s="2" t="str">
        <x:v>2015-19</x:v>
      </x:c>
      <x:c r="C1143" s="2" t="str">
        <x:v>NCT02383589</x:v>
      </x:c>
      <x:c r="D1143" s="2" t="str">
        <x:v>Hoffmann-La Roche</x:v>
      </x:c>
      <x:c r="E1143" s="2" t="n">
        <x:v>0</x:v>
      </x:c>
      <x:c r="F1143" s="2" t="str">
        <x:v>https://clinicaltrials.gov/study/NCT02383589</x:v>
      </x:c>
      <x:c r="G114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44" ht="23" customHeight="1">
      <x:c r="A1144" s="2" t="str">
        <x:v>Roche</x:v>
      </x:c>
      <x:c r="B1144" s="2" t="str">
        <x:v>2015-19</x:v>
      </x:c>
      <x:c r="C1144" s="2" t="str">
        <x:v>NCT02561039</x:v>
      </x:c>
      <x:c r="D1144" s="2" t="str">
        <x:v>Hoffmann-La Roche</x:v>
      </x:c>
      <x:c r="E1144" s="2" t="n">
        <x:v>0</x:v>
      </x:c>
      <x:c r="F1144" s="2" t="str">
        <x:v>https://clinicaltrials.gov/study/NCT02561039</x:v>
      </x:c>
      <x:c r="G114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45" ht="23" customHeight="1">
      <x:c r="A1145" s="2" t="str">
        <x:v>Roche</x:v>
      </x:c>
      <x:c r="B1145" s="2" t="str">
        <x:v>2015-19</x:v>
      </x:c>
      <x:c r="C1145" s="2" t="str">
        <x:v>NCT02736721</x:v>
      </x:c>
      <x:c r="D1145" s="2" t="str">
        <x:v>Hoffmann-La Roche</x:v>
      </x:c>
      <x:c r="E1145" s="2" t="n">
        <x:v>0</x:v>
      </x:c>
      <x:c r="F1145" s="2" t="str">
        <x:v>https://clinicaltrials.gov/study/NCT02736721</x:v>
      </x:c>
      <x:c r="G114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46" ht="23" customHeight="1">
      <x:c r="A1146" s="2" t="str">
        <x:v>Roche</x:v>
      </x:c>
      <x:c r="B1146" s="2" t="str">
        <x:v>2015-19</x:v>
      </x:c>
      <x:c r="C1146" s="2" t="str">
        <x:v>NCT04191499</x:v>
      </x:c>
      <x:c r="D1146" s="2" t="str">
        <x:v>Hoffmann-La Roche</x:v>
      </x:c>
      <x:c r="E1146" s="2" t="n">
        <x:v>0</x:v>
      </x:c>
      <x:c r="F1146" s="2" t="str">
        <x:v>https://clinicaltrials.gov/study/NCT04191499</x:v>
      </x:c>
      <x:c r="G114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47" ht="23" customHeight="1">
      <x:c r="A1147" s="2" t="str">
        <x:v>Roche</x:v>
      </x:c>
      <x:c r="B1147" s="2" t="str">
        <x:v>2015-19</x:v>
      </x:c>
      <x:c r="C1147" s="2" t="str">
        <x:v>NCT03823287</x:v>
      </x:c>
      <x:c r="D1147" s="2" t="str">
        <x:v>Hoffmann-La Roche</x:v>
      </x:c>
      <x:c r="E1147" s="2" t="n">
        <x:v>0</x:v>
      </x:c>
      <x:c r="F1147" s="2" t="str">
        <x:v>https://clinicaltrials.gov/study/NCT03823287</x:v>
      </x:c>
      <x:c r="G114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48" ht="23" customHeight="1">
      <x:c r="A1148" s="2" t="str">
        <x:v>Roche</x:v>
      </x:c>
      <x:c r="B1148" s="2" t="str">
        <x:v>2015-19</x:v>
      </x:c>
      <x:c r="C1148" s="2" t="str">
        <x:v>NCT02366143</x:v>
      </x:c>
      <x:c r="D1148" s="2" t="str">
        <x:v>Hoffmann-La Roche</x:v>
      </x:c>
      <x:c r="E1148" s="2" t="n">
        <x:v>0</x:v>
      </x:c>
      <x:c r="F1148" s="2" t="str">
        <x:v>https://clinicaltrials.gov/study/NCT02366143</x:v>
      </x:c>
      <x:c r="G114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49" ht="23" customHeight="1">
      <x:c r="A1149" s="2" t="str">
        <x:v>Roche</x:v>
      </x:c>
      <x:c r="B1149" s="2" t="str">
        <x:v>2015-19</x:v>
      </x:c>
      <x:c r="C1149" s="2" t="str">
        <x:v>NCT03191786</x:v>
      </x:c>
      <x:c r="D1149" s="2" t="str">
        <x:v>Hoffmann-La Roche</x:v>
      </x:c>
      <x:c r="E1149" s="2" t="n">
        <x:v>1</x:v>
      </x:c>
      <x:c r="F1149" s="2" t="str">
        <x:v>https://clinicaltrials.gov/study/NCT03191786</x:v>
      </x:c>
      <x:c r="G114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50" ht="23" customHeight="1">
      <x:c r="A1150" s="2" t="str">
        <x:v>Roche</x:v>
      </x:c>
      <x:c r="B1150" s="2" t="str">
        <x:v>2015-19</x:v>
      </x:c>
      <x:c r="C1150" s="2" t="str">
        <x:v>NCT02545868</x:v>
      </x:c>
      <x:c r="D1150" s="2" t="str">
        <x:v>Hoffmann-La Roche</x:v>
      </x:c>
      <x:c r="E1150" s="2" t="n">
        <x:v>0</x:v>
      </x:c>
      <x:c r="F1150" s="2" t="str">
        <x:v>https://clinicaltrials.gov/study/NCT02545868</x:v>
      </x:c>
      <x:c r="G115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51" ht="23" customHeight="1">
      <x:c r="A1151" s="2" t="str">
        <x:v>Roche</x:v>
      </x:c>
      <x:c r="B1151" s="2" t="str">
        <x:v>2015-19</x:v>
      </x:c>
      <x:c r="C1151" s="2" t="str">
        <x:v>NCT02560974</x:v>
      </x:c>
      <x:c r="D1151" s="2" t="str">
        <x:v>Hoffmann-La Roche</x:v>
      </x:c>
      <x:c r="E1151" s="2" t="n">
        <x:v>0</x:v>
      </x:c>
      <x:c r="F1151" s="2" t="str">
        <x:v>https://clinicaltrials.gov/study/NCT02560974</x:v>
      </x:c>
      <x:c r="G115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52" ht="23" customHeight="1">
      <x:c r="A1152" s="2" t="str">
        <x:v>Roche</x:v>
      </x:c>
      <x:c r="B1152" s="2" t="str">
        <x:v>2015-19</x:v>
      </x:c>
      <x:c r="C1152" s="2" t="str">
        <x:v>NCT02767765</x:v>
      </x:c>
      <x:c r="D1152" s="2" t="str">
        <x:v>Hoffmann-La Roche</x:v>
      </x:c>
      <x:c r="E1152" s="2" t="n">
        <x:v>0</x:v>
      </x:c>
      <x:c r="F1152" s="2" t="str">
        <x:v>https://clinicaltrials.gov/study/NCT02767765</x:v>
      </x:c>
      <x:c r="G115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53" ht="23" customHeight="1">
      <x:c r="A1153" s="2" t="str">
        <x:v>Roche</x:v>
      </x:c>
      <x:c r="B1153" s="2" t="str">
        <x:v>2015-19</x:v>
      </x:c>
      <x:c r="C1153" s="2" t="str">
        <x:v>NCT02827266</x:v>
      </x:c>
      <x:c r="D1153" s="2" t="str">
        <x:v>Hoffmann-La Roche</x:v>
      </x:c>
      <x:c r="E1153" s="2" t="n">
        <x:v>0</x:v>
      </x:c>
      <x:c r="F1153" s="2" t="str">
        <x:v>https://clinicaltrials.gov/study/NCT02827266</x:v>
      </x:c>
      <x:c r="G115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54" ht="23" customHeight="1">
      <x:c r="A1154" s="2" t="str">
        <x:v>Roche</x:v>
      </x:c>
      <x:c r="B1154" s="2" t="str">
        <x:v>2015-19</x:v>
      </x:c>
      <x:c r="C1154" s="2" t="str">
        <x:v>NCT02733419</x:v>
      </x:c>
      <x:c r="D1154" s="2" t="str">
        <x:v>Hoffmann-La Roche</x:v>
      </x:c>
      <x:c r="E1154" s="2" t="n">
        <x:v>0</x:v>
      </x:c>
      <x:c r="F1154" s="2" t="str">
        <x:v>https://clinicaltrials.gov/study/NCT02733419</x:v>
      </x:c>
      <x:c r="G115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55" ht="23" customHeight="1">
      <x:c r="A1155" s="2" t="str">
        <x:v>Roche</x:v>
      </x:c>
      <x:c r="B1155" s="2" t="str">
        <x:v>2015-19</x:v>
      </x:c>
      <x:c r="C1155" s="2" t="str">
        <x:v>NCT02409355</x:v>
      </x:c>
      <x:c r="D1155" s="2" t="str">
        <x:v>Hoffmann-La Roche</x:v>
      </x:c>
      <x:c r="E1155" s="2" t="n">
        <x:v>0</x:v>
      </x:c>
      <x:c r="F1155" s="2" t="str">
        <x:v>https://clinicaltrials.gov/study/NCT02409355</x:v>
      </x:c>
      <x:c r="G115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56" ht="23" customHeight="1">
      <x:c r="A1156" s="2" t="str">
        <x:v>Roche</x:v>
      </x:c>
      <x:c r="B1156" s="2" t="str">
        <x:v>2015-19</x:v>
      </x:c>
      <x:c r="C1156" s="2" t="str">
        <x:v>NCT04182204</x:v>
      </x:c>
      <x:c r="D1156" s="2" t="str">
        <x:v>Hoffmann-La Roche</x:v>
      </x:c>
      <x:c r="E1156" s="2" t="n">
        <x:v>1</x:v>
      </x:c>
      <x:c r="F1156" s="2" t="str">
        <x:v>https://clinicaltrials.gov/study/NCT04182204</x:v>
      </x:c>
      <x:c r="G115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57" ht="23" customHeight="1">
      <x:c r="A1157" s="2" t="str">
        <x:v>Roche</x:v>
      </x:c>
      <x:c r="B1157" s="2" t="str">
        <x:v>2015-19</x:v>
      </x:c>
      <x:c r="C1157" s="2" t="str">
        <x:v>NCT03823300</x:v>
      </x:c>
      <x:c r="D1157" s="2" t="str">
        <x:v>Hoffmann-La Roche</x:v>
      </x:c>
      <x:c r="E1157" s="2" t="n">
        <x:v>0</x:v>
      </x:c>
      <x:c r="F1157" s="2" t="str">
        <x:v>https://clinicaltrials.gov/study/NCT03823300</x:v>
      </x:c>
      <x:c r="G115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58" ht="23" customHeight="1">
      <x:c r="A1158" s="2" t="str">
        <x:v>Roche</x:v>
      </x:c>
      <x:c r="B1158" s="2" t="str">
        <x:v>2015-19</x:v>
      </x:c>
      <x:c r="C1158" s="2" t="str">
        <x:v>NCT03677934</x:v>
      </x:c>
      <x:c r="D1158" s="2" t="str">
        <x:v>Hoffmann-La Roche</x:v>
      </x:c>
      <x:c r="E1158" s="2" t="n">
        <x:v>0</x:v>
      </x:c>
      <x:c r="F1158" s="2" t="str">
        <x:v>https://clinicaltrials.gov/study/NCT03677934</x:v>
      </x:c>
      <x:c r="G115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59" ht="23" customHeight="1">
      <x:c r="A1159" s="2" t="str">
        <x:v>Roche</x:v>
      </x:c>
      <x:c r="B1159" s="2" t="str">
        <x:v>2015-19</x:v>
      </x:c>
      <x:c r="C1159" s="2" t="str">
        <x:v>NCT03693573</x:v>
      </x:c>
      <x:c r="D1159" s="2" t="str">
        <x:v>Hoffmann-La Roche</x:v>
      </x:c>
      <x:c r="E1159" s="2" t="n">
        <x:v>0</x:v>
      </x:c>
      <x:c r="F1159" s="2" t="str">
        <x:v>https://clinicaltrials.gov/study/NCT03693573</x:v>
      </x:c>
      <x:c r="G115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60" ht="23" customHeight="1">
      <x:c r="A1160" s="2" t="str">
        <x:v>Roche</x:v>
      </x:c>
      <x:c r="B1160" s="2" t="str">
        <x:v>2015-19</x:v>
      </x:c>
      <x:c r="C1160" s="2" t="str">
        <x:v>NCT03735121</x:v>
      </x:c>
      <x:c r="D1160" s="2" t="str">
        <x:v>Hoffmann-La Roche</x:v>
      </x:c>
      <x:c r="E1160" s="2" t="n">
        <x:v>0</x:v>
      </x:c>
      <x:c r="F1160" s="2" t="str">
        <x:v>https://clinicaltrials.gov/study/NCT03735121</x:v>
      </x:c>
      <x:c r="G116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61" ht="23" customHeight="1">
      <x:c r="A1161" s="2" t="str">
        <x:v>Roche</x:v>
      </x:c>
      <x:c r="B1161" s="2" t="str">
        <x:v>2015-19</x:v>
      </x:c>
      <x:c r="C1161" s="2" t="str">
        <x:v>NCT02896855</x:v>
      </x:c>
      <x:c r="D1161" s="2" t="str">
        <x:v>Hoffmann-La Roche</x:v>
      </x:c>
      <x:c r="E1161" s="2" t="n">
        <x:v>0</x:v>
      </x:c>
      <x:c r="F1161" s="2" t="str">
        <x:v>https://clinicaltrials.gov/study/NCT02896855</x:v>
      </x:c>
      <x:c r="G116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62" ht="23" customHeight="1">
      <x:c r="A1162" s="2" t="str">
        <x:v>Roche</x:v>
      </x:c>
      <x:c r="B1162" s="2" t="str">
        <x:v>2015-19</x:v>
      </x:c>
      <x:c r="C1162" s="2" t="str">
        <x:v>NCT03039686</x:v>
      </x:c>
      <x:c r="D1162" s="2" t="str">
        <x:v>Hoffmann-La Roche</x:v>
      </x:c>
      <x:c r="E1162" s="2" t="n">
        <x:v>0</x:v>
      </x:c>
      <x:c r="F1162" s="2" t="str">
        <x:v>https://clinicaltrials.gov/study/NCT03039686</x:v>
      </x:c>
      <x:c r="G116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63" ht="23" customHeight="1">
      <x:c r="A1163" s="2" t="str">
        <x:v>Roche</x:v>
      </x:c>
      <x:c r="B1163" s="2" t="str">
        <x:v>2015-19</x:v>
      </x:c>
      <x:c r="C1163" s="2" t="str">
        <x:v>NCT03443973</x:v>
      </x:c>
      <x:c r="D1163" s="2" t="str">
        <x:v>Hoffmann-La Roche</x:v>
      </x:c>
      <x:c r="E1163" s="2" t="n">
        <x:v>0</x:v>
      </x:c>
      <x:c r="F1163" s="2" t="str">
        <x:v>https://clinicaltrials.gov/study/NCT03443973</x:v>
      </x:c>
      <x:c r="G116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64" ht="23" customHeight="1">
      <x:c r="A1164" s="2" t="str">
        <x:v>Roche</x:v>
      </x:c>
      <x:c r="B1164" s="2" t="str">
        <x:v>2015-19</x:v>
      </x:c>
      <x:c r="C1164" s="2" t="str">
        <x:v>NCT04024462</x:v>
      </x:c>
      <x:c r="D1164" s="2" t="str">
        <x:v>Hoffmann-La Roche</x:v>
      </x:c>
      <x:c r="E1164" s="2" t="n">
        <x:v>0</x:v>
      </x:c>
      <x:c r="F1164" s="2" t="str">
        <x:v>https://clinicaltrials.gov/study/NCT04024462</x:v>
      </x:c>
      <x:c r="G116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65" ht="23" customHeight="1">
      <x:c r="A1165" s="2" t="str">
        <x:v>Roche</x:v>
      </x:c>
      <x:c r="B1165" s="2" t="str">
        <x:v>2015-19</x:v>
      </x:c>
      <x:c r="C1165" s="2" t="str">
        <x:v>NCT04035005</x:v>
      </x:c>
      <x:c r="D1165" s="2" t="str">
        <x:v>Hoffmann-La Roche</x:v>
      </x:c>
      <x:c r="E1165" s="2" t="n">
        <x:v>0</x:v>
      </x:c>
      <x:c r="F1165" s="2" t="str">
        <x:v>https://clinicaltrials.gov/study/NCT04035005</x:v>
      </x:c>
      <x:c r="G1165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66" ht="23" customHeight="1">
      <x:c r="A1166" s="2" t="str">
        <x:v>Roche</x:v>
      </x:c>
      <x:c r="B1166" s="2" t="str">
        <x:v>2015-19</x:v>
      </x:c>
      <x:c r="C1166" s="2" t="str">
        <x:v>NCT02425891</x:v>
      </x:c>
      <x:c r="D1166" s="2" t="str">
        <x:v>Hoffmann-La Roche</x:v>
      </x:c>
      <x:c r="E1166" s="2" t="n">
        <x:v>0</x:v>
      </x:c>
      <x:c r="F1166" s="2" t="str">
        <x:v>https://clinicaltrials.gov/study/NCT02425891</x:v>
      </x:c>
      <x:c r="G1166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67" ht="23" customHeight="1">
      <x:c r="A1167" s="2" t="str">
        <x:v>Roche</x:v>
      </x:c>
      <x:c r="B1167" s="2" t="str">
        <x:v>2015-19</x:v>
      </x:c>
      <x:c r="C1167" s="2" t="str">
        <x:v>NCT03622593</x:v>
      </x:c>
      <x:c r="D1167" s="2" t="str">
        <x:v>Hoffmann-La Roche</x:v>
      </x:c>
      <x:c r="E1167" s="2" t="n">
        <x:v>0</x:v>
      </x:c>
      <x:c r="F1167" s="2" t="str">
        <x:v>https://clinicaltrials.gov/study/NCT03622593</x:v>
      </x:c>
      <x:c r="G1167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68" ht="23" customHeight="1">
      <x:c r="A1168" s="2" t="str">
        <x:v>Roche</x:v>
      </x:c>
      <x:c r="B1168" s="2" t="str">
        <x:v>2015-19</x:v>
      </x:c>
      <x:c r="C1168" s="2" t="str">
        <x:v>NCT02686619</x:v>
      </x:c>
      <x:c r="D1168" s="2" t="str">
        <x:v>Hoffmann-La Roche</x:v>
      </x:c>
      <x:c r="E1168" s="2" t="n">
        <x:v>0</x:v>
      </x:c>
      <x:c r="F1168" s="2" t="str">
        <x:v>https://clinicaltrials.gov/study/NCT02686619</x:v>
      </x:c>
      <x:c r="G1168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69" ht="23" customHeight="1">
      <x:c r="A1169" s="2" t="str">
        <x:v>Roche</x:v>
      </x:c>
      <x:c r="B1169" s="2" t="str">
        <x:v>2015-19</x:v>
      </x:c>
      <x:c r="C1169" s="2" t="str">
        <x:v>NCT02657434</x:v>
      </x:c>
      <x:c r="D1169" s="2" t="str">
        <x:v>Hoffmann-La Roche</x:v>
      </x:c>
      <x:c r="E1169" s="2" t="n">
        <x:v>0</x:v>
      </x:c>
      <x:c r="F1169" s="2" t="str">
        <x:v>https://clinicaltrials.gov/study/NCT02657434</x:v>
      </x:c>
      <x:c r="G1169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70" ht="23" customHeight="1">
      <x:c r="A1170" s="2" t="str">
        <x:v>Roche</x:v>
      </x:c>
      <x:c r="B1170" s="2" t="str">
        <x:v>2015-19</x:v>
      </x:c>
      <x:c r="C1170" s="2" t="str">
        <x:v>NCT02829775</x:v>
      </x:c>
      <x:c r="D1170" s="2" t="str">
        <x:v>Hoffmann-La Roche</x:v>
      </x:c>
      <x:c r="E1170" s="2" t="n">
        <x:v>1</x:v>
      </x:c>
      <x:c r="F1170" s="2" t="str">
        <x:v>https://clinicaltrials.gov/study/NCT02829775</x:v>
      </x:c>
      <x:c r="G1170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71" ht="23" customHeight="1">
      <x:c r="A1171" s="2" t="str">
        <x:v>Roche</x:v>
      </x:c>
      <x:c r="B1171" s="2" t="str">
        <x:v>2015-19</x:v>
      </x:c>
      <x:c r="C1171" s="2" t="str">
        <x:v>NCT02807636</x:v>
      </x:c>
      <x:c r="D1171" s="2" t="str">
        <x:v>Hoffmann-La Roche</x:v>
      </x:c>
      <x:c r="E1171" s="2" t="n">
        <x:v>0</x:v>
      </x:c>
      <x:c r="F1171" s="2" t="str">
        <x:v>https://clinicaltrials.gov/study/NCT02807636</x:v>
      </x:c>
      <x:c r="G1171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72" ht="23" customHeight="1">
      <x:c r="A1172" s="2" t="str">
        <x:v>Roche</x:v>
      </x:c>
      <x:c r="B1172" s="2" t="str">
        <x:v>2015-19</x:v>
      </x:c>
      <x:c r="C1172" s="2" t="str">
        <x:v>NCT03274492</x:v>
      </x:c>
      <x:c r="D1172" s="2" t="str">
        <x:v>Hoffmann-La Roche</x:v>
      </x:c>
      <x:c r="E1172" s="2" t="n">
        <x:v>0</x:v>
      </x:c>
      <x:c r="F1172" s="2" t="str">
        <x:v>https://clinicaltrials.gov/study/NCT03274492</x:v>
      </x:c>
      <x:c r="G1172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73" ht="23" customHeight="1">
      <x:c r="A1173" s="2" t="str">
        <x:v>Roche</x:v>
      </x:c>
      <x:c r="B1173" s="2" t="str">
        <x:v>2015-19</x:v>
      </x:c>
      <x:c r="C1173" s="2" t="str">
        <x:v>NCT03452137</x:v>
      </x:c>
      <x:c r="D1173" s="2" t="str">
        <x:v>Hoffmann-La Roche</x:v>
      </x:c>
      <x:c r="E1173" s="2" t="n">
        <x:v>1</x:v>
      </x:c>
      <x:c r="F1173" s="2" t="str">
        <x:v>https://clinicaltrials.gov/study/NCT03452137</x:v>
      </x:c>
      <x:c r="G1173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74" ht="23" customHeight="1">
      <x:c r="A1174" s="2" t="str">
        <x:v>Roche</x:v>
      </x:c>
      <x:c r="B1174" s="2" t="str">
        <x:v>2015-19</x:v>
      </x:c>
      <x:c r="C1174" s="2" t="str">
        <x:v>NCT02908672</x:v>
      </x:c>
      <x:c r="D1174" s="2" t="str">
        <x:v>Hoffmann-La Roche</x:v>
      </x:c>
      <x:c r="E1174" s="2" t="n">
        <x:v>0</x:v>
      </x:c>
      <x:c r="F1174" s="2" t="str">
        <x:v>https://clinicaltrials.gov/study/NCT02908672</x:v>
      </x:c>
      <x:c r="G1174" s="2" t="str">
        <x:v>https://clinicaltrials.gov/api/v2/studies?filter.advanced=AREA%5BStudyFirstPostDate%5DRANGE%5B2015-01-01%2C2019-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75" ht="23" customHeight="1">
      <x:c r="A1175" s="2" t="str">
        <x:v>Roche</x:v>
      </x:c>
      <x:c r="B1175" s="2" t="str">
        <x:v>2021-25</x:v>
      </x:c>
      <x:c r="C1175" s="2" t="str">
        <x:v>NCT04740931</x:v>
      </x:c>
      <x:c r="D1175" s="2" t="str">
        <x:v>Hoffmann-La Roche</x:v>
      </x:c>
      <x:c r="E1175" s="2" t="n">
        <x:v>0</x:v>
      </x:c>
      <x:c r="F1175" s="2" t="str">
        <x:v>https://clinicaltrials.gov/study/NCT04740931</x:v>
      </x:c>
      <x:c r="G117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76" ht="23" customHeight="1">
      <x:c r="A1176" s="2" t="str">
        <x:v>Roche</x:v>
      </x:c>
      <x:c r="B1176" s="2" t="str">
        <x:v>2021-25</x:v>
      </x:c>
      <x:c r="C1176" s="2" t="str">
        <x:v>NCT06094010</x:v>
      </x:c>
      <x:c r="D1176" s="2" t="str">
        <x:v>Hoffmann-La Roche</x:v>
      </x:c>
      <x:c r="E1176" s="2" t="n">
        <x:v>0</x:v>
      </x:c>
      <x:c r="F1176" s="2" t="str">
        <x:v>https://clinicaltrials.gov/study/NCT06094010</x:v>
      </x:c>
      <x:c r="G117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77" ht="23" customHeight="1">
      <x:c r="A1177" s="2" t="str">
        <x:v>Roche</x:v>
      </x:c>
      <x:c r="B1177" s="2" t="str">
        <x:v>2021-25</x:v>
      </x:c>
      <x:c r="C1177" s="2" t="str">
        <x:v>NCT06106828</x:v>
      </x:c>
      <x:c r="D1177" s="2" t="str">
        <x:v>Hoffmann-La Roche</x:v>
      </x:c>
      <x:c r="E1177" s="2" t="n">
        <x:v>0</x:v>
      </x:c>
      <x:c r="F1177" s="2" t="str">
        <x:v>https://clinicaltrials.gov/study/NCT06106828</x:v>
      </x:c>
      <x:c r="G117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78" ht="23" customHeight="1">
      <x:c r="A1178" s="2" t="str">
        <x:v>Roche</x:v>
      </x:c>
      <x:c r="B1178" s="2" t="str">
        <x:v>2021-25</x:v>
      </x:c>
      <x:c r="C1178" s="2" t="str">
        <x:v>NCT07169578</x:v>
      </x:c>
      <x:c r="D1178" s="2" t="str">
        <x:v>Hoffmann-La Roche</x:v>
      </x:c>
      <x:c r="E1178" s="2" t="n">
        <x:v>0</x:v>
      </x:c>
      <x:c r="F1178" s="2" t="str">
        <x:v>https://clinicaltrials.gov/study/NCT07169578</x:v>
      </x:c>
      <x:c r="G117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79" ht="23" customHeight="1">
      <x:c r="A1179" s="2" t="str">
        <x:v>Roche</x:v>
      </x:c>
      <x:c r="B1179" s="2" t="str">
        <x:v>2021-25</x:v>
      </x:c>
      <x:c r="C1179" s="2" t="str">
        <x:v>NCT07174310</x:v>
      </x:c>
      <x:c r="D1179" s="2" t="str">
        <x:v>Hoffmann-La Roche</x:v>
      </x:c>
      <x:c r="E1179" s="2" t="n">
        <x:v>0</x:v>
      </x:c>
      <x:c r="F1179" s="2" t="str">
        <x:v>https://clinicaltrials.gov/study/NCT07174310</x:v>
      </x:c>
      <x:c r="G117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80" ht="23" customHeight="1">
      <x:c r="A1180" s="2" t="str">
        <x:v>Roche</x:v>
      </x:c>
      <x:c r="B1180" s="2" t="str">
        <x:v>2021-25</x:v>
      </x:c>
      <x:c r="C1180" s="2" t="str">
        <x:v>NCT04712643</x:v>
      </x:c>
      <x:c r="D1180" s="2" t="str">
        <x:v>Hoffmann-La Roche</x:v>
      </x:c>
      <x:c r="E1180" s="2" t="n">
        <x:v>0</x:v>
      </x:c>
      <x:c r="F1180" s="2" t="str">
        <x:v>https://clinicaltrials.gov/study/NCT04712643</x:v>
      </x:c>
      <x:c r="G118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81" ht="23" customHeight="1">
      <x:c r="A1181" s="2" t="str">
        <x:v>Roche</x:v>
      </x:c>
      <x:c r="B1181" s="2" t="str">
        <x:v>2021-25</x:v>
      </x:c>
      <x:c r="C1181" s="2" t="str">
        <x:v>NCT06267001</x:v>
      </x:c>
      <x:c r="D1181" s="2" t="str">
        <x:v>Hoffmann-La Roche</x:v>
      </x:c>
      <x:c r="E1181" s="2" t="n">
        <x:v>0</x:v>
      </x:c>
      <x:c r="F1181" s="2" t="str">
        <x:v>https://clinicaltrials.gov/study/NCT06267001</x:v>
      </x:c>
      <x:c r="G118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82" ht="23" customHeight="1">
      <x:c r="A1182" s="2" t="str">
        <x:v>Roche</x:v>
      </x:c>
      <x:c r="B1182" s="2" t="str">
        <x:v>2021-25</x:v>
      </x:c>
      <x:c r="C1182" s="2" t="str">
        <x:v>NCT06819878</x:v>
      </x:c>
      <x:c r="D1182" s="2" t="str">
        <x:v>Hoffmann-La Roche</x:v>
      </x:c>
      <x:c r="E1182" s="2" t="n">
        <x:v>1</x:v>
      </x:c>
      <x:c r="F1182" s="2" t="str">
        <x:v>https://clinicaltrials.gov/study/NCT06819878</x:v>
      </x:c>
      <x:c r="G118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83" ht="23" customHeight="1">
      <x:c r="A1183" s="2" t="str">
        <x:v>Roche</x:v>
      </x:c>
      <x:c r="B1183" s="2" t="str">
        <x:v>2021-25</x:v>
      </x:c>
      <x:c r="C1183" s="2" t="str">
        <x:v>NCT05047250</x:v>
      </x:c>
      <x:c r="D1183" s="2" t="str">
        <x:v>Hoffmann-La Roche</x:v>
      </x:c>
      <x:c r="E1183" s="2" t="n">
        <x:v>0</x:v>
      </x:c>
      <x:c r="F1183" s="2" t="str">
        <x:v>https://clinicaltrials.gov/study/NCT05047250</x:v>
      </x:c>
      <x:c r="G118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84" ht="23" customHeight="1">
      <x:c r="A1184" s="2" t="str">
        <x:v>Roche</x:v>
      </x:c>
      <x:c r="B1184" s="2" t="str">
        <x:v>2021-25</x:v>
      </x:c>
      <x:c r="C1184" s="2" t="str">
        <x:v>NCT06065748</x:v>
      </x:c>
      <x:c r="D1184" s="2" t="str">
        <x:v>Hoffmann-La Roche</x:v>
      </x:c>
      <x:c r="E1184" s="2" t="n">
        <x:v>1</x:v>
      </x:c>
      <x:c r="F1184" s="2" t="str">
        <x:v>https://clinicaltrials.gov/study/NCT06065748</x:v>
      </x:c>
      <x:c r="G118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85" ht="23" customHeight="1">
      <x:c r="A1185" s="2" t="str">
        <x:v>Roche</x:v>
      </x:c>
      <x:c r="B1185" s="2" t="str">
        <x:v>2021-25</x:v>
      </x:c>
      <x:c r="C1185" s="2" t="str">
        <x:v>NCT05171647</x:v>
      </x:c>
      <x:c r="D1185" s="2" t="str">
        <x:v>Hoffmann-La Roche</x:v>
      </x:c>
      <x:c r="E1185" s="2" t="n">
        <x:v>0</x:v>
      </x:c>
      <x:c r="F1185" s="2" t="str">
        <x:v>https://clinicaltrials.gov/study/NCT05171647</x:v>
      </x:c>
      <x:c r="G118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86" ht="23" customHeight="1">
      <x:c r="A1186" s="2" t="str">
        <x:v>Roche</x:v>
      </x:c>
      <x:c r="B1186" s="2" t="str">
        <x:v>2021-25</x:v>
      </x:c>
      <x:c r="C1186" s="2" t="str">
        <x:v>NCT05271409</x:v>
      </x:c>
      <x:c r="D1186" s="2" t="str">
        <x:v>Hoffmann-La Roche</x:v>
      </x:c>
      <x:c r="E1186" s="2" t="n">
        <x:v>0</x:v>
      </x:c>
      <x:c r="F1186" s="2" t="str">
        <x:v>https://clinicaltrials.gov/study/NCT05271409</x:v>
      </x:c>
      <x:c r="G118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87" ht="23" customHeight="1">
      <x:c r="A1187" s="2" t="str">
        <x:v>Roche</x:v>
      </x:c>
      <x:c r="B1187" s="2" t="str">
        <x:v>2021-25</x:v>
      </x:c>
      <x:c r="C1187" s="2" t="str">
        <x:v>NCT05415215</x:v>
      </x:c>
      <x:c r="D1187" s="2" t="str">
        <x:v>Hoffmann-La Roche</x:v>
      </x:c>
      <x:c r="E1187" s="2" t="n">
        <x:v>1</x:v>
      </x:c>
      <x:c r="F1187" s="2" t="str">
        <x:v>https://clinicaltrials.gov/study/NCT05415215</x:v>
      </x:c>
      <x:c r="G118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88" ht="23" customHeight="1">
      <x:c r="A1188" s="2" t="str">
        <x:v>Roche</x:v>
      </x:c>
      <x:c r="B1188" s="2" t="str">
        <x:v>2021-25</x:v>
      </x:c>
      <x:c r="C1188" s="2" t="str">
        <x:v>NCT05878769</x:v>
      </x:c>
      <x:c r="D1188" s="2" t="str">
        <x:v>Hoffmann-La Roche</x:v>
      </x:c>
      <x:c r="E1188" s="2" t="n">
        <x:v>1</x:v>
      </x:c>
      <x:c r="F1188" s="2" t="str">
        <x:v>https://clinicaltrials.gov/study/NCT05878769</x:v>
      </x:c>
      <x:c r="G118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89" ht="23" customHeight="1">
      <x:c r="A1189" s="2" t="str">
        <x:v>Roche</x:v>
      </x:c>
      <x:c r="B1189" s="2" t="str">
        <x:v>2021-25</x:v>
      </x:c>
      <x:c r="C1189" s="2" t="str">
        <x:v>NCT06589986</x:v>
      </x:c>
      <x:c r="D1189" s="2" t="str">
        <x:v>Hoffmann-La Roche</x:v>
      </x:c>
      <x:c r="E1189" s="2" t="n">
        <x:v>1</x:v>
      </x:c>
      <x:c r="F1189" s="2" t="str">
        <x:v>https://clinicaltrials.gov/study/NCT06589986</x:v>
      </x:c>
      <x:c r="G118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90" ht="23" customHeight="1">
      <x:c r="A1190" s="2" t="str">
        <x:v>Roche</x:v>
      </x:c>
      <x:c r="B1190" s="2" t="str">
        <x:v>2021-25</x:v>
      </x:c>
      <x:c r="C1190" s="2" t="str">
        <x:v>NCT06497556</x:v>
      </x:c>
      <x:c r="D1190" s="2" t="str">
        <x:v>Hoffmann-La Roche</x:v>
      </x:c>
      <x:c r="E1190" s="2" t="n">
        <x:v>0</x:v>
      </x:c>
      <x:c r="F1190" s="2" t="str">
        <x:v>https://clinicaltrials.gov/study/NCT06497556</x:v>
      </x:c>
      <x:c r="G119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91" ht="23" customHeight="1">
      <x:c r="A1191" s="2" t="str">
        <x:v>Roche</x:v>
      </x:c>
      <x:c r="B1191" s="2" t="str">
        <x:v>2021-25</x:v>
      </x:c>
      <x:c r="C1191" s="2" t="str">
        <x:v>NCT04712097</x:v>
      </x:c>
      <x:c r="D1191" s="2" t="str">
        <x:v>Hoffmann-La Roche</x:v>
      </x:c>
      <x:c r="E1191" s="2" t="n">
        <x:v>0</x:v>
      </x:c>
      <x:c r="F1191" s="2" t="str">
        <x:v>https://clinicaltrials.gov/study/NCT04712097</x:v>
      </x:c>
      <x:c r="G119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92" ht="23" customHeight="1">
      <x:c r="A1192" s="2" t="str">
        <x:v>Roche</x:v>
      </x:c>
      <x:c r="B1192" s="2" t="str">
        <x:v>2021-25</x:v>
      </x:c>
      <x:c r="C1192" s="2" t="str">
        <x:v>NCT05269004</x:v>
      </x:c>
      <x:c r="D1192" s="2" t="str">
        <x:v>Hoffmann-La Roche</x:v>
      </x:c>
      <x:c r="E1192" s="2" t="n">
        <x:v>0</x:v>
      </x:c>
      <x:c r="F1192" s="2" t="str">
        <x:v>https://clinicaltrials.gov/study/NCT05269004</x:v>
      </x:c>
      <x:c r="G119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93" ht="23" customHeight="1">
      <x:c r="A1193" s="2" t="str">
        <x:v>Roche</x:v>
      </x:c>
      <x:c r="B1193" s="2" t="str">
        <x:v>2021-25</x:v>
      </x:c>
      <x:c r="C1193" s="2" t="str">
        <x:v>NCT05562947</x:v>
      </x:c>
      <x:c r="D1193" s="2" t="str">
        <x:v>Hoffmann-La Roche</x:v>
      </x:c>
      <x:c r="E1193" s="2" t="n">
        <x:v>0</x:v>
      </x:c>
      <x:c r="F1193" s="2" t="str">
        <x:v>https://clinicaltrials.gov/study/NCT05562947</x:v>
      </x:c>
      <x:c r="G119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94" ht="23" customHeight="1">
      <x:c r="A1194" s="2" t="str">
        <x:v>Roche</x:v>
      </x:c>
      <x:c r="B1194" s="2" t="str">
        <x:v>2021-25</x:v>
      </x:c>
      <x:c r="C1194" s="2" t="str">
        <x:v>NCT06847542</x:v>
      </x:c>
      <x:c r="D1194" s="2" t="str">
        <x:v>Hoffmann-La Roche</x:v>
      </x:c>
      <x:c r="E1194" s="2" t="n">
        <x:v>0</x:v>
      </x:c>
      <x:c r="F1194" s="2" t="str">
        <x:v>https://clinicaltrials.gov/study/NCT06847542</x:v>
      </x:c>
      <x:c r="G119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95" ht="23" customHeight="1">
      <x:c r="A1195" s="2" t="str">
        <x:v>Roche</x:v>
      </x:c>
      <x:c r="B1195" s="2" t="str">
        <x:v>2021-25</x:v>
      </x:c>
      <x:c r="C1195" s="2" t="str">
        <x:v>NCT04740918</x:v>
      </x:c>
      <x:c r="D1195" s="2" t="str">
        <x:v>Hoffmann-La Roche</x:v>
      </x:c>
      <x:c r="E1195" s="2" t="n">
        <x:v>0</x:v>
      </x:c>
      <x:c r="F1195" s="2" t="str">
        <x:v>https://clinicaltrials.gov/study/NCT04740918</x:v>
      </x:c>
      <x:c r="G119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96" ht="23" customHeight="1">
      <x:c r="A1196" s="2" t="str">
        <x:v>Roche</x:v>
      </x:c>
      <x:c r="B1196" s="2" t="str">
        <x:v>2021-25</x:v>
      </x:c>
      <x:c r="C1196" s="2" t="str">
        <x:v>NCT04963296</x:v>
      </x:c>
      <x:c r="D1196" s="2" t="str">
        <x:v>Hoffmann-La Roche</x:v>
      </x:c>
      <x:c r="E1196" s="2" t="n">
        <x:v>0</x:v>
      </x:c>
      <x:c r="F1196" s="2" t="str">
        <x:v>https://clinicaltrials.gov/study/NCT04963296</x:v>
      </x:c>
      <x:c r="G119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97" ht="23" customHeight="1">
      <x:c r="A1197" s="2" t="str">
        <x:v>Roche</x:v>
      </x:c>
      <x:c r="B1197" s="2" t="str">
        <x:v>2021-25</x:v>
      </x:c>
      <x:c r="C1197" s="2" t="str">
        <x:v>NCT05232825</x:v>
      </x:c>
      <x:c r="D1197" s="2" t="str">
        <x:v>Hoffmann-La Roche</x:v>
      </x:c>
      <x:c r="E1197" s="2" t="n">
        <x:v>0</x:v>
      </x:c>
      <x:c r="F1197" s="2" t="str">
        <x:v>https://clinicaltrials.gov/study/NCT05232825</x:v>
      </x:c>
      <x:c r="G119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98" ht="23" customHeight="1">
      <x:c r="A1198" s="2" t="str">
        <x:v>Roche</x:v>
      </x:c>
      <x:c r="B1198" s="2" t="str">
        <x:v>2021-25</x:v>
      </x:c>
      <x:c r="C1198" s="2" t="str">
        <x:v>NCT04961996</x:v>
      </x:c>
      <x:c r="D1198" s="2" t="str">
        <x:v>Hoffmann-La Roche</x:v>
      </x:c>
      <x:c r="E1198" s="2" t="n">
        <x:v>1</x:v>
      </x:c>
      <x:c r="F1198" s="2" t="str">
        <x:v>https://clinicaltrials.gov/study/NCT04961996</x:v>
      </x:c>
      <x:c r="G119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199" ht="23" customHeight="1">
      <x:c r="A1199" s="2" t="str">
        <x:v>Roche</x:v>
      </x:c>
      <x:c r="B1199" s="2" t="str">
        <x:v>2021-25</x:v>
      </x:c>
      <x:c r="C1199" s="2" t="str">
        <x:v>NCT06793215</x:v>
      </x:c>
      <x:c r="D1199" s="2" t="str">
        <x:v>Hoffmann-La Roche</x:v>
      </x:c>
      <x:c r="E1199" s="2" t="n">
        <x:v>0</x:v>
      </x:c>
      <x:c r="F1199" s="2" t="str">
        <x:v>https://clinicaltrials.gov/study/NCT06793215</x:v>
      </x:c>
      <x:c r="G119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00" ht="23" customHeight="1">
      <x:c r="A1200" s="2" t="str">
        <x:v>Roche</x:v>
      </x:c>
      <x:c r="B1200" s="2" t="str">
        <x:v>2021-25</x:v>
      </x:c>
      <x:c r="C1200" s="2" t="str">
        <x:v>NCT05642325</x:v>
      </x:c>
      <x:c r="D1200" s="2" t="str">
        <x:v>Hoffmann-La Roche</x:v>
      </x:c>
      <x:c r="E1200" s="2" t="n">
        <x:v>1</x:v>
      </x:c>
      <x:c r="F1200" s="2" t="str">
        <x:v>https://clinicaltrials.gov/study/NCT05642325</x:v>
      </x:c>
      <x:c r="G120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01" ht="23" customHeight="1">
      <x:c r="A1201" s="2" t="str">
        <x:v>Roche</x:v>
      </x:c>
      <x:c r="B1201" s="2" t="str">
        <x:v>2021-25</x:v>
      </x:c>
      <x:c r="C1201" s="2" t="str">
        <x:v>NCT06774859</x:v>
      </x:c>
      <x:c r="D1201" s="2" t="str">
        <x:v>Hoffmann-La Roche</x:v>
      </x:c>
      <x:c r="E1201" s="2" t="n">
        <x:v>0</x:v>
      </x:c>
      <x:c r="F1201" s="2" t="str">
        <x:v>https://clinicaltrials.gov/study/NCT06774859</x:v>
      </x:c>
      <x:c r="G120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02" ht="23" customHeight="1">
      <x:c r="A1202" s="2" t="str">
        <x:v>Roche</x:v>
      </x:c>
      <x:c r="B1202" s="2" t="str">
        <x:v>2021-25</x:v>
      </x:c>
      <x:c r="C1202" s="2" t="str">
        <x:v>NCT04958265</x:v>
      </x:c>
      <x:c r="D1202" s="2" t="str">
        <x:v>Hoffmann-La Roche</x:v>
      </x:c>
      <x:c r="E1202" s="2" t="n">
        <x:v>1</x:v>
      </x:c>
      <x:c r="F1202" s="2" t="str">
        <x:v>https://clinicaltrials.gov/study/NCT04958265</x:v>
      </x:c>
      <x:c r="G120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03" ht="23" customHeight="1">
      <x:c r="A1203" s="2" t="str">
        <x:v>Roche</x:v>
      </x:c>
      <x:c r="B1203" s="2" t="str">
        <x:v>2021-25</x:v>
      </x:c>
      <x:c r="C1203" s="2" t="str">
        <x:v>NCT05503264</x:v>
      </x:c>
      <x:c r="D1203" s="2" t="str">
        <x:v>Hoffmann-La Roche</x:v>
      </x:c>
      <x:c r="E1203" s="2" t="n">
        <x:v>0</x:v>
      </x:c>
      <x:c r="F1203" s="2" t="str">
        <x:v>https://clinicaltrials.gov/study/NCT05503264</x:v>
      </x:c>
      <x:c r="G120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04" ht="23" customHeight="1">
      <x:c r="A1204" s="2" t="str">
        <x:v>Roche</x:v>
      </x:c>
      <x:c r="B1204" s="2" t="str">
        <x:v>2021-25</x:v>
      </x:c>
      <x:c r="C1204" s="2" t="str">
        <x:v>NCT05199688</x:v>
      </x:c>
      <x:c r="D1204" s="2" t="str">
        <x:v>Hoffmann-La Roche</x:v>
      </x:c>
      <x:c r="E1204" s="2" t="n">
        <x:v>0</x:v>
      </x:c>
      <x:c r="F1204" s="2" t="str">
        <x:v>https://clinicaltrials.gov/study/NCT05199688</x:v>
      </x:c>
      <x:c r="G120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05" ht="23" customHeight="1">
      <x:c r="A1205" s="2" t="str">
        <x:v>Roche</x:v>
      </x:c>
      <x:c r="B1205" s="2" t="str">
        <x:v>2021-25</x:v>
      </x:c>
      <x:c r="C1205" s="2" t="str">
        <x:v>NCT04732286</x:v>
      </x:c>
      <x:c r="D1205" s="2" t="str">
        <x:v>Hoffmann-La Roche</x:v>
      </x:c>
      <x:c r="E1205" s="2" t="n">
        <x:v>0</x:v>
      </x:c>
      <x:c r="F1205" s="2" t="str">
        <x:v>https://clinicaltrials.gov/study/NCT04732286</x:v>
      </x:c>
      <x:c r="G120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06" ht="23" customHeight="1">
      <x:c r="A1206" s="2" t="str">
        <x:v>Roche</x:v>
      </x:c>
      <x:c r="B1206" s="2" t="str">
        <x:v>2021-25</x:v>
      </x:c>
      <x:c r="C1206" s="2" t="str">
        <x:v>NCT06624059</x:v>
      </x:c>
      <x:c r="D1206" s="2" t="str">
        <x:v>Hoffmann-La Roche</x:v>
      </x:c>
      <x:c r="E1206" s="2" t="n">
        <x:v>0</x:v>
      </x:c>
      <x:c r="F1206" s="2" t="str">
        <x:v>https://clinicaltrials.gov/study/NCT06624059</x:v>
      </x:c>
      <x:c r="G120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07" ht="23" customHeight="1">
      <x:c r="A1207" s="2" t="str">
        <x:v>Roche</x:v>
      </x:c>
      <x:c r="B1207" s="2" t="str">
        <x:v>2021-25</x:v>
      </x:c>
      <x:c r="C1207" s="2" t="str">
        <x:v>NCT04873362</x:v>
      </x:c>
      <x:c r="D1207" s="2" t="str">
        <x:v>Hoffmann-La Roche</x:v>
      </x:c>
      <x:c r="E1207" s="2" t="n">
        <x:v>1</x:v>
      </x:c>
      <x:c r="F1207" s="2" t="str">
        <x:v>https://clinicaltrials.gov/study/NCT04873362</x:v>
      </x:c>
      <x:c r="G120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08" ht="23" customHeight="1">
      <x:c r="A1208" s="2" t="str">
        <x:v>Roche</x:v>
      </x:c>
      <x:c r="B1208" s="2" t="str">
        <x:v>2021-25</x:v>
      </x:c>
      <x:c r="C1208" s="2" t="str">
        <x:v>NCT05904886</x:v>
      </x:c>
      <x:c r="D1208" s="2" t="str">
        <x:v>Hoffmann-La Roche</x:v>
      </x:c>
      <x:c r="E1208" s="2" t="n">
        <x:v>0</x:v>
      </x:c>
      <x:c r="F1208" s="2" t="str">
        <x:v>https://clinicaltrials.gov/study/NCT05904886</x:v>
      </x:c>
      <x:c r="G120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09" ht="23" customHeight="1">
      <x:c r="A1209" s="2" t="str">
        <x:v>Roche</x:v>
      </x:c>
      <x:c r="B1209" s="2" t="str">
        <x:v>2021-25</x:v>
      </x:c>
      <x:c r="C1209" s="2" t="str">
        <x:v>NCT05646862</x:v>
      </x:c>
      <x:c r="D1209" s="2" t="str">
        <x:v>Hoffmann-La Roche</x:v>
      </x:c>
      <x:c r="E1209" s="2" t="n">
        <x:v>0</x:v>
      </x:c>
      <x:c r="F1209" s="2" t="str">
        <x:v>https://clinicaltrials.gov/study/NCT05646862</x:v>
      </x:c>
      <x:c r="G120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10" ht="23" customHeight="1">
      <x:c r="A1210" s="2" t="str">
        <x:v>Roche</x:v>
      </x:c>
      <x:c r="B1210" s="2" t="str">
        <x:v>2021-25</x:v>
      </x:c>
      <x:c r="C1210" s="2" t="str">
        <x:v>NCT06675955</x:v>
      </x:c>
      <x:c r="D1210" s="2" t="str">
        <x:v>Hoffmann-La Roche</x:v>
      </x:c>
      <x:c r="E1210" s="2" t="n">
        <x:v>0</x:v>
      </x:c>
      <x:c r="F1210" s="2" t="str">
        <x:v>https://clinicaltrials.gov/study/NCT06675955</x:v>
      </x:c>
      <x:c r="G121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11" ht="23" customHeight="1">
      <x:c r="A1211" s="2" t="str">
        <x:v>Roche</x:v>
      </x:c>
      <x:c r="B1211" s="2" t="str">
        <x:v>2021-25</x:v>
      </x:c>
      <x:c r="C1211" s="2" t="str">
        <x:v>NCT06588855</x:v>
      </x:c>
      <x:c r="D1211" s="2" t="str">
        <x:v>Hoffmann-La Roche</x:v>
      </x:c>
      <x:c r="E1211" s="2" t="n">
        <x:v>1</x:v>
      </x:c>
      <x:c r="F1211" s="2" t="str">
        <x:v>https://clinicaltrials.gov/study/NCT06588855</x:v>
      </x:c>
      <x:c r="G121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12" ht="23" customHeight="1">
      <x:c r="A1212" s="2" t="str">
        <x:v>Roche</x:v>
      </x:c>
      <x:c r="B1212" s="2" t="str">
        <x:v>2021-25</x:v>
      </x:c>
      <x:c r="C1212" s="2" t="str">
        <x:v>NCT05862285</x:v>
      </x:c>
      <x:c r="D1212" s="2" t="str">
        <x:v>Hoffmann-La Roche</x:v>
      </x:c>
      <x:c r="E1212" s="2" t="n">
        <x:v>0</x:v>
      </x:c>
      <x:c r="F1212" s="2" t="str">
        <x:v>https://clinicaltrials.gov/study/NCT05862285</x:v>
      </x:c>
      <x:c r="G121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13" ht="23" customHeight="1">
      <x:c r="A1213" s="2" t="str">
        <x:v>Roche</x:v>
      </x:c>
      <x:c r="B1213" s="2" t="str">
        <x:v>2021-25</x:v>
      </x:c>
      <x:c r="C1213" s="2" t="str">
        <x:v>NCT05797610</x:v>
      </x:c>
      <x:c r="D1213" s="2" t="str">
        <x:v>Hoffmann-La Roche</x:v>
      </x:c>
      <x:c r="E1213" s="2" t="n">
        <x:v>0</x:v>
      </x:c>
      <x:c r="F1213" s="2" t="str">
        <x:v>https://clinicaltrials.gov/study/NCT05797610</x:v>
      </x:c>
      <x:c r="G121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14" ht="23" customHeight="1">
      <x:c r="A1214" s="2" t="str">
        <x:v>Roche</x:v>
      </x:c>
      <x:c r="B1214" s="2" t="str">
        <x:v>2021-25</x:v>
      </x:c>
      <x:c r="C1214" s="2" t="str">
        <x:v>NCT05170204</x:v>
      </x:c>
      <x:c r="D1214" s="2" t="str">
        <x:v>Hoffmann-La Roche</x:v>
      </x:c>
      <x:c r="E1214" s="2" t="n">
        <x:v>0</x:v>
      </x:c>
      <x:c r="F1214" s="2" t="str">
        <x:v>https://clinicaltrials.gov/study/NCT05170204</x:v>
      </x:c>
      <x:c r="G121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15" ht="23" customHeight="1">
      <x:c r="A1215" s="2" t="str">
        <x:v>Roche</x:v>
      </x:c>
      <x:c r="B1215" s="2" t="str">
        <x:v>2021-25</x:v>
      </x:c>
      <x:c r="C1215" s="2" t="str">
        <x:v>NCT05115110</x:v>
      </x:c>
      <x:c r="D1215" s="2" t="str">
        <x:v>Hoffmann-La Roche</x:v>
      </x:c>
      <x:c r="E1215" s="2" t="n">
        <x:v>0</x:v>
      </x:c>
      <x:c r="F1215" s="2" t="str">
        <x:v>https://clinicaltrials.gov/study/NCT05115110</x:v>
      </x:c>
      <x:c r="G121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16" ht="23" customHeight="1">
      <x:c r="A1216" s="2" t="str">
        <x:v>Roche</x:v>
      </x:c>
      <x:c r="B1216" s="2" t="str">
        <x:v>2021-25</x:v>
      </x:c>
      <x:c r="C1216" s="2" t="str">
        <x:v>NCT06084936</x:v>
      </x:c>
      <x:c r="D1216" s="2" t="str">
        <x:v>Hoffmann-La Roche</x:v>
      </x:c>
      <x:c r="E1216" s="2" t="n">
        <x:v>0</x:v>
      </x:c>
      <x:c r="F1216" s="2" t="str">
        <x:v>https://clinicaltrials.gov/study/NCT06084936</x:v>
      </x:c>
      <x:c r="G121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17" ht="23" customHeight="1">
      <x:c r="A1217" s="2" t="str">
        <x:v>Roche</x:v>
      </x:c>
      <x:c r="B1217" s="2" t="str">
        <x:v>2021-25</x:v>
      </x:c>
      <x:c r="C1217" s="2" t="str">
        <x:v>NCT06176352</x:v>
      </x:c>
      <x:c r="D1217" s="2" t="str">
        <x:v>Hoffmann-La Roche</x:v>
      </x:c>
      <x:c r="E1217" s="2" t="n">
        <x:v>0</x:v>
      </x:c>
      <x:c r="F1217" s="2" t="str">
        <x:v>https://clinicaltrials.gov/study/NCT06176352</x:v>
      </x:c>
      <x:c r="G121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18" ht="23" customHeight="1">
      <x:c r="A1218" s="2" t="str">
        <x:v>Roche</x:v>
      </x:c>
      <x:c r="B1218" s="2" t="str">
        <x:v>2021-25</x:v>
      </x:c>
      <x:c r="C1218" s="2" t="str">
        <x:v>NCT05091567</x:v>
      </x:c>
      <x:c r="D1218" s="2" t="str">
        <x:v>Hoffmann-La Roche</x:v>
      </x:c>
      <x:c r="E1218" s="2" t="n">
        <x:v>0</x:v>
      </x:c>
      <x:c r="F1218" s="2" t="str">
        <x:v>https://clinicaltrials.gov/study/NCT05091567</x:v>
      </x:c>
      <x:c r="G121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19" ht="23" customHeight="1">
      <x:c r="A1219" s="2" t="str">
        <x:v>Roche</x:v>
      </x:c>
      <x:c r="B1219" s="2" t="str">
        <x:v>2021-25</x:v>
      </x:c>
      <x:c r="C1219" s="2" t="str">
        <x:v>NCT05256134</x:v>
      </x:c>
      <x:c r="D1219" s="2" t="str">
        <x:v>Hoffmann-La Roche</x:v>
      </x:c>
      <x:c r="E1219" s="2" t="n">
        <x:v>0</x:v>
      </x:c>
      <x:c r="F1219" s="2" t="str">
        <x:v>https://clinicaltrials.gov/study/NCT05256134</x:v>
      </x:c>
      <x:c r="G121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20" ht="23" customHeight="1">
      <x:c r="A1220" s="2" t="str">
        <x:v>Roche</x:v>
      </x:c>
      <x:c r="B1220" s="2" t="str">
        <x:v>2021-25</x:v>
      </x:c>
      <x:c r="C1220" s="2" t="str">
        <x:v>NCT05694013</x:v>
      </x:c>
      <x:c r="D1220" s="2" t="str">
        <x:v>Hoffmann-La Roche</x:v>
      </x:c>
      <x:c r="E1220" s="2" t="n">
        <x:v>0</x:v>
      </x:c>
      <x:c r="F1220" s="2" t="str">
        <x:v>https://clinicaltrials.gov/study/NCT05694013</x:v>
      </x:c>
      <x:c r="G122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21" ht="23" customHeight="1">
      <x:c r="A1221" s="2" t="str">
        <x:v>Roche</x:v>
      </x:c>
      <x:c r="B1221" s="2" t="str">
        <x:v>2021-25</x:v>
      </x:c>
      <x:c r="C1221" s="2" t="str">
        <x:v>NCT04889040</x:v>
      </x:c>
      <x:c r="D1221" s="2" t="str">
        <x:v>Hoffmann-La Roche</x:v>
      </x:c>
      <x:c r="E1221" s="2" t="n">
        <x:v>0</x:v>
      </x:c>
      <x:c r="F1221" s="2" t="str">
        <x:v>https://clinicaltrials.gov/study/NCT04889040</x:v>
      </x:c>
      <x:c r="G122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22" ht="23" customHeight="1">
      <x:c r="A1222" s="2" t="str">
        <x:v>Roche</x:v>
      </x:c>
      <x:c r="B1222" s="2" t="str">
        <x:v>2021-25</x:v>
      </x:c>
      <x:c r="C1222" s="2" t="str">
        <x:v>NCT06819891</x:v>
      </x:c>
      <x:c r="D1222" s="2" t="str">
        <x:v>Hoffmann-La Roche</x:v>
      </x:c>
      <x:c r="E1222" s="2" t="n">
        <x:v>1</x:v>
      </x:c>
      <x:c r="F1222" s="2" t="str">
        <x:v>https://clinicaltrials.gov/study/NCT06819891</x:v>
      </x:c>
      <x:c r="G122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23" ht="23" customHeight="1">
      <x:c r="A1223" s="2" t="str">
        <x:v>Roche</x:v>
      </x:c>
      <x:c r="B1223" s="2" t="str">
        <x:v>2021-25</x:v>
      </x:c>
      <x:c r="C1223" s="2" t="str">
        <x:v>NCT04760288</x:v>
      </x:c>
      <x:c r="D1223" s="2" t="str">
        <x:v>Hoffmann-La Roche</x:v>
      </x:c>
      <x:c r="E1223" s="2" t="n">
        <x:v>0</x:v>
      </x:c>
      <x:c r="F1223" s="2" t="str">
        <x:v>https://clinicaltrials.gov/study/NCT04760288</x:v>
      </x:c>
      <x:c r="G122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24" ht="23" customHeight="1">
      <x:c r="A1224" s="2" t="str">
        <x:v>Roche</x:v>
      </x:c>
      <x:c r="B1224" s="2" t="str">
        <x:v>2021-25</x:v>
      </x:c>
      <x:c r="C1224" s="2" t="str">
        <x:v>NCT05494619</x:v>
      </x:c>
      <x:c r="D1224" s="2" t="str">
        <x:v>Hoffmann-La Roche</x:v>
      </x:c>
      <x:c r="E1224" s="2" t="n">
        <x:v>0</x:v>
      </x:c>
      <x:c r="F1224" s="2" t="str">
        <x:v>https://clinicaltrials.gov/study/NCT05494619</x:v>
      </x:c>
      <x:c r="G122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25" ht="23" customHeight="1">
      <x:c r="A1225" s="2" t="str">
        <x:v>Roche</x:v>
      </x:c>
      <x:c r="B1225" s="2" t="str">
        <x:v>2021-25</x:v>
      </x:c>
      <x:c r="C1225" s="2" t="str">
        <x:v>NCT05627557</x:v>
      </x:c>
      <x:c r="D1225" s="2" t="str">
        <x:v>Hoffmann-La Roche</x:v>
      </x:c>
      <x:c r="E1225" s="2" t="n">
        <x:v>0</x:v>
      </x:c>
      <x:c r="F1225" s="2" t="str">
        <x:v>https://clinicaltrials.gov/study/NCT05627557</x:v>
      </x:c>
      <x:c r="G122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26" ht="23" customHeight="1">
      <x:c r="A1226" s="2" t="str">
        <x:v>Roche</x:v>
      </x:c>
      <x:c r="B1226" s="2" t="str">
        <x:v>2021-25</x:v>
      </x:c>
      <x:c r="C1226" s="2" t="str">
        <x:v>NCT05894239</x:v>
      </x:c>
      <x:c r="D1226" s="2" t="str">
        <x:v>Hoffmann-La Roche</x:v>
      </x:c>
      <x:c r="E1226" s="2" t="n">
        <x:v>1</x:v>
      </x:c>
      <x:c r="F1226" s="2" t="str">
        <x:v>https://clinicaltrials.gov/study/NCT05894239</x:v>
      </x:c>
      <x:c r="G122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27" ht="23" customHeight="1">
      <x:c r="A1227" s="2" t="str">
        <x:v>Roche</x:v>
      </x:c>
      <x:c r="B1227" s="2" t="str">
        <x:v>2021-25</x:v>
      </x:c>
      <x:c r="C1227" s="2" t="str">
        <x:v>NCT05296798</x:v>
      </x:c>
      <x:c r="D1227" s="2" t="str">
        <x:v>Hoffmann-La Roche</x:v>
      </x:c>
      <x:c r="E1227" s="2" t="n">
        <x:v>1</x:v>
      </x:c>
      <x:c r="F1227" s="2" t="str">
        <x:v>https://clinicaltrials.gov/study/NCT05296798</x:v>
      </x:c>
      <x:c r="G122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28" ht="23" customHeight="1">
      <x:c r="A1228" s="2" t="str">
        <x:v>Roche</x:v>
      </x:c>
      <x:c r="B1228" s="2" t="str">
        <x:v>2021-25</x:v>
      </x:c>
      <x:c r="C1228" s="2" t="str">
        <x:v>NCT05642312</x:v>
      </x:c>
      <x:c r="D1228" s="2" t="str">
        <x:v>Hoffmann-La Roche</x:v>
      </x:c>
      <x:c r="E1228" s="2" t="n">
        <x:v>0</x:v>
      </x:c>
      <x:c r="F1228" s="2" t="str">
        <x:v>https://clinicaltrials.gov/study/NCT05642312</x:v>
      </x:c>
      <x:c r="G122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29" ht="23" customHeight="1">
      <x:c r="A1229" s="2" t="str">
        <x:v>Roche</x:v>
      </x:c>
      <x:c r="B1229" s="2" t="str">
        <x:v>2021-25</x:v>
      </x:c>
      <x:c r="C1229" s="2" t="str">
        <x:v>NCT05126966</x:v>
      </x:c>
      <x:c r="D1229" s="2" t="str">
        <x:v>Hoffmann-La Roche</x:v>
      </x:c>
      <x:c r="E1229" s="2" t="n">
        <x:v>0</x:v>
      </x:c>
      <x:c r="F1229" s="2" t="str">
        <x:v>https://clinicaltrials.gov/study/NCT05126966</x:v>
      </x:c>
      <x:c r="G122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30" ht="23" customHeight="1">
      <x:c r="A1230" s="2" t="str">
        <x:v>Roche</x:v>
      </x:c>
      <x:c r="B1230" s="2" t="str">
        <x:v>2021-25</x:v>
      </x:c>
      <x:c r="C1230" s="2" t="str">
        <x:v>NCT05595642</x:v>
      </x:c>
      <x:c r="D1230" s="2" t="str">
        <x:v>Hoffmann-La Roche</x:v>
      </x:c>
      <x:c r="E1230" s="2" t="n">
        <x:v>1</x:v>
      </x:c>
      <x:c r="F1230" s="2" t="str">
        <x:v>https://clinicaltrials.gov/study/NCT05595642</x:v>
      </x:c>
      <x:c r="G123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31" ht="23" customHeight="1">
      <x:c r="A1231" s="2" t="str">
        <x:v>Roche</x:v>
      </x:c>
      <x:c r="B1231" s="2" t="str">
        <x:v>2021-25</x:v>
      </x:c>
      <x:c r="C1231" s="2" t="str">
        <x:v>NCT07158242</x:v>
      </x:c>
      <x:c r="D1231" s="2" t="str">
        <x:v>Hoffmann-La Roche</x:v>
      </x:c>
      <x:c r="E1231" s="2" t="n">
        <x:v>0</x:v>
      </x:c>
      <x:c r="F1231" s="2" t="str">
        <x:v>https://clinicaltrials.gov/study/NCT07158242</x:v>
      </x:c>
      <x:c r="G123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32" ht="23" customHeight="1">
      <x:c r="A1232" s="2" t="str">
        <x:v>Roche</x:v>
      </x:c>
      <x:c r="B1232" s="2" t="str">
        <x:v>2021-25</x:v>
      </x:c>
      <x:c r="C1232" s="2" t="str">
        <x:v>NCT04861259</x:v>
      </x:c>
      <x:c r="D1232" s="2" t="str">
        <x:v>Hoffmann-La Roche</x:v>
      </x:c>
      <x:c r="E1232" s="2" t="n">
        <x:v>1</x:v>
      </x:c>
      <x:c r="F1232" s="2" t="str">
        <x:v>https://clinicaltrials.gov/study/NCT04861259</x:v>
      </x:c>
      <x:c r="G123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33" ht="23" customHeight="1">
      <x:c r="A1233" s="2" t="str">
        <x:v>Roche</x:v>
      </x:c>
      <x:c r="B1233" s="2" t="str">
        <x:v>2021-25</x:v>
      </x:c>
      <x:c r="C1233" s="2" t="str">
        <x:v>NCT05987423</x:v>
      </x:c>
      <x:c r="D1233" s="2" t="str">
        <x:v>Hoffmann-La Roche</x:v>
      </x:c>
      <x:c r="E1233" s="2" t="n">
        <x:v>0</x:v>
      </x:c>
      <x:c r="F1233" s="2" t="str">
        <x:v>https://clinicaltrials.gov/study/NCT05987423</x:v>
      </x:c>
      <x:c r="G123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34" ht="23" customHeight="1">
      <x:c r="A1234" s="2" t="str">
        <x:v>Roche</x:v>
      </x:c>
      <x:c r="B1234" s="2" t="str">
        <x:v>2021-25</x:v>
      </x:c>
      <x:c r="C1234" s="2" t="str">
        <x:v>NCT07298421</x:v>
      </x:c>
      <x:c r="D1234" s="2" t="str">
        <x:v>Hoffmann-La Roche</x:v>
      </x:c>
      <x:c r="E1234" s="2" t="n">
        <x:v>0</x:v>
      </x:c>
      <x:c r="F1234" s="2" t="str">
        <x:v>https://clinicaltrials.gov/study/NCT07298421</x:v>
      </x:c>
      <x:c r="G123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35" ht="23" customHeight="1">
      <x:c r="A1235" s="2" t="str">
        <x:v>Roche</x:v>
      </x:c>
      <x:c r="B1235" s="2" t="str">
        <x:v>2021-25</x:v>
      </x:c>
      <x:c r="C1235" s="2" t="str">
        <x:v>NCT05306340</x:v>
      </x:c>
      <x:c r="D1235" s="2" t="str">
        <x:v>Genentech, Inc.</x:v>
      </x:c>
      <x:c r="E1235" s="2" t="n">
        <x:v>0</x:v>
      </x:c>
      <x:c r="F1235" s="2" t="str">
        <x:v>https://clinicaltrials.gov/study/NCT05306340</x:v>
      </x:c>
      <x:c r="G123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36" ht="23" customHeight="1">
      <x:c r="A1236" s="2" t="str">
        <x:v>Roche</x:v>
      </x:c>
      <x:c r="B1236" s="2" t="str">
        <x:v>2021-25</x:v>
      </x:c>
      <x:c r="C1236" s="2" t="str">
        <x:v>NCT06790693</x:v>
      </x:c>
      <x:c r="D1236" s="2" t="str">
        <x:v>Hoffmann-La Roche</x:v>
      </x:c>
      <x:c r="E1236" s="2" t="n">
        <x:v>0</x:v>
      </x:c>
      <x:c r="F1236" s="2" t="str">
        <x:v>https://clinicaltrials.gov/study/NCT06790693</x:v>
      </x:c>
      <x:c r="G1236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37" ht="23" customHeight="1">
      <x:c r="A1237" s="2" t="str">
        <x:v>Roche</x:v>
      </x:c>
      <x:c r="B1237" s="2" t="str">
        <x:v>2021-25</x:v>
      </x:c>
      <x:c r="C1237" s="2" t="str">
        <x:v>NCT07170150</x:v>
      </x:c>
      <x:c r="D1237" s="2" t="str">
        <x:v>Hoffmann-La Roche</x:v>
      </x:c>
      <x:c r="E1237" s="2" t="n">
        <x:v>0</x:v>
      </x:c>
      <x:c r="F1237" s="2" t="str">
        <x:v>https://clinicaltrials.gov/study/NCT07170150</x:v>
      </x:c>
      <x:c r="G1237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38" ht="23" customHeight="1">
      <x:c r="A1238" s="2" t="str">
        <x:v>Roche</x:v>
      </x:c>
      <x:c r="B1238" s="2" t="str">
        <x:v>2021-25</x:v>
      </x:c>
      <x:c r="C1238" s="2" t="str">
        <x:v>NCT04770896</x:v>
      </x:c>
      <x:c r="D1238" s="2" t="str">
        <x:v>Hoffmann-La Roche</x:v>
      </x:c>
      <x:c r="E1238" s="2" t="n">
        <x:v>0</x:v>
      </x:c>
      <x:c r="F1238" s="2" t="str">
        <x:v>https://clinicaltrials.gov/study/NCT04770896</x:v>
      </x:c>
      <x:c r="G1238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39" ht="23" customHeight="1">
      <x:c r="A1239" s="2" t="str">
        <x:v>Roche</x:v>
      </x:c>
      <x:c r="B1239" s="2" t="str">
        <x:v>2021-25</x:v>
      </x:c>
      <x:c r="C1239" s="2" t="str">
        <x:v>NCT04740905</x:v>
      </x:c>
      <x:c r="D1239" s="2" t="str">
        <x:v>Hoffmann-La Roche</x:v>
      </x:c>
      <x:c r="E1239" s="2" t="n">
        <x:v>0</x:v>
      </x:c>
      <x:c r="F1239" s="2" t="str">
        <x:v>https://clinicaltrials.gov/study/NCT04740905</x:v>
      </x:c>
      <x:c r="G1239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40" ht="23" customHeight="1">
      <x:c r="A1240" s="2" t="str">
        <x:v>Roche</x:v>
      </x:c>
      <x:c r="B1240" s="2" t="str">
        <x:v>2021-25</x:v>
      </x:c>
      <x:c r="C1240" s="2" t="str">
        <x:v>NCT05123703</x:v>
      </x:c>
      <x:c r="D1240" s="2" t="str">
        <x:v>Hoffmann-La Roche</x:v>
      </x:c>
      <x:c r="E1240" s="2" t="n">
        <x:v>1</x:v>
      </x:c>
      <x:c r="F1240" s="2" t="str">
        <x:v>https://clinicaltrials.gov/study/NCT05123703</x:v>
      </x:c>
      <x:c r="G1240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41" ht="23" customHeight="1">
      <x:c r="A1241" s="2" t="str">
        <x:v>Roche</x:v>
      </x:c>
      <x:c r="B1241" s="2" t="str">
        <x:v>2021-25</x:v>
      </x:c>
      <x:c r="C1241" s="2" t="str">
        <x:v>NCT04963270</x:v>
      </x:c>
      <x:c r="D1241" s="2" t="str">
        <x:v>Hoffmann-La Roche</x:v>
      </x:c>
      <x:c r="E1241" s="2" t="n">
        <x:v>0</x:v>
      </x:c>
      <x:c r="F1241" s="2" t="str">
        <x:v>https://clinicaltrials.gov/study/NCT04963270</x:v>
      </x:c>
      <x:c r="G1241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42" ht="23" customHeight="1">
      <x:c r="A1242" s="2" t="str">
        <x:v>Roche</x:v>
      </x:c>
      <x:c r="B1242" s="2" t="str">
        <x:v>2021-25</x:v>
      </x:c>
      <x:c r="C1242" s="2" t="str">
        <x:v>NCT06047080</x:v>
      </x:c>
      <x:c r="D1242" s="2" t="str">
        <x:v>Hoffmann-La Roche</x:v>
      </x:c>
      <x:c r="E1242" s="2" t="n">
        <x:v>0</x:v>
      </x:c>
      <x:c r="F1242" s="2" t="str">
        <x:v>https://clinicaltrials.gov/study/NCT06047080</x:v>
      </x:c>
      <x:c r="G1242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43" ht="23" customHeight="1">
      <x:c r="A1243" s="2" t="str">
        <x:v>Roche</x:v>
      </x:c>
      <x:c r="B1243" s="2" t="str">
        <x:v>2021-25</x:v>
      </x:c>
      <x:c r="C1243" s="2" t="str">
        <x:v>NCT06998524</x:v>
      </x:c>
      <x:c r="D1243" s="2" t="str">
        <x:v>Hoffmann-La Roche</x:v>
      </x:c>
      <x:c r="E1243" s="2" t="n">
        <x:v>0</x:v>
      </x:c>
      <x:c r="F1243" s="2" t="str">
        <x:v>https://clinicaltrials.gov/study/NCT06998524</x:v>
      </x:c>
      <x:c r="G1243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44" ht="23" customHeight="1">
      <x:c r="A1244" s="2" t="str">
        <x:v>Roche</x:v>
      </x:c>
      <x:c r="B1244" s="2" t="str">
        <x:v>2021-25</x:v>
      </x:c>
      <x:c r="C1244" s="2" t="str">
        <x:v>NCT05112965</x:v>
      </x:c>
      <x:c r="D1244" s="2" t="str">
        <x:v>Hoffmann-La Roche</x:v>
      </x:c>
      <x:c r="E1244" s="2" t="n">
        <x:v>0</x:v>
      </x:c>
      <x:c r="F1244" s="2" t="str">
        <x:v>https://clinicaltrials.gov/study/NCT05112965</x:v>
      </x:c>
      <x:c r="G1244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  <x:row r="1245" ht="23" customHeight="1">
      <x:c r="A1245" s="2" t="str">
        <x:v>Roche</x:v>
      </x:c>
      <x:c r="B1245" s="2" t="str">
        <x:v>2021-25</x:v>
      </x:c>
      <x:c r="C1245" s="2" t="str">
        <x:v>NCT04777201</x:v>
      </x:c>
      <x:c r="D1245" s="2" t="str">
        <x:v>Hoffmann-La Roche</x:v>
      </x:c>
      <x:c r="E1245" s="2" t="n">
        <x:v>0</x:v>
      </x:c>
      <x:c r="F1245" s="2" t="str">
        <x:v>https://clinicaltrials.gov/study/NCT04777201</x:v>
      </x:c>
      <x:c r="G1245" s="2" t="str">
        <x:v>https://clinicaltrials.gov/api/v2/studies?filter.advanced=AREA%5BStudyFirstPostDate%5DRANGE%5B2021-01-01%2C2025-12-31%5D+AND+AREA%5BLeadSponsorClass%5DINDUSTRY+AND+AREA%5BStudyType%5DINTERVENTIONAL+AND+%28AREA%5BInterventionType%5DDRUG+OR+AREA%5BInterventionType%5DBIOLOGICAL%29+AND+AREA%5BPhase%5DPHASE3+AND+%28AREA%5BLeadSponsorName%5DRoche+OR+AREA%5BLeadSponsorName%5DGenentech%29&amp;countTotal=true&amp;pageSize=1</x:v>
      </x:c>
    </x:row>
  </x:sheetData>
  <x:pageMargins left="0.7" right="0.7" top="0.75" bottom="0.75" header="0.3" footer="0.3"/>
</x:worksheet>
</file>