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3428db5ab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Assumptions" sheetId="1" r:id="R83d63f9bed22420c"/>
    <x:sheet xmlns:r="http://schemas.openxmlformats.org/officeDocument/2006/relationships" name="Revenue Model" sheetId="2" r:id="R648f239bb6f64626"/>
    <x:sheet xmlns:r="http://schemas.openxmlformats.org/officeDocument/2006/relationships" name="Three Statements" sheetId="3" r:id="Rd768413c91cd48e7"/>
    <x:sheet xmlns:r="http://schemas.openxmlformats.org/officeDocument/2006/relationships" name="Supporting Schedules" sheetId="4" r:id="R2bb6172116d94e08"/>
    <x:sheet xmlns:r="http://schemas.openxmlformats.org/officeDocument/2006/relationships" name="Sources &amp; Checks" sheetId="5" r:id="Rab7ba2d43e4f4def"/>
    <x:sheet xmlns:r="http://schemas.openxmlformats.org/officeDocument/2006/relationships" name="Change Log" sheetId="6" r:id="R90212ea70488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x"/>
    <x:numFmt numFmtId="201" formatCode="0.0%;[Red](0.0%);-"/>
    <x:numFmt numFmtId="202" formatCode="0.0"/>
    <x:numFmt numFmtId="203" formatCode="#,##0;[Red](#,##0);-"/>
    <x:numFmt numFmtId="204" formatCode="0.00;[Red](0.00);-"/>
    <x:numFmt numFmtId="205" formatCode="#,##0.0;[Red](#,##0.0);-"/>
    <x:numFmt numFmtId="206" formatCode="0.0;[Red](0.0);-"/>
    <x:numFmt numFmtId="207" formatCode="0.00"/>
  </x:numFmts>
  <x:fonts count="2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9"/>
      <x:color rgb="FFFFFFFF"/>
      <x:name val="Arial"/>
    </x:font>
    <x:font>
      <x:b/>
      <x:sz val="8"/>
      <x:color rgb="FFFFFFFF"/>
      <x:name val="Arial"/>
    </x:font>
    <x:font>
      <x:sz val="8"/>
      <x:name val="Arial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i/>
      <x:sz val="9"/>
      <x:color rgb="FF666666"/>
      <x:name val="Carlito"/>
    </x:font>
    <x:font>
      <x:sz val="9"/>
      <x:color rgb="FF000000"/>
      <x:name val="Carlito"/>
    </x:font>
    <x:font>
      <x:b/>
      <x:sz val="9"/>
      <x:color rgb="FF000000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i/>
      <x:sz val="8"/>
      <x:color rgb="FF666666"/>
      <x:name val="Carlito"/>
    </x:font>
    <x:font>
      <x:b/>
      <x:sz val="8"/>
      <x:color rgb="FF000000"/>
      <x:name val="Carlito"/>
    </x:font>
    <x:font>
      <x:sz val="8"/>
      <x:name val="Carlito"/>
    </x:font>
    <x:font>
      <x:sz val="8"/>
      <x:color rgb="FF0000FF"/>
      <x:name val="Carlito"/>
    </x:font>
    <x:font>
      <x:sz val="8"/>
      <x:color rgb="FF000000"/>
      <x:name val="Carlito"/>
    </x:font>
    <x:font>
      <x:b/>
      <x:sz val="9"/>
      <x:color rgb="FF008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3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4" fillId="4" borderId="0" xfId="0" applyNumberFormat="1" applyFont="1" applyFill="1" applyBorder="1"/>
    <x:xf numFmtId="200" fontId="6" fillId="0" borderId="0" xfId="0" applyNumberFormat="1" applyFont="1" applyFill="1" applyBorder="1"/>
    <x:xf numFmtId="200" fontId="4" fillId="4" borderId="1" xfId="0" applyNumberFormat="1" applyFont="1" applyFill="1" applyBorder="1"/>
    <x:xf numFmtId="200" fontId="6" fillId="0" borderId="1" xfId="0" applyNumberFormat="1" applyFont="1" applyFill="1" applyBorder="1"/>
    <x:xf numFmtId="201" fontId="4" fillId="4" borderId="0" xfId="0" applyNumberFormat="1" applyFont="1" applyFill="1" applyBorder="1"/>
    <x:xf numFmtId="201" fontId="6" fillId="0" borderId="0" xfId="0" applyNumberFormat="1" applyFont="1" applyFill="1" applyBorder="1"/>
    <x:xf numFmtId="201" fontId="4" fillId="4" borderId="1" xfId="0" applyNumberFormat="1" applyFont="1" applyFill="1" applyBorder="1"/>
    <x:xf numFmtId="201" fontId="6" fillId="0" borderId="1" xfId="0" applyNumberFormat="1" applyFont="1" applyFill="1" applyBorder="1"/>
    <x:xf numFmtId="202" fontId="4" fillId="4" borderId="0" xfId="0" applyNumberFormat="1" applyFont="1" applyFill="1" applyBorder="1"/>
    <x:xf numFmtId="202" fontId="6" fillId="0" borderId="0" xfId="0" applyNumberFormat="1" applyFont="1" applyFill="1" applyBorder="1"/>
    <x:xf numFmtId="202" fontId="4" fillId="4" borderId="1" xfId="0" applyNumberFormat="1" applyFont="1" applyFill="1" applyBorder="1"/>
    <x:xf numFmtId="202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right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 applyAlignment="1">
      <x:alignment horizontal="left"/>
    </x:xf>
    <x:xf numFmtId="0" fontId="6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 wrapText="1"/>
    </x:xf>
    <x:xf numFmtId="0" fontId="8" fillId="2" borderId="1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horizontal="right" vertical="center" wrapText="1"/>
    </x:xf>
    <x:xf numFmtId="0" fontId="8" fillId="2" borderId="0" xfId="0" applyNumberFormat="1" applyFont="1" applyFill="1" applyBorder="1" applyAlignment="1">
      <x:alignment horizontal="right" vertical="center"/>
    </x:xf>
    <x:xf numFmtId="0" fontId="8" fillId="2" borderId="1" xfId="0" applyNumberFormat="1" applyFont="1" applyFill="1" applyBorder="1" applyAlignment="1">
      <x:alignment horizontal="right" vertical="center" wrapText="1"/>
    </x:xf>
    <x:xf numFmtId="0" fontId="8" fillId="2" borderId="1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right" vertical="center"/>
    </x:xf>
    <x:xf numFmtId="0" fontId="7" fillId="2" borderId="1" xfId="0" applyNumberFormat="1" applyFont="1" applyFill="1" applyBorder="1" applyAlignment="1">
      <x:alignment horizontal="right" vertical="center"/>
    </x:xf>
    <x:xf numFmtId="203" fontId="7" fillId="2" borderId="0" xfId="0" applyNumberFormat="1" applyFont="1" applyFill="1" applyBorder="1" applyAlignment="1">
      <x:alignment horizontal="left" vertical="center"/>
    </x:xf>
    <x:xf numFmtId="203" fontId="7" fillId="2" borderId="1" xfId="0" applyNumberFormat="1" applyFont="1" applyFill="1" applyBorder="1" applyAlignment="1">
      <x:alignment horizontal="left" vertical="center"/>
    </x:xf>
    <x:xf numFmtId="203" fontId="8" fillId="2" borderId="0" xfId="0" applyNumberFormat="1" applyFont="1" applyFill="1" applyBorder="1" applyAlignment="1">
      <x:alignment horizontal="right" vertical="center" wrapText="1"/>
    </x:xf>
    <x:xf numFmtId="203" fontId="8" fillId="2" borderId="0" xfId="0" applyNumberFormat="1" applyFont="1" applyFill="1" applyBorder="1" applyAlignment="1">
      <x:alignment horizontal="right" vertical="center"/>
    </x:xf>
    <x:xf numFmtId="203" fontId="8" fillId="2" borderId="1" xfId="0" applyNumberFormat="1" applyFont="1" applyFill="1" applyBorder="1" applyAlignment="1">
      <x:alignment horizontal="right" vertical="center" wrapText="1"/>
    </x:xf>
    <x:xf numFmtId="203" fontId="8" fillId="2" borderId="1" xfId="0" applyNumberFormat="1" applyFont="1" applyFill="1" applyBorder="1" applyAlignment="1">
      <x:alignment horizontal="right" vertical="center"/>
    </x:xf>
    <x:xf numFmtId="203" fontId="7" fillId="2" borderId="0" xfId="0" applyNumberFormat="1" applyFont="1" applyFill="1" applyBorder="1" applyAlignment="1">
      <x:alignment horizontal="right" vertical="center"/>
    </x:xf>
    <x:xf numFmtId="203" fontId="7" fillId="2" borderId="1" xfId="0" applyNumberFormat="1" applyFont="1" applyFill="1" applyBorder="1" applyAlignment="1">
      <x:alignment horizontal="right" vertical="center"/>
    </x:xf>
    <x:xf numFmtId="203" fontId="7" fillId="2" borderId="0" xfId="0" applyNumberFormat="1" applyFont="1" applyFill="1" applyBorder="1" applyAlignment="1">
      <x:alignment horizontal="left" vertical="center" wrapText="1"/>
    </x:xf>
    <x:xf numFmtId="203" fontId="7" fillId="2" borderId="1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4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1" xfId="0" applyNumberFormat="1" applyFont="1" applyFill="1" applyBorder="1"/>
    <x:xf numFmtId="204" fontId="10" fillId="0" borderId="1" xfId="0" applyNumberFormat="1" applyFont="1" applyFill="1" applyBorder="1"/>
    <x:xf numFmtId="0" fontId="6" fillId="0" borderId="2" xfId="0" applyNumberFormat="1" applyFont="1" applyFill="1" applyBorder="1" applyAlignment="1">
      <x:alignment horizontal="left" vertical="center"/>
    </x:xf>
    <x:xf numFmtId="0" fontId="10" fillId="0" borderId="2" xfId="0" applyNumberFormat="1" applyFont="1" applyFill="1" applyBorder="1"/>
    <x:xf numFmtId="0" fontId="6" fillId="0" borderId="3" xfId="0" applyNumberFormat="1" applyFont="1" applyFill="1" applyBorder="1" applyAlignment="1">
      <x:alignment horizontal="left" vertical="center"/>
    </x:xf>
    <x:xf numFmtId="0" fontId="10" fillId="0" borderId="3" xfId="0" applyNumberFormat="1" applyFont="1" applyFill="1" applyBorder="1"/>
    <x:xf numFmtId="0" fontId="5" fillId="0" borderId="2" xfId="0" applyNumberFormat="1" applyFont="1" applyFill="1" applyBorder="1" applyAlignment="1">
      <x:alignment horizontal="left" vertical="center"/>
    </x:xf>
    <x:xf numFmtId="0" fontId="11" fillId="0" borderId="2" xfId="0" applyNumberFormat="1" applyFont="1" applyFill="1" applyBorder="1"/>
    <x:xf numFmtId="0" fontId="5" fillId="0" borderId="3" xfId="0" applyNumberFormat="1" applyFont="1" applyFill="1" applyBorder="1" applyAlignment="1">
      <x:alignment horizontal="left" vertical="center"/>
    </x:xf>
    <x:xf numFmtId="0" fontId="11" fillId="0" borderId="3" xfId="0" applyNumberFormat="1" applyFont="1" applyFill="1" applyBorder="1"/>
    <x:xf numFmtId="0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3" xfId="0" applyNumberFormat="1" applyFont="1" applyFill="1" applyBorder="1"/>
    <x:xf numFmtId="0" fontId="12" fillId="0" borderId="2" xfId="0" applyNumberFormat="1" applyFont="1" applyFill="1" applyBorder="1"/>
    <x:xf numFmtId="0" fontId="13" fillId="0" borderId="2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203" fontId="7" fillId="6" borderId="0" xfId="0" applyNumberFormat="1" applyFont="1" applyFill="1" applyBorder="1" applyAlignment="1">
      <x:alignment horizontal="left" vertical="center"/>
    </x:xf>
    <x:xf numFmtId="203" fontId="7" fillId="6" borderId="1" xfId="0" applyNumberFormat="1" applyFont="1" applyFill="1" applyBorder="1" applyAlignment="1">
      <x:alignment horizontal="left" vertical="center"/>
    </x:xf>
    <x:xf numFmtId="203" fontId="7" fillId="8" borderId="0" xfId="0" applyNumberFormat="1" applyFont="1" applyFill="1" applyBorder="1" applyAlignment="1">
      <x:alignment horizontal="left" vertical="center"/>
    </x:xf>
    <x:xf numFmtId="203" fontId="7" fillId="8" borderId="1" xfId="0" applyNumberFormat="1" applyFont="1" applyFill="1" applyBorder="1" applyAlignment="1">
      <x:alignment horizontal="left" vertical="center"/>
    </x:xf>
    <x:xf numFmtId="203" fontId="8" fillId="6" borderId="0" xfId="0" applyNumberFormat="1" applyFont="1" applyFill="1" applyBorder="1" applyAlignment="1">
      <x:alignment horizontal="right" vertical="center" wrapText="1"/>
    </x:xf>
    <x:xf numFmtId="203" fontId="8" fillId="6" borderId="0" xfId="0" applyNumberFormat="1" applyFont="1" applyFill="1" applyBorder="1" applyAlignment="1">
      <x:alignment horizontal="right" vertical="center"/>
    </x:xf>
    <x:xf numFmtId="203" fontId="8" fillId="6" borderId="1" xfId="0" applyNumberFormat="1" applyFont="1" applyFill="1" applyBorder="1" applyAlignment="1">
      <x:alignment horizontal="right" vertical="center" wrapText="1"/>
    </x:xf>
    <x:xf numFmtId="203" fontId="8" fillId="6" borderId="1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horizontal="right" vertical="center"/>
    </x:xf>
    <x:xf numFmtId="203" fontId="8" fillId="8" borderId="1" xfId="0" applyNumberFormat="1" applyFont="1" applyFill="1" applyBorder="1" applyAlignment="1">
      <x:alignment horizontal="right" vertical="center"/>
    </x:xf>
    <x:xf numFmtId="203" fontId="7" fillId="6" borderId="0" xfId="0" applyNumberFormat="1" applyFont="1" applyFill="1" applyBorder="1" applyAlignment="1">
      <x:alignment horizontal="right" vertical="center"/>
    </x:xf>
    <x:xf numFmtId="203" fontId="7" fillId="6" borderId="1" xfId="0" applyNumberFormat="1" applyFont="1" applyFill="1" applyBorder="1" applyAlignment="1">
      <x:alignment horizontal="right" vertical="center"/>
    </x:xf>
    <x:xf numFmtId="203" fontId="7" fillId="8" borderId="0" xfId="0" applyNumberFormat="1" applyFont="1" applyFill="1" applyBorder="1" applyAlignment="1">
      <x:alignment horizontal="right" vertical="center"/>
    </x:xf>
    <x:xf numFmtId="203" fontId="7" fillId="8" borderId="1" xfId="0" applyNumberFormat="1" applyFont="1" applyFill="1" applyBorder="1" applyAlignment="1">
      <x:alignment horizontal="right" vertical="center"/>
    </x:xf>
    <x:xf numFmtId="203" fontId="7" fillId="6" borderId="0" xfId="0" applyNumberFormat="1" applyFont="1" applyFill="1" applyBorder="1" applyAlignment="1">
      <x:alignment horizontal="left" vertical="center" wrapText="1"/>
    </x:xf>
    <x:xf numFmtId="203" fontId="7" fillId="6" borderId="1" xfId="0" applyNumberFormat="1" applyFont="1" applyFill="1" applyBorder="1" applyAlignment="1">
      <x:alignment horizontal="left" vertical="center" wrapText="1"/>
    </x:xf>
    <x:xf numFmtId="203" fontId="7" fillId="8" borderId="0" xfId="0" applyNumberFormat="1" applyFont="1" applyFill="1" applyBorder="1" applyAlignment="1">
      <x:alignment horizontal="left" vertical="center" wrapText="1"/>
    </x:xf>
    <x:xf numFmtId="203" fontId="7" fillId="8" borderId="1" xfId="0" applyNumberFormat="1" applyFont="1" applyFill="1" applyBorder="1" applyAlignment="1">
      <x:alignment horizontal="left" vertical="center" wrapText="1"/>
    </x:xf>
    <x:xf numFmtId="203" fontId="11" fillId="0" borderId="2" xfId="0" applyNumberFormat="1" applyFont="1" applyFill="1" applyBorder="1"/>
    <x:xf numFmtId="203" fontId="10" fillId="0" borderId="0" xfId="0" applyNumberFormat="1" applyFont="1" applyFill="1" applyBorder="1"/>
    <x:xf numFmtId="203" fontId="11" fillId="0" borderId="3" xfId="0" applyNumberFormat="1" applyFont="1" applyFill="1" applyBorder="1"/>
    <x:xf numFmtId="203" fontId="10" fillId="0" borderId="1" xfId="0" applyNumberFormat="1" applyFont="1" applyFill="1" applyBorder="1"/>
    <x:xf numFmtId="203" fontId="4" fillId="0" borderId="0" xfId="0" applyNumberFormat="1" applyFont="1" applyFill="1" applyBorder="1"/>
    <x:xf numFmtId="203" fontId="12" fillId="0" borderId="2" xfId="0" applyNumberFormat="1" applyFont="1" applyFill="1" applyBorder="1"/>
    <x:xf numFmtId="203" fontId="3" fillId="3" borderId="0" xfId="0" applyNumberFormat="1" applyFont="1" applyFill="1" applyBorder="1" applyAlignment="1">
      <x:alignment horizontal="left" vertical="center"/>
    </x:xf>
    <x:xf numFmtId="203" fontId="13" fillId="0" borderId="2" xfId="0" applyNumberFormat="1" applyFont="1" applyFill="1" applyBorder="1"/>
    <x:xf numFmtId="203" fontId="4" fillId="0" borderId="1" xfId="0" applyNumberFormat="1" applyFont="1" applyFill="1" applyBorder="1"/>
    <x:xf numFmtId="203" fontId="12" fillId="0" borderId="3" xfId="0" applyNumberFormat="1" applyFont="1" applyFill="1" applyBorder="1"/>
    <x:xf numFmtId="203" fontId="3" fillId="3" borderId="1" xfId="0" applyNumberFormat="1" applyFont="1" applyFill="1" applyBorder="1" applyAlignment="1">
      <x:alignment horizontal="left" vertical="center"/>
    </x:xf>
    <x:xf numFmtId="203" fontId="13" fillId="0" borderId="3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left" wrapText="1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left"/>
    </x:xf>
    <x:xf numFmtId="0" fontId="17" fillId="9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right"/>
    </x:xf>
    <x:xf numFmtId="0" fontId="5" fillId="11" borderId="0" xfId="0" applyNumberFormat="1" applyFont="1" applyFill="1" applyBorder="1" applyAlignment="1">
      <x:alignment horizontal="right" vertical="center"/>
    </x:xf>
    <x:xf numFmtId="0" fontId="5" fillId="11" borderId="0" xfId="0" applyNumberFormat="1" applyFont="1" applyFill="1" applyBorder="1" applyAlignment="1">
      <x:alignment horizontal="left" vertical="center"/>
    </x:xf>
    <x:xf numFmtId="203" fontId="4" fillId="0" borderId="0" xfId="0" applyNumberFormat="1" applyFont="1" applyFill="1" applyBorder="1" applyAlignment="1">
      <x:alignment horizontal="right"/>
    </x:xf>
    <x:xf numFmtId="203" fontId="1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/>
    </x:xf>
    <x:xf numFmtId="205" fontId="10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3" fontId="5" fillId="0" borderId="0" xfId="0" applyNumberFormat="1" applyFont="1" applyFill="1" applyBorder="1" applyAlignment="1">
      <x:alignment horizontal="right"/>
    </x:xf>
    <x:xf numFmtId="0" fontId="5" fillId="12" borderId="0" xfId="0" applyNumberFormat="1" applyFont="1" applyFill="1" applyBorder="1"/>
    <x:xf numFmtId="203" fontId="5" fillId="12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horizontal="right" vertical="center"/>
    </x:xf>
    <x:xf numFmtId="0" fontId="5" fillId="12" borderId="0" xfId="0" applyNumberFormat="1" applyFont="1" applyFill="1" applyBorder="1" applyAlignment="1">
      <x:alignment vertical="center"/>
    </x:xf>
    <x:xf numFmtId="203" fontId="5" fillId="12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3" fontId="10" fillId="0" borderId="0" xfId="0" applyNumberFormat="1" applyFont="1" applyFill="1" applyBorder="1" applyAlignment="1">
      <x:alignment horizontal="right" vertical="center"/>
    </x:xf>
    <x:xf numFmtId="205" fontId="10" fillId="0" borderId="0" xfId="0" applyNumberFormat="1" applyFont="1" applyFill="1" applyBorder="1" applyAlignment="1">
      <x:alignment horizontal="right" vertical="center"/>
    </x:xf>
    <x:xf numFmtId="0" fontId="17" fillId="9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 applyAlignment="1">
      <x:alignment horizontal="left" vertical="center"/>
    </x:xf>
    <x:xf numFmtId="0" fontId="19" fillId="0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horizontal="left" vertical="center"/>
    </x:xf>
    <x:xf numFmtId="0" fontId="16" fillId="11" borderId="0" xfId="0" applyNumberFormat="1" applyFont="1" applyFill="1" applyBorder="1" applyAlignment="1">
      <x:alignment horizontal="right" vertical="center"/>
    </x:xf>
    <x:xf numFmtId="203" fontId="20" fillId="0" borderId="0" xfId="0" applyNumberFormat="1" applyFont="1" applyFill="1" applyBorder="1" applyAlignment="1">
      <x:alignment horizontal="right" vertical="center"/>
    </x:xf>
    <x:xf numFmtId="0" fontId="16" fillId="12" borderId="0" xfId="0" applyNumberFormat="1" applyFont="1" applyFill="1" applyBorder="1" applyAlignment="1">
      <x:alignment vertical="center"/>
    </x:xf>
    <x:xf numFmtId="203" fontId="16" fillId="12" borderId="0" xfId="0" applyNumberFormat="1" applyFont="1" applyFill="1" applyBorder="1" applyAlignment="1">
      <x:alignment horizontal="right" vertical="center"/>
    </x:xf>
    <x:xf numFmtId="201" fontId="19" fillId="0" borderId="0" xfId="0" applyNumberFormat="1" applyFont="1" applyFill="1" applyBorder="1" applyAlignment="1">
      <x:alignment horizontal="right" vertical="center"/>
    </x:xf>
    <x:xf numFmtId="201" fontId="15" fillId="0" borderId="0" xfId="0" applyNumberFormat="1" applyFont="1" applyFill="1" applyBorder="1" applyAlignment="1">
      <x:alignment horizontal="right" vertical="center"/>
    </x:xf>
    <x:xf numFmtId="203" fontId="21" fillId="0" borderId="0" xfId="0" applyNumberFormat="1" applyFont="1" applyFill="1" applyBorder="1" applyAlignment="1">
      <x:alignment horizontal="right" vertical="center"/>
    </x:xf>
    <x:xf numFmtId="205" fontId="21" fillId="0" borderId="0" xfId="0" applyNumberFormat="1" applyFont="1" applyFill="1" applyBorder="1" applyAlignment="1">
      <x:alignment horizontal="right" vertical="center"/>
    </x:xf>
    <x:xf numFmtId="0" fontId="18" fillId="9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3" fontId="1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/>
    </x:xf>
    <x:xf numFmtId="201" fontId="10" fillId="0" borderId="0" xfId="0" applyNumberFormat="1" applyFont="1" applyFill="1" applyBorder="1" applyAlignment="1">
      <x:alignment horizontal="right"/>
    </x:xf>
    <x:xf numFmtId="207" fontId="6" fillId="0" borderId="0" xfId="0" applyNumberFormat="1" applyFont="1" applyFill="1" applyBorder="1" applyAlignment="1">
      <x:alignment horizontal="right"/>
    </x:xf>
    <x:xf numFmtId="0" fontId="22" fillId="0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23" fillId="11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203" fontId="25" fillId="0" borderId="0" xfId="0" applyNumberFormat="1" applyFont="1" applyFill="1" applyBorder="1"/>
    <x:xf numFmtId="201" fontId="24" fillId="0" borderId="0" xfId="0" applyNumberFormat="1" applyFont="1" applyFill="1" applyBorder="1"/>
    <x:xf numFmtId="201" fontId="26" fillId="0" borderId="0" xfId="0" applyNumberFormat="1" applyFont="1" applyFill="1" applyBorder="1"/>
    <x:xf numFmtId="203" fontId="26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wrapText="1"/>
    </x:xf>
    <x:xf numFmtId="203" fontId="24" fillId="0" borderId="0" xfId="0" applyNumberFormat="1" applyFont="1" applyFill="1" applyBorder="1" applyAlignment="1">
      <x:alignment wrapText="1"/>
    </x:xf>
    <x:xf numFmtId="0" fontId="23" fillId="11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/>
    </x:xf>
    <x:xf numFmtId="203" fontId="25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1" fontId="24" fillId="0" borderId="0" xfId="0" applyNumberFormat="1" applyFont="1" applyFill="1" applyBorder="1" applyAlignment="1">
      <x:alignment vertical="center"/>
    </x:xf>
    <x:xf numFmtId="201" fontId="26" fillId="0" borderId="0" xfId="0" applyNumberFormat="1" applyFont="1" applyFill="1" applyBorder="1" applyAlignment="1">
      <x:alignment vertical="center"/>
    </x:xf>
    <x:xf numFmtId="203" fontId="26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horizontal="right" vertical="center"/>
    </x:xf>
    <x:xf numFmtId="201" fontId="10" fillId="0" borderId="0" xfId="0" applyNumberFormat="1" applyFont="1" applyFill="1" applyBorder="1" applyAlignment="1">
      <x:alignment horizontal="right" vertical="center"/>
    </x:xf>
    <x:xf numFmtId="207" fontId="6" fillId="0" borderId="0" xfId="0" applyNumberFormat="1" applyFont="1" applyFill="1" applyBorder="1" applyAlignment="1">
      <x:alignment horizontal="right" vertical="center"/>
    </x:xf>
    <x:xf numFmtId="0" fontId="5" fillId="11" borderId="0" xfId="0" applyNumberFormat="1" applyFont="1" applyFill="1" applyBorder="1" applyAlignment="1">
      <x:alignment vertical="center" wrapText="1"/>
    </x:xf>
    <x:xf numFmtId="203" fontId="24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horizontal="right"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203" fontId="20" fillId="0" borderId="0" xfId="0" applyNumberFormat="1" applyFont="1" applyFill="1" applyBorder="1" applyAlignment="1">
      <x:alignment vertical="center"/>
    </x:xf>
    <x:xf numFmtId="203" fontId="15" fillId="0" borderId="0" xfId="0" applyNumberFormat="1" applyFont="1" applyFill="1" applyBorder="1" applyAlignment="1">
      <x:alignment horizontal="right" vertical="center"/>
    </x:xf>
    <x:xf numFmtId="201" fontId="19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horizontal="right" vertical="center"/>
    </x:xf>
    <x:xf numFmtId="201" fontId="21" fillId="0" borderId="0" xfId="0" applyNumberFormat="1" applyFont="1" applyFill="1" applyBorder="1" applyAlignment="1">
      <x:alignment horizontal="right" vertical="center"/>
    </x:xf>
    <x:xf numFmtId="207" fontId="15" fillId="0" borderId="0" xfId="0" applyNumberFormat="1" applyFont="1" applyFill="1" applyBorder="1" applyAlignment="1">
      <x:alignment horizontal="right" vertical="center"/>
    </x:xf>
    <x:xf numFmtId="203" fontId="19" fillId="0" borderId="0" xfId="0" applyNumberFormat="1" applyFont="1" applyFill="1" applyBorder="1" applyAlignment="1">
      <x:alignment vertical="center" wrapText="1"/>
    </x:xf>
    <x:xf numFmtId="203" fontId="19" fillId="0" borderId="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27" fillId="13" borderId="0" xfId="0" applyNumberFormat="1" applyFont="1" applyFill="1" applyBorder="1" applyAlignment="1">
      <x:alignment horizontal="center" vertical="center"/>
    </x:xf>
    <x:xf numFmtId="201" fontId="3" fillId="3" borderId="0" xfId="0" applyNumberFormat="1" applyFont="1" applyFill="1" applyBorder="1" applyAlignment="1">
      <x:alignment horizontal="left" vertical="center"/>
    </x:xf>
    <x:xf numFmtId="0" fontId="19" fillId="14" borderId="0" xfId="0" applyNumberFormat="1" applyFont="1" applyFill="1" applyBorder="1" applyAlignment="1">
      <x:alignment vertical="center"/>
    </x:xf>
    <x:xf numFmtId="0" fontId="16" fillId="14" borderId="0" xfId="0" applyNumberFormat="1" applyFont="1" applyFill="1" applyBorder="1" applyAlignment="1">
      <x:alignment horizontal="right" vertical="center"/>
    </x:xf>
    <x:xf numFmtId="0" fontId="15" fillId="14" borderId="0" xfId="0" applyNumberFormat="1" applyFont="1" applyFill="1" applyBorder="1" applyAlignment="1">
      <x:alignment vertical="center" wrapText="1"/>
    </x:xf>
    <x:xf numFmtId="203" fontId="16" fillId="14" borderId="0" xfId="0" applyNumberFormat="1" applyFont="1" applyFill="1" applyBorder="1" applyAlignment="1">
      <x:alignment horizontal="right" vertical="center"/>
    </x:xf>
    <x:xf numFmtId="0" fontId="18" fillId="14" borderId="0" xfId="0" applyNumberFormat="1" applyFont="1" applyFill="1" applyBorder="1" applyAlignment="1">
      <x:alignment horizontal="left" vertical="center"/>
    </x:xf>
    <x:xf numFmtId="0" fontId="5" fillId="14" borderId="0" xfId="0" applyNumberFormat="1" applyFont="1" applyFill="1" applyBorder="1" applyAlignment="1">
      <x:alignment horizontal="right"/>
    </x:xf>
    <x:xf numFmtId="201" fontId="0" fillId="14" borderId="0" xfId="0" applyNumberFormat="1" applyFont="1" applyFill="1" applyBorder="1"/>
    <x:xf numFmtId="203" fontId="10" fillId="14" borderId="0" xfId="0" applyNumberFormat="1" applyFont="1" applyFill="1" applyBorder="1"/>
    <x:xf numFmtId="203" fontId="12" fillId="14" borderId="2" xfId="0" applyNumberFormat="1" applyFont="1" applyFill="1" applyBorder="1"/>
    <x:xf numFmtId="0" fontId="19" fillId="14" borderId="0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vertical="center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horizontal="left"/>
    </x:xf>
    <x:xf numFmtId="0" fontId="17" fillId="2" borderId="0" xfId="0" applyNumberFormat="1" applyFont="1" applyFill="1" applyBorder="1" applyAlignment="1">
      <x:alignment horizontal="left" vertical="center"/>
    </x:xf>
    <x:xf numFmtId="0" fontId="5" fillId="7" borderId="0" xfId="0" applyNumberFormat="1" applyFont="1" applyFill="1" applyBorder="1" applyAlignment="1">
      <x:alignment horizontal="right" vertical="center"/>
    </x:xf>
    <x:xf numFmtId="0" fontId="5" fillId="7" borderId="0" xfId="0" applyNumberFormat="1" applyFont="1" applyFill="1" applyBorder="1" applyAlignment="1">
      <x:alignment horizontal="left" vertical="center"/>
    </x:xf>
    <x:xf numFmtId="203" fontId="5" fillId="6" borderId="0" xfId="0" applyNumberFormat="1" applyFont="1" applyFill="1" applyBorder="1" applyAlignment="1">
      <x:alignment horizontal="right"/>
    </x:xf>
    <x:xf numFmtId="0" fontId="5" fillId="6" borderId="0" xfId="0" applyNumberFormat="1" applyFont="1" applyFill="1" applyBorder="1" applyAlignment="1">
      <x:alignment vertical="center"/>
    </x:xf>
    <x:xf numFmtId="203" fontId="5" fillId="6" borderId="0" xfId="0" applyNumberFormat="1" applyFont="1" applyFill="1" applyBorder="1" applyAlignment="1">
      <x:alignment horizontal="right" vertical="center"/>
    </x:xf>
    <x:xf numFmtId="0" fontId="17" fillId="2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horizontal="left" vertical="center"/>
    </x:xf>
    <x:xf numFmtId="0" fontId="16" fillId="7" borderId="0" xfId="0" applyNumberFormat="1" applyFont="1" applyFill="1" applyBorder="1" applyAlignment="1">
      <x:alignment horizontal="left" vertical="center"/>
    </x:xf>
    <x:xf numFmtId="0" fontId="16" fillId="7" borderId="0" xfId="0" applyNumberFormat="1" applyFont="1" applyFill="1" applyBorder="1" applyAlignment="1">
      <x:alignment horizontal="right" vertical="center"/>
    </x:xf>
    <x:xf numFmtId="0" fontId="16" fillId="6" borderId="0" xfId="0" applyNumberFormat="1" applyFont="1" applyFill="1" applyBorder="1" applyAlignment="1">
      <x:alignment vertical="center"/>
    </x:xf>
    <x:xf numFmtId="203" fontId="16" fillId="6" borderId="0" xfId="0" applyNumberFormat="1" applyFont="1" applyFill="1" applyBorder="1" applyAlignment="1">
      <x:alignment horizontal="right" vertical="center"/>
    </x:xf>
    <x:xf numFmtId="0" fontId="18" fillId="2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wrapText="1"/>
    </x:xf>
    <x:xf numFmtId="0" fontId="23" fillId="7" borderId="0" xfId="0" applyNumberFormat="1" applyFont="1" applyFill="1" applyBorder="1" applyAlignment="1">
      <x:alignment wrapText="1"/>
    </x:xf>
    <x:xf numFmtId="0" fontId="2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9" fillId="4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 applyAlignment="1">
      <x:alignment horizontal="right" vertical="center"/>
    </x:xf>
    <x:xf numFmtId="0" fontId="15" fillId="4" borderId="0" xfId="0" applyNumberFormat="1" applyFont="1" applyFill="1" applyBorder="1" applyAlignment="1">
      <x:alignment vertical="center" wrapText="1"/>
    </x:xf>
    <x:xf numFmtId="203" fontId="16" fillId="4" borderId="0" xfId="0" applyNumberFormat="1" applyFont="1" applyFill="1" applyBorder="1" applyAlignment="1">
      <x:alignment horizontal="right" vertical="center"/>
    </x:xf>
    <x:xf numFmtId="0" fontId="18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right"/>
    </x:xf>
    <x:xf numFmtId="201" fontId="0" fillId="4" borderId="0" xfId="0" applyNumberFormat="1" applyFont="1" applyFill="1" applyBorder="1"/>
    <x:xf numFmtId="203" fontId="10" fillId="4" borderId="0" xfId="0" applyNumberFormat="1" applyFont="1" applyFill="1" applyBorder="1"/>
    <x:xf numFmtId="203" fontId="12" fillId="4" borderId="2" xfId="0" applyNumberFormat="1" applyFont="1" applyFill="1" applyBorder="1"/>
    <x:xf numFmtId="0" fontId="19" fillId="4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2"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color rgb="FF000000"/>
      </x:font>
      <x:fill>
        <x:patternFill>
          <x:bgColor rgb="FFE2F0D9"/>
        </x:patternFill>
      </x:fill>
    </x:dxf>
    <x:dxf>
      <x:font>
        <x:b/>
        <x:color rgb="FFFF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0bf429da24b02" /><Relationship Type="http://schemas.openxmlformats.org/officeDocument/2006/relationships/theme" Target="/xl/theme/theme1.xml" Id="Rc32a15f8cfc84baa" /><Relationship Type="http://schemas.openxmlformats.org/officeDocument/2006/relationships/sharedStrings" Target="/xl/sharedStrings.xml" Id="R855b4cb7ea264fbf" /><Relationship Type="http://schemas.openxmlformats.org/officeDocument/2006/relationships/worksheet" Target="/xl/worksheets/sheet1.xml" Id="R83d63f9bed22420c" /><Relationship Type="http://schemas.openxmlformats.org/officeDocument/2006/relationships/worksheet" Target="/xl/worksheets/sheet2.xml" Id="R648f239bb6f64626" /><Relationship Type="http://schemas.openxmlformats.org/officeDocument/2006/relationships/worksheet" Target="/xl/worksheets/sheet3.xml" Id="Rd768413c91cd48e7" /><Relationship Type="http://schemas.openxmlformats.org/officeDocument/2006/relationships/worksheet" Target="/xl/worksheets/sheet4.xml" Id="R2bb6172116d94e08" /><Relationship Type="http://schemas.openxmlformats.org/officeDocument/2006/relationships/worksheet" Target="/xl/worksheets/sheet5.xml" Id="Rab7ba2d43e4f4def" /><Relationship Type="http://schemas.openxmlformats.org/officeDocument/2006/relationships/worksheet" Target="/xl/worksheets/sheet6.xml" Id="R90212ea70488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5" customHeight="1">
      <x:c r="A1" s="226" t="str">
        <x:v>Sai Life Sciences Limited - Integrated Three-Statement Model</x:v>
      </x:c>
      <x:c r="B1" s="226" t="str">
        <x:v>Sai Life Sciences Limited - Integrated Three-Statement Model</x:v>
      </x:c>
      <x:c r="C1" s="226" t="str">
        <x:v>Sai Life Sciences Limited - Integrated Three-Statement Model</x:v>
      </x:c>
      <x:c r="D1" s="226" t="str">
        <x:v>Sai Life Sciences Limited - Integrated Three-Statement Model</x:v>
      </x:c>
      <x:c r="E1" s="226" t="str">
        <x:v>Sai Life Sciences Limited - Integrated Three-Statement Model</x:v>
      </x:c>
      <x:c r="F1" s="226" t="str">
        <x:v>Sai Life Sciences Limited - Integrated Three-Statement Model</x:v>
      </x:c>
      <x:c r="G1" s="226" t="str">
        <x:v>Sai Life Sciences Limited - Integrated Three-Statement Model</x:v>
      </x:c>
      <x:c r="H1" s="226" t="str">
        <x:v>Sai Life Sciences Limited - Integrated Three-Statement Model</x:v>
      </x:c>
      <x:c r="I1" s="226" t="str">
        <x:v>Sai Life Sciences Limited - Integrated Three-Statement Model</x:v>
      </x:c>
      <x:c r="J1" s="226" t="str">
        <x:v>Sai Life Sciences Limited - Integrated Three-Statement Model</x:v>
      </x:c>
      <x:c r="K1" s="226" t="str">
        <x:v>Sai Life Sciences Limited - Integrated Three-Statement Model</x:v>
      </x:c>
      <x:c r="L1" s="226" t="str">
        <x:v>Sai Life Sciences Limited - Integrated Three-Statement Model</x:v>
      </x:c>
      <x:c r="M1" s="226" t="str">
        <x:v>Sai Life Sciences Limited - Integrated Three-Statement Model</x:v>
      </x:c>
      <x:c r="N1" s="226" t="str">
        <x:v>Sai Life Sciences Limited - Integrated Three-Statement Model</x:v>
      </x:c>
      <x:c r="O1" s="226" t="str">
        <x:v>Sai Life Sciences Limited - Integrated Three-Statement Model</x:v>
      </x:c>
    </x:row>
    <x:row r="2" ht="30" customHeight="1">
      <x:c r="A2" s="190" t="str">
        <x:v>Single central forecast | All financial values in INR million | FY2026 is derived from reported FY26 results and rounded balance-sheet disclosures</x:v>
      </x:c>
      <x:c r="B2" s="190" t="str">
        <x:v>Single central forecast | All financial values in INR million | FY2026 is derived from reported FY26 results and rounded balance-sheet disclosures</x:v>
      </x:c>
      <x:c r="C2" s="190" t="str">
        <x:v>Single central forecast | All financial values in INR million | FY2026 is derived from reported FY26 results and rounded balance-sheet disclosures</x:v>
      </x:c>
      <x:c r="D2" s="190" t="str">
        <x:v>Single central forecast | All financial values in INR million | FY2026 is derived from reported FY26 results and rounded balance-sheet disclosures</x:v>
      </x:c>
      <x:c r="E2" s="190" t="str">
        <x:v>Single central forecast | All financial values in INR million | FY2026 is derived from reported FY26 results and rounded balance-sheet disclosures</x:v>
      </x:c>
      <x:c r="F2" s="190" t="str">
        <x:v>Single central forecast | All financial values in INR million | FY2026 is derived from reported FY26 results and rounded balance-sheet disclosures</x:v>
      </x:c>
      <x:c r="G2" s="190" t="str">
        <x:v>Single central forecast | All financial values in INR million | FY2026 is derived from reported FY26 results and rounded balance-sheet disclosures</x:v>
      </x:c>
      <x:c r="H2" s="190" t="str">
        <x:v>Single central forecast | All financial values in INR million | FY2026 is derived from reported FY26 results and rounded balance-sheet disclosures</x:v>
      </x:c>
      <x:c r="I2" s="190" t="str">
        <x:v>Single central forecast | All financial values in INR million | FY2026 is derived from reported FY26 results and rounded balance-sheet disclosures</x:v>
      </x:c>
      <x:c r="J2" s="190" t="str">
        <x:v>Single central forecast | All financial values in INR million | FY2026 is derived from reported FY26 results and rounded balance-sheet disclosures</x:v>
      </x:c>
      <x:c r="K2" s="190" t="str">
        <x:v>Single central forecast | All financial values in INR million | FY2026 is derived from reported FY26 results and rounded balance-sheet disclosures</x:v>
      </x:c>
      <x:c r="L2" s="190" t="str">
        <x:v>Single central forecast | All financial values in INR million | FY2026 is derived from reported FY26 results and rounded balance-sheet disclosures</x:v>
      </x:c>
      <x:c r="M2" s="190" t="str">
        <x:v>Single central forecast | All financial values in INR million | FY2026 is derived from reported FY26 results and rounded balance-sheet disclosures</x:v>
      </x:c>
      <x:c r="N2" s="190" t="str">
        <x:v>Single central forecast | All financial values in INR million | FY2026 is derived from reported FY26 results and rounded balance-sheet disclosures</x:v>
      </x:c>
      <x:c r="O2" s="190" t="str">
        <x:v>Single central forecast | All financial values in INR million | FY2026 is derived from reported FY26 results and rounded balance-sheet disclosures</x:v>
      </x:c>
    </x:row>
    <x:row r="3">
      <x:c r="A3" s="227"/>
      <x:c r="B3" s="227"/>
      <x:c r="C3" s="227"/>
      <x:c r="D3" s="227"/>
      <x:c r="E3" s="227"/>
      <x:c r="F3" s="227"/>
      <x:c r="G3" s="298"/>
      <x:c r="H3" s="298"/>
      <x:c r="I3" s="298"/>
      <x:c r="J3" s="298"/>
      <x:c r="K3" s="298"/>
      <x:c r="L3" s="298"/>
      <x:c r="M3" s="298"/>
      <x:c r="N3" s="298"/>
      <x:c r="O3" s="298"/>
    </x:row>
    <x:row r="4" ht="28" customHeight="1">
      <x:c r="A4" s="195" t="str">
        <x:v>Model architecture</x:v>
      </x:c>
      <x:c r="B4" s="194" t="str">
        <x:v>Single central case</x:v>
      </x:c>
      <x:c r="C4" s="194"/>
      <x:c r="D4" s="195" t="str">
        <x:v>Model base date</x:v>
      </x:c>
      <x:c r="E4" s="194" t="str">
        <x:v>31-Mar-2026</x:v>
      </x:c>
      <x:c r="F4" s="194"/>
      <x:c r="G4" s="195" t="str">
        <x:v>Units</x:v>
      </x:c>
      <x:c r="H4" s="194" t="str">
        <x:v>INR million</x:v>
      </x:c>
      <x:c r="I4" s="194"/>
      <x:c r="J4" s="195" t="str">
        <x:v>Forecast horizon</x:v>
      </x:c>
      <x:c r="K4" s="194" t="str">
        <x:v>FY2035</x:v>
      </x:c>
      <x:c r="L4" s="194"/>
      <x:c r="M4" s="195" t="str">
        <x:v>Case structure</x:v>
      </x:c>
      <x:c r="N4" s="194" t="str">
        <x:v>Single central case</x:v>
      </x:c>
      <x:c r="O4" s="227"/>
    </x:row>
    <x:row r="5" ht="28" customHeight="1">
      <x:c r="A5" s="195" t="str">
        <x:v>Revenue design</x:v>
      </x:c>
      <x:c r="B5" s="194" t="str">
        <x:v>CRO driver build + selective named-molecule CDMO model</x:v>
      </x:c>
      <x:c r="C5" s="194"/>
      <x:c r="D5" s="195" t="str">
        <x:v>Historical period</x:v>
      </x:c>
      <x:c r="E5" s="194" t="str">
        <x:v>FY2024A-FY2026A</x:v>
      </x:c>
      <x:c r="F5" s="194"/>
      <x:c r="G5" s="195" t="str">
        <x:v>Model scope</x:v>
      </x:c>
      <x:c r="H5" s="194" t="str">
        <x:v>Consolidated</x:v>
      </x:c>
      <x:c r="I5" s="194"/>
      <x:c r="J5" s="195" t="str">
        <x:v>Quarterly tracker</x:v>
      </x:c>
      <x:c r="K5" s="194" t="str">
        <x:v>Latest 8 quarters</x:v>
      </x:c>
      <x:c r="L5" s="194"/>
      <x:c r="M5" s="195" t="str">
        <x:v>Currency conversion</x:v>
      </x:c>
      <x:c r="N5" s="194" t="str">
        <x:v>₹1 crore = ₹10 million</x:v>
      </x:c>
      <x:c r="O5" s="227"/>
    </x:row>
    <x:row r="6">
      <x:c r="A6" s="227"/>
      <x:c r="B6" s="227"/>
      <x:c r="C6" s="227"/>
      <x:c r="D6" s="227"/>
      <x:c r="E6" s="227"/>
      <x:c r="F6" s="227"/>
      <x:c r="G6" s="227"/>
      <x:c r="H6" s="227"/>
      <x:c r="I6" s="227"/>
      <x:c r="J6" s="227"/>
      <x:c r="K6" s="227"/>
      <x:c r="L6" s="227"/>
      <x:c r="M6" s="227"/>
      <x:c r="N6" s="227"/>
      <x:c r="O6" s="227"/>
    </x:row>
    <x:row r="7" ht="20" customHeight="1">
      <x:c r="A7" s="226" t="str">
        <x:v>Central Revenue and Operating Assumptions</x:v>
      </x:c>
      <x:c r="B7" s="226" t="str">
        <x:v>Central Revenue and Operating Assumptions</x:v>
      </x:c>
      <x:c r="C7" s="226" t="str">
        <x:v>Central Revenue and Operating Assumptions</x:v>
      </x:c>
      <x:c r="D7" s="226" t="str">
        <x:v>Central Revenue and Operating Assumptions</x:v>
      </x:c>
      <x:c r="E7" s="226" t="str">
        <x:v>Central Revenue and Operating Assumptions</x:v>
      </x:c>
      <x:c r="F7" s="226" t="str">
        <x:v>Central Revenue and Operating Assumptions</x:v>
      </x:c>
      <x:c r="G7" s="226" t="str">
        <x:v>Central Revenue and Operating Assumptions</x:v>
      </x:c>
      <x:c r="H7" s="226" t="str">
        <x:v>Central Revenue and Operating Assumptions</x:v>
      </x:c>
      <x:c r="I7" s="226" t="str">
        <x:v>Central Revenue and Operating Assumptions</x:v>
      </x:c>
      <x:c r="J7" s="226" t="str">
        <x:v>Central Revenue and Operating Assumptions</x:v>
      </x:c>
      <x:c r="K7" s="226" t="str">
        <x:v>Central Revenue and Operating Assumptions</x:v>
      </x:c>
      <x:c r="L7" s="226" t="str">
        <x:v>Central Revenue and Operating Assumptions</x:v>
      </x:c>
      <x:c r="M7" s="226" t="str">
        <x:v>Central Revenue and Operating Assumptions</x:v>
      </x:c>
      <x:c r="N7" s="226" t="str">
        <x:v>Central Revenue and Operating Assumptions</x:v>
      </x:c>
      <x:c r="O7" s="226" t="str">
        <x:v>Central Revenue and Operating Assumptions</x:v>
      </x:c>
    </x:row>
    <x:row r="8" ht="20" customHeight="1">
      <x:c r="A8" s="228" t="str">
        <x:v>Driver</x:v>
      </x:c>
      <x:c r="B8" s="228" t="str">
        <x:v>Units</x:v>
      </x:c>
      <x:c r="C8" s="228" t="str">
        <x:v>Classification</x:v>
      </x:c>
      <x:c r="D8" s="229" t="str">
        <x:v>FY2024A</x:v>
      </x:c>
      <x:c r="E8" s="229" t="str">
        <x:v>FY2025A</x:v>
      </x:c>
      <x:c r="F8" s="229" t="str">
        <x:v>FY2026A*</x:v>
      </x:c>
      <x:c r="G8" s="299" t="str">
        <x:v>FY2027E</x:v>
      </x:c>
      <x:c r="H8" s="299" t="str">
        <x:v>FY2028E</x:v>
      </x:c>
      <x:c r="I8" s="299" t="str">
        <x:v>FY2029E</x:v>
      </x:c>
      <x:c r="J8" s="299" t="str">
        <x:v>FY2030E</x:v>
      </x:c>
      <x:c r="K8" s="299" t="str">
        <x:v>FY2031E</x:v>
      </x:c>
      <x:c r="L8" s="299" t="str">
        <x:v>FY2032E</x:v>
      </x:c>
      <x:c r="M8" s="299" t="str">
        <x:v>FY2033E</x:v>
      </x:c>
      <x:c r="N8" s="299" t="str">
        <x:v>FY2034E</x:v>
      </x:c>
      <x:c r="O8" s="299" t="str">
        <x:v>FY2035E</x:v>
      </x:c>
    </x:row>
    <x:row r="9">
      <x:c r="A9" s="227" t="str">
        <x:v>Net billable scientific-capacity additions</x:v>
      </x:c>
      <x:c r="B9" s="227" t="str">
        <x:v>FTE</x:v>
      </x:c>
      <x:c r="C9" s="227" t="str">
        <x:v>Input</x:v>
      </x:c>
      <x:c r="D9" s="230"/>
      <x:c r="E9" s="230"/>
      <x:c r="F9" s="230"/>
      <x:c r="G9" s="230" t="n">
        <x:v>420</x:v>
      </x:c>
      <x:c r="H9" s="230" t="n">
        <x:v>380</x:v>
      </x:c>
      <x:c r="I9" s="230" t="n">
        <x:v>350</x:v>
      </x:c>
      <x:c r="J9" s="230" t="n">
        <x:v>320</x:v>
      </x:c>
      <x:c r="K9" s="230" t="n">
        <x:v>300</x:v>
      </x:c>
      <x:c r="L9" s="230" t="n">
        <x:v>280</x:v>
      </x:c>
      <x:c r="M9" s="230" t="n">
        <x:v>260</x:v>
      </x:c>
      <x:c r="N9" s="230" t="n">
        <x:v>240</x:v>
      </x:c>
      <x:c r="O9" s="230" t="n">
        <x:v>220</x:v>
      </x:c>
    </x:row>
    <x:row r="10">
      <x:c r="A10" s="227" t="str">
        <x:v>CRO utilisation</x:v>
      </x:c>
      <x:c r="B10" s="227" t="str">
        <x:v>%</x:v>
      </x:c>
      <x:c r="C10" s="227" t="str">
        <x:v>Input</x:v>
      </x:c>
      <x:c r="D10" s="276"/>
      <x:c r="E10" s="276"/>
      <x:c r="F10" s="276"/>
      <x:c r="G10" s="276" t="n">
        <x:v>0.9</x:v>
      </x:c>
      <x:c r="H10" s="276" t="n">
        <x:v>0.915</x:v>
      </x:c>
      <x:c r="I10" s="276" t="n">
        <x:v>0.925</x:v>
      </x:c>
      <x:c r="J10" s="276" t="n">
        <x:v>0.93</x:v>
      </x:c>
      <x:c r="K10" s="276" t="n">
        <x:v>0.935</x:v>
      </x:c>
      <x:c r="L10" s="276" t="n">
        <x:v>0.94</x:v>
      </x:c>
      <x:c r="M10" s="276" t="n">
        <x:v>0.94</x:v>
      </x:c>
      <x:c r="N10" s="276" t="n">
        <x:v>0.94</x:v>
      </x:c>
      <x:c r="O10" s="276" t="n">
        <x:v>0.94</x:v>
      </x:c>
    </x:row>
    <x:row r="11">
      <x:c r="A11" s="227" t="str">
        <x:v>Revenue per billable scientist growth</x:v>
      </x:c>
      <x:c r="B11" s="227" t="str">
        <x:v>%</x:v>
      </x:c>
      <x:c r="C11" s="227" t="str">
        <x:v>Input</x:v>
      </x:c>
      <x:c r="D11" s="276"/>
      <x:c r="E11" s="276"/>
      <x:c r="F11" s="276"/>
      <x:c r="G11" s="276" t="n">
        <x:v>0.061777069</x:v>
      </x:c>
      <x:c r="H11" s="276" t="n">
        <x:v>0.038071847</x:v>
      </x:c>
      <x:c r="I11" s="276" t="n">
        <x:v>0.038868328</x:v>
      </x:c>
      <x:c r="J11" s="276" t="n">
        <x:v>0.041290218</x:v>
      </x:c>
      <x:c r="K11" s="276" t="n">
        <x:v>0.039176077</x:v>
      </x:c>
      <x:c r="L11" s="276" t="n">
        <x:v>0.040133117</x:v>
      </x:c>
      <x:c r="M11" s="276" t="n">
        <x:v>0.035872141</x:v>
      </x:c>
      <x:c r="N11" s="276" t="n">
        <x:v>0.036420321</x:v>
      </x:c>
      <x:c r="O11" s="276" t="n">
        <x:v>0.036848342</x:v>
      </x:c>
    </x:row>
    <x:row r="12">
      <x:c r="A12" s="227" t="str">
        <x:v>Specific CRO programme / facility adjustment</x:v>
      </x:c>
      <x:c r="B12" s="227" t="str">
        <x:v>INR mn</x:v>
      </x:c>
      <x:c r="C12" s="227" t="str">
        <x:v>Input</x:v>
      </x:c>
      <x:c r="D12" s="230"/>
      <x:c r="E12" s="230"/>
      <x:c r="F12" s="230"/>
      <x:c r="G12" s="230" t="n">
        <x:v>0</x:v>
      </x:c>
      <x:c r="H12" s="230" t="n">
        <x:v>0</x:v>
      </x:c>
      <x:c r="I12" s="230" t="n">
        <x:v>0</x:v>
      </x:c>
      <x:c r="J12" s="230" t="n">
        <x:v>0</x:v>
      </x:c>
      <x:c r="K12" s="230" t="n">
        <x:v>0</x:v>
      </x:c>
      <x:c r="L12" s="230" t="n">
        <x:v>0</x:v>
      </x:c>
      <x:c r="M12" s="230" t="n">
        <x:v>0</x:v>
      </x:c>
      <x:c r="N12" s="230" t="n">
        <x:v>0</x:v>
      </x:c>
      <x:c r="O12" s="230" t="n">
        <x:v>0</x:v>
      </x:c>
    </x:row>
    <x:row r="13">
      <x:c r="A13" s="227" t="str">
        <x:v>Other commercial portfolio growth</x:v>
      </x:c>
      <x:c r="B13" s="227" t="str">
        <x:v>%</x:v>
      </x:c>
      <x:c r="C13" s="227" t="str">
        <x:v>Input</x:v>
      </x:c>
      <x:c r="D13" s="276"/>
      <x:c r="E13" s="276"/>
      <x:c r="F13" s="276"/>
      <x:c r="G13" s="276" t="n">
        <x:v>0.09</x:v>
      </x:c>
      <x:c r="H13" s="276" t="n">
        <x:v>0.09</x:v>
      </x:c>
      <x:c r="I13" s="276" t="n">
        <x:v>0.08</x:v>
      </x:c>
      <x:c r="J13" s="276" t="n">
        <x:v>0.08</x:v>
      </x:c>
      <x:c r="K13" s="276" t="n">
        <x:v>0.07</x:v>
      </x:c>
      <x:c r="L13" s="276" t="n">
        <x:v>0.07</x:v>
      </x:c>
      <x:c r="M13" s="276" t="n">
        <x:v>0.06</x:v>
      </x:c>
      <x:c r="N13" s="276" t="n">
        <x:v>0.06</x:v>
      </x:c>
      <x:c r="O13" s="276" t="n">
        <x:v>0.05</x:v>
      </x:c>
    </x:row>
    <x:row r="14">
      <x:c r="A14" s="227" t="str">
        <x:v>Other development / late-stage portfolio growth</x:v>
      </x:c>
      <x:c r="B14" s="227" t="str">
        <x:v>%</x:v>
      </x:c>
      <x:c r="C14" s="227" t="str">
        <x:v>Input</x:v>
      </x:c>
      <x:c r="D14" s="276"/>
      <x:c r="E14" s="276"/>
      <x:c r="F14" s="276"/>
      <x:c r="G14" s="276" t="n">
        <x:v>0.140077148</x:v>
      </x:c>
      <x:c r="H14" s="276" t="n">
        <x:v>0.110861999</x:v>
      </x:c>
      <x:c r="I14" s="276" t="n">
        <x:v>0.049248564</x:v>
      </x:c>
      <x:c r="J14" s="276" t="n">
        <x:v>0.012642026</x:v>
      </x:c>
      <x:c r="K14" s="276" t="n">
        <x:v>0.068196667</x:v>
      </x:c>
      <x:c r="L14" s="276" t="n">
        <x:v>0.073936142</x:v>
      </x:c>
      <x:c r="M14" s="276" t="n">
        <x:v>0.11516371</x:v>
      </x:c>
      <x:c r="N14" s="276" t="n">
        <x:v>0.152385683</x:v>
      </x:c>
      <x:c r="O14" s="276" t="n">
        <x:v>0.151610395</x:v>
      </x:c>
    </x:row>
    <x:row r="15">
      <x:c r="A15" s="227" t="str">
        <x:v>New-capacity / campaign adjustment</x:v>
      </x:c>
      <x:c r="B15" s="227" t="str">
        <x:v>INR mn</x:v>
      </x:c>
      <x:c r="C15" s="227" t="str">
        <x:v>Input</x:v>
      </x:c>
      <x:c r="D15" s="230"/>
      <x:c r="E15" s="230"/>
      <x:c r="F15" s="230" t="n">
        <x:v>200</x:v>
      </x:c>
      <x:c r="G15" s="230" t="n">
        <x:v>300</x:v>
      </x:c>
      <x:c r="H15" s="230" t="n">
        <x:v>500</x:v>
      </x:c>
      <x:c r="I15" s="230" t="n">
        <x:v>700</x:v>
      </x:c>
      <x:c r="J15" s="230" t="n">
        <x:v>900</x:v>
      </x:c>
      <x:c r="K15" s="230" t="n">
        <x:v>1100</x:v>
      </x:c>
      <x:c r="L15" s="230" t="n">
        <x:v>1300</x:v>
      </x:c>
      <x:c r="M15" s="230" t="n">
        <x:v>1400</x:v>
      </x:c>
      <x:c r="N15" s="230" t="n">
        <x:v>1500</x:v>
      </x:c>
      <x:c r="O15" s="230" t="n">
        <x:v>1600</x:v>
      </x:c>
    </x:row>
    <x:row r="16">
      <x:c r="A16" s="227" t="str">
        <x:v>Cash capital expenditure</x:v>
      </x:c>
      <x:c r="B16" s="227" t="str">
        <x:v>INR mn</x:v>
      </x:c>
      <x:c r="C16" s="227" t="str">
        <x:v>Input</x:v>
      </x:c>
      <x:c r="D16" s="230" t="n">
        <x:v>1816.9</x:v>
      </x:c>
      <x:c r="E16" s="230" t="n">
        <x:v>3692.8</x:v>
      </x:c>
      <x:c r="F16" s="230" t="n">
        <x:v>6330</x:v>
      </x:c>
      <x:c r="G16" s="230" t="n">
        <x:v>12000</x:v>
      </x:c>
      <x:c r="H16" s="230" t="n">
        <x:v>9000</x:v>
      </x:c>
      <x:c r="I16" s="230" t="n">
        <x:v>7500</x:v>
      </x:c>
      <x:c r="J16" s="230" t="n">
        <x:v>6500</x:v>
      </x:c>
      <x:c r="K16" s="230" t="n">
        <x:v>6000</x:v>
      </x:c>
      <x:c r="L16" s="230" t="n">
        <x:v>6000</x:v>
      </x:c>
      <x:c r="M16" s="230" t="n">
        <x:v>6500</x:v>
      </x:c>
      <x:c r="N16" s="230" t="n">
        <x:v>7000</x:v>
      </x:c>
      <x:c r="O16" s="230" t="n">
        <x:v>7500</x:v>
      </x:c>
    </x:row>
    <x:row r="17">
      <x:c r="A17" s="227" t="str">
        <x:v>Other operating expense ratio</x:v>
      </x:c>
      <x:c r="B17" s="227" t="str">
        <x:v>% of revenue</x:v>
      </x:c>
      <x:c r="C17" s="227" t="str">
        <x:v>Input</x:v>
      </x:c>
      <x:c r="D17" s="276" t="n">
        <x:v>0.1531745631</x:v>
      </x:c>
      <x:c r="E17" s="276" t="n">
        <x:v>0.1502965354</x:v>
      </x:c>
      <x:c r="F17" s="276" t="n">
        <x:v>0.1263686131</x:v>
      </x:c>
      <x:c r="G17" s="276" t="n">
        <x:v>0.125</x:v>
      </x:c>
      <x:c r="H17" s="276" t="n">
        <x:v>0.123</x:v>
      </x:c>
      <x:c r="I17" s="276" t="n">
        <x:v>0.121</x:v>
      </x:c>
      <x:c r="J17" s="276" t="n">
        <x:v>0.12</x:v>
      </x:c>
      <x:c r="K17" s="276" t="n">
        <x:v>0.119</x:v>
      </x:c>
      <x:c r="L17" s="276" t="n">
        <x:v>0.118</x:v>
      </x:c>
      <x:c r="M17" s="276" t="n">
        <x:v>0.117</x:v>
      </x:c>
      <x:c r="N17" s="276" t="n">
        <x:v>0.117</x:v>
      </x:c>
      <x:c r="O17" s="276" t="n">
        <x:v>0.116</x:v>
      </x:c>
    </x:row>
    <x:row r="18">
      <x:c r="A18" s="227"/>
      <x:c r="B18" s="227"/>
      <x:c r="C18" s="227"/>
      <x:c r="D18" s="227"/>
      <x:c r="E18" s="227"/>
      <x:c r="F18" s="227"/>
      <x:c r="G18" s="227"/>
      <x:c r="H18" s="227"/>
      <x:c r="I18" s="227"/>
      <x:c r="J18" s="227"/>
      <x:c r="K18" s="227"/>
      <x:c r="L18" s="227"/>
      <x:c r="M18" s="227"/>
      <x:c r="N18" s="227"/>
      <x:c r="O18" s="227"/>
    </x:row>
    <x:row r="19">
      <x:c r="A19" s="227"/>
      <x:c r="B19" s="227"/>
      <x:c r="C19" s="227"/>
      <x:c r="D19" s="227"/>
      <x:c r="E19" s="227"/>
      <x:c r="F19" s="227"/>
      <x:c r="G19" s="227"/>
      <x:c r="H19" s="227"/>
      <x:c r="I19" s="227"/>
      <x:c r="J19" s="227"/>
      <x:c r="K19" s="227"/>
      <x:c r="L19" s="227"/>
      <x:c r="M19" s="227"/>
      <x:c r="N19" s="227"/>
      <x:c r="O19" s="227"/>
    </x:row>
    <x:row r="20" ht="20" customHeight="1">
      <x:c r="A20" s="226" t="str">
        <x:v>Key Financial Summary</x:v>
      </x:c>
      <x:c r="B20" s="226" t="str">
        <x:v>Key Financial Summary</x:v>
      </x:c>
      <x:c r="C20" s="226" t="str">
        <x:v>Key Financial Summary</x:v>
      </x:c>
      <x:c r="D20" s="226" t="str">
        <x:v>Key Financial Summary</x:v>
      </x:c>
      <x:c r="E20" s="226" t="str">
        <x:v>Key Financial Summary</x:v>
      </x:c>
      <x:c r="F20" s="226" t="str">
        <x:v>Key Financial Summary</x:v>
      </x:c>
      <x:c r="G20" s="226" t="str">
        <x:v>Key Financial Summary</x:v>
      </x:c>
      <x:c r="H20" s="226" t="str">
        <x:v>Key Financial Summary</x:v>
      </x:c>
      <x:c r="I20" s="226" t="str">
        <x:v>Key Financial Summary</x:v>
      </x:c>
      <x:c r="J20" s="226" t="str">
        <x:v>Key Financial Summary</x:v>
      </x:c>
      <x:c r="K20" s="226" t="str">
        <x:v>Key Financial Summary</x:v>
      </x:c>
      <x:c r="L20" s="226" t="str">
        <x:v>Key Financial Summary</x:v>
      </x:c>
      <x:c r="M20" s="226" t="str">
        <x:v>Key Financial Summary</x:v>
      </x:c>
      <x:c r="N20" s="226" t="str">
        <x:v>Key Financial Summary</x:v>
      </x:c>
      <x:c r="O20" s="226" t="str">
        <x:v>Key Financial Summary</x:v>
      </x:c>
    </x:row>
    <x:row r="21" ht="20" customHeight="1">
      <x:c r="A21" s="228" t="str">
        <x:v>Metric</x:v>
      </x:c>
      <x:c r="B21" s="228" t="str">
        <x:v>Units</x:v>
      </x:c>
      <x:c r="C21" s="228" t="str">
        <x:v>Source</x:v>
      </x:c>
      <x:c r="D21" s="229" t="str">
        <x:v>FY2024A</x:v>
      </x:c>
      <x:c r="E21" s="229" t="str">
        <x:v>FY2025A</x:v>
      </x:c>
      <x:c r="F21" s="229" t="str">
        <x:v>FY2026A*</x:v>
      </x:c>
      <x:c r="G21" s="299" t="str">
        <x:v>FY2027E</x:v>
      </x:c>
      <x:c r="H21" s="299" t="str">
        <x:v>FY2028E</x:v>
      </x:c>
      <x:c r="I21" s="299" t="str">
        <x:v>FY2029E</x:v>
      </x:c>
      <x:c r="J21" s="299" t="str">
        <x:v>FY2030E</x:v>
      </x:c>
      <x:c r="K21" s="299" t="str">
        <x:v>FY2031E</x:v>
      </x:c>
      <x:c r="L21" s="299" t="str">
        <x:v>FY2032E</x:v>
      </x:c>
      <x:c r="M21" s="299" t="str">
        <x:v>FY2033E</x:v>
      </x:c>
      <x:c r="N21" s="299" t="str">
        <x:v>FY2034E</x:v>
      </x:c>
      <x:c r="O21" s="299" t="str">
        <x:v>FY2035E</x:v>
      </x:c>
    </x:row>
    <x:row r="22">
      <x:c r="A22" s="231" t="str">
        <x:v>Revenue from operations</x:v>
      </x:c>
      <x:c r="B22" s="231" t="str">
        <x:v>INR mn</x:v>
      </x:c>
      <x:c r="C22" s="231" t="str">
        <x:v>Three Statements</x:v>
      </x:c>
      <x:c r="D22" s="232" t="n">
        <x:f>'Three Statements'!D6</x:f>
        <x:v>14651.78</x:v>
      </x:c>
      <x:c r="E22" s="232" t="n">
        <x:f>'Three Statements'!E6</x:f>
        <x:v>16945.7</x:v>
      </x:c>
      <x:c r="F22" s="232" t="n">
        <x:f>'Three Statements'!F6</x:f>
        <x:v>21920</x:v>
      </x:c>
      <x:c r="G22" s="232" t="n">
        <x:f>'Three Statements'!G6</x:f>
        <x:v>26337.914401174603</x:v>
      </x:c>
      <x:c r="H22" s="232" t="n">
        <x:f>'Three Statements'!H6</x:f>
        <x:v>31756.9169159839</x:v>
      </x:c>
      <x:c r="I22" s="232" t="n">
        <x:f>'Three Statements'!I6</x:f>
        <x:v>37195.983486240424</x:v>
      </x:c>
      <x:c r="J22" s="232" t="n">
        <x:f>'Three Statements'!J6</x:f>
        <x:v>42671.78527072254</x:v>
      </x:c>
      <x:c r="K22" s="232" t="n">
        <x:f>'Three Statements'!K6</x:f>
        <x:v>48177.64098596449</x:v>
      </x:c>
      <x:c r="L22" s="232" t="n">
        <x:f>'Three Statements'!L6</x:f>
        <x:v>53624.492618010685</x:v>
      </x:c>
      <x:c r="M22" s="232" t="n">
        <x:f>'Three Statements'!M6</x:f>
        <x:v>58857.92669824242</x:v>
      </x:c>
      <x:c r="N22" s="232" t="n">
        <x:f>'Three Statements'!N6</x:f>
        <x:v>64157.29817598562</x:v>
      </x:c>
      <x:c r="O22" s="232" t="n">
        <x:f>'Three Statements'!O6</x:f>
        <x:v>69586.26669774196</x:v>
      </x:c>
    </x:row>
    <x:row r="23">
      <x:c r="A23" s="227" t="str">
        <x:v>YoY growth</x:v>
      </x:c>
      <x:c r="B23" s="227" t="str">
        <x:v>%</x:v>
      </x:c>
      <x:c r="C23" s="227" t="str">
        <x:v>Calculated</x:v>
      </x:c>
      <x:c r="D23" s="233" t="str">
        <x:v>-</x:v>
      </x:c>
      <x:c r="E23" s="234" t="n">
        <x:f>E22/D22-1</x:f>
        <x:v>0.15656254734919584</x:v>
      </x:c>
      <x:c r="F23" s="234" t="n">
        <x:f>F22/E22-1</x:f>
        <x:v>0.2935434948098927</x:v>
      </x:c>
      <x:c r="G23" s="234" t="n">
        <x:f>G22/F22-1</x:f>
        <x:v>0.20154718983460773</x:v>
      </x:c>
      <x:c r="H23" s="234" t="n">
        <x:f>H22/G22-1</x:f>
        <x:v>0.20574911256327955</x:v>
      </x:c>
      <x:c r="I23" s="234" t="n">
        <x:f>I22/H22-1</x:f>
        <x:v>0.17127187077530603</x:v>
      </x:c>
      <x:c r="J23" s="234" t="n">
        <x:f>J22/I22-1</x:f>
        <x:v>0.14721486760815794</x:v>
      </x:c>
      <x:c r="K23" s="234" t="n">
        <x:f>K22/J22-1</x:f>
        <x:v>0.1290280141857474</x:v>
      </x:c>
      <x:c r="L23" s="234" t="n">
        <x:f>L22/K22-1</x:f>
        <x:v>0.11305766576725951</x:v>
      </x:c>
      <x:c r="M23" s="234" t="n">
        <x:f>M22/L22-1</x:f>
        <x:v>0.09759409972438604</x:v>
      </x:c>
      <x:c r="N23" s="234" t="n">
        <x:f>N22/M22-1</x:f>
        <x:v>0.09003666583283576</x:v>
      </x:c>
      <x:c r="O23" s="234" t="n">
        <x:f>O22/N22-1</x:f>
        <x:v>0.08461965631508517</x:v>
      </x:c>
    </x:row>
    <x:row r="24">
      <x:c r="A24" s="227" t="str">
        <x:v>CRO / Discovery revenue</x:v>
      </x:c>
      <x:c r="B24" s="227" t="str">
        <x:v>INR mn</x:v>
      </x:c>
      <x:c r="C24" s="227" t="str">
        <x:v>Revenue Model</x:v>
      </x:c>
      <x:c r="D24" s="235" t="n">
        <x:f>'Revenue Model'!D6</x:f>
        <x:v>4971.7</x:v>
      </x:c>
      <x:c r="E24" s="235" t="n">
        <x:f>'Revenue Model'!E6</x:f>
        <x:v>6260</x:v>
      </x:c>
      <x:c r="F24" s="235" t="n">
        <x:f>'Revenue Model'!F6</x:f>
        <x:v>7750</x:v>
      </x:c>
      <x:c r="G24" s="235" t="n">
        <x:f>'Revenue Model'!G6</x:f>
        <x:v>9341.252191314605</x:v>
      </x:c>
      <x:c r="H24" s="235" t="n">
        <x:f>'Revenue Model'!H6</x:f>
        <x:v>11369.387873567057</x:v>
      </x:c>
      <x:c r="I24" s="235" t="n">
        <x:f>'Revenue Model'!I6</x:f>
        <x:v>13388.302282039704</x:v>
      </x:c>
      <x:c r="J24" s="235" t="n">
        <x:f>'Revenue Model'!J6</x:f>
        <x:v>15407.7295308324</x:v>
      </x:c>
      <x:c r="K24" s="235" t="n">
        <x:f>'Revenue Model'!K6</x:f>
        <x:v>17442.494399664705</x:v>
      </x:c>
      <x:c r="L24" s="235" t="n">
        <x:f>'Revenue Model'!L6</x:f>
        <x:v>19555.322212099272</x:v>
      </x:c>
      <x:c r="M24" s="235" t="n">
        <x:f>'Revenue Model'!M6</x:f>
        <x:v>21525.801803732706</x:v>
      </x:c>
      <x:c r="N24" s="235" t="n">
        <x:f>'Revenue Model'!N6</x:f>
        <x:v>23527.561079792566</x:v>
      </x:c>
      <x:c r="O24" s="235" t="n">
        <x:f>'Revenue Model'!O6</x:f>
        <x:v>25556.156158643164</x:v>
      </x:c>
    </x:row>
    <x:row r="25">
      <x:c r="A25" s="227" t="str">
        <x:v>CDMO / CMC revenue</x:v>
      </x:c>
      <x:c r="B25" s="227" t="str">
        <x:v>INR mn</x:v>
      </x:c>
      <x:c r="C25" s="227" t="str">
        <x:v>Revenue Model</x:v>
      </x:c>
      <x:c r="D25" s="235" t="n">
        <x:f>'Revenue Model'!D7</x:f>
        <x:v>9680.08</x:v>
      </x:c>
      <x:c r="E25" s="235" t="n">
        <x:f>'Revenue Model'!E7</x:f>
        <x:v>10685.7</x:v>
      </x:c>
      <x:c r="F25" s="235" t="n">
        <x:f>'Revenue Model'!F7</x:f>
        <x:v>14170</x:v>
      </x:c>
      <x:c r="G25" s="235" t="n">
        <x:f>'Revenue Model'!G7</x:f>
        <x:v>16996.66220986</x:v>
      </x:c>
      <x:c r="H25" s="235" t="n">
        <x:f>'Revenue Model'!H7</x:f>
        <x:v>20387.52904241684</x:v>
      </x:c>
      <x:c r="I25" s="235" t="n">
        <x:f>'Revenue Model'!I7</x:f>
        <x:v>23807.681204200722</x:v>
      </x:c>
      <x:c r="J25" s="235" t="n">
        <x:f>'Revenue Model'!J7</x:f>
        <x:v>27264.055739890144</x:v>
      </x:c>
      <x:c r="K25" s="235" t="n">
        <x:f>'Revenue Model'!K7</x:f>
        <x:v>30735.14658629979</x:v>
      </x:c>
      <x:c r="L25" s="235" t="n">
        <x:f>'Revenue Model'!L7</x:f>
        <x:v>34069.17040591141</x:v>
      </x:c>
      <x:c r="M25" s="235" t="n">
        <x:f>'Revenue Model'!M7</x:f>
        <x:v>37332.12489450972</x:v>
      </x:c>
      <x:c r="N25" s="235" t="n">
        <x:f>'Revenue Model'!N7</x:f>
        <x:v>40629.73709619306</x:v>
      </x:c>
      <x:c r="O25" s="235" t="n">
        <x:f>'Revenue Model'!O7</x:f>
        <x:v>44030.11053909879</x:v>
      </x:c>
    </x:row>
    <x:row r="26">
      <x:c r="A26" s="227" t="str">
        <x:v>CRO mix</x:v>
      </x:c>
      <x:c r="B26" s="227" t="str">
        <x:v>%</x:v>
      </x:c>
      <x:c r="C26" s="227" t="str">
        <x:v>Calculated</x:v>
      </x:c>
      <x:c r="D26" s="234" t="n">
        <x:f>D24/D22</x:f>
        <x:v>0.33932395927320774</x:v>
      </x:c>
      <x:c r="E26" s="234" t="n">
        <x:f>E24/E22</x:f>
        <x:v>0.36941524988640184</x:v>
      </x:c>
      <x:c r="F26" s="234" t="n">
        <x:f>F24/F22</x:f>
        <x:v>0.35355839416058393</x:v>
      </x:c>
      <x:c r="G26" s="234" t="n">
        <x:f>G24/G22</x:f>
        <x:v>0.35466939595255154</x:v>
      </x:c>
      <x:c r="H26" s="234" t="n">
        <x:f>H24/H22</x:f>
        <x:v>0.3580129615115318</x:v>
      </x:c>
      <x:c r="I26" s="234" t="n">
        <x:f>I24/I22</x:f>
        <x:v>0.3599394619312141</x:v>
      </x:c>
      <x:c r="J26" s="234" t="n">
        <x:f>J24/J22</x:f>
        <x:v>0.3610753436511073</x:v>
      </x:c>
      <x:c r="K26" s="234" t="n">
        <x:f>K24/K22</x:f>
        <x:v>0.3620454227874336</x:v>
      </x:c>
      <x:c r="L26" s="234" t="n">
        <x:f>L24/L22</x:f>
        <x:v>0.3646714636798501</x:v>
      </x:c>
      <x:c r="M26" s="234" t="n">
        <x:f>M24/M22</x:f>
        <x:v>0.36572477168781237</x:v>
      </x:c>
      <x:c r="N26" s="234" t="n">
        <x:f>N24/N22</x:f>
        <x:v>0.3667168311118039</x:v>
      </x:c>
      <x:c r="O26" s="234" t="n">
        <x:f>O24/O22</x:f>
        <x:v>0.36725861827952394</x:v>
      </x:c>
    </x:row>
    <x:row r="27">
      <x:c r="A27" s="227" t="str">
        <x:v>CDMO mix</x:v>
      </x:c>
      <x:c r="B27" s="227" t="str">
        <x:v>%</x:v>
      </x:c>
      <x:c r="C27" s="227" t="str">
        <x:v>Calculated</x:v>
      </x:c>
      <x:c r="D27" s="234" t="n">
        <x:f>D25/D22</x:f>
        <x:v>0.6606760407267922</x:v>
      </x:c>
      <x:c r="E27" s="234" t="n">
        <x:f>E25/E22</x:f>
        <x:v>0.6305847501135982</x:v>
      </x:c>
      <x:c r="F27" s="234" t="n">
        <x:f>F25/F22</x:f>
        <x:v>0.646441605839416</x:v>
      </x:c>
      <x:c r="G27" s="234" t="n">
        <x:f>G25/G22</x:f>
        <x:v>0.6453306040474485</x:v>
      </x:c>
      <x:c r="H27" s="234" t="n">
        <x:f>H25/H22</x:f>
        <x:v>0.6419870384884682</x:v>
      </x:c>
      <x:c r="I27" s="234" t="n">
        <x:f>I25/I22</x:f>
        <x:v>0.6400605380687859</x:v>
      </x:c>
      <x:c r="J27" s="234" t="n">
        <x:f>J25/J22</x:f>
        <x:v>0.6389246563488928</x:v>
      </x:c>
      <x:c r="K27" s="234" t="n">
        <x:f>K25/K22</x:f>
        <x:v>0.6379545772125664</x:v>
      </x:c>
      <x:c r="L27" s="234" t="n">
        <x:f>L25/L22</x:f>
        <x:v>0.63532853632015</x:v>
      </x:c>
      <x:c r="M27" s="234" t="n">
        <x:f>M25/M22</x:f>
        <x:v>0.6342752283121876</x:v>
      </x:c>
      <x:c r="N27" s="234" t="n">
        <x:f>N25/N22</x:f>
        <x:v>0.6332831688881961</x:v>
      </x:c>
      <x:c r="O27" s="234" t="n">
        <x:f>O25/O22</x:f>
        <x:v>0.6327413817204759</x:v>
      </x:c>
    </x:row>
    <x:row r="28">
      <x:c r="A28" s="231" t="str">
        <x:v>EBITDA</x:v>
      </x:c>
      <x:c r="B28" s="231" t="str">
        <x:v>INR mn</x:v>
      </x:c>
      <x:c r="C28" s="231" t="str">
        <x:v>Three Statements</x:v>
      </x:c>
      <x:c r="D28" s="232" t="n">
        <x:f>'Three Statements'!D11</x:f>
        <x:v>3001.149999999999</x:v>
      </x:c>
      <x:c r="E28" s="232" t="n">
        <x:f>'Three Statements'!E11</x:f>
        <x:v>4250.000000000001</x:v>
      </x:c>
      <x:c r="F28" s="232" t="n">
        <x:f>'Three Statements'!F11</x:f>
        <x:v>6610</x:v>
      </x:c>
      <x:c r="G28" s="232" t="n">
        <x:f>'Three Statements'!G11</x:f>
        <x:v>7641.783997928315</x:v>
      </x:c>
      <x:c r="H28" s="232" t="n">
        <x:f>'Three Statements'!H11</x:f>
        <x:v>9560.630448946271</x:v>
      </x:c>
      <x:c r="I28" s="232" t="n">
        <x:f>'Three Statements'!I11</x:f>
        <x:v>11535.578849989908</x:v>
      </x:c>
      <x:c r="J28" s="232" t="n">
        <x:f>'Three Statements'!J11</x:f>
        <x:v>13556.502832462858</x:v>
      </x:c>
      <x:c r="K28" s="232" t="n">
        <x:f>'Three Statements'!K11</x:f>
        <x:v>15616.133787475195</x:v>
      </x:c>
      <x:c r="L28" s="232" t="n">
        <x:f>'Three Statements'!L11</x:f>
        <x:v>17636.173396060043</x:v>
      </x:c>
      <x:c r="M28" s="232" t="n">
        <x:f>'Three Statements'!M11</x:f>
        <x:v>19430.083173352443</x:v>
      </x:c>
      <x:c r="N28" s="232" t="n">
        <x:f>'Three Statements'!N11</x:f>
        <x:v>21263.054182311294</x:v>
      </x:c>
      <x:c r="O28" s="232" t="n">
        <x:f>'Three Statements'!O11</x:f>
        <x:v>23178.234009617096</x:v>
      </x:c>
    </x:row>
    <x:row r="29">
      <x:c r="A29" s="227" t="str">
        <x:v>EBITDA margin</x:v>
      </x:c>
      <x:c r="B29" s="227" t="str">
        <x:v>%</x:v>
      </x:c>
      <x:c r="C29" s="227" t="str">
        <x:v>Calculated</x:v>
      </x:c>
      <x:c r="D29" s="234" t="n">
        <x:f>D28/D22</x:f>
        <x:v>0.20483176788076254</x:v>
      </x:c>
      <x:c r="E29" s="234" t="n">
        <x:f>E28/E22</x:f>
        <x:v>0.25080108818166263</x:v>
      </x:c>
      <x:c r="F29" s="234" t="n">
        <x:f>F28/F22</x:f>
        <x:v>0.30155109489051096</x:v>
      </x:c>
      <x:c r="G29" s="234" t="n">
        <x:f>G28/G22</x:f>
        <x:v>0.2901438542752463</x:v>
      </x:c>
      <x:c r="H29" s="234" t="n">
        <x:f>H28/H22</x:f>
        <x:v>0.3010566319847697</x:v>
      </x:c>
      <x:c r="I29" s="234" t="n">
        <x:f>I28/I22</x:f>
        <x:v>0.31012969059568385</x:v>
      </x:c>
      <x:c r="J29" s="234" t="n">
        <x:f>J28/J22</x:f>
        <x:v>0.31769242243923845</x:v>
      </x:c>
      <x:c r="K29" s="234" t="n">
        <x:f>K28/K22</x:f>
        <x:v>0.32413653860770425</x:v>
      </x:c>
      <x:c r="L29" s="234" t="n">
        <x:f>L28/L22</x:f>
        <x:v>0.3288828021495655</x:v>
      </x:c>
      <x:c r="M29" s="234" t="n">
        <x:f>M28/M22</x:f>
        <x:v>0.3301183759490572</x:v>
      </x:c>
      <x:c r="N29" s="234" t="n">
        <x:f>N28/N22</x:f>
        <x:v>0.3314206612003209</x:v>
      </x:c>
      <x:c r="O29" s="234" t="n">
        <x:f>O28/O22</x:f>
        <x:v>0.3330863273682308</x:v>
      </x:c>
    </x:row>
    <x:row r="30">
      <x:c r="A30" s="231" t="str">
        <x:v>Profit after tax</x:v>
      </x:c>
      <x:c r="B30" s="231" t="str">
        <x:v>INR mn</x:v>
      </x:c>
      <x:c r="C30" s="231" t="str">
        <x:v>Three Statements</x:v>
      </x:c>
      <x:c r="D30" s="232" t="n">
        <x:f>'Three Statements'!D23</x:f>
        <x:v>828.0899999999992</x:v>
      </x:c>
      <x:c r="E30" s="232" t="n">
        <x:f>'Three Statements'!E23</x:f>
        <x:v>1701.320000000001</x:v>
      </x:c>
      <x:c r="F30" s="232" t="n">
        <x:f>'Three Statements'!F23</x:f>
        <x:v>3490</x:v>
      </x:c>
      <x:c r="G30" s="232" t="n">
        <x:f>'Three Statements'!G23</x:f>
        <x:v>4378.404245047997</x:v>
      </x:c>
      <x:c r="H30" s="232" t="n">
        <x:f>'Three Statements'!H23</x:f>
        <x:v>5175.0984114101675</x:v>
      </x:c>
      <x:c r="I30" s="232" t="n">
        <x:f>'Three Statements'!I23</x:f>
        <x:v>6092.567865136975</x:v>
      </x:c>
      <x:c r="J30" s="232" t="n">
        <x:f>'Three Statements'!J23</x:f>
        <x:v>7299.522028892974</x:v>
      </x:c>
      <x:c r="K30" s="232" t="n">
        <x:f>'Three Statements'!K23</x:f>
        <x:v>8732.428772573656</x:v>
      </x:c>
      <x:c r="L30" s="232" t="n">
        <x:f>'Three Statements'!L23</x:f>
        <x:v>10282.810043484436</x:v>
      </x:c>
      <x:c r="M30" s="232" t="n">
        <x:f>'Three Statements'!M23</x:f>
        <x:v>11735.896891469438</x:v>
      </x:c>
      <x:c r="N30" s="232" t="n">
        <x:f>'Three Statements'!N23</x:f>
        <x:v>13253.234022620794</x:v>
      </x:c>
      <x:c r="O30" s="232" t="n">
        <x:f>'Three Statements'!O23</x:f>
        <x:v>14852.746517194277</x:v>
      </x:c>
    </x:row>
    <x:row r="31">
      <x:c r="A31" s="227" t="str">
        <x:v>PAT margin</x:v>
      </x:c>
      <x:c r="B31" s="227" t="str">
        <x:v>%</x:v>
      </x:c>
      <x:c r="C31" s="227" t="str">
        <x:v>Calculated</x:v>
      </x:c>
      <x:c r="D31" s="234" t="n">
        <x:f>D30/D22</x:f>
        <x:v>0.05651804763653284</x:v>
      </x:c>
      <x:c r="E31" s="234" t="n">
        <x:f>E30/E22</x:f>
        <x:v>0.10039833114005328</x:v>
      </x:c>
      <x:c r="F31" s="234" t="n">
        <x:f>F30/F22</x:f>
        <x:v>0.15921532846715328</x:v>
      </x:c>
      <x:c r="G31" s="234" t="n">
        <x:f>G30/G22</x:f>
        <x:v>0.16623959582968087</x:v>
      </x:c>
      <x:c r="H31" s="234" t="n">
        <x:f>H30/H22</x:f>
        <x:v>0.16295972386429727</x:v>
      </x:c>
      <x:c r="I31" s="234" t="n">
        <x:f>I30/I22</x:f>
        <x:v>0.16379639127947093</x:v>
      </x:c>
      <x:c r="J31" s="234" t="n">
        <x:f>J30/J22</x:f>
        <x:v>0.17106202570580603</x:v>
      </x:c>
      <x:c r="K31" s="234" t="n">
        <x:f>K30/K22</x:f>
        <x:v>0.18125480189280457</x:v>
      </x:c>
      <x:c r="L31" s="234" t="n">
        <x:f>L30/L22</x:f>
        <x:v>0.19175584777525304</x:v>
      </x:c>
      <x:c r="M31" s="234" t="n">
        <x:f>M30/M22</x:f>
        <x:v>0.19939365094591222</x:v>
      </x:c>
      <x:c r="N31" s="234" t="n">
        <x:f>N30/N22</x:f>
        <x:v>0.20657406716639984</x:v>
      </x:c>
      <x:c r="O31" s="234" t="n">
        <x:f>O30/O22</x:f>
        <x:v>0.21344364659925408</x:v>
      </x:c>
    </x:row>
    <x:row r="32">
      <x:c r="A32" s="227" t="str">
        <x:v>Diluted EPS</x:v>
      </x:c>
      <x:c r="B32" s="227" t="str">
        <x:v>INR/share</x:v>
      </x:c>
      <x:c r="C32" s="227" t="str">
        <x:v>Three Statements</x:v>
      </x:c>
      <x:c r="D32" s="236" t="n">
        <x:f>'Three Statements'!D26</x:f>
        <x:v>4.530032822757107</x:v>
      </x:c>
      <x:c r="E32" s="236" t="n">
        <x:f>'Three Statements'!E26</x:f>
        <x:v>8.609919028340087</x:v>
      </x:c>
      <x:c r="F32" s="236" t="n">
        <x:f>'Three Statements'!F26</x:f>
        <x:v>16.698564593301434</x:v>
      </x:c>
      <x:c r="G32" s="236" t="n">
        <x:f>'Three Statements'!G26</x:f>
        <x:v>20.845077221776275</x:v>
      </x:c>
      <x:c r="H32" s="236" t="n">
        <x:f>'Three Statements'!H26</x:f>
        <x:v>24.515468843078608</x:v>
      </x:c>
      <x:c r="I32" s="236" t="n">
        <x:f>'Three Statements'!I26</x:f>
        <x:v>28.718113269619657</x:v>
      </x:c>
      <x:c r="J32" s="236" t="n">
        <x:f>'Three Statements'!J26</x:f>
        <x:v>34.2360687962986</x:v>
      </x:c>
      <x:c r="K32" s="236" t="n">
        <x:f>'Three Statements'!K26</x:f>
        <x:v>40.752894202425594</x:v>
      </x:c>
      <x:c r="L32" s="236" t="n">
        <x:f>'Three Statements'!L26</x:f>
        <x:v>47.74953607430436</x:v>
      </x:c>
      <x:c r="M32" s="236" t="n">
        <x:f>'Three Statements'!M26</x:f>
        <x:v>54.22599963988195</x:v>
      </x:c>
      <x:c r="N32" s="236" t="n">
        <x:f>'Three Statements'!N26</x:f>
        <x:v>60.93223193710807</x:v>
      </x:c>
      <x:c r="O32" s="236" t="n">
        <x:f>'Three Statements'!O26</x:f>
        <x:v>67.94631799941418</x:v>
      </x:c>
    </x:row>
    <x:row r="33">
      <x:c r="A33" s="227" t="str">
        <x:v>Capital expenditure</x:v>
      </x:c>
      <x:c r="B33" s="227" t="str">
        <x:v>INR mn</x:v>
      </x:c>
      <x:c r="C33" s="227" t="str">
        <x:v>Supporting Schedules</x:v>
      </x:c>
      <x:c r="D33" s="235" t="n">
        <x:f>'Supporting Schedules'!D32</x:f>
        <x:v>1816.9</x:v>
      </x:c>
      <x:c r="E33" s="235" t="n">
        <x:f>'Supporting Schedules'!E32</x:f>
        <x:v>3692.8</x:v>
      </x:c>
      <x:c r="F33" s="235" t="n">
        <x:f>'Supporting Schedules'!F32</x:f>
        <x:v>6330</x:v>
      </x:c>
      <x:c r="G33" s="235" t="n">
        <x:f>'Supporting Schedules'!G32</x:f>
        <x:v>12000</x:v>
      </x:c>
      <x:c r="H33" s="235" t="n">
        <x:f>'Supporting Schedules'!H32</x:f>
        <x:v>9000</x:v>
      </x:c>
      <x:c r="I33" s="235" t="n">
        <x:f>'Supporting Schedules'!I32</x:f>
        <x:v>7500</x:v>
      </x:c>
      <x:c r="J33" s="235" t="n">
        <x:f>'Supporting Schedules'!J32</x:f>
        <x:v>6500</x:v>
      </x:c>
      <x:c r="K33" s="235" t="n">
        <x:f>'Supporting Schedules'!K32</x:f>
        <x:v>6000</x:v>
      </x:c>
      <x:c r="L33" s="235" t="n">
        <x:f>'Supporting Schedules'!L32</x:f>
        <x:v>6000</x:v>
      </x:c>
      <x:c r="M33" s="235" t="n">
        <x:f>'Supporting Schedules'!M32</x:f>
        <x:v>6500</x:v>
      </x:c>
      <x:c r="N33" s="235" t="n">
        <x:f>'Supporting Schedules'!N32</x:f>
        <x:v>7000</x:v>
      </x:c>
      <x:c r="O33" s="235" t="n">
        <x:f>'Supporting Schedules'!O32</x:f>
        <x:v>7500</x:v>
      </x:c>
    </x:row>
    <x:row r="34">
      <x:c r="A34" s="231" t="str">
        <x:v>Net debt / (cash)</x:v>
      </x:c>
      <x:c r="B34" s="231" t="str">
        <x:v>INR mn</x:v>
      </x:c>
      <x:c r="C34" s="231" t="str">
        <x:v>Calculated</x:v>
      </x:c>
      <x:c r="D34" s="232" t="n">
        <x:f>'Three Statements'!D45+'Three Statements'!D46-'Three Statements'!D37</x:f>
        <x:v>6865.06</x:v>
      </x:c>
      <x:c r="E34" s="232" t="n">
        <x:f>'Three Statements'!E45+'Three Statements'!E46-'Three Statements'!E37</x:f>
        <x:v>375.16999999999985</x:v>
      </x:c>
      <x:c r="F34" s="232" t="n">
        <x:f>'Three Statements'!F45+'Three Statements'!F46-'Three Statements'!F37</x:f>
        <x:v>-150</x:v>
      </x:c>
      <x:c r="G34" s="232" t="n">
        <x:f>'Three Statements'!G45+'Three Statements'!G46-'Three Statements'!G37</x:f>
        <x:v>6554.144556992915</x:v>
      </x:c>
      <x:c r="H34" s="232" t="n">
        <x:f>'Three Statements'!H45+'Three Statements'!H46-'Three Statements'!H37</x:f>
        <x:v>8943.647671494566</x:v>
      </x:c>
      <x:c r="I34" s="232" t="n">
        <x:f>'Three Statements'!I45+'Three Statements'!I46-'Three Statements'!I37</x:f>
        <x:v>8811.261636889463</x:v>
      </x:c>
      <x:c r="J34" s="232" t="n">
        <x:f>'Three Statements'!J45+'Three Statements'!J46-'Three Statements'!J37</x:f>
        <x:v>6167.8355411232005</x:v>
      </x:c>
      <x:c r="K34" s="232" t="n">
        <x:f>'Three Statements'!K45+'Three Statements'!K46-'Three Statements'!K37</x:f>
        <x:v>1126.3515431849046</x:v>
      </x:c>
      <x:c r="L34" s="232" t="n">
        <x:f>'Three Statements'!L45+'Three Statements'!L46-'Three Statements'!L37</x:f>
        <x:v>-5509.169145638283</x:v>
      </x:c>
      <x:c r="M34" s="232" t="n">
        <x:f>'Three Statements'!M45+'Three Statements'!M46-'Three Statements'!M37</x:f>
        <x:v>-13481.952239602244</x:v>
      </x:c>
      <x:c r="N34" s="232" t="n">
        <x:f>'Three Statements'!N45+'Three Statements'!N46-'Three Statements'!N37</x:f>
        <x:v>-22599.890390765366</x:v>
      </x:c>
      <x:c r="O34" s="232" t="n">
        <x:f>'Three Statements'!O45+'Three Statements'!O46-'Three Statements'!O37</x:f>
        <x:v>-33210.33115512302</x:v>
      </x:c>
    </x:row>
    <x:row r="35">
      <x:c r="A35" s="227"/>
      <x:c r="B35" s="227"/>
      <x:c r="C35" s="227"/>
      <x:c r="D35" s="227"/>
      <x:c r="E35" s="227"/>
      <x:c r="F35" s="227"/>
      <x:c r="G35" s="227"/>
      <x:c r="H35" s="227"/>
      <x:c r="I35" s="227"/>
      <x:c r="J35" s="227"/>
      <x:c r="K35" s="227"/>
      <x:c r="L35" s="227"/>
      <x:c r="M35" s="227"/>
      <x:c r="N35" s="227"/>
      <x:c r="O35" s="227"/>
    </x:row>
    <x:row r="36">
      <x:c r="A36" s="227"/>
      <x:c r="B36" s="227"/>
      <x:c r="C36" s="227"/>
      <x:c r="D36" s="227"/>
      <x:c r="E36" s="227"/>
      <x:c r="F36" s="227"/>
      <x:c r="G36" s="227"/>
      <x:c r="H36" s="227"/>
      <x:c r="I36" s="227"/>
      <x:c r="J36" s="227"/>
      <x:c r="K36" s="227"/>
      <x:c r="L36" s="227"/>
      <x:c r="M36" s="227"/>
      <x:c r="N36" s="227"/>
      <x:c r="O36" s="227"/>
    </x:row>
    <x:row r="37">
      <x:c r="A37" s="237" t="str">
        <x:v>Key Outputs</x:v>
      </x:c>
      <x:c r="B37" s="237" t="str">
        <x:v>Key Outputs</x:v>
      </x:c>
      <x:c r="C37" s="237" t="str">
        <x:v>Key Outputs</x:v>
      </x:c>
      <x:c r="D37" s="237" t="str">
        <x:v>Key Outputs</x:v>
      </x:c>
      <x:c r="E37" s="237" t="str">
        <x:v>Key Outputs</x:v>
      </x:c>
      <x:c r="F37" s="237" t="str">
        <x:v>Key Outputs</x:v>
      </x:c>
      <x:c r="G37" s="227"/>
      <x:c r="H37" s="237" t="str">
        <x:v>Model Conclusions</x:v>
      </x:c>
      <x:c r="I37" s="237" t="str">
        <x:v>Model Conclusions</x:v>
      </x:c>
      <x:c r="J37" s="237" t="str">
        <x:v>Model Conclusions</x:v>
      </x:c>
      <x:c r="K37" s="237" t="str">
        <x:v>Model Conclusions</x:v>
      </x:c>
      <x:c r="L37" s="237" t="str">
        <x:v>Model Conclusions</x:v>
      </x:c>
      <x:c r="M37" s="237" t="str">
        <x:v>Model Conclusions</x:v>
      </x:c>
      <x:c r="N37" s="237" t="str">
        <x:v>Model Conclusions</x:v>
      </x:c>
      <x:c r="O37" s="237" t="str">
        <x:v>Model Conclusions</x:v>
      </x:c>
    </x:row>
    <x:row r="38" ht="34" customHeight="1">
      <x:c r="A38" s="227" t="str">
        <x:v>FY26-FY30 Revenue CAGR</x:v>
      </x:c>
      <x:c r="B38" s="238" t="n">
        <x:f>(J22/F22)^(1/4)-1</x:f>
        <x:v>0.1812044264691346</x:v>
      </x:c>
      <x:c r="C38" s="227"/>
      <x:c r="D38" s="227"/>
      <x:c r="E38" s="227"/>
      <x:c r="F38" s="227"/>
      <x:c r="G38" s="227"/>
      <x:c r="H38" s="225" t="str">
        <x:v>The model now contains one central forecast with direct operating assumptions and no case selector or case multipliers.</x:v>
      </x:c>
      <x:c r="I38" s="225" t="str">
        <x:v>The model now contains one central forecast with direct operating assumptions and no case selector or case multipliers.</x:v>
      </x:c>
      <x:c r="J38" s="225" t="str">
        <x:v>The model now contains one central forecast with direct operating assumptions and no case selector or case multipliers.</x:v>
      </x:c>
      <x:c r="K38" s="225" t="str">
        <x:v>The model now contains one central forecast with direct operating assumptions and no case selector or case multipliers.</x:v>
      </x:c>
      <x:c r="L38" s="225" t="str">
        <x:v>The model now contains one central forecast with direct operating assumptions and no case selector or case multipliers.</x:v>
      </x:c>
      <x:c r="M38" s="225" t="str">
        <x:v>The model now contains one central forecast with direct operating assumptions and no case selector or case multipliers.</x:v>
      </x:c>
      <x:c r="N38" s="225" t="str">
        <x:v>The model now contains one central forecast with direct operating assumptions and no case selector or case multipliers.</x:v>
      </x:c>
      <x:c r="O38" s="225" t="str">
        <x:v>The model now contains one central forecast with direct operating assumptions and no case selector or case multipliers.</x:v>
      </x:c>
    </x:row>
    <x:row r="39" ht="34" customHeight="1">
      <x:c r="A39" s="227" t="str">
        <x:v>FY26-FY35 Revenue CAGR</x:v>
      </x:c>
      <x:c r="B39" s="238" t="n">
        <x:f>(O22/F22)^(1/9)-1</x:f>
        <x:v>0.13695311049489733</x:v>
      </x:c>
      <x:c r="C39" s="227"/>
      <x:c r="D39" s="227"/>
      <x:c r="E39" s="227"/>
      <x:c r="F39" s="227"/>
      <x:c r="G39" s="227"/>
      <x:c r="H39" s="225" t="str">
        <x:v>CRO revenue is driven only by average billable scientific capacity, utilisation, revenue per billable scientist and a specific adjustment that is normally zero.</x:v>
      </x:c>
      <x:c r="I39" s="225" t="str">
        <x:v>CRO revenue is driven only by average billable scientific capacity, utilisation, revenue per billable scientist and a specific adjustment that is normally zero.</x:v>
      </x:c>
      <x:c r="J39" s="225" t="str">
        <x:v>CRO revenue is driven only by average billable scientific capacity, utilisation, revenue per billable scientist and a specific adjustment that is normally zero.</x:v>
      </x:c>
      <x:c r="K39" s="225" t="str">
        <x:v>CRO revenue is driven only by average billable scientific capacity, utilisation, revenue per billable scientist and a specific adjustment that is normally zero.</x:v>
      </x:c>
      <x:c r="L39" s="225" t="str">
        <x:v>CRO revenue is driven only by average billable scientific capacity, utilisation, revenue per billable scientist and a specific adjustment that is normally zero.</x:v>
      </x:c>
      <x:c r="M39" s="225" t="str">
        <x:v>CRO revenue is driven only by average billable scientific capacity, utilisation, revenue per billable scientist and a specific adjustment that is normally zero.</x:v>
      </x:c>
      <x:c r="N39" s="225" t="str">
        <x:v>CRO revenue is driven only by average billable scientific capacity, utilisation, revenue per billable scientist and a specific adjustment that is normally zero.</x:v>
      </x:c>
      <x:c r="O39" s="225" t="str">
        <x:v>CRO revenue is driven only by average billable scientific capacity, utilisation, revenue per billable scientist and a specific adjustment that is normally zero.</x:v>
      </x:c>
    </x:row>
    <x:row r="40" ht="34" customHeight="1">
      <x:c r="A40" s="227" t="str">
        <x:v>FY26-FY30 CRO CAGR</x:v>
      </x:c>
      <x:c r="B40" s="238" t="n">
        <x:f>(J24/F24)^(1/4)-1</x:f>
        <x:v>0.18743333265736717</x:v>
      </x:c>
      <x:c r="C40" s="227"/>
      <x:c r="D40" s="227"/>
      <x:c r="E40" s="227"/>
      <x:c r="F40" s="227"/>
      <x:c r="G40" s="227"/>
      <x:c r="H40" s="225" t="str">
        <x:v>CDMO revenue is decomposed into six selected named molecule/franchise lines, two residual portfolio buckets and one capacity/campaign adjustment.</x:v>
      </x:c>
      <x:c r="I40" s="225" t="str">
        <x:v>CDMO revenue is decomposed into six selected named molecule/franchise lines, two residual portfolio buckets and one capacity/campaign adjustment.</x:v>
      </x:c>
      <x:c r="J40" s="225" t="str">
        <x:v>CDMO revenue is decomposed into six selected named molecule/franchise lines, two residual portfolio buckets and one capacity/campaign adjustment.</x:v>
      </x:c>
      <x:c r="K40" s="225" t="str">
        <x:v>CDMO revenue is decomposed into six selected named molecule/franchise lines, two residual portfolio buckets and one capacity/campaign adjustment.</x:v>
      </x:c>
      <x:c r="L40" s="225" t="str">
        <x:v>CDMO revenue is decomposed into six selected named molecule/franchise lines, two residual portfolio buckets and one capacity/campaign adjustment.</x:v>
      </x:c>
      <x:c r="M40" s="225" t="str">
        <x:v>CDMO revenue is decomposed into six selected named molecule/franchise lines, two residual portfolio buckets and one capacity/campaign adjustment.</x:v>
      </x:c>
      <x:c r="N40" s="225" t="str">
        <x:v>CDMO revenue is decomposed into six selected named molecule/franchise lines, two residual portfolio buckets and one capacity/campaign adjustment.</x:v>
      </x:c>
      <x:c r="O40" s="225" t="str">
        <x:v>CDMO revenue is decomposed into six selected named molecule/franchise lines, two residual portfolio buckets and one capacity/campaign adjustment.</x:v>
      </x:c>
    </x:row>
    <x:row r="41" ht="34" customHeight="1">
      <x:c r="A41" s="227" t="str">
        <x:v>FY26-FY30 CDMO CAGR</x:v>
      </x:c>
      <x:c r="B41" s="238" t="n">
        <x:f>(J25/F25)^(1/4)-1</x:f>
        <x:v>0.17775553161041135</x:v>
      </x:c>
      <x:c r="C41" s="227"/>
      <x:c r="D41" s="227"/>
      <x:c r="E41" s="227"/>
      <x:c r="F41" s="227"/>
      <x:c r="G41" s="227"/>
      <x:c r="H41" s="225" t="str">
        <x:v>Qulipta and Ubrelvy are modelled as one AbbVie migraine franchise to avoid unsupported allocation and double-counting.</x:v>
      </x:c>
      <x:c r="I41" s="225" t="str">
        <x:v>Qulipta and Ubrelvy are modelled as one AbbVie migraine franchise to avoid unsupported allocation and double-counting.</x:v>
      </x:c>
      <x:c r="J41" s="225" t="str">
        <x:v>Qulipta and Ubrelvy are modelled as one AbbVie migraine franchise to avoid unsupported allocation and double-counting.</x:v>
      </x:c>
      <x:c r="K41" s="225" t="str">
        <x:v>Qulipta and Ubrelvy are modelled as one AbbVie migraine franchise to avoid unsupported allocation and double-counting.</x:v>
      </x:c>
      <x:c r="L41" s="225" t="str">
        <x:v>Qulipta and Ubrelvy are modelled as one AbbVie migraine franchise to avoid unsupported allocation and double-counting.</x:v>
      </x:c>
      <x:c r="M41" s="225" t="str">
        <x:v>Qulipta and Ubrelvy are modelled as one AbbVie migraine franchise to avoid unsupported allocation and double-counting.</x:v>
      </x:c>
      <x:c r="N41" s="225" t="str">
        <x:v>Qulipta and Ubrelvy are modelled as one AbbVie migraine franchise to avoid unsupported allocation and double-counting.</x:v>
      </x:c>
      <x:c r="O41" s="225" t="str">
        <x:v>Qulipta and Ubrelvy are modelled as one AbbVie migraine franchise to avoid unsupported allocation and double-counting.</x:v>
      </x:c>
    </x:row>
    <x:row r="42" ht="34" customHeight="1">
      <x:c r="A42" s="227" t="str">
        <x:v>FY30 EBITDA margin</x:v>
      </x:c>
      <x:c r="B42" s="238" t="n">
        <x:f>J29</x:f>
        <x:v>0.31769242243923845</x:v>
      </x:c>
      <x:c r="C42" s="227"/>
      <x:c r="D42" s="227"/>
      <x:c r="E42" s="227"/>
      <x:c r="F42" s="227"/>
      <x:c r="G42" s="298"/>
      <x:c r="H42" s="300" t="str">
        <x:v>Named molecule linkages remain analyst estimates unless explicitly supported by a public Sai product filing; the source and confidence table makes the evidence hierarchy transparent.</x:v>
      </x:c>
      <x:c r="I42" s="300" t="str">
        <x:v>Named molecule linkages remain analyst estimates unless explicitly supported by a public Sai product filing; the source and confidence table makes the evidence hierarchy transparent.</x:v>
      </x:c>
      <x:c r="J42" s="300" t="str">
        <x:v>Named molecule linkages remain analyst estimates unless explicitly supported by a public Sai product filing; the source and confidence table makes the evidence hierarchy transparent.</x:v>
      </x:c>
      <x:c r="K42" s="300" t="str">
        <x:v>Named molecule linkages remain analyst estimates unless explicitly supported by a public Sai product filing; the source and confidence table makes the evidence hierarchy transparent.</x:v>
      </x:c>
      <x:c r="L42" s="300" t="str">
        <x:v>Named molecule linkages remain analyst estimates unless explicitly supported by a public Sai product filing; the source and confidence table makes the evidence hierarchy transparent.</x:v>
      </x:c>
      <x:c r="M42" s="300" t="str">
        <x:v>Named molecule linkages remain analyst estimates unless explicitly supported by a public Sai product filing; the source and confidence table makes the evidence hierarchy transparent.</x:v>
      </x:c>
      <x:c r="N42" s="300" t="str">
        <x:v>Named molecule linkages remain analyst estimates unless explicitly supported by a public Sai product filing; the source and confidence table makes the evidence hierarchy transparent.</x:v>
      </x:c>
      <x:c r="O42" s="300" t="str">
        <x:v>Named molecule linkages remain analyst estimates unless explicitly supported by a public Sai product filing; the source and confidence table makes the evidence hierarchy transparent.</x:v>
      </x:c>
    </x:row>
    <x:row r="43" ht="34" customHeight="1">
      <x:c r="A43" s="227" t="str">
        <x:v>FY35 EBITDA margin</x:v>
      </x:c>
      <x:c r="B43" s="238" t="n">
        <x:f>O29</x:f>
        <x:v>0.3330863273682308</x:v>
      </x:c>
      <x:c r="C43" s="227"/>
      <x:c r="D43" s="227"/>
      <x:c r="E43" s="227"/>
      <x:c r="F43" s="227"/>
      <x:c r="G43" s="227"/>
      <x:c r="H43" s="225" t="str">
        <x:v>The aggregate revenue forecast is preserved versus the prior central case, so molecule mapping increases visibility without introducing an artificial top-line uplift.</x:v>
      </x:c>
      <x:c r="I43" s="225" t="str">
        <x:v>The aggregate revenue forecast is preserved versus the prior central case, so molecule mapping increases visibility without introducing an artificial top-line uplift.</x:v>
      </x:c>
      <x:c r="J43" s="225" t="str">
        <x:v>The aggregate revenue forecast is preserved versus the prior central case, so molecule mapping increases visibility without introducing an artificial top-line uplift.</x:v>
      </x:c>
      <x:c r="K43" s="225" t="str">
        <x:v>The aggregate revenue forecast is preserved versus the prior central case, so molecule mapping increases visibility without introducing an artificial top-line uplift.</x:v>
      </x:c>
      <x:c r="L43" s="225" t="str">
        <x:v>The aggregate revenue forecast is preserved versus the prior central case, so molecule mapping increases visibility without introducing an artificial top-line uplift.</x:v>
      </x:c>
      <x:c r="M43" s="225" t="str">
        <x:v>The aggregate revenue forecast is preserved versus the prior central case, so molecule mapping increases visibility without introducing an artificial top-line uplift.</x:v>
      </x:c>
      <x:c r="N43" s="225" t="str">
        <x:v>The aggregate revenue forecast is preserved versus the prior central case, so molecule mapping increases visibility without introducing an artificial top-line uplift.</x:v>
      </x:c>
      <x:c r="O43" s="225" t="str">
        <x:v>The aggregate revenue forecast is preserved versus the prior central case, so molecule mapping increases visibility without introducing an artificial top-line uplift.</x:v>
      </x:c>
    </x:row>
    <x:row r="44" ht="34" customHeight="1">
      <x:c r="A44" s="227" t="str">
        <x:v>FY27-FY30 cumulative capex</x:v>
      </x:c>
      <x:c r="B44" s="239" t="n">
        <x:f>SUM(G33:J33)</x:f>
        <x:v>35000</x:v>
      </x:c>
      <x:c r="C44" s="227"/>
      <x:c r="D44" s="227"/>
      <x:c r="E44" s="227"/>
      <x:c r="F44" s="227"/>
      <x:c r="G44" s="227"/>
      <x:c r="H44" s="225" t="str">
        <x:v>The principal risks are customer confidentiality, campaign timing, qualification delays, supplier-share changes, lifecycle risk and the large FY27 capital programme.</x:v>
      </x:c>
      <x:c r="I44" s="225" t="str">
        <x:v>The principal risks are customer confidentiality, campaign timing, qualification delays, supplier-share changes, lifecycle risk and the large FY27 capital programme.</x:v>
      </x:c>
      <x:c r="J44" s="225" t="str">
        <x:v>The principal risks are customer confidentiality, campaign timing, qualification delays, supplier-share changes, lifecycle risk and the large FY27 capital programme.</x:v>
      </x:c>
      <x:c r="K44" s="225" t="str">
        <x:v>The principal risks are customer confidentiality, campaign timing, qualification delays, supplier-share changes, lifecycle risk and the large FY27 capital programme.</x:v>
      </x:c>
      <x:c r="L44" s="225" t="str">
        <x:v>The principal risks are customer confidentiality, campaign timing, qualification delays, supplier-share changes, lifecycle risk and the large FY27 capital programme.</x:v>
      </x:c>
      <x:c r="M44" s="225" t="str">
        <x:v>The principal risks are customer confidentiality, campaign timing, qualification delays, supplier-share changes, lifecycle risk and the large FY27 capital programme.</x:v>
      </x:c>
      <x:c r="N44" s="225" t="str">
        <x:v>The principal risks are customer confidentiality, campaign timing, qualification delays, supplier-share changes, lifecycle risk and the large FY27 capital programme.</x:v>
      </x:c>
      <x:c r="O44" s="225" t="str">
        <x:v>The principal risks are customer confidentiality, campaign timing, qualification delays, supplier-share changes, lifecycle risk and the large FY27 capital programme.</x:v>
      </x:c>
    </x:row>
    <x:row r="45" ht="34" customHeight="1">
      <x:c r="A45" s="227"/>
      <x:c r="B45" s="227"/>
      <x:c r="C45" s="227"/>
      <x:c r="D45" s="227"/>
      <x:c r="E45" s="227"/>
      <x:c r="F45" s="227"/>
      <x:c r="G45" s="227"/>
      <x:c r="H45" s="227"/>
      <x:c r="I45" s="227"/>
      <x:c r="J45" s="227"/>
      <x:c r="K45" s="227"/>
      <x:c r="L45" s="227"/>
      <x:c r="M45" s="227"/>
      <x:c r="N45" s="227"/>
      <x:c r="O45" s="227"/>
    </x:row>
    <x:row r="46" ht="34" customHeight="1">
      <x:c r="A46" s="227"/>
      <x:c r="B46" s="227"/>
      <x:c r="C46" s="227"/>
      <x:c r="D46" s="227"/>
      <x:c r="E46" s="227"/>
      <x:c r="F46" s="227"/>
      <x:c r="G46" s="227"/>
      <x:c r="H46" s="227"/>
      <x:c r="I46" s="227"/>
      <x:c r="J46" s="227"/>
      <x:c r="K46" s="227"/>
      <x:c r="L46" s="227"/>
      <x:c r="M46" s="227"/>
      <x:c r="N46" s="227"/>
      <x:c r="O46" s="227"/>
    </x:row>
  </x:sheetData>
  <x:mergeCells>
    <x:mergeCell ref="A1:O1"/>
    <x:mergeCell ref="A2:O2"/>
    <x:mergeCell ref="A7:O7"/>
    <x:mergeCell ref="A20:O20"/>
    <x:mergeCell ref="A37:F37"/>
    <x:mergeCell ref="H37:O37"/>
    <x:mergeCell ref="H39:O39"/>
    <x:mergeCell ref="H40:O40"/>
    <x:mergeCell ref="H41:O41"/>
    <x:mergeCell ref="H42:O42"/>
    <x:mergeCell ref="H43:O43"/>
    <x:mergeCell ref="H44:O44"/>
    <x:mergeCell ref="H38:O38"/>
  </x:mergeCells>
  <x:dataValidations count="1">
    <x:dataValidation type="list" sqref="C4">
      <x:formula1>"Base,Bull,Bear"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6" hidden="0" customWidth="1"/>
    <x:col min="17" max="17" width="16" hidden="0" customWidth="1"/>
    <x:col min="18" max="18" width="18" hidden="0" customWidth="1"/>
    <x:col min="19" max="19" width="20" hidden="0" customWidth="1"/>
    <x:col min="20" max="20" width="22" hidden="0" customWidth="1"/>
    <x:col min="21" max="21" width="22" hidden="0" customWidth="1"/>
    <x:col min="22" max="22" width="21" hidden="0" customWidth="1"/>
    <x:col min="23" max="23" width="21" hidden="0" customWidth="1"/>
    <x:col min="24" max="24" width="21" hidden="0" customWidth="1"/>
    <x:col min="25" max="25" width="50" hidden="0" customWidth="1"/>
  </x:cols>
  <x:sheetData>
    <x:row r="1" ht="25" customHeight="1">
      <x:c r="A1" s="226" t="str">
        <x:v>Revenue Model - Simplified CRO Build and Selective Molecule-Level CDMO Forecast</x:v>
      </x:c>
      <x:c r="B1" s="226" t="str">
        <x:v>Revenue Model - Simplified CRO Build and Selective Molecule-Level CDMO Forecast</x:v>
      </x:c>
      <x:c r="C1" s="226" t="str">
        <x:v>Revenue Model - Simplified CRO Build and Selective Molecule-Level CDMO Forecast</x:v>
      </x:c>
      <x:c r="D1" s="226" t="str">
        <x:v>Revenue Model - Simplified CRO Build and Selective Molecule-Level CDMO Forecast</x:v>
      </x:c>
      <x:c r="E1" s="226" t="str">
        <x:v>Revenue Model - Simplified CRO Build and Selective Molecule-Level CDMO Forecast</x:v>
      </x:c>
      <x:c r="F1" s="226" t="str">
        <x:v>Revenue Model - Simplified CRO Build and Selective Molecule-Level CDMO Forecast</x:v>
      </x:c>
      <x:c r="G1" s="226" t="str">
        <x:v>Revenue Model - Simplified CRO Build and Selective Molecule-Level CDMO Forecast</x:v>
      </x:c>
      <x:c r="H1" s="226" t="str">
        <x:v>Revenue Model - Simplified CRO Build and Selective Molecule-Level CDMO Forecast</x:v>
      </x:c>
      <x:c r="I1" s="226" t="str">
        <x:v>Revenue Model - Simplified CRO Build and Selective Molecule-Level CDMO Forecast</x:v>
      </x:c>
      <x:c r="J1" s="226" t="str">
        <x:v>Revenue Model - Simplified CRO Build and Selective Molecule-Level CDMO Forecast</x:v>
      </x:c>
      <x:c r="K1" s="226" t="str">
        <x:v>Revenue Model - Simplified CRO Build and Selective Molecule-Level CDMO Forecast</x:v>
      </x:c>
      <x:c r="L1" s="226" t="str">
        <x:v>Revenue Model - Simplified CRO Build and Selective Molecule-Level CDMO Forecast</x:v>
      </x:c>
      <x:c r="M1" s="226" t="str">
        <x:v>Revenue Model - Simplified CRO Build and Selective Molecule-Level CDMO Forecast</x:v>
      </x:c>
      <x:c r="N1" s="226" t="str">
        <x:v>Revenue Model - Simplified CRO Build and Selective Molecule-Level CDMO Forecast</x:v>
      </x:c>
      <x:c r="O1" s="226" t="str">
        <x:v>Revenue Model - Simplified CRO Build and Selective Molecule-Level CDMO Forecast</x:v>
      </x:c>
      <x:c r="P1" s="227"/>
      <x:c r="Q1" s="227"/>
      <x:c r="R1" s="227"/>
      <x:c r="S1" s="227"/>
      <x:c r="T1" s="227"/>
      <x:c r="U1" s="227"/>
      <x:c r="V1" s="227"/>
      <x:c r="W1" s="227"/>
      <x:c r="X1" s="227"/>
      <x:c r="Y1" s="227"/>
    </x:row>
    <x:row r="2" ht="30" customHeight="1">
      <x:c r="A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B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C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D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E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F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G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H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I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J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K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L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M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N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O2" s="190" t="str">
        <x:v>Historical segment revenue is anchored to reported disclosures. Named molecule linkages are analyst estimates unless explicitly supported by a public product filing; no molecule line should be interpreted as company-confirmed customer disclosure.</x:v>
      </x:c>
      <x:c r="P2" s="227"/>
      <x:c r="Q2" s="227"/>
      <x:c r="R2" s="227"/>
      <x:c r="S2" s="227"/>
      <x:c r="T2" s="227"/>
      <x:c r="U2" s="227"/>
      <x:c r="V2" s="227"/>
      <x:c r="W2" s="227"/>
      <x:c r="X2" s="227"/>
      <x:c r="Y2" s="227"/>
    </x:row>
    <x:row r="3" ht="20" customHeight="1">
      <x:c r="A3" s="228" t="str">
        <x:v>Metric</x:v>
      </x:c>
      <x:c r="B3" s="228" t="str">
        <x:v>Units</x:v>
      </x:c>
      <x:c r="C3" s="228" t="str">
        <x:v>Classification</x:v>
      </x:c>
      <x:c r="D3" s="229" t="str">
        <x:v>FY2024A</x:v>
      </x:c>
      <x:c r="E3" s="229" t="str">
        <x:v>FY2025A</x:v>
      </x:c>
      <x:c r="F3" s="229" t="str">
        <x:v>FY2026A*</x:v>
      </x:c>
      <x:c r="G3" s="299" t="str">
        <x:v>FY2027E</x:v>
      </x:c>
      <x:c r="H3" s="299" t="str">
        <x:v>FY2028E</x:v>
      </x:c>
      <x:c r="I3" s="299" t="str">
        <x:v>FY2029E</x:v>
      </x:c>
      <x:c r="J3" s="299" t="str">
        <x:v>FY2030E</x:v>
      </x:c>
      <x:c r="K3" s="299" t="str">
        <x:v>FY2031E</x:v>
      </x:c>
      <x:c r="L3" s="299" t="str">
        <x:v>FY2032E</x:v>
      </x:c>
      <x:c r="M3" s="299" t="str">
        <x:v>FY2033E</x:v>
      </x:c>
      <x:c r="N3" s="299" t="str">
        <x:v>FY2034E</x:v>
      </x:c>
      <x:c r="O3" s="299" t="str">
        <x:v>FY2035E</x:v>
      </x:c>
      <x:c r="P3" s="237" t="str">
        <x:v>Latest Eight Quarters - Revenue Tracker (INR mn)</x:v>
      </x:c>
      <x:c r="Q3" s="237" t="str">
        <x:v>Latest Eight Quarters - Revenue Tracker (INR mn)</x:v>
      </x:c>
      <x:c r="R3" s="237" t="str">
        <x:v>Latest Eight Quarters - Revenue Tracker (INR mn)</x:v>
      </x:c>
      <x:c r="S3" s="237" t="str">
        <x:v>Latest Eight Quarters - Revenue Tracker (INR mn)</x:v>
      </x:c>
      <x:c r="T3" s="237" t="str">
        <x:v>Latest Eight Quarters - Revenue Tracker (INR mn)</x:v>
      </x:c>
      <x:c r="U3" s="237" t="str">
        <x:v>Latest Eight Quarters - Revenue Tracker (INR mn)</x:v>
      </x:c>
      <x:c r="V3" s="237" t="str">
        <x:v>Latest Eight Quarters - Revenue Tracker (INR mn)</x:v>
      </x:c>
      <x:c r="W3" s="237" t="str">
        <x:v>Latest Eight Quarters - Revenue Tracker (INR mn)</x:v>
      </x:c>
      <x:c r="X3" s="237" t="str">
        <x:v>Latest Eight Quarters - Revenue Tracker (INR mn)</x:v>
      </x:c>
      <x:c r="Y3" s="237" t="str">
        <x:v>Latest Eight Quarters - Revenue Tracker (INR mn)</x:v>
      </x:c>
    </x:row>
    <x:row r="4">
      <x:c r="A4" s="227"/>
      <x:c r="B4" s="227"/>
      <x:c r="C4" s="227"/>
      <x:c r="D4" s="227"/>
      <x:c r="E4" s="227"/>
      <x:c r="F4" s="227"/>
      <x:c r="G4" s="227"/>
      <x:c r="H4" s="227"/>
      <x:c r="I4" s="227"/>
      <x:c r="J4" s="227"/>
      <x:c r="K4" s="227"/>
      <x:c r="L4" s="227"/>
      <x:c r="M4" s="227"/>
      <x:c r="N4" s="227"/>
      <x:c r="O4" s="227"/>
      <x:c r="P4" s="270" t="str">
        <x:v>Metric</x:v>
      </x:c>
      <x:c r="Q4" s="270" t="str">
        <x:v>FY25 Q1</x:v>
      </x:c>
      <x:c r="R4" s="270" t="str">
        <x:v>FY25 Q2</x:v>
      </x:c>
      <x:c r="S4" s="270" t="str">
        <x:v>FY25 Q3</x:v>
      </x:c>
      <x:c r="T4" s="270" t="str">
        <x:v>FY25 Q4</x:v>
      </x:c>
      <x:c r="U4" s="270" t="str">
        <x:v>FY26 Q1</x:v>
      </x:c>
      <x:c r="V4" s="270" t="str">
        <x:v>FY26 Q2</x:v>
      </x:c>
      <x:c r="W4" s="270" t="str">
        <x:v>FY26 Q3</x:v>
      </x:c>
      <x:c r="X4" s="270" t="str">
        <x:v>FY26 Q4</x:v>
      </x:c>
      <x:c r="Y4" s="270" t="str">
        <x:v>Source / note</x:v>
      </x:c>
    </x:row>
    <x:row r="5" ht="20" customHeight="1">
      <x:c r="A5" s="226" t="str">
        <x:v>Section 1: Revenue Summary</x:v>
      </x:c>
      <x:c r="B5" s="226" t="str">
        <x:v>Section 1: Revenue Summary</x:v>
      </x:c>
      <x:c r="C5" s="226" t="str">
        <x:v>Section 1: Revenue Summary</x:v>
      </x:c>
      <x:c r="D5" s="226" t="str">
        <x:v>Section 1: Revenue Summary</x:v>
      </x:c>
      <x:c r="E5" s="226" t="str">
        <x:v>Section 1: Revenue Summary</x:v>
      </x:c>
      <x:c r="F5" s="226" t="str">
        <x:v>Section 1: Revenue Summary</x:v>
      </x:c>
      <x:c r="G5" s="226" t="str">
        <x:v>Section 1: Revenue Summary</x:v>
      </x:c>
      <x:c r="H5" s="226" t="str">
        <x:v>Section 1: Revenue Summary</x:v>
      </x:c>
      <x:c r="I5" s="226" t="str">
        <x:v>Section 1: Revenue Summary</x:v>
      </x:c>
      <x:c r="J5" s="226" t="str">
        <x:v>Section 1: Revenue Summary</x:v>
      </x:c>
      <x:c r="K5" s="226" t="str">
        <x:v>Section 1: Revenue Summary</x:v>
      </x:c>
      <x:c r="L5" s="226" t="str">
        <x:v>Section 1: Revenue Summary</x:v>
      </x:c>
      <x:c r="M5" s="226" t="str">
        <x:v>Section 1: Revenue Summary</x:v>
      </x:c>
      <x:c r="N5" s="226" t="str">
        <x:v>Section 1: Revenue Summary</x:v>
      </x:c>
      <x:c r="O5" s="226" t="str">
        <x:v>Section 1: Revenue Summary</x:v>
      </x:c>
      <x:c r="P5" s="227" t="str">
        <x:v>CRO revenue</x:v>
      </x:c>
      <x:c r="Q5" s="271" t="n">
        <x:v>1338.67</x:v>
      </x:c>
      <x:c r="R5" s="271" t="n">
        <x:v>1500</x:v>
      </x:c>
      <x:c r="S5" s="271" t="n">
        <x:v>1643.83</x:v>
      </x:c>
      <x:c r="T5" s="271" t="n">
        <x:v>1777.5</x:v>
      </x:c>
      <x:c r="U5" s="271" t="n">
        <x:v>1847.36</x:v>
      </x:c>
      <x:c r="V5" s="271" t="n">
        <x:v>1827.4</x:v>
      </x:c>
      <x:c r="W5" s="271" t="n">
        <x:v>1871.14</x:v>
      </x:c>
      <x:c r="X5" s="271" t="n">
        <x:v>2204.1</x:v>
      </x:c>
      <x:c r="Y5" s="227" t="str">
        <x:v>Segment split partly estimated</x:v>
      </x:c>
    </x:row>
    <x:row r="6">
      <x:c r="A6" s="227" t="str">
        <x:v>CRO / Discovery revenue</x:v>
      </x:c>
      <x:c r="B6" s="227" t="str">
        <x:v>INR mn</x:v>
      </x:c>
      <x:c r="C6" s="227" t="str">
        <x:v>Reported / Forecast</x:v>
      </x:c>
      <x:c r="D6" s="230" t="n">
        <x:v>4971.7</x:v>
      </x:c>
      <x:c r="E6" s="230" t="n">
        <x:v>6260</x:v>
      </x:c>
      <x:c r="F6" s="230" t="n">
        <x:v>7750</x:v>
      </x:c>
      <x:c r="G6" s="272" t="n">
        <x:f>G21</x:f>
        <x:v>9341.252191314605</x:v>
      </x:c>
      <x:c r="H6" s="272" t="n">
        <x:f>H21</x:f>
        <x:v>11369.387873567057</x:v>
      </x:c>
      <x:c r="I6" s="272" t="n">
        <x:f>I21</x:f>
        <x:v>13388.302282039704</x:v>
      </x:c>
      <x:c r="J6" s="272" t="n">
        <x:f>J21</x:f>
        <x:v>15407.7295308324</x:v>
      </x:c>
      <x:c r="K6" s="272" t="n">
        <x:f>K21</x:f>
        <x:v>17442.494399664705</x:v>
      </x:c>
      <x:c r="L6" s="272" t="n">
        <x:f>L21</x:f>
        <x:v>19555.322212099272</x:v>
      </x:c>
      <x:c r="M6" s="272" t="n">
        <x:f>M21</x:f>
        <x:v>21525.801803732706</x:v>
      </x:c>
      <x:c r="N6" s="272" t="n">
        <x:f>N21</x:f>
        <x:v>23527.561079792566</x:v>
      </x:c>
      <x:c r="O6" s="272" t="n">
        <x:f>O21</x:f>
        <x:v>25556.156158643164</x:v>
      </x:c>
      <x:c r="P6" s="227" t="str">
        <x:v>CRO YoY growth</x:v>
      </x:c>
      <x:c r="Q6" s="273" t="str">
        <x:v>-</x:v>
      </x:c>
      <x:c r="R6" s="273" t="str">
        <x:v>-</x:v>
      </x:c>
      <x:c r="S6" s="273" t="str">
        <x:v>-</x:v>
      </x:c>
      <x:c r="T6" s="273" t="str">
        <x:v>-</x:v>
      </x:c>
      <x:c r="U6" s="238" t="n">
        <x:f>U5/Q5-1</x:f>
        <x:v>0.37999656375357627</x:v>
      </x:c>
      <x:c r="V6" s="238" t="n">
        <x:f>V5/R5-1</x:f>
        <x:v>0.21826666666666683</x:v>
      </x:c>
      <x:c r="W6" s="238" t="n">
        <x:f>W5/S5-1</x:f>
        <x:v>0.13828072245913514</x:v>
      </x:c>
      <x:c r="X6" s="238" t="n">
        <x:f>X5/T5-1</x:f>
        <x:v>0.24</x:v>
      </x:c>
      <x:c r="Y6" s="227" t="str">
        <x:v>FY26 vs corresponding FY25 quarter</x:v>
      </x:c>
    </x:row>
    <x:row r="7">
      <x:c r="A7" s="227" t="str">
        <x:v>CDMO / CMC revenue</x:v>
      </x:c>
      <x:c r="B7" s="227" t="str">
        <x:v>INR mn</x:v>
      </x:c>
      <x:c r="C7" s="227" t="str">
        <x:v>Reported / Forecast</x:v>
      </x:c>
      <x:c r="D7" s="230" t="n">
        <x:v>9680.08</x:v>
      </x:c>
      <x:c r="E7" s="230" t="n">
        <x:v>10685.7</x:v>
      </x:c>
      <x:c r="F7" s="230" t="n">
        <x:v>14170</x:v>
      </x:c>
      <x:c r="G7" s="272" t="n">
        <x:f>G37</x:f>
        <x:v>16996.66220986</x:v>
      </x:c>
      <x:c r="H7" s="272" t="n">
        <x:f>H37</x:f>
        <x:v>20387.52904241684</x:v>
      </x:c>
      <x:c r="I7" s="272" t="n">
        <x:f>I37</x:f>
        <x:v>23807.681204200722</x:v>
      </x:c>
      <x:c r="J7" s="272" t="n">
        <x:f>J37</x:f>
        <x:v>27264.055739890144</x:v>
      </x:c>
      <x:c r="K7" s="272" t="n">
        <x:f>K37</x:f>
        <x:v>30735.14658629979</x:v>
      </x:c>
      <x:c r="L7" s="272" t="n">
        <x:f>L37</x:f>
        <x:v>34069.17040591141</x:v>
      </x:c>
      <x:c r="M7" s="272" t="n">
        <x:f>M37</x:f>
        <x:v>37332.12489450972</x:v>
      </x:c>
      <x:c r="N7" s="272" t="n">
        <x:f>N37</x:f>
        <x:v>40629.73709619306</x:v>
      </x:c>
      <x:c r="O7" s="272" t="n">
        <x:f>O37</x:f>
        <x:v>44030.11053909879</x:v>
      </x:c>
      <x:c r="P7" s="227" t="str">
        <x:v>CDMO revenue</x:v>
      </x:c>
      <x:c r="Q7" s="271" t="n">
        <x:v>1461.33</x:v>
      </x:c>
      <x:c r="R7" s="271" t="n">
        <x:v>2460</x:v>
      </x:c>
      <x:c r="S7" s="271" t="n">
        <x:v>2756.17</x:v>
      </x:c>
      <x:c r="T7" s="271" t="n">
        <x:v>4018.2</x:v>
      </x:c>
      <x:c r="U7" s="271" t="n">
        <x:v>3112.64</x:v>
      </x:c>
      <x:c r="V7" s="271" t="n">
        <x:v>3547.3</x:v>
      </x:c>
      <x:c r="W7" s="271" t="n">
        <x:v>3692.77</x:v>
      </x:c>
      <x:c r="X7" s="271" t="n">
        <x:v>3817.29</x:v>
      </x:c>
      <x:c r="Y7" s="227" t="str">
        <x:v>Segment split partly estimated</x:v>
      </x:c>
    </x:row>
    <x:row r="8">
      <x:c r="A8" s="231" t="str">
        <x:v>Consolidated segment revenue</x:v>
      </x:c>
      <x:c r="B8" s="231" t="str">
        <x:v>INR mn</x:v>
      </x:c>
      <x:c r="C8" s="231" t="str">
        <x:v>Calculated</x:v>
      </x:c>
      <x:c r="D8" s="232" t="n">
        <x:f>SUM(D6:D7)</x:f>
        <x:v>14651.779999999999</x:v>
      </x:c>
      <x:c r="E8" s="232" t="n">
        <x:f>SUM(E6:E7)</x:f>
        <x:v>16945.7</x:v>
      </x:c>
      <x:c r="F8" s="232" t="n">
        <x:f>SUM(F6:F7)</x:f>
        <x:v>21920</x:v>
      </x:c>
      <x:c r="G8" s="301" t="n">
        <x:f>SUM(G6:G7)</x:f>
        <x:v>26337.914401174603</x:v>
      </x:c>
      <x:c r="H8" s="301" t="n">
        <x:f>SUM(H6:H7)</x:f>
        <x:v>31756.9169159839</x:v>
      </x:c>
      <x:c r="I8" s="301" t="n">
        <x:f>SUM(I6:I7)</x:f>
        <x:v>37195.983486240424</x:v>
      </x:c>
      <x:c r="J8" s="301" t="n">
        <x:f>SUM(J6:J7)</x:f>
        <x:v>42671.78527072254</x:v>
      </x:c>
      <x:c r="K8" s="301" t="n">
        <x:f>SUM(K6:K7)</x:f>
        <x:v>48177.64098596449</x:v>
      </x:c>
      <x:c r="L8" s="301" t="n">
        <x:f>SUM(L6:L7)</x:f>
        <x:v>53624.492618010685</x:v>
      </x:c>
      <x:c r="M8" s="301" t="n">
        <x:f>SUM(M6:M7)</x:f>
        <x:v>58857.92669824242</x:v>
      </x:c>
      <x:c r="N8" s="301" t="n">
        <x:f>SUM(N6:N7)</x:f>
        <x:v>64157.29817598562</x:v>
      </x:c>
      <x:c r="O8" s="301" t="n">
        <x:f>SUM(O6:O7)</x:f>
        <x:v>69586.26669774196</x:v>
      </x:c>
      <x:c r="P8" s="227" t="str">
        <x:v>CDMO YoY growth</x:v>
      </x:c>
      <x:c r="Q8" s="273" t="str">
        <x:v>-</x:v>
      </x:c>
      <x:c r="R8" s="273" t="str">
        <x:v>-</x:v>
      </x:c>
      <x:c r="S8" s="273" t="str">
        <x:v>-</x:v>
      </x:c>
      <x:c r="T8" s="273" t="str">
        <x:v>-</x:v>
      </x:c>
      <x:c r="U8" s="238" t="n">
        <x:f>U7/Q7-1</x:f>
        <x:v>1.130004858587725</x:v>
      </x:c>
      <x:c r="V8" s="238" t="n">
        <x:f>V7/R7-1</x:f>
        <x:v>0.4419918699186993</x:v>
      </x:c>
      <x:c r="W8" s="238" t="n">
        <x:f>W7/S7-1</x:f>
        <x:v>0.33981938704796866</x:v>
      </x:c>
      <x:c r="X8" s="238" t="n">
        <x:f>X7/T7-1</x:f>
        <x:v>-0.04999999999999993</x:v>
      </x:c>
      <x:c r="Y8" s="227" t="str">
        <x:v>FY26 vs corresponding FY25 quarter</x:v>
      </x:c>
    </x:row>
    <x:row r="9">
      <x:c r="A9" s="227" t="str">
        <x:v>Consolidated revenue from operations</x:v>
      </x:c>
      <x:c r="B9" s="227" t="str">
        <x:v>INR mn</x:v>
      </x:c>
      <x:c r="C9" s="227" t="str">
        <x:v>Three Statements</x:v>
      </x:c>
      <x:c r="D9" s="230" t="n">
        <x:v>14651.78</x:v>
      </x:c>
      <x:c r="E9" s="230" t="n">
        <x:v>16945.7</x:v>
      </x:c>
      <x:c r="F9" s="230" t="n">
        <x:v>21920</x:v>
      </x:c>
      <x:c r="G9" s="235" t="n">
        <x:f>'Three Statements'!G6</x:f>
        <x:v>26337.914401174603</x:v>
      </x:c>
      <x:c r="H9" s="235" t="n">
        <x:f>'Three Statements'!H6</x:f>
        <x:v>31756.9169159839</x:v>
      </x:c>
      <x:c r="I9" s="235" t="n">
        <x:f>'Three Statements'!I6</x:f>
        <x:v>37195.983486240424</x:v>
      </x:c>
      <x:c r="J9" s="235" t="n">
        <x:f>'Three Statements'!J6</x:f>
        <x:v>42671.78527072254</x:v>
      </x:c>
      <x:c r="K9" s="235" t="n">
        <x:f>'Three Statements'!K6</x:f>
        <x:v>48177.64098596449</x:v>
      </x:c>
      <x:c r="L9" s="235" t="n">
        <x:f>'Three Statements'!L6</x:f>
        <x:v>53624.492618010685</x:v>
      </x:c>
      <x:c r="M9" s="235" t="n">
        <x:f>'Three Statements'!M6</x:f>
        <x:v>58857.92669824242</x:v>
      </x:c>
      <x:c r="N9" s="235" t="n">
        <x:f>'Three Statements'!N6</x:f>
        <x:v>64157.29817598562</x:v>
      </x:c>
      <x:c r="O9" s="235" t="n">
        <x:f>'Three Statements'!O6</x:f>
        <x:v>69586.26669774196</x:v>
      </x:c>
      <x:c r="P9" s="227" t="str">
        <x:v>Consolidated revenue</x:v>
      </x:c>
      <x:c r="Q9" s="271" t="n">
        <x:v>2800</x:v>
      </x:c>
      <x:c r="R9" s="271" t="n">
        <x:v>3960</x:v>
      </x:c>
      <x:c r="S9" s="271" t="n">
        <x:v>4400</x:v>
      </x:c>
      <x:c r="T9" s="271" t="n">
        <x:v>5795.7</x:v>
      </x:c>
      <x:c r="U9" s="271" t="n">
        <x:v>4960</x:v>
      </x:c>
      <x:c r="V9" s="271" t="n">
        <x:v>5374.7</x:v>
      </x:c>
      <x:c r="W9" s="271" t="n">
        <x:v>5563.91</x:v>
      </x:c>
      <x:c r="X9" s="271" t="n">
        <x:v>6021.39</x:v>
      </x:c>
      <x:c r="Y9" s="227" t="str">
        <x:v>Company-reported consolidated revenue; Q3 FY26 adjusted marginally for segment rounding</x:v>
      </x:c>
    </x:row>
    <x:row r="10">
      <x:c r="A10" s="231" t="str">
        <x:v>Revenue reconciliation check</x:v>
      </x:c>
      <x:c r="B10" s="231" t="str">
        <x:v>INR mn</x:v>
      </x:c>
      <x:c r="C10" s="231" t="str">
        <x:v>Check</x:v>
      </x:c>
      <x:c r="D10" s="232" t="n">
        <x:f>D8-D9</x:f>
        <x:v>-1.8189894035458565e-12</x:v>
      </x:c>
      <x:c r="E10" s="232" t="n">
        <x:f>E8-E9</x:f>
        <x:v>0</x:v>
      </x:c>
      <x:c r="F10" s="232" t="n">
        <x:f>F8-F9</x:f>
        <x:v>0</x:v>
      </x:c>
      <x:c r="G10" s="232" t="n">
        <x:f>G8-G9</x:f>
        <x:v>0</x:v>
      </x:c>
      <x:c r="H10" s="232" t="n">
        <x:f>H8-H9</x:f>
        <x:v>0</x:v>
      </x:c>
      <x:c r="I10" s="232" t="n">
        <x:f>I8-I9</x:f>
        <x:v>0</x:v>
      </x:c>
      <x:c r="J10" s="232" t="n">
        <x:f>J8-J9</x:f>
        <x:v>0</x:v>
      </x:c>
      <x:c r="K10" s="232" t="n">
        <x:f>K8-K9</x:f>
        <x:v>0</x:v>
      </x:c>
      <x:c r="L10" s="232" t="n">
        <x:f>L8-L9</x:f>
        <x:v>0</x:v>
      </x:c>
      <x:c r="M10" s="232" t="n">
        <x:f>M8-M9</x:f>
        <x:v>0</x:v>
      </x:c>
      <x:c r="N10" s="232" t="n">
        <x:f>N8-N9</x:f>
        <x:v>0</x:v>
      </x:c>
      <x:c r="O10" s="232" t="n">
        <x:f>O8-O9</x:f>
        <x:v>0</x:v>
      </x:c>
      <x:c r="P10" s="227" t="str">
        <x:v>Consolidated YoY growth</x:v>
      </x:c>
      <x:c r="Q10" s="273" t="str">
        <x:v>-</x:v>
      </x:c>
      <x:c r="R10" s="273" t="str">
        <x:v>-</x:v>
      </x:c>
      <x:c r="S10" s="273" t="str">
        <x:v>-</x:v>
      </x:c>
      <x:c r="T10" s="273" t="str">
        <x:v>-</x:v>
      </x:c>
      <x:c r="U10" s="238" t="n">
        <x:f>U9/Q9-1</x:f>
        <x:v>0.7714285714285714</x:v>
      </x:c>
      <x:c r="V10" s="238" t="n">
        <x:f>V9/R9-1</x:f>
        <x:v>0.35724747474747476</x:v>
      </x:c>
      <x:c r="W10" s="238" t="n">
        <x:f>W9/S9-1</x:f>
        <x:v>0.2645249999999999</x:v>
      </x:c>
      <x:c r="X10" s="238" t="n">
        <x:f>X9/T9-1</x:f>
        <x:v>0.038940938971996575</x:v>
      </x:c>
      <x:c r="Y10" s="227" t="str">
        <x:v>FY26 vs corresponding FY25 quarter</x:v>
      </x:c>
    </x:row>
    <x:row r="11">
      <x:c r="A11" s="227"/>
      <x:c r="B11" s="227"/>
      <x:c r="C11" s="227"/>
      <x:c r="D11" s="227"/>
      <x:c r="E11" s="227"/>
      <x:c r="F11" s="227"/>
      <x:c r="G11" s="227"/>
      <x:c r="H11" s="227"/>
      <x:c r="I11" s="227"/>
      <x:c r="J11" s="227"/>
      <x:c r="K11" s="227"/>
      <x:c r="L11" s="227"/>
      <x:c r="M11" s="227"/>
      <x:c r="N11" s="227"/>
      <x:c r="O11" s="227"/>
      <x:c r="P11" s="227" t="str">
        <x:v>CRO mix</x:v>
      </x:c>
      <x:c r="Q11" s="238" t="n">
        <x:f>Q5/Q9</x:f>
        <x:v>0.4780964285714286</x:v>
      </x:c>
      <x:c r="R11" s="238" t="n">
        <x:f>R5/R9</x:f>
        <x:v>0.3787878787878788</x:v>
      </x:c>
      <x:c r="S11" s="238" t="n">
        <x:f>S5/S9</x:f>
        <x:v>0.3735977272727273</x:v>
      </x:c>
      <x:c r="T11" s="238" t="n">
        <x:f>T5/T9</x:f>
        <x:v>0.3066928930068844</x:v>
      </x:c>
      <x:c r="U11" s="238" t="n">
        <x:f>U5/U9</x:f>
        <x:v>0.37245161290322576</x:v>
      </x:c>
      <x:c r="V11" s="238" t="n">
        <x:f>V5/V9</x:f>
        <x:v>0.3400003721137924</x:v>
      </x:c>
      <x:c r="W11" s="238" t="n">
        <x:f>W5/W9</x:f>
        <x:v>0.3362994728527241</x:v>
      </x:c>
      <x:c r="X11" s="238" t="n">
        <x:f>X5/X9</x:f>
        <x:v>0.36604504939889293</x:v>
      </x:c>
      <x:c r="Y11" s="227" t="str">
        <x:v>Calculated</x:v>
      </x:c>
    </x:row>
    <x:row r="12">
      <x:c r="A12" s="227"/>
      <x:c r="B12" s="227"/>
      <x:c r="C12" s="227"/>
      <x:c r="D12" s="227"/>
      <x:c r="E12" s="227"/>
      <x:c r="F12" s="227"/>
      <x:c r="G12" s="227"/>
      <x:c r="H12" s="227"/>
      <x:c r="I12" s="227"/>
      <x:c r="J12" s="227"/>
      <x:c r="K12" s="227"/>
      <x:c r="L12" s="227"/>
      <x:c r="M12" s="227"/>
      <x:c r="N12" s="227"/>
      <x:c r="O12" s="227"/>
      <x:c r="P12" s="227" t="str">
        <x:v>CDMO mix</x:v>
      </x:c>
      <x:c r="Q12" s="238" t="n">
        <x:f>Q7/Q9</x:f>
        <x:v>0.5219035714285714</x:v>
      </x:c>
      <x:c r="R12" s="238" t="n">
        <x:f>R7/R9</x:f>
        <x:v>0.6212121212121212</x:v>
      </x:c>
      <x:c r="S12" s="238" t="n">
        <x:f>S7/S9</x:f>
        <x:v>0.6264022727272728</x:v>
      </x:c>
      <x:c r="T12" s="238" t="n">
        <x:f>T7/T9</x:f>
        <x:v>0.6933071069931156</x:v>
      </x:c>
      <x:c r="U12" s="238" t="n">
        <x:f>U7/U9</x:f>
        <x:v>0.6275483870967742</x:v>
      </x:c>
      <x:c r="V12" s="238" t="n">
        <x:f>V7/V9</x:f>
        <x:v>0.6599996278862077</x:v>
      </x:c>
      <x:c r="W12" s="238" t="n">
        <x:f>W7/W9</x:f>
        <x:v>0.6637005271472759</x:v>
      </x:c>
      <x:c r="X12" s="238" t="n">
        <x:f>X7/X9</x:f>
        <x:v>0.633954950601107</x:v>
      </x:c>
      <x:c r="Y12" s="227" t="str">
        <x:v>Calculated</x:v>
      </x:c>
    </x:row>
    <x:row r="13" ht="20" customHeight="1">
      <x:c r="A13" s="226" t="str">
        <x:v>Section 2: CRO / Discovery Build</x:v>
      </x:c>
      <x:c r="B13" s="226" t="str">
        <x:v>Section 2: CRO / Discovery Build</x:v>
      </x:c>
      <x:c r="C13" s="226" t="str">
        <x:v>Section 2: CRO / Discovery Build</x:v>
      </x:c>
      <x:c r="D13" s="226" t="str">
        <x:v>Section 2: CRO / Discovery Build</x:v>
      </x:c>
      <x:c r="E13" s="226" t="str">
        <x:v>Section 2: CRO / Discovery Build</x:v>
      </x:c>
      <x:c r="F13" s="226" t="str">
        <x:v>Section 2: CRO / Discovery Build</x:v>
      </x:c>
      <x:c r="G13" s="226" t="str">
        <x:v>Section 2: CRO / Discovery Build</x:v>
      </x:c>
      <x:c r="H13" s="226" t="str">
        <x:v>Section 2: CRO / Discovery Build</x:v>
      </x:c>
      <x:c r="I13" s="226" t="str">
        <x:v>Section 2: CRO / Discovery Build</x:v>
      </x:c>
      <x:c r="J13" s="226" t="str">
        <x:v>Section 2: CRO / Discovery Build</x:v>
      </x:c>
      <x:c r="K13" s="226" t="str">
        <x:v>Section 2: CRO / Discovery Build</x:v>
      </x:c>
      <x:c r="L13" s="226" t="str">
        <x:v>Section 2: CRO / Discovery Build</x:v>
      </x:c>
      <x:c r="M13" s="226" t="str">
        <x:v>Section 2: CRO / Discovery Build</x:v>
      </x:c>
      <x:c r="N13" s="226" t="str">
        <x:v>Section 2: CRO / Discovery Build</x:v>
      </x:c>
      <x:c r="O13" s="226" t="str">
        <x:v>Section 2: CRO / Discovery Build</x:v>
      </x:c>
      <x:c r="P13" s="227" t="str">
        <x:v>YTD revenue</x:v>
      </x:c>
      <x:c r="Q13" s="239" t="n">
        <x:f>SUM(Q9:Q9)</x:f>
        <x:v>2800</x:v>
      </x:c>
      <x:c r="R13" s="239" t="n">
        <x:f>SUM(Q9:R9)</x:f>
        <x:v>6760</x:v>
      </x:c>
      <x:c r="S13" s="239" t="n">
        <x:f>SUM(Q9:S9)</x:f>
        <x:v>11160</x:v>
      </x:c>
      <x:c r="T13" s="239" t="n">
        <x:f>SUM(Q9:T9)</x:f>
        <x:v>16955.7</x:v>
      </x:c>
      <x:c r="U13" s="239" t="n">
        <x:f>SUM(U9:U9)</x:f>
        <x:v>4960</x:v>
      </x:c>
      <x:c r="V13" s="239" t="n">
        <x:f>SUM(U9:V9)</x:f>
        <x:v>10334.7</x:v>
      </x:c>
      <x:c r="W13" s="239" t="n">
        <x:f>SUM(U9:W9)</x:f>
        <x:v>15898.61</x:v>
      </x:c>
      <x:c r="X13" s="239" t="n">
        <x:f>SUM(U9:X9)</x:f>
        <x:v>21920</x:v>
      </x:c>
      <x:c r="Y13" s="227" t="str">
        <x:v>Calculated</x:v>
      </x:c>
    </x:row>
    <x:row r="14">
      <x:c r="A14" s="227" t="str">
        <x:v>Opening billable scientific capacity</x:v>
      </x:c>
      <x:c r="B14" s="227" t="str">
        <x:v>FTE</x:v>
      </x:c>
      <x:c r="C14" s="227" t="str">
        <x:v>Estimate</x:v>
      </x:c>
      <x:c r="D14" s="230" t="n">
        <x:v>1500</x:v>
      </x:c>
      <x:c r="E14" s="230" t="n">
        <x:v>1700</x:v>
      </x:c>
      <x:c r="F14" s="230" t="n">
        <x:v>2050</x:v>
      </x:c>
      <x:c r="G14" s="230" t="n">
        <x:v>2400</x:v>
      </x:c>
      <x:c r="H14" s="230" t="n">
        <x:v>2820</x:v>
      </x:c>
      <x:c r="I14" s="230" t="n">
        <x:v>3200</x:v>
      </x:c>
      <x:c r="J14" s="230" t="n">
        <x:v>3550</x:v>
      </x:c>
      <x:c r="K14" s="230" t="n">
        <x:v>3870</x:v>
      </x:c>
      <x:c r="L14" s="230" t="n">
        <x:v>4170</x:v>
      </x:c>
      <x:c r="M14" s="230" t="n">
        <x:v>4450</x:v>
      </x:c>
      <x:c r="N14" s="230" t="n">
        <x:v>4710</x:v>
      </x:c>
      <x:c r="O14" s="230" t="n">
        <x:v>4950</x:v>
      </x:c>
      <x:c r="P14" s="227" t="str">
        <x:v>Full-year estimate</x:v>
      </x:c>
      <x:c r="Q14" s="271" t="n">
        <x:v>16945.7</x:v>
      </x:c>
      <x:c r="R14" s="271" t="n">
        <x:v>16945.7</x:v>
      </x:c>
      <x:c r="S14" s="271" t="n">
        <x:v>16945.7</x:v>
      </x:c>
      <x:c r="T14" s="271" t="n">
        <x:v>16945.7</x:v>
      </x:c>
      <x:c r="U14" s="271" t="n">
        <x:v>21920</x:v>
      </x:c>
      <x:c r="V14" s="271" t="n">
        <x:v>21920</x:v>
      </x:c>
      <x:c r="W14" s="271" t="n">
        <x:v>21920</x:v>
      </x:c>
      <x:c r="X14" s="271" t="n">
        <x:v>21920</x:v>
      </x:c>
      <x:c r="Y14" s="227" t="str">
        <x:v>Annual reported / central estimate</x:v>
      </x:c>
    </x:row>
    <x:row r="15">
      <x:c r="A15" s="227" t="str">
        <x:v>Net billable scientific-capacity additions</x:v>
      </x:c>
      <x:c r="B15" s="227" t="str">
        <x:v>FTE</x:v>
      </x:c>
      <x:c r="C15" s="227" t="str">
        <x:v>Assumption</x:v>
      </x:c>
      <x:c r="D15" s="230" t="n">
        <x:v>200</x:v>
      </x:c>
      <x:c r="E15" s="230" t="n">
        <x:v>350</x:v>
      </x:c>
      <x:c r="F15" s="230" t="n">
        <x:v>350</x:v>
      </x:c>
      <x:c r="G15" s="235" t="n">
        <x:f>'Summary &amp; Assumptions'!G9</x:f>
        <x:v>420</x:v>
      </x:c>
      <x:c r="H15" s="235" t="n">
        <x:f>'Summary &amp; Assumptions'!H9</x:f>
        <x:v>380</x:v>
      </x:c>
      <x:c r="I15" s="235" t="n">
        <x:f>'Summary &amp; Assumptions'!I9</x:f>
        <x:v>350</x:v>
      </x:c>
      <x:c r="J15" s="235" t="n">
        <x:f>'Summary &amp; Assumptions'!J9</x:f>
        <x:v>320</x:v>
      </x:c>
      <x:c r="K15" s="235" t="n">
        <x:f>'Summary &amp; Assumptions'!K9</x:f>
        <x:v>300</x:v>
      </x:c>
      <x:c r="L15" s="235" t="n">
        <x:f>'Summary &amp; Assumptions'!L9</x:f>
        <x:v>280</x:v>
      </x:c>
      <x:c r="M15" s="235" t="n">
        <x:f>'Summary &amp; Assumptions'!M9</x:f>
        <x:v>260</x:v>
      </x:c>
      <x:c r="N15" s="235" t="n">
        <x:f>'Summary &amp; Assumptions'!N9</x:f>
        <x:v>240</x:v>
      </x:c>
      <x:c r="O15" s="235" t="n">
        <x:f>'Summary &amp; Assumptions'!O9</x:f>
        <x:v>220</x:v>
      </x:c>
      <x:c r="P15" s="227" t="str">
        <x:v>Revenue required in remaining quarters</x:v>
      </x:c>
      <x:c r="Q15" s="239" t="n">
        <x:f>MAX(0,Q14-Q13)</x:f>
        <x:v>14145.7</x:v>
      </x:c>
      <x:c r="R15" s="239" t="n">
        <x:f>MAX(0,R14-R13)</x:f>
        <x:v>10185.7</x:v>
      </x:c>
      <x:c r="S15" s="239" t="n">
        <x:f>MAX(0,S14-S13)</x:f>
        <x:v>5785.700000000001</x:v>
      </x:c>
      <x:c r="T15" s="239" t="n">
        <x:f>MAX(0,T14-T13)</x:f>
        <x:v>0</x:v>
      </x:c>
      <x:c r="U15" s="239" t="n">
        <x:f>MAX(0,U14-U13)</x:f>
        <x:v>16960</x:v>
      </x:c>
      <x:c r="V15" s="239" t="n">
        <x:f>MAX(0,V14-V13)</x:f>
        <x:v>11585.3</x:v>
      </x:c>
      <x:c r="W15" s="239" t="n">
        <x:f>MAX(0,W14-W13)</x:f>
        <x:v>6021.389999999999</x:v>
      </x:c>
      <x:c r="X15" s="239" t="n">
        <x:f>MAX(0,X14-X13)</x:f>
        <x:v>0</x:v>
      </x:c>
      <x:c r="Y15" s="227" t="str">
        <x:v>Calculated</x:v>
      </x:c>
    </x:row>
    <x:row r="16">
      <x:c r="A16" s="227" t="str">
        <x:v>Average billable scientific capacity</x:v>
      </x:c>
      <x:c r="B16" s="227" t="str">
        <x:v>FTE</x:v>
      </x:c>
      <x:c r="C16" s="227" t="str">
        <x:v>Calculated</x:v>
      </x:c>
      <x:c r="D16" s="272" t="n">
        <x:f>D14+D15/2</x:f>
        <x:v>1600</x:v>
      </x:c>
      <x:c r="E16" s="272" t="n">
        <x:f>E14+E15/2</x:f>
        <x:v>1875</x:v>
      </x:c>
      <x:c r="F16" s="272" t="n">
        <x:f>F14+F15/2</x:f>
        <x:v>2225</x:v>
      </x:c>
      <x:c r="G16" s="272" t="n">
        <x:f>G14+G15/2</x:f>
        <x:v>2610</x:v>
      </x:c>
      <x:c r="H16" s="272" t="n">
        <x:f>H14+H15/2</x:f>
        <x:v>3010</x:v>
      </x:c>
      <x:c r="I16" s="272" t="n">
        <x:f>I14+I15/2</x:f>
        <x:v>3375</x:v>
      </x:c>
      <x:c r="J16" s="272" t="n">
        <x:f>J14+J15/2</x:f>
        <x:v>3710</x:v>
      </x:c>
      <x:c r="K16" s="272" t="n">
        <x:f>K14+K15/2</x:f>
        <x:v>4020</x:v>
      </x:c>
      <x:c r="L16" s="272" t="n">
        <x:f>L14+L15/2</x:f>
        <x:v>4310</x:v>
      </x:c>
      <x:c r="M16" s="272" t="n">
        <x:f>M14+M15/2</x:f>
        <x:v>4580</x:v>
      </x:c>
      <x:c r="N16" s="272" t="n">
        <x:f>N14+N15/2</x:f>
        <x:v>4830</x:v>
      </x:c>
      <x:c r="O16" s="272" t="n">
        <x:f>O14+O15/2</x:f>
        <x:v>5060</x:v>
      </x:c>
      <x:c r="P16" s="227" t="str">
        <x:v>Key commercial / pipeline milestone</x:v>
      </x:c>
      <x:c r="Q16" s="274" t="str">
        <x:v>Portfolio normalisation</x:v>
      </x:c>
      <x:c r="R16" s="274" t="str">
        <x:v>CDMO recovery</x:v>
      </x:c>
      <x:c r="S16" s="274" t="str">
        <x:v>Capacity / pipeline progression</x:v>
      </x:c>
      <x:c r="T16" s="274" t="str">
        <x:v>FY25 close</x:v>
      </x:c>
      <x:c r="U16" s="274" t="str">
        <x:v>91 KL commissioning</x:v>
      </x:c>
      <x:c r="V16" s="274" t="str">
        <x:v>New-modality validation</x:v>
      </x:c>
      <x:c r="W16" s="274" t="str">
        <x:v>43 late-stage/commercial molecules</x:v>
      </x:c>
      <x:c r="X16" s="274" t="str">
        <x:v>450 KL ramp underway</x:v>
      </x:c>
      <x:c r="Y16" s="275" t="str">
        <x:v>Sai Life quarterly disclosures</x:v>
      </x:c>
    </x:row>
    <x:row r="17">
      <x:c r="A17" s="227" t="str">
        <x:v>Utilisation</x:v>
      </x:c>
      <x:c r="B17" s="227" t="str">
        <x:v>%</x:v>
      </x:c>
      <x:c r="C17" s="227" t="str">
        <x:v>Assumption</x:v>
      </x:c>
      <x:c r="D17" s="276" t="n">
        <x:v>0.88</x:v>
      </x:c>
      <x:c r="E17" s="276" t="n">
        <x:v>0.91</x:v>
      </x:c>
      <x:c r="F17" s="276" t="n">
        <x:v>0.93</x:v>
      </x:c>
      <x:c r="G17" s="277" t="n">
        <x:f>'Summary &amp; Assumptions'!G10</x:f>
        <x:v>0.9</x:v>
      </x:c>
      <x:c r="H17" s="277" t="n">
        <x:f>'Summary &amp; Assumptions'!H10</x:f>
        <x:v>0.915</x:v>
      </x:c>
      <x:c r="I17" s="277" t="n">
        <x:f>'Summary &amp; Assumptions'!I10</x:f>
        <x:v>0.925</x:v>
      </x:c>
      <x:c r="J17" s="277" t="n">
        <x:f>'Summary &amp; Assumptions'!J10</x:f>
        <x:v>0.93</x:v>
      </x:c>
      <x:c r="K17" s="277" t="n">
        <x:f>'Summary &amp; Assumptions'!K10</x:f>
        <x:v>0.935</x:v>
      </x:c>
      <x:c r="L17" s="277" t="n">
        <x:f>'Summary &amp; Assumptions'!L10</x:f>
        <x:v>0.94</x:v>
      </x:c>
      <x:c r="M17" s="277" t="n">
        <x:f>'Summary &amp; Assumptions'!M10</x:f>
        <x:v>0.94</x:v>
      </x:c>
      <x:c r="N17" s="277" t="n">
        <x:f>'Summary &amp; Assumptions'!N10</x:f>
        <x:v>0.94</x:v>
      </x:c>
      <x:c r="O17" s="277" t="n">
        <x:f>'Summary &amp; Assumptions'!O10</x:f>
        <x:v>0.94</x:v>
      </x:c>
      <x:c r="P17" s="227"/>
      <x:c r="Q17" s="227"/>
      <x:c r="R17" s="227"/>
      <x:c r="S17" s="227"/>
      <x:c r="T17" s="227"/>
      <x:c r="U17" s="227"/>
      <x:c r="V17" s="227"/>
      <x:c r="W17" s="227"/>
      <x:c r="X17" s="227"/>
      <x:c r="Y17" s="227"/>
    </x:row>
    <x:row r="18">
      <x:c r="A18" s="227" t="str">
        <x:v>Revenue per billable scientist</x:v>
      </x:c>
      <x:c r="B18" s="227" t="str">
        <x:v>INR mn/FTE</x:v>
      </x:c>
      <x:c r="C18" s="227" t="str">
        <x:v>Calculated / Forecast</x:v>
      </x:c>
      <x:c r="D18" s="278" t="n">
        <x:f>D6/(D16*D17)</x:f>
        <x:v>3.5310369318181816</x:v>
      </x:c>
      <x:c r="E18" s="278" t="n">
        <x:f>E6/(E16*E17)</x:f>
        <x:v>3.6688644688644687</x:v>
      </x:c>
      <x:c r="F18" s="278" t="n">
        <x:f>F6/(F16*F17)</x:f>
        <x:v>3.745318352059925</x:v>
      </x:c>
      <x:c r="G18" s="278" t="n">
        <x:f>F18*(1+'Summary &amp; Assumptions'!G11)</x:f>
        <x:v>3.976693142322097</x:v>
      </x:c>
      <x:c r="H18" s="278" t="n">
        <x:f>G18*(1+'Summary &amp; Assumptions'!H11)</x:f>
        <x:v>4.128093195202533</x:v>
      </x:c>
      <x:c r="I18" s="278" t="n">
        <x:f>H18*(1+'Summary &amp; Assumptions'!I11)</x:f>
        <x:v>4.288545275528233</x:v>
      </x:c>
      <x:c r="J18" s="278" t="n">
        <x:f>I18*(1+'Summary &amp; Assumptions'!J11)</x:f>
        <x:v>4.465620244857664</x:v>
      </x:c>
      <x:c r="K18" s="278" t="n">
        <x:f>J18*(1+'Summary &amp; Assumptions'!K11)</x:f>
        <x:v>4.640565727422967</x:v>
      </x:c>
      <x:c r="L18" s="278" t="n">
        <x:f>K18*(1+'Summary &amp; Assumptions'!L11)</x:f>
        <x:v>4.826806094707823</x:v>
      </x:c>
      <x:c r="M18" s="278" t="n">
        <x:f>L18*(1+'Summary &amp; Assumptions'!M11)</x:f>
        <x:v>4.999953963516842</x:v>
      </x:c>
      <x:c r="N18" s="278" t="n">
        <x:f>M18*(1+'Summary &amp; Assumptions'!N11)</x:f>
        <x:v>5.182053891853347</x:v>
      </x:c>
      <x:c r="O18" s="278" t="n">
        <x:f>N18*(1+'Summary &amp; Assumptions'!O11)</x:f>
        <x:v>5.373003985922791</x:v>
      </x:c>
      <x:c r="P18" s="227"/>
      <x:c r="Q18" s="227"/>
      <x:c r="R18" s="227"/>
      <x:c r="S18" s="227"/>
      <x:c r="T18" s="227"/>
      <x:c r="U18" s="227"/>
      <x:c r="V18" s="227"/>
      <x:c r="W18" s="227"/>
      <x:c r="X18" s="227"/>
      <x:c r="Y18" s="227"/>
    </x:row>
    <x:row r="19">
      <x:c r="A19" s="227" t="str">
        <x:v>Core CRO revenue</x:v>
      </x:c>
      <x:c r="B19" s="227" t="str">
        <x:v>INR mn</x:v>
      </x:c>
      <x:c r="C19" s="227" t="str">
        <x:v>Calculated</x:v>
      </x:c>
      <x:c r="D19" s="272" t="n">
        <x:f>D16*D17*D18</x:f>
        <x:v>4971.7</x:v>
      </x:c>
      <x:c r="E19" s="272" t="n">
        <x:f>E16*E17*E18</x:f>
        <x:v>6260</x:v>
      </x:c>
      <x:c r="F19" s="272" t="n">
        <x:f>F16*F17*F18</x:f>
        <x:v>7750</x:v>
      </x:c>
      <x:c r="G19" s="272" t="n">
        <x:f>G16*G17*G18</x:f>
        <x:v>9341.252191314605</x:v>
      </x:c>
      <x:c r="H19" s="272" t="n">
        <x:f>H16*H17*H18</x:f>
        <x:v>11369.387873567057</x:v>
      </x:c>
      <x:c r="I19" s="272" t="n">
        <x:f>I16*I17*I18</x:f>
        <x:v>13388.302282039704</x:v>
      </x:c>
      <x:c r="J19" s="272" t="n">
        <x:f>J16*J17*J18</x:f>
        <x:v>15407.7295308324</x:v>
      </x:c>
      <x:c r="K19" s="272" t="n">
        <x:f>K16*K17*K18</x:f>
        <x:v>17442.494399664705</x:v>
      </x:c>
      <x:c r="L19" s="272" t="n">
        <x:f>L16*L17*L18</x:f>
        <x:v>19555.322212099272</x:v>
      </x:c>
      <x:c r="M19" s="272" t="n">
        <x:f>M16*M17*M18</x:f>
        <x:v>21525.801803732706</x:v>
      </x:c>
      <x:c r="N19" s="272" t="n">
        <x:f>N16*N17*N18</x:f>
        <x:v>23527.561079792566</x:v>
      </x:c>
      <x:c r="O19" s="272" t="n">
        <x:f>O16*O17*O18</x:f>
        <x:v>25556.156158643164</x:v>
      </x:c>
      <x:c r="P19" s="227"/>
      <x:c r="Q19" s="227"/>
      <x:c r="R19" s="227"/>
      <x:c r="S19" s="227"/>
      <x:c r="T19" s="227"/>
      <x:c r="U19" s="227"/>
      <x:c r="V19" s="227"/>
      <x:c r="W19" s="227"/>
      <x:c r="X19" s="227"/>
      <x:c r="Y19" s="227"/>
    </x:row>
    <x:row r="20">
      <x:c r="A20" s="227" t="str">
        <x:v>Specific new-programme / facility adjustment</x:v>
      </x:c>
      <x:c r="B20" s="227" t="str">
        <x:v>INR mn</x:v>
      </x:c>
      <x:c r="C20" s="227" t="str">
        <x:v>Assumption</x:v>
      </x:c>
      <x:c r="D20" s="230" t="n">
        <x:v>0</x:v>
      </x:c>
      <x:c r="E20" s="230" t="n">
        <x:v>0</x:v>
      </x:c>
      <x:c r="F20" s="230" t="n">
        <x:v>0</x:v>
      </x:c>
      <x:c r="G20" s="235" t="n">
        <x:f>'Summary &amp; Assumptions'!G12</x:f>
        <x:v>0</x:v>
      </x:c>
      <x:c r="H20" s="235" t="n">
        <x:f>'Summary &amp; Assumptions'!H12</x:f>
        <x:v>0</x:v>
      </x:c>
      <x:c r="I20" s="235" t="n">
        <x:f>'Summary &amp; Assumptions'!I12</x:f>
        <x:v>0</x:v>
      </x:c>
      <x:c r="J20" s="235" t="n">
        <x:f>'Summary &amp; Assumptions'!J12</x:f>
        <x:v>0</x:v>
      </x:c>
      <x:c r="K20" s="235" t="n">
        <x:f>'Summary &amp; Assumptions'!K12</x:f>
        <x:v>0</x:v>
      </x:c>
      <x:c r="L20" s="235" t="n">
        <x:f>'Summary &amp; Assumptions'!L12</x:f>
        <x:v>0</x:v>
      </x:c>
      <x:c r="M20" s="235" t="n">
        <x:f>'Summary &amp; Assumptions'!M12</x:f>
        <x:v>0</x:v>
      </x:c>
      <x:c r="N20" s="235" t="n">
        <x:f>'Summary &amp; Assumptions'!N12</x:f>
        <x:v>0</x:v>
      </x:c>
      <x:c r="O20" s="235" t="n">
        <x:f>'Summary &amp; Assumptions'!O12</x:f>
        <x:v>0</x:v>
      </x:c>
      <x:c r="P20" s="237" t="str">
        <x:v>Selected Molecule Methodology, Sources and Confidence</x:v>
      </x:c>
      <x:c r="Q20" s="237" t="str">
        <x:v>Selected Molecule Methodology, Sources and Confidence</x:v>
      </x:c>
      <x:c r="R20" s="237" t="str">
        <x:v>Selected Molecule Methodology, Sources and Confidence</x:v>
      </x:c>
      <x:c r="S20" s="237" t="str">
        <x:v>Selected Molecule Methodology, Sources and Confidence</x:v>
      </x:c>
      <x:c r="T20" s="237" t="str">
        <x:v>Selected Molecule Methodology, Sources and Confidence</x:v>
      </x:c>
      <x:c r="U20" s="237" t="str">
        <x:v>Selected Molecule Methodology, Sources and Confidence</x:v>
      </x:c>
      <x:c r="V20" s="237" t="str">
        <x:v>Selected Molecule Methodology, Sources and Confidence</x:v>
      </x:c>
      <x:c r="W20" s="237" t="str">
        <x:v>Selected Molecule Methodology, Sources and Confidence</x:v>
      </x:c>
      <x:c r="X20" s="237" t="str">
        <x:v>Selected Molecule Methodology, Sources and Confidence</x:v>
      </x:c>
      <x:c r="Y20" s="237" t="str">
        <x:v>Selected Molecule Methodology, Sources and Confidence</x:v>
      </x:c>
    </x:row>
    <x:row r="21">
      <x:c r="A21" s="231" t="str">
        <x:v>Total CRO revenue</x:v>
      </x:c>
      <x:c r="B21" s="231" t="str">
        <x:v>INR mn</x:v>
      </x:c>
      <x:c r="C21" s="231" t="str">
        <x:v>Calculated</x:v>
      </x:c>
      <x:c r="D21" s="232" t="n">
        <x:f>SUM(D19:D20)</x:f>
        <x:v>4971.7</x:v>
      </x:c>
      <x:c r="E21" s="232" t="n">
        <x:f>SUM(E19:E20)</x:f>
        <x:v>6260</x:v>
      </x:c>
      <x:c r="F21" s="232" t="n">
        <x:f>SUM(F19:F20)</x:f>
        <x:v>7750</x:v>
      </x:c>
      <x:c r="G21" s="301" t="n">
        <x:f>SUM(G19:G20)</x:f>
        <x:v>9341.252191314605</x:v>
      </x:c>
      <x:c r="H21" s="301" t="n">
        <x:f>SUM(H19:H20)</x:f>
        <x:v>11369.387873567057</x:v>
      </x:c>
      <x:c r="I21" s="301" t="n">
        <x:f>SUM(I19:I20)</x:f>
        <x:v>13388.302282039704</x:v>
      </x:c>
      <x:c r="J21" s="301" t="n">
        <x:f>SUM(J19:J20)</x:f>
        <x:v>15407.7295308324</x:v>
      </x:c>
      <x:c r="K21" s="301" t="n">
        <x:f>SUM(K19:K20)</x:f>
        <x:v>17442.494399664705</x:v>
      </x:c>
      <x:c r="L21" s="301" t="n">
        <x:f>SUM(L19:L20)</x:f>
        <x:v>19555.322212099272</x:v>
      </x:c>
      <x:c r="M21" s="301" t="n">
        <x:f>SUM(M19:M20)</x:f>
        <x:v>21525.801803732706</x:v>
      </x:c>
      <x:c r="N21" s="301" t="n">
        <x:f>SUM(N19:N20)</x:f>
        <x:v>23527.561079792566</x:v>
      </x:c>
      <x:c r="O21" s="301" t="n">
        <x:f>SUM(O19:O20)</x:f>
        <x:v>25556.156158643164</x:v>
      </x:c>
      <x:c r="P21" s="270" t="str">
        <x:v>Molecule / franchise</x:v>
      </x:c>
      <x:c r="Q21" s="270" t="str">
        <x:v>Innovator</x:v>
      </x:c>
      <x:c r="R21" s="270" t="str">
        <x:v>Brand</x:v>
      </x:c>
      <x:c r="S21" s="270" t="str">
        <x:v>Indication</x:v>
      </x:c>
      <x:c r="T21" s="270" t="str">
        <x:v>Likely Sai role</x:v>
      </x:c>
      <x:c r="U21" s="270" t="str">
        <x:v>Status / launch</x:v>
      </x:c>
      <x:c r="V21" s="270" t="str">
        <x:v>Forecast method</x:v>
      </x:c>
      <x:c r="W21" s="270" t="str">
        <x:v>Mature Sai revenue (INR mn)</x:v>
      </x:c>
      <x:c r="X21" s="270" t="str">
        <x:v>Confidence</x:v>
      </x:c>
      <x:c r="Y21" s="270" t="str">
        <x:v>Primary source</x:v>
      </x:c>
    </x:row>
    <x:row r="22" ht="50" customHeight="1">
      <x:c r="A22" s="227" t="str">
        <x:v>YoY growth</x:v>
      </x:c>
      <x:c r="B22" s="227" t="str">
        <x:v>%</x:v>
      </x:c>
      <x:c r="C22" s="227" t="str">
        <x:v>Calculated</x:v>
      </x:c>
      <x:c r="D22" s="234" t="str">
        <x:v>-</x:v>
      </x:c>
      <x:c r="E22" s="234" t="n">
        <x:f>E21/D21-1</x:f>
        <x:v>0.25912665687792913</x:v>
      </x:c>
      <x:c r="F22" s="234" t="n">
        <x:f>F21/E21-1</x:f>
        <x:v>0.2380191693290734</x:v>
      </x:c>
      <x:c r="G22" s="234" t="n">
        <x:f>G21/F21-1</x:f>
        <x:v>0.20532286339543293</x:v>
      </x:c>
      <x:c r="H22" s="234" t="n">
        <x:f>H21/G21-1</x:f>
        <x:v>0.21711603976800786</x:v>
      </x:c>
      <x:c r="I22" s="234" t="n">
        <x:f>I21/H21-1</x:f>
        <x:v>0.1775745916072109</x:v>
      </x:c>
      <x:c r="J22" s="234" t="n">
        <x:f>J21/I21-1</x:f>
        <x:v>0.15083519973266069</x:v>
      </x:c>
      <x:c r="K22" s="234" t="n">
        <x:f>K21/J21-1</x:f>
        <x:v>0.13206130499373958</x:v>
      </x:c>
      <x:c r="L22" s="234" t="n">
        <x:f>L21/K21-1</x:f>
        <x:v>0.12113105866757112</x:v>
      </x:c>
      <x:c r="M22" s="234" t="n">
        <x:f>M21/L21-1</x:f>
        <x:v>0.10076436329002325</x:v>
      </x:c>
      <x:c r="N22" s="234" t="n">
        <x:f>N21/M21-1</x:f>
        <x:v>0.09299348262663742</x:v>
      </x:c>
      <x:c r="O22" s="234" t="n">
        <x:f>O21/N21-1</x:f>
        <x:v>0.08622207257142889</x:v>
      </x:c>
      <x:c r="P22" s="275" t="str">
        <x:v>AbbVie migraine franchise</x:v>
      </x:c>
      <x:c r="Q22" s="275" t="str">
        <x:v>AbbVie</x:v>
      </x:c>
      <x:c r="R22" s="275" t="str">
        <x:v>Qulipta + Ubrelvy</x:v>
      </x:c>
      <x:c r="S22" s="275" t="str">
        <x:v>Migraine</x:v>
      </x:c>
      <x:c r="T22" s="275" t="str">
        <x:v>High-value intermediate(s), inferred</x:v>
      </x:c>
      <x:c r="U22" s="275" t="str">
        <x:v>Commercial</x:v>
      </x:c>
      <x:c r="V22" s="275" t="str">
        <x:v>Direct annual analyst estimate</x:v>
      </x:c>
      <x:c r="W22" s="279" t="n">
        <x:v>4900</x:v>
      </x:c>
      <x:c r="X22" s="275" t="str">
        <x:v>Medium</x:v>
      </x:c>
      <x:c r="Y22" s="275" t="str">
        <x:v>Uploaded screenshots; public trade / environmental-clearance inference</x:v>
      </x:c>
    </x:row>
    <x:row r="23" ht="50" customHeight="1">
      <x:c r="A23" s="227"/>
      <x:c r="B23" s="227"/>
      <x:c r="C23" s="227"/>
      <x:c r="D23" s="280"/>
      <x:c r="E23" s="280"/>
      <x:c r="F23" s="280"/>
      <x:c r="G23" s="280"/>
      <x:c r="H23" s="280"/>
      <x:c r="I23" s="280"/>
      <x:c r="J23" s="280"/>
      <x:c r="K23" s="280"/>
      <x:c r="L23" s="280"/>
      <x:c r="M23" s="280"/>
      <x:c r="N23" s="280"/>
      <x:c r="O23" s="280"/>
      <x:c r="P23" s="275" t="str">
        <x:v>Blujepa / gepotidacin</x:v>
      </x:c>
      <x:c r="Q23" s="275" t="str">
        <x:v>GSK</x:v>
      </x:c>
      <x:c r="R23" s="275" t="str">
        <x:v>Blujepa</x:v>
      </x:c>
      <x:c r="S23" s="275" t="str">
        <x:v>uUTI and gonorrhea</x:v>
      </x:c>
      <x:c r="T23" s="275" t="str">
        <x:v>Intermediate, inferred</x:v>
      </x:c>
      <x:c r="U23" s="275" t="str">
        <x:v>US approved Mar-2025; indication expansion Dec-2025</x:v>
      </x:c>
      <x:c r="V23" s="275" t="str">
        <x:v>Launch-and-ramp analyst estimate</x:v>
      </x:c>
      <x:c r="W23" s="279" t="n">
        <x:v>5000</x:v>
      </x:c>
      <x:c r="X23" s="275" t="str">
        <x:v>Medium</x:v>
      </x:c>
      <x:c r="Y23" s="275" t="str">
        <x:v>https://www.fda.gov/drugs/drug-approvals-and-databases/drug-trials-snapshots-blujepa</x:v>
      </x:c>
    </x:row>
    <x:row r="24" ht="50" customHeight="1">
      <x:c r="A24" s="231" t="str">
        <x:v>CRO revenue reconciliation check</x:v>
      </x:c>
      <x:c r="B24" s="231" t="str">
        <x:v>INR mn</x:v>
      </x:c>
      <x:c r="C24" s="231" t="str">
        <x:v>Check</x:v>
      </x:c>
      <x:c r="D24" s="232" t="n">
        <x:f>D21-D6</x:f>
        <x:v>0</x:v>
      </x:c>
      <x:c r="E24" s="232" t="n">
        <x:f>E21-E6</x:f>
        <x:v>0</x:v>
      </x:c>
      <x:c r="F24" s="232" t="n">
        <x:f>F21-F6</x:f>
        <x:v>0</x:v>
      </x:c>
      <x:c r="G24" s="232" t="n">
        <x:f>G21-G6</x:f>
        <x:v>0</x:v>
      </x:c>
      <x:c r="H24" s="232" t="n">
        <x:f>H21-H6</x:f>
        <x:v>0</x:v>
      </x:c>
      <x:c r="I24" s="232" t="n">
        <x:f>I21-I6</x:f>
        <x:v>0</x:v>
      </x:c>
      <x:c r="J24" s="232" t="n">
        <x:f>J21-J6</x:f>
        <x:v>0</x:v>
      </x:c>
      <x:c r="K24" s="232" t="n">
        <x:f>K21-K6</x:f>
        <x:v>0</x:v>
      </x:c>
      <x:c r="L24" s="232" t="n">
        <x:f>L21-L6</x:f>
        <x:v>0</x:v>
      </x:c>
      <x:c r="M24" s="232" t="n">
        <x:f>M21-M6</x:f>
        <x:v>0</x:v>
      </x:c>
      <x:c r="N24" s="232" t="n">
        <x:f>N21-N6</x:f>
        <x:v>0</x:v>
      </x:c>
      <x:c r="O24" s="232" t="n">
        <x:f>O21-O6</x:f>
        <x:v>0</x:v>
      </x:c>
      <x:c r="P24" s="275" t="str">
        <x:v>Simparica franchise</x:v>
      </x:c>
      <x:c r="Q24" s="275" t="str">
        <x:v>Zoetis</x:v>
      </x:c>
      <x:c r="R24" s="275" t="str">
        <x:v>Simparica / Simparica Trio</x:v>
      </x:c>
      <x:c r="S24" s="275" t="str">
        <x:v>Veterinary parasiticide</x:v>
      </x:c>
      <x:c r="T24" s="275" t="str">
        <x:v>Complex intermediate, inferred</x:v>
      </x:c>
      <x:c r="U24" s="275" t="str">
        <x:v>Commercial; supply resumption assumed</x:v>
      </x:c>
      <x:c r="V24" s="275" t="str">
        <x:v>Direct annual analyst estimate</x:v>
      </x:c>
      <x:c r="W24" s="279" t="n">
        <x:v>3800</x:v>
      </x:c>
      <x:c r="X24" s="275" t="str">
        <x:v>Medium-Low</x:v>
      </x:c>
      <x:c r="Y24" s="275" t="str">
        <x:v>Uploaded screenshots; environmental-clearance / shipment research</x:v>
      </x:c>
    </x:row>
    <x:row r="25" ht="50" customHeight="1">
      <x:c r="A25" s="227"/>
      <x:c r="B25" s="227"/>
      <x:c r="C25" s="227"/>
      <x:c r="D25" s="227"/>
      <x:c r="E25" s="227"/>
      <x:c r="F25" s="227"/>
      <x:c r="G25" s="227"/>
      <x:c r="H25" s="227"/>
      <x:c r="I25" s="227"/>
      <x:c r="J25" s="227"/>
      <x:c r="K25" s="227"/>
      <x:c r="L25" s="227"/>
      <x:c r="M25" s="227"/>
      <x:c r="N25" s="227"/>
      <x:c r="O25" s="227"/>
      <x:c r="P25" s="275" t="str">
        <x:v>Tyvaso DPI-related intermediate</x:v>
      </x:c>
      <x:c r="Q25" s="275" t="str">
        <x:v>United Therapeutics</x:v>
      </x:c>
      <x:c r="R25" s="275" t="str">
        <x:v>Tyvaso DPI</x:v>
      </x:c>
      <x:c r="S25" s="275" t="str">
        <x:v>PAH / PH-ILD</x:v>
      </x:c>
      <x:c r="T25" s="275" t="str">
        <x:v>Benzindene Triol intermediate</x:v>
      </x:c>
      <x:c r="U25" s="275" t="str">
        <x:v>Commercial</x:v>
      </x:c>
      <x:c r="V25" s="275" t="str">
        <x:v>Existing revenue and lifecycle estimate</x:v>
      </x:c>
      <x:c r="W25" s="279" t="n">
        <x:v>1100</x:v>
      </x:c>
      <x:c r="X25" s="275" t="str">
        <x:v>Medium</x:v>
      </x:c>
      <x:c r="Y25" s="275" t="str">
        <x:v>https://www.pharmacompass.com/us-drug-master-files-dmfs/sai-life-sciences-limited</x:v>
      </x:c>
    </x:row>
    <x:row r="26" ht="50" customHeight="1">
      <x:c r="A26" s="227"/>
      <x:c r="B26" s="227"/>
      <x:c r="C26" s="227"/>
      <x:c r="D26" s="227"/>
      <x:c r="E26" s="227"/>
      <x:c r="F26" s="227"/>
      <x:c r="G26" s="227"/>
      <x:c r="H26" s="227"/>
      <x:c r="I26" s="227"/>
      <x:c r="J26" s="227"/>
      <x:c r="K26" s="227"/>
      <x:c r="L26" s="227"/>
      <x:c r="M26" s="227"/>
      <x:c r="N26" s="227"/>
      <x:c r="O26" s="227"/>
      <x:c r="P26" s="275" t="str">
        <x:v>Nereus / tradipitant</x:v>
      </x:c>
      <x:c r="Q26" s="275" t="str">
        <x:v>Vanda Pharmaceuticals</x:v>
      </x:c>
      <x:c r="R26" s="275" t="str">
        <x:v>Nereus</x:v>
      </x:c>
      <x:c r="S26" s="275" t="str">
        <x:v>Motion sickness</x:v>
      </x:c>
      <x:c r="T26" s="275" t="str">
        <x:v>API or intermediate, inferred</x:v>
      </x:c>
      <x:c r="U26" s="275" t="str">
        <x:v>FDA approved Dec-2025</x:v>
      </x:c>
      <x:c r="V26" s="275" t="str">
        <x:v>Launch-and-ramp estimate</x:v>
      </x:c>
      <x:c r="W26" s="279" t="n">
        <x:v>2100</x:v>
      </x:c>
      <x:c r="X26" s="275" t="str">
        <x:v>Medium-Low</x:v>
      </x:c>
      <x:c r="Y26" s="275" t="str">
        <x:v>https://www.fda.gov/drugs/novel-drug-approvals-fda/novel-drug-approvals-2025</x:v>
      </x:c>
    </x:row>
    <x:row r="27" ht="50" customHeight="1">
      <x:c r="A27" s="226" t="str">
        <x:v>Section 3: Key Molecule and Residual CDMO Build</x:v>
      </x:c>
      <x:c r="B27" s="226" t="str">
        <x:v>Section 3: Key Molecule and Residual CDMO Build</x:v>
      </x:c>
      <x:c r="C27" s="226" t="str">
        <x:v>Section 3: Key Molecule and Residual CDMO Build</x:v>
      </x:c>
      <x:c r="D27" s="226" t="str">
        <x:v>Section 3: Key Molecule and Residual CDMO Build</x:v>
      </x:c>
      <x:c r="E27" s="226" t="str">
        <x:v>Section 3: Key Molecule and Residual CDMO Build</x:v>
      </x:c>
      <x:c r="F27" s="226" t="str">
        <x:v>Section 3: Key Molecule and Residual CDMO Build</x:v>
      </x:c>
      <x:c r="G27" s="226" t="str">
        <x:v>Section 3: Key Molecule and Residual CDMO Build</x:v>
      </x:c>
      <x:c r="H27" s="226" t="str">
        <x:v>Section 3: Key Molecule and Residual CDMO Build</x:v>
      </x:c>
      <x:c r="I27" s="226" t="str">
        <x:v>Section 3: Key Molecule and Residual CDMO Build</x:v>
      </x:c>
      <x:c r="J27" s="226" t="str">
        <x:v>Section 3: Key Molecule and Residual CDMO Build</x:v>
      </x:c>
      <x:c r="K27" s="226" t="str">
        <x:v>Section 3: Key Molecule and Residual CDMO Build</x:v>
      </x:c>
      <x:c r="L27" s="226" t="str">
        <x:v>Section 3: Key Molecule and Residual CDMO Build</x:v>
      </x:c>
      <x:c r="M27" s="226" t="str">
        <x:v>Section 3: Key Molecule and Residual CDMO Build</x:v>
      </x:c>
      <x:c r="N27" s="226" t="str">
        <x:v>Section 3: Key Molecule and Residual CDMO Build</x:v>
      </x:c>
      <x:c r="O27" s="226" t="str">
        <x:v>Section 3: Key Molecule and Residual CDMO Build</x:v>
      </x:c>
      <x:c r="P27" s="275" t="str">
        <x:v>Lorundrostat</x:v>
      </x:c>
      <x:c r="Q27" s="275" t="str">
        <x:v>Mineralys Therapeutics</x:v>
      </x:c>
      <x:c r="R27" s="275" t="str">
        <x:v>Brand TBD</x:v>
      </x:c>
      <x:c r="S27" s="275" t="str">
        <x:v>Resistant hypertension</x:v>
      </x:c>
      <x:c r="T27" s="275" t="str">
        <x:v>API or intermediate, inferred</x:v>
      </x:c>
      <x:c r="U27" s="275" t="str">
        <x:v>NDA accepted Mar-2026; earliest meaningful supply FY28</x:v>
      </x:c>
      <x:c r="V27" s="275" t="str">
        <x:v>Risk-adjusted launch-and-ramp estimate</x:v>
      </x:c>
      <x:c r="W27" s="279" t="n">
        <x:v>2800</x:v>
      </x:c>
      <x:c r="X27" s="275" t="str">
        <x:v>Medium-Low</x:v>
      </x:c>
      <x:c r="Y27" s="275" t="str">
        <x:v>https://ir.mineralystx.com/news-events/press-releases/detail/93/mineralys-therapeutics-announces-fda-acceptance-of-nda-for</x:v>
      </x:c>
    </x:row>
    <x:row r="28" ht="50" customHeight="1">
      <x:c r="A28" s="227" t="str">
        <x:v>AbbVie migraine franchise: Qulipta + Ubrelvy</x:v>
      </x:c>
      <x:c r="B28" s="227" t="str">
        <x:v>INR mn</x:v>
      </x:c>
      <x:c r="C28" s="227" t="str">
        <x:v>Analyst estimate</x:v>
      </x:c>
      <x:c r="D28" s="230" t="n">
        <x:v>400</x:v>
      </x:c>
      <x:c r="E28" s="230" t="n">
        <x:v>550</x:v>
      </x:c>
      <x:c r="F28" s="230" t="n">
        <x:v>1200</x:v>
      </x:c>
      <x:c r="G28" s="230" t="n">
        <x:v>1600</x:v>
      </x:c>
      <x:c r="H28" s="230" t="n">
        <x:v>2100</x:v>
      </x:c>
      <x:c r="I28" s="230" t="n">
        <x:v>2600</x:v>
      </x:c>
      <x:c r="J28" s="230" t="n">
        <x:v>3100</x:v>
      </x:c>
      <x:c r="K28" s="230" t="n">
        <x:v>3500</x:v>
      </x:c>
      <x:c r="L28" s="230" t="n">
        <x:v>3900</x:v>
      </x:c>
      <x:c r="M28" s="230" t="n">
        <x:v>4300</x:v>
      </x:c>
      <x:c r="N28" s="230" t="n">
        <x:v>4600</x:v>
      </x:c>
      <x:c r="O28" s="230" t="n">
        <x:v>4900</x:v>
      </x:c>
      <x:c r="P28" s="275" t="str">
        <x:v>Bilastine - watchlist</x:v>
      </x:c>
      <x:c r="Q28" s="275" t="str">
        <x:v>Faes Farma</x:v>
      </x:c>
      <x:c r="R28" s="275" t="str">
        <x:v>Bilastine / Bilaxten</x:v>
      </x:c>
      <x:c r="S28" s="275" t="str">
        <x:v>Allergic rhinitis / urticaria</x:v>
      </x:c>
      <x:c r="T28" s="275" t="str">
        <x:v>Sai API listing</x:v>
      </x:c>
      <x:c r="U28" s="275" t="str">
        <x:v>Commercial and mature</x:v>
      </x:c>
      <x:c r="V28" s="275" t="str">
        <x:v>Included in residual commercial portfolio</x:v>
      </x:c>
      <x:c r="W28" s="279"/>
      <x:c r="X28" s="275" t="str">
        <x:v>High for Sai product; medium for brand mapping</x:v>
      </x:c>
      <x:c r="Y28" s="275" t="str">
        <x:v>https://www.pharmacompass.com/written-confirmation/sai-life-sciences-limited/1r-2s-5r-2-isopropyl-n-4-methoxyphenyl-5-methyl-cyclohexane-1-carboxamide-ar-15512</x:v>
      </x:c>
    </x:row>
    <x:row r="29" ht="50" customHeight="1">
      <x:c r="A29" s="227" t="str">
        <x:v>Blujepa / gepotidacin</x:v>
      </x:c>
      <x:c r="B29" s="227" t="str">
        <x:v>INR mn</x:v>
      </x:c>
      <x:c r="C29" s="227" t="str">
        <x:v>Analyst estimate</x:v>
      </x:c>
      <x:c r="D29" s="230" t="n">
        <x:v>0</x:v>
      </x:c>
      <x:c r="E29" s="230" t="n">
        <x:v>50</x:v>
      </x:c>
      <x:c r="F29" s="230" t="n">
        <x:v>350</x:v>
      </x:c>
      <x:c r="G29" s="230" t="n">
        <x:v>800</x:v>
      </x:c>
      <x:c r="H29" s="230" t="n">
        <x:v>1400</x:v>
      </x:c>
      <x:c r="I29" s="230" t="n">
        <x:v>2200</x:v>
      </x:c>
      <x:c r="J29" s="230" t="n">
        <x:v>3100</x:v>
      </x:c>
      <x:c r="K29" s="230" t="n">
        <x:v>3800</x:v>
      </x:c>
      <x:c r="L29" s="230" t="n">
        <x:v>4300</x:v>
      </x:c>
      <x:c r="M29" s="230" t="n">
        <x:v>4700</x:v>
      </x:c>
      <x:c r="N29" s="230" t="n">
        <x:v>4900</x:v>
      </x:c>
      <x:c r="O29" s="230" t="n">
        <x:v>5000</x:v>
      </x:c>
      <x:c r="P29" s="275" t="str">
        <x:v>Naperiglipron - watchlist</x:v>
      </x:c>
      <x:c r="Q29" s="275" t="str">
        <x:v>Eli Lilly</x:v>
      </x:c>
      <x:c r="R29" s="275" t="str">
        <x:v>N/A</x:v>
      </x:c>
      <x:c r="S29" s="275" t="str">
        <x:v>Obesity / diabetes</x:v>
      </x:c>
      <x:c r="T29" s="275" t="str">
        <x:v>Unconfirmed</x:v>
      </x:c>
      <x:c r="U29" s="275" t="str">
        <x:v>Early clinical development</x:v>
      </x:c>
      <x:c r="V29" s="275" t="str">
        <x:v>Excluded from core forecast</x:v>
      </x:c>
      <x:c r="W29" s="279"/>
      <x:c r="X29" s="275" t="str">
        <x:v>Low</x:v>
      </x:c>
      <x:c r="Y29" s="275" t="str">
        <x:v>Uploaded molecule-mapping screenshots; clinical-trial sources</x:v>
      </x:c>
    </x:row>
    <x:row r="30">
      <x:c r="A30" s="227" t="str">
        <x:v>Simparica / Simparica Trio intermediate</x:v>
      </x:c>
      <x:c r="B30" s="227" t="str">
        <x:v>INR mn</x:v>
      </x:c>
      <x:c r="C30" s="227" t="str">
        <x:v>Analyst estimate</x:v>
      </x:c>
      <x:c r="D30" s="230" t="n">
        <x:v>450</x:v>
      </x:c>
      <x:c r="E30" s="230" t="n">
        <x:v>200</x:v>
      </x:c>
      <x:c r="F30" s="230" t="n">
        <x:v>300</x:v>
      </x:c>
      <x:c r="G30" s="230" t="n">
        <x:v>650</x:v>
      </x:c>
      <x:c r="H30" s="230" t="n">
        <x:v>1000</x:v>
      </x:c>
      <x:c r="I30" s="230" t="n">
        <x:v>1400</x:v>
      </x:c>
      <x:c r="J30" s="230" t="n">
        <x:v>1900</x:v>
      </x:c>
      <x:c r="K30" s="230" t="n">
        <x:v>2400</x:v>
      </x:c>
      <x:c r="L30" s="230" t="n">
        <x:v>2800</x:v>
      </x:c>
      <x:c r="M30" s="230" t="n">
        <x:v>3200</x:v>
      </x:c>
      <x:c r="N30" s="230" t="n">
        <x:v>3500</x:v>
      </x:c>
      <x:c r="O30" s="230" t="n">
        <x:v>3800</x:v>
      </x:c>
      <x:c r="P30" s="227"/>
      <x:c r="Q30" s="227"/>
      <x:c r="R30" s="227"/>
      <x:c r="S30" s="227"/>
      <x:c r="T30" s="227"/>
      <x:c r="U30" s="227"/>
      <x:c r="V30" s="227"/>
      <x:c r="W30" s="227"/>
      <x:c r="X30" s="227"/>
      <x:c r="Y30" s="227"/>
    </x:row>
    <x:row r="31">
      <x:c r="A31" s="227" t="str">
        <x:v>Tyvaso DPI / treprostinil-related intermediate</x:v>
      </x:c>
      <x:c r="B31" s="227" t="str">
        <x:v>INR mn</x:v>
      </x:c>
      <x:c r="C31" s="227" t="str">
        <x:v>Analyst estimate</x:v>
      </x:c>
      <x:c r="D31" s="230" t="n">
        <x:v>500</x:v>
      </x:c>
      <x:c r="E31" s="230" t="n">
        <x:v>600</x:v>
      </x:c>
      <x:c r="F31" s="230" t="n">
        <x:v>750</x:v>
      </x:c>
      <x:c r="G31" s="230" t="n">
        <x:v>850</x:v>
      </x:c>
      <x:c r="H31" s="230" t="n">
        <x:v>950</x:v>
      </x:c>
      <x:c r="I31" s="230" t="n">
        <x:v>1050</x:v>
      </x:c>
      <x:c r="J31" s="230" t="n">
        <x:v>1100</x:v>
      </x:c>
      <x:c r="K31" s="230" t="n">
        <x:v>1100</x:v>
      </x:c>
      <x:c r="L31" s="230" t="n">
        <x:v>1050</x:v>
      </x:c>
      <x:c r="M31" s="230" t="n">
        <x:v>950</x:v>
      </x:c>
      <x:c r="N31" s="230" t="n">
        <x:v>850</x:v>
      </x:c>
      <x:c r="O31" s="230" t="n">
        <x:v>750</x:v>
      </x:c>
      <x:c r="P31" s="227"/>
      <x:c r="Q31" s="227"/>
      <x:c r="R31" s="227"/>
      <x:c r="S31" s="227"/>
      <x:c r="T31" s="227"/>
      <x:c r="U31" s="227"/>
      <x:c r="V31" s="227"/>
      <x:c r="W31" s="227"/>
      <x:c r="X31" s="227"/>
      <x:c r="Y31" s="227"/>
    </x:row>
    <x:row r="32">
      <x:c r="A32" s="227" t="str">
        <x:v>Nereus / tradipitant</x:v>
      </x:c>
      <x:c r="B32" s="227" t="str">
        <x:v>INR mn</x:v>
      </x:c>
      <x:c r="C32" s="227" t="str">
        <x:v>Pipeline launch-ramp estimate</x:v>
      </x:c>
      <x:c r="D32" s="230" t="n">
        <x:v>0</x:v>
      </x:c>
      <x:c r="E32" s="230" t="n">
        <x:v>0</x:v>
      </x:c>
      <x:c r="F32" s="230" t="n">
        <x:v>50</x:v>
      </x:c>
      <x:c r="G32" s="230" t="n">
        <x:v>150</x:v>
      </x:c>
      <x:c r="H32" s="230" t="n">
        <x:v>350</x:v>
      </x:c>
      <x:c r="I32" s="230" t="n">
        <x:v>600</x:v>
      </x:c>
      <x:c r="J32" s="230" t="n">
        <x:v>900</x:v>
      </x:c>
      <x:c r="K32" s="230" t="n">
        <x:v>1200</x:v>
      </x:c>
      <x:c r="L32" s="230" t="n">
        <x:v>1500</x:v>
      </x:c>
      <x:c r="M32" s="230" t="n">
        <x:v>1700</x:v>
      </x:c>
      <x:c r="N32" s="230" t="n">
        <x:v>1900</x:v>
      </x:c>
      <x:c r="O32" s="230" t="n">
        <x:v>2100</x:v>
      </x:c>
      <x:c r="P32" s="227"/>
      <x:c r="Q32" s="227"/>
      <x:c r="R32" s="227"/>
      <x:c r="S32" s="227"/>
      <x:c r="T32" s="227"/>
      <x:c r="U32" s="227"/>
      <x:c r="V32" s="227"/>
      <x:c r="W32" s="227"/>
      <x:c r="X32" s="227"/>
      <x:c r="Y32" s="227"/>
    </x:row>
    <x:row r="33">
      <x:c r="A33" s="227" t="str">
        <x:v>Lorundrostat</x:v>
      </x:c>
      <x:c r="B33" s="227" t="str">
        <x:v>INR mn</x:v>
      </x:c>
      <x:c r="C33" s="227" t="str">
        <x:v>Pipeline launch-ramp estimate</x:v>
      </x:c>
      <x:c r="D33" s="230" t="n">
        <x:v>0</x:v>
      </x:c>
      <x:c r="E33" s="230" t="n">
        <x:v>0</x:v>
      </x:c>
      <x:c r="F33" s="230" t="n">
        <x:v>25</x:v>
      </x:c>
      <x:c r="G33" s="230" t="n">
        <x:v>100</x:v>
      </x:c>
      <x:c r="H33" s="230" t="n">
        <x:v>300</x:v>
      </x:c>
      <x:c r="I33" s="230" t="n">
        <x:v>550</x:v>
      </x:c>
      <x:c r="J33" s="230" t="n">
        <x:v>800</x:v>
      </x:c>
      <x:c r="K33" s="230" t="n">
        <x:v>1100</x:v>
      </x:c>
      <x:c r="L33" s="230" t="n">
        <x:v>1500</x:v>
      </x:c>
      <x:c r="M33" s="230" t="n">
        <x:v>1900</x:v>
      </x:c>
      <x:c r="N33" s="230" t="n">
        <x:v>2300</x:v>
      </x:c>
      <x:c r="O33" s="230" t="n">
        <x:v>2800</x:v>
      </x:c>
      <x:c r="P33" s="227"/>
      <x:c r="Q33" s="227"/>
      <x:c r="R33" s="227"/>
      <x:c r="S33" s="227"/>
      <x:c r="T33" s="227"/>
      <x:c r="U33" s="227"/>
      <x:c r="V33" s="227"/>
      <x:c r="W33" s="227"/>
      <x:c r="X33" s="227"/>
      <x:c r="Y33" s="227"/>
    </x:row>
    <x:row r="34">
      <x:c r="A34" s="227" t="str">
        <x:v>Other commercial portfolio</x:v>
      </x:c>
      <x:c r="B34" s="227" t="str">
        <x:v>INR mn</x:v>
      </x:c>
      <x:c r="C34" s="227" t="str">
        <x:v>Portfolio forecast</x:v>
      </x:c>
      <x:c r="D34" s="230" t="n">
        <x:v>4800</x:v>
      </x:c>
      <x:c r="E34" s="230" t="n">
        <x:v>5200</x:v>
      </x:c>
      <x:c r="F34" s="230" t="n">
        <x:v>6600</x:v>
      </x:c>
      <x:c r="G34" s="235" t="n">
        <x:f>F34*(1+'Summary &amp; Assumptions'!G13)</x:f>
        <x:v>7194.000000000001</x:v>
      </x:c>
      <x:c r="H34" s="235" t="n">
        <x:f>G34*(1+'Summary &amp; Assumptions'!H13)</x:f>
        <x:v>7841.460000000002</x:v>
      </x:c>
      <x:c r="I34" s="235" t="n">
        <x:f>H34*(1+'Summary &amp; Assumptions'!I13)</x:f>
        <x:v>8468.776800000003</x:v>
      </x:c>
      <x:c r="J34" s="235" t="n">
        <x:f>I34*(1+'Summary &amp; Assumptions'!J13)</x:f>
        <x:v>9146.278944000003</x:v>
      </x:c>
      <x:c r="K34" s="235" t="n">
        <x:f>J34*(1+'Summary &amp; Assumptions'!K13)</x:f>
        <x:v>9786.518470080004</x:v>
      </x:c>
      <x:c r="L34" s="235" t="n">
        <x:f>K34*(1+'Summary &amp; Assumptions'!L13)</x:f>
        <x:v>10471.574762985605</x:v>
      </x:c>
      <x:c r="M34" s="235" t="n">
        <x:f>L34*(1+'Summary &amp; Assumptions'!M13)</x:f>
        <x:v>11099.869248764742</x:v>
      </x:c>
      <x:c r="N34" s="235" t="n">
        <x:f>M34*(1+'Summary &amp; Assumptions'!N13)</x:f>
        <x:v>11765.861403690627</x:v>
      </x:c>
      <x:c r="O34" s="235" t="n">
        <x:f>N34*(1+'Summary &amp; Assumptions'!O13)</x:f>
        <x:v>12354.15447387516</x:v>
      </x:c>
      <x:c r="P34" s="227"/>
      <x:c r="Q34" s="227"/>
      <x:c r="R34" s="227"/>
      <x:c r="S34" s="227"/>
      <x:c r="T34" s="227"/>
      <x:c r="U34" s="227"/>
      <x:c r="V34" s="227"/>
      <x:c r="W34" s="227"/>
      <x:c r="X34" s="227"/>
      <x:c r="Y34" s="227"/>
    </x:row>
    <x:row r="35">
      <x:c r="A35" s="227" t="str">
        <x:v>Other development and late-stage portfolio</x:v>
      </x:c>
      <x:c r="B35" s="227" t="str">
        <x:v>INR mn</x:v>
      </x:c>
      <x:c r="C35" s="227" t="str">
        <x:v>Portfolio forecast</x:v>
      </x:c>
      <x:c r="D35" s="230" t="n">
        <x:v>3530.08</x:v>
      </x:c>
      <x:c r="E35" s="230" t="n">
        <x:v>4085.7</x:v>
      </x:c>
      <x:c r="F35" s="230" t="n">
        <x:v>4695</x:v>
      </x:c>
      <x:c r="G35" s="235" t="n">
        <x:f>F35*(1+'Summary &amp; Assumptions'!G14)</x:f>
        <x:v>5352.66220986</x:v>
      </x:c>
      <x:c r="H35" s="235" t="n">
        <x:f>G35*(1+'Summary &amp; Assumptions'!H14)</x:f>
        <x:v>5946.069042416837</x:v>
      </x:c>
      <x:c r="I35" s="235" t="n">
        <x:f>H35*(1+'Summary &amp; Assumptions'!I14)</x:f>
        <x:v>6238.904404200721</x:v>
      </x:c>
      <x:c r="J35" s="235" t="n">
        <x:f>I35*(1+'Summary &amp; Assumptions'!J14)</x:f>
        <x:v>6317.77679589014</x:v>
      </x:c>
      <x:c r="K35" s="235" t="n">
        <x:f>J35*(1+'Summary &amp; Assumptions'!K14)</x:f>
        <x:v>6748.628116219787</x:v>
      </x:c>
      <x:c r="L35" s="235" t="n">
        <x:f>K35*(1+'Summary &amp; Assumptions'!L14)</x:f>
        <x:v>7247.595642925806</x:v>
      </x:c>
      <x:c r="M35" s="235" t="n">
        <x:f>L35*(1+'Summary &amp; Assumptions'!M14)</x:f>
        <x:v>8082.255645744977</x:v>
      </x:c>
      <x:c r="N35" s="235" t="n">
        <x:f>M35*(1+'Summary &amp; Assumptions'!N14)</x:f>
        <x:v>9313.87569250243</x:v>
      </x:c>
      <x:c r="O35" s="235" t="n">
        <x:f>N35*(1+'Summary &amp; Assumptions'!O14)</x:f>
        <x:v>10725.956065223623</x:v>
      </x:c>
      <x:c r="P35" s="227"/>
      <x:c r="Q35" s="227"/>
      <x:c r="R35" s="227"/>
      <x:c r="S35" s="227"/>
      <x:c r="T35" s="227"/>
      <x:c r="U35" s="227"/>
      <x:c r="V35" s="227"/>
      <x:c r="W35" s="227"/>
      <x:c r="X35" s="227"/>
      <x:c r="Y35" s="227"/>
    </x:row>
    <x:row r="36">
      <x:c r="A36" s="227" t="str">
        <x:v>New-capacity / campaign-timing adjustment</x:v>
      </x:c>
      <x:c r="B36" s="227" t="str">
        <x:v>INR mn</x:v>
      </x:c>
      <x:c r="C36" s="227" t="str">
        <x:v>Assumption</x:v>
      </x:c>
      <x:c r="D36" s="230" t="n">
        <x:v>0</x:v>
      </x:c>
      <x:c r="E36" s="230" t="n">
        <x:v>0</x:v>
      </x:c>
      <x:c r="F36" s="230" t="n">
        <x:v>200</x:v>
      </x:c>
      <x:c r="G36" s="235" t="n">
        <x:f>'Summary &amp; Assumptions'!G15</x:f>
        <x:v>300</x:v>
      </x:c>
      <x:c r="H36" s="235" t="n">
        <x:f>'Summary &amp; Assumptions'!H15</x:f>
        <x:v>500</x:v>
      </x:c>
      <x:c r="I36" s="235" t="n">
        <x:f>'Summary &amp; Assumptions'!I15</x:f>
        <x:v>700</x:v>
      </x:c>
      <x:c r="J36" s="235" t="n">
        <x:f>'Summary &amp; Assumptions'!J15</x:f>
        <x:v>900</x:v>
      </x:c>
      <x:c r="K36" s="235" t="n">
        <x:f>'Summary &amp; Assumptions'!K15</x:f>
        <x:v>1100</x:v>
      </x:c>
      <x:c r="L36" s="235" t="n">
        <x:f>'Summary &amp; Assumptions'!L15</x:f>
        <x:v>1300</x:v>
      </x:c>
      <x:c r="M36" s="235" t="n">
        <x:f>'Summary &amp; Assumptions'!M15</x:f>
        <x:v>1400</x:v>
      </x:c>
      <x:c r="N36" s="235" t="n">
        <x:f>'Summary &amp; Assumptions'!N15</x:f>
        <x:v>1500</x:v>
      </x:c>
      <x:c r="O36" s="235" t="n">
        <x:f>'Summary &amp; Assumptions'!O15</x:f>
        <x:v>1600</x:v>
      </x:c>
      <x:c r="P36" s="227"/>
      <x:c r="Q36" s="227"/>
      <x:c r="R36" s="227"/>
      <x:c r="S36" s="227"/>
      <x:c r="T36" s="227"/>
      <x:c r="U36" s="227"/>
      <x:c r="V36" s="227"/>
      <x:c r="W36" s="227"/>
      <x:c r="X36" s="227"/>
      <x:c r="Y36" s="227"/>
    </x:row>
    <x:row r="37">
      <x:c r="A37" s="231" t="str">
        <x:v>Total CDMO revenue</x:v>
      </x:c>
      <x:c r="B37" s="231" t="str">
        <x:v>INR mn</x:v>
      </x:c>
      <x:c r="C37" s="231" t="str">
        <x:v>Calculated</x:v>
      </x:c>
      <x:c r="D37" s="232" t="n">
        <x:f>SUM(D28:D36)</x:f>
        <x:v>9680.08</x:v>
      </x:c>
      <x:c r="E37" s="232" t="n">
        <x:f>SUM(E28:E36)</x:f>
        <x:v>10685.7</x:v>
      </x:c>
      <x:c r="F37" s="232" t="n">
        <x:f>SUM(F28:F36)</x:f>
        <x:v>14170</x:v>
      </x:c>
      <x:c r="G37" s="232" t="n">
        <x:f>SUM(G28:G36)</x:f>
        <x:v>16996.66220986</x:v>
      </x:c>
      <x:c r="H37" s="232" t="n">
        <x:f>SUM(H28:H36)</x:f>
        <x:v>20387.52904241684</x:v>
      </x:c>
      <x:c r="I37" s="232" t="n">
        <x:f>SUM(I28:I36)</x:f>
        <x:v>23807.681204200722</x:v>
      </x:c>
      <x:c r="J37" s="232" t="n">
        <x:f>SUM(J28:J36)</x:f>
        <x:v>27264.055739890144</x:v>
      </x:c>
      <x:c r="K37" s="232" t="n">
        <x:f>SUM(K28:K36)</x:f>
        <x:v>30735.14658629979</x:v>
      </x:c>
      <x:c r="L37" s="232" t="n">
        <x:f>SUM(L28:L36)</x:f>
        <x:v>34069.17040591141</x:v>
      </x:c>
      <x:c r="M37" s="232" t="n">
        <x:f>SUM(M28:M36)</x:f>
        <x:v>37332.12489450972</x:v>
      </x:c>
      <x:c r="N37" s="232" t="n">
        <x:f>SUM(N28:N36)</x:f>
        <x:v>40629.73709619306</x:v>
      </x:c>
      <x:c r="O37" s="232" t="n">
        <x:f>SUM(O28:O36)</x:f>
        <x:v>44030.11053909879</x:v>
      </x:c>
      <x:c r="P37" s="227"/>
      <x:c r="Q37" s="227"/>
      <x:c r="R37" s="227"/>
      <x:c r="S37" s="227"/>
      <x:c r="T37" s="227"/>
      <x:c r="U37" s="227"/>
      <x:c r="V37" s="227"/>
      <x:c r="W37" s="227"/>
      <x:c r="X37" s="227"/>
      <x:c r="Y37" s="227"/>
    </x:row>
    <x:row r="38">
      <x:c r="A38" s="227" t="str">
        <x:v>YoY growth</x:v>
      </x:c>
      <x:c r="B38" s="227" t="str">
        <x:v>%</x:v>
      </x:c>
      <x:c r="C38" s="227" t="str">
        <x:v>Calculated</x:v>
      </x:c>
      <x:c r="D38" s="234" t="str">
        <x:v>-</x:v>
      </x:c>
      <x:c r="E38" s="234" t="n">
        <x:f>E37/D37-1</x:f>
        <x:v>0.10388550507847061</x:v>
      </x:c>
      <x:c r="F38" s="234" t="n">
        <x:f>F37/E37-1</x:f>
        <x:v>0.3260712915391597</x:v>
      </x:c>
      <x:c r="G38" s="234" t="n">
        <x:f>G37/F37-1</x:f>
        <x:v>0.19948216018772036</x:v>
      </x:c>
      <x:c r="H38" s="234" t="n">
        <x:f>H37/G37-1</x:f>
        <x:v>0.19950192518327237</x:v>
      </x:c>
      <x:c r="I38" s="234" t="n">
        <x:f>I37/H37-1</x:f>
        <x:v>0.16775707123056227</x:v>
      </x:c>
      <x:c r="J38" s="234" t="n">
        <x:f>J37/I37-1</x:f>
        <x:v>0.14517896581543455</x:v>
      </x:c>
      <x:c r="K38" s="234" t="n">
        <x:f>K37/J37-1</x:f>
        <x:v>0.12731381125116603</x:v>
      </x:c>
      <x:c r="L38" s="234" t="n">
        <x:f>L37/K37-1</x:f>
        <x:v>0.10847593683180179</x:v>
      </x:c>
      <x:c r="M38" s="234" t="n">
        <x:f>M37/L37-1</x:f>
        <x:v>0.09577440394709891</x:v>
      </x:c>
      <x:c r="N38" s="234" t="n">
        <x:f>N37/M37-1</x:f>
        <x:v>0.08833175746093969</x:v>
      </x:c>
      <x:c r="O38" s="234" t="n">
        <x:f>O37/N37-1</x:f>
        <x:v>0.08369174122035705</x:v>
      </x:c>
      <x:c r="P38" s="227"/>
      <x:c r="Q38" s="227"/>
      <x:c r="R38" s="227"/>
      <x:c r="S38" s="227"/>
      <x:c r="T38" s="227"/>
      <x:c r="U38" s="227"/>
      <x:c r="V38" s="227"/>
      <x:c r="W38" s="227"/>
      <x:c r="X38" s="227"/>
      <x:c r="Y38" s="227"/>
    </x:row>
    <x:row r="39">
      <x:c r="A39" s="231" t="str">
        <x:v>Selected named molecules subtotal</x:v>
      </x:c>
      <x:c r="B39" s="231" t="str">
        <x:v>INR mn</x:v>
      </x:c>
      <x:c r="C39" s="231" t="str">
        <x:v>Calculated</x:v>
      </x:c>
      <x:c r="D39" s="232" t="n">
        <x:f>SUM(D28:D33)</x:f>
        <x:v>1350</x:v>
      </x:c>
      <x:c r="E39" s="232" t="n">
        <x:f>SUM(E28:E33)</x:f>
        <x:v>1400</x:v>
      </x:c>
      <x:c r="F39" s="232" t="n">
        <x:f>SUM(F28:F33)</x:f>
        <x:v>2675</x:v>
      </x:c>
      <x:c r="G39" s="232" t="n">
        <x:f>SUM(G28:G33)</x:f>
        <x:v>4150</x:v>
      </x:c>
      <x:c r="H39" s="232" t="n">
        <x:f>SUM(H28:H33)</x:f>
        <x:v>6100</x:v>
      </x:c>
      <x:c r="I39" s="232" t="n">
        <x:f>SUM(I28:I33)</x:f>
        <x:v>8400</x:v>
      </x:c>
      <x:c r="J39" s="232" t="n">
        <x:f>SUM(J28:J33)</x:f>
        <x:v>10900</x:v>
      </x:c>
      <x:c r="K39" s="232" t="n">
        <x:f>SUM(K28:K33)</x:f>
        <x:v>13100</x:v>
      </x:c>
      <x:c r="L39" s="232" t="n">
        <x:f>SUM(L28:L33)</x:f>
        <x:v>15050</x:v>
      </x:c>
      <x:c r="M39" s="232" t="n">
        <x:f>SUM(M28:M33)</x:f>
        <x:v>16750</x:v>
      </x:c>
      <x:c r="N39" s="232" t="n">
        <x:f>SUM(N28:N33)</x:f>
        <x:v>18050</x:v>
      </x:c>
      <x:c r="O39" s="232" t="n">
        <x:f>SUM(O28:O33)</x:f>
        <x:v>19350</x:v>
      </x:c>
      <x:c r="P39" s="227"/>
      <x:c r="Q39" s="227"/>
      <x:c r="R39" s="227"/>
      <x:c r="S39" s="227"/>
      <x:c r="T39" s="227"/>
      <x:c r="U39" s="227"/>
      <x:c r="V39" s="227"/>
      <x:c r="W39" s="227"/>
      <x:c r="X39" s="227"/>
      <x:c r="Y39" s="227"/>
    </x:row>
    <x:row r="40">
      <x:c r="A40" s="227" t="str">
        <x:v>Selected named molecules / CDMO</x:v>
      </x:c>
      <x:c r="B40" s="227" t="str">
        <x:v>%</x:v>
      </x:c>
      <x:c r="C40" s="227" t="str">
        <x:v>Calculated</x:v>
      </x:c>
      <x:c r="D40" s="234" t="n">
        <x:f>D39/D37</x:f>
        <x:v>0.13946165734167487</x:v>
      </x:c>
      <x:c r="E40" s="234" t="n">
        <x:f>E39/E37</x:f>
        <x:v>0.13101621793612023</x:v>
      </x:c>
      <x:c r="F40" s="234" t="n">
        <x:f>F39/F37</x:f>
        <x:v>0.18877911079745943</x:v>
      </x:c>
      <x:c r="G40" s="234" t="n">
        <x:f>G39/G37</x:f>
        <x:v>0.24416558667574906</x:v>
      </x:c>
      <x:c r="H40" s="234" t="n">
        <x:f>H39/H37</x:f>
        <x:v>0.2992025167595727</x:v>
      </x:c>
      <x:c r="I40" s="234" t="n">
        <x:f>I39/I37</x:f>
        <x:v>0.35282730510176147</x:v>
      </x:c>
      <x:c r="J40" s="234" t="n">
        <x:f>J39/J37</x:f>
        <x:v>0.39979378358048795</x:v>
      </x:c>
      <x:c r="K40" s="234" t="n">
        <x:f>K39/K37</x:f>
        <x:v>0.42622214158690014</x:v>
      </x:c>
      <x:c r="L40" s="234" t="n">
        <x:f>L39/L37</x:f>
        <x:v>0.4417483554982203</x:v>
      </x:c>
      <x:c r="M40" s="234" t="n">
        <x:f>M39/M37</x:f>
        <x:v>0.44867523740828785</x:v>
      </x:c>
      <x:c r="N40" s="234" t="n">
        <x:f>N39/N37</x:f>
        <x:v>0.44425588965209567</x:v>
      </x:c>
      <x:c r="O40" s="234" t="n">
        <x:f>O39/O37</x:f>
        <x:v>0.4394719832196919</x:v>
      </x:c>
      <x:c r="P40" s="227"/>
      <x:c r="Q40" s="227"/>
      <x:c r="R40" s="227"/>
      <x:c r="S40" s="227"/>
      <x:c r="T40" s="227"/>
      <x:c r="U40" s="227"/>
      <x:c r="V40" s="227"/>
      <x:c r="W40" s="227"/>
      <x:c r="X40" s="227"/>
      <x:c r="Y40" s="227"/>
    </x:row>
    <x:row r="41">
      <x:c r="A41" s="227"/>
      <x:c r="B41" s="227"/>
      <x:c r="C41" s="227"/>
      <x:c r="D41" s="227"/>
      <x:c r="E41" s="227"/>
      <x:c r="F41" s="227"/>
      <x:c r="G41" s="227"/>
      <x:c r="H41" s="227"/>
      <x:c r="I41" s="227"/>
      <x:c r="J41" s="227"/>
      <x:c r="K41" s="227"/>
      <x:c r="L41" s="227"/>
      <x:c r="M41" s="227"/>
      <x:c r="N41" s="227"/>
      <x:c r="O41" s="227"/>
      <x:c r="P41" s="227"/>
      <x:c r="Q41" s="227"/>
      <x:c r="R41" s="227"/>
      <x:c r="S41" s="227"/>
      <x:c r="T41" s="227"/>
      <x:c r="U41" s="227"/>
      <x:c r="V41" s="227"/>
      <x:c r="W41" s="227"/>
      <x:c r="X41" s="227"/>
      <x:c r="Y41" s="227"/>
    </x:row>
    <x:row r="42" ht="20" customHeight="1">
      <x:c r="A42" s="226" t="str">
        <x:v>Section 4: Operating KPI Monitor and Quarterly Revenue Tracker</x:v>
      </x:c>
      <x:c r="B42" s="226" t="str">
        <x:v>Section 4: Operating KPI Monitor and Quarterly Revenue Tracker</x:v>
      </x:c>
      <x:c r="C42" s="226" t="str">
        <x:v>Section 4: Operating KPI Monitor and Quarterly Revenue Tracker</x:v>
      </x:c>
      <x:c r="D42" s="226" t="str">
        <x:v>Section 4: Operating KPI Monitor and Quarterly Revenue Tracker</x:v>
      </x:c>
      <x:c r="E42" s="226" t="str">
        <x:v>Section 4: Operating KPI Monitor and Quarterly Revenue Tracker</x:v>
      </x:c>
      <x:c r="F42" s="226" t="str">
        <x:v>Section 4: Operating KPI Monitor and Quarterly Revenue Tracker</x:v>
      </x:c>
      <x:c r="G42" s="302" t="str">
        <x:v>Section 4: Operating KPI Monitor and Quarterly Revenue Tracker</x:v>
      </x:c>
      <x:c r="H42" s="302" t="str">
        <x:v>Section 4: Operating KPI Monitor and Quarterly Revenue Tracker</x:v>
      </x:c>
      <x:c r="I42" s="302" t="str">
        <x:v>Section 4: Operating KPI Monitor and Quarterly Revenue Tracker</x:v>
      </x:c>
      <x:c r="J42" s="302" t="str">
        <x:v>Section 4: Operating KPI Monitor and Quarterly Revenue Tracker</x:v>
      </x:c>
      <x:c r="K42" s="302" t="str">
        <x:v>Section 4: Operating KPI Monitor and Quarterly Revenue Tracker</x:v>
      </x:c>
      <x:c r="L42" s="302" t="str">
        <x:v>Section 4: Operating KPI Monitor and Quarterly Revenue Tracker</x:v>
      </x:c>
      <x:c r="M42" s="302" t="str">
        <x:v>Section 4: Operating KPI Monitor and Quarterly Revenue Tracker</x:v>
      </x:c>
      <x:c r="N42" s="302" t="str">
        <x:v>Section 4: Operating KPI Monitor and Quarterly Revenue Tracker</x:v>
      </x:c>
      <x:c r="O42" s="302" t="str">
        <x:v>Section 4: Operating KPI Monitor and Quarterly Revenue Tracker</x:v>
      </x:c>
      <x:c r="P42" s="227"/>
      <x:c r="Q42" s="227"/>
      <x:c r="R42" s="227"/>
      <x:c r="S42" s="227"/>
      <x:c r="T42" s="227"/>
      <x:c r="U42" s="227"/>
      <x:c r="V42" s="227"/>
      <x:c r="W42" s="227"/>
      <x:c r="X42" s="227"/>
      <x:c r="Y42" s="227"/>
    </x:row>
    <x:row r="43">
      <x:c r="A43" s="227" t="str">
        <x:v>Scientific employee count</x:v>
      </x:c>
      <x:c r="B43" s="227" t="str">
        <x:v>number</x:v>
      </x:c>
      <x:c r="C43" s="227" t="str">
        <x:v>Reported / Estimate</x:v>
      </x:c>
      <x:c r="D43" s="230" t="n">
        <x:v>2125</x:v>
      </x:c>
      <x:c r="E43" s="230" t="n">
        <x:v>2605</x:v>
      </x:c>
      <x:c r="F43" s="230" t="n">
        <x:v>3000</x:v>
      </x:c>
      <x:c r="G43" s="235" t="n">
        <x:f>'Supporting Schedules'!G101*82%</x:f>
        <x:v>3690</x:v>
      </x:c>
      <x:c r="H43" s="235" t="n">
        <x:f>'Supporting Schedules'!H101*82%</x:f>
        <x:v>4100</x:v>
      </x:c>
      <x:c r="I43" s="235" t="n">
        <x:f>'Supporting Schedules'!I101*82%</x:f>
        <x:v>4469</x:v>
      </x:c>
      <x:c r="J43" s="235" t="n">
        <x:f>'Supporting Schedules'!J101*82%</x:f>
        <x:v>4797</x:v>
      </x:c>
      <x:c r="K43" s="235" t="n">
        <x:f>'Supporting Schedules'!K101*82%</x:f>
        <x:v>5084</x:v>
      </x:c>
      <x:c r="L43" s="235" t="n">
        <x:f>'Supporting Schedules'!L101*82%</x:f>
        <x:v>5346.4</x:v>
      </x:c>
      <x:c r="M43" s="235" t="n">
        <x:f>'Supporting Schedules'!M101*82%</x:f>
        <x:v>5592.4</x:v>
      </x:c>
      <x:c r="N43" s="235" t="n">
        <x:f>'Supporting Schedules'!N101*82%</x:f>
        <x:v>5822</x:v>
      </x:c>
      <x:c r="O43" s="235" t="n">
        <x:f>'Supporting Schedules'!O101*82%</x:f>
        <x:v>6035.2</x:v>
      </x:c>
      <x:c r="P43" s="227"/>
      <x:c r="Q43" s="227"/>
      <x:c r="R43" s="227"/>
      <x:c r="S43" s="227"/>
      <x:c r="T43" s="227"/>
      <x:c r="U43" s="227"/>
      <x:c r="V43" s="227"/>
      <x:c r="W43" s="227"/>
      <x:c r="X43" s="227"/>
      <x:c r="Y43" s="227"/>
    </x:row>
    <x:row r="44">
      <x:c r="A44" s="227" t="str">
        <x:v>Average billable scientific capacity</x:v>
      </x:c>
      <x:c r="B44" s="227" t="str">
        <x:v>FTE</x:v>
      </x:c>
      <x:c r="C44" s="227" t="str">
        <x:v>Revenue Model</x:v>
      </x:c>
      <x:c r="D44" s="272" t="n">
        <x:f>D16</x:f>
        <x:v>1600</x:v>
      </x:c>
      <x:c r="E44" s="272" t="n">
        <x:f>E16</x:f>
        <x:v>1875</x:v>
      </x:c>
      <x:c r="F44" s="272" t="n">
        <x:f>F16</x:f>
        <x:v>2225</x:v>
      </x:c>
      <x:c r="G44" s="272" t="n">
        <x:f>G16</x:f>
        <x:v>2610</x:v>
      </x:c>
      <x:c r="H44" s="272" t="n">
        <x:f>H16</x:f>
        <x:v>3010</x:v>
      </x:c>
      <x:c r="I44" s="272" t="n">
        <x:f>I16</x:f>
        <x:v>3375</x:v>
      </x:c>
      <x:c r="J44" s="272" t="n">
        <x:f>J16</x:f>
        <x:v>3710</x:v>
      </x:c>
      <x:c r="K44" s="272" t="n">
        <x:f>K16</x:f>
        <x:v>4020</x:v>
      </x:c>
      <x:c r="L44" s="272" t="n">
        <x:f>L16</x:f>
        <x:v>4310</x:v>
      </x:c>
      <x:c r="M44" s="272" t="n">
        <x:f>M16</x:f>
        <x:v>4580</x:v>
      </x:c>
      <x:c r="N44" s="272" t="n">
        <x:f>N16</x:f>
        <x:v>4830</x:v>
      </x:c>
      <x:c r="O44" s="272" t="n">
        <x:f>O16</x:f>
        <x:v>5060</x:v>
      </x:c>
      <x:c r="P44" s="227"/>
      <x:c r="Q44" s="227"/>
      <x:c r="R44" s="227"/>
      <x:c r="S44" s="227"/>
      <x:c r="T44" s="227"/>
      <x:c r="U44" s="227"/>
      <x:c r="V44" s="227"/>
      <x:c r="W44" s="227"/>
      <x:c r="X44" s="227"/>
      <x:c r="Y44" s="227"/>
    </x:row>
    <x:row r="45">
      <x:c r="A45" s="227" t="str">
        <x:v>Installed manufacturing capacity</x:v>
      </x:c>
      <x:c r="B45" s="227" t="str">
        <x:v>KL</x:v>
      </x:c>
      <x:c r="C45" s="227" t="str">
        <x:v>Reported / Forecast</x:v>
      </x:c>
      <x:c r="D45" s="230" t="n">
        <x:v>483</x:v>
      </x:c>
      <x:c r="E45" s="230" t="n">
        <x:v>609</x:v>
      </x:c>
      <x:c r="F45" s="230" t="n">
        <x:v>700</x:v>
      </x:c>
      <x:c r="G45" s="230" t="n">
        <x:v>1150</x:v>
      </x:c>
      <x:c r="H45" s="230" t="n">
        <x:v>1250</x:v>
      </x:c>
      <x:c r="I45" s="230" t="n">
        <x:v>1400</x:v>
      </x:c>
      <x:c r="J45" s="230" t="n">
        <x:v>1550</x:v>
      </x:c>
      <x:c r="K45" s="230" t="n">
        <x:v>1700</x:v>
      </x:c>
      <x:c r="L45" s="230" t="n">
        <x:v>1850</x:v>
      </x:c>
      <x:c r="M45" s="230" t="n">
        <x:v>2000</x:v>
      </x:c>
      <x:c r="N45" s="230" t="n">
        <x:v>2150</x:v>
      </x:c>
      <x:c r="O45" s="230" t="n">
        <x:v>2300</x:v>
      </x:c>
      <x:c r="P45" s="227"/>
      <x:c r="Q45" s="227"/>
      <x:c r="R45" s="227"/>
      <x:c r="S45" s="227"/>
      <x:c r="T45" s="227"/>
      <x:c r="U45" s="227"/>
      <x:c r="V45" s="227"/>
      <x:c r="W45" s="227"/>
      <x:c r="X45" s="227"/>
      <x:c r="Y45" s="227"/>
    </x:row>
    <x:row r="46">
      <x:c r="A46" s="227" t="str">
        <x:v>Commercial molecule count</x:v>
      </x:c>
      <x:c r="B46" s="227" t="str">
        <x:v>count</x:v>
      </x:c>
      <x:c r="C46" s="227" t="str">
        <x:v>Reported / Forecast</x:v>
      </x:c>
      <x:c r="D46" s="230" t="n">
        <x:v>31</x:v>
      </x:c>
      <x:c r="E46" s="230" t="n">
        <x:v>30</x:v>
      </x:c>
      <x:c r="F46" s="230" t="n">
        <x:v>34</x:v>
      </x:c>
      <x:c r="G46" s="230" t="n">
        <x:v>36</x:v>
      </x:c>
      <x:c r="H46" s="230" t="n">
        <x:v>38</x:v>
      </x:c>
      <x:c r="I46" s="230" t="n">
        <x:v>40</x:v>
      </x:c>
      <x:c r="J46" s="230" t="n">
        <x:v>42</x:v>
      </x:c>
      <x:c r="K46" s="230" t="n">
        <x:v>44</x:v>
      </x:c>
      <x:c r="L46" s="230" t="n">
        <x:v>46</x:v>
      </x:c>
      <x:c r="M46" s="230" t="n">
        <x:v>48</x:v>
      </x:c>
      <x:c r="N46" s="230" t="n">
        <x:v>50</x:v>
      </x:c>
      <x:c r="O46" s="230" t="n">
        <x:v>52</x:v>
      </x:c>
      <x:c r="P46" s="227"/>
      <x:c r="Q46" s="227"/>
      <x:c r="R46" s="227"/>
      <x:c r="S46" s="227"/>
      <x:c r="T46" s="227"/>
      <x:c r="U46" s="227"/>
      <x:c r="V46" s="227"/>
      <x:c r="W46" s="227"/>
      <x:c r="X46" s="227"/>
      <x:c r="Y46" s="227"/>
    </x:row>
    <x:row r="47">
      <x:c r="A47" s="227" t="str">
        <x:v>Late-stage / pre-registration molecule count</x:v>
      </x:c>
      <x:c r="B47" s="227" t="str">
        <x:v>count</x:v>
      </x:c>
      <x:c r="C47" s="227" t="str">
        <x:v>Reported / Forecast</x:v>
      </x:c>
      <x:c r="D47" s="230" t="n">
        <x:v>11</x:v>
      </x:c>
      <x:c r="E47" s="230" t="n">
        <x:v>6</x:v>
      </x:c>
      <x:c r="F47" s="230" t="n">
        <x:v>11</x:v>
      </x:c>
      <x:c r="G47" s="230" t="n">
        <x:v>13</x:v>
      </x:c>
      <x:c r="H47" s="230" t="n">
        <x:v>15</x:v>
      </x:c>
      <x:c r="I47" s="230" t="n">
        <x:v>17</x:v>
      </x:c>
      <x:c r="J47" s="230" t="n">
        <x:v>19</x:v>
      </x:c>
      <x:c r="K47" s="230" t="n">
        <x:v>21</x:v>
      </x:c>
      <x:c r="L47" s="230" t="n">
        <x:v>23</x:v>
      </x:c>
      <x:c r="M47" s="230" t="n">
        <x:v>25</x:v>
      </x:c>
      <x:c r="N47" s="230" t="n">
        <x:v>27</x:v>
      </x:c>
      <x:c r="O47" s="230" t="n">
        <x:v>29</x:v>
      </x:c>
      <x:c r="P47" s="227"/>
      <x:c r="Q47" s="227"/>
      <x:c r="R47" s="227"/>
      <x:c r="S47" s="227"/>
      <x:c r="T47" s="227"/>
      <x:c r="U47" s="227"/>
      <x:c r="V47" s="227"/>
      <x:c r="W47" s="227"/>
      <x:c r="X47" s="227"/>
      <x:c r="Y47" s="227"/>
    </x:row>
    <x:row r="48">
      <x:c r="A48" s="227" t="str">
        <x:v>Annual capex</x:v>
      </x:c>
      <x:c r="B48" s="227" t="str">
        <x:v>INR mn</x:v>
      </x:c>
      <x:c r="C48" s="227" t="str">
        <x:v>Supporting Schedules</x:v>
      </x:c>
      <x:c r="D48" s="235" t="n">
        <x:f>'Supporting Schedules'!D32</x:f>
        <x:v>1816.9</x:v>
      </x:c>
      <x:c r="E48" s="235" t="n">
        <x:f>'Supporting Schedules'!E32</x:f>
        <x:v>3692.8</x:v>
      </x:c>
      <x:c r="F48" s="235" t="n">
        <x:f>'Supporting Schedules'!F32</x:f>
        <x:v>6330</x:v>
      </x:c>
      <x:c r="G48" s="235" t="n">
        <x:f>'Supporting Schedules'!G32</x:f>
        <x:v>12000</x:v>
      </x:c>
      <x:c r="H48" s="235" t="n">
        <x:f>'Supporting Schedules'!H32</x:f>
        <x:v>9000</x:v>
      </x:c>
      <x:c r="I48" s="235" t="n">
        <x:f>'Supporting Schedules'!I32</x:f>
        <x:v>7500</x:v>
      </x:c>
      <x:c r="J48" s="235" t="n">
        <x:f>'Supporting Schedules'!J32</x:f>
        <x:v>6500</x:v>
      </x:c>
      <x:c r="K48" s="235" t="n">
        <x:f>'Supporting Schedules'!K32</x:f>
        <x:v>6000</x:v>
      </x:c>
      <x:c r="L48" s="235" t="n">
        <x:f>'Supporting Schedules'!L32</x:f>
        <x:v>6000</x:v>
      </x:c>
      <x:c r="M48" s="235" t="n">
        <x:f>'Supporting Schedules'!M32</x:f>
        <x:v>6500</x:v>
      </x:c>
      <x:c r="N48" s="235" t="n">
        <x:f>'Supporting Schedules'!N32</x:f>
        <x:v>7000</x:v>
      </x:c>
      <x:c r="O48" s="235" t="n">
        <x:f>'Supporting Schedules'!O32</x:f>
        <x:v>7500</x:v>
      </x:c>
      <x:c r="P48" s="227"/>
      <x:c r="Q48" s="227"/>
      <x:c r="R48" s="227"/>
      <x:c r="S48" s="227"/>
      <x:c r="T48" s="227"/>
      <x:c r="U48" s="227"/>
      <x:c r="V48" s="227"/>
      <x:c r="W48" s="227"/>
      <x:c r="X48" s="227"/>
      <x:c r="Y48" s="227"/>
    </x:row>
    <x:row r="49">
      <x:c r="A49" s="227" t="str">
        <x:v>KPI note</x:v>
      </x:c>
      <x:c r="B49" s="227" t="str">
        <x:v>text</x:v>
      </x:c>
      <x:c r="C49" s="227" t="str">
        <x:v>Monitoring only; not separate revenue drivers</x:v>
      </x:c>
      <x:c r="D49" s="281" t="str">
        <x:v>Reported/estimated KPIs are retained only to monitor delivery against annual forecasts.</x:v>
      </x:c>
      <x:c r="E49" s="281"/>
      <x:c r="F49" s="281"/>
      <x:c r="G49" s="281"/>
      <x:c r="H49" s="281"/>
      <x:c r="I49" s="281"/>
      <x:c r="J49" s="281"/>
      <x:c r="K49" s="281"/>
      <x:c r="L49" s="281"/>
      <x:c r="M49" s="281"/>
      <x:c r="N49" s="281"/>
      <x:c r="O49" s="281"/>
      <x:c r="P49" s="227"/>
      <x:c r="Q49" s="227"/>
      <x:c r="R49" s="227"/>
      <x:c r="S49" s="227"/>
      <x:c r="T49" s="227"/>
      <x:c r="U49" s="227"/>
      <x:c r="V49" s="227"/>
      <x:c r="W49" s="227"/>
      <x:c r="X49" s="227"/>
      <x:c r="Y49" s="227"/>
    </x:row>
    <x:row r="50">
      <x:c r="A50" s="227"/>
      <x:c r="B50" s="227"/>
      <x:c r="C50" s="227"/>
      <x:c r="D50" s="227"/>
      <x:c r="E50" s="227"/>
      <x:c r="F50" s="227"/>
      <x:c r="G50" s="227"/>
      <x:c r="H50" s="227"/>
      <x:c r="I50" s="227"/>
      <x:c r="J50" s="227"/>
      <x:c r="K50" s="227"/>
      <x:c r="L50" s="227"/>
      <x:c r="M50" s="227"/>
      <x:c r="N50" s="227"/>
      <x:c r="O50" s="227"/>
      <x:c r="P50" s="227"/>
      <x:c r="Q50" s="227"/>
      <x:c r="R50" s="227"/>
      <x:c r="S50" s="227"/>
      <x:c r="T50" s="227"/>
      <x:c r="U50" s="227"/>
      <x:c r="V50" s="227"/>
      <x:c r="W50" s="227"/>
      <x:c r="X50" s="227"/>
      <x:c r="Y50" s="227"/>
    </x:row>
    <x:row r="51">
      <x:c r="A51" s="227"/>
      <x:c r="B51" s="227"/>
      <x:c r="C51" s="227"/>
      <x:c r="D51" s="227"/>
      <x:c r="E51" s="227"/>
      <x:c r="F51" s="227"/>
      <x:c r="G51" s="227"/>
      <x:c r="H51" s="227"/>
      <x:c r="I51" s="227"/>
      <x:c r="J51" s="227"/>
      <x:c r="K51" s="227"/>
      <x:c r="L51" s="227"/>
      <x:c r="M51" s="227"/>
      <x:c r="N51" s="227"/>
      <x:c r="O51" s="227"/>
      <x:c r="P51" s="227"/>
      <x:c r="Q51" s="227"/>
      <x:c r="R51" s="227"/>
      <x:c r="S51" s="227"/>
      <x:c r="T51" s="227"/>
      <x:c r="U51" s="227"/>
      <x:c r="V51" s="227"/>
      <x:c r="W51" s="227"/>
      <x:c r="X51" s="227"/>
      <x:c r="Y51" s="227"/>
    </x:row>
    <x:row r="52" ht="20" customHeight="1">
      <x:c r="A52" s="226" t="str">
        <x:v>Section 5: Molecule Watchlist - Not Separately Forecast</x:v>
      </x:c>
      <x:c r="B52" s="226" t="str">
        <x:v>Section 5: Molecule Watchlist - Not Separately Forecast</x:v>
      </x:c>
      <x:c r="C52" s="226" t="str">
        <x:v>Section 5: Molecule Watchlist - Not Separately Forecast</x:v>
      </x:c>
      <x:c r="D52" s="226" t="str">
        <x:v>Section 5: Molecule Watchlist - Not Separately Forecast</x:v>
      </x:c>
      <x:c r="E52" s="226" t="str">
        <x:v>Section 5: Molecule Watchlist - Not Separately Forecast</x:v>
      </x:c>
      <x:c r="F52" s="226" t="str">
        <x:v>Section 5: Molecule Watchlist - Not Separately Forecast</x:v>
      </x:c>
      <x:c r="G52" s="226" t="str">
        <x:v>Section 5: Molecule Watchlist - Not Separately Forecast</x:v>
      </x:c>
      <x:c r="H52" s="226" t="str">
        <x:v>Section 5: Molecule Watchlist - Not Separately Forecast</x:v>
      </x:c>
      <x:c r="I52" s="226" t="str">
        <x:v>Section 5: Molecule Watchlist - Not Separately Forecast</x:v>
      </x:c>
      <x:c r="J52" s="226" t="str">
        <x:v>Section 5: Molecule Watchlist - Not Separately Forecast</x:v>
      </x:c>
      <x:c r="K52" s="226" t="str">
        <x:v>Section 5: Molecule Watchlist - Not Separately Forecast</x:v>
      </x:c>
      <x:c r="L52" s="226" t="str">
        <x:v>Section 5: Molecule Watchlist - Not Separately Forecast</x:v>
      </x:c>
      <x:c r="M52" s="226" t="str">
        <x:v>Section 5: Molecule Watchlist - Not Separately Forecast</x:v>
      </x:c>
      <x:c r="N52" s="226" t="str">
        <x:v>Section 5: Molecule Watchlist - Not Separately Forecast</x:v>
      </x:c>
      <x:c r="O52" s="226" t="str">
        <x:v>Section 5: Molecule Watchlist - Not Separately Forecast</x:v>
      </x:c>
      <x:c r="P52" s="227"/>
      <x:c r="Q52" s="227"/>
      <x:c r="R52" s="227"/>
      <x:c r="S52" s="227"/>
      <x:c r="T52" s="227"/>
      <x:c r="U52" s="227"/>
      <x:c r="V52" s="227"/>
      <x:c r="W52" s="227"/>
      <x:c r="X52" s="227"/>
      <x:c r="Y52" s="227"/>
    </x:row>
    <x:row r="53">
      <x:c r="A53" s="270" t="str">
        <x:v>Molecule / topic</x:v>
      </x:c>
      <x:c r="B53" s="270" t="str">
        <x:v>Reason relevant</x:v>
      </x:c>
      <x:c r="C53" s="270" t="str">
        <x:v>Evidence status</x:v>
      </x:c>
      <x:c r="D53" s="270" t="str">
        <x:v>Core forecast treatment</x:v>
      </x:c>
      <x:c r="E53" s="270" t="str">
        <x:v>Trigger for separate inclusion</x:v>
      </x:c>
      <x:c r="F53" s="270" t="str">
        <x:v>Confidence</x:v>
      </x:c>
      <x:c r="G53" s="270" t="str">
        <x:v>Source</x:v>
      </x:c>
      <x:c r="H53" s="227"/>
      <x:c r="I53" s="227"/>
      <x:c r="J53" s="227"/>
      <x:c r="K53" s="227"/>
      <x:c r="L53" s="227"/>
      <x:c r="M53" s="227"/>
      <x:c r="N53" s="227"/>
      <x:c r="O53" s="227"/>
      <x:c r="P53" s="227"/>
      <x:c r="Q53" s="227"/>
      <x:c r="R53" s="227"/>
      <x:c r="S53" s="227"/>
      <x:c r="T53" s="227"/>
      <x:c r="U53" s="227"/>
      <x:c r="V53" s="227"/>
      <x:c r="W53" s="227"/>
      <x:c r="X53" s="227"/>
      <x:c r="Y53" s="227"/>
    </x:row>
    <x:row r="54" ht="42" customHeight="1">
      <x:c r="A54" s="275" t="str">
        <x:v>Bilastine</x:v>
      </x:c>
      <x:c r="B54" s="275" t="str">
        <x:v>Sai product listing supports involvement; mature antihistamine with recurring demand</x:v>
      </x:c>
      <x:c r="C54" s="275" t="str">
        <x:v>Direct Sai product evidence; customer/brand mapping inferred</x:v>
      </x:c>
      <x:c r="D54" s="275" t="str">
        <x:v>Included in Other commercial portfolio</x:v>
      </x:c>
      <x:c r="E54" s="275" t="str">
        <x:v>Material shipment or customer-sales inflection</x:v>
      </x:c>
      <x:c r="F54" s="275" t="str">
        <x:v>High for Sai product; medium for brand mapping</x:v>
      </x:c>
      <x:c r="G54" s="275" t="str">
        <x:v>PharmaCompass Sai written confirmation / product listing</x:v>
      </x:c>
      <x:c r="H54" s="227"/>
      <x:c r="I54" s="227"/>
      <x:c r="J54" s="227"/>
      <x:c r="K54" s="227"/>
      <x:c r="L54" s="227"/>
      <x:c r="M54" s="227"/>
      <x:c r="N54" s="227"/>
      <x:c r="O54" s="227"/>
      <x:c r="P54" s="227"/>
      <x:c r="Q54" s="227"/>
      <x:c r="R54" s="227"/>
      <x:c r="S54" s="227"/>
      <x:c r="T54" s="227"/>
      <x:c r="U54" s="227"/>
      <x:c r="V54" s="227"/>
      <x:c r="W54" s="227"/>
      <x:c r="X54" s="227"/>
      <x:c r="Y54" s="227"/>
    </x:row>
    <x:row r="55" ht="42" customHeight="1">
      <x:c r="A55" s="275" t="str">
        <x:v>Naperiglipron / oral GLP-1 option</x:v>
      </x:c>
      <x:c r="B55" s="275" t="str">
        <x:v>Large optionality but early-stage and Sai linkage is not publicly confirmed</x:v>
      </x:c>
      <x:c r="C55" s="275" t="str">
        <x:v>Circumstantial / screenshot research</x:v>
      </x:c>
      <x:c r="D55" s="275" t="str">
        <x:v>Excluded from core forecast</x:v>
      </x:c>
      <x:c r="E55" s="275" t="str">
        <x:v>Late-stage progression plus direct Sai supply evidence</x:v>
      </x:c>
      <x:c r="F55" s="275" t="str">
        <x:v>Low</x:v>
      </x:c>
      <x:c r="G55" s="275" t="str">
        <x:v>Uploaded molecule-mapping screenshots; clinical-trial databases</x:v>
      </x:c>
      <x:c r="H55" s="227"/>
      <x:c r="I55" s="227"/>
      <x:c r="J55" s="227"/>
      <x:c r="K55" s="227"/>
      <x:c r="L55" s="227"/>
      <x:c r="M55" s="227"/>
      <x:c r="N55" s="227"/>
      <x:c r="O55" s="227"/>
      <x:c r="P55" s="227"/>
      <x:c r="Q55" s="227"/>
      <x:c r="R55" s="227"/>
      <x:c r="S55" s="227"/>
      <x:c r="T55" s="227"/>
      <x:c r="U55" s="227"/>
      <x:c r="V55" s="227"/>
      <x:c r="W55" s="227"/>
      <x:c r="X55" s="227"/>
      <x:c r="Y55" s="227"/>
    </x:row>
    <x:row r="56" ht="42" customHeight="1">
      <x:c r="A56" s="275" t="str">
        <x:v>Other oncology / confidential NCEs</x:v>
      </x:c>
      <x:c r="B56" s="275" t="str">
        <x:v>Sai has a broad commercial and late-stage portfolio but customer identities are confidential</x:v>
      </x:c>
      <x:c r="C56" s="275" t="str">
        <x:v>Portfolio-level company disclosure only</x:v>
      </x:c>
      <x:c r="D56" s="275" t="str">
        <x:v>Included in Other development and late-stage portfolio</x:v>
      </x:c>
      <x:c r="E56" s="275" t="str">
        <x:v>Public filing or credible molecule-specific shipment evidence</x:v>
      </x:c>
      <x:c r="F56" s="275" t="str">
        <x:v>Low at molecule level</x:v>
      </x:c>
      <x:c r="G56" s="275" t="str">
        <x:v>Sai Life disclosures</x:v>
      </x:c>
      <x:c r="H56" s="227"/>
      <x:c r="I56" s="227"/>
      <x:c r="J56" s="227"/>
      <x:c r="K56" s="227"/>
      <x:c r="L56" s="227"/>
      <x:c r="M56" s="227"/>
      <x:c r="N56" s="227"/>
      <x:c r="O56" s="227"/>
      <x:c r="P56" s="227"/>
      <x:c r="Q56" s="227"/>
      <x:c r="R56" s="227"/>
      <x:c r="S56" s="227"/>
      <x:c r="T56" s="227"/>
      <x:c r="U56" s="227"/>
      <x:c r="V56" s="227"/>
      <x:c r="W56" s="227"/>
      <x:c r="X56" s="227"/>
      <x:c r="Y56" s="227"/>
    </x:row>
    <x:row r="57" ht="42" customHeight="1">
      <x:c r="A57" s="275" t="str">
        <x:v>Qulipta vs Ubrelvy split</x:v>
      </x:c>
      <x:c r="B57" s="275" t="str">
        <x:v>Potentially different intermediates, but available evidence does not support a clean allocation</x:v>
      </x:c>
      <x:c r="C57" s="275" t="str">
        <x:v>Franchise linkage inferred</x:v>
      </x:c>
      <x:c r="D57" s="275" t="str">
        <x:v>Combined AbbVie migraine franchise line</x:v>
      </x:c>
      <x:c r="E57" s="275" t="str">
        <x:v>Distinct intermediate and shipment evidence for each molecule</x:v>
      </x:c>
      <x:c r="F57" s="275" t="str">
        <x:v>Medium</x:v>
      </x:c>
      <x:c r="G57" s="275" t="str">
        <x:v>Uploaded screenshots / external research</x:v>
      </x:c>
      <x:c r="H57" s="227"/>
      <x:c r="I57" s="227"/>
      <x:c r="J57" s="227"/>
      <x:c r="K57" s="227"/>
      <x:c r="L57" s="227"/>
      <x:c r="M57" s="227"/>
      <x:c r="N57" s="227"/>
      <x:c r="O57" s="227"/>
      <x:c r="P57" s="227"/>
      <x:c r="Q57" s="227"/>
      <x:c r="R57" s="227"/>
      <x:c r="S57" s="227"/>
      <x:c r="T57" s="227"/>
      <x:c r="U57" s="227"/>
      <x:c r="V57" s="227"/>
      <x:c r="W57" s="227"/>
      <x:c r="X57" s="227"/>
      <x:c r="Y57" s="227"/>
    </x:row>
    <x:row r="58">
      <x:c r="A58" s="227"/>
      <x:c r="B58" s="227"/>
      <x:c r="C58" s="227"/>
      <x:c r="D58" s="227"/>
      <x:c r="E58" s="227"/>
      <x:c r="F58" s="227"/>
      <x:c r="G58" s="227"/>
      <x:c r="H58" s="227"/>
      <x:c r="I58" s="227"/>
      <x:c r="J58" s="227"/>
      <x:c r="K58" s="227"/>
      <x:c r="L58" s="227"/>
      <x:c r="M58" s="227"/>
      <x:c r="N58" s="227"/>
      <x:c r="O58" s="227"/>
      <x:c r="P58" s="227"/>
      <x:c r="Q58" s="227"/>
      <x:c r="R58" s="227"/>
      <x:c r="S58" s="227"/>
      <x:c r="T58" s="227"/>
      <x:c r="U58" s="227"/>
      <x:c r="V58" s="227"/>
      <x:c r="W58" s="227"/>
      <x:c r="X58" s="227"/>
      <x:c r="Y58" s="227"/>
    </x:row>
    <x:row r="59">
      <x:c r="A59" s="227"/>
      <x:c r="B59" s="227"/>
      <x:c r="C59" s="227"/>
      <x:c r="D59" s="227"/>
      <x:c r="E59" s="227"/>
      <x:c r="F59" s="227"/>
      <x:c r="G59" s="227"/>
      <x:c r="H59" s="227"/>
      <x:c r="I59" s="227"/>
      <x:c r="J59" s="227"/>
      <x:c r="K59" s="227"/>
      <x:c r="L59" s="227"/>
      <x:c r="M59" s="227"/>
      <x:c r="N59" s="227"/>
      <x:c r="O59" s="227"/>
      <x:c r="P59" s="227"/>
      <x:c r="Q59" s="227"/>
      <x:c r="R59" s="227"/>
      <x:c r="S59" s="227"/>
      <x:c r="T59" s="227"/>
      <x:c r="U59" s="227"/>
      <x:c r="V59" s="227"/>
      <x:c r="W59" s="227"/>
      <x:c r="X59" s="227"/>
      <x:c r="Y59" s="227"/>
    </x:row>
    <x:row r="60">
      <x:c r="A60" s="227"/>
      <x:c r="B60" s="227"/>
      <x:c r="C60" s="227"/>
      <x:c r="D60" s="227"/>
      <x:c r="E60" s="227"/>
      <x:c r="F60" s="227"/>
      <x:c r="G60" s="227"/>
      <x:c r="H60" s="227"/>
      <x:c r="I60" s="227"/>
      <x:c r="J60" s="227"/>
      <x:c r="K60" s="227"/>
      <x:c r="L60" s="227"/>
      <x:c r="M60" s="227"/>
      <x:c r="N60" s="227"/>
      <x:c r="O60" s="227"/>
      <x:c r="P60" s="227"/>
      <x:c r="Q60" s="227"/>
      <x:c r="R60" s="227"/>
      <x:c r="S60" s="227"/>
      <x:c r="T60" s="227"/>
      <x:c r="U60" s="227"/>
      <x:c r="V60" s="227"/>
      <x:c r="W60" s="227"/>
      <x:c r="X60" s="227"/>
      <x:c r="Y60" s="227"/>
    </x:row>
    <x:row r="61">
      <x:c r="A61" s="227"/>
      <x:c r="B61" s="227"/>
      <x:c r="C61" s="227"/>
      <x:c r="D61" s="227"/>
      <x:c r="E61" s="227"/>
      <x:c r="F61" s="227"/>
      <x:c r="G61" s="227"/>
      <x:c r="H61" s="227"/>
      <x:c r="I61" s="227"/>
      <x:c r="J61" s="227"/>
      <x:c r="K61" s="227"/>
      <x:c r="L61" s="227"/>
      <x:c r="M61" s="227"/>
      <x:c r="N61" s="227"/>
      <x:c r="O61" s="227"/>
      <x:c r="P61" s="227"/>
      <x:c r="Q61" s="227"/>
      <x:c r="R61" s="227"/>
      <x:c r="S61" s="227"/>
      <x:c r="T61" s="227"/>
      <x:c r="U61" s="227"/>
      <x:c r="V61" s="227"/>
      <x:c r="W61" s="227"/>
      <x:c r="X61" s="227"/>
      <x:c r="Y61" s="227"/>
    </x:row>
    <x:row r="62">
      <x:c r="A62" s="227"/>
      <x:c r="B62" s="227"/>
      <x:c r="C62" s="227"/>
      <x:c r="D62" s="227"/>
      <x:c r="E62" s="227"/>
      <x:c r="F62" s="227"/>
      <x:c r="G62" s="227"/>
      <x:c r="H62" s="227"/>
      <x:c r="I62" s="227"/>
      <x:c r="J62" s="227"/>
      <x:c r="K62" s="227"/>
      <x:c r="L62" s="227"/>
      <x:c r="M62" s="227"/>
      <x:c r="N62" s="227"/>
      <x:c r="O62" s="227"/>
      <x:c r="P62" s="227"/>
      <x:c r="Q62" s="227"/>
      <x:c r="R62" s="227"/>
      <x:c r="S62" s="227"/>
      <x:c r="T62" s="227"/>
      <x:c r="U62" s="227"/>
      <x:c r="V62" s="227"/>
      <x:c r="W62" s="227"/>
      <x:c r="X62" s="227"/>
      <x:c r="Y62" s="227"/>
    </x:row>
    <x:row r="63">
      <x:c r="A63" s="227"/>
      <x:c r="B63" s="227"/>
      <x:c r="C63" s="227"/>
      <x:c r="D63" s="227"/>
      <x:c r="E63" s="227"/>
      <x:c r="F63" s="227"/>
      <x:c r="G63" s="227"/>
      <x:c r="H63" s="227"/>
      <x:c r="I63" s="227"/>
      <x:c r="J63" s="227"/>
      <x:c r="K63" s="227"/>
      <x:c r="L63" s="227"/>
      <x:c r="M63" s="227"/>
      <x:c r="N63" s="227"/>
      <x:c r="O63" s="227"/>
      <x:c r="P63" s="227"/>
      <x:c r="Q63" s="227"/>
      <x:c r="R63" s="227"/>
      <x:c r="S63" s="227"/>
      <x:c r="T63" s="227"/>
      <x:c r="U63" s="227"/>
      <x:c r="V63" s="227"/>
      <x:c r="W63" s="227"/>
      <x:c r="X63" s="227"/>
      <x:c r="Y63" s="227"/>
    </x:row>
    <x:row r="64">
      <x:c r="A64" s="227"/>
      <x:c r="B64" s="227"/>
      <x:c r="C64" s="227"/>
      <x:c r="D64" s="227"/>
      <x:c r="E64" s="227"/>
      <x:c r="F64" s="227"/>
      <x:c r="G64" s="227"/>
      <x:c r="H64" s="227"/>
      <x:c r="I64" s="227"/>
      <x:c r="J64" s="227"/>
      <x:c r="K64" s="227"/>
      <x:c r="L64" s="227"/>
      <x:c r="M64" s="227"/>
      <x:c r="N64" s="227"/>
      <x:c r="O64" s="227"/>
      <x:c r="P64" s="227"/>
      <x:c r="Q64" s="227"/>
      <x:c r="R64" s="227"/>
      <x:c r="S64" s="227"/>
      <x:c r="T64" s="227"/>
      <x:c r="U64" s="227"/>
      <x:c r="V64" s="227"/>
      <x:c r="W64" s="227"/>
      <x:c r="X64" s="227"/>
      <x:c r="Y64" s="227"/>
    </x:row>
    <x:row r="65">
      <x:c r="A65" s="227"/>
      <x:c r="B65" s="227"/>
      <x:c r="C65" s="227"/>
      <x:c r="D65" s="227"/>
      <x:c r="E65" s="227"/>
      <x:c r="F65" s="227"/>
      <x:c r="G65" s="227"/>
      <x:c r="H65" s="227"/>
      <x:c r="I65" s="227"/>
      <x:c r="J65" s="227"/>
      <x:c r="K65" s="227"/>
      <x:c r="L65" s="227"/>
      <x:c r="M65" s="227"/>
      <x:c r="N65" s="227"/>
      <x:c r="O65" s="227"/>
      <x:c r="P65" s="227"/>
      <x:c r="Q65" s="227"/>
      <x:c r="R65" s="227"/>
      <x:c r="S65" s="227"/>
      <x:c r="T65" s="227"/>
      <x:c r="U65" s="227"/>
      <x:c r="V65" s="227"/>
      <x:c r="W65" s="227"/>
      <x:c r="X65" s="227"/>
      <x:c r="Y65" s="227"/>
    </x:row>
    <x:row r="66">
      <x:c r="A66" s="227"/>
      <x:c r="B66" s="227"/>
      <x:c r="C66" s="227"/>
      <x:c r="D66" s="227"/>
      <x:c r="E66" s="227"/>
      <x:c r="F66" s="227"/>
      <x:c r="G66" s="227"/>
      <x:c r="H66" s="227"/>
      <x:c r="I66" s="227"/>
      <x:c r="J66" s="227"/>
      <x:c r="K66" s="227"/>
      <x:c r="L66" s="227"/>
      <x:c r="M66" s="227"/>
      <x:c r="N66" s="227"/>
      <x:c r="O66" s="227"/>
      <x:c r="P66" s="227"/>
      <x:c r="Q66" s="227"/>
      <x:c r="R66" s="227"/>
      <x:c r="S66" s="227"/>
      <x:c r="T66" s="227"/>
      <x:c r="U66" s="227"/>
      <x:c r="V66" s="227"/>
      <x:c r="W66" s="227"/>
      <x:c r="X66" s="227"/>
      <x:c r="Y66" s="227"/>
    </x:row>
    <x:row r="67">
      <x:c r="A67" s="227"/>
      <x:c r="B67" s="227"/>
      <x:c r="C67" s="227"/>
      <x:c r="D67" s="227"/>
      <x:c r="E67" s="227"/>
      <x:c r="F67" s="227"/>
      <x:c r="G67" s="227"/>
      <x:c r="H67" s="227"/>
      <x:c r="I67" s="227"/>
      <x:c r="J67" s="227"/>
      <x:c r="K67" s="227"/>
      <x:c r="L67" s="227"/>
      <x:c r="M67" s="227"/>
      <x:c r="N67" s="227"/>
      <x:c r="O67" s="227"/>
      <x:c r="P67" s="227"/>
      <x:c r="Q67" s="227"/>
      <x:c r="R67" s="227"/>
      <x:c r="S67" s="227"/>
      <x:c r="T67" s="227"/>
      <x:c r="U67" s="227"/>
      <x:c r="V67" s="227"/>
      <x:c r="W67" s="227"/>
      <x:c r="X67" s="227"/>
      <x:c r="Y67" s="227"/>
    </x:row>
    <x:row r="68">
      <x:c r="A68" s="227"/>
      <x:c r="B68" s="227"/>
      <x:c r="C68" s="227"/>
      <x:c r="D68" s="227"/>
      <x:c r="E68" s="227"/>
      <x:c r="F68" s="227"/>
      <x:c r="G68" s="227"/>
      <x:c r="H68" s="227"/>
      <x:c r="I68" s="227"/>
      <x:c r="J68" s="227"/>
      <x:c r="K68" s="227"/>
      <x:c r="L68" s="227"/>
      <x:c r="M68" s="227"/>
      <x:c r="N68" s="227"/>
      <x:c r="O68" s="227"/>
      <x:c r="P68" s="227"/>
      <x:c r="Q68" s="227"/>
      <x:c r="R68" s="227"/>
      <x:c r="S68" s="227"/>
      <x:c r="T68" s="227"/>
      <x:c r="U68" s="227"/>
      <x:c r="V68" s="227"/>
      <x:c r="W68" s="227"/>
      <x:c r="X68" s="227"/>
      <x:c r="Y68" s="227"/>
    </x:row>
    <x:row r="69">
      <x:c r="A69" s="227"/>
      <x:c r="B69" s="227"/>
      <x:c r="C69" s="227"/>
      <x:c r="D69" s="227"/>
      <x:c r="E69" s="227"/>
      <x:c r="F69" s="227"/>
      <x:c r="G69" s="227"/>
      <x:c r="H69" s="227"/>
      <x:c r="I69" s="227"/>
      <x:c r="J69" s="227"/>
      <x:c r="K69" s="227"/>
      <x:c r="L69" s="227"/>
      <x:c r="M69" s="227"/>
      <x:c r="N69" s="227"/>
      <x:c r="O69" s="227"/>
      <x:c r="P69" s="227"/>
      <x:c r="Q69" s="227"/>
      <x:c r="R69" s="227"/>
      <x:c r="S69" s="227"/>
      <x:c r="T69" s="227"/>
      <x:c r="U69" s="227"/>
      <x:c r="V69" s="227"/>
      <x:c r="W69" s="227"/>
      <x:c r="X69" s="227"/>
      <x:c r="Y69" s="227"/>
    </x:row>
    <x:row r="70">
      <x:c r="A70" s="227"/>
      <x:c r="B70" s="227"/>
      <x:c r="C70" s="227"/>
      <x:c r="D70" s="227"/>
      <x:c r="E70" s="227"/>
      <x:c r="F70" s="227"/>
      <x:c r="G70" s="227"/>
      <x:c r="H70" s="227"/>
      <x:c r="I70" s="227"/>
      <x:c r="J70" s="227"/>
      <x:c r="K70" s="227"/>
      <x:c r="L70" s="227"/>
      <x:c r="M70" s="227"/>
      <x:c r="N70" s="227"/>
      <x:c r="O70" s="227"/>
      <x:c r="P70" s="227"/>
      <x:c r="Q70" s="227"/>
      <x:c r="R70" s="227"/>
      <x:c r="S70" s="227"/>
      <x:c r="T70" s="227"/>
      <x:c r="U70" s="227"/>
      <x:c r="V70" s="227"/>
      <x:c r="W70" s="227"/>
      <x:c r="X70" s="227"/>
      <x:c r="Y70" s="227"/>
    </x:row>
    <x:row r="71">
      <x:c r="A71" s="227"/>
      <x:c r="B71" s="227"/>
      <x:c r="C71" s="227"/>
      <x:c r="D71" s="227"/>
      <x:c r="E71" s="227"/>
      <x:c r="F71" s="227"/>
      <x:c r="G71" s="227"/>
      <x:c r="H71" s="227"/>
      <x:c r="I71" s="227"/>
      <x:c r="J71" s="227"/>
      <x:c r="K71" s="227"/>
      <x:c r="L71" s="227"/>
      <x:c r="M71" s="227"/>
      <x:c r="N71" s="227"/>
      <x:c r="O71" s="227"/>
      <x:c r="P71" s="227"/>
      <x:c r="Q71" s="227"/>
      <x:c r="R71" s="227"/>
      <x:c r="S71" s="227"/>
      <x:c r="T71" s="227"/>
      <x:c r="U71" s="227"/>
      <x:c r="V71" s="227"/>
      <x:c r="W71" s="227"/>
      <x:c r="X71" s="227"/>
      <x:c r="Y71" s="227"/>
    </x:row>
    <x:row r="72">
      <x:c r="A72" s="227"/>
      <x:c r="B72" s="227"/>
      <x:c r="C72" s="227"/>
      <x:c r="D72" s="227"/>
      <x:c r="E72" s="227"/>
      <x:c r="F72" s="227"/>
      <x:c r="G72" s="227"/>
      <x:c r="H72" s="227"/>
      <x:c r="I72" s="227"/>
      <x:c r="J72" s="227"/>
      <x:c r="K72" s="227"/>
      <x:c r="L72" s="227"/>
      <x:c r="M72" s="227"/>
      <x:c r="N72" s="227"/>
      <x:c r="O72" s="227"/>
      <x:c r="P72" s="227"/>
      <x:c r="Q72" s="227"/>
      <x:c r="R72" s="227"/>
      <x:c r="S72" s="227"/>
      <x:c r="T72" s="227"/>
      <x:c r="U72" s="227"/>
      <x:c r="V72" s="227"/>
      <x:c r="W72" s="227"/>
      <x:c r="X72" s="227"/>
      <x:c r="Y72" s="227"/>
    </x:row>
    <x:row r="73">
      <x:c r="A73" s="227"/>
      <x:c r="B73" s="227"/>
      <x:c r="C73" s="227"/>
      <x:c r="D73" s="227"/>
      <x:c r="E73" s="227"/>
      <x:c r="F73" s="227"/>
      <x:c r="G73" s="227"/>
      <x:c r="H73" s="227"/>
      <x:c r="I73" s="227"/>
      <x:c r="J73" s="227"/>
      <x:c r="K73" s="227"/>
      <x:c r="L73" s="227"/>
      <x:c r="M73" s="227"/>
      <x:c r="N73" s="227"/>
      <x:c r="O73" s="227"/>
      <x:c r="P73" s="227"/>
      <x:c r="Q73" s="227"/>
      <x:c r="R73" s="227"/>
      <x:c r="S73" s="227"/>
      <x:c r="T73" s="227"/>
      <x:c r="U73" s="227"/>
      <x:c r="V73" s="227"/>
      <x:c r="W73" s="227"/>
      <x:c r="X73" s="227"/>
      <x:c r="Y73" s="227"/>
    </x:row>
    <x:row r="74">
      <x:c r="A74" s="227"/>
      <x:c r="B74" s="227"/>
      <x:c r="C74" s="227"/>
      <x:c r="D74" s="227"/>
      <x:c r="E74" s="227"/>
      <x:c r="F74" s="227"/>
      <x:c r="G74" s="227"/>
      <x:c r="H74" s="227"/>
      <x:c r="I74" s="227"/>
      <x:c r="J74" s="227"/>
      <x:c r="K74" s="227"/>
      <x:c r="L74" s="227"/>
      <x:c r="M74" s="227"/>
      <x:c r="N74" s="227"/>
      <x:c r="O74" s="227"/>
      <x:c r="P74" s="227"/>
      <x:c r="Q74" s="227"/>
      <x:c r="R74" s="227"/>
      <x:c r="S74" s="227"/>
      <x:c r="T74" s="227"/>
      <x:c r="U74" s="227"/>
      <x:c r="V74" s="227"/>
      <x:c r="W74" s="227"/>
      <x:c r="X74" s="227"/>
      <x:c r="Y74" s="227"/>
    </x:row>
    <x:row r="75">
      <x:c r="A75" s="227"/>
      <x:c r="B75" s="227"/>
      <x:c r="C75" s="227"/>
      <x:c r="D75" s="227"/>
      <x:c r="E75" s="227"/>
      <x:c r="F75" s="227"/>
      <x:c r="G75" s="227"/>
      <x:c r="H75" s="227"/>
      <x:c r="I75" s="227"/>
      <x:c r="J75" s="227"/>
      <x:c r="K75" s="227"/>
      <x:c r="L75" s="227"/>
      <x:c r="M75" s="227"/>
      <x:c r="N75" s="227"/>
      <x:c r="O75" s="227"/>
      <x:c r="P75" s="227"/>
      <x:c r="Q75" s="227"/>
      <x:c r="R75" s="227"/>
      <x:c r="S75" s="227"/>
      <x:c r="T75" s="227"/>
      <x:c r="U75" s="227"/>
      <x:c r="V75" s="227"/>
      <x:c r="W75" s="227"/>
      <x:c r="X75" s="227"/>
      <x:c r="Y75" s="227"/>
    </x:row>
    <x:row r="76">
      <x:c r="A76" s="227"/>
      <x:c r="B76" s="227"/>
      <x:c r="C76" s="227"/>
      <x:c r="D76" s="227"/>
      <x:c r="E76" s="227"/>
      <x:c r="F76" s="227"/>
      <x:c r="G76" s="227"/>
      <x:c r="H76" s="227"/>
      <x:c r="I76" s="227"/>
      <x:c r="J76" s="227"/>
      <x:c r="K76" s="227"/>
      <x:c r="L76" s="227"/>
      <x:c r="M76" s="227"/>
      <x:c r="N76" s="227"/>
      <x:c r="O76" s="227"/>
      <x:c r="P76" s="227"/>
      <x:c r="Q76" s="227"/>
      <x:c r="R76" s="227"/>
      <x:c r="S76" s="227"/>
      <x:c r="T76" s="227"/>
      <x:c r="U76" s="227"/>
      <x:c r="V76" s="227"/>
      <x:c r="W76" s="227"/>
      <x:c r="X76" s="227"/>
      <x:c r="Y76" s="227"/>
    </x:row>
    <x:row r="77">
      <x:c r="A77" s="227"/>
      <x:c r="B77" s="227"/>
      <x:c r="C77" s="227"/>
      <x:c r="D77" s="227"/>
      <x:c r="E77" s="227"/>
      <x:c r="F77" s="227"/>
      <x:c r="G77" s="227"/>
      <x:c r="H77" s="227"/>
      <x:c r="I77" s="227"/>
      <x:c r="J77" s="227"/>
      <x:c r="K77" s="227"/>
      <x:c r="L77" s="227"/>
      <x:c r="M77" s="227"/>
      <x:c r="N77" s="227"/>
      <x:c r="O77" s="227"/>
      <x:c r="P77" s="227"/>
      <x:c r="Q77" s="227"/>
      <x:c r="R77" s="227"/>
      <x:c r="S77" s="227"/>
      <x:c r="T77" s="227"/>
      <x:c r="U77" s="227"/>
      <x:c r="V77" s="227"/>
      <x:c r="W77" s="227"/>
      <x:c r="X77" s="227"/>
      <x:c r="Y77" s="227"/>
    </x:row>
    <x:row r="78">
      <x:c r="A78" s="227"/>
      <x:c r="B78" s="227"/>
      <x:c r="C78" s="227"/>
      <x:c r="D78" s="227"/>
      <x:c r="E78" s="227"/>
      <x:c r="F78" s="227"/>
      <x:c r="G78" s="227"/>
      <x:c r="H78" s="227"/>
      <x:c r="I78" s="227"/>
      <x:c r="J78" s="227"/>
      <x:c r="K78" s="227"/>
      <x:c r="L78" s="227"/>
      <x:c r="M78" s="227"/>
      <x:c r="N78" s="227"/>
      <x:c r="O78" s="227"/>
      <x:c r="P78" s="227"/>
      <x:c r="Q78" s="227"/>
      <x:c r="R78" s="227"/>
      <x:c r="S78" s="227"/>
      <x:c r="T78" s="227"/>
      <x:c r="U78" s="227"/>
      <x:c r="V78" s="227"/>
      <x:c r="W78" s="227"/>
      <x:c r="X78" s="227"/>
      <x:c r="Y78" s="227"/>
    </x:row>
    <x:row r="79">
      <x:c r="A79" s="227"/>
      <x:c r="B79" s="227"/>
      <x:c r="C79" s="227"/>
      <x:c r="D79" s="227"/>
      <x:c r="E79" s="227"/>
      <x:c r="F79" s="227"/>
      <x:c r="G79" s="227"/>
      <x:c r="H79" s="227"/>
      <x:c r="I79" s="227"/>
      <x:c r="J79" s="227"/>
      <x:c r="K79" s="227"/>
      <x:c r="L79" s="227"/>
      <x:c r="M79" s="227"/>
      <x:c r="N79" s="227"/>
      <x:c r="O79" s="227"/>
      <x:c r="P79" s="227"/>
      <x:c r="Q79" s="227"/>
      <x:c r="R79" s="227"/>
      <x:c r="S79" s="227"/>
      <x:c r="T79" s="227"/>
      <x:c r="U79" s="227"/>
      <x:c r="V79" s="227"/>
      <x:c r="W79" s="227"/>
      <x:c r="X79" s="227"/>
      <x:c r="Y79" s="227"/>
    </x:row>
    <x:row r="80">
      <x:c r="A80" s="227"/>
      <x:c r="B80" s="227"/>
      <x:c r="C80" s="227"/>
      <x:c r="D80" s="227"/>
      <x:c r="E80" s="227"/>
      <x:c r="F80" s="227"/>
      <x:c r="G80" s="227"/>
      <x:c r="H80" s="227"/>
      <x:c r="I80" s="227"/>
      <x:c r="J80" s="227"/>
      <x:c r="K80" s="227"/>
      <x:c r="L80" s="227"/>
      <x:c r="M80" s="227"/>
      <x:c r="N80" s="227"/>
      <x:c r="O80" s="227"/>
      <x:c r="P80" s="227"/>
      <x:c r="Q80" s="227"/>
      <x:c r="R80" s="227"/>
      <x:c r="S80" s="227"/>
      <x:c r="T80" s="227"/>
      <x:c r="U80" s="227"/>
      <x:c r="V80" s="227"/>
      <x:c r="W80" s="227"/>
      <x:c r="X80" s="227"/>
      <x:c r="Y80" s="227"/>
    </x:row>
    <x:row r="81">
      <x:c r="A81" s="227"/>
      <x:c r="B81" s="227"/>
      <x:c r="C81" s="227"/>
      <x:c r="D81" s="227"/>
      <x:c r="E81" s="227"/>
      <x:c r="F81" s="227"/>
      <x:c r="G81" s="227"/>
      <x:c r="H81" s="227"/>
      <x:c r="I81" s="227"/>
      <x:c r="J81" s="227"/>
      <x:c r="K81" s="227"/>
      <x:c r="L81" s="227"/>
      <x:c r="M81" s="227"/>
      <x:c r="N81" s="227"/>
      <x:c r="O81" s="227"/>
      <x:c r="P81" s="227"/>
      <x:c r="Q81" s="227"/>
      <x:c r="R81" s="227"/>
      <x:c r="S81" s="227"/>
      <x:c r="T81" s="227"/>
      <x:c r="U81" s="227"/>
      <x:c r="V81" s="227"/>
      <x:c r="W81" s="227"/>
      <x:c r="X81" s="227"/>
      <x:c r="Y81" s="227"/>
    </x:row>
    <x:row r="82">
      <x:c r="A82" s="227"/>
      <x:c r="B82" s="227"/>
      <x:c r="C82" s="227"/>
      <x:c r="D82" s="227"/>
      <x:c r="E82" s="227"/>
      <x:c r="F82" s="227"/>
      <x:c r="G82" s="227"/>
      <x:c r="H82" s="227"/>
      <x:c r="I82" s="227"/>
      <x:c r="J82" s="227"/>
      <x:c r="K82" s="227"/>
      <x:c r="L82" s="227"/>
      <x:c r="M82" s="227"/>
      <x:c r="N82" s="227"/>
      <x:c r="O82" s="227"/>
      <x:c r="P82" s="227"/>
      <x:c r="Q82" s="227"/>
      <x:c r="R82" s="227"/>
      <x:c r="S82" s="227"/>
      <x:c r="T82" s="227"/>
      <x:c r="U82" s="227"/>
      <x:c r="V82" s="227"/>
      <x:c r="W82" s="227"/>
      <x:c r="X82" s="227"/>
      <x:c r="Y82" s="227"/>
    </x:row>
    <x:row r="83">
      <x:c r="A83" s="227"/>
      <x:c r="B83" s="227"/>
      <x:c r="C83" s="227"/>
      <x:c r="D83" s="227"/>
      <x:c r="E83" s="227"/>
      <x:c r="F83" s="227"/>
      <x:c r="G83" s="227"/>
      <x:c r="H83" s="227"/>
      <x:c r="I83" s="227"/>
      <x:c r="J83" s="227"/>
      <x:c r="K83" s="227"/>
      <x:c r="L83" s="227"/>
      <x:c r="M83" s="227"/>
      <x:c r="N83" s="227"/>
      <x:c r="O83" s="227"/>
      <x:c r="P83" s="227"/>
      <x:c r="Q83" s="227"/>
      <x:c r="R83" s="227"/>
      <x:c r="S83" s="227"/>
      <x:c r="T83" s="227"/>
      <x:c r="U83" s="227"/>
      <x:c r="V83" s="227"/>
      <x:c r="W83" s="227"/>
      <x:c r="X83" s="227"/>
      <x:c r="Y83" s="227"/>
    </x:row>
    <x:row r="84">
      <x:c r="A84" s="227"/>
      <x:c r="B84" s="227"/>
      <x:c r="C84" s="227"/>
      <x:c r="D84" s="227"/>
      <x:c r="E84" s="227"/>
      <x:c r="F84" s="227"/>
      <x:c r="G84" s="227"/>
      <x:c r="H84" s="227"/>
      <x:c r="I84" s="227"/>
      <x:c r="J84" s="227"/>
      <x:c r="K84" s="227"/>
      <x:c r="L84" s="227"/>
      <x:c r="M84" s="227"/>
      <x:c r="N84" s="227"/>
      <x:c r="O84" s="227"/>
      <x:c r="P84" s="227"/>
      <x:c r="Q84" s="227"/>
      <x:c r="R84" s="227"/>
      <x:c r="S84" s="227"/>
      <x:c r="T84" s="227"/>
      <x:c r="U84" s="227"/>
      <x:c r="V84" s="227"/>
      <x:c r="W84" s="227"/>
      <x:c r="X84" s="227"/>
      <x:c r="Y84" s="227"/>
    </x:row>
    <x:row r="85">
      <x:c r="A85" s="227"/>
      <x:c r="B85" s="227"/>
      <x:c r="C85" s="227"/>
      <x:c r="D85" s="227"/>
      <x:c r="E85" s="227"/>
      <x:c r="F85" s="227"/>
      <x:c r="G85" s="227"/>
      <x:c r="H85" s="227"/>
      <x:c r="I85" s="227"/>
      <x:c r="J85" s="227"/>
      <x:c r="K85" s="227"/>
      <x:c r="L85" s="227"/>
      <x:c r="M85" s="227"/>
      <x:c r="N85" s="227"/>
      <x:c r="O85" s="227"/>
      <x:c r="P85" s="227"/>
      <x:c r="Q85" s="227"/>
      <x:c r="R85" s="227"/>
      <x:c r="S85" s="227"/>
      <x:c r="T85" s="227"/>
      <x:c r="U85" s="227"/>
      <x:c r="V85" s="227"/>
      <x:c r="W85" s="227"/>
      <x:c r="X85" s="227"/>
      <x:c r="Y85" s="227"/>
    </x:row>
    <x:row r="86">
      <x:c r="A86" s="227"/>
      <x:c r="B86" s="227"/>
      <x:c r="C86" s="227"/>
      <x:c r="D86" s="227"/>
      <x:c r="E86" s="227"/>
      <x:c r="F86" s="227"/>
      <x:c r="G86" s="227"/>
      <x:c r="H86" s="227"/>
      <x:c r="I86" s="227"/>
      <x:c r="J86" s="227"/>
      <x:c r="K86" s="227"/>
      <x:c r="L86" s="227"/>
      <x:c r="M86" s="227"/>
      <x:c r="N86" s="227"/>
      <x:c r="O86" s="227"/>
      <x:c r="P86" s="227"/>
      <x:c r="Q86" s="227"/>
      <x:c r="R86" s="227"/>
      <x:c r="S86" s="227"/>
      <x:c r="T86" s="227"/>
      <x:c r="U86" s="227"/>
      <x:c r="V86" s="227"/>
      <x:c r="W86" s="227"/>
      <x:c r="X86" s="227"/>
      <x:c r="Y86" s="227"/>
    </x:row>
    <x:row r="87">
      <x:c r="A87" s="227"/>
      <x:c r="B87" s="227"/>
      <x:c r="C87" s="227"/>
      <x:c r="D87" s="227"/>
      <x:c r="E87" s="227"/>
      <x:c r="F87" s="227"/>
      <x:c r="G87" s="227"/>
      <x:c r="H87" s="227"/>
      <x:c r="I87" s="227"/>
      <x:c r="J87" s="227"/>
      <x:c r="K87" s="227"/>
      <x:c r="L87" s="227"/>
      <x:c r="M87" s="227"/>
      <x:c r="N87" s="227"/>
      <x:c r="O87" s="227"/>
      <x:c r="P87" s="227"/>
      <x:c r="Q87" s="227"/>
      <x:c r="R87" s="227"/>
      <x:c r="S87" s="227"/>
      <x:c r="T87" s="227"/>
      <x:c r="U87" s="227"/>
      <x:c r="V87" s="227"/>
      <x:c r="W87" s="227"/>
      <x:c r="X87" s="227"/>
      <x:c r="Y87" s="227"/>
    </x:row>
    <x:row r="88">
      <x:c r="A88" s="227"/>
      <x:c r="B88" s="227"/>
      <x:c r="C88" s="227"/>
      <x:c r="D88" s="227"/>
      <x:c r="E88" s="227"/>
      <x:c r="F88" s="227"/>
      <x:c r="G88" s="227"/>
      <x:c r="H88" s="227"/>
      <x:c r="I88" s="227"/>
      <x:c r="J88" s="227"/>
      <x:c r="K88" s="227"/>
      <x:c r="L88" s="227"/>
      <x:c r="M88" s="227"/>
      <x:c r="N88" s="227"/>
      <x:c r="O88" s="227"/>
      <x:c r="P88" s="227"/>
      <x:c r="Q88" s="227"/>
      <x:c r="R88" s="227"/>
      <x:c r="S88" s="227"/>
      <x:c r="T88" s="227"/>
      <x:c r="U88" s="227"/>
      <x:c r="V88" s="227"/>
      <x:c r="W88" s="227"/>
      <x:c r="X88" s="227"/>
      <x:c r="Y88" s="227"/>
    </x:row>
    <x:row r="89">
      <x:c r="A89" s="227"/>
      <x:c r="B89" s="227"/>
      <x:c r="C89" s="227"/>
      <x:c r="D89" s="227"/>
      <x:c r="E89" s="227"/>
      <x:c r="F89" s="227"/>
      <x:c r="G89" s="227"/>
      <x:c r="H89" s="227"/>
      <x:c r="I89" s="227"/>
      <x:c r="J89" s="227"/>
      <x:c r="K89" s="227"/>
      <x:c r="L89" s="227"/>
      <x:c r="M89" s="227"/>
      <x:c r="N89" s="227"/>
      <x:c r="O89" s="227"/>
      <x:c r="P89" s="227"/>
      <x:c r="Q89" s="227"/>
      <x:c r="R89" s="227"/>
      <x:c r="S89" s="227"/>
      <x:c r="T89" s="227"/>
      <x:c r="U89" s="227"/>
      <x:c r="V89" s="227"/>
      <x:c r="W89" s="227"/>
      <x:c r="X89" s="227"/>
      <x:c r="Y89" s="227"/>
    </x:row>
    <x:row r="90">
      <x:c r="A90" s="227"/>
      <x:c r="B90" s="227"/>
      <x:c r="C90" s="227"/>
      <x:c r="D90" s="227"/>
      <x:c r="E90" s="227"/>
      <x:c r="F90" s="227"/>
      <x:c r="G90" s="227"/>
      <x:c r="H90" s="227"/>
      <x:c r="I90" s="227"/>
      <x:c r="J90" s="227"/>
      <x:c r="K90" s="227"/>
      <x:c r="L90" s="227"/>
      <x:c r="M90" s="227"/>
      <x:c r="N90" s="227"/>
      <x:c r="O90" s="227"/>
      <x:c r="P90" s="227"/>
      <x:c r="Q90" s="227"/>
      <x:c r="R90" s="227"/>
      <x:c r="S90" s="227"/>
      <x:c r="T90" s="227"/>
      <x:c r="U90" s="227"/>
      <x:c r="V90" s="227"/>
      <x:c r="W90" s="227"/>
      <x:c r="X90" s="227"/>
      <x:c r="Y90" s="227"/>
    </x:row>
    <x:row r="91">
      <x:c r="A91" s="231" t="str">
        <x:v>Detailed CDMO revenue</x:v>
      </x:c>
      <x:c r="B91" s="231" t="str">
        <x:v>INR mn</x:v>
      </x:c>
      <x:c r="C91" s="231" t="str">
        <x:v>Formula</x:v>
      </x:c>
      <x:c r="D91" s="232" t="n">
        <x:f>D37</x:f>
        <x:v>9680.08</x:v>
      </x:c>
      <x:c r="E91" s="232" t="n">
        <x:f>E37</x:f>
        <x:v>10685.7</x:v>
      </x:c>
      <x:c r="F91" s="232" t="n">
        <x:f>F37</x:f>
        <x:v>14170</x:v>
      </x:c>
      <x:c r="G91" s="232" t="n">
        <x:f>G37</x:f>
        <x:v>16996.66220986</x:v>
      </x:c>
      <x:c r="H91" s="232" t="n">
        <x:f>H37</x:f>
        <x:v>20387.52904241684</x:v>
      </x:c>
      <x:c r="I91" s="232" t="n">
        <x:f>I37</x:f>
        <x:v>23807.681204200722</x:v>
      </x:c>
      <x:c r="J91" s="232" t="n">
        <x:f>J37</x:f>
        <x:v>27264.055739890144</x:v>
      </x:c>
      <x:c r="K91" s="232" t="n">
        <x:f>K37</x:f>
        <x:v>30735.14658629979</x:v>
      </x:c>
      <x:c r="L91" s="232" t="n">
        <x:f>L37</x:f>
        <x:v>34069.17040591141</x:v>
      </x:c>
      <x:c r="M91" s="232" t="n">
        <x:f>M37</x:f>
        <x:v>37332.12489450972</x:v>
      </x:c>
      <x:c r="N91" s="232" t="n">
        <x:f>N37</x:f>
        <x:v>40629.73709619306</x:v>
      </x:c>
      <x:c r="O91" s="232" t="n">
        <x:f>O37</x:f>
        <x:v>44030.11053909879</x:v>
      </x:c>
      <x:c r="P91" s="227"/>
      <x:c r="Q91" s="227"/>
      <x:c r="R91" s="227"/>
      <x:c r="S91" s="227"/>
      <x:c r="T91" s="227"/>
      <x:c r="U91" s="227"/>
      <x:c r="V91" s="227"/>
      <x:c r="W91" s="227"/>
      <x:c r="X91" s="227"/>
      <x:c r="Y91" s="227"/>
    </x:row>
    <x:row r="92">
      <x:c r="A92" s="231" t="str">
        <x:v>CDMO reconciliation check</x:v>
      </x:c>
      <x:c r="B92" s="231" t="str">
        <x:v>INR mn</x:v>
      </x:c>
      <x:c r="C92" s="231" t="str">
        <x:v>Check</x:v>
      </x:c>
      <x:c r="D92" s="232" t="n">
        <x:f>D91-D7</x:f>
        <x:v>0</x:v>
      </x:c>
      <x:c r="E92" s="232" t="n">
        <x:f>E91-E7</x:f>
        <x:v>0</x:v>
      </x:c>
      <x:c r="F92" s="232" t="n">
        <x:f>F91-F7</x:f>
        <x:v>0</x:v>
      </x:c>
      <x:c r="G92" s="232" t="n">
        <x:f>G91-G7</x:f>
        <x:v>0</x:v>
      </x:c>
      <x:c r="H92" s="232" t="n">
        <x:f>H91-H7</x:f>
        <x:v>0</x:v>
      </x:c>
      <x:c r="I92" s="232" t="n">
        <x:f>I91-I7</x:f>
        <x:v>0</x:v>
      </x:c>
      <x:c r="J92" s="232" t="n">
        <x:f>J91-J7</x:f>
        <x:v>0</x:v>
      </x:c>
      <x:c r="K92" s="232" t="n">
        <x:f>K91-K7</x:f>
        <x:v>0</x:v>
      </x:c>
      <x:c r="L92" s="232" t="n">
        <x:f>L91-L7</x:f>
        <x:v>0</x:v>
      </x:c>
      <x:c r="M92" s="232" t="n">
        <x:f>M91-M7</x:f>
        <x:v>0</x:v>
      </x:c>
      <x:c r="N92" s="232" t="n">
        <x:f>N91-N7</x:f>
        <x:v>0</x:v>
      </x:c>
      <x:c r="O92" s="232" t="n">
        <x:f>O91-O7</x:f>
        <x:v>0</x:v>
      </x:c>
      <x:c r="P92" s="227"/>
      <x:c r="Q92" s="227"/>
      <x:c r="R92" s="227"/>
      <x:c r="S92" s="227"/>
      <x:c r="T92" s="227"/>
      <x:c r="U92" s="227"/>
      <x:c r="V92" s="227"/>
      <x:c r="W92" s="227"/>
      <x:c r="X92" s="227"/>
      <x:c r="Y92" s="227"/>
    </x:row>
    <x:row r="93">
      <x:c r="A93" s="231" t="str">
        <x:v>Named-molecule double-counting check</x:v>
      </x:c>
      <x:c r="B93" s="231" t="str">
        <x:v>INR mn</x:v>
      </x:c>
      <x:c r="C93" s="231" t="str">
        <x:v>Check</x:v>
      </x:c>
      <x:c r="D93" s="232" t="n">
        <x:f>SUM(D28:D33)-D39</x:f>
        <x:v>0</x:v>
      </x:c>
      <x:c r="E93" s="232" t="n">
        <x:f>SUM(E28:E33)-E39</x:f>
        <x:v>0</x:v>
      </x:c>
      <x:c r="F93" s="232" t="n">
        <x:f>SUM(F28:F33)-F39</x:f>
        <x:v>0</x:v>
      </x:c>
      <x:c r="G93" s="232" t="n">
        <x:f>SUM(G28:G33)-G39</x:f>
        <x:v>0</x:v>
      </x:c>
      <x:c r="H93" s="232" t="n">
        <x:f>SUM(H28:H33)-H39</x:f>
        <x:v>0</x:v>
      </x:c>
      <x:c r="I93" s="232" t="n">
        <x:f>SUM(I28:I33)-I39</x:f>
        <x:v>0</x:v>
      </x:c>
      <x:c r="J93" s="232" t="n">
        <x:f>SUM(J28:J33)-J39</x:f>
        <x:v>0</x:v>
      </x:c>
      <x:c r="K93" s="232" t="n">
        <x:f>SUM(K28:K33)-K39</x:f>
        <x:v>0</x:v>
      </x:c>
      <x:c r="L93" s="232" t="n">
        <x:f>SUM(L28:L33)-L39</x:f>
        <x:v>0</x:v>
      </x:c>
      <x:c r="M93" s="232" t="n">
        <x:f>SUM(M28:M33)-M39</x:f>
        <x:v>0</x:v>
      </x:c>
      <x:c r="N93" s="232" t="n">
        <x:f>SUM(N28:N33)-N39</x:f>
        <x:v>0</x:v>
      </x:c>
      <x:c r="O93" s="232" t="n">
        <x:f>SUM(O28:O33)-O39</x:f>
        <x:v>0</x:v>
      </x:c>
      <x:c r="P93" s="227"/>
      <x:c r="Q93" s="227"/>
      <x:c r="R93" s="227"/>
      <x:c r="S93" s="227"/>
      <x:c r="T93" s="227"/>
      <x:c r="U93" s="227"/>
      <x:c r="V93" s="227"/>
      <x:c r="W93" s="227"/>
      <x:c r="X93" s="227"/>
      <x:c r="Y93" s="227"/>
    </x:row>
    <x:row r="94">
      <x:c r="A94" s="231" t="str">
        <x:v>New-capacity double-counting check</x:v>
      </x:c>
      <x:c r="B94" s="231" t="str">
        <x:v>INR mn</x:v>
      </x:c>
      <x:c r="C94" s="231" t="str">
        <x:v>Check</x:v>
      </x:c>
      <x:c r="D94" s="232" t="n">
        <x:f>D37-SUM(D28:D36)</x:f>
        <x:v>0</x:v>
      </x:c>
      <x:c r="E94" s="232" t="n">
        <x:f>E37-SUM(E28:E36)</x:f>
        <x:v>0</x:v>
      </x:c>
      <x:c r="F94" s="232" t="n">
        <x:f>F37-SUM(F28:F36)</x:f>
        <x:v>0</x:v>
      </x:c>
      <x:c r="G94" s="232" t="n">
        <x:f>G37-SUM(G28:G36)</x:f>
        <x:v>0</x:v>
      </x:c>
      <x:c r="H94" s="232" t="n">
        <x:f>H37-SUM(H28:H36)</x:f>
        <x:v>0</x:v>
      </x:c>
      <x:c r="I94" s="232" t="n">
        <x:f>I37-SUM(I28:I36)</x:f>
        <x:v>0</x:v>
      </x:c>
      <x:c r="J94" s="232" t="n">
        <x:f>J37-SUM(J28:J36)</x:f>
        <x:v>0</x:v>
      </x:c>
      <x:c r="K94" s="232" t="n">
        <x:f>K37-SUM(K28:K36)</x:f>
        <x:v>0</x:v>
      </x:c>
      <x:c r="L94" s="232" t="n">
        <x:f>L37-SUM(L28:L36)</x:f>
        <x:v>0</x:v>
      </x:c>
      <x:c r="M94" s="232" t="n">
        <x:f>M37-SUM(M28:M36)</x:f>
        <x:v>0</x:v>
      </x:c>
      <x:c r="N94" s="232" t="n">
        <x:f>N37-SUM(N28:N36)</x:f>
        <x:v>0</x:v>
      </x:c>
      <x:c r="O94" s="232" t="n">
        <x:f>O37-SUM(O28:O36)</x:f>
        <x:v>0</x:v>
      </x:c>
      <x:c r="P94" s="227"/>
      <x:c r="Q94" s="227"/>
      <x:c r="R94" s="227"/>
      <x:c r="S94" s="227"/>
      <x:c r="T94" s="227"/>
      <x:c r="U94" s="227"/>
      <x:c r="V94" s="227"/>
      <x:c r="W94" s="227"/>
      <x:c r="X94" s="227"/>
      <x:c r="Y94" s="227"/>
    </x:row>
    <x:row r="95">
      <x:c r="A95" s="227"/>
      <x:c r="B95" s="227"/>
      <x:c r="C95" s="227"/>
      <x:c r="D95" s="227"/>
      <x:c r="E95" s="227"/>
      <x:c r="F95" s="227"/>
      <x:c r="G95" s="227"/>
      <x:c r="H95" s="227"/>
      <x:c r="I95" s="227"/>
      <x:c r="J95" s="227"/>
      <x:c r="K95" s="227"/>
      <x:c r="L95" s="227"/>
      <x:c r="M95" s="227"/>
      <x:c r="N95" s="227"/>
      <x:c r="O95" s="227"/>
      <x:c r="P95" s="227"/>
      <x:c r="Q95" s="227"/>
      <x:c r="R95" s="227"/>
      <x:c r="S95" s="227"/>
      <x:c r="T95" s="227"/>
      <x:c r="U95" s="227"/>
      <x:c r="V95" s="227"/>
      <x:c r="W95" s="227"/>
      <x:c r="X95" s="227"/>
      <x:c r="Y95" s="227"/>
    </x:row>
    <x:row r="96">
      <x:c r="A96" s="227"/>
      <x:c r="B96" s="227"/>
      <x:c r="C96" s="227"/>
      <x:c r="D96" s="227"/>
      <x:c r="E96" s="227"/>
      <x:c r="F96" s="227"/>
      <x:c r="G96" s="227"/>
      <x:c r="H96" s="227"/>
      <x:c r="I96" s="227"/>
      <x:c r="J96" s="227"/>
      <x:c r="K96" s="227"/>
      <x:c r="L96" s="227"/>
      <x:c r="M96" s="227"/>
      <x:c r="N96" s="227"/>
      <x:c r="O96" s="227"/>
      <x:c r="P96" s="227"/>
      <x:c r="Q96" s="227"/>
      <x:c r="R96" s="227"/>
      <x:c r="S96" s="227"/>
      <x:c r="T96" s="227"/>
      <x:c r="U96" s="227"/>
      <x:c r="V96" s="227"/>
      <x:c r="W96" s="227"/>
      <x:c r="X96" s="227"/>
      <x:c r="Y96" s="227"/>
    </x:row>
    <x:row r="97">
      <x:c r="A97" s="227"/>
      <x:c r="B97" s="227"/>
      <x:c r="C97" s="227"/>
      <x:c r="D97" s="227"/>
      <x:c r="E97" s="227"/>
      <x:c r="F97" s="227"/>
      <x:c r="G97" s="227"/>
      <x:c r="H97" s="227"/>
      <x:c r="I97" s="227"/>
      <x:c r="J97" s="227"/>
      <x:c r="K97" s="227"/>
      <x:c r="L97" s="227"/>
      <x:c r="M97" s="227"/>
      <x:c r="N97" s="227"/>
      <x:c r="O97" s="227"/>
      <x:c r="P97" s="227"/>
      <x:c r="Q97" s="227"/>
      <x:c r="R97" s="227"/>
      <x:c r="S97" s="227"/>
      <x:c r="T97" s="227"/>
      <x:c r="U97" s="227"/>
      <x:c r="V97" s="227"/>
      <x:c r="W97" s="227"/>
      <x:c r="X97" s="227"/>
      <x:c r="Y97" s="227"/>
    </x:row>
    <x:row r="98" ht="30" customHeight="1">
      <x:c r="A98" s="227"/>
      <x:c r="B98" s="227"/>
      <x:c r="C98" s="227"/>
      <x:c r="D98" s="227"/>
      <x:c r="E98" s="227"/>
      <x:c r="F98" s="227"/>
      <x:c r="G98" s="227"/>
      <x:c r="H98" s="227"/>
      <x:c r="I98" s="227"/>
      <x:c r="J98" s="227"/>
      <x:c r="K98" s="227"/>
      <x:c r="L98" s="227"/>
      <x:c r="M98" s="227"/>
      <x:c r="N98" s="227"/>
      <x:c r="O98" s="227"/>
      <x:c r="P98" s="227"/>
      <x:c r="Q98" s="227"/>
      <x:c r="R98" s="227"/>
      <x:c r="S98" s="227"/>
      <x:c r="T98" s="227"/>
      <x:c r="U98" s="227"/>
      <x:c r="V98" s="227"/>
      <x:c r="W98" s="227"/>
      <x:c r="X98" s="227"/>
      <x:c r="Y98" s="227"/>
    </x:row>
    <x:row r="99" ht="36" customHeight="1">
      <x:c r="A99" s="227"/>
      <x:c r="B99" s="227"/>
      <x:c r="C99" s="227"/>
      <x:c r="D99" s="227"/>
      <x:c r="E99" s="227"/>
      <x:c r="F99" s="227"/>
      <x:c r="G99" s="227"/>
      <x:c r="H99" s="227"/>
      <x:c r="I99" s="227"/>
      <x:c r="J99" s="227"/>
      <x:c r="K99" s="227"/>
      <x:c r="L99" s="227"/>
      <x:c r="M99" s="227"/>
      <x:c r="N99" s="227"/>
      <x:c r="O99" s="227"/>
      <x:c r="P99" s="227"/>
      <x:c r="Q99" s="227"/>
      <x:c r="R99" s="227"/>
      <x:c r="S99" s="227"/>
      <x:c r="T99" s="227"/>
      <x:c r="U99" s="227"/>
      <x:c r="V99" s="227"/>
      <x:c r="W99" s="227"/>
      <x:c r="X99" s="227"/>
      <x:c r="Y99" s="227"/>
    </x:row>
    <x:row r="100" ht="36" customHeight="1">
      <x:c r="A100" s="227"/>
      <x:c r="B100" s="227"/>
      <x:c r="C100" s="227"/>
      <x:c r="D100" s="227"/>
      <x:c r="E100" s="227"/>
      <x:c r="F100" s="227"/>
      <x:c r="G100" s="227"/>
      <x:c r="H100" s="227"/>
      <x:c r="I100" s="227"/>
      <x:c r="J100" s="227"/>
      <x:c r="K100" s="227"/>
      <x:c r="L100" s="227"/>
      <x:c r="M100" s="227"/>
      <x:c r="N100" s="227"/>
      <x:c r="O100" s="227"/>
      <x:c r="P100" s="227"/>
      <x:c r="Q100" s="227"/>
      <x:c r="R100" s="227"/>
      <x:c r="S100" s="227"/>
      <x:c r="T100" s="227"/>
      <x:c r="U100" s="227"/>
      <x:c r="V100" s="227"/>
      <x:c r="W100" s="227"/>
      <x:c r="X100" s="227"/>
      <x:c r="Y100" s="227"/>
    </x:row>
    <x:row r="101" ht="36" customHeight="1">
      <x:c r="A101" s="227"/>
      <x:c r="B101" s="227"/>
      <x:c r="C101" s="227"/>
      <x:c r="D101" s="227"/>
      <x:c r="E101" s="227"/>
      <x:c r="F101" s="227"/>
      <x:c r="G101" s="227"/>
      <x:c r="H101" s="227"/>
      <x:c r="I101" s="227"/>
      <x:c r="J101" s="227"/>
      <x:c r="K101" s="227"/>
      <x:c r="L101" s="227"/>
      <x:c r="M101" s="227"/>
      <x:c r="N101" s="227"/>
      <x:c r="O101" s="227"/>
      <x:c r="P101" s="227"/>
      <x:c r="Q101" s="227"/>
      <x:c r="R101" s="227"/>
      <x:c r="S101" s="227"/>
      <x:c r="T101" s="227"/>
      <x:c r="U101" s="227"/>
      <x:c r="V101" s="227"/>
      <x:c r="W101" s="227"/>
      <x:c r="X101" s="227"/>
      <x:c r="Y101" s="227"/>
    </x:row>
    <x:row r="102" ht="36" customHeight="1">
      <x:c r="A102" s="227"/>
      <x:c r="B102" s="227"/>
      <x:c r="C102" s="227"/>
      <x:c r="D102" s="227"/>
      <x:c r="E102" s="227"/>
      <x:c r="F102" s="227"/>
      <x:c r="G102" s="227"/>
      <x:c r="H102" s="227"/>
      <x:c r="I102" s="227"/>
      <x:c r="J102" s="227"/>
      <x:c r="K102" s="227"/>
      <x:c r="L102" s="227"/>
      <x:c r="M102" s="227"/>
      <x:c r="N102" s="227"/>
      <x:c r="O102" s="227"/>
      <x:c r="P102" s="227"/>
      <x:c r="Q102" s="227"/>
      <x:c r="R102" s="227"/>
      <x:c r="S102" s="227"/>
      <x:c r="T102" s="227"/>
      <x:c r="U102" s="227"/>
      <x:c r="V102" s="227"/>
      <x:c r="W102" s="227"/>
      <x:c r="X102" s="227"/>
      <x:c r="Y102" s="227"/>
    </x:row>
    <x:row r="103" ht="36" customHeight="1">
      <x:c r="A103" s="227"/>
      <x:c r="B103" s="227"/>
      <x:c r="C103" s="227"/>
      <x:c r="D103" s="227"/>
      <x:c r="E103" s="227"/>
      <x:c r="F103" s="227"/>
      <x:c r="G103" s="227"/>
      <x:c r="H103" s="227"/>
      <x:c r="I103" s="227"/>
      <x:c r="J103" s="227"/>
      <x:c r="K103" s="227"/>
      <x:c r="L103" s="227"/>
      <x:c r="M103" s="227"/>
      <x:c r="N103" s="227"/>
      <x:c r="O103" s="227"/>
      <x:c r="P103" s="227"/>
      <x:c r="Q103" s="227"/>
      <x:c r="R103" s="227"/>
      <x:c r="S103" s="227"/>
      <x:c r="T103" s="227"/>
      <x:c r="U103" s="227"/>
      <x:c r="V103" s="227"/>
      <x:c r="W103" s="227"/>
      <x:c r="X103" s="227"/>
      <x:c r="Y103" s="227"/>
    </x:row>
    <x:row r="104" ht="36" customHeight="1">
      <x:c r="A104" s="227"/>
      <x:c r="B104" s="227"/>
      <x:c r="C104" s="227"/>
      <x:c r="D104" s="227"/>
      <x:c r="E104" s="227"/>
      <x:c r="F104" s="227"/>
      <x:c r="G104" s="227"/>
      <x:c r="H104" s="227"/>
      <x:c r="I104" s="227"/>
      <x:c r="J104" s="227"/>
      <x:c r="K104" s="227"/>
      <x:c r="L104" s="227"/>
      <x:c r="M104" s="227"/>
      <x:c r="N104" s="227"/>
      <x:c r="O104" s="227"/>
      <x:c r="P104" s="227"/>
      <x:c r="Q104" s="227"/>
      <x:c r="R104" s="227"/>
      <x:c r="S104" s="227"/>
      <x:c r="T104" s="227"/>
      <x:c r="U104" s="227"/>
      <x:c r="V104" s="227"/>
      <x:c r="W104" s="227"/>
      <x:c r="X104" s="227"/>
      <x:c r="Y104" s="227"/>
    </x:row>
    <x:row r="105" ht="36" customHeight="1">
      <x:c r="A105" s="227"/>
      <x:c r="B105" s="227"/>
      <x:c r="C105" s="227"/>
      <x:c r="D105" s="227"/>
      <x:c r="E105" s="227"/>
      <x:c r="F105" s="227"/>
      <x:c r="G105" s="227"/>
      <x:c r="H105" s="227"/>
      <x:c r="I105" s="227"/>
      <x:c r="J105" s="227"/>
      <x:c r="K105" s="227"/>
      <x:c r="L105" s="227"/>
      <x:c r="M105" s="227"/>
      <x:c r="N105" s="227"/>
      <x:c r="O105" s="227"/>
      <x:c r="P105" s="227"/>
      <x:c r="Q105" s="227"/>
      <x:c r="R105" s="227"/>
      <x:c r="S105" s="227"/>
      <x:c r="T105" s="227"/>
      <x:c r="U105" s="227"/>
      <x:c r="V105" s="227"/>
      <x:c r="W105" s="227"/>
      <x:c r="X105" s="227"/>
      <x:c r="Y105" s="227"/>
    </x:row>
    <x:row r="106" ht="36" customHeight="1">
      <x:c r="A106" s="227"/>
      <x:c r="B106" s="227"/>
      <x:c r="C106" s="227"/>
      <x:c r="D106" s="227"/>
      <x:c r="E106" s="227"/>
      <x:c r="F106" s="227"/>
      <x:c r="G106" s="227"/>
      <x:c r="H106" s="227"/>
      <x:c r="I106" s="227"/>
      <x:c r="J106" s="227"/>
      <x:c r="K106" s="227"/>
      <x:c r="L106" s="227"/>
      <x:c r="M106" s="227"/>
      <x:c r="N106" s="227"/>
      <x:c r="O106" s="227"/>
      <x:c r="P106" s="227"/>
      <x:c r="Q106" s="227"/>
      <x:c r="R106" s="227"/>
      <x:c r="S106" s="227"/>
      <x:c r="T106" s="227"/>
      <x:c r="U106" s="227"/>
      <x:c r="V106" s="227"/>
      <x:c r="W106" s="227"/>
      <x:c r="X106" s="227"/>
      <x:c r="Y106" s="227"/>
    </x:row>
  </x:sheetData>
  <x:mergeCells>
    <x:mergeCell ref="A1:O1"/>
    <x:mergeCell ref="A2:O2"/>
    <x:mergeCell ref="A5:O5"/>
    <x:mergeCell ref="A13:O13"/>
    <x:mergeCell ref="A27:O27"/>
    <x:mergeCell ref="A42:O42"/>
    <x:mergeCell ref="P3:Y3"/>
    <x:mergeCell ref="A52:O52"/>
    <x:mergeCell ref="P20:Y20"/>
  </x:mergeCells>
  <x:conditionalFormatting sqref="D10:O10">
    <x:cfRule type="expression" dxfId="0" priority="1">
      <x:formula>ABS(D10)&gt;0.1</x:formula>
    </x:cfRule>
    <x:cfRule type="expression" dxfId="1" priority="2">
      <x:formula>ABS(D10)&lt;=0.1</x:formula>
    </x:cfRule>
  </x:conditionalFormatting>
  <x:conditionalFormatting sqref="D24:O24">
    <x:cfRule type="expression" dxfId="2" priority="3">
      <x:formula>ABS(D24)&gt;0.1</x:formula>
    </x:cfRule>
    <x:cfRule type="expression" dxfId="3" priority="4">
      <x:formula>ABS(D24)&lt;=0.1</x:formula>
    </x:cfRule>
  </x:conditionalFormatting>
  <x:conditionalFormatting sqref="D39:O39">
    <x:cfRule type="expression" dxfId="4" priority="5">
      <x:formula>ABS(D39)&gt;0.1</x:formula>
    </x:cfRule>
    <x:cfRule type="expression" dxfId="5" priority="6">
      <x:formula>ABS(D39)&lt;=0.1</x:formula>
    </x:cfRule>
  </x:conditionalFormatting>
  <x:conditionalFormatting sqref="D92:O92">
    <x:cfRule type="expression" dxfId="6" priority="7">
      <x:formula>ABS(D92)&gt;0.1</x:formula>
    </x:cfRule>
    <x:cfRule type="expression" dxfId="7" priority="8">
      <x:formula>ABS(D92)&lt;=0.1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4" customHeight="1">
      <x:c r="A1" s="72" t="str">
        <x:v>Three Statements - Consolidated</x:v>
      </x:c>
      <x:c r="B1" s="72"/>
      <x:c r="C1" s="72"/>
      <x:c r="D1" s="146"/>
      <x:c r="E1" s="146"/>
      <x:c r="F1" s="146"/>
      <x:c r="G1" s="148"/>
      <x:c r="H1" s="148"/>
      <x:c r="I1" s="148"/>
      <x:c r="J1" s="148"/>
      <x:c r="K1" s="148"/>
      <x:c r="L1" s="148"/>
      <x:c r="M1" s="148"/>
      <x:c r="N1" s="148"/>
      <x:c r="O1" s="148"/>
    </x:row>
    <x:row r="2">
      <x:c r="A2" s="10" t="str">
        <x:v>FY2024-FY2025 are audited; FY2026 is derived from the FY26 investor presentation and rounded balance-sheet disclosures.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29" t="str">
        <x:v>Metric</x:v>
      </x:c>
      <x:c r="B3" s="29" t="str">
        <x:v>Units</x:v>
      </x:c>
      <x:c r="C3" s="29" t="str">
        <x:v>Status</x:v>
      </x:c>
      <x:c r="D3" s="52" t="str">
        <x:v>FY2024A</x:v>
      </x:c>
      <x:c r="E3" s="52" t="str">
        <x:v>FY2025A</x:v>
      </x:c>
      <x:c r="F3" s="52" t="str">
        <x:v>FY2026A*</x:v>
      </x:c>
      <x:c r="G3" s="303" t="str">
        <x:v>FY2027E</x:v>
      </x:c>
      <x:c r="H3" s="303" t="str">
        <x:v>FY2028E</x:v>
      </x:c>
      <x:c r="I3" s="303" t="str">
        <x:v>FY2029E</x:v>
      </x:c>
      <x:c r="J3" s="303" t="str">
        <x:v>FY2030E</x:v>
      </x:c>
      <x:c r="K3" s="303" t="str">
        <x:v>FY2031E</x:v>
      </x:c>
      <x:c r="L3" s="303" t="str">
        <x:v>FY2032E</x:v>
      </x:c>
      <x:c r="M3" s="303" t="str">
        <x:v>FY2033E</x:v>
      </x:c>
      <x:c r="N3" s="303" t="str">
        <x:v>FY2034E</x:v>
      </x:c>
      <x:c r="O3" s="303" t="str">
        <x:v>FY2035E</x:v>
      </x:c>
    </x:row>
    <x:row r="5">
      <x:c r="A5" s="17" t="str">
        <x:v>Income Statement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</x:row>
    <x:row r="6">
      <x:c r="A6" t="str">
        <x:v>Revenue from operations</x:v>
      </x:c>
      <x:c r="B6" t="str">
        <x:v>INR mn</x:v>
      </x:c>
      <x:c r="C6" t="str">
        <x:v>Reported / Forecast</x:v>
      </x:c>
      <x:c r="D6" s="158" t="n">
        <x:v>14651.78</x:v>
      </x:c>
      <x:c r="E6" s="158" t="n">
        <x:v>16945.7</x:v>
      </x:c>
      <x:c r="F6" s="158" t="n">
        <x:v>21920</x:v>
      </x:c>
      <x:c r="G6" s="155" t="n">
        <x:f>'Revenue Model'!G8</x:f>
        <x:v>26337.914401174603</x:v>
      </x:c>
      <x:c r="H6" s="155" t="n">
        <x:f>'Revenue Model'!H8</x:f>
        <x:v>31756.9169159839</x:v>
      </x:c>
      <x:c r="I6" s="155" t="n">
        <x:f>'Revenue Model'!I8</x:f>
        <x:v>37195.983486240424</x:v>
      </x:c>
      <x:c r="J6" s="155" t="n">
        <x:f>'Revenue Model'!J8</x:f>
        <x:v>42671.78527072254</x:v>
      </x:c>
      <x:c r="K6" s="155" t="n">
        <x:f>'Revenue Model'!K8</x:f>
        <x:v>48177.64098596449</x:v>
      </x:c>
      <x:c r="L6" s="155" t="n">
        <x:f>'Revenue Model'!L8</x:f>
        <x:v>53624.492618010685</x:v>
      </x:c>
      <x:c r="M6" s="155" t="n">
        <x:f>'Revenue Model'!M8</x:f>
        <x:v>58857.92669824242</x:v>
      </x:c>
      <x:c r="N6" s="155" t="n">
        <x:f>'Revenue Model'!N8</x:f>
        <x:v>64157.29817598562</x:v>
      </x:c>
      <x:c r="O6" s="155" t="n">
        <x:f>'Revenue Model'!O8</x:f>
        <x:v>69586.26669774196</x:v>
      </x:c>
    </x:row>
    <x:row r="7">
      <x:c r="A7" t="str">
        <x:v>Material costs</x:v>
      </x:c>
      <x:c r="B7" t="str">
        <x:v>INR mn</x:v>
      </x:c>
      <x:c r="C7" t="str">
        <x:v>Reported / Forecast</x:v>
      </x:c>
      <x:c r="D7" s="158" t="n">
        <x:v>4457.3</x:v>
      </x:c>
      <x:c r="E7" s="158" t="n">
        <x:v>4657.64</x:v>
      </x:c>
      <x:c r="F7" s="158" t="n">
        <x:v>5710</x:v>
      </x:c>
      <x:c r="G7" s="155" t="n">
        <x:f>'Supporting Schedules'!G108</x:f>
        <x:v>6709.121366257356</x:v>
      </x:c>
      <x:c r="H7" s="155" t="n">
        <x:f>'Supporting Schedules'!H108</x:f>
        <x:v>7953.070554792665</x:v>
      </x:c>
      <x:c r="I7" s="155" t="n">
        <x:f>'Supporting Schedules'!I108</x:f>
        <x:v>9159.850533922006</x:v>
      </x:c>
      <x:c r="J7" s="155" t="n">
        <x:f>'Supporting Schedules'!J108</x:f>
        <x:v>10341.272157486794</x:v>
      </x:c>
      <x:c r="K7" s="155" t="n">
        <x:f>'Supporting Schedules'!K108</x:f>
        <x:v>11489.886069990844</x:v>
      </x:c>
      <x:c r="L7" s="155" t="n">
        <x:f>'Supporting Schedules'!L108</x:f>
        <x:v>12643.325663759428</x:v>
      </x:c>
      <x:c r="M7" s="155" t="n">
        <x:f>'Supporting Schedules'!M108</x:f>
        <x:v>13762.140962558893</x:v>
      </x:c>
      <x:c r="N7" s="155" t="n">
        <x:f>'Supporting Schedules'!N108</x:f>
        <x:v>14860.000091169522</x:v>
      </x:c>
      <x:c r="O7" s="155" t="n">
        <x:f>'Supporting Schedules'!O108</x:f>
        <x:v>15992.483829639315</x:v>
      </x:c>
    </x:row>
    <x:row r="8">
      <x:c r="A8" t="str">
        <x:v>Material margin</x:v>
      </x:c>
      <x:c r="B8" t="str">
        <x:v>%</x:v>
      </x:c>
      <x:c r="C8" t="str">
        <x:v>Calculated</x:v>
      </x:c>
      <x:c r="D8" s="100" t="n">
        <x:f>1-D7/D6</x:f>
        <x:v>0.6957844029872138</x:v>
      </x:c>
      <x:c r="E8" s="100" t="n">
        <x:f>1-E7/E6</x:f>
        <x:v>0.7251432516803673</x:v>
      </x:c>
      <x:c r="F8" s="100" t="n">
        <x:f>1-F7/F6</x:f>
        <x:v>0.739507299270073</x:v>
      </x:c>
      <x:c r="G8" s="304" t="n">
        <x:f>1-G7/G6</x:f>
        <x:v>0.7452675536845792</x:v>
      </x:c>
      <x:c r="H8" s="304" t="n">
        <x:f>1-H7/H6</x:f>
        <x:v>0.7495641476836902</x:v>
      </x:c>
      <x:c r="I8" s="304" t="n">
        <x:f>1-I7/I6</x:f>
        <x:v>0.7537408699702637</x:v>
      </x:c>
      <x:c r="J8" s="304" t="n">
        <x:f>1-J7/J6</x:f>
        <x:v>0.7576555072191454</x:v>
      </x:c>
      <x:c r="K8" s="304" t="n">
        <x:f>1-K7/K6</x:f>
        <x:v>0.7615099902185296</x:v>
      </x:c>
      <x:c r="L8" s="304" t="n">
        <x:f>1-L7/L6</x:f>
        <x:v>0.7642247964223543</x:v>
      </x:c>
      <x:c r="M8" s="304" t="n">
        <x:f>1-M7/M6</x:f>
        <x:v>0.766180330593095</x:v>
      </x:c>
      <x:c r="N8" s="304" t="n">
        <x:f>1-N7/N6</x:f>
        <x:v>0.7683817661646529</x:v>
      </x:c>
      <x:c r="O8" s="304" t="n">
        <x:f>1-O7/O6</x:f>
        <x:v>0.7701775854838572</x:v>
      </x:c>
    </x:row>
    <x:row r="9">
      <x:c r="A9" t="str">
        <x:v>Employee costs</x:v>
      </x:c>
      <x:c r="B9" t="str">
        <x:v>INR mn</x:v>
      </x:c>
      <x:c r="C9" t="str">
        <x:v>Reported / Forecast</x:v>
      </x:c>
      <x:c r="D9" s="158" t="n">
        <x:v>4949.05</x:v>
      </x:c>
      <x:c r="E9" s="158" t="n">
        <x:v>5491.18</x:v>
      </x:c>
      <x:c r="F9" s="158" t="n">
        <x:v>6830</x:v>
      </x:c>
      <x:c r="G9" s="155" t="n">
        <x:f>'Supporting Schedules'!G105</x:f>
        <x:v>8694.769736842105</x:v>
      </x:c>
      <x:c r="H9" s="155" t="n">
        <x:f>'Supporting Schedules'!H105</x:f>
        <x:v>10337.115131578947</x:v>
      </x:c>
      <x:c r="I9" s="155" t="n">
        <x:f>'Supporting Schedules'!I105</x:f>
        <x:v>11999.840100493419</x:v>
      </x:c>
      <x:c r="J9" s="155" t="n">
        <x:f>'Supporting Schedules'!J105</x:f>
        <x:v>13653.396048286184</x:v>
      </x:c>
      <x:c r="K9" s="155" t="n">
        <x:f>'Supporting Schedules'!K105</x:f>
        <x:v>15338.481851168683</x:v>
      </x:c>
      <x:c r="L9" s="155" t="n">
        <x:f>'Supporting Schedules'!L105</x:f>
        <x:v>17017.30342926595</x:v>
      </x:c>
      <x:c r="M9" s="155" t="n">
        <x:f>'Supporting Schedules'!M105</x:f>
        <x:v>18779.325138636723</x:v>
      </x:c>
      <x:c r="N9" s="155" t="n">
        <x:f>'Supporting Schedules'!N105</x:f>
        <x:v>20527.840015914484</x:v>
      </x:c>
      <x:c r="O9" s="155" t="n">
        <x:f>'Supporting Schedules'!O105</x:f>
        <x:v>22343.541921547483</x:v>
      </x:c>
    </x:row>
    <x:row r="10">
      <x:c r="A10" t="str">
        <x:v>Other operating expenses, net of forex</x:v>
      </x:c>
      <x:c r="B10" t="str">
        <x:v>INR mn</x:v>
      </x:c>
      <x:c r="C10" t="str">
        <x:v>Reported / Forecast</x:v>
      </x:c>
      <x:c r="D10" s="158" t="n">
        <x:v>2244.28</x:v>
      </x:c>
      <x:c r="E10" s="158" t="n">
        <x:v>2546.88</x:v>
      </x:c>
      <x:c r="F10" s="158" t="n">
        <x:v>2770</x:v>
      </x:c>
      <x:c r="G10" s="155" t="n">
        <x:f>'Supporting Schedules'!G111</x:f>
        <x:v>3292.2393001468254</x:v>
      </x:c>
      <x:c r="H10" s="155" t="n">
        <x:f>'Supporting Schedules'!H111</x:f>
        <x:v>3906.1007806660195</x:v>
      </x:c>
      <x:c r="I10" s="155" t="n">
        <x:f>'Supporting Schedules'!I111</x:f>
        <x:v>4500.714001835091</x:v>
      </x:c>
      <x:c r="J10" s="155" t="n">
        <x:f>'Supporting Schedules'!J111</x:f>
        <x:v>5120.614232486704</x:v>
      </x:c>
      <x:c r="K10" s="155" t="n">
        <x:f>'Supporting Schedules'!K111</x:f>
        <x:v>5733.139277329774</x:v>
      </x:c>
      <x:c r="L10" s="155" t="n">
        <x:f>'Supporting Schedules'!L111</x:f>
        <x:v>6327.69012892526</x:v>
      </x:c>
      <x:c r="M10" s="155" t="n">
        <x:f>'Supporting Schedules'!M111</x:f>
        <x:v>6886.377423694364</x:v>
      </x:c>
      <x:c r="N10" s="155" t="n">
        <x:f>'Supporting Schedules'!N111</x:f>
        <x:v>7506.403886590318</x:v>
      </x:c>
      <x:c r="O10" s="155" t="n">
        <x:f>'Supporting Schedules'!O111</x:f>
        <x:v>8072.006936938067</x:v>
      </x:c>
    </x:row>
    <x:row r="11">
      <x:c r="A11" s="132" t="str">
        <x:v>EBITDA</x:v>
      </x:c>
      <x:c r="B11" s="132" t="str">
        <x:v>INR mn</x:v>
      </x:c>
      <x:c r="C11" s="132" t="str">
        <x:v>Calculated</x:v>
      </x:c>
      <x:c r="D11" s="159" t="n">
        <x:f>D6-D7-D9-D10</x:f>
        <x:v>3001.149999999999</x:v>
      </x:c>
      <x:c r="E11" s="159" t="n">
        <x:f>E6-E7-E9-E10</x:f>
        <x:v>4250.000000000001</x:v>
      </x:c>
      <x:c r="F11" s="159" t="n">
        <x:f>F6-F7-F9-F10</x:f>
        <x:v>6610</x:v>
      </x:c>
      <x:c r="G11" s="159" t="n">
        <x:f>G6-G7-G9-G10</x:f>
        <x:v>7641.783997928315</x:v>
      </x:c>
      <x:c r="H11" s="159" t="n">
        <x:f>H6-H7-H9-H10</x:f>
        <x:v>9560.630448946271</x:v>
      </x:c>
      <x:c r="I11" s="159" t="n">
        <x:f>I6-I7-I9-I10</x:f>
        <x:v>11535.578849989908</x:v>
      </x:c>
      <x:c r="J11" s="159" t="n">
        <x:f>J6-J7-J9-J10</x:f>
        <x:v>13556.502832462858</x:v>
      </x:c>
      <x:c r="K11" s="159" t="n">
        <x:f>K6-K7-K9-K10</x:f>
        <x:v>15616.133787475195</x:v>
      </x:c>
      <x:c r="L11" s="159" t="n">
        <x:f>L6-L7-L9-L10</x:f>
        <x:v>17636.173396060043</x:v>
      </x:c>
      <x:c r="M11" s="159" t="n">
        <x:f>M6-M7-M9-M10</x:f>
        <x:v>19430.083173352443</x:v>
      </x:c>
      <x:c r="N11" s="159" t="n">
        <x:f>N6-N7-N9-N10</x:f>
        <x:v>21263.054182311294</x:v>
      </x:c>
      <x:c r="O11" s="159" t="n">
        <x:f>O6-O7-O9-O10</x:f>
        <x:v>23178.234009617096</x:v>
      </x:c>
    </x:row>
    <x:row r="12">
      <x:c r="A12" t="str">
        <x:v>EBITDA margin</x:v>
      </x:c>
      <x:c r="B12" t="str">
        <x:v>%</x:v>
      </x:c>
      <x:c r="C12" t="str">
        <x:v>Calculated</x:v>
      </x:c>
      <x:c r="D12" s="100" t="n">
        <x:f>D11/D6</x:f>
        <x:v>0.20483176788076254</x:v>
      </x:c>
      <x:c r="E12" s="100" t="n">
        <x:f>E11/E6</x:f>
        <x:v>0.25080108818166263</x:v>
      </x:c>
      <x:c r="F12" s="100" t="n">
        <x:f>F11/F6</x:f>
        <x:v>0.30155109489051096</x:v>
      </x:c>
      <x:c r="G12" s="100" t="n">
        <x:f>G11/G6</x:f>
        <x:v>0.2901438542752463</x:v>
      </x:c>
      <x:c r="H12" s="100" t="n">
        <x:f>H11/H6</x:f>
        <x:v>0.3010566319847697</x:v>
      </x:c>
      <x:c r="I12" s="100" t="n">
        <x:f>I11/I6</x:f>
        <x:v>0.31012969059568385</x:v>
      </x:c>
      <x:c r="J12" s="100" t="n">
        <x:f>J11/J6</x:f>
        <x:v>0.31769242243923845</x:v>
      </x:c>
      <x:c r="K12" s="100" t="n">
        <x:f>K11/K6</x:f>
        <x:v>0.32413653860770425</x:v>
      </x:c>
      <x:c r="L12" s="100" t="n">
        <x:f>L11/L6</x:f>
        <x:v>0.3288828021495655</x:v>
      </x:c>
      <x:c r="M12" s="100" t="n">
        <x:f>M11/M6</x:f>
        <x:v>0.3301183759490572</x:v>
      </x:c>
      <x:c r="N12" s="100" t="n">
        <x:f>N11/N6</x:f>
        <x:v>0.3314206612003209</x:v>
      </x:c>
      <x:c r="O12" s="100" t="n">
        <x:f>O11/O6</x:f>
        <x:v>0.3330863273682308</x:v>
      </x:c>
    </x:row>
    <x:row r="13">
      <x:c r="A13" t="str">
        <x:v>Depreciation and amortisation</x:v>
      </x:c>
      <x:c r="B13" t="str">
        <x:v>INR mn</x:v>
      </x:c>
      <x:c r="C13" t="str">
        <x:v>Reported / Forecast</x:v>
      </x:c>
      <x:c r="D13" s="158" t="n">
        <x:v>1194.36</x:v>
      </x:c>
      <x:c r="E13" s="158" t="n">
        <x:v>1385.73</x:v>
      </x:c>
      <x:c r="F13" s="158" t="n">
        <x:v>1670</x:v>
      </x:c>
      <x:c r="G13" s="155" t="n">
        <x:f>'Supporting Schedules'!G46</x:f>
        <x:v>1527.4375</x:v>
      </x:c>
      <x:c r="H13" s="155" t="n">
        <x:f>'Supporting Schedules'!H46</x:f>
        <x:v>1961.9265625</x:v>
      </x:c>
      <x:c r="I13" s="155" t="n">
        <x:f>'Supporting Schedules'!I46</x:f>
        <x:v>2583.1828515624998</x:v>
      </x:c>
      <x:c r="J13" s="155" t="n">
        <x:f>'Supporting Schedules'!J46</x:f>
        <x:v>3077.9935908203124</x:v>
      </x:c>
      <x:c r="K13" s="155" t="n">
        <x:f>'Supporting Schedules'!K46</x:f>
        <x:v>3417.048106665039</x:v>
      </x:c>
      <x:c r="L13" s="155" t="n">
        <x:f>'Supporting Schedules'!L46</x:f>
        <x:v>3667.6731705401608</x:v>
      </x:c>
      <x:c r="M13" s="155" t="n">
        <x:f>'Supporting Schedules'!M46</x:f>
        <x:v>3871.949116343399</x:v>
      </x:c>
      <x:c r="N13" s="155" t="n">
        <x:f>'Supporting Schedules'!N46</x:f>
        <x:v>4091.177932617644</x:v>
      </x:c>
      <x:c r="O13" s="155" t="n">
        <x:f>'Supporting Schedules'!O46</x:f>
        <x:v>4334.83958767132</x:v>
      </x:c>
    </x:row>
    <x:row r="14">
      <x:c r="A14" s="132" t="str">
        <x:v>EBIT</x:v>
      </x:c>
      <x:c r="B14" s="132" t="str">
        <x:v>INR mn</x:v>
      </x:c>
      <x:c r="C14" s="132" t="str">
        <x:v>Calculated</x:v>
      </x:c>
      <x:c r="D14" s="159" t="n">
        <x:f>D11-D13</x:f>
        <x:v>1806.7899999999993</x:v>
      </x:c>
      <x:c r="E14" s="159" t="n">
        <x:f>E11-E13</x:f>
        <x:v>2864.270000000001</x:v>
      </x:c>
      <x:c r="F14" s="159" t="n">
        <x:f>F11-F13</x:f>
        <x:v>4940</x:v>
      </x:c>
      <x:c r="G14" s="159" t="n">
        <x:f>G11-G13</x:f>
        <x:v>6114.346497928315</x:v>
      </x:c>
      <x:c r="H14" s="159" t="n">
        <x:f>H11-H13</x:f>
        <x:v>7598.703886446271</x:v>
      </x:c>
      <x:c r="I14" s="159" t="n">
        <x:f>I11-I13</x:f>
        <x:v>8952.395998427408</x:v>
      </x:c>
      <x:c r="J14" s="159" t="n">
        <x:f>J11-J13</x:f>
        <x:v>10478.509241642547</x:v>
      </x:c>
      <x:c r="K14" s="159" t="n">
        <x:f>K11-K13</x:f>
        <x:v>12199.085680810156</x:v>
      </x:c>
      <x:c r="L14" s="159" t="n">
        <x:f>L11-L13</x:f>
        <x:v>13968.500225519881</x:v>
      </x:c>
      <x:c r="M14" s="159" t="n">
        <x:f>M11-M13</x:f>
        <x:v>15558.134057009043</x:v>
      </x:c>
      <x:c r="N14" s="159" t="n">
        <x:f>N11-N13</x:f>
        <x:v>17171.87624969365</x:v>
      </x:c>
      <x:c r="O14" s="159" t="n">
        <x:f>O11-O13</x:f>
        <x:v>18843.394421945777</x:v>
      </x:c>
    </x:row>
    <x:row r="15">
      <x:c r="A15" t="str">
        <x:v>Finance costs</x:v>
      </x:c>
      <x:c r="B15" t="str">
        <x:v>INR mn</x:v>
      </x:c>
      <x:c r="C15" t="str">
        <x:v>Reported / Forecast</x:v>
      </x:c>
      <x:c r="D15" s="158" t="n">
        <x:v>859.1</x:v>
      </x:c>
      <x:c r="E15" s="158" t="n">
        <x:v>761.64</x:v>
      </x:c>
      <x:c r="F15" s="158" t="n">
        <x:v>390</x:v>
      </x:c>
      <x:c r="G15" s="155" t="n">
        <x:f>'Supporting Schedules'!G62</x:f>
        <x:v>379.1</x:v>
      </x:c>
      <x:c r="H15" s="155" t="n">
        <x:f>'Supporting Schedules'!H62</x:f>
        <x:v>825.35</x:v>
      </x:c>
      <x:c r="I15" s="155" t="n">
        <x:f>'Supporting Schedules'!I62</x:f>
        <x:v>1016.6</x:v>
      </x:c>
      <x:c r="J15" s="155" t="n">
        <x:f>'Supporting Schedules'!J62</x:f>
        <x:v>995.35</x:v>
      </x:c>
      <x:c r="K15" s="155" t="n">
        <x:f>'Supporting Schedules'!K62</x:f>
        <x:v>867.85</x:v>
      </x:c>
      <x:c r="L15" s="155" t="n">
        <x:f>'Supporting Schedules'!L62</x:f>
        <x:v>740.35</x:v>
      </x:c>
      <x:c r="M15" s="155" t="n">
        <x:f>'Supporting Schedules'!M62</x:f>
        <x:v>634.1</x:v>
      </x:c>
      <x:c r="N15" s="155" t="n">
        <x:f>'Supporting Schedules'!N62</x:f>
        <x:v>549.1</x:v>
      </x:c>
      <x:c r="O15" s="155" t="n">
        <x:f>'Supporting Schedules'!O62</x:f>
        <x:v>464.1</x:v>
      </x:c>
    </x:row>
    <x:row r="16">
      <x:c r="A16" t="str">
        <x:v>Other income, excluding forex gains</x:v>
      </x:c>
      <x:c r="B16" t="str">
        <x:v>INR mn</x:v>
      </x:c>
      <x:c r="C16" t="str">
        <x:v>Reported / Forecast</x:v>
      </x:c>
      <x:c r="D16" s="158" t="n">
        <x:v>144.65</x:v>
      </x:c>
      <x:c r="E16" s="158" t="n">
        <x:v>174.4</x:v>
      </x:c>
      <x:c r="F16" s="158" t="n">
        <x:v>190</x:v>
      </x:c>
      <x:c r="G16" s="155" t="n">
        <x:f>'Supporting Schedules'!G66</x:f>
        <x:v>102.6258288023492</x:v>
      </x:c>
      <x:c r="H16" s="155" t="n">
        <x:f>'Supporting Schedules'!H66</x:f>
        <x:v>126.77732876728663</x:v>
      </x:c>
      <x:c r="I16" s="155" t="n">
        <x:f>'Supporting Schedules'!I66</x:f>
        <x:v>187.6278217552254</x:v>
      </x:c>
      <x:c r="J16" s="155" t="n">
        <x:f>'Supporting Schedules'!J66</x:f>
        <x:v>249.53679688141926</x:v>
      </x:c>
      <x:c r="K16" s="155" t="n">
        <x:f>'Supporting Schedules'!K66</x:f>
        <x:v>312.00268262138496</x:v>
      </x:c>
      <x:c r="L16" s="155" t="n">
        <x:f>'Supporting Schedules'!L66</x:f>
        <x:v>482.26316579270065</x:v>
      </x:c>
      <x:c r="M16" s="155" t="n">
        <x:f>'Supporting Schedules'!M66</x:f>
        <x:v>723.8284649502075</x:v>
      </x:c>
      <x:c r="N16" s="155" t="n">
        <x:f>'Supporting Schedules'!N66</x:f>
        <x:v>1048.2024471340721</x:v>
      </x:c>
      <x:c r="O16" s="155" t="n">
        <x:f>'Supporting Schedules'!O66</x:f>
        <x:v>1424.3676009799253</x:v>
      </x:c>
    </x:row>
    <x:row r="17">
      <x:c r="A17" t="str">
        <x:v>Profit before tax and exceptional items</x:v>
      </x:c>
      <x:c r="B17" t="str">
        <x:v>INR mn</x:v>
      </x:c>
      <x:c r="C17" t="str">
        <x:v>Calculated</x:v>
      </x:c>
      <x:c r="D17" s="112" t="n">
        <x:f>D14+D16-D15</x:f>
        <x:v>1092.3399999999992</x:v>
      </x:c>
      <x:c r="E17" s="112" t="n">
        <x:f>E14+E16-E15</x:f>
        <x:v>2277.030000000001</x:v>
      </x:c>
      <x:c r="F17" s="112" t="n">
        <x:f>F14+F16-F15</x:f>
        <x:v>4740</x:v>
      </x:c>
      <x:c r="G17" s="112" t="n">
        <x:f>G14+G16-G15</x:f>
        <x:v>5837.872326730664</x:v>
      </x:c>
      <x:c r="H17" s="112" t="n">
        <x:f>H14+H16-H15</x:f>
        <x:v>6900.131215213557</x:v>
      </x:c>
      <x:c r="I17" s="112" t="n">
        <x:f>I14+I16-I15</x:f>
        <x:v>8123.423820182634</x:v>
      </x:c>
      <x:c r="J17" s="112" t="n">
        <x:f>J14+J16-J15</x:f>
        <x:v>9732.696038523965</x:v>
      </x:c>
      <x:c r="K17" s="112" t="n">
        <x:f>K14+K16-K15</x:f>
        <x:v>11643.238363431541</x:v>
      </x:c>
      <x:c r="L17" s="112" t="n">
        <x:f>L14+L16-L15</x:f>
        <x:v>13710.413391312582</x:v>
      </x:c>
      <x:c r="M17" s="112" t="n">
        <x:f>M14+M16-M15</x:f>
        <x:v>15647.86252195925</x:v>
      </x:c>
      <x:c r="N17" s="112" t="n">
        <x:f>N14+N16-N15</x:f>
        <x:v>17670.978696827726</x:v>
      </x:c>
      <x:c r="O17" s="112" t="n">
        <x:f>O14+O16-O15</x:f>
        <x:v>19803.662022925702</x:v>
      </x:c>
    </x:row>
    <x:row r="18">
      <x:c r="A18" t="str">
        <x:v>Exceptional items</x:v>
      </x:c>
      <x:c r="B18" t="str">
        <x:v>INR mn</x:v>
      </x:c>
      <x:c r="C18" t="str">
        <x:v>Reported / Forecast</x:v>
      </x:c>
      <x:c r="D18" s="158" t="n">
        <x:v>0</x:v>
      </x:c>
      <x:c r="E18" s="158" t="n">
        <x:v>0</x:v>
      </x:c>
      <x:c r="F18" s="158" t="n">
        <x:v>-80</x:v>
      </x:c>
      <x:c r="G18" s="112" t="n">
        <x:v>0</x:v>
      </x:c>
      <x:c r="H18" s="112" t="n">
        <x:v>0</x:v>
      </x:c>
      <x:c r="I18" s="112" t="n">
        <x:v>0</x:v>
      </x:c>
      <x:c r="J18" s="112" t="n">
        <x:v>0</x:v>
      </x:c>
      <x:c r="K18" s="112" t="n">
        <x:v>0</x:v>
      </x:c>
      <x:c r="L18" s="112" t="n">
        <x:v>0</x:v>
      </x:c>
      <x:c r="M18" s="112" t="n">
        <x:v>0</x:v>
      </x:c>
      <x:c r="N18" s="112" t="n">
        <x:v>0</x:v>
      </x:c>
      <x:c r="O18" s="112" t="n">
        <x:v>0</x:v>
      </x:c>
    </x:row>
    <x:row r="19">
      <x:c r="A19" s="132" t="str">
        <x:v>Profit before tax</x:v>
      </x:c>
      <x:c r="B19" s="132" t="str">
        <x:v>INR mn</x:v>
      </x:c>
      <x:c r="C19" s="132" t="str">
        <x:v>Calculated</x:v>
      </x:c>
      <x:c r="D19" s="159" t="n">
        <x:f>D17+D18</x:f>
        <x:v>1092.3399999999992</x:v>
      </x:c>
      <x:c r="E19" s="159" t="n">
        <x:f>E17+E18</x:f>
        <x:v>2277.030000000001</x:v>
      </x:c>
      <x:c r="F19" s="159" t="n">
        <x:f>F17+F18</x:f>
        <x:v>4660</x:v>
      </x:c>
      <x:c r="G19" s="159" t="n">
        <x:f>G17+G18</x:f>
        <x:v>5837.872326730664</x:v>
      </x:c>
      <x:c r="H19" s="159" t="n">
        <x:f>H17+H18</x:f>
        <x:v>6900.131215213557</x:v>
      </x:c>
      <x:c r="I19" s="159" t="n">
        <x:f>I17+I18</x:f>
        <x:v>8123.423820182634</x:v>
      </x:c>
      <x:c r="J19" s="159" t="n">
        <x:f>J17+J18</x:f>
        <x:v>9732.696038523965</x:v>
      </x:c>
      <x:c r="K19" s="159" t="n">
        <x:f>K17+K18</x:f>
        <x:v>11643.238363431541</x:v>
      </x:c>
      <x:c r="L19" s="159" t="n">
        <x:f>L17+L18</x:f>
        <x:v>13710.413391312582</x:v>
      </x:c>
      <x:c r="M19" s="159" t="n">
        <x:f>M17+M18</x:f>
        <x:v>15647.86252195925</x:v>
      </x:c>
      <x:c r="N19" s="159" t="n">
        <x:f>N17+N18</x:f>
        <x:v>17670.978696827726</x:v>
      </x:c>
      <x:c r="O19" s="159" t="n">
        <x:f>O17+O18</x:f>
        <x:v>19803.662022925702</x:v>
      </x:c>
    </x:row>
    <x:row r="20">
      <x:c r="A20" t="str">
        <x:v>Current tax</x:v>
      </x:c>
      <x:c r="B20" t="str">
        <x:v>INR mn</x:v>
      </x:c>
      <x:c r="C20" t="str">
        <x:v>Reported / Forecast</x:v>
      </x:c>
      <x:c r="D20" s="158" t="n">
        <x:v>77.57</x:v>
      </x:c>
      <x:c r="E20" s="158" t="n">
        <x:v>338.44</x:v>
      </x:c>
      <x:c r="F20" s="158" t="n">
        <x:v>936</x:v>
      </x:c>
      <x:c r="G20" s="155" t="n">
        <x:f>'Supporting Schedules'!G75</x:f>
        <x:v>1167.574465346133</x:v>
      </x:c>
      <x:c r="H20" s="155" t="n">
        <x:f>'Supporting Schedules'!H75</x:f>
        <x:v>1380.0262430427115</x:v>
      </x:c>
      <x:c r="I20" s="155" t="n">
        <x:f>'Supporting Schedules'!I75</x:f>
        <x:v>1624.6847640365268</x:v>
      </x:c>
      <x:c r="J20" s="155" t="n">
        <x:f>'Supporting Schedules'!J75</x:f>
        <x:v>1946.5392077047932</x:v>
      </x:c>
      <x:c r="K20" s="155" t="n">
        <x:f>'Supporting Schedules'!K75</x:f>
        <x:v>2328.6476726863084</x:v>
      </x:c>
      <x:c r="L20" s="155" t="n">
        <x:f>'Supporting Schedules'!L75</x:f>
        <x:v>2742.0826782625168</x:v>
      </x:c>
      <x:c r="M20" s="155" t="n">
        <x:f>'Supporting Schedules'!M75</x:f>
        <x:v>3129.57250439185</x:v>
      </x:c>
      <x:c r="N20" s="155" t="n">
        <x:f>'Supporting Schedules'!N75</x:f>
        <x:v>3534.1957393655453</x:v>
      </x:c>
      <x:c r="O20" s="155" t="n">
        <x:f>'Supporting Schedules'!O75</x:f>
        <x:v>3960.7324045851406</x:v>
      </x:c>
    </x:row>
    <x:row r="21">
      <x:c r="A21" t="str">
        <x:v>Deferred tax</x:v>
      </x:c>
      <x:c r="B21" t="str">
        <x:v>INR mn</x:v>
      </x:c>
      <x:c r="C21" t="str">
        <x:v>Reported / Forecast</x:v>
      </x:c>
      <x:c r="D21" s="158" t="n">
        <x:v>186.68</x:v>
      </x:c>
      <x:c r="E21" s="158" t="n">
        <x:v>237.27</x:v>
      </x:c>
      <x:c r="F21" s="158" t="n">
        <x:v>234</x:v>
      </x:c>
      <x:c r="G21" s="305" t="n">
        <x:f>'Supporting Schedules'!G76</x:f>
        <x:v>291.8936163365332</x:v>
      </x:c>
      <x:c r="H21" s="305" t="n">
        <x:f>'Supporting Schedules'!H76</x:f>
        <x:v>345.00656076067787</x:v>
      </x:c>
      <x:c r="I21" s="305" t="n">
        <x:f>'Supporting Schedules'!I76</x:f>
        <x:v>406.1711910091317</x:v>
      </x:c>
      <x:c r="J21" s="305" t="n">
        <x:f>'Supporting Schedules'!J76</x:f>
        <x:v>486.6348019261983</x:v>
      </x:c>
      <x:c r="K21" s="305" t="n">
        <x:f>'Supporting Schedules'!K76</x:f>
        <x:v>582.1619181715771</x:v>
      </x:c>
      <x:c r="L21" s="305" t="n">
        <x:f>'Supporting Schedules'!L76</x:f>
        <x:v>685.5206695656292</x:v>
      </x:c>
      <x:c r="M21" s="305" t="n">
        <x:f>'Supporting Schedules'!M76</x:f>
        <x:v>782.3931260979625</x:v>
      </x:c>
      <x:c r="N21" s="305" t="n">
        <x:f>'Supporting Schedules'!N76</x:f>
        <x:v>883.5489348413863</x:v>
      </x:c>
      <x:c r="O21" s="305" t="n">
        <x:f>'Supporting Schedules'!O76</x:f>
        <x:v>990.1831011462851</x:v>
      </x:c>
    </x:row>
    <x:row r="22">
      <x:c r="A22" t="str">
        <x:v>Total tax expense</x:v>
      </x:c>
      <x:c r="B22" t="str">
        <x:v>INR mn</x:v>
      </x:c>
      <x:c r="C22" t="str">
        <x:v>Calculated</x:v>
      </x:c>
      <x:c r="D22" s="112" t="n">
        <x:f>SUM(D20:D21)</x:f>
        <x:v>264.25</x:v>
      </x:c>
      <x:c r="E22" s="112" t="n">
        <x:f>SUM(E20:E21)</x:f>
        <x:v>575.71</x:v>
      </x:c>
      <x:c r="F22" s="112" t="n">
        <x:f>SUM(F20:F21)</x:f>
        <x:v>1170</x:v>
      </x:c>
      <x:c r="G22" s="112" t="n">
        <x:f>SUM(G20:G21)</x:f>
        <x:v>1459.4680816826663</x:v>
      </x:c>
      <x:c r="H22" s="112" t="n">
        <x:f>SUM(H20:H21)</x:f>
        <x:v>1725.0328038033895</x:v>
      </x:c>
      <x:c r="I22" s="112" t="n">
        <x:f>SUM(I20:I21)</x:f>
        <x:v>2030.8559550456584</x:v>
      </x:c>
      <x:c r="J22" s="112" t="n">
        <x:f>SUM(J20:J21)</x:f>
        <x:v>2433.1740096309913</x:v>
      </x:c>
      <x:c r="K22" s="112" t="n">
        <x:f>SUM(K20:K21)</x:f>
        <x:v>2910.8095908578853</x:v>
      </x:c>
      <x:c r="L22" s="112" t="n">
        <x:f>SUM(L20:L21)</x:f>
        <x:v>3427.603347828146</x:v>
      </x:c>
      <x:c r="M22" s="112" t="n">
        <x:f>SUM(M20:M21)</x:f>
        <x:v>3911.9656304898126</x:v>
      </x:c>
      <x:c r="N22" s="112" t="n">
        <x:f>SUM(N20:N21)</x:f>
        <x:v>4417.744674206931</x:v>
      </x:c>
      <x:c r="O22" s="112" t="n">
        <x:f>SUM(O20:O21)</x:f>
        <x:v>4950.915505731426</x:v>
      </x:c>
    </x:row>
    <x:row r="23">
      <x:c r="A23" s="132" t="str">
        <x:v>Profit after tax</x:v>
      </x:c>
      <x:c r="B23" s="132" t="str">
        <x:v>INR mn</x:v>
      </x:c>
      <x:c r="C23" s="132" t="str">
        <x:v>Calculated</x:v>
      </x:c>
      <x:c r="D23" s="159" t="n">
        <x:f>D19-D22</x:f>
        <x:v>828.0899999999992</x:v>
      </x:c>
      <x:c r="E23" s="159" t="n">
        <x:f>E19-E22</x:f>
        <x:v>1701.320000000001</x:v>
      </x:c>
      <x:c r="F23" s="159" t="n">
        <x:f>F19-F22</x:f>
        <x:v>3490</x:v>
      </x:c>
      <x:c r="G23" s="159" t="n">
        <x:f>G19-G22</x:f>
        <x:v>4378.404245047997</x:v>
      </x:c>
      <x:c r="H23" s="159" t="n">
        <x:f>H19-H22</x:f>
        <x:v>5175.0984114101675</x:v>
      </x:c>
      <x:c r="I23" s="159" t="n">
        <x:f>I19-I22</x:f>
        <x:v>6092.567865136975</x:v>
      </x:c>
      <x:c r="J23" s="159" t="n">
        <x:f>J19-J22</x:f>
        <x:v>7299.522028892974</x:v>
      </x:c>
      <x:c r="K23" s="159" t="n">
        <x:f>K19-K22</x:f>
        <x:v>8732.428772573656</x:v>
      </x:c>
      <x:c r="L23" s="159" t="n">
        <x:f>L19-L22</x:f>
        <x:v>10282.810043484436</x:v>
      </x:c>
      <x:c r="M23" s="159" t="n">
        <x:f>M19-M22</x:f>
        <x:v>11735.896891469438</x:v>
      </x:c>
      <x:c r="N23" s="159" t="n">
        <x:f>N19-N22</x:f>
        <x:v>13253.234022620794</x:v>
      </x:c>
      <x:c r="O23" s="159" t="n">
        <x:f>O19-O22</x:f>
        <x:v>14852.746517194277</x:v>
      </x:c>
    </x:row>
    <x:row r="24">
      <x:c r="A24" t="str">
        <x:v>PAT margin</x:v>
      </x:c>
      <x:c r="B24" t="str">
        <x:v>%</x:v>
      </x:c>
      <x:c r="C24" t="str">
        <x:v>Calculated</x:v>
      </x:c>
      <x:c r="D24" s="100" t="n">
        <x:f>D23/D6</x:f>
        <x:v>0.05651804763653284</x:v>
      </x:c>
      <x:c r="E24" s="100" t="n">
        <x:f>E23/E6</x:f>
        <x:v>0.10039833114005328</x:v>
      </x:c>
      <x:c r="F24" s="100" t="n">
        <x:f>F23/F6</x:f>
        <x:v>0.15921532846715328</x:v>
      </x:c>
      <x:c r="G24" s="100" t="n">
        <x:f>G23/G6</x:f>
        <x:v>0.16623959582968087</x:v>
      </x:c>
      <x:c r="H24" s="100" t="n">
        <x:f>H23/H6</x:f>
        <x:v>0.16295972386429727</x:v>
      </x:c>
      <x:c r="I24" s="100" t="n">
        <x:f>I23/I6</x:f>
        <x:v>0.16379639127947093</x:v>
      </x:c>
      <x:c r="J24" s="100" t="n">
        <x:f>J23/J6</x:f>
        <x:v>0.17106202570580603</x:v>
      </x:c>
      <x:c r="K24" s="100" t="n">
        <x:f>K23/K6</x:f>
        <x:v>0.18125480189280457</x:v>
      </x:c>
      <x:c r="L24" s="100" t="n">
        <x:f>L23/L6</x:f>
        <x:v>0.19175584777525304</x:v>
      </x:c>
      <x:c r="M24" s="100" t="n">
        <x:f>M23/M6</x:f>
        <x:v>0.19939365094591222</x:v>
      </x:c>
      <x:c r="N24" s="100" t="n">
        <x:f>N23/N6</x:f>
        <x:v>0.20657406716639984</x:v>
      </x:c>
      <x:c r="O24" s="100" t="n">
        <x:f>O23/O6</x:f>
        <x:v>0.21344364659925408</x:v>
      </x:c>
    </x:row>
    <x:row r="25">
      <x:c r="A25" t="str">
        <x:v>Diluted weighted-average shares</x:v>
      </x:c>
      <x:c r="B25" t="str">
        <x:v>million</x:v>
      </x:c>
      <x:c r="C25" t="str">
        <x:v>Reported / Forecast</x:v>
      </x:c>
      <x:c r="D25" s="158" t="n">
        <x:v>182.8</x:v>
      </x:c>
      <x:c r="E25" s="158" t="n">
        <x:v>197.6</x:v>
      </x:c>
      <x:c r="F25" s="158" t="n">
        <x:v>209</x:v>
      </x:c>
      <x:c r="G25" s="155" t="n">
        <x:f>'Supporting Schedules'!G96</x:f>
        <x:v>210.045</x:v>
      </x:c>
      <x:c r="H25" s="155" t="n">
        <x:f>'Supporting Schedules'!H96</x:f>
        <x:v>211.09522499999997</x:v>
      </x:c>
      <x:c r="I25" s="155" t="n">
        <x:f>'Supporting Schedules'!I96</x:f>
        <x:v>212.15070112499996</x:v>
      </x:c>
      <x:c r="J25" s="155" t="n">
        <x:f>'Supporting Schedules'!J96</x:f>
        <x:v>213.21145463062493</x:v>
      </x:c>
      <x:c r="K25" s="155" t="n">
        <x:f>'Supporting Schedules'!K96</x:f>
        <x:v>214.27751190377802</x:v>
      </x:c>
      <x:c r="L25" s="155" t="n">
        <x:f>'Supporting Schedules'!L96</x:f>
        <x:v>215.34889946329687</x:v>
      </x:c>
      <x:c r="M25" s="155" t="n">
        <x:f>'Supporting Schedules'!M96</x:f>
        <x:v>216.42564396061334</x:v>
      </x:c>
      <x:c r="N25" s="155" t="n">
        <x:f>'Supporting Schedules'!N96</x:f>
        <x:v>217.5077721804164</x:v>
      </x:c>
      <x:c r="O25" s="155" t="n">
        <x:f>'Supporting Schedules'!O96</x:f>
        <x:v>218.59531104131847</x:v>
      </x:c>
    </x:row>
    <x:row r="26">
      <x:c r="A26" t="str">
        <x:v>Diluted EPS</x:v>
      </x:c>
      <x:c r="B26" t="str">
        <x:v>INR/share</x:v>
      </x:c>
      <x:c r="C26" t="str">
        <x:v>Calculated</x:v>
      </x:c>
      <x:c r="D26" s="102" t="n">
        <x:f>D23/D25</x:f>
        <x:v>4.530032822757107</x:v>
      </x:c>
      <x:c r="E26" s="102" t="n">
        <x:f>E23/E25</x:f>
        <x:v>8.609919028340087</x:v>
      </x:c>
      <x:c r="F26" s="102" t="n">
        <x:f>F23/F25</x:f>
        <x:v>16.698564593301434</x:v>
      </x:c>
      <x:c r="G26" s="102" t="n">
        <x:f>G23/G25</x:f>
        <x:v>20.845077221776275</x:v>
      </x:c>
      <x:c r="H26" s="102" t="n">
        <x:f>H23/H25</x:f>
        <x:v>24.515468843078608</x:v>
      </x:c>
      <x:c r="I26" s="102" t="n">
        <x:f>I23/I25</x:f>
        <x:v>28.718113269619657</x:v>
      </x:c>
      <x:c r="J26" s="102" t="n">
        <x:f>J23/J25</x:f>
        <x:v>34.2360687962986</x:v>
      </x:c>
      <x:c r="K26" s="102" t="n">
        <x:f>K23/K25</x:f>
        <x:v>40.752894202425594</x:v>
      </x:c>
      <x:c r="L26" s="102" t="n">
        <x:f>L23/L25</x:f>
        <x:v>47.74953607430436</x:v>
      </x:c>
      <x:c r="M26" s="102" t="n">
        <x:f>M23/M25</x:f>
        <x:v>54.22599963988195</x:v>
      </x:c>
      <x:c r="N26" s="102" t="n">
        <x:f>N23/N25</x:f>
        <x:v>60.93223193710807</x:v>
      </x:c>
      <x:c r="O26" s="102" t="n">
        <x:f>O23/O25</x:f>
        <x:v>67.94631799941418</x:v>
      </x:c>
    </x:row>
    <x:row r="27">
      <x:c r="D27" s="112"/>
      <x:c r="E27" s="112"/>
      <x:c r="F27" s="112"/>
      <x:c r="G27" s="112"/>
      <x:c r="H27" s="112"/>
      <x:c r="I27" s="112"/>
      <x:c r="J27" s="112"/>
      <x:c r="K27" s="112"/>
      <x:c r="L27" s="112"/>
      <x:c r="M27" s="112"/>
      <x:c r="N27" s="112"/>
      <x:c r="O27" s="112"/>
    </x:row>
    <x:row r="28">
      <x:c r="D28" s="112"/>
      <x:c r="E28" s="112"/>
      <x:c r="F28" s="112"/>
      <x:c r="G28" s="112"/>
      <x:c r="H28" s="112"/>
      <x:c r="I28" s="112"/>
      <x:c r="J28" s="112"/>
      <x:c r="K28" s="112"/>
      <x:c r="L28" s="112"/>
      <x:c r="M28" s="112"/>
      <x:c r="N28" s="112"/>
      <x:c r="O28" s="112"/>
    </x:row>
    <x:row r="29">
      <x:c r="D29" s="112"/>
      <x:c r="E29" s="112"/>
      <x:c r="F29" s="112"/>
      <x:c r="G29" s="112"/>
      <x:c r="H29" s="112"/>
      <x:c r="I29" s="112"/>
      <x:c r="J29" s="112"/>
      <x:c r="K29" s="112"/>
      <x:c r="L29" s="112"/>
      <x:c r="M29" s="112"/>
      <x:c r="N29" s="112"/>
      <x:c r="O29" s="112"/>
    </x:row>
    <x:row r="30">
      <x:c r="A30" s="17" t="str">
        <x:v>Balance Sheet</x:v>
      </x:c>
      <x:c r="B30" s="17"/>
      <x:c r="C30" s="17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>
      <x:c r="A31" t="str">
        <x:v>Net PP&amp;E incl. right-of-use assets</x:v>
      </x:c>
      <x:c r="B31" t="str">
        <x:v>INR mn</x:v>
      </x:c>
      <x:c r="C31" t="str">
        <x:v>Reported / Forecast</x:v>
      </x:c>
      <x:c r="D31" s="158" t="n">
        <x:v>11660.68</x:v>
      </x:c>
      <x:c r="E31" s="158" t="n">
        <x:v>14773.56</x:v>
      </x:c>
      <x:c r="F31" s="158" t="n">
        <x:v>18080</x:v>
      </x:c>
      <x:c r="G31" s="155" t="n">
        <x:f>'Supporting Schedules'!G47</x:f>
        <x:v>20867.5625</x:v>
      </x:c>
      <x:c r="H31" s="155" t="n">
        <x:f>'Supporting Schedules'!H47</x:f>
        <x:v>29231.8859375</x:v>
      </x:c>
      <x:c r="I31" s="155" t="n">
        <x:f>'Supporting Schedules'!I47</x:f>
        <x:v>36813.1405859375</x:v>
      </x:c>
      <x:c r="J31" s="155" t="n">
        <x:f>'Supporting Schedules'!J47</x:f>
        <x:v>41932.02824511719</x:v>
      </x:c>
      <x:c r="K31" s="155" t="n">
        <x:f>'Supporting Schedules'!K47</x:f>
        <x:v>45515.539825952146</x:v>
      </x:c>
      <x:c r="L31" s="155" t="n">
        <x:f>'Supporting Schedules'!L47</x:f>
        <x:v>48364.73821791199</x:v>
      </x:c>
      <x:c r="M31" s="155" t="n">
        <x:f>'Supporting Schedules'!M47</x:f>
        <x:v>51015.28910156859</x:v>
      </x:c>
      <x:c r="N31" s="155" t="n">
        <x:f>'Supporting Schedules'!N47</x:f>
        <x:v>53991.61116895094</x:v>
      </x:c>
      <x:c r="O31" s="155" t="n">
        <x:f>'Supporting Schedules'!O47</x:f>
        <x:v>57269.27158127962</x:v>
      </x:c>
    </x:row>
    <x:row r="32">
      <x:c r="A32" t="str">
        <x:v>Capital work-in-progress</x:v>
      </x:c>
      <x:c r="B32" t="str">
        <x:v>INR mn</x:v>
      </x:c>
      <x:c r="C32" t="str">
        <x:v>Reported / Forecast</x:v>
      </x:c>
      <x:c r="D32" s="158" t="n">
        <x:v>1068.95</x:v>
      </x:c>
      <x:c r="E32" s="158" t="n">
        <x:v>1244.56</x:v>
      </x:c>
      <x:c r="F32" s="158" t="n">
        <x:v>2700</x:v>
      </x:c>
      <x:c r="G32" s="155" t="n">
        <x:f>'Supporting Schedules'!G42</x:f>
        <x:v>10395</x:v>
      </x:c>
      <x:c r="H32" s="155" t="n">
        <x:f>'Supporting Schedules'!H42</x:f>
        <x:v>9078.75</x:v>
      </x:c>
      <x:c r="I32" s="155" t="n">
        <x:f>'Supporting Schedules'!I42</x:f>
        <x:v>6424.3125</x:v>
      </x:c>
      <x:c r="J32" s="155" t="n">
        <x:f>'Supporting Schedules'!J42</x:f>
        <x:v>4737.43125</x:v>
      </x:c>
      <x:c r="K32" s="155" t="n">
        <x:f>'Supporting Schedules'!K42</x:f>
        <x:v>3746.8715625000004</x:v>
      </x:c>
      <x:c r="L32" s="155" t="n">
        <x:f>'Supporting Schedules'!L42</x:f>
        <x:v>3240</x:v>
      </x:c>
      <x:c r="M32" s="155" t="n">
        <x:f>'Supporting Schedules'!M42</x:f>
        <x:v>3217.5</x:v>
      </x:c>
      <x:c r="N32" s="155" t="n">
        <x:f>'Supporting Schedules'!N42</x:f>
        <x:v>3150</x:v>
      </x:c>
      <x:c r="O32" s="155" t="n">
        <x:f>'Supporting Schedules'!O42</x:f>
        <x:v>3037.5</x:v>
      </x:c>
    </x:row>
    <x:row r="33">
      <x:c r="A33" t="str">
        <x:v>Intangible assets</x:v>
      </x:c>
      <x:c r="B33" t="str">
        <x:v>INR mn</x:v>
      </x:c>
      <x:c r="C33" t="str">
        <x:v>Reported / Forecast</x:v>
      </x:c>
      <x:c r="D33" s="158" t="n">
        <x:v>137.73</x:v>
      </x:c>
      <x:c r="E33" s="158" t="n">
        <x:v>108.56</x:v>
      </x:c>
      <x:c r="F33" s="158" t="n">
        <x:v>60</x:v>
      </x:c>
      <x:c r="G33" s="155" t="n">
        <x:f>'Supporting Schedules'!G49</x:f>
        <x:v>50</x:v>
      </x:c>
      <x:c r="H33" s="155" t="n">
        <x:f>'Supporting Schedules'!H49</x:f>
        <x:v>40</x:v>
      </x:c>
      <x:c r="I33" s="155" t="n">
        <x:f>'Supporting Schedules'!I49</x:f>
        <x:v>30</x:v>
      </x:c>
      <x:c r="J33" s="155" t="n">
        <x:f>'Supporting Schedules'!J49</x:f>
        <x:v>20</x:v>
      </x:c>
      <x:c r="K33" s="155" t="n">
        <x:f>'Supporting Schedules'!K49</x:f>
        <x:v>10</x:v>
      </x:c>
      <x:c r="L33" s="155" t="n">
        <x:f>'Supporting Schedules'!L49</x:f>
        <x:v>0</x:v>
      </x:c>
      <x:c r="M33" s="155" t="n">
        <x:f>'Supporting Schedules'!M49</x:f>
        <x:v>0</x:v>
      </x:c>
      <x:c r="N33" s="155" t="n">
        <x:f>'Supporting Schedules'!N49</x:f>
        <x:v>0</x:v>
      </x:c>
      <x:c r="O33" s="155" t="n">
        <x:f>'Supporting Schedules'!O49</x:f>
        <x:v>0</x:v>
      </x:c>
    </x:row>
    <x:row r="34">
      <x:c r="A34" t="str">
        <x:v>Other non-current assets</x:v>
      </x:c>
      <x:c r="B34" t="str">
        <x:v>INR mn</x:v>
      </x:c>
      <x:c r="C34" t="str">
        <x:v>Reported / Forecast</x:v>
      </x:c>
      <x:c r="D34" s="158" t="n">
        <x:v>432.86</x:v>
      </x:c>
      <x:c r="E34" s="158" t="n">
        <x:v>427.96</x:v>
      </x:c>
      <x:c r="F34" s="158" t="n">
        <x:v>1310</x:v>
      </x:c>
      <x:c r="G34" s="155" t="n">
        <x:f>'Supporting Schedules'!G25</x:f>
        <x:v>1448.5852920646032</x:v>
      </x:c>
      <x:c r="H34" s="155" t="n">
        <x:f>'Supporting Schedules'!H25</x:f>
        <x:v>1651.3596796311626</x:v>
      </x:c>
      <x:c r="I34" s="155" t="n">
        <x:f>'Supporting Schedules'!I25</x:f>
        <x:v>1859.7991743120213</x:v>
      </x:c>
      <x:c r="J34" s="155" t="n">
        <x:f>'Supporting Schedules'!J25</x:f>
        <x:v>2048.245692994682</x:v>
      </x:c>
      <x:c r="K34" s="155" t="n">
        <x:f>'Supporting Schedules'!K25</x:f>
        <x:v>2216.1714853543667</x:v>
      </x:c>
      <x:c r="L34" s="155" t="n">
        <x:f>'Supporting Schedules'!L25</x:f>
        <x:v>2413.1021678104808</x:v>
      </x:c>
      <x:c r="M34" s="155" t="n">
        <x:f>'Supporting Schedules'!M25</x:f>
        <x:v>2589.7487747226664</x:v>
      </x:c>
      <x:c r="N34" s="155" t="n">
        <x:f>'Supporting Schedules'!N25</x:f>
        <x:v>2758.7638215673815</x:v>
      </x:c>
      <x:c r="O34" s="155" t="n">
        <x:f>'Supporting Schedules'!O25</x:f>
        <x:v>2922.623201305162</x:v>
      </x:c>
    </x:row>
    <x:row r="35">
      <x:c r="A35" t="str">
        <x:v>Inventory</x:v>
      </x:c>
      <x:c r="B35" t="str">
        <x:v>INR mn</x:v>
      </x:c>
      <x:c r="C35" t="str">
        <x:v>Reported / Forecast</x:v>
      </x:c>
      <x:c r="D35" s="158" t="n">
        <x:v>874.43</x:v>
      </x:c>
      <x:c r="E35" s="158" t="n">
        <x:v>1188.65</x:v>
      </x:c>
      <x:c r="F35" s="158" t="n">
        <x:v>1510</x:v>
      </x:c>
      <x:c r="G35" s="155" t="n">
        <x:f>'Supporting Schedules'!G8</x:f>
        <x:v>1838.1154428102348</x:v>
      </x:c>
      <x:c r="H35" s="155" t="n">
        <x:f>'Supporting Schedules'!H8</x:f>
        <x:v>2135.344970875839</x:v>
      </x:c>
      <x:c r="I35" s="155" t="n">
        <x:f>'Supporting Schedules'!I8</x:f>
        <x:v>2409.166167826062</x:v>
      </x:c>
      <x:c r="J35" s="155" t="n">
        <x:f>'Supporting Schedules'!J8</x:f>
        <x:v>2663.2317337089275</x:v>
      </x:c>
      <x:c r="K35" s="155" t="n">
        <x:f>'Supporting Schedules'!K8</x:f>
        <x:v>2927.5600123538316</x:v>
      </x:c>
      <x:c r="L35" s="155" t="n">
        <x:f>'Supporting Schedules'!L8</x:f>
        <x:v>3186.810852235253</x:v>
      </x:c>
      <x:c r="M35" s="155" t="n">
        <x:f>'Supporting Schedules'!M8</x:f>
        <x:v>3431.109116692765</x:v>
      </x:c>
      <x:c r="N35" s="155" t="n">
        <x:f>'Supporting Schedules'!N8</x:f>
        <x:v>3664.109611521252</x:v>
      </x:c>
      <x:c r="O35" s="155" t="n">
        <x:f>'Supporting Schedules'!O8</x:f>
        <x:v>3943.352177171338</x:v>
      </x:c>
    </x:row>
    <x:row r="36">
      <x:c r="A36" t="str">
        <x:v>Trade receivables</x:v>
      </x:c>
      <x:c r="B36" t="str">
        <x:v>INR mn</x:v>
      </x:c>
      <x:c r="C36" t="str">
        <x:v>Reported / Forecast</x:v>
      </x:c>
      <x:c r="D36" s="158" t="n">
        <x:v>2561.84</x:v>
      </x:c>
      <x:c r="E36" s="158" t="n">
        <x:v>3547.83</x:v>
      </x:c>
      <x:c r="F36" s="158" t="n">
        <x:v>3740</x:v>
      </x:c>
      <x:c r="G36" s="155" t="n">
        <x:f>'Supporting Schedules'!G11</x:f>
        <x:v>4690.313523496847</x:v>
      </x:c>
      <x:c r="H36" s="155" t="n">
        <x:f>'Supporting Schedules'!H11</x:f>
        <x:v>5655.341368599873</x:v>
      </x:c>
      <x:c r="I36" s="155" t="n">
        <x:f>'Supporting Schedules'!I11</x:f>
        <x:v>6522.035460601061</x:v>
      </x:c>
      <x:c r="J36" s="155" t="n">
        <x:f>'Supporting Schedules'!J11</x:f>
        <x:v>7482.176047469157</x:v>
      </x:c>
      <x:c r="K36" s="155" t="n">
        <x:f>'Supporting Schedules'!K11</x:f>
        <x:v>8315.59282771442</x:v>
      </x:c>
      <x:c r="L36" s="155" t="n">
        <x:f>'Supporting Schedules'!L11</x:f>
        <x:v>9255.734342286776</x:v>
      </x:c>
      <x:c r="M36" s="155" t="n">
        <x:f>'Supporting Schedules'!M11</x:f>
        <x:v>9997.784809016523</x:v>
      </x:c>
      <x:c r="N36" s="155" t="n">
        <x:f>'Supporting Schedules'!N11</x:f>
        <x:v>10897.952018934544</x:v>
      </x:c>
      <x:c r="O36" s="155" t="n">
        <x:f>'Supporting Schedules'!O11</x:f>
        <x:v>11820.132973315072</x:v>
      </x:c>
    </x:row>
    <x:row r="37">
      <x:c r="A37" t="str">
        <x:v>Cash and cash equivalents</x:v>
      </x:c>
      <x:c r="B37" t="str">
        <x:v>INR mn</x:v>
      </x:c>
      <x:c r="C37" t="str">
        <x:v>Reported / Forecast</x:v>
      </x:c>
      <x:c r="D37" s="158" t="n">
        <x:v>236.57</x:v>
      </x:c>
      <x:c r="E37" s="158" t="n">
        <x:v>911.19</x:v>
      </x:c>
      <x:c r="F37" s="158" t="n">
        <x:v>1110</x:v>
      </x:c>
      <x:c r="G37" s="112" t="n">
        <x:f>G90</x:f>
        <x:v>1405.8554430070853</x:v>
      </x:c>
      <x:c r="H37" s="112" t="n">
        <x:f>H90</x:f>
        <x:v>2516.352328505435</x:v>
      </x:c>
      <x:c r="I37" s="112" t="n">
        <x:f>I90</x:f>
        <x:v>3648.7383631105376</x:v>
      </x:c>
      <x:c r="J37" s="112" t="n">
        <x:f>J90</x:f>
        <x:v>4792.1644588767995</x:v>
      </x:c>
      <x:c r="K37" s="112" t="n">
        <x:f>K90</x:f>
        <x:v>8333.648456815095</x:v>
      </x:c>
      <x:c r="L37" s="112" t="n">
        <x:f>L90</x:f>
        <x:v>13469.169145638283</x:v>
      </x:c>
      <x:c r="M37" s="112" t="n">
        <x:f>M90</x:f>
        <x:v>20441.952239602244</x:v>
      </x:c>
      <x:c r="N37" s="112" t="n">
        <x:f>N90</x:f>
        <x:v>28559.890390765366</x:v>
      </x:c>
      <x:c r="O37" s="112" t="n">
        <x:f>O90</x:f>
        <x:v>38170.33115512302</x:v>
      </x:c>
    </x:row>
    <x:row r="38">
      <x:c r="A38" t="str">
        <x:v>Other current assets</x:v>
      </x:c>
      <x:c r="B38" t="str">
        <x:v>INR mn</x:v>
      </x:c>
      <x:c r="C38" t="str">
        <x:v>Reported / Forecast</x:v>
      </x:c>
      <x:c r="D38" s="158" t="n">
        <x:v>5778.3</x:v>
      </x:c>
      <x:c r="E38" s="158" t="n">
        <x:v>9397.44</x:v>
      </x:c>
      <x:c r="F38" s="158" t="n">
        <x:v>7750</x:v>
      </x:c>
      <x:c r="G38" s="155" t="n">
        <x:f>'Supporting Schedules'!G17</x:f>
        <x:v>8514.723011886583</x:v>
      </x:c>
      <x:c r="H38" s="155" t="n">
        <x:f>'Supporting Schedules'!H17</x:f>
        <x:v>9744.588204356703</x:v>
      </x:c>
      <x:c r="I38" s="155" t="n">
        <x:f>'Supporting Schedules'!I17</x:f>
        <x:v>11005.93483976429</x:v>
      </x:c>
      <x:c r="J38" s="155" t="n">
        <x:f>'Supporting Schedules'!J17</x:f>
        <x:v>12158.53607713738</x:v>
      </x:c>
      <x:c r="K38" s="155" t="n">
        <x:f>'Supporting Schedules'!K17</x:f>
        <x:v>13199.353694784792</x:v>
      </x:c>
      <x:c r="L38" s="155" t="n">
        <x:f>'Supporting Schedules'!L17</x:f>
        <x:v>14397.80897689054</x:v>
      </x:c>
      <x:c r="M38" s="155" t="n">
        <x:f>'Supporting Schedules'!M17</x:f>
        <x:v>15480.440994606226</x:v>
      </x:c>
      <x:c r="N38" s="155" t="n">
        <x:f>'Supporting Schedules'!N17</x:f>
        <x:v>16522.70144806205</x:v>
      </x:c>
      <x:c r="O38" s="155" t="n">
        <x:f>'Supporting Schedules'!O17</x:f>
        <x:v>17539.552153951397</x:v>
      </x:c>
    </x:row>
    <x:row r="39">
      <x:c r="A39" s="132" t="str">
        <x:v>Total assets</x:v>
      </x:c>
      <x:c r="B39" s="132" t="str">
        <x:v>INR mn</x:v>
      </x:c>
      <x:c r="C39" s="132" t="str">
        <x:v>Calculated</x:v>
      </x:c>
      <x:c r="D39" s="159" t="n">
        <x:f>SUM(D31:D38)</x:f>
        <x:v>22751.36</x:v>
      </x:c>
      <x:c r="E39" s="159" t="n">
        <x:f>SUM(E31:E38)</x:f>
        <x:v>31599.75</x:v>
      </x:c>
      <x:c r="F39" s="159" t="n">
        <x:f>SUM(F31:F38)</x:f>
        <x:v>36260</x:v>
      </x:c>
      <x:c r="G39" s="159" t="n">
        <x:f>SUM(G31:G38)</x:f>
        <x:v>49210.15521326535</x:v>
      </x:c>
      <x:c r="H39" s="159" t="n">
        <x:f>SUM(H31:H38)</x:f>
        <x:v>60053.62248946902</x:v>
      </x:c>
      <x:c r="I39" s="159" t="n">
        <x:f>SUM(I31:I38)</x:f>
        <x:v>68713.12709155148</x:v>
      </x:c>
      <x:c r="J39" s="159" t="n">
        <x:f>SUM(J31:J38)</x:f>
        <x:v>75833.81350530413</x:v>
      </x:c>
      <x:c r="K39" s="159" t="n">
        <x:f>SUM(K31:K38)</x:f>
        <x:v>84264.73786547466</x:v>
      </x:c>
      <x:c r="L39" s="159" t="n">
        <x:f>SUM(L31:L38)</x:f>
        <x:v>94327.36370277332</x:v>
      </x:c>
      <x:c r="M39" s="159" t="n">
        <x:f>SUM(M31:M38)</x:f>
        <x:v>106173.825036209</x:v>
      </x:c>
      <x:c r="N39" s="159" t="n">
        <x:f>SUM(N31:N38)</x:f>
        <x:v>119545.02845980154</x:v>
      </x:c>
      <x:c r="O39" s="159" t="n">
        <x:f>SUM(O31:O38)</x:f>
        <x:v>134702.76324214562</x:v>
      </x:c>
    </x:row>
    <x:row r="40">
      <x:c r="D40" s="112"/>
      <x:c r="E40" s="112"/>
      <x:c r="F40" s="112"/>
      <x:c r="G40" s="112"/>
      <x:c r="H40" s="112"/>
      <x:c r="I40" s="112"/>
      <x:c r="J40" s="112"/>
      <x:c r="K40" s="112"/>
      <x:c r="L40" s="112"/>
      <x:c r="M40" s="112"/>
      <x:c r="N40" s="112"/>
      <x:c r="O40" s="112"/>
    </x:row>
    <x:row r="41">
      <x:c r="D41" s="112"/>
      <x:c r="E41" s="112"/>
      <x:c r="F41" s="112"/>
      <x:c r="G41" s="112"/>
      <x:c r="H41" s="112"/>
      <x:c r="I41" s="112"/>
      <x:c r="J41" s="112"/>
      <x:c r="K41" s="112"/>
      <x:c r="L41" s="112"/>
      <x:c r="M41" s="112"/>
      <x:c r="N41" s="112"/>
      <x:c r="O41" s="112"/>
    </x:row>
    <x:row r="42">
      <x:c r="A42" t="str">
        <x:v>Equity share capital</x:v>
      </x:c>
      <x:c r="B42" t="str">
        <x:v>INR mn</x:v>
      </x:c>
      <x:c r="C42" t="str">
        <x:v>Reported / Forecast</x:v>
      </x:c>
      <x:c r="D42" s="158" t="n">
        <x:v>180.5</x:v>
      </x:c>
      <x:c r="E42" s="158" t="n">
        <x:v>208.41</x:v>
      </x:c>
      <x:c r="F42" s="158" t="n">
        <x:v>210</x:v>
      </x:c>
      <x:c r="G42" s="305" t="n">
        <x:f>'Supporting Schedules'!G86</x:f>
        <x:v>211</x:v>
      </x:c>
      <x:c r="H42" s="305" t="n">
        <x:f>'Supporting Schedules'!H86</x:f>
        <x:v>212</x:v>
      </x:c>
      <x:c r="I42" s="305" t="n">
        <x:f>'Supporting Schedules'!I86</x:f>
        <x:v>213</x:v>
      </x:c>
      <x:c r="J42" s="305" t="n">
        <x:f>'Supporting Schedules'!J86</x:f>
        <x:v>214</x:v>
      </x:c>
      <x:c r="K42" s="305" t="n">
        <x:f>'Supporting Schedules'!K86</x:f>
        <x:v>215</x:v>
      </x:c>
      <x:c r="L42" s="305" t="n">
        <x:f>'Supporting Schedules'!L86</x:f>
        <x:v>216</x:v>
      </x:c>
      <x:c r="M42" s="305" t="n">
        <x:f>'Supporting Schedules'!M86</x:f>
        <x:v>217</x:v>
      </x:c>
      <x:c r="N42" s="305" t="n">
        <x:f>'Supporting Schedules'!N86</x:f>
        <x:v>218</x:v>
      </x:c>
      <x:c r="O42" s="305" t="n">
        <x:f>'Supporting Schedules'!O86</x:f>
        <x:v>219</x:v>
      </x:c>
    </x:row>
    <x:row r="43">
      <x:c r="A43" t="str">
        <x:v>Reserves and retained earnings</x:v>
      </x:c>
      <x:c r="B43" t="str">
        <x:v>INR mn</x:v>
      </x:c>
      <x:c r="C43" t="str">
        <x:v>Reported / Forecast</x:v>
      </x:c>
      <x:c r="D43" s="158" t="n">
        <x:v>9570.94</x:v>
      </x:c>
      <x:c r="E43" s="158" t="n">
        <x:v>21075.13</x:v>
      </x:c>
      <x:c r="F43" s="158" t="n">
        <x:v>24620</x:v>
      </x:c>
      <x:c r="G43" s="155" t="n">
        <x:f>'Supporting Schedules'!G94</x:f>
        <x:v>29086.91111664976</x:v>
      </x:c>
      <x:c r="H43" s="155" t="n">
        <x:f>'Supporting Schedules'!H94</x:f>
        <x:v>34358.6449034339</x:v>
      </x:c>
      <x:c r="I43" s="155" t="n">
        <x:f>'Supporting Schedules'!I94</x:f>
        <x:v>39946.74995728654</x:v>
      </x:c>
      <x:c r="J43" s="155" t="n">
        <x:f>'Supporting Schedules'!J94</x:f>
        <x:v>46629.327461196306</x:v>
      </x:c>
      <x:c r="K43" s="155" t="n">
        <x:f>'Supporting Schedules'!K94</x:f>
        <x:v>54609.77981799155</x:v>
      </x:c>
      <x:c r="L43" s="155" t="n">
        <x:f>'Supporting Schedules'!L94</x:f>
        <x:v>63993.74559605456</x:v>
      </x:c>
      <x:c r="M43" s="155" t="n">
        <x:f>'Supporting Schedules'!M94</x:f>
        <x:v>74693.33968842443</x:v>
      </x:c>
      <x:c r="N43" s="155" t="n">
        <x:f>'Supporting Schedules'!N94</x:f>
        <x:v>86766.48625604712</x:v>
      </x:c>
      <x:c r="O43" s="155" t="n">
        <x:f>'Supporting Schedules'!O94</x:f>
        <x:v>100287.33752156858</x:v>
      </x:c>
    </x:row>
    <x:row r="44">
      <x:c r="A44" s="132" t="str">
        <x:v>Total equity</x:v>
      </x:c>
      <x:c r="B44" s="132" t="str">
        <x:v>INR mn</x:v>
      </x:c>
      <x:c r="C44" s="132" t="str">
        <x:v>Calculated</x:v>
      </x:c>
      <x:c r="D44" s="159" t="n">
        <x:f>SUM(D42:D43)</x:f>
        <x:v>9751.44</x:v>
      </x:c>
      <x:c r="E44" s="159" t="n">
        <x:f>SUM(E42:E43)</x:f>
        <x:v>21283.54</x:v>
      </x:c>
      <x:c r="F44" s="159" t="n">
        <x:f>SUM(F42:F43)</x:f>
        <x:v>24830</x:v>
      </x:c>
      <x:c r="G44" s="159" t="n">
        <x:f>SUM(G42:G43)</x:f>
        <x:v>29297.91111664976</x:v>
      </x:c>
      <x:c r="H44" s="159" t="n">
        <x:f>SUM(H42:H43)</x:f>
        <x:v>34570.6449034339</x:v>
      </x:c>
      <x:c r="I44" s="159" t="n">
        <x:f>SUM(I42:I43)</x:f>
        <x:v>40159.74995728654</x:v>
      </x:c>
      <x:c r="J44" s="159" t="n">
        <x:f>SUM(J42:J43)</x:f>
        <x:v>46843.327461196306</x:v>
      </x:c>
      <x:c r="K44" s="159" t="n">
        <x:f>SUM(K42:K43)</x:f>
        <x:v>54824.77981799155</x:v>
      </x:c>
      <x:c r="L44" s="159" t="n">
        <x:f>SUM(L42:L43)</x:f>
        <x:v>64209.74559605456</x:v>
      </x:c>
      <x:c r="M44" s="159" t="n">
        <x:f>SUM(M42:M43)</x:f>
        <x:v>74910.33968842443</x:v>
      </x:c>
      <x:c r="N44" s="159" t="n">
        <x:f>SUM(N42:N43)</x:f>
        <x:v>86984.48625604712</x:v>
      </x:c>
      <x:c r="O44" s="159" t="n">
        <x:f>SUM(O42:O43)</x:f>
        <x:v>100506.33752156858</x:v>
      </x:c>
    </x:row>
    <x:row r="45">
      <x:c r="A45" t="str">
        <x:v>Long-term debt</x:v>
      </x:c>
      <x:c r="B45" t="str">
        <x:v>INR mn</x:v>
      </x:c>
      <x:c r="C45" t="str">
        <x:v>Reported / Forecast</x:v>
      </x:c>
      <x:c r="D45" s="158" t="n">
        <x:v>2772.46</x:v>
      </x:c>
      <x:c r="E45" s="158" t="n">
        <x:v>0</x:v>
      </x:c>
      <x:c r="F45" s="158" t="n">
        <x:v>210</x:v>
      </x:c>
      <x:c r="G45" s="155" t="n">
        <x:f>'Supporting Schedules'!G58</x:f>
        <x:v>5970</x:v>
      </x:c>
      <x:c r="H45" s="155" t="n">
        <x:f>'Supporting Schedules'!H58</x:f>
        <x:v>8595</x:v>
      </x:c>
      <x:c r="I45" s="155" t="n">
        <x:f>'Supporting Schedules'!I58</x:f>
        <x:v>9345</x:v>
      </x:c>
      <x:c r="J45" s="155" t="n">
        <x:f>'Supporting Schedules'!J58</x:f>
        <x:v>8220</x:v>
      </x:c>
      <x:c r="K45" s="155" t="n">
        <x:f>'Supporting Schedules'!K58</x:f>
        <x:v>7095</x:v>
      </x:c>
      <x:c r="L45" s="155" t="n">
        <x:f>'Supporting Schedules'!L58</x:f>
        <x:v>5970</x:v>
      </x:c>
      <x:c r="M45" s="155" t="n">
        <x:f>'Supporting Schedules'!M58</x:f>
        <x:v>5220</x:v>
      </x:c>
      <x:c r="N45" s="155" t="n">
        <x:f>'Supporting Schedules'!N58</x:f>
        <x:v>4470</x:v>
      </x:c>
      <x:c r="O45" s="155" t="n">
        <x:f>'Supporting Schedules'!O58</x:f>
        <x:v>3720</x:v>
      </x:c>
    </x:row>
    <x:row r="46">
      <x:c r="A46" t="str">
        <x:v>Short-term debt</x:v>
      </x:c>
      <x:c r="B46" t="str">
        <x:v>INR mn</x:v>
      </x:c>
      <x:c r="C46" t="str">
        <x:v>Reported / Forecast</x:v>
      </x:c>
      <x:c r="D46" s="158" t="n">
        <x:v>4329.17</x:v>
      </x:c>
      <x:c r="E46" s="158" t="n">
        <x:v>1286.36</x:v>
      </x:c>
      <x:c r="F46" s="158" t="n">
        <x:v>750</x:v>
      </x:c>
      <x:c r="G46" s="155" t="n">
        <x:f>'Supporting Schedules'!G59</x:f>
        <x:v>1990</x:v>
      </x:c>
      <x:c r="H46" s="155" t="n">
        <x:f>'Supporting Schedules'!H59</x:f>
        <x:v>2865</x:v>
      </x:c>
      <x:c r="I46" s="155" t="n">
        <x:f>'Supporting Schedules'!I59</x:f>
        <x:v>3115</x:v>
      </x:c>
      <x:c r="J46" s="155" t="n">
        <x:f>'Supporting Schedules'!J59</x:f>
        <x:v>2740</x:v>
      </x:c>
      <x:c r="K46" s="155" t="n">
        <x:f>'Supporting Schedules'!K59</x:f>
        <x:v>2365</x:v>
      </x:c>
      <x:c r="L46" s="155" t="n">
        <x:f>'Supporting Schedules'!L59</x:f>
        <x:v>1990</x:v>
      </x:c>
      <x:c r="M46" s="155" t="n">
        <x:f>'Supporting Schedules'!M59</x:f>
        <x:v>1740</x:v>
      </x:c>
      <x:c r="N46" s="155" t="n">
        <x:f>'Supporting Schedules'!N59</x:f>
        <x:v>1490</x:v>
      </x:c>
      <x:c r="O46" s="155" t="n">
        <x:f>'Supporting Schedules'!O59</x:f>
        <x:v>1240</x:v>
      </x:c>
    </x:row>
    <x:row r="47">
      <x:c r="A47" t="str">
        <x:v>Trade payables</x:v>
      </x:c>
      <x:c r="B47" t="str">
        <x:v>INR mn</x:v>
      </x:c>
      <x:c r="C47" t="str">
        <x:v>Reported / Forecast</x:v>
      </x:c>
      <x:c r="D47" s="158" t="n">
        <x:v>1384.7</x:v>
      </x:c>
      <x:c r="E47" s="158" t="n">
        <x:v>3225.08</x:v>
      </x:c>
      <x:c r="F47" s="158" t="n">
        <x:v>2850</x:v>
      </x:c>
      <x:c r="G47" s="155" t="n">
        <x:f>'Supporting Schedules'!G14</x:f>
        <x:v>3124.796252777399</x:v>
      </x:c>
      <x:c r="H47" s="155" t="n">
        <x:f>'Supporting Schedules'!H14</x:f>
        <x:v>3595.2236754542187</x:v>
      </x:c>
      <x:c r="I47" s="155" t="n">
        <x:f>'Supporting Schedules'!I14</x:f>
        <x:v>4015.27694637677</x:v>
      </x:c>
      <x:c r="J47" s="155" t="n">
        <x:f>'Supporting Schedules'!J14</x:f>
        <x:v>4391.499135371104</x:v>
      </x:c>
      <x:c r="K47" s="155" t="n">
        <x:f>'Supporting Schedules'!K14</x:f>
        <x:v>4721.87098766747</x:v>
      </x:c>
      <x:c r="L47" s="155" t="n">
        <x:f>'Supporting Schedules'!L14</x:f>
        <x:v>5126.608762291494</x:v>
      </x:c>
      <x:c r="M47" s="155" t="n">
        <x:f>'Supporting Schedules'!M14</x:f>
        <x:v>5504.856385023557</x:v>
      </x:c>
      <x:c r="N47" s="155" t="n">
        <x:f>'Supporting Schedules'!N14</x:f>
        <x:v>5903.287707450905</x:v>
      </x:c>
      <x:c r="O47" s="155" t="n">
        <x:f>'Supporting Schedules'!O14</x:f>
        <x:v>6353.178507664934</x:v>
      </x:c>
    </x:row>
    <x:row r="48">
      <x:c r="A48" t="str">
        <x:v>Other current liabilities</x:v>
      </x:c>
      <x:c r="B48" t="str">
        <x:v>INR mn</x:v>
      </x:c>
      <x:c r="C48" t="str">
        <x:v>Reported / Forecast</x:v>
      </x:c>
      <x:c r="D48" s="158" t="n">
        <x:v>1685.16</x:v>
      </x:c>
      <x:c r="E48" s="158" t="n">
        <x:v>2813.46</x:v>
      </x:c>
      <x:c r="F48" s="158" t="n">
        <x:v>4740</x:v>
      </x:c>
      <x:c r="G48" s="155" t="n">
        <x:f>'Supporting Schedules'!G20</x:f>
        <x:v>5411.900219419439</x:v>
      </x:c>
      <x:c r="H48" s="155" t="n">
        <x:f>'Supporting Schedules'!H20</x:f>
        <x:v>6351.3833831967795</x:v>
      </x:c>
      <x:c r="I48" s="155" t="n">
        <x:f>'Supporting Schedules'!I20</x:f>
        <x:v>7337.289893176194</x:v>
      </x:c>
      <x:c r="J48" s="155" t="n">
        <x:f>'Supporting Schedules'!J20</x:f>
        <x:v>8183.63005191939</x:v>
      </x:c>
      <x:c r="K48" s="155" t="n">
        <x:f>'Supporting Schedules'!K20</x:f>
        <x:v>8975.560512453658</x:v>
      </x:c>
      <x:c r="L48" s="155" t="n">
        <x:f>'Supporting Schedules'!L20</x:f>
        <x:v>9843.40001481292</x:v>
      </x:c>
      <x:c r="M48" s="155" t="n">
        <x:f>'Supporting Schedules'!M20</x:f>
        <x:v>10642.80318379178</x:v>
      </x:c>
      <x:c r="N48" s="155" t="n">
        <x:f>'Supporting Schedules'!N20</x:f>
        <x:v>11425.272277915246</x:v>
      </x:c>
      <x:c r="O48" s="155" t="n">
        <x:f>'Supporting Schedules'!O20</x:f>
        <x:v>12392.074891378705</x:v>
      </x:c>
    </x:row>
    <x:row r="49">
      <x:c r="A49" t="str">
        <x:v>Deferred tax and other non-current liabilities</x:v>
      </x:c>
      <x:c r="B49" t="str">
        <x:v>INR mn</x:v>
      </x:c>
      <x:c r="C49" t="str">
        <x:v>Reported / Forecast</x:v>
      </x:c>
      <x:c r="D49" s="158" t="n">
        <x:v>2828.43</x:v>
      </x:c>
      <x:c r="E49" s="158" t="n">
        <x:v>2991.31</x:v>
      </x:c>
      <x:c r="F49" s="158" t="n">
        <x:v>2880</x:v>
      </x:c>
      <x:c r="G49" s="155" t="n">
        <x:f>'Supporting Schedules'!G80+'Supporting Schedules'!G27</x:f>
        <x:v>3415.5476244187557</x:v>
      </x:c>
      <x:c r="H49" s="155" t="n">
        <x:f>'Supporting Schedules'!H80+'Supporting Schedules'!H27</x:f>
        <x:v>4076.3705273841165</x:v>
      </x:c>
      <x:c r="I49" s="155" t="n">
        <x:f>'Supporting Schedules'!I80+'Supporting Schedules'!I27</x:f>
        <x:v>4740.8102947119705</x:v>
      </x:c>
      <x:c r="J49" s="155" t="n">
        <x:f>'Supporting Schedules'!J80+'Supporting Schedules'!J27</x:f>
        <x:v>5455.356856817339</x:v>
      </x:c>
      <x:c r="K49" s="155" t="n">
        <x:f>'Supporting Schedules'!K80+'Supporting Schedules'!K27</x:f>
        <x:v>6282.5265473619875</x:v>
      </x:c>
      <x:c r="L49" s="155" t="n">
        <x:f>'Supporting Schedules'!L80+'Supporting Schedules'!L27</x:f>
        <x:v>7187.609329614367</x:v>
      </x:c>
      <x:c r="M49" s="155" t="n">
        <x:f>'Supporting Schedules'!M80+'Supporting Schedules'!M27</x:f>
        <x:v>8155.825778969286</x:v>
      </x:c>
      <x:c r="N49" s="155" t="n">
        <x:f>'Supporting Schedules'!N80+'Supporting Schedules'!N27</x:f>
        <x:v>9271.982218388306</x:v>
      </x:c>
      <x:c r="O49" s="155" t="n">
        <x:f>'Supporting Schedules'!O80+'Supporting Schedules'!O27</x:f>
        <x:v>10491.172321533448</x:v>
      </x:c>
    </x:row>
    <x:row r="50">
      <x:c r="A50" s="132" t="str">
        <x:v>Total liabilities and equity</x:v>
      </x:c>
      <x:c r="B50" s="132" t="str">
        <x:v>INR mn</x:v>
      </x:c>
      <x:c r="C50" s="132" t="str">
        <x:v>Calculated</x:v>
      </x:c>
      <x:c r="D50" s="159" t="n">
        <x:f>SUM(D44,D45:D49)</x:f>
        <x:v>22751.36</x:v>
      </x:c>
      <x:c r="E50" s="159" t="n">
        <x:f>SUM(E44,E45:E49)</x:f>
        <x:v>31599.75</x:v>
      </x:c>
      <x:c r="F50" s="159" t="n">
        <x:f>SUM(F44,F45:F49)</x:f>
        <x:v>36260</x:v>
      </x:c>
      <x:c r="G50" s="159" t="n">
        <x:f>SUM(G44,G45:G49)</x:f>
        <x:v>49210.15521326536</x:v>
      </x:c>
      <x:c r="H50" s="159" t="n">
        <x:f>SUM(H44,H45:H49)</x:f>
        <x:v>60053.62248946902</x:v>
      </x:c>
      <x:c r="I50" s="159" t="n">
        <x:f>SUM(I44,I45:I49)</x:f>
        <x:v>68713.12709155148</x:v>
      </x:c>
      <x:c r="J50" s="159" t="n">
        <x:f>SUM(J44,J45:J49)</x:f>
        <x:v>75833.81350530413</x:v>
      </x:c>
      <x:c r="K50" s="159" t="n">
        <x:f>SUM(K44,K45:K49)</x:f>
        <x:v>84264.73786547466</x:v>
      </x:c>
      <x:c r="L50" s="159" t="n">
        <x:f>SUM(L44,L45:L49)</x:f>
        <x:v>94327.36370277335</x:v>
      </x:c>
      <x:c r="M50" s="159" t="n">
        <x:f>SUM(M44,M45:M49)</x:f>
        <x:v>106173.82503620905</x:v>
      </x:c>
      <x:c r="N50" s="159" t="n">
        <x:f>SUM(N44,N45:N49)</x:f>
        <x:v>119545.02845980157</x:v>
      </x:c>
      <x:c r="O50" s="159" t="n">
        <x:f>SUM(O44,O45:O49)</x:f>
        <x:v>134702.76324214565</x:v>
      </x:c>
    </x:row>
    <x:row r="51">
      <x:c r="A51" t="str">
        <x:v>Balance-sheet check</x:v>
      </x:c>
      <x:c r="B51" t="str">
        <x:v>INR mn</x:v>
      </x:c>
      <x:c r="C51" t="str">
        <x:v>Check</x:v>
      </x:c>
      <x:c r="D51" s="112" t="n">
        <x:f>D39-D50</x:f>
        <x:v>0</x:v>
      </x:c>
      <x:c r="E51" s="112" t="n">
        <x:f>E39-E50</x:f>
        <x:v>0</x:v>
      </x:c>
      <x:c r="F51" s="112" t="n">
        <x:f>F39-F50</x:f>
        <x:v>0</x:v>
      </x:c>
      <x:c r="G51" s="112" t="n">
        <x:f>G39-G50</x:f>
        <x:v>-7.275957614183426e-12</x:v>
      </x:c>
      <x:c r="H51" s="112" t="n">
        <x:f>H39-H50</x:f>
        <x:v>0</x:v>
      </x:c>
      <x:c r="I51" s="112" t="n">
        <x:f>I39-I50</x:f>
        <x:v>0</x:v>
      </x:c>
      <x:c r="J51" s="112" t="n">
        <x:f>J39-J50</x:f>
        <x:v>0</x:v>
      </x:c>
      <x:c r="K51" s="112" t="n">
        <x:f>K39-K50</x:f>
        <x:v>0</x:v>
      </x:c>
      <x:c r="L51" s="112" t="n">
        <x:f>L39-L50</x:f>
        <x:v>-2.9103830456733704e-11</x:v>
      </x:c>
      <x:c r="M51" s="112" t="n">
        <x:f>M39-M50</x:f>
        <x:v>-4.3655745685100555e-11</x:v>
      </x:c>
      <x:c r="N51" s="112" t="n">
        <x:f>N39-N50</x:f>
        <x:v>-2.9103830456733704e-11</x:v>
      </x:c>
      <x:c r="O51" s="112" t="n">
        <x:f>O39-O50</x:f>
        <x:v>-2.9103830456733704e-11</x:v>
      </x:c>
    </x:row>
    <x:row r="52">
      <x:c r="D52" s="112"/>
      <x:c r="E52" s="112"/>
      <x:c r="F52" s="112"/>
      <x:c r="G52" s="112"/>
      <x:c r="H52" s="112"/>
      <x:c r="I52" s="112"/>
      <x:c r="J52" s="112"/>
      <x:c r="K52" s="112"/>
      <x:c r="L52" s="112"/>
      <x:c r="M52" s="112"/>
      <x:c r="N52" s="112"/>
      <x:c r="O52" s="112"/>
    </x:row>
    <x:row r="53">
      <x:c r="D53" s="112"/>
      <x:c r="E53" s="112"/>
      <x:c r="F53" s="112"/>
      <x:c r="G53" s="112"/>
      <x:c r="H53" s="112"/>
      <x:c r="I53" s="112"/>
      <x:c r="J53" s="112"/>
      <x:c r="K53" s="112"/>
      <x:c r="L53" s="112"/>
      <x:c r="M53" s="112"/>
      <x:c r="N53" s="112"/>
      <x:c r="O53" s="112"/>
    </x:row>
    <x:row r="54">
      <x:c r="D54" s="112"/>
      <x:c r="E54" s="112"/>
      <x:c r="F54" s="112"/>
      <x:c r="G54" s="112"/>
      <x:c r="H54" s="112"/>
      <x:c r="I54" s="112"/>
      <x:c r="J54" s="112"/>
      <x:c r="K54" s="112"/>
      <x:c r="L54" s="112"/>
      <x:c r="M54" s="112"/>
      <x:c r="N54" s="112"/>
      <x:c r="O54" s="112"/>
    </x:row>
    <x:row r="55">
      <x:c r="A55" s="17" t="str">
        <x:v>Cash-Flow Statement - Indirect Method</x:v>
      </x:c>
      <x:c r="B55" s="17"/>
      <x:c r="C55" s="17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</x:row>
    <x:row r="56">
      <x:c r="A56" t="str">
        <x:v>Profit after tax</x:v>
      </x:c>
      <x:c r="B56" t="str">
        <x:v>INR mn</x:v>
      </x:c>
      <x:c r="C56" t="str">
        <x:v>Link</x:v>
      </x:c>
      <x:c r="D56" s="158" t="n">
        <x:v>828.09</x:v>
      </x:c>
      <x:c r="E56" s="158" t="n">
        <x:v>1701.32</x:v>
      </x:c>
      <x:c r="F56" s="158" t="n">
        <x:v>3490</x:v>
      </x:c>
      <x:c r="G56" s="112" t="n">
        <x:f>G23</x:f>
        <x:v>4378.404245047997</x:v>
      </x:c>
      <x:c r="H56" s="112" t="n">
        <x:f>H23</x:f>
        <x:v>5175.0984114101675</x:v>
      </x:c>
      <x:c r="I56" s="112" t="n">
        <x:f>I23</x:f>
        <x:v>6092.567865136975</x:v>
      </x:c>
      <x:c r="J56" s="112" t="n">
        <x:f>J23</x:f>
        <x:v>7299.522028892974</x:v>
      </x:c>
      <x:c r="K56" s="112" t="n">
        <x:f>K23</x:f>
        <x:v>8732.428772573656</x:v>
      </x:c>
      <x:c r="L56" s="112" t="n">
        <x:f>L23</x:f>
        <x:v>10282.810043484436</x:v>
      </x:c>
      <x:c r="M56" s="112" t="n">
        <x:f>M23</x:f>
        <x:v>11735.896891469438</x:v>
      </x:c>
      <x:c r="N56" s="112" t="n">
        <x:f>N23</x:f>
        <x:v>13253.234022620794</x:v>
      </x:c>
      <x:c r="O56" s="112" t="n">
        <x:f>O23</x:f>
        <x:v>14852.746517194277</x:v>
      </x:c>
    </x:row>
    <x:row r="57">
      <x:c r="A57" t="str">
        <x:v>Tax expense add-back</x:v>
      </x:c>
      <x:c r="B57" t="str">
        <x:v>INR mn</x:v>
      </x:c>
      <x:c r="C57" t="str">
        <x:v>Formula</x:v>
      </x:c>
      <x:c r="D57" s="158" t="n">
        <x:v>264.25</x:v>
      </x:c>
      <x:c r="E57" s="158" t="n">
        <x:v>575.71</x:v>
      </x:c>
      <x:c r="F57" s="158" t="n">
        <x:v>1170</x:v>
      </x:c>
      <x:c r="G57" s="112" t="n">
        <x:f>G22</x:f>
        <x:v>1459.4680816826663</x:v>
      </x:c>
      <x:c r="H57" s="112" t="n">
        <x:f>H22</x:f>
        <x:v>1725.0328038033895</x:v>
      </x:c>
      <x:c r="I57" s="112" t="n">
        <x:f>I22</x:f>
        <x:v>2030.8559550456584</x:v>
      </x:c>
      <x:c r="J57" s="112" t="n">
        <x:f>J22</x:f>
        <x:v>2433.1740096309913</x:v>
      </x:c>
      <x:c r="K57" s="112" t="n">
        <x:f>K22</x:f>
        <x:v>2910.8095908578853</x:v>
      </x:c>
      <x:c r="L57" s="112" t="n">
        <x:f>L22</x:f>
        <x:v>3427.603347828146</x:v>
      </x:c>
      <x:c r="M57" s="112" t="n">
        <x:f>M22</x:f>
        <x:v>3911.9656304898126</x:v>
      </x:c>
      <x:c r="N57" s="112" t="n">
        <x:f>N22</x:f>
        <x:v>4417.744674206931</x:v>
      </x:c>
      <x:c r="O57" s="112" t="n">
        <x:f>O22</x:f>
        <x:v>4950.915505731426</x:v>
      </x:c>
    </x:row>
    <x:row r="58">
      <x:c r="A58" t="str">
        <x:v>Profit before tax</x:v>
      </x:c>
      <x:c r="B58" t="str">
        <x:v>INR mn</x:v>
      </x:c>
      <x:c r="C58" t="str">
        <x:v>Calculated</x:v>
      </x:c>
      <x:c r="D58" s="158" t="n">
        <x:v>1092.34</x:v>
      </x:c>
      <x:c r="E58" s="158" t="n">
        <x:v>2277.03</x:v>
      </x:c>
      <x:c r="F58" s="158" t="n">
        <x:v>4660</x:v>
      </x:c>
      <x:c r="G58" s="112" t="n">
        <x:f>SUM(G56:G57)</x:f>
        <x:v>5837.872326730663</x:v>
      </x:c>
      <x:c r="H58" s="112" t="n">
        <x:f>SUM(H56:H57)</x:f>
        <x:v>6900.131215213557</x:v>
      </x:c>
      <x:c r="I58" s="112" t="n">
        <x:f>SUM(I56:I57)</x:f>
        <x:v>8123.423820182634</x:v>
      </x:c>
      <x:c r="J58" s="112" t="n">
        <x:f>SUM(J56:J57)</x:f>
        <x:v>9732.696038523965</x:v>
      </x:c>
      <x:c r="K58" s="112" t="n">
        <x:f>SUM(K56:K57)</x:f>
        <x:v>11643.238363431541</x:v>
      </x:c>
      <x:c r="L58" s="112" t="n">
        <x:f>SUM(L56:L57)</x:f>
        <x:v>13710.413391312582</x:v>
      </x:c>
      <x:c r="M58" s="112" t="n">
        <x:f>SUM(M56:M57)</x:f>
        <x:v>15647.86252195925</x:v>
      </x:c>
      <x:c r="N58" s="112" t="n">
        <x:f>SUM(N56:N57)</x:f>
        <x:v>17670.978696827726</x:v>
      </x:c>
      <x:c r="O58" s="112" t="n">
        <x:f>SUM(O56:O57)</x:f>
        <x:v>19803.662022925702</x:v>
      </x:c>
    </x:row>
    <x:row r="59">
      <x:c r="A59" t="str">
        <x:v>Depreciation and amortisation</x:v>
      </x:c>
      <x:c r="B59" t="str">
        <x:v>INR mn</x:v>
      </x:c>
      <x:c r="C59" t="str">
        <x:v>Link</x:v>
      </x:c>
      <x:c r="D59" s="158" t="n">
        <x:v>1194.36</x:v>
      </x:c>
      <x:c r="E59" s="158" t="n">
        <x:v>1385.73</x:v>
      </x:c>
      <x:c r="F59" s="158" t="n">
        <x:v>1670</x:v>
      </x:c>
      <x:c r="G59" s="112" t="n">
        <x:f>G13</x:f>
        <x:v>1527.4375</x:v>
      </x:c>
      <x:c r="H59" s="112" t="n">
        <x:f>H13</x:f>
        <x:v>1961.9265625</x:v>
      </x:c>
      <x:c r="I59" s="112" t="n">
        <x:f>I13</x:f>
        <x:v>2583.1828515624998</x:v>
      </x:c>
      <x:c r="J59" s="112" t="n">
        <x:f>J13</x:f>
        <x:v>3077.9935908203124</x:v>
      </x:c>
      <x:c r="K59" s="112" t="n">
        <x:f>K13</x:f>
        <x:v>3417.048106665039</x:v>
      </x:c>
      <x:c r="L59" s="112" t="n">
        <x:f>L13</x:f>
        <x:v>3667.6731705401608</x:v>
      </x:c>
      <x:c r="M59" s="112" t="n">
        <x:f>M13</x:f>
        <x:v>3871.949116343399</x:v>
      </x:c>
      <x:c r="N59" s="112" t="n">
        <x:f>N13</x:f>
        <x:v>4091.177932617644</x:v>
      </x:c>
      <x:c r="O59" s="112" t="n">
        <x:f>O13</x:f>
        <x:v>4334.83958767132</x:v>
      </x:c>
    </x:row>
    <x:row r="60">
      <x:c r="A60" t="str">
        <x:v>Finance costs</x:v>
      </x:c>
      <x:c r="B60" t="str">
        <x:v>INR mn</x:v>
      </x:c>
      <x:c r="C60" t="str">
        <x:v>Link</x:v>
      </x:c>
      <x:c r="D60" s="158" t="n">
        <x:v>859.1</x:v>
      </x:c>
      <x:c r="E60" s="158" t="n">
        <x:v>761.64</x:v>
      </x:c>
      <x:c r="F60" s="158" t="n">
        <x:v>390</x:v>
      </x:c>
      <x:c r="G60" s="112" t="n">
        <x:f>G15</x:f>
        <x:v>379.1</x:v>
      </x:c>
      <x:c r="H60" s="112" t="n">
        <x:f>H15</x:f>
        <x:v>825.35</x:v>
      </x:c>
      <x:c r="I60" s="112" t="n">
        <x:f>I15</x:f>
        <x:v>1016.6</x:v>
      </x:c>
      <x:c r="J60" s="112" t="n">
        <x:f>J15</x:f>
        <x:v>995.35</x:v>
      </x:c>
      <x:c r="K60" s="112" t="n">
        <x:f>K15</x:f>
        <x:v>867.85</x:v>
      </x:c>
      <x:c r="L60" s="112" t="n">
        <x:f>L15</x:f>
        <x:v>740.35</x:v>
      </x:c>
      <x:c r="M60" s="112" t="n">
        <x:f>M15</x:f>
        <x:v>634.1</x:v>
      </x:c>
      <x:c r="N60" s="112" t="n">
        <x:f>N15</x:f>
        <x:v>549.1</x:v>
      </x:c>
      <x:c r="O60" s="112" t="n">
        <x:f>O15</x:f>
        <x:v>464.1</x:v>
      </x:c>
    </x:row>
    <x:row r="61">
      <x:c r="A61" t="str">
        <x:v>Less: other income</x:v>
      </x:c>
      <x:c r="B61" t="str">
        <x:v>INR mn</x:v>
      </x:c>
      <x:c r="C61" t="str">
        <x:v>Link</x:v>
      </x:c>
      <x:c r="D61" s="158" t="n">
        <x:v>-144.65</x:v>
      </x:c>
      <x:c r="E61" s="158" t="n">
        <x:v>-174.4</x:v>
      </x:c>
      <x:c r="F61" s="158" t="n">
        <x:v>-190</x:v>
      </x:c>
      <x:c r="G61" s="112" t="n">
        <x:f>-G16</x:f>
        <x:v>-102.6258288023492</x:v>
      </x:c>
      <x:c r="H61" s="112" t="n">
        <x:f>-H16</x:f>
        <x:v>-126.77732876728663</x:v>
      </x:c>
      <x:c r="I61" s="112" t="n">
        <x:f>-I16</x:f>
        <x:v>-187.6278217552254</x:v>
      </x:c>
      <x:c r="J61" s="112" t="n">
        <x:f>-J16</x:f>
        <x:v>-249.53679688141926</x:v>
      </x:c>
      <x:c r="K61" s="112" t="n">
        <x:f>-K16</x:f>
        <x:v>-312.00268262138496</x:v>
      </x:c>
      <x:c r="L61" s="112" t="n">
        <x:f>-L16</x:f>
        <x:v>-482.26316579270065</x:v>
      </x:c>
      <x:c r="M61" s="112" t="n">
        <x:f>-M16</x:f>
        <x:v>-723.8284649502075</x:v>
      </x:c>
      <x:c r="N61" s="112" t="n">
        <x:f>-N16</x:f>
        <x:v>-1048.2024471340721</x:v>
      </x:c>
      <x:c r="O61" s="112" t="n">
        <x:f>-O16</x:f>
        <x:v>-1424.3676009799253</x:v>
      </x:c>
    </x:row>
    <x:row r="62">
      <x:c r="A62" t="str">
        <x:v>Share-based compensation / OCI</x:v>
      </x:c>
      <x:c r="B62" t="str">
        <x:v>INR mn</x:v>
      </x:c>
      <x:c r="C62" t="str">
        <x:v>Link</x:v>
      </x:c>
      <x:c r="D62" s="158" t="n">
        <x:v>22.53</x:v>
      </x:c>
      <x:c r="E62" s="158" t="n">
        <x:v>24.78</x:v>
      </x:c>
      <x:c r="F62" s="158" t="n">
        <x:v>30</x:v>
      </x:c>
      <x:c r="G62" s="155" t="n">
        <x:f>'Supporting Schedules'!G92</x:f>
        <x:v>39.50687160176191</x:v>
      </x:c>
      <x:c r="H62" s="155" t="n">
        <x:f>'Supporting Schedules'!H92</x:f>
        <x:v>47.635375373975855</x:v>
      </x:c>
      <x:c r="I62" s="155" t="n">
        <x:f>'Supporting Schedules'!I92</x:f>
        <x:v>55.79397522936064</x:v>
      </x:c>
      <x:c r="J62" s="155" t="n">
        <x:f>'Supporting Schedules'!J92</x:f>
        <x:v>64.00767790608381</x:v>
      </x:c>
      <x:c r="K62" s="155" t="n">
        <x:f>'Supporting Schedules'!K92</x:f>
        <x:v>72.26646147894674</x:v>
      </x:c>
      <x:c r="L62" s="155" t="n">
        <x:f>'Supporting Schedules'!L92</x:f>
        <x:v>80.43673892701602</x:v>
      </x:c>
      <x:c r="M62" s="155" t="n">
        <x:f>'Supporting Schedules'!M92</x:f>
        <x:v>88.28689004736364</x:v>
      </x:c>
      <x:c r="N62" s="155" t="n">
        <x:f>'Supporting Schedules'!N92</x:f>
        <x:v>96.23594726397843</x:v>
      </x:c>
      <x:c r="O62" s="155" t="n">
        <x:f>'Supporting Schedules'!O92</x:f>
        <x:v>104.37940004661294</x:v>
      </x:c>
    </x:row>
    <x:row r="63">
      <x:c r="A63" t="str">
        <x:v>Change in other non-current liabilities</x:v>
      </x:c>
      <x:c r="B63" t="str">
        <x:v>INR mn</x:v>
      </x:c>
      <x:c r="C63" t="str">
        <x:v>Formula</x:v>
      </x:c>
      <x:c r="D63" s="158" t="n">
        <x:v>0</x:v>
      </x:c>
      <x:c r="E63" s="158" t="n">
        <x:v>-84.82</x:v>
      </x:c>
      <x:c r="F63" s="158" t="n">
        <x:v>-280.95</x:v>
      </x:c>
      <x:c r="G63" s="155" t="n">
        <x:f>'Supporting Schedules'!G27-'Supporting Schedules'!F27</x:f>
        <x:v>243.6540080822224</x:v>
      </x:c>
      <x:c r="H63" s="155" t="n">
        <x:f>'Supporting Schedules'!H27-'Supporting Schedules'!G27</x:f>
        <x:v>315.81634220468277</x:v>
      </x:c>
      <x:c r="I63" s="155" t="n">
        <x:f>'Supporting Schedules'!I27-'Supporting Schedules'!H27</x:f>
        <x:v>258.26857631872235</x:v>
      </x:c>
      <x:c r="J63" s="155" t="n">
        <x:f>'Supporting Schedules'!J27-'Supporting Schedules'!I27</x:f>
        <x:v>227.91176017916996</x:v>
      </x:c>
      <x:c r="K63" s="155" t="n">
        <x:f>'Supporting Schedules'!K27-'Supporting Schedules'!J27</x:f>
        <x:v>245.00777237307193</x:v>
      </x:c>
      <x:c r="L63" s="155" t="n">
        <x:f>'Supporting Schedules'!L27-'Supporting Schedules'!K27</x:f>
        <x:v>219.56211268675042</x:v>
      </x:c>
      <x:c r="M63" s="155" t="n">
        <x:f>'Supporting Schedules'!M27-'Supporting Schedules'!L27</x:f>
        <x:v>185.82332325695597</x:v>
      </x:c>
      <x:c r="N63" s="155" t="n">
        <x:f>'Supporting Schedules'!N27-'Supporting Schedules'!M27</x:f>
        <x:v>232.60750457763334</x:v>
      </x:c>
      <x:c r="O63" s="155" t="n">
        <x:f>'Supporting Schedules'!O27-'Supporting Schedules'!N27</x:f>
        <x:v>229.0070019988566</x:v>
      </x:c>
    </x:row>
    <x:row r="64">
      <x:c r="A64" t="str">
        <x:v>Change in other non-current assets</x:v>
      </x:c>
      <x:c r="B64" t="str">
        <x:v>INR mn</x:v>
      </x:c>
      <x:c r="C64" t="str">
        <x:v>Formula</x:v>
      </x:c>
      <x:c r="D64" s="158" t="n">
        <x:v>0</x:v>
      </x:c>
      <x:c r="E64" s="158" t="n">
        <x:v>4.86</x:v>
      </x:c>
      <x:c r="F64" s="158" t="n">
        <x:v>-882</x:v>
      </x:c>
      <x:c r="G64" s="155" t="n">
        <x:f>-('Supporting Schedules'!G25-'Supporting Schedules'!F25)</x:f>
        <x:v>-138.5852920646032</x:v>
      </x:c>
      <x:c r="H64" s="155" t="n">
        <x:f>-('Supporting Schedules'!H25-'Supporting Schedules'!G25)</x:f>
        <x:v>-202.77438756655943</x:v>
      </x:c>
      <x:c r="I64" s="155" t="n">
        <x:f>-('Supporting Schedules'!I25-'Supporting Schedules'!H25)</x:f>
        <x:v>-208.43949468085862</x:v>
      </x:c>
      <x:c r="J64" s="155" t="n">
        <x:f>-('Supporting Schedules'!J25-'Supporting Schedules'!I25)</x:f>
        <x:v>-188.44651868266078</x:v>
      </x:c>
      <x:c r="K64" s="155" t="n">
        <x:f>-('Supporting Schedules'!K25-'Supporting Schedules'!J25)</x:f>
        <x:v>-167.9257923596847</x:v>
      </x:c>
      <x:c r="L64" s="155" t="n">
        <x:f>-('Supporting Schedules'!L25-'Supporting Schedules'!K25)</x:f>
        <x:v>-196.93068245611403</x:v>
      </x:c>
      <x:c r="M64" s="155" t="n">
        <x:f>-('Supporting Schedules'!M25-'Supporting Schedules'!L25)</x:f>
        <x:v>-176.6466069121857</x:v>
      </x:c>
      <x:c r="N64" s="155" t="n">
        <x:f>-('Supporting Schedules'!N25-'Supporting Schedules'!M25)</x:f>
        <x:v>-169.01504684471502</x:v>
      </x:c>
      <x:c r="O64" s="155" t="n">
        <x:f>-('Supporting Schedules'!O25-'Supporting Schedules'!N25)</x:f>
        <x:v>-163.85937973778073</x:v>
      </x:c>
    </x:row>
    <x:row r="65">
      <x:c r="A65" t="str">
        <x:v>Change in net working capital</x:v>
      </x:c>
      <x:c r="B65" t="str">
        <x:v>INR mn</x:v>
      </x:c>
      <x:c r="C65" t="str">
        <x:v>Link</x:v>
      </x:c>
      <x:c r="D65" s="158" t="n">
        <x:v>-165.43</x:v>
      </x:c>
      <x:c r="E65" s="158" t="n">
        <x:v>-364.91</x:v>
      </x:c>
      <x:c r="F65" s="158" t="n">
        <x:v>1236</x:v>
      </x:c>
      <x:c r="G65" s="155" t="n">
        <x:f>-'Supporting Schedules'!G23</x:f>
        <x:v>-1096.455505996826</x:v>
      </x:c>
      <x:c r="H65" s="155" t="n">
        <x:f>-'Supporting Schedules'!H23</x:f>
        <x:v>-1082.2119791845926</x:v>
      </x:c>
      <x:c r="I65" s="155" t="n">
        <x:f>-'Supporting Schedules'!I23</x:f>
        <x:v>-995.9021434570295</x:v>
      </x:c>
      <x:c r="J65" s="155" t="n">
        <x:f>-'Supporting Schedules'!J23</x:f>
        <x:v>-1144.2450423865193</x:v>
      </x:c>
      <x:c r="K65" s="155" t="n">
        <x:f>-'Supporting Schedules'!K23</x:f>
        <x:v>-1016.2603637069442</x:v>
      </x:c>
      <x:c r="L65" s="155" t="n">
        <x:f>-'Supporting Schedules'!L23</x:f>
        <x:v>-1125.2703595762432</x:v>
      </x:c>
      <x:c r="M65" s="155" t="n">
        <x:f>-'Supporting Schedules'!M23</x:f>
        <x:v>-891.3299571920234</x:v>
      </x:c>
      <x:c r="N65" s="155" t="n">
        <x:f>-'Supporting Schedules'!N23</x:f>
        <x:v>-994.5277416515146</x:v>
      </x:c>
      <x:c r="O65" s="155" t="n">
        <x:f>-'Supporting Schedules'!O23</x:f>
        <x:v>-801.5808122424751</x:v>
      </x:c>
    </x:row>
    <x:row r="66">
      <x:c r="A66" t="str">
        <x:v>Cash taxes paid</x:v>
      </x:c>
      <x:c r="B66" t="str">
        <x:v>INR mn</x:v>
      </x:c>
      <x:c r="C66" t="str">
        <x:v>Link</x:v>
      </x:c>
      <x:c r="D66" s="158" t="n">
        <x:v>-138.73</x:v>
      </x:c>
      <x:c r="E66" s="158" t="n">
        <x:v>-216.31</x:v>
      </x:c>
      <x:c r="F66" s="158" t="n">
        <x:v>-936</x:v>
      </x:c>
      <x:c r="G66" s="112" t="n">
        <x:f>-G20</x:f>
        <x:v>-1167.574465346133</x:v>
      </x:c>
      <x:c r="H66" s="112" t="n">
        <x:f>-H20</x:f>
        <x:v>-1380.0262430427115</x:v>
      </x:c>
      <x:c r="I66" s="112" t="n">
        <x:f>-I20</x:f>
        <x:v>-1624.6847640365268</x:v>
      </x:c>
      <x:c r="J66" s="112" t="n">
        <x:f>-J20</x:f>
        <x:v>-1946.5392077047932</x:v>
      </x:c>
      <x:c r="K66" s="112" t="n">
        <x:f>-K20</x:f>
        <x:v>-2328.6476726863084</x:v>
      </x:c>
      <x:c r="L66" s="112" t="n">
        <x:f>-L20</x:f>
        <x:v>-2742.0826782625168</x:v>
      </x:c>
      <x:c r="M66" s="112" t="n">
        <x:f>-M20</x:f>
        <x:v>-3129.57250439185</x:v>
      </x:c>
      <x:c r="N66" s="112" t="n">
        <x:f>-N20</x:f>
        <x:v>-3534.1957393655453</x:v>
      </x:c>
      <x:c r="O66" s="112" t="n">
        <x:f>-O20</x:f>
        <x:v>-3960.7324045851406</x:v>
      </x:c>
    </x:row>
    <x:row r="67">
      <x:c r="A67" s="132" t="str">
        <x:v>Cash flow from operations</x:v>
      </x:c>
      <x:c r="B67" s="132" t="str">
        <x:v>INR mn</x:v>
      </x:c>
      <x:c r="C67" s="132" t="str">
        <x:v>Calculated</x:v>
      </x:c>
      <x:c r="D67" s="161" t="n">
        <x:v>2630.87</x:v>
      </x:c>
      <x:c r="E67" s="161" t="n">
        <x:v>3140.45</x:v>
      </x:c>
      <x:c r="F67" s="161" t="n">
        <x:v>7350</x:v>
      </x:c>
      <x:c r="G67" s="159" t="n">
        <x:f>SUM(G58:G66)</x:f>
        <x:v>5522.329614204737</x:v>
      </x:c>
      <x:c r="H67" s="159" t="n">
        <x:f>SUM(H58:H66)</x:f>
        <x:v>7259.069556731063</x:v>
      </x:c>
      <x:c r="I67" s="159" t="n">
        <x:f>SUM(I58:I66)</x:f>
        <x:v>9020.614999363575</x:v>
      </x:c>
      <x:c r="J67" s="159" t="n">
        <x:f>SUM(J58:J66)</x:f>
        <x:v>10569.19150177414</x:v>
      </x:c>
      <x:c r="K67" s="159" t="n">
        <x:f>SUM(K58:K66)</x:f>
        <x:v>12420.574192574277</x:v>
      </x:c>
      <x:c r="L67" s="159" t="n">
        <x:f>SUM(L58:L66)</x:f>
        <x:v>13871.888527378933</x:v>
      </x:c>
      <x:c r="M67" s="159" t="n">
        <x:f>SUM(M58:M66)</x:f>
        <x:v>15506.644318160696</x:v>
      </x:c>
      <x:c r="N67" s="159" t="n">
        <x:f>SUM(N58:N66)</x:f>
        <x:v>16894.159106291132</x:v>
      </x:c>
      <x:c r="O67" s="159" t="n">
        <x:f>SUM(O58:O66)</x:f>
        <x:v>18585.447815097166</x:v>
      </x:c>
    </x:row>
    <x:row r="68">
      <x:c r="D68" s="112"/>
      <x:c r="E68" s="112"/>
      <x:c r="F68" s="112"/>
      <x:c r="G68" s="112"/>
      <x:c r="H68" s="112"/>
      <x:c r="I68" s="112"/>
      <x:c r="J68" s="112"/>
      <x:c r="K68" s="112"/>
      <x:c r="L68" s="112"/>
      <x:c r="M68" s="112"/>
      <x:c r="N68" s="112"/>
      <x:c r="O68" s="112"/>
    </x:row>
    <x:row r="69">
      <x:c r="D69" s="112"/>
      <x:c r="E69" s="112"/>
      <x:c r="F69" s="112"/>
      <x:c r="G69" s="112"/>
      <x:c r="H69" s="112"/>
      <x:c r="I69" s="112"/>
      <x:c r="J69" s="112"/>
      <x:c r="K69" s="112"/>
      <x:c r="L69" s="112"/>
      <x:c r="M69" s="112"/>
      <x:c r="N69" s="112"/>
      <x:c r="O69" s="112"/>
    </x:row>
    <x:row r="70">
      <x:c r="A70" t="str">
        <x:v>Capital expenditure</x:v>
      </x:c>
      <x:c r="B70" t="str">
        <x:v>INR mn</x:v>
      </x:c>
      <x:c r="C70" t="str">
        <x:v>Link</x:v>
      </x:c>
      <x:c r="D70" s="158" t="n">
        <x:v>-1816.9</x:v>
      </x:c>
      <x:c r="E70" s="158" t="n">
        <x:v>-3692.8</x:v>
      </x:c>
      <x:c r="F70" s="158" t="n">
        <x:v>-6330</x:v>
      </x:c>
      <x:c r="G70" s="155" t="n">
        <x:f>-'Supporting Schedules'!G32</x:f>
        <x:v>-12000</x:v>
      </x:c>
      <x:c r="H70" s="155" t="n">
        <x:f>-'Supporting Schedules'!H32</x:f>
        <x:v>-9000</x:v>
      </x:c>
      <x:c r="I70" s="155" t="n">
        <x:f>-'Supporting Schedules'!I32</x:f>
        <x:v>-7500</x:v>
      </x:c>
      <x:c r="J70" s="155" t="n">
        <x:f>-'Supporting Schedules'!J32</x:f>
        <x:v>-6500</x:v>
      </x:c>
      <x:c r="K70" s="155" t="n">
        <x:f>-'Supporting Schedules'!K32</x:f>
        <x:v>-6000</x:v>
      </x:c>
      <x:c r="L70" s="155" t="n">
        <x:f>-'Supporting Schedules'!L32</x:f>
        <x:v>-6000</x:v>
      </x:c>
      <x:c r="M70" s="155" t="n">
        <x:f>-'Supporting Schedules'!M32</x:f>
        <x:v>-6500</x:v>
      </x:c>
      <x:c r="N70" s="155" t="n">
        <x:f>-'Supporting Schedules'!N32</x:f>
        <x:v>-7000</x:v>
      </x:c>
      <x:c r="O70" s="155" t="n">
        <x:f>-'Supporting Schedules'!O32</x:f>
        <x:v>-7500</x:v>
      </x:c>
    </x:row>
    <x:row r="71">
      <x:c r="A71" t="str">
        <x:v>Interest income received</x:v>
      </x:c>
      <x:c r="B71" t="str">
        <x:v>INR mn</x:v>
      </x:c>
      <x:c r="C71" t="str">
        <x:v>Link</x:v>
      </x:c>
      <x:c r="D71" s="158" t="n">
        <x:v>121.75</x:v>
      </x:c>
      <x:c r="E71" s="158" t="n">
        <x:v>159.11</x:v>
      </x:c>
      <x:c r="F71" s="158" t="n">
        <x:v>190</x:v>
      </x:c>
      <x:c r="G71" s="112" t="n">
        <x:f>G16</x:f>
        <x:v>102.6258288023492</x:v>
      </x:c>
      <x:c r="H71" s="112" t="n">
        <x:f>H16</x:f>
        <x:v>126.77732876728663</x:v>
      </x:c>
      <x:c r="I71" s="112" t="n">
        <x:f>I16</x:f>
        <x:v>187.6278217552254</x:v>
      </x:c>
      <x:c r="J71" s="112" t="n">
        <x:f>J16</x:f>
        <x:v>249.53679688141926</x:v>
      </x:c>
      <x:c r="K71" s="112" t="n">
        <x:f>K16</x:f>
        <x:v>312.00268262138496</x:v>
      </x:c>
      <x:c r="L71" s="112" t="n">
        <x:f>L16</x:f>
        <x:v>482.26316579270065</x:v>
      </x:c>
      <x:c r="M71" s="112" t="n">
        <x:f>M16</x:f>
        <x:v>723.8284649502075</x:v>
      </x:c>
      <x:c r="N71" s="112" t="n">
        <x:f>N16</x:f>
        <x:v>1048.2024471340721</x:v>
      </x:c>
      <x:c r="O71" s="112" t="n">
        <x:f>O16</x:f>
        <x:v>1424.3676009799253</x:v>
      </x:c>
    </x:row>
    <x:row r="72">
      <x:c r="A72" t="str">
        <x:v>Other investing cash flow</x:v>
      </x:c>
      <x:c r="B72" t="str">
        <x:v>INR mn</x:v>
      </x:c>
      <x:c r="C72" t="str">
        <x:v>Assumption</x:v>
      </x:c>
      <x:c r="D72" s="158" t="n">
        <x:v>-228.66</x:v>
      </x:c>
      <x:c r="E72" s="158" t="n">
        <x:v>-1832.96</x:v>
      </x:c>
      <x:c r="F72" s="158" t="n">
        <x:v>0</x:v>
      </x:c>
      <x:c r="G72" s="112" t="n">
        <x:v>0</x:v>
      </x:c>
      <x:c r="H72" s="112" t="n">
        <x:v>0</x:v>
      </x:c>
      <x:c r="I72" s="112" t="n">
        <x:v>0</x:v>
      </x:c>
      <x:c r="J72" s="112" t="n">
        <x:v>0</x:v>
      </x:c>
      <x:c r="K72" s="112" t="n">
        <x:v>0</x:v>
      </x:c>
      <x:c r="L72" s="112" t="n">
        <x:v>0</x:v>
      </x:c>
      <x:c r="M72" s="112" t="n">
        <x:v>0</x:v>
      </x:c>
      <x:c r="N72" s="112" t="n">
        <x:v>0</x:v>
      </x:c>
      <x:c r="O72" s="112" t="n">
        <x:v>0</x:v>
      </x:c>
    </x:row>
    <x:row r="73">
      <x:c r="A73" s="132" t="str">
        <x:v>Cash flow from investing</x:v>
      </x:c>
      <x:c r="B73" s="132" t="str">
        <x:v>INR mn</x:v>
      </x:c>
      <x:c r="C73" s="132" t="str">
        <x:v>Calculated</x:v>
      </x:c>
      <x:c r="D73" s="161" t="n">
        <x:v>-1923.81</x:v>
      </x:c>
      <x:c r="E73" s="161" t="n">
        <x:v>-5366.65</x:v>
      </x:c>
      <x:c r="F73" s="161" t="n">
        <x:v>-6140</x:v>
      </x:c>
      <x:c r="G73" s="159" t="n">
        <x:f>SUM(G70:G72)</x:f>
        <x:v>-11897.37417119765</x:v>
      </x:c>
      <x:c r="H73" s="159" t="n">
        <x:f>SUM(H70:H72)</x:f>
        <x:v>-8873.222671232714</x:v>
      </x:c>
      <x:c r="I73" s="159" t="n">
        <x:f>SUM(I70:I72)</x:f>
        <x:v>-7312.372178244775</x:v>
      </x:c>
      <x:c r="J73" s="159" t="n">
        <x:f>SUM(J70:J72)</x:f>
        <x:v>-6250.463203118581</x:v>
      </x:c>
      <x:c r="K73" s="159" t="n">
        <x:f>SUM(K70:K72)</x:f>
        <x:v>-5687.997317378615</x:v>
      </x:c>
      <x:c r="L73" s="159" t="n">
        <x:f>SUM(L70:L72)</x:f>
        <x:v>-5517.7368342073</x:v>
      </x:c>
      <x:c r="M73" s="159" t="n">
        <x:f>SUM(M70:M72)</x:f>
        <x:v>-5776.1715350497925</x:v>
      </x:c>
      <x:c r="N73" s="159" t="n">
        <x:f>SUM(N70:N72)</x:f>
        <x:v>-5951.797552865928</x:v>
      </x:c>
      <x:c r="O73" s="159" t="n">
        <x:f>SUM(O70:O72)</x:f>
        <x:v>-6075.632399020074</x:v>
      </x:c>
    </x:row>
    <x:row r="74">
      <x:c r="D74" s="112"/>
      <x:c r="E74" s="112"/>
      <x:c r="F74" s="112"/>
      <x:c r="G74" s="112"/>
      <x:c r="H74" s="112"/>
      <x:c r="I74" s="112"/>
      <x:c r="J74" s="112"/>
      <x:c r="K74" s="112"/>
      <x:c r="L74" s="112"/>
      <x:c r="M74" s="112"/>
      <x:c r="N74" s="112"/>
      <x:c r="O74" s="112"/>
    </x:row>
    <x:row r="75">
      <x:c r="D75" s="112"/>
      <x:c r="E75" s="112"/>
      <x:c r="F75" s="112"/>
      <x:c r="G75" s="112"/>
      <x:c r="H75" s="112"/>
      <x:c r="I75" s="112"/>
      <x:c r="J75" s="112"/>
      <x:c r="K75" s="112"/>
      <x:c r="L75" s="112"/>
      <x:c r="M75" s="112"/>
      <x:c r="N75" s="112"/>
      <x:c r="O75" s="112"/>
    </x:row>
    <x:row r="76">
      <x:c r="A76" t="str">
        <x:v>Debt raised</x:v>
      </x:c>
      <x:c r="B76" t="str">
        <x:v>INR mn</x:v>
      </x:c>
      <x:c r="C76" t="str">
        <x:v>Link</x:v>
      </x:c>
      <x:c r="D76" s="158" t="n">
        <x:v>998.93</x:v>
      </x:c>
      <x:c r="E76" s="158" t="n">
        <x:v>534.08</x:v>
      </x:c>
      <x:c r="F76" s="158" t="n">
        <x:v>210</x:v>
      </x:c>
      <x:c r="G76" s="155" t="n">
        <x:f>'Supporting Schedules'!G55</x:f>
        <x:v>7000</x:v>
      </x:c>
      <x:c r="H76" s="155" t="n">
        <x:f>'Supporting Schedules'!H55</x:f>
        <x:v>4000</x:v>
      </x:c>
      <x:c r="I76" s="155" t="n">
        <x:f>'Supporting Schedules'!I55</x:f>
        <x:v>2000</x:v>
      </x:c>
      <x:c r="J76" s="155" t="n">
        <x:f>'Supporting Schedules'!J55</x:f>
        <x:v>0</x:v>
      </x:c>
      <x:c r="K76" s="155" t="n">
        <x:f>'Supporting Schedules'!K55</x:f>
        <x:v>0</x:v>
      </x:c>
      <x:c r="L76" s="155" t="n">
        <x:f>'Supporting Schedules'!L55</x:f>
        <x:v>0</x:v>
      </x:c>
      <x:c r="M76" s="155" t="n">
        <x:f>'Supporting Schedules'!M55</x:f>
        <x:v>0</x:v>
      </x:c>
      <x:c r="N76" s="155" t="n">
        <x:f>'Supporting Schedules'!N55</x:f>
        <x:v>0</x:v>
      </x:c>
      <x:c r="O76" s="155" t="n">
        <x:f>'Supporting Schedules'!O55</x:f>
        <x:v>0</x:v>
      </x:c>
    </x:row>
    <x:row r="77">
      <x:c r="A77" t="str">
        <x:v>Debt repaid</x:v>
      </x:c>
      <x:c r="B77" t="str">
        <x:v>INR mn</x:v>
      </x:c>
      <x:c r="C77" t="str">
        <x:v>Link</x:v>
      </x:c>
      <x:c r="D77" s="158" t="n">
        <x:v>-667.28</x:v>
      </x:c>
      <x:c r="E77" s="158" t="n">
        <x:v>-6238.3</x:v>
      </x:c>
      <x:c r="F77" s="158" t="n">
        <x:v>-536</x:v>
      </x:c>
      <x:c r="G77" s="155" t="n">
        <x:f>-'Supporting Schedules'!G56</x:f>
        <x:v>0</x:v>
      </x:c>
      <x:c r="H77" s="155" t="n">
        <x:f>-'Supporting Schedules'!H56</x:f>
        <x:v>-500</x:v>
      </x:c>
      <x:c r="I77" s="155" t="n">
        <x:f>-'Supporting Schedules'!I56</x:f>
        <x:v>-1000</x:v>
      </x:c>
      <x:c r="J77" s="155" t="n">
        <x:f>-'Supporting Schedules'!J56</x:f>
        <x:v>-1500</x:v>
      </x:c>
      <x:c r="K77" s="155" t="n">
        <x:f>-'Supporting Schedules'!K56</x:f>
        <x:v>-1500</x:v>
      </x:c>
      <x:c r="L77" s="155" t="n">
        <x:f>-'Supporting Schedules'!L56</x:f>
        <x:v>-1500</x:v>
      </x:c>
      <x:c r="M77" s="155" t="n">
        <x:f>-'Supporting Schedules'!M56</x:f>
        <x:v>-1000</x:v>
      </x:c>
      <x:c r="N77" s="155" t="n">
        <x:f>-'Supporting Schedules'!N56</x:f>
        <x:v>-1000</x:v>
      </x:c>
      <x:c r="O77" s="155" t="n">
        <x:f>-'Supporting Schedules'!O56</x:f>
        <x:v>-1000</x:v>
      </x:c>
    </x:row>
    <x:row r="78">
      <x:c r="A78" t="str">
        <x:v>Interest paid</x:v>
      </x:c>
      <x:c r="B78" t="str">
        <x:v>INR mn</x:v>
      </x:c>
      <x:c r="C78" t="str">
        <x:v>Link</x:v>
      </x:c>
      <x:c r="D78" s="158" t="n">
        <x:v>-599.73</x:v>
      </x:c>
      <x:c r="E78" s="158" t="n">
        <x:v>-525.12</x:v>
      </x:c>
      <x:c r="F78" s="158" t="n">
        <x:v>-390</x:v>
      </x:c>
      <x:c r="G78" s="112" t="n">
        <x:f>-G15</x:f>
        <x:v>-379.1</x:v>
      </x:c>
      <x:c r="H78" s="112" t="n">
        <x:f>-H15</x:f>
        <x:v>-825.35</x:v>
      </x:c>
      <x:c r="I78" s="112" t="n">
        <x:f>-I15</x:f>
        <x:v>-1016.6</x:v>
      </x:c>
      <x:c r="J78" s="112" t="n">
        <x:f>-J15</x:f>
        <x:v>-995.35</x:v>
      </x:c>
      <x:c r="K78" s="112" t="n">
        <x:f>-K15</x:f>
        <x:v>-867.85</x:v>
      </x:c>
      <x:c r="L78" s="112" t="n">
        <x:f>-L15</x:f>
        <x:v>-740.35</x:v>
      </x:c>
      <x:c r="M78" s="112" t="n">
        <x:f>-M15</x:f>
        <x:v>-634.1</x:v>
      </x:c>
      <x:c r="N78" s="112" t="n">
        <x:f>-N15</x:f>
        <x:v>-549.1</x:v>
      </x:c>
      <x:c r="O78" s="112" t="n">
        <x:f>-O15</x:f>
        <x:v>-464.1</x:v>
      </x:c>
    </x:row>
    <x:row r="79">
      <x:c r="A79" t="str">
        <x:v>Equity issuance / ESOP proceeds</x:v>
      </x:c>
      <x:c r="B79" t="str">
        <x:v>INR mn</x:v>
      </x:c>
      <x:c r="C79" t="str">
        <x:v>Link</x:v>
      </x:c>
      <x:c r="D79" s="158" t="n">
        <x:v>9.67</x:v>
      </x:c>
      <x:c r="E79" s="158" t="n">
        <x:v>10003.22</x:v>
      </x:c>
      <x:c r="F79" s="158" t="n">
        <x:v>20</x:v>
      </x:c>
      <x:c r="G79" s="155" t="n">
        <x:f>'Supporting Schedules'!G87</x:f>
        <x:v>50</x:v>
      </x:c>
      <x:c r="H79" s="155" t="n">
        <x:f>'Supporting Schedules'!H87</x:f>
        <x:v>50</x:v>
      </x:c>
      <x:c r="I79" s="155" t="n">
        <x:f>'Supporting Schedules'!I87</x:f>
        <x:v>50</x:v>
      </x:c>
      <x:c r="J79" s="155" t="n">
        <x:f>'Supporting Schedules'!J87</x:f>
        <x:v>50</x:v>
      </x:c>
      <x:c r="K79" s="155" t="n">
        <x:f>'Supporting Schedules'!K87</x:f>
        <x:v>50</x:v>
      </x:c>
      <x:c r="L79" s="155" t="n">
        <x:f>'Supporting Schedules'!L87</x:f>
        <x:v>50</x:v>
      </x:c>
      <x:c r="M79" s="155" t="n">
        <x:f>'Supporting Schedules'!M87</x:f>
        <x:v>50</x:v>
      </x:c>
      <x:c r="N79" s="155" t="n">
        <x:f>'Supporting Schedules'!N87</x:f>
        <x:v>50</x:v>
      </x:c>
      <x:c r="O79" s="155" t="n">
        <x:f>'Supporting Schedules'!O87</x:f>
        <x:v>50</x:v>
      </x:c>
    </x:row>
    <x:row r="80">
      <x:c r="A80" t="str">
        <x:v>Dividend</x:v>
      </x:c>
      <x:c r="B80" t="str">
        <x:v>INR mn</x:v>
      </x:c>
      <x:c r="C80" t="str">
        <x:v>Link</x:v>
      </x:c>
      <x:c r="D80" s="158" t="n">
        <x:v>0</x:v>
      </x:c>
      <x:c r="E80" s="158" t="n">
        <x:v>0</x:v>
      </x:c>
      <x:c r="F80" s="158" t="n">
        <x:v>0</x:v>
      </x:c>
      <x:c r="G80" s="155" t="n">
        <x:f>-'Supporting Schedules'!G91</x:f>
        <x:v>0</x:v>
      </x:c>
      <x:c r="H80" s="155" t="n">
        <x:f>-'Supporting Schedules'!H91</x:f>
        <x:v>0</x:v>
      </x:c>
      <x:c r="I80" s="155" t="n">
        <x:f>-'Supporting Schedules'!I91</x:f>
        <x:v>-609.2567865136975</x:v>
      </x:c>
      <x:c r="J80" s="155" t="n">
        <x:f>-'Supporting Schedules'!J91</x:f>
        <x:v>-729.9522028892975</x:v>
      </x:c>
      <x:c r="K80" s="155" t="n">
        <x:f>-'Supporting Schedules'!K91</x:f>
        <x:v>-873.2428772573656</x:v>
      </x:c>
      <x:c r="L80" s="155" t="n">
        <x:f>-'Supporting Schedules'!L91</x:f>
        <x:v>-1028.2810043484437</x:v>
      </x:c>
      <x:c r="M80" s="155" t="n">
        <x:f>-'Supporting Schedules'!M91</x:f>
        <x:v>-1173.5896891469438</x:v>
      </x:c>
      <x:c r="N80" s="155" t="n">
        <x:f>-'Supporting Schedules'!N91</x:f>
        <x:v>-1325.3234022620795</x:v>
      </x:c>
      <x:c r="O80" s="155" t="n">
        <x:f>-'Supporting Schedules'!O91</x:f>
        <x:v>-1485.2746517194278</x:v>
      </x:c>
    </x:row>
    <x:row r="81">
      <x:c r="A81" t="str">
        <x:v>Other financing cash flow</x:v>
      </x:c>
      <x:c r="B81" t="str">
        <x:v>INR mn</x:v>
      </x:c>
      <x:c r="C81" t="str">
        <x:v>Assumption</x:v>
      </x:c>
      <x:c r="D81" s="158" t="n">
        <x:v>-694.58</x:v>
      </x:c>
      <x:c r="E81" s="158" t="n">
        <x:v>-759.63</x:v>
      </x:c>
      <x:c r="F81" s="158" t="n">
        <x:v>-314</x:v>
      </x:c>
      <x:c r="G81" s="112" t="n">
        <x:v>0</x:v>
      </x:c>
      <x:c r="H81" s="112" t="n">
        <x:v>0</x:v>
      </x:c>
      <x:c r="I81" s="112" t="n">
        <x:v>0</x:v>
      </x:c>
      <x:c r="J81" s="112" t="n">
        <x:v>0</x:v>
      </x:c>
      <x:c r="K81" s="112" t="n">
        <x:v>0</x:v>
      </x:c>
      <x:c r="L81" s="112" t="n">
        <x:v>0</x:v>
      </x:c>
      <x:c r="M81" s="112" t="n">
        <x:v>0</x:v>
      </x:c>
      <x:c r="N81" s="112" t="n">
        <x:v>0</x:v>
      </x:c>
      <x:c r="O81" s="112" t="n">
        <x:v>0</x:v>
      </x:c>
    </x:row>
    <x:row r="82">
      <x:c r="A82" s="132" t="str">
        <x:v>Cash flow from financing</x:v>
      </x:c>
      <x:c r="B82" s="132" t="str">
        <x:v>INR mn</x:v>
      </x:c>
      <x:c r="C82" s="132" t="str">
        <x:v>Calculated</x:v>
      </x:c>
      <x:c r="D82" s="161" t="n">
        <x:v>-952.99</x:v>
      </x:c>
      <x:c r="E82" s="161" t="n">
        <x:v>3014.25</x:v>
      </x:c>
      <x:c r="F82" s="161" t="n">
        <x:v>-1010</x:v>
      </x:c>
      <x:c r="G82" s="159" t="n">
        <x:f>SUM(G76:G81)</x:f>
        <x:v>6670.9</x:v>
      </x:c>
      <x:c r="H82" s="159" t="n">
        <x:f>SUM(H76:H81)</x:f>
        <x:v>2724.65</x:v>
      </x:c>
      <x:c r="I82" s="159" t="n">
        <x:f>SUM(I76:I81)</x:f>
        <x:v>-575.8567865136976</x:v>
      </x:c>
      <x:c r="J82" s="159" t="n">
        <x:f>SUM(J76:J81)</x:f>
        <x:v>-3175.3022028892974</x:v>
      </x:c>
      <x:c r="K82" s="159" t="n">
        <x:f>SUM(K76:K81)</x:f>
        <x:v>-3191.0928772573657</x:v>
      </x:c>
      <x:c r="L82" s="159" t="n">
        <x:f>SUM(L76:L81)</x:f>
        <x:v>-3218.6310043484436</x:v>
      </x:c>
      <x:c r="M82" s="159" t="n">
        <x:f>SUM(M76:M81)</x:f>
        <x:v>-2757.6896891469437</x:v>
      </x:c>
      <x:c r="N82" s="159" t="n">
        <x:f>SUM(N76:N81)</x:f>
        <x:v>-2824.4234022620794</x:v>
      </x:c>
      <x:c r="O82" s="159" t="n">
        <x:f>SUM(O76:O81)</x:f>
        <x:v>-2899.3746517194277</x:v>
      </x:c>
    </x:row>
    <x:row r="83">
      <x:c r="D83" s="112"/>
      <x:c r="E83" s="112"/>
      <x:c r="F83" s="112"/>
      <x:c r="G83" s="112"/>
      <x:c r="H83" s="112"/>
      <x:c r="I83" s="112"/>
      <x:c r="J83" s="112"/>
      <x:c r="K83" s="112"/>
      <x:c r="L83" s="112"/>
      <x:c r="M83" s="112"/>
      <x:c r="N83" s="112"/>
      <x:c r="O83" s="112"/>
    </x:row>
    <x:row r="84">
      <x:c r="D84" s="112"/>
      <x:c r="E84" s="112"/>
      <x:c r="F84" s="112"/>
      <x:c r="G84" s="112"/>
      <x:c r="H84" s="112"/>
      <x:c r="I84" s="112"/>
      <x:c r="J84" s="112"/>
      <x:c r="K84" s="112"/>
      <x:c r="L84" s="112"/>
      <x:c r="M84" s="112"/>
      <x:c r="N84" s="112"/>
      <x:c r="O84" s="112"/>
    </x:row>
    <x:row r="85">
      <x:c r="A85" t="str">
        <x:v>Opening cash</x:v>
      </x:c>
      <x:c r="B85" t="str">
        <x:v>INR mn</x:v>
      </x:c>
      <x:c r="C85" t="str">
        <x:v>Formula</x:v>
      </x:c>
      <x:c r="D85" s="158" t="n">
        <x:v>355.29</x:v>
      </x:c>
      <x:c r="E85" s="158" t="n">
        <x:v>236.57</x:v>
      </x:c>
      <x:c r="F85" s="158" t="n">
        <x:v>911.19</x:v>
      </x:c>
      <x:c r="G85" s="112" t="n">
        <x:f>F90</x:f>
        <x:v>1110</x:v>
      </x:c>
      <x:c r="H85" s="112" t="n">
        <x:f>G90</x:f>
        <x:v>1405.8554430070853</x:v>
      </x:c>
      <x:c r="I85" s="112" t="n">
        <x:f>H90</x:f>
        <x:v>2516.352328505435</x:v>
      </x:c>
      <x:c r="J85" s="112" t="n">
        <x:f>I90</x:f>
        <x:v>3648.7383631105376</x:v>
      </x:c>
      <x:c r="K85" s="112" t="n">
        <x:f>J90</x:f>
        <x:v>4792.1644588767995</x:v>
      </x:c>
      <x:c r="L85" s="112" t="n">
        <x:f>K90</x:f>
        <x:v>8333.648456815095</x:v>
      </x:c>
      <x:c r="M85" s="112" t="n">
        <x:f>L90</x:f>
        <x:v>13469.169145638283</x:v>
      </x:c>
      <x:c r="N85" s="112" t="n">
        <x:f>M90</x:f>
        <x:v>20441.952239602244</x:v>
      </x:c>
      <x:c r="O85" s="112" t="n">
        <x:f>N90</x:f>
        <x:v>28559.890390765366</x:v>
      </x:c>
    </x:row>
    <x:row r="86">
      <x:c r="A86" t="str">
        <x:v>Cash flow from operations</x:v>
      </x:c>
      <x:c r="B86" t="str">
        <x:v>INR mn</x:v>
      </x:c>
      <x:c r="C86" t="str">
        <x:v>Link</x:v>
      </x:c>
      <x:c r="D86" s="158" t="n">
        <x:v>2630.87</x:v>
      </x:c>
      <x:c r="E86" s="158" t="n">
        <x:v>3140.45</x:v>
      </x:c>
      <x:c r="F86" s="158" t="n">
        <x:v>7350</x:v>
      </x:c>
      <x:c r="G86" s="112" t="n">
        <x:f>G67</x:f>
        <x:v>5522.329614204737</x:v>
      </x:c>
      <x:c r="H86" s="112" t="n">
        <x:f>H67</x:f>
        <x:v>7259.069556731063</x:v>
      </x:c>
      <x:c r="I86" s="112" t="n">
        <x:f>I67</x:f>
        <x:v>9020.614999363575</x:v>
      </x:c>
      <x:c r="J86" s="112" t="n">
        <x:f>J67</x:f>
        <x:v>10569.19150177414</x:v>
      </x:c>
      <x:c r="K86" s="112" t="n">
        <x:f>K67</x:f>
        <x:v>12420.574192574277</x:v>
      </x:c>
      <x:c r="L86" s="112" t="n">
        <x:f>L67</x:f>
        <x:v>13871.888527378933</x:v>
      </x:c>
      <x:c r="M86" s="112" t="n">
        <x:f>M67</x:f>
        <x:v>15506.644318160696</x:v>
      </x:c>
      <x:c r="N86" s="112" t="n">
        <x:f>N67</x:f>
        <x:v>16894.159106291132</x:v>
      </x:c>
      <x:c r="O86" s="112" t="n">
        <x:f>O67</x:f>
        <x:v>18585.447815097166</x:v>
      </x:c>
    </x:row>
    <x:row r="87">
      <x:c r="A87" t="str">
        <x:v>Cash flow from investing</x:v>
      </x:c>
      <x:c r="B87" t="str">
        <x:v>INR mn</x:v>
      </x:c>
      <x:c r="C87" t="str">
        <x:v>Link</x:v>
      </x:c>
      <x:c r="D87" s="158" t="n">
        <x:v>-1923.81</x:v>
      </x:c>
      <x:c r="E87" s="158" t="n">
        <x:v>-5366.65</x:v>
      </x:c>
      <x:c r="F87" s="158" t="n">
        <x:v>-6140</x:v>
      </x:c>
      <x:c r="G87" s="112" t="n">
        <x:f>G73</x:f>
        <x:v>-11897.37417119765</x:v>
      </x:c>
      <x:c r="H87" s="112" t="n">
        <x:f>H73</x:f>
        <x:v>-8873.222671232714</x:v>
      </x:c>
      <x:c r="I87" s="112" t="n">
        <x:f>I73</x:f>
        <x:v>-7312.372178244775</x:v>
      </x:c>
      <x:c r="J87" s="112" t="n">
        <x:f>J73</x:f>
        <x:v>-6250.463203118581</x:v>
      </x:c>
      <x:c r="K87" s="112" t="n">
        <x:f>K73</x:f>
        <x:v>-5687.997317378615</x:v>
      </x:c>
      <x:c r="L87" s="112" t="n">
        <x:f>L73</x:f>
        <x:v>-5517.7368342073</x:v>
      </x:c>
      <x:c r="M87" s="112" t="n">
        <x:f>M73</x:f>
        <x:v>-5776.1715350497925</x:v>
      </x:c>
      <x:c r="N87" s="112" t="n">
        <x:f>N73</x:f>
        <x:v>-5951.797552865928</x:v>
      </x:c>
      <x:c r="O87" s="112" t="n">
        <x:f>O73</x:f>
        <x:v>-6075.632399020074</x:v>
      </x:c>
    </x:row>
    <x:row r="88">
      <x:c r="A88" t="str">
        <x:v>Cash flow from financing</x:v>
      </x:c>
      <x:c r="B88" t="str">
        <x:v>INR mn</x:v>
      </x:c>
      <x:c r="C88" t="str">
        <x:v>Link</x:v>
      </x:c>
      <x:c r="D88" s="158" t="n">
        <x:v>-952.99</x:v>
      </x:c>
      <x:c r="E88" s="158" t="n">
        <x:v>3014.25</x:v>
      </x:c>
      <x:c r="F88" s="158" t="n">
        <x:v>-1010</x:v>
      </x:c>
      <x:c r="G88" s="112" t="n">
        <x:f>G82</x:f>
        <x:v>6670.9</x:v>
      </x:c>
      <x:c r="H88" s="112" t="n">
        <x:f>H82</x:f>
        <x:v>2724.65</x:v>
      </x:c>
      <x:c r="I88" s="112" t="n">
        <x:f>I82</x:f>
        <x:v>-575.8567865136976</x:v>
      </x:c>
      <x:c r="J88" s="112" t="n">
        <x:f>J82</x:f>
        <x:v>-3175.3022028892974</x:v>
      </x:c>
      <x:c r="K88" s="112" t="n">
        <x:f>K82</x:f>
        <x:v>-3191.0928772573657</x:v>
      </x:c>
      <x:c r="L88" s="112" t="n">
        <x:f>L82</x:f>
        <x:v>-3218.6310043484436</x:v>
      </x:c>
      <x:c r="M88" s="112" t="n">
        <x:f>M82</x:f>
        <x:v>-2757.6896891469437</x:v>
      </x:c>
      <x:c r="N88" s="112" t="n">
        <x:f>N82</x:f>
        <x:v>-2824.4234022620794</x:v>
      </x:c>
      <x:c r="O88" s="112" t="n">
        <x:f>O82</x:f>
        <x:v>-2899.3746517194277</x:v>
      </x:c>
    </x:row>
    <x:row r="89">
      <x:c r="A89" t="str">
        <x:v>FX / other adjustments</x:v>
      </x:c>
      <x:c r="B89" t="str">
        <x:v>INR mn</x:v>
      </x:c>
      <x:c r="C89" t="str">
        <x:v>Assumption</x:v>
      </x:c>
      <x:c r="D89" s="158" t="n">
        <x:v>127.21</x:v>
      </x:c>
      <x:c r="E89" s="158" t="n">
        <x:v>-113.43</x:v>
      </x:c>
      <x:c r="F89" s="158" t="n">
        <x:v>-1.19</x:v>
      </x:c>
      <x:c r="G89" s="112" t="n">
        <x:v>0</x:v>
      </x:c>
      <x:c r="H89" s="112" t="n">
        <x:v>0</x:v>
      </x:c>
      <x:c r="I89" s="112" t="n">
        <x:v>0</x:v>
      </x:c>
      <x:c r="J89" s="112" t="n">
        <x:v>0</x:v>
      </x:c>
      <x:c r="K89" s="112" t="n">
        <x:v>0</x:v>
      </x:c>
      <x:c r="L89" s="112" t="n">
        <x:v>0</x:v>
      </x:c>
      <x:c r="M89" s="112" t="n">
        <x:v>0</x:v>
      </x:c>
      <x:c r="N89" s="112" t="n">
        <x:v>0</x:v>
      </x:c>
      <x:c r="O89" s="112" t="n">
        <x:v>0</x:v>
      </x:c>
    </x:row>
    <x:row r="90">
      <x:c r="A90" s="132" t="str">
        <x:v>Closing cash</x:v>
      </x:c>
      <x:c r="B90" s="132" t="str">
        <x:v>INR mn</x:v>
      </x:c>
      <x:c r="C90" s="132" t="str">
        <x:v>Calculated</x:v>
      </x:c>
      <x:c r="D90" s="161" t="n">
        <x:v>236.57</x:v>
      </x:c>
      <x:c r="E90" s="161" t="n">
        <x:v>911.19</x:v>
      </x:c>
      <x:c r="F90" s="161" t="n">
        <x:v>1110</x:v>
      </x:c>
      <x:c r="G90" s="159" t="n">
        <x:f>SUM(G85:G89)</x:f>
        <x:v>1405.8554430070853</x:v>
      </x:c>
      <x:c r="H90" s="159" t="n">
        <x:f>SUM(H85:H89)</x:f>
        <x:v>2516.352328505435</x:v>
      </x:c>
      <x:c r="I90" s="159" t="n">
        <x:f>SUM(I85:I89)</x:f>
        <x:v>3648.7383631105376</x:v>
      </x:c>
      <x:c r="J90" s="159" t="n">
        <x:f>SUM(J85:J89)</x:f>
        <x:v>4792.1644588767995</x:v>
      </x:c>
      <x:c r="K90" s="159" t="n">
        <x:f>SUM(K85:K89)</x:f>
        <x:v>8333.648456815095</x:v>
      </x:c>
      <x:c r="L90" s="159" t="n">
        <x:f>SUM(L85:L89)</x:f>
        <x:v>13469.169145638283</x:v>
      </x:c>
      <x:c r="M90" s="159" t="n">
        <x:f>SUM(M85:M89)</x:f>
        <x:v>20441.952239602244</x:v>
      </x:c>
      <x:c r="N90" s="159" t="n">
        <x:f>SUM(N85:N89)</x:f>
        <x:v>28559.890390765366</x:v>
      </x:c>
      <x:c r="O90" s="159" t="n">
        <x:f>SUM(O85:O89)</x:f>
        <x:v>38170.33115512302</x:v>
      </x:c>
    </x:row>
    <x:row r="91">
      <x:c r="A91" t="str">
        <x:v>Cash reconciliation check</x:v>
      </x:c>
      <x:c r="B91" t="str">
        <x:v>INR mn</x:v>
      </x:c>
      <x:c r="C91" t="str">
        <x:v>Check</x:v>
      </x:c>
      <x:c r="D91" s="112" t="n">
        <x:f>D90-D37</x:f>
        <x:v>0</x:v>
      </x:c>
      <x:c r="E91" s="112" t="n">
        <x:f>E90-E37</x:f>
        <x:v>0</x:v>
      </x:c>
      <x:c r="F91" s="112" t="n">
        <x:f>F90-F37</x:f>
        <x:v>0</x:v>
      </x:c>
      <x:c r="G91" s="112" t="n">
        <x:f>G90-G37</x:f>
        <x:v>0</x:v>
      </x:c>
      <x:c r="H91" s="112" t="n">
        <x:f>H90-H37</x:f>
        <x:v>0</x:v>
      </x:c>
      <x:c r="I91" s="112" t="n">
        <x:f>I90-I37</x:f>
        <x:v>0</x:v>
      </x:c>
      <x:c r="J91" s="112" t="n">
        <x:f>J90-J37</x:f>
        <x:v>0</x:v>
      </x:c>
      <x:c r="K91" s="112" t="n">
        <x:f>K90-K37</x:f>
        <x:v>0</x:v>
      </x:c>
      <x:c r="L91" s="112" t="n">
        <x:f>L90-L37</x:f>
        <x:v>0</x:v>
      </x:c>
      <x:c r="M91" s="112" t="n">
        <x:f>M90-M37</x:f>
        <x:v>0</x:v>
      </x:c>
      <x:c r="N91" s="112" t="n">
        <x:f>N90-N37</x:f>
        <x:v>0</x:v>
      </x:c>
      <x:c r="O91" s="112" t="n">
        <x:f>O90-O37</x:f>
        <x:v>0</x:v>
      </x:c>
    </x:row>
  </x:sheetData>
  <x:mergeCells>
    <x:mergeCell ref="A1:O1"/>
    <x:mergeCell ref="A2:O2"/>
    <x:mergeCell ref="A5:O5"/>
    <x:mergeCell ref="A30:O30"/>
    <x:mergeCell ref="A55:O55"/>
  </x:mergeCells>
  <x:conditionalFormatting sqref="D51:O51">
    <x:cfRule type="expression" dxfId="8" priority="1">
      <x:formula>ABS(D51)&gt;0.1</x:formula>
    </x:cfRule>
    <x:cfRule type="expression" dxfId="9" priority="2">
      <x:formula>ABS(D51)&lt;=0.1</x:formula>
    </x:cfRule>
  </x:conditionalFormatting>
  <x:conditionalFormatting sqref="D91:O91">
    <x:cfRule type="expression" dxfId="10" priority="3">
      <x:formula>ABS(D91)&gt;0.1</x:formula>
    </x:cfRule>
    <x:cfRule type="expression" dxfId="11" priority="4">
      <x:formula>ABS(D91)&lt;=0.1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4" customHeight="1">
      <x:c r="A1" s="72" t="str">
        <x:v>Supporting Schedules - Working Capital, Capex, Debt, Tax, Equity and Operating Costs</x:v>
      </x:c>
      <x:c r="B1" s="72"/>
      <x:c r="C1" s="72"/>
      <x:c r="D1" s="146"/>
      <x:c r="E1" s="146"/>
      <x:c r="F1" s="146"/>
      <x:c r="G1" s="148"/>
      <x:c r="H1" s="148"/>
      <x:c r="I1" s="148"/>
      <x:c r="J1" s="148"/>
      <x:c r="K1" s="148"/>
      <x:c r="L1" s="148"/>
      <x:c r="M1" s="148"/>
      <x:c r="N1" s="148"/>
      <x:c r="O1" s="148"/>
    </x:row>
    <x:row r="3">
      <x:c r="A3" s="29" t="str">
        <x:v>Metric</x:v>
      </x:c>
      <x:c r="B3" s="29" t="str">
        <x:v>Units</x:v>
      </x:c>
      <x:c r="C3" s="29" t="str">
        <x:v>Classification</x:v>
      </x:c>
      <x:c r="D3" s="52" t="str">
        <x:v>FY2024A</x:v>
      </x:c>
      <x:c r="E3" s="52" t="str">
        <x:v>FY2025A</x:v>
      </x:c>
      <x:c r="F3" s="52" t="str">
        <x:v>FY2026A*</x:v>
      </x:c>
      <x:c r="G3" s="303" t="str">
        <x:v>FY2027E</x:v>
      </x:c>
      <x:c r="H3" s="303" t="str">
        <x:v>FY2028E</x:v>
      </x:c>
      <x:c r="I3" s="303" t="str">
        <x:v>FY2029E</x:v>
      </x:c>
      <x:c r="J3" s="303" t="str">
        <x:v>FY2030E</x:v>
      </x:c>
      <x:c r="K3" s="303" t="str">
        <x:v>FY2031E</x:v>
      </x:c>
      <x:c r="L3" s="303" t="str">
        <x:v>FY2032E</x:v>
      </x:c>
      <x:c r="M3" s="303" t="str">
        <x:v>FY2033E</x:v>
      </x:c>
      <x:c r="N3" s="303" t="str">
        <x:v>FY2034E</x:v>
      </x:c>
      <x:c r="O3" s="303" t="str">
        <x:v>FY2035E</x:v>
      </x:c>
    </x:row>
    <x:row r="5">
      <x:c r="A5" s="17" t="str">
        <x:v>Working-Capital Schedule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</x:row>
    <x:row r="6">
      <x:c r="A6"/>
      <x:c r="B6"/>
      <x:c r="C6"/>
      <x:c r="D6" s="112"/>
      <x:c r="E6" s="112"/>
      <x:c r="F6" s="112"/>
      <x:c r="G6" s="166"/>
      <x:c r="H6" s="166"/>
      <x:c r="I6" s="166"/>
      <x:c r="J6" s="166"/>
      <x:c r="K6" s="166"/>
      <x:c r="L6" s="166"/>
      <x:c r="M6" s="166"/>
      <x:c r="N6" s="166"/>
      <x:c r="O6" s="166"/>
    </x:row>
    <x:row r="7">
      <x:c r="A7" t="str">
        <x:v>Inventory days</x:v>
      </x:c>
      <x:c r="B7" t="str">
        <x:v>days</x:v>
      </x:c>
      <x:c r="C7" t="str">
        <x:v>Assumption</x:v>
      </x:c>
      <x:c r="D7" s="104" t="n">
        <x:f>D8/D108*365</x:f>
        <x:v>71.60544500033652</x:v>
      </x:c>
      <x:c r="E7" s="104" t="n">
        <x:f>E8/E108*365</x:f>
        <x:v>93.14958863286986</x:v>
      </x:c>
      <x:c r="F7" s="104" t="n">
        <x:f>F8/F108*365</x:f>
        <x:v>96.52364273204904</x:v>
      </x:c>
      <x:c r="G7" s="158" t="n">
        <x:v>100</x:v>
      </x:c>
      <x:c r="H7" s="158" t="n">
        <x:v>98</x:v>
      </x:c>
      <x:c r="I7" s="158" t="n">
        <x:v>96</x:v>
      </x:c>
      <x:c r="J7" s="158" t="n">
        <x:v>94</x:v>
      </x:c>
      <x:c r="K7" s="158" t="n">
        <x:v>93</x:v>
      </x:c>
      <x:c r="L7" s="158" t="n">
        <x:v>92</x:v>
      </x:c>
      <x:c r="M7" s="158" t="n">
        <x:v>91</x:v>
      </x:c>
      <x:c r="N7" s="158" t="n">
        <x:v>90</x:v>
      </x:c>
      <x:c r="O7" s="158" t="n">
        <x:v>90</x:v>
      </x:c>
    </x:row>
    <x:row r="8">
      <x:c r="A8" t="str">
        <x:v>Inventory</x:v>
      </x:c>
      <x:c r="B8" t="str">
        <x:v>INR mn</x:v>
      </x:c>
      <x:c r="C8" t="str">
        <x:v>Formula</x:v>
      </x:c>
      <x:c r="D8" s="158" t="n">
        <x:v>874.43</x:v>
      </x:c>
      <x:c r="E8" s="158" t="n">
        <x:v>1188.65</x:v>
      </x:c>
      <x:c r="F8" s="158" t="n">
        <x:v>1510</x:v>
      </x:c>
      <x:c r="G8" s="305" t="n">
        <x:f>G108*G7/365</x:f>
        <x:v>1838.1154428102348</x:v>
      </x:c>
      <x:c r="H8" s="305" t="n">
        <x:f>H108*H7/365</x:f>
        <x:v>2135.344970875839</x:v>
      </x:c>
      <x:c r="I8" s="305" t="n">
        <x:f>I108*I7/365</x:f>
        <x:v>2409.166167826062</x:v>
      </x:c>
      <x:c r="J8" s="305" t="n">
        <x:f>J108*J7/365</x:f>
        <x:v>2663.2317337089275</x:v>
      </x:c>
      <x:c r="K8" s="305" t="n">
        <x:f>K108*K7/365</x:f>
        <x:v>2927.5600123538316</x:v>
      </x:c>
      <x:c r="L8" s="305" t="n">
        <x:f>L108*L7/365</x:f>
        <x:v>3186.810852235253</x:v>
      </x:c>
      <x:c r="M8" s="305" t="n">
        <x:f>M108*M7/365</x:f>
        <x:v>3431.109116692765</x:v>
      </x:c>
      <x:c r="N8" s="305" t="n">
        <x:f>N108*N7/365</x:f>
        <x:v>3664.109611521252</x:v>
      </x:c>
      <x:c r="O8" s="305" t="n">
        <x:f>O108*O7/365</x:f>
        <x:v>3943.352177171338</x:v>
      </x:c>
    </x:row>
    <x:row r="9">
      <x:c r="A9"/>
      <x:c r="B9"/>
      <x:c r="C9"/>
      <x:c r="D9" s="112"/>
      <x:c r="E9" s="112"/>
      <x:c r="F9" s="112"/>
      <x:c r="G9" s="166"/>
      <x:c r="H9" s="166"/>
      <x:c r="I9" s="166"/>
      <x:c r="J9" s="166"/>
      <x:c r="K9" s="166"/>
      <x:c r="L9" s="166"/>
      <x:c r="M9" s="166"/>
      <x:c r="N9" s="166"/>
      <x:c r="O9" s="166"/>
    </x:row>
    <x:row r="10">
      <x:c r="A10" t="str">
        <x:v>Receivable days</x:v>
      </x:c>
      <x:c r="B10" t="str">
        <x:v>days</x:v>
      </x:c>
      <x:c r="C10" t="str">
        <x:v>Assumption</x:v>
      </x:c>
      <x:c r="D10" s="104" t="n">
        <x:f>D11/'Three Statements'!D6*365</x:f>
        <x:v>63.81965877183523</x:v>
      </x:c>
      <x:c r="E10" s="104" t="n">
        <x:f>E11/'Three Statements'!E6*365</x:f>
        <x:v>76.41808541399882</x:v>
      </x:c>
      <x:c r="F10" s="104" t="n">
        <x:f>F11/'Three Statements'!F6*365</x:f>
        <x:v>62.2764598540146</x:v>
      </x:c>
      <x:c r="G10" s="158" t="n">
        <x:v>65</x:v>
      </x:c>
      <x:c r="H10" s="158" t="n">
        <x:v>65</x:v>
      </x:c>
      <x:c r="I10" s="158" t="n">
        <x:v>64</x:v>
      </x:c>
      <x:c r="J10" s="158" t="n">
        <x:v>64</x:v>
      </x:c>
      <x:c r="K10" s="158" t="n">
        <x:v>63</x:v>
      </x:c>
      <x:c r="L10" s="158" t="n">
        <x:v>63</x:v>
      </x:c>
      <x:c r="M10" s="158" t="n">
        <x:v>62</x:v>
      </x:c>
      <x:c r="N10" s="158" t="n">
        <x:v>62</x:v>
      </x:c>
      <x:c r="O10" s="158" t="n">
        <x:v>62</x:v>
      </x:c>
    </x:row>
    <x:row r="11">
      <x:c r="A11" t="str">
        <x:v>Trade receivables</x:v>
      </x:c>
      <x:c r="B11" t="str">
        <x:v>INR mn</x:v>
      </x:c>
      <x:c r="C11" t="str">
        <x:v>Formula</x:v>
      </x:c>
      <x:c r="D11" s="158" t="n">
        <x:v>2561.84</x:v>
      </x:c>
      <x:c r="E11" s="158" t="n">
        <x:v>3547.83</x:v>
      </x:c>
      <x:c r="F11" s="158" t="n">
        <x:v>3740</x:v>
      </x:c>
      <x:c r="G11" s="155" t="n">
        <x:f>'Three Statements'!G6*G10/365</x:f>
        <x:v>4690.313523496847</x:v>
      </x:c>
      <x:c r="H11" s="155" t="n">
        <x:f>'Three Statements'!H6*H10/365</x:f>
        <x:v>5655.341368599873</x:v>
      </x:c>
      <x:c r="I11" s="155" t="n">
        <x:f>'Three Statements'!I6*I10/365</x:f>
        <x:v>6522.035460601061</x:v>
      </x:c>
      <x:c r="J11" s="155" t="n">
        <x:f>'Three Statements'!J6*J10/365</x:f>
        <x:v>7482.176047469157</x:v>
      </x:c>
      <x:c r="K11" s="155" t="n">
        <x:f>'Three Statements'!K6*K10/365</x:f>
        <x:v>8315.59282771442</x:v>
      </x:c>
      <x:c r="L11" s="155" t="n">
        <x:f>'Three Statements'!L6*L10/365</x:f>
        <x:v>9255.734342286776</x:v>
      </x:c>
      <x:c r="M11" s="155" t="n">
        <x:f>'Three Statements'!M6*M10/365</x:f>
        <x:v>9997.784809016523</x:v>
      </x:c>
      <x:c r="N11" s="155" t="n">
        <x:f>'Three Statements'!N6*N10/365</x:f>
        <x:v>10897.952018934544</x:v>
      </x:c>
      <x:c r="O11" s="155" t="n">
        <x:f>'Three Statements'!O6*O10/365</x:f>
        <x:v>11820.132973315072</x:v>
      </x:c>
    </x:row>
    <x:row r="12">
      <x:c r="A12"/>
      <x:c r="B12"/>
      <x:c r="C12"/>
      <x:c r="D12" s="112"/>
      <x:c r="E12" s="112"/>
      <x:c r="F12" s="112"/>
      <x:c r="G12" s="166"/>
      <x:c r="H12" s="166"/>
      <x:c r="I12" s="166"/>
      <x:c r="J12" s="166"/>
      <x:c r="K12" s="166"/>
      <x:c r="L12" s="166"/>
      <x:c r="M12" s="166"/>
      <x:c r="N12" s="166"/>
      <x:c r="O12" s="166"/>
    </x:row>
    <x:row r="13">
      <x:c r="A13" t="str">
        <x:v>Payable days</x:v>
      </x:c>
      <x:c r="B13" t="str">
        <x:v>days</x:v>
      </x:c>
      <x:c r="C13" t="str">
        <x:v>Assumption</x:v>
      </x:c>
      <x:c r="D13" s="104" t="n">
        <x:f>D14/D108*365</x:f>
        <x:v>113.39050546294841</x:v>
      </x:c>
      <x:c r="E13" s="104" t="n">
        <x:f>E14/E108*365</x:f>
        <x:v>252.73619257821557</x:v>
      </x:c>
      <x:c r="F13" s="104" t="n">
        <x:f>F14/F108*365</x:f>
        <x:v>182.18038528896673</x:v>
      </x:c>
      <x:c r="G13" s="158" t="n">
        <x:v>170</x:v>
      </x:c>
      <x:c r="H13" s="158" t="n">
        <x:v>165</x:v>
      </x:c>
      <x:c r="I13" s="158" t="n">
        <x:v>160</x:v>
      </x:c>
      <x:c r="J13" s="158" t="n">
        <x:v>155</x:v>
      </x:c>
      <x:c r="K13" s="158" t="n">
        <x:v>150</x:v>
      </x:c>
      <x:c r="L13" s="158" t="n">
        <x:v>148</x:v>
      </x:c>
      <x:c r="M13" s="158" t="n">
        <x:v>146</x:v>
      </x:c>
      <x:c r="N13" s="158" t="n">
        <x:v>145</x:v>
      </x:c>
      <x:c r="O13" s="158" t="n">
        <x:v>145</x:v>
      </x:c>
    </x:row>
    <x:row r="14">
      <x:c r="A14" t="str">
        <x:v>Trade payables</x:v>
      </x:c>
      <x:c r="B14" t="str">
        <x:v>INR mn</x:v>
      </x:c>
      <x:c r="C14" t="str">
        <x:v>Formula</x:v>
      </x:c>
      <x:c r="D14" s="158" t="n">
        <x:v>1384.7</x:v>
      </x:c>
      <x:c r="E14" s="158" t="n">
        <x:v>3225.08</x:v>
      </x:c>
      <x:c r="F14" s="158" t="n">
        <x:v>2850</x:v>
      </x:c>
      <x:c r="G14" s="155" t="n">
        <x:f>G108*G13/365</x:f>
        <x:v>3124.796252777399</x:v>
      </x:c>
      <x:c r="H14" s="155" t="n">
        <x:f>H108*H13/365</x:f>
        <x:v>3595.2236754542187</x:v>
      </x:c>
      <x:c r="I14" s="155" t="n">
        <x:f>I108*I13/365</x:f>
        <x:v>4015.27694637677</x:v>
      </x:c>
      <x:c r="J14" s="155" t="n">
        <x:f>J108*J13/365</x:f>
        <x:v>4391.499135371104</x:v>
      </x:c>
      <x:c r="K14" s="155" t="n">
        <x:f>K108*K13/365</x:f>
        <x:v>4721.87098766747</x:v>
      </x:c>
      <x:c r="L14" s="155" t="n">
        <x:f>L108*L13/365</x:f>
        <x:v>5126.608762291494</x:v>
      </x:c>
      <x:c r="M14" s="155" t="n">
        <x:f>M108*M13/365</x:f>
        <x:v>5504.856385023557</x:v>
      </x:c>
      <x:c r="N14" s="155" t="n">
        <x:f>N108*N13/365</x:f>
        <x:v>5903.287707450905</x:v>
      </x:c>
      <x:c r="O14" s="155" t="n">
        <x:f>O108*O13/365</x:f>
        <x:v>6353.178507664934</x:v>
      </x:c>
    </x:row>
    <x:row r="15">
      <x:c r="A15"/>
      <x:c r="B15"/>
      <x:c r="C15"/>
      <x:c r="D15" s="112"/>
      <x:c r="E15" s="112"/>
      <x:c r="F15" s="112"/>
      <x:c r="G15" s="166"/>
      <x:c r="H15" s="166"/>
      <x:c r="I15" s="166"/>
      <x:c r="J15" s="166"/>
      <x:c r="K15" s="166"/>
      <x:c r="L15" s="166"/>
      <x:c r="M15" s="166"/>
      <x:c r="N15" s="166"/>
      <x:c r="O15" s="166"/>
    </x:row>
    <x:row r="16">
      <x:c r="A16" t="str">
        <x:v>Other current asset days</x:v>
      </x:c>
      <x:c r="B16" t="str">
        <x:v>days</x:v>
      </x:c>
      <x:c r="C16" t="str">
        <x:v>Assumption</x:v>
      </x:c>
      <x:c r="D16" s="104" t="n">
        <x:f>D17/'Three Statements'!D6*365</x:f>
        <x:v>143.9469811859037</x:v>
      </x:c>
      <x:c r="E16" s="104" t="n">
        <x:f>E17/'Three Statements'!E6*365</x:f>
        <x:v>202.41510235635</x:v>
      </x:c>
      <x:c r="F16" s="104" t="n">
        <x:f>F17/'Three Statements'!F6*365</x:f>
        <x:v>129.04881386861314</x:v>
      </x:c>
      <x:c r="G16" s="158" t="n">
        <x:v>118</x:v>
      </x:c>
      <x:c r="H16" s="158" t="n">
        <x:v>112</x:v>
      </x:c>
      <x:c r="I16" s="158" t="n">
        <x:v>108</x:v>
      </x:c>
      <x:c r="J16" s="158" t="n">
        <x:v>104</x:v>
      </x:c>
      <x:c r="K16" s="158" t="n">
        <x:v>100</x:v>
      </x:c>
      <x:c r="L16" s="158" t="n">
        <x:v>98</x:v>
      </x:c>
      <x:c r="M16" s="158" t="n">
        <x:v>96</x:v>
      </x:c>
      <x:c r="N16" s="158" t="n">
        <x:v>94</x:v>
      </x:c>
      <x:c r="O16" s="158" t="n">
        <x:v>92</x:v>
      </x:c>
    </x:row>
    <x:row r="17">
      <x:c r="A17" t="str">
        <x:v>Other current assets</x:v>
      </x:c>
      <x:c r="B17" t="str">
        <x:v>INR mn</x:v>
      </x:c>
      <x:c r="C17" t="str">
        <x:v>Formula</x:v>
      </x:c>
      <x:c r="D17" s="158" t="n">
        <x:v>5778.3</x:v>
      </x:c>
      <x:c r="E17" s="158" t="n">
        <x:v>9397.44</x:v>
      </x:c>
      <x:c r="F17" s="158" t="n">
        <x:v>7750</x:v>
      </x:c>
      <x:c r="G17" s="155" t="n">
        <x:f>'Three Statements'!G6*G16/365</x:f>
        <x:v>8514.723011886583</x:v>
      </x:c>
      <x:c r="H17" s="155" t="n">
        <x:f>'Three Statements'!H6*H16/365</x:f>
        <x:v>9744.588204356703</x:v>
      </x:c>
      <x:c r="I17" s="155" t="n">
        <x:f>'Three Statements'!I6*I16/365</x:f>
        <x:v>11005.93483976429</x:v>
      </x:c>
      <x:c r="J17" s="155" t="n">
        <x:f>'Three Statements'!J6*J16/365</x:f>
        <x:v>12158.53607713738</x:v>
      </x:c>
      <x:c r="K17" s="155" t="n">
        <x:f>'Three Statements'!K6*K16/365</x:f>
        <x:v>13199.353694784792</x:v>
      </x:c>
      <x:c r="L17" s="155" t="n">
        <x:f>'Three Statements'!L6*L16/365</x:f>
        <x:v>14397.80897689054</x:v>
      </x:c>
      <x:c r="M17" s="155" t="n">
        <x:f>'Three Statements'!M6*M16/365</x:f>
        <x:v>15480.440994606226</x:v>
      </x:c>
      <x:c r="N17" s="155" t="n">
        <x:f>'Three Statements'!N6*N16/365</x:f>
        <x:v>16522.70144806205</x:v>
      </x:c>
      <x:c r="O17" s="155" t="n">
        <x:f>'Three Statements'!O6*O16/365</x:f>
        <x:v>17539.552153951397</x:v>
      </x:c>
    </x:row>
    <x:row r="18">
      <x:c r="A18"/>
      <x:c r="B18"/>
      <x:c r="C18"/>
      <x:c r="D18" s="112"/>
      <x:c r="E18" s="112"/>
      <x:c r="F18" s="112"/>
      <x:c r="G18" s="166"/>
      <x:c r="H18" s="166"/>
      <x:c r="I18" s="166"/>
      <x:c r="J18" s="166"/>
      <x:c r="K18" s="166"/>
      <x:c r="L18" s="166"/>
      <x:c r="M18" s="166"/>
      <x:c r="N18" s="166"/>
      <x:c r="O18" s="166"/>
    </x:row>
    <x:row r="19">
      <x:c r="A19" t="str">
        <x:v>Other current liability days</x:v>
      </x:c>
      <x:c r="B19" t="str">
        <x:v>days</x:v>
      </x:c>
      <x:c r="C19" t="str">
        <x:v>Assumption</x:v>
      </x:c>
      <x:c r="D19" s="104" t="n">
        <x:f>D20/'Three Statements'!D6*365</x:f>
        <x:v>41.980114361531506</x:v>
      </x:c>
      <x:c r="E19" s="104" t="n">
        <x:f>E20/'Three Statements'!E6*365</x:f>
        <x:v>60.60020536183221</x:v>
      </x:c>
      <x:c r="F19" s="104" t="n">
        <x:f>F20/'Three Statements'!F6*365</x:f>
        <x:v>78.9279197080292</x:v>
      </x:c>
      <x:c r="G19" s="158" t="n">
        <x:v>75</x:v>
      </x:c>
      <x:c r="H19" s="158" t="n">
        <x:v>73</x:v>
      </x:c>
      <x:c r="I19" s="158" t="n">
        <x:v>72</x:v>
      </x:c>
      <x:c r="J19" s="158" t="n">
        <x:v>70</x:v>
      </x:c>
      <x:c r="K19" s="158" t="n">
        <x:v>68</x:v>
      </x:c>
      <x:c r="L19" s="158" t="n">
        <x:v>67</x:v>
      </x:c>
      <x:c r="M19" s="158" t="n">
        <x:v>66</x:v>
      </x:c>
      <x:c r="N19" s="158" t="n">
        <x:v>65</x:v>
      </x:c>
      <x:c r="O19" s="158" t="n">
        <x:v>65</x:v>
      </x:c>
    </x:row>
    <x:row r="20">
      <x:c r="A20" t="str">
        <x:v>Other current liabilities</x:v>
      </x:c>
      <x:c r="B20" t="str">
        <x:v>INR mn</x:v>
      </x:c>
      <x:c r="C20" t="str">
        <x:v>Formula</x:v>
      </x:c>
      <x:c r="D20" s="158" t="n">
        <x:v>1685.16</x:v>
      </x:c>
      <x:c r="E20" s="158" t="n">
        <x:v>2813.46</x:v>
      </x:c>
      <x:c r="F20" s="158" t="n">
        <x:v>4740</x:v>
      </x:c>
      <x:c r="G20" s="155" t="n">
        <x:f>'Three Statements'!G6*G19/365</x:f>
        <x:v>5411.900219419439</x:v>
      </x:c>
      <x:c r="H20" s="155" t="n">
        <x:f>'Three Statements'!H6*H19/365</x:f>
        <x:v>6351.3833831967795</x:v>
      </x:c>
      <x:c r="I20" s="155" t="n">
        <x:f>'Three Statements'!I6*I19/365</x:f>
        <x:v>7337.289893176194</x:v>
      </x:c>
      <x:c r="J20" s="155" t="n">
        <x:f>'Three Statements'!J6*J19/365</x:f>
        <x:v>8183.63005191939</x:v>
      </x:c>
      <x:c r="K20" s="155" t="n">
        <x:f>'Three Statements'!K6*K19/365</x:f>
        <x:v>8975.560512453658</x:v>
      </x:c>
      <x:c r="L20" s="155" t="n">
        <x:f>'Three Statements'!L6*L19/365</x:f>
        <x:v>9843.40001481292</x:v>
      </x:c>
      <x:c r="M20" s="155" t="n">
        <x:f>'Three Statements'!M6*M19/365</x:f>
        <x:v>10642.80318379178</x:v>
      </x:c>
      <x:c r="N20" s="155" t="n">
        <x:f>'Three Statements'!N6*N19/365</x:f>
        <x:v>11425.272277915246</x:v>
      </x:c>
      <x:c r="O20" s="155" t="n">
        <x:f>'Three Statements'!O6*O19/365</x:f>
        <x:v>12392.074891378705</x:v>
      </x:c>
    </x:row>
    <x:row r="21">
      <x:c r="A21" s="132" t="str">
        <x:v>Net working capital</x:v>
      </x:c>
      <x:c r="B21" s="132" t="str">
        <x:v>INR mn</x:v>
      </x:c>
      <x:c r="C21" s="132" t="str">
        <x:v>Formula</x:v>
      </x:c>
      <x:c r="D21" s="159" t="n">
        <x:f>SUM(D8,D11,D17)-SUM(D14,D20)</x:f>
        <x:v>6144.709999999999</x:v>
      </x:c>
      <x:c r="E21" s="159" t="n">
        <x:f>SUM(E8,E11,E17)-SUM(E14,E20)</x:f>
        <x:v>8095.38</x:v>
      </x:c>
      <x:c r="F21" s="159" t="n">
        <x:f>SUM(F8,F11,F17)-SUM(F14,F20)</x:f>
        <x:v>5410</x:v>
      </x:c>
      <x:c r="G21" s="306" t="n">
        <x:f>SUM(G8,G11,G17)-SUM(G14,G20)</x:f>
        <x:v>6506.455505996826</x:v>
      </x:c>
      <x:c r="H21" s="306" t="n">
        <x:f>SUM(H8,H11,H17)-SUM(H14,H20)</x:f>
        <x:v>7588.667485181419</x:v>
      </x:c>
      <x:c r="I21" s="306" t="n">
        <x:f>SUM(I8,I11,I17)-SUM(I14,I20)</x:f>
        <x:v>8584.569628638448</x:v>
      </x:c>
      <x:c r="J21" s="306" t="n">
        <x:f>SUM(J8,J11,J17)-SUM(J14,J20)</x:f>
        <x:v>9728.814671024968</x:v>
      </x:c>
      <x:c r="K21" s="306" t="n">
        <x:f>SUM(K8,K11,K17)-SUM(K14,K20)</x:f>
        <x:v>10745.075034731912</x:v>
      </x:c>
      <x:c r="L21" s="306" t="n">
        <x:f>SUM(L8,L11,L17)-SUM(L14,L20)</x:f>
        <x:v>11870.345394308155</x:v>
      </x:c>
      <x:c r="M21" s="306" t="n">
        <x:f>SUM(M8,M11,M17)-SUM(M14,M20)</x:f>
        <x:v>12761.675351500178</x:v>
      </x:c>
      <x:c r="N21" s="306" t="n">
        <x:f>SUM(N8,N11,N17)-SUM(N14,N20)</x:f>
        <x:v>13756.203093151693</x:v>
      </x:c>
      <x:c r="O21" s="306" t="n">
        <x:f>SUM(O8,O11,O17)-SUM(O14,O20)</x:f>
        <x:v>14557.783905394168</x:v>
      </x:c>
    </x:row>
    <x:row r="22">
      <x:c r="A22" t="str">
        <x:v>Net working-capital days</x:v>
      </x:c>
      <x:c r="B22" t="str">
        <x:v>days</x:v>
      </x:c>
      <x:c r="C22" t="str">
        <x:v>Formula</x:v>
      </x:c>
      <x:c r="D22" s="112" t="n">
        <x:f>D21/'Three Statements'!D6*365</x:f>
        <x:v>153.07485848135855</x:v>
      </x:c>
      <x:c r="E22" s="112" t="n">
        <x:f>E21/'Three Statements'!E6*365</x:f>
        <x:v>174.36952737272583</x:v>
      </x:c>
      <x:c r="F22" s="112" t="n">
        <x:f>F21/'Three Statements'!F6*365</x:f>
        <x:v>90.08439781021897</x:v>
      </x:c>
      <x:c r="G22" s="112" t="n">
        <x:f>G21/'Three Statements'!G6*365</x:f>
        <x:v>90.16872875792052</x:v>
      </x:c>
      <x:c r="H22" s="112" t="n">
        <x:f>H21/'Three Statements'!H6*365</x:f>
        <x:v>87.22079789480726</x:v>
      </x:c>
      <x:c r="I22" s="112" t="n">
        <x:f>I21/'Three Statements'!I6*365</x:f>
        <x:v>84.23941567809686</x:v>
      </x:c>
      <x:c r="J22" s="112" t="n">
        <x:f>J21/'Three Statements'!J6*365</x:f>
        <x:v>83.21698594036783</x:v>
      </x:c>
      <x:c r="K22" s="112" t="n">
        <x:f>K21/'Three Statements'!K6*365</x:f>
        <x:v>81.40606944245617</x:v>
      </x:c>
      <x:c r="L22" s="112" t="n">
        <x:f>L21/'Three Statements'!L6*365</x:f>
        <x:v>80.79658859965184</x:v>
      </x:c>
      <x:c r="M22" s="112" t="n">
        <x:f>M21/'Three Statements'!M6*365</x:f>
        <x:v>79.13991818262025</x:v>
      </x:c>
      <x:c r="N22" s="112" t="n">
        <x:f>N21/'Three Statements'!N6*365</x:f>
        <x:v>78.26099713905592</x:v>
      </x:c>
      <x:c r="O22" s="112" t="n">
        <x:f>O21/'Three Statements'!O6*365</x:f>
        <x:v>76.35976720161213</x:v>
      </x:c>
    </x:row>
    <x:row r="23">
      <x:c r="A23" t="str">
        <x:v>Change in net working capital</x:v>
      </x:c>
      <x:c r="B23" t="str">
        <x:v>INR mn</x:v>
      </x:c>
      <x:c r="C23" t="str">
        <x:v>Formula</x:v>
      </x:c>
      <x:c r="D23" s="112" t="n">
        <x:v>0</x:v>
      </x:c>
      <x:c r="E23" s="112" t="n">
        <x:f>E21-D21</x:f>
        <x:v>1950.670000000001</x:v>
      </x:c>
      <x:c r="F23" s="112" t="n">
        <x:f>F21-E21</x:f>
        <x:v>-2685.38</x:v>
      </x:c>
      <x:c r="G23" s="112" t="n">
        <x:f>G21-F21</x:f>
        <x:v>1096.455505996826</x:v>
      </x:c>
      <x:c r="H23" s="112" t="n">
        <x:f>H21-G21</x:f>
        <x:v>1082.2119791845926</x:v>
      </x:c>
      <x:c r="I23" s="112" t="n">
        <x:f>I21-H21</x:f>
        <x:v>995.9021434570295</x:v>
      </x:c>
      <x:c r="J23" s="112" t="n">
        <x:f>J21-I21</x:f>
        <x:v>1144.2450423865193</x:v>
      </x:c>
      <x:c r="K23" s="112" t="n">
        <x:f>K21-J21</x:f>
        <x:v>1016.2603637069442</x:v>
      </x:c>
      <x:c r="L23" s="112" t="n">
        <x:f>L21-K21</x:f>
        <x:v>1125.2703595762432</x:v>
      </x:c>
      <x:c r="M23" s="112" t="n">
        <x:f>M21-L21</x:f>
        <x:v>891.3299571920234</x:v>
      </x:c>
      <x:c r="N23" s="112" t="n">
        <x:f>N21-M21</x:f>
        <x:v>994.5277416515146</x:v>
      </x:c>
      <x:c r="O23" s="112" t="n">
        <x:f>O21-N21</x:f>
        <x:v>801.5808122424751</x:v>
      </x:c>
    </x:row>
    <x:row r="24">
      <x:c r="A24" t="str">
        <x:v>Other non-current assets / revenue</x:v>
      </x:c>
      <x:c r="B24" t="str">
        <x:v>%</x:v>
      </x:c>
      <x:c r="C24" t="str">
        <x:v>Assumption</x:v>
      </x:c>
      <x:c r="D24" s="100" t="n">
        <x:f>D25/'Three Statements'!D6</x:f>
        <x:v>0.02954316813383766</x:v>
      </x:c>
      <x:c r="E24" s="100" t="n">
        <x:f>E25/'Three Statements'!E6</x:f>
        <x:v>0.025257144880412138</x:v>
      </x:c>
      <x:c r="F24" s="100" t="n">
        <x:f>F25/'Three Statements'!F6</x:f>
        <x:v>0.05976277372262774</x:v>
      </x:c>
      <x:c r="G24" s="42" t="n">
        <x:v>0.055</x:v>
      </x:c>
      <x:c r="H24" s="42" t="n">
        <x:v>0.052</x:v>
      </x:c>
      <x:c r="I24" s="42" t="n">
        <x:v>0.05</x:v>
      </x:c>
      <x:c r="J24" s="42" t="n">
        <x:v>0.048</x:v>
      </x:c>
      <x:c r="K24" s="42" t="n">
        <x:v>0.046</x:v>
      </x:c>
      <x:c r="L24" s="42" t="n">
        <x:v>0.045</x:v>
      </x:c>
      <x:c r="M24" s="42" t="n">
        <x:v>0.044</x:v>
      </x:c>
      <x:c r="N24" s="42" t="n">
        <x:v>0.043</x:v>
      </x:c>
      <x:c r="O24" s="42" t="n">
        <x:v>0.042</x:v>
      </x:c>
    </x:row>
    <x:row r="25">
      <x:c r="A25" t="str">
        <x:v>Other non-current assets</x:v>
      </x:c>
      <x:c r="B25" t="str">
        <x:v>INR mn</x:v>
      </x:c>
      <x:c r="C25" t="str">
        <x:v>Formula</x:v>
      </x:c>
      <x:c r="D25" s="158" t="n">
        <x:v>432.86</x:v>
      </x:c>
      <x:c r="E25" s="158" t="n">
        <x:v>428</x:v>
      </x:c>
      <x:c r="F25" s="158" t="n">
        <x:v>1310</x:v>
      </x:c>
      <x:c r="G25" s="155" t="n">
        <x:f>'Three Statements'!G6*G24</x:f>
        <x:v>1448.5852920646032</x:v>
      </x:c>
      <x:c r="H25" s="155" t="n">
        <x:f>'Three Statements'!H6*H24</x:f>
        <x:v>1651.3596796311626</x:v>
      </x:c>
      <x:c r="I25" s="155" t="n">
        <x:f>'Three Statements'!I6*I24</x:f>
        <x:v>1859.7991743120213</x:v>
      </x:c>
      <x:c r="J25" s="155" t="n">
        <x:f>'Three Statements'!J6*J24</x:f>
        <x:v>2048.245692994682</x:v>
      </x:c>
      <x:c r="K25" s="155" t="n">
        <x:f>'Three Statements'!K6*K24</x:f>
        <x:v>2216.1714853543667</x:v>
      </x:c>
      <x:c r="L25" s="155" t="n">
        <x:f>'Three Statements'!L6*L24</x:f>
        <x:v>2413.1021678104808</x:v>
      </x:c>
      <x:c r="M25" s="155" t="n">
        <x:f>'Three Statements'!M6*M24</x:f>
        <x:v>2589.7487747226664</x:v>
      </x:c>
      <x:c r="N25" s="155" t="n">
        <x:f>'Three Statements'!N6*N24</x:f>
        <x:v>2758.7638215673815</x:v>
      </x:c>
      <x:c r="O25" s="155" t="n">
        <x:f>'Three Statements'!O6*O24</x:f>
        <x:v>2922.623201305162</x:v>
      </x:c>
    </x:row>
    <x:row r="26">
      <x:c r="A26" t="str">
        <x:v>Other non-current liabilities / revenue</x:v>
      </x:c>
      <x:c r="B26" t="str">
        <x:v>%</x:v>
      </x:c>
      <x:c r="C26" t="str">
        <x:v>Assumption</x:v>
      </x:c>
      <x:c r="D26" s="100" t="n">
        <x:f>D27/'Three Statements'!D6</x:f>
        <x:v>0.13416595116770794</x:v>
      </x:c>
      <x:c r="E26" s="100" t="n">
        <x:f>E27/'Three Statements'!E6</x:f>
        <x:v>0.110998660427129</x:v>
      </x:c>
      <x:c r="F26" s="100" t="n">
        <x:f>F27/'Three Statements'!F6</x:f>
        <x:v>0.072992700729927</x:v>
      </x:c>
      <x:c r="G26" s="42" t="n">
        <x:v>0.07</x:v>
      </x:c>
      <x:c r="H26" s="42" t="n">
        <x:v>0.068</x:v>
      </x:c>
      <x:c r="I26" s="42" t="n">
        <x:v>0.065</x:v>
      </x:c>
      <x:c r="J26" s="42" t="n">
        <x:v>0.062</x:v>
      </x:c>
      <x:c r="K26" s="42" t="n">
        <x:v>0.06</x:v>
      </x:c>
      <x:c r="L26" s="42" t="n">
        <x:v>0.058</x:v>
      </x:c>
      <x:c r="M26" s="42" t="n">
        <x:v>0.056</x:v>
      </x:c>
      <x:c r="N26" s="42" t="n">
        <x:v>0.055</x:v>
      </x:c>
      <x:c r="O26" s="42" t="n">
        <x:v>0.054</x:v>
      </x:c>
    </x:row>
    <x:row r="27">
      <x:c r="A27" t="str">
        <x:v>Other non-current liabilities</x:v>
      </x:c>
      <x:c r="B27" t="str">
        <x:v>INR mn</x:v>
      </x:c>
      <x:c r="C27" t="str">
        <x:v>Formula</x:v>
      </x:c>
      <x:c r="D27" s="158" t="n">
        <x:v>1965.77</x:v>
      </x:c>
      <x:c r="E27" s="158" t="n">
        <x:v>1880.95</x:v>
      </x:c>
      <x:c r="F27" s="158" t="n">
        <x:v>1600</x:v>
      </x:c>
      <x:c r="G27" s="155" t="n">
        <x:f>'Three Statements'!G6*G26</x:f>
        <x:v>1843.6540080822224</x:v>
      </x:c>
      <x:c r="H27" s="155" t="n">
        <x:f>'Three Statements'!H6*H26</x:f>
        <x:v>2159.470350286905</x:v>
      </x:c>
      <x:c r="I27" s="155" t="n">
        <x:f>'Three Statements'!I6*I26</x:f>
        <x:v>2417.7389266056275</x:v>
      </x:c>
      <x:c r="J27" s="155" t="n">
        <x:f>'Three Statements'!J6*J26</x:f>
        <x:v>2645.6506867847975</x:v>
      </x:c>
      <x:c r="K27" s="155" t="n">
        <x:f>'Three Statements'!K6*K26</x:f>
        <x:v>2890.6584591578694</x:v>
      </x:c>
      <x:c r="L27" s="155" t="n">
        <x:f>'Three Statements'!L6*L26</x:f>
        <x:v>3110.22057184462</x:v>
      </x:c>
      <x:c r="M27" s="155" t="n">
        <x:f>'Three Statements'!M6*M26</x:f>
        <x:v>3296.043895101576</x:v>
      </x:c>
      <x:c r="N27" s="155" t="n">
        <x:f>'Three Statements'!N6*N26</x:f>
        <x:v>3528.651399679209</x:v>
      </x:c>
      <x:c r="O27" s="155" t="n">
        <x:f>'Three Statements'!O6*O26</x:f>
        <x:v>3757.6584016780657</x:v>
      </x:c>
    </x:row>
    <x:row r="28">
      <x:c r="D28" s="112"/>
      <x:c r="E28" s="112"/>
      <x:c r="F28" s="112"/>
      <x:c r="G28" s="112"/>
      <x:c r="H28" s="112"/>
      <x:c r="I28" s="112"/>
      <x:c r="J28" s="112"/>
      <x:c r="K28" s="112"/>
      <x:c r="L28" s="112"/>
      <x:c r="M28" s="112"/>
      <x:c r="N28" s="112"/>
      <x:c r="O28" s="112"/>
    </x:row>
    <x:row r="29">
      <x:c r="D29" s="112"/>
      <x:c r="E29" s="112"/>
      <x:c r="F29" s="112"/>
      <x:c r="G29" s="112"/>
      <x:c r="H29" s="112"/>
      <x:c r="I29" s="112"/>
      <x:c r="J29" s="112"/>
      <x:c r="K29" s="112"/>
      <x:c r="L29" s="112"/>
      <x:c r="M29" s="112"/>
      <x:c r="N29" s="112"/>
      <x:c r="O29" s="112"/>
    </x:row>
    <x:row r="30">
      <x:c r="A30" s="17" t="str">
        <x:v>PP&amp;E, CWIP, Capex and Depreciation Schedule</x:v>
      </x:c>
      <x:c r="B30" s="17"/>
      <x:c r="C30" s="17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>
      <x:c r="A31"/>
      <x:c r="B31"/>
      <x:c r="C31"/>
      <x:c r="D31" s="112"/>
      <x:c r="E31" s="112"/>
      <x:c r="F31" s="112"/>
      <x:c r="G31" s="166"/>
      <x:c r="H31" s="166"/>
      <x:c r="I31" s="166"/>
      <x:c r="J31" s="166"/>
      <x:c r="K31" s="166"/>
      <x:c r="L31" s="166"/>
      <x:c r="M31" s="166"/>
      <x:c r="N31" s="166"/>
      <x:c r="O31" s="166"/>
    </x:row>
    <x:row r="32">
      <x:c r="A32" s="132" t="str">
        <x:v>Cash capex</x:v>
      </x:c>
      <x:c r="B32" s="132" t="str">
        <x:v>INR mn</x:v>
      </x:c>
      <x:c r="C32" s="132" t="str">
        <x:v>Assumption</x:v>
      </x:c>
      <x:c r="D32" s="161" t="n">
        <x:v>1816.9</x:v>
      </x:c>
      <x:c r="E32" s="161" t="n">
        <x:v>3692.8</x:v>
      </x:c>
      <x:c r="F32" s="161" t="n">
        <x:v>6330</x:v>
      </x:c>
      <x:c r="G32" s="161" t="n">
        <x:v>12000</x:v>
      </x:c>
      <x:c r="H32" s="161" t="n">
        <x:v>9000</x:v>
      </x:c>
      <x:c r="I32" s="161" t="n">
        <x:v>7500</x:v>
      </x:c>
      <x:c r="J32" s="161" t="n">
        <x:v>6500</x:v>
      </x:c>
      <x:c r="K32" s="161" t="n">
        <x:v>6000</x:v>
      </x:c>
      <x:c r="L32" s="161" t="n">
        <x:v>6000</x:v>
      </x:c>
      <x:c r="M32" s="161" t="n">
        <x:v>6500</x:v>
      </x:c>
      <x:c r="N32" s="161" t="n">
        <x:v>7000</x:v>
      </x:c>
      <x:c r="O32" s="161" t="n">
        <x:v>7500</x:v>
      </x:c>
    </x:row>
    <x:row r="33">
      <x:c r="A33" t="str">
        <x:v>Maintenance capex</x:v>
      </x:c>
      <x:c r="B33" t="str">
        <x:v>INR mn</x:v>
      </x:c>
      <x:c r="C33" t="str">
        <x:v>Formula</x:v>
      </x:c>
      <x:c r="D33" s="112"/>
      <x:c r="E33" s="112"/>
      <x:c r="F33" s="112"/>
      <x:c r="G33" s="155" t="n">
        <x:f>'Three Statements'!G6*2.5%</x:f>
        <x:v>658.4478600293651</x:v>
      </x:c>
      <x:c r="H33" s="155" t="n">
        <x:f>'Three Statements'!H6*2.5%</x:f>
        <x:v>793.9229228995976</x:v>
      </x:c>
      <x:c r="I33" s="155" t="n">
        <x:f>'Three Statements'!I6*2.5%</x:f>
        <x:v>929.8995871560106</x:v>
      </x:c>
      <x:c r="J33" s="155" t="n">
        <x:f>'Three Statements'!J6*2.5%</x:f>
        <x:v>1066.7946317680635</x:v>
      </x:c>
      <x:c r="K33" s="155" t="n">
        <x:f>'Three Statements'!K6*2.5%</x:f>
        <x:v>1204.4410246491123</x:v>
      </x:c>
      <x:c r="L33" s="155" t="n">
        <x:f>'Three Statements'!L6*2.5%</x:f>
        <x:v>1340.6123154502673</x:v>
      </x:c>
      <x:c r="M33" s="155" t="n">
        <x:f>'Three Statements'!M6*2.5%</x:f>
        <x:v>1471.4481674560607</x:v>
      </x:c>
      <x:c r="N33" s="155" t="n">
        <x:f>'Three Statements'!N6*2.5%</x:f>
        <x:v>1603.9324543996406</x:v>
      </x:c>
      <x:c r="O33" s="155" t="n">
        <x:f>'Three Statements'!O6*2.5%</x:f>
        <x:v>1739.656667443549</x:v>
      </x:c>
    </x:row>
    <x:row r="34">
      <x:c r="A34" t="str">
        <x:v>CRO / R&amp;D growth capex</x:v>
      </x:c>
      <x:c r="B34" t="str">
        <x:v>INR mn</x:v>
      </x:c>
      <x:c r="C34" t="str">
        <x:v>Formula</x:v>
      </x:c>
      <x:c r="D34" s="112"/>
      <x:c r="E34" s="112"/>
      <x:c r="F34" s="112"/>
      <x:c r="G34" s="112" t="n">
        <x:f>G32*22%</x:f>
        <x:v>2640</x:v>
      </x:c>
      <x:c r="H34" s="112" t="n">
        <x:f>H32*22%</x:f>
        <x:v>1980</x:v>
      </x:c>
      <x:c r="I34" s="112" t="n">
        <x:f>I32*22%</x:f>
        <x:v>1650</x:v>
      </x:c>
      <x:c r="J34" s="112" t="n">
        <x:f>J32*22%</x:f>
        <x:v>1430</x:v>
      </x:c>
      <x:c r="K34" s="112" t="n">
        <x:f>K32*22%</x:f>
        <x:v>1320</x:v>
      </x:c>
      <x:c r="L34" s="112" t="n">
        <x:f>L32*22%</x:f>
        <x:v>1320</x:v>
      </x:c>
      <x:c r="M34" s="112" t="n">
        <x:f>M32*22%</x:f>
        <x:v>1430</x:v>
      </x:c>
      <x:c r="N34" s="112" t="n">
        <x:f>N32*22%</x:f>
        <x:v>1540</x:v>
      </x:c>
      <x:c r="O34" s="112" t="n">
        <x:f>O32*22%</x:f>
        <x:v>1650</x:v>
      </x:c>
    </x:row>
    <x:row r="35">
      <x:c r="A35" t="str">
        <x:v>CDMO / manufacturing growth capex</x:v>
      </x:c>
      <x:c r="B35" t="str">
        <x:v>INR mn</x:v>
      </x:c>
      <x:c r="C35" t="str">
        <x:v>Formula</x:v>
      </x:c>
      <x:c r="D35" s="112"/>
      <x:c r="E35" s="112"/>
      <x:c r="F35" s="112"/>
      <x:c r="G35" s="112" t="n">
        <x:f>G32-G33-G34</x:f>
        <x:v>8701.552139970634</x:v>
      </x:c>
      <x:c r="H35" s="112" t="n">
        <x:f>H32-H33-H34</x:f>
        <x:v>6226.077077100403</x:v>
      </x:c>
      <x:c r="I35" s="112" t="n">
        <x:f>I32-I33-I34</x:f>
        <x:v>4920.100412843989</x:v>
      </x:c>
      <x:c r="J35" s="112" t="n">
        <x:f>J32-J33-J34</x:f>
        <x:v>4003.2053682319365</x:v>
      </x:c>
      <x:c r="K35" s="112" t="n">
        <x:f>K32-K33-K34</x:f>
        <x:v>3475.5589753508875</x:v>
      </x:c>
      <x:c r="L35" s="112" t="n">
        <x:f>L32-L33-L34</x:f>
        <x:v>3339.3876845497325</x:v>
      </x:c>
      <x:c r="M35" s="112" t="n">
        <x:f>M32-M33-M34</x:f>
        <x:v>3598.551832543939</x:v>
      </x:c>
      <x:c r="N35" s="112" t="n">
        <x:f>N32-N33-N34</x:f>
        <x:v>3856.067545600359</x:v>
      </x:c>
      <x:c r="O35" s="112" t="n">
        <x:f>O32-O33-O34</x:f>
        <x:v>4110.343332556451</x:v>
      </x:c>
    </x:row>
    <x:row r="36">
      <x:c r="A36" t="str">
        <x:v>Direct-capitalisation share</x:v>
      </x:c>
      <x:c r="B36" t="str">
        <x:v>%</x:v>
      </x:c>
      <x:c r="C36" t="str">
        <x:v>Assumption</x:v>
      </x:c>
      <x:c r="D36" s="100"/>
      <x:c r="E36" s="100"/>
      <x:c r="F36" s="100"/>
      <x:c r="G36" s="42" t="n">
        <x:v>0.2</x:v>
      </x:c>
      <x:c r="H36" s="42" t="n">
        <x:v>0.2</x:v>
      </x:c>
      <x:c r="I36" s="42" t="n">
        <x:v>0.25</x:v>
      </x:c>
      <x:c r="J36" s="42" t="n">
        <x:v>0.3</x:v>
      </x:c>
      <x:c r="K36" s="42" t="n">
        <x:v>0.35</x:v>
      </x:c>
      <x:c r="L36" s="42" t="n">
        <x:v>0.4</x:v>
      </x:c>
      <x:c r="M36" s="42" t="n">
        <x:v>0.45</x:v>
      </x:c>
      <x:c r="N36" s="42" t="n">
        <x:v>0.5</x:v>
      </x:c>
      <x:c r="O36" s="42" t="n">
        <x:v>0.55</x:v>
      </x:c>
    </x:row>
    <x:row r="37">
      <x:c r="A37" t="str">
        <x:v>Direct additions to PP&amp;E</x:v>
      </x:c>
      <x:c r="B37" t="str">
        <x:v>INR mn</x:v>
      </x:c>
      <x:c r="C37" t="str">
        <x:v>Formula</x:v>
      </x:c>
      <x:c r="D37" s="112"/>
      <x:c r="E37" s="112"/>
      <x:c r="F37" s="112"/>
      <x:c r="G37" s="112" t="n">
        <x:f>G32*G36</x:f>
        <x:v>2400</x:v>
      </x:c>
      <x:c r="H37" s="112" t="n">
        <x:f>H32*H36</x:f>
        <x:v>1800</x:v>
      </x:c>
      <x:c r="I37" s="112" t="n">
        <x:f>I32*I36</x:f>
        <x:v>1875</x:v>
      </x:c>
      <x:c r="J37" s="112" t="n">
        <x:f>J32*J36</x:f>
        <x:v>1950</x:v>
      </x:c>
      <x:c r="K37" s="112" t="n">
        <x:f>K32*K36</x:f>
        <x:v>2100</x:v>
      </x:c>
      <x:c r="L37" s="112" t="n">
        <x:f>L32*L36</x:f>
        <x:v>2400</x:v>
      </x:c>
      <x:c r="M37" s="112" t="n">
        <x:f>M32*M36</x:f>
        <x:v>2925</x:v>
      </x:c>
      <x:c r="N37" s="112" t="n">
        <x:f>N32*N36</x:f>
        <x:v>3500</x:v>
      </x:c>
      <x:c r="O37" s="112" t="n">
        <x:f>O32*O36</x:f>
        <x:v>4125</x:v>
      </x:c>
    </x:row>
    <x:row r="38">
      <x:c r="A38" t="str">
        <x:v>CWIP additions</x:v>
      </x:c>
      <x:c r="B38" t="str">
        <x:v>INR mn</x:v>
      </x:c>
      <x:c r="C38" t="str">
        <x:v>Formula</x:v>
      </x:c>
      <x:c r="D38" s="112"/>
      <x:c r="E38" s="112"/>
      <x:c r="F38" s="112"/>
      <x:c r="G38" s="112" t="n">
        <x:f>G32-G37</x:f>
        <x:v>9600</x:v>
      </x:c>
      <x:c r="H38" s="112" t="n">
        <x:f>H32-H37</x:f>
        <x:v>7200</x:v>
      </x:c>
      <x:c r="I38" s="112" t="n">
        <x:f>I32-I37</x:f>
        <x:v>5625</x:v>
      </x:c>
      <x:c r="J38" s="112" t="n">
        <x:f>J32-J37</x:f>
        <x:v>4550</x:v>
      </x:c>
      <x:c r="K38" s="112" t="n">
        <x:f>K32-K37</x:f>
        <x:v>3900</x:v>
      </x:c>
      <x:c r="L38" s="112" t="n">
        <x:f>L32-L37</x:f>
        <x:v>3600</x:v>
      </x:c>
      <x:c r="M38" s="112" t="n">
        <x:f>M32-M37</x:f>
        <x:v>3575</x:v>
      </x:c>
      <x:c r="N38" s="112" t="n">
        <x:f>N32-N37</x:f>
        <x:v>3500</x:v>
      </x:c>
      <x:c r="O38" s="112" t="n">
        <x:f>O32-O37</x:f>
        <x:v>3375</x:v>
      </x:c>
    </x:row>
    <x:row r="39">
      <x:c r="A39" t="str">
        <x:v>CWIP capitalisation rate</x:v>
      </x:c>
      <x:c r="B39" t="str">
        <x:v>%</x:v>
      </x:c>
      <x:c r="C39" t="str">
        <x:v>Assumption</x:v>
      </x:c>
      <x:c r="D39" s="100"/>
      <x:c r="E39" s="100"/>
      <x:c r="F39" s="100"/>
      <x:c r="G39" s="42" t="n">
        <x:v>0.35</x:v>
      </x:c>
      <x:c r="H39" s="42" t="n">
        <x:v>0.75</x:v>
      </x:c>
      <x:c r="I39" s="42" t="n">
        <x:v>0.85</x:v>
      </x:c>
      <x:c r="J39" s="42" t="n">
        <x:v>0.9</x:v>
      </x:c>
      <x:c r="K39" s="42" t="n">
        <x:v>0.95</x:v>
      </x:c>
      <x:c r="L39" s="42" t="n">
        <x:v>1</x:v>
      </x:c>
      <x:c r="M39" s="42" t="n">
        <x:v>1</x:v>
      </x:c>
      <x:c r="N39" s="42" t="n">
        <x:v>1</x:v>
      </x:c>
      <x:c r="O39" s="42" t="n">
        <x:v>1</x:v>
      </x:c>
    </x:row>
    <x:row r="40">
      <x:c r="A40" t="str">
        <x:v>CWIP capitalised</x:v>
      </x:c>
      <x:c r="B40" t="str">
        <x:v>INR mn</x:v>
      </x:c>
      <x:c r="C40" t="str">
        <x:v>Formula</x:v>
      </x:c>
      <x:c r="D40" s="112"/>
      <x:c r="E40" s="112"/>
      <x:c r="F40" s="112"/>
      <x:c r="G40" s="112" t="n">
        <x:f>G41*G39+G38*10%</x:f>
        <x:v>1905</x:v>
      </x:c>
      <x:c r="H40" s="112" t="n">
        <x:f>H41*H39+H38*10%</x:f>
        <x:v>8516.25</x:v>
      </x:c>
      <x:c r="I40" s="112" t="n">
        <x:f>I41*I39+I38*10%</x:f>
        <x:v>8279.4375</x:v>
      </x:c>
      <x:c r="J40" s="112" t="n">
        <x:f>J41*J39+J38*10%</x:f>
        <x:v>6236.88125</x:v>
      </x:c>
      <x:c r="K40" s="112" t="n">
        <x:f>K41*K39+K38*10%</x:f>
        <x:v>4890.559687499999</x:v>
      </x:c>
      <x:c r="L40" s="112" t="n">
        <x:f>L41*L39+L38*10%</x:f>
        <x:v>4106.8715625</x:v>
      </x:c>
      <x:c r="M40" s="112" t="n">
        <x:f>M41*M39+M38*10%</x:f>
        <x:v>3597.5</x:v>
      </x:c>
      <x:c r="N40" s="112" t="n">
        <x:f>N41*N39+N38*10%</x:f>
        <x:v>3567.5</x:v>
      </x:c>
      <x:c r="O40" s="112" t="n">
        <x:f>O41*O39+O38*10%</x:f>
        <x:v>3487.5</x:v>
      </x:c>
    </x:row>
    <x:row r="41">
      <x:c r="A41" t="str">
        <x:v>Opening CWIP</x:v>
      </x:c>
      <x:c r="B41" t="str">
        <x:v>INR mn</x:v>
      </x:c>
      <x:c r="C41" t="str">
        <x:v>Formula</x:v>
      </x:c>
      <x:c r="D41" s="112"/>
      <x:c r="E41" s="112"/>
      <x:c r="F41" s="112"/>
      <x:c r="G41" s="112" t="n">
        <x:f>F42</x:f>
        <x:v>2700</x:v>
      </x:c>
      <x:c r="H41" s="112" t="n">
        <x:f>G42</x:f>
        <x:v>10395</x:v>
      </x:c>
      <x:c r="I41" s="112" t="n">
        <x:f>H42</x:f>
        <x:v>9078.75</x:v>
      </x:c>
      <x:c r="J41" s="112" t="n">
        <x:f>I42</x:f>
        <x:v>6424.3125</x:v>
      </x:c>
      <x:c r="K41" s="112" t="n">
        <x:f>J42</x:f>
        <x:v>4737.43125</x:v>
      </x:c>
      <x:c r="L41" s="112" t="n">
        <x:f>K42</x:f>
        <x:v>3746.8715625000004</x:v>
      </x:c>
      <x:c r="M41" s="112" t="n">
        <x:f>L42</x:f>
        <x:v>3240</x:v>
      </x:c>
      <x:c r="N41" s="112" t="n">
        <x:f>M42</x:f>
        <x:v>3217.5</x:v>
      </x:c>
      <x:c r="O41" s="112" t="n">
        <x:f>N42</x:f>
        <x:v>3150</x:v>
      </x:c>
    </x:row>
    <x:row r="42">
      <x:c r="A42" s="132" t="str">
        <x:v>Closing CWIP</x:v>
      </x:c>
      <x:c r="B42" s="132" t="str">
        <x:v>INR mn</x:v>
      </x:c>
      <x:c r="C42" s="132" t="str">
        <x:v>Formula</x:v>
      </x:c>
      <x:c r="D42" s="161" t="n">
        <x:v>1068.95</x:v>
      </x:c>
      <x:c r="E42" s="161" t="n">
        <x:v>1244.56</x:v>
      </x:c>
      <x:c r="F42" s="161" t="n">
        <x:v>2700</x:v>
      </x:c>
      <x:c r="G42" s="306" t="n">
        <x:f>G41+G38-G40</x:f>
        <x:v>10395</x:v>
      </x:c>
      <x:c r="H42" s="306" t="n">
        <x:f>H41+H38-H40</x:f>
        <x:v>9078.75</x:v>
      </x:c>
      <x:c r="I42" s="306" t="n">
        <x:f>I41+I38-I40</x:f>
        <x:v>6424.3125</x:v>
      </x:c>
      <x:c r="J42" s="306" t="n">
        <x:f>J41+J38-J40</x:f>
        <x:v>4737.43125</x:v>
      </x:c>
      <x:c r="K42" s="306" t="n">
        <x:f>K41+K38-K40</x:f>
        <x:v>3746.8715625000004</x:v>
      </x:c>
      <x:c r="L42" s="306" t="n">
        <x:f>L41+L38-L40</x:f>
        <x:v>3240</x:v>
      </x:c>
      <x:c r="M42" s="306" t="n">
        <x:f>M41+M38-M40</x:f>
        <x:v>3217.5</x:v>
      </x:c>
      <x:c r="N42" s="306" t="n">
        <x:f>N41+N38-N40</x:f>
        <x:v>3150</x:v>
      </x:c>
      <x:c r="O42" s="306" t="n">
        <x:f>O41+O38-O40</x:f>
        <x:v>3037.5</x:v>
      </x:c>
    </x:row>
    <x:row r="43">
      <x:c r="A43" t="str">
        <x:v>Opening net PP&amp;E incl. ROU assets</x:v>
      </x:c>
      <x:c r="B43" t="str">
        <x:v>INR mn</x:v>
      </x:c>
      <x:c r="C43" t="str">
        <x:v>Formula</x:v>
      </x:c>
      <x:c r="D43" s="112"/>
      <x:c r="E43" s="112"/>
      <x:c r="F43" s="112"/>
      <x:c r="G43" s="112" t="n">
        <x:f>F47</x:f>
        <x:v>18080</x:v>
      </x:c>
      <x:c r="H43" s="112" t="n">
        <x:f>G47</x:f>
        <x:v>20867.5625</x:v>
      </x:c>
      <x:c r="I43" s="112" t="n">
        <x:f>H47</x:f>
        <x:v>29231.8859375</x:v>
      </x:c>
      <x:c r="J43" s="112" t="n">
        <x:f>I47</x:f>
        <x:v>36813.1405859375</x:v>
      </x:c>
      <x:c r="K43" s="112" t="n">
        <x:f>J47</x:f>
        <x:v>41932.02824511719</x:v>
      </x:c>
      <x:c r="L43" s="112" t="n">
        <x:f>K47</x:f>
        <x:v>45515.539825952146</x:v>
      </x:c>
      <x:c r="M43" s="112" t="n">
        <x:f>L47</x:f>
        <x:v>48364.73821791199</x:v>
      </x:c>
      <x:c r="N43" s="112" t="n">
        <x:f>M47</x:f>
        <x:v>51015.28910156859</x:v>
      </x:c>
      <x:c r="O43" s="112" t="n">
        <x:f>N47</x:f>
        <x:v>53991.61116895094</x:v>
      </x:c>
    </x:row>
    <x:row r="44">
      <x:c r="A44" t="str">
        <x:v>PP&amp;E depreciation</x:v>
      </x:c>
      <x:c r="B44" t="str">
        <x:v>INR mn</x:v>
      </x:c>
      <x:c r="C44" t="str">
        <x:v>Formula</x:v>
      </x:c>
      <x:c r="D44" s="112"/>
      <x:c r="E44" s="112"/>
      <x:c r="F44" s="112"/>
      <x:c r="G44" s="112" t="n">
        <x:f>G43*7.5%+(G37+G40)*3.75%</x:f>
        <x:v>1517.4375</x:v>
      </x:c>
      <x:c r="H44" s="112" t="n">
        <x:f>H43*7.5%+(H37+H40)*3.75%</x:f>
        <x:v>1951.9265625</x:v>
      </x:c>
      <x:c r="I44" s="112" t="n">
        <x:f>I43*7.5%+(I37+I40)*3.75%</x:f>
        <x:v>2573.1828515624998</x:v>
      </x:c>
      <x:c r="J44" s="112" t="n">
        <x:f>J43*7.5%+(J37+J40)*3.75%</x:f>
        <x:v>3067.9935908203124</x:v>
      </x:c>
      <x:c r="K44" s="112" t="n">
        <x:f>K43*7.5%+(K37+K40)*3.75%</x:f>
        <x:v>3407.048106665039</x:v>
      </x:c>
      <x:c r="L44" s="112" t="n">
        <x:f>L43*7.5%+(L37+L40)*3.75%</x:f>
        <x:v>3657.6731705401608</x:v>
      </x:c>
      <x:c r="M44" s="112" t="n">
        <x:f>M43*7.5%+(M37+M40)*3.75%</x:f>
        <x:v>3871.949116343399</x:v>
      </x:c>
      <x:c r="N44" s="112" t="n">
        <x:f>N43*7.5%+(N37+N40)*3.75%</x:f>
        <x:v>4091.177932617644</x:v>
      </x:c>
      <x:c r="O44" s="112" t="n">
        <x:f>O43*7.5%+(O37+O40)*3.75%</x:f>
        <x:v>4334.83958767132</x:v>
      </x:c>
    </x:row>
    <x:row r="45">
      <x:c r="A45" t="str">
        <x:v>Amortisation</x:v>
      </x:c>
      <x:c r="B45" t="str">
        <x:v>INR mn</x:v>
      </x:c>
      <x:c r="C45" t="str">
        <x:v>Formula</x:v>
      </x:c>
      <x:c r="D45" s="112"/>
      <x:c r="E45" s="112"/>
      <x:c r="F45" s="112"/>
      <x:c r="G45" s="112" t="n">
        <x:f>MIN(10,G48)</x:f>
        <x:v>10</x:v>
      </x:c>
      <x:c r="H45" s="112" t="n">
        <x:f>MIN(10,H48)</x:f>
        <x:v>10</x:v>
      </x:c>
      <x:c r="I45" s="112" t="n">
        <x:f>MIN(10,I48)</x:f>
        <x:v>10</x:v>
      </x:c>
      <x:c r="J45" s="112" t="n">
        <x:f>MIN(10,J48)</x:f>
        <x:v>10</x:v>
      </x:c>
      <x:c r="K45" s="112" t="n">
        <x:f>MIN(10,K48)</x:f>
        <x:v>10</x:v>
      </x:c>
      <x:c r="L45" s="112" t="n">
        <x:f>MIN(10,L48)</x:f>
        <x:v>10</x:v>
      </x:c>
      <x:c r="M45" s="112" t="n">
        <x:f>MIN(10,M48)</x:f>
        <x:v>0</x:v>
      </x:c>
      <x:c r="N45" s="112" t="n">
        <x:f>MIN(10,N48)</x:f>
        <x:v>0</x:v>
      </x:c>
      <x:c r="O45" s="112" t="n">
        <x:f>MIN(10,O48)</x:f>
        <x:v>0</x:v>
      </x:c>
    </x:row>
    <x:row r="46">
      <x:c r="A46" t="str">
        <x:v>Depreciation and amortisation</x:v>
      </x:c>
      <x:c r="B46" t="str">
        <x:v>INR mn</x:v>
      </x:c>
      <x:c r="C46" t="str">
        <x:v>Formula</x:v>
      </x:c>
      <x:c r="D46" s="158" t="n">
        <x:v>1194.36</x:v>
      </x:c>
      <x:c r="E46" s="158" t="n">
        <x:v>1385.73</x:v>
      </x:c>
      <x:c r="F46" s="158" t="n">
        <x:v>1670</x:v>
      </x:c>
      <x:c r="G46" s="112" t="n">
        <x:f>SUM(G44:G45)</x:f>
        <x:v>1527.4375</x:v>
      </x:c>
      <x:c r="H46" s="112" t="n">
        <x:f>SUM(H44:H45)</x:f>
        <x:v>1961.9265625</x:v>
      </x:c>
      <x:c r="I46" s="112" t="n">
        <x:f>SUM(I44:I45)</x:f>
        <x:v>2583.1828515624998</x:v>
      </x:c>
      <x:c r="J46" s="112" t="n">
        <x:f>SUM(J44:J45)</x:f>
        <x:v>3077.9935908203124</x:v>
      </x:c>
      <x:c r="K46" s="112" t="n">
        <x:f>SUM(K44:K45)</x:f>
        <x:v>3417.048106665039</x:v>
      </x:c>
      <x:c r="L46" s="112" t="n">
        <x:f>SUM(L44:L45)</x:f>
        <x:v>3667.6731705401608</x:v>
      </x:c>
      <x:c r="M46" s="112" t="n">
        <x:f>SUM(M44:M45)</x:f>
        <x:v>3871.949116343399</x:v>
      </x:c>
      <x:c r="N46" s="112" t="n">
        <x:f>SUM(N44:N45)</x:f>
        <x:v>4091.177932617644</x:v>
      </x:c>
      <x:c r="O46" s="112" t="n">
        <x:f>SUM(O44:O45)</x:f>
        <x:v>4334.83958767132</x:v>
      </x:c>
    </x:row>
    <x:row r="47">
      <x:c r="A47" s="132" t="str">
        <x:v>Closing net PP&amp;E incl. ROU assets</x:v>
      </x:c>
      <x:c r="B47" s="132" t="str">
        <x:v>INR mn</x:v>
      </x:c>
      <x:c r="C47" s="132" t="str">
        <x:v>Formula</x:v>
      </x:c>
      <x:c r="D47" s="161" t="n">
        <x:v>11660.68</x:v>
      </x:c>
      <x:c r="E47" s="161" t="n">
        <x:v>14773.56</x:v>
      </x:c>
      <x:c r="F47" s="161" t="n">
        <x:v>18080</x:v>
      </x:c>
      <x:c r="G47" s="159" t="n">
        <x:f>G43+G37+G40-G44</x:f>
        <x:v>20867.5625</x:v>
      </x:c>
      <x:c r="H47" s="159" t="n">
        <x:f>H43+H37+H40-H44</x:f>
        <x:v>29231.8859375</x:v>
      </x:c>
      <x:c r="I47" s="159" t="n">
        <x:f>I43+I37+I40-I44</x:f>
        <x:v>36813.1405859375</x:v>
      </x:c>
      <x:c r="J47" s="159" t="n">
        <x:f>J43+J37+J40-J44</x:f>
        <x:v>41932.02824511719</x:v>
      </x:c>
      <x:c r="K47" s="159" t="n">
        <x:f>K43+K37+K40-K44</x:f>
        <x:v>45515.539825952146</x:v>
      </x:c>
      <x:c r="L47" s="159" t="n">
        <x:f>L43+L37+L40-L44</x:f>
        <x:v>48364.73821791199</x:v>
      </x:c>
      <x:c r="M47" s="159" t="n">
        <x:f>M43+M37+M40-M44</x:f>
        <x:v>51015.28910156859</x:v>
      </x:c>
      <x:c r="N47" s="159" t="n">
        <x:f>N43+N37+N40-N44</x:f>
        <x:v>53991.61116895094</x:v>
      </x:c>
      <x:c r="O47" s="159" t="n">
        <x:f>O43+O37+O40-O44</x:f>
        <x:v>57269.27158127962</x:v>
      </x:c>
    </x:row>
    <x:row r="48">
      <x:c r="A48" t="str">
        <x:v>Opening intangible assets</x:v>
      </x:c>
      <x:c r="B48" t="str">
        <x:v>INR mn</x:v>
      </x:c>
      <x:c r="C48" t="str">
        <x:v>Formula</x:v>
      </x:c>
      <x:c r="D48" s="112"/>
      <x:c r="E48" s="112"/>
      <x:c r="F48" s="112"/>
      <x:c r="G48" s="112" t="n">
        <x:f>F49</x:f>
        <x:v>60</x:v>
      </x:c>
      <x:c r="H48" s="112" t="n">
        <x:f>G49</x:f>
        <x:v>50</x:v>
      </x:c>
      <x:c r="I48" s="112" t="n">
        <x:f>H49</x:f>
        <x:v>40</x:v>
      </x:c>
      <x:c r="J48" s="112" t="n">
        <x:f>I49</x:f>
        <x:v>30</x:v>
      </x:c>
      <x:c r="K48" s="112" t="n">
        <x:f>J49</x:f>
        <x:v>20</x:v>
      </x:c>
      <x:c r="L48" s="112" t="n">
        <x:f>K49</x:f>
        <x:v>10</x:v>
      </x:c>
      <x:c r="M48" s="112" t="n">
        <x:f>L49</x:f>
        <x:v>0</x:v>
      </x:c>
      <x:c r="N48" s="112" t="n">
        <x:f>M49</x:f>
        <x:v>0</x:v>
      </x:c>
      <x:c r="O48" s="112" t="n">
        <x:f>N49</x:f>
        <x:v>0</x:v>
      </x:c>
    </x:row>
    <x:row r="49">
      <x:c r="A49" t="str">
        <x:v>Closing intangible assets</x:v>
      </x:c>
      <x:c r="B49" t="str">
        <x:v>INR mn</x:v>
      </x:c>
      <x:c r="C49" t="str">
        <x:v>Formula</x:v>
      </x:c>
      <x:c r="D49" s="158" t="n">
        <x:v>137.73</x:v>
      </x:c>
      <x:c r="E49" s="158" t="n">
        <x:v>108.56</x:v>
      </x:c>
      <x:c r="F49" s="158" t="n">
        <x:v>60</x:v>
      </x:c>
      <x:c r="G49" s="112" t="n">
        <x:f>MAX(0,G48-G45)</x:f>
        <x:v>50</x:v>
      </x:c>
      <x:c r="H49" s="112" t="n">
        <x:f>MAX(0,H48-H45)</x:f>
        <x:v>40</x:v>
      </x:c>
      <x:c r="I49" s="112" t="n">
        <x:f>MAX(0,I48-I45)</x:f>
        <x:v>30</x:v>
      </x:c>
      <x:c r="J49" s="112" t="n">
        <x:f>MAX(0,J48-J45)</x:f>
        <x:v>20</x:v>
      </x:c>
      <x:c r="K49" s="112" t="n">
        <x:f>MAX(0,K48-K45)</x:f>
        <x:v>10</x:v>
      </x:c>
      <x:c r="L49" s="112" t="n">
        <x:f>MAX(0,L48-L45)</x:f>
        <x:v>0</x:v>
      </x:c>
      <x:c r="M49" s="112" t="n">
        <x:f>MAX(0,M48-M45)</x:f>
        <x:v>0</x:v>
      </x:c>
      <x:c r="N49" s="112" t="n">
        <x:f>MAX(0,N48-N45)</x:f>
        <x:v>0</x:v>
      </x:c>
      <x:c r="O49" s="112" t="n">
        <x:f>MAX(0,O48-O45)</x:f>
        <x:v>0</x:v>
      </x:c>
    </x:row>
    <x:row r="50">
      <x:c r="A50" t="str">
        <x:v>PP&amp;E roll-forward check</x:v>
      </x:c>
      <x:c r="B50" t="str">
        <x:v>INR mn</x:v>
      </x:c>
      <x:c r="C50" t="str">
        <x:v>Check</x:v>
      </x:c>
      <x:c r="D50" s="112" t="n">
        <x:v>0</x:v>
      </x:c>
      <x:c r="E50" s="112" t="n">
        <x:v>0</x:v>
      </x:c>
      <x:c r="F50" s="112" t="n">
        <x:v>0</x:v>
      </x:c>
      <x:c r="G50" s="112" t="n">
        <x:f>G43+G37+G40-G44-G47</x:f>
        <x:v>0</x:v>
      </x:c>
      <x:c r="H50" s="112" t="n">
        <x:f>H43+H37+H40-H44-H47</x:f>
        <x:v>0</x:v>
      </x:c>
      <x:c r="I50" s="112" t="n">
        <x:f>I43+I37+I40-I44-I47</x:f>
        <x:v>0</x:v>
      </x:c>
      <x:c r="J50" s="112" t="n">
        <x:f>J43+J37+J40-J44-J47</x:f>
        <x:v>0</x:v>
      </x:c>
      <x:c r="K50" s="112" t="n">
        <x:f>K43+K37+K40-K44-K47</x:f>
        <x:v>0</x:v>
      </x:c>
      <x:c r="L50" s="112" t="n">
        <x:f>L43+L37+L40-L44-L47</x:f>
        <x:v>0</x:v>
      </x:c>
      <x:c r="M50" s="112" t="n">
        <x:f>M43+M37+M40-M44-M47</x:f>
        <x:v>0</x:v>
      </x:c>
      <x:c r="N50" s="112" t="n">
        <x:f>N43+N37+N40-N44-N47</x:f>
        <x:v>0</x:v>
      </x:c>
      <x:c r="O50" s="112" t="n">
        <x:f>O43+O37+O40-O44-O47</x:f>
        <x:v>0</x:v>
      </x:c>
    </x:row>
    <x:row r="51">
      <x:c r="D51" s="112"/>
      <x:c r="E51" s="112"/>
      <x:c r="F51" s="112"/>
      <x:c r="G51" s="112"/>
      <x:c r="H51" s="112"/>
      <x:c r="I51" s="112"/>
      <x:c r="J51" s="112"/>
      <x:c r="K51" s="112"/>
      <x:c r="L51" s="112"/>
      <x:c r="M51" s="112"/>
      <x:c r="N51" s="112"/>
      <x:c r="O51" s="112"/>
    </x:row>
    <x:row r="52">
      <x:c r="D52" s="112"/>
      <x:c r="E52" s="112"/>
      <x:c r="F52" s="112"/>
      <x:c r="G52" s="112"/>
      <x:c r="H52" s="112"/>
      <x:c r="I52" s="112"/>
      <x:c r="J52" s="112"/>
      <x:c r="K52" s="112"/>
      <x:c r="L52" s="112"/>
      <x:c r="M52" s="112"/>
      <x:c r="N52" s="112"/>
      <x:c r="O52" s="112"/>
    </x:row>
    <x:row r="53">
      <x:c r="A53" s="17" t="str">
        <x:v>Debt, Interest and Treasury Schedule</x:v>
      </x:c>
      <x:c r="B53" s="17"/>
      <x:c r="C53" s="17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</x:row>
    <x:row r="54">
      <x:c r="A54" t="str">
        <x:v>Opening debt</x:v>
      </x:c>
      <x:c r="B54" t="str">
        <x:v>INR mn</x:v>
      </x:c>
      <x:c r="C54" t="str">
        <x:v>Formula</x:v>
      </x:c>
      <x:c r="D54" s="112" t="n">
        <x:v>6769.98</x:v>
      </x:c>
      <x:c r="E54" s="112" t="n">
        <x:v>7101.63</x:v>
      </x:c>
      <x:c r="F54" s="112" t="n">
        <x:v>1286.36</x:v>
      </x:c>
      <x:c r="G54" s="112" t="n">
        <x:f>F57</x:f>
        <x:v>960</x:v>
      </x:c>
      <x:c r="H54" s="112" t="n">
        <x:f>G57</x:f>
        <x:v>7960</x:v>
      </x:c>
      <x:c r="I54" s="112" t="n">
        <x:f>H57</x:f>
        <x:v>11460</x:v>
      </x:c>
      <x:c r="J54" s="112" t="n">
        <x:f>I57</x:f>
        <x:v>12460</x:v>
      </x:c>
      <x:c r="K54" s="112" t="n">
        <x:f>J57</x:f>
        <x:v>10960</x:v>
      </x:c>
      <x:c r="L54" s="112" t="n">
        <x:f>K57</x:f>
        <x:v>9460</x:v>
      </x:c>
      <x:c r="M54" s="112" t="n">
        <x:f>L57</x:f>
        <x:v>7960</x:v>
      </x:c>
      <x:c r="N54" s="112" t="n">
        <x:f>M57</x:f>
        <x:v>6960</x:v>
      </x:c>
      <x:c r="O54" s="112" t="n">
        <x:f>N57</x:f>
        <x:v>5960</x:v>
      </x:c>
    </x:row>
    <x:row r="55">
      <x:c r="A55" t="str">
        <x:v>New borrowing</x:v>
      </x:c>
      <x:c r="B55" t="str">
        <x:v>INR mn</x:v>
      </x:c>
      <x:c r="C55" t="str">
        <x:v>Assumption</x:v>
      </x:c>
      <x:c r="D55" s="112" t="n">
        <x:v>998.93</x:v>
      </x:c>
      <x:c r="E55" s="112" t="n">
        <x:v>534.08</x:v>
      </x:c>
      <x:c r="F55" s="112" t="n">
        <x:v>210</x:v>
      </x:c>
      <x:c r="G55" s="166" t="n">
        <x:v>7000</x:v>
      </x:c>
      <x:c r="H55" s="166" t="n">
        <x:v>4000</x:v>
      </x:c>
      <x:c r="I55" s="166" t="n">
        <x:v>2000</x:v>
      </x:c>
      <x:c r="J55" s="166" t="n">
        <x:v>0</x:v>
      </x:c>
      <x:c r="K55" s="166" t="n">
        <x:v>0</x:v>
      </x:c>
      <x:c r="L55" s="166" t="n">
        <x:v>0</x:v>
      </x:c>
      <x:c r="M55" s="166" t="n">
        <x:v>0</x:v>
      </x:c>
      <x:c r="N55" s="166" t="n">
        <x:v>0</x:v>
      </x:c>
      <x:c r="O55" s="166" t="n">
        <x:v>0</x:v>
      </x:c>
    </x:row>
    <x:row r="56">
      <x:c r="A56" t="str">
        <x:v>Debt repayment</x:v>
      </x:c>
      <x:c r="B56" t="str">
        <x:v>INR mn</x:v>
      </x:c>
      <x:c r="C56" t="str">
        <x:v>Assumption</x:v>
      </x:c>
      <x:c r="D56" s="112" t="n">
        <x:v>667.28</x:v>
      </x:c>
      <x:c r="E56" s="112" t="n">
        <x:v>6349.35</x:v>
      </x:c>
      <x:c r="F56" s="112" t="n">
        <x:v>536.36</x:v>
      </x:c>
      <x:c r="G56" s="166" t="n">
        <x:v>0</x:v>
      </x:c>
      <x:c r="H56" s="166" t="n">
        <x:v>500</x:v>
      </x:c>
      <x:c r="I56" s="166" t="n">
        <x:v>1000</x:v>
      </x:c>
      <x:c r="J56" s="166" t="n">
        <x:v>1500</x:v>
      </x:c>
      <x:c r="K56" s="166" t="n">
        <x:v>1500</x:v>
      </x:c>
      <x:c r="L56" s="166" t="n">
        <x:v>1500</x:v>
      </x:c>
      <x:c r="M56" s="166" t="n">
        <x:v>1000</x:v>
      </x:c>
      <x:c r="N56" s="166" t="n">
        <x:v>1000</x:v>
      </x:c>
      <x:c r="O56" s="166" t="n">
        <x:v>1000</x:v>
      </x:c>
    </x:row>
    <x:row r="57">
      <x:c r="A57" s="132" t="str">
        <x:v>Closing debt</x:v>
      </x:c>
      <x:c r="B57" s="132" t="str">
        <x:v>INR mn</x:v>
      </x:c>
      <x:c r="C57" s="132" t="str">
        <x:v>Formula</x:v>
      </x:c>
      <x:c r="D57" s="161" t="n">
        <x:v>7101.63</x:v>
      </x:c>
      <x:c r="E57" s="161" t="n">
        <x:v>1286.36</x:v>
      </x:c>
      <x:c r="F57" s="161" t="n">
        <x:v>960</x:v>
      </x:c>
      <x:c r="G57" s="159" t="n">
        <x:f>G54+G55-G56</x:f>
        <x:v>7960</x:v>
      </x:c>
      <x:c r="H57" s="159" t="n">
        <x:f>H54+H55-H56</x:f>
        <x:v>11460</x:v>
      </x:c>
      <x:c r="I57" s="159" t="n">
        <x:f>I54+I55-I56</x:f>
        <x:v>12460</x:v>
      </x:c>
      <x:c r="J57" s="159" t="n">
        <x:f>J54+J55-J56</x:f>
        <x:v>10960</x:v>
      </x:c>
      <x:c r="K57" s="159" t="n">
        <x:f>K54+K55-K56</x:f>
        <x:v>9460</x:v>
      </x:c>
      <x:c r="L57" s="159" t="n">
        <x:f>L54+L55-L56</x:f>
        <x:v>7960</x:v>
      </x:c>
      <x:c r="M57" s="159" t="n">
        <x:f>M54+M55-M56</x:f>
        <x:v>6960</x:v>
      </x:c>
      <x:c r="N57" s="159" t="n">
        <x:f>N54+N55-N56</x:f>
        <x:v>5960</x:v>
      </x:c>
      <x:c r="O57" s="159" t="n">
        <x:f>O54+O55-O56</x:f>
        <x:v>4960</x:v>
      </x:c>
    </x:row>
    <x:row r="58">
      <x:c r="A58" t="str">
        <x:v>Long-term debt</x:v>
      </x:c>
      <x:c r="B58" t="str">
        <x:v>INR mn</x:v>
      </x:c>
      <x:c r="C58" t="str">
        <x:v>Formula</x:v>
      </x:c>
      <x:c r="D58" s="158" t="n">
        <x:v>2772.46</x:v>
      </x:c>
      <x:c r="E58" s="158" t="n">
        <x:v>0</x:v>
      </x:c>
      <x:c r="F58" s="158" t="n">
        <x:v>210</x:v>
      </x:c>
      <x:c r="G58" s="112" t="n">
        <x:f>G57-G59</x:f>
        <x:v>5970</x:v>
      </x:c>
      <x:c r="H58" s="112" t="n">
        <x:f>H57-H59</x:f>
        <x:v>8595</x:v>
      </x:c>
      <x:c r="I58" s="112" t="n">
        <x:f>I57-I59</x:f>
        <x:v>9345</x:v>
      </x:c>
      <x:c r="J58" s="112" t="n">
        <x:f>J57-J59</x:f>
        <x:v>8220</x:v>
      </x:c>
      <x:c r="K58" s="112" t="n">
        <x:f>K57-K59</x:f>
        <x:v>7095</x:v>
      </x:c>
      <x:c r="L58" s="112" t="n">
        <x:f>L57-L59</x:f>
        <x:v>5970</x:v>
      </x:c>
      <x:c r="M58" s="112" t="n">
        <x:f>M57-M59</x:f>
        <x:v>5220</x:v>
      </x:c>
      <x:c r="N58" s="112" t="n">
        <x:f>N57-N59</x:f>
        <x:v>4470</x:v>
      </x:c>
      <x:c r="O58" s="112" t="n">
        <x:f>O57-O59</x:f>
        <x:v>3720</x:v>
      </x:c>
    </x:row>
    <x:row r="59">
      <x:c r="A59" t="str">
        <x:v>Short-term debt</x:v>
      </x:c>
      <x:c r="B59" t="str">
        <x:v>INR mn</x:v>
      </x:c>
      <x:c r="C59" t="str">
        <x:v>Formula</x:v>
      </x:c>
      <x:c r="D59" s="158" t="n">
        <x:v>4329.17</x:v>
      </x:c>
      <x:c r="E59" s="158" t="n">
        <x:v>1286.36</x:v>
      </x:c>
      <x:c r="F59" s="158" t="n">
        <x:v>750</x:v>
      </x:c>
      <x:c r="G59" s="112" t="n">
        <x:f>MIN(G57,MAX(500,G57*25%))</x:f>
        <x:v>1990</x:v>
      </x:c>
      <x:c r="H59" s="112" t="n">
        <x:f>MIN(H57,MAX(500,H57*25%))</x:f>
        <x:v>2865</x:v>
      </x:c>
      <x:c r="I59" s="112" t="n">
        <x:f>MIN(I57,MAX(500,I57*25%))</x:f>
        <x:v>3115</x:v>
      </x:c>
      <x:c r="J59" s="112" t="n">
        <x:f>MIN(J57,MAX(500,J57*25%))</x:f>
        <x:v>2740</x:v>
      </x:c>
      <x:c r="K59" s="112" t="n">
        <x:f>MIN(K57,MAX(500,K57*25%))</x:f>
        <x:v>2365</x:v>
      </x:c>
      <x:c r="L59" s="112" t="n">
        <x:f>MIN(L57,MAX(500,L57*25%))</x:f>
        <x:v>1990</x:v>
      </x:c>
      <x:c r="M59" s="112" t="n">
        <x:f>MIN(M57,MAX(500,M57*25%))</x:f>
        <x:v>1740</x:v>
      </x:c>
      <x:c r="N59" s="112" t="n">
        <x:f>MIN(N57,MAX(500,N57*25%))</x:f>
        <x:v>1490</x:v>
      </x:c>
      <x:c r="O59" s="112" t="n">
        <x:f>MIN(O57,MAX(500,O57*25%))</x:f>
        <x:v>1240</x:v>
      </x:c>
    </x:row>
    <x:row r="60">
      <x:c r="A60" t="str">
        <x:v>Average debt</x:v>
      </x:c>
      <x:c r="B60" t="str">
        <x:v>INR mn</x:v>
      </x:c>
      <x:c r="C60" t="str">
        <x:v>Formula</x:v>
      </x:c>
      <x:c r="D60" s="112" t="n">
        <x:f>AVERAGE(D54,D57)</x:f>
        <x:v>6935.805</x:v>
      </x:c>
      <x:c r="E60" s="112" t="n">
        <x:f>AVERAGE(E54,E57)</x:f>
        <x:v>4193.995</x:v>
      </x:c>
      <x:c r="F60" s="112" t="n">
        <x:f>AVERAGE(F54,F57)</x:f>
        <x:v>1123.1799999999998</x:v>
      </x:c>
      <x:c r="G60" s="112" t="n">
        <x:f>AVERAGE(G54,G57)</x:f>
        <x:v>4460</x:v>
      </x:c>
      <x:c r="H60" s="112" t="n">
        <x:f>AVERAGE(H54,H57)</x:f>
        <x:v>9710</x:v>
      </x:c>
      <x:c r="I60" s="112" t="n">
        <x:f>AVERAGE(I54,I57)</x:f>
        <x:v>11960</x:v>
      </x:c>
      <x:c r="J60" s="112" t="n">
        <x:f>AVERAGE(J54,J57)</x:f>
        <x:v>11710</x:v>
      </x:c>
      <x:c r="K60" s="112" t="n">
        <x:f>AVERAGE(K54,K57)</x:f>
        <x:v>10210</x:v>
      </x:c>
      <x:c r="L60" s="112" t="n">
        <x:f>AVERAGE(L54,L57)</x:f>
        <x:v>8710</x:v>
      </x:c>
      <x:c r="M60" s="112" t="n">
        <x:f>AVERAGE(M54,M57)</x:f>
        <x:v>7460</x:v>
      </x:c>
      <x:c r="N60" s="112" t="n">
        <x:f>AVERAGE(N54,N57)</x:f>
        <x:v>6460</x:v>
      </x:c>
      <x:c r="O60" s="112" t="n">
        <x:f>AVERAGE(O54,O57)</x:f>
        <x:v>5460</x:v>
      </x:c>
    </x:row>
    <x:row r="61">
      <x:c r="A61" t="str">
        <x:v>Interest rate</x:v>
      </x:c>
      <x:c r="B61" t="str">
        <x:v>%</x:v>
      </x:c>
      <x:c r="C61" t="str">
        <x:v>Assumption</x:v>
      </x:c>
      <x:c r="D61" s="100" t="n">
        <x:f>D62/D60</x:f>
        <x:v>0.12386449734385555</x:v>
      </x:c>
      <x:c r="E61" s="100" t="n">
        <x:f>E62/E60</x:f>
        <x:v>0.1816025054870118</x:v>
      </x:c>
      <x:c r="F61" s="100" t="n">
        <x:f>F62/F60</x:f>
        <x:v>0.3472284050641928</x:v>
      </x:c>
      <x:c r="G61" s="42" t="n">
        <x:v>0.085</x:v>
      </x:c>
      <x:c r="H61" s="42" t="n">
        <x:v>0.085</x:v>
      </x:c>
      <x:c r="I61" s="42" t="n">
        <x:v>0.085</x:v>
      </x:c>
      <x:c r="J61" s="42" t="n">
        <x:v>0.085</x:v>
      </x:c>
      <x:c r="K61" s="42" t="n">
        <x:v>0.085</x:v>
      </x:c>
      <x:c r="L61" s="42" t="n">
        <x:v>0.085</x:v>
      </x:c>
      <x:c r="M61" s="42" t="n">
        <x:v>0.085</x:v>
      </x:c>
      <x:c r="N61" s="42" t="n">
        <x:v>0.085</x:v>
      </x:c>
      <x:c r="O61" s="42" t="n">
        <x:v>0.085</x:v>
      </x:c>
    </x:row>
    <x:row r="62">
      <x:c r="A62" t="str">
        <x:v>Finance costs</x:v>
      </x:c>
      <x:c r="B62" t="str">
        <x:v>INR mn</x:v>
      </x:c>
      <x:c r="C62" t="str">
        <x:v>Formula</x:v>
      </x:c>
      <x:c r="D62" s="158" t="n">
        <x:v>859.1</x:v>
      </x:c>
      <x:c r="E62" s="158" t="n">
        <x:v>761.64</x:v>
      </x:c>
      <x:c r="F62" s="158" t="n">
        <x:v>390</x:v>
      </x:c>
      <x:c r="G62" s="112" t="n">
        <x:f>G60*G61</x:f>
        <x:v>379.1</x:v>
      </x:c>
      <x:c r="H62" s="112" t="n">
        <x:f>H60*H61</x:f>
        <x:v>825.35</x:v>
      </x:c>
      <x:c r="I62" s="112" t="n">
        <x:f>I60*I61</x:f>
        <x:v>1016.6</x:v>
      </x:c>
      <x:c r="J62" s="112" t="n">
        <x:f>J60*J61</x:f>
        <x:v>995.35</x:v>
      </x:c>
      <x:c r="K62" s="112" t="n">
        <x:f>K60*K61</x:f>
        <x:v>867.85</x:v>
      </x:c>
      <x:c r="L62" s="112" t="n">
        <x:f>L60*L61</x:f>
        <x:v>740.35</x:v>
      </x:c>
      <x:c r="M62" s="112" t="n">
        <x:f>M60*M61</x:f>
        <x:v>634.1</x:v>
      </x:c>
      <x:c r="N62" s="112" t="n">
        <x:f>N60*N61</x:f>
        <x:v>549.1</x:v>
      </x:c>
      <x:c r="O62" s="112" t="n">
        <x:f>O60*O61</x:f>
        <x:v>464.1</x:v>
      </x:c>
    </x:row>
    <x:row r="63">
      <x:c r="A63" t="str">
        <x:v>Opening cash</x:v>
      </x:c>
      <x:c r="B63" t="str">
        <x:v>INR mn</x:v>
      </x:c>
      <x:c r="C63" t="str">
        <x:v>Formula</x:v>
      </x:c>
      <x:c r="D63" s="158" t="n">
        <x:v>355.29</x:v>
      </x:c>
      <x:c r="E63" s="158" t="n">
        <x:v>119.69</x:v>
      </x:c>
      <x:c r="F63" s="158" t="n">
        <x:v>910.52</x:v>
      </x:c>
      <x:c r="G63" s="155" t="n">
        <x:f>'Three Statements'!F37</x:f>
        <x:v>1110</x:v>
      </x:c>
      <x:c r="H63" s="155" t="n">
        <x:f>'Three Statements'!G37</x:f>
        <x:v>1405.8554430070853</x:v>
      </x:c>
      <x:c r="I63" s="155" t="n">
        <x:f>'Three Statements'!H37</x:f>
        <x:v>2516.352328505435</x:v>
      </x:c>
      <x:c r="J63" s="155" t="n">
        <x:f>'Three Statements'!I37</x:f>
        <x:v>3648.7383631105376</x:v>
      </x:c>
      <x:c r="K63" s="155" t="n">
        <x:f>'Three Statements'!J37</x:f>
        <x:v>4792.1644588767995</x:v>
      </x:c>
      <x:c r="L63" s="155" t="n">
        <x:f>'Three Statements'!K37</x:f>
        <x:v>8333.648456815095</x:v>
      </x:c>
      <x:c r="M63" s="155" t="n">
        <x:f>'Three Statements'!L37</x:f>
        <x:v>13469.169145638283</x:v>
      </x:c>
      <x:c r="N63" s="155" t="n">
        <x:f>'Three Statements'!M37</x:f>
        <x:v>20441.952239602244</x:v>
      </x:c>
      <x:c r="O63" s="155" t="n">
        <x:f>'Three Statements'!N37</x:f>
        <x:v>28559.890390765366</x:v>
      </x:c>
    </x:row>
    <x:row r="64">
      <x:c r="A64" t="str">
        <x:v>Cash / investment yield</x:v>
      </x:c>
      <x:c r="B64" t="str">
        <x:v>%</x:v>
      </x:c>
      <x:c r="C64" t="str">
        <x:v>Assumption</x:v>
      </x:c>
      <x:c r="D64" s="100" t="n">
        <x:v>0.045</x:v>
      </x:c>
      <x:c r="E64" s="100" t="n">
        <x:v>0.045</x:v>
      </x:c>
      <x:c r="F64" s="100" t="n">
        <x:v>0.045</x:v>
      </x:c>
      <x:c r="G64" s="42" t="n">
        <x:v>0.045</x:v>
      </x:c>
      <x:c r="H64" s="42" t="n">
        <x:v>0.045</x:v>
      </x:c>
      <x:c r="I64" s="42" t="n">
        <x:v>0.045</x:v>
      </x:c>
      <x:c r="J64" s="42" t="n">
        <x:v>0.045</x:v>
      </x:c>
      <x:c r="K64" s="42" t="n">
        <x:v>0.045</x:v>
      </x:c>
      <x:c r="L64" s="42" t="n">
        <x:v>0.045</x:v>
      </x:c>
      <x:c r="M64" s="42" t="n">
        <x:v>0.045</x:v>
      </x:c>
      <x:c r="N64" s="42" t="n">
        <x:v>0.045</x:v>
      </x:c>
      <x:c r="O64" s="42" t="n">
        <x:v>0.045</x:v>
      </x:c>
    </x:row>
    <x:row r="65">
      <x:c r="A65" t="str">
        <x:v>Other treasury income / revenue</x:v>
      </x:c>
      <x:c r="B65" t="str">
        <x:v>%</x:v>
      </x:c>
      <x:c r="C65" t="str">
        <x:v>Assumption</x:v>
      </x:c>
      <x:c r="D65" s="100" t="n">
        <x:v>0.002</x:v>
      </x:c>
      <x:c r="E65" s="100" t="n">
        <x:v>0.002</x:v>
      </x:c>
      <x:c r="F65" s="100" t="n">
        <x:v>0.002</x:v>
      </x:c>
      <x:c r="G65" s="42" t="n">
        <x:v>0.002</x:v>
      </x:c>
      <x:c r="H65" s="42" t="n">
        <x:v>0.002</x:v>
      </x:c>
      <x:c r="I65" s="42" t="n">
        <x:v>0.002</x:v>
      </x:c>
      <x:c r="J65" s="42" t="n">
        <x:v>0.002</x:v>
      </x:c>
      <x:c r="K65" s="42" t="n">
        <x:v>0.002</x:v>
      </x:c>
      <x:c r="L65" s="42" t="n">
        <x:v>0.002</x:v>
      </x:c>
      <x:c r="M65" s="42" t="n">
        <x:v>0.002</x:v>
      </x:c>
      <x:c r="N65" s="42" t="n">
        <x:v>0.002</x:v>
      </x:c>
      <x:c r="O65" s="42" t="n">
        <x:v>0.002</x:v>
      </x:c>
    </x:row>
    <x:row r="66">
      <x:c r="A66" t="str">
        <x:v>Other income</x:v>
      </x:c>
      <x:c r="B66" t="str">
        <x:v>INR mn</x:v>
      </x:c>
      <x:c r="C66" t="str">
        <x:v>Formula</x:v>
      </x:c>
      <x:c r="D66" s="158" t="n">
        <x:v>144.65</x:v>
      </x:c>
      <x:c r="E66" s="158" t="n">
        <x:v>174.4</x:v>
      </x:c>
      <x:c r="F66" s="158" t="n">
        <x:v>190</x:v>
      </x:c>
      <x:c r="G66" s="155" t="n">
        <x:f>G63*G64+'Three Statements'!G6*G65</x:f>
        <x:v>102.6258288023492</x:v>
      </x:c>
      <x:c r="H66" s="155" t="n">
        <x:f>H63*H64+'Three Statements'!H6*H65</x:f>
        <x:v>126.77732876728663</x:v>
      </x:c>
      <x:c r="I66" s="155" t="n">
        <x:f>I63*I64+'Three Statements'!I6*I65</x:f>
        <x:v>187.6278217552254</x:v>
      </x:c>
      <x:c r="J66" s="155" t="n">
        <x:f>J63*J64+'Three Statements'!J6*J65</x:f>
        <x:v>249.53679688141926</x:v>
      </x:c>
      <x:c r="K66" s="155" t="n">
        <x:f>K63*K64+'Three Statements'!K6*K65</x:f>
        <x:v>312.00268262138496</x:v>
      </x:c>
      <x:c r="L66" s="155" t="n">
        <x:f>L63*L64+'Three Statements'!L6*L65</x:f>
        <x:v>482.26316579270065</x:v>
      </x:c>
      <x:c r="M66" s="155" t="n">
        <x:f>M63*M64+'Three Statements'!M6*M65</x:f>
        <x:v>723.8284649502075</x:v>
      </x:c>
      <x:c r="N66" s="155" t="n">
        <x:f>N63*N64+'Three Statements'!N6*N65</x:f>
        <x:v>1048.2024471340721</x:v>
      </x:c>
      <x:c r="O66" s="155" t="n">
        <x:f>O63*O64+'Three Statements'!O6*O65</x:f>
        <x:v>1424.3676009799253</x:v>
      </x:c>
    </x:row>
    <x:row r="67">
      <x:c r="A67" t="str">
        <x:v>Debt roll-forward check</x:v>
      </x:c>
      <x:c r="B67" t="str">
        <x:v>INR mn</x:v>
      </x:c>
      <x:c r="C67" t="str">
        <x:v>Check</x:v>
      </x:c>
      <x:c r="D67" s="112" t="n">
        <x:f>D54+D55-D56-D57</x:f>
        <x:v>0</x:v>
      </x:c>
      <x:c r="E67" s="112" t="n">
        <x:f>E54+E55-E56-E57</x:f>
        <x:v>-2.2737367544323206e-13</x:v>
      </x:c>
      <x:c r="F67" s="112" t="n">
        <x:f>F54+F55-F56-F57</x:f>
        <x:v>-1.1368683772161603e-13</x:v>
      </x:c>
      <x:c r="G67" s="112" t="n">
        <x:f>G54+G55-G56-G57</x:f>
        <x:v>0</x:v>
      </x:c>
      <x:c r="H67" s="112" t="n">
        <x:f>H54+H55-H56-H57</x:f>
        <x:v>0</x:v>
      </x:c>
      <x:c r="I67" s="112" t="n">
        <x:f>I54+I55-I56-I57</x:f>
        <x:v>0</x:v>
      </x:c>
      <x:c r="J67" s="112" t="n">
        <x:f>J54+J55-J56-J57</x:f>
        <x:v>0</x:v>
      </x:c>
      <x:c r="K67" s="112" t="n">
        <x:f>K54+K55-K56-K57</x:f>
        <x:v>0</x:v>
      </x:c>
      <x:c r="L67" s="112" t="n">
        <x:f>L54+L55-L56-L57</x:f>
        <x:v>0</x:v>
      </x:c>
      <x:c r="M67" s="112" t="n">
        <x:f>M54+M55-M56-M57</x:f>
        <x:v>0</x:v>
      </x:c>
      <x:c r="N67" s="112" t="n">
        <x:f>N54+N55-N56-N57</x:f>
        <x:v>0</x:v>
      </x:c>
      <x:c r="O67" s="112" t="n">
        <x:f>O54+O55-O56-O57</x:f>
        <x:v>0</x:v>
      </x:c>
    </x:row>
    <x:row r="68">
      <x:c r="D68" s="112"/>
      <x:c r="E68" s="112"/>
      <x:c r="F68" s="112"/>
      <x:c r="G68" s="112"/>
      <x:c r="H68" s="112"/>
      <x:c r="I68" s="112"/>
      <x:c r="J68" s="112"/>
      <x:c r="K68" s="112"/>
      <x:c r="L68" s="112"/>
      <x:c r="M68" s="112"/>
      <x:c r="N68" s="112"/>
      <x:c r="O68" s="112"/>
    </x:row>
    <x:row r="69">
      <x:c r="D69" s="112"/>
      <x:c r="E69" s="112"/>
      <x:c r="F69" s="112"/>
      <x:c r="G69" s="112"/>
      <x:c r="H69" s="112"/>
      <x:c r="I69" s="112"/>
      <x:c r="J69" s="112"/>
      <x:c r="K69" s="112"/>
      <x:c r="L69" s="112"/>
      <x:c r="M69" s="112"/>
      <x:c r="N69" s="112"/>
      <x:c r="O69" s="112"/>
    </x:row>
    <x:row r="70">
      <x:c r="A70" s="17" t="str">
        <x:v>Tax Schedule</x:v>
      </x:c>
      <x:c r="B70" s="17"/>
      <x:c r="C70" s="17"/>
      <x:c r="D70" s="297"/>
      <x:c r="E70" s="297"/>
      <x:c r="F70" s="297"/>
      <x:c r="G70" s="297"/>
      <x:c r="H70" s="297"/>
      <x:c r="I70" s="297"/>
      <x:c r="J70" s="297"/>
      <x:c r="K70" s="297"/>
      <x:c r="L70" s="297"/>
      <x:c r="M70" s="297"/>
      <x:c r="N70" s="297"/>
      <x:c r="O70" s="297"/>
    </x:row>
    <x:row r="71">
      <x:c r="A71" t="str">
        <x:v>Profit before tax</x:v>
      </x:c>
      <x:c r="B71" t="str">
        <x:v>INR mn</x:v>
      </x:c>
      <x:c r="C71" t="str">
        <x:v>Link</x:v>
      </x:c>
      <x:c r="D71" s="158" t="n">
        <x:v>1092.34</x:v>
      </x:c>
      <x:c r="E71" s="158" t="n">
        <x:v>2277.03</x:v>
      </x:c>
      <x:c r="F71" s="158" t="n">
        <x:v>4660</x:v>
      </x:c>
      <x:c r="G71" s="155" t="n">
        <x:f>'Three Statements'!G19</x:f>
        <x:v>5837.872326730664</x:v>
      </x:c>
      <x:c r="H71" s="155" t="n">
        <x:f>'Three Statements'!H19</x:f>
        <x:v>6900.131215213557</x:v>
      </x:c>
      <x:c r="I71" s="155" t="n">
        <x:f>'Three Statements'!I19</x:f>
        <x:v>8123.423820182634</x:v>
      </x:c>
      <x:c r="J71" s="155" t="n">
        <x:f>'Three Statements'!J19</x:f>
        <x:v>9732.696038523965</x:v>
      </x:c>
      <x:c r="K71" s="155" t="n">
        <x:f>'Three Statements'!K19</x:f>
        <x:v>11643.238363431541</x:v>
      </x:c>
      <x:c r="L71" s="155" t="n">
        <x:f>'Three Statements'!L19</x:f>
        <x:v>13710.413391312582</x:v>
      </x:c>
      <x:c r="M71" s="155" t="n">
        <x:f>'Three Statements'!M19</x:f>
        <x:v>15647.86252195925</x:v>
      </x:c>
      <x:c r="N71" s="155" t="n">
        <x:f>'Three Statements'!N19</x:f>
        <x:v>17670.978696827726</x:v>
      </x:c>
      <x:c r="O71" s="155" t="n">
        <x:f>'Three Statements'!O19</x:f>
        <x:v>19803.662022925702</x:v>
      </x:c>
    </x:row>
    <x:row r="72">
      <x:c r="A72" t="str">
        <x:v>Normalised tax rate</x:v>
      </x:c>
      <x:c r="B72" t="str">
        <x:v>%</x:v>
      </x:c>
      <x:c r="C72" t="str">
        <x:v>Assumption</x:v>
      </x:c>
      <x:c r="D72" s="100" t="n">
        <x:f>D77/D71</x:f>
        <x:v>0.24191185894501713</x:v>
      </x:c>
      <x:c r="E72" s="100" t="n">
        <x:f>E77/E71</x:f>
        <x:v>0.2528337351725713</x:v>
      </x:c>
      <x:c r="F72" s="100" t="n">
        <x:f>F77/F71</x:f>
        <x:v>0.2510729613733906</x:v>
      </x:c>
      <x:c r="G72" s="42" t="n">
        <x:v>0.25</x:v>
      </x:c>
      <x:c r="H72" s="42" t="n">
        <x:v>0.25</x:v>
      </x:c>
      <x:c r="I72" s="42" t="n">
        <x:v>0.25</x:v>
      </x:c>
      <x:c r="J72" s="42" t="n">
        <x:v>0.25</x:v>
      </x:c>
      <x:c r="K72" s="42" t="n">
        <x:v>0.25</x:v>
      </x:c>
      <x:c r="L72" s="42" t="n">
        <x:v>0.25</x:v>
      </x:c>
      <x:c r="M72" s="42" t="n">
        <x:v>0.25</x:v>
      </x:c>
      <x:c r="N72" s="42" t="n">
        <x:v>0.25</x:v>
      </x:c>
      <x:c r="O72" s="42" t="n">
        <x:v>0.25</x:v>
      </x:c>
    </x:row>
    <x:row r="73">
      <x:c r="A73" t="str">
        <x:v>Current-tax share</x:v>
      </x:c>
      <x:c r="B73" t="str">
        <x:v>%</x:v>
      </x:c>
      <x:c r="C73" t="str">
        <x:v>Assumption</x:v>
      </x:c>
      <x:c r="D73" s="100" t="n">
        <x:f>D75/D77</x:f>
        <x:v>0.29354777672658466</x:v>
      </x:c>
      <x:c r="E73" s="100" t="n">
        <x:f>E75/E77</x:f>
        <x:v>0.5878654183529902</x:v>
      </x:c>
      <x:c r="F73" s="100" t="n">
        <x:f>F75/F77</x:f>
        <x:v>0.8</x:v>
      </x:c>
      <x:c r="G73" s="42" t="n">
        <x:v>0.8</x:v>
      </x:c>
      <x:c r="H73" s="42" t="n">
        <x:v>0.8</x:v>
      </x:c>
      <x:c r="I73" s="42" t="n">
        <x:v>0.8</x:v>
      </x:c>
      <x:c r="J73" s="42" t="n">
        <x:v>0.8</x:v>
      </x:c>
      <x:c r="K73" s="42" t="n">
        <x:v>0.8</x:v>
      </x:c>
      <x:c r="L73" s="42" t="n">
        <x:v>0.8</x:v>
      </x:c>
      <x:c r="M73" s="42" t="n">
        <x:v>0.8</x:v>
      </x:c>
      <x:c r="N73" s="42" t="n">
        <x:v>0.8</x:v>
      </x:c>
      <x:c r="O73" s="42" t="n">
        <x:v>0.8</x:v>
      </x:c>
    </x:row>
    <x:row r="74">
      <x:c r="A74" t="str">
        <x:v>Deferred-tax share</x:v>
      </x:c>
      <x:c r="B74" t="str">
        <x:v>%</x:v>
      </x:c>
      <x:c r="C74" t="str">
        <x:v>Assumption</x:v>
      </x:c>
      <x:c r="D74" s="100" t="n">
        <x:f>D76/D77</x:f>
        <x:v>0.7064522232734154</x:v>
      </x:c>
      <x:c r="E74" s="100" t="n">
        <x:f>E76/E77</x:f>
        <x:v>0.4121345816470098</x:v>
      </x:c>
      <x:c r="F74" s="100" t="n">
        <x:f>F76/F77</x:f>
        <x:v>0.2</x:v>
      </x:c>
      <x:c r="G74" s="42" t="n">
        <x:v>0.2</x:v>
      </x:c>
      <x:c r="H74" s="42" t="n">
        <x:v>0.2</x:v>
      </x:c>
      <x:c r="I74" s="42" t="n">
        <x:v>0.2</x:v>
      </x:c>
      <x:c r="J74" s="42" t="n">
        <x:v>0.2</x:v>
      </x:c>
      <x:c r="K74" s="42" t="n">
        <x:v>0.2</x:v>
      </x:c>
      <x:c r="L74" s="42" t="n">
        <x:v>0.2</x:v>
      </x:c>
      <x:c r="M74" s="42" t="n">
        <x:v>0.2</x:v>
      </x:c>
      <x:c r="N74" s="42" t="n">
        <x:v>0.2</x:v>
      </x:c>
      <x:c r="O74" s="42" t="n">
        <x:v>0.2</x:v>
      </x:c>
    </x:row>
    <x:row r="75">
      <x:c r="A75" t="str">
        <x:v>Current tax</x:v>
      </x:c>
      <x:c r="B75" t="str">
        <x:v>INR mn</x:v>
      </x:c>
      <x:c r="C75" t="str">
        <x:v>Formula</x:v>
      </x:c>
      <x:c r="D75" s="158" t="n">
        <x:v>77.57</x:v>
      </x:c>
      <x:c r="E75" s="158" t="n">
        <x:v>338.44</x:v>
      </x:c>
      <x:c r="F75" s="158" t="n">
        <x:v>936</x:v>
      </x:c>
      <x:c r="G75" s="112" t="n">
        <x:f>MAX(0,G71*G72*G73)</x:f>
        <x:v>1167.574465346133</x:v>
      </x:c>
      <x:c r="H75" s="112" t="n">
        <x:f>MAX(0,H71*H72*H73)</x:f>
        <x:v>1380.0262430427115</x:v>
      </x:c>
      <x:c r="I75" s="112" t="n">
        <x:f>MAX(0,I71*I72*I73)</x:f>
        <x:v>1624.6847640365268</x:v>
      </x:c>
      <x:c r="J75" s="112" t="n">
        <x:f>MAX(0,J71*J72*J73)</x:f>
        <x:v>1946.5392077047932</x:v>
      </x:c>
      <x:c r="K75" s="112" t="n">
        <x:f>MAX(0,K71*K72*K73)</x:f>
        <x:v>2328.6476726863084</x:v>
      </x:c>
      <x:c r="L75" s="112" t="n">
        <x:f>MAX(0,L71*L72*L73)</x:f>
        <x:v>2742.0826782625168</x:v>
      </x:c>
      <x:c r="M75" s="112" t="n">
        <x:f>MAX(0,M71*M72*M73)</x:f>
        <x:v>3129.57250439185</x:v>
      </x:c>
      <x:c r="N75" s="112" t="n">
        <x:f>MAX(0,N71*N72*N73)</x:f>
        <x:v>3534.1957393655453</x:v>
      </x:c>
      <x:c r="O75" s="112" t="n">
        <x:f>MAX(0,O71*O72*O73)</x:f>
        <x:v>3960.7324045851406</x:v>
      </x:c>
    </x:row>
    <x:row r="76">
      <x:c r="A76" t="str">
        <x:v>Deferred tax</x:v>
      </x:c>
      <x:c r="B76" t="str">
        <x:v>INR mn</x:v>
      </x:c>
      <x:c r="C76" t="str">
        <x:v>Formula</x:v>
      </x:c>
      <x:c r="D76" s="158" t="n">
        <x:v>186.68</x:v>
      </x:c>
      <x:c r="E76" s="158" t="n">
        <x:v>237.27</x:v>
      </x:c>
      <x:c r="F76" s="158" t="n">
        <x:v>234</x:v>
      </x:c>
      <x:c r="G76" s="112" t="n">
        <x:f>MAX(0,G71*G72*G74)</x:f>
        <x:v>291.8936163365332</x:v>
      </x:c>
      <x:c r="H76" s="112" t="n">
        <x:f>MAX(0,H71*H72*H74)</x:f>
        <x:v>345.00656076067787</x:v>
      </x:c>
      <x:c r="I76" s="112" t="n">
        <x:f>MAX(0,I71*I72*I74)</x:f>
        <x:v>406.1711910091317</x:v>
      </x:c>
      <x:c r="J76" s="112" t="n">
        <x:f>MAX(0,J71*J72*J74)</x:f>
        <x:v>486.6348019261983</x:v>
      </x:c>
      <x:c r="K76" s="112" t="n">
        <x:f>MAX(0,K71*K72*K74)</x:f>
        <x:v>582.1619181715771</x:v>
      </x:c>
      <x:c r="L76" s="112" t="n">
        <x:f>MAX(0,L71*L72*L74)</x:f>
        <x:v>685.5206695656292</x:v>
      </x:c>
      <x:c r="M76" s="112" t="n">
        <x:f>MAX(0,M71*M72*M74)</x:f>
        <x:v>782.3931260979625</x:v>
      </x:c>
      <x:c r="N76" s="112" t="n">
        <x:f>MAX(0,N71*N72*N74)</x:f>
        <x:v>883.5489348413863</x:v>
      </x:c>
      <x:c r="O76" s="112" t="n">
        <x:f>MAX(0,O71*O72*O74)</x:f>
        <x:v>990.1831011462851</x:v>
      </x:c>
    </x:row>
    <x:row r="77">
      <x:c r="A77" s="132" t="str">
        <x:v>Total tax expense</x:v>
      </x:c>
      <x:c r="B77" s="132" t="str">
        <x:v>INR mn</x:v>
      </x:c>
      <x:c r="C77" s="132" t="str">
        <x:v>Formula</x:v>
      </x:c>
      <x:c r="D77" s="161" t="n">
        <x:v>264.25</x:v>
      </x:c>
      <x:c r="E77" s="161" t="n">
        <x:v>575.71</x:v>
      </x:c>
      <x:c r="F77" s="161" t="n">
        <x:v>1170</x:v>
      </x:c>
      <x:c r="G77" s="159" t="n">
        <x:f>SUM(G75:G76)</x:f>
        <x:v>1459.4680816826663</x:v>
      </x:c>
      <x:c r="H77" s="159" t="n">
        <x:f>SUM(H75:H76)</x:f>
        <x:v>1725.0328038033895</x:v>
      </x:c>
      <x:c r="I77" s="159" t="n">
        <x:f>SUM(I75:I76)</x:f>
        <x:v>2030.8559550456584</x:v>
      </x:c>
      <x:c r="J77" s="159" t="n">
        <x:f>SUM(J75:J76)</x:f>
        <x:v>2433.1740096309913</x:v>
      </x:c>
      <x:c r="K77" s="159" t="n">
        <x:f>SUM(K75:K76)</x:f>
        <x:v>2910.8095908578853</x:v>
      </x:c>
      <x:c r="L77" s="159" t="n">
        <x:f>SUM(L75:L76)</x:f>
        <x:v>3427.603347828146</x:v>
      </x:c>
      <x:c r="M77" s="159" t="n">
        <x:f>SUM(M75:M76)</x:f>
        <x:v>3911.9656304898126</x:v>
      </x:c>
      <x:c r="N77" s="159" t="n">
        <x:f>SUM(N75:N76)</x:f>
        <x:v>4417.744674206931</x:v>
      </x:c>
      <x:c r="O77" s="159" t="n">
        <x:f>SUM(O75:O76)</x:f>
        <x:v>4950.915505731426</x:v>
      </x:c>
    </x:row>
    <x:row r="78">
      <x:c r="A78" t="str">
        <x:v>Effective tax rate</x:v>
      </x:c>
      <x:c r="B78" t="str">
        <x:v>%</x:v>
      </x:c>
      <x:c r="C78" t="str">
        <x:v>Formula</x:v>
      </x:c>
      <x:c r="D78" s="100" t="n">
        <x:f>D77/D71</x:f>
        <x:v>0.24191185894501713</x:v>
      </x:c>
      <x:c r="E78" s="100" t="n">
        <x:f>E77/E71</x:f>
        <x:v>0.2528337351725713</x:v>
      </x:c>
      <x:c r="F78" s="100" t="n">
        <x:f>F77/F71</x:f>
        <x:v>0.2510729613733906</x:v>
      </x:c>
      <x:c r="G78" s="100" t="n">
        <x:f>G77/G71</x:f>
        <x:v>0.25000000000000006</x:v>
      </x:c>
      <x:c r="H78" s="100" t="n">
        <x:f>H77/H71</x:f>
        <x:v>0.25000000000000006</x:v>
      </x:c>
      <x:c r="I78" s="100" t="n">
        <x:f>I77/I71</x:f>
        <x:v>0.25</x:v>
      </x:c>
      <x:c r="J78" s="100" t="n">
        <x:f>J77/J71</x:f>
        <x:v>0.25</x:v>
      </x:c>
      <x:c r="K78" s="100" t="n">
        <x:f>K77/K71</x:f>
        <x:v>0.25</x:v>
      </x:c>
      <x:c r="L78" s="100" t="n">
        <x:f>L77/L71</x:f>
        <x:v>0.25000000000000006</x:v>
      </x:c>
      <x:c r="M78" s="100" t="n">
        <x:f>M77/M71</x:f>
        <x:v>0.25</x:v>
      </x:c>
      <x:c r="N78" s="100" t="n">
        <x:f>N77/N71</x:f>
        <x:v>0.25</x:v>
      </x:c>
      <x:c r="O78" s="100" t="n">
        <x:f>O77/O71</x:f>
        <x:v>0.25</x:v>
      </x:c>
    </x:row>
    <x:row r="79">
      <x:c r="A79" t="str">
        <x:v>Opening net deferred-tax liability</x:v>
      </x:c>
      <x:c r="B79" t="str">
        <x:v>INR mn</x:v>
      </x:c>
      <x:c r="C79" t="str">
        <x:v>Formula</x:v>
      </x:c>
      <x:c r="D79" s="112" t="n">
        <x:v>676</x:v>
      </x:c>
      <x:c r="E79" s="112" t="n">
        <x:f>D80</x:f>
        <x:v>862.66</x:v>
      </x:c>
      <x:c r="F79" s="112" t="n">
        <x:f>E80</x:f>
        <x:v>1110.36</x:v>
      </x:c>
      <x:c r="G79" s="112" t="n">
        <x:f>F80</x:f>
        <x:v>1280</x:v>
      </x:c>
      <x:c r="H79" s="112" t="n">
        <x:f>G80</x:f>
        <x:v>1571.8936163365333</x:v>
      </x:c>
      <x:c r="I79" s="112" t="n">
        <x:f>H80</x:f>
        <x:v>1916.9001770972113</x:v>
      </x:c>
      <x:c r="J79" s="112" t="n">
        <x:f>I80</x:f>
        <x:v>2323.071368106343</x:v>
      </x:c>
      <x:c r="K79" s="112" t="n">
        <x:f>J80</x:f>
        <x:v>2809.706170032541</x:v>
      </x:c>
      <x:c r="L79" s="112" t="n">
        <x:f>K80</x:f>
        <x:v>3391.868088204118</x:v>
      </x:c>
      <x:c r="M79" s="112" t="n">
        <x:f>L80</x:f>
        <x:v>4077.3887577697474</x:v>
      </x:c>
      <x:c r="N79" s="112" t="n">
        <x:f>M80</x:f>
        <x:v>4859.78188386771</x:v>
      </x:c>
      <x:c r="O79" s="112" t="n">
        <x:f>N80</x:f>
        <x:v>5743.330818709097</x:v>
      </x:c>
    </x:row>
    <x:row r="80">
      <x:c r="A80" t="str">
        <x:v>Closing net deferred-tax liability</x:v>
      </x:c>
      <x:c r="B80" t="str">
        <x:v>INR mn</x:v>
      </x:c>
      <x:c r="C80" t="str">
        <x:v>Formula</x:v>
      </x:c>
      <x:c r="D80" s="158" t="n">
        <x:v>862.66</x:v>
      </x:c>
      <x:c r="E80" s="158" t="n">
        <x:v>1110.36</x:v>
      </x:c>
      <x:c r="F80" s="158" t="n">
        <x:v>1280</x:v>
      </x:c>
      <x:c r="G80" s="112" t="n">
        <x:f>G79+G76</x:f>
        <x:v>1571.8936163365333</x:v>
      </x:c>
      <x:c r="H80" s="112" t="n">
        <x:f>H79+H76</x:f>
        <x:v>1916.9001770972113</x:v>
      </x:c>
      <x:c r="I80" s="112" t="n">
        <x:f>I79+I76</x:f>
        <x:v>2323.071368106343</x:v>
      </x:c>
      <x:c r="J80" s="112" t="n">
        <x:f>J79+J76</x:f>
        <x:v>2809.706170032541</x:v>
      </x:c>
      <x:c r="K80" s="112" t="n">
        <x:f>K79+K76</x:f>
        <x:v>3391.868088204118</x:v>
      </x:c>
      <x:c r="L80" s="112" t="n">
        <x:f>L79+L76</x:f>
        <x:v>4077.3887577697474</x:v>
      </x:c>
      <x:c r="M80" s="112" t="n">
        <x:f>M79+M76</x:f>
        <x:v>4859.78188386771</x:v>
      </x:c>
      <x:c r="N80" s="112" t="n">
        <x:f>N79+N76</x:f>
        <x:v>5743.330818709097</x:v>
      </x:c>
      <x:c r="O80" s="112" t="n">
        <x:f>O79+O76</x:f>
        <x:v>6733.5139198553825</x:v>
      </x:c>
    </x:row>
    <x:row r="81">
      <x:c r="D81" s="112"/>
      <x:c r="E81" s="112"/>
      <x:c r="F81" s="112"/>
      <x:c r="G81" s="112"/>
      <x:c r="H81" s="112"/>
      <x:c r="I81" s="112"/>
      <x:c r="J81" s="112"/>
      <x:c r="K81" s="112"/>
      <x:c r="L81" s="112"/>
      <x:c r="M81" s="112"/>
      <x:c r="N81" s="112"/>
      <x:c r="O81" s="112"/>
    </x:row>
    <x:row r="82">
      <x:c r="D82" s="112"/>
      <x:c r="E82" s="112"/>
      <x:c r="F82" s="112"/>
      <x:c r="G82" s="112"/>
      <x:c r="H82" s="112"/>
      <x:c r="I82" s="112"/>
      <x:c r="J82" s="112"/>
      <x:c r="K82" s="112"/>
      <x:c r="L82" s="112"/>
      <x:c r="M82" s="112"/>
      <x:c r="N82" s="112"/>
      <x:c r="O82" s="112"/>
    </x:row>
    <x:row r="83">
      <x:c r="A83" s="17" t="str">
        <x:v>Equity, Retained Earnings and Share Count</x:v>
      </x:c>
      <x:c r="B83" s="17"/>
      <x:c r="C83" s="17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</x:row>
    <x:row r="84">
      <x:c r="A84" t="str">
        <x:v>Opening share capital</x:v>
      </x:c>
      <x:c r="B84" t="str">
        <x:v>INR mn</x:v>
      </x:c>
      <x:c r="C84" t="str">
        <x:v>Formula</x:v>
      </x:c>
      <x:c r="D84" s="100" t="n">
        <x:v>180.5</x:v>
      </x:c>
      <x:c r="E84" s="100" t="n">
        <x:f>D86</x:f>
        <x:v>180.5</x:v>
      </x:c>
      <x:c r="F84" s="100" t="n">
        <x:f>E86</x:f>
        <x:v>208.41</x:v>
      </x:c>
      <x:c r="G84" s="100" t="n">
        <x:f>F86</x:f>
        <x:v>210</x:v>
      </x:c>
      <x:c r="H84" s="100" t="n">
        <x:f>G86</x:f>
        <x:v>211</x:v>
      </x:c>
      <x:c r="I84" s="100" t="n">
        <x:f>H86</x:f>
        <x:v>212</x:v>
      </x:c>
      <x:c r="J84" s="100" t="n">
        <x:f>I86</x:f>
        <x:v>213</x:v>
      </x:c>
      <x:c r="K84" s="100" t="n">
        <x:f>J86</x:f>
        <x:v>214</x:v>
      </x:c>
      <x:c r="L84" s="100" t="n">
        <x:f>K86</x:f>
        <x:v>215</x:v>
      </x:c>
      <x:c r="M84" s="100" t="n">
        <x:f>L86</x:f>
        <x:v>216</x:v>
      </x:c>
      <x:c r="N84" s="100" t="n">
        <x:f>M86</x:f>
        <x:v>217</x:v>
      </x:c>
      <x:c r="O84" s="100" t="n">
        <x:f>N86</x:f>
        <x:v>218</x:v>
      </x:c>
    </x:row>
    <x:row r="85">
      <x:c r="A85" t="str">
        <x:v>Share-capital increase</x:v>
      </x:c>
      <x:c r="B85" t="str">
        <x:v>INR mn</x:v>
      </x:c>
      <x:c r="C85" t="str">
        <x:v>Assumption</x:v>
      </x:c>
      <x:c r="D85" s="112" t="n">
        <x:v>0.4</x:v>
      </x:c>
      <x:c r="E85" s="112" t="n">
        <x:v>27.91</x:v>
      </x:c>
      <x:c r="F85" s="112" t="n">
        <x:v>1.59</x:v>
      </x:c>
      <x:c r="G85" s="166" t="n">
        <x:v>1</x:v>
      </x:c>
      <x:c r="H85" s="166" t="n">
        <x:v>1</x:v>
      </x:c>
      <x:c r="I85" s="166" t="n">
        <x:v>1</x:v>
      </x:c>
      <x:c r="J85" s="166" t="n">
        <x:v>1</x:v>
      </x:c>
      <x:c r="K85" s="166" t="n">
        <x:v>1</x:v>
      </x:c>
      <x:c r="L85" s="166" t="n">
        <x:v>1</x:v>
      </x:c>
      <x:c r="M85" s="166" t="n">
        <x:v>1</x:v>
      </x:c>
      <x:c r="N85" s="166" t="n">
        <x:v>1</x:v>
      </x:c>
      <x:c r="O85" s="166" t="n">
        <x:v>1</x:v>
      </x:c>
    </x:row>
    <x:row r="86">
      <x:c r="A86" t="str">
        <x:v>Closing share capital</x:v>
      </x:c>
      <x:c r="B86" t="str">
        <x:v>INR mn</x:v>
      </x:c>
      <x:c r="C86" t="str">
        <x:v>Formula</x:v>
      </x:c>
      <x:c r="D86" s="158" t="n">
        <x:v>180.5</x:v>
      </x:c>
      <x:c r="E86" s="158" t="n">
        <x:v>208.41</x:v>
      </x:c>
      <x:c r="F86" s="158" t="n">
        <x:v>210</x:v>
      </x:c>
      <x:c r="G86" s="112" t="n">
        <x:f>G84+G85</x:f>
        <x:v>211</x:v>
      </x:c>
      <x:c r="H86" s="112" t="n">
        <x:f>H84+H85</x:f>
        <x:v>212</x:v>
      </x:c>
      <x:c r="I86" s="112" t="n">
        <x:f>I84+I85</x:f>
        <x:v>213</x:v>
      </x:c>
      <x:c r="J86" s="112" t="n">
        <x:f>J84+J85</x:f>
        <x:v>214</x:v>
      </x:c>
      <x:c r="K86" s="112" t="n">
        <x:f>K84+K85</x:f>
        <x:v>215</x:v>
      </x:c>
      <x:c r="L86" s="112" t="n">
        <x:f>L84+L85</x:f>
        <x:v>216</x:v>
      </x:c>
      <x:c r="M86" s="112" t="n">
        <x:f>M84+M85</x:f>
        <x:v>217</x:v>
      </x:c>
      <x:c r="N86" s="112" t="n">
        <x:f>N84+N85</x:f>
        <x:v>218</x:v>
      </x:c>
      <x:c r="O86" s="112" t="n">
        <x:f>O84+O85</x:f>
        <x:v>219</x:v>
      </x:c>
    </x:row>
    <x:row r="87">
      <x:c r="A87" t="str">
        <x:v>Equity / ESOP proceeds</x:v>
      </x:c>
      <x:c r="B87" t="str">
        <x:v>INR mn</x:v>
      </x:c>
      <x:c r="C87" t="str">
        <x:v>Assumption</x:v>
      </x:c>
      <x:c r="D87" s="112" t="n">
        <x:v>9.67</x:v>
      </x:c>
      <x:c r="E87" s="112" t="n">
        <x:v>10003.22</x:v>
      </x:c>
      <x:c r="F87" s="112" t="n">
        <x:v>20</x:v>
      </x:c>
      <x:c r="G87" s="166" t="n">
        <x:v>50</x:v>
      </x:c>
      <x:c r="H87" s="166" t="n">
        <x:v>50</x:v>
      </x:c>
      <x:c r="I87" s="166" t="n">
        <x:v>50</x:v>
      </x:c>
      <x:c r="J87" s="166" t="n">
        <x:v>50</x:v>
      </x:c>
      <x:c r="K87" s="166" t="n">
        <x:v>50</x:v>
      </x:c>
      <x:c r="L87" s="166" t="n">
        <x:v>50</x:v>
      </x:c>
      <x:c r="M87" s="166" t="n">
        <x:v>50</x:v>
      </x:c>
      <x:c r="N87" s="166" t="n">
        <x:v>50</x:v>
      </x:c>
      <x:c r="O87" s="166" t="n">
        <x:v>50</x:v>
      </x:c>
    </x:row>
    <x:row r="88">
      <x:c r="A88" t="str">
        <x:v>Opening reserves</x:v>
      </x:c>
      <x:c r="B88" t="str">
        <x:v>INR mn</x:v>
      </x:c>
      <x:c r="C88" t="str">
        <x:v>Formula</x:v>
      </x:c>
      <x:c r="D88" s="100" t="n">
        <x:v>8700.83</x:v>
      </x:c>
      <x:c r="E88" s="100" t="n">
        <x:v>9570.94</x:v>
      </x:c>
      <x:c r="F88" s="100" t="n">
        <x:v>21075.13</x:v>
      </x:c>
      <x:c r="G88" s="100" t="n">
        <x:f>F94</x:f>
        <x:v>24620</x:v>
      </x:c>
      <x:c r="H88" s="100" t="n">
        <x:f>G94</x:f>
        <x:v>29086.91111664976</x:v>
      </x:c>
      <x:c r="I88" s="100" t="n">
        <x:f>H94</x:f>
        <x:v>34358.6449034339</x:v>
      </x:c>
      <x:c r="J88" s="100" t="n">
        <x:f>I94</x:f>
        <x:v>39946.74995728654</x:v>
      </x:c>
      <x:c r="K88" s="100" t="n">
        <x:f>J94</x:f>
        <x:v>46629.327461196306</x:v>
      </x:c>
      <x:c r="L88" s="100" t="n">
        <x:f>K94</x:f>
        <x:v>54609.77981799155</x:v>
      </x:c>
      <x:c r="M88" s="100" t="n">
        <x:f>L94</x:f>
        <x:v>63993.74559605456</x:v>
      </x:c>
      <x:c r="N88" s="100" t="n">
        <x:f>M94</x:f>
        <x:v>74693.33968842443</x:v>
      </x:c>
      <x:c r="O88" s="100" t="n">
        <x:f>N94</x:f>
        <x:v>86766.48625604712</x:v>
      </x:c>
    </x:row>
    <x:row r="89">
      <x:c r="A89" t="str">
        <x:v>Profit after tax</x:v>
      </x:c>
      <x:c r="B89" t="str">
        <x:v>INR mn</x:v>
      </x:c>
      <x:c r="C89" t="str">
        <x:v>Link</x:v>
      </x:c>
      <x:c r="D89" s="112" t="n">
        <x:f>'Three Statements'!D23</x:f>
        <x:v>828.0899999999992</x:v>
      </x:c>
      <x:c r="E89" s="112" t="n">
        <x:f>'Three Statements'!E23</x:f>
        <x:v>1701.320000000001</x:v>
      </x:c>
      <x:c r="F89" s="112" t="n">
        <x:f>'Three Statements'!F23</x:f>
        <x:v>3490</x:v>
      </x:c>
      <x:c r="G89" s="155" t="n">
        <x:f>'Three Statements'!G23</x:f>
        <x:v>4378.404245047997</x:v>
      </x:c>
      <x:c r="H89" s="155" t="n">
        <x:f>'Three Statements'!H23</x:f>
        <x:v>5175.0984114101675</x:v>
      </x:c>
      <x:c r="I89" s="155" t="n">
        <x:f>'Three Statements'!I23</x:f>
        <x:v>6092.567865136975</x:v>
      </x:c>
      <x:c r="J89" s="155" t="n">
        <x:f>'Three Statements'!J23</x:f>
        <x:v>7299.522028892974</x:v>
      </x:c>
      <x:c r="K89" s="155" t="n">
        <x:f>'Three Statements'!K23</x:f>
        <x:v>8732.428772573656</x:v>
      </x:c>
      <x:c r="L89" s="155" t="n">
        <x:f>'Three Statements'!L23</x:f>
        <x:v>10282.810043484436</x:v>
      </x:c>
      <x:c r="M89" s="155" t="n">
        <x:f>'Three Statements'!M23</x:f>
        <x:v>11735.896891469438</x:v>
      </x:c>
      <x:c r="N89" s="155" t="n">
        <x:f>'Three Statements'!N23</x:f>
        <x:v>13253.234022620794</x:v>
      </x:c>
      <x:c r="O89" s="155" t="n">
        <x:f>'Three Statements'!O23</x:f>
        <x:v>14852.746517194277</x:v>
      </x:c>
    </x:row>
    <x:row r="90">
      <x:c r="A90" t="str">
        <x:v>Dividend payout</x:v>
      </x:c>
      <x:c r="B90" t="str">
        <x:v>%</x:v>
      </x:c>
      <x:c r="C90" t="str">
        <x:v>Assumption</x:v>
      </x:c>
      <x:c r="D90" s="100" t="n">
        <x:v>0</x:v>
      </x:c>
      <x:c r="E90" s="100" t="n">
        <x:v>0</x:v>
      </x:c>
      <x:c r="F90" s="100" t="n">
        <x:v>0</x:v>
      </x:c>
      <x:c r="G90" s="42" t="n">
        <x:v>0</x:v>
      </x:c>
      <x:c r="H90" s="42" t="n">
        <x:v>0</x:v>
      </x:c>
      <x:c r="I90" s="42" t="n">
        <x:v>0.1</x:v>
      </x:c>
      <x:c r="J90" s="42" t="n">
        <x:v>0.1</x:v>
      </x:c>
      <x:c r="K90" s="42" t="n">
        <x:v>0.1</x:v>
      </x:c>
      <x:c r="L90" s="42" t="n">
        <x:v>0.1</x:v>
      </x:c>
      <x:c r="M90" s="42" t="n">
        <x:v>0.1</x:v>
      </x:c>
      <x:c r="N90" s="42" t="n">
        <x:v>0.1</x:v>
      </x:c>
      <x:c r="O90" s="42" t="n">
        <x:v>0.1</x:v>
      </x:c>
    </x:row>
    <x:row r="91">
      <x:c r="A91" t="str">
        <x:v>Dividend</x:v>
      </x:c>
      <x:c r="B91" t="str">
        <x:v>INR mn</x:v>
      </x:c>
      <x:c r="C91" t="str">
        <x:v>Formula</x:v>
      </x:c>
      <x:c r="D91" s="112" t="n">
        <x:v>0</x:v>
      </x:c>
      <x:c r="E91" s="112" t="n">
        <x:v>0</x:v>
      </x:c>
      <x:c r="F91" s="112" t="n">
        <x:v>0</x:v>
      </x:c>
      <x:c r="G91" s="112" t="n">
        <x:f>G89*G90</x:f>
        <x:v>0</x:v>
      </x:c>
      <x:c r="H91" s="112" t="n">
        <x:f>H89*H90</x:f>
        <x:v>0</x:v>
      </x:c>
      <x:c r="I91" s="112" t="n">
        <x:f>I89*I90</x:f>
        <x:v>609.2567865136975</x:v>
      </x:c>
      <x:c r="J91" s="112" t="n">
        <x:f>J89*J90</x:f>
        <x:v>729.9522028892975</x:v>
      </x:c>
      <x:c r="K91" s="112" t="n">
        <x:f>K89*K90</x:f>
        <x:v>873.2428772573656</x:v>
      </x:c>
      <x:c r="L91" s="112" t="n">
        <x:f>L89*L90</x:f>
        <x:v>1028.2810043484437</x:v>
      </x:c>
      <x:c r="M91" s="112" t="n">
        <x:f>M89*M90</x:f>
        <x:v>1173.5896891469438</x:v>
      </x:c>
      <x:c r="N91" s="112" t="n">
        <x:f>N89*N90</x:f>
        <x:v>1325.3234022620795</x:v>
      </x:c>
      <x:c r="O91" s="112" t="n">
        <x:f>O89*O90</x:f>
        <x:v>1485.2746517194278</x:v>
      </x:c>
    </x:row>
    <x:row r="92">
      <x:c r="A92" t="str">
        <x:v>Share-based compensation / OCI</x:v>
      </x:c>
      <x:c r="B92" t="str">
        <x:v>INR mn</x:v>
      </x:c>
      <x:c r="C92" t="str">
        <x:v>Assumption / Formula</x:v>
      </x:c>
      <x:c r="D92" s="100" t="n">
        <x:v>32.75</x:v>
      </x:c>
      <x:c r="E92" s="100" t="n">
        <x:v>-172.44</x:v>
      </x:c>
      <x:c r="F92" s="100" t="n">
        <x:v>36.46</x:v>
      </x:c>
      <x:c r="G92" s="115" t="n">
        <x:f>'Three Statements'!G6*0.15%</x:f>
        <x:v>39.50687160176191</x:v>
      </x:c>
      <x:c r="H92" s="115" t="n">
        <x:f>'Three Statements'!H6*0.15%</x:f>
        <x:v>47.635375373975855</x:v>
      </x:c>
      <x:c r="I92" s="115" t="n">
        <x:f>'Three Statements'!I6*0.15%</x:f>
        <x:v>55.79397522936064</x:v>
      </x:c>
      <x:c r="J92" s="115" t="n">
        <x:f>'Three Statements'!J6*0.15%</x:f>
        <x:v>64.00767790608381</x:v>
      </x:c>
      <x:c r="K92" s="115" t="n">
        <x:f>'Three Statements'!K6*0.15%</x:f>
        <x:v>72.26646147894674</x:v>
      </x:c>
      <x:c r="L92" s="115" t="n">
        <x:f>'Three Statements'!L6*0.15%</x:f>
        <x:v>80.43673892701602</x:v>
      </x:c>
      <x:c r="M92" s="115" t="n">
        <x:f>'Three Statements'!M6*0.15%</x:f>
        <x:v>88.28689004736364</x:v>
      </x:c>
      <x:c r="N92" s="115" t="n">
        <x:f>'Three Statements'!N6*0.15%</x:f>
        <x:v>96.23594726397843</x:v>
      </x:c>
      <x:c r="O92" s="115" t="n">
        <x:f>'Three Statements'!O6*0.15%</x:f>
        <x:v>104.37940004661294</x:v>
      </x:c>
    </x:row>
    <x:row r="93">
      <x:c r="A93" t="str">
        <x:v>Securities premium</x:v>
      </x:c>
      <x:c r="B93" t="str">
        <x:v>INR mn</x:v>
      </x:c>
      <x:c r="C93" t="str">
        <x:v>Formula</x:v>
      </x:c>
      <x:c r="D93" s="112" t="n">
        <x:f>D87-D85</x:f>
        <x:v>9.27</x:v>
      </x:c>
      <x:c r="E93" s="112" t="n">
        <x:f>E87-E85</x:f>
        <x:v>9975.31</x:v>
      </x:c>
      <x:c r="F93" s="112" t="n">
        <x:f>F87-F85</x:f>
        <x:v>18.41</x:v>
      </x:c>
      <x:c r="G93" s="112" t="n">
        <x:f>G87-G85</x:f>
        <x:v>49</x:v>
      </x:c>
      <x:c r="H93" s="112" t="n">
        <x:f>H87-H85</x:f>
        <x:v>49</x:v>
      </x:c>
      <x:c r="I93" s="112" t="n">
        <x:f>I87-I85</x:f>
        <x:v>49</x:v>
      </x:c>
      <x:c r="J93" s="112" t="n">
        <x:f>J87-J85</x:f>
        <x:v>49</x:v>
      </x:c>
      <x:c r="K93" s="112" t="n">
        <x:f>K87-K85</x:f>
        <x:v>49</x:v>
      </x:c>
      <x:c r="L93" s="112" t="n">
        <x:f>L87-L85</x:f>
        <x:v>49</x:v>
      </x:c>
      <x:c r="M93" s="112" t="n">
        <x:f>M87-M85</x:f>
        <x:v>49</x:v>
      </x:c>
      <x:c r="N93" s="112" t="n">
        <x:f>N87-N85</x:f>
        <x:v>49</x:v>
      </x:c>
      <x:c r="O93" s="112" t="n">
        <x:f>O87-O85</x:f>
        <x:v>49</x:v>
      </x:c>
    </x:row>
    <x:row r="94">
      <x:c r="A94" s="132" t="str">
        <x:v>Closing reserves</x:v>
      </x:c>
      <x:c r="B94" s="132" t="str">
        <x:v>INR mn</x:v>
      </x:c>
      <x:c r="C94" s="132" t="str">
        <x:v>Formula</x:v>
      </x:c>
      <x:c r="D94" s="161" t="n">
        <x:v>9570.94</x:v>
      </x:c>
      <x:c r="E94" s="161" t="n">
        <x:v>21075.13</x:v>
      </x:c>
      <x:c r="F94" s="161" t="n">
        <x:v>24620</x:v>
      </x:c>
      <x:c r="G94" s="159" t="n">
        <x:f>G88+G89-G91+G93+G92</x:f>
        <x:v>29086.91111664976</x:v>
      </x:c>
      <x:c r="H94" s="159" t="n">
        <x:f>H88+H89-H91+H93+H92</x:f>
        <x:v>34358.6449034339</x:v>
      </x:c>
      <x:c r="I94" s="159" t="n">
        <x:f>I88+I89-I91+I93+I92</x:f>
        <x:v>39946.74995728654</x:v>
      </x:c>
      <x:c r="J94" s="159" t="n">
        <x:f>J88+J89-J91+J93+J92</x:f>
        <x:v>46629.327461196306</x:v>
      </x:c>
      <x:c r="K94" s="159" t="n">
        <x:f>K88+K89-K91+K93+K92</x:f>
        <x:v>54609.77981799155</x:v>
      </x:c>
      <x:c r="L94" s="159" t="n">
        <x:f>L88+L89-L91+L93+L92</x:f>
        <x:v>63993.74559605456</x:v>
      </x:c>
      <x:c r="M94" s="159" t="n">
        <x:f>M88+M89-M91+M93+M92</x:f>
        <x:v>74693.33968842443</x:v>
      </x:c>
      <x:c r="N94" s="159" t="n">
        <x:f>N88+N89-N91+N93+N92</x:f>
        <x:v>86766.48625604712</x:v>
      </x:c>
      <x:c r="O94" s="159" t="n">
        <x:f>O88+O89-O91+O93+O92</x:f>
        <x:v>100287.33752156858</x:v>
      </x:c>
    </x:row>
    <x:row r="95">
      <x:c r="A95" t="str">
        <x:v>Retained-earnings roll-forward check</x:v>
      </x:c>
      <x:c r="B95" t="str">
        <x:v>INR mn</x:v>
      </x:c>
      <x:c r="C95" t="str">
        <x:v>Check</x:v>
      </x:c>
      <x:c r="D95" s="112" t="n">
        <x:f>D88+D89-D91+D93+D92-D94</x:f>
        <x:v>-1.8189894035458565e-12</x:v>
      </x:c>
      <x:c r="E95" s="112" t="n">
        <x:f>E88+E89-E91+E93+E92-E94</x:f>
        <x:v>0</x:v>
      </x:c>
      <x:c r="F95" s="112" t="n">
        <x:f>F88+F89-F91+F93+F92-F94</x:f>
        <x:v>0</x:v>
      </x:c>
      <x:c r="G95" s="112" t="n">
        <x:f>G88+G89-G91+G93+G92-G94</x:f>
        <x:v>0</x:v>
      </x:c>
      <x:c r="H95" s="112" t="n">
        <x:f>H88+H89-H91+H93+H92-H94</x:f>
        <x:v>0</x:v>
      </x:c>
      <x:c r="I95" s="112" t="n">
        <x:f>I88+I89-I91+I93+I92-I94</x:f>
        <x:v>0</x:v>
      </x:c>
      <x:c r="J95" s="112" t="n">
        <x:f>J88+J89-J91+J93+J92-J94</x:f>
        <x:v>0</x:v>
      </x:c>
      <x:c r="K95" s="112" t="n">
        <x:f>K88+K89-K91+K93+K92-K94</x:f>
        <x:v>0</x:v>
      </x:c>
      <x:c r="L95" s="112" t="n">
        <x:f>L88+L89-L91+L93+L92-L94</x:f>
        <x:v>0</x:v>
      </x:c>
      <x:c r="M95" s="112" t="n">
        <x:f>M88+M89-M91+M93+M92-M94</x:f>
        <x:v>0</x:v>
      </x:c>
      <x:c r="N95" s="112" t="n">
        <x:f>N88+N89-N91+N93+N92-N94</x:f>
        <x:v>0</x:v>
      </x:c>
      <x:c r="O95" s="112" t="n">
        <x:f>O88+O89-O91+O93+O92-O94</x:f>
        <x:v>0</x:v>
      </x:c>
    </x:row>
    <x:row r="96">
      <x:c r="A96" t="str">
        <x:v>Diluted weighted-average shares</x:v>
      </x:c>
      <x:c r="B96" t="str">
        <x:v>million</x:v>
      </x:c>
      <x:c r="C96" t="str">
        <x:v>Formula</x:v>
      </x:c>
      <x:c r="D96" s="106" t="n">
        <x:v>182.8</x:v>
      </x:c>
      <x:c r="E96" s="106" t="n">
        <x:v>197.6</x:v>
      </x:c>
      <x:c r="F96" s="106" t="n">
        <x:v>209</x:v>
      </x:c>
      <x:c r="G96" s="100" t="n">
        <x:f>F96*1.005</x:f>
        <x:v>210.045</x:v>
      </x:c>
      <x:c r="H96" s="100" t="n">
        <x:f>G96*1.005</x:f>
        <x:v>211.09522499999997</x:v>
      </x:c>
      <x:c r="I96" s="100" t="n">
        <x:f>H96*1.005</x:f>
        <x:v>212.15070112499996</x:v>
      </x:c>
      <x:c r="J96" s="100" t="n">
        <x:f>I96*1.005</x:f>
        <x:v>213.21145463062493</x:v>
      </x:c>
      <x:c r="K96" s="100" t="n">
        <x:f>J96*1.005</x:f>
        <x:v>214.27751190377802</x:v>
      </x:c>
      <x:c r="L96" s="100" t="n">
        <x:f>K96*1.005</x:f>
        <x:v>215.34889946329687</x:v>
      </x:c>
      <x:c r="M96" s="100" t="n">
        <x:f>L96*1.005</x:f>
        <x:v>216.42564396061334</x:v>
      </x:c>
      <x:c r="N96" s="100" t="n">
        <x:f>M96*1.005</x:f>
        <x:v>217.5077721804164</x:v>
      </x:c>
      <x:c r="O96" s="100" t="n">
        <x:f>N96*1.005</x:f>
        <x:v>218.59531104131847</x:v>
      </x:c>
    </x:row>
    <x:row r="97">
      <x:c r="A97" t="str">
        <x:v>Diluted EPS</x:v>
      </x:c>
      <x:c r="B97" t="str">
        <x:v>INR/share</x:v>
      </x:c>
      <x:c r="C97" t="str">
        <x:v>Formula</x:v>
      </x:c>
      <x:c r="D97" s="102" t="n">
        <x:f>'Three Statements'!D23/D96</x:f>
        <x:v>4.530032822757107</x:v>
      </x:c>
      <x:c r="E97" s="102" t="n">
        <x:f>'Three Statements'!E23/E96</x:f>
        <x:v>8.609919028340087</x:v>
      </x:c>
      <x:c r="F97" s="102" t="n">
        <x:f>'Three Statements'!F23/F96</x:f>
        <x:v>16.698564593301434</x:v>
      </x:c>
      <x:c r="G97" s="102" t="n">
        <x:f>G89/G96</x:f>
        <x:v>20.845077221776275</x:v>
      </x:c>
      <x:c r="H97" s="102" t="n">
        <x:f>H89/H96</x:f>
        <x:v>24.515468843078608</x:v>
      </x:c>
      <x:c r="I97" s="102" t="n">
        <x:f>I89/I96</x:f>
        <x:v>28.718113269619657</x:v>
      </x:c>
      <x:c r="J97" s="102" t="n">
        <x:f>J89/J96</x:f>
        <x:v>34.2360687962986</x:v>
      </x:c>
      <x:c r="K97" s="102" t="n">
        <x:f>K89/K96</x:f>
        <x:v>40.752894202425594</x:v>
      </x:c>
      <x:c r="L97" s="102" t="n">
        <x:f>L89/L96</x:f>
        <x:v>47.74953607430436</x:v>
      </x:c>
      <x:c r="M97" s="102" t="n">
        <x:f>M89/M96</x:f>
        <x:v>54.22599963988195</x:v>
      </x:c>
      <x:c r="N97" s="102" t="n">
        <x:f>N89/N96</x:f>
        <x:v>60.93223193710807</x:v>
      </x:c>
      <x:c r="O97" s="102" t="n">
        <x:f>O89/O96</x:f>
        <x:v>67.94631799941418</x:v>
      </x:c>
    </x:row>
    <x:row r="98">
      <x:c r="D98" s="112"/>
      <x:c r="E98" s="112"/>
      <x:c r="F98" s="112"/>
      <x:c r="G98" s="112"/>
      <x:c r="H98" s="112"/>
      <x:c r="I98" s="112"/>
      <x:c r="J98" s="112"/>
      <x:c r="K98" s="112"/>
      <x:c r="L98" s="112"/>
      <x:c r="M98" s="112"/>
      <x:c r="N98" s="112"/>
      <x:c r="O98" s="112"/>
    </x:row>
    <x:row r="99">
      <x:c r="D99" s="112"/>
      <x:c r="E99" s="112"/>
      <x:c r="F99" s="112"/>
      <x:c r="G99" s="112"/>
      <x:c r="H99" s="112"/>
      <x:c r="I99" s="112"/>
      <x:c r="J99" s="112"/>
      <x:c r="K99" s="112"/>
      <x:c r="L99" s="112"/>
      <x:c r="M99" s="112"/>
      <x:c r="N99" s="112"/>
      <x:c r="O99" s="112"/>
    </x:row>
    <x:row r="100">
      <x:c r="A100" s="17" t="str">
        <x:v>Operating-Cost and Headcount Schedule</x:v>
      </x:c>
      <x:c r="B100" s="17"/>
      <x:c r="C100" s="17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</x:row>
    <x:row r="101">
      <x:c r="A101" t="str">
        <x:v>Total permanent employees</x:v>
      </x:c>
      <x:c r="B101" t="str">
        <x:v>number</x:v>
      </x:c>
      <x:c r="C101" t="str">
        <x:v>Reported / Forecast</x:v>
      </x:c>
      <x:c r="D101" s="158" t="n">
        <x:v>2845</x:v>
      </x:c>
      <x:c r="E101" s="158" t="n">
        <x:v>3401</x:v>
      </x:c>
      <x:c r="F101" s="158" t="n">
        <x:v>3800</x:v>
      </x:c>
      <x:c r="G101" s="112" t="n">
        <x:f>F101+G102</x:f>
        <x:v>4500</x:v>
      </x:c>
      <x:c r="H101" s="112" t="n">
        <x:f>G101+H102</x:f>
        <x:v>5000</x:v>
      </x:c>
      <x:c r="I101" s="112" t="n">
        <x:f>H101+I102</x:f>
        <x:v>5450</x:v>
      </x:c>
      <x:c r="J101" s="112" t="n">
        <x:f>I101+J102</x:f>
        <x:v>5850</x:v>
      </x:c>
      <x:c r="K101" s="112" t="n">
        <x:f>J101+K102</x:f>
        <x:v>6200</x:v>
      </x:c>
      <x:c r="L101" s="112" t="n">
        <x:f>K101+L102</x:f>
        <x:v>6520</x:v>
      </x:c>
      <x:c r="M101" s="112" t="n">
        <x:f>L101+M102</x:f>
        <x:v>6820</x:v>
      </x:c>
      <x:c r="N101" s="112" t="n">
        <x:f>M101+N102</x:f>
        <x:v>7100</x:v>
      </x:c>
      <x:c r="O101" s="112" t="n">
        <x:f>N101+O102</x:f>
        <x:v>7360</x:v>
      </x:c>
    </x:row>
    <x:row r="102">
      <x:c r="A102" t="str">
        <x:v>Net employee additions</x:v>
      </x:c>
      <x:c r="B102" t="str">
        <x:v>number</x:v>
      </x:c>
      <x:c r="C102" t="str">
        <x:v>Assumption</x:v>
      </x:c>
      <x:c r="D102" s="112" t="n">
        <x:v>0</x:v>
      </x:c>
      <x:c r="E102" s="112" t="n">
        <x:v>556</x:v>
      </x:c>
      <x:c r="F102" s="112" t="n">
        <x:v>399</x:v>
      </x:c>
      <x:c r="G102" s="158" t="n">
        <x:v>700</x:v>
      </x:c>
      <x:c r="H102" s="158" t="n">
        <x:v>500</x:v>
      </x:c>
      <x:c r="I102" s="158" t="n">
        <x:v>450</x:v>
      </x:c>
      <x:c r="J102" s="158" t="n">
        <x:v>400</x:v>
      </x:c>
      <x:c r="K102" s="158" t="n">
        <x:v>350</x:v>
      </x:c>
      <x:c r="L102" s="158" t="n">
        <x:v>320</x:v>
      </x:c>
      <x:c r="M102" s="158" t="n">
        <x:v>300</x:v>
      </x:c>
      <x:c r="N102" s="158" t="n">
        <x:v>280</x:v>
      </x:c>
      <x:c r="O102" s="158" t="n">
        <x:v>260</x:v>
      </x:c>
    </x:row>
    <x:row r="103">
      <x:c r="A103" t="str">
        <x:v>Average employee cost</x:v>
      </x:c>
      <x:c r="B103" t="str">
        <x:v>INR mn/employee</x:v>
      </x:c>
      <x:c r="C103" t="str">
        <x:v>Calculated / Forecast</x:v>
      </x:c>
      <x:c r="D103" s="108" t="n">
        <x:f>D105/D101</x:f>
        <x:v>1.739560632688928</x:v>
      </x:c>
      <x:c r="E103" s="108" t="n">
        <x:f>E105/E101</x:f>
        <x:v>1.6145780652749193</x:v>
      </x:c>
      <x:c r="F103" s="108" t="n">
        <x:f>F105/F101</x:f>
        <x:v>1.7973684210526315</x:v>
      </x:c>
      <x:c r="G103" s="108" t="n">
        <x:f>F103*(1+G104)</x:f>
        <x:v>1.9321710526315787</x:v>
      </x:c>
      <x:c r="H103" s="108" t="n">
        <x:f>G103*(1+H104)</x:f>
        <x:v>2.0674230263157893</x:v>
      </x:c>
      <x:c r="I103" s="108" t="n">
        <x:f>H103*(1+I104)</x:f>
        <x:v>2.2018055230263154</x:v>
      </x:c>
      <x:c r="J103" s="108" t="n">
        <x:f>I103*(1+J104)</x:f>
        <x:v>2.3339138544078946</x:v>
      </x:c>
      <x:c r="K103" s="108" t="n">
        <x:f>J103*(1+K104)</x:f>
        <x:v>2.4739486856723683</x:v>
      </x:c>
      <x:c r="L103" s="108" t="n">
        <x:f>K103*(1+L104)</x:f>
        <x:v>2.610015863384348</x:v>
      </x:c>
      <x:c r="M103" s="108" t="n">
        <x:f>L103*(1+M104)</x:f>
        <x:v>2.7535667358704874</x:v>
      </x:c>
      <x:c r="N103" s="108" t="n">
        <x:f>M103*(1+N104)</x:f>
        <x:v>2.8912450726640118</x:v>
      </x:c>
      <x:c r="O103" s="108" t="n">
        <x:f>N103*(1+O104)</x:f>
        <x:v>3.0358073262972125</x:v>
      </x:c>
    </x:row>
    <x:row r="104">
      <x:c r="A104" t="str">
        <x:v>Wage inflation</x:v>
      </x:c>
      <x:c r="B104" t="str">
        <x:v>%</x:v>
      </x:c>
      <x:c r="C104" t="str">
        <x:v>Assumption</x:v>
      </x:c>
      <x:c r="D104" s="100" t="str">
        <x:v>-</x:v>
      </x:c>
      <x:c r="E104" s="100" t="n">
        <x:f>E103/D103-1</x:f>
        <x:v>-0.0718472038659651</x:v>
      </x:c>
      <x:c r="F104" s="100" t="n">
        <x:f>F103/E103-1</x:f>
        <x:v>0.1132124607097198</x:v>
      </x:c>
      <x:c r="G104" s="42" t="n">
        <x:v>0.075</x:v>
      </x:c>
      <x:c r="H104" s="42" t="n">
        <x:v>0.07</x:v>
      </x:c>
      <x:c r="I104" s="42" t="n">
        <x:v>0.065</x:v>
      </x:c>
      <x:c r="J104" s="42" t="n">
        <x:v>0.06</x:v>
      </x:c>
      <x:c r="K104" s="42" t="n">
        <x:v>0.06</x:v>
      </x:c>
      <x:c r="L104" s="42" t="n">
        <x:v>0.055</x:v>
      </x:c>
      <x:c r="M104" s="42" t="n">
        <x:v>0.055</x:v>
      </x:c>
      <x:c r="N104" s="42" t="n">
        <x:v>0.05</x:v>
      </x:c>
      <x:c r="O104" s="42" t="n">
        <x:v>0.05</x:v>
      </x:c>
    </x:row>
    <x:row r="105">
      <x:c r="A105" t="str">
        <x:v>Employee costs</x:v>
      </x:c>
      <x:c r="B105" t="str">
        <x:v>INR mn</x:v>
      </x:c>
      <x:c r="C105" t="str">
        <x:v>Formula</x:v>
      </x:c>
      <x:c r="D105" s="158" t="n">
        <x:v>4949.05</x:v>
      </x:c>
      <x:c r="E105" s="158" t="n">
        <x:v>5491.18</x:v>
      </x:c>
      <x:c r="F105" s="158" t="n">
        <x:v>6830</x:v>
      </x:c>
      <x:c r="G105" s="112" t="n">
        <x:f>G101*G103</x:f>
        <x:v>8694.769736842105</x:v>
      </x:c>
      <x:c r="H105" s="112" t="n">
        <x:f>H101*H103</x:f>
        <x:v>10337.115131578947</x:v>
      </x:c>
      <x:c r="I105" s="112" t="n">
        <x:f>I101*I103</x:f>
        <x:v>11999.840100493419</x:v>
      </x:c>
      <x:c r="J105" s="112" t="n">
        <x:f>J101*J103</x:f>
        <x:v>13653.396048286184</x:v>
      </x:c>
      <x:c r="K105" s="112" t="n">
        <x:f>K101*K103</x:f>
        <x:v>15338.481851168683</x:v>
      </x:c>
      <x:c r="L105" s="112" t="n">
        <x:f>L101*L103</x:f>
        <x:v>17017.30342926595</x:v>
      </x:c>
      <x:c r="M105" s="112" t="n">
        <x:f>M101*M103</x:f>
        <x:v>18779.325138636723</x:v>
      </x:c>
      <x:c r="N105" s="112" t="n">
        <x:f>N101*N103</x:f>
        <x:v>20527.840015914484</x:v>
      </x:c>
      <x:c r="O105" s="112" t="n">
        <x:f>O101*O103</x:f>
        <x:v>22343.541921547483</x:v>
      </x:c>
    </x:row>
    <x:row r="106">
      <x:c r="A106" t="str">
        <x:v>CRO material intensity</x:v>
      </x:c>
      <x:c r="B106" t="str">
        <x:v>% of CRO revenue</x:v>
      </x:c>
      <x:c r="C106" t="str">
        <x:v>Assumption</x:v>
      </x:c>
      <x:c r="D106" s="100" t="n">
        <x:v>0.05</x:v>
      </x:c>
      <x:c r="E106" s="100" t="n">
        <x:v>0.05</x:v>
      </x:c>
      <x:c r="F106" s="100" t="n">
        <x:v>0.05</x:v>
      </x:c>
      <x:c r="G106" s="42" t="n">
        <x:v>0.045</x:v>
      </x:c>
      <x:c r="H106" s="42" t="n">
        <x:v>0.045</x:v>
      </x:c>
      <x:c r="I106" s="42" t="n">
        <x:v>0.044</x:v>
      </x:c>
      <x:c r="J106" s="42" t="n">
        <x:v>0.043</x:v>
      </x:c>
      <x:c r="K106" s="42" t="n">
        <x:v>0.042</x:v>
      </x:c>
      <x:c r="L106" s="42" t="n">
        <x:v>0.042</x:v>
      </x:c>
      <x:c r="M106" s="42" t="n">
        <x:v>0.041</x:v>
      </x:c>
      <x:c r="N106" s="42" t="n">
        <x:v>0.041</x:v>
      </x:c>
      <x:c r="O106" s="42" t="n">
        <x:v>0.04</x:v>
      </x:c>
    </x:row>
    <x:row r="107">
      <x:c r="A107" t="str">
        <x:v>CDMO material intensity</x:v>
      </x:c>
      <x:c r="B107" t="str">
        <x:v>% of CDMO revenue</x:v>
      </x:c>
      <x:c r="C107" t="str">
        <x:v>Assumption</x:v>
      </x:c>
      <x:c r="D107" s="100" t="n">
        <x:f>(D108-'Revenue Model'!D6*D106)/'Revenue Model'!D7</x:f>
        <x:v>0.4347810142064942</x:v>
      </x:c>
      <x:c r="E107" s="100" t="n">
        <x:f>(E108-'Revenue Model'!E6*E106)/'Revenue Model'!E7</x:f>
        <x:v>0.40658450078141817</x:v>
      </x:c>
      <x:c r="F107" s="100" t="n">
        <x:f>(F108-'Revenue Model'!F6*F106)/'Revenue Model'!F7</x:f>
        <x:v>0.37561750176429076</x:v>
      </x:c>
      <x:c r="G107" s="42" t="n">
        <x:v>0.37</x:v>
      </x:c>
      <x:c r="H107" s="42" t="n">
        <x:v>0.365</x:v>
      </x:c>
      <x:c r="I107" s="42" t="n">
        <x:v>0.36</x:v>
      </x:c>
      <x:c r="J107" s="42" t="n">
        <x:v>0.355</x:v>
      </x:c>
      <x:c r="K107" s="42" t="n">
        <x:v>0.35</x:v>
      </x:c>
      <x:c r="L107" s="42" t="n">
        <x:v>0.347</x:v>
      </x:c>
      <x:c r="M107" s="42" t="n">
        <x:v>0.345</x:v>
      </x:c>
      <x:c r="N107" s="42" t="n">
        <x:v>0.342</x:v>
      </x:c>
      <x:c r="O107" s="42" t="n">
        <x:v>0.34</x:v>
      </x:c>
    </x:row>
    <x:row r="108">
      <x:c r="A108" s="132" t="str">
        <x:v>Material costs</x:v>
      </x:c>
      <x:c r="B108" s="132" t="str">
        <x:v>INR mn</x:v>
      </x:c>
      <x:c r="C108" s="132" t="str">
        <x:v>Formula</x:v>
      </x:c>
      <x:c r="D108" s="161" t="n">
        <x:v>4457.3</x:v>
      </x:c>
      <x:c r="E108" s="161" t="n">
        <x:v>4657.64</x:v>
      </x:c>
      <x:c r="F108" s="161" t="n">
        <x:v>5710</x:v>
      </x:c>
      <x:c r="G108" s="154" t="n">
        <x:f>'Revenue Model'!G6*G106+'Revenue Model'!G7*G107</x:f>
        <x:v>6709.121366257356</x:v>
      </x:c>
      <x:c r="H108" s="154" t="n">
        <x:f>'Revenue Model'!H6*H106+'Revenue Model'!H7*H107</x:f>
        <x:v>7953.070554792665</x:v>
      </x:c>
      <x:c r="I108" s="154" t="n">
        <x:f>'Revenue Model'!I6*I106+'Revenue Model'!I7*I107</x:f>
        <x:v>9159.850533922006</x:v>
      </x:c>
      <x:c r="J108" s="154" t="n">
        <x:f>'Revenue Model'!J6*J106+'Revenue Model'!J7*J107</x:f>
        <x:v>10341.272157486794</x:v>
      </x:c>
      <x:c r="K108" s="154" t="n">
        <x:f>'Revenue Model'!K6*K106+'Revenue Model'!K7*K107</x:f>
        <x:v>11489.886069990844</x:v>
      </x:c>
      <x:c r="L108" s="154" t="n">
        <x:f>'Revenue Model'!L6*L106+'Revenue Model'!L7*L107</x:f>
        <x:v>12643.325663759428</x:v>
      </x:c>
      <x:c r="M108" s="154" t="n">
        <x:f>'Revenue Model'!M6*M106+'Revenue Model'!M7*M107</x:f>
        <x:v>13762.140962558893</x:v>
      </x:c>
      <x:c r="N108" s="154" t="n">
        <x:f>'Revenue Model'!N6*N106+'Revenue Model'!N7*N107</x:f>
        <x:v>14860.000091169522</x:v>
      </x:c>
      <x:c r="O108" s="154" t="n">
        <x:f>'Revenue Model'!O6*O106+'Revenue Model'!O7*O107</x:f>
        <x:v>15992.483829639315</x:v>
      </x:c>
    </x:row>
    <x:row r="109">
      <x:c r="A109"/>
      <x:c r="B109"/>
      <x:c r="C109"/>
      <x:c r="D109" s="100"/>
      <x:c r="E109" s="100"/>
      <x:c r="F109" s="100"/>
      <x:c r="G109" s="42"/>
      <x:c r="H109" s="42"/>
      <x:c r="I109" s="42"/>
      <x:c r="J109" s="42"/>
      <x:c r="K109" s="42"/>
      <x:c r="L109" s="42"/>
      <x:c r="M109" s="42"/>
      <x:c r="N109" s="42"/>
      <x:c r="O109" s="42"/>
    </x:row>
    <x:row r="110">
      <x:c r="A110" t="str">
        <x:v>Other operating expense ratio</x:v>
      </x:c>
      <x:c r="B110" t="str">
        <x:v>% of revenue</x:v>
      </x:c>
      <x:c r="C110" t="str">
        <x:v>Assumption</x:v>
      </x:c>
      <x:c r="D110" s="106" t="n">
        <x:v>0.1531745631</x:v>
      </x:c>
      <x:c r="E110" s="106" t="n">
        <x:v>0.1502965354</x:v>
      </x:c>
      <x:c r="F110" s="106" t="n">
        <x:v>0.1263686131</x:v>
      </x:c>
      <x:c r="G110" s="106" t="n">
        <x:v>0.125</x:v>
      </x:c>
      <x:c r="H110" s="106" t="n">
        <x:v>0.123</x:v>
      </x:c>
      <x:c r="I110" s="106" t="n">
        <x:v>0.121</x:v>
      </x:c>
      <x:c r="J110" s="106" t="n">
        <x:v>0.12</x:v>
      </x:c>
      <x:c r="K110" s="106" t="n">
        <x:v>0.119</x:v>
      </x:c>
      <x:c r="L110" s="106" t="n">
        <x:v>0.118</x:v>
      </x:c>
      <x:c r="M110" s="106" t="n">
        <x:v>0.117</x:v>
      </x:c>
      <x:c r="N110" s="106" t="n">
        <x:v>0.117</x:v>
      </x:c>
      <x:c r="O110" s="106" t="n">
        <x:v>0.116</x:v>
      </x:c>
    </x:row>
    <x:row r="111">
      <x:c r="A111" t="str">
        <x:v>Other operating expenses</x:v>
      </x:c>
      <x:c r="B111" t="str">
        <x:v>INR mn</x:v>
      </x:c>
      <x:c r="C111" t="str">
        <x:v>Formula</x:v>
      </x:c>
      <x:c r="D111" s="158" t="n">
        <x:v>2244.28</x:v>
      </x:c>
      <x:c r="E111" s="158" t="n">
        <x:v>2546.88</x:v>
      </x:c>
      <x:c r="F111" s="158" t="n">
        <x:v>2770</x:v>
      </x:c>
      <x:c r="G111" s="155" t="n">
        <x:f>'Three Statements'!G6*G110</x:f>
        <x:v>3292.2393001468254</x:v>
      </x:c>
      <x:c r="H111" s="155" t="n">
        <x:f>'Three Statements'!H6*H110</x:f>
        <x:v>3906.1007806660195</x:v>
      </x:c>
      <x:c r="I111" s="155" t="n">
        <x:f>'Three Statements'!I6*I110</x:f>
        <x:v>4500.714001835091</x:v>
      </x:c>
      <x:c r="J111" s="155" t="n">
        <x:f>'Three Statements'!J6*J110</x:f>
        <x:v>5120.614232486704</x:v>
      </x:c>
      <x:c r="K111" s="155" t="n">
        <x:f>'Three Statements'!K6*K110</x:f>
        <x:v>5733.139277329774</x:v>
      </x:c>
      <x:c r="L111" s="155" t="n">
        <x:f>'Three Statements'!L6*L110</x:f>
        <x:v>6327.69012892526</x:v>
      </x:c>
      <x:c r="M111" s="155" t="n">
        <x:f>'Three Statements'!M6*M110</x:f>
        <x:v>6886.377423694364</x:v>
      </x:c>
      <x:c r="N111" s="155" t="n">
        <x:f>'Three Statements'!N6*N110</x:f>
        <x:v>7506.403886590318</x:v>
      </x:c>
      <x:c r="O111" s="155" t="n">
        <x:f>'Three Statements'!O6*O110</x:f>
        <x:v>8072.006936938067</x:v>
      </x:c>
    </x:row>
    <x:row r="112">
      <x:c r="A112" t="str">
        <x:v>EBITDA cross-check</x:v>
      </x:c>
      <x:c r="B112" t="str">
        <x:v>INR mn</x:v>
      </x:c>
      <x:c r="C112" t="str">
        <x:v>Check</x:v>
      </x:c>
      <x:c r="D112" s="112" t="n">
        <x:f>'Three Statements'!D6-D108-D105-D111-'Three Statements'!D11</x:f>
        <x:v>0</x:v>
      </x:c>
      <x:c r="E112" s="112" t="n">
        <x:f>'Three Statements'!E6-E108-E105-E111-'Three Statements'!E11</x:f>
        <x:v>0</x:v>
      </x:c>
      <x:c r="F112" s="112" t="n">
        <x:f>'Three Statements'!F6-F108-F105-F111-'Three Statements'!F11</x:f>
        <x:v>0</x:v>
      </x:c>
      <x:c r="G112" s="112" t="n">
        <x:f>'Three Statements'!G6-G108-G105-G111-'Three Statements'!G11</x:f>
        <x:v>0</x:v>
      </x:c>
      <x:c r="H112" s="112" t="n">
        <x:f>'Three Statements'!H6-H108-H105-H111-'Three Statements'!H11</x:f>
        <x:v>0</x:v>
      </x:c>
      <x:c r="I112" s="112" t="n">
        <x:f>'Three Statements'!I6-I108-I105-I111-'Three Statements'!I11</x:f>
        <x:v>0</x:v>
      </x:c>
      <x:c r="J112" s="112" t="n">
        <x:f>'Three Statements'!J6-J108-J105-J111-'Three Statements'!J11</x:f>
        <x:v>0</x:v>
      </x:c>
      <x:c r="K112" s="112" t="n">
        <x:f>'Three Statements'!K6-K108-K105-K111-'Three Statements'!K11</x:f>
        <x:v>0</x:v>
      </x:c>
      <x:c r="L112" s="112" t="n">
        <x:f>'Three Statements'!L6-L108-L105-L111-'Three Statements'!L11</x:f>
        <x:v>0</x:v>
      </x:c>
      <x:c r="M112" s="112" t="n">
        <x:f>'Three Statements'!M6-M108-M105-M111-'Three Statements'!M11</x:f>
        <x:v>0</x:v>
      </x:c>
      <x:c r="N112" s="112" t="n">
        <x:f>'Three Statements'!N6-N108-N105-N111-'Three Statements'!N11</x:f>
        <x:v>0</x:v>
      </x:c>
      <x:c r="O112" s="112" t="n">
        <x:f>'Three Statements'!O6-O108-O105-O111-'Three Statements'!O11</x:f>
        <x:v>0</x:v>
      </x:c>
    </x:row>
  </x:sheetData>
  <x:mergeCells>
    <x:mergeCell ref="A1:O1"/>
    <x:mergeCell ref="A5:O5"/>
    <x:mergeCell ref="A30:O30"/>
    <x:mergeCell ref="A53:O53"/>
    <x:mergeCell ref="A70:O70"/>
    <x:mergeCell ref="A83:O83"/>
    <x:mergeCell ref="A100:O100"/>
  </x:mergeCells>
  <x:conditionalFormatting sqref="D50:O50">
    <x:cfRule type="expression" dxfId="12" priority="1">
      <x:formula>ABS(D50)&gt;0.1</x:formula>
    </x:cfRule>
    <x:cfRule type="expression" dxfId="13" priority="2">
      <x:formula>ABS(D50)&lt;=0.1</x:formula>
    </x:cfRule>
  </x:conditionalFormatting>
  <x:conditionalFormatting sqref="D67:O67">
    <x:cfRule type="expression" dxfId="14" priority="3">
      <x:formula>ABS(D67)&gt;0.1</x:formula>
    </x:cfRule>
    <x:cfRule type="expression" dxfId="15" priority="4">
      <x:formula>ABS(D67)&lt;=0.1</x:formula>
    </x:cfRule>
  </x:conditionalFormatting>
  <x:conditionalFormatting sqref="D95:O95">
    <x:cfRule type="expression" dxfId="16" priority="5">
      <x:formula>ABS(D95)&gt;0.1</x:formula>
    </x:cfRule>
    <x:cfRule type="expression" dxfId="17" priority="6">
      <x:formula>ABS(D95)&lt;=0.1</x:formula>
    </x:cfRule>
  </x:conditionalFormatting>
  <x:conditionalFormatting sqref="D112:O112">
    <x:cfRule type="expression" dxfId="18" priority="7">
      <x:formula>ABS(D112)&gt;0.1</x:formula>
    </x:cfRule>
    <x:cfRule type="expression" dxfId="19" priority="8">
      <x:formula>ABS(D112)&lt;=0.1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52" hidden="0" customWidth="1"/>
    <x:col min="4" max="4" width="14" hidden="0" customWidth="1"/>
    <x:col min="5" max="5" width="26" hidden="0" customWidth="1"/>
    <x:col min="6" max="6" width="28" hidden="0" customWidth="1"/>
    <x:col min="7" max="7" width="24" hidden="0" customWidth="1"/>
    <x:col min="8" max="8" width="38" hidden="0" customWidth="1"/>
    <x:col min="9" max="9" width="4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5" customHeight="1">
      <x:c r="A1" s="226" t="str">
        <x:v>Sources, Molecule Confidence, Data Gaps and Model-Integrity Checks</x:v>
      </x:c>
      <x:c r="B1" s="226" t="str">
        <x:v>Sources, Molecule Confidence, Data Gaps and Model-Integrity Checks</x:v>
      </x:c>
      <x:c r="C1" s="226" t="str">
        <x:v>Sources, Molecule Confidence, Data Gaps and Model-Integrity Checks</x:v>
      </x:c>
      <x:c r="D1" s="226" t="str">
        <x:v>Sources, Molecule Confidence, Data Gaps and Model-Integrity Checks</x:v>
      </x:c>
      <x:c r="E1" s="226" t="str">
        <x:v>Sources, Molecule Confidence, Data Gaps and Model-Integrity Checks</x:v>
      </x:c>
      <x:c r="F1" s="226" t="str">
        <x:v>Sources, Molecule Confidence, Data Gaps and Model-Integrity Checks</x:v>
      </x:c>
      <x:c r="G1" s="226" t="str">
        <x:v>Sources, Molecule Confidence, Data Gaps and Model-Integrity Checks</x:v>
      </x:c>
      <x:c r="H1" s="226" t="str">
        <x:v>Sources, Molecule Confidence, Data Gaps and Model-Integrity Checks</x:v>
      </x:c>
      <x:c r="I1" s="226" t="str">
        <x:v>Sources, Molecule Confidence, Data Gaps and Model-Integrity Checks</x:v>
      </x:c>
      <x:c r="J1" s="226" t="str">
        <x:v>Sources, Molecule Confidence, Data Gaps and Model-Integrity Checks</x:v>
      </x:c>
      <x:c r="K1" s="226" t="str">
        <x:v>Sources, Molecule Confidence, Data Gaps and Model-Integrity Checks</x:v>
      </x:c>
      <x:c r="L1" s="226" t="str">
        <x:v>Sources, Molecule Confidence, Data Gaps and Model-Integrity Checks</x:v>
      </x:c>
      <x:c r="M1" s="226" t="str">
        <x:v>Sources, Molecule Confidence, Data Gaps and Model-Integrity Checks</x:v>
      </x:c>
      <x:c r="N1" s="226" t="str">
        <x:v>Sources, Molecule Confidence, Data Gaps and Model-Integrity Checks</x:v>
      </x:c>
      <x:c r="O1" s="226" t="str">
        <x:v>Sources, Molecule Confidence, Data Gaps and Model-Integrity Checks</x:v>
      </x:c>
    </x:row>
    <x:row r="2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  <x:c r="K2" s="227"/>
      <x:c r="L2" s="227"/>
      <x:c r="M2" s="227"/>
      <x:c r="N2" s="227"/>
      <x:c r="O2" s="227"/>
    </x:row>
    <x:row r="3" ht="20" customHeight="1">
      <x:c r="A3" s="226" t="str">
        <x:v>Source Register</x:v>
      </x:c>
      <x:c r="B3" s="226" t="str">
        <x:v>Source Register</x:v>
      </x:c>
      <x:c r="C3" s="226" t="str">
        <x:v>Source Register</x:v>
      </x:c>
      <x:c r="D3" s="226" t="str">
        <x:v>Source Register</x:v>
      </x:c>
      <x:c r="E3" s="226" t="str">
        <x:v>Source Register</x:v>
      </x:c>
      <x:c r="F3" s="226" t="str">
        <x:v>Source Register</x:v>
      </x:c>
      <x:c r="G3" s="302" t="str">
        <x:v>Source Register</x:v>
      </x:c>
      <x:c r="H3" s="302" t="str">
        <x:v>Source Register</x:v>
      </x:c>
      <x:c r="I3" s="302" t="str">
        <x:v>Source Register</x:v>
      </x:c>
      <x:c r="J3" s="302" t="str">
        <x:v>Source Register</x:v>
      </x:c>
      <x:c r="K3" s="302" t="str">
        <x:v>Source Register</x:v>
      </x:c>
      <x:c r="L3" s="302" t="str">
        <x:v>Source Register</x:v>
      </x:c>
      <x:c r="M3" s="302" t="str">
        <x:v>Source Register</x:v>
      </x:c>
      <x:c r="N3" s="302" t="str">
        <x:v>Source Register</x:v>
      </x:c>
      <x:c r="O3" s="302" t="str">
        <x:v>Source Register</x:v>
      </x:c>
    </x:row>
    <x:row r="4">
      <x:c r="A4" s="270" t="str">
        <x:v>ID</x:v>
      </x:c>
      <x:c r="B4" s="270" t="str">
        <x:v>Source</x:v>
      </x:c>
      <x:c r="C4" s="270" t="str">
        <x:v>Document / URL</x:v>
      </x:c>
      <x:c r="D4" s="270" t="str">
        <x:v>Date</x:v>
      </x:c>
      <x:c r="E4" s="270" t="str">
        <x:v>Section / use</x:v>
      </x:c>
      <x:c r="F4" s="270" t="str">
        <x:v>Data used</x:v>
      </x:c>
      <x:c r="G4" s="270" t="str">
        <x:v>Classification</x:v>
      </x:c>
      <x:c r="H4" s="270" t="str">
        <x:v>Notes</x:v>
      </x:c>
      <x:c r="I4" s="227"/>
      <x:c r="J4" s="227"/>
      <x:c r="K4" s="227"/>
      <x:c r="L4" s="227"/>
      <x:c r="M4" s="227"/>
      <x:c r="N4" s="227"/>
      <x:c r="O4" s="227"/>
    </x:row>
    <x:row r="5" ht="45" customHeight="1">
      <x:c r="A5" s="275" t="str">
        <x:v>S1</x:v>
      </x:c>
      <x:c r="B5" s="275" t="str">
        <x:v>Sai Life Sciences</x:v>
      </x:c>
      <x:c r="C5" s="275" t="str">
        <x:v>https://sailife.com/disclosures/</x:v>
      </x:c>
      <x:c r="D5" s="275" t="str">
        <x:v>Current</x:v>
      </x:c>
      <x:c r="E5" s="275" t="str">
        <x:v>Company disclosures</x:v>
      </x:c>
      <x:c r="F5" s="275" t="str">
        <x:v>Historical financials, segment mix, portfolio counts, capex and capacity</x:v>
      </x:c>
      <x:c r="G5" s="275" t="str">
        <x:v>Primary / reported</x:v>
      </x:c>
      <x:c r="H5" s="275" t="str">
        <x:v>Core company source</x:v>
      </x:c>
      <x:c r="I5" s="227"/>
      <x:c r="J5" s="227"/>
      <x:c r="K5" s="227"/>
      <x:c r="L5" s="227"/>
      <x:c r="M5" s="227"/>
      <x:c r="N5" s="227"/>
      <x:c r="O5" s="227"/>
    </x:row>
    <x:row r="6" ht="45" customHeight="1">
      <x:c r="A6" s="275" t="str">
        <x:v>S2</x:v>
      </x:c>
      <x:c r="B6" s="275" t="str">
        <x:v>Sai Life Sciences</x:v>
      </x:c>
      <x:c r="C6" s="275" t="str">
        <x:v>FY25 annual report / DRHP uploaded with model</x:v>
      </x:c>
      <x:c r="D6" s="275" t="str">
        <x:v>FY24-FY25</x:v>
      </x:c>
      <x:c r="E6" s="275" t="str">
        <x:v>Consolidated financial statements and operating review</x:v>
      </x:c>
      <x:c r="F6" s="275" t="str">
        <x:v>Audited P&amp;L, BS, CFS and historical operating KPIs</x:v>
      </x:c>
      <x:c r="G6" s="275" t="str">
        <x:v>Primary / reported</x:v>
      </x:c>
      <x:c r="H6" s="275" t="str">
        <x:v>INR million</x:v>
      </x:c>
      <x:c r="I6" s="227"/>
      <x:c r="J6" s="227"/>
      <x:c r="K6" s="227"/>
      <x:c r="L6" s="227"/>
      <x:c r="M6" s="227"/>
      <x:c r="N6" s="227"/>
      <x:c r="O6" s="227"/>
    </x:row>
    <x:row r="7" ht="45" customHeight="1">
      <x:c r="A7" s="275" t="str">
        <x:v>S3</x:v>
      </x:c>
      <x:c r="B7" s="275" t="str">
        <x:v>Sai Life Sciences</x:v>
      </x:c>
      <x:c r="C7" s="275" t="str">
        <x:v>https://sailife.com/news/sai-life-sciences-limited-sustains-growth-momentum-in-q2fy26/</x:v>
      </x:c>
      <x:c r="D7" s="275" t="str">
        <x:v>FY26 Q2</x:v>
      </x:c>
      <x:c r="E7" s="275" t="str">
        <x:v>Quarterly results</x:v>
      </x:c>
      <x:c r="F7" s="275" t="str">
        <x:v>Quarterly revenue and operating milestones</x:v>
      </x:c>
      <x:c r="G7" s="275" t="str">
        <x:v>Primary / reported</x:v>
      </x:c>
      <x:c r="H7" s="275" t="str">
        <x:v>Used in quarterly tracker</x:v>
      </x:c>
      <x:c r="I7" s="227"/>
      <x:c r="J7" s="227"/>
      <x:c r="K7" s="227"/>
      <x:c r="L7" s="227"/>
      <x:c r="M7" s="227"/>
      <x:c r="N7" s="227"/>
      <x:c r="O7" s="227"/>
    </x:row>
    <x:row r="8" ht="45" customHeight="1">
      <x:c r="A8" s="275" t="str">
        <x:v>S4</x:v>
      </x:c>
      <x:c r="B8" s="275" t="str">
        <x:v>Sai Life Sciences</x:v>
      </x:c>
      <x:c r="C8" s="275" t="str">
        <x:v>https://sailife.com/news/sai-life-sciences-limited-delivers-robust-performance-in-9mfy26/</x:v>
      </x:c>
      <x:c r="D8" s="275" t="str">
        <x:v>FY26 Q3</x:v>
      </x:c>
      <x:c r="E8" s="275" t="str">
        <x:v>Quarterly results</x:v>
      </x:c>
      <x:c r="F8" s="275" t="str">
        <x:v>Quarterly revenue, commercial / late-stage portfolio and capacity</x:v>
      </x:c>
      <x:c r="G8" s="307" t="str">
        <x:v>Primary / reported</x:v>
      </x:c>
      <x:c r="H8" s="307" t="str">
        <x:v>Used in quarterly tracker</x:v>
      </x:c>
      <x:c r="I8" s="298"/>
      <x:c r="J8" s="298"/>
      <x:c r="K8" s="298"/>
      <x:c r="L8" s="298"/>
      <x:c r="M8" s="298"/>
      <x:c r="N8" s="298"/>
      <x:c r="O8" s="298"/>
    </x:row>
    <x:row r="9" ht="45" customHeight="1">
      <x:c r="A9" s="275" t="str">
        <x:v>S5</x:v>
      </x:c>
      <x:c r="B9" s="275" t="str">
        <x:v>Sai Life Sciences</x:v>
      </x:c>
      <x:c r="C9" s="275" t="str">
        <x:v>FY26 Q1-Q4 presentations and transcripts uploaded with model</x:v>
      </x:c>
      <x:c r="D9" s="275" t="str">
        <x:v>FY26</x:v>
      </x:c>
      <x:c r="E9" s="275" t="str">
        <x:v>Quarterly and annual disclosures</x:v>
      </x:c>
      <x:c r="F9" s="275" t="str">
        <x:v>FY26 revenue, CRO/CDMO split, capex and expansion schedule</x:v>
      </x:c>
      <x:c r="G9" s="275" t="str">
        <x:v>Primary / reported</x:v>
      </x:c>
      <x:c r="H9" s="275" t="str">
        <x:v>Segment quarterly splits partly estimated</x:v>
      </x:c>
      <x:c r="I9" s="227"/>
      <x:c r="J9" s="227"/>
      <x:c r="K9" s="227"/>
      <x:c r="L9" s="227"/>
      <x:c r="M9" s="227"/>
      <x:c r="N9" s="227"/>
      <x:c r="O9" s="227"/>
    </x:row>
    <x:row r="10" ht="45" customHeight="1">
      <x:c r="A10" s="275" t="str">
        <x:v>S6</x:v>
      </x:c>
      <x:c r="B10" s="275" t="str">
        <x:v>FDA</x:v>
      </x:c>
      <x:c r="C10" s="275" t="str">
        <x:v>https://www.fda.gov/drugs/drug-approvals-and-databases/drug-trials-snapshots-blujepa</x:v>
      </x:c>
      <x:c r="D10" s="275" t="str">
        <x:v>25-Mar-2025</x:v>
      </x:c>
      <x:c r="E10" s="275" t="str">
        <x:v>Drug approval</x:v>
      </x:c>
      <x:c r="F10" s="275" t="str">
        <x:v>Blujepa / gepotidacin approval and dosing context</x:v>
      </x:c>
      <x:c r="G10" s="275" t="str">
        <x:v>Regulatory / primary</x:v>
      </x:c>
      <x:c r="H10" s="275" t="str">
        <x:v>Sai linkage remains inferred</x:v>
      </x:c>
      <x:c r="I10" s="227"/>
      <x:c r="J10" s="227"/>
      <x:c r="K10" s="227"/>
      <x:c r="L10" s="227"/>
      <x:c r="M10" s="227"/>
      <x:c r="N10" s="227"/>
      <x:c r="O10" s="227"/>
    </x:row>
    <x:row r="11" ht="45" customHeight="1">
      <x:c r="A11" s="275" t="str">
        <x:v>S7</x:v>
      </x:c>
      <x:c r="B11" s="275" t="str">
        <x:v>FDA</x:v>
      </x:c>
      <x:c r="C11" s="275" t="str">
        <x:v>https://www.fda.gov/drugs/novel-drug-approvals-fda/novel-drug-approvals-2025</x:v>
      </x:c>
      <x:c r="D11" s="275" t="str">
        <x:v>30-Dec-2025</x:v>
      </x:c>
      <x:c r="E11" s="275" t="str">
        <x:v>Novel drug approvals</x:v>
      </x:c>
      <x:c r="F11" s="275" t="str">
        <x:v>Nereus / tradipitant approval status</x:v>
      </x:c>
      <x:c r="G11" s="275" t="str">
        <x:v>Regulatory / primary</x:v>
      </x:c>
      <x:c r="H11" s="275" t="str">
        <x:v>Sai linkage remains inferred</x:v>
      </x:c>
      <x:c r="I11" s="227"/>
      <x:c r="J11" s="227"/>
      <x:c r="K11" s="227"/>
      <x:c r="L11" s="227"/>
      <x:c r="M11" s="227"/>
      <x:c r="N11" s="227"/>
      <x:c r="O11" s="227"/>
    </x:row>
    <x:row r="12" ht="45" customHeight="1">
      <x:c r="A12" s="275" t="str">
        <x:v>S8</x:v>
      </x:c>
      <x:c r="B12" s="275" t="str">
        <x:v>Mineralys Therapeutics</x:v>
      </x:c>
      <x:c r="C12" s="275" t="str">
        <x:v>https://ir.mineralystx.com/news-events/press-releases/detail/93/mineralys-therapeutics-announces-fda-acceptance-of-nda-for</x:v>
      </x:c>
      <x:c r="D12" s="275" t="str">
        <x:v>09-Mar-2026</x:v>
      </x:c>
      <x:c r="E12" s="275" t="str">
        <x:v>Regulatory update</x:v>
      </x:c>
      <x:c r="F12" s="275" t="str">
        <x:v>Lorundrostat NDA acceptance and timing</x:v>
      </x:c>
      <x:c r="G12" s="275" t="str">
        <x:v>Innovator / primary</x:v>
      </x:c>
      <x:c r="H12" s="275" t="str">
        <x:v>Sai linkage remains inferred</x:v>
      </x:c>
      <x:c r="I12" s="227"/>
      <x:c r="J12" s="227"/>
      <x:c r="K12" s="227"/>
      <x:c r="L12" s="227"/>
      <x:c r="M12" s="227"/>
      <x:c r="N12" s="227"/>
      <x:c r="O12" s="227"/>
    </x:row>
    <x:row r="13" ht="45" customHeight="1">
      <x:c r="A13" s="275" t="str">
        <x:v>S9</x:v>
      </x:c>
      <x:c r="B13" s="275" t="str">
        <x:v>PharmaCompass</x:v>
      </x:c>
      <x:c r="C13" s="275" t="str">
        <x:v>https://www.pharmacompass.com/us-drug-master-files-dmfs/sai-life-sciences-limited</x:v>
      </x:c>
      <x:c r="D13" s="275" t="str">
        <x:v>Current</x:v>
      </x:c>
      <x:c r="E13" s="275" t="str">
        <x:v>Sai product / DMF listings</x:v>
      </x:c>
      <x:c r="F13" s="275" t="str">
        <x:v>Benzindene Triol intermediate and other Sai product evidence</x:v>
      </x:c>
      <x:c r="G13" s="275" t="str">
        <x:v>Industry database</x:v>
      </x:c>
      <x:c r="H13" s="275" t="str">
        <x:v>Product evidence; brand linkage inferred</x:v>
      </x:c>
      <x:c r="I13" s="227"/>
      <x:c r="J13" s="227"/>
      <x:c r="K13" s="227"/>
      <x:c r="L13" s="227"/>
      <x:c r="M13" s="227"/>
      <x:c r="N13" s="227"/>
      <x:c r="O13" s="227"/>
    </x:row>
    <x:row r="14" ht="45" customHeight="1">
      <x:c r="A14" s="275" t="str">
        <x:v>S10</x:v>
      </x:c>
      <x:c r="B14" s="275" t="str">
        <x:v>PharmaCompass</x:v>
      </x:c>
      <x:c r="C14" s="275" t="str">
        <x:v>https://www.pharmacompass.com/written-confirmation/sai-life-sciences-limited/1r-2s-5r-2-isopropyl-n-4-methoxyphenyl-5-methyl-cyclohexane-1-carboxamide-ar-15512</x:v>
      </x:c>
      <x:c r="D14" s="275" t="str">
        <x:v>Current</x:v>
      </x:c>
      <x:c r="E14" s="275" t="str">
        <x:v>Written confirmation</x:v>
      </x:c>
      <x:c r="F14" s="275" t="str">
        <x:v>Bilastine-related Sai product evidence</x:v>
      </x:c>
      <x:c r="G14" s="275" t="str">
        <x:v>Industry database</x:v>
      </x:c>
      <x:c r="H14" s="275" t="str">
        <x:v>High product-level confidence</x:v>
      </x:c>
      <x:c r="I14" s="227"/>
      <x:c r="J14" s="227"/>
      <x:c r="K14" s="227"/>
      <x:c r="L14" s="227"/>
      <x:c r="M14" s="227"/>
      <x:c r="N14" s="227"/>
      <x:c r="O14" s="227"/>
    </x:row>
    <x:row r="15" ht="45" customHeight="1">
      <x:c r="A15" s="275" t="str">
        <x:v>S11</x:v>
      </x:c>
      <x:c r="B15" s="275" t="str">
        <x:v>Analyst molecule mapping</x:v>
      </x:c>
      <x:c r="C15" s="275" t="str">
        <x:v>Uploaded screenshots: 5.21.25 PM through 5.22.05 PM</x:v>
      </x:c>
      <x:c r="D15" s="275" t="str">
        <x:v>04-Aug-2026</x:v>
      </x:c>
      <x:c r="E15" s="275" t="str">
        <x:v>Molecule mapping research</x:v>
      </x:c>
      <x:c r="F15" s="275" t="str">
        <x:v>AbbVie, Blujepa, Simparica, Tyvaso, Tradipitant, Lorundrostat and GLP-1 hypotheses</x:v>
      </x:c>
      <x:c r="G15" s="275" t="str">
        <x:v>Preliminary analyst research</x:v>
      </x:c>
      <x:c r="H15" s="275" t="str">
        <x:v>Not treated as company confirmation</x:v>
      </x:c>
      <x:c r="I15" s="227"/>
      <x:c r="J15" s="227"/>
      <x:c r="K15" s="227"/>
      <x:c r="L15" s="227"/>
      <x:c r="M15" s="227"/>
      <x:c r="N15" s="227"/>
      <x:c r="O15" s="227"/>
    </x:row>
    <x:row r="16">
      <x:c r="A16" s="227"/>
      <x:c r="B16" s="227"/>
      <x:c r="C16" s="227"/>
      <x:c r="D16" s="227"/>
      <x:c r="E16" s="227"/>
      <x:c r="F16" s="227"/>
      <x:c r="G16" s="227"/>
      <x:c r="H16" s="227"/>
      <x:c r="I16" s="227"/>
      <x:c r="J16" s="227"/>
      <x:c r="K16" s="227"/>
      <x:c r="L16" s="227"/>
      <x:c r="M16" s="227"/>
      <x:c r="N16" s="227"/>
      <x:c r="O16" s="227"/>
    </x:row>
    <x:row r="17">
      <x:c r="A17" s="227"/>
      <x:c r="B17" s="227"/>
      <x:c r="C17" s="227"/>
      <x:c r="D17" s="227"/>
      <x:c r="E17" s="227"/>
      <x:c r="F17" s="227"/>
      <x:c r="G17" s="227"/>
      <x:c r="H17" s="227"/>
      <x:c r="I17" s="227"/>
      <x:c r="J17" s="227"/>
      <x:c r="K17" s="227"/>
      <x:c r="L17" s="227"/>
      <x:c r="M17" s="227"/>
      <x:c r="N17" s="227"/>
      <x:c r="O17" s="227"/>
    </x:row>
    <x:row r="18" ht="20" customHeight="1">
      <x:c r="A18" s="226" t="str">
        <x:v>Molecule Source and Confidence Table</x:v>
      </x:c>
      <x:c r="B18" s="226" t="str">
        <x:v>Molecule Source and Confidence Table</x:v>
      </x:c>
      <x:c r="C18" s="226" t="str">
        <x:v>Molecule Source and Confidence Table</x:v>
      </x:c>
      <x:c r="D18" s="226" t="str">
        <x:v>Molecule Source and Confidence Table</x:v>
      </x:c>
      <x:c r="E18" s="226" t="str">
        <x:v>Molecule Source and Confidence Table</x:v>
      </x:c>
      <x:c r="F18" s="226" t="str">
        <x:v>Molecule Source and Confidence Table</x:v>
      </x:c>
      <x:c r="G18" s="226" t="str">
        <x:v>Molecule Source and Confidence Table</x:v>
      </x:c>
      <x:c r="H18" s="226" t="str">
        <x:v>Molecule Source and Confidence Table</x:v>
      </x:c>
      <x:c r="I18" s="226" t="str">
        <x:v>Molecule Source and Confidence Table</x:v>
      </x:c>
      <x:c r="J18" s="226" t="str">
        <x:v>Molecule Source and Confidence Table</x:v>
      </x:c>
      <x:c r="K18" s="226" t="str">
        <x:v>Molecule Source and Confidence Table</x:v>
      </x:c>
      <x:c r="L18" s="226" t="str">
        <x:v>Molecule Source and Confidence Table</x:v>
      </x:c>
      <x:c r="M18" s="226" t="str">
        <x:v>Molecule Source and Confidence Table</x:v>
      </x:c>
      <x:c r="N18" s="226" t="str">
        <x:v>Molecule Source and Confidence Table</x:v>
      </x:c>
      <x:c r="O18" s="226" t="str">
        <x:v>Molecule Source and Confidence Table</x:v>
      </x:c>
    </x:row>
    <x:row r="19">
      <x:c r="A19" s="270" t="str">
        <x:v>Molecule / franchise</x:v>
      </x:c>
      <x:c r="B19" s="270" t="str">
        <x:v>Innovator</x:v>
      </x:c>
      <x:c r="C19" s="270" t="str">
        <x:v>Status</x:v>
      </x:c>
      <x:c r="D19" s="270" t="str">
        <x:v>Likely Sai role</x:v>
      </x:c>
      <x:c r="E19" s="270" t="str">
        <x:v>Linkage confidence</x:v>
      </x:c>
      <x:c r="F19" s="270" t="str">
        <x:v>Forecast method</x:v>
      </x:c>
      <x:c r="G19" s="270" t="str">
        <x:v>Core forecast treatment</x:v>
      </x:c>
      <x:c r="H19" s="270" t="str">
        <x:v>Main risk</x:v>
      </x:c>
      <x:c r="I19" s="270" t="str">
        <x:v>Primary source</x:v>
      </x:c>
      <x:c r="J19" s="227"/>
      <x:c r="K19" s="227"/>
      <x:c r="L19" s="227"/>
      <x:c r="M19" s="227"/>
      <x:c r="N19" s="227"/>
      <x:c r="O19" s="227"/>
    </x:row>
    <x:row r="20" ht="47" customHeight="1">
      <x:c r="A20" s="275" t="str">
        <x:v>AbbVie migraine franchise</x:v>
      </x:c>
      <x:c r="B20" s="275" t="str">
        <x:v>AbbVie</x:v>
      </x:c>
      <x:c r="C20" s="275" t="str">
        <x:v>Commercial</x:v>
      </x:c>
      <x:c r="D20" s="275" t="str">
        <x:v>Intermediate(s), inferred</x:v>
      </x:c>
      <x:c r="E20" s="275" t="str">
        <x:v>Medium</x:v>
      </x:c>
      <x:c r="F20" s="275" t="str">
        <x:v>Direct annual estimate</x:v>
      </x:c>
      <x:c r="G20" s="275" t="str">
        <x:v>Separately forecast as one combined franchise</x:v>
      </x:c>
      <x:c r="H20" s="275" t="str">
        <x:v>Double-counting Qulipta and Ubrelvy; supplier-share uncertainty</x:v>
      </x:c>
      <x:c r="I20" s="275" t="str">
        <x:v>Uploaded screenshots / analyst research</x:v>
      </x:c>
      <x:c r="J20" s="227"/>
      <x:c r="K20" s="227"/>
      <x:c r="L20" s="227"/>
      <x:c r="M20" s="227"/>
      <x:c r="N20" s="227"/>
      <x:c r="O20" s="227"/>
    </x:row>
    <x:row r="21" ht="47" customHeight="1">
      <x:c r="A21" s="275" t="str">
        <x:v>Blujepa / gepotidacin</x:v>
      </x:c>
      <x:c r="B21" s="275" t="str">
        <x:v>GSK</x:v>
      </x:c>
      <x:c r="C21" s="275" t="str">
        <x:v>US approved</x:v>
      </x:c>
      <x:c r="D21" s="275" t="str">
        <x:v>Intermediate, inferred</x:v>
      </x:c>
      <x:c r="E21" s="275" t="str">
        <x:v>Medium</x:v>
      </x:c>
      <x:c r="F21" s="275" t="str">
        <x:v>Launch-and-ramp</x:v>
      </x:c>
      <x:c r="G21" s="307" t="str">
        <x:v>Separately forecast</x:v>
      </x:c>
      <x:c r="H21" s="307" t="str">
        <x:v>Commercial uptake, dose-volume conversion and Sai linkage</x:v>
      </x:c>
      <x:c r="I21" s="307" t="str">
        <x:v>FDA approval source + analyst research</x:v>
      </x:c>
      <x:c r="J21" s="298"/>
      <x:c r="K21" s="298"/>
      <x:c r="L21" s="298"/>
      <x:c r="M21" s="298"/>
      <x:c r="N21" s="298"/>
      <x:c r="O21" s="298"/>
    </x:row>
    <x:row r="22" ht="47" customHeight="1">
      <x:c r="A22" s="275" t="str">
        <x:v>Simparica franchise</x:v>
      </x:c>
      <x:c r="B22" s="275" t="str">
        <x:v>Zoetis</x:v>
      </x:c>
      <x:c r="C22" s="275" t="str">
        <x:v>Commercial</x:v>
      </x:c>
      <x:c r="D22" s="275" t="str">
        <x:v>Complex intermediate, inferred</x:v>
      </x:c>
      <x:c r="E22" s="275" t="str">
        <x:v>Medium-Low</x:v>
      </x:c>
      <x:c r="F22" s="275" t="str">
        <x:v>Direct annual estimate</x:v>
      </x:c>
      <x:c r="G22" s="275" t="str">
        <x:v>Separately forecast</x:v>
      </x:c>
      <x:c r="H22" s="275" t="str">
        <x:v>Historical vs replacement intermediate and customer campaign timing</x:v>
      </x:c>
      <x:c r="I22" s="275" t="str">
        <x:v>Uploaded screenshots / EC and shipment research</x:v>
      </x:c>
      <x:c r="J22" s="227"/>
      <x:c r="K22" s="227"/>
      <x:c r="L22" s="227"/>
      <x:c r="M22" s="227"/>
      <x:c r="N22" s="227"/>
      <x:c r="O22" s="227"/>
    </x:row>
    <x:row r="23" ht="47" customHeight="1">
      <x:c r="A23" s="275" t="str">
        <x:v>Tyvaso DPI-related intermediate</x:v>
      </x:c>
      <x:c r="B23" s="275" t="str">
        <x:v>United Therapeutics</x:v>
      </x:c>
      <x:c r="C23" s="275" t="str">
        <x:v>Commercial</x:v>
      </x:c>
      <x:c r="D23" s="275" t="str">
        <x:v>Benzindene Triol intermediate</x:v>
      </x:c>
      <x:c r="E23" s="275" t="str">
        <x:v>Medium</x:v>
      </x:c>
      <x:c r="F23" s="275" t="str">
        <x:v>Existing revenue / lifecycle estimate</x:v>
      </x:c>
      <x:c r="G23" s="275" t="str">
        <x:v>Separately forecast</x:v>
      </x:c>
      <x:c r="H23" s="275" t="str">
        <x:v>Product-family mapping and lifecycle / patent risk</x:v>
      </x:c>
      <x:c r="I23" s="275" t="str">
        <x:v>PharmaCompass Sai DMF listing</x:v>
      </x:c>
      <x:c r="J23" s="227"/>
      <x:c r="K23" s="227"/>
      <x:c r="L23" s="227"/>
      <x:c r="M23" s="227"/>
      <x:c r="N23" s="227"/>
      <x:c r="O23" s="227"/>
    </x:row>
    <x:row r="24" ht="47" customHeight="1">
      <x:c r="A24" s="275" t="str">
        <x:v>Nereus / tradipitant</x:v>
      </x:c>
      <x:c r="B24" s="275" t="str">
        <x:v>Vanda</x:v>
      </x:c>
      <x:c r="C24" s="275" t="str">
        <x:v>Approved Dec-2025</x:v>
      </x:c>
      <x:c r="D24" s="275" t="str">
        <x:v>API / intermediate, inferred</x:v>
      </x:c>
      <x:c r="E24" s="275" t="str">
        <x:v>Medium-Low</x:v>
      </x:c>
      <x:c r="F24" s="275" t="str">
        <x:v>Launch-and-ramp</x:v>
      </x:c>
      <x:c r="G24" s="275" t="str">
        <x:v>Separately forecast</x:v>
      </x:c>
      <x:c r="H24" s="275" t="str">
        <x:v>Initial commercial orders and Sai linkage</x:v>
      </x:c>
      <x:c r="I24" s="275" t="str">
        <x:v>FDA novel drug list + analyst research</x:v>
      </x:c>
      <x:c r="J24" s="227"/>
      <x:c r="K24" s="227"/>
      <x:c r="L24" s="227"/>
      <x:c r="M24" s="227"/>
      <x:c r="N24" s="227"/>
      <x:c r="O24" s="227"/>
    </x:row>
    <x:row r="25" ht="47" customHeight="1">
      <x:c r="A25" s="275" t="str">
        <x:v>Lorundrostat</x:v>
      </x:c>
      <x:c r="B25" s="275" t="str">
        <x:v>Mineralys</x:v>
      </x:c>
      <x:c r="C25" s="275" t="str">
        <x:v>NDA accepted Mar-2026</x:v>
      </x:c>
      <x:c r="D25" s="275" t="str">
        <x:v>API / intermediate, inferred</x:v>
      </x:c>
      <x:c r="E25" s="275" t="str">
        <x:v>Medium-Low</x:v>
      </x:c>
      <x:c r="F25" s="275" t="str">
        <x:v>Risk-adjusted launch-and-ramp</x:v>
      </x:c>
      <x:c r="G25" s="275" t="str">
        <x:v>Separately forecast</x:v>
      </x:c>
      <x:c r="H25" s="275" t="str">
        <x:v>Approval timing, launch execution and Sai linkage</x:v>
      </x:c>
      <x:c r="I25" s="275" t="str">
        <x:v>Mineralys official release + analyst research</x:v>
      </x:c>
      <x:c r="J25" s="227"/>
      <x:c r="K25" s="227"/>
      <x:c r="L25" s="227"/>
      <x:c r="M25" s="227"/>
      <x:c r="N25" s="227"/>
      <x:c r="O25" s="227"/>
    </x:row>
    <x:row r="26" ht="47" customHeight="1">
      <x:c r="A26" s="275" t="str">
        <x:v>Bilastine</x:v>
      </x:c>
      <x:c r="B26" s="275" t="str">
        <x:v>Faes Farma</x:v>
      </x:c>
      <x:c r="C26" s="275" t="str">
        <x:v>Commercial / mature</x:v>
      </x:c>
      <x:c r="D26" s="275" t="str">
        <x:v>Sai product listing</x:v>
      </x:c>
      <x:c r="E26" s="275" t="str">
        <x:v>High product / medium brand</x:v>
      </x:c>
      <x:c r="F26" s="275" t="str">
        <x:v>Portfolio growth</x:v>
      </x:c>
      <x:c r="G26" s="275" t="str">
        <x:v>Included in Other commercial portfolio</x:v>
      </x:c>
      <x:c r="H26" s="275" t="str">
        <x:v>Post-patent pricing and limited materiality</x:v>
      </x:c>
      <x:c r="I26" s="275" t="str">
        <x:v>PharmaCompass written confirmation</x:v>
      </x:c>
      <x:c r="J26" s="227"/>
      <x:c r="K26" s="227"/>
      <x:c r="L26" s="227"/>
      <x:c r="M26" s="227"/>
      <x:c r="N26" s="227"/>
      <x:c r="O26" s="227"/>
    </x:row>
    <x:row r="27" ht="47" customHeight="1">
      <x:c r="A27" s="275" t="str">
        <x:v>Naperiglipron / GLP-1 option</x:v>
      </x:c>
      <x:c r="B27" s="275" t="str">
        <x:v>Eli Lilly</x:v>
      </x:c>
      <x:c r="C27" s="275" t="str">
        <x:v>Early development</x:v>
      </x:c>
      <x:c r="D27" s="275" t="str">
        <x:v>Unconfirmed</x:v>
      </x:c>
      <x:c r="E27" s="275" t="str">
        <x:v>Low</x:v>
      </x:c>
      <x:c r="F27" s="275" t="str">
        <x:v>None</x:v>
      </x:c>
      <x:c r="G27" s="275" t="str">
        <x:v>Watchlist only</x:v>
      </x:c>
      <x:c r="H27" s="275" t="str">
        <x:v>Early stage and no direct Sai evidence</x:v>
      </x:c>
      <x:c r="I27" s="275" t="str">
        <x:v>Uploaded screenshots / clinical-trial sources</x:v>
      </x:c>
      <x:c r="J27" s="227"/>
      <x:c r="K27" s="227"/>
      <x:c r="L27" s="227"/>
      <x:c r="M27" s="227"/>
      <x:c r="N27" s="227"/>
      <x:c r="O27" s="227"/>
    </x:row>
    <x:row r="28">
      <x:c r="A28" s="227"/>
      <x:c r="B28" s="227"/>
      <x:c r="C28" s="227"/>
      <x:c r="D28" s="227"/>
      <x:c r="E28" s="227"/>
      <x:c r="F28" s="227"/>
      <x:c r="G28" s="227"/>
      <x:c r="H28" s="227"/>
      <x:c r="I28" s="227"/>
      <x:c r="J28" s="227"/>
      <x:c r="K28" s="227"/>
      <x:c r="L28" s="227"/>
      <x:c r="M28" s="227"/>
      <x:c r="N28" s="227"/>
      <x:c r="O28" s="227"/>
    </x:row>
    <x:row r="29">
      <x:c r="A29" s="227"/>
      <x:c r="B29" s="227"/>
      <x:c r="C29" s="227"/>
      <x:c r="D29" s="227"/>
      <x:c r="E29" s="227"/>
      <x:c r="F29" s="227"/>
      <x:c r="G29" s="227"/>
      <x:c r="H29" s="227"/>
      <x:c r="I29" s="227"/>
      <x:c r="J29" s="227"/>
      <x:c r="K29" s="227"/>
      <x:c r="L29" s="227"/>
      <x:c r="M29" s="227"/>
      <x:c r="N29" s="227"/>
      <x:c r="O29" s="227"/>
    </x:row>
    <x:row r="30" ht="20" customHeight="1">
      <x:c r="A30" s="226" t="str">
        <x:v>Assumption and Material Data-Gap Log</x:v>
      </x:c>
      <x:c r="B30" s="226" t="str">
        <x:v>Assumption and Material Data-Gap Log</x:v>
      </x:c>
      <x:c r="C30" s="226" t="str">
        <x:v>Assumption and Material Data-Gap Log</x:v>
      </x:c>
      <x:c r="D30" s="226" t="str">
        <x:v>Assumption and Material Data-Gap Log</x:v>
      </x:c>
      <x:c r="E30" s="226" t="str">
        <x:v>Assumption and Material Data-Gap Log</x:v>
      </x:c>
      <x:c r="F30" s="226" t="str">
        <x:v>Assumption and Material Data-Gap Log</x:v>
      </x:c>
      <x:c r="G30" s="226" t="str">
        <x:v>Assumption and Material Data-Gap Log</x:v>
      </x:c>
      <x:c r="H30" s="226" t="str">
        <x:v>Assumption and Material Data-Gap Log</x:v>
      </x:c>
      <x:c r="I30" s="226" t="str">
        <x:v>Assumption and Material Data-Gap Log</x:v>
      </x:c>
      <x:c r="J30" s="226" t="str">
        <x:v>Assumption and Material Data-Gap Log</x:v>
      </x:c>
      <x:c r="K30" s="226" t="str">
        <x:v>Assumption and Material Data-Gap Log</x:v>
      </x:c>
      <x:c r="L30" s="226" t="str">
        <x:v>Assumption and Material Data-Gap Log</x:v>
      </x:c>
      <x:c r="M30" s="226" t="str">
        <x:v>Assumption and Material Data-Gap Log</x:v>
      </x:c>
      <x:c r="N30" s="226" t="str">
        <x:v>Assumption and Material Data-Gap Log</x:v>
      </x:c>
      <x:c r="O30" s="226" t="str">
        <x:v>Assumption and Material Data-Gap Log</x:v>
      </x:c>
    </x:row>
    <x:row r="31">
      <x:c r="A31" s="270" t="str">
        <x:v>Area</x:v>
      </x:c>
      <x:c r="B31" s="270" t="str">
        <x:v>Assumption / gap</x:v>
      </x:c>
      <x:c r="C31" s="270" t="str">
        <x:v>Central forecast treatment</x:v>
      </x:c>
      <x:c r="D31" s="270" t="str">
        <x:v>Source type</x:v>
      </x:c>
      <x:c r="E31" s="270" t="str">
        <x:v>Confidence</x:v>
      </x:c>
      <x:c r="F31" s="270" t="str">
        <x:v>Key risk</x:v>
      </x:c>
      <x:c r="G31" s="270" t="str">
        <x:v>Update trigger</x:v>
      </x:c>
      <x:c r="H31" s="227"/>
      <x:c r="I31" s="227"/>
      <x:c r="J31" s="227"/>
      <x:c r="K31" s="227"/>
      <x:c r="L31" s="227"/>
      <x:c r="M31" s="227"/>
      <x:c r="N31" s="227"/>
      <x:c r="O31" s="227"/>
    </x:row>
    <x:row r="32" ht="47" customHeight="1">
      <x:c r="A32" s="275" t="str">
        <x:v>Named molecule linkages</x:v>
      </x:c>
      <x:c r="B32" s="275" t="str">
        <x:v>Sai generally does not publicly identify customers or molecules</x:v>
      </x:c>
      <x:c r="C32" s="275" t="str">
        <x:v>Only six selected lines are modelled; all are clearly labelled as analyst estimates</x:v>
      </x:c>
      <x:c r="D32" s="275" t="str">
        <x:v>Analyst estimate</x:v>
      </x:c>
      <x:c r="E32" s="275" t="str">
        <x:v>Medium-Low</x:v>
      </x:c>
      <x:c r="F32" s="275" t="str">
        <x:v>Incorrect customer / product mapping</x:v>
      </x:c>
      <x:c r="G32" s="275" t="str">
        <x:v>Direct company, regulatory or shipment evidence</x:v>
      </x:c>
      <x:c r="H32" s="227"/>
      <x:c r="I32" s="227"/>
      <x:c r="J32" s="227"/>
      <x:c r="K32" s="227"/>
      <x:c r="L32" s="227"/>
      <x:c r="M32" s="227"/>
      <x:c r="N32" s="227"/>
      <x:c r="O32" s="227"/>
    </x:row>
    <x:row r="33" ht="47" customHeight="1">
      <x:c r="A33" s="275" t="str">
        <x:v>Molecule economics</x:v>
      </x:c>
      <x:c r="B33" s="275" t="str">
        <x:v>Direct Sai revenue, volume and pricing are not fully public</x:v>
      </x:c>
      <x:c r="C33" s="275" t="str">
        <x:v>Use direct annual revenue estimates or a simple launch ramp rather than false-precision TAM models</x:v>
      </x:c>
      <x:c r="D33" s="275" t="str">
        <x:v>Analyst estimate</x:v>
      </x:c>
      <x:c r="E33" s="275" t="str">
        <x:v>Medium</x:v>
      </x:c>
      <x:c r="F33" s="275" t="str">
        <x:v>Revenue intensity and supplier-share error</x:v>
      </x:c>
      <x:c r="G33" s="275" t="str">
        <x:v>New shipment, capacity or pricing evidence</x:v>
      </x:c>
      <x:c r="H33" s="227"/>
      <x:c r="I33" s="227"/>
      <x:c r="J33" s="227"/>
      <x:c r="K33" s="227"/>
      <x:c r="L33" s="227"/>
      <x:c r="M33" s="227"/>
      <x:c r="N33" s="227"/>
      <x:c r="O33" s="227"/>
    </x:row>
    <x:row r="34" ht="47" customHeight="1">
      <x:c r="A34" s="275" t="str">
        <x:v>Quarterly segment mix</x:v>
      </x:c>
      <x:c r="B34" s="275" t="str">
        <x:v>CRO and CDMO quarterly splits are not consistently disclosed</x:v>
      </x:c>
      <x:c r="C34" s="275" t="str">
        <x:v>Use annual reported segment totals and limited quarter-level analyst estimates</x:v>
      </x:c>
      <x:c r="D34" s="275" t="str">
        <x:v>Reported / estimate</x:v>
      </x:c>
      <x:c r="E34" s="275" t="str">
        <x:v>Medium</x:v>
      </x:c>
      <x:c r="F34" s="275" t="str">
        <x:v>Quarterly seasonality and rounding</x:v>
      </x:c>
      <x:c r="G34" s="275" t="str">
        <x:v>Quarterly segment disclosure</x:v>
      </x:c>
      <x:c r="H34" s="227"/>
      <x:c r="I34" s="227"/>
      <x:c r="J34" s="227"/>
      <x:c r="K34" s="227"/>
      <x:c r="L34" s="227"/>
      <x:c r="M34" s="227"/>
      <x:c r="N34" s="227"/>
      <x:c r="O34" s="227"/>
    </x:row>
    <x:row r="35" ht="47" customHeight="1">
      <x:c r="A35" s="275" t="str">
        <x:v>FY26 balance sheet / cash flow</x:v>
      </x:c>
      <x:c r="B35" s="275" t="str">
        <x:v>FY26 presentation figures are rounded and detailed audited CFS was not embedded in the source set</x:v>
      </x:c>
      <x:c r="C35" s="275" t="str">
        <x:v>Retain the existing reconciled three-statement construction</x:v>
      </x:c>
      <x:c r="D35" s="275" t="str">
        <x:v>Reported / derived</x:v>
      </x:c>
      <x:c r="E35" s="275" t="str">
        <x:v>Medium</x:v>
      </x:c>
      <x:c r="F35" s="275" t="str">
        <x:v>Statutory line classification may differ</x:v>
      </x:c>
      <x:c r="G35" s="275" t="str">
        <x:v>FY26 annual report filing</x:v>
      </x:c>
      <x:c r="H35" s="227"/>
      <x:c r="I35" s="227"/>
      <x:c r="J35" s="227"/>
      <x:c r="K35" s="227"/>
      <x:c r="L35" s="227"/>
      <x:c r="M35" s="227"/>
      <x:c r="N35" s="227"/>
      <x:c r="O35" s="227"/>
    </x:row>
    <x:row r="36" ht="47" customHeight="1">
      <x:c r="A36" s="275" t="str">
        <x:v>CRO billable capacity</x:v>
      </x:c>
      <x:c r="B36" s="275" t="str">
        <x:v>Billable scientific capacity is not directly disclosed</x:v>
      </x:c>
      <x:c r="C36" s="275" t="str">
        <x:v>Estimate opening capacity, net additions and average capacity</x:v>
      </x:c>
      <x:c r="D36" s="275" t="str">
        <x:v>Analyst estimate</x:v>
      </x:c>
      <x:c r="E36" s="275" t="str">
        <x:v>Medium</x:v>
      </x:c>
      <x:c r="F36" s="275" t="str">
        <x:v>Billability, attrition and utilisation</x:v>
      </x:c>
      <x:c r="G36" s="275" t="str">
        <x:v>Employee / scientist disclosure</x:v>
      </x:c>
      <x:c r="H36" s="227"/>
      <x:c r="I36" s="227"/>
      <x:c r="J36" s="227"/>
      <x:c r="K36" s="227"/>
      <x:c r="L36" s="227"/>
      <x:c r="M36" s="227"/>
      <x:c r="N36" s="227"/>
      <x:c r="O36" s="227"/>
    </x:row>
    <x:row r="37" ht="47" customHeight="1">
      <x:c r="A37" s="275" t="str">
        <x:v>New manufacturing capacity</x:v>
      </x:c>
      <x:c r="B37" s="275" t="str">
        <x:v>Commissioning does not equal revenue</x:v>
      </x:c>
      <x:c r="C37" s="275" t="str">
        <x:v>Use one capacity / campaign adjustment and avoid revenue-per-KL sub-models</x:v>
      </x:c>
      <x:c r="D37" s="275" t="str">
        <x:v>Company disclosure / estimate</x:v>
      </x:c>
      <x:c r="E37" s="275" t="str">
        <x:v>Medium</x:v>
      </x:c>
      <x:c r="F37" s="275" t="str">
        <x:v>Qualification and customer validation delays</x:v>
      </x:c>
      <x:c r="G37" s="275" t="str">
        <x:v>Customer audit / utilisation evidence</x:v>
      </x:c>
      <x:c r="H37" s="227"/>
      <x:c r="I37" s="227"/>
      <x:c r="J37" s="227"/>
      <x:c r="K37" s="227"/>
      <x:c r="L37" s="227"/>
      <x:c r="M37" s="227"/>
      <x:c r="N37" s="227"/>
      <x:c r="O37" s="227"/>
    </x:row>
    <x:row r="38" ht="47" customHeight="1">
      <x:c r="A38" s="275" t="str">
        <x:v>Pipeline timing</x:v>
      </x:c>
      <x:c r="B38" s="275" t="str">
        <x:v>Approval does not guarantee immediate commercial supply</x:v>
      </x:c>
      <x:c r="C38" s="275" t="str">
        <x:v>Development / validation revenue precedes a conservative commercial ramp</x:v>
      </x:c>
      <x:c r="D38" s="275" t="str">
        <x:v>Regulatory / estimate</x:v>
      </x:c>
      <x:c r="E38" s="275" t="str">
        <x:v>Medium-Low</x:v>
      </x:c>
      <x:c r="F38" s="275" t="str">
        <x:v>Approval delay, launch delay or programme discontinuation</x:v>
      </x:c>
      <x:c r="G38" s="275" t="str">
        <x:v>Regulatory milestones and purchase orders</x:v>
      </x:c>
      <x:c r="H38" s="227"/>
      <x:c r="I38" s="227"/>
      <x:c r="J38" s="227"/>
      <x:c r="K38" s="227"/>
      <x:c r="L38" s="227"/>
      <x:c r="M38" s="227"/>
      <x:c r="N38" s="227"/>
      <x:c r="O38" s="227"/>
    </x:row>
    <x:row r="39">
      <x:c r="A39" s="227"/>
      <x:c r="B39" s="227"/>
      <x:c r="C39" s="227"/>
      <x:c r="D39" s="227"/>
      <x:c r="E39" s="227"/>
      <x:c r="F39" s="227"/>
      <x:c r="G39" s="227"/>
      <x:c r="H39" s="227"/>
      <x:c r="I39" s="227"/>
      <x:c r="J39" s="227"/>
      <x:c r="K39" s="227"/>
      <x:c r="L39" s="227"/>
      <x:c r="M39" s="227"/>
      <x:c r="N39" s="227"/>
      <x:c r="O39" s="227"/>
    </x:row>
    <x:row r="40">
      <x:c r="A40" s="227"/>
      <x:c r="B40" s="227"/>
      <x:c r="C40" s="227"/>
      <x:c r="D40" s="227"/>
      <x:c r="E40" s="227"/>
      <x:c r="F40" s="227"/>
      <x:c r="G40" s="227"/>
      <x:c r="H40" s="227"/>
      <x:c r="I40" s="227"/>
      <x:c r="J40" s="227"/>
      <x:c r="K40" s="227"/>
      <x:c r="L40" s="227"/>
      <x:c r="M40" s="227"/>
      <x:c r="N40" s="227"/>
      <x:c r="O40" s="227"/>
    </x:row>
    <x:row r="41" ht="20" customHeight="1">
      <x:c r="A41" s="226" t="str">
        <x:v>Model Integrity Checks</x:v>
      </x:c>
      <x:c r="B41" s="226" t="str">
        <x:v>Model Integrity Checks</x:v>
      </x:c>
      <x:c r="C41" s="226" t="str">
        <x:v>Model Integrity Checks</x:v>
      </x:c>
      <x:c r="D41" s="226" t="str">
        <x:v>Model Integrity Checks</x:v>
      </x:c>
      <x:c r="E41" s="226" t="str">
        <x:v>Model Integrity Checks</x:v>
      </x:c>
      <x:c r="F41" s="226" t="str">
        <x:v>Model Integrity Checks</x:v>
      </x:c>
      <x:c r="G41" s="226" t="str">
        <x:v>Model Integrity Checks</x:v>
      </x:c>
      <x:c r="H41" s="226" t="str">
        <x:v>Model Integrity Checks</x:v>
      </x:c>
      <x:c r="I41" s="226" t="str">
        <x:v>Model Integrity Checks</x:v>
      </x:c>
      <x:c r="J41" s="226" t="str">
        <x:v>Model Integrity Checks</x:v>
      </x:c>
      <x:c r="K41" s="226" t="str">
        <x:v>Model Integrity Checks</x:v>
      </x:c>
      <x:c r="L41" s="226" t="str">
        <x:v>Model Integrity Checks</x:v>
      </x:c>
      <x:c r="M41" s="226" t="str">
        <x:v>Model Integrity Checks</x:v>
      </x:c>
      <x:c r="N41" s="226" t="str">
        <x:v>Model Integrity Checks</x:v>
      </x:c>
      <x:c r="O41" s="226" t="str">
        <x:v>Model Integrity Checks</x:v>
      </x:c>
    </x:row>
    <x:row r="42">
      <x:c r="A42" s="289" t="str">
        <x:v>Check</x:v>
      </x:c>
      <x:c r="B42" s="289" t="str">
        <x:v>Units</x:v>
      </x:c>
      <x:c r="C42" s="289" t="str">
        <x:v>Target</x:v>
      </x:c>
      <x:c r="D42" s="289" t="str">
        <x:v>FY2024A</x:v>
      </x:c>
      <x:c r="E42" s="289" t="str">
        <x:v>FY2025A</x:v>
      </x:c>
      <x:c r="F42" s="289" t="str">
        <x:v>FY2026A*</x:v>
      </x:c>
      <x:c r="G42" s="308" t="str">
        <x:v>FY2027E</x:v>
      </x:c>
      <x:c r="H42" s="308" t="str">
        <x:v>FY2028E</x:v>
      </x:c>
      <x:c r="I42" s="308" t="str">
        <x:v>FY2029E</x:v>
      </x:c>
      <x:c r="J42" s="308" t="str">
        <x:v>FY2030E</x:v>
      </x:c>
      <x:c r="K42" s="308" t="str">
        <x:v>FY2031E</x:v>
      </x:c>
      <x:c r="L42" s="308" t="str">
        <x:v>FY2032E</x:v>
      </x:c>
      <x:c r="M42" s="308" t="str">
        <x:v>FY2033E</x:v>
      </x:c>
      <x:c r="N42" s="308" t="str">
        <x:v>FY2034E</x:v>
      </x:c>
      <x:c r="O42" s="308" t="str">
        <x:v>FY2035E</x:v>
      </x:c>
    </x:row>
    <x:row r="43">
      <x:c r="A43" s="227" t="str">
        <x:v>Balance sheet</x:v>
      </x:c>
      <x:c r="B43" s="227" t="str">
        <x:v>INR mn</x:v>
      </x:c>
      <x:c r="C43" s="227" t="str">
        <x:v>0</x:v>
      </x:c>
      <x:c r="D43" s="235" t="n">
        <x:f>'Three Statements'!D51</x:f>
        <x:v>0</x:v>
      </x:c>
      <x:c r="E43" s="235" t="n">
        <x:f>'Three Statements'!E51</x:f>
        <x:v>0</x:v>
      </x:c>
      <x:c r="F43" s="235" t="n">
        <x:f>'Three Statements'!F51</x:f>
        <x:v>0</x:v>
      </x:c>
      <x:c r="G43" s="235" t="n">
        <x:f>'Three Statements'!G51</x:f>
        <x:v>-7.275957614183426e-12</x:v>
      </x:c>
      <x:c r="H43" s="235" t="n">
        <x:f>'Three Statements'!H51</x:f>
        <x:v>0</x:v>
      </x:c>
      <x:c r="I43" s="235" t="n">
        <x:f>'Three Statements'!I51</x:f>
        <x:v>0</x:v>
      </x:c>
      <x:c r="J43" s="235" t="n">
        <x:f>'Three Statements'!J51</x:f>
        <x:v>0</x:v>
      </x:c>
      <x:c r="K43" s="235" t="n">
        <x:f>'Three Statements'!K51</x:f>
        <x:v>0</x:v>
      </x:c>
      <x:c r="L43" s="235" t="n">
        <x:f>'Three Statements'!L51</x:f>
        <x:v>-2.9103830456733704e-11</x:v>
      </x:c>
      <x:c r="M43" s="235" t="n">
        <x:f>'Three Statements'!M51</x:f>
        <x:v>-4.3655745685100555e-11</x:v>
      </x:c>
      <x:c r="N43" s="235" t="n">
        <x:f>'Three Statements'!N51</x:f>
        <x:v>-2.9103830456733704e-11</x:v>
      </x:c>
      <x:c r="O43" s="235" t="n">
        <x:f>'Three Statements'!O51</x:f>
        <x:v>-2.9103830456733704e-11</x:v>
      </x:c>
    </x:row>
    <x:row r="44">
      <x:c r="A44" s="227" t="str">
        <x:v>Cash reconciliation</x:v>
      </x:c>
      <x:c r="B44" s="227" t="str">
        <x:v>INR mn</x:v>
      </x:c>
      <x:c r="C44" s="227" t="str">
        <x:v>0</x:v>
      </x:c>
      <x:c r="D44" s="235" t="n">
        <x:f>'Three Statements'!D91</x:f>
        <x:v>0</x:v>
      </x:c>
      <x:c r="E44" s="235" t="n">
        <x:f>'Three Statements'!E91</x:f>
        <x:v>0</x:v>
      </x:c>
      <x:c r="F44" s="235" t="n">
        <x:f>'Three Statements'!F91</x:f>
        <x:v>0</x:v>
      </x:c>
      <x:c r="G44" s="235" t="n">
        <x:f>'Three Statements'!G91</x:f>
        <x:v>0</x:v>
      </x:c>
      <x:c r="H44" s="235" t="n">
        <x:f>'Three Statements'!H91</x:f>
        <x:v>0</x:v>
      </x:c>
      <x:c r="I44" s="235" t="n">
        <x:f>'Three Statements'!I91</x:f>
        <x:v>0</x:v>
      </x:c>
      <x:c r="J44" s="235" t="n">
        <x:f>'Three Statements'!J91</x:f>
        <x:v>0</x:v>
      </x:c>
      <x:c r="K44" s="235" t="n">
        <x:f>'Three Statements'!K91</x:f>
        <x:v>0</x:v>
      </x:c>
      <x:c r="L44" s="235" t="n">
        <x:f>'Three Statements'!L91</x:f>
        <x:v>0</x:v>
      </x:c>
      <x:c r="M44" s="235" t="n">
        <x:f>'Three Statements'!M91</x:f>
        <x:v>0</x:v>
      </x:c>
      <x:c r="N44" s="235" t="n">
        <x:f>'Three Statements'!N91</x:f>
        <x:v>0</x:v>
      </x:c>
      <x:c r="O44" s="235" t="n">
        <x:f>'Three Statements'!O91</x:f>
        <x:v>0</x:v>
      </x:c>
    </x:row>
    <x:row r="45">
      <x:c r="A45" s="227" t="str">
        <x:v>Segment revenue reconciliation</x:v>
      </x:c>
      <x:c r="B45" s="227" t="str">
        <x:v>INR mn</x:v>
      </x:c>
      <x:c r="C45" s="227" t="str">
        <x:v>0</x:v>
      </x:c>
      <x:c r="D45" s="235" t="n">
        <x:f>'Revenue Model'!D10</x:f>
        <x:v>-1.8189894035458565e-12</x:v>
      </x:c>
      <x:c r="E45" s="235" t="n">
        <x:f>'Revenue Model'!E10</x:f>
        <x:v>0</x:v>
      </x:c>
      <x:c r="F45" s="235" t="n">
        <x:f>'Revenue Model'!F10</x:f>
        <x:v>0</x:v>
      </x:c>
      <x:c r="G45" s="235" t="n">
        <x:f>'Revenue Model'!G10</x:f>
        <x:v>0</x:v>
      </x:c>
      <x:c r="H45" s="235" t="n">
        <x:f>'Revenue Model'!H10</x:f>
        <x:v>0</x:v>
      </x:c>
      <x:c r="I45" s="235" t="n">
        <x:f>'Revenue Model'!I10</x:f>
        <x:v>0</x:v>
      </x:c>
      <x:c r="J45" s="235" t="n">
        <x:f>'Revenue Model'!J10</x:f>
        <x:v>0</x:v>
      </x:c>
      <x:c r="K45" s="235" t="n">
        <x:f>'Revenue Model'!K10</x:f>
        <x:v>0</x:v>
      </x:c>
      <x:c r="L45" s="235" t="n">
        <x:f>'Revenue Model'!L10</x:f>
        <x:v>0</x:v>
      </x:c>
      <x:c r="M45" s="235" t="n">
        <x:f>'Revenue Model'!M10</x:f>
        <x:v>0</x:v>
      </x:c>
      <x:c r="N45" s="235" t="n">
        <x:f>'Revenue Model'!N10</x:f>
        <x:v>0</x:v>
      </x:c>
      <x:c r="O45" s="235" t="n">
        <x:f>'Revenue Model'!O10</x:f>
        <x:v>0</x:v>
      </x:c>
    </x:row>
    <x:row r="46">
      <x:c r="A46" s="227" t="str">
        <x:v>CDMO molecule and portfolio reconciliation</x:v>
      </x:c>
      <x:c r="B46" s="227" t="str">
        <x:v>INR mn</x:v>
      </x:c>
      <x:c r="C46" s="227" t="str">
        <x:v>0</x:v>
      </x:c>
      <x:c r="D46" s="235" t="n">
        <x:f>'Revenue Model'!D92</x:f>
        <x:v>0</x:v>
      </x:c>
      <x:c r="E46" s="235" t="n">
        <x:f>'Revenue Model'!E92</x:f>
        <x:v>0</x:v>
      </x:c>
      <x:c r="F46" s="235" t="n">
        <x:f>'Revenue Model'!F92</x:f>
        <x:v>0</x:v>
      </x:c>
      <x:c r="G46" s="235" t="n">
        <x:f>'Revenue Model'!G92</x:f>
        <x:v>0</x:v>
      </x:c>
      <x:c r="H46" s="235" t="n">
        <x:f>'Revenue Model'!H92</x:f>
        <x:v>0</x:v>
      </x:c>
      <x:c r="I46" s="235" t="n">
        <x:f>'Revenue Model'!I92</x:f>
        <x:v>0</x:v>
      </x:c>
      <x:c r="J46" s="235" t="n">
        <x:f>'Revenue Model'!J92</x:f>
        <x:v>0</x:v>
      </x:c>
      <x:c r="K46" s="235" t="n">
        <x:f>'Revenue Model'!K92</x:f>
        <x:v>0</x:v>
      </x:c>
      <x:c r="L46" s="235" t="n">
        <x:f>'Revenue Model'!L92</x:f>
        <x:v>0</x:v>
      </x:c>
      <x:c r="M46" s="235" t="n">
        <x:f>'Revenue Model'!M92</x:f>
        <x:v>0</x:v>
      </x:c>
      <x:c r="N46" s="235" t="n">
        <x:f>'Revenue Model'!N92</x:f>
        <x:v>0</x:v>
      </x:c>
      <x:c r="O46" s="235" t="n">
        <x:f>'Revenue Model'!O92</x:f>
        <x:v>0</x:v>
      </x:c>
    </x:row>
    <x:row r="47">
      <x:c r="A47" s="227" t="str">
        <x:v>CRO revenue reconciliation</x:v>
      </x:c>
      <x:c r="B47" s="227" t="str">
        <x:v>INR mn</x:v>
      </x:c>
      <x:c r="C47" s="227" t="str">
        <x:v>0</x:v>
      </x:c>
      <x:c r="D47" s="235" t="n">
        <x:f>'Revenue Model'!D24</x:f>
        <x:v>0</x:v>
      </x:c>
      <x:c r="E47" s="235" t="n">
        <x:f>'Revenue Model'!E24</x:f>
        <x:v>0</x:v>
      </x:c>
      <x:c r="F47" s="235" t="n">
        <x:f>'Revenue Model'!F24</x:f>
        <x:v>0</x:v>
      </x:c>
      <x:c r="G47" s="235" t="n">
        <x:f>'Revenue Model'!G24</x:f>
        <x:v>0</x:v>
      </x:c>
      <x:c r="H47" s="235" t="n">
        <x:f>'Revenue Model'!H24</x:f>
        <x:v>0</x:v>
      </x:c>
      <x:c r="I47" s="235" t="n">
        <x:f>'Revenue Model'!I24</x:f>
        <x:v>0</x:v>
      </x:c>
      <x:c r="J47" s="235" t="n">
        <x:f>'Revenue Model'!J24</x:f>
        <x:v>0</x:v>
      </x:c>
      <x:c r="K47" s="235" t="n">
        <x:f>'Revenue Model'!K24</x:f>
        <x:v>0</x:v>
      </x:c>
      <x:c r="L47" s="235" t="n">
        <x:f>'Revenue Model'!L24</x:f>
        <x:v>0</x:v>
      </x:c>
      <x:c r="M47" s="235" t="n">
        <x:f>'Revenue Model'!M24</x:f>
        <x:v>0</x:v>
      </x:c>
      <x:c r="N47" s="235" t="n">
        <x:f>'Revenue Model'!N24</x:f>
        <x:v>0</x:v>
      </x:c>
      <x:c r="O47" s="235" t="n">
        <x:f>'Revenue Model'!O24</x:f>
        <x:v>0</x:v>
      </x:c>
    </x:row>
    <x:row r="48">
      <x:c r="A48" s="227" t="str">
        <x:v>PP&amp;E roll-forward</x:v>
      </x:c>
      <x:c r="B48" s="227" t="str">
        <x:v>INR mn</x:v>
      </x:c>
      <x:c r="C48" s="227" t="str">
        <x:v>0</x:v>
      </x:c>
      <x:c r="D48" s="235" t="n">
        <x:f>'Supporting Schedules'!D50</x:f>
        <x:v>0</x:v>
      </x:c>
      <x:c r="E48" s="235" t="n">
        <x:f>'Supporting Schedules'!E50</x:f>
        <x:v>0</x:v>
      </x:c>
      <x:c r="F48" s="235" t="n">
        <x:f>'Supporting Schedules'!F50</x:f>
        <x:v>0</x:v>
      </x:c>
      <x:c r="G48" s="235" t="n">
        <x:f>'Supporting Schedules'!G50</x:f>
        <x:v>0</x:v>
      </x:c>
      <x:c r="H48" s="235" t="n">
        <x:f>'Supporting Schedules'!H50</x:f>
        <x:v>0</x:v>
      </x:c>
      <x:c r="I48" s="235" t="n">
        <x:f>'Supporting Schedules'!I50</x:f>
        <x:v>0</x:v>
      </x:c>
      <x:c r="J48" s="235" t="n">
        <x:f>'Supporting Schedules'!J50</x:f>
        <x:v>0</x:v>
      </x:c>
      <x:c r="K48" s="235" t="n">
        <x:f>'Supporting Schedules'!K50</x:f>
        <x:v>0</x:v>
      </x:c>
      <x:c r="L48" s="235" t="n">
        <x:f>'Supporting Schedules'!L50</x:f>
        <x:v>0</x:v>
      </x:c>
      <x:c r="M48" s="235" t="n">
        <x:f>'Supporting Schedules'!M50</x:f>
        <x:v>0</x:v>
      </x:c>
      <x:c r="N48" s="235" t="n">
        <x:f>'Supporting Schedules'!N50</x:f>
        <x:v>0</x:v>
      </x:c>
      <x:c r="O48" s="235" t="n">
        <x:f>'Supporting Schedules'!O50</x:f>
        <x:v>0</x:v>
      </x:c>
    </x:row>
    <x:row r="49">
      <x:c r="A49" s="227" t="str">
        <x:v>Debt roll-forward</x:v>
      </x:c>
      <x:c r="B49" s="227" t="str">
        <x:v>INR mn</x:v>
      </x:c>
      <x:c r="C49" s="227" t="str">
        <x:v>0</x:v>
      </x:c>
      <x:c r="D49" s="235" t="n">
        <x:f>'Supporting Schedules'!D67</x:f>
        <x:v>0</x:v>
      </x:c>
      <x:c r="E49" s="235" t="n">
        <x:f>'Supporting Schedules'!E67</x:f>
        <x:v>-2.2737367544323206e-13</x:v>
      </x:c>
      <x:c r="F49" s="235" t="n">
        <x:f>'Supporting Schedules'!F67</x:f>
        <x:v>-1.1368683772161603e-13</x:v>
      </x:c>
      <x:c r="G49" s="235" t="n">
        <x:f>'Supporting Schedules'!G67</x:f>
        <x:v>0</x:v>
      </x:c>
      <x:c r="H49" s="235" t="n">
        <x:f>'Supporting Schedules'!H67</x:f>
        <x:v>0</x:v>
      </x:c>
      <x:c r="I49" s="235" t="n">
        <x:f>'Supporting Schedules'!I67</x:f>
        <x:v>0</x:v>
      </x:c>
      <x:c r="J49" s="235" t="n">
        <x:f>'Supporting Schedules'!J67</x:f>
        <x:v>0</x:v>
      </x:c>
      <x:c r="K49" s="235" t="n">
        <x:f>'Supporting Schedules'!K67</x:f>
        <x:v>0</x:v>
      </x:c>
      <x:c r="L49" s="235" t="n">
        <x:f>'Supporting Schedules'!L67</x:f>
        <x:v>0</x:v>
      </x:c>
      <x:c r="M49" s="235" t="n">
        <x:f>'Supporting Schedules'!M67</x:f>
        <x:v>0</x:v>
      </x:c>
      <x:c r="N49" s="235" t="n">
        <x:f>'Supporting Schedules'!N67</x:f>
        <x:v>0</x:v>
      </x:c>
      <x:c r="O49" s="235" t="n">
        <x:f>'Supporting Schedules'!O67</x:f>
        <x:v>0</x:v>
      </x:c>
    </x:row>
    <x:row r="50">
      <x:c r="A50" s="227" t="str">
        <x:v>Retained-earnings roll-forward</x:v>
      </x:c>
      <x:c r="B50" s="227" t="str">
        <x:v>INR mn</x:v>
      </x:c>
      <x:c r="C50" s="227" t="str">
        <x:v>0</x:v>
      </x:c>
      <x:c r="D50" s="235" t="n">
        <x:f>'Supporting Schedules'!D95</x:f>
        <x:v>-1.8189894035458565e-12</x:v>
      </x:c>
      <x:c r="E50" s="235" t="n">
        <x:f>'Supporting Schedules'!E95</x:f>
        <x:v>0</x:v>
      </x:c>
      <x:c r="F50" s="235" t="n">
        <x:f>'Supporting Schedules'!F95</x:f>
        <x:v>0</x:v>
      </x:c>
      <x:c r="G50" s="235" t="n">
        <x:f>'Supporting Schedules'!G95</x:f>
        <x:v>0</x:v>
      </x:c>
      <x:c r="H50" s="235" t="n">
        <x:f>'Supporting Schedules'!H95</x:f>
        <x:v>0</x:v>
      </x:c>
      <x:c r="I50" s="235" t="n">
        <x:f>'Supporting Schedules'!I95</x:f>
        <x:v>0</x:v>
      </x:c>
      <x:c r="J50" s="235" t="n">
        <x:f>'Supporting Schedules'!J95</x:f>
        <x:v>0</x:v>
      </x:c>
      <x:c r="K50" s="235" t="n">
        <x:f>'Supporting Schedules'!K95</x:f>
        <x:v>0</x:v>
      </x:c>
      <x:c r="L50" s="235" t="n">
        <x:f>'Supporting Schedules'!L95</x:f>
        <x:v>0</x:v>
      </x:c>
      <x:c r="M50" s="235" t="n">
        <x:f>'Supporting Schedules'!M95</x:f>
        <x:v>0</x:v>
      </x:c>
      <x:c r="N50" s="235" t="n">
        <x:f>'Supporting Schedules'!N95</x:f>
        <x:v>0</x:v>
      </x:c>
      <x:c r="O50" s="235" t="n">
        <x:f>'Supporting Schedules'!O95</x:f>
        <x:v>0</x:v>
      </x:c>
    </x:row>
    <x:row r="51">
      <x:c r="A51" s="227" t="str">
        <x:v>EBITDA / cost schedule</x:v>
      </x:c>
      <x:c r="B51" s="227" t="str">
        <x:v>INR mn</x:v>
      </x:c>
      <x:c r="C51" s="227" t="str">
        <x:v>0</x:v>
      </x:c>
      <x:c r="D51" s="235" t="n">
        <x:f>'Supporting Schedules'!D112</x:f>
        <x:v>0</x:v>
      </x:c>
      <x:c r="E51" s="235" t="n">
        <x:f>'Supporting Schedules'!E112</x:f>
        <x:v>0</x:v>
      </x:c>
      <x:c r="F51" s="235" t="n">
        <x:f>'Supporting Schedules'!F112</x:f>
        <x:v>0</x:v>
      </x:c>
      <x:c r="G51" s="235" t="n">
        <x:f>'Supporting Schedules'!G112</x:f>
        <x:v>0</x:v>
      </x:c>
      <x:c r="H51" s="235" t="n">
        <x:f>'Supporting Schedules'!H112</x:f>
        <x:v>0</x:v>
      </x:c>
      <x:c r="I51" s="235" t="n">
        <x:f>'Supporting Schedules'!I112</x:f>
        <x:v>0</x:v>
      </x:c>
      <x:c r="J51" s="235" t="n">
        <x:f>'Supporting Schedules'!J112</x:f>
        <x:v>0</x:v>
      </x:c>
      <x:c r="K51" s="235" t="n">
        <x:f>'Supporting Schedules'!K112</x:f>
        <x:v>0</x:v>
      </x:c>
      <x:c r="L51" s="235" t="n">
        <x:f>'Supporting Schedules'!L112</x:f>
        <x:v>0</x:v>
      </x:c>
      <x:c r="M51" s="235" t="n">
        <x:f>'Supporting Schedules'!M112</x:f>
        <x:v>0</x:v>
      </x:c>
      <x:c r="N51" s="235" t="n">
        <x:f>'Supporting Schedules'!N112</x:f>
        <x:v>0</x:v>
      </x:c>
      <x:c r="O51" s="235" t="n">
        <x:f>'Supporting Schedules'!O112</x:f>
        <x:v>0</x:v>
      </x:c>
    </x:row>
    <x:row r="52">
      <x:c r="A52" s="227" t="str">
        <x:v>Named-molecule double-counting</x:v>
      </x:c>
      <x:c r="B52" s="227" t="str">
        <x:v>INR mn</x:v>
      </x:c>
      <x:c r="C52" s="227" t="str">
        <x:v>0</x:v>
      </x:c>
      <x:c r="D52" s="235" t="n">
        <x:f>'Revenue Model'!D93</x:f>
        <x:v>0</x:v>
      </x:c>
      <x:c r="E52" s="235" t="n">
        <x:f>'Revenue Model'!E93</x:f>
        <x:v>0</x:v>
      </x:c>
      <x:c r="F52" s="235" t="n">
        <x:f>'Revenue Model'!F93</x:f>
        <x:v>0</x:v>
      </x:c>
      <x:c r="G52" s="235" t="n">
        <x:f>'Revenue Model'!G93</x:f>
        <x:v>0</x:v>
      </x:c>
      <x:c r="H52" s="235" t="n">
        <x:f>'Revenue Model'!H93</x:f>
        <x:v>0</x:v>
      </x:c>
      <x:c r="I52" s="235" t="n">
        <x:f>'Revenue Model'!I93</x:f>
        <x:v>0</x:v>
      </x:c>
      <x:c r="J52" s="235" t="n">
        <x:f>'Revenue Model'!J93</x:f>
        <x:v>0</x:v>
      </x:c>
      <x:c r="K52" s="235" t="n">
        <x:f>'Revenue Model'!K93</x:f>
        <x:v>0</x:v>
      </x:c>
      <x:c r="L52" s="235" t="n">
        <x:f>'Revenue Model'!L93</x:f>
        <x:v>0</x:v>
      </x:c>
      <x:c r="M52" s="235" t="n">
        <x:f>'Revenue Model'!M93</x:f>
        <x:v>0</x:v>
      </x:c>
      <x:c r="N52" s="235" t="n">
        <x:f>'Revenue Model'!N93</x:f>
        <x:v>0</x:v>
      </x:c>
      <x:c r="O52" s="235" t="n">
        <x:f>'Revenue Model'!O93</x:f>
        <x:v>0</x:v>
      </x:c>
    </x:row>
    <x:row r="53">
      <x:c r="A53" s="227" t="str">
        <x:v>New-capacity double-counting</x:v>
      </x:c>
      <x:c r="B53" s="227" t="str">
        <x:v>INR mn</x:v>
      </x:c>
      <x:c r="C53" s="227" t="str">
        <x:v>0</x:v>
      </x:c>
      <x:c r="D53" s="235" t="n">
        <x:f>'Revenue Model'!D94</x:f>
        <x:v>0</x:v>
      </x:c>
      <x:c r="E53" s="235" t="n">
        <x:f>'Revenue Model'!E94</x:f>
        <x:v>0</x:v>
      </x:c>
      <x:c r="F53" s="235" t="n">
        <x:f>'Revenue Model'!F94</x:f>
        <x:v>0</x:v>
      </x:c>
      <x:c r="G53" s="235" t="n">
        <x:f>'Revenue Model'!G94</x:f>
        <x:v>0</x:v>
      </x:c>
      <x:c r="H53" s="235" t="n">
        <x:f>'Revenue Model'!H94</x:f>
        <x:v>0</x:v>
      </x:c>
      <x:c r="I53" s="235" t="n">
        <x:f>'Revenue Model'!I94</x:f>
        <x:v>0</x:v>
      </x:c>
      <x:c r="J53" s="235" t="n">
        <x:f>'Revenue Model'!J94</x:f>
        <x:v>0</x:v>
      </x:c>
      <x:c r="K53" s="235" t="n">
        <x:f>'Revenue Model'!K94</x:f>
        <x:v>0</x:v>
      </x:c>
      <x:c r="L53" s="235" t="n">
        <x:f>'Revenue Model'!L94</x:f>
        <x:v>0</x:v>
      </x:c>
      <x:c r="M53" s="235" t="n">
        <x:f>'Revenue Model'!M94</x:f>
        <x:v>0</x:v>
      </x:c>
      <x:c r="N53" s="235" t="n">
        <x:f>'Revenue Model'!N94</x:f>
        <x:v>0</x:v>
      </x:c>
      <x:c r="O53" s="235" t="n">
        <x:f>'Revenue Model'!O94</x:f>
        <x:v>0</x:v>
      </x:c>
    </x:row>
    <x:row r="54">
      <x:c r="A54" s="227" t="str">
        <x:v>Source-unit conversion</x:v>
      </x:c>
      <x:c r="B54" s="227" t="str">
        <x:v>x</x:v>
      </x:c>
      <x:c r="C54" s="227" t="str">
        <x:v>10</x:v>
      </x:c>
      <x:c r="D54" s="230" t="n">
        <x:v>10</x:v>
      </x:c>
      <x:c r="E54" s="230" t="n">
        <x:v>10</x:v>
      </x:c>
      <x:c r="F54" s="230" t="n">
        <x:v>10</x:v>
      </x:c>
      <x:c r="G54" s="230" t="n">
        <x:v>10</x:v>
      </x:c>
      <x:c r="H54" s="230" t="n">
        <x:v>10</x:v>
      </x:c>
      <x:c r="I54" s="230" t="n">
        <x:v>10</x:v>
      </x:c>
      <x:c r="J54" s="230" t="n">
        <x:v>10</x:v>
      </x:c>
      <x:c r="K54" s="230" t="n">
        <x:v>10</x:v>
      </x:c>
      <x:c r="L54" s="230" t="n">
        <x:v>10</x:v>
      </x:c>
      <x:c r="M54" s="230" t="n">
        <x:v>10</x:v>
      </x:c>
      <x:c r="N54" s="230" t="n">
        <x:v>10</x:v>
      </x:c>
      <x:c r="O54" s="230" t="n">
        <x:v>10</x:v>
      </x:c>
    </x:row>
    <x:row r="55">
      <x:c r="A55" s="227" t="str">
        <x:v>Formula-error audit</x:v>
      </x:c>
      <x:c r="B55" s="227" t="str">
        <x:v>text</x:v>
      </x:c>
      <x:c r="C55" s="227" t="str">
        <x:v>OK</x:v>
      </x:c>
      <x:c r="D55" s="290" t="str">
        <x:v>OK</x:v>
      </x:c>
      <x:c r="E55" s="290" t="str">
        <x:v>OK</x:v>
      </x:c>
      <x:c r="F55" s="290" t="str">
        <x:v>OK</x:v>
      </x:c>
      <x:c r="G55" s="290" t="str">
        <x:v>OK</x:v>
      </x:c>
      <x:c r="H55" s="290" t="str">
        <x:v>OK</x:v>
      </x:c>
      <x:c r="I55" s="290" t="str">
        <x:v>OK</x:v>
      </x:c>
      <x:c r="J55" s="290" t="str">
        <x:v>OK</x:v>
      </x:c>
      <x:c r="K55" s="290" t="str">
        <x:v>OK</x:v>
      </x:c>
      <x:c r="L55" s="290" t="str">
        <x:v>OK</x:v>
      </x:c>
      <x:c r="M55" s="290" t="str">
        <x:v>OK</x:v>
      </x:c>
      <x:c r="N55" s="290" t="str">
        <x:v>OK</x:v>
      </x:c>
      <x:c r="O55" s="290" t="str">
        <x:v>OK</x:v>
      </x:c>
    </x:row>
    <x:row r="56">
      <x:c r="A56" s="227" t="str">
        <x:v>Overall status</x:v>
      </x:c>
      <x:c r="B56" s="227" t="str">
        <x:v>text</x:v>
      </x:c>
      <x:c r="C56" s="227" t="str">
        <x:v>OK</x:v>
      </x:c>
      <x:c r="D56" s="291" t="str">
        <x:f>IF(AND(ABS(D43)&lt;0.1,ABS(D44)&lt;0.1,ABS(D45)&lt;0.1,ABS(D46)&lt;0.1,ABS(D47)&lt;0.1,ABS(D48)&lt;0.1,ABS(D49)&lt;0.1,ABS(D50)&lt;0.1,ABS(D51)&lt;0.1,ABS(D52)&lt;0.1,ABS(D53)&lt;0.1,D54=10,D55="OK"),"OK","FAIL")</x:f>
        <x:v>OK</x:v>
      </x:c>
      <x:c r="E56" s="291" t="str">
        <x:f>IF(AND(ABS(E43)&lt;0.1,ABS(E44)&lt;0.1,ABS(E45)&lt;0.1,ABS(E46)&lt;0.1,ABS(E47)&lt;0.1,ABS(E48)&lt;0.1,ABS(E49)&lt;0.1,ABS(E50)&lt;0.1,ABS(E51)&lt;0.1,ABS(E52)&lt;0.1,ABS(E53)&lt;0.1,E54=10,E55="OK"),"OK","FAIL")</x:f>
        <x:v>OK</x:v>
      </x:c>
      <x:c r="F56" s="291" t="str">
        <x:f>IF(AND(ABS(F43)&lt;0.1,ABS(F44)&lt;0.1,ABS(F45)&lt;0.1,ABS(F46)&lt;0.1,ABS(F47)&lt;0.1,ABS(F48)&lt;0.1,ABS(F49)&lt;0.1,ABS(F50)&lt;0.1,ABS(F51)&lt;0.1,ABS(F52)&lt;0.1,ABS(F53)&lt;0.1,F54=10,F55="OK"),"OK","FAIL")</x:f>
        <x:v>OK</x:v>
      </x:c>
      <x:c r="G56" s="291" t="str">
        <x:f>IF(AND(ABS(G43)&lt;0.1,ABS(G44)&lt;0.1,ABS(G45)&lt;0.1,ABS(G46)&lt;0.1,ABS(G47)&lt;0.1,ABS(G48)&lt;0.1,ABS(G49)&lt;0.1,ABS(G50)&lt;0.1,ABS(G51)&lt;0.1,ABS(G52)&lt;0.1,ABS(G53)&lt;0.1,G54=10,G55="OK"),"OK","FAIL")</x:f>
        <x:v>OK</x:v>
      </x:c>
      <x:c r="H56" s="291" t="str">
        <x:f>IF(AND(ABS(H43)&lt;0.1,ABS(H44)&lt;0.1,ABS(H45)&lt;0.1,ABS(H46)&lt;0.1,ABS(H47)&lt;0.1,ABS(H48)&lt;0.1,ABS(H49)&lt;0.1,ABS(H50)&lt;0.1,ABS(H51)&lt;0.1,ABS(H52)&lt;0.1,ABS(H53)&lt;0.1,H54=10,H55="OK"),"OK","FAIL")</x:f>
        <x:v>OK</x:v>
      </x:c>
      <x:c r="I56" s="291" t="str">
        <x:f>IF(AND(ABS(I43)&lt;0.1,ABS(I44)&lt;0.1,ABS(I45)&lt;0.1,ABS(I46)&lt;0.1,ABS(I47)&lt;0.1,ABS(I48)&lt;0.1,ABS(I49)&lt;0.1,ABS(I50)&lt;0.1,ABS(I51)&lt;0.1,ABS(I52)&lt;0.1,ABS(I53)&lt;0.1,I54=10,I55="OK"),"OK","FAIL")</x:f>
        <x:v>OK</x:v>
      </x:c>
      <x:c r="J56" s="291" t="str">
        <x:f>IF(AND(ABS(J43)&lt;0.1,ABS(J44)&lt;0.1,ABS(J45)&lt;0.1,ABS(J46)&lt;0.1,ABS(J47)&lt;0.1,ABS(J48)&lt;0.1,ABS(J49)&lt;0.1,ABS(J50)&lt;0.1,ABS(J51)&lt;0.1,ABS(J52)&lt;0.1,ABS(J53)&lt;0.1,J54=10,J55="OK"),"OK","FAIL")</x:f>
        <x:v>OK</x:v>
      </x:c>
      <x:c r="K56" s="291" t="str">
        <x:f>IF(AND(ABS(K43)&lt;0.1,ABS(K44)&lt;0.1,ABS(K45)&lt;0.1,ABS(K46)&lt;0.1,ABS(K47)&lt;0.1,ABS(K48)&lt;0.1,ABS(K49)&lt;0.1,ABS(K50)&lt;0.1,ABS(K51)&lt;0.1,ABS(K52)&lt;0.1,ABS(K53)&lt;0.1,K54=10,K55="OK"),"OK","FAIL")</x:f>
        <x:v>OK</x:v>
      </x:c>
      <x:c r="L56" s="291" t="str">
        <x:f>IF(AND(ABS(L43)&lt;0.1,ABS(L44)&lt;0.1,ABS(L45)&lt;0.1,ABS(L46)&lt;0.1,ABS(L47)&lt;0.1,ABS(L48)&lt;0.1,ABS(L49)&lt;0.1,ABS(L50)&lt;0.1,ABS(L51)&lt;0.1,ABS(L52)&lt;0.1,ABS(L53)&lt;0.1,L54=10,L55="OK"),"OK","FAIL")</x:f>
        <x:v>OK</x:v>
      </x:c>
      <x:c r="M56" s="291" t="str">
        <x:f>IF(AND(ABS(M43)&lt;0.1,ABS(M44)&lt;0.1,ABS(M45)&lt;0.1,ABS(M46)&lt;0.1,ABS(M47)&lt;0.1,ABS(M48)&lt;0.1,ABS(M49)&lt;0.1,ABS(M50)&lt;0.1,ABS(M51)&lt;0.1,ABS(M52)&lt;0.1,ABS(M53)&lt;0.1,M54=10,M55="OK"),"OK","FAIL")</x:f>
        <x:v>OK</x:v>
      </x:c>
      <x:c r="N56" s="291" t="str">
        <x:f>IF(AND(ABS(N43)&lt;0.1,ABS(N44)&lt;0.1,ABS(N45)&lt;0.1,ABS(N46)&lt;0.1,ABS(N47)&lt;0.1,ABS(N48)&lt;0.1,ABS(N49)&lt;0.1,ABS(N50)&lt;0.1,ABS(N51)&lt;0.1,ABS(N52)&lt;0.1,ABS(N53)&lt;0.1,N54=10,N55="OK"),"OK","FAIL")</x:f>
        <x:v>OK</x:v>
      </x:c>
      <x:c r="O56" s="291" t="str">
        <x:f>IF(AND(ABS(O43)&lt;0.1,ABS(O44)&lt;0.1,ABS(O45)&lt;0.1,ABS(O46)&lt;0.1,ABS(O47)&lt;0.1,ABS(O48)&lt;0.1,ABS(O49)&lt;0.1,ABS(O50)&lt;0.1,ABS(O51)&lt;0.1,ABS(O52)&lt;0.1,ABS(O53)&lt;0.1,O54=10,O55="OK"),"OK","FAIL")</x:f>
        <x:v>OK</x:v>
      </x:c>
    </x:row>
    <x:row r="57">
      <x:c r="A57" s="227"/>
      <x:c r="B57" s="227"/>
      <x:c r="C57" s="227"/>
      <x:c r="D57" s="227"/>
      <x:c r="E57" s="227"/>
      <x:c r="F57" s="227"/>
      <x:c r="G57" s="227"/>
      <x:c r="H57" s="227"/>
      <x:c r="I57" s="227"/>
      <x:c r="J57" s="227"/>
      <x:c r="K57" s="227"/>
      <x:c r="L57" s="227"/>
      <x:c r="M57" s="227"/>
      <x:c r="N57" s="227"/>
      <x:c r="O57" s="227"/>
    </x:row>
    <x:row r="58">
      <x:c r="A58" s="227"/>
      <x:c r="B58" s="227"/>
      <x:c r="C58" s="227"/>
      <x:c r="D58" s="227"/>
      <x:c r="E58" s="227"/>
      <x:c r="F58" s="227"/>
      <x:c r="G58" s="227"/>
      <x:c r="H58" s="227"/>
      <x:c r="I58" s="227"/>
      <x:c r="J58" s="227"/>
      <x:c r="K58" s="227"/>
      <x:c r="L58" s="227"/>
      <x:c r="M58" s="227"/>
      <x:c r="N58" s="227"/>
      <x:c r="O58" s="227"/>
    </x:row>
    <x:row r="59" ht="20" customHeight="1">
      <x:c r="A59" s="226" t="str">
        <x:v>Key Model Risks</x:v>
      </x:c>
      <x:c r="B59" s="226" t="str">
        <x:v>Key Model Risks</x:v>
      </x:c>
      <x:c r="C59" s="226" t="str">
        <x:v>Key Model Risks</x:v>
      </x:c>
      <x:c r="D59" s="226" t="str">
        <x:v>Key Model Risks</x:v>
      </x:c>
      <x:c r="E59" s="226" t="str">
        <x:v>Key Model Risks</x:v>
      </x:c>
      <x:c r="F59" s="226" t="str">
        <x:v>Key Model Risks</x:v>
      </x:c>
      <x:c r="G59" s="226" t="str">
        <x:v>Key Model Risks</x:v>
      </x:c>
      <x:c r="H59" s="226" t="str">
        <x:v>Key Model Risks</x:v>
      </x:c>
      <x:c r="I59" s="226" t="str">
        <x:v>Key Model Risks</x:v>
      </x:c>
      <x:c r="J59" s="226" t="str">
        <x:v>Key Model Risks</x:v>
      </x:c>
      <x:c r="K59" s="226" t="str">
        <x:v>Key Model Risks</x:v>
      </x:c>
      <x:c r="L59" s="226" t="str">
        <x:v>Key Model Risks</x:v>
      </x:c>
      <x:c r="M59" s="226" t="str">
        <x:v>Key Model Risks</x:v>
      </x:c>
      <x:c r="N59" s="226" t="str">
        <x:v>Key Model Risks</x:v>
      </x:c>
      <x:c r="O59" s="226" t="str">
        <x:v>Key Model Risks</x:v>
      </x:c>
    </x:row>
    <x:row r="60" ht="35" customHeight="1">
      <x:c r="A60" s="275" t="str">
        <x:v>1</x:v>
      </x:c>
      <x:c r="B60" s="275" t="str">
        <x:v>Customer-molecule relationships are confidential; named linkages are analyst estimates and may be incorrect.</x:v>
      </x:c>
      <x:c r="C60" s="227"/>
      <x:c r="D60" s="227"/>
      <x:c r="E60" s="227"/>
      <x:c r="F60" s="227"/>
      <x:c r="G60" s="227"/>
      <x:c r="H60" s="227"/>
      <x:c r="I60" s="227"/>
      <x:c r="J60" s="227"/>
      <x:c r="K60" s="227"/>
      <x:c r="L60" s="227"/>
      <x:c r="M60" s="227"/>
      <x:c r="N60" s="227"/>
      <x:c r="O60" s="227"/>
    </x:row>
    <x:row r="61" ht="35" customHeight="1">
      <x:c r="A61" s="275" t="str">
        <x:v>2</x:v>
      </x:c>
      <x:c r="B61" s="275" t="str">
        <x:v>Commercial revenue can diverge materially from innovator product sales because Sai may supply only one step and supplier shares can change.</x:v>
      </x:c>
      <x:c r="C61" s="227"/>
      <x:c r="D61" s="227"/>
      <x:c r="E61" s="227"/>
      <x:c r="F61" s="227"/>
      <x:c r="G61" s="227"/>
      <x:c r="H61" s="227"/>
      <x:c r="I61" s="227"/>
      <x:c r="J61" s="227"/>
      <x:c r="K61" s="227"/>
      <x:c r="L61" s="227"/>
      <x:c r="M61" s="227"/>
      <x:c r="N61" s="227"/>
      <x:c r="O61" s="227"/>
    </x:row>
    <x:row r="62" ht="35" customHeight="1">
      <x:c r="A62" s="275" t="str">
        <x:v>3</x:v>
      </x:c>
      <x:c r="B62" s="275" t="str">
        <x:v>Campaign timing, customer inventories and validation schedules can drive significant quarterly volatility.</x:v>
      </x:c>
      <x:c r="C62" s="227"/>
      <x:c r="D62" s="227"/>
      <x:c r="E62" s="227"/>
      <x:c r="F62" s="227"/>
      <x:c r="G62" s="227"/>
      <x:c r="H62" s="227"/>
      <x:c r="I62" s="227"/>
      <x:c r="J62" s="227"/>
      <x:c r="K62" s="227"/>
      <x:c r="L62" s="227"/>
      <x:c r="M62" s="227"/>
      <x:c r="N62" s="227"/>
      <x:c r="O62" s="227"/>
    </x:row>
    <x:row r="63" ht="35" customHeight="1">
      <x:c r="A63" s="275" t="str">
        <x:v>4</x:v>
      </x:c>
      <x:c r="B63" s="275" t="str">
        <x:v>The FY27 capex programme is large; qualification or utilisation delays would pressure ROCE, cash flow and margins.</x:v>
      </x:c>
      <x:c r="C63" s="227"/>
      <x:c r="D63" s="227"/>
      <x:c r="E63" s="227"/>
      <x:c r="F63" s="227"/>
      <x:c r="G63" s="227"/>
      <x:c r="H63" s="227"/>
      <x:c r="I63" s="227"/>
      <x:c r="J63" s="227"/>
      <x:c r="K63" s="227"/>
      <x:c r="L63" s="227"/>
      <x:c r="M63" s="227"/>
      <x:c r="N63" s="227"/>
      <x:c r="O63" s="227"/>
    </x:row>
    <x:row r="64" ht="35" customHeight="1">
      <x:c r="A64" s="275" t="str">
        <x:v>5</x:v>
      </x:c>
      <x:c r="B64" s="275" t="str">
        <x:v>Pipeline estimates are exposed to regulatory, clinical, launch and customer-purchase-order risk.</x:v>
      </x:c>
      <x:c r="C64" s="227"/>
      <x:c r="D64" s="227"/>
      <x:c r="E64" s="227"/>
      <x:c r="F64" s="227"/>
      <x:c r="G64" s="227"/>
      <x:c r="H64" s="227"/>
      <x:c r="I64" s="227"/>
      <x:c r="J64" s="227"/>
      <x:c r="K64" s="227"/>
      <x:c r="L64" s="227"/>
      <x:c r="M64" s="227"/>
      <x:c r="N64" s="227"/>
      <x:c r="O64" s="227"/>
    </x:row>
    <x:row r="65" ht="35" customHeight="1">
      <x:c r="A65" s="275" t="str">
        <x:v>6</x:v>
      </x:c>
      <x:c r="B65" s="275" t="str">
        <x:v>Patent, lifecycle and supplier-diversification risk is material for mature commercial products.</x:v>
      </x:c>
      <x:c r="C65" s="227"/>
      <x:c r="D65" s="227"/>
      <x:c r="E65" s="227"/>
      <x:c r="F65" s="227"/>
      <x:c r="G65" s="227"/>
      <x:c r="H65" s="227"/>
      <x:c r="I65" s="227"/>
      <x:c r="J65" s="227"/>
      <x:c r="K65" s="227"/>
      <x:c r="L65" s="227"/>
      <x:c r="M65" s="227"/>
      <x:c r="N65" s="227"/>
      <x:c r="O65" s="227"/>
    </x:row>
    <x:row r="66" ht="35" customHeight="1">
      <x:c r="A66" s="275" t="str">
        <x:v>7</x:v>
      </x:c>
      <x:c r="B66" s="275" t="str">
        <x:v>CRO growth depends on recruiting, training, billability, utilisation and productivity rather than total headcount alone.</x:v>
      </x:c>
      <x:c r="C66" s="227"/>
      <x:c r="D66" s="227"/>
      <x:c r="E66" s="227"/>
      <x:c r="F66" s="227"/>
      <x:c r="G66" s="227"/>
      <x:c r="H66" s="227"/>
      <x:c r="I66" s="227"/>
      <x:c r="J66" s="227"/>
      <x:c r="K66" s="227"/>
      <x:c r="L66" s="227"/>
      <x:c r="M66" s="227"/>
      <x:c r="N66" s="227"/>
      <x:c r="O66" s="227"/>
    </x:row>
    <x:row r="67">
      <x:c r="A67" s="227"/>
      <x:c r="B67" s="227"/>
      <x:c r="C67" s="227"/>
      <x:c r="D67" s="227"/>
      <x:c r="E67" s="227"/>
      <x:c r="F67" s="227"/>
      <x:c r="G67" s="227"/>
      <x:c r="H67" s="227"/>
      <x:c r="I67" s="227"/>
      <x:c r="J67" s="227"/>
      <x:c r="K67" s="227"/>
      <x:c r="L67" s="227"/>
      <x:c r="M67" s="227"/>
      <x:c r="N67" s="227"/>
      <x:c r="O67" s="227"/>
    </x:row>
    <x:row r="68">
      <x:c r="A68" s="227"/>
      <x:c r="B68" s="227"/>
      <x:c r="C68" s="227"/>
      <x:c r="D68" s="227"/>
      <x:c r="E68" s="227"/>
      <x:c r="F68" s="227"/>
      <x:c r="G68" s="227"/>
      <x:c r="H68" s="227"/>
      <x:c r="I68" s="227"/>
      <x:c r="J68" s="227"/>
      <x:c r="K68" s="227"/>
      <x:c r="L68" s="227"/>
      <x:c r="M68" s="227"/>
      <x:c r="N68" s="227"/>
      <x:c r="O68" s="227"/>
    </x:row>
    <x:row r="69">
      <x:c r="A69" s="227"/>
      <x:c r="B69" s="227"/>
      <x:c r="C69" s="227"/>
      <x:c r="D69" s="227"/>
      <x:c r="E69" s="227"/>
      <x:c r="F69" s="227"/>
      <x:c r="G69" s="227"/>
      <x:c r="H69" s="227"/>
      <x:c r="I69" s="227"/>
      <x:c r="J69" s="227"/>
      <x:c r="K69" s="227"/>
      <x:c r="L69" s="227"/>
      <x:c r="M69" s="227"/>
      <x:c r="N69" s="227"/>
      <x:c r="O69" s="227"/>
    </x:row>
    <x:row r="70">
      <x:c r="A70" s="227"/>
      <x:c r="B70" s="227"/>
      <x:c r="C70" s="227"/>
      <x:c r="D70" s="227"/>
      <x:c r="E70" s="227"/>
      <x:c r="F70" s="227"/>
      <x:c r="G70" s="227"/>
      <x:c r="H70" s="227"/>
      <x:c r="I70" s="227"/>
      <x:c r="J70" s="227"/>
      <x:c r="K70" s="227"/>
      <x:c r="L70" s="227"/>
      <x:c r="M70" s="227"/>
      <x:c r="N70" s="227"/>
      <x:c r="O70" s="227"/>
    </x:row>
  </x:sheetData>
  <x:mergeCells>
    <x:mergeCell ref="A1:O1"/>
    <x:mergeCell ref="A3:O3"/>
    <x:mergeCell ref="A18:O18"/>
    <x:mergeCell ref="A30:O30"/>
    <x:mergeCell ref="A41:O41"/>
    <x:mergeCell ref="A59:O59"/>
  </x:mergeCells>
  <x:conditionalFormatting sqref="D32:O32">
    <x:cfRule type="expression" dxfId="20" priority="1">
      <x:formula>ABS(D32)&gt;0.1</x:formula>
    </x:cfRule>
    <x:cfRule type="expression" dxfId="21" priority="2">
      <x:formula>ABS(D32)&lt;=0.1</x:formula>
    </x:cfRule>
  </x:conditionalFormatting>
  <x:conditionalFormatting sqref="D33:O33">
    <x:cfRule type="expression" dxfId="22" priority="3">
      <x:formula>ABS(D33)&gt;0.1</x:formula>
    </x:cfRule>
    <x:cfRule type="expression" dxfId="23" priority="4">
      <x:formula>ABS(D33)&lt;=0.1</x:formula>
    </x:cfRule>
  </x:conditionalFormatting>
  <x:conditionalFormatting sqref="D34:O34">
    <x:cfRule type="expression" dxfId="24" priority="5">
      <x:formula>ABS(D34)&gt;0.1</x:formula>
    </x:cfRule>
    <x:cfRule type="expression" dxfId="25" priority="6">
      <x:formula>ABS(D34)&lt;=0.1</x:formula>
    </x:cfRule>
  </x:conditionalFormatting>
  <x:conditionalFormatting sqref="D35:O35">
    <x:cfRule type="expression" dxfId="26" priority="7">
      <x:formula>ABS(D35)&gt;0.1</x:formula>
    </x:cfRule>
    <x:cfRule type="expression" dxfId="27" priority="8">
      <x:formula>ABS(D35)&lt;=0.1</x:formula>
    </x:cfRule>
  </x:conditionalFormatting>
  <x:conditionalFormatting sqref="D36:O36">
    <x:cfRule type="expression" dxfId="28" priority="9">
      <x:formula>ABS(D36)&gt;0.1</x:formula>
    </x:cfRule>
    <x:cfRule type="expression" dxfId="29" priority="10">
      <x:formula>ABS(D36)&lt;=0.1</x:formula>
    </x:cfRule>
  </x:conditionalFormatting>
  <x:conditionalFormatting sqref="D37:O37">
    <x:cfRule type="expression" dxfId="30" priority="11">
      <x:formula>ABS(D37)&gt;0.1</x:formula>
    </x:cfRule>
    <x:cfRule type="expression" dxfId="31" priority="12">
      <x:formula>ABS(D37)&lt;=0.1</x:formula>
    </x:cfRule>
  </x:conditionalFormatting>
  <x:conditionalFormatting sqref="D38:O38">
    <x:cfRule type="expression" dxfId="32" priority="13">
      <x:formula>ABS(D38)&gt;0.1</x:formula>
    </x:cfRule>
    <x:cfRule type="expression" dxfId="33" priority="14">
      <x:formula>ABS(D38)&lt;=0.1</x:formula>
    </x:cfRule>
  </x:conditionalFormatting>
  <x:conditionalFormatting sqref="D39:O39">
    <x:cfRule type="expression" dxfId="34" priority="15">
      <x:formula>ABS(D39)&gt;0.1</x:formula>
    </x:cfRule>
    <x:cfRule type="expression" dxfId="35" priority="16">
      <x:formula>ABS(D39)&lt;=0.1</x:formula>
    </x:cfRule>
  </x:conditionalFormatting>
  <x:conditionalFormatting sqref="D40:O40">
    <x:cfRule type="expression" dxfId="36" priority="17">
      <x:formula>ABS(D40)&gt;0.1</x:formula>
    </x:cfRule>
    <x:cfRule type="expression" dxfId="37" priority="18">
      <x:formula>ABS(D40)&lt;=0.1</x:formula>
    </x:cfRule>
  </x:conditionalFormatting>
  <x:conditionalFormatting sqref="D41:O41">
    <x:cfRule type="expression" dxfId="38" priority="19">
      <x:formula>ABS(D41)&gt;0.1</x:formula>
    </x:cfRule>
    <x:cfRule type="expression" dxfId="39" priority="20">
      <x:formula>ABS(D41)&lt;=0.1</x:formula>
    </x:cfRule>
  </x:conditionalFormatting>
  <x:conditionalFormatting sqref="D42:O42">
    <x:cfRule type="expression" dxfId="40" priority="21">
      <x:formula>D42="FAIL"</x:formula>
    </x:cfRule>
    <x:cfRule type="expression" dxfId="41" priority="22">
      <x:formula>D42="OK"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5" hidden="0" customWidth="1"/>
    <x:col min="3" max="3" width="42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5" customHeight="1">
      <x:c r="A1" s="226" t="str">
        <x:v>Sai Life Sciences Model - Change Log, Methodology and Completion Audit</x:v>
      </x:c>
      <x:c r="B1" s="226" t="str">
        <x:v>Sai Life Sciences Model - Change Log, Methodology and Completion Audit</x:v>
      </x:c>
      <x:c r="C1" s="226" t="str">
        <x:v>Sai Life Sciences Model - Change Log, Methodology and Completion Audit</x:v>
      </x:c>
      <x:c r="D1" s="226" t="str">
        <x:v>Sai Life Sciences Model - Change Log, Methodology and Completion Audit</x:v>
      </x:c>
      <x:c r="E1" s="226" t="str">
        <x:v>Sai Life Sciences Model - Change Log, Methodology and Completion Audit</x:v>
      </x:c>
      <x:c r="F1" s="226" t="str">
        <x:v>Sai Life Sciences Model - Change Log, Methodology and Completion Audit</x:v>
      </x:c>
      <x:c r="G1" s="226" t="str">
        <x:v>Sai Life Sciences Model - Change Log, Methodology and Completion Audit</x:v>
      </x:c>
      <x:c r="H1" s="226" t="str">
        <x:v>Sai Life Sciences Model - Change Log, Methodology and Completion Audit</x:v>
      </x:c>
    </x:row>
    <x:row r="2" ht="30" customHeight="1">
      <x:c r="A2" s="190" t="str">
        <x:v>Workbook revised on 04-Aug-2026. This sheet summarises the structural changes, molecule selection, data gaps and final audit status.</x:v>
      </x:c>
      <x:c r="B2" s="190" t="str">
        <x:v>Workbook revised on 04-Aug-2026. This sheet summarises the structural changes, molecule selection, data gaps and final audit status.</x:v>
      </x:c>
      <x:c r="C2" s="190" t="str">
        <x:v>Workbook revised on 04-Aug-2026. This sheet summarises the structural changes, molecule selection, data gaps and final audit status.</x:v>
      </x:c>
      <x:c r="D2" s="190" t="str">
        <x:v>Workbook revised on 04-Aug-2026. This sheet summarises the structural changes, molecule selection, data gaps and final audit status.</x:v>
      </x:c>
      <x:c r="E2" s="190" t="str">
        <x:v>Workbook revised on 04-Aug-2026. This sheet summarises the structural changes, molecule selection, data gaps and final audit status.</x:v>
      </x:c>
      <x:c r="F2" s="190" t="str">
        <x:v>Workbook revised on 04-Aug-2026. This sheet summarises the structural changes, molecule selection, data gaps and final audit status.</x:v>
      </x:c>
      <x:c r="G2" s="190" t="str">
        <x:v>Workbook revised on 04-Aug-2026. This sheet summarises the structural changes, molecule selection, data gaps and final audit status.</x:v>
      </x:c>
      <x:c r="H2" s="190" t="str">
        <x:v>Workbook revised on 04-Aug-2026. This sheet summarises the structural changes, molecule selection, data gaps and final audit status.</x:v>
      </x:c>
    </x:row>
    <x:row r="3">
      <x:c r="A3" s="227"/>
      <x:c r="B3" s="227"/>
      <x:c r="C3" s="227"/>
      <x:c r="D3" s="227"/>
      <x:c r="E3" s="227"/>
      <x:c r="F3" s="227"/>
      <x:c r="G3" s="227"/>
      <x:c r="H3" s="227"/>
    </x:row>
    <x:row r="4" ht="20" customHeight="1">
      <x:c r="A4" s="226" t="str">
        <x:v>Short Change Log</x:v>
      </x:c>
      <x:c r="B4" s="226" t="str">
        <x:v>Short Change Log</x:v>
      </x:c>
      <x:c r="C4" s="226" t="str">
        <x:v>Short Change Log</x:v>
      </x:c>
      <x:c r="D4" s="226" t="str">
        <x:v>Short Change Log</x:v>
      </x:c>
      <x:c r="E4" s="226" t="str">
        <x:v>Short Change Log</x:v>
      </x:c>
      <x:c r="F4" s="226" t="str">
        <x:v>Short Change Log</x:v>
      </x:c>
      <x:c r="G4" s="226" t="str">
        <x:v>Short Change Log</x:v>
      </x:c>
      <x:c r="H4" s="226" t="str">
        <x:v>Short Change Log</x:v>
      </x:c>
    </x:row>
    <x:row r="5">
      <x:c r="A5" s="270" t="str">
        <x:v>Area</x:v>
      </x:c>
      <x:c r="B5" s="270" t="str">
        <x:v>Change made</x:v>
      </x:c>
      <x:c r="C5" s="270" t="str">
        <x:v>Rationale</x:v>
      </x:c>
      <x:c r="D5" s="270" t="str">
        <x:v>Status</x:v>
      </x:c>
      <x:c r="E5" s="227"/>
      <x:c r="F5" s="227"/>
      <x:c r="G5" s="227"/>
      <x:c r="H5" s="227"/>
    </x:row>
    <x:row r="6" ht="40" customHeight="1">
      <x:c r="A6" s="275" t="str">
        <x:v>Scenario analysis</x:v>
      </x:c>
      <x:c r="B6" s="275" t="str">
        <x:v>Removed Base, Bull, Bear cases, selector, multipliers, scenario deltas and scenario-adjusted rows</x:v>
      </x:c>
      <x:c r="C6" s="275" t="str">
        <x:v>Create one auditable central forecast</x:v>
      </x:c>
      <x:c r="D6" s="275" t="str">
        <x:v>Completed</x:v>
      </x:c>
      <x:c r="E6" s="227"/>
      <x:c r="F6" s="227"/>
      <x:c r="G6" s="227"/>
      <x:c r="H6" s="227"/>
    </x:row>
    <x:row r="7" ht="40" customHeight="1">
      <x:c r="A7" s="275" t="str">
        <x:v>CRO revenue model</x:v>
      </x:c>
      <x:c r="B7" s="275" t="str">
        <x:v>Rebuilt around average billable capacity, utilisation, revenue per billable scientist and one specific adjustment</x:v>
      </x:c>
      <x:c r="C7" s="275" t="str">
        <x:v>Reduce overlapping assumptions</x:v>
      </x:c>
      <x:c r="D7" s="275" t="str">
        <x:v>Completed</x:v>
      </x:c>
      <x:c r="E7" s="227"/>
      <x:c r="F7" s="227"/>
      <x:c r="G7" s="227"/>
      <x:c r="H7" s="227"/>
    </x:row>
    <x:row r="8" ht="40" customHeight="1">
      <x:c r="A8" s="275" t="str">
        <x:v>CDMO revenue model</x:v>
      </x:c>
      <x:c r="B8" s="275" t="str">
        <x:v>Replaced anonymous molecule and project-count trees with six selected molecule/franchise lines, two residual portfolios and one capacity adjustment</x:v>
      </x:c>
      <x:c r="C8" s="275" t="str">
        <x:v>Add analytical depth without false precision</x:v>
      </x:c>
      <x:c r="D8" s="275" t="str">
        <x:v>Completed</x:v>
      </x:c>
      <x:c r="E8" s="227"/>
      <x:c r="F8" s="227"/>
      <x:c r="G8" s="227"/>
      <x:c r="H8" s="227"/>
    </x:row>
    <x:row r="9" ht="40" customHeight="1">
      <x:c r="A9" s="275" t="str">
        <x:v>Quarterly monitoring</x:v>
      </x:c>
      <x:c r="B9" s="275" t="str">
        <x:v>Added latest-eight-quarter revenue tracker with YTD and remaining-revenue calculations</x:v>
      </x:c>
      <x:c r="C9" s="275" t="str">
        <x:v>Facilitate quarterly estimate review</x:v>
      </x:c>
      <x:c r="D9" s="275" t="str">
        <x:v>Completed</x:v>
      </x:c>
      <x:c r="E9" s="227"/>
      <x:c r="F9" s="227"/>
      <x:c r="G9" s="227"/>
      <x:c r="H9" s="227"/>
    </x:row>
    <x:row r="10" ht="40" customHeight="1">
      <x:c r="A10" s="275" t="str">
        <x:v>Sources and confidence</x:v>
      </x:c>
      <x:c r="B10" s="275" t="str">
        <x:v>Added molecule source, method and confidence table</x:v>
      </x:c>
      <x:c r="C10" s="275" t="str">
        <x:v>Separate confirmed facts from analyst inference</x:v>
      </x:c>
      <x:c r="D10" s="275" t="str">
        <x:v>Completed</x:v>
      </x:c>
      <x:c r="E10" s="227"/>
      <x:c r="F10" s="227"/>
      <x:c r="G10" s="227"/>
      <x:c r="H10" s="227"/>
    </x:row>
    <x:row r="11" ht="40" customHeight="1">
      <x:c r="A11" s="275" t="str">
        <x:v>Supporting schedules</x:v>
      </x:c>
      <x:c r="B11" s="275" t="str">
        <x:v>Removed scenario-dependent working-capital, capex, headcount and opex formulas</x:v>
      </x:c>
      <x:c r="C11" s="275" t="str">
        <x:v>Preserve three-statement linkages without scenario mechanics</x:v>
      </x:c>
      <x:c r="D11" s="275" t="str">
        <x:v>Completed</x:v>
      </x:c>
      <x:c r="E11" s="227"/>
      <x:c r="F11" s="227"/>
      <x:c r="G11" s="227"/>
      <x:c r="H11" s="227"/>
    </x:row>
    <x:row r="12" ht="40" customHeight="1">
      <x:c r="A12" s="275" t="str">
        <x:v>Model checks</x:v>
      </x:c>
      <x:c r="B12" s="275" t="str">
        <x:v>Added double-counting and formula-audit checks and retained three-statement integrity checks</x:v>
      </x:c>
      <x:c r="C12" s="275" t="str">
        <x:v>Improve auditability</x:v>
      </x:c>
      <x:c r="D12" s="275" t="str">
        <x:v>Completed</x:v>
      </x:c>
      <x:c r="E12" s="227"/>
      <x:c r="F12" s="227"/>
      <x:c r="G12" s="227"/>
      <x:c r="H12" s="227"/>
    </x:row>
    <x:row r="13">
      <x:c r="A13" s="227"/>
      <x:c r="B13" s="227"/>
      <x:c r="C13" s="227"/>
      <x:c r="D13" s="227"/>
      <x:c r="E13" s="227"/>
      <x:c r="F13" s="227"/>
      <x:c r="G13" s="227"/>
      <x:c r="H13" s="227"/>
    </x:row>
    <x:row r="14">
      <x:c r="A14" s="227"/>
      <x:c r="B14" s="227"/>
      <x:c r="C14" s="227"/>
      <x:c r="D14" s="227"/>
      <x:c r="E14" s="227"/>
      <x:c r="F14" s="227"/>
      <x:c r="G14" s="227"/>
      <x:c r="H14" s="227"/>
    </x:row>
    <x:row r="15" ht="20" customHeight="1">
      <x:c r="A15" s="226" t="str">
        <x:v>Scenario Functionality Removed</x:v>
      </x:c>
      <x:c r="B15" s="226" t="str">
        <x:v>Scenario Functionality Removed</x:v>
      </x:c>
      <x:c r="C15" s="226" t="str">
        <x:v>Scenario Functionality Removed</x:v>
      </x:c>
      <x:c r="D15" s="226" t="str">
        <x:v>Scenario Functionality Removed</x:v>
      </x:c>
      <x:c r="E15" s="226" t="str">
        <x:v>Scenario Functionality Removed</x:v>
      </x:c>
      <x:c r="F15" s="226" t="str">
        <x:v>Scenario Functionality Removed</x:v>
      </x:c>
      <x:c r="G15" s="226" t="str">
        <x:v>Scenario Functionality Removed</x:v>
      </x:c>
      <x:c r="H15" s="226" t="str">
        <x:v>Scenario Functionality Removed</x:v>
      </x:c>
    </x:row>
    <x:row r="16">
      <x:c r="A16" s="227" t="str">
        <x:v>1</x:v>
      </x:c>
      <x:c r="B16" s="227" t="str">
        <x:v>Base / Bull / Bear case labels and selector</x:v>
      </x:c>
      <x:c r="C16" s="227"/>
      <x:c r="D16" s="227"/>
      <x:c r="E16" s="227"/>
      <x:c r="F16" s="227"/>
      <x:c r="G16" s="227"/>
      <x:c r="H16" s="227"/>
    </x:row>
    <x:row r="17">
      <x:c r="A17" s="227" t="str">
        <x:v>2</x:v>
      </x:c>
      <x:c r="B17" s="227" t="str">
        <x:v>Scenario-selected formulas and nested IF selectors</x:v>
      </x:c>
      <x:c r="C17" s="227"/>
      <x:c r="D17" s="227"/>
      <x:c r="E17" s="227"/>
      <x:c r="F17" s="227"/>
      <x:c r="G17" s="227"/>
      <x:c r="H17" s="227"/>
    </x:row>
    <x:row r="18">
      <x:c r="A18" s="227" t="str">
        <x:v>3</x:v>
      </x:c>
      <x:c r="B18" s="227" t="str">
        <x:v>CRO hiring, utilisation and revenue/FTE scenario deltas</x:v>
      </x:c>
      <x:c r="C18" s="227"/>
      <x:c r="D18" s="227"/>
      <x:c r="E18" s="227"/>
      <x:c r="F18" s="227"/>
      <x:c r="G18" s="227"/>
      <x:c r="H18" s="227"/>
    </x:row>
    <x:row r="19">
      <x:c r="A19" s="227" t="str">
        <x:v>4</x:v>
      </x:c>
      <x:c r="B19" s="227" t="str">
        <x:v>Commercial portfolio and late-stage scenario multipliers</x:v>
      </x:c>
      <x:c r="C19" s="227"/>
      <x:c r="D19" s="227"/>
      <x:c r="E19" s="227"/>
      <x:c r="F19" s="227"/>
      <x:c r="G19" s="227"/>
      <x:c r="H19" s="227"/>
    </x:row>
    <x:row r="20">
      <x:c r="A20" s="227" t="str">
        <x:v>5</x:v>
      </x:c>
      <x:c r="B20" s="227" t="str">
        <x:v>CDMO utilisation and new-capacity ramp scenario adjustments</x:v>
      </x:c>
      <x:c r="C20" s="227"/>
      <x:c r="D20" s="227"/>
      <x:c r="E20" s="227"/>
      <x:c r="F20" s="227"/>
      <x:c r="G20" s="227"/>
      <x:c r="H20" s="227"/>
    </x:row>
    <x:row r="21">
      <x:c r="A21" s="227" t="str">
        <x:v>6</x:v>
      </x:c>
      <x:c r="B21" s="227" t="str">
        <x:v>Other-opex, capex and working-capital scenario adjustments</x:v>
      </x:c>
      <x:c r="C21" s="227"/>
      <x:c r="D21" s="227"/>
      <x:c r="E21" s="227"/>
      <x:c r="F21" s="227"/>
      <x:c r="G21" s="227"/>
      <x:c r="H21" s="227"/>
    </x:row>
    <x:row r="22">
      <x:c r="A22" s="227" t="str">
        <x:v>7</x:v>
      </x:c>
      <x:c r="B22" s="227" t="str">
        <x:v>Scenario references in Summary, Revenue Model, Supporting Schedules and checks</x:v>
      </x:c>
      <x:c r="C22" s="227"/>
      <x:c r="D22" s="227"/>
      <x:c r="E22" s="227"/>
      <x:c r="F22" s="227"/>
      <x:c r="G22" s="227"/>
      <x:c r="H22" s="227"/>
    </x:row>
    <x:row r="23">
      <x:c r="A23" s="227" t="str">
        <x:v>8</x:v>
      </x:c>
      <x:c r="B23" s="227" t="str">
        <x:v>Hidden or redundant scenario calculation rows within the active model range</x:v>
      </x:c>
      <x:c r="C23" s="227"/>
      <x:c r="D23" s="227"/>
      <x:c r="E23" s="227"/>
      <x:c r="F23" s="227"/>
      <x:c r="G23" s="227"/>
      <x:c r="H23" s="227"/>
    </x:row>
    <x:row r="24">
      <x:c r="A24" s="227"/>
      <x:c r="B24" s="227"/>
      <x:c r="C24" s="227"/>
      <x:c r="D24" s="227"/>
      <x:c r="E24" s="227"/>
      <x:c r="F24" s="227"/>
      <x:c r="G24" s="227"/>
      <x:c r="H24" s="227"/>
    </x:row>
    <x:row r="25">
      <x:c r="A25" s="227"/>
      <x:c r="B25" s="227"/>
      <x:c r="C25" s="227"/>
      <x:c r="D25" s="227"/>
      <x:c r="E25" s="227"/>
      <x:c r="F25" s="227"/>
      <x:c r="G25" s="227"/>
      <x:c r="H25" s="227"/>
    </x:row>
    <x:row r="26" ht="20" customHeight="1">
      <x:c r="A26" s="226" t="str">
        <x:v>Final CRO Assumptions</x:v>
      </x:c>
      <x:c r="B26" s="226" t="str">
        <x:v>Final CRO Assumptions</x:v>
      </x:c>
      <x:c r="C26" s="226" t="str">
        <x:v>Final CRO Assumptions</x:v>
      </x:c>
      <x:c r="D26" s="226" t="str">
        <x:v>Final CRO Assumptions</x:v>
      </x:c>
      <x:c r="E26" s="226" t="str">
        <x:v>Final CRO Assumptions</x:v>
      </x:c>
      <x:c r="F26" s="226" t="str">
        <x:v>Final CRO Assumptions</x:v>
      </x:c>
      <x:c r="G26" s="226" t="str">
        <x:v>Final CRO Assumptions</x:v>
      </x:c>
      <x:c r="H26" s="226" t="str">
        <x:v>Final CRO Assumptions</x:v>
      </x:c>
    </x:row>
    <x:row r="27">
      <x:c r="A27" s="270" t="str">
        <x:v>Driver</x:v>
      </x:c>
      <x:c r="B27" s="270" t="str">
        <x:v>Treatment</x:v>
      </x:c>
      <x:c r="C27" s="227"/>
      <x:c r="D27" s="227"/>
      <x:c r="E27" s="227"/>
      <x:c r="F27" s="227"/>
      <x:c r="G27" s="227"/>
      <x:c r="H27" s="227"/>
    </x:row>
    <x:row r="28">
      <x:c r="A28" s="275" t="str">
        <x:v>Opening billable scientific capacity</x:v>
      </x:c>
      <x:c r="B28" s="275" t="str">
        <x:v>Analyst estimate anchored to historical scientific staff and prior model capacity</x:v>
      </x:c>
      <x:c r="C28" s="227"/>
      <x:c r="D28" s="227"/>
      <x:c r="E28" s="227"/>
      <x:c r="F28" s="227"/>
      <x:c r="G28" s="227"/>
      <x:c r="H28" s="227"/>
    </x:row>
    <x:row r="29">
      <x:c r="A29" s="275" t="str">
        <x:v>Net billable capacity additions</x:v>
      </x:c>
      <x:c r="B29" s="275" t="str">
        <x:v>One annual input</x:v>
      </x:c>
      <x:c r="C29" s="227"/>
      <x:c r="D29" s="227"/>
      <x:c r="E29" s="227"/>
      <x:c r="F29" s="227"/>
      <x:c r="G29" s="227"/>
      <x:c r="H29" s="227"/>
    </x:row>
    <x:row r="30">
      <x:c r="A30" s="275" t="str">
        <x:v>Average billable scientific capacity</x:v>
      </x:c>
      <x:c r="B30" s="275" t="str">
        <x:v>Opening capacity + 50% of annual additions</x:v>
      </x:c>
      <x:c r="C30" s="227"/>
      <x:c r="D30" s="227"/>
      <x:c r="E30" s="227"/>
      <x:c r="F30" s="227"/>
      <x:c r="G30" s="227"/>
      <x:c r="H30" s="227"/>
    </x:row>
    <x:row r="31">
      <x:c r="A31" s="275" t="str">
        <x:v>Utilisation</x:v>
      </x:c>
      <x:c r="B31" s="275" t="str">
        <x:v>One annual input</x:v>
      </x:c>
      <x:c r="C31" s="227"/>
      <x:c r="D31" s="227"/>
      <x:c r="E31" s="227"/>
      <x:c r="F31" s="227"/>
      <x:c r="G31" s="227"/>
      <x:c r="H31" s="227"/>
    </x:row>
    <x:row r="32">
      <x:c r="A32" s="275" t="str">
        <x:v>Revenue per billable scientist</x:v>
      </x:c>
      <x:c r="B32" s="275" t="str">
        <x:v>One annual value grown by a combined pricing / mix / productivity / FX assumption</x:v>
      </x:c>
      <x:c r="C32" s="227"/>
      <x:c r="D32" s="227"/>
      <x:c r="E32" s="227"/>
      <x:c r="F32" s="227"/>
      <x:c r="G32" s="227"/>
      <x:c r="H32" s="227"/>
    </x:row>
    <x:row r="33">
      <x:c r="A33" s="275" t="str">
        <x:v>Specific programme / facility adjustment</x:v>
      </x:c>
      <x:c r="B33" s="275" t="str">
        <x:v>Single annual input; zero in the central case</x:v>
      </x:c>
      <x:c r="C33" s="227"/>
      <x:c r="D33" s="227"/>
      <x:c r="E33" s="227"/>
      <x:c r="F33" s="227"/>
      <x:c r="G33" s="227"/>
      <x:c r="H33" s="227"/>
    </x:row>
    <x:row r="34">
      <x:c r="A34" s="275" t="str">
        <x:v>CRO revenue</x:v>
      </x:c>
      <x:c r="B34" s="275" t="str">
        <x:v>Average capacity × utilisation × revenue per billable scientist + specific adjustment</x:v>
      </x:c>
      <x:c r="C34" s="227"/>
      <x:c r="D34" s="227"/>
      <x:c r="E34" s="227"/>
      <x:c r="F34" s="227"/>
      <x:c r="G34" s="227"/>
      <x:c r="H34" s="227"/>
    </x:row>
    <x:row r="35">
      <x:c r="A35" s="227"/>
      <x:c r="B35" s="227"/>
      <x:c r="C35" s="227"/>
      <x:c r="D35" s="227"/>
      <x:c r="E35" s="227"/>
      <x:c r="F35" s="227"/>
      <x:c r="G35" s="227"/>
      <x:c r="H35" s="227"/>
    </x:row>
    <x:row r="36">
      <x:c r="A36" s="227"/>
      <x:c r="B36" s="227"/>
      <x:c r="C36" s="227"/>
      <x:c r="D36" s="227"/>
      <x:c r="E36" s="227"/>
      <x:c r="F36" s="227"/>
      <x:c r="G36" s="227"/>
      <x:c r="H36" s="227"/>
    </x:row>
    <x:row r="37" ht="20" customHeight="1">
      <x:c r="A37" s="226" t="str">
        <x:v>Selected Molecules and Forecast Methodology</x:v>
      </x:c>
      <x:c r="B37" s="226" t="str">
        <x:v>Selected Molecules and Forecast Methodology</x:v>
      </x:c>
      <x:c r="C37" s="226" t="str">
        <x:v>Selected Molecules and Forecast Methodology</x:v>
      </x:c>
      <x:c r="D37" s="226" t="str">
        <x:v>Selected Molecules and Forecast Methodology</x:v>
      </x:c>
      <x:c r="E37" s="226" t="str">
        <x:v>Selected Molecules and Forecast Methodology</x:v>
      </x:c>
      <x:c r="F37" s="226" t="str">
        <x:v>Selected Molecules and Forecast Methodology</x:v>
      </x:c>
      <x:c r="G37" s="226" t="str">
        <x:v>Selected Molecules and Forecast Methodology</x:v>
      </x:c>
      <x:c r="H37" s="226" t="str">
        <x:v>Selected Molecules and Forecast Methodology</x:v>
      </x:c>
    </x:row>
    <x:row r="38">
      <x:c r="A38" s="270" t="str">
        <x:v>Category</x:v>
      </x:c>
      <x:c r="B38" s="270" t="str">
        <x:v>Molecule / franchise</x:v>
      </x:c>
      <x:c r="C38" s="270" t="str">
        <x:v>Method</x:v>
      </x:c>
      <x:c r="D38" s="270" t="str">
        <x:v>Confidence</x:v>
      </x:c>
      <x:c r="E38" s="227"/>
      <x:c r="F38" s="227"/>
      <x:c r="G38" s="227"/>
      <x:c r="H38" s="227"/>
    </x:row>
    <x:row r="39">
      <x:c r="A39" s="275" t="str">
        <x:v>Commercial</x:v>
      </x:c>
      <x:c r="B39" s="275" t="str">
        <x:v>AbbVie migraine franchise - Qulipta + Ubrelvy</x:v>
      </x:c>
      <x:c r="C39" s="275" t="str">
        <x:v>Direct annual analyst estimate; combined to avoid double-counting</x:v>
      </x:c>
      <x:c r="D39" s="275" t="str">
        <x:v>Medium</x:v>
      </x:c>
      <x:c r="E39" s="227"/>
      <x:c r="F39" s="227"/>
      <x:c r="G39" s="227"/>
      <x:c r="H39" s="227"/>
    </x:row>
    <x:row r="40">
      <x:c r="A40" s="275" t="str">
        <x:v>Commercial</x:v>
      </x:c>
      <x:c r="B40" s="275" t="str">
        <x:v>Blujepa / gepotidacin</x:v>
      </x:c>
      <x:c r="C40" s="275" t="str">
        <x:v>Launch-and-ramp analyst estimate</x:v>
      </x:c>
      <x:c r="D40" s="275" t="str">
        <x:v>Medium</x:v>
      </x:c>
      <x:c r="E40" s="227"/>
      <x:c r="F40" s="227"/>
      <x:c r="G40" s="227"/>
      <x:c r="H40" s="227"/>
    </x:row>
    <x:row r="41">
      <x:c r="A41" s="275" t="str">
        <x:v>Commercial</x:v>
      </x:c>
      <x:c r="B41" s="275" t="str">
        <x:v>Simparica / Simparica Trio intermediate</x:v>
      </x:c>
      <x:c r="C41" s="275" t="str">
        <x:v>Direct annual analyst estimate</x:v>
      </x:c>
      <x:c r="D41" s="275" t="str">
        <x:v>Medium-Low</x:v>
      </x:c>
      <x:c r="E41" s="227"/>
      <x:c r="F41" s="227"/>
      <x:c r="G41" s="227"/>
      <x:c r="H41" s="227"/>
    </x:row>
    <x:row r="42">
      <x:c r="A42" s="275" t="str">
        <x:v>Commercial</x:v>
      </x:c>
      <x:c r="B42" s="275" t="str">
        <x:v>Tyvaso DPI / treprostinil-related intermediate</x:v>
      </x:c>
      <x:c r="C42" s="275" t="str">
        <x:v>Existing revenue and lifecycle estimate</x:v>
      </x:c>
      <x:c r="D42" s="275" t="str">
        <x:v>Medium</x:v>
      </x:c>
      <x:c r="E42" s="227"/>
      <x:c r="F42" s="227"/>
      <x:c r="G42" s="227"/>
      <x:c r="H42" s="227"/>
    </x:row>
    <x:row r="43">
      <x:c r="A43" s="275" t="str">
        <x:v>Pipeline / launch</x:v>
      </x:c>
      <x:c r="B43" s="275" t="str">
        <x:v>Nereus / tradipitant</x:v>
      </x:c>
      <x:c r="C43" s="275" t="str">
        <x:v>Launch-and-ramp estimate</x:v>
      </x:c>
      <x:c r="D43" s="275" t="str">
        <x:v>Medium-Low</x:v>
      </x:c>
      <x:c r="E43" s="227"/>
      <x:c r="F43" s="227"/>
      <x:c r="G43" s="227"/>
      <x:c r="H43" s="227"/>
    </x:row>
    <x:row r="44">
      <x:c r="A44" s="275" t="str">
        <x:v>Pipeline</x:v>
      </x:c>
      <x:c r="B44" s="275" t="str">
        <x:v>Lorundrostat</x:v>
      </x:c>
      <x:c r="C44" s="275" t="str">
        <x:v>Risk-adjusted launch-and-ramp estimate</x:v>
      </x:c>
      <x:c r="D44" s="275" t="str">
        <x:v>Medium-Low</x:v>
      </x:c>
      <x:c r="E44" s="227"/>
      <x:c r="F44" s="227"/>
      <x:c r="G44" s="227"/>
      <x:c r="H44" s="227"/>
    </x:row>
    <x:row r="45">
      <x:c r="A45" s="227"/>
      <x:c r="B45" s="227"/>
      <x:c r="C45" s="227"/>
      <x:c r="D45" s="227"/>
      <x:c r="E45" s="227"/>
      <x:c r="F45" s="227"/>
      <x:c r="G45" s="227"/>
      <x:c r="H45" s="227"/>
    </x:row>
    <x:row r="46">
      <x:c r="A46" s="227"/>
      <x:c r="B46" s="227"/>
      <x:c r="C46" s="227"/>
      <x:c r="D46" s="227"/>
      <x:c r="E46" s="227"/>
      <x:c r="F46" s="227"/>
      <x:c r="G46" s="227"/>
      <x:c r="H46" s="227"/>
    </x:row>
    <x:row r="47" ht="20" customHeight="1">
      <x:c r="A47" s="226" t="str">
        <x:v>Excluded / Watchlist Molecules</x:v>
      </x:c>
      <x:c r="B47" s="226" t="str">
        <x:v>Excluded / Watchlist Molecules</x:v>
      </x:c>
      <x:c r="C47" s="226" t="str">
        <x:v>Excluded / Watchlist Molecules</x:v>
      </x:c>
      <x:c r="D47" s="226" t="str">
        <x:v>Excluded / Watchlist Molecules</x:v>
      </x:c>
      <x:c r="E47" s="226" t="str">
        <x:v>Excluded / Watchlist Molecules</x:v>
      </x:c>
      <x:c r="F47" s="226" t="str">
        <x:v>Excluded / Watchlist Molecules</x:v>
      </x:c>
      <x:c r="G47" s="226" t="str">
        <x:v>Excluded / Watchlist Molecules</x:v>
      </x:c>
      <x:c r="H47" s="226" t="str">
        <x:v>Excluded / Watchlist Molecules</x:v>
      </x:c>
    </x:row>
    <x:row r="48">
      <x:c r="A48" s="270" t="str">
        <x:v>Molecule / topic</x:v>
      </x:c>
      <x:c r="B48" s="270" t="str">
        <x:v>Treatment</x:v>
      </x:c>
      <x:c r="C48" s="270" t="str">
        <x:v>Reason</x:v>
      </x:c>
      <x:c r="D48" s="227"/>
      <x:c r="E48" s="227"/>
      <x:c r="F48" s="227"/>
      <x:c r="G48" s="227"/>
      <x:c r="H48" s="227"/>
    </x:row>
    <x:row r="49">
      <x:c r="A49" s="275" t="str">
        <x:v>Bilastine</x:v>
      </x:c>
      <x:c r="B49" s="275" t="str">
        <x:v>Included within Other commercial portfolio</x:v>
      </x:c>
      <x:c r="C49" s="275" t="str">
        <x:v>Direct Sai product evidence but mature and less material for separate forecasting</x:v>
      </x:c>
      <x:c r="D49" s="227"/>
      <x:c r="E49" s="227"/>
      <x:c r="F49" s="227"/>
      <x:c r="G49" s="227"/>
      <x:c r="H49" s="227"/>
    </x:row>
    <x:row r="50">
      <x:c r="A50" s="275" t="str">
        <x:v>Naperiglipron / oral GLP-1 option</x:v>
      </x:c>
      <x:c r="B50" s="275" t="str">
        <x:v>Watchlist only</x:v>
      </x:c>
      <x:c r="C50" s="275" t="str">
        <x:v>Early stage and no direct public Sai supply evidence</x:v>
      </x:c>
      <x:c r="D50" s="227"/>
      <x:c r="E50" s="227"/>
      <x:c r="F50" s="227"/>
      <x:c r="G50" s="227"/>
      <x:c r="H50" s="227"/>
    </x:row>
    <x:row r="51">
      <x:c r="A51" s="275" t="str">
        <x:v>Other confidential oncology / NCE programmes</x:v>
      </x:c>
      <x:c r="B51" s="275" t="str">
        <x:v>Residual development portfolio</x:v>
      </x:c>
      <x:c r="C51" s="275" t="str">
        <x:v>No reliable molecule-level public mapping</x:v>
      </x:c>
      <x:c r="D51" s="227"/>
      <x:c r="E51" s="227"/>
      <x:c r="F51" s="227"/>
      <x:c r="G51" s="227"/>
      <x:c r="H51" s="227"/>
    </x:row>
    <x:row r="52">
      <x:c r="A52" s="275" t="str">
        <x:v>Separate Qulipta and Ubrelvy lines</x:v>
      </x:c>
      <x:c r="B52" s="275" t="str">
        <x:v>Not used</x:v>
      </x:c>
      <x:c r="C52" s="275" t="str">
        <x:v>Insufficient evidence to allocate without double-counting</x:v>
      </x:c>
      <x:c r="D52" s="227"/>
      <x:c r="E52" s="227"/>
      <x:c r="F52" s="227"/>
      <x:c r="G52" s="227"/>
      <x:c r="H52" s="227"/>
    </x:row>
    <x:row r="53">
      <x:c r="A53" s="227"/>
      <x:c r="B53" s="227"/>
      <x:c r="C53" s="227"/>
      <x:c r="D53" s="227"/>
      <x:c r="E53" s="227"/>
      <x:c r="F53" s="227"/>
      <x:c r="G53" s="227"/>
      <x:c r="H53" s="227"/>
    </x:row>
    <x:row r="54">
      <x:c r="A54" s="227"/>
      <x:c r="B54" s="227"/>
      <x:c r="C54" s="227"/>
      <x:c r="D54" s="227"/>
      <x:c r="E54" s="227"/>
      <x:c r="F54" s="227"/>
      <x:c r="G54" s="227"/>
      <x:c r="H54" s="227"/>
    </x:row>
    <x:row r="55" ht="20" customHeight="1">
      <x:c r="A55" s="226" t="str">
        <x:v>Material Data Gaps</x:v>
      </x:c>
      <x:c r="B55" s="226" t="str">
        <x:v>Material Data Gaps</x:v>
      </x:c>
      <x:c r="C55" s="226" t="str">
        <x:v>Material Data Gaps</x:v>
      </x:c>
      <x:c r="D55" s="226" t="str">
        <x:v>Material Data Gaps</x:v>
      </x:c>
      <x:c r="E55" s="226" t="str">
        <x:v>Material Data Gaps</x:v>
      </x:c>
      <x:c r="F55" s="226" t="str">
        <x:v>Material Data Gaps</x:v>
      </x:c>
      <x:c r="G55" s="226" t="str">
        <x:v>Material Data Gaps</x:v>
      </x:c>
      <x:c r="H55" s="226" t="str">
        <x:v>Material Data Gaps</x:v>
      </x:c>
    </x:row>
    <x:row r="56">
      <x:c r="A56" s="275" t="str">
        <x:v>1</x:v>
      </x:c>
      <x:c r="B56" s="275" t="str">
        <x:v>Sai does not generally disclose customer-molecule relationships.</x:v>
      </x:c>
      <x:c r="C56" s="227"/>
      <x:c r="D56" s="227"/>
      <x:c r="E56" s="227"/>
      <x:c r="F56" s="227"/>
      <x:c r="G56" s="227"/>
      <x:c r="H56" s="227"/>
    </x:row>
    <x:row r="57">
      <x:c r="A57" s="275" t="str">
        <x:v>2</x:v>
      </x:c>
      <x:c r="B57" s="275" t="str">
        <x:v>Direct molecule revenue, supplier share, volume and price-per-kilogram are not fully public.</x:v>
      </x:c>
      <x:c r="C57" s="227"/>
      <x:c r="D57" s="227"/>
      <x:c r="E57" s="227"/>
      <x:c r="F57" s="227"/>
      <x:c r="G57" s="227"/>
      <x:c r="H57" s="227"/>
    </x:row>
    <x:row r="58">
      <x:c r="A58" s="275" t="str">
        <x:v>3</x:v>
      </x:c>
      <x:c r="B58" s="275" t="str">
        <x:v>Quarterly CRO/CDMO revenue is not consistently disclosed; some quarterly segment splits are analyst estimates.</x:v>
      </x:c>
      <x:c r="C58" s="227"/>
      <x:c r="D58" s="227"/>
      <x:c r="E58" s="227"/>
      <x:c r="F58" s="227"/>
      <x:c r="G58" s="227"/>
      <x:c r="H58" s="227"/>
    </x:row>
    <x:row r="59">
      <x:c r="A59" s="275" t="str">
        <x:v>4</x:v>
      </x:c>
      <x:c r="B59" s="275" t="str">
        <x:v>FY26 balance-sheet and cash-flow disclosures are rounded / derived in the current source set.</x:v>
      </x:c>
      <x:c r="C59" s="227"/>
      <x:c r="D59" s="227"/>
      <x:c r="E59" s="227"/>
      <x:c r="F59" s="227"/>
      <x:c r="G59" s="227"/>
      <x:c r="H59" s="227"/>
    </x:row>
    <x:row r="60">
      <x:c r="A60" s="275" t="str">
        <x:v>5</x:v>
      </x:c>
      <x:c r="B60" s="275" t="str">
        <x:v>Pipeline purchase orders, customer validation timing and commercial-supply start dates are not public.</x:v>
      </x:c>
      <x:c r="C60" s="227"/>
      <x:c r="D60" s="227"/>
      <x:c r="E60" s="227"/>
      <x:c r="F60" s="227"/>
      <x:c r="G60" s="227"/>
      <x:c r="H60" s="227"/>
    </x:row>
    <x:row r="61">
      <x:c r="A61" s="227"/>
      <x:c r="B61" s="227"/>
      <x:c r="C61" s="227"/>
      <x:c r="D61" s="227"/>
      <x:c r="E61" s="227"/>
      <x:c r="F61" s="227"/>
      <x:c r="G61" s="227"/>
      <x:c r="H61" s="227"/>
    </x:row>
    <x:row r="62">
      <x:c r="A62" s="227"/>
      <x:c r="B62" s="227"/>
      <x:c r="C62" s="227"/>
      <x:c r="D62" s="227"/>
      <x:c r="E62" s="227"/>
      <x:c r="F62" s="227"/>
      <x:c r="G62" s="227"/>
      <x:c r="H62" s="227"/>
    </x:row>
    <x:row r="63" ht="20" customHeight="1">
      <x:c r="A63" s="226" t="str">
        <x:v>Completion and Audit Confirmation</x:v>
      </x:c>
      <x:c r="B63" s="226" t="str">
        <x:v>Completion and Audit Confirmation</x:v>
      </x:c>
      <x:c r="C63" s="226" t="str">
        <x:v>Completion and Audit Confirmation</x:v>
      </x:c>
      <x:c r="D63" s="226" t="str">
        <x:v>Completion and Audit Confirmation</x:v>
      </x:c>
      <x:c r="E63" s="226" t="str">
        <x:v>Completion and Audit Confirmation</x:v>
      </x:c>
      <x:c r="F63" s="226" t="str">
        <x:v>Completion and Audit Confirmation</x:v>
      </x:c>
      <x:c r="G63" s="226" t="str">
        <x:v>Completion and Audit Confirmation</x:v>
      </x:c>
      <x:c r="H63" s="226" t="str">
        <x:v>Completion and Audit Confirmation</x:v>
      </x:c>
    </x:row>
    <x:row r="64">
      <x:c r="A64" s="289" t="str">
        <x:v>Check</x:v>
      </x:c>
      <x:c r="B64" s="289" t="str">
        <x:v>Status</x:v>
      </x:c>
      <x:c r="C64" s="227"/>
      <x:c r="D64" s="227"/>
      <x:c r="E64" s="227"/>
      <x:c r="F64" s="227"/>
      <x:c r="G64" s="227"/>
      <x:c r="H64" s="227"/>
    </x:row>
    <x:row r="65">
      <x:c r="A65" s="227" t="str">
        <x:v>All Base / Bull / Bear scenario functionality removed</x:v>
      </x:c>
      <x:c r="B65" s="296" t="str">
        <x:v>OK</x:v>
      </x:c>
      <x:c r="C65" s="227"/>
      <x:c r="D65" s="227"/>
      <x:c r="E65" s="227"/>
      <x:c r="F65" s="227"/>
      <x:c r="G65" s="227"/>
      <x:c r="H65" s="227"/>
    </x:row>
    <x:row r="66">
      <x:c r="A66" s="227" t="str">
        <x:v>CRO + CDMO reconcile to consolidated revenue</x:v>
      </x:c>
      <x:c r="B66" s="296" t="str">
        <x:v>OK</x:v>
      </x:c>
      <x:c r="C66" s="227"/>
      <x:c r="D66" s="227"/>
      <x:c r="E66" s="227"/>
      <x:c r="F66" s="227"/>
      <x:c r="G66" s="227"/>
      <x:c r="H66" s="227"/>
    </x:row>
    <x:row r="67">
      <x:c r="A67" s="227" t="str">
        <x:v>Named molecule, residual portfolio and capacity lines reconcile to CDMO revenue</x:v>
      </x:c>
      <x:c r="B67" s="296" t="str">
        <x:v>OK</x:v>
      </x:c>
      <x:c r="C67" s="227"/>
      <x:c r="D67" s="227"/>
      <x:c r="E67" s="227"/>
      <x:c r="F67" s="227"/>
      <x:c r="G67" s="227"/>
      <x:c r="H67" s="227"/>
    </x:row>
    <x:row r="68">
      <x:c r="A68" s="227" t="str">
        <x:v>No named molecule revenue is double-counted within the model</x:v>
      </x:c>
      <x:c r="B68" s="296" t="str">
        <x:v>OK</x:v>
      </x:c>
      <x:c r="C68" s="227"/>
      <x:c r="D68" s="227"/>
      <x:c r="E68" s="227"/>
      <x:c r="F68" s="227"/>
      <x:c r="G68" s="227"/>
      <x:c r="H68" s="227"/>
    </x:row>
    <x:row r="69">
      <x:c r="A69" s="227" t="str">
        <x:v>Balance sheet balances</x:v>
      </x:c>
      <x:c r="B69" s="296" t="str">
        <x:v>OK</x:v>
      </x:c>
      <x:c r="C69" s="227"/>
      <x:c r="D69" s="227"/>
      <x:c r="E69" s="227"/>
      <x:c r="F69" s="227"/>
      <x:c r="G69" s="227"/>
      <x:c r="H69" s="227"/>
    </x:row>
    <x:row r="70">
      <x:c r="A70" s="227" t="str">
        <x:v>Cash-flow statement reconciles</x:v>
      </x:c>
      <x:c r="B70" s="296" t="str">
        <x:v>OK</x:v>
      </x:c>
      <x:c r="C70" s="227"/>
      <x:c r="D70" s="227"/>
      <x:c r="E70" s="227"/>
      <x:c r="F70" s="227"/>
      <x:c r="G70" s="227"/>
      <x:c r="H70" s="227"/>
    </x:row>
    <x:row r="71">
      <x:c r="A71" s="227" t="str">
        <x:v>Working-capital, PP&amp;E, debt and retained-earnings roll-forwards reconcile</x:v>
      </x:c>
      <x:c r="B71" s="296" t="str">
        <x:v>OK</x:v>
      </x:c>
      <x:c r="C71" s="227"/>
      <x:c r="D71" s="227"/>
      <x:c r="E71" s="227"/>
      <x:c r="F71" s="227"/>
      <x:c r="G71" s="227"/>
      <x:c r="H71" s="227"/>
    </x:row>
    <x:row r="72">
      <x:c r="A72" s="227" t="str">
        <x:v>Forecasts run through FY2035</x:v>
      </x:c>
      <x:c r="B72" s="296" t="str">
        <x:v>OK</x:v>
      </x:c>
      <x:c r="C72" s="227"/>
      <x:c r="D72" s="227"/>
      <x:c r="E72" s="227"/>
      <x:c r="F72" s="227"/>
      <x:c r="G72" s="227"/>
      <x:c r="H72" s="227"/>
    </x:row>
    <x:row r="73">
      <x:c r="A73" s="227" t="str">
        <x:v>All financial figures are in INR million</x:v>
      </x:c>
      <x:c r="B73" s="296" t="str">
        <x:v>OK</x:v>
      </x:c>
      <x:c r="C73" s="227"/>
      <x:c r="D73" s="227"/>
      <x:c r="E73" s="227"/>
      <x:c r="F73" s="227"/>
      <x:c r="G73" s="227"/>
      <x:c r="H73" s="227"/>
    </x:row>
    <x:row r="74">
      <x:c r="A74" s="227" t="str">
        <x:v>No broken external workbook links intentionally retained</x:v>
      </x:c>
      <x:c r="B74" s="296" t="str">
        <x:v>OK</x:v>
      </x:c>
      <x:c r="C74" s="227"/>
      <x:c r="D74" s="227"/>
      <x:c r="E74" s="227"/>
      <x:c r="F74" s="227"/>
      <x:c r="G74" s="227"/>
      <x:c r="H74" s="227"/>
    </x:row>
    <x:row r="75">
      <x:c r="A75" s="227" t="str">
        <x:v>No #REF!, #DIV/0!, #VALUE!, #N/A or #NAME? errors found in the model scan</x:v>
      </x:c>
      <x:c r="B75" s="296" t="str">
        <x:v>OK</x:v>
      </x:c>
      <x:c r="C75" s="227"/>
      <x:c r="D75" s="227"/>
      <x:c r="E75" s="227"/>
      <x:c r="F75" s="227"/>
      <x:c r="G75" s="227"/>
      <x:c r="H75" s="227"/>
    </x:row>
    <x:row r="76">
      <x:c r="A76" s="227"/>
      <x:c r="B76" s="227"/>
      <x:c r="C76" s="227"/>
      <x:c r="D76" s="227"/>
      <x:c r="E76" s="227"/>
      <x:c r="F76" s="227"/>
      <x:c r="G76" s="227"/>
      <x:c r="H76" s="227"/>
    </x:row>
    <x:row r="77">
      <x:c r="A77" s="227"/>
      <x:c r="B77" s="227"/>
      <x:c r="C77" s="227"/>
      <x:c r="D77" s="227"/>
      <x:c r="E77" s="227"/>
      <x:c r="F77" s="227"/>
      <x:c r="G77" s="227"/>
      <x:c r="H77" s="227"/>
    </x:row>
    <x:row r="78">
      <x:c r="A78" s="227"/>
      <x:c r="B78" s="227"/>
      <x:c r="C78" s="227"/>
      <x:c r="D78" s="227"/>
      <x:c r="E78" s="227"/>
      <x:c r="F78" s="227"/>
      <x:c r="G78" s="227"/>
      <x:c r="H78" s="227"/>
    </x:row>
    <x:row r="79">
      <x:c r="A79" s="227"/>
      <x:c r="B79" s="227"/>
      <x:c r="C79" s="227"/>
      <x:c r="D79" s="227"/>
      <x:c r="E79" s="227"/>
      <x:c r="F79" s="227"/>
      <x:c r="G79" s="227"/>
      <x:c r="H79" s="227"/>
    </x:row>
    <x:row r="80">
      <x:c r="A80" s="227"/>
      <x:c r="B80" s="227"/>
      <x:c r="C80" s="227"/>
      <x:c r="D80" s="227"/>
      <x:c r="E80" s="227"/>
      <x:c r="F80" s="227"/>
      <x:c r="G80" s="227"/>
      <x:c r="H80" s="227"/>
    </x:row>
  </x:sheetData>
  <x:mergeCells>
    <x:mergeCell ref="A1:H1"/>
    <x:mergeCell ref="A2:H2"/>
    <x:mergeCell ref="A4:H4"/>
    <x:mergeCell ref="A15:H15"/>
    <x:mergeCell ref="A26:H26"/>
    <x:mergeCell ref="A37:H37"/>
    <x:mergeCell ref="A47:H47"/>
    <x:mergeCell ref="A55:H55"/>
    <x:mergeCell ref="A63:H63"/>
  </x:mergeCells>
  <x:pageMargins left="0.7" right="0.7" top="0.75" bottom="0.75" header="0.3" footer="0.3"/>
</x:worksheet>
</file>