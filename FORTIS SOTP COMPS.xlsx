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c923d56e9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1a5de7603e346e1"/>
    <x:sheet xmlns:r="http://schemas.openxmlformats.org/officeDocument/2006/relationships" name="Hospital Comps" sheetId="2" r:id="R2631c3161b024a84"/>
    <x:sheet xmlns:r="http://schemas.openxmlformats.org/officeDocument/2006/relationships" name="Diagnostics Comps" sheetId="3" r:id="Rae70880380b34f12"/>
    <x:sheet xmlns:r="http://schemas.openxmlformats.org/officeDocument/2006/relationships" name="SOTP Bridge" sheetId="4" r:id="Rc8e6c7c84a4b4360"/>
    <x:sheet xmlns:r="http://schemas.openxmlformats.org/officeDocument/2006/relationships" name="Sources &amp; Method" sheetId="5" r:id="R69f03b82270c42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x"/>
    <x:numFmt numFmtId="202" formatCode="0.0%"/>
    <x:numFmt numFmtId="203" formatCode="#,##0.0;[Red](#,##0.0);-"/>
    <x:numFmt numFmtId="204" formatCode="₹#,##0;[Red](₹#,##0);-"/>
  </x:numFmts>
  <x:fonts count="11">
    <x:font>
      <x:sz val="11"/>
      <x:name val="Carlito"/>
    </x:font>
    <x:font>
      <x:b/>
      <x:sz val="13"/>
      <x:color rgb="FFFFFFFF"/>
      <x:name val="Carlito"/>
    </x:font>
    <x:font>
      <x:i/>
      <x:sz val="11"/>
      <x:color rgb="FF555555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8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5C6B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6">
    <x:border/>
    <x:border/>
    <x:border>
      <x:bottom style="thin">
        <x:color rgb="FF7F7F7F"/>
      </x:bottom>
    </x:border>
    <x:border>
      <x:bottom style="thin">
        <x:color rgb="FF7F7F7F"/>
      </x:bottom>
    </x:border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4" fillId="4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1" fontId="4" fillId="4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7" fillId="5" borderId="0" xfId="0" applyNumberFormat="1" applyFont="1" applyFill="1" applyBorder="1" applyAlignment="1">
      <x:alignment wrapText="1"/>
    </x:xf>
    <x:xf numFmtId="201" fontId="7" fillId="5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  <x:xf numFmtId="203" fontId="5" fillId="5" borderId="0" xfId="0" applyNumberFormat="1" applyFont="1" applyFill="1" applyBorder="1"/>
    <x:xf numFmtId="203" fontId="5" fillId="5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4" fontId="0" fillId="6" borderId="0" xfId="0" applyNumberFormat="1" applyFont="1" applyFill="1" applyBorder="1"/>
    <x:xf numFmtId="204" fontId="0" fillId="6" borderId="1" xfId="0" applyNumberFormat="1" applyFont="1" applyFill="1" applyBorder="1"/>
    <x:xf numFmtId="204" fontId="9" fillId="6" borderId="0" xfId="0" applyNumberFormat="1" applyFont="1" applyFill="1" applyBorder="1"/>
    <x:xf numFmtId="204" fontId="9" fillId="6" borderId="1" xfId="0" applyNumberFormat="1" applyFont="1" applyFill="1" applyBorder="1"/>
    <x:xf numFmtId="0" fontId="0" fillId="0" borderId="4" xfId="0" applyNumberFormat="1" applyFont="1" applyFill="1" applyBorder="1"/>
    <x:xf numFmtId="203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1" fontId="8" fillId="5" borderId="0" xfId="0" applyNumberFormat="1" applyFont="1" applyFill="1" applyBorder="1"/>
    <x:xf numFmtId="201" fontId="8" fillId="5" borderId="1" xfId="0" applyNumberFormat="1" applyFont="1" applyFill="1" applyBorder="1"/>
    <x:xf numFmtId="201" fontId="10" fillId="5" borderId="0" xfId="0" applyNumberFormat="1" applyFont="1" applyFill="1" applyBorder="1"/>
    <x:xf numFmtId="201" fontId="10" fillId="0" borderId="0" xfId="0" applyNumberFormat="1" applyFont="1" applyFill="1" applyBorder="1"/>
    <x:xf numFmtId="201" fontId="10" fillId="5" borderId="1" xfId="0" applyNumberFormat="1" applyFont="1" applyFill="1" applyBorder="1"/>
    <x:xf numFmtId="201" fontId="1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wrapText="1"/>
    </x:xf>
    <x:xf numFmtId="202" fontId="5" fillId="0" borderId="0" xfId="0" applyNumberFormat="1" applyFont="1" applyFill="1" applyBorder="1" applyAlignment="1">
      <x:alignment horizontal="right" wrapText="1"/>
    </x:xf>
    <x:xf numFmtId="201" fontId="6" fillId="0" borderId="0" xfId="0" applyNumberFormat="1" applyFont="1" applyFill="1" applyBorder="1" applyAlignment="1">
      <x:alignment horizontal="right" wrapText="1"/>
    </x:xf>
    <x:xf numFmtId="201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201" fontId="4" fillId="4" borderId="0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201" fontId="7" fillId="5" borderId="0" xfId="0" applyNumberFormat="1" applyFont="1" applyFill="1" applyBorder="1" applyAlignment="1">
      <x:alignment horizontal="right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201" fontId="5" fillId="0" borderId="1" xfId="0" applyNumberFormat="1" applyFont="1" applyFill="1" applyBorder="1" applyAlignment="1">
      <x:alignment horizontal="right" wrapText="1"/>
    </x:xf>
    <x:xf numFmtId="202" fontId="5" fillId="0" borderId="1" xfId="0" applyNumberFormat="1" applyFont="1" applyFill="1" applyBorder="1" applyAlignment="1">
      <x:alignment horizontal="right" wrapText="1"/>
    </x:xf>
    <x:xf numFmtId="201" fontId="6" fillId="0" borderId="1" xfId="0" applyNumberFormat="1" applyFont="1" applyFill="1" applyBorder="1" applyAlignment="1">
      <x:alignment horizontal="right" wrapText="1"/>
    </x:xf>
    <x:xf numFmtId="201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201" fontId="7" fillId="5" borderId="1" xfId="0" applyNumberFormat="1" applyFont="1" applyFill="1" applyBorder="1" applyAlignment="1">
      <x:alignment horizontal="right" wrapText="1"/>
    </x:xf>
    <x:xf numFmtId="200" fontId="5" fillId="0" borderId="0" xfId="0" applyNumberFormat="1" applyFont="1" applyFill="1" applyBorder="1" applyAlignment="1">
      <x:alignment horizontal="right" wrapText="1"/>
    </x:xf>
    <x:xf numFmtId="0" fontId="5" fillId="0" borderId="0" xfId="0" applyNumberFormat="1" applyFont="1" applyFill="1" applyBorder="1" applyAlignment="1">
      <x:alignment horizontal="right" wrapText="1"/>
    </x:xf>
    <x:xf numFmtId="200" fontId="5" fillId="0" borderId="1" xfId="0" applyNumberFormat="1" applyFont="1" applyFill="1" applyBorder="1" applyAlignment="1">
      <x:alignment horizontal="right" wrapText="1"/>
    </x:xf>
    <x:xf numFmtId="0" fontId="5" fillId="0" borderId="1" xfId="0" applyNumberFormat="1" applyFont="1" applyFill="1" applyBorder="1" applyAlignment="1">
      <x:alignment horizontal="right" wrapText="1"/>
    </x:xf>
    <x:xf numFmtId="203" fontId="5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3" fontId="5" fillId="5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201" fontId="8" fillId="0" borderId="0" xfId="0" applyNumberFormat="1" applyFont="1" applyFill="1" applyBorder="1" applyAlignment="1">
      <x:alignment horizontal="right"/>
    </x:xf>
    <x:xf numFmtId="203" fontId="0" fillId="0" borderId="0" xfId="0" applyNumberFormat="1" applyFont="1" applyFill="1" applyBorder="1" applyAlignment="1">
      <x:alignment horizontal="right"/>
    </x:xf>
    <x:xf numFmtId="203" fontId="0" fillId="0" borderId="4" xfId="0" applyNumberFormat="1" applyFont="1" applyFill="1" applyBorder="1" applyAlignment="1">
      <x:alignment horizontal="right"/>
    </x:xf>
    <x:xf numFmtId="204" fontId="9" fillId="6" borderId="0" xfId="0" applyNumberFormat="1" applyFont="1" applyFill="1" applyBorder="1" applyAlignment="1">
      <x:alignment horizontal="right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b0e44c7cb463d" /><Relationship Type="http://schemas.openxmlformats.org/officeDocument/2006/relationships/theme" Target="/xl/theme/theme1.xml" Id="Rae3547d0aff14384" /><Relationship Type="http://schemas.openxmlformats.org/officeDocument/2006/relationships/sharedStrings" Target="/xl/sharedStrings.xml" Id="Rd905600bad744007" /><Relationship Type="http://schemas.openxmlformats.org/officeDocument/2006/relationships/worksheet" Target="/xl/worksheets/sheet1.xml" Id="Rc1a5de7603e346e1" /><Relationship Type="http://schemas.openxmlformats.org/officeDocument/2006/relationships/worksheet" Target="/xl/worksheets/sheet2.xml" Id="R2631c3161b024a84" /><Relationship Type="http://schemas.openxmlformats.org/officeDocument/2006/relationships/worksheet" Target="/xl/worksheets/sheet3.xml" Id="Rae70880380b34f12" /><Relationship Type="http://schemas.openxmlformats.org/officeDocument/2006/relationships/worksheet" Target="/xl/worksheets/sheet4.xml" Id="Rc8e6c7c84a4b4360" /><Relationship Type="http://schemas.openxmlformats.org/officeDocument/2006/relationships/worksheet" Target="/xl/worksheets/sheet5.xml" Id="R69f03b82270c42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6" hidden="0" customWidth="1"/>
    <x:col min="4" max="4" width="28" hidden="0" customWidth="1"/>
    <x:col min="5" max="5" width="36" hidden="0" customWidth="1"/>
    <x:col min="8" max="8" width="18" hidden="0" customWidth="1"/>
  </x:cols>
  <x:sheetData>
    <x:row r="2" ht="24" customHeight="1">
      <x:c r="B2" s="6" t="str">
        <x:v>Fortis SOTP: Comparable-Company Framework</x:v>
      </x:c>
      <x:c r="C2" s="6"/>
      <x:c r="D2" s="6"/>
      <x:c r="E2" s="6"/>
      <x:c r="F2" s="6"/>
      <x:c r="G2" s="6"/>
      <x:c r="H2" s="6"/>
    </x:row>
    <x:row r="3">
      <x:c r="B3" s="8" t="str">
        <x:v>Valuation reference date: 21 July 2026</x:v>
      </x:c>
      <x:c r="C3" s="8"/>
      <x:c r="D3" s="8"/>
      <x:c r="E3" s="8"/>
      <x:c r="F3" s="8"/>
      <x:c r="G3" s="8"/>
      <x:c r="H3" s="8"/>
    </x:row>
    <x:row r="5">
      <x:c r="B5" s="26" t="str">
        <x:v>Recommended Comparable Sets</x:v>
      </x:c>
      <x:c r="C5" s="26"/>
      <x:c r="D5" s="26"/>
      <x:c r="E5" s="26"/>
      <x:c r="F5" s="26"/>
      <x:c r="G5" s="26"/>
      <x:c r="H5" s="26"/>
    </x:row>
    <x:row r="6">
      <x:c r="B6" s="89" t="str">
        <x:v>Hospitals – primary 7</x:v>
      </x:c>
      <x:c r="C6" s="89"/>
      <x:c r="D6" s="89"/>
      <x:c r="E6" s="89" t="str">
        <x:v>Agilus – primary 7</x:v>
      </x:c>
      <x:c r="F6" s="89"/>
      <x:c r="G6" s="89"/>
    </x:row>
    <x:row r="7">
      <x:c r="B7" t="str">
        <x:v>Max Healthcare</x:v>
      </x:c>
      <x:c r="E7" t="str">
        <x:v>Metropolis Healthcare</x:v>
      </x:c>
    </x:row>
    <x:row r="8">
      <x:c r="B8" t="str">
        <x:v>Apollo hospital segment</x:v>
      </x:c>
      <x:c r="E8" t="str">
        <x:v>Dr Lal PathLabs</x:v>
      </x:c>
    </x:row>
    <x:row r="9">
      <x:c r="B9" t="str">
        <x:v>Global Health / Medanta</x:v>
      </x:c>
      <x:c r="E9" t="str">
        <x:v>Thyrocare</x:v>
      </x:c>
    </x:row>
    <x:row r="10">
      <x:c r="B10" t="str">
        <x:v>KIMS</x:v>
      </x:c>
      <x:c r="E10" t="str">
        <x:v>Vijaya Diagnostic</x:v>
      </x:c>
    </x:row>
    <x:row r="11">
      <x:c r="B11" t="str">
        <x:v>Aster DM</x:v>
      </x:c>
      <x:c r="E11" t="str">
        <x:v>Quest Diagnostics</x:v>
      </x:c>
    </x:row>
    <x:row r="12">
      <x:c r="B12" t="str">
        <x:v>Narayana Hrudayalaya</x:v>
      </x:c>
      <x:c r="E12" t="str">
        <x:v>Labcorp</x:v>
      </x:c>
    </x:row>
    <x:row r="13">
      <x:c r="B13" t="str">
        <x:v>Jupiter Life Line Hospitals</x:v>
      </x:c>
      <x:c r="E13" t="str">
        <x:v>Sonic Healthcare</x:v>
      </x:c>
    </x:row>
    <x:row r="16">
      <x:c r="B16" s="26" t="str">
        <x:v>Multiple Selection</x:v>
      </x:c>
      <x:c r="C16" s="26"/>
      <x:c r="D16" s="26"/>
      <x:c r="E16" s="26"/>
      <x:c r="F16" s="26"/>
      <x:c r="G16" s="26"/>
      <x:c r="H16" s="26"/>
    </x:row>
    <x:row r="17">
      <x:c r="B17" t="str">
        <x:v>Hospital peer FY28E average</x:v>
      </x:c>
      <x:c r="D17" s="78" t="n">
        <x:f>'Hospital Comps'!I16</x:f>
        <x:v>21.74285714285714</x:v>
      </x:c>
    </x:row>
    <x:row r="18">
      <x:c r="B18" t="str">
        <x:v>Hospital relevance-weighted reference</x:v>
      </x:c>
      <x:c r="D18" s="78" t="n">
        <x:f>'Hospital Comps'!I18</x:f>
        <x:v>22.05</x:v>
      </x:c>
    </x:row>
    <x:row r="19">
      <x:c r="B19" t="str">
        <x:v>Selected hospital multiple</x:v>
      </x:c>
      <x:c r="D19" s="93" t="n">
        <x:f>'Hospital Comps'!I21</x:f>
        <x:v>22.5</x:v>
      </x:c>
    </x:row>
    <x:row r="20">
      <x:c r="B20" t="str">
        <x:v>Indian diagnostics TTM median</x:v>
      </x:c>
      <x:c r="D20" s="94" t="n">
        <x:f>'Diagnostics Comps'!I16</x:f>
        <x:v>31.39</x:v>
      </x:c>
    </x:row>
    <x:row r="21">
      <x:c r="B21" t="str">
        <x:v>International diagnostics TTM median</x:v>
      </x:c>
      <x:c r="D21" s="94" t="n">
        <x:f>'Diagnostics Comps'!I17</x:f>
        <x:v>13</x:v>
      </x:c>
    </x:row>
    <x:row r="22">
      <x:c r="B22" t="str">
        <x:v>Diagnostics weighted reference</x:v>
      </x:c>
      <x:c r="D22" s="94" t="n">
        <x:f>'Diagnostics Comps'!I18</x:f>
        <x:v>26.021000000000004</x:v>
      </x:c>
    </x:row>
    <x:row r="23">
      <x:c r="B23" t="str">
        <x:v>Selected Agilus multiple</x:v>
      </x:c>
      <x:c r="D23" s="93" t="n">
        <x:f>'Diagnostics Comps'!I21</x:f>
        <x:v>22</x:v>
      </x:c>
    </x:row>
    <x:row r="24">
      <x:c r="B24" t="str">
        <x:v>Valuation basis</x:v>
      </x:c>
      <x:c r="D24" t="str">
        <x:v>Hospital: pre-Ind AS 116 FY28E; Agilus: FY28E selected from current TTM cross-checks</x:v>
      </x:c>
    </x:row>
    <x:row r="27">
      <x:c r="B27" s="26" t="str">
        <x:v>Key Conclusions</x:v>
      </x:c>
      <x:c r="C27" s="26"/>
      <x:c r="D27" s="26"/>
      <x:c r="E27" s="26"/>
      <x:c r="F27" s="26"/>
      <x:c r="G27" s="26"/>
      <x:c r="H27" s="26"/>
    </x:row>
    <x:row r="28">
      <x:c r="B28" s="97" t="str">
        <x:v>1. Max is the closest premium hospital comp, but Fortis should not automatically receive Max's 26.1x FY28E multiple because Max has a stronger margin and return profile.
2. Apollo must be valued on hospital-segment EV/EBITDA, not consolidated EBITDA, because pharmacy and digital businesses distort the comparison.
3. Jupiter is a better seventh core comp than Rainbow because it is a premium multispecialty operator; Rainbow, HCG and Dr Agarwal remain specialty cross-checks.
4. The hospital peer set supports c.22.5x FY28E on a pre-Ind AS 116 basis; the 27x multiple currently in the model is an aggressive premium case.
5. Metropolis is the closest listed Agilus comp. Dr Lal and Thyrocare provide quality / asset-light references; Vijaya is a premium radiology-heavy reference.
6. Quest, Labcorp and Sonic are mature-market valuation floors, not direct trading-multiple anchors for India. A 70% India / 30% international reference and a 15% Agilus discount support approximately 22x FY28E.</x:v>
      </x:c>
      <x:c r="C28" s="97"/>
      <x:c r="D28" s="97"/>
      <x:c r="E28" s="97"/>
      <x:c r="F28" s="97"/>
      <x:c r="G28" s="97"/>
      <x:c r="H28" s="97"/>
    </x:row>
    <x:row r="29">
      <x:c r="B29" s="97"/>
      <x:c r="C29" s="97"/>
      <x:c r="D29" s="97"/>
      <x:c r="E29" s="97"/>
      <x:c r="F29" s="97"/>
      <x:c r="G29" s="97"/>
      <x:c r="H29" s="97"/>
    </x:row>
    <x:row r="30">
      <x:c r="B30" s="97"/>
      <x:c r="C30" s="97"/>
      <x:c r="D30" s="97"/>
      <x:c r="E30" s="97"/>
      <x:c r="F30" s="97"/>
      <x:c r="G30" s="97"/>
      <x:c r="H30" s="97"/>
    </x:row>
    <x:row r="31">
      <x:c r="B31" s="97"/>
      <x:c r="C31" s="97"/>
      <x:c r="D31" s="97"/>
      <x:c r="E31" s="97"/>
      <x:c r="F31" s="97"/>
      <x:c r="G31" s="97"/>
      <x:c r="H31" s="97"/>
    </x:row>
    <x:row r="32">
      <x:c r="B32" s="97"/>
      <x:c r="C32" s="97"/>
      <x:c r="D32" s="97"/>
      <x:c r="E32" s="97"/>
      <x:c r="F32" s="97"/>
      <x:c r="G32" s="97"/>
      <x:c r="H32" s="97"/>
    </x:row>
    <x:row r="33">
      <x:c r="B33" s="97"/>
      <x:c r="C33" s="97"/>
      <x:c r="D33" s="97"/>
      <x:c r="E33" s="97"/>
      <x:c r="F33" s="97"/>
      <x:c r="G33" s="97"/>
      <x:c r="H33" s="97"/>
    </x:row>
    <x:row r="36">
      <x:c r="B36" s="26" t="str">
        <x:v>Critical Modelling Checks</x:v>
      </x:c>
      <x:c r="C36" s="26"/>
      <x:c r="D36" s="26"/>
      <x:c r="E36" s="26"/>
      <x:c r="F36" s="26"/>
      <x:c r="G36" s="26"/>
      <x:c r="H36" s="26"/>
    </x:row>
    <x:row r="37">
      <x:c r="B37" s="99" t="str">
        <x:v>• Use pre-Ind AS EBITDA and EV excluding lease liabilities, or reported EBITDA and EV including lease liabilities. Do not mix the two.
• Value Agilus at 100% enterprise value, multiply by Fortis' ownership once, and subtract consolidated net debt once.
• Confirm whether Agilus standalone debt is already included in consolidated Fortis net debt before making any separate deduction.
• Refresh live prices and consensus EBITDA from Bloomberg / FactSet before publication; hospital forward multiples are dated 24 March 2026.</x:v>
      </x:c>
      <x:c r="C37" s="99"/>
      <x:c r="D37" s="99"/>
      <x:c r="E37" s="99"/>
      <x:c r="F37" s="99"/>
      <x:c r="G37" s="99"/>
      <x:c r="H37" s="99"/>
    </x:row>
    <x:row r="38">
      <x:c r="B38" s="99"/>
      <x:c r="C38" s="99"/>
      <x:c r="D38" s="99"/>
      <x:c r="E38" s="99"/>
      <x:c r="F38" s="99"/>
      <x:c r="G38" s="99"/>
      <x:c r="H38" s="99"/>
    </x:row>
    <x:row r="39">
      <x:c r="B39" s="99"/>
      <x:c r="C39" s="99"/>
      <x:c r="D39" s="99"/>
      <x:c r="E39" s="99"/>
      <x:c r="F39" s="99"/>
      <x:c r="G39" s="99"/>
      <x:c r="H39" s="99"/>
    </x:row>
    <x:row r="40">
      <x:c r="B40" s="99"/>
      <x:c r="C40" s="99"/>
      <x:c r="D40" s="99"/>
      <x:c r="E40" s="99"/>
      <x:c r="F40" s="99"/>
      <x:c r="G40" s="99"/>
      <x:c r="H40" s="99"/>
    </x:row>
    <x:row r="41">
      <x:c r="B41" s="99"/>
      <x:c r="C41" s="99"/>
      <x:c r="D41" s="99"/>
      <x:c r="E41" s="99"/>
      <x:c r="F41" s="99"/>
      <x:c r="G41" s="99"/>
      <x:c r="H41" s="99"/>
    </x:row>
    <x:row r="42">
      <x:c r="B42" s="99"/>
      <x:c r="C42" s="99"/>
      <x:c r="D42" s="99"/>
      <x:c r="E42" s="99"/>
      <x:c r="F42" s="99"/>
      <x:c r="G42" s="99"/>
      <x:c r="H42" s="99"/>
    </x:row>
  </x:sheetData>
  <x:mergeCells>
    <x:mergeCell ref="B2:H2"/>
    <x:mergeCell ref="B3:H3"/>
    <x:mergeCell ref="B5:H5"/>
    <x:mergeCell ref="B6:D6"/>
    <x:mergeCell ref="E6:G6"/>
    <x:mergeCell ref="B16:H16"/>
    <x:mergeCell ref="B27:H27"/>
    <x:mergeCell ref="B28:H33"/>
    <x:mergeCell ref="B36:H36"/>
    <x:mergeCell ref="B37:H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30" hidden="0" customWidth="1"/>
    <x:col min="3" max="3" width="36" hidden="0" customWidth="1"/>
    <x:col min="4" max="4" width="36" hidden="0" customWidth="1"/>
    <x:col min="5" max="5" width="36" hidden="0" customWidth="1"/>
    <x:col min="6" max="6" width="38" hidden="0" customWidth="1"/>
    <x:col min="7" max="7" width="14" hidden="0" customWidth="1"/>
    <x:col min="8" max="8" width="15" hidden="0" customWidth="1"/>
    <x:col min="9" max="9" width="15" hidden="0" customWidth="1"/>
    <x:col min="10" max="10" width="13" hidden="0" customWidth="1"/>
    <x:col min="11" max="11" width="15" hidden="0" customWidth="1"/>
    <x:col min="12" max="12" width="16" hidden="0" customWidth="1"/>
    <x:col min="13" max="13" width="48" hidden="0" customWidth="1"/>
  </x:cols>
  <x:sheetData>
    <x:row r="2" ht="24" customHeight="1">
      <x:c r="B2" s="6" t="str">
        <x:v>Fortis Healthcare: Hospital Comparable Companies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B3" s="10" t="str">
        <x:v>Primary valuation set: seven listed Indian hospital operators. Multiples are Kotak estimates as of 24 March 2026 and are pre-Ind AS 116.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>
      <x:c r="B5" s="20" t="str">
        <x:v>Company</x:v>
      </x:c>
      <x:c r="C5" s="20" t="str">
        <x:v>Ticker</x:v>
      </x:c>
      <x:c r="D5" s="20" t="str">
        <x:v>Geography / model</x:v>
      </x:c>
      <x:c r="E5" s="20" t="str">
        <x:v>Why relevant to Fortis</x:v>
      </x:c>
      <x:c r="F5" s="20" t="str">
        <x:v>Main limitation</x:v>
      </x:c>
      <x:c r="G5" s="20" t="str">
        <x:v>Relevance score</x:v>
      </x:c>
      <x:c r="H5" s="101" t="str">
        <x:v>FY27E EV/EBITDA</x:v>
      </x:c>
      <x:c r="I5" s="101" t="str">
        <x:v>FY28E EV/EBITDA</x:v>
      </x:c>
      <x:c r="J5" s="101" t="str">
        <x:v>Weight</x:v>
      </x:c>
      <x:c r="K5" s="101" t="str">
        <x:v>Weighted FY28E</x:v>
      </x:c>
      <x:c r="L5" s="20" t="str">
        <x:v>Included in core?</x:v>
      </x:c>
      <x:c r="M5" s="20" t="str">
        <x:v>Source URL</x:v>
      </x:c>
    </x:row>
    <x:row r="6">
      <x:c r="B6" s="36" t="str">
        <x:v>Apollo Hospitals – hospital segment</x:v>
      </x:c>
      <x:c r="C6" s="36" t="str">
        <x:v>APHS IN</x:v>
      </x:c>
      <x:c r="D6" s="36" t="str">
        <x:v>India; national premium multispecialty / quaternary</x:v>
      </x:c>
      <x:c r="E6" s="36" t="str">
        <x:v>Quality ceiling; complex-care mix, brand and national scale</x:v>
      </x:c>
      <x:c r="F6" s="36" t="str">
        <x:v>Consolidated parent includes pharmacy and digital; use hospital-only EV and EBITDA</x:v>
      </x:c>
      <x:c r="G6" s="48" t="n">
        <x:v>4</x:v>
      </x:c>
      <x:c r="H6" s="102" t="n">
        <x:v>24.4</x:v>
      </x:c>
      <x:c r="I6" s="102" t="n">
        <x:v>20.4</x:v>
      </x:c>
      <x:c r="J6" s="103" t="n">
        <x:v>0.15</x:v>
      </x:c>
      <x:c r="K6" s="104" t="n">
        <x:f>I6*J6</x:f>
        <x:v>3.0599999999999996</x:v>
      </x:c>
      <x:c r="L6" s="36" t="str">
        <x:v>Yes</x:v>
      </x:c>
      <x:c r="M6" s="36" t="str">
        <x:v>https://ks-oncloudpublic-reports.s3.ap-south-1.amazonaws.com/jaamoon-pdf-files/129586_1_Kotak_Health_Care_Services__March_25__2026.pdf</x:v>
      </x:c>
    </x:row>
    <x:row r="7">
      <x:c r="B7" s="36" t="str">
        <x:v>Aster DM Healthcare</x:v>
      </x:c>
      <x:c r="C7" s="36" t="str">
        <x:v>ASTERDM IN</x:v>
      </x:c>
      <x:c r="D7" s="36" t="str">
        <x:v>India; large full-service multispecialty platform</x:v>
      </x:c>
      <x:c r="E7" s="36" t="str">
        <x:v>Similar brownfield / M&amp;A-led capacity expansion and South India exposure</x:v>
      </x:c>
      <x:c r="F7" s="36" t="str">
        <x:v>Quality Care merger changes perimeter and creates integration risk</x:v>
      </x:c>
      <x:c r="G7" s="48" t="n">
        <x:v>4</x:v>
      </x:c>
      <x:c r="H7" s="102" t="n">
        <x:v>27.6</x:v>
      </x:c>
      <x:c r="I7" s="102" t="n">
        <x:v>21.4</x:v>
      </x:c>
      <x:c r="J7" s="103" t="n">
        <x:v>0.125</x:v>
      </x:c>
      <x:c r="K7" s="104" t="n">
        <x:f>I7*J7</x:f>
        <x:v>2.675</x:v>
      </x:c>
      <x:c r="L7" s="36" t="str">
        <x:v>Yes</x:v>
      </x:c>
      <x:c r="M7" s="36" t="str">
        <x:v>https://ks-oncloudpublic-reports.s3.ap-south-1.amazonaws.com/jaamoon-pdf-files/129586_1_Kotak_Health_Care_Services__March_25__2026.pdf</x:v>
      </x:c>
    </x:row>
    <x:row r="8">
      <x:c r="B8" s="36" t="str">
        <x:v>Global Health (Medanta)</x:v>
      </x:c>
      <x:c r="C8" s="36" t="str">
        <x:v>MEDANTA IN</x:v>
      </x:c>
      <x:c r="D8" s="36" t="str">
        <x:v>India; flagship-led tertiary / quaternary care</x:v>
      </x:c>
      <x:c r="E8" s="36" t="str">
        <x:v>Premium tertiary mix and NCR exposure are close to Fortis' core assets</x:v>
      </x:c>
      <x:c r="F8" s="36" t="str">
        <x:v>More concentrated in Gurugram / NCR; greenfield execution risk is higher</x:v>
      </x:c>
      <x:c r="G8" s="48" t="n">
        <x:v>4.5</x:v>
      </x:c>
      <x:c r="H8" s="102" t="n">
        <x:v>24.9</x:v>
      </x:c>
      <x:c r="I8" s="102" t="n">
        <x:v>20</x:v>
      </x:c>
      <x:c r="J8" s="103" t="n">
        <x:v>0.15</x:v>
      </x:c>
      <x:c r="K8" s="104" t="n">
        <x:f>I8*J8</x:f>
        <x:v>3</x:v>
      </x:c>
      <x:c r="L8" s="36" t="str">
        <x:v>Yes</x:v>
      </x:c>
      <x:c r="M8" s="36" t="str">
        <x:v>https://ks-oncloudpublic-reports.s3.ap-south-1.amazonaws.com/jaamoon-pdf-files/129586_1_Kotak_Health_Care_Services__March_25__2026.pdf</x:v>
      </x:c>
    </x:row>
    <x:row r="9">
      <x:c r="B9" s="36" t="str">
        <x:v>Krishna Institute of Medical Sciences</x:v>
      </x:c>
      <x:c r="C9" s="36" t="str">
        <x:v>KIMS IN</x:v>
      </x:c>
      <x:c r="D9" s="36" t="str">
        <x:v>India; South India hub-and-spoke multispecialty</x:v>
      </x:c>
      <x:c r="E9" s="36" t="str">
        <x:v>Acquisition-led expansion, mature hospital economics and similar operating model</x:v>
      </x:c>
      <x:c r="F9" s="36" t="str">
        <x:v>Lower ARPOB and greater tier-2 / tier-3 exposure than Fortis</x:v>
      </x:c>
      <x:c r="G9" s="48" t="n">
        <x:v>4</x:v>
      </x:c>
      <x:c r="H9" s="102" t="n">
        <x:v>27.6</x:v>
      </x:c>
      <x:c r="I9" s="102" t="n">
        <x:v>21.8</x:v>
      </x:c>
      <x:c r="J9" s="103" t="n">
        <x:v>0.15</x:v>
      </x:c>
      <x:c r="K9" s="104" t="n">
        <x:f>I9*J9</x:f>
        <x:v>3.27</x:v>
      </x:c>
      <x:c r="L9" s="36" t="str">
        <x:v>Yes</x:v>
      </x:c>
      <x:c r="M9" s="36" t="str">
        <x:v>https://ks-oncloudpublic-reports.s3.ap-south-1.amazonaws.com/jaamoon-pdf-files/129586_1_Kotak_Health_Care_Services__March_25__2026.pdf</x:v>
      </x:c>
    </x:row>
    <x:row r="10">
      <x:c r="B10" s="36" t="str">
        <x:v>Max Healthcare</x:v>
      </x:c>
      <x:c r="C10" s="36" t="str">
        <x:v>MAXHEALTH IN</x:v>
      </x:c>
      <x:c r="D10" s="36" t="str">
        <x:v>India; premium metro quaternary hospital chain</x:v>
      </x:c>
      <x:c r="E10" s="36" t="str">
        <x:v>Closest premium listed peer on case mix, payer mix, metro positioning and margins</x:v>
      </x:c>
      <x:c r="F10" s="36" t="str">
        <x:v>Higher NCR / Mumbai concentration and superior current margin / ROCE profile</x:v>
      </x:c>
      <x:c r="G10" s="48" t="n">
        <x:v>5</x:v>
      </x:c>
      <x:c r="H10" s="102" t="n">
        <x:v>32.3</x:v>
      </x:c>
      <x:c r="I10" s="102" t="n">
        <x:v>26.1</x:v>
      </x:c>
      <x:c r="J10" s="103" t="n">
        <x:v>0.2</x:v>
      </x:c>
      <x:c r="K10" s="104" t="n">
        <x:f>I10*J10</x:f>
        <x:v>5.220000000000001</x:v>
      </x:c>
      <x:c r="L10" s="36" t="str">
        <x:v>Yes</x:v>
      </x:c>
      <x:c r="M10" s="36" t="str">
        <x:v>https://ks-oncloudpublic-reports.s3.ap-south-1.amazonaws.com/jaamoon-pdf-files/129586_1_Kotak_Health_Care_Services__March_25__2026.pdf</x:v>
      </x:c>
    </x:row>
    <x:row r="11">
      <x:c r="B11" s="36" t="str">
        <x:v>Narayana Hrudayalaya</x:v>
      </x:c>
      <x:c r="C11" s="36" t="str">
        <x:v>NARH IN</x:v>
      </x:c>
      <x:c r="D11" s="36" t="str">
        <x:v>India; value-priced multispecialty / cardiac platform</x:v>
      </x:c>
      <x:c r="E11" s="36" t="str">
        <x:v>Large-scale hospital operations and strong cost efficiency provide a valuation floor</x:v>
      </x:c>
      <x:c r="F11" s="36" t="str">
        <x:v>Lower tariff and ARPOB; materially different payer and affordability mix</x:v>
      </x:c>
      <x:c r="G11" s="48" t="n">
        <x:v>3.5</x:v>
      </x:c>
      <x:c r="H11" s="102" t="n">
        <x:v>22.2</x:v>
      </x:c>
      <x:c r="I11" s="102" t="n">
        <x:v>19.5</x:v>
      </x:c>
      <x:c r="J11" s="103" t="n">
        <x:v>0.1</x:v>
      </x:c>
      <x:c r="K11" s="104" t="n">
        <x:f>I11*J11</x:f>
        <x:v>1.9500000000000002</x:v>
      </x:c>
      <x:c r="L11" s="36" t="str">
        <x:v>Yes</x:v>
      </x:c>
      <x:c r="M11" s="36" t="str">
        <x:v>https://ks-oncloudpublic-reports.s3.ap-south-1.amazonaws.com/jaamoon-pdf-files/129586_1_Kotak_Health_Care_Services__March_25__2026.pdf</x:v>
      </x:c>
    </x:row>
    <x:row r="12">
      <x:c r="B12" s="36" t="str">
        <x:v>Jupiter Life Line Hospitals</x:v>
      </x:c>
      <x:c r="C12" s="36" t="str">
        <x:v>JLHL IN</x:v>
      </x:c>
      <x:c r="D12" s="36" t="str">
        <x:v>India; premium multispecialty hospitals in Western India</x:v>
      </x:c>
      <x:c r="E12" s="36" t="str">
        <x:v>Closer operating comp than specialty chains: premium multispecialty care, owned assets and brownfield / greenfield expansion</x:v>
      </x:c>
      <x:c r="F12" s="36" t="str">
        <x:v>Smaller platform and regional concentration; new-hospital ramp-up creates volatility</x:v>
      </x:c>
      <x:c r="G12" s="48" t="n">
        <x:v>3.5</x:v>
      </x:c>
      <x:c r="H12" s="102"/>
      <x:c r="I12" s="102" t="n">
        <x:v>23</x:v>
      </x:c>
      <x:c r="J12" s="103" t="n">
        <x:v>0.125</x:v>
      </x:c>
      <x:c r="K12" s="104" t="n">
        <x:f>I12*J12</x:f>
        <x:v>2.875</x:v>
      </x:c>
      <x:c r="L12" s="36" t="str">
        <x:v>Yes</x:v>
      </x:c>
      <x:c r="M12" s="36" t="str">
        <x:v>https://plindia.com/ResReport/JLHL-10-3-26-PL.pdf</x:v>
      </x:c>
    </x:row>
    <x:row r="13">
      <x:c r="B13" s="36"/>
      <x:c r="C13" s="36"/>
      <x:c r="D13" s="36"/>
      <x:c r="E13" s="36"/>
      <x:c r="F13" s="36"/>
      <x:c r="G13" s="36"/>
      <x:c r="H13" s="105"/>
      <x:c r="I13" s="105"/>
      <x:c r="J13" s="106"/>
      <x:c r="K13" s="106"/>
      <x:c r="L13" s="36"/>
      <x:c r="M13" s="36"/>
    </x:row>
    <x:row r="14">
      <x:c r="B14" s="36"/>
      <x:c r="C14" s="36"/>
      <x:c r="D14" s="36"/>
      <x:c r="E14" s="36"/>
      <x:c r="F14" s="36"/>
      <x:c r="G14" s="36"/>
      <x:c r="H14" s="105"/>
      <x:c r="I14" s="105"/>
      <x:c r="J14" s="106"/>
      <x:c r="K14" s="106"/>
      <x:c r="L14" s="36"/>
      <x:c r="M14" s="36"/>
    </x:row>
    <x:row r="15">
      <x:c r="B15" s="40" t="str">
        <x:v>Peer Statistics and Multiple Selection</x:v>
      </x:c>
      <x:c r="C15" s="40"/>
      <x:c r="D15" s="40"/>
      <x:c r="E15" s="40"/>
      <x:c r="F15" s="40"/>
      <x:c r="G15" s="40"/>
      <x:c r="H15" s="107"/>
      <x:c r="I15" s="107"/>
      <x:c r="J15" s="108"/>
      <x:c r="K15" s="108"/>
      <x:c r="L15" s="40"/>
      <x:c r="M15" s="40"/>
    </x:row>
    <x:row r="16">
      <x:c r="B16" s="36" t="str">
        <x:v>Peer average</x:v>
      </x:c>
      <x:c r="C16" s="36"/>
      <x:c r="D16" s="36"/>
      <x:c r="E16" s="36"/>
      <x:c r="F16" s="36"/>
      <x:c r="G16" s="36"/>
      <x:c r="H16" s="105" t="n">
        <x:f>AVERAGE(H6:H12)</x:f>
        <x:v>26.5</x:v>
      </x:c>
      <x:c r="I16" s="105" t="n">
        <x:f>AVERAGE(I6:I12)</x:f>
        <x:v>21.74285714285714</x:v>
      </x:c>
      <x:c r="J16" s="106"/>
      <x:c r="K16" s="106"/>
      <x:c r="L16" s="36"/>
      <x:c r="M16" s="36"/>
    </x:row>
    <x:row r="17">
      <x:c r="B17" s="36" t="str">
        <x:v>Peer median</x:v>
      </x:c>
      <x:c r="C17" s="36"/>
      <x:c r="D17" s="36"/>
      <x:c r="E17" s="36"/>
      <x:c r="F17" s="36"/>
      <x:c r="G17" s="36"/>
      <x:c r="H17" s="105" t="n">
        <x:f>MEDIAN(H6:H12)</x:f>
        <x:v>26.25</x:v>
      </x:c>
      <x:c r="I17" s="105" t="n">
        <x:f>MEDIAN(I6:I12)</x:f>
        <x:v>21.4</x:v>
      </x:c>
      <x:c r="J17" s="106"/>
      <x:c r="K17" s="106"/>
      <x:c r="L17" s="36"/>
      <x:c r="M17" s="36"/>
    </x:row>
    <x:row r="18">
      <x:c r="B18" s="36" t="str">
        <x:v>Weighted reference</x:v>
      </x:c>
      <x:c r="C18" s="36"/>
      <x:c r="D18" s="36"/>
      <x:c r="E18" s="36"/>
      <x:c r="F18" s="36"/>
      <x:c r="G18" s="36"/>
      <x:c r="H18" s="105"/>
      <x:c r="I18" s="105" t="n">
        <x:f>SUM(K6:K12)</x:f>
        <x:v>22.05</x:v>
      </x:c>
      <x:c r="J18" s="106" t="str">
        <x:v>Relevance-weighted peer multiple</x:v>
      </x:c>
      <x:c r="K18" s="106"/>
      <x:c r="L18" s="36"/>
      <x:c r="M18" s="36"/>
    </x:row>
    <x:row r="19">
      <x:c r="B19" s="36" t="str">
        <x:v>Fortis scale / brand / growth premium</x:v>
      </x:c>
      <x:c r="C19" s="36"/>
      <x:c r="D19" s="36"/>
      <x:c r="E19" s="36"/>
      <x:c r="F19" s="36"/>
      <x:c r="G19" s="36"/>
      <x:c r="H19" s="105"/>
      <x:c r="I19" s="102" t="n">
        <x:v>0.75</x:v>
      </x:c>
      <x:c r="J19" s="106" t="str">
        <x:v>Premium for Fortis' national brand, scale and margin recovery</x:v>
      </x:c>
      <x:c r="K19" s="106"/>
      <x:c r="L19" s="36"/>
      <x:c r="M19" s="36"/>
    </x:row>
    <x:row r="20">
      <x:c r="B20" s="36" t="str">
        <x:v>Asset-ramp / leverage / execution discount</x:v>
      </x:c>
      <x:c r="C20" s="36"/>
      <x:c r="D20" s="36"/>
      <x:c r="E20" s="36"/>
      <x:c r="F20" s="36"/>
      <x:c r="G20" s="36"/>
      <x:c r="H20" s="105"/>
      <x:c r="I20" s="102" t="n">
        <x:v>-0.3</x:v>
      </x:c>
      <x:c r="J20" s="106" t="str">
        <x:v>Discount for leverage, new-asset ramps and capital-allocation uncertainty</x:v>
      </x:c>
      <x:c r="K20" s="106"/>
      <x:c r="L20" s="36"/>
      <x:c r="M20" s="36"/>
    </x:row>
    <x:row r="21">
      <x:c r="B21" s="36" t="str">
        <x:v>Selected FY28E hospital multiple</x:v>
      </x:c>
      <x:c r="C21" s="36"/>
      <x:c r="D21" s="36"/>
      <x:c r="E21" s="36"/>
      <x:c r="F21" s="36"/>
      <x:c r="G21" s="36"/>
      <x:c r="H21" s="105"/>
      <x:c r="I21" s="109" t="n">
        <x:f>ROUND(I18+I19+I20,1)</x:f>
        <x:v>22.5</x:v>
      </x:c>
      <x:c r="J21" s="106" t="str">
        <x:v>Recommended base; pre-Ind AS 116 basis</x:v>
      </x:c>
      <x:c r="K21" s="106"/>
      <x:c r="L21" s="36"/>
      <x:c r="M21" s="36"/>
    </x:row>
    <x:row r="22">
      <x:c r="B22" s="36" t="str">
        <x:v>Bear case</x:v>
      </x:c>
      <x:c r="C22" s="36"/>
      <x:c r="D22" s="36"/>
      <x:c r="E22" s="36"/>
      <x:c r="F22" s="36"/>
      <x:c r="G22" s="36"/>
      <x:c r="H22" s="105"/>
      <x:c r="I22" s="105" t="n">
        <x:v>20.5</x:v>
      </x:c>
      <x:c r="J22" s="106" t="str">
        <x:v>Lower end of core peer range</x:v>
      </x:c>
      <x:c r="K22" s="106"/>
      <x:c r="L22" s="36"/>
      <x:c r="M22" s="36"/>
    </x:row>
    <x:row r="23">
      <x:c r="B23" s="36" t="str">
        <x:v>Bull case</x:v>
      </x:c>
      <x:c r="C23" s="36"/>
      <x:c r="D23" s="36"/>
      <x:c r="E23" s="36"/>
      <x:c r="F23" s="36"/>
      <x:c r="G23" s="36"/>
      <x:c r="H23" s="105"/>
      <x:c r="I23" s="105" t="n">
        <x:v>25</x:v>
      </x:c>
      <x:c r="J23" s="106" t="str">
        <x:v>Near Max-level execution / quality case</x:v>
      </x:c>
      <x:c r="K23" s="106"/>
      <x:c r="L23" s="36"/>
      <x:c r="M23" s="36"/>
    </x:row>
    <x:row r="26">
      <x:c r="B26" s="137" t="str">
        <x:v>Secondary Hospital References – not included in the core seven</x:v>
      </x:c>
      <x:c r="C26" s="137"/>
      <x:c r="D26" s="137"/>
      <x:c r="E26" s="137"/>
      <x:c r="F26" s="133"/>
      <x:c r="G26" s="133"/>
      <x:c r="H26" s="133"/>
      <x:c r="I26" s="133"/>
      <x:c r="J26" s="133"/>
      <x:c r="K26" s="133"/>
      <x:c r="L26" s="133"/>
      <x:c r="M26" s="133"/>
    </x:row>
    <x:row r="27">
      <x:c r="B27" s="138" t="str">
        <x:v>Company</x:v>
      </x:c>
      <x:c r="C27" s="138" t="str">
        <x:v>Why useful</x:v>
      </x:c>
      <x:c r="D27" s="138" t="str">
        <x:v>Why excluded from core</x:v>
      </x:c>
      <x:c r="E27" s="138" t="str">
        <x:v>Use in valuation</x:v>
      </x:c>
    </x:row>
    <x:row r="28">
      <x:c r="B28" s="139" t="str">
        <x:v>Rainbow Children's Medicare</x:v>
      </x:c>
      <x:c r="C28" s="139" t="str">
        <x:v>High-margin specialty-hospital reference</x:v>
      </x:c>
      <x:c r="D28" s="139" t="str">
        <x:v>Mother-and-child specialty model is structurally different from Fortis</x:v>
      </x:c>
      <x:c r="E28" s="139" t="str">
        <x:v>Cross-check only</x:v>
      </x:c>
    </x:row>
    <x:row r="29">
      <x:c r="B29" s="139" t="str">
        <x:v>Healthcare Global Enterprises</x:v>
      </x:c>
      <x:c r="C29" s="139" t="str">
        <x:v>Oncology economics and complex-care intensity</x:v>
      </x:c>
      <x:c r="D29" s="139" t="str">
        <x:v>Single-specialty oncology model</x:v>
      </x:c>
      <x:c r="E29" s="139" t="str">
        <x:v>Cross-check only</x:v>
      </x:c>
    </x:row>
    <x:row r="30">
      <x:c r="B30" s="139" t="str">
        <x:v>Yatharth Hospitals</x:v>
      </x:c>
      <x:c r="C30" s="139" t="str">
        <x:v>NCR hospital demand and greenfield ramp-up</x:v>
      </x:c>
      <x:c r="D30" s="139" t="str">
        <x:v>Smaller scale, lower brand maturity and more concentrated platform</x:v>
      </x:c>
      <x:c r="E30" s="139" t="str">
        <x:v>Valuation floor / growth reference</x:v>
      </x:c>
    </x:row>
    <x:row r="31">
      <x:c r="B31" s="139" t="str">
        <x:v>Dr Agarwal's Health Care</x:v>
      </x:c>
      <x:c r="C31" s="139" t="str">
        <x:v>Specialty care expansion and asset-light partnerships</x:v>
      </x:c>
      <x:c r="D31" s="139" t="str">
        <x:v>Eye-care platform, not multispecialty inpatient hospitals</x:v>
      </x:c>
      <x:c r="E31" s="139" t="str">
        <x:v>Exclude</x:v>
      </x:c>
    </x:row>
  </x:sheetData>
  <x:mergeCells>
    <x:mergeCell ref="B2:M2"/>
    <x:mergeCell ref="B3:M3"/>
    <x:mergeCell ref="B15:M15"/>
    <x:mergeCell ref="B26:M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16" hidden="0" customWidth="1"/>
    <x:col min="4" max="4" width="16" hidden="0" customWidth="1"/>
    <x:col min="5" max="5" width="30" hidden="0" customWidth="1"/>
    <x:col min="6" max="6" width="38" hidden="0" customWidth="1"/>
    <x:col min="7" max="7" width="38" hidden="0" customWidth="1"/>
    <x:col min="8" max="8" width="14" hidden="0" customWidth="1"/>
    <x:col min="9" max="9" width="15" hidden="0" customWidth="1"/>
    <x:col min="10" max="10" width="16" hidden="0" customWidth="1"/>
    <x:col min="11" max="11" width="12" hidden="0" customWidth="1"/>
    <x:col min="12" max="12" width="15" hidden="0" customWidth="1"/>
    <x:col min="13" max="13" width="48" hidden="0" customWidth="1"/>
  </x:cols>
  <x:sheetData>
    <x:row r="2" ht="24" customHeight="1">
      <x:c r="B2" s="6" t="str">
        <x:v>Agilus Diagnostics: Comparable Companies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>
      <x:c r="B3" s="10" t="str">
        <x:v>Seven-company reference set: four Indian diagnostics chains plus three international clinical-laboratory operators. TTM multiples are public-market snapshots around 21 July 2026.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>
      <x:c r="B5" s="20" t="str">
        <x:v>Company</x:v>
      </x:c>
      <x:c r="C5" s="20" t="str">
        <x:v>Ticker</x:v>
      </x:c>
      <x:c r="D5" s="20" t="str">
        <x:v>Country</x:v>
      </x:c>
      <x:c r="E5" s="20" t="str">
        <x:v>Business model</x:v>
      </x:c>
      <x:c r="F5" s="20" t="str">
        <x:v>Why relevant to Agilus</x:v>
      </x:c>
      <x:c r="G5" s="20" t="str">
        <x:v>Main mismatch</x:v>
      </x:c>
      <x:c r="H5" s="101" t="str">
        <x:v>Relevance score</x:v>
      </x:c>
      <x:c r="I5" s="101" t="str">
        <x:v>TTM EV/EBITDA</x:v>
      </x:c>
      <x:c r="J5" s="101" t="str">
        <x:v>Reference group</x:v>
      </x:c>
      <x:c r="K5" s="101" t="str">
        <x:v>Weight</x:v>
      </x:c>
      <x:c r="L5" s="101" t="str">
        <x:v>Weighted multiple</x:v>
      </x:c>
      <x:c r="M5" s="20" t="str">
        <x:v>Source URL</x:v>
      </x:c>
    </x:row>
    <x:row r="6">
      <x:c r="B6" s="36" t="str">
        <x:v>Dr Lal PathLabs</x:v>
      </x:c>
      <x:c r="C6" s="36" t="str">
        <x:v>LALPATHLAB IN</x:v>
      </x:c>
      <x:c r="D6" s="36" t="str">
        <x:v>India</x:v>
      </x:c>
      <x:c r="E6" s="36" t="str">
        <x:v>National pathology-led B2C / B2B network</x:v>
      </x:c>
      <x:c r="F6" s="36" t="str">
        <x:v>Best Indian quality and scale benchmark; national pathology brand and high returns</x:v>
      </x:c>
      <x:c r="G6" s="36" t="str">
        <x:v>Stronger brand, growth and ROIC than Agilus</x:v>
      </x:c>
      <x:c r="H6" s="119" t="n">
        <x:v>5</x:v>
      </x:c>
      <x:c r="I6" s="102" t="n">
        <x:v>31.09</x:v>
      </x:c>
      <x:c r="J6" s="120" t="str">
        <x:v>India</x:v>
      </x:c>
      <x:c r="K6" s="103" t="n">
        <x:v>0.2</x:v>
      </x:c>
      <x:c r="L6" s="104" t="n">
        <x:f>I6*K6</x:f>
        <x:v>6.218</x:v>
      </x:c>
      <x:c r="M6" s="36" t="str">
        <x:v>https://valueinvesting.io/LALPATHLAB.NS/valuation/ev_ebitda-multiples</x:v>
      </x:c>
    </x:row>
    <x:row r="7">
      <x:c r="B7" s="36" t="str">
        <x:v>Metropolis Healthcare</x:v>
      </x:c>
      <x:c r="C7" s="36" t="str">
        <x:v>METROPOLIS IN</x:v>
      </x:c>
      <x:c r="D7" s="36" t="str">
        <x:v>India</x:v>
      </x:c>
      <x:c r="E7" s="36" t="str">
        <x:v>Pathology, specialised tests, B2C / B2B and hospital labs</x:v>
      </x:c>
      <x:c r="F7" s="36" t="str">
        <x:v>Closest listed business-mix comp to Agilus</x:v>
      </x:c>
      <x:c r="G7" s="36" t="str">
        <x:v>Higher West / South concentration and current acquisition integration</x:v>
      </x:c>
      <x:c r="H7" s="119" t="n">
        <x:v>5</x:v>
      </x:c>
      <x:c r="I7" s="102" t="n">
        <x:v>27.9</x:v>
      </x:c>
      <x:c r="J7" s="120" t="str">
        <x:v>India</x:v>
      </x:c>
      <x:c r="K7" s="103" t="n">
        <x:v>0.25</x:v>
      </x:c>
      <x:c r="L7" s="104" t="n">
        <x:f>I7*K7</x:f>
        <x:v>6.975</x:v>
      </x:c>
      <x:c r="M7" s="36" t="str">
        <x:v>https://valueinvesting.io/METROPOLIS.NS/valuation/ev_ebitda-multiples</x:v>
      </x:c>
    </x:row>
    <x:row r="8">
      <x:c r="B8" s="36" t="str">
        <x:v>Thyrocare Technologies</x:v>
      </x:c>
      <x:c r="C8" s="36" t="str">
        <x:v>THYROCARE IN</x:v>
      </x:c>
      <x:c r="D8" s="36" t="str">
        <x:v>India</x:v>
      </x:c>
      <x:c r="E8" s="36" t="str">
        <x:v>Centralised high-throughput pathology; franchise / B2B-led</x:v>
      </x:c>
      <x:c r="F8" s="36" t="str">
        <x:v>Pan-India pathology scale and asset-light network economics</x:v>
      </x:c>
      <x:c r="G8" s="36" t="str">
        <x:v>More centralised, low-cost and wellness-heavy than Agilus</x:v>
      </x:c>
      <x:c r="H8" s="119" t="n">
        <x:v>3.5</x:v>
      </x:c>
      <x:c r="I8" s="102" t="n">
        <x:v>31.69</x:v>
      </x:c>
      <x:c r="J8" s="120" t="str">
        <x:v>India</x:v>
      </x:c>
      <x:c r="K8" s="103" t="n">
        <x:v>0.1</x:v>
      </x:c>
      <x:c r="L8" s="104" t="n">
        <x:f>I8*K8</x:f>
        <x:v>3.1690000000000005</x:v>
      </x:c>
      <x:c r="M8" s="36" t="str">
        <x:v>https://valueinvesting.io/THYROCARE.NS/valuation/ev_ebitda-multiples</x:v>
      </x:c>
    </x:row>
    <x:row r="9">
      <x:c r="B9" s="36" t="str">
        <x:v>Vijaya Diagnostic Centre</x:v>
      </x:c>
      <x:c r="C9" s="36" t="str">
        <x:v>VIJAYA IN</x:v>
      </x:c>
      <x:c r="D9" s="36" t="str">
        <x:v>India</x:v>
      </x:c>
      <x:c r="E9" s="36" t="str">
        <x:v>Integrated pathology and radiology; South India B2C-led</x:v>
      </x:c>
      <x:c r="F9" s="36" t="str">
        <x:v>Premium Indian diagnostics reference with high margins and integrated centres</x:v>
      </x:c>
      <x:c r="G9" s="36" t="str">
        <x:v>Radiology-heavy and regionally concentrated; multiple is a public-data cross-check</x:v>
      </x:c>
      <x:c r="H9" s="119" t="n">
        <x:v>3.5</x:v>
      </x:c>
      <x:c r="I9" s="102" t="n">
        <x:v>40.34</x:v>
      </x:c>
      <x:c r="J9" s="120" t="str">
        <x:v>India</x:v>
      </x:c>
      <x:c r="K9" s="103" t="n">
        <x:v>0.15</x:v>
      </x:c>
      <x:c r="L9" s="104" t="n">
        <x:f>I9*K9</x:f>
        <x:v>6.051</x:v>
      </x:c>
      <x:c r="M9" s="36" t="str">
        <x:v>https://finance.yahoo.com/quote/VIJAYA.NS/key-statistics/</x:v>
      </x:c>
    </x:row>
    <x:row r="10">
      <x:c r="B10" s="36" t="str">
        <x:v>Quest Diagnostics</x:v>
      </x:c>
      <x:c r="C10" s="36" t="str">
        <x:v>DGX US</x:v>
      </x:c>
      <x:c r="D10" s="36" t="str">
        <x:v>United States</x:v>
      </x:c>
      <x:c r="E10" s="36" t="str">
        <x:v>Large national clinical laboratory and physician / hospital network</x:v>
      </x:c>
      <x:c r="F10" s="36" t="str">
        <x:v>Global pure-play clinical-laboratory scale and network benchmark</x:v>
      </x:c>
      <x:c r="G10" s="36" t="str">
        <x:v>Mature US reimbursement and structurally lower growth</x:v>
      </x:c>
      <x:c r="H10" s="119" t="n">
        <x:v>4</x:v>
      </x:c>
      <x:c r="I10" s="102" t="n">
        <x:v>13</x:v>
      </x:c>
      <x:c r="J10" s="120" t="str">
        <x:v>International</x:v>
      </x:c>
      <x:c r="K10" s="103" t="n">
        <x:v>0.12</x:v>
      </x:c>
      <x:c r="L10" s="104" t="n">
        <x:f>I10*K10</x:f>
        <x:v>1.56</x:v>
      </x:c>
      <x:c r="M10" s="36" t="str">
        <x:v>https://finbox.com/NYSE%3ADGX/explorer/ev_to_ebitda_ltm/</x:v>
      </x:c>
    </x:row>
    <x:row r="11">
      <x:c r="B11" s="36" t="str">
        <x:v>Labcorp</x:v>
      </x:c>
      <x:c r="C11" s="36" t="str">
        <x:v>LH US</x:v>
      </x:c>
      <x:c r="D11" s="36" t="str">
        <x:v>United States</x:v>
      </x:c>
      <x:c r="E11" s="36" t="str">
        <x:v>Clinical diagnostics plus biopharma laboratory services</x:v>
      </x:c>
      <x:c r="F11" s="36" t="str">
        <x:v>Global laboratory scale, specialty testing and hospital / physician relationships</x:v>
      </x:c>
      <x:c r="G11" s="36" t="str">
        <x:v>Mixed diagnostics and biopharma-services business</x:v>
      </x:c>
      <x:c r="H11" s="119" t="n">
        <x:v>3.5</x:v>
      </x:c>
      <x:c r="I11" s="102" t="n">
        <x:v>13.12</x:v>
      </x:c>
      <x:c r="J11" s="120" t="str">
        <x:v>International</x:v>
      </x:c>
      <x:c r="K11" s="103" t="n">
        <x:v>0.1</x:v>
      </x:c>
      <x:c r="L11" s="104" t="n">
        <x:f>I11*K11</x:f>
        <x:v>1.312</x:v>
      </x:c>
      <x:c r="M11" s="36" t="str">
        <x:v>https://stockanalysis.com/stocks/lh/statistics/</x:v>
      </x:c>
    </x:row>
    <x:row r="12">
      <x:c r="B12" s="36" t="str">
        <x:v>Sonic Healthcare</x:v>
      </x:c>
      <x:c r="C12" s="36" t="str">
        <x:v>SHL AU</x:v>
      </x:c>
      <x:c r="D12" s="36" t="str">
        <x:v>Australia / global</x:v>
      </x:c>
      <x:c r="E12" s="36" t="str">
        <x:v>Global pathology and radiology network</x:v>
      </x:c>
      <x:c r="F12" s="36" t="str">
        <x:v>Closest international operating model: federated laboratories across multiple geographies</x:v>
      </x:c>
      <x:c r="G12" s="36" t="str">
        <x:v>Developed-market pricing, reimbursement and lower organic growth</x:v>
      </x:c>
      <x:c r="H12" s="119" t="n">
        <x:v>4</x:v>
      </x:c>
      <x:c r="I12" s="102" t="n">
        <x:v>9.2</x:v>
      </x:c>
      <x:c r="J12" s="120" t="str">
        <x:v>International</x:v>
      </x:c>
      <x:c r="K12" s="103" t="n">
        <x:v>0.08</x:v>
      </x:c>
      <x:c r="L12" s="104" t="n">
        <x:f>I12*K12</x:f>
        <x:v>0.736</x:v>
      </x:c>
      <x:c r="M12" s="36" t="str">
        <x:v>https://finance.yahoo.com/quote/SKHHY/</x:v>
      </x:c>
    </x:row>
    <x:row r="13">
      <x:c r="B13" s="36"/>
      <x:c r="C13" s="36"/>
      <x:c r="D13" s="36"/>
      <x:c r="E13" s="36"/>
      <x:c r="F13" s="36"/>
      <x:c r="G13" s="36"/>
      <x:c r="H13" s="106"/>
      <x:c r="I13" s="105"/>
      <x:c r="J13" s="106"/>
      <x:c r="K13" s="106"/>
      <x:c r="L13" s="106"/>
      <x:c r="M13" s="36"/>
    </x:row>
    <x:row r="14">
      <x:c r="B14" s="36"/>
      <x:c r="C14" s="36"/>
      <x:c r="D14" s="36"/>
      <x:c r="E14" s="36"/>
      <x:c r="F14" s="36"/>
      <x:c r="G14" s="36"/>
      <x:c r="H14" s="106"/>
      <x:c r="I14" s="105"/>
      <x:c r="J14" s="106"/>
      <x:c r="K14" s="106"/>
      <x:c r="L14" s="106"/>
      <x:c r="M14" s="36"/>
    </x:row>
    <x:row r="15">
      <x:c r="B15" s="40" t="str">
        <x:v>Peer Statistics and Multiple Selection</x:v>
      </x:c>
      <x:c r="C15" s="40"/>
      <x:c r="D15" s="40"/>
      <x:c r="E15" s="40"/>
      <x:c r="F15" s="40"/>
      <x:c r="G15" s="40"/>
      <x:c r="H15" s="108"/>
      <x:c r="I15" s="107"/>
      <x:c r="J15" s="108"/>
      <x:c r="K15" s="108"/>
      <x:c r="L15" s="108"/>
      <x:c r="M15" s="40"/>
    </x:row>
    <x:row r="16">
      <x:c r="B16" s="36" t="str">
        <x:v>Indian peer median</x:v>
      </x:c>
      <x:c r="C16" s="36"/>
      <x:c r="D16" s="36"/>
      <x:c r="E16" s="36"/>
      <x:c r="F16" s="36"/>
      <x:c r="G16" s="36"/>
      <x:c r="H16" s="106"/>
      <x:c r="I16" s="105" t="n">
        <x:f>MEDIAN(I6:I9)</x:f>
        <x:v>31.39</x:v>
      </x:c>
      <x:c r="J16" s="106" t="str">
        <x:v>Premium Indian diagnostics market reference</x:v>
      </x:c>
      <x:c r="K16" s="106"/>
      <x:c r="L16" s="106"/>
      <x:c r="M16" s="36"/>
    </x:row>
    <x:row r="17">
      <x:c r="B17" s="36" t="str">
        <x:v>International peer median</x:v>
      </x:c>
      <x:c r="C17" s="36"/>
      <x:c r="D17" s="36"/>
      <x:c r="E17" s="36"/>
      <x:c r="F17" s="36"/>
      <x:c r="G17" s="36"/>
      <x:c r="H17" s="106"/>
      <x:c r="I17" s="105" t="n">
        <x:f>MEDIAN(I10:I12)</x:f>
        <x:v>13</x:v>
      </x:c>
      <x:c r="J17" s="106" t="str">
        <x:v>Mature-market floor / cross-check</x:v>
      </x:c>
      <x:c r="K17" s="106"/>
      <x:c r="L17" s="106"/>
      <x:c r="M17" s="36"/>
    </x:row>
    <x:row r="18">
      <x:c r="B18" s="36" t="str">
        <x:v>Weighted reference</x:v>
      </x:c>
      <x:c r="C18" s="36"/>
      <x:c r="D18" s="36"/>
      <x:c r="E18" s="36"/>
      <x:c r="F18" s="36"/>
      <x:c r="G18" s="36"/>
      <x:c r="H18" s="106"/>
      <x:c r="I18" s="105" t="n">
        <x:f>SUM(L6:L12)</x:f>
        <x:v>26.021000000000004</x:v>
      </x:c>
      <x:c r="J18" s="106" t="str">
        <x:v>70% India / 30% international, with relevance weights</x:v>
      </x:c>
      <x:c r="K18" s="106"/>
      <x:c r="L18" s="106"/>
      <x:c r="M18" s="36"/>
    </x:row>
    <x:row r="19">
      <x:c r="B19" s="36" t="str">
        <x:v>Agilus company-specific discount</x:v>
      </x:c>
      <x:c r="C19" s="36"/>
      <x:c r="D19" s="36"/>
      <x:c r="E19" s="36"/>
      <x:c r="F19" s="36"/>
      <x:c r="G19" s="36"/>
      <x:c r="H19" s="106"/>
      <x:c r="I19" s="103" t="n">
        <x:v>-0.15</x:v>
      </x:c>
      <x:c r="J19" s="106" t="str">
        <x:v>Lower growth, Agilus rebranding, unlisted status and B2B mix</x:v>
      </x:c>
      <x:c r="K19" s="106"/>
      <x:c r="L19" s="106"/>
      <x:c r="M19" s="36"/>
    </x:row>
    <x:row r="20">
      <x:c r="B20" s="36" t="str">
        <x:v>Analytical output</x:v>
      </x:c>
      <x:c r="C20" s="36"/>
      <x:c r="D20" s="36"/>
      <x:c r="E20" s="36"/>
      <x:c r="F20" s="36"/>
      <x:c r="G20" s="36"/>
      <x:c r="H20" s="106"/>
      <x:c r="I20" s="105" t="n">
        <x:f>I18*(1+I19)</x:f>
        <x:v>22.117850000000004</x:v>
      </x:c>
      <x:c r="J20" s="106" t="str">
        <x:v>Weighted reference after discount</x:v>
      </x:c>
      <x:c r="K20" s="106"/>
      <x:c r="L20" s="106"/>
      <x:c r="M20" s="36"/>
    </x:row>
    <x:row r="21">
      <x:c r="B21" s="36" t="str">
        <x:v>Selected FY28E Agilus multiple</x:v>
      </x:c>
      <x:c r="C21" s="36"/>
      <x:c r="D21" s="36"/>
      <x:c r="E21" s="36"/>
      <x:c r="F21" s="36"/>
      <x:c r="G21" s="36"/>
      <x:c r="H21" s="106"/>
      <x:c r="I21" s="109" t="n">
        <x:v>22</x:v>
      </x:c>
      <x:c r="J21" s="106" t="str">
        <x:v>Recommended base FY28E multiple</x:v>
      </x:c>
      <x:c r="K21" s="106"/>
      <x:c r="L21" s="106"/>
      <x:c r="M21" s="36"/>
    </x:row>
    <x:row r="22">
      <x:c r="B22" s="36" t="str">
        <x:v>Bear case</x:v>
      </x:c>
      <x:c r="C22" s="36"/>
      <x:c r="D22" s="36"/>
      <x:c r="E22" s="36"/>
      <x:c r="F22" s="36"/>
      <x:c r="G22" s="36"/>
      <x:c r="H22" s="106"/>
      <x:c r="I22" s="105" t="n">
        <x:v>18</x:v>
      </x:c>
      <x:c r="J22" s="106" t="str">
        <x:v>Slower growth / execution case</x:v>
      </x:c>
      <x:c r="K22" s="106"/>
      <x:c r="L22" s="106"/>
      <x:c r="M22" s="36"/>
    </x:row>
    <x:row r="23">
      <x:c r="B23" s="36" t="str">
        <x:v>Bull case</x:v>
      </x:c>
      <x:c r="C23" s="36"/>
      <x:c r="D23" s="36"/>
      <x:c r="E23" s="36"/>
      <x:c r="F23" s="36"/>
      <x:c r="G23" s="36"/>
      <x:c r="H23" s="106"/>
      <x:c r="I23" s="105" t="n">
        <x:v>24</x:v>
      </x:c>
      <x:c r="J23" s="106" t="str">
        <x:v>Recovery toward premium Indian peers</x:v>
      </x:c>
      <x:c r="K23" s="106"/>
      <x:c r="L23" s="106"/>
      <x:c r="M23" s="36"/>
    </x:row>
  </x:sheetData>
  <x:mergeCells>
    <x:mergeCell ref="B2:M2"/>
    <x:mergeCell ref="B3:M3"/>
    <x:mergeCell ref="B15:M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2" max="2" width="50" hidden="0" customWidth="1"/>
    <x:col min="3" max="3" width="16" hidden="0" customWidth="1"/>
    <x:col min="4" max="4" width="48" hidden="0" customWidth="1"/>
    <x:col min="5" max="5" width="16" hidden="0" customWidth="1"/>
  </x:cols>
  <x:sheetData>
    <x:row r="2" ht="24" customHeight="1">
      <x:c r="B2" s="6" t="str">
        <x:v>Illustrative Fortis SOTP Bridge</x:v>
      </x:c>
      <x:c r="C2" s="6"/>
      <x:c r="D2" s="6"/>
      <x:c r="E2" s="6"/>
      <x:c r="F2" s="6"/>
      <x:c r="G2" s="6"/>
      <x:c r="H2" s="6"/>
    </x:row>
    <x:row r="3">
      <x:c r="B3" s="10" t="str">
        <x:v>Uses FY28E inputs from the user's Fortis model. Hospital valuation remains illustrative until EBITDA is normalised to the same pre-Ind AS 116 basis as the peer table.</x:v>
      </x:c>
      <x:c r="C3" s="10"/>
      <x:c r="D3" s="10"/>
      <x:c r="E3" s="10"/>
      <x:c r="F3" s="10"/>
      <x:c r="G3" s="10"/>
      <x:c r="H3" s="10"/>
    </x:row>
    <x:row r="5">
      <x:c r="B5" s="26" t="str">
        <x:v>FY28E Inputs</x:v>
      </x:c>
      <x:c r="C5" s="26"/>
      <x:c r="D5" s="26"/>
      <x:c r="E5" s="26"/>
      <x:c r="F5" s="26"/>
      <x:c r="G5" s="26"/>
      <x:c r="H5" s="26"/>
    </x:row>
    <x:row r="6">
      <x:c r="B6" t="str">
        <x:v>Hospital EBITDA – reported</x:v>
      </x:c>
      <x:c r="C6" s="123" t="n">
        <x:v>2359.094548377394</x:v>
      </x:c>
      <x:c r="D6" s="124" t="str">
        <x:v>From Fortis model</x:v>
      </x:c>
      <x:c r="E6" s="124"/>
    </x:row>
    <x:row r="7">
      <x:c r="B7" t="str">
        <x:v>Less: Ind AS 116 EBITDA uplift / lease-rent adjustment</x:v>
      </x:c>
      <x:c r="C7" s="125" t="n">
        <x:v>0</x:v>
      </x:c>
      <x:c r="D7" s="124" t="str">
        <x:v>Populate before final valuation; zero means illustrative</x:v>
      </x:c>
      <x:c r="E7" s="124"/>
    </x:row>
    <x:row r="8">
      <x:c r="B8" t="str">
        <x:v>Hospital EBITDA – valuation basis</x:v>
      </x:c>
      <x:c r="C8" s="126" t="n">
        <x:f>C6-C7</x:f>
        <x:v>2359.094548377394</x:v>
      </x:c>
      <x:c r="D8" s="124" t="str">
        <x:v>Formula</x:v>
      </x:c>
      <x:c r="E8" s="124"/>
    </x:row>
    <x:row r="9">
      <x:c r="B9" t="str">
        <x:v>Agilus EBITDA</x:v>
      </x:c>
      <x:c r="C9" s="123" t="n">
        <x:v>425.626128924672</x:v>
      </x:c>
      <x:c r="D9" s="124" t="str">
        <x:v>From Fortis model</x:v>
      </x:c>
      <x:c r="E9" s="124"/>
    </x:row>
    <x:row r="10">
      <x:c r="B10" t="str">
        <x:v>Fortis ownership of Agilus</x:v>
      </x:c>
      <x:c r="C10" s="127" t="n">
        <x:v>0.89</x:v>
      </x:c>
      <x:c r="D10" s="124" t="str">
        <x:v>From Fortis model</x:v>
      </x:c>
      <x:c r="E10" s="124"/>
    </x:row>
    <x:row r="11">
      <x:c r="B11" t="str">
        <x:v>Consolidated net debt</x:v>
      </x:c>
      <x:c r="C11" s="123" t="n">
        <x:v>2600</x:v>
      </x:c>
      <x:c r="D11" s="124" t="str">
        <x:v>From Fortis model</x:v>
      </x:c>
      <x:c r="E11" s="124"/>
    </x:row>
    <x:row r="12">
      <x:c r="B12" t="str">
        <x:v>Diluted shares (mn)</x:v>
      </x:c>
      <x:c r="C12" s="123" t="n">
        <x:v>755</x:v>
      </x:c>
      <x:c r="D12" s="124" t="str">
        <x:v>From Fortis model</x:v>
      </x:c>
      <x:c r="E12" s="124"/>
    </x:row>
    <x:row r="13">
      <x:c r="C13" s="124"/>
      <x:c r="D13" s="124"/>
      <x:c r="E13" s="124"/>
    </x:row>
    <x:row r="14">
      <x:c r="C14" s="124"/>
      <x:c r="D14" s="124"/>
      <x:c r="E14" s="124"/>
    </x:row>
    <x:row r="15">
      <x:c r="B15" s="26" t="str">
        <x:v>Valuation Scenarios</x:v>
      </x:c>
      <x:c r="C15" s="101" t="str">
        <x:v>Bear</x:v>
      </x:c>
      <x:c r="D15" s="101" t="str">
        <x:v>Base</x:v>
      </x:c>
      <x:c r="E15" s="101" t="str">
        <x:v>Bull</x:v>
      </x:c>
      <x:c r="F15" s="26"/>
      <x:c r="G15" s="26"/>
      <x:c r="H15" s="26"/>
    </x:row>
    <x:row r="16">
      <x:c r="B16" t="str">
        <x:v>Hospital EV/EBITDA</x:v>
      </x:c>
      <x:c r="C16" s="128" t="n">
        <x:f>'Hospital Comps'!I22</x:f>
        <x:v>20.5</x:v>
      </x:c>
      <x:c r="D16" s="128" t="n">
        <x:f>'Hospital Comps'!I21</x:f>
        <x:v>22.5</x:v>
      </x:c>
      <x:c r="E16" s="128" t="n">
        <x:f>'Hospital Comps'!I23</x:f>
        <x:v>25</x:v>
      </x:c>
    </x:row>
    <x:row r="17">
      <x:c r="B17" t="str">
        <x:v>Agilus EV/EBITDA</x:v>
      </x:c>
      <x:c r="C17" s="128" t="n">
        <x:f>'Diagnostics Comps'!I22</x:f>
        <x:v>18</x:v>
      </x:c>
      <x:c r="D17" s="128" t="n">
        <x:f>'Diagnostics Comps'!I21</x:f>
        <x:v>22</x:v>
      </x:c>
      <x:c r="E17" s="128" t="n">
        <x:f>'Diagnostics Comps'!I23</x:f>
        <x:v>24</x:v>
      </x:c>
    </x:row>
    <x:row r="18">
      <x:c r="B18" t="str">
        <x:v>Hospital EV</x:v>
      </x:c>
      <x:c r="C18" s="129" t="n">
        <x:f>$C$8*C16</x:f>
        <x:v>48361.43824173658</x:v>
      </x:c>
      <x:c r="D18" s="129" t="n">
        <x:f>$C$8*D16</x:f>
        <x:v>53079.627338491366</x:v>
      </x:c>
      <x:c r="E18" s="129" t="n">
        <x:f>$C$8*E16</x:f>
        <x:v>58977.36370943485</x:v>
      </x:c>
    </x:row>
    <x:row r="19">
      <x:c r="B19" t="str">
        <x:v>Agilus EV – 100%</x:v>
      </x:c>
      <x:c r="C19" s="129" t="n">
        <x:f>$C$9*C17</x:f>
        <x:v>7661.2703206440965</x:v>
      </x:c>
      <x:c r="D19" s="129" t="n">
        <x:f>$C$9*D17</x:f>
        <x:v>9363.774836342784</x:v>
      </x:c>
      <x:c r="E19" s="129" t="n">
        <x:f>$C$9*E17</x:f>
        <x:v>10215.027094192128</x:v>
      </x:c>
    </x:row>
    <x:row r="20">
      <x:c r="B20" t="str">
        <x:v>Fortis-attributable Agilus EV</x:v>
      </x:c>
      <x:c r="C20" s="129" t="n">
        <x:f>C19*$C$10</x:f>
        <x:v>6818.530585373246</x:v>
      </x:c>
      <x:c r="D20" s="129" t="n">
        <x:f>D19*$C$10</x:f>
        <x:v>8333.759604345078</x:v>
      </x:c>
      <x:c r="E20" s="129" t="n">
        <x:f>E19*$C$10</x:f>
        <x:v>9091.374113830994</x:v>
      </x:c>
    </x:row>
    <x:row r="21">
      <x:c r="B21" t="str">
        <x:v>Gross SOTP EV</x:v>
      </x:c>
      <x:c r="C21" s="129" t="n">
        <x:f>C18+C20</x:f>
        <x:v>55179.96882710983</x:v>
      </x:c>
      <x:c r="D21" s="129" t="n">
        <x:f>D18+D20</x:f>
        <x:v>61413.38694283644</x:v>
      </x:c>
      <x:c r="E21" s="129" t="n">
        <x:f>E18+E20</x:f>
        <x:v>68068.73782326585</x:v>
      </x:c>
    </x:row>
    <x:row r="22">
      <x:c r="B22" t="str">
        <x:v>Less: net debt</x:v>
      </x:c>
      <x:c r="C22" s="129" t="n">
        <x:f>$C$11</x:f>
        <x:v>2600</x:v>
      </x:c>
      <x:c r="D22" s="129" t="n">
        <x:f>$C$11</x:f>
        <x:v>2600</x:v>
      </x:c>
      <x:c r="E22" s="129" t="n">
        <x:f>$C$11</x:f>
        <x:v>2600</x:v>
      </x:c>
    </x:row>
    <x:row r="23">
      <x:c r="B23" s="84" t="str">
        <x:v>Equity value</x:v>
      </x:c>
      <x:c r="C23" s="130" t="n">
        <x:f>C21-C22</x:f>
        <x:v>52579.96882710983</x:v>
      </x:c>
      <x:c r="D23" s="130" t="n">
        <x:f>D21-D22</x:f>
        <x:v>58813.38694283644</x:v>
      </x:c>
      <x:c r="E23" s="130" t="n">
        <x:f>E21-E22</x:f>
        <x:v>65468.73782326585</x:v>
      </x:c>
    </x:row>
    <x:row r="24">
      <x:c r="B24" s="86" t="str">
        <x:v>Target price / share</x:v>
      </x:c>
      <x:c r="C24" s="131" t="n">
        <x:f>C23*10/$C$12</x:f>
        <x:v>696.4234281736401</x:v>
      </x:c>
      <x:c r="D24" s="131" t="n">
        <x:f>D23*10/$C$12</x:f>
        <x:v>778.9852575210125</x:v>
      </x:c>
      <x:c r="E24" s="131" t="n">
        <x:f>E23*10/$C$12</x:f>
        <x:v>867.135600308157</x:v>
      </x:c>
    </x:row>
  </x:sheetData>
  <x:mergeCells>
    <x:mergeCell ref="B2:H2"/>
    <x:mergeCell ref="B3:H3"/>
    <x:mergeCell ref="B5:H5"/>
    <x:mergeCell ref="B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38" hidden="0" customWidth="1"/>
    <x:col min="3" max="3" width="36" hidden="0" customWidth="1"/>
    <x:col min="4" max="4" width="72" hidden="0" customWidth="1"/>
    <x:col min="5" max="5" width="18" hidden="0" customWidth="1"/>
    <x:col min="6" max="6" width="42" hidden="0" customWidth="1"/>
  </x:cols>
  <x:sheetData>
    <x:row r="2" ht="24" customHeight="1">
      <x:c r="B2" s="6" t="str">
        <x:v>Sources and Methodology</x:v>
      </x:c>
      <x:c r="C2" s="6"/>
      <x:c r="D2" s="6"/>
      <x:c r="E2" s="6"/>
      <x:c r="F2" s="6"/>
    </x:row>
    <x:row r="4">
      <x:c r="B4" s="26" t="str">
        <x:v>Methodology</x:v>
      </x:c>
      <x:c r="C4" s="26"/>
      <x:c r="D4" s="26"/>
      <x:c r="E4" s="26"/>
      <x:c r="F4" s="26"/>
    </x:row>
    <x:row r="5">
      <x:c r="B5" s="36" t="str">
        <x:v>Hospital valuation basis</x:v>
      </x:c>
      <x:c r="C5" s="36" t="str">
        <x:v>FY27E and FY28E pre-Ind AS 116 EV/EBITDA from Kotak Institutional Equities, prices as of 24 March 2026.</x:v>
      </x:c>
    </x:row>
    <x:row r="6">
      <x:c r="B6" s="36" t="str">
        <x:v>Diagnostics valuation basis</x:v>
      </x:c>
      <x:c r="C6" s="36" t="str">
        <x:v>Current TTM EV/EBITDA snapshots around 21 July 2026 from public market-data sources.</x:v>
      </x:c>
    </x:row>
    <x:row r="7">
      <x:c r="B7" s="36" t="str">
        <x:v>Hospital comp selection</x:v>
      </x:c>
      <x:c r="C7" s="36" t="str">
        <x:v>Seven Indian listed hospital operators used as the primary forward-multiple set.</x:v>
      </x:c>
    </x:row>
    <x:row r="8">
      <x:c r="B8" s="36" t="str">
        <x:v>Diagnostics comp selection</x:v>
      </x:c>
      <x:c r="C8" s="36" t="str">
        <x:v>Four Indian diagnostics chains plus three global clinical-laboratory operators.</x:v>
      </x:c>
    </x:row>
    <x:row r="9">
      <x:c r="B9" s="36" t="str">
        <x:v>Weighting</x:v>
      </x:c>
      <x:c r="C9" s="36" t="str">
        <x:v>Subjective relevance weights based on business mix, geography, margin profile and growth model.</x:v>
      </x:c>
    </x:row>
    <x:row r="10">
      <x:c r="B10" s="36" t="str">
        <x:v>Fortis hospital multiple</x:v>
      </x:c>
      <x:c r="C10" s="36" t="str">
        <x:v>Weighted FY28E reference plus a quality / scale premium and an execution / leverage discount.</x:v>
      </x:c>
    </x:row>
    <x:row r="11">
      <x:c r="B11" s="36" t="str">
        <x:v>Agilus multiple</x:v>
      </x:c>
      <x:c r="C11" s="36" t="str">
        <x:v>Weighted India / international reference less a 15% company-specific discount.</x:v>
      </x:c>
    </x:row>
    <x:row r="12">
      <x:c r="B12" s="36" t="str">
        <x:v>Required refresh</x:v>
      </x:c>
      <x:c r="C12" s="36" t="str">
        <x:v>Replace public-source multiples with live Bernstein / Bloomberg consensus before publication.</x:v>
      </x:c>
    </x:row>
    <x:row r="15">
      <x:c r="B15" s="26" t="str">
        <x:v>Source URLs</x:v>
      </x:c>
      <x:c r="C15" s="26"/>
      <x:c r="D15" s="26"/>
      <x:c r="E15" s="26"/>
      <x:c r="F15" s="26"/>
    </x:row>
    <x:row r="16">
      <x:c r="B16" s="36" t="str">
        <x:v>Hospital peer forward multiples</x:v>
      </x:c>
      <x:c r="C16" s="36" t="str">
        <x:v>Kotak Institutional Equities</x:v>
      </x:c>
      <x:c r="D16" s="60" t="str">
        <x:v>24-Mar-2026</x:v>
      </x:c>
      <x:c r="E16" s="36" t="str">
        <x:v>https://ks-oncloudpublic-reports.s3.ap-south-1.amazonaws.com/jaamoon-pdf-files/129586_1_Kotak_Health_Care_Services__March_25__2026.pdf</x:v>
      </x:c>
      <x:c r="F16" s="36" t="str">
        <x:v>Pre-Ind AS 116</x:v>
      </x:c>
    </x:row>
    <x:row r="17">
      <x:c r="B17" s="36" t="str">
        <x:v>Dr Lal PathLabs TTM EV/EBITDA</x:v>
      </x:c>
      <x:c r="C17" s="36" t="str">
        <x:v>ValueInvesting.io</x:v>
      </x:c>
      <x:c r="D17" s="60" t="str">
        <x:v>21-Jul-2026</x:v>
      </x:c>
      <x:c r="E17" s="36" t="str">
        <x:v>https://valueinvesting.io/LALPATHLAB.NS/valuation/ev_ebitda-multiples</x:v>
      </x:c>
      <x:c r="F17" s="36" t="str">
        <x:v>31.09x</x:v>
      </x:c>
    </x:row>
    <x:row r="18">
      <x:c r="B18" s="36" t="str">
        <x:v>Metropolis TTM EV/EBITDA</x:v>
      </x:c>
      <x:c r="C18" s="36" t="str">
        <x:v>ValueInvesting.io</x:v>
      </x:c>
      <x:c r="D18" s="60" t="str">
        <x:v>21-Jul-2026</x:v>
      </x:c>
      <x:c r="E18" s="36" t="str">
        <x:v>https://valueinvesting.io/METROPOLIS.NS/valuation/ev_ebitda-multiples</x:v>
      </x:c>
      <x:c r="F18" s="36" t="str">
        <x:v>27.90x</x:v>
      </x:c>
    </x:row>
    <x:row r="19">
      <x:c r="B19" s="36" t="str">
        <x:v>Thyrocare TTM EV/EBITDA</x:v>
      </x:c>
      <x:c r="C19" s="36" t="str">
        <x:v>ValueInvesting.io</x:v>
      </x:c>
      <x:c r="D19" s="60" t="str">
        <x:v>21-Jul-2026</x:v>
      </x:c>
      <x:c r="E19" s="36" t="str">
        <x:v>https://valueinvesting.io/THYROCARE.NS/valuation/ev_ebitda-multiples</x:v>
      </x:c>
      <x:c r="F19" s="36" t="str">
        <x:v>31.69x</x:v>
      </x:c>
    </x:row>
    <x:row r="20">
      <x:c r="B20" s="36" t="str">
        <x:v>Vijaya TTM EV/EBITDA</x:v>
      </x:c>
      <x:c r="C20" s="36" t="str">
        <x:v>Yahoo Finance / public-data cross-check</x:v>
      </x:c>
      <x:c r="D20" s="60" t="str">
        <x:v>21-Jul-2026</x:v>
      </x:c>
      <x:c r="E20" s="36" t="str">
        <x:v>https://finance.yahoo.com/quote/VIJAYA.NS/key-statistics/</x:v>
      </x:c>
      <x:c r="F20" s="36" t="str">
        <x:v>40.34x approximate</x:v>
      </x:c>
    </x:row>
    <x:row r="21">
      <x:c r="B21" s="36" t="str">
        <x:v>Quest Diagnostics TTM EV/EBITDA</x:v>
      </x:c>
      <x:c r="C21" s="36" t="str">
        <x:v>Finbox</x:v>
      </x:c>
      <x:c r="D21" s="60" t="str">
        <x:v>21-Jul-2026</x:v>
      </x:c>
      <x:c r="E21" s="36" t="str">
        <x:v>https://finbox.com/NYSE%3ADGX/explorer/ev_to_ebitda_ltm/</x:v>
      </x:c>
      <x:c r="F21" s="36" t="str">
        <x:v>13.0x</x:v>
      </x:c>
    </x:row>
    <x:row r="22">
      <x:c r="B22" s="36" t="str">
        <x:v>Labcorp TTM EV/EBITDA</x:v>
      </x:c>
      <x:c r="C22" s="36" t="str">
        <x:v>StockAnalysis</x:v>
      </x:c>
      <x:c r="D22" s="60" t="str">
        <x:v>21-Jul-2026</x:v>
      </x:c>
      <x:c r="E22" s="36" t="str">
        <x:v>https://stockanalysis.com/stocks/lh/statistics/</x:v>
      </x:c>
      <x:c r="F22" s="36" t="str">
        <x:v>13.12x</x:v>
      </x:c>
    </x:row>
    <x:row r="23">
      <x:c r="B23" s="36" t="str">
        <x:v>Sonic Healthcare TTM EV/EBITDA</x:v>
      </x:c>
      <x:c r="C23" s="36" t="str">
        <x:v>Yahoo Finance</x:v>
      </x:c>
      <x:c r="D23" s="60" t="str">
        <x:v>21-Jul-2026</x:v>
      </x:c>
      <x:c r="E23" s="36" t="str">
        <x:v>https://finance.yahoo.com/quote/SKHHY/</x:v>
      </x:c>
      <x:c r="F23" s="36" t="str">
        <x:v>9.20x</x:v>
      </x:c>
    </x:row>
    <x:row r="24">
      <x:c r="B24" s="36" t="str">
        <x:v>Jupiter FY28E valuation reference</x:v>
      </x:c>
      <x:c r="C24" s="36" t="str">
        <x:v>Prabhudas Lilladher</x:v>
      </x:c>
      <x:c r="D24" s="60" t="str">
        <x:v>10-Mar-2026</x:v>
      </x:c>
      <x:c r="E24" s="36" t="str">
        <x:v>https://plindia.com/ResReport/JLHL-10-3-26-PL.pdf</x:v>
      </x:c>
      <x:c r="F24" s="36" t="str">
        <x:v>23x FY28E EV/EBITDA target multiple</x:v>
      </x:c>
    </x:row>
    <x:row r="25">
      <x:c r="B25" s="36" t="str">
        <x:v>Fortis FY28E model inputs</x:v>
      </x:c>
      <x:c r="C25" s="36" t="str">
        <x:v>User-supplied Fortis model</x:v>
      </x:c>
      <x:c r="D25" s="60" t="str">
        <x:v>Current model</x:v>
      </x:c>
      <x:c r="E25" s="36" t="str">
        <x:v>Fortis_Hospital_Model_Template.xlsx</x:v>
      </x:c>
      <x:c r="F25" s="36" t="str">
        <x:v>Hospital EBITDA ₹2,359cr; diagnostics EBITDA ₹426cr; ownership 89%</x:v>
      </x:c>
    </x:row>
  </x:sheetData>
  <x:mergeCells>
    <x:mergeCell ref="B2:F2"/>
    <x:mergeCell ref="B4:F4"/>
    <x:mergeCell ref="B15:F15"/>
  </x:mergeCells>
  <x:pageMargins left="0.7" right="0.7" top="0.75" bottom="0.75" header="0.3" footer="0.3"/>
</x:worksheet>
</file>