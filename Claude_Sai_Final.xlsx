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evenue_Model" sheetId="2" state="visible" r:id="rId4"/>
    <sheet name="Statements" sheetId="3" state="visible" r:id="rId5"/>
    <sheet name="Schedules" sheetId="4" state="visible" r:id="rId6"/>
    <sheet name="Sources_Checks" sheetId="5" state="visible" r:id="rId7"/>
  </sheets>
  <definedNames>
    <definedName function="false" hidden="false" localSheetId="1" name="_xlnm.Print_Titles" vbProcedure="false">Revenue_Model!$A:$B,Revenue_Model!$1:$3</definedName>
    <definedName function="false" hidden="false" localSheetId="3" name="_xlnm.Print_Titles" vbProcedure="false">Schedules!$A:$B,Schedules!$1:$3</definedName>
    <definedName function="false" hidden="false" localSheetId="4" name="_xlnm.Print_Titles" vbProcedure="false">Sources_Checks!$A:$B</definedName>
    <definedName function="false" hidden="false" localSheetId="2" name="_xlnm.Print_Titles" vbProcedure="false">Statements!$A:$B,Statements!$1:$3</definedName>
    <definedName function="false" hidden="false" localSheetId="0" name="_xlnm.Print_Titles" vbProcedure="false">Summary!$A:$B,Summary!$1:$16</definedName>
    <definedName function="false" hidden="false" localSheetId="0" name="_xlnm.Print_Titles" vbProcedure="false">Summary!$1:$16,Summary!$A:$B</definedName>
    <definedName function="false" hidden="false" localSheetId="1" name="_xlnm.Print_Titles" vbProcedure="false">Revenue_Model!$1:$3,Revenue_Model!$A:$B</definedName>
    <definedName function="false" hidden="false" localSheetId="2" name="_xlnm.Print_Titles" vbProcedure="false">Statements!$1:$3,Statements!$A:$B</definedName>
    <definedName function="false" hidden="false" localSheetId="3" name="_xlnm.Print_Titles" vbProcedure="false">Schedules!$1:$3,Schedules!$A:$B</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<sst xmlns="http://schemas.openxmlformats.org/spreadsheetml/2006/main" count="1129" uniqueCount="698">
  <si>
    <t xml:space="preserve">SAI LIFE SCIENCES LIMITED  |  Integrated Three-Statement Model  |  FY2024A - FY2035E</t>
  </si>
  <si>
    <t xml:space="preserve">All figures in INR million unless stated (Rs 1 crore = Rs 10 million). Fiscal year ends 31 March. FY2024A-FY2026A = reported consolidated Ind AS. FY2027E-FY2035E = analyst estimates. Single base case. BLUE = hardcoded input   BLACK = formula   GREEN = cross-sheet link.</t>
  </si>
  <si>
    <t xml:space="preserve">QUARTERLY UPDATE CHECKLIST   (everything below lives on the Revenue_Model sheet in blue cells)</t>
  </si>
  <si>
    <t xml:space="preserve">1.  Segment revenue.  Roll reported CRO and CDMO revenue in section A forward one year. Both come straight off page 21 and page 24 of the quarterly investor deck.</t>
  </si>
  <si>
    <t xml:space="preserve">2.  DRIVERS 1 and 2 - CRO.  Net billable FTE additions, and revenue per FTE growth. Then glance at the implied USD rate per FTE underneath; if it leaves the USD 55-90k band, one of the two is wrong.</t>
  </si>
  <si>
    <t xml:space="preserve">3.  DRIVERS 3 and 4 - commercial CDMO.  Net new commercial molecules (the deck gives the count directly), and growth in revenue per commercial molecule. Remember driver 4 embeds the dilution from newly qualified molecules, which earn far less in year one than the portfolio average.</t>
  </si>
  <si>
    <t xml:space="preserve">4.  DRIVER 5 - development CDMO.  A single growth rate covering pre-clinical through Phase III, validation, process R&amp;D and tech transfer. Sanity-check it against the disclosed programme counts in section F.</t>
  </si>
  <si>
    <t xml:space="preserve">5.  DRIVER 6 - capacity.  KL commissioned in the year. Then check the revenue-per-effective-KL flag; if it reads REVIEW, the model is forecasting output the plant cannot make.</t>
  </si>
  <si>
    <t xml:space="preserve">6.  Costs and capex sit on the Schedules sheet.  Update the capex plan, the CDMO material ratio, wage growth and headcount additions from the call. Everything else flows.</t>
  </si>
  <si>
    <t xml:space="preserve">7.  Finish on the Sources_Checks sheet.  The master check must read ALL CHECKS OK before you circulate anything.</t>
  </si>
  <si>
    <t xml:space="preserve">KEY FINANCIAL SUMMARY</t>
  </si>
  <si>
    <t xml:space="preserve">INR mn</t>
  </si>
  <si>
    <t xml:space="preserve">FY2024A</t>
  </si>
  <si>
    <t xml:space="preserve">FY2025A</t>
  </si>
  <si>
    <t xml:space="preserve">FY2026A</t>
  </si>
  <si>
    <t xml:space="preserve">FY2027E</t>
  </si>
  <si>
    <t xml:space="preserve">FY2028E</t>
  </si>
  <si>
    <t xml:space="preserve">FY2029E</t>
  </si>
  <si>
    <t xml:space="preserve">FY2030E</t>
  </si>
  <si>
    <t xml:space="preserve">FY2031E</t>
  </si>
  <si>
    <t xml:space="preserve">FY2032E</t>
  </si>
  <si>
    <t xml:space="preserve">FY2033E</t>
  </si>
  <si>
    <t xml:space="preserve">FY2034E</t>
  </si>
  <si>
    <t xml:space="preserve">FY2035E</t>
  </si>
  <si>
    <t xml:space="preserve">Source / basis</t>
  </si>
  <si>
    <t xml:space="preserve">Revenue from operations</t>
  </si>
  <si>
    <t xml:space="preserve">    Revenue growth  (%)</t>
  </si>
  <si>
    <t xml:space="preserve">%</t>
  </si>
  <si>
    <t xml:space="preserve">    CRO / Discovery revenue</t>
  </si>
  <si>
    <t xml:space="preserve">    CDMO / CMC revenue</t>
  </si>
  <si>
    <t xml:space="preserve">        CRO mix  (%)</t>
  </si>
  <si>
    <t xml:space="preserve">        CDMO mix  (%)</t>
  </si>
  <si>
    <t xml:space="preserve">    Material margin  (%)</t>
  </si>
  <si>
    <t xml:space="preserve">EBITDA</t>
  </si>
  <si>
    <t xml:space="preserve">    EBITDA margin  (%)</t>
  </si>
  <si>
    <t xml:space="preserve">    EBIT</t>
  </si>
  <si>
    <t xml:space="preserve">Profit after tax</t>
  </si>
  <si>
    <t xml:space="preserve">    PAT margin  (%)</t>
  </si>
  <si>
    <t xml:space="preserve">Diluted EPS</t>
  </si>
  <si>
    <t xml:space="preserve">INR</t>
  </si>
  <si>
    <t xml:space="preserve">    EPS growth  (%)</t>
  </si>
  <si>
    <t xml:space="preserve">Capex</t>
  </si>
  <si>
    <t xml:space="preserve">    Capex  (% of revenue)</t>
  </si>
  <si>
    <t xml:space="preserve">Cash flow from operations</t>
  </si>
  <si>
    <t xml:space="preserve">Free cash flow (CFO less capex)</t>
  </si>
  <si>
    <t xml:space="preserve">Net debt / (net cash)</t>
  </si>
  <si>
    <t xml:space="preserve">    Net debt / EBITDA</t>
  </si>
  <si>
    <t xml:space="preserve">x</t>
  </si>
  <si>
    <t xml:space="preserve">ROCE  (%)</t>
  </si>
  <si>
    <t xml:space="preserve">ROE  (%)</t>
  </si>
  <si>
    <t xml:space="preserve">KEY OPERATING ASSUMPTIONS</t>
  </si>
  <si>
    <t xml:space="preserve">    Billable discovery FTEs</t>
  </si>
  <si>
    <t xml:space="preserve">count</t>
  </si>
  <si>
    <t xml:space="preserve">    Revenue per billable discovery FTE</t>
  </si>
  <si>
    <t xml:space="preserve">    Installed GMP capacity</t>
  </si>
  <si>
    <t xml:space="preserve">KL</t>
  </si>
  <si>
    <t xml:space="preserve">    Effective revenue-generating capacity</t>
  </si>
  <si>
    <t xml:space="preserve">    Total employees</t>
  </si>
  <si>
    <t xml:space="preserve">    Revenue per employee</t>
  </si>
  <si>
    <t xml:space="preserve">    Fixed asset turnover (net PP&amp;E + CWIP)</t>
  </si>
  <si>
    <t xml:space="preserve">    Net working capital days</t>
  </si>
  <si>
    <t xml:space="preserve">days</t>
  </si>
  <si>
    <t xml:space="preserve">KEY MOLECULE AND PIPELINE ASSUMPTIONS</t>
  </si>
  <si>
    <t xml:space="preserve">    Commercial molecules</t>
  </si>
  <si>
    <t xml:space="preserve">    Phase III / pre-registration molecules  (disclosed, history)</t>
  </si>
  <si>
    <t xml:space="preserve">    Top-4 identified commercial molecules - revenue</t>
  </si>
  <si>
    <t xml:space="preserve">        Top-4 as % of CDMO revenue</t>
  </si>
  <si>
    <t xml:space="preserve">    Commercial manufacturing revenue</t>
  </si>
  <si>
    <t xml:space="preserve">        Revenue per commercial molecule</t>
  </si>
  <si>
    <t xml:space="preserve">    Development revenue</t>
  </si>
  <si>
    <t xml:space="preserve">HISTORICAL AND FORECAST CAGRs</t>
  </si>
  <si>
    <t xml:space="preserve">Period</t>
  </si>
  <si>
    <t xml:space="preserve">Revenue</t>
  </si>
  <si>
    <t xml:space="preserve">CRO</t>
  </si>
  <si>
    <t xml:space="preserve">CDMO</t>
  </si>
  <si>
    <t xml:space="preserve">PAT</t>
  </si>
  <si>
    <t xml:space="preserve">EPS</t>
  </si>
  <si>
    <t xml:space="preserve">    FY2024A - FY2026A  (historical, 2 years)</t>
  </si>
  <si>
    <t xml:space="preserve">    FY2025A - FY2030E  (guidance window, 5 years)</t>
  </si>
  <si>
    <t xml:space="preserve">    FY2026A - FY2031E  (5 years)</t>
  </si>
  <si>
    <t xml:space="preserve">    FY2026A - FY2035E  (full forecast, 9 years)</t>
  </si>
  <si>
    <t xml:space="preserve">MAJOR MODEL CONCLUSIONS</t>
  </si>
  <si>
    <t xml:space="preserve">1.  REVENUE.  The bottom-up build produces an FY2025-FY2030 revenue CAGR of about 17%, inside management's stated 15-20% window, and about 13% across the full FY2026-FY2035 forecast as the base scales. FY2027 growth of roughly 14% is deliberately below the 29% delivered in FY2026, because the first 225 KL of new capacity only lands in H2 and management has guided that H2 FY2027 will be stronger than H1.</t>
  </si>
  <si>
    <t xml:space="preserve">2.  MARGIN.  The model produces an EBITDA margin of 26.6% in FY2027 rising to about 28% by FY2035, below the 28-30% guidance through the investment years. This is a deliberate analyst position, not a modelling artefact. FY2026's reported 30.2% was flattered by two items assumed not to repeat: a net credit-loss REVERSAL of Rs 239mn (worth 110bp) and an FX gain of Rs 300mn (140bp). On a clean basis FY2026 was roughly 27.7%, and the model grows modestly from there.</t>
  </si>
  <si>
    <t xml:space="preserve">3.  FY2027-FY2028 IS AN INVESTMENT TROUGH, NOT A BREAK IN THE STORY.  EPS falls from Rs 16.4 in FY2026 to Rs 14.0 and then Rs 12.0, and does not regain the FY2026 level until FY2031. Capex more than doubles to Rs 1,200 Cr, depreciation and interest step up, and site overhead is carried before the revenue arrives. ROCE dips from 20% to around 11% before recovering to the mid-teens.</t>
  </si>
  <si>
    <t xml:space="preserve">4.  GROWTH IS CAPACITY-GATED THROUGH FY2028.  Installed capacity runs 700 to 925 to 1,150 KL, and the model explicitly phases each block through qualification, customer audit and validation rather than treating the commissioning date as the revenue start date. Commercial revenue per effective KL therefore FALLS in FY2027 and FY2028 - that under-absorption is the margin story.</t>
  </si>
  <si>
    <t xml:space="preserve">5.  FUNDING IS COMFORTABLE.  Free cash flow is negative for three years and cumulative FY2027-FY2029 outflow is roughly Rs 10,600mn, funded by incremental debt. Net debt to EBITDA peaks at about 1.5x in FY2029 and de-levers thereafter. This is consistent with management's comment that the ratio would remain 'fairly healthy'.</t>
  </si>
  <si>
    <t xml:space="preserve">6.  THE BALANCE SHEET RISK IS CONTRACT ASSETS, NOT LEVERAGE.  Unbilled revenue runs at roughly 100 days of sales and is the largest single working capital item. FY2025 already required a Rs 347mn loss allowance against doubtful contract assets. Ten days of deterioration is worth roughly Rs 700mn of cash at FY2027 revenue.</t>
  </si>
  <si>
    <t xml:space="preserve">7.  CRO HAS LITTLE OPERATING LEVERAGE BY CONSTRUCTION.  It is an FTE business: cutting headcount cuts CRO revenue close to one-for-one, so margin expansion in this model comes almost entirely from CDMO scale and mix, not from the discovery business.</t>
  </si>
  <si>
    <t xml:space="preserve">8.  MOLECULE ECONOMICS ARE THE WEAKEST EVIDENCED LAYER.  Sai discloses neither molecule names nor customers and management explicitly declined to on the Q4FY26 call. The model therefore does not attempt a bottom-up molecule build; top-4 concentration is carried as a single memo line at 40% of commercial revenue. Treat it as illustrative, not as identified revenue.</t>
  </si>
  <si>
    <t xml:space="preserve">9.  HOW THE REVENUE MODEL IS BUILT.  Six drivers, base case only. CRO is billable FTEs times revenue per FTE. CDMO is commercial molecules times revenue per molecule, plus a single development growth rate. Capacity is a cross-check, not a driver. Everything a quarterly update needs sits in six blue rows on the Revenue_Model sheet.</t>
  </si>
  <si>
    <t xml:space="preserve">SHEET 2  |  REVENUE MODEL</t>
  </si>
  <si>
    <t xml:space="preserve">SIX forecast drivers, all in blue. CRO = billable FTEs x revenue per FTE. CDMO = commercial molecules x revenue per molecule, plus development revenue. Capacity is a cross-check, not a driver. Single base case.</t>
  </si>
  <si>
    <t xml:space="preserve">A.  REPORTED SEGMENT REVENUE   (anchor - refresh from the quarterly deck)</t>
  </si>
  <si>
    <t xml:space="preserve">CRO / Discovery Services - reported</t>
  </si>
  <si>
    <t xml:space="preserve">Q4FY26 investor presentation p.21 - Discovery revenue FY22-FY26 (Rs Cr x 10). REPORTED FACT.</t>
  </si>
  <si>
    <t xml:space="preserve">CDMO / CMC Services - reported</t>
  </si>
  <si>
    <t xml:space="preserve">Q4FY26 investor presentation p.24 - CMC revenue FY22-FY26 (Rs Cr x 10). REPORTED FACT.</t>
  </si>
  <si>
    <t xml:space="preserve">Revenue from operations - audited</t>
  </si>
  <si>
    <t xml:space="preserve">FY25 Annual Report p.179 (FY24 &amp; FY25); audited FY26 consolidated results filed 14-May-2026. REPORTED FACT.</t>
  </si>
  <si>
    <t xml:space="preserve">    Rounding on segment disclosure (Rs Cr granularity)</t>
  </si>
  <si>
    <t xml:space="preserve">Segments are disclosed in Rs Cr only; the residual is carried so the build ties exactly to audited revenue.</t>
  </si>
  <si>
    <t xml:space="preserve">B.  CRO / DISCOVERY   =   BILLABLE FTEs  x  REVENUE PER FTE          [ DRIVERS 1 and 2 ]</t>
  </si>
  <si>
    <t xml:space="preserve">    DRIVER 1   Net billable FTE additions</t>
  </si>
  <si>
    <t xml:space="preserve">Implied historical additions: +34 in FY25, +152 in FY26.</t>
  </si>
  <si>
    <t xml:space="preserve">Billable discovery FTEs</t>
  </si>
  <si>
    <t xml:space="preserve">ANALYST ESTIMATE. Sai discloses 2,605 scientists of 3,401 employees at FY25 but does NOT split them between Discovery and CMC - management declined the split on the Q4FY26 call. Utilisation is embedded here rather than modelled separately. History is calibrated so the implied FTE rate sits inside observed Indian discovery rate cards.</t>
  </si>
  <si>
    <t xml:space="preserve">    DRIVER 2   Revenue per FTE - growth</t>
  </si>
  <si>
    <t xml:space="preserve">Contractual escalation, mix shift toward integrated / biology / DMPK work, and FX. Implied history: FY25 +22.3%, FY26 +9.5%.</t>
  </si>
  <si>
    <t xml:space="preserve">    Revenue per billable FTE</t>
  </si>
  <si>
    <t xml:space="preserve">History derived (reported CRO revenue / billable FTEs).</t>
  </si>
  <si>
    <t xml:space="preserve">        CROSS-CHECK: implied rate per FTE  (USD 000 @ INR 84/USD)</t>
  </si>
  <si>
    <t xml:space="preserve">USD k</t>
  </si>
  <si>
    <t xml:space="preserve">Indian discovery rate cards typically run USD 55k-90k for med-chem and biology FTEs.</t>
  </si>
  <si>
    <t xml:space="preserve">CRO / Discovery revenue</t>
  </si>
  <si>
    <t xml:space="preserve">    check: engine vs reported (history) - must be nil</t>
  </si>
  <si>
    <t xml:space="preserve">    CRO growth  (%)</t>
  </si>
  <si>
    <t xml:space="preserve">CRO bridge  (volume / price - foots exactly)</t>
  </si>
  <si>
    <t xml:space="preserve">    Opening CRO revenue</t>
  </si>
  <si>
    <t xml:space="preserve">    + FTE additions  (volume)</t>
  </si>
  <si>
    <t xml:space="preserve">    + Rate, service mix and FX  (price)</t>
  </si>
  <si>
    <t xml:space="preserve">    = Closing CRO revenue</t>
  </si>
  <si>
    <t xml:space="preserve">        check: bridge vs CRO revenue - must be nil</t>
  </si>
  <si>
    <t xml:space="preserve">C.  CDMO / CMC   =   COMMERCIAL MANUFACTURING  +  DEVELOPMENT          [ DRIVERS 3, 4 and 5 ]</t>
  </si>
  <si>
    <t xml:space="preserve">Two mutually exclusive and collectively exhaustive buckets. Commercial is a molecule count times an average revenue per molecule; development is everything pre-commercial, forecast as a growth rate because Sai does not disclose revenue by development stage.</t>
  </si>
  <si>
    <t xml:space="preserve">C1.  Commercial manufacturing</t>
  </si>
  <si>
    <t xml:space="preserve">    DRIVER 3   Net new commercial molecules  (qualifications less exits)</t>
  </si>
  <si>
    <t xml:space="preserve">REPORTED: FY26 added 4 commercial molecules, 30 to 34 (Q4FY26 call), with two additional large-pharma commercial supply qualifications received. Forecast is net of assumed de-listings and customer in-sourcing.</t>
  </si>
  <si>
    <t xml:space="preserve">Commercial molecules</t>
  </si>
  <si>
    <t xml:space="preserve">REPORTED: FY25 = 30, FY26 = 34 (Q4FY26 deck p.15 and call). FY24 = ANALYST ESTIMATE.</t>
  </si>
  <si>
    <t xml:space="preserve">    DRIVER 4   Revenue per commercial molecule - growth</t>
  </si>
  <si>
    <t xml:space="preserve">Embeds BOTH underlying volume and price growth on the existing portfolio AND the maturation of newly qualified molecules, which earn roughly Rs 110mn in year one against a portfolio average of Rs 243mn. Implied history: FY24 220.4, FY25 201.0, FY26 243.2 - the FY25 dip is the disclosed customer destocking on a commercial intermediate.</t>
  </si>
  <si>
    <t xml:space="preserve">    Revenue per commercial molecule</t>
  </si>
  <si>
    <t xml:space="preserve">History derived. This is the single most important CDMO number in the model - watch it against the count.</t>
  </si>
  <si>
    <t xml:space="preserve">History is the balancing figure so the two buckets tie exactly to reported CDMO revenue. ANALYST ESTIMATE of the split between commercial and development - Sai does not disclose it.</t>
  </si>
  <si>
    <t xml:space="preserve">C2.  Development  (pre-clinical, Phase I-III, validation, process R&amp;D and tech transfer)</t>
  </si>
  <si>
    <t xml:space="preserve">    DRIVER 5   Development revenue - growth</t>
  </si>
  <si>
    <t xml:space="preserve">Forecast as a growth rate, not a programme count, because Sai discloses programme counts but never revenue per programme. Implied history: +17.7% FY25, +26.9% FY26. Includes the dedicated large-pharma development FTE teams management flagged on the Q4FY26 call.</t>
  </si>
  <si>
    <t xml:space="preserve">Residual of reported CDMO revenue less commercial manufacturing. ANALYST ESTIMATE.</t>
  </si>
  <si>
    <t xml:space="preserve">C3.  CDMO revenue</t>
  </si>
  <si>
    <t xml:space="preserve">CDMO / CMC revenue</t>
  </si>
  <si>
    <t xml:space="preserve">    check: buckets vs reported (history) - must be nil</t>
  </si>
  <si>
    <t xml:space="preserve">    CDMO growth  (%)</t>
  </si>
  <si>
    <t xml:space="preserve">    Commercial as % of CDMO</t>
  </si>
  <si>
    <t xml:space="preserve">D.  MANUFACTURING CAPACITY   (cross-check, deliberately NOT a revenue driver)          [ DRIVER 6 ]</t>
  </si>
  <si>
    <t xml:space="preserve">    DRIVER 6   Capacity commissioned in year</t>
  </si>
  <si>
    <t xml:space="preserve">FY26 +91 KL: Bidar Unit IV PB-11 Phase II, Q1FY26, taking total to ~700 KL (Q1FY26 release, 8-Aug-2025). FY27 and FY28 +225 KL each: the 700 to 1,150 KL Bidar expansion (Q4FY26 call). FY29 onward, including the second Hyderabad site, is an ANALYST ASSUMPTION sized to keep revenue per KL credible.</t>
  </si>
  <si>
    <t xml:space="preserve">REPORTED: 475 KL in 2023 and ~700 KL in 2025 (Q3FY26 deck p.27); 1,150 KL by FY28 (Q4FY26 call). FY25 = 609 KL DERIVED.</t>
  </si>
  <si>
    <t xml:space="preserve">Commissioning date is not the revenue start date. A new block is only partly productive in year one while it is qualified, audited by customers and run through validation batches; assumed fully productive from year two.</t>
  </si>
  <si>
    <t xml:space="preserve">    CROSS-CHECK: commercial revenue per effective KL</t>
  </si>
  <si>
    <t xml:space="preserve">INR mn/KL</t>
  </si>
  <si>
    <t xml:space="preserve">If this climbs fast, the model is forecasting output the plant cannot physically make.</t>
  </si>
  <si>
    <t xml:space="preserve">        yoy change in revenue intensity</t>
  </si>
  <si>
    <t xml:space="preserve">        FLAG if intensity growth exceeds 10% p.a.</t>
  </si>
  <si>
    <t xml:space="preserve">E.  TOTAL REVENUE AND RECONCILIATION</t>
  </si>
  <si>
    <t xml:space="preserve">    CRO share of revenue  (%)</t>
  </si>
  <si>
    <t xml:space="preserve">    CDMO share of revenue  (%)</t>
  </si>
  <si>
    <t xml:space="preserve">    CHECK: total revenue vs audited (history) - must be nil</t>
  </si>
  <si>
    <t xml:space="preserve">    Forward 5-year revenue CAGR from this year</t>
  </si>
  <si>
    <t xml:space="preserve">    FLAG: FY25-base 5yr CAGR vs the 15-20% guidance</t>
  </si>
  <si>
    <t xml:space="preserve">F.  FIXED ASSUMPTIONS AND DISCLOSED PORTFOLIO DATA   (set once, not forecast year by year)</t>
  </si>
  <si>
    <t xml:space="preserve">    Share of newly commissioned capacity productive in year one</t>
  </si>
  <si>
    <t xml:space="preserve">ANALYST ASSUMPTION - qualification, customer audit and validation batches absorb most of year one. Single cell, applied to every year.</t>
  </si>
  <si>
    <t xml:space="preserve">    Top-4 commercial molecules as a share of commercial revenue</t>
  </si>
  <si>
    <t xml:space="preserve">Sai discloses no molecule names or customers and management explicitly declined to on the Q4FY26 call. Anchored on disclosed FY26 concentration: top-1 customer 12% of group revenue, top-5 37%, top-10 54%. Memo only - does not drive revenue. CONFIDENCE: LOW.</t>
  </si>
  <si>
    <t xml:space="preserve">        memo: top-4 identified commercial molecules</t>
  </si>
  <si>
    <t xml:space="preserve">        memo: top-4 as % of CDMO revenue</t>
  </si>
  <si>
    <t xml:space="preserve">Disclosed portfolio counts  (history only - track them, they do not drive revenue)</t>
  </si>
  <si>
    <t xml:space="preserve">    Phase III / pre-registration molecules</t>
  </si>
  <si>
    <t xml:space="preserve">REPORTED: FY25 = 6 (Q3FY26 deck p.13), FY26 = 11 (Q4FY26 deck p.15 and call). FY24 = ANALYST ESTIMATE. The leading indicator for the commercial molecule count two to four years out.</t>
  </si>
  <si>
    <t xml:space="preserve">    Early-phase development programmes</t>
  </si>
  <si>
    <t xml:space="preserve">REPORTED: FY25 = 160 (Q3FY26 deck p.19), FY26 = 155 (Q4FY26 deck p.24 and call). FY24 = ANALYST ESTIMATE.</t>
  </si>
  <si>
    <t xml:space="preserve">    CROSS-CHECK: development revenue per active programme</t>
  </si>
  <si>
    <t xml:space="preserve">History: 25.5 / 28.0 / 35.5 INR mn per active development programme. Update the counts each quarter and check that the implied intensity is not running away from you.</t>
  </si>
  <si>
    <t xml:space="preserve">    New modalities  (% of group revenue)</t>
  </si>
  <si>
    <t xml:space="preserve">REPORTED: FY22 4%, FY23 3%, FY24 3%, FY25 7%, FY26 4% (Q4FY26 deck p.25). Lumpy because new-modality work is campaign-driven, not commercial. Memo only.</t>
  </si>
  <si>
    <t xml:space="preserve">SHEET 3  |  INCOME STATEMENT, BALANCE SHEET AND CASH FLOW STATEMENT</t>
  </si>
  <si>
    <t xml:space="preserve">Consolidated, Ind AS, INR million. FY2024A-FY2026A are hardcoded from the audited financial statements. FY2027E-FY2035E are fully formula-driven from the Revenue_Model and Schedules sheets.</t>
  </si>
  <si>
    <t xml:space="preserve">I.  CONSOLIDATED INCOME STATEMENT</t>
  </si>
  <si>
    <t xml:space="preserve">    Cost of materials, chemicals &amp; reagents (net of WIP)</t>
  </si>
  <si>
    <t xml:space="preserve">Material margin</t>
  </si>
  <si>
    <t xml:space="preserve">    Employee benefits expense</t>
  </si>
  <si>
    <t xml:space="preserve">    Other operating expenses</t>
  </si>
  <si>
    <t xml:space="preserve">    Net foreign exchange gain / (loss)</t>
  </si>
  <si>
    <t xml:space="preserve">    Depreciation and amortisation</t>
  </si>
  <si>
    <t xml:space="preserve">EBIT</t>
  </si>
  <si>
    <t xml:space="preserve">    EBIT margin  (%)</t>
  </si>
  <si>
    <t xml:space="preserve">    Other income (interest and investment income)</t>
  </si>
  <si>
    <t xml:space="preserve">    Finance costs</t>
  </si>
  <si>
    <t xml:space="preserve">Profit before exceptional items and tax</t>
  </si>
  <si>
    <t xml:space="preserve">    Exceptional items</t>
  </si>
  <si>
    <t xml:space="preserve">Profit before tax</t>
  </si>
  <si>
    <t xml:space="preserve">    Current tax</t>
  </si>
  <si>
    <t xml:space="preserve">    Deferred tax</t>
  </si>
  <si>
    <t xml:space="preserve">    Total tax expense</t>
  </si>
  <si>
    <t xml:space="preserve">    Effective tax rate  (%)</t>
  </si>
  <si>
    <t xml:space="preserve">    Diluted weighted average shares</t>
  </si>
  <si>
    <t xml:space="preserve">mn</t>
  </si>
  <si>
    <t xml:space="preserve">    CHECK: PAT vs audited (history) - must be nil</t>
  </si>
  <si>
    <t xml:space="preserve">II.  CONSOLIDATED BALANCE SHEET</t>
  </si>
  <si>
    <t xml:space="preserve">Assets</t>
  </si>
  <si>
    <t xml:space="preserve">    Property, plant and equipment</t>
  </si>
  <si>
    <t xml:space="preserve">    Right-of-use assets</t>
  </si>
  <si>
    <t xml:space="preserve">    Capital work-in-progress</t>
  </si>
  <si>
    <t xml:space="preserve">    Intangible assets</t>
  </si>
  <si>
    <t xml:space="preserve">    Other non-current assets</t>
  </si>
  <si>
    <t xml:space="preserve">Total non-current assets</t>
  </si>
  <si>
    <t xml:space="preserve">    Inventories</t>
  </si>
  <si>
    <t xml:space="preserve">    Trade receivables</t>
  </si>
  <si>
    <t xml:space="preserve">    Other current assets (mainly contract assets)</t>
  </si>
  <si>
    <t xml:space="preserve">    Other financial assets (current)</t>
  </si>
  <si>
    <t xml:space="preserve">    Bank deposits and current investments</t>
  </si>
  <si>
    <t xml:space="preserve">    Cash and cash equivalents</t>
  </si>
  <si>
    <t xml:space="preserve">Total current assets</t>
  </si>
  <si>
    <t xml:space="preserve">TOTAL ASSETS</t>
  </si>
  <si>
    <t xml:space="preserve">Equity and liabilities</t>
  </si>
  <si>
    <t xml:space="preserve">    Equity share capital</t>
  </si>
  <si>
    <t xml:space="preserve">    Other equity</t>
  </si>
  <si>
    <t xml:space="preserve">Total equity</t>
  </si>
  <si>
    <t xml:space="preserve">    Borrowings - non-current</t>
  </si>
  <si>
    <t xml:space="preserve">    Lease liabilities - non-current</t>
  </si>
  <si>
    <t xml:space="preserve">    Deferred tax liabilities (net of DTA within other assets)</t>
  </si>
  <si>
    <t xml:space="preserve">    Provisions - non-current</t>
  </si>
  <si>
    <t xml:space="preserve">Total non-current liabilities</t>
  </si>
  <si>
    <t xml:space="preserve">    Borrowings - current</t>
  </si>
  <si>
    <t xml:space="preserve">    Lease liabilities - current</t>
  </si>
  <si>
    <t xml:space="preserve">    Trade payables</t>
  </si>
  <si>
    <t xml:space="preserve">    Other financial liabilities (current)</t>
  </si>
  <si>
    <t xml:space="preserve">    Other current liabilities</t>
  </si>
  <si>
    <t xml:space="preserve">    Provisions - current</t>
  </si>
  <si>
    <t xml:space="preserve">    Current tax liabilities (net)</t>
  </si>
  <si>
    <t xml:space="preserve">Total current liabilities</t>
  </si>
  <si>
    <t xml:space="preserve">TOTAL EQUITY AND LIABILITIES</t>
  </si>
  <si>
    <t xml:space="preserve">CHECK: balance sheet balances - must be nil</t>
  </si>
  <si>
    <t xml:space="preserve">III.  CONSOLIDATED CASH FLOW STATEMENT  (indirect method)</t>
  </si>
  <si>
    <t xml:space="preserve">Cash flow from operating activities</t>
  </si>
  <si>
    <t xml:space="preserve">    Profit before tax</t>
  </si>
  <si>
    <t xml:space="preserve">    Add: depreciation and amortisation</t>
  </si>
  <si>
    <t xml:space="preserve">    Add: finance costs</t>
  </si>
  <si>
    <t xml:space="preserve">    Add: share-based payments and other non-cash items</t>
  </si>
  <si>
    <t xml:space="preserve">History = equity-settled share-based payments, loss allowances, CWIP written off, unrealised FX and loss on disposal, per the consolidated cash flow statement. Forecast = share-based payments only (credit losses are already expensed in other operating expenses and settle through working capital).</t>
  </si>
  <si>
    <t xml:space="preserve">    Less: interest and investment income</t>
  </si>
  <si>
    <t xml:space="preserve">    Operating cash flow before working capital changes</t>
  </si>
  <si>
    <t xml:space="preserve">    (Increase) / decrease in net working capital</t>
  </si>
  <si>
    <t xml:space="preserve">History = the sum of the working capital movements disclosed in the consolidated cash flow statement.</t>
  </si>
  <si>
    <t xml:space="preserve">    Movement in other non-current assets</t>
  </si>
  <si>
    <t xml:space="preserve">    Income taxes paid</t>
  </si>
  <si>
    <t xml:space="preserve">NET CASH FROM OPERATING ACTIVITIES</t>
  </si>
  <si>
    <t xml:space="preserve">    check: vs reported CFO (history) - must be nil</t>
  </si>
  <si>
    <t xml:space="preserve">Cash flow from investing activities</t>
  </si>
  <si>
    <t xml:space="preserve">    Purchase of PP&amp;E, intangibles and CWIP</t>
  </si>
  <si>
    <t xml:space="preserve">    Proceeds from sale of PP&amp;E</t>
  </si>
  <si>
    <t xml:space="preserve">Per the consolidated cash flow statement.</t>
  </si>
  <si>
    <t xml:space="preserve">    Movement in bank deposits and current investments</t>
  </si>
  <si>
    <t xml:space="preserve">History = movement in other bank balances, corporate deposits, mutual funds and investments in other entities.</t>
  </si>
  <si>
    <t xml:space="preserve">    Interest income received</t>
  </si>
  <si>
    <t xml:space="preserve">NET CASH USED IN INVESTING ACTIVITIES</t>
  </si>
  <si>
    <t xml:space="preserve">Cash flow from financing activities</t>
  </si>
  <si>
    <t xml:space="preserve">    Proceeds from borrowings</t>
  </si>
  <si>
    <t xml:space="preserve">    Repayment of borrowings</t>
  </si>
  <si>
    <t xml:space="preserve">    Repayment of lease liabilities - principal</t>
  </si>
  <si>
    <t xml:space="preserve">    Repayment of lease liabilities - interest</t>
  </si>
  <si>
    <t xml:space="preserve">    Interest paid on borrowings</t>
  </si>
  <si>
    <t xml:space="preserve">History per the consolidated cash flow statement (net of borrowing costs capitalised).</t>
  </si>
  <si>
    <t xml:space="preserve">    Proceeds from issue of equity shares (net of issue costs)</t>
  </si>
  <si>
    <t xml:space="preserve">FY25 includes the IPO fresh issue of Rs 9,500mn net of transaction costs.</t>
  </si>
  <si>
    <t xml:space="preserve">    Dividend paid</t>
  </si>
  <si>
    <t xml:space="preserve">NET CASH FROM / (USED IN) FINANCING ACTIVITIES</t>
  </si>
  <si>
    <t xml:space="preserve">Cash reconciliation</t>
  </si>
  <si>
    <t xml:space="preserve">    Net increase / (decrease) in cash</t>
  </si>
  <si>
    <t xml:space="preserve">    Effect of exchange differences on cash</t>
  </si>
  <si>
    <t xml:space="preserve">    Cash and cash equivalents - opening</t>
  </si>
  <si>
    <t xml:space="preserve">    Cash and cash equivalents - closing</t>
  </si>
  <si>
    <t xml:space="preserve">CHECK: closing cash vs balance sheet - must be nil</t>
  </si>
  <si>
    <t xml:space="preserve">    Note: for FY2025A the statutory cash flow closing balance (910.52) differs from the balance sheet cash line (911.19) by a 0.67 book overdraft reclassification; historical statements are presented as reported.</t>
  </si>
  <si>
    <t xml:space="preserve">IV.  FREE CASH FLOW AND RETURNS</t>
  </si>
  <si>
    <t xml:space="preserve">    ROCE  (EBIT / average capital employed)</t>
  </si>
  <si>
    <t xml:space="preserve">    ROE  (PAT / average equity)</t>
  </si>
  <si>
    <t xml:space="preserve">SHEET 4  |  SUPPORTING SCHEDULES</t>
  </si>
  <si>
    <t xml:space="preserve">Cost build, PP&amp;E and capex, working capital, debt and interest, tax, equity and share count. Every forecast line in the Statements sheet is driven from this sheet.</t>
  </si>
  <si>
    <t xml:space="preserve">0.  DRIVERS IMPORTED FROM THE REVENUE MODEL</t>
  </si>
  <si>
    <t xml:space="preserve">    Net group headcount additions  &lt;-- INPUT</t>
  </si>
  <si>
    <t xml:space="preserve">FY26 net addition was approximately +400. Additions taper so headcount growth runs below revenue growth - that is what produces employee-cost operating leverage.</t>
  </si>
  <si>
    <t xml:space="preserve">    Total employees (period end)</t>
  </si>
  <si>
    <t xml:space="preserve">FY25: 3,401 permanent employees (FY25 Annual Report p.33). FY26: 3,800+ (Q4FY26 deck p.15). FY24: ANALYST ESTIMATE derived from FY24 employee cost divided by FY25 average cost deflated by the disclosed 9.12% salary increase.</t>
  </si>
  <si>
    <t xml:space="preserve">    Capacity commissioned in year</t>
  </si>
  <si>
    <t xml:space="preserve">1.  COST AND MARGIN SCHEDULE</t>
  </si>
  <si>
    <t xml:space="preserve">1a.  Material, chemicals and reagents (net of change in WIP)</t>
  </si>
  <si>
    <t xml:space="preserve">    Reported material cost, net of WIP movement</t>
  </si>
  <si>
    <t xml:space="preserve">FY25 AR p.179 and FY26 audited results: cost of material, chemicals &amp; reagents consumed plus changes in inventories of WIP. REPORTED FACT.</t>
  </si>
  <si>
    <t xml:space="preserve">        CRO consumables ratio  (% of CRO revenue)</t>
  </si>
  <si>
    <t xml:space="preserve">ANALYST ASSUMPTION - discovery work is labour-intensive; reagents and consumables run at a high single-digit percentage of revenue.</t>
  </si>
  <si>
    <t xml:space="preserve">        CDMO material ratio  (% of CDMO revenue)</t>
  </si>
  <si>
    <t xml:space="preserve">History derived so total material cost ties to the audited number: 41.9% FY24, 38.9% FY25, 35.9% FY26. FY27 normalises upward because FY26 benefited from a Rs 34 Cr destocking provision reversal; thereafter mix and scale drive a slow decline.</t>
  </si>
  <si>
    <t xml:space="preserve">    Material cost</t>
  </si>
  <si>
    <t xml:space="preserve">        check: vs reported (history) - must be nil</t>
  </si>
  <si>
    <t xml:space="preserve">    Material margin</t>
  </si>
  <si>
    <t xml:space="preserve">        Material margin  (%)</t>
  </si>
  <si>
    <t xml:space="preserve">Company discloses material margin of 72.5% in FY25 and 74.0% in FY26 (Q4FY26 deck p.10) - the build reproduces both.</t>
  </si>
  <si>
    <t xml:space="preserve">1b.  Employee benefits expense</t>
  </si>
  <si>
    <t xml:space="preserve">    Reported employee benefits expense</t>
  </si>
  <si>
    <t xml:space="preserve">FY25 AR p.179 note 31; FY26 audited results. REPORTED FACT.</t>
  </si>
  <si>
    <t xml:space="preserve">        Average cost per employee - growth  (%)</t>
  </si>
  <si>
    <t xml:space="preserve">ANALYST ASSUMPTION. FY25 average salary increase for non-managerial staff was 9.12% (FY25 AR p.60); mix effects from senior scientific and leadership hiring add to base wage inflation.</t>
  </si>
  <si>
    <t xml:space="preserve">        Average cost per employee</t>
  </si>
  <si>
    <t xml:space="preserve">History derived. FY24 1.48, FY25 1.61, FY26 1.80 INR mn per employee.</t>
  </si>
  <si>
    <t xml:space="preserve">        Employee cost  (% of revenue)</t>
  </si>
  <si>
    <t xml:space="preserve">1c.  Other operating expenses</t>
  </si>
  <si>
    <t xml:space="preserve">    Reported other expenses</t>
  </si>
  <si>
    <t xml:space="preserve">FY25 AR p.179 note 34; FY26 audited results. REPORTED FACT.</t>
  </si>
  <si>
    <t xml:space="preserve">        Production &amp; facility overhead - reported / estimated (history)</t>
  </si>
  <si>
    <t xml:space="preserve">FY24 and FY25 are the sum of power and fuel, stores and spares and repairs and maintenance per note 34. FY26 is apportioned pro-rata to the growth in other expenses excluding credit losses, because the FY26 annual report is not yet published. ANALYST ESTIMATE for FY26.</t>
  </si>
  <si>
    <t xml:space="preserve">        Production &amp; facility overhead - variable  (% of CDMO revenue)</t>
  </si>
  <si>
    <t xml:space="preserve">Variable element of site overhead - power, fuel and consumable spares that flow with production volume.</t>
  </si>
  <si>
    <t xml:space="preserve">        Production &amp; facility overhead - fixed  (INR mn per installed KL)</t>
  </si>
  <si>
    <t xml:space="preserve">Derived for history so the bucket ties exactly. Fixed site overhead - minimum demand charges, plant maintenance, EHS. Captures under-absorption when new blocks are commissioned ahead of revenue. Escalated 1% p.a., reflecting scale efficiency and the shift of the Bidar site to 100% renewable power.</t>
  </si>
  <si>
    <t xml:space="preserve">    Production &amp; facility overhead</t>
  </si>
  <si>
    <t xml:space="preserve">Fixed overhead is charged on AVERAGE installed capacity for the year, so a block commissioned mid-year carries only half a year of site cost.</t>
  </si>
  <si>
    <t xml:space="preserve">        Corporate, selling, freight, travel &amp; technology  (% of revenue)</t>
  </si>
  <si>
    <t xml:space="preserve">Legal and professional, travel, freight, insurance, membership, communication and IT. Derived for history so the build ties exactly (6.2% FY24, 5.9% FY25, 6.3% FY26). Scenario lever L_opex is added to this ratio in the forecast.</t>
  </si>
  <si>
    <t xml:space="preserve">    Corporate, selling and other expenses</t>
  </si>
  <si>
    <t xml:space="preserve">    Credit loss allowance / bad debts (net)</t>
  </si>
  <si>
    <t xml:space="preserve">FY24 and FY25 from note 34 (loss allowance on receivables and contract assets, bad debts, CWIP written off). FY26 is a NET REVERSAL as the destocked commercial product resumed shipment. REPORTED / DERIVED.</t>
  </si>
  <si>
    <t xml:space="preserve">        Normalised credit loss  (% of revenue)</t>
  </si>
  <si>
    <t xml:space="preserve">ANALYST ASSUMPTION - normalised through the cycle. FY24 1.1%, FY25 2.0%, FY26 (1.1)% actual.</t>
  </si>
  <si>
    <t xml:space="preserve">1d.  EBITDA</t>
  </si>
  <si>
    <t xml:space="preserve">        Net FX gain  (% of revenue)</t>
  </si>
  <si>
    <t xml:space="preserve">History: 1.00% FY24, 1.13% FY25, 1.37% FY26. Roughly 97% of revenue is exported, so realised hedging and translation gains have been persistent. Forecast at a deliberately conservative 0.8% - below every historical year - because forecasting FX gains flatters the margin.</t>
  </si>
  <si>
    <t xml:space="preserve">FY24 146.26 and FY25 190.76 from note 28 (other income). FY26 300.18 derived as other income less interest income and the FVTPL gain, and reconciles to the Rs 30 Cr FX gain in the Q4FY26 deck EBITDA bridge. The company includes net FX within EBITDA, so the model follows that definition and shows EBITDA excluding FX as a memo line.</t>
  </si>
  <si>
    <t xml:space="preserve">EBITDA  (company definition, includes net FX)</t>
  </si>
  <si>
    <t xml:space="preserve">Reported: 20.5% FY24, 25.1% FY25, 30.2% FY26. Guidance 28-30% (Q4FY26 call).</t>
  </si>
  <si>
    <t xml:space="preserve">    memo: EBITDA excluding net FX</t>
  </si>
  <si>
    <t xml:space="preserve">    memo: EBITDA margin excluding net FX  (%)</t>
  </si>
  <si>
    <t xml:space="preserve">    FLAG: EBITDA margin vs 28-30% guidance</t>
  </si>
  <si>
    <t xml:space="preserve">2.  PP&amp;E, CAPEX, CWIP AND DEPRECIATION SCHEDULE</t>
  </si>
  <si>
    <t xml:space="preserve">Capex (cash, incl. capital advances &amp; creditors)  &lt;-- INPUT</t>
  </si>
  <si>
    <t xml:space="preserve">History = purchase of PP&amp;E and intangibles per the consolidated cash flow statement; company-stated FY26 capex was Rs 633 Cr. FY27 = Rs 1,200 Cr, the midpoint of the guided Rs 1,100-1,300 Cr (Q4FY26 call). FY28 onward is an ANALYST ASSUMPTION reflecting completion of the 1,150 KL programme and a second Hyderabad site.</t>
  </si>
  <si>
    <t xml:space="preserve">        Maintenance capex  (% of revenue)</t>
  </si>
  <si>
    <t xml:space="preserve">ANALYST ASSUMPTION - routine replacement, compliance and EHS spend.</t>
  </si>
  <si>
    <t xml:space="preserve">        of which: maintenance capex</t>
  </si>
  <si>
    <t xml:space="preserve">        of which: growth capex</t>
  </si>
  <si>
    <t xml:space="preserve">        CDMO share of capex  (%)</t>
  </si>
  <si>
    <t xml:space="preserve">REPORTED: FY26 62% CDMO / 38% CRO; FY27 guided 70% CDMO / 30% CRO on the deck and 65/35 on the call (Q4FY26 deck p.7). FY24-25 ANALYST ESTIMATE.</t>
  </si>
  <si>
    <t xml:space="preserve">        of which: CDMO / manufacturing capex</t>
  </si>
  <si>
    <t xml:space="preserve">        of which: CRO / R&amp;D capex</t>
  </si>
  <si>
    <t xml:space="preserve">2a.  Intangible assets</t>
  </si>
  <si>
    <t xml:space="preserve">        Intangible additions  (% of capex)</t>
  </si>
  <si>
    <t xml:space="preserve">ANALYST ASSUMPTION - software, digital and AI tooling. Management confirmed AI tools are capitalised (Q4FY26 call).</t>
  </si>
  <si>
    <t xml:space="preserve">    Intangible additions</t>
  </si>
  <si>
    <t xml:space="preserve">FY26 derived from the movement in intangible assets and estimated amortisation.</t>
  </si>
  <si>
    <t xml:space="preserve">    Amortisation of intangible assets</t>
  </si>
  <si>
    <t xml:space="preserve">FY24 and FY25 from note 33. FY26 is an ANALYST ESTIMATE within the reported total D&amp;A of 1,668.55. Amortised at ~22% p.a.</t>
  </si>
  <si>
    <t xml:space="preserve">    Intangible assets - closing</t>
  </si>
  <si>
    <t xml:space="preserve">FY25 AR p.178 and FY26 audited balance sheet. REPORTED FACT.</t>
  </si>
  <si>
    <t xml:space="preserve">2b.  Capital work-in-progress</t>
  </si>
  <si>
    <t xml:space="preserve">    CWIP - opening</t>
  </si>
  <si>
    <t xml:space="preserve">        + additions (capex excluding intangibles)</t>
  </si>
  <si>
    <t xml:space="preserve">        CWIP retention  (% of the year's additions still in CWIP at year end)</t>
  </si>
  <si>
    <t xml:space="preserve">ANALYST ASSUMPTION. A brownfield block takes ~18 months to build (Q4FY26 call), so a large share of each year's spend is still uncapitalised at year end. Implied history: 59% FY24, 34% FY25, 44% FY26.</t>
  </si>
  <si>
    <t xml:space="preserve">    CWIP - closing</t>
  </si>
  <si>
    <t xml:space="preserve">        - capitalised to PP&amp;E</t>
  </si>
  <si>
    <t xml:space="preserve">2c.  Property, plant and equipment</t>
  </si>
  <si>
    <t xml:space="preserve">    Net PP&amp;E - opening</t>
  </si>
  <si>
    <t xml:space="preserve">        Depreciation rate  (% of opening net block)</t>
  </si>
  <si>
    <t xml:space="preserve">Implied history: 9.6% FY25, 9.5% FY26 of opening net PP&amp;E. Half-year convention applied to the year's capitalisations.</t>
  </si>
  <si>
    <t xml:space="preserve">    Depreciation of PP&amp;E</t>
  </si>
  <si>
    <t xml:space="preserve">FY24 and FY25 from note 33. FY26 is an ANALYST ESTIMATE within reported total D&amp;A of 1,668.55 (the FY26 annual report is not yet published).</t>
  </si>
  <si>
    <t xml:space="preserve">        Disposals at net book value</t>
  </si>
  <si>
    <t xml:space="preserve">Derived from proceeds on sale and the gain/loss recognised in the cash flow statement.</t>
  </si>
  <si>
    <t xml:space="preserve">    Net PP&amp;E - closing</t>
  </si>
  <si>
    <t xml:space="preserve">2d.  Right-of-use assets and lease liabilities</t>
  </si>
  <si>
    <t xml:space="preserve">        ROU additions  (% of revenue)</t>
  </si>
  <si>
    <t xml:space="preserve">ANALYST ASSUMPTION - leased laboratory, office and Boston / Manchester facilities. FY26 implied 1.36% of revenue.</t>
  </si>
  <si>
    <t xml:space="preserve">    ROU asset additions</t>
  </si>
  <si>
    <t xml:space="preserve">    Depreciation of ROU assets</t>
  </si>
  <si>
    <t xml:space="preserve">FY24 and FY25 from note 33; FY26 ANALYST ESTIMATE within reported total D&amp;A. ~16.5% of opening ROU assets.</t>
  </si>
  <si>
    <t xml:space="preserve">    Right-of-use assets - closing</t>
  </si>
  <si>
    <t xml:space="preserve">    Lease liabilities - opening</t>
  </si>
  <si>
    <t xml:space="preserve">        + interest accrued on lease liabilities</t>
  </si>
  <si>
    <t xml:space="preserve">FY24 / FY25 note 32; FY26 from the consolidated cash flow statement. ~11% implied incremental borrowing rate.</t>
  </si>
  <si>
    <t xml:space="preserve">        - lease payments (principal portion)</t>
  </si>
  <si>
    <t xml:space="preserve">Repayment of the principal portion of lease liabilities per the consolidated cash flow statement.</t>
  </si>
  <si>
    <t xml:space="preserve">    Lease liabilities - closing</t>
  </si>
  <si>
    <t xml:space="preserve">Non-current plus current lease liabilities. FY25 AR p.178 and FY26 audited balance sheet. REPORTED FACT.</t>
  </si>
  <si>
    <t xml:space="preserve">        of which: current portion</t>
  </si>
  <si>
    <t xml:space="preserve">FY26 current portion was 34.0% of total lease liabilities.</t>
  </si>
  <si>
    <t xml:space="preserve">2e.  Total depreciation and amortisation</t>
  </si>
  <si>
    <t xml:space="preserve">Depreciation and amortisation expense</t>
  </si>
  <si>
    <t xml:space="preserve">    Reported D&amp;A (history)</t>
  </si>
  <si>
    <t xml:space="preserve">FY25 AR p.179; FY26 audited results. REPORTED FACT.</t>
  </si>
  <si>
    <t xml:space="preserve">        check: build vs reported - must be nil</t>
  </si>
  <si>
    <t xml:space="preserve">    CROSS-CHECK: revenue per employee</t>
  </si>
  <si>
    <t xml:space="preserve">Grew 13.8% in FY25 and 15.8% in FY26. The forecast assumes 6-8% - if it runs faster, headcount is too low.</t>
  </si>
  <si>
    <t xml:space="preserve">    Fixed asset turnover  (revenue / net PP&amp;E + CWIP)</t>
  </si>
  <si>
    <t xml:space="preserve">Management targets a net asset turn of 1.2x-1.4x through the medium term, with a dip during the investment cycle (Q4FY26 call).</t>
  </si>
  <si>
    <t xml:space="preserve">3.  WORKING CAPITAL SCHEDULE</t>
  </si>
  <si>
    <t xml:space="preserve">Days are computed on 365. Contract assets (unbilled revenue) are the largest item and the key working capital risk.</t>
  </si>
  <si>
    <t xml:space="preserve">    Inventory days  (on material cost)</t>
  </si>
  <si>
    <t xml:space="preserve">History: 71.6 / 93.2 / 96.5 days. Elevated versus FY24 on raw-material stocking, longer campaigns and supply-chain diversification.</t>
  </si>
  <si>
    <t xml:space="preserve">    Trade receivable days  (on revenue)</t>
  </si>
  <si>
    <t xml:space="preserve">History: 63.8 / 76.4 / 62.2 days.</t>
  </si>
  <si>
    <t xml:space="preserve">    Other current asset days  (on revenue)</t>
  </si>
  <si>
    <t xml:space="preserve">Dominated by contract assets (unbilled revenue): 2,968.16 of 3,632.11 in FY24 and 3,963.24 of 4,873.57 in FY25 (note 13). This is the single largest working capital item and the key WC risk in the model.</t>
  </si>
  <si>
    <t xml:space="preserve">    Other current assets  (mainly contract assets)</t>
  </si>
  <si>
    <t xml:space="preserve">    Other current financial asset days  (on revenue)</t>
  </si>
  <si>
    <t xml:space="preserve">    Trade payable days  (on material cost)</t>
  </si>
  <si>
    <t xml:space="preserve">History: 113.4 / 252.8 / 182.4 days. FY25 was inflated by year-end purchasing; the forecast reverts toward the FY26 level.</t>
  </si>
  <si>
    <t xml:space="preserve">Micro &amp; small enterprise dues plus other creditors. FY25 AR p.178 and FY26 audited balance sheet. REPORTED FACT.</t>
  </si>
  <si>
    <t xml:space="preserve">    Other current financial liabilities  (% of capex)</t>
  </si>
  <si>
    <t xml:space="preserve">Predominantly capital creditors and employee payables, so driven off capex. History: 17.5% / 20.4% / 27.6%.</t>
  </si>
  <si>
    <t xml:space="preserve">FY25 AR p.178 and FY26 audited balance sheet. FY24 includes the 13.33 non-current other financial liability, which is not shown separately in this condensed balance sheet. REPORTED FACT.</t>
  </si>
  <si>
    <t xml:space="preserve">    Other current liability days  (on revenue)</t>
  </si>
  <si>
    <t xml:space="preserve">Includes advances from customers and contract liabilities. History: 21.6 / 27.6 / 28.7 days.</t>
  </si>
  <si>
    <t xml:space="preserve">    Provisions  (% of employee cost)</t>
  </si>
  <si>
    <t xml:space="preserve">Gratuity and compensated absences. FY26 was inflated by the wage-definition change booked as an exceptional item.</t>
  </si>
  <si>
    <t xml:space="preserve">    Provisions (current and non-current)</t>
  </si>
  <si>
    <t xml:space="preserve">FY25 AR p.178 and FY26 audited balance sheet (note 22 current + non-current). REPORTED FACT.</t>
  </si>
  <si>
    <t xml:space="preserve">        of which: non-current</t>
  </si>
  <si>
    <t xml:space="preserve">Net operating working capital</t>
  </si>
  <si>
    <t xml:space="preserve">    Net working capital days  (on revenue)</t>
  </si>
  <si>
    <t xml:space="preserve">4.  DEBT, INTEREST, CASH AND LIQUIDITY SCHEDULE</t>
  </si>
  <si>
    <t xml:space="preserve">Interest is computed on the OPENING debt balance. This is a deliberate choice: it makes the funding requirement solvable in one pass and keeps the workbook completely free of circular references, which is a stated model requirement. The average-balance equivalent is shown as a memo line below so the difference is visible.</t>
  </si>
  <si>
    <t xml:space="preserve">    Minimum operating cash  (% of revenue)</t>
  </si>
  <si>
    <t xml:space="preserve">ANALYST ASSUMPTION. FY26 closing cash was 3.7% of revenue.</t>
  </si>
  <si>
    <t xml:space="preserve">    Minimum operating cash</t>
  </si>
  <si>
    <t xml:space="preserve">    Total borrowings - opening</t>
  </si>
  <si>
    <t xml:space="preserve">        Interest rate on borrowings  (%)</t>
  </si>
  <si>
    <t xml:space="preserve">ANALYST ASSUMPTION - INR term and working capital facilities. Company is investment grade (ICRA / Fitch rated).</t>
  </si>
  <si>
    <t xml:space="preserve">        Interest on borrowings  (on opening balance)</t>
  </si>
  <si>
    <t xml:space="preserve">History = total finance costs less lease interest (note 32).</t>
  </si>
  <si>
    <t xml:space="preserve">        Scheduled term debt repayment</t>
  </si>
  <si>
    <t xml:space="preserve">Six-year straight-line amortisation of the opening facility.</t>
  </si>
  <si>
    <t xml:space="preserve">    Cash available before new borrowing</t>
  </si>
  <si>
    <t xml:space="preserve">        + New borrowing drawn</t>
  </si>
  <si>
    <t xml:space="preserve">        - Voluntary repayment from surplus cash</t>
  </si>
  <si>
    <t xml:space="preserve">    Total borrowings - closing</t>
  </si>
  <si>
    <t xml:space="preserve">Non-current plus current borrowings. FY25 AR p.178 and FY26 audited balance sheet. REPORTED FACT.</t>
  </si>
  <si>
    <t xml:space="preserve">Current maturities of term debt plus working capital borrowings.</t>
  </si>
  <si>
    <t xml:space="preserve">        memo: interest if computed on average debt</t>
  </si>
  <si>
    <t xml:space="preserve">    Total finance costs</t>
  </si>
  <si>
    <t xml:space="preserve">FY25 AR p.179 and FY26 audited results. REPORTED FACT.</t>
  </si>
  <si>
    <t xml:space="preserve">Other bank balances plus current investments. FY26: 289.57 + 469.92. Held broadly flat in the forecast, growing 5% p.a.</t>
  </si>
  <si>
    <t xml:space="preserve">        Yield on cash and deposits  (%)</t>
  </si>
  <si>
    <t xml:space="preserve">ANALYST ASSUMPTION - Indian bank deposit and liquid fund yields, applied to opening balances.</t>
  </si>
  <si>
    <t xml:space="preserve">    Interest and investment income</t>
  </si>
  <si>
    <t xml:space="preserve">FY24 / FY25 note 28; FY26 = interest income 186.18 plus FVTPL gain 4.92 from the cash flow statement.</t>
  </si>
  <si>
    <t xml:space="preserve">    Other non-operating income</t>
  </si>
  <si>
    <t xml:space="preserve">Residual of other income after interest income and FX. Not forecast.</t>
  </si>
  <si>
    <t xml:space="preserve">    Other income (below EBITDA)</t>
  </si>
  <si>
    <t xml:space="preserve">FY25 AR p.178 and FY26 audited balance sheet. Forecast is the closing balance from the cash flow statement in the Statements sheet.</t>
  </si>
  <si>
    <t xml:space="preserve">    Net debt / (net cash)</t>
  </si>
  <si>
    <t xml:space="preserve">5.  TAX SCHEDULE</t>
  </si>
  <si>
    <t xml:space="preserve">FY26: loss arising from the change in wage definition, increasing gratuity and leave provisions (FY26 results note 4). Not forecast.</t>
  </si>
  <si>
    <t xml:space="preserve">        Reported PBT (history)</t>
  </si>
  <si>
    <t xml:space="preserve">History: 24.2% FY24, 25.3% FY25, 25.2% FY26. Forecast at 25.5%, broadly the Indian statutory rate of 25.17% plus a small overseas mix effect.</t>
  </si>
  <si>
    <t xml:space="preserve">        Deferred tax share of total tax  (%)</t>
  </si>
  <si>
    <t xml:space="preserve">ANALYST ASSUMPTION. Accelerated tax depreciation on the FY27-FY29 capex cycle keeps the deferred tax liability building. History: 70.6% FY24, 41.2% FY25, 24.6% FY26.</t>
  </si>
  <si>
    <t xml:space="preserve">        Deferred tax</t>
  </si>
  <si>
    <t xml:space="preserve">        Current tax</t>
  </si>
  <si>
    <t xml:space="preserve">        Current tax liability  (% of current tax)</t>
  </si>
  <si>
    <t xml:space="preserve">ANALYST ASSUMPTION - timing of advance tax instalments. FY26 was 58.4%.</t>
  </si>
  <si>
    <t xml:space="preserve">    Income taxes paid (cash)</t>
  </si>
  <si>
    <t xml:space="preserve">History per the consolidated cash flow statement.</t>
  </si>
  <si>
    <t xml:space="preserve">    Deferred tax liabilities (gross, balance sheet)</t>
  </si>
  <si>
    <t xml:space="preserve">    Profit after tax</t>
  </si>
  <si>
    <t xml:space="preserve">6.  EQUITY, SHARE COUNT AND EPS SCHEDULE</t>
  </si>
  <si>
    <t xml:space="preserve">    Equity share capital - opening</t>
  </si>
  <si>
    <t xml:space="preserve">        Proceeds from issue of equity shares (ESOP exercise)</t>
  </si>
  <si>
    <t xml:space="preserve">FY25 includes the Rs 9,500mn IPO fresh issue. Forecast is ESOP exercise only. ANALYST ASSUMPTION.</t>
  </si>
  <si>
    <t xml:space="preserve">        Increase in share capital (face value Rs 1)</t>
  </si>
  <si>
    <t xml:space="preserve">ANALYST ASSUMPTION - approximately 3.0mn ESOP shares per year at Rs 1 face value.</t>
  </si>
  <si>
    <t xml:space="preserve">    Equity share capital - closing</t>
  </si>
  <si>
    <t xml:space="preserve">        Equity-settled share-based payment expense</t>
  </si>
  <si>
    <t xml:space="preserve">Note 31 / cash flow statement. Forecast ANALYST ASSUMPTION.</t>
  </si>
  <si>
    <t xml:space="preserve">        Other comprehensive income, net of tax</t>
  </si>
  <si>
    <t xml:space="preserve">Cash flow hedge reserve and foreign operation translation. Not forecast.</t>
  </si>
  <si>
    <t xml:space="preserve">        Dividend paid</t>
  </si>
  <si>
    <t xml:space="preserve">The company has not paid a dividend and is reinvesting through the capex cycle. Set to nil - change here to model a payout.</t>
  </si>
  <si>
    <t xml:space="preserve">    Other equity - opening</t>
  </si>
  <si>
    <t xml:space="preserve">    Other equity - closing</t>
  </si>
  <si>
    <t xml:space="preserve">Securities premium, retained earnings, share-based payment reserve and other reserves. REPORTED FACT for history.</t>
  </si>
  <si>
    <t xml:space="preserve">    Total equity</t>
  </si>
  <si>
    <t xml:space="preserve">        check: retained earnings roll-forward - must be nil</t>
  </si>
  <si>
    <t xml:space="preserve">History derived from reported PAT and reported diluted EPS (4.53 / 8.61 / 16.43). Forecast adds ~2.0mn shares p.a. of net ESOP dilution.</t>
  </si>
  <si>
    <t xml:space="preserve">    Diluted EPS</t>
  </si>
  <si>
    <t xml:space="preserve">        check: vs reported diluted EPS (history)</t>
  </si>
  <si>
    <t xml:space="preserve">7.  OTHER BALANCE SHEET DRIVERS</t>
  </si>
  <si>
    <t xml:space="preserve">    Other non-current assets  (% of revenue)</t>
  </si>
  <si>
    <t xml:space="preserve">Investments, long-term deposits, deferred tax asset, non-current tax assets, capital advances and prepaid expenses.</t>
  </si>
  <si>
    <t xml:space="preserve">FY26 = 35.10 investments + 577.69 other financial assets + 134.35 deferred tax asset + 32.40 non-current tax assets + 523.71 other non-current assets. REPORTED FACT.</t>
  </si>
  <si>
    <t xml:space="preserve">SHEET 5  |  SOURCES, ASSUMPTION LOG, MOLECULE TABLE AND MODEL CHECKS</t>
  </si>
  <si>
    <t xml:space="preserve">A.  MODEL INTEGRITY CHECKS   (every check must read OK)</t>
  </si>
  <si>
    <t xml:space="preserve">Check</t>
  </si>
  <si>
    <t xml:space="preserve">What it tests</t>
  </si>
  <si>
    <t xml:space="preserve">Worst absolute value</t>
  </si>
  <si>
    <t xml:space="preserve">Status</t>
  </si>
  <si>
    <t xml:space="preserve">Balance sheet balances</t>
  </si>
  <si>
    <t xml:space="preserve">Total assets less total equity and liabilities, every year</t>
  </si>
  <si>
    <t xml:space="preserve">Cash flow reconciliation</t>
  </si>
  <si>
    <t xml:space="preserve">Cash flow closing cash less balance sheet cash, forecast years</t>
  </si>
  <si>
    <t xml:space="preserve">Historical CFO ties to filings</t>
  </si>
  <si>
    <t xml:space="preserve">Modelled CFO less reported CFO, FY24-FY26</t>
  </si>
  <si>
    <t xml:space="preserve">Historical PAT ties to filings</t>
  </si>
  <si>
    <t xml:space="preserve">Modelled PAT less audited PAT, FY24-FY26</t>
  </si>
  <si>
    <t xml:space="preserve">Historical PBT ties to filings</t>
  </si>
  <si>
    <t xml:space="preserve">Cost build reproduces audited PBT, FY24-FY26</t>
  </si>
  <si>
    <t xml:space="preserve">Total revenue reconciliation</t>
  </si>
  <si>
    <t xml:space="preserve">CRO plus CDMO plus rounding less audited revenue, FY24-FY26</t>
  </si>
  <si>
    <t xml:space="preserve">CRO engine reconciliation</t>
  </si>
  <si>
    <t xml:space="preserve">FTE engine reproduces reported CRO revenue, FY24-FY26</t>
  </si>
  <si>
    <t xml:space="preserve">CDMO bucket reconciliation</t>
  </si>
  <si>
    <t xml:space="preserve">Molecule and pipeline buckets sum to reported CDMO revenue, FY24-FY26</t>
  </si>
  <si>
    <t xml:space="preserve">CRO revenue bridge</t>
  </si>
  <si>
    <t xml:space="preserve">Volume, utilisation and price bridge foots to CRO revenue, all years</t>
  </si>
  <si>
    <t xml:space="preserve">Segment shares sum to 100%</t>
  </si>
  <si>
    <t xml:space="preserve">CRO share plus CDMO share of total revenue</t>
  </si>
  <si>
    <t xml:space="preserve">Capacity feasibility</t>
  </si>
  <si>
    <t xml:space="preserve">No forecast year grows commercial revenue per effective KL by more than 10%</t>
  </si>
  <si>
    <t xml:space="preserve">Material cost ties to filings</t>
  </si>
  <si>
    <t xml:space="preserve">Driver build reproduces reported material cost</t>
  </si>
  <si>
    <t xml:space="preserve">Employee cost ties to filings</t>
  </si>
  <si>
    <t xml:space="preserve">Headcount times average cost reproduces reported expense</t>
  </si>
  <si>
    <t xml:space="preserve">Other expenses tie to filings</t>
  </si>
  <si>
    <t xml:space="preserve">Three-bucket build reproduces reported other expenses</t>
  </si>
  <si>
    <t xml:space="preserve">D&amp;A ties to filings</t>
  </si>
  <si>
    <t xml:space="preserve">PP&amp;E, ROU and intangible charges sum to reported D&amp;A</t>
  </si>
  <si>
    <t xml:space="preserve">Retained earnings roll-forward</t>
  </si>
  <si>
    <t xml:space="preserve">Opening equity plus PAT and reserves equals closing equity</t>
  </si>
  <si>
    <t xml:space="preserve">Diluted EPS ties to filings</t>
  </si>
  <si>
    <t xml:space="preserve">Modelled EPS less reported diluted EPS, FY24-FY26</t>
  </si>
  <si>
    <t xml:space="preserve">MASTER CHECK</t>
  </si>
  <si>
    <t xml:space="preserve">All integrity checks pass</t>
  </si>
  <si>
    <t xml:space="preserve">A formula-error sweep is also run outside the workbook: the model is recalculated in full and every cell is scanned for reference, divide-by-zero, value, not-available and undefined-name errors, and for circular references. The model contains no circular references by design - see the note on interest in the Schedules sheet, section 4.</t>
  </si>
  <si>
    <t xml:space="preserve">B.  MOLECULE TABLE  -  IDENTIFIED COMMERCIAL AND LATE-STAGE PROGRAMMES</t>
  </si>
  <si>
    <t xml:space="preserve">Sai Life Sciences does not disclose molecule names, innovator customers, indications or molecule-level economics, and management explicitly declined to name molecules or clients on the Q4FY26 earnings call. No name has been invented. The revenue model therefore does NOT attempt a bottom-up build of individual molecules - it uses the four portfolio buckets the company actually reports counts for, each as count x revenue per programme, with a single memo line for top-4 concentration. The table below records what IS disclosed and states plainly what is not.</t>
  </si>
  <si>
    <t xml:space="preserve">Bucket</t>
  </si>
  <si>
    <t xml:space="preserve">Innovator / customer</t>
  </si>
  <si>
    <t xml:space="preserve">Indication</t>
  </si>
  <si>
    <t xml:space="preserve">Stage</t>
  </si>
  <si>
    <t xml:space="preserve">Regulatory status</t>
  </si>
  <si>
    <t xml:space="preserve">Innovator sales / TAM</t>
  </si>
  <si>
    <t xml:space="preserve">Basis of the estimate in this model</t>
  </si>
  <si>
    <t xml:space="preserve">Confidence</t>
  </si>
  <si>
    <t xml:space="preserve">Bucket 1 - Base commercial portfolio</t>
  </si>
  <si>
    <t xml:space="preserve">19 of the top 25 global pharma companies are customers; no customer is named</t>
  </si>
  <si>
    <t xml:space="preserve">Oncology 15%, metabolic 15%, infectious disease 16%, CNS 25% of CDMO revenue in FY26</t>
  </si>
  <si>
    <t xml:space="preserve">Commercial - the 34 molecules already commercial at FY2026</t>
  </si>
  <si>
    <t xml:space="preserve">USFDA and PMDA approved sites; 100% inspection track record</t>
  </si>
  <si>
    <t xml:space="preserve">Not identifiable</t>
  </si>
  <si>
    <t xml:space="preserve">Modelled as molecule count x revenue per molecule. Implied FY26 revenue per molecule of ~INR 243mn (FY24 220, FY25 201 - the FY25 dip is the disclosed destocking on a commercial intermediate). The pool rolls forward on exits only. The top-4 share is carried as a single memo line at 40% of commercial revenue, anchored on disclosed FY26 concentration: top-1 customer 12% of group revenue, top-5 37%, top-10 54%.</t>
  </si>
  <si>
    <t xml:space="preserve">MEDIUM on the bucket / LOW on the top-4 split</t>
  </si>
  <si>
    <t xml:space="preserve">Bucket 2 - New commercial launches</t>
  </si>
  <si>
    <t xml:space="preserve">Two additional large-pharma commercial supply qualifications received in FY26</t>
  </si>
  <si>
    <t xml:space="preserve">Predominantly small molecule; management identified one new-modality asset in validation</t>
  </si>
  <si>
    <t xml:space="preserve">Commercial - molecules qualified from FY2027 onward</t>
  </si>
  <si>
    <t xml:space="preserve">Validation batches then commercial campaigns</t>
  </si>
  <si>
    <t xml:space="preserve">Modelled as cumulative launches x a blended revenue per new molecule that rises as the cohort seasons (INR ~130mn in year one to INR ~540mn at maturity). Management: of the four molecules added in FY26, three should show a 'pretty decent revenue growth trajectory' from FY27.</t>
  </si>
  <si>
    <t xml:space="preserve">MEDIUM</t>
  </si>
  <si>
    <t xml:space="preserve">Bucket 3 - Late-stage development</t>
  </si>
  <si>
    <t xml:space="preserve">Includes large-pharma late-phase work newly transferred to India</t>
  </si>
  <si>
    <t xml:space="preserve">Broad; mostly small molecule</t>
  </si>
  <si>
    <t xml:space="preserve">Phase III / pre-registration - 11 molecules at FY26, 6 at FY25</t>
  </si>
  <si>
    <t xml:space="preserve">Validation and registration activity underway</t>
  </si>
  <si>
    <t xml:space="preserve">Modelled as programme count x INR 130mn per programme in FY26, escalating 6% p.a. Covers late-phase process development, validation batches, registration and pre-launch supply.</t>
  </si>
  <si>
    <t xml:space="preserve">Bucket 4 - Early phase, process R&amp;D and tech transfer</t>
  </si>
  <si>
    <t xml:space="preserve">300+ active customers; 200+ discovery clients</t>
  </si>
  <si>
    <t xml:space="preserve">Broad; 10+ therapy areas</t>
  </si>
  <si>
    <t xml:space="preserve">Pre-clinical, Phase I and Phase II - 155 programmes at FY26, 160 at FY25</t>
  </si>
  <si>
    <t xml:space="preserve">Clinical supply under GMP where applicable</t>
  </si>
  <si>
    <t xml:space="preserve">Modelled as programme count x INR ~28.8mn per programme in FY26, escalating 7.5% p.a. Also carries site-to-site technology transfer and the dedicated large-pharma development FTE teams management flagged on the Q4FY26 call.</t>
  </si>
  <si>
    <t xml:space="preserve">New modalities  (memo only)</t>
  </si>
  <si>
    <t xml:space="preserve">Not disclosed</t>
  </si>
  <si>
    <t xml:space="preserve">Peptides, ADC payloads and linkers, oligonucleotide amidites, lipids</t>
  </si>
  <si>
    <t xml:space="preserve">Mostly discovery and clinical, not commercial</t>
  </si>
  <si>
    <t xml:space="preserve">Peptide process and pilot plants commissioning Sep-26; OEB-6 labs for ADCs</t>
  </si>
  <si>
    <t xml:space="preserve">Tracked as a memo percentage of group revenue: 4% FY22, 3% FY23, 3% FY24, 7% FY25, 4% FY26. Lumpy because the work is campaign-driven. Does NOT drive revenue in the model.</t>
  </si>
  <si>
    <t xml:space="preserve">REPORTED (percentage only)</t>
  </si>
  <si>
    <t xml:space="preserve">C.  ASSUMPTION LOG   (classification of every material input)</t>
  </si>
  <si>
    <t xml:space="preserve">Area</t>
  </si>
  <si>
    <t xml:space="preserve">Assumption</t>
  </si>
  <si>
    <t xml:space="preserve">Classification</t>
  </si>
  <si>
    <t xml:space="preserve">Basis</t>
  </si>
  <si>
    <t xml:space="preserve">Historical financials</t>
  </si>
  <si>
    <t xml:space="preserve">FY2024, FY2025 and FY2026 consolidated P&amp;L, balance sheet and cash flow</t>
  </si>
  <si>
    <t xml:space="preserve">REPORTED FACT</t>
  </si>
  <si>
    <t xml:space="preserve">FY25 Annual Report; audited FY26 consolidated results filed 14-May-2026</t>
  </si>
  <si>
    <t xml:space="preserve">Segment revenue</t>
  </si>
  <si>
    <t xml:space="preserve">CRO and CDMO revenue for FY2022-FY2026</t>
  </si>
  <si>
    <t xml:space="preserve">Q4FY26 investor presentation pages 21 and 24</t>
  </si>
  <si>
    <t xml:space="preserve">Employees</t>
  </si>
  <si>
    <t xml:space="preserve">FY2025 3,401 employees and 2,605 scientists; FY2026 3,800+</t>
  </si>
  <si>
    <t xml:space="preserve">FY25 Annual Report pages 6, 33 and 60; Q4FY26 deck page 15</t>
  </si>
  <si>
    <t xml:space="preserve">FY2024 headcount of 3,345</t>
  </si>
  <si>
    <t xml:space="preserve">ANALYST ESTIMATE</t>
  </si>
  <si>
    <t xml:space="preserve">Derived from FY24 employee cost divided by FY25 average cost deflated by the disclosed 9.12% salary increase</t>
  </si>
  <si>
    <t xml:space="preserve">Scientist allocation</t>
  </si>
  <si>
    <t xml:space="preserve">55% of scientists allocated to Discovery</t>
  </si>
  <si>
    <t xml:space="preserve">ANALYST ASSUMPTION</t>
  </si>
  <si>
    <t xml:space="preserve">Not disclosed; management declined the split on the Q4FY26 call. Calibrated to a credible FTE rate card</t>
  </si>
  <si>
    <t xml:space="preserve">CRO utilisation</t>
  </si>
  <si>
    <t xml:space="preserve">80% to 85% billable ratio</t>
  </si>
  <si>
    <t xml:space="preserve">Not disclosed. Implies a revenue per billable FTE of ~USD 70k in FY26, inside observed Indian rate cards</t>
  </si>
  <si>
    <t xml:space="preserve">Capacity</t>
  </si>
  <si>
    <t xml:space="preserve">700 KL at FY2026, 925 KL at FY2027, 1,150 KL at FY2028</t>
  </si>
  <si>
    <t xml:space="preserve">REPORTED / GUIDED</t>
  </si>
  <si>
    <t xml:space="preserve">Q3FY26 deck page 27; Q4FY26 call - 225 KL this year and 225 KL next year</t>
  </si>
  <si>
    <t xml:space="preserve">Second Hyderabad site adds 200 KL in FY2030 and 250 KL in FY2033</t>
  </si>
  <si>
    <t xml:space="preserve">Management has confirmed a second Hyderabad site but has not sized or dated it</t>
  </si>
  <si>
    <t xml:space="preserve">Capacity ramp</t>
  </si>
  <si>
    <t xml:space="preserve">30% effective in year one, 75% in year two</t>
  </si>
  <si>
    <t xml:space="preserve">Reflects qualification, customer audit and validation batches. Not disclosed</t>
  </si>
  <si>
    <t xml:space="preserve">Molecule counts</t>
  </si>
  <si>
    <t xml:space="preserve">34 commercial, 11 Phase III / pre-registration, 155 early phase at FY2026</t>
  </si>
  <si>
    <t xml:space="preserve">Q4FY26 deck page 15 and Q4FY26 earnings call</t>
  </si>
  <si>
    <t xml:space="preserve">Molecule economics</t>
  </si>
  <si>
    <t xml:space="preserve">Top-four commercial molecules carried as a single memo line at 40% of commercial revenue</t>
  </si>
  <si>
    <t xml:space="preserve">ANALYST ASSUMPTION - LOW confidence</t>
  </si>
  <si>
    <t xml:space="preserve">Anchored on disclosed FY26 concentration: top-1 12%, top-5 37%, top-10 54%. No molecule is named because none is disclosed, and no molecule-level build drives revenue</t>
  </si>
  <si>
    <t xml:space="preserve">Revenue structure</t>
  </si>
  <si>
    <t xml:space="preserve">CRO = billable FTEs x rate; CDMO = four buckets, each count x revenue per programme</t>
  </si>
  <si>
    <t xml:space="preserve">MODELLING CHOICE</t>
  </si>
  <si>
    <t xml:space="preserve">Deliberately kept to six forecast drivers, single base case, so the model can be updated from one quarterly deck</t>
  </si>
  <si>
    <t xml:space="preserve">FY2027 Rs 1,200 Cr</t>
  </si>
  <si>
    <t xml:space="preserve">GUIDED</t>
  </si>
  <si>
    <t xml:space="preserve">Q4FY26 call - Rs 1,100-1,300 Cr, 65% CDMO / 35% CRO, 75% capacity / 25% capability</t>
  </si>
  <si>
    <t xml:space="preserve">FY2028-FY2035 Rs 750-1,000 Cr per year</t>
  </si>
  <si>
    <t xml:space="preserve">Beyond the guidance horizon; sized to sustain a 1.2x-1.4x net asset turn</t>
  </si>
  <si>
    <t xml:space="preserve">EBITDA margin</t>
  </si>
  <si>
    <t xml:space="preserve">Built bottom-up from material, employee and other expense drivers</t>
  </si>
  <si>
    <t xml:space="preserve">MODEL OUTPUT</t>
  </si>
  <si>
    <t xml:space="preserve">Not hardcoded. Cross-checked against the 28-30% guidance with a flag on the Schedules sheet</t>
  </si>
  <si>
    <t xml:space="preserve">FX</t>
  </si>
  <si>
    <t xml:space="preserve">Net FX gain forecast at nil</t>
  </si>
  <si>
    <t xml:space="preserve">FY24 146mn, FY25 191mn, FY26 300mn were realised gains. Forecasting FX gains would flatter the margin</t>
  </si>
  <si>
    <t xml:space="preserve">Tax</t>
  </si>
  <si>
    <t xml:space="preserve">25.5% effective rate</t>
  </si>
  <si>
    <t xml:space="preserve">Indian statutory rate of 25.17% plus overseas mix. History 24.2% / 25.3% / 25.2%</t>
  </si>
  <si>
    <t xml:space="preserve">Interest</t>
  </si>
  <si>
    <t xml:space="preserve">Computed on the opening debt balance, not the average</t>
  </si>
  <si>
    <t xml:space="preserve">MODELLING CONVENTION</t>
  </si>
  <si>
    <t xml:space="preserve">Deliberate, to keep the workbook free of circular references. An average-balance memo line quantifies the difference on the Schedules sheet</t>
  </si>
  <si>
    <t xml:space="preserve">Dividend</t>
  </si>
  <si>
    <t xml:space="preserve">Nil throughout</t>
  </si>
  <si>
    <t xml:space="preserve">The company has never paid a dividend and is reinvesting through the capex cycle</t>
  </si>
  <si>
    <t xml:space="preserve">Working capital</t>
  </si>
  <si>
    <t xml:space="preserve">Receivables 60-62 days, contract assets 92-102 days</t>
  </si>
  <si>
    <t xml:space="preserve">Anchored on FY24-FY26 actuals. Contract assets are the dominant item and the key WC risk</t>
  </si>
  <si>
    <t xml:space="preserve">Exceptional items</t>
  </si>
  <si>
    <t xml:space="preserve">Nil in the forecast</t>
  </si>
  <si>
    <t xml:space="preserve">FY26 recognised an Rs 80mn charge for the wage-definition change</t>
  </si>
  <si>
    <t xml:space="preserve">D.  MATERIAL DATA GAPS</t>
  </si>
  <si>
    <t xml:space="preserve">  -  Molecule identities, innovator customers and molecule-level economics. Not disclosed and explicitly declined by management. The top-four commercial buckets are illustrative sizings, not identified revenue.</t>
  </si>
  <si>
    <t xml:space="preserve">  -  The split of scientists between Discovery and CMC. Management declined to provide it on the Q4FY26 call, so the 55% Discovery allocation drives the entire CRO engine and is the single most important undisclosed CRO input.</t>
  </si>
  <si>
    <t xml:space="preserve">  -  The FY2026 annual report has not been published, so the FY2026 notes are unavailable. The split of D&amp;A between PP&amp;E, right-of-use assets and intangibles, and the line-by-line split of other expenses, are analyst estimates that sum exactly to the audited totals.</t>
  </si>
  <si>
    <t xml:space="preserve">  -  FY2024 headcount is not disclosed in the FY2025 annual report and has been derived from employee cost.</t>
  </si>
  <si>
    <t xml:space="preserve">  -  Batch-level and campaign-level volume data, revenue per batch, and pricing. Not disclosed by any Indian CRDMO.</t>
  </si>
  <si>
    <t xml:space="preserve">  -  Segment-level EBITDA. The group reports a single operating segment under Ind AS 108, so CRO and CDMO margins cannot be separated.</t>
  </si>
  <si>
    <t xml:space="preserve">  -  Order book, backlog or revenue visibility metrics. Not disclosed.</t>
  </si>
  <si>
    <t xml:space="preserve">  -  Capacity utilisation percentage. Referenced qualitatively by management but never quantified.</t>
  </si>
  <si>
    <t xml:space="preserve">  -  The dollar value and duration of the dedicated large-pharma FTE development contracts.</t>
  </si>
  <si>
    <t xml:space="preserve">E.  SOURCE LIST</t>
  </si>
  <si>
    <t xml:space="preserve">Document</t>
  </si>
  <si>
    <t xml:space="preserve">Used for</t>
  </si>
  <si>
    <t xml:space="preserve">Location</t>
  </si>
  <si>
    <t xml:space="preserve">Audited consolidated financial results for the year ended 31 March 2026, filed 14-May-2026</t>
  </si>
  <si>
    <t xml:space="preserve">FY2026 and FY2025 income statement, balance sheet and cash flow statement; exceptional items; IPO proceeds utilisation; ESOP grants</t>
  </si>
  <si>
    <t xml:space="preserve">BSE filing, scrip 544306</t>
  </si>
  <si>
    <t xml:space="preserve">Annual Report 2024-25 (25th/26th Annual Report), audited by Deloitte Haskins &amp; Sells LLP</t>
  </si>
  <si>
    <t xml:space="preserve">FY2025 and FY2024 consolidated statements and notes 6-36; headcount and scientist disclosure; other income, other expenses, finance cost and D&amp;A notes; contract asset note 13</t>
  </si>
  <si>
    <t xml:space="preserve">BSE annual report filing / sailife.com investor relations</t>
  </si>
  <si>
    <t xml:space="preserve">Q4 FY26 investor presentation, 15-May-2026</t>
  </si>
  <si>
    <t xml:space="preserve">Segment revenue FY22-FY26; molecule counts; capex split; customer mix; therapy mix; new modalities; annexure P&amp;L and balance sheet</t>
  </si>
  <si>
    <t xml:space="preserve">BSE / NSE filing</t>
  </si>
  <si>
    <t xml:space="preserve">Q4 FY26 earnings call transcript, 15-May-2026</t>
  </si>
  <si>
    <t xml:space="preserve">Revenue and margin guidance; FY27 capex guidance and phasing; capacity commissioning timing; commercial molecule additions; customer concentration; dedicated FTE model; refusal to disclose molecules and customers; asset turn target</t>
  </si>
  <si>
    <t xml:space="preserve">sailife.com investor relations</t>
  </si>
  <si>
    <t xml:space="preserve">Q3 FY26 investor presentation, 06-Feb-2026</t>
  </si>
  <si>
    <t xml:space="preserve">Capacity timeline 2009-2026; fume hood and process R&amp;D block commissioning dates; peptide, ADC and animal health project timing; FY25 molecule counts; industry data</t>
  </si>
  <si>
    <t xml:space="preserve">NSE archives</t>
  </si>
  <si>
    <t xml:space="preserve">Q1 FY26 earnings release, 08-Aug-2025</t>
  </si>
  <si>
    <t xml:space="preserve">Bidar Unit IV PB-11 Phase II commissioning of ~91 KL taking capacity to ~700 KL</t>
  </si>
  <si>
    <t xml:space="preserve">sailife.com newsroom</t>
  </si>
  <si>
    <t xml:space="preserve">FY26 results press release, 14-May-2026</t>
  </si>
  <si>
    <t xml:space="preserve">Headline FY26 revenue, EBITDA, PBT and PAT; FY26 capex of Rs 633 Cr</t>
  </si>
  <si>
    <t xml:space="preserve">Draft Red Herring Prospectus dated 29-July-2024</t>
  </si>
  <si>
    <t xml:space="preserve">Corporate history and capital structure background. NOTE: the copy hosted on the company website sits behind a click-through disclaimer and could not be retrieved programmatically, so nothing in this model depends on it</t>
  </si>
  <si>
    <t xml:space="preserve">sailife.com investor relations (disclaimer-gated)</t>
  </si>
  <si>
    <t xml:space="preserve">F.  KEY MODEL RISKS</t>
  </si>
  <si>
    <t xml:space="preserve">  -  CUSTOMER CONCENTRATION. The top customer is 12% of revenue and the top ten are 54%. A single large-pharma programme loss or in-sourcing decision moves the CDMO forecast more than any driver in this model.</t>
  </si>
  <si>
    <t xml:space="preserve">  -  MOLECULE VARIABILITY. CDMO revenue is campaign-driven. FY2025 carried a destocking hit on a commercial intermediate and FY2026 carried the reversal. Quarterly and even annual revenue is lumpy in a way no driver model fully captures.</t>
  </si>
  <si>
    <t xml:space="preserve">  -  CAPACITY TIMING. The forecast assumes 225 KL lands in H2 FY2027 and a further 225 KL in FY2028. Brownfield construction is roughly 18 months and slippage of two quarters would move revenue between years.</t>
  </si>
  <si>
    <t xml:space="preserve">  -  MARGIN. FY2026's 30.2% is above management's own 28-30% guidance and was helped by an FX gain and a credit-loss reversal. The model assumes neither repeats. Input cost and logistics inflation from the Middle East situation is being passed on with a lag.</t>
  </si>
  <si>
    <t xml:space="preserve">  -  CONTRACT ASSETS. Unbilled revenue is roughly 100 days of sales. FY2025 required a 347mn loss allowance against doubtful contract assets. A repeat would hit both the P&amp;L and cash.</t>
  </si>
  <si>
    <t xml:space="preserve">  -  CAPEX EXECUTION AND RETURNS. Capex roughly doubles in FY2027 and management concedes a two to three year lag before new assets reach target returns. The net asset turn dips before it recovers.</t>
  </si>
  <si>
    <t xml:space="preserve">  -  CRO ENGINE SENSITIVITY. The whole CRO build rests on an undisclosed scientist allocation and utilisation rate. A 5 percentage point error in either moves CRO revenue by roughly 6%.</t>
  </si>
  <si>
    <t xml:space="preserve">  -  AI AND MODALITY DISRUPTION. Management frames AI as a net positive for synthesis demand, but a shift in innovator R&amp;D away from small molecules toward biologics would erode the addressable market over the back half of the forecast.</t>
  </si>
  <si>
    <t xml:space="preserve">  -  FX. Roughly 97% of revenue is exported. The model forecasts no FX gain, but a sustained rupee appreciation would compress reported growth and margin.</t>
  </si>
  <si>
    <t xml:space="preserve">  -  MODELLING CONVENTION. Interest is computed on opening debt to avoid circularity, and the closing cash balance therefore lands slightly away from the minimum-cash target in years of large debt movement. This does not affect the balance sheet check.</t>
  </si>
</sst>
</file>

<file path=xl/styles.xml><?xml version="1.0" encoding="utf-8"?>
<styleSheet xmlns="http://schemas.openxmlformats.org/spreadsheetml/2006/main">
  <numFmts count="7">
    <numFmt numFmtId="164" formatCode="General"/>
    <numFmt numFmtId="165" formatCode="@"/>
    <numFmt numFmtId="166" formatCode="#,##0;\(#,##0\);\-"/>
    <numFmt numFmtId="167" formatCode="0.0%;\(0.0%\);\-"/>
    <numFmt numFmtId="168" formatCode="#,##0.00;\(#,##0.00\);\-"/>
    <numFmt numFmtId="169" formatCode="0.00\x"/>
    <numFmt numFmtId="170" formatCode="#,##0.0;\(#,##0.0\);\-"/>
  </numFmts>
  <fonts count="2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5"/>
      <color rgb="FF595959"/>
      <name val="Arial"/>
      <family val="0"/>
      <charset val="1"/>
    </font>
    <font>
      <b val="true"/>
      <sz val="10"/>
      <color rgb="FF1F3864"/>
      <name val="Arial"/>
      <family val="0"/>
      <charset val="1"/>
    </font>
    <font>
      <sz val="9"/>
      <color rgb="FF000000"/>
      <name val="Arial"/>
      <family val="0"/>
      <charset val="1"/>
    </font>
    <font>
      <sz val="8.5"/>
      <color rgb="FF000000"/>
      <name val="Arial"/>
      <family val="0"/>
      <charset val="1"/>
    </font>
    <font>
      <b val="true"/>
      <sz val="8.5"/>
      <color rgb="FF000000"/>
      <name val="Arial"/>
      <family val="0"/>
      <charset val="1"/>
    </font>
    <font>
      <b val="true"/>
      <sz val="9"/>
      <color rgb="FF1F3864"/>
      <name val="Arial"/>
      <family val="0"/>
      <charset val="1"/>
    </font>
    <font>
      <b val="true"/>
      <sz val="9"/>
      <color rgb="FF000000"/>
      <name val="Arial"/>
      <family val="0"/>
      <charset val="1"/>
    </font>
    <font>
      <i val="true"/>
      <sz val="8"/>
      <color rgb="FF000000"/>
      <name val="Arial"/>
      <family val="0"/>
      <charset val="1"/>
    </font>
    <font>
      <b val="true"/>
      <sz val="9"/>
      <color rgb="FF008000"/>
      <name val="Arial"/>
      <family val="0"/>
      <charset val="1"/>
    </font>
    <font>
      <sz val="9"/>
      <color rgb="FF008000"/>
      <name val="Arial"/>
      <family val="0"/>
      <charset val="1"/>
    </font>
    <font>
      <i val="true"/>
      <sz val="9"/>
      <color rgb="FF000000"/>
      <name val="Arial"/>
      <family val="0"/>
      <charset val="1"/>
    </font>
    <font>
      <i val="true"/>
      <sz val="9"/>
      <color rgb="FF008000"/>
      <name val="Arial"/>
      <family val="0"/>
      <charset val="1"/>
    </font>
    <font>
      <sz val="9"/>
      <color rgb="FF0000FF"/>
      <name val="Arial"/>
      <family val="0"/>
      <charset val="1"/>
    </font>
    <font>
      <i val="true"/>
      <sz val="8"/>
      <color rgb="FF595959"/>
      <name val="Arial"/>
      <family val="0"/>
      <charset val="1"/>
    </font>
    <font>
      <b val="true"/>
      <sz val="9"/>
      <color rgb="FF0000FF"/>
      <name val="Arial"/>
      <family val="0"/>
      <charset val="1"/>
    </font>
    <font>
      <b val="true"/>
      <i val="true"/>
      <sz val="9"/>
      <color rgb="FF1F3864"/>
      <name val="Arial"/>
      <family val="0"/>
      <charset val="1"/>
    </font>
    <font>
      <i val="true"/>
      <sz val="9"/>
      <color rgb="FF0000FF"/>
      <name val="Arial"/>
      <family val="0"/>
      <charset val="1"/>
    </font>
    <font>
      <b val="true"/>
      <sz val="10"/>
      <color rgb="FF000000"/>
      <name val="Arial"/>
      <family val="0"/>
      <charset val="1"/>
    </font>
    <font>
      <b val="true"/>
      <sz val="8"/>
      <color rgb="FF1F3864"/>
      <name val="Arial"/>
      <family val="0"/>
      <charset val="1"/>
    </font>
    <font>
      <sz val="8"/>
      <color rgb="FF000000"/>
      <name val="Arial"/>
      <family val="0"/>
      <charset val="1"/>
    </font>
    <font>
      <b val="true"/>
      <sz val="8"/>
      <color rgb="FF008000"/>
      <name val="Arial"/>
      <family val="0"/>
      <charset val="1"/>
    </font>
    <font>
      <b val="true"/>
      <sz val="8"/>
      <color rgb="FF000000"/>
      <name val="Arial"/>
      <family val="0"/>
      <charset val="1"/>
    </font>
    <font>
      <b val="true"/>
      <sz val="8"/>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s>
  <borders count="3">
    <border diagonalUp="false" diagonalDown="false">
      <left/>
      <right/>
      <top/>
      <bottom/>
      <diagonal/>
    </border>
    <border diagonalUp="false" diagonalDown="false">
      <left/>
      <right/>
      <top/>
      <bottom style="thin">
        <color rgb="FF808080"/>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16" fillId="0" borderId="0" xfId="0" applyFont="true" applyBorder="false" applyAlignment="false" applyProtection="false">
      <alignment horizontal="general" vertical="bottom" textRotation="0" wrapText="false" indent="0" shrinkToFit="false"/>
      <protection locked="true" hidden="false"/>
    </xf>
    <xf numFmtId="170" fontId="1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center" vertical="center"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center" vertical="center" textRotation="0" wrapText="false" indent="0" shrinkToFit="false"/>
      <protection locked="true" hidden="false"/>
    </xf>
    <xf numFmtId="166" fontId="19"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17" fillId="4" borderId="0" xfId="0" applyFont="true" applyBorder="false" applyAlignment="true" applyProtection="false">
      <alignment horizontal="center" vertical="center"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6" fontId="17" fillId="0" borderId="2" xfId="0" applyFont="true" applyBorder="tru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center" vertical="center" textRotation="0" wrapText="false" indent="0" shrinkToFit="false"/>
      <protection locked="true" hidden="false"/>
    </xf>
    <xf numFmtId="165" fontId="11" fillId="0" borderId="0" xfId="0" applyFont="true" applyBorder="false" applyAlignment="true" applyProtection="false">
      <alignment horizontal="center" vertical="center" textRotation="0" wrapText="false" indent="0" shrinkToFit="false"/>
      <protection locked="true" hidden="false"/>
    </xf>
    <xf numFmtId="164" fontId="22" fillId="0" borderId="2" xfId="0" applyFont="true" applyBorder="true" applyAlignment="false" applyProtection="false">
      <alignment horizontal="general"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8" fontId="11" fillId="0" borderId="2" xfId="0" applyFont="true" applyBorder="true" applyAlignment="true" applyProtection="false">
      <alignment horizontal="center" vertical="center" textRotation="0" wrapText="false" indent="0" shrinkToFit="false"/>
      <protection locked="true" hidden="false"/>
    </xf>
    <xf numFmtId="165" fontId="11" fillId="4" borderId="2"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fals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4B5"/>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P7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6"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1"/>
    <col collapsed="false" customWidth="true" hidden="false" outlineLevel="0" max="14" min="3" style="0" width="12"/>
    <col collapsed="false" customWidth="true" hidden="false" outlineLevel="0" max="15" min="15" style="0" width="2"/>
    <col collapsed="false" customWidth="true" hidden="false" outlineLevel="0" max="16" min="16" style="0" width="78"/>
  </cols>
  <sheetData>
    <row r="1" customFormat="false" ht="21.75" hidden="false" customHeight="true" outlineLevel="0" collapsed="false">
      <c r="A1" s="1" t="s">
        <v>0</v>
      </c>
      <c r="B1" s="1"/>
      <c r="C1" s="1"/>
      <c r="D1" s="1"/>
      <c r="E1" s="1"/>
      <c r="F1" s="1"/>
      <c r="G1" s="1"/>
      <c r="H1" s="1"/>
      <c r="I1" s="1"/>
      <c r="J1" s="1"/>
      <c r="K1" s="1"/>
      <c r="L1" s="1"/>
      <c r="M1" s="1"/>
      <c r="N1" s="1"/>
      <c r="O1" s="1"/>
      <c r="P1" s="1"/>
    </row>
    <row r="2" customFormat="false" ht="15" hidden="false" customHeight="false" outlineLevel="0" collapsed="false">
      <c r="A2" s="2" t="s">
        <v>1</v>
      </c>
      <c r="B2" s="2"/>
      <c r="C2" s="2"/>
      <c r="D2" s="2"/>
      <c r="E2" s="2"/>
      <c r="F2" s="2"/>
      <c r="G2" s="2"/>
      <c r="H2" s="2"/>
      <c r="I2" s="2"/>
      <c r="J2" s="2"/>
      <c r="K2" s="2"/>
      <c r="L2" s="2"/>
      <c r="M2" s="2"/>
      <c r="N2" s="2"/>
      <c r="O2" s="2"/>
      <c r="P2" s="2"/>
    </row>
    <row r="5" customFormat="false" ht="15" hidden="false" customHeight="false" outlineLevel="0" collapsed="false">
      <c r="A5" s="3" t="s">
        <v>2</v>
      </c>
      <c r="B5" s="4"/>
      <c r="C5" s="4"/>
      <c r="D5" s="4"/>
      <c r="E5" s="4"/>
      <c r="F5" s="4"/>
      <c r="G5" s="4"/>
      <c r="H5" s="4"/>
      <c r="I5" s="4"/>
      <c r="J5" s="4"/>
      <c r="K5" s="4"/>
      <c r="L5" s="4"/>
      <c r="M5" s="4"/>
      <c r="N5" s="4"/>
      <c r="O5" s="4"/>
      <c r="P5" s="4"/>
    </row>
    <row r="6" customFormat="false" ht="12.75" hidden="false" customHeight="true" outlineLevel="0" collapsed="false">
      <c r="A6" s="5" t="s">
        <v>3</v>
      </c>
      <c r="B6" s="5"/>
      <c r="C6" s="5"/>
      <c r="D6" s="5"/>
      <c r="E6" s="5"/>
      <c r="F6" s="5"/>
      <c r="G6" s="5"/>
      <c r="H6" s="5"/>
      <c r="I6" s="5"/>
      <c r="J6" s="5"/>
      <c r="K6" s="5"/>
      <c r="L6" s="5"/>
      <c r="M6" s="5"/>
      <c r="N6" s="5"/>
    </row>
    <row r="7" customFormat="false" ht="25.5" hidden="false" customHeight="true" outlineLevel="0" collapsed="false">
      <c r="A7" s="5" t="s">
        <v>4</v>
      </c>
      <c r="B7" s="5"/>
      <c r="C7" s="5"/>
      <c r="D7" s="5"/>
      <c r="E7" s="5"/>
      <c r="F7" s="5"/>
      <c r="G7" s="5"/>
      <c r="H7" s="5"/>
      <c r="I7" s="5"/>
      <c r="J7" s="5"/>
      <c r="K7" s="5"/>
      <c r="L7" s="5"/>
      <c r="M7" s="5"/>
      <c r="N7" s="5"/>
    </row>
    <row r="8" customFormat="false" ht="25.5" hidden="false" customHeight="true" outlineLevel="0" collapsed="false">
      <c r="A8" s="5" t="s">
        <v>5</v>
      </c>
      <c r="B8" s="5"/>
      <c r="C8" s="5"/>
      <c r="D8" s="5"/>
      <c r="E8" s="5"/>
      <c r="F8" s="5"/>
      <c r="G8" s="5"/>
      <c r="H8" s="5"/>
      <c r="I8" s="5"/>
      <c r="J8" s="5"/>
      <c r="K8" s="5"/>
      <c r="L8" s="5"/>
      <c r="M8" s="5"/>
      <c r="N8" s="5"/>
    </row>
    <row r="9" customFormat="false" ht="25.5" hidden="false" customHeight="true" outlineLevel="0" collapsed="false">
      <c r="A9" s="5" t="s">
        <v>6</v>
      </c>
      <c r="B9" s="5"/>
      <c r="C9" s="5"/>
      <c r="D9" s="5"/>
      <c r="E9" s="5"/>
      <c r="F9" s="5"/>
      <c r="G9" s="5"/>
      <c r="H9" s="5"/>
      <c r="I9" s="5"/>
      <c r="J9" s="5"/>
      <c r="K9" s="5"/>
      <c r="L9" s="5"/>
      <c r="M9" s="5"/>
      <c r="N9" s="5"/>
    </row>
    <row r="10" customFormat="false" ht="12.75" hidden="false" customHeight="true" outlineLevel="0" collapsed="false">
      <c r="A10" s="5" t="s">
        <v>7</v>
      </c>
      <c r="B10" s="5"/>
      <c r="C10" s="5"/>
      <c r="D10" s="5"/>
      <c r="E10" s="5"/>
      <c r="F10" s="5"/>
      <c r="G10" s="5"/>
      <c r="H10" s="5"/>
      <c r="I10" s="5"/>
      <c r="J10" s="5"/>
      <c r="K10" s="5"/>
      <c r="L10" s="5"/>
      <c r="M10" s="5"/>
      <c r="N10" s="5"/>
    </row>
    <row r="11" customFormat="false" ht="12.75" hidden="false" customHeight="true" outlineLevel="0" collapsed="false">
      <c r="A11" s="5" t="s">
        <v>8</v>
      </c>
      <c r="B11" s="5"/>
      <c r="C11" s="5"/>
      <c r="D11" s="5"/>
      <c r="E11" s="5"/>
      <c r="F11" s="5"/>
      <c r="G11" s="5"/>
      <c r="H11" s="5"/>
      <c r="I11" s="5"/>
      <c r="J11" s="5"/>
      <c r="K11" s="5"/>
      <c r="L11" s="5"/>
      <c r="M11" s="5"/>
      <c r="N11" s="5"/>
    </row>
    <row r="12" customFormat="false" ht="12.75" hidden="false" customHeight="true" outlineLevel="0" collapsed="false">
      <c r="A12" s="5" t="s">
        <v>9</v>
      </c>
      <c r="B12" s="5"/>
      <c r="C12" s="5"/>
      <c r="D12" s="5"/>
      <c r="E12" s="5"/>
      <c r="F12" s="5"/>
      <c r="G12" s="5"/>
      <c r="H12" s="5"/>
      <c r="I12" s="5"/>
      <c r="J12" s="5"/>
      <c r="K12" s="5"/>
      <c r="L12" s="5"/>
      <c r="M12" s="5"/>
      <c r="N12" s="5"/>
    </row>
    <row r="15" customFormat="false" ht="15" hidden="false" customHeight="false" outlineLevel="0" collapsed="false">
      <c r="A15" s="3" t="s">
        <v>10</v>
      </c>
      <c r="B15" s="4"/>
      <c r="C15" s="4"/>
      <c r="D15" s="4"/>
      <c r="E15" s="4"/>
      <c r="F15" s="4"/>
      <c r="G15" s="4"/>
      <c r="H15" s="4"/>
      <c r="I15" s="4"/>
      <c r="J15" s="4"/>
      <c r="K15" s="4"/>
      <c r="L15" s="4"/>
      <c r="M15" s="4"/>
      <c r="N15" s="4"/>
      <c r="O15" s="4"/>
      <c r="P15" s="4"/>
    </row>
    <row r="16" customFormat="false" ht="15" hidden="false" customHeight="false" outlineLevel="0" collapsed="false">
      <c r="A16" s="6"/>
      <c r="B16" s="7" t="s">
        <v>11</v>
      </c>
      <c r="C16" s="8" t="s">
        <v>12</v>
      </c>
      <c r="D16" s="8" t="s">
        <v>13</v>
      </c>
      <c r="E16" s="8" t="s">
        <v>14</v>
      </c>
      <c r="F16" s="9" t="s">
        <v>15</v>
      </c>
      <c r="G16" s="9" t="s">
        <v>16</v>
      </c>
      <c r="H16" s="9" t="s">
        <v>17</v>
      </c>
      <c r="I16" s="9" t="s">
        <v>18</v>
      </c>
      <c r="J16" s="9" t="s">
        <v>19</v>
      </c>
      <c r="K16" s="9" t="s">
        <v>20</v>
      </c>
      <c r="L16" s="9" t="s">
        <v>21</v>
      </c>
      <c r="M16" s="9" t="s">
        <v>22</v>
      </c>
      <c r="N16" s="9" t="s">
        <v>23</v>
      </c>
      <c r="O16" s="6"/>
      <c r="P16" s="10" t="s">
        <v>24</v>
      </c>
    </row>
    <row r="17" customFormat="false" ht="15" hidden="false" customHeight="false" outlineLevel="0" collapsed="false">
      <c r="A17" s="11" t="s">
        <v>25</v>
      </c>
      <c r="B17" s="12" t="s">
        <v>11</v>
      </c>
      <c r="C17" s="13" t="n">
        <f aca="false">Statements!C6</f>
        <v>14651.78</v>
      </c>
      <c r="D17" s="13" t="n">
        <f aca="false">Statements!D6</f>
        <v>16945.7</v>
      </c>
      <c r="E17" s="13" t="n">
        <f aca="false">Statements!E6</f>
        <v>21924.92</v>
      </c>
      <c r="F17" s="13" t="n">
        <f aca="false">Statements!F6</f>
        <v>25155.9417297612</v>
      </c>
      <c r="G17" s="13" t="n">
        <f aca="false">Statements!G6</f>
        <v>28557.4395698893</v>
      </c>
      <c r="H17" s="13" t="n">
        <f aca="false">Statements!H6</f>
        <v>32501.7450725167</v>
      </c>
      <c r="I17" s="13" t="n">
        <f aca="false">Statements!I6</f>
        <v>36659.5309948973</v>
      </c>
      <c r="J17" s="13" t="n">
        <f aca="false">Statements!J6</f>
        <v>41035.7642154597</v>
      </c>
      <c r="K17" s="13" t="n">
        <f aca="false">Statements!K6</f>
        <v>46005.2774229021</v>
      </c>
      <c r="L17" s="13" t="n">
        <f aca="false">Statements!L6</f>
        <v>51236.2092208751</v>
      </c>
      <c r="M17" s="13" t="n">
        <f aca="false">Statements!M6</f>
        <v>56689.4762750951</v>
      </c>
      <c r="N17" s="13" t="n">
        <f aca="false">Statements!N6</f>
        <v>62332.8476193342</v>
      </c>
    </row>
    <row r="18" customFormat="false" ht="15" hidden="false" customHeight="false" outlineLevel="0" collapsed="false">
      <c r="A18" s="14" t="s">
        <v>26</v>
      </c>
      <c r="B18" s="12" t="s">
        <v>27</v>
      </c>
      <c r="C18" s="15"/>
      <c r="D18" s="15" t="n">
        <f aca="false">D17/C17-1</f>
        <v>0.156562547349196</v>
      </c>
      <c r="E18" s="15" t="n">
        <f aca="false">E17/D17-1</f>
        <v>0.293833833951976</v>
      </c>
      <c r="F18" s="15" t="n">
        <f aca="false">F17/E17-1</f>
        <v>0.147367549334785</v>
      </c>
      <c r="G18" s="15" t="n">
        <f aca="false">G17/F17-1</f>
        <v>0.135216477946597</v>
      </c>
      <c r="H18" s="15" t="n">
        <f aca="false">H17/G17-1</f>
        <v>0.138118317399373</v>
      </c>
      <c r="I18" s="15" t="n">
        <f aca="false">I17/H17-1</f>
        <v>0.127925005660583</v>
      </c>
      <c r="J18" s="15" t="n">
        <f aca="false">J17/I17-1</f>
        <v>0.119375046592157</v>
      </c>
      <c r="K18" s="15" t="n">
        <f aca="false">K17/J17-1</f>
        <v>0.121102002179118</v>
      </c>
      <c r="L18" s="15" t="n">
        <f aca="false">L17/K17-1</f>
        <v>0.113702863910324</v>
      </c>
      <c r="M18" s="15" t="n">
        <f aca="false">M17/L17-1</f>
        <v>0.106433850925845</v>
      </c>
      <c r="N18" s="15" t="n">
        <f aca="false">N17/M17-1</f>
        <v>0.0995488354285317</v>
      </c>
    </row>
    <row r="19" customFormat="false" ht="15" hidden="false" customHeight="false" outlineLevel="0" collapsed="false">
      <c r="A19" s="14" t="s">
        <v>28</v>
      </c>
      <c r="B19" s="12" t="s">
        <v>11</v>
      </c>
      <c r="C19" s="16" t="n">
        <f aca="false">Revenue_Model!C17</f>
        <v>4970</v>
      </c>
      <c r="D19" s="16" t="n">
        <f aca="false">Revenue_Model!D17</f>
        <v>6260</v>
      </c>
      <c r="E19" s="16" t="n">
        <f aca="false">Revenue_Model!E17</f>
        <v>7750</v>
      </c>
      <c r="F19" s="16" t="n">
        <f aca="false">Revenue_Model!F17</f>
        <v>8900.60643564356</v>
      </c>
      <c r="G19" s="16" t="n">
        <f aca="false">Revenue_Model!G17</f>
        <v>10058.4871287129</v>
      </c>
      <c r="H19" s="16" t="n">
        <f aca="false">Revenue_Model!H17</f>
        <v>11261.4000792079</v>
      </c>
      <c r="I19" s="16" t="n">
        <f aca="false">Revenue_Model!I17</f>
        <v>12449.6178879208</v>
      </c>
      <c r="J19" s="16" t="n">
        <f aca="false">Revenue_Model!J17</f>
        <v>13635.7495356119</v>
      </c>
      <c r="K19" s="16" t="n">
        <f aca="false">Revenue_Model!K17</f>
        <v>14815.6921074553</v>
      </c>
      <c r="L19" s="16" t="n">
        <f aca="false">Revenue_Model!L17</f>
        <v>15907.7484143673</v>
      </c>
      <c r="M19" s="16" t="n">
        <f aca="false">Revenue_Model!M17</f>
        <v>16973.5218462091</v>
      </c>
      <c r="N19" s="16" t="n">
        <f aca="false">Revenue_Model!N17</f>
        <v>18008.0984158828</v>
      </c>
    </row>
    <row r="20" customFormat="false" ht="15" hidden="false" customHeight="false" outlineLevel="0" collapsed="false">
      <c r="A20" s="14" t="s">
        <v>29</v>
      </c>
      <c r="B20" s="12" t="s">
        <v>11</v>
      </c>
      <c r="C20" s="16" t="n">
        <f aca="false">Revenue_Model!C39</f>
        <v>9680</v>
      </c>
      <c r="D20" s="16" t="n">
        <f aca="false">Revenue_Model!D39</f>
        <v>10680</v>
      </c>
      <c r="E20" s="16" t="n">
        <f aca="false">Revenue_Model!E39</f>
        <v>14170</v>
      </c>
      <c r="F20" s="16" t="n">
        <f aca="false">Revenue_Model!F39</f>
        <v>16255.3352941176</v>
      </c>
      <c r="G20" s="16" t="n">
        <f aca="false">Revenue_Model!G39</f>
        <v>18498.9524411765</v>
      </c>
      <c r="H20" s="16" t="n">
        <f aca="false">Revenue_Model!H39</f>
        <v>21240.3449933088</v>
      </c>
      <c r="I20" s="16" t="n">
        <f aca="false">Revenue_Model!I39</f>
        <v>24209.9131069765</v>
      </c>
      <c r="J20" s="16" t="n">
        <f aca="false">Revenue_Model!J39</f>
        <v>27400.0146798479</v>
      </c>
      <c r="K20" s="16" t="n">
        <f aca="false">Revenue_Model!K39</f>
        <v>31189.5853154469</v>
      </c>
      <c r="L20" s="16" t="n">
        <f aca="false">Revenue_Model!L39</f>
        <v>35328.4608065078</v>
      </c>
      <c r="M20" s="16" t="n">
        <f aca="false">Revenue_Model!M39</f>
        <v>39715.954428886</v>
      </c>
      <c r="N20" s="16" t="n">
        <f aca="false">Revenue_Model!N39</f>
        <v>44324.7492034514</v>
      </c>
    </row>
    <row r="21" customFormat="false" ht="15" hidden="false" customHeight="false" outlineLevel="0" collapsed="false">
      <c r="A21" s="17" t="s">
        <v>30</v>
      </c>
      <c r="B21" s="12" t="s">
        <v>27</v>
      </c>
      <c r="C21" s="18" t="n">
        <f aca="false">C19/C17</f>
        <v>0.339207932415038</v>
      </c>
      <c r="D21" s="18" t="n">
        <f aca="false">D19/D17</f>
        <v>0.369415249886402</v>
      </c>
      <c r="E21" s="18" t="n">
        <f aca="false">E19/E17</f>
        <v>0.353479054883667</v>
      </c>
      <c r="F21" s="18" t="n">
        <f aca="false">F19/F17</f>
        <v>0.353817262389089</v>
      </c>
      <c r="G21" s="18" t="n">
        <f aca="false">G19/G17</f>
        <v>0.35221950147514</v>
      </c>
      <c r="H21" s="18" t="n">
        <f aca="false">H19/H17</f>
        <v>0.34648601341503</v>
      </c>
      <c r="I21" s="18" t="n">
        <f aca="false">I19/I17</f>
        <v>0.339601122819975</v>
      </c>
      <c r="J21" s="18" t="n">
        <f aca="false">J19/J17</f>
        <v>0.332289401606289</v>
      </c>
      <c r="K21" s="18" t="n">
        <f aca="false">K19/K17</f>
        <v>0.322043316275706</v>
      </c>
      <c r="L21" s="18" t="n">
        <f aca="false">L19/L17</f>
        <v>0.310478637203433</v>
      </c>
      <c r="M21" s="18" t="n">
        <f aca="false">M19/M17</f>
        <v>0.299412218307368</v>
      </c>
      <c r="N21" s="18" t="n">
        <f aca="false">N19/N17</f>
        <v>0.288902225771202</v>
      </c>
    </row>
    <row r="22" customFormat="false" ht="15" hidden="false" customHeight="false" outlineLevel="0" collapsed="false">
      <c r="A22" s="17" t="s">
        <v>31</v>
      </c>
      <c r="B22" s="12" t="s">
        <v>27</v>
      </c>
      <c r="C22" s="18" t="n">
        <f aca="false">C20/C17</f>
        <v>0.660670580639349</v>
      </c>
      <c r="D22" s="18" t="n">
        <f aca="false">D20/D17</f>
        <v>0.630248381595331</v>
      </c>
      <c r="E22" s="18" t="n">
        <f aca="false">E20/E17</f>
        <v>0.646296542929233</v>
      </c>
      <c r="F22" s="18" t="n">
        <f aca="false">F20/F17</f>
        <v>0.646182737610911</v>
      </c>
      <c r="G22" s="18" t="n">
        <f aca="false">G20/G17</f>
        <v>0.64778049852486</v>
      </c>
      <c r="H22" s="18" t="n">
        <f aca="false">H20/H17</f>
        <v>0.65351398658497</v>
      </c>
      <c r="I22" s="18" t="n">
        <f aca="false">I20/I17</f>
        <v>0.660398877180025</v>
      </c>
      <c r="J22" s="18" t="n">
        <f aca="false">J20/J17</f>
        <v>0.667710598393711</v>
      </c>
      <c r="K22" s="18" t="n">
        <f aca="false">K20/K17</f>
        <v>0.677956683724294</v>
      </c>
      <c r="L22" s="18" t="n">
        <f aca="false">L20/L17</f>
        <v>0.689521362796567</v>
      </c>
      <c r="M22" s="18" t="n">
        <f aca="false">M20/M17</f>
        <v>0.700587781692632</v>
      </c>
      <c r="N22" s="18" t="n">
        <f aca="false">N20/N17</f>
        <v>0.711097774228798</v>
      </c>
    </row>
    <row r="23" customFormat="false" ht="15" hidden="false" customHeight="false" outlineLevel="0" collapsed="false">
      <c r="A23" s="14" t="s">
        <v>32</v>
      </c>
      <c r="B23" s="12" t="s">
        <v>27</v>
      </c>
      <c r="C23" s="19" t="n">
        <f aca="false">Statements!C9</f>
        <v>0.695784402987214</v>
      </c>
      <c r="D23" s="19" t="n">
        <f aca="false">Statements!D9</f>
        <v>0.725143251680367</v>
      </c>
      <c r="E23" s="19" t="n">
        <f aca="false">Statements!E9</f>
        <v>0.739615013418521</v>
      </c>
      <c r="F23" s="19" t="n">
        <f aca="false">Statements!F9</f>
        <v>0.732607006092836</v>
      </c>
      <c r="G23" s="19" t="n">
        <f aca="false">Statements!G9</f>
        <v>0.735382557920415</v>
      </c>
      <c r="H23" s="19" t="n">
        <f aca="false">Statements!H9</f>
        <v>0.737016083756208</v>
      </c>
      <c r="I23" s="19" t="n">
        <f aca="false">Statements!I9</f>
        <v>0.736409112143953</v>
      </c>
      <c r="J23" s="19" t="n">
        <f aca="false">Statements!J9</f>
        <v>0.735711874843336</v>
      </c>
      <c r="K23" s="19" t="n">
        <f aca="false">Statements!K9</f>
        <v>0.733561911975819</v>
      </c>
      <c r="L23" s="19" t="n">
        <f aca="false">Statements!L9</f>
        <v>0.731071146593741</v>
      </c>
      <c r="M23" s="19" t="n">
        <f aca="false">Statements!M9</f>
        <v>0.728739535597912</v>
      </c>
      <c r="N23" s="19" t="n">
        <f aca="false">Statements!N9</f>
        <v>0.726581405409767</v>
      </c>
    </row>
    <row r="24" customFormat="false" ht="15" hidden="false" customHeight="false" outlineLevel="0" collapsed="false">
      <c r="A24" s="11" t="s">
        <v>33</v>
      </c>
      <c r="B24" s="12" t="s">
        <v>11</v>
      </c>
      <c r="C24" s="13" t="n">
        <f aca="false">Statements!C13</f>
        <v>3001.15</v>
      </c>
      <c r="D24" s="13" t="n">
        <f aca="false">Statements!D13</f>
        <v>4247.37</v>
      </c>
      <c r="E24" s="13" t="n">
        <f aca="false">Statements!E13</f>
        <v>6611.77</v>
      </c>
      <c r="F24" s="13" t="n">
        <f aca="false">Statements!F13</f>
        <v>6733.45585339709</v>
      </c>
      <c r="G24" s="13" t="n">
        <f aca="false">Statements!G13</f>
        <v>7497.8299682509</v>
      </c>
      <c r="H24" s="13" t="n">
        <f aca="false">Statements!H13</f>
        <v>8572.4128310609</v>
      </c>
      <c r="I24" s="13" t="n">
        <f aca="false">Statements!I13</f>
        <v>9686.08614736232</v>
      </c>
      <c r="J24" s="13" t="n">
        <f aca="false">Statements!J13</f>
        <v>10861.0990284135</v>
      </c>
      <c r="K24" s="13" t="n">
        <f aca="false">Statements!K13</f>
        <v>12282.3198504</v>
      </c>
      <c r="L24" s="13" t="n">
        <f aca="false">Statements!L13</f>
        <v>13720.9601477099</v>
      </c>
      <c r="M24" s="13" t="n">
        <f aca="false">Statements!M13</f>
        <v>15244.7333184517</v>
      </c>
      <c r="N24" s="13" t="n">
        <f aca="false">Statements!N13</f>
        <v>16921.4800216529</v>
      </c>
    </row>
    <row r="25" customFormat="false" ht="15" hidden="false" customHeight="false" outlineLevel="0" collapsed="false">
      <c r="A25" s="14" t="s">
        <v>34</v>
      </c>
      <c r="B25" s="12" t="s">
        <v>27</v>
      </c>
      <c r="C25" s="19" t="n">
        <f aca="false">Statements!C14</f>
        <v>0.204831767880763</v>
      </c>
      <c r="D25" s="19" t="n">
        <f aca="false">Statements!D14</f>
        <v>0.250645886567094</v>
      </c>
      <c r="E25" s="19" t="n">
        <f aca="false">Statements!E14</f>
        <v>0.30156415622041</v>
      </c>
      <c r="F25" s="19" t="n">
        <f aca="false">Statements!F14</f>
        <v>0.267668605919489</v>
      </c>
      <c r="G25" s="19" t="n">
        <f aca="false">Statements!G14</f>
        <v>0.262552598593487</v>
      </c>
      <c r="H25" s="19" t="n">
        <f aca="false">Statements!H14</f>
        <v>0.263752386585226</v>
      </c>
      <c r="I25" s="19" t="n">
        <f aca="false">Statements!I14</f>
        <v>0.26421740498291</v>
      </c>
      <c r="J25" s="19" t="n">
        <f aca="false">Statements!J14</f>
        <v>0.26467397978473</v>
      </c>
      <c r="K25" s="19" t="n">
        <f aca="false">Statements!K14</f>
        <v>0.266976323987684</v>
      </c>
      <c r="L25" s="19" t="n">
        <f aca="false">Statements!L14</f>
        <v>0.267798113021204</v>
      </c>
      <c r="M25" s="19" t="n">
        <f aca="false">Statements!M14</f>
        <v>0.268916460693236</v>
      </c>
      <c r="N25" s="19" t="n">
        <f aca="false">Statements!N14</f>
        <v>0.271469709277396</v>
      </c>
    </row>
    <row r="26" customFormat="false" ht="15" hidden="false" customHeight="false" outlineLevel="0" collapsed="false">
      <c r="A26" s="14" t="s">
        <v>35</v>
      </c>
      <c r="B26" s="12" t="s">
        <v>11</v>
      </c>
      <c r="C26" s="16" t="n">
        <f aca="false">Statements!C16</f>
        <v>1806.79</v>
      </c>
      <c r="D26" s="16" t="n">
        <f aca="false">Statements!D16</f>
        <v>2861.64</v>
      </c>
      <c r="E26" s="16" t="n">
        <f aca="false">Statements!E16</f>
        <v>4943.22</v>
      </c>
      <c r="F26" s="16" t="n">
        <f aca="false">Statements!F16</f>
        <v>4322.20613839709</v>
      </c>
      <c r="G26" s="16" t="n">
        <f aca="false">Statements!G16</f>
        <v>4322.32863533557</v>
      </c>
      <c r="H26" s="16" t="n">
        <f aca="false">Statements!H16</f>
        <v>4804.11253351202</v>
      </c>
      <c r="I26" s="16" t="n">
        <f aca="false">Statements!I16</f>
        <v>5515.79809399578</v>
      </c>
      <c r="J26" s="16" t="n">
        <f aca="false">Statements!J16</f>
        <v>6347.0032092425</v>
      </c>
      <c r="K26" s="16" t="n">
        <f aca="false">Statements!K16</f>
        <v>7465.24984574622</v>
      </c>
      <c r="L26" s="16" t="n">
        <f aca="false">Statements!L16</f>
        <v>8593.43384203005</v>
      </c>
      <c r="M26" s="16" t="n">
        <f aca="false">Statements!M16</f>
        <v>9801.93804997113</v>
      </c>
      <c r="N26" s="16" t="n">
        <f aca="false">Statements!N16</f>
        <v>11195.3641851859</v>
      </c>
    </row>
    <row r="27" customFormat="false" ht="15" hidden="false" customHeight="false" outlineLevel="0" collapsed="false">
      <c r="A27" s="11" t="s">
        <v>36</v>
      </c>
      <c r="B27" s="12" t="s">
        <v>11</v>
      </c>
      <c r="C27" s="13" t="n">
        <f aca="false">Statements!C26</f>
        <v>828.09</v>
      </c>
      <c r="D27" s="13" t="n">
        <f aca="false">Statements!D26</f>
        <v>1701.32</v>
      </c>
      <c r="E27" s="13" t="n">
        <f aca="false">Statements!E26</f>
        <v>3489.1</v>
      </c>
      <c r="F27" s="13" t="n">
        <f aca="false">Statements!F26</f>
        <v>3060.17815785583</v>
      </c>
      <c r="G27" s="13" t="n">
        <f aca="false">Statements!G26</f>
        <v>2642.01501917422</v>
      </c>
      <c r="H27" s="13" t="n">
        <f aca="false">Statements!H26</f>
        <v>2709.02135888281</v>
      </c>
      <c r="I27" s="13" t="n">
        <f aca="false">Statements!I26</f>
        <v>3105.37647288183</v>
      </c>
      <c r="J27" s="13" t="n">
        <f aca="false">Statements!J26</f>
        <v>3628.3951485249</v>
      </c>
      <c r="K27" s="13" t="n">
        <f aca="false">Statements!K26</f>
        <v>4433.52263571033</v>
      </c>
      <c r="L27" s="13" t="n">
        <f aca="false">Statements!L26</f>
        <v>5304.04717670429</v>
      </c>
      <c r="M27" s="13" t="n">
        <f aca="false">Statements!M26</f>
        <v>6251.9451483516</v>
      </c>
      <c r="N27" s="13" t="n">
        <f aca="false">Statements!N26</f>
        <v>7422.38302955188</v>
      </c>
    </row>
    <row r="28" customFormat="false" ht="15" hidden="false" customHeight="false" outlineLevel="0" collapsed="false">
      <c r="A28" s="14" t="s">
        <v>37</v>
      </c>
      <c r="B28" s="12" t="s">
        <v>27</v>
      </c>
      <c r="C28" s="19" t="n">
        <f aca="false">Statements!C27</f>
        <v>0.0565180476365329</v>
      </c>
      <c r="D28" s="19" t="n">
        <f aca="false">Statements!D27</f>
        <v>0.100398331140053</v>
      </c>
      <c r="E28" s="19" t="n">
        <f aca="false">Statements!E27</f>
        <v>0.159138551018658</v>
      </c>
      <c r="F28" s="19" t="n">
        <f aca="false">Statements!F27</f>
        <v>0.121648324309618</v>
      </c>
      <c r="G28" s="19" t="n">
        <f aca="false">Statements!G27</f>
        <v>0.0925158228106672</v>
      </c>
      <c r="H28" s="19" t="n">
        <f aca="false">Statements!H27</f>
        <v>0.0833500279089181</v>
      </c>
      <c r="I28" s="19" t="n">
        <f aca="false">Statements!I27</f>
        <v>0.0847085706937733</v>
      </c>
      <c r="J28" s="19" t="n">
        <f aca="false">Statements!J27</f>
        <v>0.088420313789549</v>
      </c>
      <c r="K28" s="19" t="n">
        <f aca="false">Statements!K27</f>
        <v>0.0963698706771248</v>
      </c>
      <c r="L28" s="19" t="n">
        <f aca="false">Statements!L27</f>
        <v>0.103521459869113</v>
      </c>
      <c r="M28" s="19" t="n">
        <f aca="false">Statements!M27</f>
        <v>0.110284051981941</v>
      </c>
      <c r="N28" s="19" t="n">
        <f aca="false">Statements!N27</f>
        <v>0.119076591444695</v>
      </c>
    </row>
    <row r="29" customFormat="false" ht="15" hidden="false" customHeight="false" outlineLevel="0" collapsed="false">
      <c r="A29" s="11" t="s">
        <v>38</v>
      </c>
      <c r="B29" s="12" t="s">
        <v>39</v>
      </c>
      <c r="C29" s="20" t="n">
        <f aca="false">Statements!C30</f>
        <v>4.53003282275711</v>
      </c>
      <c r="D29" s="20" t="n">
        <f aca="false">Statements!D30</f>
        <v>8.60991902834009</v>
      </c>
      <c r="E29" s="20" t="n">
        <f aca="false">Statements!E30</f>
        <v>16.4301186664155</v>
      </c>
      <c r="F29" s="20" t="n">
        <f aca="false">Statements!F30</f>
        <v>14.2758824307512</v>
      </c>
      <c r="G29" s="20" t="n">
        <f aca="false">Statements!G30</f>
        <v>12.2111990163349</v>
      </c>
      <c r="H29" s="20" t="n">
        <f aca="false">Statements!H30</f>
        <v>12.406216151689</v>
      </c>
      <c r="I29" s="20" t="n">
        <f aca="false">Statements!I30</f>
        <v>14.0922874971947</v>
      </c>
      <c r="J29" s="20" t="n">
        <f aca="false">Statements!J30</f>
        <v>16.3176612184066</v>
      </c>
      <c r="K29" s="20" t="n">
        <f aca="false">Statements!K30</f>
        <v>19.7607534128647</v>
      </c>
      <c r="L29" s="20" t="n">
        <f aca="false">Statements!L30</f>
        <v>23.4319101285752</v>
      </c>
      <c r="M29" s="20" t="n">
        <f aca="false">Statements!M30</f>
        <v>27.377584289506</v>
      </c>
      <c r="N29" s="20" t="n">
        <f aca="false">Statements!N30</f>
        <v>32.2207980098623</v>
      </c>
    </row>
    <row r="30" customFormat="false" ht="15" hidden="false" customHeight="false" outlineLevel="0" collapsed="false">
      <c r="A30" s="14" t="s">
        <v>40</v>
      </c>
      <c r="B30" s="12" t="s">
        <v>27</v>
      </c>
      <c r="C30" s="15"/>
      <c r="D30" s="15" t="n">
        <f aca="false">D29/C29-1</f>
        <v>0.900630605828556</v>
      </c>
      <c r="E30" s="15" t="n">
        <f aca="false">E29/D29-1</f>
        <v>0.908277953873288</v>
      </c>
      <c r="F30" s="15" t="n">
        <f aca="false">F29/E29-1</f>
        <v>-0.131115074662712</v>
      </c>
      <c r="G30" s="15" t="n">
        <f aca="false">G29/F29-1</f>
        <v>-0.144627375885981</v>
      </c>
      <c r="H30" s="15" t="n">
        <f aca="false">H29/G29-1</f>
        <v>0.015970351076356</v>
      </c>
      <c r="I30" s="15" t="n">
        <f aca="false">I29/H29-1</f>
        <v>0.135905365898058</v>
      </c>
      <c r="J30" s="15" t="n">
        <f aca="false">J29/I29-1</f>
        <v>0.157914300404026</v>
      </c>
      <c r="K30" s="15" t="n">
        <f aca="false">K29/J29-1</f>
        <v>0.211004024925718</v>
      </c>
      <c r="L30" s="15" t="n">
        <f aca="false">L29/K29-1</f>
        <v>0.185780199722573</v>
      </c>
      <c r="M30" s="15" t="n">
        <f aca="false">M29/L29-1</f>
        <v>0.168388925157195</v>
      </c>
      <c r="N30" s="15" t="n">
        <f aca="false">N29/M29-1</f>
        <v>0.176904348796497</v>
      </c>
    </row>
    <row r="31" customFormat="false" ht="15" hidden="false" customHeight="false" outlineLevel="0" collapsed="false">
      <c r="A31" s="14" t="s">
        <v>41</v>
      </c>
      <c r="B31" s="12" t="s">
        <v>11</v>
      </c>
      <c r="C31" s="16" t="n">
        <f aca="false">Schedules!C52</f>
        <v>1816.9</v>
      </c>
      <c r="D31" s="16" t="n">
        <f aca="false">Schedules!D52</f>
        <v>3692.8</v>
      </c>
      <c r="E31" s="16" t="n">
        <f aca="false">Schedules!E52</f>
        <v>5929.61</v>
      </c>
      <c r="F31" s="16" t="n">
        <f aca="false">Schedules!F52</f>
        <v>12000</v>
      </c>
      <c r="G31" s="16" t="n">
        <f aca="false">Schedules!G52</f>
        <v>8500</v>
      </c>
      <c r="H31" s="16" t="n">
        <f aca="false">Schedules!H52</f>
        <v>7000</v>
      </c>
      <c r="I31" s="16" t="n">
        <f aca="false">Schedules!I52</f>
        <v>7500</v>
      </c>
      <c r="J31" s="16" t="n">
        <f aca="false">Schedules!J52</f>
        <v>7000</v>
      </c>
      <c r="K31" s="16" t="n">
        <f aca="false">Schedules!K52</f>
        <v>7000</v>
      </c>
      <c r="L31" s="16" t="n">
        <f aca="false">Schedules!L52</f>
        <v>8000</v>
      </c>
      <c r="M31" s="16" t="n">
        <f aca="false">Schedules!M52</f>
        <v>7500</v>
      </c>
      <c r="N31" s="16" t="n">
        <f aca="false">Schedules!N52</f>
        <v>7500</v>
      </c>
    </row>
    <row r="32" customFormat="false" ht="15" hidden="false" customHeight="false" outlineLevel="0" collapsed="false">
      <c r="A32" s="14" t="s">
        <v>42</v>
      </c>
      <c r="B32" s="12" t="s">
        <v>27</v>
      </c>
      <c r="C32" s="19" t="n">
        <f aca="false">Schedules!C53</f>
        <v>0.124005410946656</v>
      </c>
      <c r="D32" s="19" t="n">
        <f aca="false">Schedules!D53</f>
        <v>0.217919590220528</v>
      </c>
      <c r="E32" s="19" t="n">
        <f aca="false">Schedules!E53</f>
        <v>0.270450701758547</v>
      </c>
      <c r="F32" s="19" t="n">
        <f aca="false">Schedules!F53</f>
        <v>0.477024479103606</v>
      </c>
      <c r="G32" s="19" t="n">
        <f aca="false">Schedules!G53</f>
        <v>0.297645731831026</v>
      </c>
      <c r="H32" s="19" t="n">
        <f aca="false">Schedules!H53</f>
        <v>0.215373051027932</v>
      </c>
      <c r="I32" s="19" t="n">
        <f aca="false">Schedules!I53</f>
        <v>0.204585268727086</v>
      </c>
      <c r="J32" s="19" t="n">
        <f aca="false">Schedules!J53</f>
        <v>0.170582908197987</v>
      </c>
      <c r="K32" s="19" t="n">
        <f aca="false">Schedules!K53</f>
        <v>0.152156456652847</v>
      </c>
      <c r="L32" s="19" t="n">
        <f aca="false">Schedules!L53</f>
        <v>0.156139576320189</v>
      </c>
      <c r="M32" s="19" t="n">
        <f aca="false">Schedules!M53</f>
        <v>0.132299687575257</v>
      </c>
      <c r="N32" s="19" t="n">
        <f aca="false">Schedules!N53</f>
        <v>0.120321793186835</v>
      </c>
    </row>
    <row r="33" customFormat="false" ht="15" hidden="false" customHeight="false" outlineLevel="0" collapsed="false">
      <c r="A33" s="14" t="s">
        <v>43</v>
      </c>
      <c r="B33" s="12" t="s">
        <v>11</v>
      </c>
      <c r="C33" s="16" t="n">
        <f aca="false">Statements!C80</f>
        <v>2630.87</v>
      </c>
      <c r="D33" s="16" t="n">
        <f aca="false">Statements!D80</f>
        <v>3140.45</v>
      </c>
      <c r="E33" s="16" t="n">
        <f aca="false">Statements!E80</f>
        <v>5091.33</v>
      </c>
      <c r="F33" s="16" t="n">
        <f aca="false">Statements!F80</f>
        <v>5755.27103534772</v>
      </c>
      <c r="G33" s="16" t="n">
        <f aca="false">Statements!G80</f>
        <v>4908.92224357171</v>
      </c>
      <c r="H33" s="16" t="n">
        <f aca="false">Statements!H80</f>
        <v>6379.75846762108</v>
      </c>
      <c r="I33" s="16" t="n">
        <f aca="false">Statements!I80</f>
        <v>7729.02761246093</v>
      </c>
      <c r="J33" s="16" t="n">
        <f aca="false">Statements!J80</f>
        <v>8510.7345269596</v>
      </c>
      <c r="K33" s="16" t="n">
        <f aca="false">Statements!K80</f>
        <v>9550.39861446932</v>
      </c>
      <c r="L33" s="16" t="n">
        <f aca="false">Statements!L80</f>
        <v>10869.6767690974</v>
      </c>
      <c r="M33" s="16" t="n">
        <f aca="false">Statements!M80</f>
        <v>11727.7642309793</v>
      </c>
      <c r="N33" s="16" t="n">
        <f aca="false">Statements!N80</f>
        <v>12973.793192821</v>
      </c>
    </row>
    <row r="34" customFormat="false" ht="15" hidden="false" customHeight="false" outlineLevel="0" collapsed="false">
      <c r="A34" s="14" t="s">
        <v>44</v>
      </c>
      <c r="B34" s="12" t="s">
        <v>11</v>
      </c>
      <c r="C34" s="16" t="n">
        <f aca="false">Statements!C106</f>
        <v>813.97</v>
      </c>
      <c r="D34" s="16" t="n">
        <f aca="false">Statements!D106</f>
        <v>-552.349999999998</v>
      </c>
      <c r="E34" s="16" t="n">
        <f aca="false">Statements!E106</f>
        <v>-838.280000000003</v>
      </c>
      <c r="F34" s="16" t="n">
        <f aca="false">Statements!F106</f>
        <v>-6244.72896465228</v>
      </c>
      <c r="G34" s="16" t="n">
        <f aca="false">Statements!G106</f>
        <v>-3591.07775642829</v>
      </c>
      <c r="H34" s="16" t="n">
        <f aca="false">Statements!H106</f>
        <v>-620.241532378923</v>
      </c>
      <c r="I34" s="16" t="n">
        <f aca="false">Statements!I106</f>
        <v>229.027612460932</v>
      </c>
      <c r="J34" s="16" t="n">
        <f aca="false">Statements!J106</f>
        <v>1510.7345269596</v>
      </c>
      <c r="K34" s="16" t="n">
        <f aca="false">Statements!K106</f>
        <v>2550.39861446932</v>
      </c>
      <c r="L34" s="16" t="n">
        <f aca="false">Statements!L106</f>
        <v>2869.67676909742</v>
      </c>
      <c r="M34" s="16" t="n">
        <f aca="false">Statements!M106</f>
        <v>4227.76423097926</v>
      </c>
      <c r="N34" s="16" t="n">
        <f aca="false">Statements!N106</f>
        <v>5473.79319282103</v>
      </c>
    </row>
    <row r="35" customFormat="false" ht="15" hidden="false" customHeight="false" outlineLevel="0" collapsed="false">
      <c r="A35" s="14" t="s">
        <v>45</v>
      </c>
      <c r="B35" s="12" t="s">
        <v>11</v>
      </c>
      <c r="C35" s="16" t="n">
        <f aca="false">Schedules!C138</f>
        <v>5513.63</v>
      </c>
      <c r="D35" s="16" t="n">
        <f aca="false">Schedules!D138</f>
        <v>-3352.46</v>
      </c>
      <c r="E35" s="16" t="n">
        <f aca="false">Schedules!E138</f>
        <v>-627.38</v>
      </c>
      <c r="F35" s="16" t="n">
        <f aca="false">Schedules!F138</f>
        <v>6188.91631465228</v>
      </c>
      <c r="G35" s="16" t="n">
        <f aca="false">Schedules!G138</f>
        <v>10860.33869409</v>
      </c>
      <c r="H35" s="16" t="n">
        <f aca="false">Schedules!H138</f>
        <v>12926.2808493958</v>
      </c>
      <c r="I35" s="16" t="n">
        <f aca="false">Schedules!I138</f>
        <v>14317.1284984585</v>
      </c>
      <c r="J35" s="16" t="n">
        <f aca="false">Schedules!J138</f>
        <v>14566.0215227736</v>
      </c>
      <c r="K35" s="16" t="n">
        <f aca="false">Schedules!K138</f>
        <v>13835.8771738657</v>
      </c>
      <c r="L35" s="16" t="n">
        <f aca="false">Schedules!L138</f>
        <v>12780.4466646208</v>
      </c>
      <c r="M35" s="16" t="n">
        <f aca="false">Schedules!M138</f>
        <v>10346.4842411662</v>
      </c>
      <c r="N35" s="16" t="n">
        <f aca="false">Schedules!N138</f>
        <v>6539.68265537782</v>
      </c>
    </row>
    <row r="36" customFormat="false" ht="15" hidden="false" customHeight="false" outlineLevel="0" collapsed="false">
      <c r="A36" s="14" t="s">
        <v>46</v>
      </c>
      <c r="B36" s="12" t="s">
        <v>47</v>
      </c>
      <c r="C36" s="21" t="n">
        <f aca="false">Schedules!C139</f>
        <v>1.83717241724006</v>
      </c>
      <c r="D36" s="21" t="n">
        <f aca="false">Schedules!D139</f>
        <v>-0.789302556640933</v>
      </c>
      <c r="E36" s="21" t="n">
        <f aca="false">Schedules!E139</f>
        <v>-0.0948883581854784</v>
      </c>
      <c r="F36" s="21" t="n">
        <f aca="false">Schedules!F139</f>
        <v>0.919129262803426</v>
      </c>
      <c r="G36" s="21" t="n">
        <f aca="false">Schedules!G139</f>
        <v>1.44846425433458</v>
      </c>
      <c r="H36" s="21" t="n">
        <f aca="false">Schedules!H139</f>
        <v>1.50789294731109</v>
      </c>
      <c r="I36" s="21" t="n">
        <f aca="false">Schedules!I139</f>
        <v>1.4781128601006</v>
      </c>
      <c r="J36" s="21" t="n">
        <f aca="false">Schedules!J139</f>
        <v>1.34111856310929</v>
      </c>
      <c r="K36" s="21" t="n">
        <f aca="false">Schedules!K139</f>
        <v>1.12648728761245</v>
      </c>
      <c r="L36" s="21" t="n">
        <f aca="false">Schedules!L139</f>
        <v>0.931454251527278</v>
      </c>
      <c r="M36" s="21" t="n">
        <f aca="false">Schedules!M139</f>
        <v>0.678692373624086</v>
      </c>
      <c r="N36" s="21" t="n">
        <f aca="false">Schedules!N139</f>
        <v>0.386472261705808</v>
      </c>
    </row>
    <row r="37" customFormat="false" ht="15" hidden="false" customHeight="false" outlineLevel="0" collapsed="false">
      <c r="A37" s="14" t="s">
        <v>48</v>
      </c>
      <c r="B37" s="12" t="s">
        <v>27</v>
      </c>
      <c r="C37" s="15"/>
      <c r="D37" s="19" t="n">
        <f aca="false">Statements!D107</f>
        <v>0.145176276673219</v>
      </c>
      <c r="E37" s="19" t="n">
        <f aca="false">Statements!E107</f>
        <v>0.204442571378528</v>
      </c>
      <c r="F37" s="19" t="n">
        <f aca="false">Statements!F107</f>
        <v>0.140031239961865</v>
      </c>
      <c r="G37" s="19" t="n">
        <f aca="false">Statements!G107</f>
        <v>0.108680196842098</v>
      </c>
      <c r="H37" s="19" t="n">
        <f aca="false">Statements!H107</f>
        <v>0.104057868999604</v>
      </c>
      <c r="I37" s="19" t="n">
        <f aca="false">Statements!I107</f>
        <v>0.107787284044234</v>
      </c>
      <c r="J37" s="19" t="n">
        <f aca="false">Statements!J107</f>
        <v>0.113865656064773</v>
      </c>
      <c r="K37" s="19" t="n">
        <f aca="false">Statements!K107</f>
        <v>0.124563349476195</v>
      </c>
      <c r="L37" s="19" t="n">
        <f aca="false">Statements!L107</f>
        <v>0.133590810346331</v>
      </c>
      <c r="M37" s="19" t="n">
        <f aca="false">Statements!M107</f>
        <v>0.142486661882058</v>
      </c>
      <c r="N37" s="19" t="n">
        <f aca="false">Statements!N107</f>
        <v>0.15346056160967</v>
      </c>
    </row>
    <row r="38" customFormat="false" ht="15" hidden="false" customHeight="false" outlineLevel="0" collapsed="false">
      <c r="A38" s="14" t="s">
        <v>49</v>
      </c>
      <c r="B38" s="12" t="s">
        <v>27</v>
      </c>
      <c r="C38" s="15"/>
      <c r="D38" s="19" t="n">
        <f aca="false">Statements!D108</f>
        <v>0.109638865563954</v>
      </c>
      <c r="E38" s="19" t="n">
        <f aca="false">Statements!E108</f>
        <v>0.151303912670353</v>
      </c>
      <c r="F38" s="19" t="n">
        <f aca="false">Statements!F108</f>
        <v>0.115666240857996</v>
      </c>
      <c r="G38" s="19" t="n">
        <f aca="false">Statements!G108</f>
        <v>0.0895930392969725</v>
      </c>
      <c r="H38" s="19" t="n">
        <f aca="false">Statements!H108</f>
        <v>0.0837472551552207</v>
      </c>
      <c r="I38" s="19" t="n">
        <f aca="false">Statements!I108</f>
        <v>0.0876240267280729</v>
      </c>
      <c r="J38" s="19" t="n">
        <f aca="false">Statements!J108</f>
        <v>0.0930508792932975</v>
      </c>
      <c r="K38" s="19" t="n">
        <f aca="false">Statements!K108</f>
        <v>0.102595474963477</v>
      </c>
      <c r="L38" s="19" t="n">
        <f aca="false">Statements!L108</f>
        <v>0.109875124111797</v>
      </c>
      <c r="M38" s="19" t="n">
        <f aca="false">Statements!M108</f>
        <v>0.115255107690791</v>
      </c>
      <c r="N38" s="19" t="n">
        <f aca="false">Statements!N108</f>
        <v>0.121129213182713</v>
      </c>
    </row>
    <row r="40" customFormat="false" ht="15" hidden="false" customHeight="false" outlineLevel="0" collapsed="false">
      <c r="A40" s="3" t="s">
        <v>50</v>
      </c>
      <c r="B40" s="4"/>
      <c r="C40" s="4"/>
      <c r="D40" s="4"/>
      <c r="E40" s="4"/>
      <c r="F40" s="4"/>
      <c r="G40" s="4"/>
      <c r="H40" s="4"/>
      <c r="I40" s="4"/>
      <c r="J40" s="4"/>
      <c r="K40" s="4"/>
      <c r="L40" s="4"/>
      <c r="M40" s="4"/>
      <c r="N40" s="4"/>
      <c r="O40" s="4"/>
      <c r="P40" s="4"/>
    </row>
    <row r="41" customFormat="false" ht="15" hidden="false" customHeight="false" outlineLevel="0" collapsed="false">
      <c r="A41" s="14" t="s">
        <v>51</v>
      </c>
      <c r="B41" s="12" t="s">
        <v>52</v>
      </c>
      <c r="C41" s="16" t="n">
        <f aca="false">Revenue_Model!C13</f>
        <v>1127</v>
      </c>
      <c r="D41" s="16" t="n">
        <f aca="false">Revenue_Model!D13</f>
        <v>1161</v>
      </c>
      <c r="E41" s="16" t="n">
        <f aca="false">Revenue_Model!E13</f>
        <v>1313</v>
      </c>
      <c r="F41" s="16" t="n">
        <f aca="false">Revenue_Model!F13</f>
        <v>1443</v>
      </c>
      <c r="G41" s="16" t="n">
        <f aca="false">Revenue_Model!G13</f>
        <v>1568</v>
      </c>
      <c r="H41" s="16" t="n">
        <f aca="false">Revenue_Model!H13</f>
        <v>1688</v>
      </c>
      <c r="I41" s="16" t="n">
        <f aca="false">Revenue_Model!I13</f>
        <v>1803</v>
      </c>
      <c r="J41" s="16" t="n">
        <f aca="false">Revenue_Model!J13</f>
        <v>1908</v>
      </c>
      <c r="K41" s="16" t="n">
        <f aca="false">Revenue_Model!K13</f>
        <v>2003</v>
      </c>
      <c r="L41" s="16" t="n">
        <f aca="false">Revenue_Model!L13</f>
        <v>2088</v>
      </c>
      <c r="M41" s="16" t="n">
        <f aca="false">Revenue_Model!M13</f>
        <v>2163</v>
      </c>
      <c r="N41" s="16" t="n">
        <f aca="false">Revenue_Model!N13</f>
        <v>2228</v>
      </c>
    </row>
    <row r="42" customFormat="false" ht="15" hidden="false" customHeight="false" outlineLevel="0" collapsed="false">
      <c r="A42" s="14" t="s">
        <v>53</v>
      </c>
      <c r="B42" s="12" t="s">
        <v>11</v>
      </c>
      <c r="C42" s="22" t="n">
        <f aca="false">Revenue_Model!C15</f>
        <v>4.40993788819876</v>
      </c>
      <c r="D42" s="22" t="n">
        <f aca="false">Revenue_Model!D15</f>
        <v>5.39190353143842</v>
      </c>
      <c r="E42" s="22" t="n">
        <f aca="false">Revenue_Model!E15</f>
        <v>5.9025133282559</v>
      </c>
      <c r="F42" s="22" t="n">
        <f aca="false">Revenue_Model!F15</f>
        <v>6.16812642802742</v>
      </c>
      <c r="G42" s="22" t="n">
        <f aca="false">Revenue_Model!G15</f>
        <v>6.41485148514852</v>
      </c>
      <c r="H42" s="22" t="n">
        <f aca="false">Revenue_Model!H15</f>
        <v>6.67144554455446</v>
      </c>
      <c r="I42" s="22" t="n">
        <f aca="false">Revenue_Model!I15</f>
        <v>6.90494613861386</v>
      </c>
      <c r="J42" s="22" t="n">
        <f aca="false">Revenue_Model!J15</f>
        <v>7.14661925346535</v>
      </c>
      <c r="K42" s="22" t="n">
        <f aca="false">Revenue_Model!K15</f>
        <v>7.39675092733663</v>
      </c>
      <c r="L42" s="22" t="n">
        <f aca="false">Revenue_Model!L15</f>
        <v>7.61865345515673</v>
      </c>
      <c r="M42" s="22" t="n">
        <f aca="false">Revenue_Model!M15</f>
        <v>7.84721305881143</v>
      </c>
      <c r="N42" s="22" t="n">
        <f aca="false">Revenue_Model!N15</f>
        <v>8.08262945057578</v>
      </c>
    </row>
    <row r="43" customFormat="false" ht="15" hidden="false" customHeight="false" outlineLevel="0" collapsed="false">
      <c r="A43" s="14" t="s">
        <v>54</v>
      </c>
      <c r="B43" s="12" t="s">
        <v>55</v>
      </c>
      <c r="C43" s="16" t="n">
        <f aca="false">Revenue_Model!C46</f>
        <v>475</v>
      </c>
      <c r="D43" s="16" t="n">
        <f aca="false">Revenue_Model!D46</f>
        <v>609</v>
      </c>
      <c r="E43" s="16" t="n">
        <f aca="false">Revenue_Model!E46</f>
        <v>700</v>
      </c>
      <c r="F43" s="16" t="n">
        <f aca="false">Revenue_Model!F46</f>
        <v>925</v>
      </c>
      <c r="G43" s="16" t="n">
        <f aca="false">Revenue_Model!G46</f>
        <v>1150</v>
      </c>
      <c r="H43" s="16" t="n">
        <f aca="false">Revenue_Model!H46</f>
        <v>1250</v>
      </c>
      <c r="I43" s="16" t="n">
        <f aca="false">Revenue_Model!I46</f>
        <v>1400</v>
      </c>
      <c r="J43" s="16" t="n">
        <f aca="false">Revenue_Model!J46</f>
        <v>1500</v>
      </c>
      <c r="K43" s="16" t="n">
        <f aca="false">Revenue_Model!K46</f>
        <v>1650</v>
      </c>
      <c r="L43" s="16" t="n">
        <f aca="false">Revenue_Model!L46</f>
        <v>1850</v>
      </c>
      <c r="M43" s="16" t="n">
        <f aca="false">Revenue_Model!M46</f>
        <v>2000</v>
      </c>
      <c r="N43" s="16" t="n">
        <f aca="false">Revenue_Model!N46</f>
        <v>2100</v>
      </c>
    </row>
    <row r="44" customFormat="false" ht="15" hidden="false" customHeight="false" outlineLevel="0" collapsed="false">
      <c r="A44" s="14" t="s">
        <v>56</v>
      </c>
      <c r="B44" s="12" t="s">
        <v>55</v>
      </c>
      <c r="C44" s="16" t="n">
        <f aca="false">Revenue_Model!C47</f>
        <v>475</v>
      </c>
      <c r="D44" s="16" t="n">
        <f aca="false">Revenue_Model!D47</f>
        <v>515.2</v>
      </c>
      <c r="E44" s="16" t="n">
        <f aca="false">Revenue_Model!E47</f>
        <v>636.3</v>
      </c>
      <c r="F44" s="16" t="n">
        <f aca="false">Revenue_Model!F47</f>
        <v>767.5</v>
      </c>
      <c r="G44" s="16" t="n">
        <f aca="false">Revenue_Model!G47</f>
        <v>992.5</v>
      </c>
      <c r="H44" s="16" t="n">
        <f aca="false">Revenue_Model!H47</f>
        <v>1180</v>
      </c>
      <c r="I44" s="16" t="n">
        <f aca="false">Revenue_Model!I47</f>
        <v>1295</v>
      </c>
      <c r="J44" s="16" t="n">
        <f aca="false">Revenue_Model!J47</f>
        <v>1430</v>
      </c>
      <c r="K44" s="16" t="n">
        <f aca="false">Revenue_Model!K47</f>
        <v>1545</v>
      </c>
      <c r="L44" s="16" t="n">
        <f aca="false">Revenue_Model!L47</f>
        <v>1710</v>
      </c>
      <c r="M44" s="16" t="n">
        <f aca="false">Revenue_Model!M47</f>
        <v>1895</v>
      </c>
      <c r="N44" s="16" t="n">
        <f aca="false">Revenue_Model!N47</f>
        <v>2030</v>
      </c>
    </row>
    <row r="45" customFormat="false" ht="15" hidden="false" customHeight="false" outlineLevel="0" collapsed="false">
      <c r="A45" s="14" t="s">
        <v>57</v>
      </c>
      <c r="B45" s="12" t="s">
        <v>52</v>
      </c>
      <c r="C45" s="16" t="n">
        <f aca="false">Schedules!C10</f>
        <v>3345</v>
      </c>
      <c r="D45" s="16" t="n">
        <f aca="false">Schedules!D10</f>
        <v>3401</v>
      </c>
      <c r="E45" s="16" t="n">
        <f aca="false">Schedules!E10</f>
        <v>3800</v>
      </c>
      <c r="F45" s="16" t="n">
        <f aca="false">Schedules!F10</f>
        <v>4120</v>
      </c>
      <c r="G45" s="16" t="n">
        <f aca="false">Schedules!G10</f>
        <v>4420</v>
      </c>
      <c r="H45" s="16" t="n">
        <f aca="false">Schedules!H10</f>
        <v>4700</v>
      </c>
      <c r="I45" s="16" t="n">
        <f aca="false">Schedules!I10</f>
        <v>4960</v>
      </c>
      <c r="J45" s="16" t="n">
        <f aca="false">Schedules!J10</f>
        <v>5200</v>
      </c>
      <c r="K45" s="16" t="n">
        <f aca="false">Schedules!K10</f>
        <v>5420</v>
      </c>
      <c r="L45" s="16" t="n">
        <f aca="false">Schedules!L10</f>
        <v>5620</v>
      </c>
      <c r="M45" s="16" t="n">
        <f aca="false">Schedules!M10</f>
        <v>5800</v>
      </c>
      <c r="N45" s="16" t="n">
        <f aca="false">Schedules!N10</f>
        <v>5960</v>
      </c>
    </row>
    <row r="46" customFormat="false" ht="15" hidden="false" customHeight="false" outlineLevel="0" collapsed="false">
      <c r="A46" s="14" t="s">
        <v>58</v>
      </c>
      <c r="B46" s="12" t="s">
        <v>11</v>
      </c>
      <c r="C46" s="22" t="n">
        <f aca="false">Schedules!C91</f>
        <v>4.38020328849028</v>
      </c>
      <c r="D46" s="22" t="n">
        <f aca="false">Schedules!D91</f>
        <v>4.98256395177889</v>
      </c>
      <c r="E46" s="22" t="n">
        <f aca="false">Schedules!E91</f>
        <v>5.76971578947368</v>
      </c>
      <c r="F46" s="22" t="n">
        <f aca="false">Schedules!F91</f>
        <v>6.10581109945661</v>
      </c>
      <c r="G46" s="22" t="n">
        <f aca="false">Schedules!G91</f>
        <v>6.460959178708</v>
      </c>
      <c r="H46" s="22" t="n">
        <f aca="false">Schedules!H91</f>
        <v>6.91526490904612</v>
      </c>
      <c r="I46" s="22" t="n">
        <f aca="false">Schedules!I91</f>
        <v>7.39103447477767</v>
      </c>
      <c r="J46" s="22" t="n">
        <f aca="false">Schedules!J91</f>
        <v>7.89149311835764</v>
      </c>
      <c r="K46" s="22" t="n">
        <f aca="false">Schedules!K91</f>
        <v>8.4880585651111</v>
      </c>
      <c r="L46" s="22" t="n">
        <f aca="false">Schedules!L91</f>
        <v>9.1167632065614</v>
      </c>
      <c r="M46" s="22" t="n">
        <f aca="false">Schedules!M91</f>
        <v>9.77404763363709</v>
      </c>
      <c r="N46" s="22" t="n">
        <f aca="false">Schedules!N91</f>
        <v>10.4585314797541</v>
      </c>
    </row>
    <row r="47" customFormat="false" ht="15" hidden="false" customHeight="false" outlineLevel="0" collapsed="false">
      <c r="A47" s="14" t="s">
        <v>59</v>
      </c>
      <c r="B47" s="12" t="s">
        <v>47</v>
      </c>
      <c r="C47" s="21" t="n">
        <f aca="false">Schedules!C92</f>
        <v>1.41802855068957</v>
      </c>
      <c r="D47" s="21" t="n">
        <f aca="false">Schedules!D92</f>
        <v>1.29409042450827</v>
      </c>
      <c r="E47" s="21" t="n">
        <f aca="false">Schedules!E92</f>
        <v>1.21476651742206</v>
      </c>
      <c r="F47" s="21" t="n">
        <f aca="false">Schedules!F92</f>
        <v>0.903120318381022</v>
      </c>
      <c r="G47" s="21" t="n">
        <f aca="false">Schedules!G92</f>
        <v>0.852662531725482</v>
      </c>
      <c r="H47" s="21" t="n">
        <f aca="false">Schedules!H92</f>
        <v>0.876554982649607</v>
      </c>
      <c r="I47" s="21" t="n">
        <f aca="false">Schedules!I92</f>
        <v>0.899276578801401</v>
      </c>
      <c r="J47" s="21" t="n">
        <f aca="false">Schedules!J92</f>
        <v>0.940364060981827</v>
      </c>
      <c r="K47" s="21" t="n">
        <f aca="false">Schedules!K92</f>
        <v>0.995114568128955</v>
      </c>
      <c r="L47" s="21" t="n">
        <f aca="false">Schedules!L92</f>
        <v>1.03457423280888</v>
      </c>
      <c r="M47" s="21" t="n">
        <f aca="false">Schedules!M92</f>
        <v>1.08910611466197</v>
      </c>
      <c r="N47" s="21" t="n">
        <f aca="false">Schedules!N92</f>
        <v>1.14712998062709</v>
      </c>
    </row>
    <row r="48" customFormat="false" ht="15" hidden="false" customHeight="false" outlineLevel="0" collapsed="false">
      <c r="A48" s="14" t="s">
        <v>60</v>
      </c>
      <c r="B48" s="12" t="s">
        <v>61</v>
      </c>
      <c r="C48" s="23" t="n">
        <f aca="false">Schedules!C114</f>
        <v>124.620025689711</v>
      </c>
      <c r="D48" s="23" t="n">
        <f aca="false">Schedules!D114</f>
        <v>103.474140932508</v>
      </c>
      <c r="E48" s="23" t="n">
        <f aca="false">Schedules!E114</f>
        <v>96.3335487655143</v>
      </c>
      <c r="F48" s="23" t="n">
        <f aca="false">Schedules!F114</f>
        <v>84.6400361793584</v>
      </c>
      <c r="G48" s="23" t="n">
        <f aca="false">Schedules!G114</f>
        <v>96.8883105804248</v>
      </c>
      <c r="H48" s="23" t="n">
        <f aca="false">Schedules!H114</f>
        <v>100.366725862753</v>
      </c>
      <c r="I48" s="23" t="n">
        <f aca="false">Schedules!I114</f>
        <v>98.9261889063367</v>
      </c>
      <c r="J48" s="23" t="n">
        <f aca="false">Schedules!J114</f>
        <v>99.3566859426203</v>
      </c>
      <c r="K48" s="23" t="n">
        <f aca="false">Schedules!K114</f>
        <v>99.4998396042772</v>
      </c>
      <c r="L48" s="23" t="n">
        <f aca="false">Schedules!L114</f>
        <v>98.0813873636067</v>
      </c>
      <c r="M48" s="23" t="n">
        <f aca="false">Schedules!M114</f>
        <v>98.9095887778379</v>
      </c>
      <c r="N48" s="23" t="n">
        <f aca="false">Schedules!N114</f>
        <v>99.8061025670731</v>
      </c>
    </row>
    <row r="50" customFormat="false" ht="15" hidden="false" customHeight="false" outlineLevel="0" collapsed="false">
      <c r="A50" s="3" t="s">
        <v>62</v>
      </c>
      <c r="B50" s="4"/>
      <c r="C50" s="4"/>
      <c r="D50" s="4"/>
      <c r="E50" s="4"/>
      <c r="F50" s="4"/>
      <c r="G50" s="4"/>
      <c r="H50" s="4"/>
      <c r="I50" s="4"/>
      <c r="J50" s="4"/>
      <c r="K50" s="4"/>
      <c r="L50" s="4"/>
      <c r="M50" s="4"/>
      <c r="N50" s="4"/>
      <c r="O50" s="4"/>
      <c r="P50" s="4"/>
    </row>
    <row r="51" customFormat="false" ht="15" hidden="false" customHeight="false" outlineLevel="0" collapsed="false">
      <c r="A51" s="14" t="s">
        <v>63</v>
      </c>
      <c r="B51" s="12" t="s">
        <v>52</v>
      </c>
      <c r="C51" s="16" t="n">
        <f aca="false">Revenue_Model!C31</f>
        <v>26</v>
      </c>
      <c r="D51" s="16" t="n">
        <f aca="false">Revenue_Model!D31</f>
        <v>30</v>
      </c>
      <c r="E51" s="16" t="n">
        <f aca="false">Revenue_Model!E31</f>
        <v>34</v>
      </c>
      <c r="F51" s="16" t="n">
        <f aca="false">Revenue_Model!F31</f>
        <v>36</v>
      </c>
      <c r="G51" s="16" t="n">
        <f aca="false">Revenue_Model!G31</f>
        <v>38</v>
      </c>
      <c r="H51" s="16" t="n">
        <f aca="false">Revenue_Model!H31</f>
        <v>41</v>
      </c>
      <c r="I51" s="16" t="n">
        <f aca="false">Revenue_Model!I31</f>
        <v>44</v>
      </c>
      <c r="J51" s="16" t="n">
        <f aca="false">Revenue_Model!J31</f>
        <v>47</v>
      </c>
      <c r="K51" s="16" t="n">
        <f aca="false">Revenue_Model!K31</f>
        <v>51</v>
      </c>
      <c r="L51" s="16" t="n">
        <f aca="false">Revenue_Model!L31</f>
        <v>55</v>
      </c>
      <c r="M51" s="16" t="n">
        <f aca="false">Revenue_Model!M31</f>
        <v>59</v>
      </c>
      <c r="N51" s="16" t="n">
        <f aca="false">Revenue_Model!N31</f>
        <v>63</v>
      </c>
    </row>
    <row r="52" customFormat="false" ht="15" hidden="false" customHeight="false" outlineLevel="0" collapsed="false">
      <c r="A52" s="14" t="s">
        <v>64</v>
      </c>
      <c r="B52" s="12" t="s">
        <v>52</v>
      </c>
      <c r="C52" s="16" t="n">
        <f aca="false">Revenue_Model!C67</f>
        <v>5</v>
      </c>
      <c r="D52" s="16" t="n">
        <f aca="false">Revenue_Model!D67</f>
        <v>6</v>
      </c>
      <c r="E52" s="16" t="n">
        <f aca="false">Revenue_Model!E67</f>
        <v>11</v>
      </c>
      <c r="F52" s="24"/>
      <c r="G52" s="24"/>
      <c r="H52" s="24"/>
      <c r="I52" s="24"/>
      <c r="J52" s="24"/>
      <c r="K52" s="24"/>
      <c r="L52" s="24"/>
      <c r="M52" s="24"/>
      <c r="N52" s="24"/>
    </row>
    <row r="53" customFormat="false" ht="15" hidden="false" customHeight="false" outlineLevel="0" collapsed="false">
      <c r="A53" s="14" t="s">
        <v>65</v>
      </c>
      <c r="B53" s="12" t="s">
        <v>11</v>
      </c>
      <c r="C53" s="16" t="n">
        <f aca="false">Revenue_Model!C64</f>
        <v>2292</v>
      </c>
      <c r="D53" s="16" t="n">
        <f aca="false">Revenue_Model!D64</f>
        <v>2412</v>
      </c>
      <c r="E53" s="16" t="n">
        <f aca="false">Revenue_Model!E64</f>
        <v>3308</v>
      </c>
      <c r="F53" s="16" t="n">
        <f aca="false">Revenue_Model!F64</f>
        <v>3835.33411764706</v>
      </c>
      <c r="G53" s="16" t="n">
        <f aca="false">Revenue_Model!G64</f>
        <v>4412.76497647059</v>
      </c>
      <c r="H53" s="16" t="n">
        <f aca="false">Revenue_Model!H64</f>
        <v>5165.83815732353</v>
      </c>
      <c r="I53" s="16" t="n">
        <f aca="false">Revenue_Model!I64</f>
        <v>5987.33242039059</v>
      </c>
      <c r="J53" s="16" t="n">
        <f aca="false">Revenue_Model!J64</f>
        <v>6875.22660318715</v>
      </c>
      <c r="K53" s="16" t="n">
        <f aca="false">Revenue_Model!K64</f>
        <v>7982.57693055155</v>
      </c>
      <c r="L53" s="16" t="n">
        <f aca="false">Revenue_Model!L64</f>
        <v>9211.26769339134</v>
      </c>
      <c r="M53" s="16" t="n">
        <f aca="false">Revenue_Model!M64</f>
        <v>10523.4546457135</v>
      </c>
      <c r="N53" s="16" t="n">
        <f aca="false">Revenue_Model!N64</f>
        <v>11911.1237498432</v>
      </c>
    </row>
    <row r="54" customFormat="false" ht="15" hidden="false" customHeight="false" outlineLevel="0" collapsed="false">
      <c r="A54" s="17" t="s">
        <v>66</v>
      </c>
      <c r="B54" s="12" t="s">
        <v>27</v>
      </c>
      <c r="C54" s="25" t="n">
        <f aca="false">Revenue_Model!C65</f>
        <v>0.236776859504132</v>
      </c>
      <c r="D54" s="25" t="n">
        <f aca="false">Revenue_Model!D65</f>
        <v>0.225842696629214</v>
      </c>
      <c r="E54" s="25" t="n">
        <f aca="false">Revenue_Model!E65</f>
        <v>0.233450952717008</v>
      </c>
      <c r="F54" s="25" t="n">
        <f aca="false">Revenue_Model!F65</f>
        <v>0.235943094882513</v>
      </c>
      <c r="G54" s="25" t="n">
        <f aca="false">Revenue_Model!G65</f>
        <v>0.238541343922173</v>
      </c>
      <c r="H54" s="25" t="n">
        <f aca="false">Revenue_Model!H65</f>
        <v>0.243208768923051</v>
      </c>
      <c r="I54" s="25" t="n">
        <f aca="false">Revenue_Model!I65</f>
        <v>0.247309124734745</v>
      </c>
      <c r="J54" s="25" t="n">
        <f aca="false">Revenue_Model!J65</f>
        <v>0.250920544515027</v>
      </c>
      <c r="K54" s="25" t="n">
        <f aca="false">Revenue_Model!K65</f>
        <v>0.255937257575468</v>
      </c>
      <c r="L54" s="25" t="n">
        <f aca="false">Revenue_Model!L65</f>
        <v>0.260732210889147</v>
      </c>
      <c r="M54" s="25" t="n">
        <f aca="false">Revenue_Model!M65</f>
        <v>0.264967940391726</v>
      </c>
      <c r="N54" s="25" t="n">
        <f aca="false">Revenue_Model!N65</f>
        <v>0.268723996500713</v>
      </c>
    </row>
    <row r="55" customFormat="false" ht="15" hidden="false" customHeight="false" outlineLevel="0" collapsed="false">
      <c r="A55" s="14" t="s">
        <v>67</v>
      </c>
      <c r="B55" s="12" t="s">
        <v>11</v>
      </c>
      <c r="C55" s="16" t="n">
        <f aca="false">Revenue_Model!C34</f>
        <v>5730</v>
      </c>
      <c r="D55" s="16" t="n">
        <f aca="false">Revenue_Model!D34</f>
        <v>6030</v>
      </c>
      <c r="E55" s="16" t="n">
        <f aca="false">Revenue_Model!E34</f>
        <v>8270</v>
      </c>
      <c r="F55" s="16" t="n">
        <f aca="false">Revenue_Model!F34</f>
        <v>9588.33529411765</v>
      </c>
      <c r="G55" s="16" t="n">
        <f aca="false">Revenue_Model!G34</f>
        <v>11031.9124411765</v>
      </c>
      <c r="H55" s="16" t="n">
        <f aca="false">Revenue_Model!H34</f>
        <v>12914.5953933088</v>
      </c>
      <c r="I55" s="16" t="n">
        <f aca="false">Revenue_Model!I34</f>
        <v>14968.3310509765</v>
      </c>
      <c r="J55" s="16" t="n">
        <f aca="false">Revenue_Model!J34</f>
        <v>17188.0665079679</v>
      </c>
      <c r="K55" s="16" t="n">
        <f aca="false">Revenue_Model!K34</f>
        <v>19956.4423263789</v>
      </c>
      <c r="L55" s="16" t="n">
        <f aca="false">Revenue_Model!L34</f>
        <v>23028.1692334784</v>
      </c>
      <c r="M55" s="16" t="n">
        <f aca="false">Revenue_Model!M34</f>
        <v>26308.6366142839</v>
      </c>
      <c r="N55" s="16" t="n">
        <f aca="false">Revenue_Model!N34</f>
        <v>29777.8093746081</v>
      </c>
    </row>
    <row r="56" customFormat="false" ht="15" hidden="false" customHeight="false" outlineLevel="0" collapsed="false">
      <c r="A56" s="17" t="s">
        <v>68</v>
      </c>
      <c r="B56" s="12" t="s">
        <v>11</v>
      </c>
      <c r="C56" s="26" t="n">
        <f aca="false">Revenue_Model!C33</f>
        <v>220.384615384615</v>
      </c>
      <c r="D56" s="26" t="n">
        <f aca="false">Revenue_Model!D33</f>
        <v>201</v>
      </c>
      <c r="E56" s="26" t="n">
        <f aca="false">Revenue_Model!E33</f>
        <v>243.235294117647</v>
      </c>
      <c r="F56" s="26" t="n">
        <f aca="false">Revenue_Model!F33</f>
        <v>266.342647058824</v>
      </c>
      <c r="G56" s="26" t="n">
        <f aca="false">Revenue_Model!G33</f>
        <v>290.313485294118</v>
      </c>
      <c r="H56" s="26" t="n">
        <f aca="false">Revenue_Model!H33</f>
        <v>314.990131544118</v>
      </c>
      <c r="I56" s="26" t="n">
        <f aca="false">Revenue_Model!I33</f>
        <v>340.189342067647</v>
      </c>
      <c r="J56" s="26" t="n">
        <f aca="false">Revenue_Model!J33</f>
        <v>365.703542722721</v>
      </c>
      <c r="K56" s="26" t="n">
        <f aca="false">Revenue_Model!K33</f>
        <v>391.302790713311</v>
      </c>
      <c r="L56" s="26" t="n">
        <f aca="false">Revenue_Model!L33</f>
        <v>418.693986063243</v>
      </c>
      <c r="M56" s="26" t="n">
        <f aca="false">Revenue_Model!M33</f>
        <v>445.909095157354</v>
      </c>
      <c r="N56" s="26" t="n">
        <f aca="false">Revenue_Model!N33</f>
        <v>472.663640866795</v>
      </c>
    </row>
    <row r="57" customFormat="false" ht="15" hidden="false" customHeight="false" outlineLevel="0" collapsed="false">
      <c r="A57" s="14" t="s">
        <v>69</v>
      </c>
      <c r="B57" s="12" t="s">
        <v>11</v>
      </c>
      <c r="C57" s="16" t="n">
        <f aca="false">Revenue_Model!C37</f>
        <v>3950</v>
      </c>
      <c r="D57" s="16" t="n">
        <f aca="false">Revenue_Model!D37</f>
        <v>4650</v>
      </c>
      <c r="E57" s="16" t="n">
        <f aca="false">Revenue_Model!E37</f>
        <v>5900</v>
      </c>
      <c r="F57" s="16" t="n">
        <f aca="false">Revenue_Model!F37</f>
        <v>6667</v>
      </c>
      <c r="G57" s="16" t="n">
        <f aca="false">Revenue_Model!G37</f>
        <v>7467.04</v>
      </c>
      <c r="H57" s="16" t="n">
        <f aca="false">Revenue_Model!H37</f>
        <v>8325.7496</v>
      </c>
      <c r="I57" s="16" t="n">
        <f aca="false">Revenue_Model!I37</f>
        <v>9241.582056</v>
      </c>
      <c r="J57" s="16" t="n">
        <f aca="false">Revenue_Model!J37</f>
        <v>10211.94817188</v>
      </c>
      <c r="K57" s="16" t="n">
        <f aca="false">Revenue_Model!K37</f>
        <v>11233.142989068</v>
      </c>
      <c r="L57" s="16" t="n">
        <f aca="false">Revenue_Model!L37</f>
        <v>12300.2915730295</v>
      </c>
      <c r="M57" s="16" t="n">
        <f aca="false">Revenue_Model!M37</f>
        <v>13407.3178146021</v>
      </c>
      <c r="N57" s="16" t="n">
        <f aca="false">Revenue_Model!N37</f>
        <v>14546.9398288433</v>
      </c>
    </row>
    <row r="59" customFormat="false" ht="15" hidden="false" customHeight="false" outlineLevel="0" collapsed="false">
      <c r="A59" s="3" t="s">
        <v>70</v>
      </c>
      <c r="B59" s="4"/>
      <c r="C59" s="4"/>
      <c r="D59" s="4"/>
      <c r="E59" s="4"/>
      <c r="F59" s="4"/>
      <c r="G59" s="4"/>
      <c r="H59" s="4"/>
      <c r="I59" s="4"/>
      <c r="J59" s="4"/>
      <c r="K59" s="4"/>
      <c r="L59" s="4"/>
      <c r="M59" s="4"/>
      <c r="N59" s="4"/>
      <c r="O59" s="4"/>
      <c r="P59" s="4"/>
    </row>
    <row r="60" customFormat="false" ht="15" hidden="false" customHeight="false" outlineLevel="0" collapsed="false">
      <c r="A60" s="10" t="s">
        <v>71</v>
      </c>
      <c r="C60" s="7" t="s">
        <v>72</v>
      </c>
      <c r="D60" s="7" t="s">
        <v>73</v>
      </c>
      <c r="E60" s="7" t="s">
        <v>74</v>
      </c>
      <c r="F60" s="7" t="s">
        <v>33</v>
      </c>
      <c r="G60" s="7" t="s">
        <v>75</v>
      </c>
      <c r="H60" s="7" t="s">
        <v>76</v>
      </c>
    </row>
    <row r="61" customFormat="false" ht="15" hidden="false" customHeight="false" outlineLevel="0" collapsed="false">
      <c r="A61" s="14" t="s">
        <v>77</v>
      </c>
      <c r="C61" s="27" t="n">
        <f aca="false">(E17/C17)^(1/2)-1</f>
        <v>0.223274194464215</v>
      </c>
      <c r="D61" s="27" t="n">
        <f aca="false">(E19/C19)^(1/2)-1</f>
        <v>0.248741821523138</v>
      </c>
      <c r="E61" s="27" t="n">
        <f aca="false">(E20/C20)^(1/2)-1</f>
        <v>0.209893786746015</v>
      </c>
      <c r="F61" s="27" t="n">
        <f aca="false">(E24/C24)^(1/2)-1</f>
        <v>0.48427720449576</v>
      </c>
      <c r="G61" s="27" t="n">
        <f aca="false">(E27/C27)^(1/2)-1</f>
        <v>1.05266434354683</v>
      </c>
      <c r="H61" s="27" t="n">
        <f aca="false">(E29/C29)^(1/2)-1</f>
        <v>0.904450441350329</v>
      </c>
    </row>
    <row r="62" customFormat="false" ht="15" hidden="false" customHeight="false" outlineLevel="0" collapsed="false">
      <c r="A62" s="14" t="s">
        <v>78</v>
      </c>
      <c r="C62" s="27" t="n">
        <f aca="false">(I17/D17)^(1/5)-1</f>
        <v>0.166878070766151</v>
      </c>
      <c r="D62" s="27" t="n">
        <f aca="false">(I19/D19)^(1/5)-1</f>
        <v>0.147403942396589</v>
      </c>
      <c r="E62" s="27" t="n">
        <f aca="false">(I20/D20)^(1/5)-1</f>
        <v>0.177834837632515</v>
      </c>
      <c r="F62" s="27" t="n">
        <f aca="false">(I24/D24)^(1/5)-1</f>
        <v>0.179249352398954</v>
      </c>
      <c r="G62" s="27" t="n">
        <f aca="false">(I27/D27)^(1/5)-1</f>
        <v>0.127887153668599</v>
      </c>
      <c r="H62" s="27" t="n">
        <f aca="false">(I29/D29)^(1/5)-1</f>
        <v>0.103561359422903</v>
      </c>
    </row>
    <row r="63" customFormat="false" ht="15" hidden="false" customHeight="false" outlineLevel="0" collapsed="false">
      <c r="A63" s="14" t="s">
        <v>79</v>
      </c>
      <c r="C63" s="27" t="n">
        <f aca="false">(J17/E17)^(1/5)-1</f>
        <v>0.133561015710885</v>
      </c>
      <c r="D63" s="27" t="n">
        <f aca="false">(J19/E19)^(1/5)-1</f>
        <v>0.119632412792355</v>
      </c>
      <c r="E63" s="27" t="n">
        <f aca="false">(J20/E20)^(1/5)-1</f>
        <v>0.140975158658595</v>
      </c>
      <c r="F63" s="27" t="n">
        <f aca="false">(J24/E24)^(1/5)-1</f>
        <v>0.104361370877653</v>
      </c>
      <c r="G63" s="27" t="n">
        <f aca="false">(J27/E27)^(1/5)-1</f>
        <v>0.00786005317484162</v>
      </c>
      <c r="H63" s="27" t="n">
        <f aca="false">(J29/E29)^(1/5)-1</f>
        <v>-0.00137268160903203</v>
      </c>
    </row>
    <row r="64" customFormat="false" ht="15" hidden="false" customHeight="false" outlineLevel="0" collapsed="false">
      <c r="A64" s="14" t="s">
        <v>80</v>
      </c>
      <c r="C64" s="27" t="n">
        <f aca="false">(N17/E17)^(1/9)-1</f>
        <v>0.123103765588702</v>
      </c>
      <c r="D64" s="27" t="n">
        <f aca="false">(N19/E19)^(1/9)-1</f>
        <v>0.0982093277331737</v>
      </c>
      <c r="E64" s="27" t="n">
        <f aca="false">(N20/E20)^(1/9)-1</f>
        <v>0.135091091404493</v>
      </c>
      <c r="F64" s="27" t="n">
        <f aca="false">(N24/E24)^(1/9)-1</f>
        <v>0.110060717433229</v>
      </c>
      <c r="G64" s="27" t="n">
        <f aca="false">(N27/E27)^(1/9)-1</f>
        <v>0.0874906946046434</v>
      </c>
      <c r="H64" s="27" t="n">
        <f aca="false">(N29/E29)^(1/9)-1</f>
        <v>0.0777040383673451</v>
      </c>
    </row>
    <row r="66" customFormat="false" ht="15" hidden="false" customHeight="false" outlineLevel="0" collapsed="false">
      <c r="A66" s="3" t="s">
        <v>81</v>
      </c>
      <c r="B66" s="4"/>
      <c r="C66" s="4"/>
      <c r="D66" s="4"/>
      <c r="E66" s="4"/>
      <c r="F66" s="4"/>
      <c r="G66" s="4"/>
      <c r="H66" s="4"/>
      <c r="I66" s="4"/>
      <c r="J66" s="4"/>
      <c r="K66" s="4"/>
      <c r="L66" s="4"/>
      <c r="M66" s="4"/>
      <c r="N66" s="4"/>
      <c r="O66" s="4"/>
      <c r="P66" s="4"/>
    </row>
    <row r="67" customFormat="false" ht="39" hidden="false" customHeight="true" outlineLevel="0" collapsed="false">
      <c r="A67" s="5" t="s">
        <v>82</v>
      </c>
      <c r="B67" s="5"/>
      <c r="C67" s="5"/>
      <c r="D67" s="5"/>
      <c r="E67" s="5"/>
      <c r="F67" s="5"/>
      <c r="G67" s="5"/>
      <c r="H67" s="5"/>
      <c r="I67" s="5"/>
      <c r="J67" s="5"/>
      <c r="K67" s="5"/>
      <c r="L67" s="5"/>
      <c r="M67" s="5"/>
      <c r="N67" s="5"/>
    </row>
    <row r="68" customFormat="false" ht="39" hidden="false" customHeight="true" outlineLevel="0" collapsed="false">
      <c r="A68" s="5" t="s">
        <v>83</v>
      </c>
      <c r="B68" s="5"/>
      <c r="C68" s="5"/>
      <c r="D68" s="5"/>
      <c r="E68" s="5"/>
      <c r="F68" s="5"/>
      <c r="G68" s="5"/>
      <c r="H68" s="5"/>
      <c r="I68" s="5"/>
      <c r="J68" s="5"/>
      <c r="K68" s="5"/>
      <c r="L68" s="5"/>
      <c r="M68" s="5"/>
      <c r="N68" s="5"/>
    </row>
    <row r="69" customFormat="false" ht="39" hidden="false" customHeight="true" outlineLevel="0" collapsed="false">
      <c r="A69" s="5" t="s">
        <v>84</v>
      </c>
      <c r="B69" s="5"/>
      <c r="C69" s="5"/>
      <c r="D69" s="5"/>
      <c r="E69" s="5"/>
      <c r="F69" s="5"/>
      <c r="G69" s="5"/>
      <c r="H69" s="5"/>
      <c r="I69" s="5"/>
      <c r="J69" s="5"/>
      <c r="K69" s="5"/>
      <c r="L69" s="5"/>
      <c r="M69" s="5"/>
      <c r="N69" s="5"/>
    </row>
    <row r="70" customFormat="false" ht="25.5" hidden="false" customHeight="true" outlineLevel="0" collapsed="false">
      <c r="A70" s="5" t="s">
        <v>85</v>
      </c>
      <c r="B70" s="5"/>
      <c r="C70" s="5"/>
      <c r="D70" s="5"/>
      <c r="E70" s="5"/>
      <c r="F70" s="5"/>
      <c r="G70" s="5"/>
      <c r="H70" s="5"/>
      <c r="I70" s="5"/>
      <c r="J70" s="5"/>
      <c r="K70" s="5"/>
      <c r="L70" s="5"/>
      <c r="M70" s="5"/>
      <c r="N70" s="5"/>
    </row>
    <row r="71" customFormat="false" ht="25.5" hidden="false" customHeight="true" outlineLevel="0" collapsed="false">
      <c r="A71" s="5" t="s">
        <v>86</v>
      </c>
      <c r="B71" s="5"/>
      <c r="C71" s="5"/>
      <c r="D71" s="5"/>
      <c r="E71" s="5"/>
      <c r="F71" s="5"/>
      <c r="G71" s="5"/>
      <c r="H71" s="5"/>
      <c r="I71" s="5"/>
      <c r="J71" s="5"/>
      <c r="K71" s="5"/>
      <c r="L71" s="5"/>
      <c r="M71" s="5"/>
      <c r="N71" s="5"/>
    </row>
    <row r="72" customFormat="false" ht="25.5" hidden="false" customHeight="true" outlineLevel="0" collapsed="false">
      <c r="A72" s="5" t="s">
        <v>87</v>
      </c>
      <c r="B72" s="5"/>
      <c r="C72" s="5"/>
      <c r="D72" s="5"/>
      <c r="E72" s="5"/>
      <c r="F72" s="5"/>
      <c r="G72" s="5"/>
      <c r="H72" s="5"/>
      <c r="I72" s="5"/>
      <c r="J72" s="5"/>
      <c r="K72" s="5"/>
      <c r="L72" s="5"/>
      <c r="M72" s="5"/>
      <c r="N72" s="5"/>
    </row>
    <row r="73" customFormat="false" ht="25.5" hidden="false" customHeight="true" outlineLevel="0" collapsed="false">
      <c r="A73" s="5" t="s">
        <v>88</v>
      </c>
      <c r="B73" s="5"/>
      <c r="C73" s="5"/>
      <c r="D73" s="5"/>
      <c r="E73" s="5"/>
      <c r="F73" s="5"/>
      <c r="G73" s="5"/>
      <c r="H73" s="5"/>
      <c r="I73" s="5"/>
      <c r="J73" s="5"/>
      <c r="K73" s="5"/>
      <c r="L73" s="5"/>
      <c r="M73" s="5"/>
      <c r="N73" s="5"/>
    </row>
    <row r="74" customFormat="false" ht="25.5" hidden="false" customHeight="true" outlineLevel="0" collapsed="false">
      <c r="A74" s="5" t="s">
        <v>89</v>
      </c>
      <c r="B74" s="5"/>
      <c r="C74" s="5"/>
      <c r="D74" s="5"/>
      <c r="E74" s="5"/>
      <c r="F74" s="5"/>
      <c r="G74" s="5"/>
      <c r="H74" s="5"/>
      <c r="I74" s="5"/>
      <c r="J74" s="5"/>
      <c r="K74" s="5"/>
      <c r="L74" s="5"/>
      <c r="M74" s="5"/>
      <c r="N74" s="5"/>
    </row>
    <row r="75" customFormat="false" ht="25.5" hidden="false" customHeight="true" outlineLevel="0" collapsed="false">
      <c r="A75" s="5" t="s">
        <v>90</v>
      </c>
      <c r="B75" s="5"/>
      <c r="C75" s="5"/>
      <c r="D75" s="5"/>
      <c r="E75" s="5"/>
      <c r="F75" s="5"/>
      <c r="G75" s="5"/>
      <c r="H75" s="5"/>
      <c r="I75" s="5"/>
      <c r="J75" s="5"/>
      <c r="K75" s="5"/>
      <c r="L75" s="5"/>
      <c r="M75" s="5"/>
      <c r="N75" s="5"/>
    </row>
  </sheetData>
  <mergeCells count="18">
    <mergeCell ref="A1:P1"/>
    <mergeCell ref="A2:P2"/>
    <mergeCell ref="A6:N6"/>
    <mergeCell ref="A7:N7"/>
    <mergeCell ref="A8:N8"/>
    <mergeCell ref="A9:N9"/>
    <mergeCell ref="A10:N10"/>
    <mergeCell ref="A11:N11"/>
    <mergeCell ref="A12:N12"/>
    <mergeCell ref="A67:N67"/>
    <mergeCell ref="A68:N68"/>
    <mergeCell ref="A69:N69"/>
    <mergeCell ref="A70:N70"/>
    <mergeCell ref="A71:N71"/>
    <mergeCell ref="A72:N72"/>
    <mergeCell ref="A73:N73"/>
    <mergeCell ref="A74:N74"/>
    <mergeCell ref="A75:N75"/>
  </mergeCells>
  <printOptions headings="false" gridLines="false" gridLinesSet="true" horizontalCentered="true" verticalCentered="false"/>
  <pageMargins left="0.3" right="0.3"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&amp;LSai Life Sciences model - Summary&amp;R&amp;P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true"/>
  </sheetPr>
  <dimension ref="A1:P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1"/>
    <col collapsed="false" customWidth="true" hidden="false" outlineLevel="0" max="14" min="3" style="0" width="12"/>
    <col collapsed="false" customWidth="true" hidden="false" outlineLevel="0" max="15" min="15" style="0" width="2"/>
    <col collapsed="false" customWidth="true" hidden="false" outlineLevel="0" max="16" min="16" style="0" width="78"/>
  </cols>
  <sheetData>
    <row r="1" customFormat="false" ht="21.75" hidden="false" customHeight="true" outlineLevel="0" collapsed="false">
      <c r="A1" s="1" t="s">
        <v>91</v>
      </c>
      <c r="B1" s="1"/>
      <c r="C1" s="1"/>
      <c r="D1" s="1"/>
      <c r="E1" s="1"/>
      <c r="F1" s="1"/>
      <c r="G1" s="1"/>
      <c r="H1" s="1"/>
      <c r="I1" s="1"/>
      <c r="J1" s="1"/>
      <c r="K1" s="1"/>
      <c r="L1" s="1"/>
      <c r="M1" s="1"/>
      <c r="N1" s="1"/>
      <c r="O1" s="1"/>
      <c r="P1" s="1"/>
    </row>
    <row r="2" customFormat="false" ht="15" hidden="false" customHeight="false" outlineLevel="0" collapsed="false">
      <c r="A2" s="2" t="s">
        <v>92</v>
      </c>
      <c r="B2" s="2"/>
      <c r="C2" s="2"/>
      <c r="D2" s="2"/>
      <c r="E2" s="2"/>
      <c r="F2" s="2"/>
      <c r="G2" s="2"/>
      <c r="H2" s="2"/>
      <c r="I2" s="2"/>
      <c r="J2" s="2"/>
      <c r="K2" s="2"/>
      <c r="L2" s="2"/>
      <c r="M2" s="2"/>
      <c r="N2" s="2"/>
      <c r="O2" s="2"/>
      <c r="P2" s="2"/>
    </row>
    <row r="3" customFormat="false" ht="15" hidden="false" customHeight="false" outlineLevel="0" collapsed="false">
      <c r="A3" s="6"/>
      <c r="B3" s="7" t="s">
        <v>11</v>
      </c>
      <c r="C3" s="8" t="s">
        <v>12</v>
      </c>
      <c r="D3" s="8" t="s">
        <v>13</v>
      </c>
      <c r="E3" s="8" t="s">
        <v>14</v>
      </c>
      <c r="F3" s="9" t="s">
        <v>15</v>
      </c>
      <c r="G3" s="9" t="s">
        <v>16</v>
      </c>
      <c r="H3" s="9" t="s">
        <v>17</v>
      </c>
      <c r="I3" s="9" t="s">
        <v>18</v>
      </c>
      <c r="J3" s="9" t="s">
        <v>19</v>
      </c>
      <c r="K3" s="9" t="s">
        <v>20</v>
      </c>
      <c r="L3" s="9" t="s">
        <v>21</v>
      </c>
      <c r="M3" s="9" t="s">
        <v>22</v>
      </c>
      <c r="N3" s="9" t="s">
        <v>23</v>
      </c>
      <c r="O3" s="6"/>
      <c r="P3" s="10" t="s">
        <v>24</v>
      </c>
    </row>
    <row r="5" customFormat="false" ht="15" hidden="false" customHeight="false" outlineLevel="0" collapsed="false">
      <c r="A5" s="3" t="s">
        <v>93</v>
      </c>
      <c r="B5" s="4"/>
      <c r="C5" s="4"/>
      <c r="D5" s="4"/>
      <c r="E5" s="4"/>
      <c r="F5" s="4"/>
      <c r="G5" s="4"/>
      <c r="H5" s="4"/>
      <c r="I5" s="4"/>
      <c r="J5" s="4"/>
      <c r="K5" s="4"/>
      <c r="L5" s="4"/>
      <c r="M5" s="4"/>
      <c r="N5" s="4"/>
      <c r="O5" s="4"/>
      <c r="P5" s="4"/>
    </row>
    <row r="6" customFormat="false" ht="15" hidden="false" customHeight="false" outlineLevel="0" collapsed="false">
      <c r="A6" s="14" t="s">
        <v>94</v>
      </c>
      <c r="B6" s="12" t="s">
        <v>11</v>
      </c>
      <c r="C6" s="28" t="n">
        <v>4970</v>
      </c>
      <c r="D6" s="28" t="n">
        <v>6260</v>
      </c>
      <c r="E6" s="28" t="n">
        <v>7750</v>
      </c>
      <c r="F6" s="24"/>
      <c r="G6" s="24"/>
      <c r="H6" s="24"/>
      <c r="I6" s="24"/>
      <c r="J6" s="24"/>
      <c r="K6" s="24"/>
      <c r="L6" s="24"/>
      <c r="M6" s="24"/>
      <c r="N6" s="24"/>
      <c r="P6" s="29" t="s">
        <v>95</v>
      </c>
    </row>
    <row r="7" customFormat="false" ht="15" hidden="false" customHeight="false" outlineLevel="0" collapsed="false">
      <c r="A7" s="14" t="s">
        <v>96</v>
      </c>
      <c r="B7" s="12" t="s">
        <v>11</v>
      </c>
      <c r="C7" s="28" t="n">
        <v>9680</v>
      </c>
      <c r="D7" s="28" t="n">
        <v>10680</v>
      </c>
      <c r="E7" s="28" t="n">
        <v>14170</v>
      </c>
      <c r="F7" s="24"/>
      <c r="G7" s="24"/>
      <c r="H7" s="24"/>
      <c r="I7" s="24"/>
      <c r="J7" s="24"/>
      <c r="K7" s="24"/>
      <c r="L7" s="24"/>
      <c r="M7" s="24"/>
      <c r="N7" s="24"/>
      <c r="P7" s="29" t="s">
        <v>97</v>
      </c>
    </row>
    <row r="8" customFormat="false" ht="15" hidden="false" customHeight="false" outlineLevel="0" collapsed="false">
      <c r="A8" s="30" t="s">
        <v>98</v>
      </c>
      <c r="B8" s="31" t="s">
        <v>11</v>
      </c>
      <c r="C8" s="32" t="n">
        <v>14651.78</v>
      </c>
      <c r="D8" s="32" t="n">
        <v>16945.7</v>
      </c>
      <c r="E8" s="32" t="n">
        <v>21924.92</v>
      </c>
      <c r="F8" s="33"/>
      <c r="G8" s="33"/>
      <c r="H8" s="33"/>
      <c r="I8" s="33"/>
      <c r="J8" s="33"/>
      <c r="K8" s="33"/>
      <c r="L8" s="33"/>
      <c r="M8" s="33"/>
      <c r="N8" s="33"/>
      <c r="P8" s="29" t="s">
        <v>99</v>
      </c>
    </row>
    <row r="9" customFormat="false" ht="15" hidden="false" customHeight="false" outlineLevel="0" collapsed="false">
      <c r="A9" s="17" t="s">
        <v>100</v>
      </c>
      <c r="B9" s="12" t="s">
        <v>11</v>
      </c>
      <c r="C9" s="34" t="n">
        <f aca="false">C8-C6-C7</f>
        <v>1.78000000000065</v>
      </c>
      <c r="D9" s="34" t="n">
        <f aca="false">D8-D6-D7</f>
        <v>5.70000000000073</v>
      </c>
      <c r="E9" s="34" t="n">
        <f aca="false">E8-E6-E7</f>
        <v>4.91999999999825</v>
      </c>
      <c r="F9" s="34"/>
      <c r="G9" s="34"/>
      <c r="H9" s="34"/>
      <c r="I9" s="34"/>
      <c r="J9" s="34"/>
      <c r="K9" s="34"/>
      <c r="L9" s="34"/>
      <c r="M9" s="34"/>
      <c r="N9" s="34"/>
      <c r="P9" s="29" t="s">
        <v>101</v>
      </c>
    </row>
    <row r="11" customFormat="false" ht="15" hidden="false" customHeight="false" outlineLevel="0" collapsed="false">
      <c r="A11" s="3" t="s">
        <v>102</v>
      </c>
      <c r="B11" s="4"/>
      <c r="C11" s="4"/>
      <c r="D11" s="4"/>
      <c r="E11" s="4"/>
      <c r="F11" s="4"/>
      <c r="G11" s="4"/>
      <c r="H11" s="4"/>
      <c r="I11" s="4"/>
      <c r="J11" s="4"/>
      <c r="K11" s="4"/>
      <c r="L11" s="4"/>
      <c r="M11" s="4"/>
      <c r="N11" s="4"/>
      <c r="O11" s="4"/>
      <c r="P11" s="4"/>
    </row>
    <row r="12" customFormat="false" ht="15" hidden="false" customHeight="false" outlineLevel="0" collapsed="false">
      <c r="A12" s="14" t="s">
        <v>103</v>
      </c>
      <c r="B12" s="12" t="s">
        <v>52</v>
      </c>
      <c r="C12" s="24"/>
      <c r="D12" s="24"/>
      <c r="E12" s="24"/>
      <c r="F12" s="28" t="n">
        <v>130</v>
      </c>
      <c r="G12" s="28" t="n">
        <v>125</v>
      </c>
      <c r="H12" s="28" t="n">
        <v>120</v>
      </c>
      <c r="I12" s="28" t="n">
        <v>115</v>
      </c>
      <c r="J12" s="28" t="n">
        <v>105</v>
      </c>
      <c r="K12" s="28" t="n">
        <v>95</v>
      </c>
      <c r="L12" s="28" t="n">
        <v>85</v>
      </c>
      <c r="M12" s="28" t="n">
        <v>75</v>
      </c>
      <c r="N12" s="28" t="n">
        <v>65</v>
      </c>
      <c r="P12" s="29" t="s">
        <v>104</v>
      </c>
    </row>
    <row r="13" customFormat="false" ht="15" hidden="false" customHeight="false" outlineLevel="0" collapsed="false">
      <c r="A13" s="11" t="s">
        <v>105</v>
      </c>
      <c r="B13" s="12" t="s">
        <v>52</v>
      </c>
      <c r="C13" s="35" t="n">
        <v>1127</v>
      </c>
      <c r="D13" s="35" t="n">
        <v>1161</v>
      </c>
      <c r="E13" s="35" t="n">
        <v>1313</v>
      </c>
      <c r="F13" s="36" t="n">
        <f aca="false">E13+F12</f>
        <v>1443</v>
      </c>
      <c r="G13" s="36" t="n">
        <f aca="false">F13+G12</f>
        <v>1568</v>
      </c>
      <c r="H13" s="36" t="n">
        <f aca="false">G13+H12</f>
        <v>1688</v>
      </c>
      <c r="I13" s="36" t="n">
        <f aca="false">H13+I12</f>
        <v>1803</v>
      </c>
      <c r="J13" s="36" t="n">
        <f aca="false">I13+J12</f>
        <v>1908</v>
      </c>
      <c r="K13" s="36" t="n">
        <f aca="false">J13+K12</f>
        <v>2003</v>
      </c>
      <c r="L13" s="36" t="n">
        <f aca="false">K13+L12</f>
        <v>2088</v>
      </c>
      <c r="M13" s="36" t="n">
        <f aca="false">L13+M12</f>
        <v>2163</v>
      </c>
      <c r="N13" s="36" t="n">
        <f aca="false">M13+N12</f>
        <v>2228</v>
      </c>
      <c r="P13" s="29" t="s">
        <v>106</v>
      </c>
    </row>
    <row r="14" customFormat="false" ht="15" hidden="false" customHeight="false" outlineLevel="0" collapsed="false">
      <c r="A14" s="14" t="s">
        <v>107</v>
      </c>
      <c r="B14" s="12" t="s">
        <v>27</v>
      </c>
      <c r="C14" s="15"/>
      <c r="D14" s="15"/>
      <c r="E14" s="15"/>
      <c r="F14" s="37" t="n">
        <v>0.045</v>
      </c>
      <c r="G14" s="37" t="n">
        <v>0.04</v>
      </c>
      <c r="H14" s="37" t="n">
        <v>0.04</v>
      </c>
      <c r="I14" s="37" t="n">
        <v>0.035</v>
      </c>
      <c r="J14" s="37" t="n">
        <v>0.035</v>
      </c>
      <c r="K14" s="37" t="n">
        <v>0.035</v>
      </c>
      <c r="L14" s="37" t="n">
        <v>0.03</v>
      </c>
      <c r="M14" s="37" t="n">
        <v>0.03</v>
      </c>
      <c r="N14" s="37" t="n">
        <v>0.03</v>
      </c>
      <c r="P14" s="29" t="s">
        <v>108</v>
      </c>
    </row>
    <row r="15" customFormat="false" ht="15" hidden="false" customHeight="false" outlineLevel="0" collapsed="false">
      <c r="A15" s="14" t="s">
        <v>109</v>
      </c>
      <c r="B15" s="12" t="s">
        <v>11</v>
      </c>
      <c r="C15" s="38" t="n">
        <f aca="false">C6/C13</f>
        <v>4.40993788819876</v>
      </c>
      <c r="D15" s="38" t="n">
        <f aca="false">D6/D13</f>
        <v>5.39190353143842</v>
      </c>
      <c r="E15" s="38" t="n">
        <f aca="false">E6/E13</f>
        <v>5.9025133282559</v>
      </c>
      <c r="F15" s="38" t="n">
        <f aca="false">E15*(1+F14)</f>
        <v>6.16812642802742</v>
      </c>
      <c r="G15" s="38" t="n">
        <f aca="false">F15*(1+G14)</f>
        <v>6.41485148514852</v>
      </c>
      <c r="H15" s="38" t="n">
        <f aca="false">G15*(1+H14)</f>
        <v>6.67144554455446</v>
      </c>
      <c r="I15" s="38" t="n">
        <f aca="false">H15*(1+I14)</f>
        <v>6.90494613861386</v>
      </c>
      <c r="J15" s="38" t="n">
        <f aca="false">I15*(1+J14)</f>
        <v>7.14661925346535</v>
      </c>
      <c r="K15" s="38" t="n">
        <f aca="false">J15*(1+K14)</f>
        <v>7.39675092733663</v>
      </c>
      <c r="L15" s="38" t="n">
        <f aca="false">K15*(1+L14)</f>
        <v>7.61865345515673</v>
      </c>
      <c r="M15" s="38" t="n">
        <f aca="false">L15*(1+M14)</f>
        <v>7.84721305881143</v>
      </c>
      <c r="N15" s="38" t="n">
        <f aca="false">M15*(1+N14)</f>
        <v>8.08262945057578</v>
      </c>
      <c r="P15" s="29" t="s">
        <v>110</v>
      </c>
    </row>
    <row r="16" customFormat="false" ht="15" hidden="false" customHeight="false" outlineLevel="0" collapsed="false">
      <c r="A16" s="17" t="s">
        <v>111</v>
      </c>
      <c r="B16" s="12" t="s">
        <v>112</v>
      </c>
      <c r="C16" s="39" t="n">
        <f aca="false">C15*1000/84</f>
        <v>52.4992605737947</v>
      </c>
      <c r="D16" s="39" t="n">
        <f aca="false">D15*1000/84</f>
        <v>64.1893277552192</v>
      </c>
      <c r="E16" s="39" t="n">
        <f aca="false">E15*1000/84</f>
        <v>70.2680158125703</v>
      </c>
      <c r="F16" s="39" t="n">
        <f aca="false">F15*1000/84</f>
        <v>73.4300765241359</v>
      </c>
      <c r="G16" s="39" t="n">
        <f aca="false">G15*1000/84</f>
        <v>76.3672795851014</v>
      </c>
      <c r="H16" s="39" t="n">
        <f aca="false">H15*1000/84</f>
        <v>79.4219707685054</v>
      </c>
      <c r="I16" s="39" t="n">
        <f aca="false">I15*1000/84</f>
        <v>82.2017397454031</v>
      </c>
      <c r="J16" s="39" t="n">
        <f aca="false">J15*1000/84</f>
        <v>85.0788006364922</v>
      </c>
      <c r="K16" s="39" t="n">
        <f aca="false">K15*1000/84</f>
        <v>88.0565586587694</v>
      </c>
      <c r="L16" s="39" t="n">
        <f aca="false">L15*1000/84</f>
        <v>90.6982554185325</v>
      </c>
      <c r="M16" s="39" t="n">
        <f aca="false">M15*1000/84</f>
        <v>93.4192030810885</v>
      </c>
      <c r="N16" s="39" t="n">
        <f aca="false">N15*1000/84</f>
        <v>96.2217791735211</v>
      </c>
      <c r="P16" s="29" t="s">
        <v>113</v>
      </c>
    </row>
    <row r="17" customFormat="false" ht="15" hidden="false" customHeight="false" outlineLevel="0" collapsed="false">
      <c r="A17" s="30" t="s">
        <v>114</v>
      </c>
      <c r="B17" s="31" t="s">
        <v>11</v>
      </c>
      <c r="C17" s="33" t="n">
        <f aca="false">C13*C15</f>
        <v>4970</v>
      </c>
      <c r="D17" s="33" t="n">
        <f aca="false">D13*D15</f>
        <v>6260</v>
      </c>
      <c r="E17" s="33" t="n">
        <f aca="false">E13*E15</f>
        <v>7750</v>
      </c>
      <c r="F17" s="33" t="n">
        <f aca="false">F13*F15</f>
        <v>8900.60643564356</v>
      </c>
      <c r="G17" s="33" t="n">
        <f aca="false">G13*G15</f>
        <v>10058.4871287129</v>
      </c>
      <c r="H17" s="33" t="n">
        <f aca="false">H13*H15</f>
        <v>11261.4000792079</v>
      </c>
      <c r="I17" s="33" t="n">
        <f aca="false">I13*I15</f>
        <v>12449.6178879208</v>
      </c>
      <c r="J17" s="33" t="n">
        <f aca="false">J13*J15</f>
        <v>13635.7495356119</v>
      </c>
      <c r="K17" s="33" t="n">
        <f aca="false">K13*K15</f>
        <v>14815.6921074553</v>
      </c>
      <c r="L17" s="33" t="n">
        <f aca="false">L13*L15</f>
        <v>15907.7484143673</v>
      </c>
      <c r="M17" s="33" t="n">
        <f aca="false">M13*M15</f>
        <v>16973.5218462091</v>
      </c>
      <c r="N17" s="33" t="n">
        <f aca="false">N13*N15</f>
        <v>18008.0984158828</v>
      </c>
    </row>
    <row r="18" customFormat="false" ht="15" hidden="false" customHeight="false" outlineLevel="0" collapsed="false">
      <c r="A18" s="17" t="s">
        <v>115</v>
      </c>
      <c r="B18" s="12" t="s">
        <v>11</v>
      </c>
      <c r="C18" s="34" t="n">
        <f aca="false">C17-C6</f>
        <v>0</v>
      </c>
      <c r="D18" s="34" t="n">
        <f aca="false">D17-D6</f>
        <v>0</v>
      </c>
      <c r="E18" s="34" t="n">
        <f aca="false">E17-E6</f>
        <v>0</v>
      </c>
      <c r="F18" s="34"/>
      <c r="G18" s="34"/>
      <c r="H18" s="34"/>
      <c r="I18" s="34"/>
      <c r="J18" s="34"/>
      <c r="K18" s="34"/>
      <c r="L18" s="34"/>
      <c r="M18" s="34"/>
      <c r="N18" s="34"/>
    </row>
    <row r="19" customFormat="false" ht="15" hidden="false" customHeight="false" outlineLevel="0" collapsed="false">
      <c r="A19" s="14" t="s">
        <v>116</v>
      </c>
      <c r="B19" s="12" t="s">
        <v>27</v>
      </c>
      <c r="C19" s="15"/>
      <c r="D19" s="15" t="n">
        <f aca="false">D17/C17-1</f>
        <v>0.259557344064386</v>
      </c>
      <c r="E19" s="15" t="n">
        <f aca="false">E17/D17-1</f>
        <v>0.238019169329073</v>
      </c>
      <c r="F19" s="15" t="n">
        <f aca="false">F17/E17-1</f>
        <v>0.148465346534653</v>
      </c>
      <c r="G19" s="15" t="n">
        <f aca="false">G17/F17-1</f>
        <v>0.13009009009009</v>
      </c>
      <c r="H19" s="15" t="n">
        <f aca="false">H17/G17-1</f>
        <v>0.119591836734694</v>
      </c>
      <c r="I19" s="15" t="n">
        <f aca="false">I17/H17-1</f>
        <v>0.105512440758294</v>
      </c>
      <c r="J19" s="15" t="n">
        <f aca="false">J17/I17-1</f>
        <v>0.0952745424292845</v>
      </c>
      <c r="K19" s="15" t="n">
        <f aca="false">K17/J17-1</f>
        <v>0.0865330188679243</v>
      </c>
      <c r="L19" s="15" t="n">
        <f aca="false">L17/K17-1</f>
        <v>0.0737094358462307</v>
      </c>
      <c r="M19" s="15" t="n">
        <f aca="false">M17/L17-1</f>
        <v>0.0669971264367817</v>
      </c>
      <c r="N19" s="15" t="n">
        <f aca="false">N17/M17-1</f>
        <v>0.0609523809523809</v>
      </c>
    </row>
    <row r="20" customFormat="false" ht="15" hidden="false" customHeight="false" outlineLevel="0" collapsed="false">
      <c r="A20" s="40" t="s">
        <v>117</v>
      </c>
    </row>
    <row r="21" customFormat="false" ht="15" hidden="false" customHeight="false" outlineLevel="0" collapsed="false">
      <c r="A21" s="14" t="s">
        <v>118</v>
      </c>
      <c r="B21" s="12" t="s">
        <v>11</v>
      </c>
      <c r="C21" s="24"/>
      <c r="D21" s="24" t="n">
        <f aca="false">C17</f>
        <v>4970</v>
      </c>
      <c r="E21" s="24" t="n">
        <f aca="false">D17</f>
        <v>6260</v>
      </c>
      <c r="F21" s="24" t="n">
        <f aca="false">E17</f>
        <v>7750</v>
      </c>
      <c r="G21" s="24" t="n">
        <f aca="false">F17</f>
        <v>8900.60643564356</v>
      </c>
      <c r="H21" s="24" t="n">
        <f aca="false">G17</f>
        <v>10058.4871287129</v>
      </c>
      <c r="I21" s="24" t="n">
        <f aca="false">H17</f>
        <v>11261.4000792079</v>
      </c>
      <c r="J21" s="24" t="n">
        <f aca="false">I17</f>
        <v>12449.6178879208</v>
      </c>
      <c r="K21" s="24" t="n">
        <f aca="false">J17</f>
        <v>13635.7495356119</v>
      </c>
      <c r="L21" s="24" t="n">
        <f aca="false">K17</f>
        <v>14815.6921074553</v>
      </c>
      <c r="M21" s="24" t="n">
        <f aca="false">L17</f>
        <v>15907.7484143673</v>
      </c>
      <c r="N21" s="24" t="n">
        <f aca="false">M17</f>
        <v>16973.5218462091</v>
      </c>
    </row>
    <row r="22" customFormat="false" ht="15" hidden="false" customHeight="false" outlineLevel="0" collapsed="false">
      <c r="A22" s="14" t="s">
        <v>119</v>
      </c>
      <c r="B22" s="12" t="s">
        <v>11</v>
      </c>
      <c r="C22" s="24"/>
      <c r="D22" s="24" t="n">
        <f aca="false">(D13-C13)*C15</f>
        <v>149.937888198758</v>
      </c>
      <c r="E22" s="24" t="n">
        <f aca="false">(E13-D13)*D15</f>
        <v>819.569336778639</v>
      </c>
      <c r="F22" s="24" t="n">
        <f aca="false">(F13-E13)*E15</f>
        <v>767.326732673267</v>
      </c>
      <c r="G22" s="24" t="n">
        <f aca="false">(G13-F13)*F15</f>
        <v>771.015803503427</v>
      </c>
      <c r="H22" s="24" t="n">
        <f aca="false">(H13-G13)*G15</f>
        <v>769.782178217822</v>
      </c>
      <c r="I22" s="24" t="n">
        <f aca="false">(I13-H13)*H15</f>
        <v>767.216237623762</v>
      </c>
      <c r="J22" s="24" t="n">
        <f aca="false">(J13-I13)*I15</f>
        <v>725.019344554455</v>
      </c>
      <c r="K22" s="24" t="n">
        <f aca="false">(K13-J13)*J15</f>
        <v>678.928829079208</v>
      </c>
      <c r="L22" s="24" t="n">
        <f aca="false">(L13-K13)*K15</f>
        <v>628.723828823614</v>
      </c>
      <c r="M22" s="24" t="n">
        <f aca="false">(M13-L13)*L15</f>
        <v>571.399009136755</v>
      </c>
      <c r="N22" s="24" t="n">
        <f aca="false">(N13-M13)*M15</f>
        <v>510.068848822743</v>
      </c>
    </row>
    <row r="23" customFormat="false" ht="15" hidden="false" customHeight="false" outlineLevel="0" collapsed="false">
      <c r="A23" s="14" t="s">
        <v>120</v>
      </c>
      <c r="B23" s="12" t="s">
        <v>11</v>
      </c>
      <c r="C23" s="24"/>
      <c r="D23" s="24" t="n">
        <f aca="false">D13*(D15-C15)</f>
        <v>1140.06211180124</v>
      </c>
      <c r="E23" s="24" t="n">
        <f aca="false">E13*(E15-D15)</f>
        <v>670.430663221361</v>
      </c>
      <c r="F23" s="24" t="n">
        <f aca="false">F13*(F15-E15)</f>
        <v>383.279702970297</v>
      </c>
      <c r="G23" s="24" t="n">
        <f aca="false">G13*(G15-F15)</f>
        <v>386.86488956588</v>
      </c>
      <c r="H23" s="24" t="n">
        <f aca="false">H13*(H15-G15)</f>
        <v>433.130772277227</v>
      </c>
      <c r="I23" s="24" t="n">
        <f aca="false">I13*(I15-H15)</f>
        <v>421.001571089108</v>
      </c>
      <c r="J23" s="24" t="n">
        <f aca="false">J13*(J15-I15)</f>
        <v>461.112303136632</v>
      </c>
      <c r="K23" s="24" t="n">
        <f aca="false">K13*(K15-J15)</f>
        <v>501.013742764187</v>
      </c>
      <c r="L23" s="24" t="n">
        <f aca="false">L13*(L15-K15)</f>
        <v>463.332478088366</v>
      </c>
      <c r="M23" s="24" t="n">
        <f aca="false">M13*(M15-L15)</f>
        <v>494.37442270512</v>
      </c>
      <c r="N23" s="24" t="n">
        <f aca="false">N13*(N15-M15)</f>
        <v>524.507720850955</v>
      </c>
    </row>
    <row r="24" customFormat="false" ht="15" hidden="false" customHeight="false" outlineLevel="0" collapsed="false">
      <c r="A24" s="30" t="s">
        <v>121</v>
      </c>
      <c r="B24" s="31" t="s">
        <v>11</v>
      </c>
      <c r="C24" s="33"/>
      <c r="D24" s="33" t="n">
        <f aca="false">D21+D22+D23</f>
        <v>6260</v>
      </c>
      <c r="E24" s="33" t="n">
        <f aca="false">E21+E22+E23</f>
        <v>7750</v>
      </c>
      <c r="F24" s="33" t="n">
        <f aca="false">F21+F22+F23</f>
        <v>8900.60643564357</v>
      </c>
      <c r="G24" s="33" t="n">
        <f aca="false">G21+G22+G23</f>
        <v>10058.4871287129</v>
      </c>
      <c r="H24" s="33" t="n">
        <f aca="false">H21+H22+H23</f>
        <v>11261.4000792079</v>
      </c>
      <c r="I24" s="33" t="n">
        <f aca="false">I21+I22+I23</f>
        <v>12449.6178879208</v>
      </c>
      <c r="J24" s="33" t="n">
        <f aca="false">J21+J22+J23</f>
        <v>13635.7495356119</v>
      </c>
      <c r="K24" s="33" t="n">
        <f aca="false">K21+K22+K23</f>
        <v>14815.6921074553</v>
      </c>
      <c r="L24" s="33" t="n">
        <f aca="false">L21+L22+L23</f>
        <v>15907.7484143673</v>
      </c>
      <c r="M24" s="33" t="n">
        <f aca="false">M21+M22+M23</f>
        <v>16973.5218462091</v>
      </c>
      <c r="N24" s="33" t="n">
        <f aca="false">N21+N22+N23</f>
        <v>18008.0984158828</v>
      </c>
    </row>
    <row r="25" customFormat="false" ht="15" hidden="false" customHeight="false" outlineLevel="0" collapsed="false">
      <c r="A25" s="17" t="s">
        <v>122</v>
      </c>
      <c r="B25" s="12" t="s">
        <v>11</v>
      </c>
      <c r="C25" s="34"/>
      <c r="D25" s="34" t="n">
        <f aca="false">D24-D17</f>
        <v>0</v>
      </c>
      <c r="E25" s="34" t="n">
        <f aca="false">E24-E17</f>
        <v>0</v>
      </c>
      <c r="F25" s="34" t="n">
        <f aca="false">F24-F17</f>
        <v>0</v>
      </c>
      <c r="G25" s="34" t="n">
        <f aca="false">G24-G17</f>
        <v>0</v>
      </c>
      <c r="H25" s="34" t="n">
        <f aca="false">H24-H17</f>
        <v>0</v>
      </c>
      <c r="I25" s="34" t="n">
        <f aca="false">I24-I17</f>
        <v>0</v>
      </c>
      <c r="J25" s="34" t="n">
        <f aca="false">J24-J17</f>
        <v>0</v>
      </c>
      <c r="K25" s="34" t="n">
        <f aca="false">K24-K17</f>
        <v>0</v>
      </c>
      <c r="L25" s="34" t="n">
        <f aca="false">L24-L17</f>
        <v>0</v>
      </c>
      <c r="M25" s="34" t="n">
        <f aca="false">M24-M17</f>
        <v>0</v>
      </c>
      <c r="N25" s="34" t="n">
        <f aca="false">N24-N17</f>
        <v>0</v>
      </c>
    </row>
    <row r="27" customFormat="false" ht="15" hidden="false" customHeight="false" outlineLevel="0" collapsed="false">
      <c r="A27" s="3" t="s">
        <v>123</v>
      </c>
      <c r="B27" s="4"/>
      <c r="C27" s="4"/>
      <c r="D27" s="4"/>
      <c r="E27" s="4"/>
      <c r="F27" s="4"/>
      <c r="G27" s="4"/>
      <c r="H27" s="4"/>
      <c r="I27" s="4"/>
      <c r="J27" s="4"/>
      <c r="K27" s="4"/>
      <c r="L27" s="4"/>
      <c r="M27" s="4"/>
      <c r="N27" s="4"/>
      <c r="O27" s="4"/>
      <c r="P27" s="4"/>
    </row>
    <row r="28" customFormat="false" ht="15" hidden="false" customHeight="false" outlineLevel="0" collapsed="false">
      <c r="A28" s="29" t="s">
        <v>124</v>
      </c>
    </row>
    <row r="29" customFormat="false" ht="15" hidden="false" customHeight="false" outlineLevel="0" collapsed="false">
      <c r="A29" s="40" t="s">
        <v>125</v>
      </c>
    </row>
    <row r="30" customFormat="false" ht="15" hidden="false" customHeight="false" outlineLevel="0" collapsed="false">
      <c r="A30" s="14" t="s">
        <v>126</v>
      </c>
      <c r="B30" s="12" t="s">
        <v>52</v>
      </c>
      <c r="C30" s="24"/>
      <c r="D30" s="28" t="n">
        <v>4</v>
      </c>
      <c r="E30" s="28" t="n">
        <v>4</v>
      </c>
      <c r="F30" s="28" t="n">
        <v>2</v>
      </c>
      <c r="G30" s="28" t="n">
        <v>2</v>
      </c>
      <c r="H30" s="28" t="n">
        <v>3</v>
      </c>
      <c r="I30" s="28" t="n">
        <v>3</v>
      </c>
      <c r="J30" s="28" t="n">
        <v>3</v>
      </c>
      <c r="K30" s="28" t="n">
        <v>4</v>
      </c>
      <c r="L30" s="28" t="n">
        <v>4</v>
      </c>
      <c r="M30" s="28" t="n">
        <v>4</v>
      </c>
      <c r="N30" s="28" t="n">
        <v>4</v>
      </c>
      <c r="P30" s="29" t="s">
        <v>127</v>
      </c>
    </row>
    <row r="31" customFormat="false" ht="15" hidden="false" customHeight="false" outlineLevel="0" collapsed="false">
      <c r="A31" s="11" t="s">
        <v>128</v>
      </c>
      <c r="B31" s="12" t="s">
        <v>52</v>
      </c>
      <c r="C31" s="35" t="n">
        <v>26</v>
      </c>
      <c r="D31" s="35" t="n">
        <v>30</v>
      </c>
      <c r="E31" s="35" t="n">
        <v>34</v>
      </c>
      <c r="F31" s="36" t="n">
        <f aca="false">E31+F30</f>
        <v>36</v>
      </c>
      <c r="G31" s="36" t="n">
        <f aca="false">F31+G30</f>
        <v>38</v>
      </c>
      <c r="H31" s="36" t="n">
        <f aca="false">G31+H30</f>
        <v>41</v>
      </c>
      <c r="I31" s="36" t="n">
        <f aca="false">H31+I30</f>
        <v>44</v>
      </c>
      <c r="J31" s="36" t="n">
        <f aca="false">I31+J30</f>
        <v>47</v>
      </c>
      <c r="K31" s="36" t="n">
        <f aca="false">J31+K30</f>
        <v>51</v>
      </c>
      <c r="L31" s="36" t="n">
        <f aca="false">K31+L30</f>
        <v>55</v>
      </c>
      <c r="M31" s="36" t="n">
        <f aca="false">L31+M30</f>
        <v>59</v>
      </c>
      <c r="N31" s="36" t="n">
        <f aca="false">M31+N30</f>
        <v>63</v>
      </c>
      <c r="P31" s="29" t="s">
        <v>129</v>
      </c>
    </row>
    <row r="32" customFormat="false" ht="15" hidden="false" customHeight="false" outlineLevel="0" collapsed="false">
      <c r="A32" s="14" t="s">
        <v>130</v>
      </c>
      <c r="B32" s="12" t="s">
        <v>27</v>
      </c>
      <c r="C32" s="15"/>
      <c r="D32" s="15"/>
      <c r="E32" s="15"/>
      <c r="F32" s="37" t="n">
        <v>0.095</v>
      </c>
      <c r="G32" s="37" t="n">
        <v>0.09</v>
      </c>
      <c r="H32" s="37" t="n">
        <v>0.085</v>
      </c>
      <c r="I32" s="37" t="n">
        <v>0.08</v>
      </c>
      <c r="J32" s="37" t="n">
        <v>0.075</v>
      </c>
      <c r="K32" s="37" t="n">
        <v>0.07</v>
      </c>
      <c r="L32" s="37" t="n">
        <v>0.07</v>
      </c>
      <c r="M32" s="37" t="n">
        <v>0.065</v>
      </c>
      <c r="N32" s="37" t="n">
        <v>0.06</v>
      </c>
      <c r="P32" s="29" t="s">
        <v>131</v>
      </c>
    </row>
    <row r="33" customFormat="false" ht="15" hidden="false" customHeight="false" outlineLevel="0" collapsed="false">
      <c r="A33" s="14" t="s">
        <v>132</v>
      </c>
      <c r="B33" s="12" t="s">
        <v>11</v>
      </c>
      <c r="C33" s="41" t="n">
        <f aca="false">C34/C31</f>
        <v>220.384615384615</v>
      </c>
      <c r="D33" s="41" t="n">
        <f aca="false">D34/D31</f>
        <v>201</v>
      </c>
      <c r="E33" s="41" t="n">
        <f aca="false">E34/E31</f>
        <v>243.235294117647</v>
      </c>
      <c r="F33" s="41" t="n">
        <f aca="false">E33*(1+F32)</f>
        <v>266.342647058824</v>
      </c>
      <c r="G33" s="41" t="n">
        <f aca="false">F33*(1+G32)</f>
        <v>290.313485294118</v>
      </c>
      <c r="H33" s="41" t="n">
        <f aca="false">G33*(1+H32)</f>
        <v>314.990131544118</v>
      </c>
      <c r="I33" s="41" t="n">
        <f aca="false">H33*(1+I32)</f>
        <v>340.189342067647</v>
      </c>
      <c r="J33" s="41" t="n">
        <f aca="false">I33*(1+J32)</f>
        <v>365.703542722721</v>
      </c>
      <c r="K33" s="41" t="n">
        <f aca="false">J33*(1+K32)</f>
        <v>391.302790713311</v>
      </c>
      <c r="L33" s="41" t="n">
        <f aca="false">K33*(1+L32)</f>
        <v>418.693986063243</v>
      </c>
      <c r="M33" s="41" t="n">
        <f aca="false">L33*(1+M32)</f>
        <v>445.909095157354</v>
      </c>
      <c r="N33" s="41" t="n">
        <f aca="false">M33*(1+N32)</f>
        <v>472.663640866795</v>
      </c>
      <c r="P33" s="29" t="s">
        <v>133</v>
      </c>
    </row>
    <row r="34" customFormat="false" ht="15" hidden="false" customHeight="false" outlineLevel="0" collapsed="false">
      <c r="A34" s="30" t="s">
        <v>67</v>
      </c>
      <c r="B34" s="31" t="s">
        <v>11</v>
      </c>
      <c r="C34" s="32" t="n">
        <v>5730</v>
      </c>
      <c r="D34" s="32" t="n">
        <v>6030</v>
      </c>
      <c r="E34" s="32" t="n">
        <v>8270</v>
      </c>
      <c r="F34" s="33" t="n">
        <f aca="false">F33*F31</f>
        <v>9588.33529411765</v>
      </c>
      <c r="G34" s="33" t="n">
        <f aca="false">G33*G31</f>
        <v>11031.9124411765</v>
      </c>
      <c r="H34" s="33" t="n">
        <f aca="false">H33*H31</f>
        <v>12914.5953933088</v>
      </c>
      <c r="I34" s="33" t="n">
        <f aca="false">I33*I31</f>
        <v>14968.3310509765</v>
      </c>
      <c r="J34" s="33" t="n">
        <f aca="false">J33*J31</f>
        <v>17188.0665079679</v>
      </c>
      <c r="K34" s="33" t="n">
        <f aca="false">K33*K31</f>
        <v>19956.4423263789</v>
      </c>
      <c r="L34" s="33" t="n">
        <f aca="false">L33*L31</f>
        <v>23028.1692334784</v>
      </c>
      <c r="M34" s="33" t="n">
        <f aca="false">M33*M31</f>
        <v>26308.6366142839</v>
      </c>
      <c r="N34" s="33" t="n">
        <f aca="false">N33*N31</f>
        <v>29777.8093746081</v>
      </c>
      <c r="P34" s="29" t="s">
        <v>134</v>
      </c>
    </row>
    <row r="35" customFormat="false" ht="15" hidden="false" customHeight="false" outlineLevel="0" collapsed="false">
      <c r="A35" s="40" t="s">
        <v>135</v>
      </c>
    </row>
    <row r="36" customFormat="false" ht="15" hidden="false" customHeight="false" outlineLevel="0" collapsed="false">
      <c r="A36" s="14" t="s">
        <v>136</v>
      </c>
      <c r="B36" s="12" t="s">
        <v>27</v>
      </c>
      <c r="C36" s="15"/>
      <c r="D36" s="15"/>
      <c r="E36" s="15"/>
      <c r="F36" s="37" t="n">
        <v>0.13</v>
      </c>
      <c r="G36" s="37" t="n">
        <v>0.12</v>
      </c>
      <c r="H36" s="37" t="n">
        <v>0.115</v>
      </c>
      <c r="I36" s="37" t="n">
        <v>0.11</v>
      </c>
      <c r="J36" s="37" t="n">
        <v>0.105</v>
      </c>
      <c r="K36" s="37" t="n">
        <v>0.1</v>
      </c>
      <c r="L36" s="37" t="n">
        <v>0.095</v>
      </c>
      <c r="M36" s="37" t="n">
        <v>0.09</v>
      </c>
      <c r="N36" s="37" t="n">
        <v>0.085</v>
      </c>
      <c r="P36" s="29" t="s">
        <v>137</v>
      </c>
    </row>
    <row r="37" customFormat="false" ht="15" hidden="false" customHeight="false" outlineLevel="0" collapsed="false">
      <c r="A37" s="11" t="s">
        <v>69</v>
      </c>
      <c r="B37" s="12" t="s">
        <v>11</v>
      </c>
      <c r="C37" s="35" t="n">
        <v>3950</v>
      </c>
      <c r="D37" s="35" t="n">
        <v>4650</v>
      </c>
      <c r="E37" s="35" t="n">
        <v>5900</v>
      </c>
      <c r="F37" s="36" t="n">
        <f aca="false">E37*(1+F36)</f>
        <v>6667</v>
      </c>
      <c r="G37" s="36" t="n">
        <f aca="false">F37*(1+G36)</f>
        <v>7467.04</v>
      </c>
      <c r="H37" s="36" t="n">
        <f aca="false">G37*(1+H36)</f>
        <v>8325.7496</v>
      </c>
      <c r="I37" s="36" t="n">
        <f aca="false">H37*(1+I36)</f>
        <v>9241.582056</v>
      </c>
      <c r="J37" s="36" t="n">
        <f aca="false">I37*(1+J36)</f>
        <v>10211.94817188</v>
      </c>
      <c r="K37" s="36" t="n">
        <f aca="false">J37*(1+K36)</f>
        <v>11233.142989068</v>
      </c>
      <c r="L37" s="36" t="n">
        <f aca="false">K37*(1+L36)</f>
        <v>12300.2915730295</v>
      </c>
      <c r="M37" s="36" t="n">
        <f aca="false">L37*(1+M36)</f>
        <v>13407.3178146021</v>
      </c>
      <c r="N37" s="36" t="n">
        <f aca="false">M37*(1+N36)</f>
        <v>14546.9398288433</v>
      </c>
      <c r="P37" s="29" t="s">
        <v>138</v>
      </c>
    </row>
    <row r="38" customFormat="false" ht="15" hidden="false" customHeight="false" outlineLevel="0" collapsed="false">
      <c r="A38" s="40" t="s">
        <v>139</v>
      </c>
    </row>
    <row r="39" customFormat="false" ht="15" hidden="false" customHeight="false" outlineLevel="0" collapsed="false">
      <c r="A39" s="30" t="s">
        <v>140</v>
      </c>
      <c r="B39" s="31" t="s">
        <v>11</v>
      </c>
      <c r="C39" s="33" t="n">
        <f aca="false">C34+C37</f>
        <v>9680</v>
      </c>
      <c r="D39" s="33" t="n">
        <f aca="false">D34+D37</f>
        <v>10680</v>
      </c>
      <c r="E39" s="33" t="n">
        <f aca="false">E34+E37</f>
        <v>14170</v>
      </c>
      <c r="F39" s="33" t="n">
        <f aca="false">F34+F37</f>
        <v>16255.3352941176</v>
      </c>
      <c r="G39" s="33" t="n">
        <f aca="false">G34+G37</f>
        <v>18498.9524411765</v>
      </c>
      <c r="H39" s="33" t="n">
        <f aca="false">H34+H37</f>
        <v>21240.3449933088</v>
      </c>
      <c r="I39" s="33" t="n">
        <f aca="false">I34+I37</f>
        <v>24209.9131069765</v>
      </c>
      <c r="J39" s="33" t="n">
        <f aca="false">J34+J37</f>
        <v>27400.0146798479</v>
      </c>
      <c r="K39" s="33" t="n">
        <f aca="false">K34+K37</f>
        <v>31189.5853154469</v>
      </c>
      <c r="L39" s="33" t="n">
        <f aca="false">L34+L37</f>
        <v>35328.4608065078</v>
      </c>
      <c r="M39" s="33" t="n">
        <f aca="false">M34+M37</f>
        <v>39715.954428886</v>
      </c>
      <c r="N39" s="33" t="n">
        <f aca="false">N34+N37</f>
        <v>44324.7492034514</v>
      </c>
    </row>
    <row r="40" customFormat="false" ht="15" hidden="false" customHeight="false" outlineLevel="0" collapsed="false">
      <c r="A40" s="17" t="s">
        <v>141</v>
      </c>
      <c r="B40" s="12" t="s">
        <v>11</v>
      </c>
      <c r="C40" s="34" t="n">
        <f aca="false">C39-C7</f>
        <v>0</v>
      </c>
      <c r="D40" s="34" t="n">
        <f aca="false">D39-D7</f>
        <v>0</v>
      </c>
      <c r="E40" s="34" t="n">
        <f aca="false">E39-E7</f>
        <v>0</v>
      </c>
      <c r="F40" s="34"/>
      <c r="G40" s="34"/>
      <c r="H40" s="34"/>
      <c r="I40" s="34"/>
      <c r="J40" s="34"/>
      <c r="K40" s="34"/>
      <c r="L40" s="34"/>
      <c r="M40" s="34"/>
      <c r="N40" s="34"/>
    </row>
    <row r="41" customFormat="false" ht="15" hidden="false" customHeight="false" outlineLevel="0" collapsed="false">
      <c r="A41" s="14" t="s">
        <v>142</v>
      </c>
      <c r="B41" s="12" t="s">
        <v>27</v>
      </c>
      <c r="C41" s="15"/>
      <c r="D41" s="15" t="n">
        <f aca="false">D39/C39-1</f>
        <v>0.103305785123967</v>
      </c>
      <c r="E41" s="15" t="n">
        <f aca="false">E39/D39-1</f>
        <v>0.326779026217229</v>
      </c>
      <c r="F41" s="15" t="n">
        <f aca="false">F39/E39-1</f>
        <v>0.147165511229192</v>
      </c>
      <c r="G41" s="15" t="n">
        <f aca="false">G39/F39-1</f>
        <v>0.138023430859081</v>
      </c>
      <c r="H41" s="15" t="n">
        <f aca="false">H39/G39-1</f>
        <v>0.148191772526013</v>
      </c>
      <c r="I41" s="15" t="n">
        <f aca="false">I39/H39-1</f>
        <v>0.139807903996057</v>
      </c>
      <c r="J41" s="15" t="n">
        <f aca="false">J39/I39-1</f>
        <v>0.131768402421573</v>
      </c>
      <c r="K41" s="15" t="n">
        <f aca="false">K39/J39-1</f>
        <v>0.138305423550964</v>
      </c>
      <c r="L41" s="15" t="n">
        <f aca="false">L39/K39-1</f>
        <v>0.132700561716386</v>
      </c>
      <c r="M41" s="15" t="n">
        <f aca="false">M39/L39-1</f>
        <v>0.124191474018872</v>
      </c>
      <c r="N41" s="15" t="n">
        <f aca="false">N39/M39-1</f>
        <v>0.116043913355217</v>
      </c>
    </row>
    <row r="42" customFormat="false" ht="15" hidden="false" customHeight="false" outlineLevel="0" collapsed="false">
      <c r="A42" s="17" t="s">
        <v>143</v>
      </c>
      <c r="B42" s="12" t="s">
        <v>27</v>
      </c>
      <c r="C42" s="18" t="n">
        <f aca="false">C34/C39</f>
        <v>0.591942148760331</v>
      </c>
      <c r="D42" s="18" t="n">
        <f aca="false">D34/D39</f>
        <v>0.564606741573034</v>
      </c>
      <c r="E42" s="18" t="n">
        <f aca="false">E34/E39</f>
        <v>0.583627381792519</v>
      </c>
      <c r="F42" s="18" t="n">
        <f aca="false">F34/F39</f>
        <v>0.589857737206282</v>
      </c>
      <c r="G42" s="18" t="n">
        <f aca="false">G34/G39</f>
        <v>0.596353359805431</v>
      </c>
      <c r="H42" s="18" t="n">
        <f aca="false">H34/H39</f>
        <v>0.608021922307628</v>
      </c>
      <c r="I42" s="18" t="n">
        <f aca="false">I34/I39</f>
        <v>0.618272811836863</v>
      </c>
      <c r="J42" s="18" t="n">
        <f aca="false">J34/J39</f>
        <v>0.627301361287566</v>
      </c>
      <c r="K42" s="18" t="n">
        <f aca="false">K34/K39</f>
        <v>0.639843143938669</v>
      </c>
      <c r="L42" s="18" t="n">
        <f aca="false">L34/L39</f>
        <v>0.651830527222866</v>
      </c>
      <c r="M42" s="18" t="n">
        <f aca="false">M34/M39</f>
        <v>0.662419850979314</v>
      </c>
      <c r="N42" s="18" t="n">
        <f aca="false">N34/N39</f>
        <v>0.671809991251782</v>
      </c>
    </row>
    <row r="44" customFormat="false" ht="15" hidden="false" customHeight="false" outlineLevel="0" collapsed="false">
      <c r="A44" s="3" t="s">
        <v>144</v>
      </c>
      <c r="B44" s="4"/>
      <c r="C44" s="4"/>
      <c r="D44" s="4"/>
      <c r="E44" s="4"/>
      <c r="F44" s="4"/>
      <c r="G44" s="4"/>
      <c r="H44" s="4"/>
      <c r="I44" s="4"/>
      <c r="J44" s="4"/>
      <c r="K44" s="4"/>
      <c r="L44" s="4"/>
      <c r="M44" s="4"/>
      <c r="N44" s="4"/>
      <c r="O44" s="4"/>
      <c r="P44" s="4"/>
    </row>
    <row r="45" customFormat="false" ht="15" hidden="false" customHeight="false" outlineLevel="0" collapsed="false">
      <c r="A45" s="14" t="s">
        <v>145</v>
      </c>
      <c r="B45" s="12" t="s">
        <v>55</v>
      </c>
      <c r="C45" s="28" t="n">
        <v>0</v>
      </c>
      <c r="D45" s="28" t="n">
        <v>134</v>
      </c>
      <c r="E45" s="28" t="n">
        <v>91</v>
      </c>
      <c r="F45" s="28" t="n">
        <v>225</v>
      </c>
      <c r="G45" s="28" t="n">
        <v>225</v>
      </c>
      <c r="H45" s="28" t="n">
        <v>100</v>
      </c>
      <c r="I45" s="28" t="n">
        <v>150</v>
      </c>
      <c r="J45" s="28" t="n">
        <v>100</v>
      </c>
      <c r="K45" s="28" t="n">
        <v>150</v>
      </c>
      <c r="L45" s="28" t="n">
        <v>200</v>
      </c>
      <c r="M45" s="28" t="n">
        <v>150</v>
      </c>
      <c r="N45" s="28" t="n">
        <v>100</v>
      </c>
      <c r="P45" s="29" t="s">
        <v>146</v>
      </c>
    </row>
    <row r="46" customFormat="false" ht="15" hidden="false" customHeight="false" outlineLevel="0" collapsed="false">
      <c r="A46" s="11" t="s">
        <v>54</v>
      </c>
      <c r="B46" s="12" t="s">
        <v>55</v>
      </c>
      <c r="C46" s="35" t="n">
        <v>475</v>
      </c>
      <c r="D46" s="35" t="n">
        <v>609</v>
      </c>
      <c r="E46" s="35" t="n">
        <v>700</v>
      </c>
      <c r="F46" s="36" t="n">
        <f aca="false">E46+F45</f>
        <v>925</v>
      </c>
      <c r="G46" s="36" t="n">
        <f aca="false">F46+G45</f>
        <v>1150</v>
      </c>
      <c r="H46" s="36" t="n">
        <f aca="false">G46+H45</f>
        <v>1250</v>
      </c>
      <c r="I46" s="36" t="n">
        <f aca="false">H46+I45</f>
        <v>1400</v>
      </c>
      <c r="J46" s="36" t="n">
        <f aca="false">I46+J45</f>
        <v>1500</v>
      </c>
      <c r="K46" s="36" t="n">
        <f aca="false">J46+K45</f>
        <v>1650</v>
      </c>
      <c r="L46" s="36" t="n">
        <f aca="false">K46+L45</f>
        <v>1850</v>
      </c>
      <c r="M46" s="36" t="n">
        <f aca="false">L46+M45</f>
        <v>2000</v>
      </c>
      <c r="N46" s="36" t="n">
        <f aca="false">M46+N45</f>
        <v>2100</v>
      </c>
      <c r="P46" s="29" t="s">
        <v>147</v>
      </c>
    </row>
    <row r="47" customFormat="false" ht="15" hidden="false" customHeight="false" outlineLevel="0" collapsed="false">
      <c r="A47" s="14" t="s">
        <v>56</v>
      </c>
      <c r="B47" s="12" t="s">
        <v>55</v>
      </c>
      <c r="C47" s="24" t="n">
        <f aca="false">C46-C45*(1-$C$62)</f>
        <v>475</v>
      </c>
      <c r="D47" s="24" t="n">
        <f aca="false">D46-D45*(1-$C$62)</f>
        <v>515.2</v>
      </c>
      <c r="E47" s="24" t="n">
        <f aca="false">E46-E45*(1-$C$62)</f>
        <v>636.3</v>
      </c>
      <c r="F47" s="24" t="n">
        <f aca="false">F46-F45*(1-$C$62)</f>
        <v>767.5</v>
      </c>
      <c r="G47" s="24" t="n">
        <f aca="false">G46-G45*(1-$C$62)</f>
        <v>992.5</v>
      </c>
      <c r="H47" s="24" t="n">
        <f aca="false">H46-H45*(1-$C$62)</f>
        <v>1180</v>
      </c>
      <c r="I47" s="24" t="n">
        <f aca="false">I46-I45*(1-$C$62)</f>
        <v>1295</v>
      </c>
      <c r="J47" s="24" t="n">
        <f aca="false">J46-J45*(1-$C$62)</f>
        <v>1430</v>
      </c>
      <c r="K47" s="24" t="n">
        <f aca="false">K46-K45*(1-$C$62)</f>
        <v>1545</v>
      </c>
      <c r="L47" s="24" t="n">
        <f aca="false">L46-L45*(1-$C$62)</f>
        <v>1710</v>
      </c>
      <c r="M47" s="24" t="n">
        <f aca="false">M46-M45*(1-$C$62)</f>
        <v>1895</v>
      </c>
      <c r="N47" s="24" t="n">
        <f aca="false">N46-N45*(1-$C$62)</f>
        <v>2030</v>
      </c>
      <c r="P47" s="29" t="s">
        <v>148</v>
      </c>
    </row>
    <row r="48" customFormat="false" ht="15" hidden="false" customHeight="false" outlineLevel="0" collapsed="false">
      <c r="A48" s="14" t="s">
        <v>149</v>
      </c>
      <c r="B48" s="12" t="s">
        <v>150</v>
      </c>
      <c r="C48" s="41" t="n">
        <f aca="false">C34/C47</f>
        <v>12.0631578947368</v>
      </c>
      <c r="D48" s="41" t="n">
        <f aca="false">D34/D47</f>
        <v>11.7041925465839</v>
      </c>
      <c r="E48" s="41" t="n">
        <f aca="false">E34/E47</f>
        <v>12.997013987113</v>
      </c>
      <c r="F48" s="41" t="n">
        <f aca="false">F34/F47</f>
        <v>12.4929450086223</v>
      </c>
      <c r="G48" s="41" t="n">
        <f aca="false">G34/G47</f>
        <v>11.1152770188176</v>
      </c>
      <c r="H48" s="41" t="n">
        <f aca="false">H34/H47</f>
        <v>10.9445723672109</v>
      </c>
      <c r="I48" s="41" t="n">
        <f aca="false">I34/I47</f>
        <v>11.5585567961208</v>
      </c>
      <c r="J48" s="41" t="n">
        <f aca="false">J34/J47</f>
        <v>12.0196269286489</v>
      </c>
      <c r="K48" s="41" t="n">
        <f aca="false">K34/K47</f>
        <v>12.9167911497598</v>
      </c>
      <c r="L48" s="41" t="n">
        <f aca="false">L34/L47</f>
        <v>13.4667656336131</v>
      </c>
      <c r="M48" s="41" t="n">
        <f aca="false">M34/M47</f>
        <v>13.8831855484348</v>
      </c>
      <c r="N48" s="41" t="n">
        <f aca="false">N34/N47</f>
        <v>14.6688716131074</v>
      </c>
      <c r="P48" s="29" t="s">
        <v>151</v>
      </c>
    </row>
    <row r="49" customFormat="false" ht="15" hidden="false" customHeight="false" outlineLevel="0" collapsed="false">
      <c r="A49" s="17" t="s">
        <v>152</v>
      </c>
      <c r="B49" s="12" t="s">
        <v>27</v>
      </c>
      <c r="C49" s="18"/>
      <c r="D49" s="18" t="n">
        <f aca="false">D48/C48-1</f>
        <v>-0.0297571623687035</v>
      </c>
      <c r="E49" s="18" t="n">
        <f aca="false">E48/D48-1</f>
        <v>0.110457977804414</v>
      </c>
      <c r="F49" s="18" t="n">
        <f aca="false">F48/E48-1</f>
        <v>-0.038783445104426</v>
      </c>
      <c r="G49" s="18" t="n">
        <f aca="false">G48/F48-1</f>
        <v>-0.110275678701371</v>
      </c>
      <c r="H49" s="18" t="n">
        <f aca="false">H48/G48-1</f>
        <v>-0.0153576605709191</v>
      </c>
      <c r="I49" s="18" t="n">
        <f aca="false">I48/H48-1</f>
        <v>0.0560994443921274</v>
      </c>
      <c r="J49" s="18" t="n">
        <f aca="false">J48/I48-1</f>
        <v>0.0398899396058487</v>
      </c>
      <c r="K49" s="18" t="n">
        <f aca="false">K48/J48-1</f>
        <v>0.0746416029745922</v>
      </c>
      <c r="L49" s="18" t="n">
        <f aca="false">L48/K48-1</f>
        <v>0.042578259373925</v>
      </c>
      <c r="M49" s="18" t="n">
        <f aca="false">M48/L48-1</f>
        <v>0.0309220436555528</v>
      </c>
      <c r="N49" s="18" t="n">
        <f aca="false">N48/M48-1</f>
        <v>0.0565926358854472</v>
      </c>
    </row>
    <row r="50" customFormat="false" ht="15" hidden="false" customHeight="false" outlineLevel="0" collapsed="false">
      <c r="A50" s="17" t="s">
        <v>153</v>
      </c>
      <c r="B50" s="12"/>
      <c r="C50" s="42"/>
      <c r="D50" s="42" t="str">
        <f aca="false">IF(D49&gt;0.1,"REVIEW","ok")</f>
        <v>ok</v>
      </c>
      <c r="E50" s="42" t="str">
        <f aca="false">IF(E49&gt;0.1,"REVIEW","ok")</f>
        <v>REVIEW</v>
      </c>
      <c r="F50" s="42" t="str">
        <f aca="false">IF(F49&gt;0.1,"REVIEW","ok")</f>
        <v>ok</v>
      </c>
      <c r="G50" s="42" t="str">
        <f aca="false">IF(G49&gt;0.1,"REVIEW","ok")</f>
        <v>ok</v>
      </c>
      <c r="H50" s="42" t="str">
        <f aca="false">IF(H49&gt;0.1,"REVIEW","ok")</f>
        <v>ok</v>
      </c>
      <c r="I50" s="42" t="str">
        <f aca="false">IF(I49&gt;0.1,"REVIEW","ok")</f>
        <v>ok</v>
      </c>
      <c r="J50" s="42" t="str">
        <f aca="false">IF(J49&gt;0.1,"REVIEW","ok")</f>
        <v>ok</v>
      </c>
      <c r="K50" s="42" t="str">
        <f aca="false">IF(K49&gt;0.1,"REVIEW","ok")</f>
        <v>ok</v>
      </c>
      <c r="L50" s="42" t="str">
        <f aca="false">IF(L49&gt;0.1,"REVIEW","ok")</f>
        <v>ok</v>
      </c>
      <c r="M50" s="42" t="str">
        <f aca="false">IF(M49&gt;0.1,"REVIEW","ok")</f>
        <v>ok</v>
      </c>
      <c r="N50" s="42" t="str">
        <f aca="false">IF(N49&gt;0.1,"REVIEW","ok")</f>
        <v>ok</v>
      </c>
    </row>
    <row r="52" customFormat="false" ht="15" hidden="false" customHeight="false" outlineLevel="0" collapsed="false">
      <c r="A52" s="3" t="s">
        <v>154</v>
      </c>
      <c r="B52" s="4"/>
      <c r="C52" s="4"/>
      <c r="D52" s="4"/>
      <c r="E52" s="4"/>
      <c r="F52" s="4"/>
      <c r="G52" s="4"/>
      <c r="H52" s="4"/>
      <c r="I52" s="4"/>
      <c r="J52" s="4"/>
      <c r="K52" s="4"/>
      <c r="L52" s="4"/>
      <c r="M52" s="4"/>
      <c r="N52" s="4"/>
      <c r="O52" s="4"/>
      <c r="P52" s="4"/>
    </row>
    <row r="53" customFormat="false" ht="15" hidden="false" customHeight="false" outlineLevel="0" collapsed="false">
      <c r="A53" s="11" t="s">
        <v>25</v>
      </c>
      <c r="B53" s="12" t="s">
        <v>11</v>
      </c>
      <c r="C53" s="36" t="n">
        <f aca="false">C17+C39+C9</f>
        <v>14651.78</v>
      </c>
      <c r="D53" s="36" t="n">
        <f aca="false">D17+D39+D9</f>
        <v>16945.7</v>
      </c>
      <c r="E53" s="36" t="n">
        <f aca="false">E17+E39+E9</f>
        <v>21924.92</v>
      </c>
      <c r="F53" s="36" t="n">
        <f aca="false">F17+F39</f>
        <v>25155.9417297612</v>
      </c>
      <c r="G53" s="36" t="n">
        <f aca="false">G17+G39</f>
        <v>28557.4395698893</v>
      </c>
      <c r="H53" s="36" t="n">
        <f aca="false">H17+H39</f>
        <v>32501.7450725167</v>
      </c>
      <c r="I53" s="36" t="n">
        <f aca="false">I17+I39</f>
        <v>36659.5309948973</v>
      </c>
      <c r="J53" s="36" t="n">
        <f aca="false">J17+J39</f>
        <v>41035.7642154597</v>
      </c>
      <c r="K53" s="36" t="n">
        <f aca="false">K17+K39</f>
        <v>46005.2774229021</v>
      </c>
      <c r="L53" s="36" t="n">
        <f aca="false">L17+L39</f>
        <v>51236.2092208751</v>
      </c>
      <c r="M53" s="36" t="n">
        <f aca="false">M17+M39</f>
        <v>56689.4762750951</v>
      </c>
      <c r="N53" s="36" t="n">
        <f aca="false">N17+N39</f>
        <v>62332.8476193342</v>
      </c>
    </row>
    <row r="54" customFormat="false" ht="15" hidden="false" customHeight="false" outlineLevel="0" collapsed="false">
      <c r="A54" s="14" t="s">
        <v>26</v>
      </c>
      <c r="B54" s="12" t="s">
        <v>27</v>
      </c>
      <c r="C54" s="15"/>
      <c r="D54" s="15" t="n">
        <f aca="false">D53/C53-1</f>
        <v>0.156562547349196</v>
      </c>
      <c r="E54" s="15" t="n">
        <f aca="false">E53/D53-1</f>
        <v>0.293833833951976</v>
      </c>
      <c r="F54" s="15" t="n">
        <f aca="false">F53/E53-1</f>
        <v>0.147367549334785</v>
      </c>
      <c r="G54" s="15" t="n">
        <f aca="false">G53/F53-1</f>
        <v>0.135216477946597</v>
      </c>
      <c r="H54" s="15" t="n">
        <f aca="false">H53/G53-1</f>
        <v>0.138118317399373</v>
      </c>
      <c r="I54" s="15" t="n">
        <f aca="false">I53/H53-1</f>
        <v>0.127925005660583</v>
      </c>
      <c r="J54" s="15" t="n">
        <f aca="false">J53/I53-1</f>
        <v>0.119375046592157</v>
      </c>
      <c r="K54" s="15" t="n">
        <f aca="false">K53/J53-1</f>
        <v>0.121102002179118</v>
      </c>
      <c r="L54" s="15" t="n">
        <f aca="false">L53/K53-1</f>
        <v>0.113702863910324</v>
      </c>
      <c r="M54" s="15" t="n">
        <f aca="false">M53/L53-1</f>
        <v>0.106433850925845</v>
      </c>
      <c r="N54" s="15" t="n">
        <f aca="false">N53/M53-1</f>
        <v>0.0995488354285317</v>
      </c>
    </row>
    <row r="55" customFormat="false" ht="15" hidden="false" customHeight="false" outlineLevel="0" collapsed="false">
      <c r="A55" s="14" t="s">
        <v>155</v>
      </c>
      <c r="B55" s="12" t="s">
        <v>27</v>
      </c>
      <c r="C55" s="15" t="n">
        <f aca="false">C17/C53</f>
        <v>0.339207932415038</v>
      </c>
      <c r="D55" s="15" t="n">
        <f aca="false">D17/D53</f>
        <v>0.369415249886402</v>
      </c>
      <c r="E55" s="15" t="n">
        <f aca="false">E17/E53</f>
        <v>0.353479054883667</v>
      </c>
      <c r="F55" s="15" t="n">
        <f aca="false">F17/F53</f>
        <v>0.353817262389089</v>
      </c>
      <c r="G55" s="15" t="n">
        <f aca="false">G17/G53</f>
        <v>0.35221950147514</v>
      </c>
      <c r="H55" s="15" t="n">
        <f aca="false">H17/H53</f>
        <v>0.34648601341503</v>
      </c>
      <c r="I55" s="15" t="n">
        <f aca="false">I17/I53</f>
        <v>0.339601122819975</v>
      </c>
      <c r="J55" s="15" t="n">
        <f aca="false">J17/J53</f>
        <v>0.332289401606289</v>
      </c>
      <c r="K55" s="15" t="n">
        <f aca="false">K17/K53</f>
        <v>0.322043316275706</v>
      </c>
      <c r="L55" s="15" t="n">
        <f aca="false">L17/L53</f>
        <v>0.310478637203433</v>
      </c>
      <c r="M55" s="15" t="n">
        <f aca="false">M17/M53</f>
        <v>0.299412218307368</v>
      </c>
      <c r="N55" s="15" t="n">
        <f aca="false">N17/N53</f>
        <v>0.288902225771202</v>
      </c>
    </row>
    <row r="56" customFormat="false" ht="15" hidden="false" customHeight="false" outlineLevel="0" collapsed="false">
      <c r="A56" s="14" t="s">
        <v>156</v>
      </c>
      <c r="B56" s="12" t="s">
        <v>27</v>
      </c>
      <c r="C56" s="15" t="n">
        <f aca="false">C39/C53</f>
        <v>0.660670580639349</v>
      </c>
      <c r="D56" s="15" t="n">
        <f aca="false">D39/D53</f>
        <v>0.630248381595331</v>
      </c>
      <c r="E56" s="15" t="n">
        <f aca="false">E39/E53</f>
        <v>0.646296542929233</v>
      </c>
      <c r="F56" s="15" t="n">
        <f aca="false">F39/F53</f>
        <v>0.646182737610911</v>
      </c>
      <c r="G56" s="15" t="n">
        <f aca="false">G39/G53</f>
        <v>0.64778049852486</v>
      </c>
      <c r="H56" s="15" t="n">
        <f aca="false">H39/H53</f>
        <v>0.65351398658497</v>
      </c>
      <c r="I56" s="15" t="n">
        <f aca="false">I39/I53</f>
        <v>0.660398877180025</v>
      </c>
      <c r="J56" s="15" t="n">
        <f aca="false">J39/J53</f>
        <v>0.667710598393711</v>
      </c>
      <c r="K56" s="15" t="n">
        <f aca="false">K39/K53</f>
        <v>0.677956683724294</v>
      </c>
      <c r="L56" s="15" t="n">
        <f aca="false">L39/L53</f>
        <v>0.689521362796567</v>
      </c>
      <c r="M56" s="15" t="n">
        <f aca="false">M39/M53</f>
        <v>0.700587781692632</v>
      </c>
      <c r="N56" s="15" t="n">
        <f aca="false">N39/N53</f>
        <v>0.711097774228798</v>
      </c>
    </row>
    <row r="57" customFormat="false" ht="15" hidden="false" customHeight="false" outlineLevel="0" collapsed="false">
      <c r="A57" s="11" t="s">
        <v>157</v>
      </c>
      <c r="B57" s="12" t="s">
        <v>11</v>
      </c>
      <c r="C57" s="43" t="n">
        <f aca="false">C53-C8</f>
        <v>0</v>
      </c>
      <c r="D57" s="43" t="n">
        <f aca="false">D53-D8</f>
        <v>0</v>
      </c>
      <c r="E57" s="43" t="n">
        <f aca="false">E53-E8</f>
        <v>0</v>
      </c>
      <c r="F57" s="43"/>
      <c r="G57" s="43"/>
      <c r="H57" s="43"/>
      <c r="I57" s="43"/>
      <c r="J57" s="43"/>
      <c r="K57" s="43"/>
      <c r="L57" s="43"/>
      <c r="M57" s="43"/>
      <c r="N57" s="43"/>
    </row>
    <row r="58" customFormat="false" ht="15" hidden="false" customHeight="false" outlineLevel="0" collapsed="false">
      <c r="A58" s="14" t="s">
        <v>158</v>
      </c>
      <c r="B58" s="12" t="s">
        <v>27</v>
      </c>
      <c r="C58" s="15" t="n">
        <f aca="false">(H53/C53)^(1/5)-1</f>
        <v>0.172744103782506</v>
      </c>
      <c r="D58" s="15" t="n">
        <f aca="false">(I53/D53)^(1/5)-1</f>
        <v>0.166878070766151</v>
      </c>
      <c r="E58" s="15" t="n">
        <f aca="false">(J53/E53)^(1/5)-1</f>
        <v>0.133561015710885</v>
      </c>
      <c r="F58" s="15" t="n">
        <f aca="false">(K53/F53)^(1/5)-1</f>
        <v>0.128322931883231</v>
      </c>
      <c r="G58" s="15" t="n">
        <f aca="false">(L53/G53)^(1/5)-1</f>
        <v>0.12401354507714</v>
      </c>
      <c r="H58" s="15" t="n">
        <f aca="false">(M53/H53)^(1/5)-1</f>
        <v>0.117684306576813</v>
      </c>
      <c r="I58" s="15" t="n">
        <f aca="false">(N53/I53)^(1/5)-1</f>
        <v>0.112003137591506</v>
      </c>
      <c r="J58" s="15"/>
      <c r="K58" s="15"/>
      <c r="L58" s="15"/>
      <c r="M58" s="15"/>
      <c r="N58" s="15"/>
    </row>
    <row r="59" customFormat="false" ht="15" hidden="false" customHeight="false" outlineLevel="0" collapsed="false">
      <c r="A59" s="14" t="s">
        <v>159</v>
      </c>
      <c r="B59" s="12"/>
      <c r="C59" s="44"/>
      <c r="D59" s="44" t="str">
        <f aca="false">IF(AND(D58&gt;=0.15,D58&lt;=0.2),"WITHIN GUIDANCE","OUTSIDE 15-20% GUIDANCE - review")</f>
        <v>WITHIN GUIDANCE</v>
      </c>
      <c r="E59" s="44"/>
      <c r="F59" s="44"/>
      <c r="G59" s="44"/>
      <c r="H59" s="44"/>
      <c r="I59" s="44"/>
      <c r="J59" s="44"/>
      <c r="K59" s="44"/>
      <c r="L59" s="44"/>
      <c r="M59" s="44"/>
      <c r="N59" s="44"/>
    </row>
    <row r="61" customFormat="false" ht="15" hidden="false" customHeight="false" outlineLevel="0" collapsed="false">
      <c r="A61" s="3" t="s">
        <v>160</v>
      </c>
      <c r="B61" s="4"/>
      <c r="C61" s="4"/>
      <c r="D61" s="4"/>
      <c r="E61" s="4"/>
      <c r="F61" s="4"/>
      <c r="G61" s="4"/>
      <c r="H61" s="4"/>
      <c r="I61" s="4"/>
      <c r="J61" s="4"/>
      <c r="K61" s="4"/>
      <c r="L61" s="4"/>
      <c r="M61" s="4"/>
      <c r="N61" s="4"/>
      <c r="O61" s="4"/>
      <c r="P61" s="4"/>
    </row>
    <row r="62" customFormat="false" ht="15" hidden="false" customHeight="false" outlineLevel="0" collapsed="false">
      <c r="A62" s="14" t="s">
        <v>161</v>
      </c>
      <c r="B62" s="12" t="s">
        <v>27</v>
      </c>
      <c r="C62" s="45" t="n">
        <v>0.3</v>
      </c>
      <c r="D62" s="15"/>
      <c r="E62" s="15"/>
      <c r="F62" s="15"/>
      <c r="G62" s="15"/>
      <c r="H62" s="15"/>
      <c r="I62" s="15"/>
      <c r="J62" s="15"/>
      <c r="K62" s="15"/>
      <c r="L62" s="15"/>
      <c r="M62" s="15"/>
      <c r="N62" s="15"/>
      <c r="P62" s="29" t="s">
        <v>162</v>
      </c>
    </row>
    <row r="63" customFormat="false" ht="15" hidden="false" customHeight="false" outlineLevel="0" collapsed="false">
      <c r="A63" s="14" t="s">
        <v>163</v>
      </c>
      <c r="B63" s="12" t="s">
        <v>27</v>
      </c>
      <c r="C63" s="45" t="n">
        <v>0.4</v>
      </c>
      <c r="D63" s="15"/>
      <c r="E63" s="15"/>
      <c r="F63" s="15"/>
      <c r="G63" s="15"/>
      <c r="H63" s="15"/>
      <c r="I63" s="15"/>
      <c r="J63" s="15"/>
      <c r="K63" s="15"/>
      <c r="L63" s="15"/>
      <c r="M63" s="15"/>
      <c r="N63" s="15"/>
      <c r="P63" s="29" t="s">
        <v>164</v>
      </c>
    </row>
    <row r="64" customFormat="false" ht="15" hidden="false" customHeight="false" outlineLevel="0" collapsed="false">
      <c r="A64" s="17" t="s">
        <v>165</v>
      </c>
      <c r="B64" s="12" t="s">
        <v>11</v>
      </c>
      <c r="C64" s="39" t="n">
        <f aca="false">C34*$C$63</f>
        <v>2292</v>
      </c>
      <c r="D64" s="39" t="n">
        <f aca="false">D34*$C$63</f>
        <v>2412</v>
      </c>
      <c r="E64" s="39" t="n">
        <f aca="false">E34*$C$63</f>
        <v>3308</v>
      </c>
      <c r="F64" s="39" t="n">
        <f aca="false">F34*$C$63</f>
        <v>3835.33411764706</v>
      </c>
      <c r="G64" s="39" t="n">
        <f aca="false">G34*$C$63</f>
        <v>4412.76497647059</v>
      </c>
      <c r="H64" s="39" t="n">
        <f aca="false">H34*$C$63</f>
        <v>5165.83815732353</v>
      </c>
      <c r="I64" s="39" t="n">
        <f aca="false">I34*$C$63</f>
        <v>5987.33242039059</v>
      </c>
      <c r="J64" s="39" t="n">
        <f aca="false">J34*$C$63</f>
        <v>6875.22660318715</v>
      </c>
      <c r="K64" s="39" t="n">
        <f aca="false">K34*$C$63</f>
        <v>7982.57693055155</v>
      </c>
      <c r="L64" s="39" t="n">
        <f aca="false">L34*$C$63</f>
        <v>9211.26769339134</v>
      </c>
      <c r="M64" s="39" t="n">
        <f aca="false">M34*$C$63</f>
        <v>10523.4546457135</v>
      </c>
      <c r="N64" s="39" t="n">
        <f aca="false">N34*$C$63</f>
        <v>11911.1237498432</v>
      </c>
    </row>
    <row r="65" customFormat="false" ht="15" hidden="false" customHeight="false" outlineLevel="0" collapsed="false">
      <c r="A65" s="17" t="s">
        <v>166</v>
      </c>
      <c r="B65" s="12" t="s">
        <v>27</v>
      </c>
      <c r="C65" s="18" t="n">
        <f aca="false">C64/C39</f>
        <v>0.236776859504132</v>
      </c>
      <c r="D65" s="18" t="n">
        <f aca="false">D64/D39</f>
        <v>0.225842696629214</v>
      </c>
      <c r="E65" s="18" t="n">
        <f aca="false">E64/E39</f>
        <v>0.233450952717008</v>
      </c>
      <c r="F65" s="18" t="n">
        <f aca="false">F64/F39</f>
        <v>0.235943094882513</v>
      </c>
      <c r="G65" s="18" t="n">
        <f aca="false">G64/G39</f>
        <v>0.238541343922173</v>
      </c>
      <c r="H65" s="18" t="n">
        <f aca="false">H64/H39</f>
        <v>0.243208768923051</v>
      </c>
      <c r="I65" s="18" t="n">
        <f aca="false">I64/I39</f>
        <v>0.247309124734745</v>
      </c>
      <c r="J65" s="18" t="n">
        <f aca="false">J64/J39</f>
        <v>0.250920544515027</v>
      </c>
      <c r="K65" s="18" t="n">
        <f aca="false">K64/K39</f>
        <v>0.255937257575468</v>
      </c>
      <c r="L65" s="18" t="n">
        <f aca="false">L64/L39</f>
        <v>0.260732210889147</v>
      </c>
      <c r="M65" s="18" t="n">
        <f aca="false">M64/M39</f>
        <v>0.264967940391726</v>
      </c>
      <c r="N65" s="18" t="n">
        <f aca="false">N64/N39</f>
        <v>0.268723996500713</v>
      </c>
    </row>
    <row r="66" customFormat="false" ht="15" hidden="false" customHeight="false" outlineLevel="0" collapsed="false">
      <c r="A66" s="40" t="s">
        <v>167</v>
      </c>
    </row>
    <row r="67" customFormat="false" ht="15" hidden="false" customHeight="false" outlineLevel="0" collapsed="false">
      <c r="A67" s="14" t="s">
        <v>168</v>
      </c>
      <c r="B67" s="12" t="s">
        <v>52</v>
      </c>
      <c r="C67" s="28" t="n">
        <v>5</v>
      </c>
      <c r="D67" s="28" t="n">
        <v>6</v>
      </c>
      <c r="E67" s="28" t="n">
        <v>11</v>
      </c>
      <c r="F67" s="24"/>
      <c r="G67" s="24"/>
      <c r="H67" s="24"/>
      <c r="I67" s="24"/>
      <c r="J67" s="24"/>
      <c r="K67" s="24"/>
      <c r="L67" s="24"/>
      <c r="M67" s="24"/>
      <c r="N67" s="24"/>
      <c r="P67" s="29" t="s">
        <v>169</v>
      </c>
    </row>
    <row r="68" customFormat="false" ht="15" hidden="false" customHeight="false" outlineLevel="0" collapsed="false">
      <c r="A68" s="14" t="s">
        <v>170</v>
      </c>
      <c r="B68" s="12" t="s">
        <v>52</v>
      </c>
      <c r="C68" s="28" t="n">
        <v>150</v>
      </c>
      <c r="D68" s="28" t="n">
        <v>160</v>
      </c>
      <c r="E68" s="28" t="n">
        <v>155</v>
      </c>
      <c r="F68" s="24"/>
      <c r="G68" s="24"/>
      <c r="H68" s="24"/>
      <c r="I68" s="24"/>
      <c r="J68" s="24"/>
      <c r="K68" s="24"/>
      <c r="L68" s="24"/>
      <c r="M68" s="24"/>
      <c r="N68" s="24"/>
      <c r="P68" s="29" t="s">
        <v>171</v>
      </c>
    </row>
    <row r="69" customFormat="false" ht="15" hidden="false" customHeight="false" outlineLevel="0" collapsed="false">
      <c r="A69" s="14" t="s">
        <v>172</v>
      </c>
      <c r="B69" s="12" t="s">
        <v>11</v>
      </c>
      <c r="C69" s="41" t="n">
        <f aca="false">C37/(C67+C68)</f>
        <v>25.4838709677419</v>
      </c>
      <c r="D69" s="41" t="n">
        <f aca="false">D37/(D67+D68)</f>
        <v>28.0120481927711</v>
      </c>
      <c r="E69" s="41" t="n">
        <f aca="false">E37/(E67+E68)</f>
        <v>35.5421686746988</v>
      </c>
      <c r="F69" s="41"/>
      <c r="G69" s="41"/>
      <c r="H69" s="41"/>
      <c r="I69" s="41"/>
      <c r="J69" s="41"/>
      <c r="K69" s="41"/>
      <c r="L69" s="41"/>
      <c r="M69" s="41"/>
      <c r="N69" s="41"/>
      <c r="P69" s="29" t="s">
        <v>173</v>
      </c>
    </row>
    <row r="70" customFormat="false" ht="15" hidden="false" customHeight="false" outlineLevel="0" collapsed="false">
      <c r="A70" s="14" t="s">
        <v>174</v>
      </c>
      <c r="B70" s="12" t="s">
        <v>27</v>
      </c>
      <c r="C70" s="37" t="n">
        <v>0.03</v>
      </c>
      <c r="D70" s="37" t="n">
        <v>0.07</v>
      </c>
      <c r="E70" s="37" t="n">
        <v>0.04</v>
      </c>
      <c r="F70" s="15"/>
      <c r="G70" s="15"/>
      <c r="H70" s="15"/>
      <c r="I70" s="15"/>
      <c r="J70" s="15"/>
      <c r="K70" s="15"/>
      <c r="L70" s="15"/>
      <c r="M70" s="15"/>
      <c r="N70" s="15"/>
      <c r="P70" s="29" t="s">
        <v>175</v>
      </c>
    </row>
  </sheetData>
  <mergeCells count="2">
    <mergeCell ref="A1:P1"/>
    <mergeCell ref="A2:P2"/>
  </mergeCells>
  <printOptions headings="false" gridLines="false" gridLinesSet="true" horizontalCentered="true" verticalCentered="false"/>
  <pageMargins left="0.3" right="0.3"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&amp;LSai Life Sciences model - Revenue_Model&amp;R&amp;P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true"/>
  </sheetPr>
  <dimension ref="A1:P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1"/>
    <col collapsed="false" customWidth="true" hidden="false" outlineLevel="0" max="14" min="3" style="0" width="12"/>
    <col collapsed="false" customWidth="true" hidden="false" outlineLevel="0" max="15" min="15" style="0" width="2"/>
    <col collapsed="false" customWidth="true" hidden="false" outlineLevel="0" max="16" min="16" style="0" width="78"/>
  </cols>
  <sheetData>
    <row r="1" customFormat="false" ht="21.75" hidden="false" customHeight="true" outlineLevel="0" collapsed="false">
      <c r="A1" s="1" t="s">
        <v>176</v>
      </c>
      <c r="B1" s="1"/>
      <c r="C1" s="1"/>
      <c r="D1" s="1"/>
      <c r="E1" s="1"/>
      <c r="F1" s="1"/>
      <c r="G1" s="1"/>
      <c r="H1" s="1"/>
      <c r="I1" s="1"/>
      <c r="J1" s="1"/>
      <c r="K1" s="1"/>
      <c r="L1" s="1"/>
      <c r="M1" s="1"/>
      <c r="N1" s="1"/>
      <c r="O1" s="1"/>
      <c r="P1" s="1"/>
    </row>
    <row r="2" customFormat="false" ht="15" hidden="false" customHeight="false" outlineLevel="0" collapsed="false">
      <c r="A2" s="2" t="s">
        <v>177</v>
      </c>
      <c r="B2" s="2"/>
      <c r="C2" s="2"/>
      <c r="D2" s="2"/>
      <c r="E2" s="2"/>
      <c r="F2" s="2"/>
      <c r="G2" s="2"/>
      <c r="H2" s="2"/>
      <c r="I2" s="2"/>
      <c r="J2" s="2"/>
      <c r="K2" s="2"/>
      <c r="L2" s="2"/>
      <c r="M2" s="2"/>
      <c r="N2" s="2"/>
      <c r="O2" s="2"/>
      <c r="P2" s="2"/>
    </row>
    <row r="3" customFormat="false" ht="15" hidden="false" customHeight="false" outlineLevel="0" collapsed="false">
      <c r="A3" s="6"/>
      <c r="B3" s="7" t="s">
        <v>11</v>
      </c>
      <c r="C3" s="8" t="s">
        <v>12</v>
      </c>
      <c r="D3" s="8" t="s">
        <v>13</v>
      </c>
      <c r="E3" s="8" t="s">
        <v>14</v>
      </c>
      <c r="F3" s="9" t="s">
        <v>15</v>
      </c>
      <c r="G3" s="9" t="s">
        <v>16</v>
      </c>
      <c r="H3" s="9" t="s">
        <v>17</v>
      </c>
      <c r="I3" s="9" t="s">
        <v>18</v>
      </c>
      <c r="J3" s="9" t="s">
        <v>19</v>
      </c>
      <c r="K3" s="9" t="s">
        <v>20</v>
      </c>
      <c r="L3" s="9" t="s">
        <v>21</v>
      </c>
      <c r="M3" s="9" t="s">
        <v>22</v>
      </c>
      <c r="N3" s="9" t="s">
        <v>23</v>
      </c>
      <c r="O3" s="6"/>
      <c r="P3" s="10" t="s">
        <v>24</v>
      </c>
    </row>
    <row r="5" customFormat="false" ht="15" hidden="false" customHeight="false" outlineLevel="0" collapsed="false">
      <c r="A5" s="3" t="s">
        <v>178</v>
      </c>
      <c r="B5" s="4"/>
      <c r="C5" s="4"/>
      <c r="D5" s="4"/>
      <c r="E5" s="4"/>
      <c r="F5" s="4"/>
      <c r="G5" s="4"/>
      <c r="H5" s="4"/>
      <c r="I5" s="4"/>
      <c r="J5" s="4"/>
      <c r="K5" s="4"/>
      <c r="L5" s="4"/>
      <c r="M5" s="4"/>
      <c r="N5" s="4"/>
      <c r="O5" s="4"/>
      <c r="P5" s="4"/>
    </row>
    <row r="6" customFormat="false" ht="15" hidden="false" customHeight="false" outlineLevel="0" collapsed="false">
      <c r="A6" s="11" t="s">
        <v>25</v>
      </c>
      <c r="B6" s="12" t="s">
        <v>11</v>
      </c>
      <c r="C6" s="13" t="n">
        <f aca="false">Schedules!C6</f>
        <v>14651.78</v>
      </c>
      <c r="D6" s="13" t="n">
        <f aca="false">Schedules!D6</f>
        <v>16945.7</v>
      </c>
      <c r="E6" s="13" t="n">
        <f aca="false">Schedules!E6</f>
        <v>21924.92</v>
      </c>
      <c r="F6" s="13" t="n">
        <f aca="false">Schedules!F6</f>
        <v>25155.9417297612</v>
      </c>
      <c r="G6" s="13" t="n">
        <f aca="false">Schedules!G6</f>
        <v>28557.4395698893</v>
      </c>
      <c r="H6" s="13" t="n">
        <f aca="false">Schedules!H6</f>
        <v>32501.7450725167</v>
      </c>
      <c r="I6" s="13" t="n">
        <f aca="false">Schedules!I6</f>
        <v>36659.5309948973</v>
      </c>
      <c r="J6" s="13" t="n">
        <f aca="false">Schedules!J6</f>
        <v>41035.7642154597</v>
      </c>
      <c r="K6" s="13" t="n">
        <f aca="false">Schedules!K6</f>
        <v>46005.2774229021</v>
      </c>
      <c r="L6" s="13" t="n">
        <f aca="false">Schedules!L6</f>
        <v>51236.2092208751</v>
      </c>
      <c r="M6" s="13" t="n">
        <f aca="false">Schedules!M6</f>
        <v>56689.4762750951</v>
      </c>
      <c r="N6" s="13" t="n">
        <f aca="false">Schedules!N6</f>
        <v>62332.8476193342</v>
      </c>
    </row>
    <row r="7" customFormat="false" ht="15" hidden="false" customHeight="false" outlineLevel="0" collapsed="false">
      <c r="A7" s="14" t="s">
        <v>179</v>
      </c>
      <c r="B7" s="12" t="s">
        <v>11</v>
      </c>
      <c r="C7" s="16" t="n">
        <f aca="false">-Schedules!C19</f>
        <v>-4457.3</v>
      </c>
      <c r="D7" s="16" t="n">
        <f aca="false">-Schedules!D19</f>
        <v>-4657.64</v>
      </c>
      <c r="E7" s="16" t="n">
        <f aca="false">-Schedules!E19</f>
        <v>-5708.92</v>
      </c>
      <c r="F7" s="16" t="n">
        <f aca="false">-Schedules!F19</f>
        <v>-6726.52257367502</v>
      </c>
      <c r="G7" s="16" t="n">
        <f aca="false">-Schedules!G19</f>
        <v>-7556.79661132644</v>
      </c>
      <c r="H7" s="16" t="n">
        <f aca="false">-Schedules!H19</f>
        <v>-8547.43620392781</v>
      </c>
      <c r="I7" s="16" t="n">
        <f aca="false">-Schedules!I19</f>
        <v>-9663.11832333124</v>
      </c>
      <c r="J7" s="16" t="n">
        <f aca="false">-Schedules!J19</f>
        <v>-10845.2651888748</v>
      </c>
      <c r="K7" s="16" t="n">
        <f aca="false">-Schedules!K19</f>
        <v>-12257.5581555801</v>
      </c>
      <c r="L7" s="16" t="n">
        <f aca="false">-Schedules!L19</f>
        <v>-13778.8949986531</v>
      </c>
      <c r="M7" s="16" t="n">
        <f aca="false">-Schedules!M19</f>
        <v>-15377.6136610935</v>
      </c>
      <c r="N7" s="16" t="n">
        <f aca="false">-Schedules!N19</f>
        <v>-17042.9595928855</v>
      </c>
    </row>
    <row r="8" customFormat="false" ht="15" hidden="false" customHeight="false" outlineLevel="0" collapsed="false">
      <c r="A8" s="46" t="s">
        <v>180</v>
      </c>
      <c r="B8" s="31" t="s">
        <v>11</v>
      </c>
      <c r="C8" s="47" t="n">
        <f aca="false">C6+C7</f>
        <v>10194.48</v>
      </c>
      <c r="D8" s="47" t="n">
        <f aca="false">D6+D7</f>
        <v>12288.06</v>
      </c>
      <c r="E8" s="47" t="n">
        <f aca="false">E6+E7</f>
        <v>16216</v>
      </c>
      <c r="F8" s="47" t="n">
        <f aca="false">F6+F7</f>
        <v>18429.4191560862</v>
      </c>
      <c r="G8" s="47" t="n">
        <f aca="false">G6+G7</f>
        <v>21000.6429585629</v>
      </c>
      <c r="H8" s="47" t="n">
        <f aca="false">H6+H7</f>
        <v>23954.3088685889</v>
      </c>
      <c r="I8" s="47" t="n">
        <f aca="false">I6+I7</f>
        <v>26996.412671566</v>
      </c>
      <c r="J8" s="47" t="n">
        <f aca="false">J6+J7</f>
        <v>30190.499026585</v>
      </c>
      <c r="K8" s="47" t="n">
        <f aca="false">K6+K7</f>
        <v>33747.7192673221</v>
      </c>
      <c r="L8" s="47" t="n">
        <f aca="false">L6+L7</f>
        <v>37457.3142222219</v>
      </c>
      <c r="M8" s="47" t="n">
        <f aca="false">M6+M7</f>
        <v>41311.8626140016</v>
      </c>
      <c r="N8" s="47" t="n">
        <f aca="false">N6+N7</f>
        <v>45289.8880264487</v>
      </c>
    </row>
    <row r="9" customFormat="false" ht="15" hidden="false" customHeight="false" outlineLevel="0" collapsed="false">
      <c r="A9" s="17" t="s">
        <v>32</v>
      </c>
      <c r="B9" s="12" t="s">
        <v>27</v>
      </c>
      <c r="C9" s="18" t="n">
        <f aca="false">C8/C6</f>
        <v>0.695784402987214</v>
      </c>
      <c r="D9" s="18" t="n">
        <f aca="false">D8/D6</f>
        <v>0.725143251680367</v>
      </c>
      <c r="E9" s="18" t="n">
        <f aca="false">E8/E6</f>
        <v>0.739615013418521</v>
      </c>
      <c r="F9" s="18" t="n">
        <f aca="false">F8/F6</f>
        <v>0.732607006092836</v>
      </c>
      <c r="G9" s="18" t="n">
        <f aca="false">G8/G6</f>
        <v>0.735382557920415</v>
      </c>
      <c r="H9" s="18" t="n">
        <f aca="false">H8/H6</f>
        <v>0.737016083756208</v>
      </c>
      <c r="I9" s="18" t="n">
        <f aca="false">I8/I6</f>
        <v>0.736409112143953</v>
      </c>
      <c r="J9" s="18" t="n">
        <f aca="false">J8/J6</f>
        <v>0.735711874843336</v>
      </c>
      <c r="K9" s="18" t="n">
        <f aca="false">K8/K6</f>
        <v>0.733561911975819</v>
      </c>
      <c r="L9" s="18" t="n">
        <f aca="false">L8/L6</f>
        <v>0.731071146593741</v>
      </c>
      <c r="M9" s="18" t="n">
        <f aca="false">M8/M6</f>
        <v>0.728739535597912</v>
      </c>
      <c r="N9" s="18" t="n">
        <f aca="false">N8/N6</f>
        <v>0.726581405409767</v>
      </c>
    </row>
    <row r="10" customFormat="false" ht="15" hidden="false" customHeight="false" outlineLevel="0" collapsed="false">
      <c r="A10" s="14" t="s">
        <v>181</v>
      </c>
      <c r="B10" s="12" t="s">
        <v>11</v>
      </c>
      <c r="C10" s="16" t="n">
        <f aca="false">-Schedules!C27</f>
        <v>-4949.05</v>
      </c>
      <c r="D10" s="16" t="n">
        <f aca="false">-Schedules!D27</f>
        <v>-5491.18</v>
      </c>
      <c r="E10" s="16" t="n">
        <f aca="false">-Schedules!E27</f>
        <v>-6830.55</v>
      </c>
      <c r="F10" s="16" t="n">
        <f aca="false">-Schedules!F27</f>
        <v>-7961.18577631579</v>
      </c>
      <c r="G10" s="16" t="n">
        <f aca="false">-Schedules!G27</f>
        <v>-9155.8274011579</v>
      </c>
      <c r="H10" s="16" t="n">
        <f aca="false">-Schedules!H27</f>
        <v>-10417.3429865211</v>
      </c>
      <c r="I10" s="16" t="n">
        <f aca="false">-Schedules!I27</f>
        <v>-11741.187799072</v>
      </c>
      <c r="J10" s="16" t="n">
        <f aca="false">-Schedules!J27</f>
        <v>-13109.4149256574</v>
      </c>
      <c r="K10" s="16" t="n">
        <f aca="false">-Schedules!K27</f>
        <v>-14511.2147478232</v>
      </c>
      <c r="L10" s="16" t="n">
        <f aca="false">-Schedules!L27</f>
        <v>-15949.4849623123</v>
      </c>
      <c r="M10" s="16" t="n">
        <f aca="false">-Schedules!M27</f>
        <v>-17415.0212673902</v>
      </c>
      <c r="N10" s="16" t="n">
        <f aca="false">-Schedules!N27</f>
        <v>-18879.6846077752</v>
      </c>
    </row>
    <row r="11" customFormat="false" ht="15" hidden="false" customHeight="false" outlineLevel="0" collapsed="false">
      <c r="A11" s="14" t="s">
        <v>182</v>
      </c>
      <c r="B11" s="12" t="s">
        <v>11</v>
      </c>
      <c r="C11" s="16" t="n">
        <f aca="false">-Schedules!C40</f>
        <v>-2390.54</v>
      </c>
      <c r="D11" s="16" t="n">
        <f aca="false">-Schedules!D40</f>
        <v>-2740.27</v>
      </c>
      <c r="E11" s="16" t="n">
        <f aca="false">-Schedules!E40</f>
        <v>-3073.86</v>
      </c>
      <c r="F11" s="16" t="n">
        <f aca="false">-Schedules!F40</f>
        <v>-3936.02506021141</v>
      </c>
      <c r="G11" s="16" t="n">
        <f aca="false">-Schedules!G40</f>
        <v>-4575.44510571322</v>
      </c>
      <c r="H11" s="16" t="n">
        <f aca="false">-Schedules!H40</f>
        <v>-5224.56701158712</v>
      </c>
      <c r="I11" s="16" t="n">
        <f aca="false">-Schedules!I40</f>
        <v>-5862.41497309091</v>
      </c>
      <c r="J11" s="16" t="n">
        <f aca="false">-Schedules!J40</f>
        <v>-6548.27118623773</v>
      </c>
      <c r="K11" s="16" t="n">
        <f aca="false">-Schedules!K40</f>
        <v>-7322.22688848207</v>
      </c>
      <c r="L11" s="16" t="n">
        <f aca="false">-Schedules!L40</f>
        <v>-8196.75878596669</v>
      </c>
      <c r="M11" s="16" t="n">
        <f aca="false">-Schedules!M40</f>
        <v>-9105.62383836042</v>
      </c>
      <c r="N11" s="16" t="n">
        <f aca="false">-Schedules!N40</f>
        <v>-9987.38617797527</v>
      </c>
    </row>
    <row r="12" customFormat="false" ht="15" hidden="false" customHeight="false" outlineLevel="0" collapsed="false">
      <c r="A12" s="14" t="s">
        <v>183</v>
      </c>
      <c r="B12" s="12" t="s">
        <v>11</v>
      </c>
      <c r="C12" s="16" t="n">
        <f aca="false">Schedules!C44</f>
        <v>146.26</v>
      </c>
      <c r="D12" s="16" t="n">
        <f aca="false">Schedules!D44</f>
        <v>190.76</v>
      </c>
      <c r="E12" s="16" t="n">
        <f aca="false">Schedules!E44</f>
        <v>300.18</v>
      </c>
      <c r="F12" s="16" t="n">
        <f aca="false">Schedules!F44</f>
        <v>201.24753383809</v>
      </c>
      <c r="G12" s="16" t="n">
        <f aca="false">Schedules!G44</f>
        <v>228.459516559115</v>
      </c>
      <c r="H12" s="16" t="n">
        <f aca="false">Schedules!H44</f>
        <v>260.013960580134</v>
      </c>
      <c r="I12" s="16" t="n">
        <f aca="false">Schedules!I44</f>
        <v>293.276247959178</v>
      </c>
      <c r="J12" s="16" t="n">
        <f aca="false">Schedules!J44</f>
        <v>328.286113723678</v>
      </c>
      <c r="K12" s="16" t="n">
        <f aca="false">Schedules!K44</f>
        <v>368.042219383217</v>
      </c>
      <c r="L12" s="16" t="n">
        <f aca="false">Schedules!L44</f>
        <v>409.889673767001</v>
      </c>
      <c r="M12" s="16" t="n">
        <f aca="false">Schedules!M44</f>
        <v>453.515810200761</v>
      </c>
      <c r="N12" s="16" t="n">
        <f aca="false">Schedules!N44</f>
        <v>498.662780954674</v>
      </c>
    </row>
    <row r="13" customFormat="false" ht="15" hidden="false" customHeight="false" outlineLevel="0" collapsed="false">
      <c r="A13" s="30" t="s">
        <v>33</v>
      </c>
      <c r="B13" s="31" t="s">
        <v>11</v>
      </c>
      <c r="C13" s="33" t="n">
        <f aca="false">C8+C10+C11+C12</f>
        <v>3001.15</v>
      </c>
      <c r="D13" s="33" t="n">
        <f aca="false">D8+D10+D11+D12</f>
        <v>4247.37</v>
      </c>
      <c r="E13" s="33" t="n">
        <f aca="false">E8+E10+E11+E12</f>
        <v>6611.77</v>
      </c>
      <c r="F13" s="33" t="n">
        <f aca="false">F8+F10+F11+F12</f>
        <v>6733.45585339709</v>
      </c>
      <c r="G13" s="33" t="n">
        <f aca="false">G8+G10+G11+G12</f>
        <v>7497.8299682509</v>
      </c>
      <c r="H13" s="33" t="n">
        <f aca="false">H8+H10+H11+H12</f>
        <v>8572.4128310609</v>
      </c>
      <c r="I13" s="33" t="n">
        <f aca="false">I8+I10+I11+I12</f>
        <v>9686.08614736232</v>
      </c>
      <c r="J13" s="33" t="n">
        <f aca="false">J8+J10+J11+J12</f>
        <v>10861.0990284135</v>
      </c>
      <c r="K13" s="33" t="n">
        <f aca="false">K8+K10+K11+K12</f>
        <v>12282.3198504</v>
      </c>
      <c r="L13" s="33" t="n">
        <f aca="false">L8+L10+L11+L12</f>
        <v>13720.9601477099</v>
      </c>
      <c r="M13" s="33" t="n">
        <f aca="false">M8+M10+M11+M12</f>
        <v>15244.7333184517</v>
      </c>
      <c r="N13" s="33" t="n">
        <f aca="false">N8+N10+N11+N12</f>
        <v>16921.4800216529</v>
      </c>
    </row>
    <row r="14" customFormat="false" ht="15" hidden="false" customHeight="false" outlineLevel="0" collapsed="false">
      <c r="A14" s="17" t="s">
        <v>34</v>
      </c>
      <c r="B14" s="12" t="s">
        <v>27</v>
      </c>
      <c r="C14" s="18" t="n">
        <f aca="false">C13/C6</f>
        <v>0.204831767880763</v>
      </c>
      <c r="D14" s="18" t="n">
        <f aca="false">D13/D6</f>
        <v>0.250645886567094</v>
      </c>
      <c r="E14" s="18" t="n">
        <f aca="false">E13/E6</f>
        <v>0.30156415622041</v>
      </c>
      <c r="F14" s="18" t="n">
        <f aca="false">F13/F6</f>
        <v>0.267668605919489</v>
      </c>
      <c r="G14" s="18" t="n">
        <f aca="false">G13/G6</f>
        <v>0.262552598593487</v>
      </c>
      <c r="H14" s="18" t="n">
        <f aca="false">H13/H6</f>
        <v>0.263752386585226</v>
      </c>
      <c r="I14" s="18" t="n">
        <f aca="false">I13/I6</f>
        <v>0.26421740498291</v>
      </c>
      <c r="J14" s="18" t="n">
        <f aca="false">J13/J6</f>
        <v>0.26467397978473</v>
      </c>
      <c r="K14" s="18" t="n">
        <f aca="false">K13/K6</f>
        <v>0.266976323987684</v>
      </c>
      <c r="L14" s="18" t="n">
        <f aca="false">L13/L6</f>
        <v>0.267798113021204</v>
      </c>
      <c r="M14" s="18" t="n">
        <f aca="false">M13/M6</f>
        <v>0.268916460693236</v>
      </c>
      <c r="N14" s="18" t="n">
        <f aca="false">N13/N6</f>
        <v>0.271469709277396</v>
      </c>
    </row>
    <row r="15" customFormat="false" ht="15" hidden="false" customHeight="false" outlineLevel="0" collapsed="false">
      <c r="A15" s="14" t="s">
        <v>184</v>
      </c>
      <c r="B15" s="12" t="s">
        <v>11</v>
      </c>
      <c r="C15" s="16" t="n">
        <f aca="false">-Schedules!C88</f>
        <v>-1194.36</v>
      </c>
      <c r="D15" s="16" t="n">
        <f aca="false">-Schedules!D88</f>
        <v>-1385.73</v>
      </c>
      <c r="E15" s="16" t="n">
        <f aca="false">-Schedules!E88</f>
        <v>-1668.55</v>
      </c>
      <c r="F15" s="16" t="n">
        <f aca="false">-Schedules!F88</f>
        <v>-2411.249715</v>
      </c>
      <c r="G15" s="16" t="n">
        <f aca="false">-Schedules!G88</f>
        <v>-3175.50133291534</v>
      </c>
      <c r="H15" s="16" t="n">
        <f aca="false">-Schedules!H88</f>
        <v>-3768.30029754888</v>
      </c>
      <c r="I15" s="16" t="n">
        <f aca="false">-Schedules!I88</f>
        <v>-4170.28805336654</v>
      </c>
      <c r="J15" s="16" t="n">
        <f aca="false">-Schedules!J88</f>
        <v>-4514.09581917104</v>
      </c>
      <c r="K15" s="16" t="n">
        <f aca="false">-Schedules!K88</f>
        <v>-4817.07000465376</v>
      </c>
      <c r="L15" s="16" t="n">
        <f aca="false">-Schedules!L88</f>
        <v>-5127.52630567989</v>
      </c>
      <c r="M15" s="16" t="n">
        <f aca="false">-Schedules!M88</f>
        <v>-5442.7952684806</v>
      </c>
      <c r="N15" s="16" t="n">
        <f aca="false">-Schedules!N88</f>
        <v>-5726.11583646697</v>
      </c>
    </row>
    <row r="16" customFormat="false" ht="15" hidden="false" customHeight="false" outlineLevel="0" collapsed="false">
      <c r="A16" s="30" t="s">
        <v>185</v>
      </c>
      <c r="B16" s="31" t="s">
        <v>11</v>
      </c>
      <c r="C16" s="33" t="n">
        <f aca="false">C13+C15</f>
        <v>1806.79</v>
      </c>
      <c r="D16" s="33" t="n">
        <f aca="false">D13+D15</f>
        <v>2861.64</v>
      </c>
      <c r="E16" s="33" t="n">
        <f aca="false">E13+E15</f>
        <v>4943.22</v>
      </c>
      <c r="F16" s="33" t="n">
        <f aca="false">F13+F15</f>
        <v>4322.20613839709</v>
      </c>
      <c r="G16" s="33" t="n">
        <f aca="false">G13+G15</f>
        <v>4322.32863533557</v>
      </c>
      <c r="H16" s="33" t="n">
        <f aca="false">H13+H15</f>
        <v>4804.11253351202</v>
      </c>
      <c r="I16" s="33" t="n">
        <f aca="false">I13+I15</f>
        <v>5515.79809399578</v>
      </c>
      <c r="J16" s="33" t="n">
        <f aca="false">J13+J15</f>
        <v>6347.0032092425</v>
      </c>
      <c r="K16" s="33" t="n">
        <f aca="false">K13+K15</f>
        <v>7465.24984574622</v>
      </c>
      <c r="L16" s="33" t="n">
        <f aca="false">L13+L15</f>
        <v>8593.43384203005</v>
      </c>
      <c r="M16" s="33" t="n">
        <f aca="false">M13+M15</f>
        <v>9801.93804997113</v>
      </c>
      <c r="N16" s="33" t="n">
        <f aca="false">N13+N15</f>
        <v>11195.3641851859</v>
      </c>
    </row>
    <row r="17" customFormat="false" ht="15" hidden="false" customHeight="false" outlineLevel="0" collapsed="false">
      <c r="A17" s="17" t="s">
        <v>186</v>
      </c>
      <c r="B17" s="12" t="s">
        <v>27</v>
      </c>
      <c r="C17" s="18" t="n">
        <f aca="false">C16/C6</f>
        <v>0.123315392396009</v>
      </c>
      <c r="D17" s="18" t="n">
        <f aca="false">D16/D6</f>
        <v>0.1688711590551</v>
      </c>
      <c r="E17" s="18" t="n">
        <f aca="false">E16/E6</f>
        <v>0.225461255958973</v>
      </c>
      <c r="F17" s="18" t="n">
        <f aca="false">F16/F6</f>
        <v>0.17181651097894</v>
      </c>
      <c r="G17" s="18" t="n">
        <f aca="false">G16/G6</f>
        <v>0.151355608221018</v>
      </c>
      <c r="H17" s="18" t="n">
        <f aca="false">H16/H6</f>
        <v>0.147810910546288</v>
      </c>
      <c r="I17" s="18" t="n">
        <f aca="false">I16/I6</f>
        <v>0.150460138040597</v>
      </c>
      <c r="J17" s="18" t="n">
        <f aca="false">J16/J6</f>
        <v>0.154670037967791</v>
      </c>
      <c r="K17" s="18" t="n">
        <f aca="false">K16/K6</f>
        <v>0.162269423508137</v>
      </c>
      <c r="L17" s="18" t="n">
        <f aca="false">L16/L6</f>
        <v>0.167721889903768</v>
      </c>
      <c r="M17" s="18" t="n">
        <f aca="false">M16/M6</f>
        <v>0.17290577888576</v>
      </c>
      <c r="N17" s="18" t="n">
        <f aca="false">N16/N6</f>
        <v>0.179606172552164</v>
      </c>
    </row>
    <row r="18" customFormat="false" ht="15" hidden="false" customHeight="false" outlineLevel="0" collapsed="false">
      <c r="A18" s="14" t="s">
        <v>187</v>
      </c>
      <c r="B18" s="12" t="s">
        <v>11</v>
      </c>
      <c r="C18" s="16" t="n">
        <f aca="false">Schedules!C136</f>
        <v>144.65</v>
      </c>
      <c r="D18" s="16" t="n">
        <f aca="false">Schedules!D136</f>
        <v>177.03</v>
      </c>
      <c r="E18" s="16" t="n">
        <f aca="false">Schedules!E136</f>
        <v>191.1</v>
      </c>
      <c r="F18" s="16" t="n">
        <f aca="false">Schedules!F136</f>
        <v>78.9315</v>
      </c>
      <c r="G18" s="16" t="n">
        <f aca="false">Schedules!G136</f>
        <v>83.8961230270821</v>
      </c>
      <c r="H18" s="16" t="n">
        <f aca="false">Schedules!H136</f>
        <v>91.8424054973064</v>
      </c>
      <c r="I18" s="16" t="n">
        <f aca="false">Schedules!I136</f>
        <v>100.838284439404</v>
      </c>
      <c r="J18" s="16" t="n">
        <f aca="false">Schedules!J136</f>
        <v>110.312421331695</v>
      </c>
      <c r="K18" s="16" t="n">
        <f aca="false">Schedules!K136</f>
        <v>120.278741572211</v>
      </c>
      <c r="L18" s="16" t="n">
        <f aca="false">Schedules!L136</f>
        <v>131.398697394993</v>
      </c>
      <c r="M18" s="16" t="n">
        <f aca="false">Schedules!M136</f>
        <v>143.097301136691</v>
      </c>
      <c r="N18" s="16" t="n">
        <f aca="false">Schedules!N136</f>
        <v>155.312215231584</v>
      </c>
    </row>
    <row r="19" customFormat="false" ht="15" hidden="false" customHeight="false" outlineLevel="0" collapsed="false">
      <c r="A19" s="14" t="s">
        <v>188</v>
      </c>
      <c r="B19" s="12" t="s">
        <v>11</v>
      </c>
      <c r="C19" s="16" t="n">
        <f aca="false">-Schedules!C131</f>
        <v>-859.1</v>
      </c>
      <c r="D19" s="16" t="n">
        <f aca="false">-Schedules!D131</f>
        <v>-761.64</v>
      </c>
      <c r="E19" s="16" t="n">
        <f aca="false">-Schedules!E131</f>
        <v>-392.39</v>
      </c>
      <c r="F19" s="16" t="n">
        <f aca="false">-Schedules!F131</f>
        <v>-293.51595</v>
      </c>
      <c r="G19" s="16" t="n">
        <f aca="false">-Schedules!G131</f>
        <v>-859.895873565042</v>
      </c>
      <c r="H19" s="16" t="n">
        <f aca="false">-Schedules!H131</f>
        <v>-1259.68465862971</v>
      </c>
      <c r="I19" s="16" t="n">
        <f aca="false">-Schedules!I131</f>
        <v>-1448.34581080858</v>
      </c>
      <c r="J19" s="16" t="n">
        <f aca="false">-Schedules!J131</f>
        <v>-1586.98657215151</v>
      </c>
      <c r="K19" s="16" t="n">
        <f aca="false">-Schedules!K131</f>
        <v>-1634.49149240524</v>
      </c>
      <c r="L19" s="16" t="n">
        <f aca="false">-Schedules!L131</f>
        <v>-1605.30612774143</v>
      </c>
      <c r="M19" s="16" t="n">
        <f aca="false">-Schedules!M131</f>
        <v>-1553.16266875668</v>
      </c>
      <c r="N19" s="16" t="n">
        <f aca="false">-Schedules!N131</f>
        <v>-1387.74615940823</v>
      </c>
    </row>
    <row r="20" customFormat="false" ht="15" hidden="false" customHeight="false" outlineLevel="0" collapsed="false">
      <c r="A20" s="30" t="s">
        <v>189</v>
      </c>
      <c r="B20" s="31" t="s">
        <v>11</v>
      </c>
      <c r="C20" s="33" t="n">
        <f aca="false">C16+C18+C19</f>
        <v>1092.34</v>
      </c>
      <c r="D20" s="33" t="n">
        <f aca="false">D16+D18+D19</f>
        <v>2277.03</v>
      </c>
      <c r="E20" s="33" t="n">
        <f aca="false">E16+E18+E19</f>
        <v>4741.93</v>
      </c>
      <c r="F20" s="33" t="n">
        <f aca="false">F16+F18+F19</f>
        <v>4107.62168839709</v>
      </c>
      <c r="G20" s="33" t="n">
        <f aca="false">G16+G18+G19</f>
        <v>3546.32888479761</v>
      </c>
      <c r="H20" s="33" t="n">
        <f aca="false">H16+H18+H19</f>
        <v>3636.27028037961</v>
      </c>
      <c r="I20" s="33" t="n">
        <f aca="false">I16+I18+I19</f>
        <v>4168.29056762661</v>
      </c>
      <c r="J20" s="33" t="n">
        <f aca="false">J16+J18+J19</f>
        <v>4870.32905842268</v>
      </c>
      <c r="K20" s="33" t="n">
        <f aca="false">K16+K18+K19</f>
        <v>5951.03709491319</v>
      </c>
      <c r="L20" s="33" t="n">
        <f aca="false">L16+L18+L19</f>
        <v>7119.52641168362</v>
      </c>
      <c r="M20" s="33" t="n">
        <f aca="false">M16+M18+M19</f>
        <v>8391.87268235114</v>
      </c>
      <c r="N20" s="33" t="n">
        <f aca="false">N16+N18+N19</f>
        <v>9962.93024100924</v>
      </c>
    </row>
    <row r="21" customFormat="false" ht="15" hidden="false" customHeight="false" outlineLevel="0" collapsed="false">
      <c r="A21" s="14" t="s">
        <v>190</v>
      </c>
      <c r="B21" s="12" t="s">
        <v>11</v>
      </c>
      <c r="C21" s="16" t="n">
        <f aca="false">Schedules!C142</f>
        <v>0</v>
      </c>
      <c r="D21" s="16" t="n">
        <f aca="false">Schedules!D142</f>
        <v>0</v>
      </c>
      <c r="E21" s="16" t="n">
        <f aca="false">Schedules!E142</f>
        <v>-80.01</v>
      </c>
      <c r="F21" s="16" t="n">
        <f aca="false">Schedules!F142</f>
        <v>0</v>
      </c>
      <c r="G21" s="16" t="n">
        <f aca="false">Schedules!G142</f>
        <v>0</v>
      </c>
      <c r="H21" s="16" t="n">
        <f aca="false">Schedules!H142</f>
        <v>0</v>
      </c>
      <c r="I21" s="16" t="n">
        <f aca="false">Schedules!I142</f>
        <v>0</v>
      </c>
      <c r="J21" s="16" t="n">
        <f aca="false">Schedules!J142</f>
        <v>0</v>
      </c>
      <c r="K21" s="16" t="n">
        <f aca="false">Schedules!K142</f>
        <v>0</v>
      </c>
      <c r="L21" s="16" t="n">
        <f aca="false">Schedules!L142</f>
        <v>0</v>
      </c>
      <c r="M21" s="16" t="n">
        <f aca="false">Schedules!M142</f>
        <v>0</v>
      </c>
      <c r="N21" s="16" t="n">
        <f aca="false">Schedules!N142</f>
        <v>0</v>
      </c>
    </row>
    <row r="22" customFormat="false" ht="15" hidden="false" customHeight="false" outlineLevel="0" collapsed="false">
      <c r="A22" s="11" t="s">
        <v>191</v>
      </c>
      <c r="B22" s="12" t="s">
        <v>11</v>
      </c>
      <c r="C22" s="36" t="n">
        <f aca="false">C20+C21</f>
        <v>1092.34</v>
      </c>
      <c r="D22" s="36" t="n">
        <f aca="false">D20+D21</f>
        <v>2277.03</v>
      </c>
      <c r="E22" s="36" t="n">
        <f aca="false">E20+E21</f>
        <v>4661.92</v>
      </c>
      <c r="F22" s="36" t="n">
        <f aca="false">F20+F21</f>
        <v>4107.62168839709</v>
      </c>
      <c r="G22" s="36" t="n">
        <f aca="false">G20+G21</f>
        <v>3546.32888479761</v>
      </c>
      <c r="H22" s="36" t="n">
        <f aca="false">H20+H21</f>
        <v>3636.27028037961</v>
      </c>
      <c r="I22" s="36" t="n">
        <f aca="false">I20+I21</f>
        <v>4168.29056762661</v>
      </c>
      <c r="J22" s="36" t="n">
        <f aca="false">J20+J21</f>
        <v>4870.32905842268</v>
      </c>
      <c r="K22" s="36" t="n">
        <f aca="false">K20+K21</f>
        <v>5951.03709491319</v>
      </c>
      <c r="L22" s="36" t="n">
        <f aca="false">L20+L21</f>
        <v>7119.52641168362</v>
      </c>
      <c r="M22" s="36" t="n">
        <f aca="false">M20+M21</f>
        <v>8391.87268235114</v>
      </c>
      <c r="N22" s="36" t="n">
        <f aca="false">N20+N21</f>
        <v>9962.93024100924</v>
      </c>
    </row>
    <row r="23" customFormat="false" ht="15" hidden="false" customHeight="false" outlineLevel="0" collapsed="false">
      <c r="A23" s="14" t="s">
        <v>192</v>
      </c>
      <c r="B23" s="12" t="s">
        <v>11</v>
      </c>
      <c r="C23" s="16" t="n">
        <f aca="false">-Schedules!C150</f>
        <v>-77.57</v>
      </c>
      <c r="D23" s="16" t="n">
        <f aca="false">-Schedules!D150</f>
        <v>-338.44</v>
      </c>
      <c r="E23" s="16" t="n">
        <f aca="false">-Schedules!E150</f>
        <v>-884.02</v>
      </c>
      <c r="F23" s="16" t="n">
        <f aca="false">-Schedules!F150</f>
        <v>-817.005953822181</v>
      </c>
      <c r="G23" s="16" t="n">
        <f aca="false">-Schedules!G150</f>
        <v>-723.451092498712</v>
      </c>
      <c r="H23" s="16" t="n">
        <f aca="false">-Schedules!H150</f>
        <v>-760.344115627377</v>
      </c>
      <c r="I23" s="16" t="n">
        <f aca="false">-Schedules!I150</f>
        <v>-892.84783958562</v>
      </c>
      <c r="J23" s="16" t="n">
        <f aca="false">-Schedules!J150</f>
        <v>-1068.06316251209</v>
      </c>
      <c r="K23" s="16" t="n">
        <f aca="false">-Schedules!K150</f>
        <v>-1335.41272409852</v>
      </c>
      <c r="L23" s="16" t="n">
        <f aca="false">-Schedules!L150</f>
        <v>-1597.6217267818</v>
      </c>
      <c r="M23" s="16" t="n">
        <f aca="false">-Schedules!M150</f>
        <v>-1925.93478059959</v>
      </c>
      <c r="N23" s="16" t="n">
        <f aca="false">-Schedules!N150</f>
        <v>-2286.49249031162</v>
      </c>
    </row>
    <row r="24" customFormat="false" ht="15" hidden="false" customHeight="false" outlineLevel="0" collapsed="false">
      <c r="A24" s="14" t="s">
        <v>193</v>
      </c>
      <c r="B24" s="12" t="s">
        <v>11</v>
      </c>
      <c r="C24" s="16" t="n">
        <f aca="false">-Schedules!C149</f>
        <v>-186.68</v>
      </c>
      <c r="D24" s="16" t="n">
        <f aca="false">-Schedules!D149</f>
        <v>-237.27</v>
      </c>
      <c r="E24" s="16" t="n">
        <f aca="false">-Schedules!E149</f>
        <v>-288.8</v>
      </c>
      <c r="F24" s="16" t="n">
        <f aca="false">-Schedules!F149</f>
        <v>-230.437576719077</v>
      </c>
      <c r="G24" s="16" t="n">
        <f aca="false">-Schedules!G149</f>
        <v>-180.862773124678</v>
      </c>
      <c r="H24" s="16" t="n">
        <f aca="false">-Schedules!H149</f>
        <v>-166.904805869424</v>
      </c>
      <c r="I24" s="16" t="n">
        <f aca="false">-Schedules!I149</f>
        <v>-170.066255159166</v>
      </c>
      <c r="J24" s="16" t="n">
        <f aca="false">-Schedules!J149</f>
        <v>-173.87074738569</v>
      </c>
      <c r="K24" s="16" t="n">
        <f aca="false">-Schedules!K149</f>
        <v>-182.101735104344</v>
      </c>
      <c r="L24" s="16" t="n">
        <f aca="false">-Schedules!L149</f>
        <v>-217.857508197519</v>
      </c>
      <c r="M24" s="16" t="n">
        <f aca="false">-Schedules!M149</f>
        <v>-213.992753399954</v>
      </c>
      <c r="N24" s="16" t="n">
        <f aca="false">-Schedules!N149</f>
        <v>-254.054721145736</v>
      </c>
    </row>
    <row r="25" customFormat="false" ht="15" hidden="false" customHeight="false" outlineLevel="0" collapsed="false">
      <c r="A25" s="14" t="s">
        <v>194</v>
      </c>
      <c r="B25" s="12" t="s">
        <v>11</v>
      </c>
      <c r="C25" s="24" t="n">
        <f aca="false">C23+C24</f>
        <v>-264.25</v>
      </c>
      <c r="D25" s="24" t="n">
        <f aca="false">D23+D24</f>
        <v>-575.71</v>
      </c>
      <c r="E25" s="24" t="n">
        <f aca="false">E23+E24</f>
        <v>-1172.82</v>
      </c>
      <c r="F25" s="24" t="n">
        <f aca="false">F23+F24</f>
        <v>-1047.44353054126</v>
      </c>
      <c r="G25" s="24" t="n">
        <f aca="false">G23+G24</f>
        <v>-904.31386562339</v>
      </c>
      <c r="H25" s="24" t="n">
        <f aca="false">H23+H24</f>
        <v>-927.248921496802</v>
      </c>
      <c r="I25" s="24" t="n">
        <f aca="false">I23+I24</f>
        <v>-1062.91409474479</v>
      </c>
      <c r="J25" s="24" t="n">
        <f aca="false">J23+J24</f>
        <v>-1241.93390989778</v>
      </c>
      <c r="K25" s="24" t="n">
        <f aca="false">K23+K24</f>
        <v>-1517.51445920286</v>
      </c>
      <c r="L25" s="24" t="n">
        <f aca="false">L23+L24</f>
        <v>-1815.47923497932</v>
      </c>
      <c r="M25" s="24" t="n">
        <f aca="false">M23+M24</f>
        <v>-2139.92753399954</v>
      </c>
      <c r="N25" s="24" t="n">
        <f aca="false">N23+N24</f>
        <v>-2540.54721145736</v>
      </c>
    </row>
    <row r="26" customFormat="false" ht="15" hidden="false" customHeight="false" outlineLevel="0" collapsed="false">
      <c r="A26" s="30" t="s">
        <v>36</v>
      </c>
      <c r="B26" s="31" t="s">
        <v>11</v>
      </c>
      <c r="C26" s="33" t="n">
        <f aca="false">C22+C25</f>
        <v>828.09</v>
      </c>
      <c r="D26" s="33" t="n">
        <f aca="false">D22+D25</f>
        <v>1701.32</v>
      </c>
      <c r="E26" s="33" t="n">
        <f aca="false">E22+E25</f>
        <v>3489.1</v>
      </c>
      <c r="F26" s="33" t="n">
        <f aca="false">F22+F25</f>
        <v>3060.17815785583</v>
      </c>
      <c r="G26" s="33" t="n">
        <f aca="false">G22+G25</f>
        <v>2642.01501917422</v>
      </c>
      <c r="H26" s="33" t="n">
        <f aca="false">H22+H25</f>
        <v>2709.02135888281</v>
      </c>
      <c r="I26" s="33" t="n">
        <f aca="false">I22+I25</f>
        <v>3105.37647288183</v>
      </c>
      <c r="J26" s="33" t="n">
        <f aca="false">J22+J25</f>
        <v>3628.3951485249</v>
      </c>
      <c r="K26" s="33" t="n">
        <f aca="false">K22+K25</f>
        <v>4433.52263571033</v>
      </c>
      <c r="L26" s="33" t="n">
        <f aca="false">L22+L25</f>
        <v>5304.04717670429</v>
      </c>
      <c r="M26" s="33" t="n">
        <f aca="false">M22+M25</f>
        <v>6251.9451483516</v>
      </c>
      <c r="N26" s="33" t="n">
        <f aca="false">N22+N25</f>
        <v>7422.38302955188</v>
      </c>
    </row>
    <row r="27" customFormat="false" ht="15" hidden="false" customHeight="false" outlineLevel="0" collapsed="false">
      <c r="A27" s="17" t="s">
        <v>37</v>
      </c>
      <c r="B27" s="12" t="s">
        <v>27</v>
      </c>
      <c r="C27" s="18" t="n">
        <f aca="false">C26/C6</f>
        <v>0.0565180476365329</v>
      </c>
      <c r="D27" s="18" t="n">
        <f aca="false">D26/D6</f>
        <v>0.100398331140053</v>
      </c>
      <c r="E27" s="18" t="n">
        <f aca="false">E26/E6</f>
        <v>0.159138551018658</v>
      </c>
      <c r="F27" s="18" t="n">
        <f aca="false">F26/F6</f>
        <v>0.121648324309618</v>
      </c>
      <c r="G27" s="18" t="n">
        <f aca="false">G26/G6</f>
        <v>0.0925158228106672</v>
      </c>
      <c r="H27" s="18" t="n">
        <f aca="false">H26/H6</f>
        <v>0.0833500279089181</v>
      </c>
      <c r="I27" s="18" t="n">
        <f aca="false">I26/I6</f>
        <v>0.0847085706937733</v>
      </c>
      <c r="J27" s="18" t="n">
        <f aca="false">J26/J6</f>
        <v>0.088420313789549</v>
      </c>
      <c r="K27" s="18" t="n">
        <f aca="false">K26/K6</f>
        <v>0.0963698706771248</v>
      </c>
      <c r="L27" s="18" t="n">
        <f aca="false">L26/L6</f>
        <v>0.103521459869113</v>
      </c>
      <c r="M27" s="18" t="n">
        <f aca="false">M26/M6</f>
        <v>0.110284051981941</v>
      </c>
      <c r="N27" s="18" t="n">
        <f aca="false">N26/N6</f>
        <v>0.119076591444695</v>
      </c>
    </row>
    <row r="28" customFormat="false" ht="15" hidden="false" customHeight="false" outlineLevel="0" collapsed="false">
      <c r="A28" s="17" t="s">
        <v>195</v>
      </c>
      <c r="B28" s="12" t="s">
        <v>27</v>
      </c>
      <c r="C28" s="18" t="n">
        <f aca="false">-C25/C22</f>
        <v>0.241911858945017</v>
      </c>
      <c r="D28" s="18" t="n">
        <f aca="false">-D25/D22</f>
        <v>0.252833735172571</v>
      </c>
      <c r="E28" s="18" t="n">
        <f aca="false">-E25/E22</f>
        <v>0.251574458592168</v>
      </c>
      <c r="F28" s="18" t="n">
        <f aca="false">-F25/F22</f>
        <v>0.255</v>
      </c>
      <c r="G28" s="18" t="n">
        <f aca="false">-G25/G22</f>
        <v>0.255</v>
      </c>
      <c r="H28" s="18" t="n">
        <f aca="false">-H25/H22</f>
        <v>0.255</v>
      </c>
      <c r="I28" s="18" t="n">
        <f aca="false">-I25/I22</f>
        <v>0.255</v>
      </c>
      <c r="J28" s="18" t="n">
        <f aca="false">-J25/J22</f>
        <v>0.255</v>
      </c>
      <c r="K28" s="18" t="n">
        <f aca="false">-K25/K22</f>
        <v>0.255</v>
      </c>
      <c r="L28" s="18" t="n">
        <f aca="false">-L25/L22</f>
        <v>0.255</v>
      </c>
      <c r="M28" s="18" t="n">
        <f aca="false">-M25/M22</f>
        <v>0.255</v>
      </c>
      <c r="N28" s="18" t="n">
        <f aca="false">-N25/N22</f>
        <v>0.255</v>
      </c>
    </row>
    <row r="29" customFormat="false" ht="15" hidden="false" customHeight="false" outlineLevel="0" collapsed="false">
      <c r="A29" s="14" t="s">
        <v>196</v>
      </c>
      <c r="B29" s="12" t="s">
        <v>197</v>
      </c>
      <c r="C29" s="22" t="n">
        <f aca="false">Schedules!C169</f>
        <v>182.8</v>
      </c>
      <c r="D29" s="22" t="n">
        <f aca="false">Schedules!D169</f>
        <v>197.6</v>
      </c>
      <c r="E29" s="22" t="n">
        <f aca="false">Schedules!E169</f>
        <v>212.36</v>
      </c>
      <c r="F29" s="22" t="n">
        <f aca="false">Schedules!F169</f>
        <v>214.36</v>
      </c>
      <c r="G29" s="22" t="n">
        <f aca="false">Schedules!G169</f>
        <v>216.36</v>
      </c>
      <c r="H29" s="22" t="n">
        <f aca="false">Schedules!H169</f>
        <v>218.36</v>
      </c>
      <c r="I29" s="22" t="n">
        <f aca="false">Schedules!I169</f>
        <v>220.36</v>
      </c>
      <c r="J29" s="22" t="n">
        <f aca="false">Schedules!J169</f>
        <v>222.36</v>
      </c>
      <c r="K29" s="22" t="n">
        <f aca="false">Schedules!K169</f>
        <v>224.36</v>
      </c>
      <c r="L29" s="22" t="n">
        <f aca="false">Schedules!L169</f>
        <v>226.36</v>
      </c>
      <c r="M29" s="22" t="n">
        <f aca="false">Schedules!M169</f>
        <v>228.36</v>
      </c>
      <c r="N29" s="22" t="n">
        <f aca="false">Schedules!N169</f>
        <v>230.36</v>
      </c>
    </row>
    <row r="30" customFormat="false" ht="15" hidden="false" customHeight="false" outlineLevel="0" collapsed="false">
      <c r="A30" s="11" t="s">
        <v>38</v>
      </c>
      <c r="B30" s="12" t="s">
        <v>39</v>
      </c>
      <c r="C30" s="43" t="n">
        <f aca="false">C26/C29</f>
        <v>4.53003282275711</v>
      </c>
      <c r="D30" s="43" t="n">
        <f aca="false">D26/D29</f>
        <v>8.60991902834009</v>
      </c>
      <c r="E30" s="43" t="n">
        <f aca="false">E26/E29</f>
        <v>16.4301186664155</v>
      </c>
      <c r="F30" s="43" t="n">
        <f aca="false">F26/F29</f>
        <v>14.2758824307512</v>
      </c>
      <c r="G30" s="43" t="n">
        <f aca="false">G26/G29</f>
        <v>12.2111990163349</v>
      </c>
      <c r="H30" s="43" t="n">
        <f aca="false">H26/H29</f>
        <v>12.406216151689</v>
      </c>
      <c r="I30" s="43" t="n">
        <f aca="false">I26/I29</f>
        <v>14.0922874971947</v>
      </c>
      <c r="J30" s="43" t="n">
        <f aca="false">J26/J29</f>
        <v>16.3176612184066</v>
      </c>
      <c r="K30" s="43" t="n">
        <f aca="false">K26/K29</f>
        <v>19.7607534128647</v>
      </c>
      <c r="L30" s="43" t="n">
        <f aca="false">L26/L29</f>
        <v>23.4319101285752</v>
      </c>
      <c r="M30" s="43" t="n">
        <f aca="false">M26/M29</f>
        <v>27.377584289506</v>
      </c>
      <c r="N30" s="43" t="n">
        <f aca="false">N26/N29</f>
        <v>32.2207980098623</v>
      </c>
    </row>
    <row r="31" customFormat="false" ht="15" hidden="false" customHeight="false" outlineLevel="0" collapsed="false">
      <c r="A31" s="17" t="s">
        <v>198</v>
      </c>
      <c r="B31" s="12" t="s">
        <v>11</v>
      </c>
      <c r="C31" s="34" t="n">
        <f aca="false">C26-828.09</f>
        <v>0</v>
      </c>
      <c r="D31" s="34" t="n">
        <f aca="false">D26-1701.32</f>
        <v>0</v>
      </c>
      <c r="E31" s="34" t="n">
        <f aca="false">E26-3489.1</f>
        <v>0</v>
      </c>
      <c r="F31" s="34"/>
      <c r="G31" s="34"/>
      <c r="H31" s="34"/>
      <c r="I31" s="34"/>
      <c r="J31" s="34"/>
      <c r="K31" s="34"/>
      <c r="L31" s="34"/>
      <c r="M31" s="34"/>
      <c r="N31" s="34"/>
    </row>
    <row r="33" customFormat="false" ht="15" hidden="false" customHeight="false" outlineLevel="0" collapsed="false">
      <c r="A33" s="3" t="s">
        <v>199</v>
      </c>
      <c r="B33" s="4"/>
      <c r="C33" s="4"/>
      <c r="D33" s="4"/>
      <c r="E33" s="4"/>
      <c r="F33" s="4"/>
      <c r="G33" s="4"/>
      <c r="H33" s="4"/>
      <c r="I33" s="4"/>
      <c r="J33" s="4"/>
      <c r="K33" s="4"/>
      <c r="L33" s="4"/>
      <c r="M33" s="4"/>
      <c r="N33" s="4"/>
      <c r="O33" s="4"/>
      <c r="P33" s="4"/>
    </row>
    <row r="34" customFormat="false" ht="15" hidden="false" customHeight="false" outlineLevel="0" collapsed="false">
      <c r="A34" s="40" t="s">
        <v>200</v>
      </c>
    </row>
    <row r="35" customFormat="false" ht="15" hidden="false" customHeight="false" outlineLevel="0" collapsed="false">
      <c r="A35" s="14" t="s">
        <v>201</v>
      </c>
      <c r="B35" s="12" t="s">
        <v>11</v>
      </c>
      <c r="C35" s="16" t="n">
        <f aca="false">Schedules!C76</f>
        <v>9263.55</v>
      </c>
      <c r="D35" s="16" t="n">
        <f aca="false">Schedules!D76</f>
        <v>11850.12</v>
      </c>
      <c r="E35" s="16" t="n">
        <f aca="false">Schedules!E76</f>
        <v>15344.14</v>
      </c>
      <c r="F35" s="16" t="n">
        <f aca="false">Schedules!F76</f>
        <v>23174.474335</v>
      </c>
      <c r="G35" s="16" t="n">
        <f aca="false">Schedules!G76</f>
        <v>30840.077471845</v>
      </c>
      <c r="H35" s="16" t="n">
        <f aca="false">Schedules!H76</f>
        <v>35236.2076419634</v>
      </c>
      <c r="I35" s="16" t="n">
        <f aca="false">Schedules!I76</f>
        <v>38791.2046437608</v>
      </c>
      <c r="J35" s="16" t="n">
        <f aca="false">Schedules!J76</f>
        <v>41931.9172993911</v>
      </c>
      <c r="K35" s="16" t="n">
        <f aca="false">Schedules!K76</f>
        <v>44524.8864905477</v>
      </c>
      <c r="L35" s="16" t="n">
        <f aca="false">Schedules!L76</f>
        <v>47573.9564219268</v>
      </c>
      <c r="M35" s="16" t="n">
        <f aca="false">Schedules!M76</f>
        <v>50223.2550371876</v>
      </c>
      <c r="N35" s="16" t="n">
        <f aca="false">Schedules!N76</f>
        <v>52509.9610687291</v>
      </c>
    </row>
    <row r="36" customFormat="false" ht="15" hidden="false" customHeight="false" outlineLevel="0" collapsed="false">
      <c r="A36" s="14" t="s">
        <v>202</v>
      </c>
      <c r="B36" s="12" t="s">
        <v>11</v>
      </c>
      <c r="C36" s="16" t="n">
        <f aca="false">Schedules!C81</f>
        <v>2397.13</v>
      </c>
      <c r="D36" s="16" t="n">
        <f aca="false">Schedules!D81</f>
        <v>2923.44</v>
      </c>
      <c r="E36" s="16" t="n">
        <f aca="false">Schedules!E81</f>
        <v>2743.01</v>
      </c>
      <c r="F36" s="16" t="n">
        <f aca="false">Schedules!F81</f>
        <v>2617.4405924869</v>
      </c>
      <c r="G36" s="16" t="n">
        <f aca="false">Schedules!G81</f>
        <v>2556.80960913512</v>
      </c>
      <c r="H36" s="16" t="n">
        <f aca="false">Schedules!H81</f>
        <v>2557.45870957054</v>
      </c>
      <c r="I36" s="16" t="n">
        <f aca="false">Schedules!I81</f>
        <v>2612.05192542507</v>
      </c>
      <c r="J36" s="16" t="n">
        <f aca="false">Schedules!J81</f>
        <v>2714.52829253091</v>
      </c>
      <c r="K36" s="16" t="n">
        <f aca="false">Schedules!K81</f>
        <v>2864.69973076104</v>
      </c>
      <c r="L36" s="16" t="n">
        <f aca="false">Schedules!L81</f>
        <v>3058.09499505684</v>
      </c>
      <c r="M36" s="16" t="n">
        <f aca="false">Schedules!M81</f>
        <v>3290.4725124487</v>
      </c>
      <c r="N36" s="16" t="n">
        <f aca="false">Schedules!N81</f>
        <v>3557.87156694601</v>
      </c>
    </row>
    <row r="37" customFormat="false" ht="15" hidden="false" customHeight="false" outlineLevel="0" collapsed="false">
      <c r="A37" s="14" t="s">
        <v>203</v>
      </c>
      <c r="B37" s="12" t="s">
        <v>11</v>
      </c>
      <c r="C37" s="16" t="n">
        <f aca="false">Schedules!C69</f>
        <v>1068.95</v>
      </c>
      <c r="D37" s="16" t="n">
        <f aca="false">Schedules!D69</f>
        <v>1244.56</v>
      </c>
      <c r="E37" s="16" t="n">
        <f aca="false">Schedules!E69</f>
        <v>2704.53</v>
      </c>
      <c r="F37" s="16" t="n">
        <f aca="false">Schedules!F69</f>
        <v>4680</v>
      </c>
      <c r="G37" s="16" t="n">
        <f aca="false">Schedules!G69</f>
        <v>2652</v>
      </c>
      <c r="H37" s="16" t="n">
        <f aca="false">Schedules!H69</f>
        <v>1842.75</v>
      </c>
      <c r="I37" s="16" t="n">
        <f aca="false">Schedules!I69</f>
        <v>1974.375</v>
      </c>
      <c r="J37" s="16" t="n">
        <f aca="false">Schedules!J69</f>
        <v>1706.25</v>
      </c>
      <c r="K37" s="16" t="n">
        <f aca="false">Schedules!K69</f>
        <v>1706.25</v>
      </c>
      <c r="L37" s="16" t="n">
        <f aca="false">Schedules!L69</f>
        <v>1950</v>
      </c>
      <c r="M37" s="16" t="n">
        <f aca="false">Schedules!M69</f>
        <v>1828.125</v>
      </c>
      <c r="N37" s="16" t="n">
        <f aca="false">Schedules!N69</f>
        <v>1828.125</v>
      </c>
    </row>
    <row r="38" customFormat="false" ht="15" hidden="false" customHeight="false" outlineLevel="0" collapsed="false">
      <c r="A38" s="14" t="s">
        <v>204</v>
      </c>
      <c r="B38" s="12" t="s">
        <v>11</v>
      </c>
      <c r="C38" s="16" t="n">
        <f aca="false">Schedules!C64</f>
        <v>137.73</v>
      </c>
      <c r="D38" s="16" t="n">
        <f aca="false">Schedules!D64</f>
        <v>108.56</v>
      </c>
      <c r="E38" s="16" t="n">
        <f aca="false">Schedules!E64</f>
        <v>61.17</v>
      </c>
      <c r="F38" s="16" t="n">
        <f aca="false">Schedules!F64</f>
        <v>281.7126</v>
      </c>
      <c r="G38" s="16" t="n">
        <f aca="false">Schedules!G64</f>
        <v>385.485828</v>
      </c>
      <c r="H38" s="16" t="n">
        <f aca="false">Schedules!H64</f>
        <v>437.17894584</v>
      </c>
      <c r="I38" s="16" t="n">
        <f aca="false">Schedules!I64</f>
        <v>487.2495777552</v>
      </c>
      <c r="J38" s="16" t="n">
        <f aca="false">Schedules!J64</f>
        <v>516.554670649056</v>
      </c>
      <c r="K38" s="16" t="n">
        <f aca="false">Schedules!K64</f>
        <v>539.412643106264</v>
      </c>
      <c r="L38" s="16" t="n">
        <f aca="false">Schedules!L64</f>
        <v>576.741861622886</v>
      </c>
      <c r="M38" s="16" t="n">
        <f aca="false">Schedules!M64</f>
        <v>596.108652065851</v>
      </c>
      <c r="N38" s="16" t="n">
        <f aca="false">Schedules!N64</f>
        <v>611.214748611364</v>
      </c>
    </row>
    <row r="39" customFormat="false" ht="15" hidden="false" customHeight="false" outlineLevel="0" collapsed="false">
      <c r="A39" s="14" t="s">
        <v>205</v>
      </c>
      <c r="B39" s="12" t="s">
        <v>11</v>
      </c>
      <c r="C39" s="16" t="n">
        <f aca="false">Schedules!C175</f>
        <v>432.86</v>
      </c>
      <c r="D39" s="16" t="n">
        <f aca="false">Schedules!D175</f>
        <v>427.96</v>
      </c>
      <c r="E39" s="16" t="n">
        <f aca="false">Schedules!E175</f>
        <v>1303.25</v>
      </c>
      <c r="F39" s="16" t="n">
        <f aca="false">Schedules!F175</f>
        <v>1257.79708648806</v>
      </c>
      <c r="G39" s="16" t="n">
        <f aca="false">Schedules!G175</f>
        <v>1370.75709935469</v>
      </c>
      <c r="H39" s="16" t="n">
        <f aca="false">Schedules!H175</f>
        <v>1495.08027333577</v>
      </c>
      <c r="I39" s="16" t="n">
        <f aca="false">Schedules!I175</f>
        <v>1649.67889477038</v>
      </c>
      <c r="J39" s="16" t="n">
        <f aca="false">Schedules!J175</f>
        <v>1805.57362548023</v>
      </c>
      <c r="K39" s="16" t="n">
        <f aca="false">Schedules!K175</f>
        <v>1978.22692918479</v>
      </c>
      <c r="L39" s="16" t="n">
        <f aca="false">Schedules!L175</f>
        <v>2151.92078727675</v>
      </c>
      <c r="M39" s="16" t="n">
        <f aca="false">Schedules!M175</f>
        <v>2324.2685272789</v>
      </c>
      <c r="N39" s="16" t="n">
        <f aca="false">Schedules!N175</f>
        <v>2493.31390477337</v>
      </c>
    </row>
    <row r="40" customFormat="false" ht="15" hidden="false" customHeight="false" outlineLevel="0" collapsed="false">
      <c r="A40" s="30" t="s">
        <v>206</v>
      </c>
      <c r="B40" s="31" t="s">
        <v>11</v>
      </c>
      <c r="C40" s="33" t="n">
        <f aca="false">C35+C36+C37+C38+C39</f>
        <v>13300.22</v>
      </c>
      <c r="D40" s="33" t="n">
        <f aca="false">D35+D36+D37+D38+D39</f>
        <v>16554.64</v>
      </c>
      <c r="E40" s="33" t="n">
        <f aca="false">E35+E36+E37+E38+E39</f>
        <v>22156.1</v>
      </c>
      <c r="F40" s="33" t="n">
        <f aca="false">F35+F36+F37+F38+F39</f>
        <v>32011.424613975</v>
      </c>
      <c r="G40" s="33" t="n">
        <f aca="false">G35+G36+G37+G38+G39</f>
        <v>37805.1300083348</v>
      </c>
      <c r="H40" s="33" t="n">
        <f aca="false">H35+H36+H37+H38+H39</f>
        <v>41568.6755707097</v>
      </c>
      <c r="I40" s="33" t="n">
        <f aca="false">I35+I36+I37+I38+I39</f>
        <v>45514.5600417115</v>
      </c>
      <c r="J40" s="33" t="n">
        <f aca="false">J35+J36+J37+J38+J39</f>
        <v>48674.8238880513</v>
      </c>
      <c r="K40" s="33" t="n">
        <f aca="false">K35+K36+K37+K38+K39</f>
        <v>51613.4757935998</v>
      </c>
      <c r="L40" s="33" t="n">
        <f aca="false">L35+L36+L37+L38+L39</f>
        <v>55310.7140658832</v>
      </c>
      <c r="M40" s="33" t="n">
        <f aca="false">M35+M36+M37+M38+M39</f>
        <v>58262.229728981</v>
      </c>
      <c r="N40" s="33" t="n">
        <f aca="false">N35+N36+N37+N38+N39</f>
        <v>61000.4862890599</v>
      </c>
    </row>
    <row r="41" customFormat="false" ht="15" hidden="false" customHeight="false" outlineLevel="0" collapsed="false">
      <c r="A41" s="14" t="s">
        <v>207</v>
      </c>
      <c r="B41" s="12" t="s">
        <v>11</v>
      </c>
      <c r="C41" s="16" t="n">
        <f aca="false">Schedules!C97</f>
        <v>874.43</v>
      </c>
      <c r="D41" s="16" t="n">
        <f aca="false">Schedules!D97</f>
        <v>1188.65</v>
      </c>
      <c r="E41" s="16" t="n">
        <f aca="false">Schedules!E97</f>
        <v>1509.68</v>
      </c>
      <c r="F41" s="16" t="n">
        <f aca="false">Schedules!F97</f>
        <v>1750.7387520524</v>
      </c>
      <c r="G41" s="16" t="n">
        <f aca="false">Schedules!G97</f>
        <v>1946.13392182106</v>
      </c>
      <c r="H41" s="16" t="n">
        <f aca="false">Schedules!H97</f>
        <v>2177.83990949394</v>
      </c>
      <c r="I41" s="16" t="n">
        <f aca="false">Schedules!I97</f>
        <v>2435.635303415</v>
      </c>
      <c r="J41" s="16" t="n">
        <f aca="false">Schedules!J97</f>
        <v>2703.8880333907</v>
      </c>
      <c r="K41" s="16" t="n">
        <f aca="false">Schedules!K97</f>
        <v>3022.41160000604</v>
      </c>
      <c r="L41" s="16" t="n">
        <f aca="false">Schedules!L97</f>
        <v>3397.53575309256</v>
      </c>
      <c r="M41" s="16" t="n">
        <f aca="false">Schedules!M97</f>
        <v>3791.74035479017</v>
      </c>
      <c r="N41" s="16" t="n">
        <f aca="false">Schedules!N97</f>
        <v>4202.37359824574</v>
      </c>
    </row>
    <row r="42" customFormat="false" ht="15" hidden="false" customHeight="false" outlineLevel="0" collapsed="false">
      <c r="A42" s="14" t="s">
        <v>208</v>
      </c>
      <c r="B42" s="12" t="s">
        <v>11</v>
      </c>
      <c r="C42" s="16" t="n">
        <f aca="false">Schedules!C99</f>
        <v>2561.84</v>
      </c>
      <c r="D42" s="16" t="n">
        <f aca="false">Schedules!D99</f>
        <v>3547.83</v>
      </c>
      <c r="E42" s="16" t="n">
        <f aca="false">Schedules!E99</f>
        <v>3736.23</v>
      </c>
      <c r="F42" s="16" t="n">
        <f aca="false">Schedules!F99</f>
        <v>4273.06407464437</v>
      </c>
      <c r="G42" s="16" t="n">
        <f aca="false">Schedules!G99</f>
        <v>4850.85274885792</v>
      </c>
      <c r="H42" s="16" t="n">
        <f aca="false">Schedules!H99</f>
        <v>5431.79849157129</v>
      </c>
      <c r="I42" s="16" t="n">
        <f aca="false">Schedules!I99</f>
        <v>6126.66134435269</v>
      </c>
      <c r="J42" s="16" t="n">
        <f aca="false">Schedules!J99</f>
        <v>6745.60507651393</v>
      </c>
      <c r="K42" s="16" t="n">
        <f aca="false">Schedules!K99</f>
        <v>7562.51135718939</v>
      </c>
      <c r="L42" s="16" t="n">
        <f aca="false">Schedules!L99</f>
        <v>8422.39055685618</v>
      </c>
      <c r="M42" s="16" t="n">
        <f aca="false">Schedules!M99</f>
        <v>9318.81801782385</v>
      </c>
      <c r="N42" s="16" t="n">
        <f aca="false">Schedules!N99</f>
        <v>10246.4954990686</v>
      </c>
    </row>
    <row r="43" customFormat="false" ht="15" hidden="false" customHeight="false" outlineLevel="0" collapsed="false">
      <c r="A43" s="14" t="s">
        <v>209</v>
      </c>
      <c r="B43" s="12" t="s">
        <v>11</v>
      </c>
      <c r="C43" s="16" t="n">
        <f aca="false">Schedules!C101</f>
        <v>3632.11</v>
      </c>
      <c r="D43" s="16" t="n">
        <f aca="false">Schedules!D101</f>
        <v>4873.57</v>
      </c>
      <c r="E43" s="16" t="n">
        <f aca="false">Schedules!E101</f>
        <v>6241.05</v>
      </c>
      <c r="F43" s="16" t="n">
        <f aca="false">Schedules!F101</f>
        <v>7029.879606673</v>
      </c>
      <c r="G43" s="16" t="n">
        <f aca="false">Schedules!G101</f>
        <v>7823.95604654503</v>
      </c>
      <c r="H43" s="16" t="n">
        <f aca="false">Schedules!H101</f>
        <v>8726.49593727847</v>
      </c>
      <c r="I43" s="16" t="n">
        <f aca="false">Schedules!I101</f>
        <v>9641.95883701407</v>
      </c>
      <c r="J43" s="16" t="n">
        <f aca="false">Schedules!J101</f>
        <v>10680.5413711471</v>
      </c>
      <c r="K43" s="16" t="n">
        <f aca="false">Schedules!K101</f>
        <v>11847.9344595967</v>
      </c>
      <c r="L43" s="16" t="n">
        <f aca="false">Schedules!L101</f>
        <v>13054.7053631271</v>
      </c>
      <c r="M43" s="16" t="n">
        <f aca="false">Schedules!M101</f>
        <v>14288.8542939966</v>
      </c>
      <c r="N43" s="16" t="n">
        <f aca="false">Schedules!N101</f>
        <v>15711.2930985719</v>
      </c>
    </row>
    <row r="44" customFormat="false" ht="15" hidden="false" customHeight="false" outlineLevel="0" collapsed="false">
      <c r="A44" s="14" t="s">
        <v>210</v>
      </c>
      <c r="B44" s="12" t="s">
        <v>11</v>
      </c>
      <c r="C44" s="16" t="n">
        <f aca="false">Schedules!C103</f>
        <v>794.76</v>
      </c>
      <c r="D44" s="16" t="n">
        <f aca="false">Schedules!D103</f>
        <v>796.24</v>
      </c>
      <c r="E44" s="16" t="n">
        <f aca="false">Schedules!E103</f>
        <v>1039.71</v>
      </c>
      <c r="F44" s="16" t="n">
        <f aca="false">Schedules!F103</f>
        <v>1171.64660111217</v>
      </c>
      <c r="G44" s="16" t="n">
        <f aca="false">Schedules!G103</f>
        <v>1330.07252791265</v>
      </c>
      <c r="H44" s="16" t="n">
        <f aca="false">Schedules!H103</f>
        <v>1513.77990748708</v>
      </c>
      <c r="I44" s="16" t="n">
        <f aca="false">Schedules!I103</f>
        <v>1707.43021072124</v>
      </c>
      <c r="J44" s="16" t="n">
        <f aca="false">Schedules!J103</f>
        <v>1911.25477167895</v>
      </c>
      <c r="K44" s="16" t="n">
        <f aca="false">Schedules!K103</f>
        <v>2142.71155120366</v>
      </c>
      <c r="L44" s="16" t="n">
        <f aca="false">Schedules!L103</f>
        <v>2386.34399110925</v>
      </c>
      <c r="M44" s="16" t="n">
        <f aca="false">Schedules!M103</f>
        <v>2640.33177171676</v>
      </c>
      <c r="N44" s="16" t="n">
        <f aca="false">Schedules!N103</f>
        <v>2903.17372473611</v>
      </c>
    </row>
    <row r="45" customFormat="false" ht="15" hidden="false" customHeight="false" outlineLevel="0" collapsed="false">
      <c r="A45" s="14" t="s">
        <v>211</v>
      </c>
      <c r="B45" s="12" t="s">
        <v>11</v>
      </c>
      <c r="C45" s="16" t="n">
        <f aca="false">Schedules!C132</f>
        <v>1351.43</v>
      </c>
      <c r="D45" s="16" t="n">
        <f aca="false">Schedules!D132</f>
        <v>3727.63</v>
      </c>
      <c r="E45" s="16" t="n">
        <f aca="false">Schedules!E132</f>
        <v>759.49</v>
      </c>
      <c r="F45" s="16" t="n">
        <f aca="false">Schedules!F132</f>
        <v>797.4645</v>
      </c>
      <c r="G45" s="16" t="n">
        <f aca="false">Schedules!G132</f>
        <v>837.337725</v>
      </c>
      <c r="H45" s="16" t="n">
        <f aca="false">Schedules!H132</f>
        <v>879.20461125</v>
      </c>
      <c r="I45" s="16" t="n">
        <f aca="false">Schedules!I132</f>
        <v>923.1648418125</v>
      </c>
      <c r="J45" s="16" t="n">
        <f aca="false">Schedules!J132</f>
        <v>969.323083903125</v>
      </c>
      <c r="K45" s="16" t="n">
        <f aca="false">Schedules!K132</f>
        <v>1017.78923809828</v>
      </c>
      <c r="L45" s="16" t="n">
        <f aca="false">Schedules!L132</f>
        <v>1068.6787000032</v>
      </c>
      <c r="M45" s="16" t="n">
        <f aca="false">Schedules!M132</f>
        <v>1122.11263500336</v>
      </c>
      <c r="N45" s="16" t="n">
        <f aca="false">Schedules!N132</f>
        <v>1178.21826675352</v>
      </c>
    </row>
    <row r="46" customFormat="false" ht="15" hidden="false" customHeight="false" outlineLevel="0" collapsed="false">
      <c r="A46" s="14" t="s">
        <v>212</v>
      </c>
      <c r="B46" s="12" t="s">
        <v>11</v>
      </c>
      <c r="C46" s="16" t="n">
        <f aca="false">Schedules!C137</f>
        <v>236.57</v>
      </c>
      <c r="D46" s="16" t="n">
        <f aca="false">Schedules!D137</f>
        <v>911.19</v>
      </c>
      <c r="E46" s="16" t="n">
        <f aca="false">Schedules!E137</f>
        <v>819.14</v>
      </c>
      <c r="F46" s="16" t="n">
        <f aca="false">Schedules!F137</f>
        <v>880.457960541642</v>
      </c>
      <c r="G46" s="16" t="n">
        <f aca="false">Schedules!G137</f>
        <v>999.510384946128</v>
      </c>
      <c r="H46" s="16" t="n">
        <f aca="false">Schedules!H137</f>
        <v>1137.56107753809</v>
      </c>
      <c r="I46" s="16" t="n">
        <f aca="false">Schedules!I137</f>
        <v>1283.0835848214</v>
      </c>
      <c r="J46" s="16" t="n">
        <f aca="false">Schedules!J137</f>
        <v>1436.25174754109</v>
      </c>
      <c r="K46" s="16" t="n">
        <f aca="false">Schedules!K137</f>
        <v>1610.18470980158</v>
      </c>
      <c r="L46" s="16" t="n">
        <f aca="false">Schedules!L137</f>
        <v>1793.26732273063</v>
      </c>
      <c r="M46" s="16" t="n">
        <f aca="false">Schedules!M137</f>
        <v>1984.13166962833</v>
      </c>
      <c r="N46" s="16" t="n">
        <f aca="false">Schedules!N137</f>
        <v>2181.6496666767</v>
      </c>
    </row>
    <row r="47" customFormat="false" ht="15" hidden="false" customHeight="false" outlineLevel="0" collapsed="false">
      <c r="A47" s="30" t="s">
        <v>213</v>
      </c>
      <c r="B47" s="31" t="s">
        <v>11</v>
      </c>
      <c r="C47" s="33" t="n">
        <f aca="false">C41+C42+C43+C44+C45+C46</f>
        <v>9451.14</v>
      </c>
      <c r="D47" s="33" t="n">
        <f aca="false">D41+D42+D43+D44+D45+D46</f>
        <v>15045.11</v>
      </c>
      <c r="E47" s="33" t="n">
        <f aca="false">E41+E42+E43+E44+E45+E46</f>
        <v>14105.3</v>
      </c>
      <c r="F47" s="33" t="n">
        <f aca="false">F41+F42+F43+F44+F45+F46</f>
        <v>15903.2514950236</v>
      </c>
      <c r="G47" s="33" t="n">
        <f aca="false">G41+G42+G43+G44+G45+G46</f>
        <v>17787.8633550828</v>
      </c>
      <c r="H47" s="33" t="n">
        <f aca="false">H41+H42+H43+H44+H45+H46</f>
        <v>19866.6799346189</v>
      </c>
      <c r="I47" s="33" t="n">
        <f aca="false">I41+I42+I43+I44+I45+I46</f>
        <v>22117.9341221369</v>
      </c>
      <c r="J47" s="33" t="n">
        <f aca="false">J41+J42+J43+J44+J45+J46</f>
        <v>24446.8640841749</v>
      </c>
      <c r="K47" s="33" t="n">
        <f aca="false">K41+K42+K43+K44+K45+K46</f>
        <v>27203.5429158957</v>
      </c>
      <c r="L47" s="33" t="n">
        <f aca="false">L41+L42+L43+L44+L45+L46</f>
        <v>30122.9216869189</v>
      </c>
      <c r="M47" s="33" t="n">
        <f aca="false">M41+M42+M43+M44+M45+M46</f>
        <v>33145.988742959</v>
      </c>
      <c r="N47" s="33" t="n">
        <f aca="false">N41+N42+N43+N44+N45+N46</f>
        <v>36423.2038540526</v>
      </c>
    </row>
    <row r="48" customFormat="false" ht="15" hidden="false" customHeight="false" outlineLevel="0" collapsed="false">
      <c r="A48" s="30" t="s">
        <v>214</v>
      </c>
      <c r="B48" s="31" t="s">
        <v>11</v>
      </c>
      <c r="C48" s="33" t="n">
        <f aca="false">C40+C47</f>
        <v>22751.36</v>
      </c>
      <c r="D48" s="33" t="n">
        <f aca="false">D40+D47</f>
        <v>31599.75</v>
      </c>
      <c r="E48" s="33" t="n">
        <f aca="false">E40+E47</f>
        <v>36261.4</v>
      </c>
      <c r="F48" s="33" t="n">
        <f aca="false">F40+F47</f>
        <v>47914.6761089985</v>
      </c>
      <c r="G48" s="33" t="n">
        <f aca="false">G40+G47</f>
        <v>55592.9933634176</v>
      </c>
      <c r="H48" s="33" t="n">
        <f aca="false">H40+H47</f>
        <v>61435.3555053286</v>
      </c>
      <c r="I48" s="33" t="n">
        <f aca="false">I40+I47</f>
        <v>67632.4941638484</v>
      </c>
      <c r="J48" s="33" t="n">
        <f aca="false">J40+J47</f>
        <v>73121.6879722261</v>
      </c>
      <c r="K48" s="33" t="n">
        <f aca="false">K40+K47</f>
        <v>78817.0187094955</v>
      </c>
      <c r="L48" s="33" t="n">
        <f aca="false">L40+L47</f>
        <v>85433.6357528021</v>
      </c>
      <c r="M48" s="33" t="n">
        <f aca="false">M40+M47</f>
        <v>91408.2184719401</v>
      </c>
      <c r="N48" s="33" t="n">
        <f aca="false">N40+N47</f>
        <v>97423.6901431125</v>
      </c>
    </row>
    <row r="49" customFormat="false" ht="15" hidden="false" customHeight="false" outlineLevel="0" collapsed="false">
      <c r="A49" s="40" t="s">
        <v>215</v>
      </c>
    </row>
    <row r="50" customFormat="false" ht="15" hidden="false" customHeight="false" outlineLevel="0" collapsed="false">
      <c r="A50" s="14" t="s">
        <v>216</v>
      </c>
      <c r="B50" s="12" t="s">
        <v>11</v>
      </c>
      <c r="C50" s="23" t="n">
        <f aca="false">Schedules!C161</f>
        <v>180.5</v>
      </c>
      <c r="D50" s="23" t="n">
        <f aca="false">Schedules!D161</f>
        <v>208.41</v>
      </c>
      <c r="E50" s="23" t="n">
        <f aca="false">Schedules!E161</f>
        <v>211.78</v>
      </c>
      <c r="F50" s="23" t="n">
        <f aca="false">Schedules!F161</f>
        <v>214.78</v>
      </c>
      <c r="G50" s="23" t="n">
        <f aca="false">Schedules!G161</f>
        <v>217.78</v>
      </c>
      <c r="H50" s="23" t="n">
        <f aca="false">Schedules!H161</f>
        <v>220.78</v>
      </c>
      <c r="I50" s="23" t="n">
        <f aca="false">Schedules!I161</f>
        <v>223.78</v>
      </c>
      <c r="J50" s="23" t="n">
        <f aca="false">Schedules!J161</f>
        <v>226.78</v>
      </c>
      <c r="K50" s="23" t="n">
        <f aca="false">Schedules!K161</f>
        <v>229.78</v>
      </c>
      <c r="L50" s="23" t="n">
        <f aca="false">Schedules!L161</f>
        <v>232.78</v>
      </c>
      <c r="M50" s="23" t="n">
        <f aca="false">Schedules!M161</f>
        <v>235.78</v>
      </c>
      <c r="N50" s="23" t="n">
        <f aca="false">Schedules!N161</f>
        <v>238.78</v>
      </c>
    </row>
    <row r="51" customFormat="false" ht="15" hidden="false" customHeight="false" outlineLevel="0" collapsed="false">
      <c r="A51" s="14" t="s">
        <v>217</v>
      </c>
      <c r="B51" s="12" t="s">
        <v>11</v>
      </c>
      <c r="C51" s="16" t="n">
        <f aca="false">Schedules!C166</f>
        <v>9570.94</v>
      </c>
      <c r="D51" s="16" t="n">
        <f aca="false">Schedules!D166</f>
        <v>21075.13</v>
      </c>
      <c r="E51" s="16" t="n">
        <f aca="false">Schedules!E166</f>
        <v>24625.1</v>
      </c>
      <c r="F51" s="16" t="n">
        <f aca="false">Schedules!F166</f>
        <v>27862.2781578558</v>
      </c>
      <c r="G51" s="16" t="n">
        <f aca="false">Schedules!G166</f>
        <v>30683.2931770301</v>
      </c>
      <c r="H51" s="16" t="n">
        <f aca="false">Schedules!H166</f>
        <v>33573.3145359129</v>
      </c>
      <c r="I51" s="16" t="n">
        <f aca="false">Schedules!I166</f>
        <v>36861.6910087947</v>
      </c>
      <c r="J51" s="16" t="n">
        <f aca="false">Schedules!J166</f>
        <v>40675.0861573196</v>
      </c>
      <c r="K51" s="16" t="n">
        <f aca="false">Schedules!K166</f>
        <v>45295.6087930299</v>
      </c>
      <c r="L51" s="16" t="n">
        <f aca="false">Schedules!L166</f>
        <v>50788.6559697342</v>
      </c>
      <c r="M51" s="16" t="n">
        <f aca="false">Schedules!M166</f>
        <v>57231.6011180858</v>
      </c>
      <c r="N51" s="16" t="n">
        <f aca="false">Schedules!N166</f>
        <v>64846.9841476377</v>
      </c>
    </row>
    <row r="52" customFormat="false" ht="15" hidden="false" customHeight="false" outlineLevel="0" collapsed="false">
      <c r="A52" s="30" t="s">
        <v>218</v>
      </c>
      <c r="B52" s="31" t="s">
        <v>11</v>
      </c>
      <c r="C52" s="33" t="n">
        <f aca="false">C50+C51</f>
        <v>9751.44</v>
      </c>
      <c r="D52" s="33" t="n">
        <f aca="false">D50+D51</f>
        <v>21283.54</v>
      </c>
      <c r="E52" s="33" t="n">
        <f aca="false">E50+E51</f>
        <v>24836.88</v>
      </c>
      <c r="F52" s="33" t="n">
        <f aca="false">F50+F51</f>
        <v>28077.0581578558</v>
      </c>
      <c r="G52" s="33" t="n">
        <f aca="false">G50+G51</f>
        <v>30901.07317703</v>
      </c>
      <c r="H52" s="33" t="n">
        <f aca="false">H50+H51</f>
        <v>33794.0945359129</v>
      </c>
      <c r="I52" s="33" t="n">
        <f aca="false">I50+I51</f>
        <v>37085.4710087947</v>
      </c>
      <c r="J52" s="33" t="n">
        <f aca="false">J50+J51</f>
        <v>40901.8661573196</v>
      </c>
      <c r="K52" s="33" t="n">
        <f aca="false">K50+K51</f>
        <v>45525.3887930299</v>
      </c>
      <c r="L52" s="33" t="n">
        <f aca="false">L50+L51</f>
        <v>51021.4359697342</v>
      </c>
      <c r="M52" s="33" t="n">
        <f aca="false">M50+M51</f>
        <v>57467.3811180858</v>
      </c>
      <c r="N52" s="33" t="n">
        <f aca="false">N50+N51</f>
        <v>65085.7641476377</v>
      </c>
    </row>
    <row r="53" customFormat="false" ht="15" hidden="false" customHeight="false" outlineLevel="0" collapsed="false">
      <c r="A53" s="14" t="s">
        <v>219</v>
      </c>
      <c r="B53" s="12" t="s">
        <v>11</v>
      </c>
      <c r="C53" s="16" t="n">
        <f aca="false">Schedules!C128-Schedules!C129</f>
        <v>2772.46</v>
      </c>
      <c r="D53" s="16" t="n">
        <f aca="false">Schedules!D128-Schedules!D129</f>
        <v>0</v>
      </c>
      <c r="E53" s="16" t="n">
        <f aca="false">Schedules!E128-Schedules!E129</f>
        <v>205.04</v>
      </c>
      <c r="F53" s="16" t="n">
        <f aca="false">Schedules!F128-Schedules!F129</f>
        <v>6255.69897932827</v>
      </c>
      <c r="G53" s="16" t="n">
        <f aca="false">Schedules!G128-Schedules!G129</f>
        <v>10280.9890033634</v>
      </c>
      <c r="H53" s="16" t="n">
        <f aca="false">Schedules!H128-Schedules!H129</f>
        <v>12152.5387818199</v>
      </c>
      <c r="I53" s="16" t="n">
        <f aca="false">Schedules!I128-Schedules!I129</f>
        <v>13469.4807709104</v>
      </c>
      <c r="J53" s="16" t="n">
        <f aca="false">Schedules!J128-Schedules!J129</f>
        <v>13842.9969618482</v>
      </c>
      <c r="K53" s="16" t="n">
        <f aca="false">Schedules!K128-Schedules!K129</f>
        <v>13419.8759348046</v>
      </c>
      <c r="L53" s="16" t="n">
        <f aca="false">Schedules!L128-Schedules!L129</f>
        <v>12735.3272394622</v>
      </c>
      <c r="M53" s="16" t="n">
        <f aca="false">Schedules!M128-Schedules!M129</f>
        <v>10910.6071214982</v>
      </c>
      <c r="N53" s="16" t="n">
        <f aca="false">Schedules!N128-Schedules!N129</f>
        <v>7949.62549067337</v>
      </c>
    </row>
    <row r="54" customFormat="false" ht="15" hidden="false" customHeight="false" outlineLevel="0" collapsed="false">
      <c r="A54" s="14" t="s">
        <v>220</v>
      </c>
      <c r="B54" s="12" t="s">
        <v>11</v>
      </c>
      <c r="C54" s="16" t="n">
        <f aca="false">Schedules!C85-Schedules!C86</f>
        <v>1757.21</v>
      </c>
      <c r="D54" s="16" t="n">
        <f aca="false">Schedules!D85-Schedules!D86</f>
        <v>1646.87</v>
      </c>
      <c r="E54" s="16" t="n">
        <f aca="false">Schedules!E85-Schedules!E86</f>
        <v>1276.2</v>
      </c>
      <c r="F54" s="16" t="n">
        <f aca="false">Schedules!F85-Schedules!F86</f>
        <v>1147.28746604135</v>
      </c>
      <c r="G54" s="16" t="n">
        <f aca="false">Schedules!G85-Schedules!G86</f>
        <v>1082.54268171984</v>
      </c>
      <c r="H54" s="16" t="n">
        <f aca="false">Schedules!H85-Schedules!H86</f>
        <v>1069.12113037767</v>
      </c>
      <c r="I54" s="16" t="n">
        <f aca="false">Schedules!I85-Schedules!I86</f>
        <v>1094.99720111192</v>
      </c>
      <c r="J54" s="16" t="n">
        <f aca="false">Schedules!J85-Schedules!J86</f>
        <v>1151.43481378035</v>
      </c>
      <c r="K54" s="16" t="n">
        <f aca="false">Schedules!K85-Schedules!K86</f>
        <v>1235.27269434815</v>
      </c>
      <c r="L54" s="16" t="n">
        <f aca="false">Schedules!L85-Schedules!L86</f>
        <v>1341.35574198926</v>
      </c>
      <c r="M54" s="16" t="n">
        <f aca="false">Schedules!M85-Schedules!M86</f>
        <v>1465.58539809248</v>
      </c>
      <c r="N54" s="16" t="n">
        <f aca="false">Schedules!N85-Schedules!N86</f>
        <v>1604.69317318139</v>
      </c>
    </row>
    <row r="55" customFormat="false" ht="15" hidden="false" customHeight="false" outlineLevel="0" collapsed="false">
      <c r="A55" s="14" t="s">
        <v>221</v>
      </c>
      <c r="B55" s="12" t="s">
        <v>11</v>
      </c>
      <c r="C55" s="16" t="n">
        <f aca="false">Schedules!C154</f>
        <v>862.66</v>
      </c>
      <c r="D55" s="16" t="n">
        <f aca="false">Schedules!D154</f>
        <v>1110.36</v>
      </c>
      <c r="E55" s="16" t="n">
        <f aca="false">Schedules!E154</f>
        <v>1283.32</v>
      </c>
      <c r="F55" s="16" t="n">
        <f aca="false">Schedules!F154</f>
        <v>1513.75757671908</v>
      </c>
      <c r="G55" s="16" t="n">
        <f aca="false">Schedules!G154</f>
        <v>1694.62034984375</v>
      </c>
      <c r="H55" s="16" t="n">
        <f aca="false">Schedules!H154</f>
        <v>1861.52515571318</v>
      </c>
      <c r="I55" s="16" t="n">
        <f aca="false">Schedules!I154</f>
        <v>2031.59141087234</v>
      </c>
      <c r="J55" s="16" t="n">
        <f aca="false">Schedules!J154</f>
        <v>2205.46215825803</v>
      </c>
      <c r="K55" s="16" t="n">
        <f aca="false">Schedules!K154</f>
        <v>2387.56389336238</v>
      </c>
      <c r="L55" s="16" t="n">
        <f aca="false">Schedules!L154</f>
        <v>2605.4214015599</v>
      </c>
      <c r="M55" s="16" t="n">
        <f aca="false">Schedules!M154</f>
        <v>2819.41415495985</v>
      </c>
      <c r="N55" s="16" t="n">
        <f aca="false">Schedules!N154</f>
        <v>3073.46887610559</v>
      </c>
    </row>
    <row r="56" customFormat="false" ht="15" hidden="false" customHeight="false" outlineLevel="0" collapsed="false">
      <c r="A56" s="14" t="s">
        <v>222</v>
      </c>
      <c r="B56" s="12" t="s">
        <v>11</v>
      </c>
      <c r="C56" s="16" t="n">
        <f aca="false">Schedules!C112</f>
        <v>172.949</v>
      </c>
      <c r="D56" s="16" t="n">
        <f aca="false">Schedules!D112</f>
        <v>211.8106</v>
      </c>
      <c r="E56" s="16" t="n">
        <f aca="false">Schedules!E112</f>
        <v>324.5948</v>
      </c>
      <c r="F56" s="16" t="n">
        <f aca="false">Schedules!F112</f>
        <v>370.195138598684</v>
      </c>
      <c r="G56" s="16" t="n">
        <f aca="false">Schedules!G112</f>
        <v>425.745974153842</v>
      </c>
      <c r="H56" s="16" t="n">
        <f aca="false">Schedules!H112</f>
        <v>484.406448873229</v>
      </c>
      <c r="I56" s="16" t="n">
        <f aca="false">Schedules!I112</f>
        <v>545.965232656847</v>
      </c>
      <c r="J56" s="16" t="n">
        <f aca="false">Schedules!J112</f>
        <v>609.587794043068</v>
      </c>
      <c r="K56" s="16" t="n">
        <f aca="false">Schedules!K112</f>
        <v>674.771485773781</v>
      </c>
      <c r="L56" s="16" t="n">
        <f aca="false">Schedules!L112</f>
        <v>741.651050747522</v>
      </c>
      <c r="M56" s="16" t="n">
        <f aca="false">Schedules!M112</f>
        <v>809.798488933646</v>
      </c>
      <c r="N56" s="16" t="n">
        <f aca="false">Schedules!N112</f>
        <v>877.905334261548</v>
      </c>
    </row>
    <row r="57" customFormat="false" ht="15" hidden="false" customHeight="false" outlineLevel="0" collapsed="false">
      <c r="A57" s="30" t="s">
        <v>223</v>
      </c>
      <c r="B57" s="31" t="s">
        <v>11</v>
      </c>
      <c r="C57" s="33" t="n">
        <f aca="false">C53+C54+C55+C56</f>
        <v>5565.279</v>
      </c>
      <c r="D57" s="33" t="n">
        <f aca="false">D53+D54+D55+D56</f>
        <v>2969.0406</v>
      </c>
      <c r="E57" s="33" t="n">
        <f aca="false">E53+E54+E55+E56</f>
        <v>3089.1548</v>
      </c>
      <c r="F57" s="33" t="n">
        <f aca="false">F53+F54+F55+F56</f>
        <v>9286.93916068739</v>
      </c>
      <c r="G57" s="33" t="n">
        <f aca="false">G53+G54+G55+G56</f>
        <v>13483.8980090809</v>
      </c>
      <c r="H57" s="33" t="n">
        <f aca="false">H53+H54+H55+H56</f>
        <v>15567.591516784</v>
      </c>
      <c r="I57" s="33" t="n">
        <f aca="false">I53+I54+I55+I56</f>
        <v>17142.0346155515</v>
      </c>
      <c r="J57" s="33" t="n">
        <f aca="false">J53+J54+J55+J56</f>
        <v>17809.4817279297</v>
      </c>
      <c r="K57" s="33" t="n">
        <f aca="false">K53+K54+K55+K56</f>
        <v>17717.4840082889</v>
      </c>
      <c r="L57" s="33" t="n">
        <f aca="false">L53+L54+L55+L56</f>
        <v>17423.7554337588</v>
      </c>
      <c r="M57" s="33" t="n">
        <f aca="false">M53+M54+M55+M56</f>
        <v>16005.4051634842</v>
      </c>
      <c r="N57" s="33" t="n">
        <f aca="false">N53+N54+N55+N56</f>
        <v>13505.6928742219</v>
      </c>
    </row>
    <row r="58" customFormat="false" ht="15" hidden="false" customHeight="false" outlineLevel="0" collapsed="false">
      <c r="A58" s="14" t="s">
        <v>224</v>
      </c>
      <c r="B58" s="12" t="s">
        <v>11</v>
      </c>
      <c r="C58" s="16" t="n">
        <f aca="false">Schedules!C129</f>
        <v>4329.17</v>
      </c>
      <c r="D58" s="16" t="n">
        <f aca="false">Schedules!D129</f>
        <v>1286.36</v>
      </c>
      <c r="E58" s="16" t="n">
        <f aca="false">Schedules!E129</f>
        <v>746.21</v>
      </c>
      <c r="F58" s="16" t="n">
        <f aca="false">Schedules!F129</f>
        <v>1611.13979586565</v>
      </c>
      <c r="G58" s="16" t="n">
        <f aca="false">Schedules!G129</f>
        <v>2416.19780067269</v>
      </c>
      <c r="H58" s="16" t="n">
        <f aca="false">Schedules!H129</f>
        <v>2790.50775636398</v>
      </c>
      <c r="I58" s="16" t="n">
        <f aca="false">Schedules!I129</f>
        <v>3053.89615418208</v>
      </c>
      <c r="J58" s="16" t="n">
        <f aca="false">Schedules!J129</f>
        <v>3128.59939236964</v>
      </c>
      <c r="K58" s="16" t="n">
        <f aca="false">Schedules!K129</f>
        <v>3043.97518696092</v>
      </c>
      <c r="L58" s="16" t="n">
        <f aca="false">Schedules!L129</f>
        <v>2907.06544789243</v>
      </c>
      <c r="M58" s="16" t="n">
        <f aca="false">Schedules!M129</f>
        <v>2542.12142429965</v>
      </c>
      <c r="N58" s="16" t="n">
        <f aca="false">Schedules!N129</f>
        <v>1949.92509813467</v>
      </c>
    </row>
    <row r="59" customFormat="false" ht="15" hidden="false" customHeight="false" outlineLevel="0" collapsed="false">
      <c r="A59" s="14" t="s">
        <v>225</v>
      </c>
      <c r="B59" s="12" t="s">
        <v>11</v>
      </c>
      <c r="C59" s="16" t="n">
        <f aca="false">Schedules!C86</f>
        <v>417.76</v>
      </c>
      <c r="D59" s="16" t="n">
        <f aca="false">Schedules!D86</f>
        <v>590.58</v>
      </c>
      <c r="E59" s="16" t="n">
        <f aca="false">Schedules!E86</f>
        <v>657.07</v>
      </c>
      <c r="F59" s="16" t="n">
        <f aca="false">Schedules!F86</f>
        <v>591.026876445545</v>
      </c>
      <c r="G59" s="16" t="n">
        <f aca="false">Schedules!G86</f>
        <v>557.673502704158</v>
      </c>
      <c r="H59" s="16" t="n">
        <f aca="false">Schedules!H86</f>
        <v>550.75937019456</v>
      </c>
      <c r="I59" s="16" t="n">
        <f aca="false">Schedules!I86</f>
        <v>564.089467239474</v>
      </c>
      <c r="J59" s="16" t="n">
        <f aca="false">Schedules!J86</f>
        <v>593.163388917148</v>
      </c>
      <c r="K59" s="16" t="n">
        <f aca="false">Schedules!K86</f>
        <v>636.352600118746</v>
      </c>
      <c r="L59" s="16" t="n">
        <f aca="false">Schedules!L86</f>
        <v>691.001442842952</v>
      </c>
      <c r="M59" s="16" t="n">
        <f aca="false">Schedules!M86</f>
        <v>754.998538411275</v>
      </c>
      <c r="N59" s="16" t="n">
        <f aca="false">Schedules!N86</f>
        <v>826.660119517688</v>
      </c>
    </row>
    <row r="60" customFormat="false" ht="15" hidden="false" customHeight="false" outlineLevel="0" collapsed="false">
      <c r="A60" s="14" t="s">
        <v>226</v>
      </c>
      <c r="B60" s="12" t="s">
        <v>11</v>
      </c>
      <c r="C60" s="16" t="n">
        <f aca="false">Schedules!C105</f>
        <v>1384.7</v>
      </c>
      <c r="D60" s="16" t="n">
        <f aca="false">Schedules!D105</f>
        <v>3225.08</v>
      </c>
      <c r="E60" s="16" t="n">
        <f aca="false">Schedules!E105</f>
        <v>2853.38</v>
      </c>
      <c r="F60" s="16" t="n">
        <f aca="false">Schedules!F105</f>
        <v>3225.04506957021</v>
      </c>
      <c r="G60" s="16" t="n">
        <f aca="false">Schedules!G105</f>
        <v>3623.12166296473</v>
      </c>
      <c r="H60" s="16" t="n">
        <f aca="false">Schedules!H105</f>
        <v>4098.08585119826</v>
      </c>
      <c r="I60" s="16" t="n">
        <f aca="false">Schedules!I105</f>
        <v>4633.00193584375</v>
      </c>
      <c r="J60" s="16" t="n">
        <f aca="false">Schedules!J105</f>
        <v>5199.7846795975</v>
      </c>
      <c r="K60" s="16" t="n">
        <f aca="false">Schedules!K105</f>
        <v>5876.91144445619</v>
      </c>
      <c r="L60" s="16" t="n">
        <f aca="false">Schedules!L105</f>
        <v>6606.31951990219</v>
      </c>
      <c r="M60" s="16" t="n">
        <f aca="false">Schedules!M105</f>
        <v>7372.82846764756</v>
      </c>
      <c r="N60" s="16" t="n">
        <f aca="false">Schedules!N105</f>
        <v>8171.28199658894</v>
      </c>
    </row>
    <row r="61" customFormat="false" ht="15" hidden="false" customHeight="false" outlineLevel="0" collapsed="false">
      <c r="A61" s="14" t="s">
        <v>227</v>
      </c>
      <c r="B61" s="12" t="s">
        <v>11</v>
      </c>
      <c r="C61" s="16" t="n">
        <f aca="false">Schedules!C107</f>
        <v>330.86</v>
      </c>
      <c r="D61" s="16" t="n">
        <f aca="false">Schedules!D107</f>
        <v>754.44</v>
      </c>
      <c r="E61" s="16" t="n">
        <f aca="false">Schedules!E107</f>
        <v>1636.78</v>
      </c>
      <c r="F61" s="16" t="n">
        <f aca="false">Schedules!F107</f>
        <v>2640</v>
      </c>
      <c r="G61" s="16" t="n">
        <f aca="false">Schedules!G107</f>
        <v>1870</v>
      </c>
      <c r="H61" s="16" t="n">
        <f aca="false">Schedules!H107</f>
        <v>1540</v>
      </c>
      <c r="I61" s="16" t="n">
        <f aca="false">Schedules!I107</f>
        <v>1650</v>
      </c>
      <c r="J61" s="16" t="n">
        <f aca="false">Schedules!J107</f>
        <v>1540</v>
      </c>
      <c r="K61" s="16" t="n">
        <f aca="false">Schedules!K107</f>
        <v>1540</v>
      </c>
      <c r="L61" s="16" t="n">
        <f aca="false">Schedules!L107</f>
        <v>1760</v>
      </c>
      <c r="M61" s="16" t="n">
        <f aca="false">Schedules!M107</f>
        <v>1650</v>
      </c>
      <c r="N61" s="16" t="n">
        <f aca="false">Schedules!N107</f>
        <v>1650</v>
      </c>
    </row>
    <row r="62" customFormat="false" ht="15" hidden="false" customHeight="false" outlineLevel="0" collapsed="false">
      <c r="A62" s="14" t="s">
        <v>228</v>
      </c>
      <c r="B62" s="12" t="s">
        <v>11</v>
      </c>
      <c r="C62" s="16" t="n">
        <f aca="false">Schedules!C109</f>
        <v>866.15</v>
      </c>
      <c r="D62" s="16" t="n">
        <f aca="false">Schedules!D109</f>
        <v>1281.19</v>
      </c>
      <c r="E62" s="16" t="n">
        <f aca="false">Schedules!E109</f>
        <v>1726.38</v>
      </c>
      <c r="F62" s="16" t="n">
        <f aca="false">Schedules!F109</f>
        <v>1929.77087242004</v>
      </c>
      <c r="G62" s="16" t="n">
        <f aca="false">Schedules!G109</f>
        <v>2190.70769303261</v>
      </c>
      <c r="H62" s="16" t="n">
        <f aca="false">Schedules!H109</f>
        <v>2493.28455350813</v>
      </c>
      <c r="I62" s="16" t="n">
        <f aca="false">Schedules!I109</f>
        <v>2812.2379941291</v>
      </c>
      <c r="J62" s="16" t="n">
        <f aca="false">Schedules!J109</f>
        <v>3147.9490357065</v>
      </c>
      <c r="K62" s="16" t="n">
        <f aca="false">Schedules!K109</f>
        <v>3529.17196668838</v>
      </c>
      <c r="L62" s="16" t="n">
        <f aca="false">Schedules!L109</f>
        <v>3930.44892653288</v>
      </c>
      <c r="M62" s="16" t="n">
        <f aca="false">Schedules!M109</f>
        <v>4348.78174165113</v>
      </c>
      <c r="N62" s="16" t="n">
        <f aca="false">Schedules!N109</f>
        <v>4781.69789956536</v>
      </c>
    </row>
    <row r="63" customFormat="false" ht="15" hidden="false" customHeight="false" outlineLevel="0" collapsed="false">
      <c r="A63" s="14" t="s">
        <v>229</v>
      </c>
      <c r="B63" s="12" t="s">
        <v>11</v>
      </c>
      <c r="C63" s="16" t="n">
        <f aca="false">Schedules!C111-Schedules!C112</f>
        <v>106.001</v>
      </c>
      <c r="D63" s="16" t="n">
        <f aca="false">Schedules!D111-Schedules!D112</f>
        <v>129.8194</v>
      </c>
      <c r="E63" s="16" t="n">
        <f aca="false">Schedules!E111-Schedules!E112</f>
        <v>198.9452</v>
      </c>
      <c r="F63" s="16" t="n">
        <f aca="false">Schedules!F111-Schedules!F112</f>
        <v>226.893794625</v>
      </c>
      <c r="G63" s="16" t="n">
        <f aca="false">Schedules!G111-Schedules!G112</f>
        <v>260.941080933</v>
      </c>
      <c r="H63" s="16" t="n">
        <f aca="false">Schedules!H111-Schedules!H112</f>
        <v>296.89427511585</v>
      </c>
      <c r="I63" s="16" t="n">
        <f aca="false">Schedules!I111-Schedules!I112</f>
        <v>334.623852273551</v>
      </c>
      <c r="J63" s="16" t="n">
        <f aca="false">Schedules!J111-Schedules!J112</f>
        <v>373.618325381235</v>
      </c>
      <c r="K63" s="16" t="n">
        <f aca="false">Schedules!K111-Schedules!K112</f>
        <v>413.569620312962</v>
      </c>
      <c r="L63" s="16" t="n">
        <f aca="false">Schedules!L111-Schedules!L112</f>
        <v>454.5603214259</v>
      </c>
      <c r="M63" s="16" t="n">
        <f aca="false">Schedules!M111-Schedules!M112</f>
        <v>496.328106120622</v>
      </c>
      <c r="N63" s="16" t="n">
        <f aca="false">Schedules!N111-Schedules!N112</f>
        <v>538.071011321594</v>
      </c>
    </row>
    <row r="64" customFormat="false" ht="15" hidden="false" customHeight="false" outlineLevel="0" collapsed="false">
      <c r="A64" s="14" t="s">
        <v>230</v>
      </c>
      <c r="B64" s="12" t="s">
        <v>11</v>
      </c>
      <c r="C64" s="16" t="n">
        <f aca="false">Schedules!C152</f>
        <v>0</v>
      </c>
      <c r="D64" s="16" t="n">
        <f aca="false">Schedules!D152</f>
        <v>79.7</v>
      </c>
      <c r="E64" s="16" t="n">
        <f aca="false">Schedules!E152</f>
        <v>516.6</v>
      </c>
      <c r="F64" s="16" t="n">
        <f aca="false">Schedules!F152</f>
        <v>326.802381528873</v>
      </c>
      <c r="G64" s="16" t="n">
        <f aca="false">Schedules!G152</f>
        <v>289.380436999485</v>
      </c>
      <c r="H64" s="16" t="n">
        <f aca="false">Schedules!H152</f>
        <v>304.137646250951</v>
      </c>
      <c r="I64" s="16" t="n">
        <f aca="false">Schedules!I152</f>
        <v>357.139135834248</v>
      </c>
      <c r="J64" s="16" t="n">
        <f aca="false">Schedules!J152</f>
        <v>427.225265004837</v>
      </c>
      <c r="K64" s="16" t="n">
        <f aca="false">Schedules!K152</f>
        <v>534.165089639408</v>
      </c>
      <c r="L64" s="16" t="n">
        <f aca="false">Schedules!L152</f>
        <v>639.048690712721</v>
      </c>
      <c r="M64" s="16" t="n">
        <f aca="false">Schedules!M152</f>
        <v>770.373912239834</v>
      </c>
      <c r="N64" s="16" t="n">
        <f aca="false">Schedules!N152</f>
        <v>914.596996124648</v>
      </c>
    </row>
    <row r="65" customFormat="false" ht="15" hidden="false" customHeight="false" outlineLevel="0" collapsed="false">
      <c r="A65" s="30" t="s">
        <v>231</v>
      </c>
      <c r="B65" s="31" t="s">
        <v>11</v>
      </c>
      <c r="C65" s="33" t="n">
        <f aca="false">C58+C59+C60+C61+C62+C63+C64</f>
        <v>7434.641</v>
      </c>
      <c r="D65" s="33" t="n">
        <f aca="false">D58+D59+D60+D61+D62+D63+D64</f>
        <v>7347.1694</v>
      </c>
      <c r="E65" s="33" t="n">
        <f aca="false">E58+E59+E60+E61+E62+E63+E64</f>
        <v>8335.3652</v>
      </c>
      <c r="F65" s="33" t="n">
        <f aca="false">F58+F59+F60+F61+F62+F63+F64</f>
        <v>10550.6787904553</v>
      </c>
      <c r="G65" s="33" t="n">
        <f aca="false">G58+G59+G60+G61+G62+G63+G64</f>
        <v>11208.0221773067</v>
      </c>
      <c r="H65" s="33" t="n">
        <f aca="false">H58+H59+H60+H61+H62+H63+H64</f>
        <v>12073.6694526317</v>
      </c>
      <c r="I65" s="33" t="n">
        <f aca="false">I58+I59+I60+I61+I62+I63+I64</f>
        <v>13404.9885395022</v>
      </c>
      <c r="J65" s="33" t="n">
        <f aca="false">J58+J59+J60+J61+J62+J63+J64</f>
        <v>14410.3400869769</v>
      </c>
      <c r="K65" s="33" t="n">
        <f aca="false">K58+K59+K60+K61+K62+K63+K64</f>
        <v>15574.1459081766</v>
      </c>
      <c r="L65" s="33" t="n">
        <f aca="false">L58+L59+L60+L61+L62+L63+L64</f>
        <v>16988.4443493091</v>
      </c>
      <c r="M65" s="33" t="n">
        <f aca="false">M58+M59+M60+M61+M62+M63+M64</f>
        <v>17935.4321903701</v>
      </c>
      <c r="N65" s="33" t="n">
        <f aca="false">N58+N59+N60+N61+N62+N63+N64</f>
        <v>18832.2331212529</v>
      </c>
    </row>
    <row r="66" customFormat="false" ht="15" hidden="false" customHeight="false" outlineLevel="0" collapsed="false">
      <c r="A66" s="30" t="s">
        <v>232</v>
      </c>
      <c r="B66" s="31" t="s">
        <v>11</v>
      </c>
      <c r="C66" s="33" t="n">
        <f aca="false">C52+C57+C65</f>
        <v>22751.36</v>
      </c>
      <c r="D66" s="33" t="n">
        <f aca="false">D52+D57+D65</f>
        <v>31599.75</v>
      </c>
      <c r="E66" s="33" t="n">
        <f aca="false">E52+E57+E65</f>
        <v>36261.4</v>
      </c>
      <c r="F66" s="33" t="n">
        <f aca="false">F52+F57+F65</f>
        <v>47914.6761089985</v>
      </c>
      <c r="G66" s="33" t="n">
        <f aca="false">G52+G57+G65</f>
        <v>55592.9933634176</v>
      </c>
      <c r="H66" s="33" t="n">
        <f aca="false">H52+H57+H65</f>
        <v>61435.3555053286</v>
      </c>
      <c r="I66" s="33" t="n">
        <f aca="false">I52+I57+I65</f>
        <v>67632.4941638484</v>
      </c>
      <c r="J66" s="33" t="n">
        <f aca="false">J52+J57+J65</f>
        <v>73121.6879722261</v>
      </c>
      <c r="K66" s="33" t="n">
        <f aca="false">K52+K57+K65</f>
        <v>78817.0187094955</v>
      </c>
      <c r="L66" s="33" t="n">
        <f aca="false">L52+L57+L65</f>
        <v>85433.6357528021</v>
      </c>
      <c r="M66" s="33" t="n">
        <f aca="false">M52+M57+M65</f>
        <v>91408.2184719401</v>
      </c>
      <c r="N66" s="33" t="n">
        <f aca="false">N52+N57+N65</f>
        <v>97423.6901431125</v>
      </c>
    </row>
    <row r="67" customFormat="false" ht="15" hidden="false" customHeight="false" outlineLevel="0" collapsed="false">
      <c r="A67" s="11" t="s">
        <v>233</v>
      </c>
      <c r="B67" s="12" t="s">
        <v>11</v>
      </c>
      <c r="C67" s="43" t="n">
        <f aca="false">C48-C66</f>
        <v>0</v>
      </c>
      <c r="D67" s="43" t="n">
        <f aca="false">D48-D66</f>
        <v>0</v>
      </c>
      <c r="E67" s="43" t="n">
        <f aca="false">E48-E66</f>
        <v>0</v>
      </c>
      <c r="F67" s="43" t="n">
        <f aca="false">F48-F66</f>
        <v>0</v>
      </c>
      <c r="G67" s="43" t="n">
        <f aca="false">G48-G66</f>
        <v>0</v>
      </c>
      <c r="H67" s="43" t="n">
        <f aca="false">H48-H66</f>
        <v>0</v>
      </c>
      <c r="I67" s="43" t="n">
        <f aca="false">I48-I66</f>
        <v>0</v>
      </c>
      <c r="J67" s="43" t="n">
        <f aca="false">J48-J66</f>
        <v>0</v>
      </c>
      <c r="K67" s="43" t="n">
        <f aca="false">K48-K66</f>
        <v>0</v>
      </c>
      <c r="L67" s="43" t="n">
        <f aca="false">L48-L66</f>
        <v>0</v>
      </c>
      <c r="M67" s="43" t="n">
        <f aca="false">M48-M66</f>
        <v>0</v>
      </c>
      <c r="N67" s="43" t="n">
        <f aca="false">N48-N66</f>
        <v>0</v>
      </c>
    </row>
    <row r="69" customFormat="false" ht="15" hidden="false" customHeight="false" outlineLevel="0" collapsed="false">
      <c r="A69" s="3" t="s">
        <v>234</v>
      </c>
      <c r="B69" s="4"/>
      <c r="C69" s="4"/>
      <c r="D69" s="4"/>
      <c r="E69" s="4"/>
      <c r="F69" s="4"/>
      <c r="G69" s="4"/>
      <c r="H69" s="4"/>
      <c r="I69" s="4"/>
      <c r="J69" s="4"/>
      <c r="K69" s="4"/>
      <c r="L69" s="4"/>
      <c r="M69" s="4"/>
      <c r="N69" s="4"/>
      <c r="O69" s="4"/>
      <c r="P69" s="4"/>
    </row>
    <row r="70" customFormat="false" ht="15" hidden="false" customHeight="false" outlineLevel="0" collapsed="false">
      <c r="A70" s="40" t="s">
        <v>235</v>
      </c>
    </row>
    <row r="71" customFormat="false" ht="15" hidden="false" customHeight="false" outlineLevel="0" collapsed="false">
      <c r="A71" s="14" t="s">
        <v>236</v>
      </c>
      <c r="B71" s="12" t="s">
        <v>11</v>
      </c>
      <c r="C71" s="24" t="n">
        <f aca="false">C22</f>
        <v>1092.34</v>
      </c>
      <c r="D71" s="24" t="n">
        <f aca="false">D22</f>
        <v>2277.03</v>
      </c>
      <c r="E71" s="24" t="n">
        <f aca="false">E22</f>
        <v>4661.92</v>
      </c>
      <c r="F71" s="24" t="n">
        <f aca="false">F22</f>
        <v>4107.62168839709</v>
      </c>
      <c r="G71" s="24" t="n">
        <f aca="false">G22</f>
        <v>3546.32888479761</v>
      </c>
      <c r="H71" s="24" t="n">
        <f aca="false">H22</f>
        <v>3636.27028037961</v>
      </c>
      <c r="I71" s="24" t="n">
        <f aca="false">I22</f>
        <v>4168.29056762661</v>
      </c>
      <c r="J71" s="24" t="n">
        <f aca="false">J22</f>
        <v>4870.32905842268</v>
      </c>
      <c r="K71" s="24" t="n">
        <f aca="false">K22</f>
        <v>5951.03709491319</v>
      </c>
      <c r="L71" s="24" t="n">
        <f aca="false">L22</f>
        <v>7119.52641168362</v>
      </c>
      <c r="M71" s="24" t="n">
        <f aca="false">M22</f>
        <v>8391.87268235114</v>
      </c>
      <c r="N71" s="24" t="n">
        <f aca="false">N22</f>
        <v>9962.93024100924</v>
      </c>
    </row>
    <row r="72" customFormat="false" ht="15" hidden="false" customHeight="false" outlineLevel="0" collapsed="false">
      <c r="A72" s="14" t="s">
        <v>237</v>
      </c>
      <c r="B72" s="12" t="s">
        <v>11</v>
      </c>
      <c r="C72" s="16" t="n">
        <f aca="false">Schedules!C88</f>
        <v>1194.36</v>
      </c>
      <c r="D72" s="16" t="n">
        <f aca="false">Schedules!D88</f>
        <v>1385.73</v>
      </c>
      <c r="E72" s="16" t="n">
        <f aca="false">Schedules!E88</f>
        <v>1668.55</v>
      </c>
      <c r="F72" s="16" t="n">
        <f aca="false">Schedules!F88</f>
        <v>2411.249715</v>
      </c>
      <c r="G72" s="16" t="n">
        <f aca="false">Schedules!G88</f>
        <v>3175.50133291534</v>
      </c>
      <c r="H72" s="16" t="n">
        <f aca="false">Schedules!H88</f>
        <v>3768.30029754888</v>
      </c>
      <c r="I72" s="16" t="n">
        <f aca="false">Schedules!I88</f>
        <v>4170.28805336654</v>
      </c>
      <c r="J72" s="16" t="n">
        <f aca="false">Schedules!J88</f>
        <v>4514.09581917104</v>
      </c>
      <c r="K72" s="16" t="n">
        <f aca="false">Schedules!K88</f>
        <v>4817.07000465376</v>
      </c>
      <c r="L72" s="16" t="n">
        <f aca="false">Schedules!L88</f>
        <v>5127.52630567989</v>
      </c>
      <c r="M72" s="16" t="n">
        <f aca="false">Schedules!M88</f>
        <v>5442.7952684806</v>
      </c>
      <c r="N72" s="16" t="n">
        <f aca="false">Schedules!N88</f>
        <v>5726.11583646697</v>
      </c>
    </row>
    <row r="73" customFormat="false" ht="15" hidden="false" customHeight="false" outlineLevel="0" collapsed="false">
      <c r="A73" s="14" t="s">
        <v>238</v>
      </c>
      <c r="B73" s="12" t="s">
        <v>11</v>
      </c>
      <c r="C73" s="16" t="n">
        <f aca="false">Schedules!C131</f>
        <v>859.1</v>
      </c>
      <c r="D73" s="16" t="n">
        <f aca="false">Schedules!D131</f>
        <v>761.64</v>
      </c>
      <c r="E73" s="16" t="n">
        <f aca="false">Schedules!E131</f>
        <v>392.39</v>
      </c>
      <c r="F73" s="16" t="n">
        <f aca="false">Schedules!F131</f>
        <v>293.51595</v>
      </c>
      <c r="G73" s="16" t="n">
        <f aca="false">Schedules!G131</f>
        <v>859.895873565042</v>
      </c>
      <c r="H73" s="16" t="n">
        <f aca="false">Schedules!H131</f>
        <v>1259.68465862971</v>
      </c>
      <c r="I73" s="16" t="n">
        <f aca="false">Schedules!I131</f>
        <v>1448.34581080858</v>
      </c>
      <c r="J73" s="16" t="n">
        <f aca="false">Schedules!J131</f>
        <v>1586.98657215151</v>
      </c>
      <c r="K73" s="16" t="n">
        <f aca="false">Schedules!K131</f>
        <v>1634.49149240524</v>
      </c>
      <c r="L73" s="16" t="n">
        <f aca="false">Schedules!L131</f>
        <v>1605.30612774143</v>
      </c>
      <c r="M73" s="16" t="n">
        <f aca="false">Schedules!M131</f>
        <v>1553.16266875668</v>
      </c>
      <c r="N73" s="16" t="n">
        <f aca="false">Schedules!N131</f>
        <v>1387.74615940823</v>
      </c>
    </row>
    <row r="74" customFormat="false" ht="15" hidden="false" customHeight="false" outlineLevel="0" collapsed="false">
      <c r="A74" s="14" t="s">
        <v>239</v>
      </c>
      <c r="B74" s="12" t="s">
        <v>11</v>
      </c>
      <c r="C74" s="28" t="n">
        <v>142.19</v>
      </c>
      <c r="D74" s="28" t="n">
        <v>418.93</v>
      </c>
      <c r="E74" s="28" t="n">
        <v>-313.21</v>
      </c>
      <c r="F74" s="16" t="n">
        <f aca="false">Schedules!F162</f>
        <v>30</v>
      </c>
      <c r="G74" s="16" t="n">
        <f aca="false">Schedules!G162</f>
        <v>32</v>
      </c>
      <c r="H74" s="16" t="n">
        <f aca="false">Schedules!H162</f>
        <v>34</v>
      </c>
      <c r="I74" s="16" t="n">
        <f aca="false">Schedules!I162</f>
        <v>36</v>
      </c>
      <c r="J74" s="16" t="n">
        <f aca="false">Schedules!J162</f>
        <v>38</v>
      </c>
      <c r="K74" s="16" t="n">
        <f aca="false">Schedules!K162</f>
        <v>40</v>
      </c>
      <c r="L74" s="16" t="n">
        <f aca="false">Schedules!L162</f>
        <v>42</v>
      </c>
      <c r="M74" s="16" t="n">
        <f aca="false">Schedules!M162</f>
        <v>44</v>
      </c>
      <c r="N74" s="16" t="n">
        <f aca="false">Schedules!N162</f>
        <v>46</v>
      </c>
      <c r="P74" s="29" t="s">
        <v>240</v>
      </c>
    </row>
    <row r="75" customFormat="false" ht="15" hidden="false" customHeight="false" outlineLevel="0" collapsed="false">
      <c r="A75" s="14" t="s">
        <v>241</v>
      </c>
      <c r="B75" s="12" t="s">
        <v>11</v>
      </c>
      <c r="C75" s="16" t="n">
        <f aca="false">-Schedules!C134</f>
        <v>-135.97</v>
      </c>
      <c r="D75" s="16" t="n">
        <f aca="false">-Schedules!D134</f>
        <v>-175.65</v>
      </c>
      <c r="E75" s="16" t="n">
        <f aca="false">-Schedules!E134</f>
        <v>-191.1</v>
      </c>
      <c r="F75" s="16" t="n">
        <f aca="false">-Schedules!F134</f>
        <v>-78.9315</v>
      </c>
      <c r="G75" s="16" t="n">
        <f aca="false">-Schedules!G134</f>
        <v>-83.8961230270821</v>
      </c>
      <c r="H75" s="16" t="n">
        <f aca="false">-Schedules!H134</f>
        <v>-91.8424054973064</v>
      </c>
      <c r="I75" s="16" t="n">
        <f aca="false">-Schedules!I134</f>
        <v>-100.838284439404</v>
      </c>
      <c r="J75" s="16" t="n">
        <f aca="false">-Schedules!J134</f>
        <v>-110.312421331695</v>
      </c>
      <c r="K75" s="16" t="n">
        <f aca="false">-Schedules!K134</f>
        <v>-120.278741572211</v>
      </c>
      <c r="L75" s="16" t="n">
        <f aca="false">-Schedules!L134</f>
        <v>-131.398697394993</v>
      </c>
      <c r="M75" s="16" t="n">
        <f aca="false">-Schedules!M134</f>
        <v>-143.097301136691</v>
      </c>
      <c r="N75" s="16" t="n">
        <f aca="false">-Schedules!N134</f>
        <v>-155.312215231584</v>
      </c>
    </row>
    <row r="76" customFormat="false" ht="15" hidden="false" customHeight="false" outlineLevel="0" collapsed="false">
      <c r="A76" s="30" t="s">
        <v>242</v>
      </c>
      <c r="B76" s="31" t="s">
        <v>11</v>
      </c>
      <c r="C76" s="33" t="n">
        <f aca="false">C71+C72+C73+C74+C75</f>
        <v>3152.02</v>
      </c>
      <c r="D76" s="33" t="n">
        <f aca="false">D71+D72+D73+D74+D75</f>
        <v>4667.68</v>
      </c>
      <c r="E76" s="33" t="n">
        <f aca="false">E71+E72+E73+E74+E75</f>
        <v>6218.55</v>
      </c>
      <c r="F76" s="33" t="n">
        <f aca="false">F71+F72+F73+F74+F75</f>
        <v>6763.45585339709</v>
      </c>
      <c r="G76" s="33" t="n">
        <f aca="false">G71+G72+G73+G74+G75</f>
        <v>7529.8299682509</v>
      </c>
      <c r="H76" s="33" t="n">
        <f aca="false">H71+H72+H73+H74+H75</f>
        <v>8606.4128310609</v>
      </c>
      <c r="I76" s="33" t="n">
        <f aca="false">I71+I72+I73+I74+I75</f>
        <v>9722.08614736232</v>
      </c>
      <c r="J76" s="33" t="n">
        <f aca="false">J71+J72+J73+J74+J75</f>
        <v>10899.0990284135</v>
      </c>
      <c r="K76" s="33" t="n">
        <f aca="false">K71+K72+K73+K74+K75</f>
        <v>12322.3198504</v>
      </c>
      <c r="L76" s="33" t="n">
        <f aca="false">L71+L72+L73+L74+L75</f>
        <v>13762.9601477099</v>
      </c>
      <c r="M76" s="33" t="n">
        <f aca="false">M71+M72+M73+M74+M75</f>
        <v>15288.7333184517</v>
      </c>
      <c r="N76" s="33" t="n">
        <f aca="false">N71+N72+N73+N74+N75</f>
        <v>16967.4800216529</v>
      </c>
    </row>
    <row r="77" customFormat="false" ht="15" hidden="false" customHeight="false" outlineLevel="0" collapsed="false">
      <c r="A77" s="14" t="s">
        <v>243</v>
      </c>
      <c r="B77" s="12" t="s">
        <v>11</v>
      </c>
      <c r="C77" s="28" t="n">
        <v>-306.04</v>
      </c>
      <c r="D77" s="28" t="n">
        <v>-1332.73</v>
      </c>
      <c r="E77" s="28" t="n">
        <v>-706.41</v>
      </c>
      <c r="F77" s="16" t="n">
        <f aca="false">Schedules!F115</f>
        <v>-46.8341592680035</v>
      </c>
      <c r="G77" s="16" t="n">
        <f aca="false">Schedules!G115</f>
        <v>-1747.07467478447</v>
      </c>
      <c r="H77" s="16" t="n">
        <f aca="false">Schedules!H115</f>
        <v>-1356.74428308283</v>
      </c>
      <c r="I77" s="16" t="n">
        <f aca="false">Schedules!I115</f>
        <v>-998.61356346446</v>
      </c>
      <c r="J77" s="16" t="n">
        <f aca="false">Schedules!J115</f>
        <v>-1234.49273740258</v>
      </c>
      <c r="K77" s="16" t="n">
        <f aca="false">Schedules!K115</f>
        <v>-1370.79503276215</v>
      </c>
      <c r="L77" s="16" t="n">
        <f aca="false">Schedules!L115</f>
        <v>-1226.85139481207</v>
      </c>
      <c r="M77" s="16" t="n">
        <f aca="false">Schedules!M115</f>
        <v>-1594.01178839785</v>
      </c>
      <c r="N77" s="16" t="n">
        <f aca="false">Schedules!N115</f>
        <v>-1682.37204491055</v>
      </c>
      <c r="P77" s="29" t="s">
        <v>244</v>
      </c>
    </row>
    <row r="78" customFormat="false" ht="15" hidden="false" customHeight="false" outlineLevel="0" collapsed="false">
      <c r="A78" s="14" t="s">
        <v>245</v>
      </c>
      <c r="B78" s="12" t="s">
        <v>11</v>
      </c>
      <c r="C78" s="28" t="n">
        <v>-76.38</v>
      </c>
      <c r="D78" s="28" t="n">
        <v>21.81</v>
      </c>
      <c r="E78" s="28" t="n">
        <v>-31.54</v>
      </c>
      <c r="F78" s="16" t="n">
        <f aca="false">-(Schedules!F175-Schedules!E175)</f>
        <v>45.4529135119392</v>
      </c>
      <c r="G78" s="16" t="n">
        <f aca="false">-(Schedules!G175-Schedules!F175)</f>
        <v>-112.960012866628</v>
      </c>
      <c r="H78" s="16" t="n">
        <f aca="false">-(Schedules!H175-Schedules!G175)</f>
        <v>-124.323173981082</v>
      </c>
      <c r="I78" s="16" t="n">
        <f aca="false">-(Schedules!I175-Schedules!H175)</f>
        <v>-154.598621434606</v>
      </c>
      <c r="J78" s="16" t="n">
        <f aca="false">-(Schedules!J175-Schedules!I175)</f>
        <v>-155.894730709852</v>
      </c>
      <c r="K78" s="16" t="n">
        <f aca="false">-(Schedules!K175-Schedules!J175)</f>
        <v>-172.653303704563</v>
      </c>
      <c r="L78" s="16" t="n">
        <f aca="false">-(Schedules!L175-Schedules!K175)</f>
        <v>-173.693858091961</v>
      </c>
      <c r="M78" s="16" t="n">
        <f aca="false">-(Schedules!M175-Schedules!L175)</f>
        <v>-172.347740002147</v>
      </c>
      <c r="N78" s="16" t="n">
        <f aca="false">-(Schedules!N175-Schedules!M175)</f>
        <v>-169.045377494468</v>
      </c>
    </row>
    <row r="79" customFormat="false" ht="15" hidden="false" customHeight="false" outlineLevel="0" collapsed="false">
      <c r="A79" s="14" t="s">
        <v>246</v>
      </c>
      <c r="B79" s="12" t="s">
        <v>11</v>
      </c>
      <c r="C79" s="16" t="n">
        <f aca="false">-Schedules!C153</f>
        <v>-138.73</v>
      </c>
      <c r="D79" s="16" t="n">
        <f aca="false">-Schedules!D153</f>
        <v>-216.31</v>
      </c>
      <c r="E79" s="16" t="n">
        <f aca="false">-Schedules!E153</f>
        <v>-389.27</v>
      </c>
      <c r="F79" s="16" t="n">
        <f aca="false">-Schedules!F153</f>
        <v>-1006.80357229331</v>
      </c>
      <c r="G79" s="16" t="n">
        <f aca="false">-Schedules!G153</f>
        <v>-760.8730370281</v>
      </c>
      <c r="H79" s="16" t="n">
        <f aca="false">-Schedules!H153</f>
        <v>-745.586906375911</v>
      </c>
      <c r="I79" s="16" t="n">
        <f aca="false">-Schedules!I153</f>
        <v>-839.846350002323</v>
      </c>
      <c r="J79" s="16" t="n">
        <f aca="false">-Schedules!J153</f>
        <v>-997.977033341504</v>
      </c>
      <c r="K79" s="16" t="n">
        <f aca="false">-Schedules!K153</f>
        <v>-1228.47289946395</v>
      </c>
      <c r="L79" s="16" t="n">
        <f aca="false">-Schedules!L153</f>
        <v>-1492.73812570849</v>
      </c>
      <c r="M79" s="16" t="n">
        <f aca="false">-Schedules!M153</f>
        <v>-1794.60955907247</v>
      </c>
      <c r="N79" s="16" t="n">
        <f aca="false">-Schedules!N153</f>
        <v>-2142.26940642681</v>
      </c>
    </row>
    <row r="80" customFormat="false" ht="15" hidden="false" customHeight="false" outlineLevel="0" collapsed="false">
      <c r="A80" s="30" t="s">
        <v>247</v>
      </c>
      <c r="B80" s="31" t="s">
        <v>11</v>
      </c>
      <c r="C80" s="33" t="n">
        <f aca="false">C76+C77+C78+C79</f>
        <v>2630.87</v>
      </c>
      <c r="D80" s="33" t="n">
        <f aca="false">D76+D77+D78+D79</f>
        <v>3140.45</v>
      </c>
      <c r="E80" s="33" t="n">
        <f aca="false">E76+E77+E78+E79</f>
        <v>5091.33</v>
      </c>
      <c r="F80" s="33" t="n">
        <f aca="false">F76+F77+F78+F79</f>
        <v>5755.27103534772</v>
      </c>
      <c r="G80" s="33" t="n">
        <f aca="false">G76+G77+G78+G79</f>
        <v>4908.92224357171</v>
      </c>
      <c r="H80" s="33" t="n">
        <f aca="false">H76+H77+H78+H79</f>
        <v>6379.75846762108</v>
      </c>
      <c r="I80" s="33" t="n">
        <f aca="false">I76+I77+I78+I79</f>
        <v>7729.02761246093</v>
      </c>
      <c r="J80" s="33" t="n">
        <f aca="false">J76+J77+J78+J79</f>
        <v>8510.7345269596</v>
      </c>
      <c r="K80" s="33" t="n">
        <f aca="false">K76+K77+K78+K79</f>
        <v>9550.39861446932</v>
      </c>
      <c r="L80" s="33" t="n">
        <f aca="false">L76+L77+L78+L79</f>
        <v>10869.6767690974</v>
      </c>
      <c r="M80" s="33" t="n">
        <f aca="false">M76+M77+M78+M79</f>
        <v>11727.7642309793</v>
      </c>
      <c r="N80" s="33" t="n">
        <f aca="false">N76+N77+N78+N79</f>
        <v>12973.793192821</v>
      </c>
    </row>
    <row r="81" customFormat="false" ht="15" hidden="false" customHeight="false" outlineLevel="0" collapsed="false">
      <c r="A81" s="17" t="s">
        <v>248</v>
      </c>
      <c r="B81" s="12" t="s">
        <v>11</v>
      </c>
      <c r="C81" s="34" t="n">
        <f aca="false">C80-2630.87</f>
        <v>0</v>
      </c>
      <c r="D81" s="34" t="n">
        <f aca="false">D80-3140.45</f>
        <v>0</v>
      </c>
      <c r="E81" s="34" t="n">
        <f aca="false">E80-5091.33</f>
        <v>0</v>
      </c>
      <c r="F81" s="34"/>
      <c r="G81" s="34"/>
      <c r="H81" s="34"/>
      <c r="I81" s="34"/>
      <c r="J81" s="34"/>
      <c r="K81" s="34"/>
      <c r="L81" s="34"/>
      <c r="M81" s="34"/>
      <c r="N81" s="34"/>
    </row>
    <row r="82" customFormat="false" ht="15" hidden="false" customHeight="false" outlineLevel="0" collapsed="false">
      <c r="A82" s="40" t="s">
        <v>249</v>
      </c>
    </row>
    <row r="83" customFormat="false" ht="15" hidden="false" customHeight="false" outlineLevel="0" collapsed="false">
      <c r="A83" s="14" t="s">
        <v>250</v>
      </c>
      <c r="B83" s="12" t="s">
        <v>11</v>
      </c>
      <c r="C83" s="16" t="n">
        <f aca="false">-Schedules!C52</f>
        <v>-1816.9</v>
      </c>
      <c r="D83" s="16" t="n">
        <f aca="false">-Schedules!D52</f>
        <v>-3692.8</v>
      </c>
      <c r="E83" s="16" t="n">
        <f aca="false">-Schedules!E52</f>
        <v>-5929.61</v>
      </c>
      <c r="F83" s="16" t="n">
        <f aca="false">-Schedules!F52</f>
        <v>-12000</v>
      </c>
      <c r="G83" s="16" t="n">
        <f aca="false">-Schedules!G52</f>
        <v>-8500</v>
      </c>
      <c r="H83" s="16" t="n">
        <f aca="false">-Schedules!H52</f>
        <v>-7000</v>
      </c>
      <c r="I83" s="16" t="n">
        <f aca="false">-Schedules!I52</f>
        <v>-7500</v>
      </c>
      <c r="J83" s="16" t="n">
        <f aca="false">-Schedules!J52</f>
        <v>-7000</v>
      </c>
      <c r="K83" s="16" t="n">
        <f aca="false">-Schedules!K52</f>
        <v>-7000</v>
      </c>
      <c r="L83" s="16" t="n">
        <f aca="false">-Schedules!L52</f>
        <v>-8000</v>
      </c>
      <c r="M83" s="16" t="n">
        <f aca="false">-Schedules!M52</f>
        <v>-7500</v>
      </c>
      <c r="N83" s="16" t="n">
        <f aca="false">-Schedules!N52</f>
        <v>-7500</v>
      </c>
    </row>
    <row r="84" customFormat="false" ht="15" hidden="false" customHeight="false" outlineLevel="0" collapsed="false">
      <c r="A84" s="14" t="s">
        <v>251</v>
      </c>
      <c r="B84" s="12" t="s">
        <v>11</v>
      </c>
      <c r="C84" s="28" t="n">
        <v>8.53</v>
      </c>
      <c r="D84" s="28" t="n">
        <v>4.77</v>
      </c>
      <c r="E84" s="28" t="n">
        <v>5.18</v>
      </c>
      <c r="F84" s="16" t="n">
        <f aca="false">Schedules!F75</f>
        <v>15</v>
      </c>
      <c r="G84" s="16" t="n">
        <f aca="false">Schedules!G75</f>
        <v>15</v>
      </c>
      <c r="H84" s="16" t="n">
        <f aca="false">Schedules!H75</f>
        <v>15</v>
      </c>
      <c r="I84" s="16" t="n">
        <f aca="false">Schedules!I75</f>
        <v>15</v>
      </c>
      <c r="J84" s="16" t="n">
        <f aca="false">Schedules!J75</f>
        <v>15</v>
      </c>
      <c r="K84" s="16" t="n">
        <f aca="false">Schedules!K75</f>
        <v>15</v>
      </c>
      <c r="L84" s="16" t="n">
        <f aca="false">Schedules!L75</f>
        <v>15</v>
      </c>
      <c r="M84" s="16" t="n">
        <f aca="false">Schedules!M75</f>
        <v>15</v>
      </c>
      <c r="N84" s="16" t="n">
        <f aca="false">Schedules!N75</f>
        <v>15</v>
      </c>
      <c r="P84" s="29" t="s">
        <v>252</v>
      </c>
    </row>
    <row r="85" customFormat="false" ht="15" hidden="false" customHeight="false" outlineLevel="0" collapsed="false">
      <c r="A85" s="14" t="s">
        <v>253</v>
      </c>
      <c r="B85" s="12" t="s">
        <v>11</v>
      </c>
      <c r="C85" s="28" t="n">
        <v>-237.19</v>
      </c>
      <c r="D85" s="28" t="n">
        <v>-1837.73</v>
      </c>
      <c r="E85" s="28" t="n">
        <v>1745.64</v>
      </c>
      <c r="F85" s="16" t="n">
        <f aca="false">-(Schedules!F132-Schedules!E132)</f>
        <v>-37.9745</v>
      </c>
      <c r="G85" s="16" t="n">
        <f aca="false">-(Schedules!G132-Schedules!F132)</f>
        <v>-39.8732250000001</v>
      </c>
      <c r="H85" s="16" t="n">
        <f aca="false">-(Schedules!H132-Schedules!G132)</f>
        <v>-41.86688625</v>
      </c>
      <c r="I85" s="16" t="n">
        <f aca="false">-(Schedules!I132-Schedules!H132)</f>
        <v>-43.9602305625</v>
      </c>
      <c r="J85" s="16" t="n">
        <f aca="false">-(Schedules!J132-Schedules!I132)</f>
        <v>-46.1582420906251</v>
      </c>
      <c r="K85" s="16" t="n">
        <f aca="false">-(Schedules!K132-Schedules!J132)</f>
        <v>-48.4661541951563</v>
      </c>
      <c r="L85" s="16" t="n">
        <f aca="false">-(Schedules!L132-Schedules!K132)</f>
        <v>-50.889461904914</v>
      </c>
      <c r="M85" s="16" t="n">
        <f aca="false">-(Schedules!M132-Schedules!L132)</f>
        <v>-53.4339350001599</v>
      </c>
      <c r="N85" s="16" t="n">
        <f aca="false">-(Schedules!N132-Schedules!M132)</f>
        <v>-56.1056317501677</v>
      </c>
      <c r="P85" s="29" t="s">
        <v>254</v>
      </c>
    </row>
    <row r="86" customFormat="false" ht="15" hidden="false" customHeight="false" outlineLevel="0" collapsed="false">
      <c r="A86" s="14" t="s">
        <v>255</v>
      </c>
      <c r="B86" s="12" t="s">
        <v>11</v>
      </c>
      <c r="C86" s="28" t="n">
        <v>121.75</v>
      </c>
      <c r="D86" s="28" t="n">
        <v>159.11</v>
      </c>
      <c r="E86" s="28" t="n">
        <v>224.68</v>
      </c>
      <c r="F86" s="16" t="n">
        <f aca="false">Schedules!F134</f>
        <v>78.9315</v>
      </c>
      <c r="G86" s="16" t="n">
        <f aca="false">Schedules!G134</f>
        <v>83.8961230270821</v>
      </c>
      <c r="H86" s="16" t="n">
        <f aca="false">Schedules!H134</f>
        <v>91.8424054973064</v>
      </c>
      <c r="I86" s="16" t="n">
        <f aca="false">Schedules!I134</f>
        <v>100.838284439404</v>
      </c>
      <c r="J86" s="16" t="n">
        <f aca="false">Schedules!J134</f>
        <v>110.312421331695</v>
      </c>
      <c r="K86" s="16" t="n">
        <f aca="false">Schedules!K134</f>
        <v>120.278741572211</v>
      </c>
      <c r="L86" s="16" t="n">
        <f aca="false">Schedules!L134</f>
        <v>131.398697394993</v>
      </c>
      <c r="M86" s="16" t="n">
        <f aca="false">Schedules!M134</f>
        <v>143.097301136691</v>
      </c>
      <c r="N86" s="16" t="n">
        <f aca="false">Schedules!N134</f>
        <v>155.312215231584</v>
      </c>
    </row>
    <row r="87" customFormat="false" ht="15" hidden="false" customHeight="false" outlineLevel="0" collapsed="false">
      <c r="A87" s="30" t="s">
        <v>256</v>
      </c>
      <c r="B87" s="31" t="s">
        <v>11</v>
      </c>
      <c r="C87" s="33" t="n">
        <f aca="false">C83+C84+C85+C86</f>
        <v>-1923.81</v>
      </c>
      <c r="D87" s="33" t="n">
        <f aca="false">D83+D84+D85+D86</f>
        <v>-5366.65</v>
      </c>
      <c r="E87" s="33" t="n">
        <f aca="false">E83+E84+E85+E86</f>
        <v>-3954.11</v>
      </c>
      <c r="F87" s="33" t="n">
        <f aca="false">F83+F84+F85+F86</f>
        <v>-11944.043</v>
      </c>
      <c r="G87" s="33" t="n">
        <f aca="false">G83+G84+G85+G86</f>
        <v>-8440.97710197292</v>
      </c>
      <c r="H87" s="33" t="n">
        <f aca="false">H83+H84+H85+H86</f>
        <v>-6935.02448075269</v>
      </c>
      <c r="I87" s="33" t="n">
        <f aca="false">I83+I84+I85+I86</f>
        <v>-7428.1219461231</v>
      </c>
      <c r="J87" s="33" t="n">
        <f aca="false">J83+J84+J85+J86</f>
        <v>-6920.84582075893</v>
      </c>
      <c r="K87" s="33" t="n">
        <f aca="false">K83+K84+K85+K86</f>
        <v>-6913.18741262295</v>
      </c>
      <c r="L87" s="33" t="n">
        <f aca="false">L83+L84+L85+L86</f>
        <v>-7904.49076450992</v>
      </c>
      <c r="M87" s="33" t="n">
        <f aca="false">M83+M84+M85+M86</f>
        <v>-7395.33663386347</v>
      </c>
      <c r="N87" s="33" t="n">
        <f aca="false">N83+N84+N85+N86</f>
        <v>-7385.79341651858</v>
      </c>
    </row>
    <row r="88" customFormat="false" ht="15" hidden="false" customHeight="false" outlineLevel="0" collapsed="false">
      <c r="A88" s="40" t="s">
        <v>257</v>
      </c>
    </row>
    <row r="89" customFormat="false" ht="15" hidden="false" customHeight="false" outlineLevel="0" collapsed="false">
      <c r="A89" s="14" t="s">
        <v>258</v>
      </c>
      <c r="B89" s="12" t="s">
        <v>11</v>
      </c>
      <c r="C89" s="28" t="n">
        <v>998.93</v>
      </c>
      <c r="D89" s="28" t="n">
        <v>534.08</v>
      </c>
      <c r="E89" s="28" t="n">
        <v>255.04</v>
      </c>
      <c r="F89" s="16" t="n">
        <f aca="false">Schedules!F126</f>
        <v>7074.13044186059</v>
      </c>
      <c r="G89" s="16" t="n">
        <f aca="false">Schedules!G126</f>
        <v>6141.48782470785</v>
      </c>
      <c r="H89" s="16" t="n">
        <f aca="false">Schedules!H126</f>
        <v>4362.05753482045</v>
      </c>
      <c r="I89" s="16" t="n">
        <f aca="false">Schedules!I126</f>
        <v>4070.83814327254</v>
      </c>
      <c r="J89" s="16" t="n">
        <f aca="false">Schedules!J126</f>
        <v>3202.11558330748</v>
      </c>
      <c r="K89" s="16" t="n">
        <f aca="false">Schedules!K126</f>
        <v>2320.85415991732</v>
      </c>
      <c r="L89" s="16" t="n">
        <f aca="false">Schedules!L126</f>
        <v>1922.51675254997</v>
      </c>
      <c r="M89" s="16" t="n">
        <f aca="false">Schedules!M126</f>
        <v>417.401306335718</v>
      </c>
      <c r="N89" s="16" t="n">
        <f aca="false">Schedules!N126</f>
        <v>0</v>
      </c>
    </row>
    <row r="90" customFormat="false" ht="15" hidden="false" customHeight="false" outlineLevel="0" collapsed="false">
      <c r="A90" s="14" t="s">
        <v>259</v>
      </c>
      <c r="B90" s="12" t="s">
        <v>11</v>
      </c>
      <c r="C90" s="28" t="n">
        <v>-667.28</v>
      </c>
      <c r="D90" s="28" t="n">
        <v>-6238.3</v>
      </c>
      <c r="E90" s="28" t="n">
        <v>-588.9</v>
      </c>
      <c r="F90" s="16" t="n">
        <f aca="false">-Schedules!F124+Schedules!F127</f>
        <v>-158.541666666667</v>
      </c>
      <c r="G90" s="16" t="n">
        <f aca="false">-Schedules!G124+Schedules!G127</f>
        <v>-1311.13979586565</v>
      </c>
      <c r="H90" s="16" t="n">
        <f aca="false">-Schedules!H124+Schedules!H127</f>
        <v>-2116.19780067269</v>
      </c>
      <c r="I90" s="16" t="n">
        <f aca="false">-Schedules!I124+Schedules!I127</f>
        <v>-2490.50775636398</v>
      </c>
      <c r="J90" s="16" t="n">
        <f aca="false">-Schedules!J124+Schedules!J127</f>
        <v>-2753.89615418208</v>
      </c>
      <c r="K90" s="16" t="n">
        <f aca="false">-Schedules!K124+Schedules!K127</f>
        <v>-2828.59939236964</v>
      </c>
      <c r="L90" s="16" t="n">
        <f aca="false">-Schedules!L124+Schedules!L127</f>
        <v>-2743.97518696092</v>
      </c>
      <c r="M90" s="16" t="n">
        <f aca="false">-Schedules!M124+Schedules!M127</f>
        <v>-2607.06544789243</v>
      </c>
      <c r="N90" s="16" t="n">
        <f aca="false">-Schedules!N124+Schedules!N127</f>
        <v>-3553.17795698983</v>
      </c>
    </row>
    <row r="91" customFormat="false" ht="15" hidden="false" customHeight="false" outlineLevel="0" collapsed="false">
      <c r="A91" s="14" t="s">
        <v>260</v>
      </c>
      <c r="B91" s="12" t="s">
        <v>11</v>
      </c>
      <c r="C91" s="16" t="n">
        <f aca="false">-Schedules!C84</f>
        <v>-441.05</v>
      </c>
      <c r="D91" s="16" t="n">
        <f aca="false">-Schedules!D84</f>
        <v>-510.64</v>
      </c>
      <c r="E91" s="16" t="n">
        <f aca="false">-Schedules!E84</f>
        <v>-615.52</v>
      </c>
      <c r="F91" s="16" t="n">
        <f aca="false">-Schedules!F84</f>
        <v>-521.9829</v>
      </c>
      <c r="G91" s="16" t="n">
        <f aca="false">-Schedules!G84</f>
        <v>-469.344872471462</v>
      </c>
      <c r="H91" s="16" t="n">
        <f aca="false">-Schedules!H84</f>
        <v>-442.858369794479</v>
      </c>
      <c r="I91" s="16" t="n">
        <f aca="false">-Schedules!I84</f>
        <v>-437.367735154503</v>
      </c>
      <c r="J91" s="16" t="n">
        <f aca="false">-Schedules!J84</f>
        <v>-447.953400454877</v>
      </c>
      <c r="K91" s="16" t="n">
        <f aca="false">-Schedules!K84</f>
        <v>-471.041514728324</v>
      </c>
      <c r="L91" s="16" t="n">
        <f aca="false">-Schedules!L84</f>
        <v>-505.338829506063</v>
      </c>
      <c r="M91" s="16" t="n">
        <f aca="false">-Schedules!M84</f>
        <v>-548.736439904697</v>
      </c>
      <c r="N91" s="16" t="n">
        <f aca="false">-Schedules!N84</f>
        <v>-599.557662856013</v>
      </c>
    </row>
    <row r="92" customFormat="false" ht="15" hidden="false" customHeight="false" outlineLevel="0" collapsed="false">
      <c r="A92" s="14" t="s">
        <v>261</v>
      </c>
      <c r="B92" s="12" t="s">
        <v>11</v>
      </c>
      <c r="C92" s="16" t="n">
        <f aca="false">-Schedules!C83</f>
        <v>-253.53</v>
      </c>
      <c r="D92" s="16" t="n">
        <f aca="false">-Schedules!D83</f>
        <v>-248.98</v>
      </c>
      <c r="E92" s="16" t="n">
        <f aca="false">-Schedules!E83</f>
        <v>-232.17</v>
      </c>
      <c r="F92" s="16" t="n">
        <f aca="false">-Schedules!F83</f>
        <v>-212.6597</v>
      </c>
      <c r="G92" s="16" t="n">
        <f aca="false">-Schedules!G83</f>
        <v>-191.214577673559</v>
      </c>
      <c r="H92" s="16" t="n">
        <f aca="false">-Schedules!H83</f>
        <v>-180.423780286639</v>
      </c>
      <c r="I92" s="16" t="n">
        <f aca="false">-Schedules!I83</f>
        <v>-178.186855062946</v>
      </c>
      <c r="J92" s="16" t="n">
        <f aca="false">-Schedules!J83</f>
        <v>-182.499533518653</v>
      </c>
      <c r="K92" s="16" t="n">
        <f aca="false">-Schedules!K83</f>
        <v>-191.905802296724</v>
      </c>
      <c r="L92" s="16" t="n">
        <f aca="false">-Schedules!L83</f>
        <v>-205.878782391359</v>
      </c>
      <c r="M92" s="16" t="n">
        <f aca="false">-Schedules!M83</f>
        <v>-223.559290331543</v>
      </c>
      <c r="N92" s="16" t="n">
        <f aca="false">-Schedules!N83</f>
        <v>-244.264233015413</v>
      </c>
    </row>
    <row r="93" customFormat="false" ht="15" hidden="false" customHeight="false" outlineLevel="0" collapsed="false">
      <c r="A93" s="14" t="s">
        <v>262</v>
      </c>
      <c r="B93" s="12" t="s">
        <v>11</v>
      </c>
      <c r="C93" s="28" t="n">
        <v>-599.73</v>
      </c>
      <c r="D93" s="28" t="n">
        <v>-525.12</v>
      </c>
      <c r="E93" s="28" t="n">
        <v>-107.7</v>
      </c>
      <c r="F93" s="16" t="n">
        <f aca="false">-Schedules!F123</f>
        <v>-80.85625</v>
      </c>
      <c r="G93" s="16" t="n">
        <f aca="false">-Schedules!G123</f>
        <v>-668.681295891484</v>
      </c>
      <c r="H93" s="16" t="n">
        <f aca="false">-Schedules!H123</f>
        <v>-1079.26087834307</v>
      </c>
      <c r="I93" s="16" t="n">
        <f aca="false">-Schedules!I123</f>
        <v>-1270.15895574563</v>
      </c>
      <c r="J93" s="16" t="n">
        <f aca="false">-Schedules!J123</f>
        <v>-1404.48703863286</v>
      </c>
      <c r="K93" s="16" t="n">
        <f aca="false">-Schedules!K123</f>
        <v>-1442.58569010852</v>
      </c>
      <c r="L93" s="16" t="n">
        <f aca="false">-Schedules!L123</f>
        <v>-1399.42734535007</v>
      </c>
      <c r="M93" s="16" t="n">
        <f aca="false">-Schedules!M123</f>
        <v>-1329.60337842514</v>
      </c>
      <c r="N93" s="16" t="n">
        <f aca="false">-Schedules!N123</f>
        <v>-1143.48192639282</v>
      </c>
      <c r="P93" s="29" t="s">
        <v>263</v>
      </c>
    </row>
    <row r="94" customFormat="false" ht="15" hidden="false" customHeight="false" outlineLevel="0" collapsed="false">
      <c r="A94" s="14" t="s">
        <v>264</v>
      </c>
      <c r="B94" s="12" t="s">
        <v>11</v>
      </c>
      <c r="C94" s="28" t="n">
        <v>9.67</v>
      </c>
      <c r="D94" s="28" t="n">
        <v>10003.22</v>
      </c>
      <c r="E94" s="28" t="n">
        <v>52.45</v>
      </c>
      <c r="F94" s="16" t="n">
        <f aca="false">Schedules!F159</f>
        <v>150</v>
      </c>
      <c r="G94" s="16" t="n">
        <f aca="false">Schedules!G159</f>
        <v>150</v>
      </c>
      <c r="H94" s="16" t="n">
        <f aca="false">Schedules!H159</f>
        <v>150</v>
      </c>
      <c r="I94" s="16" t="n">
        <f aca="false">Schedules!I159</f>
        <v>150</v>
      </c>
      <c r="J94" s="16" t="n">
        <f aca="false">Schedules!J159</f>
        <v>150</v>
      </c>
      <c r="K94" s="16" t="n">
        <f aca="false">Schedules!K159</f>
        <v>150</v>
      </c>
      <c r="L94" s="16" t="n">
        <f aca="false">Schedules!L159</f>
        <v>150</v>
      </c>
      <c r="M94" s="16" t="n">
        <f aca="false">Schedules!M159</f>
        <v>150</v>
      </c>
      <c r="N94" s="16" t="n">
        <f aca="false">Schedules!N159</f>
        <v>150</v>
      </c>
      <c r="P94" s="29" t="s">
        <v>265</v>
      </c>
    </row>
    <row r="95" customFormat="false" ht="15" hidden="false" customHeight="false" outlineLevel="0" collapsed="false">
      <c r="A95" s="14" t="s">
        <v>266</v>
      </c>
      <c r="B95" s="12" t="s">
        <v>11</v>
      </c>
      <c r="C95" s="16" t="n">
        <f aca="false">-Schedules!C164</f>
        <v>-0</v>
      </c>
      <c r="D95" s="16" t="n">
        <f aca="false">-Schedules!D164</f>
        <v>-0</v>
      </c>
      <c r="E95" s="16" t="n">
        <f aca="false">-Schedules!E164</f>
        <v>-0</v>
      </c>
      <c r="F95" s="16" t="n">
        <f aca="false">-Schedules!F164</f>
        <v>-0</v>
      </c>
      <c r="G95" s="16" t="n">
        <f aca="false">-Schedules!G164</f>
        <v>-0</v>
      </c>
      <c r="H95" s="16" t="n">
        <f aca="false">-Schedules!H164</f>
        <v>-0</v>
      </c>
      <c r="I95" s="16" t="n">
        <f aca="false">-Schedules!I164</f>
        <v>-0</v>
      </c>
      <c r="J95" s="16" t="n">
        <f aca="false">-Schedules!J164</f>
        <v>-0</v>
      </c>
      <c r="K95" s="16" t="n">
        <f aca="false">-Schedules!K164</f>
        <v>-0</v>
      </c>
      <c r="L95" s="16" t="n">
        <f aca="false">-Schedules!L164</f>
        <v>-0</v>
      </c>
      <c r="M95" s="16" t="n">
        <f aca="false">-Schedules!M164</f>
        <v>-0</v>
      </c>
      <c r="N95" s="16" t="n">
        <f aca="false">-Schedules!N164</f>
        <v>-0</v>
      </c>
    </row>
    <row r="96" customFormat="false" ht="15" hidden="false" customHeight="false" outlineLevel="0" collapsed="false">
      <c r="A96" s="30" t="s">
        <v>267</v>
      </c>
      <c r="B96" s="31" t="s">
        <v>11</v>
      </c>
      <c r="C96" s="33" t="n">
        <f aca="false">C89+C90+C91+C92+C93+C94+C95</f>
        <v>-952.99</v>
      </c>
      <c r="D96" s="33" t="n">
        <f aca="false">D89+D90+D91+D92+D93+D94+D95</f>
        <v>3014.26</v>
      </c>
      <c r="E96" s="33" t="n">
        <f aca="false">E89+E90+E91+E92+E93+E94+E95</f>
        <v>-1236.8</v>
      </c>
      <c r="F96" s="33" t="n">
        <f aca="false">F89+F90+F91+F92+F93+F94+F95</f>
        <v>6250.08992519393</v>
      </c>
      <c r="G96" s="33" t="n">
        <f aca="false">G89+G90+G91+G92+G93+G94+G95</f>
        <v>3651.1072828057</v>
      </c>
      <c r="H96" s="33" t="n">
        <f aca="false">H89+H90+H91+H92+H93+H94+H95</f>
        <v>693.316705723576</v>
      </c>
      <c r="I96" s="33" t="n">
        <f aca="false">I89+I90+I91+I92+I93+I94+I95</f>
        <v>-155.383159054519</v>
      </c>
      <c r="J96" s="33" t="n">
        <f aca="false">J89+J90+J91+J92+J93+J94+J95</f>
        <v>-1436.72054348098</v>
      </c>
      <c r="K96" s="33" t="n">
        <f aca="false">K89+K90+K91+K92+K93+K94+K95</f>
        <v>-2463.27823958589</v>
      </c>
      <c r="L96" s="33" t="n">
        <f aca="false">L89+L90+L91+L92+L93+L94+L95</f>
        <v>-2782.10339165844</v>
      </c>
      <c r="M96" s="33" t="n">
        <f aca="false">M89+M90+M91+M92+M93+M94+M95</f>
        <v>-4141.56325021809</v>
      </c>
      <c r="N96" s="33" t="n">
        <f aca="false">N89+N90+N91+N92+N93+N94+N95</f>
        <v>-5390.48177925407</v>
      </c>
    </row>
    <row r="97" customFormat="false" ht="15" hidden="false" customHeight="false" outlineLevel="0" collapsed="false">
      <c r="A97" s="40" t="s">
        <v>268</v>
      </c>
    </row>
    <row r="98" customFormat="false" ht="15" hidden="false" customHeight="false" outlineLevel="0" collapsed="false">
      <c r="A98" s="14" t="s">
        <v>269</v>
      </c>
      <c r="B98" s="12" t="s">
        <v>11</v>
      </c>
      <c r="C98" s="24" t="n">
        <f aca="false">C80+C87+C96</f>
        <v>-245.93</v>
      </c>
      <c r="D98" s="24" t="n">
        <f aca="false">D80+D87+D96</f>
        <v>788.060000000001</v>
      </c>
      <c r="E98" s="24" t="n">
        <f aca="false">E80+E87+E96</f>
        <v>-99.5800000000029</v>
      </c>
      <c r="F98" s="24" t="n">
        <f aca="false">F80+F87+F96</f>
        <v>61.3179605416426</v>
      </c>
      <c r="G98" s="24" t="n">
        <f aca="false">G80+G87+G96</f>
        <v>119.052424404485</v>
      </c>
      <c r="H98" s="24" t="n">
        <f aca="false">H80+H87+H96</f>
        <v>138.050692591959</v>
      </c>
      <c r="I98" s="24" t="n">
        <f aca="false">I80+I87+I96</f>
        <v>145.522507283318</v>
      </c>
      <c r="J98" s="24" t="n">
        <f aca="false">J80+J87+J96</f>
        <v>153.168162719689</v>
      </c>
      <c r="K98" s="24" t="n">
        <f aca="false">K80+K87+K96</f>
        <v>173.932962260484</v>
      </c>
      <c r="L98" s="24" t="n">
        <f aca="false">L80+L87+L96</f>
        <v>183.082612929053</v>
      </c>
      <c r="M98" s="24" t="n">
        <f aca="false">M80+M87+M96</f>
        <v>190.864346897702</v>
      </c>
      <c r="N98" s="24" t="n">
        <f aca="false">N80+N87+N96</f>
        <v>197.517997048371</v>
      </c>
    </row>
    <row r="99" customFormat="false" ht="15" hidden="false" customHeight="false" outlineLevel="0" collapsed="false">
      <c r="A99" s="14" t="s">
        <v>270</v>
      </c>
      <c r="B99" s="12" t="s">
        <v>11</v>
      </c>
      <c r="C99" s="28" t="n">
        <v>10.33</v>
      </c>
      <c r="D99" s="28" t="n">
        <v>2.78</v>
      </c>
      <c r="E99" s="28" t="n">
        <v>8.2</v>
      </c>
      <c r="F99" s="28" t="n">
        <v>0</v>
      </c>
      <c r="G99" s="28" t="n">
        <v>0</v>
      </c>
      <c r="H99" s="28" t="n">
        <v>0</v>
      </c>
      <c r="I99" s="28" t="n">
        <v>0</v>
      </c>
      <c r="J99" s="28" t="n">
        <v>0</v>
      </c>
      <c r="K99" s="28" t="n">
        <v>0</v>
      </c>
      <c r="L99" s="28" t="n">
        <v>0</v>
      </c>
      <c r="M99" s="28" t="n">
        <v>0</v>
      </c>
      <c r="N99" s="28" t="n">
        <v>0</v>
      </c>
    </row>
    <row r="100" customFormat="false" ht="15" hidden="false" customHeight="false" outlineLevel="0" collapsed="false">
      <c r="A100" s="14" t="s">
        <v>271</v>
      </c>
      <c r="B100" s="12" t="s">
        <v>11</v>
      </c>
      <c r="C100" s="28" t="n">
        <v>355.29</v>
      </c>
      <c r="D100" s="28" t="n">
        <v>119.69</v>
      </c>
      <c r="E100" s="28" t="n">
        <v>910.52</v>
      </c>
      <c r="F100" s="16" t="n">
        <f aca="false">Schedules!E137</f>
        <v>819.14</v>
      </c>
      <c r="G100" s="16" t="n">
        <f aca="false">Schedules!F137</f>
        <v>880.457960541642</v>
      </c>
      <c r="H100" s="16" t="n">
        <f aca="false">Schedules!G137</f>
        <v>999.510384946128</v>
      </c>
      <c r="I100" s="16" t="n">
        <f aca="false">Schedules!H137</f>
        <v>1137.56107753809</v>
      </c>
      <c r="J100" s="16" t="n">
        <f aca="false">Schedules!I137</f>
        <v>1283.0835848214</v>
      </c>
      <c r="K100" s="16" t="n">
        <f aca="false">Schedules!J137</f>
        <v>1436.25174754109</v>
      </c>
      <c r="L100" s="16" t="n">
        <f aca="false">Schedules!K137</f>
        <v>1610.18470980158</v>
      </c>
      <c r="M100" s="16" t="n">
        <f aca="false">Schedules!L137</f>
        <v>1793.26732273063</v>
      </c>
      <c r="N100" s="16" t="n">
        <f aca="false">Schedules!M137</f>
        <v>1984.13166962833</v>
      </c>
    </row>
    <row r="101" customFormat="false" ht="15" hidden="false" customHeight="false" outlineLevel="0" collapsed="false">
      <c r="A101" s="30" t="s">
        <v>272</v>
      </c>
      <c r="B101" s="31" t="s">
        <v>11</v>
      </c>
      <c r="C101" s="33" t="n">
        <f aca="false">C100+C98+C99</f>
        <v>119.69</v>
      </c>
      <c r="D101" s="33" t="n">
        <f aca="false">D100+D98+D99</f>
        <v>910.530000000001</v>
      </c>
      <c r="E101" s="33" t="n">
        <f aca="false">E100+E98+E99</f>
        <v>819.139999999997</v>
      </c>
      <c r="F101" s="33" t="n">
        <f aca="false">F100+F98+F99</f>
        <v>880.457960541643</v>
      </c>
      <c r="G101" s="33" t="n">
        <f aca="false">G100+G98+G99</f>
        <v>999.510384946127</v>
      </c>
      <c r="H101" s="33" t="n">
        <f aca="false">H100+H98+H99</f>
        <v>1137.56107753809</v>
      </c>
      <c r="I101" s="33" t="n">
        <f aca="false">I100+I98+I99</f>
        <v>1283.0835848214</v>
      </c>
      <c r="J101" s="33" t="n">
        <f aca="false">J100+J98+J99</f>
        <v>1436.25174754109</v>
      </c>
      <c r="K101" s="33" t="n">
        <f aca="false">K100+K98+K99</f>
        <v>1610.18470980158</v>
      </c>
      <c r="L101" s="33" t="n">
        <f aca="false">L100+L98+L99</f>
        <v>1793.26732273063</v>
      </c>
      <c r="M101" s="33" t="n">
        <f aca="false">M100+M98+M99</f>
        <v>1984.13166962833</v>
      </c>
      <c r="N101" s="33" t="n">
        <f aca="false">N100+N98+N99</f>
        <v>2181.6496666767</v>
      </c>
    </row>
    <row r="102" customFormat="false" ht="15" hidden="false" customHeight="false" outlineLevel="0" collapsed="false">
      <c r="A102" s="11" t="s">
        <v>273</v>
      </c>
      <c r="B102" s="12" t="s">
        <v>11</v>
      </c>
      <c r="C102" s="43"/>
      <c r="D102" s="43"/>
      <c r="E102" s="43"/>
      <c r="F102" s="43" t="n">
        <f aca="false">F101-F46</f>
        <v>0</v>
      </c>
      <c r="G102" s="43" t="n">
        <f aca="false">G101-G46</f>
        <v>0</v>
      </c>
      <c r="H102" s="43" t="n">
        <f aca="false">H101-H46</f>
        <v>0</v>
      </c>
      <c r="I102" s="43" t="n">
        <f aca="false">I101-I46</f>
        <v>0</v>
      </c>
      <c r="J102" s="43" t="n">
        <f aca="false">J101-J46</f>
        <v>0</v>
      </c>
      <c r="K102" s="43" t="n">
        <f aca="false">K101-K46</f>
        <v>0</v>
      </c>
      <c r="L102" s="43" t="n">
        <f aca="false">L101-L46</f>
        <v>0</v>
      </c>
      <c r="M102" s="43" t="n">
        <f aca="false">M101-M46</f>
        <v>0</v>
      </c>
      <c r="N102" s="43" t="n">
        <f aca="false">N101-N46</f>
        <v>0</v>
      </c>
    </row>
    <row r="103" customFormat="false" ht="15" hidden="false" customHeight="false" outlineLevel="0" collapsed="false">
      <c r="A103" s="29" t="s">
        <v>274</v>
      </c>
    </row>
    <row r="105" customFormat="false" ht="15" hidden="false" customHeight="false" outlineLevel="0" collapsed="false">
      <c r="A105" s="3" t="s">
        <v>275</v>
      </c>
      <c r="B105" s="4"/>
      <c r="C105" s="4"/>
      <c r="D105" s="4"/>
      <c r="E105" s="4"/>
      <c r="F105" s="4"/>
      <c r="G105" s="4"/>
      <c r="H105" s="4"/>
      <c r="I105" s="4"/>
      <c r="J105" s="4"/>
      <c r="K105" s="4"/>
      <c r="L105" s="4"/>
      <c r="M105" s="4"/>
      <c r="N105" s="4"/>
      <c r="O105" s="4"/>
      <c r="P105" s="4"/>
    </row>
    <row r="106" customFormat="false" ht="15" hidden="false" customHeight="false" outlineLevel="0" collapsed="false">
      <c r="A106" s="11" t="s">
        <v>44</v>
      </c>
      <c r="B106" s="12" t="s">
        <v>11</v>
      </c>
      <c r="C106" s="36" t="n">
        <f aca="false">C80+C83</f>
        <v>813.97</v>
      </c>
      <c r="D106" s="36" t="n">
        <f aca="false">D80+D83</f>
        <v>-552.349999999998</v>
      </c>
      <c r="E106" s="36" t="n">
        <f aca="false">E80+E83</f>
        <v>-838.280000000003</v>
      </c>
      <c r="F106" s="36" t="n">
        <f aca="false">F80+F83</f>
        <v>-6244.72896465228</v>
      </c>
      <c r="G106" s="36" t="n">
        <f aca="false">G80+G83</f>
        <v>-3591.07775642829</v>
      </c>
      <c r="H106" s="36" t="n">
        <f aca="false">H80+H83</f>
        <v>-620.241532378923</v>
      </c>
      <c r="I106" s="36" t="n">
        <f aca="false">I80+I83</f>
        <v>229.027612460932</v>
      </c>
      <c r="J106" s="36" t="n">
        <f aca="false">J80+J83</f>
        <v>1510.7345269596</v>
      </c>
      <c r="K106" s="36" t="n">
        <f aca="false">K80+K83</f>
        <v>2550.39861446932</v>
      </c>
      <c r="L106" s="36" t="n">
        <f aca="false">L80+L83</f>
        <v>2869.67676909742</v>
      </c>
      <c r="M106" s="36" t="n">
        <f aca="false">M80+M83</f>
        <v>4227.76423097926</v>
      </c>
      <c r="N106" s="36" t="n">
        <f aca="false">N80+N83</f>
        <v>5473.79319282103</v>
      </c>
    </row>
    <row r="107" customFormat="false" ht="15" hidden="false" customHeight="false" outlineLevel="0" collapsed="false">
      <c r="A107" s="14" t="s">
        <v>276</v>
      </c>
      <c r="B107" s="12" t="s">
        <v>27</v>
      </c>
      <c r="C107" s="15"/>
      <c r="D107" s="15" t="n">
        <f aca="false">D16/(((D52+D53+D58)+(C52+C53+C58))/2)</f>
        <v>0.145176276673219</v>
      </c>
      <c r="E107" s="15" t="n">
        <f aca="false">E16/(((E52+E53+E58)+(D52+D53+D58))/2)</f>
        <v>0.204442571378528</v>
      </c>
      <c r="F107" s="15" t="n">
        <f aca="false">F16/(((F52+F53+F58)+(E52+E53+E58))/2)</f>
        <v>0.140031239961865</v>
      </c>
      <c r="G107" s="15" t="n">
        <f aca="false">G16/(((G52+G53+G58)+(F52+F53+F58))/2)</f>
        <v>0.108680196842098</v>
      </c>
      <c r="H107" s="15" t="n">
        <f aca="false">H16/(((H52+H53+H58)+(G52+G53+G58))/2)</f>
        <v>0.104057868999604</v>
      </c>
      <c r="I107" s="15" t="n">
        <f aca="false">I16/(((I52+I53+I58)+(H52+H53+H58))/2)</f>
        <v>0.107787284044234</v>
      </c>
      <c r="J107" s="15" t="n">
        <f aca="false">J16/(((J52+J53+J58)+(I52+I53+I58))/2)</f>
        <v>0.113865656064773</v>
      </c>
      <c r="K107" s="15" t="n">
        <f aca="false">K16/(((K52+K53+K58)+(J52+J53+J58))/2)</f>
        <v>0.124563349476195</v>
      </c>
      <c r="L107" s="15" t="n">
        <f aca="false">L16/(((L52+L53+L58)+(K52+K53+K58))/2)</f>
        <v>0.133590810346331</v>
      </c>
      <c r="M107" s="15" t="n">
        <f aca="false">M16/(((M52+M53+M58)+(L52+L53+L58))/2)</f>
        <v>0.142486661882058</v>
      </c>
      <c r="N107" s="15" t="n">
        <f aca="false">N16/(((N52+N53+N58)+(M52+M53+M58))/2)</f>
        <v>0.15346056160967</v>
      </c>
    </row>
    <row r="108" customFormat="false" ht="15" hidden="false" customHeight="false" outlineLevel="0" collapsed="false">
      <c r="A108" s="14" t="s">
        <v>277</v>
      </c>
      <c r="B108" s="12" t="s">
        <v>27</v>
      </c>
      <c r="C108" s="15"/>
      <c r="D108" s="15" t="n">
        <f aca="false">D26/((D52+C52)/2)</f>
        <v>0.109638865563954</v>
      </c>
      <c r="E108" s="15" t="n">
        <f aca="false">E26/((E52+D52)/2)</f>
        <v>0.151303912670353</v>
      </c>
      <c r="F108" s="15" t="n">
        <f aca="false">F26/((F52+E52)/2)</f>
        <v>0.115666240857996</v>
      </c>
      <c r="G108" s="15" t="n">
        <f aca="false">G26/((G52+F52)/2)</f>
        <v>0.0895930392969725</v>
      </c>
      <c r="H108" s="15" t="n">
        <f aca="false">H26/((H52+G52)/2)</f>
        <v>0.0837472551552207</v>
      </c>
      <c r="I108" s="15" t="n">
        <f aca="false">I26/((I52+H52)/2)</f>
        <v>0.0876240267280729</v>
      </c>
      <c r="J108" s="15" t="n">
        <f aca="false">J26/((J52+I52)/2)</f>
        <v>0.0930508792932975</v>
      </c>
      <c r="K108" s="15" t="n">
        <f aca="false">K26/((K52+J52)/2)</f>
        <v>0.102595474963477</v>
      </c>
      <c r="L108" s="15" t="n">
        <f aca="false">L26/((L52+K52)/2)</f>
        <v>0.109875124111797</v>
      </c>
      <c r="M108" s="15" t="n">
        <f aca="false">M26/((M52+L52)/2)</f>
        <v>0.115255107690791</v>
      </c>
      <c r="N108" s="15" t="n">
        <f aca="false">N26/((N52+M52)/2)</f>
        <v>0.121129213182713</v>
      </c>
    </row>
  </sheetData>
  <mergeCells count="2">
    <mergeCell ref="A1:P1"/>
    <mergeCell ref="A2:P2"/>
  </mergeCells>
  <printOptions headings="false" gridLines="false" gridLinesSet="true" horizontalCentered="true" verticalCentered="false"/>
  <pageMargins left="0.3" right="0.3"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&amp;LSai Life Sciences model - Statements&amp;R&amp;P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P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1"/>
    <col collapsed="false" customWidth="true" hidden="false" outlineLevel="0" max="14" min="3" style="0" width="12"/>
    <col collapsed="false" customWidth="true" hidden="false" outlineLevel="0" max="15" min="15" style="0" width="2"/>
    <col collapsed="false" customWidth="true" hidden="false" outlineLevel="0" max="16" min="16" style="0" width="78"/>
  </cols>
  <sheetData>
    <row r="1" customFormat="false" ht="21.75" hidden="false" customHeight="true" outlineLevel="0" collapsed="false">
      <c r="A1" s="1" t="s">
        <v>278</v>
      </c>
      <c r="B1" s="1"/>
      <c r="C1" s="1"/>
      <c r="D1" s="1"/>
      <c r="E1" s="1"/>
      <c r="F1" s="1"/>
      <c r="G1" s="1"/>
      <c r="H1" s="1"/>
      <c r="I1" s="1"/>
      <c r="J1" s="1"/>
      <c r="K1" s="1"/>
      <c r="L1" s="1"/>
      <c r="M1" s="1"/>
      <c r="N1" s="1"/>
      <c r="O1" s="1"/>
      <c r="P1" s="1"/>
    </row>
    <row r="2" customFormat="false" ht="15" hidden="false" customHeight="false" outlineLevel="0" collapsed="false">
      <c r="A2" s="2" t="s">
        <v>279</v>
      </c>
      <c r="B2" s="2"/>
      <c r="C2" s="2"/>
      <c r="D2" s="2"/>
      <c r="E2" s="2"/>
      <c r="F2" s="2"/>
      <c r="G2" s="2"/>
      <c r="H2" s="2"/>
      <c r="I2" s="2"/>
      <c r="J2" s="2"/>
      <c r="K2" s="2"/>
      <c r="L2" s="2"/>
      <c r="M2" s="2"/>
      <c r="N2" s="2"/>
      <c r="O2" s="2"/>
      <c r="P2" s="2"/>
    </row>
    <row r="3" customFormat="false" ht="15" hidden="false" customHeight="false" outlineLevel="0" collapsed="false">
      <c r="A3" s="6"/>
      <c r="B3" s="7" t="s">
        <v>11</v>
      </c>
      <c r="C3" s="8" t="s">
        <v>12</v>
      </c>
      <c r="D3" s="8" t="s">
        <v>13</v>
      </c>
      <c r="E3" s="8" t="s">
        <v>14</v>
      </c>
      <c r="F3" s="9" t="s">
        <v>15</v>
      </c>
      <c r="G3" s="9" t="s">
        <v>16</v>
      </c>
      <c r="H3" s="9" t="s">
        <v>17</v>
      </c>
      <c r="I3" s="9" t="s">
        <v>18</v>
      </c>
      <c r="J3" s="9" t="s">
        <v>19</v>
      </c>
      <c r="K3" s="9" t="s">
        <v>20</v>
      </c>
      <c r="L3" s="9" t="s">
        <v>21</v>
      </c>
      <c r="M3" s="9" t="s">
        <v>22</v>
      </c>
      <c r="N3" s="9" t="s">
        <v>23</v>
      </c>
      <c r="O3" s="6"/>
      <c r="P3" s="10" t="s">
        <v>24</v>
      </c>
    </row>
    <row r="5" customFormat="false" ht="15" hidden="false" customHeight="false" outlineLevel="0" collapsed="false">
      <c r="A5" s="3" t="s">
        <v>280</v>
      </c>
      <c r="B5" s="4"/>
      <c r="C5" s="4"/>
      <c r="D5" s="4"/>
      <c r="E5" s="4"/>
      <c r="F5" s="4"/>
      <c r="G5" s="4"/>
      <c r="H5" s="4"/>
      <c r="I5" s="4"/>
      <c r="J5" s="4"/>
      <c r="K5" s="4"/>
      <c r="L5" s="4"/>
      <c r="M5" s="4"/>
      <c r="N5" s="4"/>
      <c r="O5" s="4"/>
      <c r="P5" s="4"/>
    </row>
    <row r="6" customFormat="false" ht="15" hidden="false" customHeight="false" outlineLevel="0" collapsed="false">
      <c r="A6" s="11" t="s">
        <v>25</v>
      </c>
      <c r="B6" s="12" t="s">
        <v>11</v>
      </c>
      <c r="C6" s="13" t="n">
        <f aca="false">Revenue_Model!C53</f>
        <v>14651.78</v>
      </c>
      <c r="D6" s="13" t="n">
        <f aca="false">Revenue_Model!D53</f>
        <v>16945.7</v>
      </c>
      <c r="E6" s="13" t="n">
        <f aca="false">Revenue_Model!E53</f>
        <v>21924.92</v>
      </c>
      <c r="F6" s="13" t="n">
        <f aca="false">Revenue_Model!F53</f>
        <v>25155.9417297612</v>
      </c>
      <c r="G6" s="13" t="n">
        <f aca="false">Revenue_Model!G53</f>
        <v>28557.4395698893</v>
      </c>
      <c r="H6" s="13" t="n">
        <f aca="false">Revenue_Model!H53</f>
        <v>32501.7450725167</v>
      </c>
      <c r="I6" s="13" t="n">
        <f aca="false">Revenue_Model!I53</f>
        <v>36659.5309948973</v>
      </c>
      <c r="J6" s="13" t="n">
        <f aca="false">Revenue_Model!J53</f>
        <v>41035.7642154597</v>
      </c>
      <c r="K6" s="13" t="n">
        <f aca="false">Revenue_Model!K53</f>
        <v>46005.2774229021</v>
      </c>
      <c r="L6" s="13" t="n">
        <f aca="false">Revenue_Model!L53</f>
        <v>51236.2092208751</v>
      </c>
      <c r="M6" s="13" t="n">
        <f aca="false">Revenue_Model!M53</f>
        <v>56689.4762750951</v>
      </c>
      <c r="N6" s="13" t="n">
        <f aca="false">Revenue_Model!N53</f>
        <v>62332.8476193342</v>
      </c>
    </row>
    <row r="7" customFormat="false" ht="15" hidden="false" customHeight="false" outlineLevel="0" collapsed="false">
      <c r="A7" s="14" t="s">
        <v>28</v>
      </c>
      <c r="B7" s="12" t="s">
        <v>11</v>
      </c>
      <c r="C7" s="16" t="n">
        <f aca="false">Revenue_Model!C17</f>
        <v>4970</v>
      </c>
      <c r="D7" s="16" t="n">
        <f aca="false">Revenue_Model!D17</f>
        <v>6260</v>
      </c>
      <c r="E7" s="16" t="n">
        <f aca="false">Revenue_Model!E17</f>
        <v>7750</v>
      </c>
      <c r="F7" s="16" t="n">
        <f aca="false">Revenue_Model!F17</f>
        <v>8900.60643564356</v>
      </c>
      <c r="G7" s="16" t="n">
        <f aca="false">Revenue_Model!G17</f>
        <v>10058.4871287129</v>
      </c>
      <c r="H7" s="16" t="n">
        <f aca="false">Revenue_Model!H17</f>
        <v>11261.4000792079</v>
      </c>
      <c r="I7" s="16" t="n">
        <f aca="false">Revenue_Model!I17</f>
        <v>12449.6178879208</v>
      </c>
      <c r="J7" s="16" t="n">
        <f aca="false">Revenue_Model!J17</f>
        <v>13635.7495356119</v>
      </c>
      <c r="K7" s="16" t="n">
        <f aca="false">Revenue_Model!K17</f>
        <v>14815.6921074553</v>
      </c>
      <c r="L7" s="16" t="n">
        <f aca="false">Revenue_Model!L17</f>
        <v>15907.7484143673</v>
      </c>
      <c r="M7" s="16" t="n">
        <f aca="false">Revenue_Model!M17</f>
        <v>16973.5218462091</v>
      </c>
      <c r="N7" s="16" t="n">
        <f aca="false">Revenue_Model!N17</f>
        <v>18008.0984158828</v>
      </c>
    </row>
    <row r="8" customFormat="false" ht="15" hidden="false" customHeight="false" outlineLevel="0" collapsed="false">
      <c r="A8" s="14" t="s">
        <v>29</v>
      </c>
      <c r="B8" s="12" t="s">
        <v>11</v>
      </c>
      <c r="C8" s="16" t="n">
        <f aca="false">Revenue_Model!C39</f>
        <v>9680</v>
      </c>
      <c r="D8" s="16" t="n">
        <f aca="false">Revenue_Model!D39</f>
        <v>10680</v>
      </c>
      <c r="E8" s="16" t="n">
        <f aca="false">Revenue_Model!E39</f>
        <v>14170</v>
      </c>
      <c r="F8" s="16" t="n">
        <f aca="false">Revenue_Model!F39</f>
        <v>16255.3352941176</v>
      </c>
      <c r="G8" s="16" t="n">
        <f aca="false">Revenue_Model!G39</f>
        <v>18498.9524411765</v>
      </c>
      <c r="H8" s="16" t="n">
        <f aca="false">Revenue_Model!H39</f>
        <v>21240.3449933088</v>
      </c>
      <c r="I8" s="16" t="n">
        <f aca="false">Revenue_Model!I39</f>
        <v>24209.9131069765</v>
      </c>
      <c r="J8" s="16" t="n">
        <f aca="false">Revenue_Model!J39</f>
        <v>27400.0146798479</v>
      </c>
      <c r="K8" s="16" t="n">
        <f aca="false">Revenue_Model!K39</f>
        <v>31189.5853154469</v>
      </c>
      <c r="L8" s="16" t="n">
        <f aca="false">Revenue_Model!L39</f>
        <v>35328.4608065078</v>
      </c>
      <c r="M8" s="16" t="n">
        <f aca="false">Revenue_Model!M39</f>
        <v>39715.954428886</v>
      </c>
      <c r="N8" s="16" t="n">
        <f aca="false">Revenue_Model!N39</f>
        <v>44324.7492034514</v>
      </c>
    </row>
    <row r="9" customFormat="false" ht="15" hidden="false" customHeight="false" outlineLevel="0" collapsed="false">
      <c r="A9" s="14" t="s">
        <v>281</v>
      </c>
      <c r="B9" s="12" t="s">
        <v>52</v>
      </c>
      <c r="C9" s="24"/>
      <c r="D9" s="24"/>
      <c r="E9" s="24"/>
      <c r="F9" s="28" t="n">
        <v>320</v>
      </c>
      <c r="G9" s="28" t="n">
        <v>300</v>
      </c>
      <c r="H9" s="28" t="n">
        <v>280</v>
      </c>
      <c r="I9" s="28" t="n">
        <v>260</v>
      </c>
      <c r="J9" s="28" t="n">
        <v>240</v>
      </c>
      <c r="K9" s="28" t="n">
        <v>220</v>
      </c>
      <c r="L9" s="28" t="n">
        <v>200</v>
      </c>
      <c r="M9" s="28" t="n">
        <v>180</v>
      </c>
      <c r="N9" s="28" t="n">
        <v>160</v>
      </c>
      <c r="P9" s="29" t="s">
        <v>282</v>
      </c>
    </row>
    <row r="10" customFormat="false" ht="15" hidden="false" customHeight="false" outlineLevel="0" collapsed="false">
      <c r="A10" s="14" t="s">
        <v>283</v>
      </c>
      <c r="B10" s="12" t="s">
        <v>52</v>
      </c>
      <c r="C10" s="28" t="n">
        <v>3345</v>
      </c>
      <c r="D10" s="28" t="n">
        <v>3401</v>
      </c>
      <c r="E10" s="28" t="n">
        <v>3800</v>
      </c>
      <c r="F10" s="24" t="n">
        <f aca="false">E10+F9</f>
        <v>4120</v>
      </c>
      <c r="G10" s="24" t="n">
        <f aca="false">F10+G9</f>
        <v>4420</v>
      </c>
      <c r="H10" s="24" t="n">
        <f aca="false">G10+H9</f>
        <v>4700</v>
      </c>
      <c r="I10" s="24" t="n">
        <f aca="false">H10+I9</f>
        <v>4960</v>
      </c>
      <c r="J10" s="24" t="n">
        <f aca="false">I10+J9</f>
        <v>5200</v>
      </c>
      <c r="K10" s="24" t="n">
        <f aca="false">J10+K9</f>
        <v>5420</v>
      </c>
      <c r="L10" s="24" t="n">
        <f aca="false">K10+L9</f>
        <v>5620</v>
      </c>
      <c r="M10" s="24" t="n">
        <f aca="false">L10+M9</f>
        <v>5800</v>
      </c>
      <c r="N10" s="24" t="n">
        <f aca="false">M10+N9</f>
        <v>5960</v>
      </c>
      <c r="P10" s="29" t="s">
        <v>284</v>
      </c>
    </row>
    <row r="11" customFormat="false" ht="15" hidden="false" customHeight="false" outlineLevel="0" collapsed="false">
      <c r="A11" s="14" t="s">
        <v>54</v>
      </c>
      <c r="B11" s="12" t="s">
        <v>55</v>
      </c>
      <c r="C11" s="16" t="n">
        <f aca="false">Revenue_Model!C46</f>
        <v>475</v>
      </c>
      <c r="D11" s="16" t="n">
        <f aca="false">Revenue_Model!D46</f>
        <v>609</v>
      </c>
      <c r="E11" s="16" t="n">
        <f aca="false">Revenue_Model!E46</f>
        <v>700</v>
      </c>
      <c r="F11" s="16" t="n">
        <f aca="false">Revenue_Model!F46</f>
        <v>925</v>
      </c>
      <c r="G11" s="16" t="n">
        <f aca="false">Revenue_Model!G46</f>
        <v>1150</v>
      </c>
      <c r="H11" s="16" t="n">
        <f aca="false">Revenue_Model!H46</f>
        <v>1250</v>
      </c>
      <c r="I11" s="16" t="n">
        <f aca="false">Revenue_Model!I46</f>
        <v>1400</v>
      </c>
      <c r="J11" s="16" t="n">
        <f aca="false">Revenue_Model!J46</f>
        <v>1500</v>
      </c>
      <c r="K11" s="16" t="n">
        <f aca="false">Revenue_Model!K46</f>
        <v>1650</v>
      </c>
      <c r="L11" s="16" t="n">
        <f aca="false">Revenue_Model!L46</f>
        <v>1850</v>
      </c>
      <c r="M11" s="16" t="n">
        <f aca="false">Revenue_Model!M46</f>
        <v>2000</v>
      </c>
      <c r="N11" s="16" t="n">
        <f aca="false">Revenue_Model!N46</f>
        <v>2100</v>
      </c>
    </row>
    <row r="12" customFormat="false" ht="15" hidden="false" customHeight="false" outlineLevel="0" collapsed="false">
      <c r="A12" s="14" t="s">
        <v>285</v>
      </c>
      <c r="B12" s="12" t="s">
        <v>55</v>
      </c>
      <c r="C12" s="16" t="n">
        <f aca="false">Revenue_Model!C45</f>
        <v>0</v>
      </c>
      <c r="D12" s="16" t="n">
        <f aca="false">Revenue_Model!D45</f>
        <v>134</v>
      </c>
      <c r="E12" s="16" t="n">
        <f aca="false">Revenue_Model!E45</f>
        <v>91</v>
      </c>
      <c r="F12" s="16" t="n">
        <f aca="false">Revenue_Model!F45</f>
        <v>225</v>
      </c>
      <c r="G12" s="16" t="n">
        <f aca="false">Revenue_Model!G45</f>
        <v>225</v>
      </c>
      <c r="H12" s="16" t="n">
        <f aca="false">Revenue_Model!H45</f>
        <v>100</v>
      </c>
      <c r="I12" s="16" t="n">
        <f aca="false">Revenue_Model!I45</f>
        <v>150</v>
      </c>
      <c r="J12" s="16" t="n">
        <f aca="false">Revenue_Model!J45</f>
        <v>100</v>
      </c>
      <c r="K12" s="16" t="n">
        <f aca="false">Revenue_Model!K45</f>
        <v>150</v>
      </c>
      <c r="L12" s="16" t="n">
        <f aca="false">Revenue_Model!L45</f>
        <v>200</v>
      </c>
      <c r="M12" s="16" t="n">
        <f aca="false">Revenue_Model!M45</f>
        <v>150</v>
      </c>
      <c r="N12" s="16" t="n">
        <f aca="false">Revenue_Model!N45</f>
        <v>100</v>
      </c>
    </row>
    <row r="14" customFormat="false" ht="15" hidden="false" customHeight="false" outlineLevel="0" collapsed="false">
      <c r="A14" s="3" t="s">
        <v>286</v>
      </c>
      <c r="B14" s="4"/>
      <c r="C14" s="4"/>
      <c r="D14" s="4"/>
      <c r="E14" s="4"/>
      <c r="F14" s="4"/>
      <c r="G14" s="4"/>
      <c r="H14" s="4"/>
      <c r="I14" s="4"/>
      <c r="J14" s="4"/>
      <c r="K14" s="4"/>
      <c r="L14" s="4"/>
      <c r="M14" s="4"/>
      <c r="N14" s="4"/>
      <c r="O14" s="4"/>
      <c r="P14" s="4"/>
    </row>
    <row r="15" customFormat="false" ht="15" hidden="false" customHeight="false" outlineLevel="0" collapsed="false">
      <c r="A15" s="40" t="s">
        <v>287</v>
      </c>
    </row>
    <row r="16" customFormat="false" ht="15" hidden="false" customHeight="false" outlineLevel="0" collapsed="false">
      <c r="A16" s="14" t="s">
        <v>288</v>
      </c>
      <c r="B16" s="12" t="s">
        <v>11</v>
      </c>
      <c r="C16" s="28" t="n">
        <v>4457.3</v>
      </c>
      <c r="D16" s="28" t="n">
        <v>4657.64</v>
      </c>
      <c r="E16" s="28" t="n">
        <v>5708.92</v>
      </c>
      <c r="F16" s="24"/>
      <c r="G16" s="24"/>
      <c r="H16" s="24"/>
      <c r="I16" s="24"/>
      <c r="J16" s="24"/>
      <c r="K16" s="24"/>
      <c r="L16" s="24"/>
      <c r="M16" s="24"/>
      <c r="N16" s="24"/>
      <c r="P16" s="29" t="s">
        <v>289</v>
      </c>
    </row>
    <row r="17" customFormat="false" ht="15" hidden="false" customHeight="false" outlineLevel="0" collapsed="false">
      <c r="A17" s="14" t="s">
        <v>290</v>
      </c>
      <c r="B17" s="12" t="s">
        <v>27</v>
      </c>
      <c r="C17" s="37" t="n">
        <v>0.08</v>
      </c>
      <c r="D17" s="37" t="n">
        <v>0.08</v>
      </c>
      <c r="E17" s="37" t="n">
        <v>0.08</v>
      </c>
      <c r="F17" s="37" t="n">
        <v>0.08</v>
      </c>
      <c r="G17" s="37" t="n">
        <v>0.08</v>
      </c>
      <c r="H17" s="37" t="n">
        <v>0.08</v>
      </c>
      <c r="I17" s="37" t="n">
        <v>0.08</v>
      </c>
      <c r="J17" s="37" t="n">
        <v>0.08</v>
      </c>
      <c r="K17" s="37" t="n">
        <v>0.08</v>
      </c>
      <c r="L17" s="37" t="n">
        <v>0.08</v>
      </c>
      <c r="M17" s="37" t="n">
        <v>0.08</v>
      </c>
      <c r="N17" s="37" t="n">
        <v>0.08</v>
      </c>
      <c r="P17" s="29" t="s">
        <v>291</v>
      </c>
    </row>
    <row r="18" customFormat="false" ht="15" hidden="false" customHeight="false" outlineLevel="0" collapsed="false">
      <c r="A18" s="14" t="s">
        <v>292</v>
      </c>
      <c r="B18" s="12" t="s">
        <v>27</v>
      </c>
      <c r="C18" s="15" t="n">
        <f aca="false">(C16-C7*C17)/C8</f>
        <v>0.419390495867769</v>
      </c>
      <c r="D18" s="15" t="n">
        <f aca="false">(D16-D7*D17)/D8</f>
        <v>0.38921722846442</v>
      </c>
      <c r="E18" s="15" t="n">
        <f aca="false">(E16-E7*E17)/E8</f>
        <v>0.359133380381087</v>
      </c>
      <c r="F18" s="37" t="n">
        <v>0.37</v>
      </c>
      <c r="G18" s="37" t="n">
        <v>0.365</v>
      </c>
      <c r="H18" s="37" t="n">
        <v>0.36</v>
      </c>
      <c r="I18" s="37" t="n">
        <v>0.358</v>
      </c>
      <c r="J18" s="37" t="n">
        <v>0.356</v>
      </c>
      <c r="K18" s="37" t="n">
        <v>0.355</v>
      </c>
      <c r="L18" s="37" t="n">
        <v>0.354</v>
      </c>
      <c r="M18" s="37" t="n">
        <v>0.353</v>
      </c>
      <c r="N18" s="37" t="n">
        <v>0.352</v>
      </c>
      <c r="P18" s="29" t="s">
        <v>293</v>
      </c>
    </row>
    <row r="19" customFormat="false" ht="15" hidden="false" customHeight="false" outlineLevel="0" collapsed="false">
      <c r="A19" s="14" t="s">
        <v>294</v>
      </c>
      <c r="B19" s="12" t="s">
        <v>11</v>
      </c>
      <c r="C19" s="24" t="n">
        <f aca="false">C8*C18+C7*C17</f>
        <v>4457.3</v>
      </c>
      <c r="D19" s="24" t="n">
        <f aca="false">D8*D18+D7*D17</f>
        <v>4657.64</v>
      </c>
      <c r="E19" s="24" t="n">
        <f aca="false">E8*E18+E7*E17</f>
        <v>5708.92</v>
      </c>
      <c r="F19" s="24" t="n">
        <f aca="false">F8*F18+F7*F17</f>
        <v>6726.52257367502</v>
      </c>
      <c r="G19" s="24" t="n">
        <f aca="false">G8*G18+G7*G17</f>
        <v>7556.79661132644</v>
      </c>
      <c r="H19" s="24" t="n">
        <f aca="false">H8*H18+H7*H17</f>
        <v>8547.43620392781</v>
      </c>
      <c r="I19" s="24" t="n">
        <f aca="false">I8*I18+I7*I17</f>
        <v>9663.11832333124</v>
      </c>
      <c r="J19" s="24" t="n">
        <f aca="false">J8*J18+J7*J17</f>
        <v>10845.2651888748</v>
      </c>
      <c r="K19" s="24" t="n">
        <f aca="false">K8*K18+K7*K17</f>
        <v>12257.5581555801</v>
      </c>
      <c r="L19" s="24" t="n">
        <f aca="false">L8*L18+L7*L17</f>
        <v>13778.8949986531</v>
      </c>
      <c r="M19" s="24" t="n">
        <f aca="false">M8*M18+M7*M17</f>
        <v>15377.6136610935</v>
      </c>
      <c r="N19" s="24" t="n">
        <f aca="false">N8*N18+N7*N17</f>
        <v>17042.9595928855</v>
      </c>
    </row>
    <row r="20" customFormat="false" ht="15" hidden="false" customHeight="false" outlineLevel="0" collapsed="false">
      <c r="A20" s="17" t="s">
        <v>295</v>
      </c>
      <c r="B20" s="12" t="s">
        <v>11</v>
      </c>
      <c r="C20" s="34" t="n">
        <f aca="false">C19-C16</f>
        <v>0</v>
      </c>
      <c r="D20" s="34" t="n">
        <f aca="false">D19-D16</f>
        <v>0</v>
      </c>
      <c r="E20" s="34" t="n">
        <f aca="false">E19-E16</f>
        <v>0</v>
      </c>
      <c r="F20" s="34"/>
      <c r="G20" s="34"/>
      <c r="H20" s="34"/>
      <c r="I20" s="34"/>
      <c r="J20" s="34"/>
      <c r="K20" s="34"/>
      <c r="L20" s="34"/>
      <c r="M20" s="34"/>
      <c r="N20" s="34"/>
    </row>
    <row r="21" customFormat="false" ht="15" hidden="false" customHeight="false" outlineLevel="0" collapsed="false">
      <c r="A21" s="46" t="s">
        <v>296</v>
      </c>
      <c r="B21" s="31" t="s">
        <v>11</v>
      </c>
      <c r="C21" s="47" t="n">
        <f aca="false">C6-C19</f>
        <v>10194.48</v>
      </c>
      <c r="D21" s="47" t="n">
        <f aca="false">D6-D19</f>
        <v>12288.06</v>
      </c>
      <c r="E21" s="47" t="n">
        <f aca="false">E6-E19</f>
        <v>16216</v>
      </c>
      <c r="F21" s="47" t="n">
        <f aca="false">F6-F19</f>
        <v>18429.4191560862</v>
      </c>
      <c r="G21" s="47" t="n">
        <f aca="false">G6-G19</f>
        <v>21000.6429585629</v>
      </c>
      <c r="H21" s="47" t="n">
        <f aca="false">H6-H19</f>
        <v>23954.3088685889</v>
      </c>
      <c r="I21" s="47" t="n">
        <f aca="false">I6-I19</f>
        <v>26996.412671566</v>
      </c>
      <c r="J21" s="47" t="n">
        <f aca="false">J6-J19</f>
        <v>30190.499026585</v>
      </c>
      <c r="K21" s="47" t="n">
        <f aca="false">K6-K19</f>
        <v>33747.7192673221</v>
      </c>
      <c r="L21" s="47" t="n">
        <f aca="false">L6-L19</f>
        <v>37457.3142222219</v>
      </c>
      <c r="M21" s="47" t="n">
        <f aca="false">M6-M19</f>
        <v>41311.8626140016</v>
      </c>
      <c r="N21" s="47" t="n">
        <f aca="false">N6-N19</f>
        <v>45289.8880264487</v>
      </c>
    </row>
    <row r="22" customFormat="false" ht="15" hidden="false" customHeight="false" outlineLevel="0" collapsed="false">
      <c r="A22" s="14" t="s">
        <v>297</v>
      </c>
      <c r="B22" s="12" t="s">
        <v>27</v>
      </c>
      <c r="C22" s="15" t="n">
        <f aca="false">C21/C6</f>
        <v>0.695784402987214</v>
      </c>
      <c r="D22" s="15" t="n">
        <f aca="false">D21/D6</f>
        <v>0.725143251680367</v>
      </c>
      <c r="E22" s="15" t="n">
        <f aca="false">E21/E6</f>
        <v>0.739615013418521</v>
      </c>
      <c r="F22" s="15" t="n">
        <f aca="false">F21/F6</f>
        <v>0.732607006092836</v>
      </c>
      <c r="G22" s="15" t="n">
        <f aca="false">G21/G6</f>
        <v>0.735382557920415</v>
      </c>
      <c r="H22" s="15" t="n">
        <f aca="false">H21/H6</f>
        <v>0.737016083756208</v>
      </c>
      <c r="I22" s="15" t="n">
        <f aca="false">I21/I6</f>
        <v>0.736409112143953</v>
      </c>
      <c r="J22" s="15" t="n">
        <f aca="false">J21/J6</f>
        <v>0.735711874843336</v>
      </c>
      <c r="K22" s="15" t="n">
        <f aca="false">K21/K6</f>
        <v>0.733561911975819</v>
      </c>
      <c r="L22" s="15" t="n">
        <f aca="false">L21/L6</f>
        <v>0.731071146593741</v>
      </c>
      <c r="M22" s="15" t="n">
        <f aca="false">M21/M6</f>
        <v>0.728739535597912</v>
      </c>
      <c r="N22" s="15" t="n">
        <f aca="false">N21/N6</f>
        <v>0.726581405409767</v>
      </c>
      <c r="P22" s="29" t="s">
        <v>298</v>
      </c>
    </row>
    <row r="23" customFormat="false" ht="15" hidden="false" customHeight="false" outlineLevel="0" collapsed="false">
      <c r="A23" s="40" t="s">
        <v>299</v>
      </c>
    </row>
    <row r="24" customFormat="false" ht="15" hidden="false" customHeight="false" outlineLevel="0" collapsed="false">
      <c r="A24" s="14" t="s">
        <v>300</v>
      </c>
      <c r="B24" s="12" t="s">
        <v>11</v>
      </c>
      <c r="C24" s="28" t="n">
        <v>4949.05</v>
      </c>
      <c r="D24" s="28" t="n">
        <v>5491.18</v>
      </c>
      <c r="E24" s="28" t="n">
        <v>6830.55</v>
      </c>
      <c r="F24" s="24"/>
      <c r="G24" s="24"/>
      <c r="H24" s="24"/>
      <c r="I24" s="24"/>
      <c r="J24" s="24"/>
      <c r="K24" s="24"/>
      <c r="L24" s="24"/>
      <c r="M24" s="24"/>
      <c r="N24" s="24"/>
      <c r="P24" s="29" t="s">
        <v>301</v>
      </c>
    </row>
    <row r="25" customFormat="false" ht="15" hidden="false" customHeight="false" outlineLevel="0" collapsed="false">
      <c r="A25" s="14" t="s">
        <v>302</v>
      </c>
      <c r="B25" s="12" t="s">
        <v>27</v>
      </c>
      <c r="C25" s="15"/>
      <c r="D25" s="15"/>
      <c r="E25" s="15"/>
      <c r="F25" s="37" t="n">
        <v>0.075</v>
      </c>
      <c r="G25" s="37" t="n">
        <v>0.072</v>
      </c>
      <c r="H25" s="37" t="n">
        <v>0.07</v>
      </c>
      <c r="I25" s="37" t="n">
        <v>0.068</v>
      </c>
      <c r="J25" s="37" t="n">
        <v>0.065</v>
      </c>
      <c r="K25" s="37" t="n">
        <v>0.062</v>
      </c>
      <c r="L25" s="37" t="n">
        <v>0.06</v>
      </c>
      <c r="M25" s="37" t="n">
        <v>0.058</v>
      </c>
      <c r="N25" s="37" t="n">
        <v>0.055</v>
      </c>
      <c r="P25" s="29" t="s">
        <v>303</v>
      </c>
    </row>
    <row r="26" customFormat="false" ht="15" hidden="false" customHeight="false" outlineLevel="0" collapsed="false">
      <c r="A26" s="14" t="s">
        <v>304</v>
      </c>
      <c r="B26" s="12" t="s">
        <v>11</v>
      </c>
      <c r="C26" s="38" t="n">
        <f aca="false">C24/C10</f>
        <v>1.47953662182362</v>
      </c>
      <c r="D26" s="38" t="n">
        <f aca="false">D24/D10</f>
        <v>1.61457806527492</v>
      </c>
      <c r="E26" s="38" t="n">
        <f aca="false">E24/E10</f>
        <v>1.79751315789474</v>
      </c>
      <c r="F26" s="38" t="n">
        <f aca="false">E26*(1+F25)</f>
        <v>1.93232664473684</v>
      </c>
      <c r="G26" s="38" t="n">
        <f aca="false">F26*(1+G25)</f>
        <v>2.0714541631579</v>
      </c>
      <c r="H26" s="38" t="n">
        <f aca="false">G26*(1+H25)</f>
        <v>2.21645595457895</v>
      </c>
      <c r="I26" s="38" t="n">
        <f aca="false">H26*(1+I25)</f>
        <v>2.36717495949032</v>
      </c>
      <c r="J26" s="38" t="n">
        <f aca="false">I26*(1+J25)</f>
        <v>2.52104133185719</v>
      </c>
      <c r="K26" s="38" t="n">
        <f aca="false">J26*(1+K25)</f>
        <v>2.67734589443233</v>
      </c>
      <c r="L26" s="38" t="n">
        <f aca="false">K26*(1+L25)</f>
        <v>2.83798664809827</v>
      </c>
      <c r="M26" s="38" t="n">
        <f aca="false">L26*(1+M25)</f>
        <v>3.00258987368797</v>
      </c>
      <c r="N26" s="38" t="n">
        <f aca="false">M26*(1+N25)</f>
        <v>3.16773231674081</v>
      </c>
      <c r="P26" s="29" t="s">
        <v>305</v>
      </c>
    </row>
    <row r="27" customFormat="false" ht="15" hidden="false" customHeight="false" outlineLevel="0" collapsed="false">
      <c r="A27" s="14" t="s">
        <v>181</v>
      </c>
      <c r="B27" s="12" t="s">
        <v>11</v>
      </c>
      <c r="C27" s="24" t="n">
        <f aca="false">C10*C26</f>
        <v>4949.05</v>
      </c>
      <c r="D27" s="24" t="n">
        <f aca="false">D10*D26</f>
        <v>5491.18</v>
      </c>
      <c r="E27" s="24" t="n">
        <f aca="false">E10*E26</f>
        <v>6830.55</v>
      </c>
      <c r="F27" s="24" t="n">
        <f aca="false">F10*F26</f>
        <v>7961.18577631579</v>
      </c>
      <c r="G27" s="24" t="n">
        <f aca="false">G10*G26</f>
        <v>9155.8274011579</v>
      </c>
      <c r="H27" s="24" t="n">
        <f aca="false">H10*H26</f>
        <v>10417.3429865211</v>
      </c>
      <c r="I27" s="24" t="n">
        <f aca="false">I10*I26</f>
        <v>11741.187799072</v>
      </c>
      <c r="J27" s="24" t="n">
        <f aca="false">J10*J26</f>
        <v>13109.4149256574</v>
      </c>
      <c r="K27" s="24" t="n">
        <f aca="false">K10*K26</f>
        <v>14511.2147478232</v>
      </c>
      <c r="L27" s="24" t="n">
        <f aca="false">L10*L26</f>
        <v>15949.4849623123</v>
      </c>
      <c r="M27" s="24" t="n">
        <f aca="false">M10*M26</f>
        <v>17415.0212673902</v>
      </c>
      <c r="N27" s="24" t="n">
        <f aca="false">N10*N26</f>
        <v>18879.6846077752</v>
      </c>
    </row>
    <row r="28" customFormat="false" ht="15" hidden="false" customHeight="false" outlineLevel="0" collapsed="false">
      <c r="A28" s="17" t="s">
        <v>295</v>
      </c>
      <c r="B28" s="12" t="s">
        <v>11</v>
      </c>
      <c r="C28" s="34" t="n">
        <f aca="false">C27-C24</f>
        <v>0</v>
      </c>
      <c r="D28" s="34" t="n">
        <f aca="false">D27-D24</f>
        <v>0</v>
      </c>
      <c r="E28" s="34" t="n">
        <f aca="false">E27-E24</f>
        <v>0</v>
      </c>
      <c r="F28" s="34"/>
      <c r="G28" s="34"/>
      <c r="H28" s="34"/>
      <c r="I28" s="34"/>
      <c r="J28" s="34"/>
      <c r="K28" s="34"/>
      <c r="L28" s="34"/>
      <c r="M28" s="34"/>
      <c r="N28" s="34"/>
    </row>
    <row r="29" customFormat="false" ht="15" hidden="false" customHeight="false" outlineLevel="0" collapsed="false">
      <c r="A29" s="14" t="s">
        <v>306</v>
      </c>
      <c r="B29" s="12" t="s">
        <v>27</v>
      </c>
      <c r="C29" s="15" t="n">
        <f aca="false">C27/C6</f>
        <v>0.337778072015823</v>
      </c>
      <c r="D29" s="15" t="n">
        <f aca="false">D27/D6</f>
        <v>0.324045628094443</v>
      </c>
      <c r="E29" s="15" t="n">
        <f aca="false">E27/E6</f>
        <v>0.311542755914275</v>
      </c>
      <c r="F29" s="15" t="n">
        <f aca="false">F27/F6</f>
        <v>0.31647337483284</v>
      </c>
      <c r="G29" s="15" t="n">
        <f aca="false">G27/G6</f>
        <v>0.320610934980729</v>
      </c>
      <c r="H29" s="15" t="n">
        <f aca="false">H27/H6</f>
        <v>0.320516420373068</v>
      </c>
      <c r="I29" s="15" t="n">
        <f aca="false">I27/I6</f>
        <v>0.32027654147311</v>
      </c>
      <c r="J29" s="15" t="n">
        <f aca="false">J27/J6</f>
        <v>0.319463160398961</v>
      </c>
      <c r="K29" s="15" t="n">
        <f aca="false">K27/K6</f>
        <v>0.31542500253676</v>
      </c>
      <c r="L29" s="15" t="n">
        <f aca="false">L27/L6</f>
        <v>0.311293228067584</v>
      </c>
      <c r="M29" s="15" t="n">
        <f aca="false">M27/M6</f>
        <v>0.307200249705624</v>
      </c>
      <c r="N29" s="15" t="n">
        <f aca="false">N27/N6</f>
        <v>0.302885000907919</v>
      </c>
    </row>
    <row r="30" customFormat="false" ht="15" hidden="false" customHeight="false" outlineLevel="0" collapsed="false">
      <c r="A30" s="40" t="s">
        <v>307</v>
      </c>
    </row>
    <row r="31" customFormat="false" ht="15" hidden="false" customHeight="false" outlineLevel="0" collapsed="false">
      <c r="A31" s="14" t="s">
        <v>308</v>
      </c>
      <c r="B31" s="12" t="s">
        <v>11</v>
      </c>
      <c r="C31" s="28" t="n">
        <v>2390.54</v>
      </c>
      <c r="D31" s="28" t="n">
        <v>2740.27</v>
      </c>
      <c r="E31" s="28" t="n">
        <v>3073.86</v>
      </c>
      <c r="F31" s="24"/>
      <c r="G31" s="24"/>
      <c r="H31" s="24"/>
      <c r="I31" s="24"/>
      <c r="J31" s="24"/>
      <c r="K31" s="24"/>
      <c r="L31" s="24"/>
      <c r="M31" s="24"/>
      <c r="N31" s="24"/>
      <c r="P31" s="29" t="s">
        <v>309</v>
      </c>
    </row>
    <row r="32" customFormat="false" ht="15" hidden="false" customHeight="false" outlineLevel="0" collapsed="false">
      <c r="A32" s="17" t="s">
        <v>310</v>
      </c>
      <c r="B32" s="12" t="s">
        <v>11</v>
      </c>
      <c r="C32" s="48" t="n">
        <v>1322.67</v>
      </c>
      <c r="D32" s="48" t="n">
        <v>1404.59</v>
      </c>
      <c r="E32" s="48" t="n">
        <v>1942.5</v>
      </c>
      <c r="F32" s="39"/>
      <c r="G32" s="39"/>
      <c r="H32" s="39"/>
      <c r="I32" s="39"/>
      <c r="J32" s="39"/>
      <c r="K32" s="39"/>
      <c r="L32" s="39"/>
      <c r="M32" s="39"/>
      <c r="N32" s="39"/>
      <c r="P32" s="29" t="s">
        <v>311</v>
      </c>
    </row>
    <row r="33" customFormat="false" ht="15" hidden="false" customHeight="false" outlineLevel="0" collapsed="false">
      <c r="A33" s="14" t="s">
        <v>312</v>
      </c>
      <c r="B33" s="12" t="s">
        <v>27</v>
      </c>
      <c r="C33" s="37" t="n">
        <v>0.0888</v>
      </c>
      <c r="D33" s="37" t="n">
        <v>0.0855</v>
      </c>
      <c r="E33" s="37" t="n">
        <v>0.0891</v>
      </c>
      <c r="F33" s="37" t="n">
        <v>0.0891</v>
      </c>
      <c r="G33" s="37" t="n">
        <v>0.0891</v>
      </c>
      <c r="H33" s="37" t="n">
        <v>0.0891</v>
      </c>
      <c r="I33" s="37" t="n">
        <v>0.0891</v>
      </c>
      <c r="J33" s="37" t="n">
        <v>0.0891</v>
      </c>
      <c r="K33" s="37" t="n">
        <v>0.0891</v>
      </c>
      <c r="L33" s="37" t="n">
        <v>0.0891</v>
      </c>
      <c r="M33" s="37" t="n">
        <v>0.0891</v>
      </c>
      <c r="N33" s="37" t="n">
        <v>0.0891</v>
      </c>
      <c r="P33" s="29" t="s">
        <v>313</v>
      </c>
    </row>
    <row r="34" customFormat="false" ht="15" hidden="false" customHeight="false" outlineLevel="0" collapsed="false">
      <c r="A34" s="14" t="s">
        <v>314</v>
      </c>
      <c r="B34" s="12" t="s">
        <v>150</v>
      </c>
      <c r="C34" s="38" t="n">
        <f aca="false">(C32-C8*C33)/(C11-C12/2)</f>
        <v>0.974917894736842</v>
      </c>
      <c r="D34" s="38" t="n">
        <f aca="false">(D32-D8*D33)/(D11-D12/2)</f>
        <v>0.906734317343173</v>
      </c>
      <c r="E34" s="38" t="n">
        <f aca="false">(E32-E8*E33)/(E11-E12/2)</f>
        <v>1.03888922841864</v>
      </c>
      <c r="F34" s="38" t="n">
        <f aca="false">E34*1.01</f>
        <v>1.04927812070283</v>
      </c>
      <c r="G34" s="38" t="n">
        <f aca="false">F34*1.01</f>
        <v>1.05977090190986</v>
      </c>
      <c r="H34" s="38" t="n">
        <f aca="false">G34*1.01</f>
        <v>1.07036861092895</v>
      </c>
      <c r="I34" s="38" t="n">
        <f aca="false">H34*1.01</f>
        <v>1.08107229703824</v>
      </c>
      <c r="J34" s="38" t="n">
        <f aca="false">I34*1.01</f>
        <v>1.09188302000863</v>
      </c>
      <c r="K34" s="38" t="n">
        <f aca="false">J34*1.01</f>
        <v>1.10280185020871</v>
      </c>
      <c r="L34" s="38" t="n">
        <f aca="false">K34*1.01</f>
        <v>1.1138298687108</v>
      </c>
      <c r="M34" s="38" t="n">
        <f aca="false">L34*1.01</f>
        <v>1.12496816739791</v>
      </c>
      <c r="N34" s="38" t="n">
        <f aca="false">M34*1.01</f>
        <v>1.13621784907189</v>
      </c>
      <c r="P34" s="29" t="s">
        <v>315</v>
      </c>
    </row>
    <row r="35" customFormat="false" ht="15" hidden="false" customHeight="false" outlineLevel="0" collapsed="false">
      <c r="A35" s="14" t="s">
        <v>316</v>
      </c>
      <c r="B35" s="12" t="s">
        <v>11</v>
      </c>
      <c r="C35" s="24" t="n">
        <f aca="false">C8*C33+(C11-C12/2)*C34</f>
        <v>1322.67</v>
      </c>
      <c r="D35" s="24" t="n">
        <f aca="false">D8*D33+(D11-D12/2)*D34</f>
        <v>1404.59</v>
      </c>
      <c r="E35" s="24" t="n">
        <f aca="false">E8*E33+(E11-E12/2)*E34</f>
        <v>1942.5</v>
      </c>
      <c r="F35" s="24" t="n">
        <f aca="false">F8*F33+(F11-F12/2)*F34</f>
        <v>2300.88884777693</v>
      </c>
      <c r="G35" s="24" t="n">
        <f aca="false">G8*G33+(G11-G12/2)*G34</f>
        <v>2747.7689732403</v>
      </c>
      <c r="H35" s="24" t="n">
        <f aca="false">H8*H33+(H11-H12/2)*H34</f>
        <v>3176.95707201856</v>
      </c>
      <c r="I35" s="24" t="n">
        <f aca="false">I8*I33+(I11-I12/2)*I34</f>
        <v>3589.52405140728</v>
      </c>
      <c r="J35" s="24" t="n">
        <f aca="false">J8*J33+(J11-J12/2)*J34</f>
        <v>4024.57168698695</v>
      </c>
      <c r="K35" s="24" t="n">
        <f aca="false">K8*K33+(K11-K12/2)*K34</f>
        <v>4515.90496568504</v>
      </c>
      <c r="L35" s="24" t="n">
        <f aca="false">L8*L33+(L11-L12/2)*L34</f>
        <v>5096.96812810375</v>
      </c>
      <c r="M35" s="24" t="n">
        <f aca="false">M8*M33+(M11-M12/2)*M34</f>
        <v>5704.25526185471</v>
      </c>
      <c r="N35" s="24" t="n">
        <f aca="false">N8*N33+(N11-N12/2)*N34</f>
        <v>6278.58174462488</v>
      </c>
      <c r="P35" s="29" t="s">
        <v>317</v>
      </c>
    </row>
    <row r="36" customFormat="false" ht="15" hidden="false" customHeight="false" outlineLevel="0" collapsed="false">
      <c r="A36" s="14" t="s">
        <v>318</v>
      </c>
      <c r="B36" s="12" t="s">
        <v>27</v>
      </c>
      <c r="C36" s="15" t="n">
        <f aca="false">(C31-C35-C38)/C6</f>
        <v>0.0616778302704518</v>
      </c>
      <c r="D36" s="15" t="n">
        <f aca="false">(D31-D35-D38)/D6</f>
        <v>0.0584974359276985</v>
      </c>
      <c r="E36" s="15" t="n">
        <f aca="false">(E31-E35-E38)/E6</f>
        <v>0.062512884881678</v>
      </c>
      <c r="F36" s="37" t="n">
        <v>0.0605</v>
      </c>
      <c r="G36" s="37" t="n">
        <v>0.0595</v>
      </c>
      <c r="H36" s="37" t="n">
        <v>0.0585</v>
      </c>
      <c r="I36" s="37" t="n">
        <v>0.0575</v>
      </c>
      <c r="J36" s="37" t="n">
        <v>0.057</v>
      </c>
      <c r="K36" s="37" t="n">
        <v>0.0565</v>
      </c>
      <c r="L36" s="37" t="n">
        <v>0.056</v>
      </c>
      <c r="M36" s="37" t="n">
        <v>0.0555</v>
      </c>
      <c r="N36" s="37" t="n">
        <v>0.055</v>
      </c>
      <c r="P36" s="29" t="s">
        <v>319</v>
      </c>
    </row>
    <row r="37" customFormat="false" ht="15" hidden="false" customHeight="false" outlineLevel="0" collapsed="false">
      <c r="A37" s="14" t="s">
        <v>320</v>
      </c>
      <c r="B37" s="12" t="s">
        <v>11</v>
      </c>
      <c r="C37" s="24" t="n">
        <f aca="false">C6*C36</f>
        <v>903.69</v>
      </c>
      <c r="D37" s="24" t="n">
        <f aca="false">D6*D36</f>
        <v>991.28</v>
      </c>
      <c r="E37" s="24" t="n">
        <f aca="false">E6*E36</f>
        <v>1370.59</v>
      </c>
      <c r="F37" s="24" t="n">
        <f aca="false">F6*F36</f>
        <v>1521.93447465055</v>
      </c>
      <c r="G37" s="24" t="n">
        <f aca="false">G6*G36</f>
        <v>1699.16765440842</v>
      </c>
      <c r="H37" s="24" t="n">
        <f aca="false">H6*H36</f>
        <v>1901.35208674223</v>
      </c>
      <c r="I37" s="24" t="n">
        <f aca="false">I6*I36</f>
        <v>2107.92303220659</v>
      </c>
      <c r="J37" s="24" t="n">
        <f aca="false">J6*J36</f>
        <v>2339.03856028121</v>
      </c>
      <c r="K37" s="24" t="n">
        <f aca="false">K6*K36</f>
        <v>2599.29817439397</v>
      </c>
      <c r="L37" s="24" t="n">
        <f aca="false">L6*L36</f>
        <v>2869.227716369</v>
      </c>
      <c r="M37" s="24" t="n">
        <f aca="false">M6*M36</f>
        <v>3146.26593326778</v>
      </c>
      <c r="N37" s="24" t="n">
        <f aca="false">N6*N36</f>
        <v>3428.30661906338</v>
      </c>
    </row>
    <row r="38" customFormat="false" ht="15" hidden="false" customHeight="false" outlineLevel="0" collapsed="false">
      <c r="A38" s="14" t="s">
        <v>321</v>
      </c>
      <c r="B38" s="12" t="s">
        <v>11</v>
      </c>
      <c r="C38" s="28" t="n">
        <v>164.18</v>
      </c>
      <c r="D38" s="28" t="n">
        <v>344.4</v>
      </c>
      <c r="E38" s="28" t="n">
        <v>-239.23</v>
      </c>
      <c r="F38" s="24"/>
      <c r="G38" s="24"/>
      <c r="H38" s="24"/>
      <c r="I38" s="24"/>
      <c r="J38" s="24"/>
      <c r="K38" s="24"/>
      <c r="L38" s="24"/>
      <c r="M38" s="24"/>
      <c r="N38" s="24"/>
      <c r="P38" s="29" t="s">
        <v>322</v>
      </c>
    </row>
    <row r="39" customFormat="false" ht="15" hidden="false" customHeight="false" outlineLevel="0" collapsed="false">
      <c r="A39" s="14" t="s">
        <v>323</v>
      </c>
      <c r="B39" s="12" t="s">
        <v>27</v>
      </c>
      <c r="C39" s="15"/>
      <c r="D39" s="15"/>
      <c r="E39" s="15"/>
      <c r="F39" s="37" t="n">
        <v>0.0045</v>
      </c>
      <c r="G39" s="37" t="n">
        <v>0.0045</v>
      </c>
      <c r="H39" s="37" t="n">
        <v>0.0045</v>
      </c>
      <c r="I39" s="37" t="n">
        <v>0.0045</v>
      </c>
      <c r="J39" s="37" t="n">
        <v>0.0045</v>
      </c>
      <c r="K39" s="37" t="n">
        <v>0.0045</v>
      </c>
      <c r="L39" s="37" t="n">
        <v>0.0045</v>
      </c>
      <c r="M39" s="37" t="n">
        <v>0.0045</v>
      </c>
      <c r="N39" s="37" t="n">
        <v>0.0045</v>
      </c>
      <c r="P39" s="29" t="s">
        <v>324</v>
      </c>
    </row>
    <row r="40" customFormat="false" ht="15" hidden="false" customHeight="false" outlineLevel="0" collapsed="false">
      <c r="A40" s="14" t="s">
        <v>182</v>
      </c>
      <c r="B40" s="12" t="s">
        <v>11</v>
      </c>
      <c r="C40" s="24" t="n">
        <f aca="false">C35+C37+C38</f>
        <v>2390.54</v>
      </c>
      <c r="D40" s="24" t="n">
        <f aca="false">D35+D37+D38</f>
        <v>2740.27</v>
      </c>
      <c r="E40" s="24" t="n">
        <f aca="false">E35+E37+E38</f>
        <v>3073.86</v>
      </c>
      <c r="F40" s="24" t="n">
        <f aca="false">F35+F37+F6*F39</f>
        <v>3936.02506021141</v>
      </c>
      <c r="G40" s="24" t="n">
        <f aca="false">G35+G37+G6*G39</f>
        <v>4575.44510571322</v>
      </c>
      <c r="H40" s="24" t="n">
        <f aca="false">H35+H37+H6*H39</f>
        <v>5224.56701158712</v>
      </c>
      <c r="I40" s="24" t="n">
        <f aca="false">I35+I37+I6*I39</f>
        <v>5862.41497309091</v>
      </c>
      <c r="J40" s="24" t="n">
        <f aca="false">J35+J37+J6*J39</f>
        <v>6548.27118623773</v>
      </c>
      <c r="K40" s="24" t="n">
        <f aca="false">K35+K37+K6*K39</f>
        <v>7322.22688848207</v>
      </c>
      <c r="L40" s="24" t="n">
        <f aca="false">L35+L37+L6*L39</f>
        <v>8196.75878596669</v>
      </c>
      <c r="M40" s="24" t="n">
        <f aca="false">M35+M37+M6*M39</f>
        <v>9105.62383836042</v>
      </c>
      <c r="N40" s="24" t="n">
        <f aca="false">N35+N37+N6*N39</f>
        <v>9987.38617797527</v>
      </c>
    </row>
    <row r="41" customFormat="false" ht="15" hidden="false" customHeight="false" outlineLevel="0" collapsed="false">
      <c r="A41" s="17" t="s">
        <v>295</v>
      </c>
      <c r="B41" s="12" t="s">
        <v>11</v>
      </c>
      <c r="C41" s="34" t="n">
        <f aca="false">C40-C31</f>
        <v>0</v>
      </c>
      <c r="D41" s="34" t="n">
        <f aca="false">D40-D31</f>
        <v>0</v>
      </c>
      <c r="E41" s="34" t="n">
        <f aca="false">E40-E31</f>
        <v>0</v>
      </c>
      <c r="F41" s="34"/>
      <c r="G41" s="34"/>
      <c r="H41" s="34"/>
      <c r="I41" s="34"/>
      <c r="J41" s="34"/>
      <c r="K41" s="34"/>
      <c r="L41" s="34"/>
      <c r="M41" s="34"/>
      <c r="N41" s="34"/>
    </row>
    <row r="42" customFormat="false" ht="15" hidden="false" customHeight="false" outlineLevel="0" collapsed="false">
      <c r="A42" s="40" t="s">
        <v>325</v>
      </c>
    </row>
    <row r="43" customFormat="false" ht="15" hidden="false" customHeight="false" outlineLevel="0" collapsed="false">
      <c r="A43" s="14" t="s">
        <v>326</v>
      </c>
      <c r="B43" s="12" t="s">
        <v>27</v>
      </c>
      <c r="C43" s="15" t="n">
        <f aca="false">C44/C6</f>
        <v>0.00998240486821396</v>
      </c>
      <c r="D43" s="15" t="n">
        <f aca="false">D44/D6</f>
        <v>0.011257133078008</v>
      </c>
      <c r="E43" s="15" t="n">
        <f aca="false">E44/E6</f>
        <v>0.0136912700251586</v>
      </c>
      <c r="F43" s="37" t="n">
        <v>0.008</v>
      </c>
      <c r="G43" s="37" t="n">
        <v>0.008</v>
      </c>
      <c r="H43" s="37" t="n">
        <v>0.008</v>
      </c>
      <c r="I43" s="37" t="n">
        <v>0.008</v>
      </c>
      <c r="J43" s="37" t="n">
        <v>0.008</v>
      </c>
      <c r="K43" s="37" t="n">
        <v>0.008</v>
      </c>
      <c r="L43" s="37" t="n">
        <v>0.008</v>
      </c>
      <c r="M43" s="37" t="n">
        <v>0.008</v>
      </c>
      <c r="N43" s="37" t="n">
        <v>0.008</v>
      </c>
      <c r="P43" s="29" t="s">
        <v>327</v>
      </c>
    </row>
    <row r="44" customFormat="false" ht="15" hidden="false" customHeight="false" outlineLevel="0" collapsed="false">
      <c r="A44" s="14" t="s">
        <v>183</v>
      </c>
      <c r="B44" s="12" t="s">
        <v>11</v>
      </c>
      <c r="C44" s="28" t="n">
        <v>146.26</v>
      </c>
      <c r="D44" s="28" t="n">
        <v>190.76</v>
      </c>
      <c r="E44" s="28" t="n">
        <v>300.18</v>
      </c>
      <c r="F44" s="24" t="n">
        <f aca="false">F6*F43</f>
        <v>201.24753383809</v>
      </c>
      <c r="G44" s="24" t="n">
        <f aca="false">G6*G43</f>
        <v>228.459516559115</v>
      </c>
      <c r="H44" s="24" t="n">
        <f aca="false">H6*H43</f>
        <v>260.013960580134</v>
      </c>
      <c r="I44" s="24" t="n">
        <f aca="false">I6*I43</f>
        <v>293.276247959178</v>
      </c>
      <c r="J44" s="24" t="n">
        <f aca="false">J6*J43</f>
        <v>328.286113723678</v>
      </c>
      <c r="K44" s="24" t="n">
        <f aca="false">K6*K43</f>
        <v>368.042219383217</v>
      </c>
      <c r="L44" s="24" t="n">
        <f aca="false">L6*L43</f>
        <v>409.889673767001</v>
      </c>
      <c r="M44" s="24" t="n">
        <f aca="false">M6*M43</f>
        <v>453.515810200761</v>
      </c>
      <c r="N44" s="24" t="n">
        <f aca="false">N6*N43</f>
        <v>498.662780954674</v>
      </c>
      <c r="P44" s="29" t="s">
        <v>328</v>
      </c>
    </row>
    <row r="45" customFormat="false" ht="15" hidden="false" customHeight="false" outlineLevel="0" collapsed="false">
      <c r="A45" s="30" t="s">
        <v>329</v>
      </c>
      <c r="B45" s="31" t="s">
        <v>11</v>
      </c>
      <c r="C45" s="33" t="n">
        <f aca="false">C6-C19-C27-C40+C44</f>
        <v>3001.15</v>
      </c>
      <c r="D45" s="33" t="n">
        <f aca="false">D6-D19-D27-D40+D44</f>
        <v>4247.37</v>
      </c>
      <c r="E45" s="33" t="n">
        <f aca="false">E6-E19-E27-E40+E44</f>
        <v>6611.77</v>
      </c>
      <c r="F45" s="33" t="n">
        <f aca="false">F6-F19-F27-F40+F44</f>
        <v>6733.45585339709</v>
      </c>
      <c r="G45" s="33" t="n">
        <f aca="false">G6-G19-G27-G40+G44</f>
        <v>7497.8299682509</v>
      </c>
      <c r="H45" s="33" t="n">
        <f aca="false">H6-H19-H27-H40+H44</f>
        <v>8572.4128310609</v>
      </c>
      <c r="I45" s="33" t="n">
        <f aca="false">I6-I19-I27-I40+I44</f>
        <v>9686.08614736232</v>
      </c>
      <c r="J45" s="33" t="n">
        <f aca="false">J6-J19-J27-J40+J44</f>
        <v>10861.0990284135</v>
      </c>
      <c r="K45" s="33" t="n">
        <f aca="false">K6-K19-K27-K40+K44</f>
        <v>12282.3198504</v>
      </c>
      <c r="L45" s="33" t="n">
        <f aca="false">L6-L19-L27-L40+L44</f>
        <v>13720.9601477099</v>
      </c>
      <c r="M45" s="33" t="n">
        <f aca="false">M6-M19-M27-M40+M44</f>
        <v>15244.7333184517</v>
      </c>
      <c r="N45" s="33" t="n">
        <f aca="false">N6-N19-N27-N40+N44</f>
        <v>16921.4800216529</v>
      </c>
    </row>
    <row r="46" customFormat="false" ht="15" hidden="false" customHeight="false" outlineLevel="0" collapsed="false">
      <c r="A46" s="14" t="s">
        <v>34</v>
      </c>
      <c r="B46" s="12" t="s">
        <v>27</v>
      </c>
      <c r="C46" s="15" t="n">
        <f aca="false">C45/C6</f>
        <v>0.204831767880763</v>
      </c>
      <c r="D46" s="15" t="n">
        <f aca="false">D45/D6</f>
        <v>0.250645886567094</v>
      </c>
      <c r="E46" s="15" t="n">
        <f aca="false">E45/E6</f>
        <v>0.30156415622041</v>
      </c>
      <c r="F46" s="15" t="n">
        <f aca="false">F45/F6</f>
        <v>0.267668605919489</v>
      </c>
      <c r="G46" s="15" t="n">
        <f aca="false">G45/G6</f>
        <v>0.262552598593487</v>
      </c>
      <c r="H46" s="15" t="n">
        <f aca="false">H45/H6</f>
        <v>0.263752386585226</v>
      </c>
      <c r="I46" s="15" t="n">
        <f aca="false">I45/I6</f>
        <v>0.26421740498291</v>
      </c>
      <c r="J46" s="15" t="n">
        <f aca="false">J45/J6</f>
        <v>0.26467397978473</v>
      </c>
      <c r="K46" s="15" t="n">
        <f aca="false">K45/K6</f>
        <v>0.266976323987684</v>
      </c>
      <c r="L46" s="15" t="n">
        <f aca="false">L45/L6</f>
        <v>0.267798113021204</v>
      </c>
      <c r="M46" s="15" t="n">
        <f aca="false">M45/M6</f>
        <v>0.268916460693236</v>
      </c>
      <c r="N46" s="15" t="n">
        <f aca="false">N45/N6</f>
        <v>0.271469709277396</v>
      </c>
      <c r="P46" s="29" t="s">
        <v>330</v>
      </c>
    </row>
    <row r="47" customFormat="false" ht="15" hidden="false" customHeight="false" outlineLevel="0" collapsed="false">
      <c r="A47" s="17" t="s">
        <v>331</v>
      </c>
      <c r="B47" s="12" t="s">
        <v>11</v>
      </c>
      <c r="C47" s="39" t="n">
        <f aca="false">C45-C44</f>
        <v>2854.89</v>
      </c>
      <c r="D47" s="39" t="n">
        <f aca="false">D45-D44</f>
        <v>4056.61</v>
      </c>
      <c r="E47" s="39" t="n">
        <f aca="false">E45-E44</f>
        <v>6311.59</v>
      </c>
      <c r="F47" s="39" t="n">
        <f aca="false">F45-F44</f>
        <v>6532.208319559</v>
      </c>
      <c r="G47" s="39" t="n">
        <f aca="false">G45-G44</f>
        <v>7269.37045169179</v>
      </c>
      <c r="H47" s="39" t="n">
        <f aca="false">H45-H44</f>
        <v>8312.39887048076</v>
      </c>
      <c r="I47" s="39" t="n">
        <f aca="false">I45-I44</f>
        <v>9392.80989940314</v>
      </c>
      <c r="J47" s="39" t="n">
        <f aca="false">J45-J44</f>
        <v>10532.8129146899</v>
      </c>
      <c r="K47" s="39" t="n">
        <f aca="false">K45-K44</f>
        <v>11914.2776310168</v>
      </c>
      <c r="L47" s="39" t="n">
        <f aca="false">L45-L44</f>
        <v>13311.0704739429</v>
      </c>
      <c r="M47" s="39" t="n">
        <f aca="false">M45-M44</f>
        <v>14791.217508251</v>
      </c>
      <c r="N47" s="39" t="n">
        <f aca="false">N45-N44</f>
        <v>16422.8172406982</v>
      </c>
    </row>
    <row r="48" customFormat="false" ht="15" hidden="false" customHeight="false" outlineLevel="0" collapsed="false">
      <c r="A48" s="17" t="s">
        <v>332</v>
      </c>
      <c r="B48" s="12" t="s">
        <v>27</v>
      </c>
      <c r="C48" s="18" t="n">
        <f aca="false">C47/C6</f>
        <v>0.194849363012549</v>
      </c>
      <c r="D48" s="18" t="n">
        <f aca="false">D47/D6</f>
        <v>0.239388753489086</v>
      </c>
      <c r="E48" s="18" t="n">
        <f aca="false">E47/E6</f>
        <v>0.287872886195252</v>
      </c>
      <c r="F48" s="18" t="n">
        <f aca="false">F47/F6</f>
        <v>0.259668605919489</v>
      </c>
      <c r="G48" s="18" t="n">
        <f aca="false">G47/G6</f>
        <v>0.254552598593487</v>
      </c>
      <c r="H48" s="18" t="n">
        <f aca="false">H47/H6</f>
        <v>0.255752386585226</v>
      </c>
      <c r="I48" s="18" t="n">
        <f aca="false">I47/I6</f>
        <v>0.25621740498291</v>
      </c>
      <c r="J48" s="18" t="n">
        <f aca="false">J47/J6</f>
        <v>0.25667397978473</v>
      </c>
      <c r="K48" s="18" t="n">
        <f aca="false">K47/K6</f>
        <v>0.258976323987684</v>
      </c>
      <c r="L48" s="18" t="n">
        <f aca="false">L47/L6</f>
        <v>0.259798113021204</v>
      </c>
      <c r="M48" s="18" t="n">
        <f aca="false">M47/M6</f>
        <v>0.260916460693236</v>
      </c>
      <c r="N48" s="18" t="n">
        <f aca="false">N47/N6</f>
        <v>0.263469709277396</v>
      </c>
    </row>
    <row r="49" customFormat="false" ht="15" hidden="false" customHeight="false" outlineLevel="0" collapsed="false">
      <c r="A49" s="17" t="s">
        <v>333</v>
      </c>
      <c r="B49" s="12"/>
      <c r="C49" s="42"/>
      <c r="D49" s="42"/>
      <c r="E49" s="42"/>
      <c r="F49" s="42" t="str">
        <f aca="false">IF(F46&lt;0.28,"BELOW GUIDANCE",IF(F46&gt;0.305,"ABOVE GUIDANCE","in range"))</f>
        <v>BELOW GUIDANCE</v>
      </c>
      <c r="G49" s="42" t="str">
        <f aca="false">IF(G46&lt;0.28,"BELOW GUIDANCE",IF(G46&gt;0.305,"ABOVE GUIDANCE","in range"))</f>
        <v>BELOW GUIDANCE</v>
      </c>
      <c r="H49" s="42" t="str">
        <f aca="false">IF(H46&lt;0.28,"BELOW GUIDANCE",IF(H46&gt;0.305,"ABOVE GUIDANCE","in range"))</f>
        <v>BELOW GUIDANCE</v>
      </c>
      <c r="I49" s="42" t="str">
        <f aca="false">IF(I46&lt;0.28,"BELOW GUIDANCE",IF(I46&gt;0.305,"ABOVE GUIDANCE","in range"))</f>
        <v>BELOW GUIDANCE</v>
      </c>
      <c r="J49" s="42" t="str">
        <f aca="false">IF(J46&lt;0.28,"BELOW GUIDANCE",IF(J46&gt;0.305,"ABOVE GUIDANCE","in range"))</f>
        <v>BELOW GUIDANCE</v>
      </c>
      <c r="K49" s="42" t="str">
        <f aca="false">IF(K46&lt;0.28,"BELOW GUIDANCE",IF(K46&gt;0.305,"ABOVE GUIDANCE","in range"))</f>
        <v>BELOW GUIDANCE</v>
      </c>
      <c r="L49" s="42" t="str">
        <f aca="false">IF(L46&lt;0.28,"BELOW GUIDANCE",IF(L46&gt;0.305,"ABOVE GUIDANCE","in range"))</f>
        <v>BELOW GUIDANCE</v>
      </c>
      <c r="M49" s="42" t="str">
        <f aca="false">IF(M46&lt;0.28,"BELOW GUIDANCE",IF(M46&gt;0.305,"ABOVE GUIDANCE","in range"))</f>
        <v>BELOW GUIDANCE</v>
      </c>
      <c r="N49" s="42" t="str">
        <f aca="false">IF(N46&lt;0.28,"BELOW GUIDANCE",IF(N46&gt;0.305,"ABOVE GUIDANCE","in range"))</f>
        <v>BELOW GUIDANCE</v>
      </c>
    </row>
    <row r="51" customFormat="false" ht="15" hidden="false" customHeight="false" outlineLevel="0" collapsed="false">
      <c r="A51" s="3" t="s">
        <v>334</v>
      </c>
      <c r="B51" s="4"/>
      <c r="C51" s="4"/>
      <c r="D51" s="4"/>
      <c r="E51" s="4"/>
      <c r="F51" s="4"/>
      <c r="G51" s="4"/>
      <c r="H51" s="4"/>
      <c r="I51" s="4"/>
      <c r="J51" s="4"/>
      <c r="K51" s="4"/>
      <c r="L51" s="4"/>
      <c r="M51" s="4"/>
      <c r="N51" s="4"/>
      <c r="O51" s="4"/>
      <c r="P51" s="4"/>
    </row>
    <row r="52" customFormat="false" ht="15" hidden="false" customHeight="false" outlineLevel="0" collapsed="false">
      <c r="A52" s="11" t="s">
        <v>335</v>
      </c>
      <c r="B52" s="12" t="s">
        <v>11</v>
      </c>
      <c r="C52" s="35" t="n">
        <v>1816.9</v>
      </c>
      <c r="D52" s="35" t="n">
        <v>3692.8</v>
      </c>
      <c r="E52" s="35" t="n">
        <v>5929.61</v>
      </c>
      <c r="F52" s="35" t="n">
        <v>12000</v>
      </c>
      <c r="G52" s="35" t="n">
        <v>8500</v>
      </c>
      <c r="H52" s="35" t="n">
        <v>7000</v>
      </c>
      <c r="I52" s="35" t="n">
        <v>7500</v>
      </c>
      <c r="J52" s="35" t="n">
        <v>7000</v>
      </c>
      <c r="K52" s="35" t="n">
        <v>7000</v>
      </c>
      <c r="L52" s="35" t="n">
        <v>8000</v>
      </c>
      <c r="M52" s="35" t="n">
        <v>7500</v>
      </c>
      <c r="N52" s="35" t="n">
        <v>7500</v>
      </c>
      <c r="P52" s="29" t="s">
        <v>336</v>
      </c>
    </row>
    <row r="53" customFormat="false" ht="15" hidden="false" customHeight="false" outlineLevel="0" collapsed="false">
      <c r="A53" s="14" t="s">
        <v>42</v>
      </c>
      <c r="B53" s="12" t="s">
        <v>27</v>
      </c>
      <c r="C53" s="15" t="n">
        <f aca="false">C52/C6</f>
        <v>0.124005410946656</v>
      </c>
      <c r="D53" s="15" t="n">
        <f aca="false">D52/D6</f>
        <v>0.217919590220528</v>
      </c>
      <c r="E53" s="15" t="n">
        <f aca="false">E52/E6</f>
        <v>0.270450701758547</v>
      </c>
      <c r="F53" s="15" t="n">
        <f aca="false">F52/F6</f>
        <v>0.477024479103606</v>
      </c>
      <c r="G53" s="15" t="n">
        <f aca="false">G52/G6</f>
        <v>0.297645731831026</v>
      </c>
      <c r="H53" s="15" t="n">
        <f aca="false">H52/H6</f>
        <v>0.215373051027932</v>
      </c>
      <c r="I53" s="15" t="n">
        <f aca="false">I52/I6</f>
        <v>0.204585268727086</v>
      </c>
      <c r="J53" s="15" t="n">
        <f aca="false">J52/J6</f>
        <v>0.170582908197987</v>
      </c>
      <c r="K53" s="15" t="n">
        <f aca="false">K52/K6</f>
        <v>0.152156456652847</v>
      </c>
      <c r="L53" s="15" t="n">
        <f aca="false">L52/L6</f>
        <v>0.156139576320189</v>
      </c>
      <c r="M53" s="15" t="n">
        <f aca="false">M52/M6</f>
        <v>0.132299687575257</v>
      </c>
      <c r="N53" s="15" t="n">
        <f aca="false">N52/N6</f>
        <v>0.120321793186835</v>
      </c>
    </row>
    <row r="54" customFormat="false" ht="15" hidden="false" customHeight="false" outlineLevel="0" collapsed="false">
      <c r="A54" s="14" t="s">
        <v>337</v>
      </c>
      <c r="B54" s="12" t="s">
        <v>27</v>
      </c>
      <c r="C54" s="37" t="n">
        <v>0.035</v>
      </c>
      <c r="D54" s="37" t="n">
        <v>0.035</v>
      </c>
      <c r="E54" s="37" t="n">
        <v>0.035</v>
      </c>
      <c r="F54" s="37" t="n">
        <v>0.035</v>
      </c>
      <c r="G54" s="37" t="n">
        <v>0.035</v>
      </c>
      <c r="H54" s="37" t="n">
        <v>0.035</v>
      </c>
      <c r="I54" s="37" t="n">
        <v>0.035</v>
      </c>
      <c r="J54" s="37" t="n">
        <v>0.035</v>
      </c>
      <c r="K54" s="37" t="n">
        <v>0.035</v>
      </c>
      <c r="L54" s="37" t="n">
        <v>0.035</v>
      </c>
      <c r="M54" s="37" t="n">
        <v>0.035</v>
      </c>
      <c r="N54" s="37" t="n">
        <v>0.035</v>
      </c>
      <c r="P54" s="29" t="s">
        <v>338</v>
      </c>
    </row>
    <row r="55" customFormat="false" ht="15" hidden="false" customHeight="false" outlineLevel="0" collapsed="false">
      <c r="A55" s="17" t="s">
        <v>339</v>
      </c>
      <c r="B55" s="12" t="s">
        <v>11</v>
      </c>
      <c r="C55" s="39" t="n">
        <f aca="false">MIN(C52,C6*C54)</f>
        <v>512.8123</v>
      </c>
      <c r="D55" s="39" t="n">
        <f aca="false">MIN(D52,D6*D54)</f>
        <v>593.0995</v>
      </c>
      <c r="E55" s="39" t="n">
        <f aca="false">MIN(E52,E6*E54)</f>
        <v>767.3722</v>
      </c>
      <c r="F55" s="39" t="n">
        <f aca="false">MIN(F52,F6*F54)</f>
        <v>880.457960541643</v>
      </c>
      <c r="G55" s="39" t="n">
        <f aca="false">MIN(G52,G6*G54)</f>
        <v>999.510384946127</v>
      </c>
      <c r="H55" s="39" t="n">
        <f aca="false">MIN(H52,H6*H54)</f>
        <v>1137.56107753809</v>
      </c>
      <c r="I55" s="39" t="n">
        <f aca="false">MIN(I52,I6*I54)</f>
        <v>1283.0835848214</v>
      </c>
      <c r="J55" s="39" t="n">
        <f aca="false">MIN(J52,J6*J54)</f>
        <v>1436.25174754109</v>
      </c>
      <c r="K55" s="39" t="n">
        <f aca="false">MIN(K52,K6*K54)</f>
        <v>1610.18470980158</v>
      </c>
      <c r="L55" s="39" t="n">
        <f aca="false">MIN(L52,L6*L54)</f>
        <v>1793.26732273063</v>
      </c>
      <c r="M55" s="39" t="n">
        <f aca="false">MIN(M52,M6*M54)</f>
        <v>1984.13166962833</v>
      </c>
      <c r="N55" s="39" t="n">
        <f aca="false">MIN(N52,N6*N54)</f>
        <v>2181.6496666767</v>
      </c>
    </row>
    <row r="56" customFormat="false" ht="15" hidden="false" customHeight="false" outlineLevel="0" collapsed="false">
      <c r="A56" s="17" t="s">
        <v>340</v>
      </c>
      <c r="B56" s="12" t="s">
        <v>11</v>
      </c>
      <c r="C56" s="39" t="n">
        <f aca="false">C52-C55</f>
        <v>1304.0877</v>
      </c>
      <c r="D56" s="39" t="n">
        <f aca="false">D52-D55</f>
        <v>3099.7005</v>
      </c>
      <c r="E56" s="39" t="n">
        <f aca="false">E52-E55</f>
        <v>5162.2378</v>
      </c>
      <c r="F56" s="39" t="n">
        <f aca="false">F52-F55</f>
        <v>11119.5420394584</v>
      </c>
      <c r="G56" s="39" t="n">
        <f aca="false">G52-G55</f>
        <v>7500.48961505387</v>
      </c>
      <c r="H56" s="39" t="n">
        <f aca="false">H52-H55</f>
        <v>5862.43892246191</v>
      </c>
      <c r="I56" s="39" t="n">
        <f aca="false">I52-I55</f>
        <v>6216.9164151786</v>
      </c>
      <c r="J56" s="39" t="n">
        <f aca="false">J52-J55</f>
        <v>5563.74825245891</v>
      </c>
      <c r="K56" s="39" t="n">
        <f aca="false">K52-K55</f>
        <v>5389.81529019843</v>
      </c>
      <c r="L56" s="39" t="n">
        <f aca="false">L52-L55</f>
        <v>6206.73267726937</v>
      </c>
      <c r="M56" s="39" t="n">
        <f aca="false">M52-M55</f>
        <v>5515.86833037167</v>
      </c>
      <c r="N56" s="39" t="n">
        <f aca="false">N52-N55</f>
        <v>5318.3503333233</v>
      </c>
    </row>
    <row r="57" customFormat="false" ht="15" hidden="false" customHeight="false" outlineLevel="0" collapsed="false">
      <c r="A57" s="14" t="s">
        <v>341</v>
      </c>
      <c r="B57" s="12" t="s">
        <v>27</v>
      </c>
      <c r="C57" s="37" t="n">
        <v>0.65</v>
      </c>
      <c r="D57" s="37" t="n">
        <v>0.65</v>
      </c>
      <c r="E57" s="37" t="n">
        <v>0.62</v>
      </c>
      <c r="F57" s="37" t="n">
        <v>0.7</v>
      </c>
      <c r="G57" s="37" t="n">
        <v>0.68</v>
      </c>
      <c r="H57" s="37" t="n">
        <v>0.66</v>
      </c>
      <c r="I57" s="37" t="n">
        <v>0.66</v>
      </c>
      <c r="J57" s="37" t="n">
        <v>0.65</v>
      </c>
      <c r="K57" s="37" t="n">
        <v>0.65</v>
      </c>
      <c r="L57" s="37" t="n">
        <v>0.65</v>
      </c>
      <c r="M57" s="37" t="n">
        <v>0.65</v>
      </c>
      <c r="N57" s="37" t="n">
        <v>0.65</v>
      </c>
      <c r="P57" s="29" t="s">
        <v>342</v>
      </c>
    </row>
    <row r="58" customFormat="false" ht="15" hidden="false" customHeight="false" outlineLevel="0" collapsed="false">
      <c r="A58" s="17" t="s">
        <v>343</v>
      </c>
      <c r="B58" s="12" t="s">
        <v>11</v>
      </c>
      <c r="C58" s="39" t="n">
        <f aca="false">C52*C57</f>
        <v>1180.985</v>
      </c>
      <c r="D58" s="39" t="n">
        <f aca="false">D52*D57</f>
        <v>2400.32</v>
      </c>
      <c r="E58" s="39" t="n">
        <f aca="false">E52*E57</f>
        <v>3676.3582</v>
      </c>
      <c r="F58" s="39" t="n">
        <f aca="false">F52*F57</f>
        <v>8400</v>
      </c>
      <c r="G58" s="39" t="n">
        <f aca="false">G52*G57</f>
        <v>5780</v>
      </c>
      <c r="H58" s="39" t="n">
        <f aca="false">H52*H57</f>
        <v>4620</v>
      </c>
      <c r="I58" s="39" t="n">
        <f aca="false">I52*I57</f>
        <v>4950</v>
      </c>
      <c r="J58" s="39" t="n">
        <f aca="false">J52*J57</f>
        <v>4550</v>
      </c>
      <c r="K58" s="39" t="n">
        <f aca="false">K52*K57</f>
        <v>4550</v>
      </c>
      <c r="L58" s="39" t="n">
        <f aca="false">L52*L57</f>
        <v>5200</v>
      </c>
      <c r="M58" s="39" t="n">
        <f aca="false">M52*M57</f>
        <v>4875</v>
      </c>
      <c r="N58" s="39" t="n">
        <f aca="false">N52*N57</f>
        <v>4875</v>
      </c>
    </row>
    <row r="59" customFormat="false" ht="15" hidden="false" customHeight="false" outlineLevel="0" collapsed="false">
      <c r="A59" s="17" t="s">
        <v>344</v>
      </c>
      <c r="B59" s="12" t="s">
        <v>11</v>
      </c>
      <c r="C59" s="39" t="n">
        <f aca="false">C52-C58</f>
        <v>635.915</v>
      </c>
      <c r="D59" s="39" t="n">
        <f aca="false">D52-D58</f>
        <v>1292.48</v>
      </c>
      <c r="E59" s="39" t="n">
        <f aca="false">E52-E58</f>
        <v>2253.2518</v>
      </c>
      <c r="F59" s="39" t="n">
        <f aca="false">F52-F58</f>
        <v>3600</v>
      </c>
      <c r="G59" s="39" t="n">
        <f aca="false">G52-G58</f>
        <v>2720</v>
      </c>
      <c r="H59" s="39" t="n">
        <f aca="false">H52-H58</f>
        <v>2380</v>
      </c>
      <c r="I59" s="39" t="n">
        <f aca="false">I52-I58</f>
        <v>2550</v>
      </c>
      <c r="J59" s="39" t="n">
        <f aca="false">J52-J58</f>
        <v>2450</v>
      </c>
      <c r="K59" s="39" t="n">
        <f aca="false">K52-K58</f>
        <v>2450</v>
      </c>
      <c r="L59" s="39" t="n">
        <f aca="false">L52-L58</f>
        <v>2800</v>
      </c>
      <c r="M59" s="39" t="n">
        <f aca="false">M52-M58</f>
        <v>2625</v>
      </c>
      <c r="N59" s="39" t="n">
        <f aca="false">N52-N58</f>
        <v>2625</v>
      </c>
    </row>
    <row r="60" customFormat="false" ht="15" hidden="false" customHeight="false" outlineLevel="0" collapsed="false">
      <c r="A60" s="40" t="s">
        <v>345</v>
      </c>
    </row>
    <row r="61" customFormat="false" ht="15" hidden="false" customHeight="false" outlineLevel="0" collapsed="false">
      <c r="A61" s="14" t="s">
        <v>346</v>
      </c>
      <c r="B61" s="12" t="s">
        <v>27</v>
      </c>
      <c r="C61" s="15"/>
      <c r="D61" s="15"/>
      <c r="E61" s="15"/>
      <c r="F61" s="37" t="n">
        <v>0.025</v>
      </c>
      <c r="G61" s="37" t="n">
        <v>0.025</v>
      </c>
      <c r="H61" s="37" t="n">
        <v>0.025</v>
      </c>
      <c r="I61" s="37" t="n">
        <v>0.025</v>
      </c>
      <c r="J61" s="37" t="n">
        <v>0.025</v>
      </c>
      <c r="K61" s="37" t="n">
        <v>0.025</v>
      </c>
      <c r="L61" s="37" t="n">
        <v>0.025</v>
      </c>
      <c r="M61" s="37" t="n">
        <v>0.025</v>
      </c>
      <c r="N61" s="37" t="n">
        <v>0.025</v>
      </c>
      <c r="P61" s="29" t="s">
        <v>347</v>
      </c>
    </row>
    <row r="62" customFormat="false" ht="15" hidden="false" customHeight="false" outlineLevel="0" collapsed="false">
      <c r="A62" s="14" t="s">
        <v>348</v>
      </c>
      <c r="B62" s="12" t="s">
        <v>11</v>
      </c>
      <c r="C62" s="24"/>
      <c r="D62" s="24"/>
      <c r="E62" s="28" t="n">
        <v>19.16</v>
      </c>
      <c r="F62" s="24" t="n">
        <f aca="false">F52*F61</f>
        <v>300</v>
      </c>
      <c r="G62" s="24" t="n">
        <f aca="false">G52*G61</f>
        <v>212.5</v>
      </c>
      <c r="H62" s="24" t="n">
        <f aca="false">H52*H61</f>
        <v>175</v>
      </c>
      <c r="I62" s="24" t="n">
        <f aca="false">I52*I61</f>
        <v>187.5</v>
      </c>
      <c r="J62" s="24" t="n">
        <f aca="false">J52*J61</f>
        <v>175</v>
      </c>
      <c r="K62" s="24" t="n">
        <f aca="false">K52*K61</f>
        <v>175</v>
      </c>
      <c r="L62" s="24" t="n">
        <f aca="false">L52*L61</f>
        <v>200</v>
      </c>
      <c r="M62" s="24" t="n">
        <f aca="false">M52*M61</f>
        <v>187.5</v>
      </c>
      <c r="N62" s="24" t="n">
        <f aca="false">N52*N61</f>
        <v>187.5</v>
      </c>
      <c r="P62" s="29" t="s">
        <v>349</v>
      </c>
    </row>
    <row r="63" customFormat="false" ht="15" hidden="false" customHeight="false" outlineLevel="0" collapsed="false">
      <c r="A63" s="14" t="s">
        <v>350</v>
      </c>
      <c r="B63" s="12" t="s">
        <v>11</v>
      </c>
      <c r="C63" s="28" t="n">
        <v>87.67</v>
      </c>
      <c r="D63" s="28" t="n">
        <v>96.19</v>
      </c>
      <c r="E63" s="28" t="n">
        <v>66.55</v>
      </c>
      <c r="F63" s="24" t="n">
        <f aca="false">(E64+F62)*0.22</f>
        <v>79.4574</v>
      </c>
      <c r="G63" s="24" t="n">
        <f aca="false">(F64+G62)*0.22</f>
        <v>108.726772</v>
      </c>
      <c r="H63" s="24" t="n">
        <f aca="false">(G64+H62)*0.22</f>
        <v>123.30688216</v>
      </c>
      <c r="I63" s="24" t="n">
        <f aca="false">(H64+I62)*0.22</f>
        <v>137.4293680848</v>
      </c>
      <c r="J63" s="24" t="n">
        <f aca="false">(I64+J62)*0.22</f>
        <v>145.694907106144</v>
      </c>
      <c r="K63" s="24" t="n">
        <f aca="false">(J64+K62)*0.22</f>
        <v>152.142027542792</v>
      </c>
      <c r="L63" s="24" t="n">
        <f aca="false">(K64+L62)*0.22</f>
        <v>162.670781483378</v>
      </c>
      <c r="M63" s="24" t="n">
        <f aca="false">(L64+M62)*0.22</f>
        <v>168.133209557035</v>
      </c>
      <c r="N63" s="24" t="n">
        <f aca="false">(M64+N62)*0.22</f>
        <v>172.393903454487</v>
      </c>
      <c r="P63" s="29" t="s">
        <v>351</v>
      </c>
    </row>
    <row r="64" customFormat="false" ht="15" hidden="false" customHeight="false" outlineLevel="0" collapsed="false">
      <c r="A64" s="14" t="s">
        <v>352</v>
      </c>
      <c r="B64" s="12" t="s">
        <v>11</v>
      </c>
      <c r="C64" s="28" t="n">
        <v>137.73</v>
      </c>
      <c r="D64" s="28" t="n">
        <v>108.56</v>
      </c>
      <c r="E64" s="28" t="n">
        <v>61.17</v>
      </c>
      <c r="F64" s="24" t="n">
        <f aca="false">E64+F62-F63</f>
        <v>281.7126</v>
      </c>
      <c r="G64" s="24" t="n">
        <f aca="false">F64+G62-G63</f>
        <v>385.485828</v>
      </c>
      <c r="H64" s="24" t="n">
        <f aca="false">G64+H62-H63</f>
        <v>437.17894584</v>
      </c>
      <c r="I64" s="24" t="n">
        <f aca="false">H64+I62-I63</f>
        <v>487.2495777552</v>
      </c>
      <c r="J64" s="24" t="n">
        <f aca="false">I64+J62-J63</f>
        <v>516.554670649056</v>
      </c>
      <c r="K64" s="24" t="n">
        <f aca="false">J64+K62-K63</f>
        <v>539.412643106264</v>
      </c>
      <c r="L64" s="24" t="n">
        <f aca="false">K64+L62-L63</f>
        <v>576.741861622886</v>
      </c>
      <c r="M64" s="24" t="n">
        <f aca="false">L64+M62-M63</f>
        <v>596.108652065851</v>
      </c>
      <c r="N64" s="24" t="n">
        <f aca="false">M64+N62-N63</f>
        <v>611.214748611364</v>
      </c>
      <c r="P64" s="29" t="s">
        <v>353</v>
      </c>
    </row>
    <row r="65" customFormat="false" ht="15" hidden="false" customHeight="false" outlineLevel="0" collapsed="false">
      <c r="A65" s="40" t="s">
        <v>354</v>
      </c>
    </row>
    <row r="66" customFormat="false" ht="15" hidden="false" customHeight="false" outlineLevel="0" collapsed="false">
      <c r="A66" s="14" t="s">
        <v>355</v>
      </c>
      <c r="B66" s="12" t="s">
        <v>11</v>
      </c>
      <c r="C66" s="24"/>
      <c r="D66" s="24" t="n">
        <f aca="false">C69</f>
        <v>1068.95</v>
      </c>
      <c r="E66" s="24" t="n">
        <f aca="false">D69</f>
        <v>1244.56</v>
      </c>
      <c r="F66" s="24" t="n">
        <f aca="false">E69</f>
        <v>2704.53</v>
      </c>
      <c r="G66" s="24" t="n">
        <f aca="false">F69</f>
        <v>4680</v>
      </c>
      <c r="H66" s="24" t="n">
        <f aca="false">G69</f>
        <v>2652</v>
      </c>
      <c r="I66" s="24" t="n">
        <f aca="false">H69</f>
        <v>1842.75</v>
      </c>
      <c r="J66" s="24" t="n">
        <f aca="false">I69</f>
        <v>1974.375</v>
      </c>
      <c r="K66" s="24" t="n">
        <f aca="false">J69</f>
        <v>1706.25</v>
      </c>
      <c r="L66" s="24" t="n">
        <f aca="false">K69</f>
        <v>1706.25</v>
      </c>
      <c r="M66" s="24" t="n">
        <f aca="false">L69</f>
        <v>1950</v>
      </c>
      <c r="N66" s="24" t="n">
        <f aca="false">M69</f>
        <v>1828.125</v>
      </c>
    </row>
    <row r="67" customFormat="false" ht="15" hidden="false" customHeight="false" outlineLevel="0" collapsed="false">
      <c r="A67" s="14" t="s">
        <v>356</v>
      </c>
      <c r="B67" s="12" t="s">
        <v>11</v>
      </c>
      <c r="C67" s="24"/>
      <c r="D67" s="24"/>
      <c r="E67" s="24"/>
      <c r="F67" s="24" t="n">
        <f aca="false">F52-F62</f>
        <v>11700</v>
      </c>
      <c r="G67" s="24" t="n">
        <f aca="false">G52-G62</f>
        <v>8287.5</v>
      </c>
      <c r="H67" s="24" t="n">
        <f aca="false">H52-H62</f>
        <v>6825</v>
      </c>
      <c r="I67" s="24" t="n">
        <f aca="false">I52-I62</f>
        <v>7312.5</v>
      </c>
      <c r="J67" s="24" t="n">
        <f aca="false">J52-J62</f>
        <v>6825</v>
      </c>
      <c r="K67" s="24" t="n">
        <f aca="false">K52-K62</f>
        <v>6825</v>
      </c>
      <c r="L67" s="24" t="n">
        <f aca="false">L52-L62</f>
        <v>7800</v>
      </c>
      <c r="M67" s="24" t="n">
        <f aca="false">M52-M62</f>
        <v>7312.5</v>
      </c>
      <c r="N67" s="24" t="n">
        <f aca="false">N52-N62</f>
        <v>7312.5</v>
      </c>
    </row>
    <row r="68" customFormat="false" ht="15" hidden="false" customHeight="false" outlineLevel="0" collapsed="false">
      <c r="A68" s="14" t="s">
        <v>357</v>
      </c>
      <c r="B68" s="12" t="s">
        <v>27</v>
      </c>
      <c r="C68" s="15"/>
      <c r="D68" s="15"/>
      <c r="E68" s="15"/>
      <c r="F68" s="37" t="n">
        <v>0.4</v>
      </c>
      <c r="G68" s="37" t="n">
        <v>0.32</v>
      </c>
      <c r="H68" s="37" t="n">
        <v>0.27</v>
      </c>
      <c r="I68" s="37" t="n">
        <v>0.27</v>
      </c>
      <c r="J68" s="37" t="n">
        <v>0.25</v>
      </c>
      <c r="K68" s="37" t="n">
        <v>0.25</v>
      </c>
      <c r="L68" s="37" t="n">
        <v>0.25</v>
      </c>
      <c r="M68" s="37" t="n">
        <v>0.25</v>
      </c>
      <c r="N68" s="37" t="n">
        <v>0.25</v>
      </c>
      <c r="P68" s="29" t="s">
        <v>358</v>
      </c>
    </row>
    <row r="69" customFormat="false" ht="15" hidden="false" customHeight="false" outlineLevel="0" collapsed="false">
      <c r="A69" s="30" t="s">
        <v>359</v>
      </c>
      <c r="B69" s="31" t="s">
        <v>11</v>
      </c>
      <c r="C69" s="32" t="n">
        <v>1068.95</v>
      </c>
      <c r="D69" s="32" t="n">
        <v>1244.56</v>
      </c>
      <c r="E69" s="32" t="n">
        <v>2704.53</v>
      </c>
      <c r="F69" s="33" t="n">
        <f aca="false">F67*F68</f>
        <v>4680</v>
      </c>
      <c r="G69" s="33" t="n">
        <f aca="false">G67*G68</f>
        <v>2652</v>
      </c>
      <c r="H69" s="33" t="n">
        <f aca="false">H67*H68</f>
        <v>1842.75</v>
      </c>
      <c r="I69" s="33" t="n">
        <f aca="false">I67*I68</f>
        <v>1974.375</v>
      </c>
      <c r="J69" s="33" t="n">
        <f aca="false">J67*J68</f>
        <v>1706.25</v>
      </c>
      <c r="K69" s="33" t="n">
        <f aca="false">K67*K68</f>
        <v>1706.25</v>
      </c>
      <c r="L69" s="33" t="n">
        <f aca="false">L67*L68</f>
        <v>1950</v>
      </c>
      <c r="M69" s="33" t="n">
        <f aca="false">M67*M68</f>
        <v>1828.125</v>
      </c>
      <c r="N69" s="33" t="n">
        <f aca="false">N67*N68</f>
        <v>1828.125</v>
      </c>
      <c r="P69" s="29" t="s">
        <v>353</v>
      </c>
    </row>
    <row r="70" customFormat="false" ht="15" hidden="false" customHeight="false" outlineLevel="0" collapsed="false">
      <c r="A70" s="14" t="s">
        <v>360</v>
      </c>
      <c r="B70" s="12" t="s">
        <v>11</v>
      </c>
      <c r="C70" s="24"/>
      <c r="D70" s="24"/>
      <c r="E70" s="24"/>
      <c r="F70" s="24" t="n">
        <f aca="false">F66+F67-F69</f>
        <v>9724.53</v>
      </c>
      <c r="G70" s="24" t="n">
        <f aca="false">G66+G67-G69</f>
        <v>10315.5</v>
      </c>
      <c r="H70" s="24" t="n">
        <f aca="false">H66+H67-H69</f>
        <v>7634.25</v>
      </c>
      <c r="I70" s="24" t="n">
        <f aca="false">I66+I67-I69</f>
        <v>7180.875</v>
      </c>
      <c r="J70" s="24" t="n">
        <f aca="false">J66+J67-J69</f>
        <v>7093.125</v>
      </c>
      <c r="K70" s="24" t="n">
        <f aca="false">K66+K67-K69</f>
        <v>6825</v>
      </c>
      <c r="L70" s="24" t="n">
        <f aca="false">L66+L67-L69</f>
        <v>7556.25</v>
      </c>
      <c r="M70" s="24" t="n">
        <f aca="false">M66+M67-M69</f>
        <v>7434.375</v>
      </c>
      <c r="N70" s="24" t="n">
        <f aca="false">N66+N67-N69</f>
        <v>7312.5</v>
      </c>
    </row>
    <row r="71" customFormat="false" ht="15" hidden="false" customHeight="false" outlineLevel="0" collapsed="false">
      <c r="A71" s="40" t="s">
        <v>361</v>
      </c>
    </row>
    <row r="72" customFormat="false" ht="15" hidden="false" customHeight="false" outlineLevel="0" collapsed="false">
      <c r="A72" s="14" t="s">
        <v>362</v>
      </c>
      <c r="B72" s="12" t="s">
        <v>11</v>
      </c>
      <c r="C72" s="24"/>
      <c r="D72" s="24" t="n">
        <f aca="false">C76</f>
        <v>9263.55</v>
      </c>
      <c r="E72" s="24" t="n">
        <f aca="false">D76</f>
        <v>11850.12</v>
      </c>
      <c r="F72" s="24" t="n">
        <f aca="false">E76</f>
        <v>15344.14</v>
      </c>
      <c r="G72" s="24" t="n">
        <f aca="false">F76</f>
        <v>23174.474335</v>
      </c>
      <c r="H72" s="24" t="n">
        <f aca="false">G76</f>
        <v>30840.077471845</v>
      </c>
      <c r="I72" s="24" t="n">
        <f aca="false">H76</f>
        <v>35236.2076419634</v>
      </c>
      <c r="J72" s="24" t="n">
        <f aca="false">I76</f>
        <v>38791.2046437608</v>
      </c>
      <c r="K72" s="24" t="n">
        <f aca="false">J76</f>
        <v>41931.9172993911</v>
      </c>
      <c r="L72" s="24" t="n">
        <f aca="false">K76</f>
        <v>44524.8864905477</v>
      </c>
      <c r="M72" s="24" t="n">
        <f aca="false">L76</f>
        <v>47573.9564219268</v>
      </c>
      <c r="N72" s="24" t="n">
        <f aca="false">M76</f>
        <v>50223.2550371876</v>
      </c>
    </row>
    <row r="73" customFormat="false" ht="15" hidden="false" customHeight="false" outlineLevel="0" collapsed="false">
      <c r="A73" s="14" t="s">
        <v>363</v>
      </c>
      <c r="B73" s="12" t="s">
        <v>27</v>
      </c>
      <c r="C73" s="15"/>
      <c r="D73" s="15"/>
      <c r="E73" s="15"/>
      <c r="F73" s="37" t="n">
        <v>0.093</v>
      </c>
      <c r="G73" s="37" t="n">
        <v>0.093</v>
      </c>
      <c r="H73" s="37" t="n">
        <v>0.093</v>
      </c>
      <c r="I73" s="37" t="n">
        <v>0.093</v>
      </c>
      <c r="J73" s="37" t="n">
        <v>0.093</v>
      </c>
      <c r="K73" s="37" t="n">
        <v>0.093</v>
      </c>
      <c r="L73" s="37" t="n">
        <v>0.093</v>
      </c>
      <c r="M73" s="37" t="n">
        <v>0.093</v>
      </c>
      <c r="N73" s="37" t="n">
        <v>0.093</v>
      </c>
      <c r="P73" s="29" t="s">
        <v>364</v>
      </c>
    </row>
    <row r="74" customFormat="false" ht="15" hidden="false" customHeight="false" outlineLevel="0" collapsed="false">
      <c r="A74" s="14" t="s">
        <v>365</v>
      </c>
      <c r="B74" s="12" t="s">
        <v>11</v>
      </c>
      <c r="C74" s="28" t="n">
        <v>731.35</v>
      </c>
      <c r="D74" s="28" t="n">
        <v>889.62</v>
      </c>
      <c r="E74" s="28" t="n">
        <v>1124</v>
      </c>
      <c r="F74" s="24" t="n">
        <f aca="false">E76*F73+F70*F73/2</f>
        <v>1879.195665</v>
      </c>
      <c r="G74" s="24" t="n">
        <f aca="false">F76*G73+G70*G73/2</f>
        <v>2634.896863155</v>
      </c>
      <c r="H74" s="24" t="n">
        <f aca="false">G76*H73+H70*H73/2</f>
        <v>3223.11982988159</v>
      </c>
      <c r="I74" s="24" t="n">
        <f aca="false">H76*I73+I70*I73/2</f>
        <v>3610.8779982026</v>
      </c>
      <c r="J74" s="24" t="n">
        <f aca="false">I76*J73+J70*J73/2</f>
        <v>3937.41234436976</v>
      </c>
      <c r="K74" s="24" t="n">
        <f aca="false">J76*K73+K70*K73/2</f>
        <v>4217.03080884337</v>
      </c>
      <c r="L74" s="24" t="n">
        <f aca="false">K76*L73+L70*L73/2</f>
        <v>4492.18006862094</v>
      </c>
      <c r="M74" s="24" t="n">
        <f aca="false">L76*M73+M70*M73/2</f>
        <v>4770.07638473919</v>
      </c>
      <c r="N74" s="24" t="n">
        <f aca="false">M76*N73+N70*N73/2</f>
        <v>5010.79396845844</v>
      </c>
      <c r="P74" s="29" t="s">
        <v>366</v>
      </c>
    </row>
    <row r="75" customFormat="false" ht="15" hidden="false" customHeight="false" outlineLevel="0" collapsed="false">
      <c r="A75" s="14" t="s">
        <v>367</v>
      </c>
      <c r="B75" s="12" t="s">
        <v>11</v>
      </c>
      <c r="C75" s="28" t="n">
        <v>8.43</v>
      </c>
      <c r="D75" s="28" t="n">
        <v>22.88</v>
      </c>
      <c r="E75" s="28" t="n">
        <v>14.81</v>
      </c>
      <c r="F75" s="28" t="n">
        <v>15</v>
      </c>
      <c r="G75" s="28" t="n">
        <v>15</v>
      </c>
      <c r="H75" s="28" t="n">
        <v>15</v>
      </c>
      <c r="I75" s="28" t="n">
        <v>15</v>
      </c>
      <c r="J75" s="28" t="n">
        <v>15</v>
      </c>
      <c r="K75" s="28" t="n">
        <v>15</v>
      </c>
      <c r="L75" s="28" t="n">
        <v>15</v>
      </c>
      <c r="M75" s="28" t="n">
        <v>15</v>
      </c>
      <c r="N75" s="28" t="n">
        <v>15</v>
      </c>
      <c r="P75" s="29" t="s">
        <v>368</v>
      </c>
    </row>
    <row r="76" customFormat="false" ht="15" hidden="false" customHeight="false" outlineLevel="0" collapsed="false">
      <c r="A76" s="30" t="s">
        <v>369</v>
      </c>
      <c r="B76" s="31" t="s">
        <v>11</v>
      </c>
      <c r="C76" s="32" t="n">
        <v>9263.55</v>
      </c>
      <c r="D76" s="32" t="n">
        <v>11850.12</v>
      </c>
      <c r="E76" s="32" t="n">
        <v>15344.14</v>
      </c>
      <c r="F76" s="33" t="n">
        <f aca="false">F72+F70-F74-F75</f>
        <v>23174.474335</v>
      </c>
      <c r="G76" s="33" t="n">
        <f aca="false">G72+G70-G74-G75</f>
        <v>30840.077471845</v>
      </c>
      <c r="H76" s="33" t="n">
        <f aca="false">H72+H70-H74-H75</f>
        <v>35236.2076419634</v>
      </c>
      <c r="I76" s="33" t="n">
        <f aca="false">I72+I70-I74-I75</f>
        <v>38791.2046437608</v>
      </c>
      <c r="J76" s="33" t="n">
        <f aca="false">J72+J70-J74-J75</f>
        <v>41931.9172993911</v>
      </c>
      <c r="K76" s="33" t="n">
        <f aca="false">K72+K70-K74-K75</f>
        <v>44524.8864905477</v>
      </c>
      <c r="L76" s="33" t="n">
        <f aca="false">L72+L70-L74-L75</f>
        <v>47573.9564219268</v>
      </c>
      <c r="M76" s="33" t="n">
        <f aca="false">M72+M70-M74-M75</f>
        <v>50223.2550371876</v>
      </c>
      <c r="N76" s="33" t="n">
        <f aca="false">N72+N70-N74-N75</f>
        <v>52509.9610687291</v>
      </c>
      <c r="P76" s="29" t="s">
        <v>353</v>
      </c>
    </row>
    <row r="77" customFormat="false" ht="15" hidden="false" customHeight="false" outlineLevel="0" collapsed="false">
      <c r="A77" s="40" t="s">
        <v>370</v>
      </c>
    </row>
    <row r="78" customFormat="false" ht="15" hidden="false" customHeight="false" outlineLevel="0" collapsed="false">
      <c r="A78" s="14" t="s">
        <v>371</v>
      </c>
      <c r="B78" s="12" t="s">
        <v>27</v>
      </c>
      <c r="C78" s="15"/>
      <c r="D78" s="15"/>
      <c r="E78" s="15"/>
      <c r="F78" s="37" t="n">
        <v>0.013</v>
      </c>
      <c r="G78" s="37" t="n">
        <v>0.013</v>
      </c>
      <c r="H78" s="37" t="n">
        <v>0.013</v>
      </c>
      <c r="I78" s="37" t="n">
        <v>0.013</v>
      </c>
      <c r="J78" s="37" t="n">
        <v>0.013</v>
      </c>
      <c r="K78" s="37" t="n">
        <v>0.013</v>
      </c>
      <c r="L78" s="37" t="n">
        <v>0.013</v>
      </c>
      <c r="M78" s="37" t="n">
        <v>0.013</v>
      </c>
      <c r="N78" s="37" t="n">
        <v>0.013</v>
      </c>
      <c r="P78" s="29" t="s">
        <v>372</v>
      </c>
    </row>
    <row r="79" customFormat="false" ht="15" hidden="false" customHeight="false" outlineLevel="0" collapsed="false">
      <c r="A79" s="14" t="s">
        <v>373</v>
      </c>
      <c r="B79" s="12" t="s">
        <v>11</v>
      </c>
      <c r="C79" s="24"/>
      <c r="D79" s="24"/>
      <c r="E79" s="28" t="n">
        <v>297.57</v>
      </c>
      <c r="F79" s="24" t="n">
        <f aca="false">F6*F78</f>
        <v>327.027242486896</v>
      </c>
      <c r="G79" s="24" t="n">
        <f aca="false">G6*G78</f>
        <v>371.246714408561</v>
      </c>
      <c r="H79" s="24" t="n">
        <f aca="false">H6*H78</f>
        <v>422.522685942718</v>
      </c>
      <c r="I79" s="24" t="n">
        <f aca="false">I6*I78</f>
        <v>476.573902933664</v>
      </c>
      <c r="J79" s="24" t="n">
        <f aca="false">J6*J78</f>
        <v>533.464934800977</v>
      </c>
      <c r="K79" s="24" t="n">
        <f aca="false">K6*K78</f>
        <v>598.068606497728</v>
      </c>
      <c r="L79" s="24" t="n">
        <f aca="false">L6*L78</f>
        <v>666.070719871376</v>
      </c>
      <c r="M79" s="24" t="n">
        <f aca="false">M6*M78</f>
        <v>736.963191576236</v>
      </c>
      <c r="N79" s="24" t="n">
        <f aca="false">N6*N78</f>
        <v>810.327019051345</v>
      </c>
    </row>
    <row r="80" customFormat="false" ht="15" hidden="false" customHeight="false" outlineLevel="0" collapsed="false">
      <c r="A80" s="14" t="s">
        <v>374</v>
      </c>
      <c r="B80" s="12" t="s">
        <v>11</v>
      </c>
      <c r="C80" s="28" t="n">
        <v>375.34</v>
      </c>
      <c r="D80" s="28" t="n">
        <v>399.92</v>
      </c>
      <c r="E80" s="28" t="n">
        <v>478</v>
      </c>
      <c r="F80" s="24" t="n">
        <f aca="false">E81*0.165</f>
        <v>452.59665</v>
      </c>
      <c r="G80" s="24" t="n">
        <f aca="false">F81*0.165</f>
        <v>431.877697760338</v>
      </c>
      <c r="H80" s="24" t="n">
        <f aca="false">G81*0.165</f>
        <v>421.873585507295</v>
      </c>
      <c r="I80" s="24" t="n">
        <f aca="false">H81*0.165</f>
        <v>421.98068707914</v>
      </c>
      <c r="J80" s="24" t="n">
        <f aca="false">I81*0.165</f>
        <v>430.988567695136</v>
      </c>
      <c r="K80" s="24" t="n">
        <f aca="false">J81*0.165</f>
        <v>447.8971682676</v>
      </c>
      <c r="L80" s="24" t="n">
        <f aca="false">K81*0.165</f>
        <v>472.675455575571</v>
      </c>
      <c r="M80" s="24" t="n">
        <f aca="false">L81*0.165</f>
        <v>504.585674184379</v>
      </c>
      <c r="N80" s="24" t="n">
        <f aca="false">M81*0.165</f>
        <v>542.927964554035</v>
      </c>
      <c r="P80" s="29" t="s">
        <v>375</v>
      </c>
    </row>
    <row r="81" customFormat="false" ht="15" hidden="false" customHeight="false" outlineLevel="0" collapsed="false">
      <c r="A81" s="46" t="s">
        <v>376</v>
      </c>
      <c r="B81" s="31" t="s">
        <v>11</v>
      </c>
      <c r="C81" s="49" t="n">
        <v>2397.13</v>
      </c>
      <c r="D81" s="49" t="n">
        <v>2923.44</v>
      </c>
      <c r="E81" s="49" t="n">
        <v>2743.01</v>
      </c>
      <c r="F81" s="47" t="n">
        <f aca="false">E81+F79-F80</f>
        <v>2617.4405924869</v>
      </c>
      <c r="G81" s="47" t="n">
        <f aca="false">F81+G79-G80</f>
        <v>2556.80960913512</v>
      </c>
      <c r="H81" s="47" t="n">
        <f aca="false">G81+H79-H80</f>
        <v>2557.45870957054</v>
      </c>
      <c r="I81" s="47" t="n">
        <f aca="false">H81+I79-I80</f>
        <v>2612.05192542507</v>
      </c>
      <c r="J81" s="47" t="n">
        <f aca="false">I81+J79-J80</f>
        <v>2714.52829253091</v>
      </c>
      <c r="K81" s="47" t="n">
        <f aca="false">J81+K79-K80</f>
        <v>2864.69973076104</v>
      </c>
      <c r="L81" s="47" t="n">
        <f aca="false">K81+L79-L80</f>
        <v>3058.09499505684</v>
      </c>
      <c r="M81" s="47" t="n">
        <f aca="false">L81+M79-M80</f>
        <v>3290.4725124487</v>
      </c>
      <c r="N81" s="47" t="n">
        <f aca="false">M81+N79-N80</f>
        <v>3557.87156694601</v>
      </c>
      <c r="P81" s="29" t="s">
        <v>353</v>
      </c>
    </row>
    <row r="82" customFormat="false" ht="15" hidden="false" customHeight="false" outlineLevel="0" collapsed="false">
      <c r="A82" s="14" t="s">
        <v>377</v>
      </c>
      <c r="B82" s="12" t="s">
        <v>11</v>
      </c>
      <c r="C82" s="24"/>
      <c r="D82" s="24" t="n">
        <f aca="false">C85</f>
        <v>2174.97</v>
      </c>
      <c r="E82" s="24" t="n">
        <f aca="false">D85</f>
        <v>2237.45</v>
      </c>
      <c r="F82" s="24" t="n">
        <f aca="false">E85</f>
        <v>1933.27</v>
      </c>
      <c r="G82" s="24" t="n">
        <f aca="false">F85</f>
        <v>1738.3143424869</v>
      </c>
      <c r="H82" s="24" t="n">
        <f aca="false">G85</f>
        <v>1640.216184424</v>
      </c>
      <c r="I82" s="24" t="n">
        <f aca="false">H85</f>
        <v>1619.88050057223</v>
      </c>
      <c r="J82" s="24" t="n">
        <f aca="false">I85</f>
        <v>1659.0866683514</v>
      </c>
      <c r="K82" s="24" t="n">
        <f aca="false">J85</f>
        <v>1744.5982026975</v>
      </c>
      <c r="L82" s="24" t="n">
        <f aca="false">K85</f>
        <v>1871.6252944669</v>
      </c>
      <c r="M82" s="24" t="n">
        <f aca="false">L85</f>
        <v>2032.35718483221</v>
      </c>
      <c r="N82" s="24" t="n">
        <f aca="false">M85</f>
        <v>2220.58393650375</v>
      </c>
    </row>
    <row r="83" customFormat="false" ht="15" hidden="false" customHeight="false" outlineLevel="0" collapsed="false">
      <c r="A83" s="14" t="s">
        <v>378</v>
      </c>
      <c r="B83" s="12" t="s">
        <v>11</v>
      </c>
      <c r="C83" s="28" t="n">
        <v>253.53</v>
      </c>
      <c r="D83" s="28" t="n">
        <v>248.98</v>
      </c>
      <c r="E83" s="28" t="n">
        <v>232.17</v>
      </c>
      <c r="F83" s="24" t="n">
        <f aca="false">F82*0.11</f>
        <v>212.6597</v>
      </c>
      <c r="G83" s="24" t="n">
        <f aca="false">G82*0.11</f>
        <v>191.214577673559</v>
      </c>
      <c r="H83" s="24" t="n">
        <f aca="false">H82*0.11</f>
        <v>180.423780286639</v>
      </c>
      <c r="I83" s="24" t="n">
        <f aca="false">I82*0.11</f>
        <v>178.186855062946</v>
      </c>
      <c r="J83" s="24" t="n">
        <f aca="false">J82*0.11</f>
        <v>182.499533518653</v>
      </c>
      <c r="K83" s="24" t="n">
        <f aca="false">K82*0.11</f>
        <v>191.905802296724</v>
      </c>
      <c r="L83" s="24" t="n">
        <f aca="false">L82*0.11</f>
        <v>205.878782391359</v>
      </c>
      <c r="M83" s="24" t="n">
        <f aca="false">M82*0.11</f>
        <v>223.559290331543</v>
      </c>
      <c r="N83" s="24" t="n">
        <f aca="false">N82*0.11</f>
        <v>244.264233015413</v>
      </c>
      <c r="P83" s="29" t="s">
        <v>379</v>
      </c>
    </row>
    <row r="84" customFormat="false" ht="15" hidden="false" customHeight="false" outlineLevel="0" collapsed="false">
      <c r="A84" s="14" t="s">
        <v>380</v>
      </c>
      <c r="B84" s="12" t="s">
        <v>11</v>
      </c>
      <c r="C84" s="28" t="n">
        <v>441.05</v>
      </c>
      <c r="D84" s="28" t="n">
        <v>510.64</v>
      </c>
      <c r="E84" s="28" t="n">
        <v>615.52</v>
      </c>
      <c r="F84" s="24" t="n">
        <f aca="false">F82*0.27</f>
        <v>521.9829</v>
      </c>
      <c r="G84" s="24" t="n">
        <f aca="false">G82*0.27</f>
        <v>469.344872471462</v>
      </c>
      <c r="H84" s="24" t="n">
        <f aca="false">H82*0.27</f>
        <v>442.858369794479</v>
      </c>
      <c r="I84" s="24" t="n">
        <f aca="false">I82*0.27</f>
        <v>437.367735154503</v>
      </c>
      <c r="J84" s="24" t="n">
        <f aca="false">J82*0.27</f>
        <v>447.953400454877</v>
      </c>
      <c r="K84" s="24" t="n">
        <f aca="false">K82*0.27</f>
        <v>471.041514728324</v>
      </c>
      <c r="L84" s="24" t="n">
        <f aca="false">L82*0.27</f>
        <v>505.338829506063</v>
      </c>
      <c r="M84" s="24" t="n">
        <f aca="false">M82*0.27</f>
        <v>548.736439904697</v>
      </c>
      <c r="N84" s="24" t="n">
        <f aca="false">N82*0.27</f>
        <v>599.557662856013</v>
      </c>
      <c r="P84" s="29" t="s">
        <v>381</v>
      </c>
    </row>
    <row r="85" customFormat="false" ht="15" hidden="false" customHeight="false" outlineLevel="0" collapsed="false">
      <c r="A85" s="30" t="s">
        <v>382</v>
      </c>
      <c r="B85" s="31" t="s">
        <v>11</v>
      </c>
      <c r="C85" s="32" t="n">
        <v>2174.97</v>
      </c>
      <c r="D85" s="32" t="n">
        <v>2237.45</v>
      </c>
      <c r="E85" s="32" t="n">
        <v>1933.27</v>
      </c>
      <c r="F85" s="33" t="n">
        <f aca="false">F82+F79+F83-F83-F84</f>
        <v>1738.3143424869</v>
      </c>
      <c r="G85" s="33" t="n">
        <f aca="false">G82+G79+G83-G83-G84</f>
        <v>1640.216184424</v>
      </c>
      <c r="H85" s="33" t="n">
        <f aca="false">H82+H79+H83-H83-H84</f>
        <v>1619.88050057223</v>
      </c>
      <c r="I85" s="33" t="n">
        <f aca="false">I82+I79+I83-I83-I84</f>
        <v>1659.0866683514</v>
      </c>
      <c r="J85" s="33" t="n">
        <f aca="false">J82+J79+J83-J83-J84</f>
        <v>1744.5982026975</v>
      </c>
      <c r="K85" s="33" t="n">
        <f aca="false">K82+K79+K83-K83-K84</f>
        <v>1871.6252944669</v>
      </c>
      <c r="L85" s="33" t="n">
        <f aca="false">L82+L79+L83-L83-L84</f>
        <v>2032.35718483221</v>
      </c>
      <c r="M85" s="33" t="n">
        <f aca="false">M82+M79+M83-M83-M84</f>
        <v>2220.58393650375</v>
      </c>
      <c r="N85" s="33" t="n">
        <f aca="false">N82+N79+N83-N83-N84</f>
        <v>2431.35329269908</v>
      </c>
      <c r="P85" s="29" t="s">
        <v>383</v>
      </c>
    </row>
    <row r="86" customFormat="false" ht="15" hidden="false" customHeight="false" outlineLevel="0" collapsed="false">
      <c r="A86" s="17" t="s">
        <v>384</v>
      </c>
      <c r="B86" s="12" t="s">
        <v>11</v>
      </c>
      <c r="C86" s="48" t="n">
        <v>417.76</v>
      </c>
      <c r="D86" s="48" t="n">
        <v>590.58</v>
      </c>
      <c r="E86" s="48" t="n">
        <v>657.07</v>
      </c>
      <c r="F86" s="39" t="n">
        <f aca="false">F85*0.34</f>
        <v>591.026876445545</v>
      </c>
      <c r="G86" s="39" t="n">
        <f aca="false">G85*0.34</f>
        <v>557.673502704158</v>
      </c>
      <c r="H86" s="39" t="n">
        <f aca="false">H85*0.34</f>
        <v>550.75937019456</v>
      </c>
      <c r="I86" s="39" t="n">
        <f aca="false">I85*0.34</f>
        <v>564.089467239474</v>
      </c>
      <c r="J86" s="39" t="n">
        <f aca="false">J85*0.34</f>
        <v>593.163388917148</v>
      </c>
      <c r="K86" s="39" t="n">
        <f aca="false">K85*0.34</f>
        <v>636.352600118746</v>
      </c>
      <c r="L86" s="39" t="n">
        <f aca="false">L85*0.34</f>
        <v>691.001442842952</v>
      </c>
      <c r="M86" s="39" t="n">
        <f aca="false">M85*0.34</f>
        <v>754.998538411275</v>
      </c>
      <c r="N86" s="39" t="n">
        <f aca="false">N85*0.34</f>
        <v>826.660119517688</v>
      </c>
      <c r="P86" s="29" t="s">
        <v>385</v>
      </c>
    </row>
    <row r="87" customFormat="false" ht="15" hidden="false" customHeight="false" outlineLevel="0" collapsed="false">
      <c r="A87" s="40" t="s">
        <v>386</v>
      </c>
    </row>
    <row r="88" customFormat="false" ht="15" hidden="false" customHeight="false" outlineLevel="0" collapsed="false">
      <c r="A88" s="30" t="s">
        <v>387</v>
      </c>
      <c r="B88" s="31" t="s">
        <v>11</v>
      </c>
      <c r="C88" s="33" t="n">
        <f aca="false">C74+C80+C63</f>
        <v>1194.36</v>
      </c>
      <c r="D88" s="33" t="n">
        <f aca="false">D74+D80+D63</f>
        <v>1385.73</v>
      </c>
      <c r="E88" s="33" t="n">
        <f aca="false">E74+E80+E63</f>
        <v>1668.55</v>
      </c>
      <c r="F88" s="33" t="n">
        <f aca="false">F74+F80+F63</f>
        <v>2411.249715</v>
      </c>
      <c r="G88" s="33" t="n">
        <f aca="false">G74+G80+G63</f>
        <v>3175.50133291534</v>
      </c>
      <c r="H88" s="33" t="n">
        <f aca="false">H74+H80+H63</f>
        <v>3768.30029754888</v>
      </c>
      <c r="I88" s="33" t="n">
        <f aca="false">I74+I80+I63</f>
        <v>4170.28805336654</v>
      </c>
      <c r="J88" s="33" t="n">
        <f aca="false">J74+J80+J63</f>
        <v>4514.09581917104</v>
      </c>
      <c r="K88" s="33" t="n">
        <f aca="false">K74+K80+K63</f>
        <v>4817.07000465376</v>
      </c>
      <c r="L88" s="33" t="n">
        <f aca="false">L74+L80+L63</f>
        <v>5127.52630567989</v>
      </c>
      <c r="M88" s="33" t="n">
        <f aca="false">M74+M80+M63</f>
        <v>5442.7952684806</v>
      </c>
      <c r="N88" s="33" t="n">
        <f aca="false">N74+N80+N63</f>
        <v>5726.11583646697</v>
      </c>
    </row>
    <row r="89" customFormat="false" ht="15" hidden="false" customHeight="false" outlineLevel="0" collapsed="false">
      <c r="A89" s="17" t="s">
        <v>388</v>
      </c>
      <c r="B89" s="12" t="s">
        <v>11</v>
      </c>
      <c r="C89" s="48" t="n">
        <v>1194.36</v>
      </c>
      <c r="D89" s="48" t="n">
        <v>1385.73</v>
      </c>
      <c r="E89" s="48" t="n">
        <v>1668.55</v>
      </c>
      <c r="F89" s="39"/>
      <c r="G89" s="39"/>
      <c r="H89" s="39"/>
      <c r="I89" s="39"/>
      <c r="J89" s="39"/>
      <c r="K89" s="39"/>
      <c r="L89" s="39"/>
      <c r="M89" s="39"/>
      <c r="N89" s="39"/>
      <c r="P89" s="29" t="s">
        <v>389</v>
      </c>
    </row>
    <row r="90" customFormat="false" ht="15" hidden="false" customHeight="false" outlineLevel="0" collapsed="false">
      <c r="A90" s="17" t="s">
        <v>390</v>
      </c>
      <c r="B90" s="12" t="s">
        <v>11</v>
      </c>
      <c r="C90" s="34" t="n">
        <f aca="false">C88-C89</f>
        <v>0</v>
      </c>
      <c r="D90" s="34" t="n">
        <f aca="false">D88-D89</f>
        <v>0</v>
      </c>
      <c r="E90" s="34" t="n">
        <f aca="false">E88-E89</f>
        <v>0</v>
      </c>
      <c r="F90" s="34"/>
      <c r="G90" s="34"/>
      <c r="H90" s="34"/>
      <c r="I90" s="34"/>
      <c r="J90" s="34"/>
      <c r="K90" s="34"/>
      <c r="L90" s="34"/>
      <c r="M90" s="34"/>
      <c r="N90" s="34"/>
    </row>
    <row r="91" customFormat="false" ht="15" hidden="false" customHeight="false" outlineLevel="0" collapsed="false">
      <c r="A91" s="14" t="s">
        <v>391</v>
      </c>
      <c r="B91" s="12" t="s">
        <v>11</v>
      </c>
      <c r="C91" s="38" t="n">
        <f aca="false">C6/C10</f>
        <v>4.38020328849028</v>
      </c>
      <c r="D91" s="38" t="n">
        <f aca="false">D6/D10</f>
        <v>4.98256395177889</v>
      </c>
      <c r="E91" s="38" t="n">
        <f aca="false">E6/E10</f>
        <v>5.76971578947368</v>
      </c>
      <c r="F91" s="38" t="n">
        <f aca="false">F6/F10</f>
        <v>6.10581109945661</v>
      </c>
      <c r="G91" s="38" t="n">
        <f aca="false">G6/G10</f>
        <v>6.460959178708</v>
      </c>
      <c r="H91" s="38" t="n">
        <f aca="false">H6/H10</f>
        <v>6.91526490904612</v>
      </c>
      <c r="I91" s="38" t="n">
        <f aca="false">I6/I10</f>
        <v>7.39103447477767</v>
      </c>
      <c r="J91" s="38" t="n">
        <f aca="false">J6/J10</f>
        <v>7.89149311835764</v>
      </c>
      <c r="K91" s="38" t="n">
        <f aca="false">K6/K10</f>
        <v>8.4880585651111</v>
      </c>
      <c r="L91" s="38" t="n">
        <f aca="false">L6/L10</f>
        <v>9.1167632065614</v>
      </c>
      <c r="M91" s="38" t="n">
        <f aca="false">M6/M10</f>
        <v>9.77404763363709</v>
      </c>
      <c r="N91" s="38" t="n">
        <f aca="false">N6/N10</f>
        <v>10.4585314797541</v>
      </c>
      <c r="P91" s="29" t="s">
        <v>392</v>
      </c>
    </row>
    <row r="92" customFormat="false" ht="15" hidden="false" customHeight="false" outlineLevel="0" collapsed="false">
      <c r="A92" s="14" t="s">
        <v>393</v>
      </c>
      <c r="B92" s="12" t="s">
        <v>47</v>
      </c>
      <c r="C92" s="50" t="n">
        <f aca="false">C6/(C76+C69)</f>
        <v>1.41802855068957</v>
      </c>
      <c r="D92" s="50" t="n">
        <f aca="false">D6/(D76+D69)</f>
        <v>1.29409042450827</v>
      </c>
      <c r="E92" s="50" t="n">
        <f aca="false">E6/(E76+E69)</f>
        <v>1.21476651742206</v>
      </c>
      <c r="F92" s="50" t="n">
        <f aca="false">F6/(F76+F69)</f>
        <v>0.903120318381022</v>
      </c>
      <c r="G92" s="50" t="n">
        <f aca="false">G6/(G76+G69)</f>
        <v>0.852662531725482</v>
      </c>
      <c r="H92" s="50" t="n">
        <f aca="false">H6/(H76+H69)</f>
        <v>0.876554982649607</v>
      </c>
      <c r="I92" s="50" t="n">
        <f aca="false">I6/(I76+I69)</f>
        <v>0.899276578801401</v>
      </c>
      <c r="J92" s="50" t="n">
        <f aca="false">J6/(J76+J69)</f>
        <v>0.940364060981827</v>
      </c>
      <c r="K92" s="50" t="n">
        <f aca="false">K6/(K76+K69)</f>
        <v>0.995114568128955</v>
      </c>
      <c r="L92" s="50" t="n">
        <f aca="false">L6/(L76+L69)</f>
        <v>1.03457423280888</v>
      </c>
      <c r="M92" s="50" t="n">
        <f aca="false">M6/(M76+M69)</f>
        <v>1.08910611466197</v>
      </c>
      <c r="N92" s="50" t="n">
        <f aca="false">N6/(N76+N69)</f>
        <v>1.14712998062709</v>
      </c>
      <c r="P92" s="29" t="s">
        <v>394</v>
      </c>
    </row>
    <row r="94" customFormat="false" ht="15" hidden="false" customHeight="false" outlineLevel="0" collapsed="false">
      <c r="A94" s="3" t="s">
        <v>395</v>
      </c>
      <c r="B94" s="4"/>
      <c r="C94" s="4"/>
      <c r="D94" s="4"/>
      <c r="E94" s="4"/>
      <c r="F94" s="4"/>
      <c r="G94" s="4"/>
      <c r="H94" s="4"/>
      <c r="I94" s="4"/>
      <c r="J94" s="4"/>
      <c r="K94" s="4"/>
      <c r="L94" s="4"/>
      <c r="M94" s="4"/>
      <c r="N94" s="4"/>
      <c r="O94" s="4"/>
      <c r="P94" s="4"/>
    </row>
    <row r="95" customFormat="false" ht="15" hidden="false" customHeight="false" outlineLevel="0" collapsed="false">
      <c r="A95" s="29" t="s">
        <v>396</v>
      </c>
    </row>
    <row r="96" customFormat="false" ht="15" hidden="false" customHeight="false" outlineLevel="0" collapsed="false">
      <c r="A96" s="14" t="s">
        <v>397</v>
      </c>
      <c r="B96" s="12" t="s">
        <v>61</v>
      </c>
      <c r="C96" s="41" t="n">
        <f aca="false">C97/C19*365</f>
        <v>71.6054450003365</v>
      </c>
      <c r="D96" s="41" t="n">
        <f aca="false">D97/D19*365</f>
        <v>93.1495886328699</v>
      </c>
      <c r="E96" s="41" t="n">
        <f aca="false">E97/E19*365</f>
        <v>96.5214436355738</v>
      </c>
      <c r="F96" s="51" t="n">
        <v>95</v>
      </c>
      <c r="G96" s="51" t="n">
        <v>94</v>
      </c>
      <c r="H96" s="51" t="n">
        <v>93</v>
      </c>
      <c r="I96" s="51" t="n">
        <v>92</v>
      </c>
      <c r="J96" s="51" t="n">
        <v>91</v>
      </c>
      <c r="K96" s="51" t="n">
        <v>90</v>
      </c>
      <c r="L96" s="51" t="n">
        <v>90</v>
      </c>
      <c r="M96" s="51" t="n">
        <v>90</v>
      </c>
      <c r="N96" s="51" t="n">
        <v>90</v>
      </c>
      <c r="P96" s="29" t="s">
        <v>398</v>
      </c>
    </row>
    <row r="97" customFormat="false" ht="15" hidden="false" customHeight="false" outlineLevel="0" collapsed="false">
      <c r="A97" s="14" t="s">
        <v>207</v>
      </c>
      <c r="B97" s="12" t="s">
        <v>11</v>
      </c>
      <c r="C97" s="28" t="n">
        <v>874.43</v>
      </c>
      <c r="D97" s="28" t="n">
        <v>1188.65</v>
      </c>
      <c r="E97" s="28" t="n">
        <v>1509.68</v>
      </c>
      <c r="F97" s="24" t="n">
        <f aca="false">F19*F96/365</f>
        <v>1750.7387520524</v>
      </c>
      <c r="G97" s="24" t="n">
        <f aca="false">G19*G96/365</f>
        <v>1946.13392182106</v>
      </c>
      <c r="H97" s="24" t="n">
        <f aca="false">H19*H96/365</f>
        <v>2177.83990949394</v>
      </c>
      <c r="I97" s="24" t="n">
        <f aca="false">I19*I96/365</f>
        <v>2435.635303415</v>
      </c>
      <c r="J97" s="24" t="n">
        <f aca="false">J19*J96/365</f>
        <v>2703.8880333907</v>
      </c>
      <c r="K97" s="24" t="n">
        <f aca="false">K19*K96/365</f>
        <v>3022.41160000604</v>
      </c>
      <c r="L97" s="24" t="n">
        <f aca="false">L19*L96/365</f>
        <v>3397.53575309256</v>
      </c>
      <c r="M97" s="24" t="n">
        <f aca="false">M19*M96/365</f>
        <v>3791.74035479017</v>
      </c>
      <c r="N97" s="24" t="n">
        <f aca="false">N19*N96/365</f>
        <v>4202.37359824574</v>
      </c>
      <c r="P97" s="29" t="s">
        <v>353</v>
      </c>
    </row>
    <row r="98" customFormat="false" ht="15" hidden="false" customHeight="false" outlineLevel="0" collapsed="false">
      <c r="A98" s="14" t="s">
        <v>399</v>
      </c>
      <c r="B98" s="12" t="s">
        <v>61</v>
      </c>
      <c r="C98" s="41" t="n">
        <f aca="false">C99/C6*365</f>
        <v>63.8196587718352</v>
      </c>
      <c r="D98" s="41" t="n">
        <f aca="false">D99/D6*365</f>
        <v>76.4180854139988</v>
      </c>
      <c r="E98" s="41" t="n">
        <f aca="false">E99/E6*365</f>
        <v>62.1997229636414</v>
      </c>
      <c r="F98" s="51" t="n">
        <v>62</v>
      </c>
      <c r="G98" s="51" t="n">
        <v>62</v>
      </c>
      <c r="H98" s="51" t="n">
        <v>61</v>
      </c>
      <c r="I98" s="51" t="n">
        <v>61</v>
      </c>
      <c r="J98" s="51" t="n">
        <v>60</v>
      </c>
      <c r="K98" s="51" t="n">
        <v>60</v>
      </c>
      <c r="L98" s="51" t="n">
        <v>60</v>
      </c>
      <c r="M98" s="51" t="n">
        <v>60</v>
      </c>
      <c r="N98" s="51" t="n">
        <v>60</v>
      </c>
      <c r="P98" s="29" t="s">
        <v>400</v>
      </c>
    </row>
    <row r="99" customFormat="false" ht="15" hidden="false" customHeight="false" outlineLevel="0" collapsed="false">
      <c r="A99" s="14" t="s">
        <v>208</v>
      </c>
      <c r="B99" s="12" t="s">
        <v>11</v>
      </c>
      <c r="C99" s="28" t="n">
        <v>2561.84</v>
      </c>
      <c r="D99" s="28" t="n">
        <v>3547.83</v>
      </c>
      <c r="E99" s="28" t="n">
        <v>3736.23</v>
      </c>
      <c r="F99" s="24" t="n">
        <f aca="false">F6*F98/365</f>
        <v>4273.06407464437</v>
      </c>
      <c r="G99" s="24" t="n">
        <f aca="false">G6*G98/365</f>
        <v>4850.85274885792</v>
      </c>
      <c r="H99" s="24" t="n">
        <f aca="false">H6*H98/365</f>
        <v>5431.79849157129</v>
      </c>
      <c r="I99" s="24" t="n">
        <f aca="false">I6*I98/365</f>
        <v>6126.66134435269</v>
      </c>
      <c r="J99" s="24" t="n">
        <f aca="false">J6*J98/365</f>
        <v>6745.60507651393</v>
      </c>
      <c r="K99" s="24" t="n">
        <f aca="false">K6*K98/365</f>
        <v>7562.51135718939</v>
      </c>
      <c r="L99" s="24" t="n">
        <f aca="false">L6*L98/365</f>
        <v>8422.39055685618</v>
      </c>
      <c r="M99" s="24" t="n">
        <f aca="false">M6*M98/365</f>
        <v>9318.81801782385</v>
      </c>
      <c r="N99" s="24" t="n">
        <f aca="false">N6*N98/365</f>
        <v>10246.4954990686</v>
      </c>
      <c r="P99" s="29" t="s">
        <v>353</v>
      </c>
    </row>
    <row r="100" customFormat="false" ht="15" hidden="false" customHeight="false" outlineLevel="0" collapsed="false">
      <c r="A100" s="14" t="s">
        <v>401</v>
      </c>
      <c r="B100" s="12" t="s">
        <v>61</v>
      </c>
      <c r="C100" s="41" t="n">
        <f aca="false">C101/C6*365</f>
        <v>90.4818493043166</v>
      </c>
      <c r="D100" s="41" t="n">
        <f aca="false">D101/D6*365</f>
        <v>104.973713095358</v>
      </c>
      <c r="E100" s="41" t="n">
        <f aca="false">E101/E6*365</f>
        <v>103.899273064622</v>
      </c>
      <c r="F100" s="51" t="n">
        <v>102</v>
      </c>
      <c r="G100" s="51" t="n">
        <v>100</v>
      </c>
      <c r="H100" s="51" t="n">
        <v>98</v>
      </c>
      <c r="I100" s="51" t="n">
        <v>96</v>
      </c>
      <c r="J100" s="51" t="n">
        <v>95</v>
      </c>
      <c r="K100" s="51" t="n">
        <v>94</v>
      </c>
      <c r="L100" s="51" t="n">
        <v>93</v>
      </c>
      <c r="M100" s="51" t="n">
        <v>92</v>
      </c>
      <c r="N100" s="51" t="n">
        <v>92</v>
      </c>
      <c r="P100" s="29" t="s">
        <v>402</v>
      </c>
    </row>
    <row r="101" customFormat="false" ht="15" hidden="false" customHeight="false" outlineLevel="0" collapsed="false">
      <c r="A101" s="14" t="s">
        <v>403</v>
      </c>
      <c r="B101" s="12" t="s">
        <v>11</v>
      </c>
      <c r="C101" s="28" t="n">
        <v>3632.11</v>
      </c>
      <c r="D101" s="28" t="n">
        <v>4873.57</v>
      </c>
      <c r="E101" s="28" t="n">
        <v>6241.05</v>
      </c>
      <c r="F101" s="24" t="n">
        <f aca="false">F6*F100/365</f>
        <v>7029.879606673</v>
      </c>
      <c r="G101" s="24" t="n">
        <f aca="false">G6*G100/365</f>
        <v>7823.95604654503</v>
      </c>
      <c r="H101" s="24" t="n">
        <f aca="false">H6*H100/365</f>
        <v>8726.49593727847</v>
      </c>
      <c r="I101" s="24" t="n">
        <f aca="false">I6*I100/365</f>
        <v>9641.95883701407</v>
      </c>
      <c r="J101" s="24" t="n">
        <f aca="false">J6*J100/365</f>
        <v>10680.5413711471</v>
      </c>
      <c r="K101" s="24" t="n">
        <f aca="false">K6*K100/365</f>
        <v>11847.9344595967</v>
      </c>
      <c r="L101" s="24" t="n">
        <f aca="false">L6*L100/365</f>
        <v>13054.7053631271</v>
      </c>
      <c r="M101" s="24" t="n">
        <f aca="false">M6*M100/365</f>
        <v>14288.8542939966</v>
      </c>
      <c r="N101" s="24" t="n">
        <f aca="false">N6*N100/365</f>
        <v>15711.2930985719</v>
      </c>
      <c r="P101" s="29" t="s">
        <v>353</v>
      </c>
    </row>
    <row r="102" customFormat="false" ht="15" hidden="false" customHeight="false" outlineLevel="0" collapsed="false">
      <c r="A102" s="14" t="s">
        <v>404</v>
      </c>
      <c r="B102" s="12" t="s">
        <v>61</v>
      </c>
      <c r="C102" s="41" t="n">
        <f aca="false">C103/C6*365</f>
        <v>19.7987821274958</v>
      </c>
      <c r="D102" s="41" t="n">
        <f aca="false">D103/D6*365</f>
        <v>17.1505219613235</v>
      </c>
      <c r="E102" s="41" t="n">
        <f aca="false">E103/E6*365</f>
        <v>17.3088043194684</v>
      </c>
      <c r="F102" s="51" t="n">
        <v>17</v>
      </c>
      <c r="G102" s="51" t="n">
        <v>17</v>
      </c>
      <c r="H102" s="51" t="n">
        <v>17</v>
      </c>
      <c r="I102" s="51" t="n">
        <v>17</v>
      </c>
      <c r="J102" s="51" t="n">
        <v>17</v>
      </c>
      <c r="K102" s="51" t="n">
        <v>17</v>
      </c>
      <c r="L102" s="51" t="n">
        <v>17</v>
      </c>
      <c r="M102" s="51" t="n">
        <v>17</v>
      </c>
      <c r="N102" s="51" t="n">
        <v>17</v>
      </c>
    </row>
    <row r="103" customFormat="false" ht="15" hidden="false" customHeight="false" outlineLevel="0" collapsed="false">
      <c r="A103" s="14" t="s">
        <v>210</v>
      </c>
      <c r="B103" s="12" t="s">
        <v>11</v>
      </c>
      <c r="C103" s="28" t="n">
        <v>794.76</v>
      </c>
      <c r="D103" s="28" t="n">
        <v>796.24</v>
      </c>
      <c r="E103" s="28" t="n">
        <v>1039.71</v>
      </c>
      <c r="F103" s="24" t="n">
        <f aca="false">F6*F102/365</f>
        <v>1171.64660111217</v>
      </c>
      <c r="G103" s="24" t="n">
        <f aca="false">G6*G102/365</f>
        <v>1330.07252791265</v>
      </c>
      <c r="H103" s="24" t="n">
        <f aca="false">H6*H102/365</f>
        <v>1513.77990748708</v>
      </c>
      <c r="I103" s="24" t="n">
        <f aca="false">I6*I102/365</f>
        <v>1707.43021072124</v>
      </c>
      <c r="J103" s="24" t="n">
        <f aca="false">J6*J102/365</f>
        <v>1911.25477167895</v>
      </c>
      <c r="K103" s="24" t="n">
        <f aca="false">K6*K102/365</f>
        <v>2142.71155120366</v>
      </c>
      <c r="L103" s="24" t="n">
        <f aca="false">L6*L102/365</f>
        <v>2386.34399110925</v>
      </c>
      <c r="M103" s="24" t="n">
        <f aca="false">M6*M102/365</f>
        <v>2640.33177171676</v>
      </c>
      <c r="N103" s="24" t="n">
        <f aca="false">N6*N102/365</f>
        <v>2903.17372473611</v>
      </c>
      <c r="P103" s="29" t="s">
        <v>353</v>
      </c>
    </row>
    <row r="104" customFormat="false" ht="15" hidden="false" customHeight="false" outlineLevel="0" collapsed="false">
      <c r="A104" s="14" t="s">
        <v>405</v>
      </c>
      <c r="B104" s="12" t="s">
        <v>61</v>
      </c>
      <c r="C104" s="41" t="n">
        <f aca="false">C105/C19*365</f>
        <v>113.390505462948</v>
      </c>
      <c r="D104" s="41" t="n">
        <f aca="false">D105/D19*365</f>
        <v>252.736192578216</v>
      </c>
      <c r="E104" s="41" t="n">
        <f aca="false">E105/E19*365</f>
        <v>182.430950162202</v>
      </c>
      <c r="F104" s="51" t="n">
        <v>175</v>
      </c>
      <c r="G104" s="51" t="n">
        <v>175</v>
      </c>
      <c r="H104" s="51" t="n">
        <v>175</v>
      </c>
      <c r="I104" s="51" t="n">
        <v>175</v>
      </c>
      <c r="J104" s="51" t="n">
        <v>175</v>
      </c>
      <c r="K104" s="51" t="n">
        <v>175</v>
      </c>
      <c r="L104" s="51" t="n">
        <v>175</v>
      </c>
      <c r="M104" s="51" t="n">
        <v>175</v>
      </c>
      <c r="N104" s="51" t="n">
        <v>175</v>
      </c>
      <c r="P104" s="29" t="s">
        <v>406</v>
      </c>
    </row>
    <row r="105" customFormat="false" ht="15" hidden="false" customHeight="false" outlineLevel="0" collapsed="false">
      <c r="A105" s="14" t="s">
        <v>226</v>
      </c>
      <c r="B105" s="12" t="s">
        <v>11</v>
      </c>
      <c r="C105" s="28" t="n">
        <v>1384.7</v>
      </c>
      <c r="D105" s="28" t="n">
        <v>3225.08</v>
      </c>
      <c r="E105" s="28" t="n">
        <v>2853.38</v>
      </c>
      <c r="F105" s="24" t="n">
        <f aca="false">F19*F104/365</f>
        <v>3225.04506957021</v>
      </c>
      <c r="G105" s="24" t="n">
        <f aca="false">G19*G104/365</f>
        <v>3623.12166296473</v>
      </c>
      <c r="H105" s="24" t="n">
        <f aca="false">H19*H104/365</f>
        <v>4098.08585119826</v>
      </c>
      <c r="I105" s="24" t="n">
        <f aca="false">I19*I104/365</f>
        <v>4633.00193584375</v>
      </c>
      <c r="J105" s="24" t="n">
        <f aca="false">J19*J104/365</f>
        <v>5199.7846795975</v>
      </c>
      <c r="K105" s="24" t="n">
        <f aca="false">K19*K104/365</f>
        <v>5876.91144445619</v>
      </c>
      <c r="L105" s="24" t="n">
        <f aca="false">L19*L104/365</f>
        <v>6606.31951990219</v>
      </c>
      <c r="M105" s="24" t="n">
        <f aca="false">M19*M104/365</f>
        <v>7372.82846764756</v>
      </c>
      <c r="N105" s="24" t="n">
        <f aca="false">N19*N104/365</f>
        <v>8171.28199658894</v>
      </c>
      <c r="P105" s="29" t="s">
        <v>407</v>
      </c>
    </row>
    <row r="106" customFormat="false" ht="15" hidden="false" customHeight="false" outlineLevel="0" collapsed="false">
      <c r="A106" s="14" t="s">
        <v>408</v>
      </c>
      <c r="B106" s="12" t="s">
        <v>27</v>
      </c>
      <c r="C106" s="15" t="n">
        <f aca="false">C107/C52</f>
        <v>0.182101381473939</v>
      </c>
      <c r="D106" s="15" t="n">
        <f aca="false">D107/D52</f>
        <v>0.204300259965338</v>
      </c>
      <c r="E106" s="15" t="n">
        <f aca="false">E107/E52</f>
        <v>0.27603501748007</v>
      </c>
      <c r="F106" s="37" t="n">
        <v>0.22</v>
      </c>
      <c r="G106" s="37" t="n">
        <v>0.22</v>
      </c>
      <c r="H106" s="37" t="n">
        <v>0.22</v>
      </c>
      <c r="I106" s="37" t="n">
        <v>0.22</v>
      </c>
      <c r="J106" s="37" t="n">
        <v>0.22</v>
      </c>
      <c r="K106" s="37" t="n">
        <v>0.22</v>
      </c>
      <c r="L106" s="37" t="n">
        <v>0.22</v>
      </c>
      <c r="M106" s="37" t="n">
        <v>0.22</v>
      </c>
      <c r="N106" s="37" t="n">
        <v>0.22</v>
      </c>
      <c r="P106" s="29" t="s">
        <v>409</v>
      </c>
    </row>
    <row r="107" customFormat="false" ht="15" hidden="false" customHeight="false" outlineLevel="0" collapsed="false">
      <c r="A107" s="14" t="s">
        <v>227</v>
      </c>
      <c r="B107" s="12" t="s">
        <v>11</v>
      </c>
      <c r="C107" s="28" t="n">
        <v>330.86</v>
      </c>
      <c r="D107" s="28" t="n">
        <v>754.44</v>
      </c>
      <c r="E107" s="28" t="n">
        <v>1636.78</v>
      </c>
      <c r="F107" s="24" t="n">
        <f aca="false">F52*F106</f>
        <v>2640</v>
      </c>
      <c r="G107" s="24" t="n">
        <f aca="false">G52*G106</f>
        <v>1870</v>
      </c>
      <c r="H107" s="24" t="n">
        <f aca="false">H52*H106</f>
        <v>1540</v>
      </c>
      <c r="I107" s="24" t="n">
        <f aca="false">I52*I106</f>
        <v>1650</v>
      </c>
      <c r="J107" s="24" t="n">
        <f aca="false">J52*J106</f>
        <v>1540</v>
      </c>
      <c r="K107" s="24" t="n">
        <f aca="false">K52*K106</f>
        <v>1540</v>
      </c>
      <c r="L107" s="24" t="n">
        <f aca="false">L52*L106</f>
        <v>1760</v>
      </c>
      <c r="M107" s="24" t="n">
        <f aca="false">M52*M106</f>
        <v>1650</v>
      </c>
      <c r="N107" s="24" t="n">
        <f aca="false">N52*N106</f>
        <v>1650</v>
      </c>
      <c r="P107" s="29" t="s">
        <v>410</v>
      </c>
    </row>
    <row r="108" customFormat="false" ht="15" hidden="false" customHeight="false" outlineLevel="0" collapsed="false">
      <c r="A108" s="14" t="s">
        <v>411</v>
      </c>
      <c r="B108" s="12" t="s">
        <v>61</v>
      </c>
      <c r="C108" s="41" t="n">
        <f aca="false">C109/C6*365</f>
        <v>21.5772247467543</v>
      </c>
      <c r="D108" s="41" t="n">
        <f aca="false">D109/D6*365</f>
        <v>27.5960479649705</v>
      </c>
      <c r="E108" s="41" t="n">
        <f aca="false">E109/E6*365</f>
        <v>28.7402964298159</v>
      </c>
      <c r="F108" s="51" t="n">
        <v>28</v>
      </c>
      <c r="G108" s="51" t="n">
        <v>28</v>
      </c>
      <c r="H108" s="51" t="n">
        <v>28</v>
      </c>
      <c r="I108" s="51" t="n">
        <v>28</v>
      </c>
      <c r="J108" s="51" t="n">
        <v>28</v>
      </c>
      <c r="K108" s="51" t="n">
        <v>28</v>
      </c>
      <c r="L108" s="51" t="n">
        <v>28</v>
      </c>
      <c r="M108" s="51" t="n">
        <v>28</v>
      </c>
      <c r="N108" s="51" t="n">
        <v>28</v>
      </c>
      <c r="P108" s="29" t="s">
        <v>412</v>
      </c>
    </row>
    <row r="109" customFormat="false" ht="15" hidden="false" customHeight="false" outlineLevel="0" collapsed="false">
      <c r="A109" s="14" t="s">
        <v>228</v>
      </c>
      <c r="B109" s="12" t="s">
        <v>11</v>
      </c>
      <c r="C109" s="28" t="n">
        <v>866.15</v>
      </c>
      <c r="D109" s="28" t="n">
        <v>1281.19</v>
      </c>
      <c r="E109" s="28" t="n">
        <v>1726.38</v>
      </c>
      <c r="F109" s="24" t="n">
        <f aca="false">F6*F108/365</f>
        <v>1929.77087242004</v>
      </c>
      <c r="G109" s="24" t="n">
        <f aca="false">G6*G108/365</f>
        <v>2190.70769303261</v>
      </c>
      <c r="H109" s="24" t="n">
        <f aca="false">H6*H108/365</f>
        <v>2493.28455350813</v>
      </c>
      <c r="I109" s="24" t="n">
        <f aca="false">I6*I108/365</f>
        <v>2812.2379941291</v>
      </c>
      <c r="J109" s="24" t="n">
        <f aca="false">J6*J108/365</f>
        <v>3147.9490357065</v>
      </c>
      <c r="K109" s="24" t="n">
        <f aca="false">K6*K108/365</f>
        <v>3529.17196668838</v>
      </c>
      <c r="L109" s="24" t="n">
        <f aca="false">L6*L108/365</f>
        <v>3930.44892653288</v>
      </c>
      <c r="M109" s="24" t="n">
        <f aca="false">M6*M108/365</f>
        <v>4348.78174165113</v>
      </c>
      <c r="N109" s="24" t="n">
        <f aca="false">N6*N108/365</f>
        <v>4781.69789956536</v>
      </c>
      <c r="P109" s="29" t="s">
        <v>353</v>
      </c>
    </row>
    <row r="110" customFormat="false" ht="15" hidden="false" customHeight="false" outlineLevel="0" collapsed="false">
      <c r="A110" s="14" t="s">
        <v>413</v>
      </c>
      <c r="B110" s="12" t="s">
        <v>27</v>
      </c>
      <c r="C110" s="15" t="n">
        <f aca="false">C111/C27</f>
        <v>0.0563643527545691</v>
      </c>
      <c r="D110" s="15" t="n">
        <f aca="false">D111/D27</f>
        <v>0.0622143145917635</v>
      </c>
      <c r="E110" s="15" t="n">
        <f aca="false">E111/E27</f>
        <v>0.0766468293182833</v>
      </c>
      <c r="F110" s="37" t="n">
        <v>0.075</v>
      </c>
      <c r="G110" s="37" t="n">
        <v>0.075</v>
      </c>
      <c r="H110" s="37" t="n">
        <v>0.075</v>
      </c>
      <c r="I110" s="37" t="n">
        <v>0.075</v>
      </c>
      <c r="J110" s="37" t="n">
        <v>0.075</v>
      </c>
      <c r="K110" s="37" t="n">
        <v>0.075</v>
      </c>
      <c r="L110" s="37" t="n">
        <v>0.075</v>
      </c>
      <c r="M110" s="37" t="n">
        <v>0.075</v>
      </c>
      <c r="N110" s="37" t="n">
        <v>0.075</v>
      </c>
      <c r="P110" s="29" t="s">
        <v>414</v>
      </c>
    </row>
    <row r="111" customFormat="false" ht="15" hidden="false" customHeight="false" outlineLevel="0" collapsed="false">
      <c r="A111" s="14" t="s">
        <v>415</v>
      </c>
      <c r="B111" s="12" t="s">
        <v>11</v>
      </c>
      <c r="C111" s="28" t="n">
        <v>278.95</v>
      </c>
      <c r="D111" s="28" t="n">
        <v>341.63</v>
      </c>
      <c r="E111" s="28" t="n">
        <v>523.54</v>
      </c>
      <c r="F111" s="24" t="n">
        <f aca="false">F27*F110</f>
        <v>597.088933223684</v>
      </c>
      <c r="G111" s="24" t="n">
        <f aca="false">G27*G110</f>
        <v>686.687055086842</v>
      </c>
      <c r="H111" s="24" t="n">
        <f aca="false">H27*H110</f>
        <v>781.300723989079</v>
      </c>
      <c r="I111" s="24" t="n">
        <f aca="false">I27*I110</f>
        <v>880.589084930398</v>
      </c>
      <c r="J111" s="24" t="n">
        <f aca="false">J27*J110</f>
        <v>983.206119424303</v>
      </c>
      <c r="K111" s="24" t="n">
        <f aca="false">K27*K110</f>
        <v>1088.34110608674</v>
      </c>
      <c r="L111" s="24" t="n">
        <f aca="false">L27*L110</f>
        <v>1196.21137217342</v>
      </c>
      <c r="M111" s="24" t="n">
        <f aca="false">M27*M110</f>
        <v>1306.12659505427</v>
      </c>
      <c r="N111" s="24" t="n">
        <f aca="false">N27*N110</f>
        <v>1415.97634558314</v>
      </c>
      <c r="P111" s="29" t="s">
        <v>416</v>
      </c>
    </row>
    <row r="112" customFormat="false" ht="15" hidden="false" customHeight="false" outlineLevel="0" collapsed="false">
      <c r="A112" s="17" t="s">
        <v>417</v>
      </c>
      <c r="B112" s="12" t="s">
        <v>11</v>
      </c>
      <c r="C112" s="39" t="n">
        <f aca="false">C111*0.62</f>
        <v>172.949</v>
      </c>
      <c r="D112" s="39" t="n">
        <f aca="false">D111*0.62</f>
        <v>211.8106</v>
      </c>
      <c r="E112" s="39" t="n">
        <f aca="false">E111*0.62</f>
        <v>324.5948</v>
      </c>
      <c r="F112" s="39" t="n">
        <f aca="false">F111*0.62</f>
        <v>370.195138598684</v>
      </c>
      <c r="G112" s="39" t="n">
        <f aca="false">G111*0.62</f>
        <v>425.745974153842</v>
      </c>
      <c r="H112" s="39" t="n">
        <f aca="false">H111*0.62</f>
        <v>484.406448873229</v>
      </c>
      <c r="I112" s="39" t="n">
        <f aca="false">I111*0.62</f>
        <v>545.965232656847</v>
      </c>
      <c r="J112" s="39" t="n">
        <f aca="false">J111*0.62</f>
        <v>609.587794043068</v>
      </c>
      <c r="K112" s="39" t="n">
        <f aca="false">K111*0.62</f>
        <v>674.771485773781</v>
      </c>
      <c r="L112" s="39" t="n">
        <f aca="false">L111*0.62</f>
        <v>741.651050747522</v>
      </c>
      <c r="M112" s="39" t="n">
        <f aca="false">M111*0.62</f>
        <v>809.798488933646</v>
      </c>
      <c r="N112" s="39" t="n">
        <f aca="false">N111*0.62</f>
        <v>877.905334261548</v>
      </c>
    </row>
    <row r="113" customFormat="false" ht="15" hidden="false" customHeight="false" outlineLevel="0" collapsed="false">
      <c r="A113" s="30" t="s">
        <v>418</v>
      </c>
      <c r="B113" s="31" t="s">
        <v>11</v>
      </c>
      <c r="C113" s="33" t="n">
        <f aca="false">C97+C99+C101+C103-C105-C107-C109-C111</f>
        <v>5002.48</v>
      </c>
      <c r="D113" s="33" t="n">
        <f aca="false">D97+D99+D101+D103-D105-D107-D109-D111</f>
        <v>4803.95</v>
      </c>
      <c r="E113" s="33" t="n">
        <f aca="false">E97+E99+E101+E103-E105-E107-E109-E111</f>
        <v>5786.59</v>
      </c>
      <c r="F113" s="33" t="n">
        <f aca="false">F97+F99+F101+F103-F105-F107-F109-F111</f>
        <v>5833.424159268</v>
      </c>
      <c r="G113" s="33" t="n">
        <f aca="false">G97+G99+G101+G103-G105-G107-G109-G111</f>
        <v>7580.49883405247</v>
      </c>
      <c r="H113" s="33" t="n">
        <f aca="false">H97+H99+H101+H103-H105-H107-H109-H111</f>
        <v>8937.2431171353</v>
      </c>
      <c r="I113" s="33" t="n">
        <f aca="false">I97+I99+I101+I103-I105-I107-I109-I111</f>
        <v>9935.85668059976</v>
      </c>
      <c r="J113" s="33" t="n">
        <f aca="false">J97+J99+J101+J103-J105-J107-J109-J111</f>
        <v>11170.3494180023</v>
      </c>
      <c r="K113" s="33" t="n">
        <f aca="false">K97+K99+K101+K103-K105-K107-K109-K111</f>
        <v>12541.1444507645</v>
      </c>
      <c r="L113" s="33" t="n">
        <f aca="false">L97+L99+L101+L103-L105-L107-L109-L111</f>
        <v>13767.9958455766</v>
      </c>
      <c r="M113" s="33" t="n">
        <f aca="false">M97+M99+M101+M103-M105-M107-M109-M111</f>
        <v>15362.0076339744</v>
      </c>
      <c r="N113" s="33" t="n">
        <f aca="false">N97+N99+N101+N103-N105-N107-N109-N111</f>
        <v>17044.379678885</v>
      </c>
    </row>
    <row r="114" customFormat="false" ht="15" hidden="false" customHeight="false" outlineLevel="0" collapsed="false">
      <c r="A114" s="14" t="s">
        <v>419</v>
      </c>
      <c r="B114" s="12" t="s">
        <v>61</v>
      </c>
      <c r="C114" s="41" t="n">
        <f aca="false">C113/C6*365</f>
        <v>124.620025689711</v>
      </c>
      <c r="D114" s="41" t="n">
        <f aca="false">D113/D6*365</f>
        <v>103.474140932508</v>
      </c>
      <c r="E114" s="41" t="n">
        <f aca="false">E113/E6*365</f>
        <v>96.3335487655143</v>
      </c>
      <c r="F114" s="41" t="n">
        <f aca="false">F113/F6*365</f>
        <v>84.6400361793584</v>
      </c>
      <c r="G114" s="41" t="n">
        <f aca="false">G113/G6*365</f>
        <v>96.8883105804248</v>
      </c>
      <c r="H114" s="41" t="n">
        <f aca="false">H113/H6*365</f>
        <v>100.366725862753</v>
      </c>
      <c r="I114" s="41" t="n">
        <f aca="false">I113/I6*365</f>
        <v>98.9261889063367</v>
      </c>
      <c r="J114" s="41" t="n">
        <f aca="false">J113/J6*365</f>
        <v>99.3566859426203</v>
      </c>
      <c r="K114" s="41" t="n">
        <f aca="false">K113/K6*365</f>
        <v>99.4998396042772</v>
      </c>
      <c r="L114" s="41" t="n">
        <f aca="false">L113/L6*365</f>
        <v>98.0813873636067</v>
      </c>
      <c r="M114" s="41" t="n">
        <f aca="false">M113/M6*365</f>
        <v>98.9095887778379</v>
      </c>
      <c r="N114" s="41" t="n">
        <f aca="false">N113/N6*365</f>
        <v>99.8061025670731</v>
      </c>
    </row>
    <row r="115" customFormat="false" ht="15" hidden="false" customHeight="false" outlineLevel="0" collapsed="false">
      <c r="A115" s="14" t="s">
        <v>243</v>
      </c>
      <c r="B115" s="12" t="s">
        <v>11</v>
      </c>
      <c r="C115" s="24"/>
      <c r="D115" s="24" t="n">
        <f aca="false">-(D113-C113)</f>
        <v>198.530000000003</v>
      </c>
      <c r="E115" s="24" t="n">
        <f aca="false">-(E113-D113)</f>
        <v>-982.639999999999</v>
      </c>
      <c r="F115" s="24" t="n">
        <f aca="false">-(F113-E113)</f>
        <v>-46.8341592680035</v>
      </c>
      <c r="G115" s="24" t="n">
        <f aca="false">-(G113-F113)</f>
        <v>-1747.07467478447</v>
      </c>
      <c r="H115" s="24" t="n">
        <f aca="false">-(H113-G113)</f>
        <v>-1356.74428308283</v>
      </c>
      <c r="I115" s="24" t="n">
        <f aca="false">-(I113-H113)</f>
        <v>-998.61356346446</v>
      </c>
      <c r="J115" s="24" t="n">
        <f aca="false">-(J113-I113)</f>
        <v>-1234.49273740258</v>
      </c>
      <c r="K115" s="24" t="n">
        <f aca="false">-(K113-J113)</f>
        <v>-1370.79503276215</v>
      </c>
      <c r="L115" s="24" t="n">
        <f aca="false">-(L113-K113)</f>
        <v>-1226.85139481207</v>
      </c>
      <c r="M115" s="24" t="n">
        <f aca="false">-(M113-L113)</f>
        <v>-1594.01178839785</v>
      </c>
      <c r="N115" s="24" t="n">
        <f aca="false">-(N113-M113)</f>
        <v>-1682.37204491055</v>
      </c>
    </row>
    <row r="117" customFormat="false" ht="15" hidden="false" customHeight="false" outlineLevel="0" collapsed="false">
      <c r="A117" s="3" t="s">
        <v>420</v>
      </c>
      <c r="B117" s="4"/>
      <c r="C117" s="4"/>
      <c r="D117" s="4"/>
      <c r="E117" s="4"/>
      <c r="F117" s="4"/>
      <c r="G117" s="4"/>
      <c r="H117" s="4"/>
      <c r="I117" s="4"/>
      <c r="J117" s="4"/>
      <c r="K117" s="4"/>
      <c r="L117" s="4"/>
      <c r="M117" s="4"/>
      <c r="N117" s="4"/>
      <c r="O117" s="4"/>
      <c r="P117" s="4"/>
    </row>
    <row r="118" customFormat="false" ht="15" hidden="false" customHeight="false" outlineLevel="0" collapsed="false">
      <c r="A118" s="29" t="s">
        <v>421</v>
      </c>
    </row>
    <row r="119" customFormat="false" ht="15" hidden="false" customHeight="false" outlineLevel="0" collapsed="false">
      <c r="A119" s="14" t="s">
        <v>422</v>
      </c>
      <c r="B119" s="12" t="s">
        <v>27</v>
      </c>
      <c r="C119" s="15"/>
      <c r="D119" s="15"/>
      <c r="E119" s="15"/>
      <c r="F119" s="37" t="n">
        <v>0.035</v>
      </c>
      <c r="G119" s="37" t="n">
        <v>0.035</v>
      </c>
      <c r="H119" s="37" t="n">
        <v>0.035</v>
      </c>
      <c r="I119" s="37" t="n">
        <v>0.035</v>
      </c>
      <c r="J119" s="37" t="n">
        <v>0.035</v>
      </c>
      <c r="K119" s="37" t="n">
        <v>0.035</v>
      </c>
      <c r="L119" s="37" t="n">
        <v>0.035</v>
      </c>
      <c r="M119" s="37" t="n">
        <v>0.035</v>
      </c>
      <c r="N119" s="37" t="n">
        <v>0.035</v>
      </c>
      <c r="P119" s="29" t="s">
        <v>423</v>
      </c>
    </row>
    <row r="120" customFormat="false" ht="15" hidden="false" customHeight="false" outlineLevel="0" collapsed="false">
      <c r="A120" s="14" t="s">
        <v>424</v>
      </c>
      <c r="B120" s="12" t="s">
        <v>11</v>
      </c>
      <c r="C120" s="24"/>
      <c r="D120" s="24"/>
      <c r="E120" s="24"/>
      <c r="F120" s="24" t="n">
        <f aca="false">F6*F119</f>
        <v>880.457960541643</v>
      </c>
      <c r="G120" s="24" t="n">
        <f aca="false">G6*G119</f>
        <v>999.510384946127</v>
      </c>
      <c r="H120" s="24" t="n">
        <f aca="false">H6*H119</f>
        <v>1137.56107753809</v>
      </c>
      <c r="I120" s="24" t="n">
        <f aca="false">I6*I119</f>
        <v>1283.0835848214</v>
      </c>
      <c r="J120" s="24" t="n">
        <f aca="false">J6*J119</f>
        <v>1436.25174754109</v>
      </c>
      <c r="K120" s="24" t="n">
        <f aca="false">K6*K119</f>
        <v>1610.18470980158</v>
      </c>
      <c r="L120" s="24" t="n">
        <f aca="false">L6*L119</f>
        <v>1793.26732273063</v>
      </c>
      <c r="M120" s="24" t="n">
        <f aca="false">M6*M119</f>
        <v>1984.13166962833</v>
      </c>
      <c r="N120" s="24" t="n">
        <f aca="false">N6*N119</f>
        <v>2181.6496666767</v>
      </c>
    </row>
    <row r="121" customFormat="false" ht="15" hidden="false" customHeight="false" outlineLevel="0" collapsed="false">
      <c r="A121" s="14" t="s">
        <v>425</v>
      </c>
      <c r="B121" s="12" t="s">
        <v>11</v>
      </c>
      <c r="C121" s="24"/>
      <c r="D121" s="24" t="n">
        <f aca="false">C128</f>
        <v>7101.63</v>
      </c>
      <c r="E121" s="24" t="n">
        <f aca="false">D128</f>
        <v>1286.36</v>
      </c>
      <c r="F121" s="24" t="n">
        <f aca="false">E128</f>
        <v>951.25</v>
      </c>
      <c r="G121" s="24" t="n">
        <f aca="false">F128</f>
        <v>7866.83877519393</v>
      </c>
      <c r="H121" s="24" t="n">
        <f aca="false">G128</f>
        <v>12697.1868040361</v>
      </c>
      <c r="I121" s="24" t="n">
        <f aca="false">H128</f>
        <v>14943.0465381839</v>
      </c>
      <c r="J121" s="24" t="n">
        <f aca="false">I128</f>
        <v>16523.3769250925</v>
      </c>
      <c r="K121" s="24" t="n">
        <f aca="false">J128</f>
        <v>16971.5963542179</v>
      </c>
      <c r="L121" s="24" t="n">
        <f aca="false">K128</f>
        <v>16463.8511217655</v>
      </c>
      <c r="M121" s="24" t="n">
        <f aca="false">L128</f>
        <v>15642.3926873546</v>
      </c>
      <c r="N121" s="24" t="n">
        <f aca="false">M128</f>
        <v>13452.7285457979</v>
      </c>
    </row>
    <row r="122" customFormat="false" ht="15" hidden="false" customHeight="false" outlineLevel="0" collapsed="false">
      <c r="A122" s="14" t="s">
        <v>426</v>
      </c>
      <c r="B122" s="12" t="s">
        <v>27</v>
      </c>
      <c r="C122" s="15"/>
      <c r="D122" s="15"/>
      <c r="E122" s="15"/>
      <c r="F122" s="37" t="n">
        <v>0.085</v>
      </c>
      <c r="G122" s="37" t="n">
        <v>0.085</v>
      </c>
      <c r="H122" s="37" t="n">
        <v>0.085</v>
      </c>
      <c r="I122" s="37" t="n">
        <v>0.085</v>
      </c>
      <c r="J122" s="37" t="n">
        <v>0.085</v>
      </c>
      <c r="K122" s="37" t="n">
        <v>0.085</v>
      </c>
      <c r="L122" s="37" t="n">
        <v>0.085</v>
      </c>
      <c r="M122" s="37" t="n">
        <v>0.085</v>
      </c>
      <c r="N122" s="37" t="n">
        <v>0.085</v>
      </c>
      <c r="P122" s="29" t="s">
        <v>427</v>
      </c>
    </row>
    <row r="123" customFormat="false" ht="15" hidden="false" customHeight="false" outlineLevel="0" collapsed="false">
      <c r="A123" s="14" t="s">
        <v>428</v>
      </c>
      <c r="B123" s="12" t="s">
        <v>11</v>
      </c>
      <c r="C123" s="28" t="n">
        <v>605.57</v>
      </c>
      <c r="D123" s="28" t="n">
        <v>512.66</v>
      </c>
      <c r="E123" s="28" t="n">
        <v>160.22</v>
      </c>
      <c r="F123" s="24" t="n">
        <f aca="false">F121*F122</f>
        <v>80.85625</v>
      </c>
      <c r="G123" s="24" t="n">
        <f aca="false">G121*G122</f>
        <v>668.681295891484</v>
      </c>
      <c r="H123" s="24" t="n">
        <f aca="false">H121*H122</f>
        <v>1079.26087834307</v>
      </c>
      <c r="I123" s="24" t="n">
        <f aca="false">I121*I122</f>
        <v>1270.15895574563</v>
      </c>
      <c r="J123" s="24" t="n">
        <f aca="false">J121*J122</f>
        <v>1404.48703863286</v>
      </c>
      <c r="K123" s="24" t="n">
        <f aca="false">K121*K122</f>
        <v>1442.58569010852</v>
      </c>
      <c r="L123" s="24" t="n">
        <f aca="false">L121*L122</f>
        <v>1399.42734535007</v>
      </c>
      <c r="M123" s="24" t="n">
        <f aca="false">M121*M122</f>
        <v>1329.60337842514</v>
      </c>
      <c r="N123" s="24" t="n">
        <f aca="false">N121*N122</f>
        <v>1143.48192639282</v>
      </c>
      <c r="P123" s="29" t="s">
        <v>429</v>
      </c>
    </row>
    <row r="124" customFormat="false" ht="15" hidden="false" customHeight="false" outlineLevel="0" collapsed="false">
      <c r="A124" s="14" t="s">
        <v>430</v>
      </c>
      <c r="B124" s="12" t="s">
        <v>11</v>
      </c>
      <c r="C124" s="24"/>
      <c r="D124" s="24"/>
      <c r="E124" s="24"/>
      <c r="F124" s="24" t="n">
        <f aca="false">MIN(F121,F121/6)</f>
        <v>158.541666666667</v>
      </c>
      <c r="G124" s="24" t="n">
        <f aca="false">MIN(G121,G121/6)</f>
        <v>1311.13979586565</v>
      </c>
      <c r="H124" s="24" t="n">
        <f aca="false">MIN(H121,H121/6)</f>
        <v>2116.19780067269</v>
      </c>
      <c r="I124" s="24" t="n">
        <f aca="false">MIN(I121,I121/6)</f>
        <v>2490.50775636398</v>
      </c>
      <c r="J124" s="24" t="n">
        <f aca="false">MIN(J121,J121/6)</f>
        <v>2753.89615418208</v>
      </c>
      <c r="K124" s="24" t="n">
        <f aca="false">MIN(K121,K121/6)</f>
        <v>2828.59939236964</v>
      </c>
      <c r="L124" s="24" t="n">
        <f aca="false">MIN(L121,L121/6)</f>
        <v>2743.97518696092</v>
      </c>
      <c r="M124" s="24" t="n">
        <f aca="false">MIN(M121,M121/6)</f>
        <v>2607.06544789243</v>
      </c>
      <c r="N124" s="24" t="n">
        <f aca="false">MIN(N121,N121/6)</f>
        <v>2242.12142429965</v>
      </c>
      <c r="P124" s="29" t="s">
        <v>431</v>
      </c>
    </row>
    <row r="125" customFormat="false" ht="15" hidden="false" customHeight="false" outlineLevel="0" collapsed="false">
      <c r="A125" s="14" t="s">
        <v>432</v>
      </c>
      <c r="B125" s="12" t="s">
        <v>11</v>
      </c>
      <c r="C125" s="24"/>
      <c r="D125" s="24"/>
      <c r="E125" s="24"/>
      <c r="F125" s="24" t="n">
        <f aca="false">E137+F143+F88+F162+F115-(F175-E175)-F153-F52+F75-(F132-E132)-F124-F84+F159-F164</f>
        <v>-6193.67248131895</v>
      </c>
      <c r="G125" s="24" t="n">
        <f aca="false">F137+G143+G88+G162+G115-(G175-F175)-G153-G52+G75-(G132-F132)-G124-G84+G159-G164</f>
        <v>-5141.97743976173</v>
      </c>
      <c r="H125" s="24" t="n">
        <f aca="false">G137+H143+H88+H162+H115-(H175-G175)-H153-H52+H75-(H132-G132)-H124-H84+H159-H164</f>
        <v>-3224.49645728237</v>
      </c>
      <c r="I125" s="24" t="n">
        <f aca="false">H137+I143+I88+I162+I115-(I175-H175)-I153-I52+I75-(I132-H132)-I124-I84+I159-I164</f>
        <v>-2787.75455845114</v>
      </c>
      <c r="J125" s="24" t="n">
        <f aca="false">I137+J143+J88+J162+J115-(J175-I175)-J153-J52+J75-(J132-I132)-J124-J84+J159-J164</f>
        <v>-1765.86383576639</v>
      </c>
      <c r="K125" s="24" t="n">
        <f aca="false">J137+K143+K88+K162+K115-(K175-J175)-K153-K52+K75-(K132-J132)-K124-K84+K159-K164</f>
        <v>-710.669450115747</v>
      </c>
      <c r="L125" s="24" t="n">
        <f aca="false">K137+L143+L88+L162+L115-(L175-K175)-L153-L52+L75-(L132-K132)-L124-L84+L159-L164</f>
        <v>-129.249429819346</v>
      </c>
      <c r="M125" s="24" t="n">
        <f aca="false">L137+M143+M88+M162+M115-(M175-L175)-M153-M52+M75-(M132-L132)-M124-M84+M159-M164</f>
        <v>1566.73036329261</v>
      </c>
      <c r="N125" s="24" t="n">
        <f aca="false">M137+N143+N88+N162+N115-(N175-M175)-N153-N52+N75-(N132-M132)-N124-N84+N159-N164</f>
        <v>3492.70619936688</v>
      </c>
    </row>
    <row r="126" customFormat="false" ht="15" hidden="false" customHeight="false" outlineLevel="0" collapsed="false">
      <c r="A126" s="14" t="s">
        <v>433</v>
      </c>
      <c r="B126" s="12" t="s">
        <v>11</v>
      </c>
      <c r="C126" s="24"/>
      <c r="D126" s="24"/>
      <c r="E126" s="24"/>
      <c r="F126" s="24" t="n">
        <f aca="false">MAX(0,F120-F125)</f>
        <v>7074.13044186059</v>
      </c>
      <c r="G126" s="24" t="n">
        <f aca="false">MAX(0,G120-G125)</f>
        <v>6141.48782470785</v>
      </c>
      <c r="H126" s="24" t="n">
        <f aca="false">MAX(0,H120-H125)</f>
        <v>4362.05753482045</v>
      </c>
      <c r="I126" s="24" t="n">
        <f aca="false">MAX(0,I120-I125)</f>
        <v>4070.83814327254</v>
      </c>
      <c r="J126" s="24" t="n">
        <f aca="false">MAX(0,J120-J125)</f>
        <v>3202.11558330748</v>
      </c>
      <c r="K126" s="24" t="n">
        <f aca="false">MAX(0,K120-K125)</f>
        <v>2320.85415991732</v>
      </c>
      <c r="L126" s="24" t="n">
        <f aca="false">MAX(0,L120-L125)</f>
        <v>1922.51675254997</v>
      </c>
      <c r="M126" s="24" t="n">
        <f aca="false">MAX(0,M120-M125)</f>
        <v>417.401306335718</v>
      </c>
      <c r="N126" s="24" t="n">
        <f aca="false">MAX(0,N120-N125)</f>
        <v>0</v>
      </c>
    </row>
    <row r="127" customFormat="false" ht="15" hidden="false" customHeight="false" outlineLevel="0" collapsed="false">
      <c r="A127" s="14" t="s">
        <v>434</v>
      </c>
      <c r="B127" s="12" t="s">
        <v>11</v>
      </c>
      <c r="C127" s="24"/>
      <c r="D127" s="24"/>
      <c r="E127" s="24"/>
      <c r="F127" s="24" t="n">
        <f aca="false">-MIN(F121-F124,MAX(0,F125-F120))</f>
        <v>-0</v>
      </c>
      <c r="G127" s="24" t="n">
        <f aca="false">-MIN(G121-G124,MAX(0,G125-G120))</f>
        <v>-0</v>
      </c>
      <c r="H127" s="24" t="n">
        <f aca="false">-MIN(H121-H124,MAX(0,H125-H120))</f>
        <v>-0</v>
      </c>
      <c r="I127" s="24" t="n">
        <f aca="false">-MIN(I121-I124,MAX(0,I125-I120))</f>
        <v>-0</v>
      </c>
      <c r="J127" s="24" t="n">
        <f aca="false">-MIN(J121-J124,MAX(0,J125-J120))</f>
        <v>-0</v>
      </c>
      <c r="K127" s="24" t="n">
        <f aca="false">-MIN(K121-K124,MAX(0,K125-K120))</f>
        <v>-0</v>
      </c>
      <c r="L127" s="24" t="n">
        <f aca="false">-MIN(L121-L124,MAX(0,L125-L120))</f>
        <v>-0</v>
      </c>
      <c r="M127" s="24" t="n">
        <f aca="false">-MIN(M121-M124,MAX(0,M125-M120))</f>
        <v>-0</v>
      </c>
      <c r="N127" s="24" t="n">
        <f aca="false">-MIN(N121-N124,MAX(0,N125-N120))</f>
        <v>-1311.05653269018</v>
      </c>
    </row>
    <row r="128" customFormat="false" ht="15" hidden="false" customHeight="false" outlineLevel="0" collapsed="false">
      <c r="A128" s="30" t="s">
        <v>435</v>
      </c>
      <c r="B128" s="31" t="s">
        <v>11</v>
      </c>
      <c r="C128" s="32" t="n">
        <v>7101.63</v>
      </c>
      <c r="D128" s="32" t="n">
        <v>1286.36</v>
      </c>
      <c r="E128" s="32" t="n">
        <v>951.25</v>
      </c>
      <c r="F128" s="33" t="n">
        <f aca="false">F121-F124+F126+F127</f>
        <v>7866.83877519393</v>
      </c>
      <c r="G128" s="33" t="n">
        <f aca="false">G121-G124+G126+G127</f>
        <v>12697.1868040361</v>
      </c>
      <c r="H128" s="33" t="n">
        <f aca="false">H121-H124+H126+H127</f>
        <v>14943.0465381839</v>
      </c>
      <c r="I128" s="33" t="n">
        <f aca="false">I121-I124+I126+I127</f>
        <v>16523.3769250925</v>
      </c>
      <c r="J128" s="33" t="n">
        <f aca="false">J121-J124+J126+J127</f>
        <v>16971.5963542179</v>
      </c>
      <c r="K128" s="33" t="n">
        <f aca="false">K121-K124+K126+K127</f>
        <v>16463.8511217655</v>
      </c>
      <c r="L128" s="33" t="n">
        <f aca="false">L121-L124+L126+L127</f>
        <v>15642.3926873546</v>
      </c>
      <c r="M128" s="33" t="n">
        <f aca="false">M121-M124+M126+M127</f>
        <v>13452.7285457979</v>
      </c>
      <c r="N128" s="33" t="n">
        <f aca="false">N121-N124+N126+N127</f>
        <v>9899.55058880804</v>
      </c>
      <c r="P128" s="29" t="s">
        <v>436</v>
      </c>
    </row>
    <row r="129" customFormat="false" ht="15" hidden="false" customHeight="false" outlineLevel="0" collapsed="false">
      <c r="A129" s="17" t="s">
        <v>384</v>
      </c>
      <c r="B129" s="12" t="s">
        <v>11</v>
      </c>
      <c r="C129" s="48" t="n">
        <v>4329.17</v>
      </c>
      <c r="D129" s="48" t="n">
        <v>1286.36</v>
      </c>
      <c r="E129" s="48" t="n">
        <v>746.21</v>
      </c>
      <c r="F129" s="39" t="n">
        <f aca="false">F128/6+MIN(F128*5/6,300)</f>
        <v>1611.13979586565</v>
      </c>
      <c r="G129" s="39" t="n">
        <f aca="false">G128/6+MIN(G128*5/6,300)</f>
        <v>2416.19780067269</v>
      </c>
      <c r="H129" s="39" t="n">
        <f aca="false">H128/6+MIN(H128*5/6,300)</f>
        <v>2790.50775636398</v>
      </c>
      <c r="I129" s="39" t="n">
        <f aca="false">I128/6+MIN(I128*5/6,300)</f>
        <v>3053.89615418208</v>
      </c>
      <c r="J129" s="39" t="n">
        <f aca="false">J128/6+MIN(J128*5/6,300)</f>
        <v>3128.59939236964</v>
      </c>
      <c r="K129" s="39" t="n">
        <f aca="false">K128/6+MIN(K128*5/6,300)</f>
        <v>3043.97518696092</v>
      </c>
      <c r="L129" s="39" t="n">
        <f aca="false">L128/6+MIN(L128*5/6,300)</f>
        <v>2907.06544789243</v>
      </c>
      <c r="M129" s="39" t="n">
        <f aca="false">M128/6+MIN(M128*5/6,300)</f>
        <v>2542.12142429965</v>
      </c>
      <c r="N129" s="39" t="n">
        <f aca="false">N128/6+MIN(N128*5/6,300)</f>
        <v>1949.92509813467</v>
      </c>
      <c r="P129" s="29" t="s">
        <v>437</v>
      </c>
    </row>
    <row r="130" customFormat="false" ht="15" hidden="false" customHeight="false" outlineLevel="0" collapsed="false">
      <c r="A130" s="17" t="s">
        <v>438</v>
      </c>
      <c r="B130" s="12" t="s">
        <v>11</v>
      </c>
      <c r="C130" s="39"/>
      <c r="D130" s="39"/>
      <c r="E130" s="39"/>
      <c r="F130" s="39" t="n">
        <f aca="false">(F121+F128)/2*F122</f>
        <v>374.768772945742</v>
      </c>
      <c r="G130" s="39" t="n">
        <f aca="false">(G121+G128)/2*G122</f>
        <v>873.971087117277</v>
      </c>
      <c r="H130" s="39" t="n">
        <f aca="false">(H121+H128)/2*H122</f>
        <v>1174.70991704435</v>
      </c>
      <c r="I130" s="39" t="n">
        <f aca="false">(I121+I128)/2*I122</f>
        <v>1337.32299718924</v>
      </c>
      <c r="J130" s="39" t="n">
        <f aca="false">(J121+J128)/2*J122</f>
        <v>1423.53636437069</v>
      </c>
      <c r="K130" s="39" t="n">
        <f aca="false">(K121+K128)/2*K122</f>
        <v>1421.00651772929</v>
      </c>
      <c r="L130" s="39" t="n">
        <f aca="false">(L121+L128)/2*L122</f>
        <v>1364.51536188761</v>
      </c>
      <c r="M130" s="39" t="n">
        <f aca="false">(M121+M128)/2*M122</f>
        <v>1236.54265240898</v>
      </c>
      <c r="N130" s="39" t="n">
        <f aca="false">(N121+N128)/2*N122</f>
        <v>992.471863220752</v>
      </c>
    </row>
    <row r="131" customFormat="false" ht="15" hidden="false" customHeight="false" outlineLevel="0" collapsed="false">
      <c r="A131" s="11" t="s">
        <v>439</v>
      </c>
      <c r="B131" s="12" t="s">
        <v>11</v>
      </c>
      <c r="C131" s="35" t="n">
        <v>859.1</v>
      </c>
      <c r="D131" s="35" t="n">
        <v>761.64</v>
      </c>
      <c r="E131" s="35" t="n">
        <v>392.39</v>
      </c>
      <c r="F131" s="36" t="n">
        <f aca="false">F123+F83</f>
        <v>293.51595</v>
      </c>
      <c r="G131" s="36" t="n">
        <f aca="false">G123+G83</f>
        <v>859.895873565042</v>
      </c>
      <c r="H131" s="36" t="n">
        <f aca="false">H123+H83</f>
        <v>1259.68465862971</v>
      </c>
      <c r="I131" s="36" t="n">
        <f aca="false">I123+I83</f>
        <v>1448.34581080858</v>
      </c>
      <c r="J131" s="36" t="n">
        <f aca="false">J123+J83</f>
        <v>1586.98657215151</v>
      </c>
      <c r="K131" s="36" t="n">
        <f aca="false">K123+K83</f>
        <v>1634.49149240524</v>
      </c>
      <c r="L131" s="36" t="n">
        <f aca="false">L123+L83</f>
        <v>1605.30612774143</v>
      </c>
      <c r="M131" s="36" t="n">
        <f aca="false">M123+M83</f>
        <v>1553.16266875668</v>
      </c>
      <c r="N131" s="36" t="n">
        <f aca="false">N123+N83</f>
        <v>1387.74615940823</v>
      </c>
      <c r="P131" s="29" t="s">
        <v>440</v>
      </c>
    </row>
    <row r="132" customFormat="false" ht="15" hidden="false" customHeight="false" outlineLevel="0" collapsed="false">
      <c r="A132" s="14" t="s">
        <v>211</v>
      </c>
      <c r="B132" s="12" t="s">
        <v>11</v>
      </c>
      <c r="C132" s="28" t="n">
        <v>1351.43</v>
      </c>
      <c r="D132" s="28" t="n">
        <v>3727.63</v>
      </c>
      <c r="E132" s="28" t="n">
        <v>759.49</v>
      </c>
      <c r="F132" s="24" t="n">
        <f aca="false">E132*1.05</f>
        <v>797.4645</v>
      </c>
      <c r="G132" s="24" t="n">
        <f aca="false">F132*1.05</f>
        <v>837.337725</v>
      </c>
      <c r="H132" s="24" t="n">
        <f aca="false">G132*1.05</f>
        <v>879.20461125</v>
      </c>
      <c r="I132" s="24" t="n">
        <f aca="false">H132*1.05</f>
        <v>923.1648418125</v>
      </c>
      <c r="J132" s="24" t="n">
        <f aca="false">I132*1.05</f>
        <v>969.323083903125</v>
      </c>
      <c r="K132" s="24" t="n">
        <f aca="false">J132*1.05</f>
        <v>1017.78923809828</v>
      </c>
      <c r="L132" s="24" t="n">
        <f aca="false">K132*1.05</f>
        <v>1068.6787000032</v>
      </c>
      <c r="M132" s="24" t="n">
        <f aca="false">L132*1.05</f>
        <v>1122.11263500336</v>
      </c>
      <c r="N132" s="24" t="n">
        <f aca="false">M132*1.05</f>
        <v>1178.21826675352</v>
      </c>
      <c r="P132" s="29" t="s">
        <v>441</v>
      </c>
    </row>
    <row r="133" customFormat="false" ht="15" hidden="false" customHeight="false" outlineLevel="0" collapsed="false">
      <c r="A133" s="14" t="s">
        <v>442</v>
      </c>
      <c r="B133" s="12" t="s">
        <v>27</v>
      </c>
      <c r="C133" s="15"/>
      <c r="D133" s="15"/>
      <c r="E133" s="15"/>
      <c r="F133" s="37" t="n">
        <v>0.05</v>
      </c>
      <c r="G133" s="37" t="n">
        <v>0.05</v>
      </c>
      <c r="H133" s="37" t="n">
        <v>0.05</v>
      </c>
      <c r="I133" s="37" t="n">
        <v>0.05</v>
      </c>
      <c r="J133" s="37" t="n">
        <v>0.05</v>
      </c>
      <c r="K133" s="37" t="n">
        <v>0.05</v>
      </c>
      <c r="L133" s="37" t="n">
        <v>0.05</v>
      </c>
      <c r="M133" s="37" t="n">
        <v>0.05</v>
      </c>
      <c r="N133" s="37" t="n">
        <v>0.05</v>
      </c>
      <c r="P133" s="29" t="s">
        <v>443</v>
      </c>
    </row>
    <row r="134" customFormat="false" ht="15" hidden="false" customHeight="false" outlineLevel="0" collapsed="false">
      <c r="A134" s="14" t="s">
        <v>444</v>
      </c>
      <c r="B134" s="12" t="s">
        <v>11</v>
      </c>
      <c r="C134" s="28" t="n">
        <v>135.97</v>
      </c>
      <c r="D134" s="28" t="n">
        <v>175.65</v>
      </c>
      <c r="E134" s="28" t="n">
        <v>191.1</v>
      </c>
      <c r="F134" s="24" t="n">
        <f aca="false">(E132+E137)*F133</f>
        <v>78.9315</v>
      </c>
      <c r="G134" s="24" t="n">
        <f aca="false">(F132+F137)*G133</f>
        <v>83.8961230270821</v>
      </c>
      <c r="H134" s="24" t="n">
        <f aca="false">(G132+G137)*H133</f>
        <v>91.8424054973064</v>
      </c>
      <c r="I134" s="24" t="n">
        <f aca="false">(H132+H137)*I133</f>
        <v>100.838284439404</v>
      </c>
      <c r="J134" s="24" t="n">
        <f aca="false">(I132+I137)*J133</f>
        <v>110.312421331695</v>
      </c>
      <c r="K134" s="24" t="n">
        <f aca="false">(J132+J137)*K133</f>
        <v>120.278741572211</v>
      </c>
      <c r="L134" s="24" t="n">
        <f aca="false">(K132+K137)*L133</f>
        <v>131.398697394993</v>
      </c>
      <c r="M134" s="24" t="n">
        <f aca="false">(L132+L137)*M133</f>
        <v>143.097301136691</v>
      </c>
      <c r="N134" s="24" t="n">
        <f aca="false">(M132+M137)*N133</f>
        <v>155.312215231584</v>
      </c>
      <c r="P134" s="29" t="s">
        <v>445</v>
      </c>
    </row>
    <row r="135" customFormat="false" ht="15" hidden="false" customHeight="false" outlineLevel="0" collapsed="false">
      <c r="A135" s="14" t="s">
        <v>446</v>
      </c>
      <c r="B135" s="12" t="s">
        <v>11</v>
      </c>
      <c r="C135" s="28" t="n">
        <v>8.68</v>
      </c>
      <c r="D135" s="28" t="n">
        <v>1.38</v>
      </c>
      <c r="E135" s="28" t="n">
        <v>0</v>
      </c>
      <c r="F135" s="28" t="n">
        <v>0</v>
      </c>
      <c r="G135" s="28" t="n">
        <v>0</v>
      </c>
      <c r="H135" s="28" t="n">
        <v>0</v>
      </c>
      <c r="I135" s="28" t="n">
        <v>0</v>
      </c>
      <c r="J135" s="28" t="n">
        <v>0</v>
      </c>
      <c r="K135" s="28" t="n">
        <v>0</v>
      </c>
      <c r="L135" s="28" t="n">
        <v>0</v>
      </c>
      <c r="M135" s="28" t="n">
        <v>0</v>
      </c>
      <c r="N135" s="28" t="n">
        <v>0</v>
      </c>
      <c r="P135" s="29" t="s">
        <v>447</v>
      </c>
    </row>
    <row r="136" customFormat="false" ht="15" hidden="false" customHeight="false" outlineLevel="0" collapsed="false">
      <c r="A136" s="11" t="s">
        <v>448</v>
      </c>
      <c r="B136" s="12" t="s">
        <v>11</v>
      </c>
      <c r="C136" s="36" t="n">
        <f aca="false">C134+C135</f>
        <v>144.65</v>
      </c>
      <c r="D136" s="36" t="n">
        <f aca="false">D134+D135</f>
        <v>177.03</v>
      </c>
      <c r="E136" s="36" t="n">
        <f aca="false">E134+E135</f>
        <v>191.1</v>
      </c>
      <c r="F136" s="36" t="n">
        <f aca="false">F134+F135</f>
        <v>78.9315</v>
      </c>
      <c r="G136" s="36" t="n">
        <f aca="false">G134+G135</f>
        <v>83.8961230270821</v>
      </c>
      <c r="H136" s="36" t="n">
        <f aca="false">H134+H135</f>
        <v>91.8424054973064</v>
      </c>
      <c r="I136" s="36" t="n">
        <f aca="false">I134+I135</f>
        <v>100.838284439404</v>
      </c>
      <c r="J136" s="36" t="n">
        <f aca="false">J134+J135</f>
        <v>110.312421331695</v>
      </c>
      <c r="K136" s="36" t="n">
        <f aca="false">K134+K135</f>
        <v>120.278741572211</v>
      </c>
      <c r="L136" s="36" t="n">
        <f aca="false">L134+L135</f>
        <v>131.398697394993</v>
      </c>
      <c r="M136" s="36" t="n">
        <f aca="false">M134+M135</f>
        <v>143.097301136691</v>
      </c>
      <c r="N136" s="36" t="n">
        <f aca="false">N134+N135</f>
        <v>155.312215231584</v>
      </c>
    </row>
    <row r="137" customFormat="false" ht="15" hidden="false" customHeight="false" outlineLevel="0" collapsed="false">
      <c r="A137" s="11" t="s">
        <v>272</v>
      </c>
      <c r="B137" s="12" t="s">
        <v>11</v>
      </c>
      <c r="C137" s="35" t="n">
        <v>236.57</v>
      </c>
      <c r="D137" s="35" t="n">
        <v>911.19</v>
      </c>
      <c r="E137" s="35" t="n">
        <v>819.14</v>
      </c>
      <c r="F137" s="36" t="n">
        <f aca="false">F125+F126+F127</f>
        <v>880.457960541642</v>
      </c>
      <c r="G137" s="36" t="n">
        <f aca="false">G125+G126+G127</f>
        <v>999.510384946128</v>
      </c>
      <c r="H137" s="36" t="n">
        <f aca="false">H125+H126+H127</f>
        <v>1137.56107753809</v>
      </c>
      <c r="I137" s="36" t="n">
        <f aca="false">I125+I126+I127</f>
        <v>1283.0835848214</v>
      </c>
      <c r="J137" s="36" t="n">
        <f aca="false">J125+J126+J127</f>
        <v>1436.25174754109</v>
      </c>
      <c r="K137" s="36" t="n">
        <f aca="false">K125+K126+K127</f>
        <v>1610.18470980158</v>
      </c>
      <c r="L137" s="36" t="n">
        <f aca="false">L125+L126+L127</f>
        <v>1793.26732273063</v>
      </c>
      <c r="M137" s="36" t="n">
        <f aca="false">M125+M126+M127</f>
        <v>1984.13166962833</v>
      </c>
      <c r="N137" s="36" t="n">
        <f aca="false">N125+N126+N127</f>
        <v>2181.6496666767</v>
      </c>
      <c r="P137" s="29" t="s">
        <v>449</v>
      </c>
    </row>
    <row r="138" customFormat="false" ht="15" hidden="false" customHeight="false" outlineLevel="0" collapsed="false">
      <c r="A138" s="14" t="s">
        <v>450</v>
      </c>
      <c r="B138" s="12" t="s">
        <v>11</v>
      </c>
      <c r="C138" s="24" t="n">
        <f aca="false">C128-C137-C132</f>
        <v>5513.63</v>
      </c>
      <c r="D138" s="24" t="n">
        <f aca="false">D128-D137-D132</f>
        <v>-3352.46</v>
      </c>
      <c r="E138" s="24" t="n">
        <f aca="false">E128-E137-E132</f>
        <v>-627.38</v>
      </c>
      <c r="F138" s="24" t="n">
        <f aca="false">F128-F137-F132</f>
        <v>6188.91631465228</v>
      </c>
      <c r="G138" s="24" t="n">
        <f aca="false">G128-G137-G132</f>
        <v>10860.33869409</v>
      </c>
      <c r="H138" s="24" t="n">
        <f aca="false">H128-H137-H132</f>
        <v>12926.2808493958</v>
      </c>
      <c r="I138" s="24" t="n">
        <f aca="false">I128-I137-I132</f>
        <v>14317.1284984585</v>
      </c>
      <c r="J138" s="24" t="n">
        <f aca="false">J128-J137-J132</f>
        <v>14566.0215227736</v>
      </c>
      <c r="K138" s="24" t="n">
        <f aca="false">K128-K137-K132</f>
        <v>13835.8771738657</v>
      </c>
      <c r="L138" s="24" t="n">
        <f aca="false">L128-L137-L132</f>
        <v>12780.4466646208</v>
      </c>
      <c r="M138" s="24" t="n">
        <f aca="false">M128-M137-M132</f>
        <v>10346.4842411662</v>
      </c>
      <c r="N138" s="24" t="n">
        <f aca="false">N128-N137-N132</f>
        <v>6539.68265537782</v>
      </c>
    </row>
    <row r="139" customFormat="false" ht="15" hidden="false" customHeight="false" outlineLevel="0" collapsed="false">
      <c r="A139" s="14" t="s">
        <v>46</v>
      </c>
      <c r="B139" s="12" t="s">
        <v>47</v>
      </c>
      <c r="C139" s="50" t="n">
        <f aca="false">C138/C45</f>
        <v>1.83717241724006</v>
      </c>
      <c r="D139" s="50" t="n">
        <f aca="false">D138/D45</f>
        <v>-0.789302556640933</v>
      </c>
      <c r="E139" s="50" t="n">
        <f aca="false">E138/E45</f>
        <v>-0.0948883581854784</v>
      </c>
      <c r="F139" s="50" t="n">
        <f aca="false">F138/F45</f>
        <v>0.919129262803426</v>
      </c>
      <c r="G139" s="50" t="n">
        <f aca="false">G138/G45</f>
        <v>1.44846425433458</v>
      </c>
      <c r="H139" s="50" t="n">
        <f aca="false">H138/H45</f>
        <v>1.50789294731109</v>
      </c>
      <c r="I139" s="50" t="n">
        <f aca="false">I138/I45</f>
        <v>1.4781128601006</v>
      </c>
      <c r="J139" s="50" t="n">
        <f aca="false">J138/J45</f>
        <v>1.34111856310929</v>
      </c>
      <c r="K139" s="50" t="n">
        <f aca="false">K138/K45</f>
        <v>1.12648728761245</v>
      </c>
      <c r="L139" s="50" t="n">
        <f aca="false">L138/L45</f>
        <v>0.931454251527278</v>
      </c>
      <c r="M139" s="50" t="n">
        <f aca="false">M138/M45</f>
        <v>0.678692373624086</v>
      </c>
      <c r="N139" s="50" t="n">
        <f aca="false">N138/N45</f>
        <v>0.386472261705808</v>
      </c>
    </row>
    <row r="141" customFormat="false" ht="15" hidden="false" customHeight="false" outlineLevel="0" collapsed="false">
      <c r="A141" s="3" t="s">
        <v>451</v>
      </c>
      <c r="B141" s="4"/>
      <c r="C141" s="4"/>
      <c r="D141" s="4"/>
      <c r="E141" s="4"/>
      <c r="F141" s="4"/>
      <c r="G141" s="4"/>
      <c r="H141" s="4"/>
      <c r="I141" s="4"/>
      <c r="J141" s="4"/>
      <c r="K141" s="4"/>
      <c r="L141" s="4"/>
      <c r="M141" s="4"/>
      <c r="N141" s="4"/>
      <c r="O141" s="4"/>
      <c r="P141" s="4"/>
    </row>
    <row r="142" customFormat="false" ht="15" hidden="false" customHeight="false" outlineLevel="0" collapsed="false">
      <c r="A142" s="14" t="s">
        <v>190</v>
      </c>
      <c r="B142" s="12" t="s">
        <v>11</v>
      </c>
      <c r="C142" s="28" t="n">
        <v>0</v>
      </c>
      <c r="D142" s="28" t="n">
        <v>0</v>
      </c>
      <c r="E142" s="28" t="n">
        <v>-80.01</v>
      </c>
      <c r="F142" s="28" t="n">
        <v>0</v>
      </c>
      <c r="G142" s="28" t="n">
        <v>0</v>
      </c>
      <c r="H142" s="28" t="n">
        <v>0</v>
      </c>
      <c r="I142" s="28" t="n">
        <v>0</v>
      </c>
      <c r="J142" s="28" t="n">
        <v>0</v>
      </c>
      <c r="K142" s="28" t="n">
        <v>0</v>
      </c>
      <c r="L142" s="28" t="n">
        <v>0</v>
      </c>
      <c r="M142" s="28" t="n">
        <v>0</v>
      </c>
      <c r="N142" s="28" t="n">
        <v>0</v>
      </c>
      <c r="P142" s="29" t="s">
        <v>452</v>
      </c>
    </row>
    <row r="143" customFormat="false" ht="15" hidden="false" customHeight="false" outlineLevel="0" collapsed="false">
      <c r="A143" s="11" t="s">
        <v>236</v>
      </c>
      <c r="B143" s="12" t="s">
        <v>11</v>
      </c>
      <c r="C143" s="36" t="n">
        <f aca="false">C45-C88+C136-C131+C142</f>
        <v>1092.34</v>
      </c>
      <c r="D143" s="36" t="n">
        <f aca="false">D45-D88+D136-D131+D142</f>
        <v>2277.03</v>
      </c>
      <c r="E143" s="36" t="n">
        <f aca="false">E45-E88+E136-E131+E142</f>
        <v>4661.92</v>
      </c>
      <c r="F143" s="36" t="n">
        <f aca="false">F45-F88+F136-F131+F142</f>
        <v>4107.62168839709</v>
      </c>
      <c r="G143" s="36" t="n">
        <f aca="false">G45-G88+G136-G131+G142</f>
        <v>3546.32888479761</v>
      </c>
      <c r="H143" s="36" t="n">
        <f aca="false">H45-H88+H136-H131+H142</f>
        <v>3636.27028037961</v>
      </c>
      <c r="I143" s="36" t="n">
        <f aca="false">I45-I88+I136-I131+I142</f>
        <v>4168.29056762661</v>
      </c>
      <c r="J143" s="36" t="n">
        <f aca="false">J45-J88+J136-J131+J142</f>
        <v>4870.32905842268</v>
      </c>
      <c r="K143" s="36" t="n">
        <f aca="false">K45-K88+K136-K131+K142</f>
        <v>5951.03709491319</v>
      </c>
      <c r="L143" s="36" t="n">
        <f aca="false">L45-L88+L136-L131+L142</f>
        <v>7119.52641168362</v>
      </c>
      <c r="M143" s="36" t="n">
        <f aca="false">M45-M88+M136-M131+M142</f>
        <v>8391.87268235114</v>
      </c>
      <c r="N143" s="36" t="n">
        <f aca="false">N45-N88+N136-N131+N142</f>
        <v>9962.93024100924</v>
      </c>
    </row>
    <row r="144" customFormat="false" ht="15" hidden="false" customHeight="false" outlineLevel="0" collapsed="false">
      <c r="A144" s="17" t="s">
        <v>453</v>
      </c>
      <c r="B144" s="12" t="s">
        <v>11</v>
      </c>
      <c r="C144" s="48" t="n">
        <v>1092.34</v>
      </c>
      <c r="D144" s="48" t="n">
        <v>2277.03</v>
      </c>
      <c r="E144" s="48" t="n">
        <v>4661.92</v>
      </c>
      <c r="F144" s="39"/>
      <c r="G144" s="39"/>
      <c r="H144" s="39"/>
      <c r="I144" s="39"/>
      <c r="J144" s="39"/>
      <c r="K144" s="39"/>
      <c r="L144" s="39"/>
      <c r="M144" s="39"/>
      <c r="N144" s="39"/>
      <c r="P144" s="29" t="s">
        <v>389</v>
      </c>
    </row>
    <row r="145" customFormat="false" ht="15" hidden="false" customHeight="false" outlineLevel="0" collapsed="false">
      <c r="A145" s="17" t="s">
        <v>390</v>
      </c>
      <c r="B145" s="12" t="s">
        <v>11</v>
      </c>
      <c r="C145" s="34" t="n">
        <f aca="false">C143-C144</f>
        <v>0</v>
      </c>
      <c r="D145" s="34" t="n">
        <f aca="false">D143-D144</f>
        <v>0</v>
      </c>
      <c r="E145" s="34" t="n">
        <f aca="false">E143-E144</f>
        <v>0</v>
      </c>
      <c r="F145" s="34"/>
      <c r="G145" s="34"/>
      <c r="H145" s="34"/>
      <c r="I145" s="34"/>
      <c r="J145" s="34"/>
      <c r="K145" s="34"/>
      <c r="L145" s="34"/>
      <c r="M145" s="34"/>
      <c r="N145" s="34"/>
    </row>
    <row r="146" customFormat="false" ht="15" hidden="false" customHeight="false" outlineLevel="0" collapsed="false">
      <c r="A146" s="14" t="s">
        <v>195</v>
      </c>
      <c r="B146" s="12" t="s">
        <v>27</v>
      </c>
      <c r="C146" s="15" t="n">
        <f aca="false">C147/C143</f>
        <v>0.241911858945017</v>
      </c>
      <c r="D146" s="15" t="n">
        <f aca="false">D147/D143</f>
        <v>0.252833735172571</v>
      </c>
      <c r="E146" s="15" t="n">
        <f aca="false">E147/E143</f>
        <v>0.251574458592168</v>
      </c>
      <c r="F146" s="37" t="n">
        <v>0.255</v>
      </c>
      <c r="G146" s="37" t="n">
        <v>0.255</v>
      </c>
      <c r="H146" s="37" t="n">
        <v>0.255</v>
      </c>
      <c r="I146" s="37" t="n">
        <v>0.255</v>
      </c>
      <c r="J146" s="37" t="n">
        <v>0.255</v>
      </c>
      <c r="K146" s="37" t="n">
        <v>0.255</v>
      </c>
      <c r="L146" s="37" t="n">
        <v>0.255</v>
      </c>
      <c r="M146" s="37" t="n">
        <v>0.255</v>
      </c>
      <c r="N146" s="37" t="n">
        <v>0.255</v>
      </c>
      <c r="P146" s="29" t="s">
        <v>454</v>
      </c>
    </row>
    <row r="147" customFormat="false" ht="15" hidden="false" customHeight="false" outlineLevel="0" collapsed="false">
      <c r="A147" s="14" t="s">
        <v>194</v>
      </c>
      <c r="B147" s="12" t="s">
        <v>11</v>
      </c>
      <c r="C147" s="28" t="n">
        <v>264.25</v>
      </c>
      <c r="D147" s="28" t="n">
        <v>575.71</v>
      </c>
      <c r="E147" s="28" t="n">
        <v>1172.82</v>
      </c>
      <c r="F147" s="24" t="n">
        <f aca="false">F143*F146</f>
        <v>1047.44353054126</v>
      </c>
      <c r="G147" s="24" t="n">
        <f aca="false">G143*G146</f>
        <v>904.31386562339</v>
      </c>
      <c r="H147" s="24" t="n">
        <f aca="false">H143*H146</f>
        <v>927.248921496802</v>
      </c>
      <c r="I147" s="24" t="n">
        <f aca="false">I143*I146</f>
        <v>1062.91409474479</v>
      </c>
      <c r="J147" s="24" t="n">
        <f aca="false">J143*J146</f>
        <v>1241.93390989778</v>
      </c>
      <c r="K147" s="24" t="n">
        <f aca="false">K143*K146</f>
        <v>1517.51445920286</v>
      </c>
      <c r="L147" s="24" t="n">
        <f aca="false">L143*L146</f>
        <v>1815.47923497932</v>
      </c>
      <c r="M147" s="24" t="n">
        <f aca="false">M143*M146</f>
        <v>2139.92753399954</v>
      </c>
      <c r="N147" s="24" t="n">
        <f aca="false">N143*N146</f>
        <v>2540.54721145736</v>
      </c>
      <c r="P147" s="29" t="s">
        <v>389</v>
      </c>
    </row>
    <row r="148" customFormat="false" ht="15" hidden="false" customHeight="false" outlineLevel="0" collapsed="false">
      <c r="A148" s="14" t="s">
        <v>455</v>
      </c>
      <c r="B148" s="12" t="s">
        <v>27</v>
      </c>
      <c r="C148" s="15"/>
      <c r="D148" s="15"/>
      <c r="E148" s="15"/>
      <c r="F148" s="37" t="n">
        <v>0.22</v>
      </c>
      <c r="G148" s="37" t="n">
        <v>0.2</v>
      </c>
      <c r="H148" s="37" t="n">
        <v>0.18</v>
      </c>
      <c r="I148" s="37" t="n">
        <v>0.16</v>
      </c>
      <c r="J148" s="37" t="n">
        <v>0.14</v>
      </c>
      <c r="K148" s="37" t="n">
        <v>0.12</v>
      </c>
      <c r="L148" s="37" t="n">
        <v>0.12</v>
      </c>
      <c r="M148" s="37" t="n">
        <v>0.1</v>
      </c>
      <c r="N148" s="37" t="n">
        <v>0.1</v>
      </c>
      <c r="P148" s="29" t="s">
        <v>456</v>
      </c>
    </row>
    <row r="149" customFormat="false" ht="15" hidden="false" customHeight="false" outlineLevel="0" collapsed="false">
      <c r="A149" s="14" t="s">
        <v>457</v>
      </c>
      <c r="B149" s="12" t="s">
        <v>11</v>
      </c>
      <c r="C149" s="28" t="n">
        <v>186.68</v>
      </c>
      <c r="D149" s="28" t="n">
        <v>237.27</v>
      </c>
      <c r="E149" s="28" t="n">
        <v>288.8</v>
      </c>
      <c r="F149" s="24" t="n">
        <f aca="false">F147*F148</f>
        <v>230.437576719077</v>
      </c>
      <c r="G149" s="24" t="n">
        <f aca="false">G147*G148</f>
        <v>180.862773124678</v>
      </c>
      <c r="H149" s="24" t="n">
        <f aca="false">H147*H148</f>
        <v>166.904805869424</v>
      </c>
      <c r="I149" s="24" t="n">
        <f aca="false">I147*I148</f>
        <v>170.066255159166</v>
      </c>
      <c r="J149" s="24" t="n">
        <f aca="false">J147*J148</f>
        <v>173.87074738569</v>
      </c>
      <c r="K149" s="24" t="n">
        <f aca="false">K147*K148</f>
        <v>182.101735104344</v>
      </c>
      <c r="L149" s="24" t="n">
        <f aca="false">L147*L148</f>
        <v>217.857508197519</v>
      </c>
      <c r="M149" s="24" t="n">
        <f aca="false">M147*M148</f>
        <v>213.992753399954</v>
      </c>
      <c r="N149" s="24" t="n">
        <f aca="false">N147*N148</f>
        <v>254.054721145736</v>
      </c>
    </row>
    <row r="150" customFormat="false" ht="15" hidden="false" customHeight="false" outlineLevel="0" collapsed="false">
      <c r="A150" s="14" t="s">
        <v>458</v>
      </c>
      <c r="B150" s="12" t="s">
        <v>11</v>
      </c>
      <c r="C150" s="24" t="n">
        <f aca="false">C147-C149</f>
        <v>77.57</v>
      </c>
      <c r="D150" s="24" t="n">
        <f aca="false">D147-D149</f>
        <v>338.44</v>
      </c>
      <c r="E150" s="24" t="n">
        <f aca="false">E147-E149</f>
        <v>884.02</v>
      </c>
      <c r="F150" s="24" t="n">
        <f aca="false">F147-F149</f>
        <v>817.005953822181</v>
      </c>
      <c r="G150" s="24" t="n">
        <f aca="false">G147-G149</f>
        <v>723.451092498712</v>
      </c>
      <c r="H150" s="24" t="n">
        <f aca="false">H147-H149</f>
        <v>760.344115627377</v>
      </c>
      <c r="I150" s="24" t="n">
        <f aca="false">I147-I149</f>
        <v>892.84783958562</v>
      </c>
      <c r="J150" s="24" t="n">
        <f aca="false">J147-J149</f>
        <v>1068.06316251209</v>
      </c>
      <c r="K150" s="24" t="n">
        <f aca="false">K147-K149</f>
        <v>1335.41272409852</v>
      </c>
      <c r="L150" s="24" t="n">
        <f aca="false">L147-L149</f>
        <v>1597.6217267818</v>
      </c>
      <c r="M150" s="24" t="n">
        <f aca="false">M147-M149</f>
        <v>1925.93478059959</v>
      </c>
      <c r="N150" s="24" t="n">
        <f aca="false">N147-N149</f>
        <v>2286.49249031162</v>
      </c>
    </row>
    <row r="151" customFormat="false" ht="15" hidden="false" customHeight="false" outlineLevel="0" collapsed="false">
      <c r="A151" s="14" t="s">
        <v>459</v>
      </c>
      <c r="B151" s="12" t="s">
        <v>27</v>
      </c>
      <c r="C151" s="15"/>
      <c r="D151" s="15"/>
      <c r="E151" s="15"/>
      <c r="F151" s="37" t="n">
        <v>0.4</v>
      </c>
      <c r="G151" s="37" t="n">
        <v>0.4</v>
      </c>
      <c r="H151" s="37" t="n">
        <v>0.4</v>
      </c>
      <c r="I151" s="37" t="n">
        <v>0.4</v>
      </c>
      <c r="J151" s="37" t="n">
        <v>0.4</v>
      </c>
      <c r="K151" s="37" t="n">
        <v>0.4</v>
      </c>
      <c r="L151" s="37" t="n">
        <v>0.4</v>
      </c>
      <c r="M151" s="37" t="n">
        <v>0.4</v>
      </c>
      <c r="N151" s="37" t="n">
        <v>0.4</v>
      </c>
      <c r="P151" s="29" t="s">
        <v>460</v>
      </c>
    </row>
    <row r="152" customFormat="false" ht="15" hidden="false" customHeight="false" outlineLevel="0" collapsed="false">
      <c r="A152" s="14" t="s">
        <v>230</v>
      </c>
      <c r="B152" s="12" t="s">
        <v>11</v>
      </c>
      <c r="C152" s="28" t="n">
        <v>0</v>
      </c>
      <c r="D152" s="28" t="n">
        <v>79.7</v>
      </c>
      <c r="E152" s="28" t="n">
        <v>516.6</v>
      </c>
      <c r="F152" s="24" t="n">
        <f aca="false">F150*F151</f>
        <v>326.802381528873</v>
      </c>
      <c r="G152" s="24" t="n">
        <f aca="false">G150*G151</f>
        <v>289.380436999485</v>
      </c>
      <c r="H152" s="24" t="n">
        <f aca="false">H150*H151</f>
        <v>304.137646250951</v>
      </c>
      <c r="I152" s="24" t="n">
        <f aca="false">I150*I151</f>
        <v>357.139135834248</v>
      </c>
      <c r="J152" s="24" t="n">
        <f aca="false">J150*J151</f>
        <v>427.225265004837</v>
      </c>
      <c r="K152" s="24" t="n">
        <f aca="false">K150*K151</f>
        <v>534.165089639408</v>
      </c>
      <c r="L152" s="24" t="n">
        <f aca="false">L150*L151</f>
        <v>639.048690712721</v>
      </c>
      <c r="M152" s="24" t="n">
        <f aca="false">M150*M151</f>
        <v>770.373912239834</v>
      </c>
      <c r="N152" s="24" t="n">
        <f aca="false">N150*N151</f>
        <v>914.596996124648</v>
      </c>
    </row>
    <row r="153" customFormat="false" ht="15" hidden="false" customHeight="false" outlineLevel="0" collapsed="false">
      <c r="A153" s="14" t="s">
        <v>461</v>
      </c>
      <c r="B153" s="12" t="s">
        <v>11</v>
      </c>
      <c r="C153" s="28" t="n">
        <v>138.73</v>
      </c>
      <c r="D153" s="28" t="n">
        <v>216.31</v>
      </c>
      <c r="E153" s="28" t="n">
        <v>389.27</v>
      </c>
      <c r="F153" s="24" t="n">
        <f aca="false">F150-(F152-E152)</f>
        <v>1006.80357229331</v>
      </c>
      <c r="G153" s="24" t="n">
        <f aca="false">G150-(G152-F152)</f>
        <v>760.8730370281</v>
      </c>
      <c r="H153" s="24" t="n">
        <f aca="false">H150-(H152-G152)</f>
        <v>745.586906375911</v>
      </c>
      <c r="I153" s="24" t="n">
        <f aca="false">I150-(I152-H152)</f>
        <v>839.846350002323</v>
      </c>
      <c r="J153" s="24" t="n">
        <f aca="false">J150-(J152-I152)</f>
        <v>997.977033341504</v>
      </c>
      <c r="K153" s="24" t="n">
        <f aca="false">K150-(K152-J152)</f>
        <v>1228.47289946395</v>
      </c>
      <c r="L153" s="24" t="n">
        <f aca="false">L150-(L152-K152)</f>
        <v>1492.73812570849</v>
      </c>
      <c r="M153" s="24" t="n">
        <f aca="false">M150-(M152-L152)</f>
        <v>1794.60955907247</v>
      </c>
      <c r="N153" s="24" t="n">
        <f aca="false">N150-(N152-M152)</f>
        <v>2142.26940642681</v>
      </c>
      <c r="P153" s="29" t="s">
        <v>462</v>
      </c>
    </row>
    <row r="154" customFormat="false" ht="15" hidden="false" customHeight="false" outlineLevel="0" collapsed="false">
      <c r="A154" s="14" t="s">
        <v>463</v>
      </c>
      <c r="B154" s="12" t="s">
        <v>11</v>
      </c>
      <c r="C154" s="28" t="n">
        <v>862.66</v>
      </c>
      <c r="D154" s="28" t="n">
        <v>1110.36</v>
      </c>
      <c r="E154" s="28" t="n">
        <v>1283.32</v>
      </c>
      <c r="F154" s="24" t="n">
        <f aca="false">E154+F149</f>
        <v>1513.75757671908</v>
      </c>
      <c r="G154" s="24" t="n">
        <f aca="false">F154+G149</f>
        <v>1694.62034984375</v>
      </c>
      <c r="H154" s="24" t="n">
        <f aca="false">G154+H149</f>
        <v>1861.52515571318</v>
      </c>
      <c r="I154" s="24" t="n">
        <f aca="false">H154+I149</f>
        <v>2031.59141087234</v>
      </c>
      <c r="J154" s="24" t="n">
        <f aca="false">I154+J149</f>
        <v>2205.46215825803</v>
      </c>
      <c r="K154" s="24" t="n">
        <f aca="false">J154+K149</f>
        <v>2387.56389336238</v>
      </c>
      <c r="L154" s="24" t="n">
        <f aca="false">K154+L149</f>
        <v>2605.4214015599</v>
      </c>
      <c r="M154" s="24" t="n">
        <f aca="false">L154+M149</f>
        <v>2819.41415495985</v>
      </c>
      <c r="N154" s="24" t="n">
        <f aca="false">M154+N149</f>
        <v>3073.46887610559</v>
      </c>
      <c r="P154" s="29" t="s">
        <v>353</v>
      </c>
    </row>
    <row r="155" customFormat="false" ht="15" hidden="false" customHeight="false" outlineLevel="0" collapsed="false">
      <c r="A155" s="30" t="s">
        <v>464</v>
      </c>
      <c r="B155" s="31" t="s">
        <v>11</v>
      </c>
      <c r="C155" s="33" t="n">
        <f aca="false">C143-C147</f>
        <v>828.09</v>
      </c>
      <c r="D155" s="33" t="n">
        <f aca="false">D143-D147</f>
        <v>1701.32</v>
      </c>
      <c r="E155" s="33" t="n">
        <f aca="false">E143-E147</f>
        <v>3489.1</v>
      </c>
      <c r="F155" s="33" t="n">
        <f aca="false">F143-F147</f>
        <v>3060.17815785583</v>
      </c>
      <c r="G155" s="33" t="n">
        <f aca="false">G143-G147</f>
        <v>2642.01501917422</v>
      </c>
      <c r="H155" s="33" t="n">
        <f aca="false">H143-H147</f>
        <v>2709.02135888281</v>
      </c>
      <c r="I155" s="33" t="n">
        <f aca="false">I143-I147</f>
        <v>3105.37647288183</v>
      </c>
      <c r="J155" s="33" t="n">
        <f aca="false">J143-J147</f>
        <v>3628.3951485249</v>
      </c>
      <c r="K155" s="33" t="n">
        <f aca="false">K143-K147</f>
        <v>4433.52263571033</v>
      </c>
      <c r="L155" s="33" t="n">
        <f aca="false">L143-L147</f>
        <v>5304.04717670429</v>
      </c>
      <c r="M155" s="33" t="n">
        <f aca="false">M143-M147</f>
        <v>6251.9451483516</v>
      </c>
      <c r="N155" s="33" t="n">
        <f aca="false">N143-N147</f>
        <v>7422.38302955188</v>
      </c>
    </row>
    <row r="157" customFormat="false" ht="15" hidden="false" customHeight="false" outlineLevel="0" collapsed="false">
      <c r="A157" s="3" t="s">
        <v>465</v>
      </c>
      <c r="B157" s="4"/>
      <c r="C157" s="4"/>
      <c r="D157" s="4"/>
      <c r="E157" s="4"/>
      <c r="F157" s="4"/>
      <c r="G157" s="4"/>
      <c r="H157" s="4"/>
      <c r="I157" s="4"/>
      <c r="J157" s="4"/>
      <c r="K157" s="4"/>
      <c r="L157" s="4"/>
      <c r="M157" s="4"/>
      <c r="N157" s="4"/>
      <c r="O157" s="4"/>
      <c r="P157" s="4"/>
    </row>
    <row r="158" customFormat="false" ht="15" hidden="false" customHeight="false" outlineLevel="0" collapsed="false">
      <c r="A158" s="14" t="s">
        <v>466</v>
      </c>
      <c r="B158" s="12" t="s">
        <v>11</v>
      </c>
      <c r="C158" s="41"/>
      <c r="D158" s="41" t="n">
        <f aca="false">C161</f>
        <v>180.5</v>
      </c>
      <c r="E158" s="41" t="n">
        <f aca="false">D161</f>
        <v>208.41</v>
      </c>
      <c r="F158" s="41" t="n">
        <f aca="false">E161</f>
        <v>211.78</v>
      </c>
      <c r="G158" s="41" t="n">
        <f aca="false">F161</f>
        <v>214.78</v>
      </c>
      <c r="H158" s="41" t="n">
        <f aca="false">G161</f>
        <v>217.78</v>
      </c>
      <c r="I158" s="41" t="n">
        <f aca="false">H161</f>
        <v>220.78</v>
      </c>
      <c r="J158" s="41" t="n">
        <f aca="false">I161</f>
        <v>223.78</v>
      </c>
      <c r="K158" s="41" t="n">
        <f aca="false">J161</f>
        <v>226.78</v>
      </c>
      <c r="L158" s="41" t="n">
        <f aca="false">K161</f>
        <v>229.78</v>
      </c>
      <c r="M158" s="41" t="n">
        <f aca="false">L161</f>
        <v>232.78</v>
      </c>
      <c r="N158" s="41" t="n">
        <f aca="false">M161</f>
        <v>235.78</v>
      </c>
    </row>
    <row r="159" customFormat="false" ht="15" hidden="false" customHeight="false" outlineLevel="0" collapsed="false">
      <c r="A159" s="14" t="s">
        <v>467</v>
      </c>
      <c r="B159" s="12" t="s">
        <v>11</v>
      </c>
      <c r="C159" s="28" t="n">
        <v>9.67</v>
      </c>
      <c r="D159" s="28" t="n">
        <v>10116.42</v>
      </c>
      <c r="E159" s="28" t="n">
        <v>250.94</v>
      </c>
      <c r="F159" s="28" t="n">
        <v>150</v>
      </c>
      <c r="G159" s="28" t="n">
        <v>150</v>
      </c>
      <c r="H159" s="28" t="n">
        <v>150</v>
      </c>
      <c r="I159" s="28" t="n">
        <v>150</v>
      </c>
      <c r="J159" s="28" t="n">
        <v>150</v>
      </c>
      <c r="K159" s="28" t="n">
        <v>150</v>
      </c>
      <c r="L159" s="28" t="n">
        <v>150</v>
      </c>
      <c r="M159" s="28" t="n">
        <v>150</v>
      </c>
      <c r="N159" s="28" t="n">
        <v>150</v>
      </c>
      <c r="P159" s="29" t="s">
        <v>468</v>
      </c>
    </row>
    <row r="160" customFormat="false" ht="15" hidden="false" customHeight="false" outlineLevel="0" collapsed="false">
      <c r="A160" s="14" t="s">
        <v>469</v>
      </c>
      <c r="B160" s="12" t="s">
        <v>11</v>
      </c>
      <c r="C160" s="41"/>
      <c r="D160" s="41"/>
      <c r="E160" s="41"/>
      <c r="F160" s="51" t="n">
        <v>3</v>
      </c>
      <c r="G160" s="51" t="n">
        <v>3</v>
      </c>
      <c r="H160" s="51" t="n">
        <v>3</v>
      </c>
      <c r="I160" s="51" t="n">
        <v>3</v>
      </c>
      <c r="J160" s="51" t="n">
        <v>3</v>
      </c>
      <c r="K160" s="51" t="n">
        <v>3</v>
      </c>
      <c r="L160" s="51" t="n">
        <v>3</v>
      </c>
      <c r="M160" s="51" t="n">
        <v>3</v>
      </c>
      <c r="N160" s="51" t="n">
        <v>3</v>
      </c>
      <c r="P160" s="29" t="s">
        <v>470</v>
      </c>
    </row>
    <row r="161" customFormat="false" ht="15" hidden="false" customHeight="false" outlineLevel="0" collapsed="false">
      <c r="A161" s="14" t="s">
        <v>471</v>
      </c>
      <c r="B161" s="12" t="s">
        <v>11</v>
      </c>
      <c r="C161" s="51" t="n">
        <v>180.5</v>
      </c>
      <c r="D161" s="51" t="n">
        <v>208.41</v>
      </c>
      <c r="E161" s="51" t="n">
        <v>211.78</v>
      </c>
      <c r="F161" s="41" t="n">
        <f aca="false">F158+F160</f>
        <v>214.78</v>
      </c>
      <c r="G161" s="41" t="n">
        <f aca="false">G158+G160</f>
        <v>217.78</v>
      </c>
      <c r="H161" s="41" t="n">
        <f aca="false">H158+H160</f>
        <v>220.78</v>
      </c>
      <c r="I161" s="41" t="n">
        <f aca="false">I158+I160</f>
        <v>223.78</v>
      </c>
      <c r="J161" s="41" t="n">
        <f aca="false">J158+J160</f>
        <v>226.78</v>
      </c>
      <c r="K161" s="41" t="n">
        <f aca="false">K158+K160</f>
        <v>229.78</v>
      </c>
      <c r="L161" s="41" t="n">
        <f aca="false">L158+L160</f>
        <v>232.78</v>
      </c>
      <c r="M161" s="41" t="n">
        <f aca="false">M158+M160</f>
        <v>235.78</v>
      </c>
      <c r="N161" s="41" t="n">
        <f aca="false">N158+N160</f>
        <v>238.78</v>
      </c>
      <c r="P161" s="29" t="s">
        <v>353</v>
      </c>
    </row>
    <row r="162" customFormat="false" ht="15" hidden="false" customHeight="false" outlineLevel="0" collapsed="false">
      <c r="A162" s="14" t="s">
        <v>472</v>
      </c>
      <c r="B162" s="12" t="s">
        <v>11</v>
      </c>
      <c r="C162" s="28" t="n">
        <v>22.53</v>
      </c>
      <c r="D162" s="28" t="n">
        <v>24.78</v>
      </c>
      <c r="E162" s="28" t="n">
        <v>21.04</v>
      </c>
      <c r="F162" s="28" t="n">
        <v>30</v>
      </c>
      <c r="G162" s="28" t="n">
        <v>32</v>
      </c>
      <c r="H162" s="28" t="n">
        <v>34</v>
      </c>
      <c r="I162" s="28" t="n">
        <v>36</v>
      </c>
      <c r="J162" s="28" t="n">
        <v>38</v>
      </c>
      <c r="K162" s="28" t="n">
        <v>40</v>
      </c>
      <c r="L162" s="28" t="n">
        <v>42</v>
      </c>
      <c r="M162" s="28" t="n">
        <v>44</v>
      </c>
      <c r="N162" s="28" t="n">
        <v>46</v>
      </c>
      <c r="P162" s="29" t="s">
        <v>473</v>
      </c>
    </row>
    <row r="163" customFormat="false" ht="15" hidden="false" customHeight="false" outlineLevel="0" collapsed="false">
      <c r="A163" s="14" t="s">
        <v>474</v>
      </c>
      <c r="B163" s="12" t="s">
        <v>11</v>
      </c>
      <c r="C163" s="28" t="n">
        <v>10.22</v>
      </c>
      <c r="D163" s="28" t="n">
        <v>11.89</v>
      </c>
      <c r="E163" s="28" t="n">
        <v>-208.22</v>
      </c>
      <c r="F163" s="28" t="n">
        <v>0</v>
      </c>
      <c r="G163" s="28" t="n">
        <v>0</v>
      </c>
      <c r="H163" s="28" t="n">
        <v>0</v>
      </c>
      <c r="I163" s="28" t="n">
        <v>0</v>
      </c>
      <c r="J163" s="28" t="n">
        <v>0</v>
      </c>
      <c r="K163" s="28" t="n">
        <v>0</v>
      </c>
      <c r="L163" s="28" t="n">
        <v>0</v>
      </c>
      <c r="M163" s="28" t="n">
        <v>0</v>
      </c>
      <c r="N163" s="28" t="n">
        <v>0</v>
      </c>
      <c r="P163" s="29" t="s">
        <v>475</v>
      </c>
    </row>
    <row r="164" customFormat="false" ht="15" hidden="false" customHeight="false" outlineLevel="0" collapsed="false">
      <c r="A164" s="14" t="s">
        <v>476</v>
      </c>
      <c r="B164" s="12" t="s">
        <v>11</v>
      </c>
      <c r="C164" s="28" t="n">
        <v>0</v>
      </c>
      <c r="D164" s="28" t="n">
        <v>0</v>
      </c>
      <c r="E164" s="28" t="n">
        <v>0</v>
      </c>
      <c r="F164" s="28" t="n">
        <v>0</v>
      </c>
      <c r="G164" s="28" t="n">
        <v>0</v>
      </c>
      <c r="H164" s="28" t="n">
        <v>0</v>
      </c>
      <c r="I164" s="28" t="n">
        <v>0</v>
      </c>
      <c r="J164" s="28" t="n">
        <v>0</v>
      </c>
      <c r="K164" s="28" t="n">
        <v>0</v>
      </c>
      <c r="L164" s="28" t="n">
        <v>0</v>
      </c>
      <c r="M164" s="28" t="n">
        <v>0</v>
      </c>
      <c r="N164" s="28" t="n">
        <v>0</v>
      </c>
      <c r="P164" s="29" t="s">
        <v>477</v>
      </c>
    </row>
    <row r="165" customFormat="false" ht="15" hidden="false" customHeight="false" outlineLevel="0" collapsed="false">
      <c r="A165" s="14" t="s">
        <v>478</v>
      </c>
      <c r="B165" s="12" t="s">
        <v>11</v>
      </c>
      <c r="C165" s="24"/>
      <c r="D165" s="24" t="n">
        <f aca="false">C166</f>
        <v>9570.94</v>
      </c>
      <c r="E165" s="24" t="n">
        <f aca="false">D166</f>
        <v>21075.13</v>
      </c>
      <c r="F165" s="24" t="n">
        <f aca="false">E166</f>
        <v>24625.1</v>
      </c>
      <c r="G165" s="24" t="n">
        <f aca="false">F166</f>
        <v>27862.2781578558</v>
      </c>
      <c r="H165" s="24" t="n">
        <f aca="false">G166</f>
        <v>30683.2931770301</v>
      </c>
      <c r="I165" s="24" t="n">
        <f aca="false">H166</f>
        <v>33573.3145359129</v>
      </c>
      <c r="J165" s="24" t="n">
        <f aca="false">I166</f>
        <v>36861.6910087947</v>
      </c>
      <c r="K165" s="24" t="n">
        <f aca="false">J166</f>
        <v>40675.0861573196</v>
      </c>
      <c r="L165" s="24" t="n">
        <f aca="false">K166</f>
        <v>45295.6087930299</v>
      </c>
      <c r="M165" s="24" t="n">
        <f aca="false">L166</f>
        <v>50788.6559697342</v>
      </c>
      <c r="N165" s="24" t="n">
        <f aca="false">M166</f>
        <v>57231.6011180858</v>
      </c>
    </row>
    <row r="166" customFormat="false" ht="15" hidden="false" customHeight="false" outlineLevel="0" collapsed="false">
      <c r="A166" s="30" t="s">
        <v>479</v>
      </c>
      <c r="B166" s="31" t="s">
        <v>11</v>
      </c>
      <c r="C166" s="32" t="n">
        <v>9570.94</v>
      </c>
      <c r="D166" s="32" t="n">
        <v>21075.13</v>
      </c>
      <c r="E166" s="32" t="n">
        <v>24625.1</v>
      </c>
      <c r="F166" s="33" t="n">
        <f aca="false">F165+F155+F163+F162+F159-F160-F164</f>
        <v>27862.2781578558</v>
      </c>
      <c r="G166" s="33" t="n">
        <f aca="false">G165+G155+G163+G162+G159-G160-G164</f>
        <v>30683.2931770301</v>
      </c>
      <c r="H166" s="33" t="n">
        <f aca="false">H165+H155+H163+H162+H159-H160-H164</f>
        <v>33573.3145359129</v>
      </c>
      <c r="I166" s="33" t="n">
        <f aca="false">I165+I155+I163+I162+I159-I160-I164</f>
        <v>36861.6910087947</v>
      </c>
      <c r="J166" s="33" t="n">
        <f aca="false">J165+J155+J163+J162+J159-J160-J164</f>
        <v>40675.0861573196</v>
      </c>
      <c r="K166" s="33" t="n">
        <f aca="false">K165+K155+K163+K162+K159-K160-K164</f>
        <v>45295.6087930299</v>
      </c>
      <c r="L166" s="33" t="n">
        <f aca="false">L165+L155+L163+L162+L159-L160-L164</f>
        <v>50788.6559697342</v>
      </c>
      <c r="M166" s="33" t="n">
        <f aca="false">M165+M155+M163+M162+M159-M160-M164</f>
        <v>57231.6011180858</v>
      </c>
      <c r="N166" s="33" t="n">
        <f aca="false">N165+N155+N163+N162+N159-N160-N164</f>
        <v>64846.9841476377</v>
      </c>
      <c r="P166" s="29" t="s">
        <v>480</v>
      </c>
    </row>
    <row r="167" customFormat="false" ht="15" hidden="false" customHeight="false" outlineLevel="0" collapsed="false">
      <c r="A167" s="11" t="s">
        <v>481</v>
      </c>
      <c r="B167" s="12" t="s">
        <v>11</v>
      </c>
      <c r="C167" s="36" t="n">
        <f aca="false">C161+C166</f>
        <v>9751.44</v>
      </c>
      <c r="D167" s="36" t="n">
        <f aca="false">D161+D166</f>
        <v>21283.54</v>
      </c>
      <c r="E167" s="36" t="n">
        <f aca="false">E161+E166</f>
        <v>24836.88</v>
      </c>
      <c r="F167" s="36" t="n">
        <f aca="false">F161+F166</f>
        <v>28077.0581578558</v>
      </c>
      <c r="G167" s="36" t="n">
        <f aca="false">G161+G166</f>
        <v>30901.07317703</v>
      </c>
      <c r="H167" s="36" t="n">
        <f aca="false">H161+H166</f>
        <v>33794.0945359129</v>
      </c>
      <c r="I167" s="36" t="n">
        <f aca="false">I161+I166</f>
        <v>37085.4710087947</v>
      </c>
      <c r="J167" s="36" t="n">
        <f aca="false">J161+J166</f>
        <v>40901.8661573196</v>
      </c>
      <c r="K167" s="36" t="n">
        <f aca="false">K161+K166</f>
        <v>45525.3887930299</v>
      </c>
      <c r="L167" s="36" t="n">
        <f aca="false">L161+L166</f>
        <v>51021.4359697342</v>
      </c>
      <c r="M167" s="36" t="n">
        <f aca="false">M161+M166</f>
        <v>57467.3811180858</v>
      </c>
      <c r="N167" s="36" t="n">
        <f aca="false">N161+N166</f>
        <v>65085.7641476377</v>
      </c>
    </row>
    <row r="168" customFormat="false" ht="15" hidden="false" customHeight="false" outlineLevel="0" collapsed="false">
      <c r="A168" s="17" t="s">
        <v>482</v>
      </c>
      <c r="B168" s="12" t="s">
        <v>11</v>
      </c>
      <c r="C168" s="34"/>
      <c r="D168" s="34"/>
      <c r="E168" s="34"/>
      <c r="F168" s="34" t="n">
        <f aca="false">F166-E166-F155-F163-F162-F159+F160+F164</f>
        <v>9.09494701772928E-013</v>
      </c>
      <c r="G168" s="34" t="n">
        <f aca="false">G166-F166-G155-G163-G162-G159+G160+G164</f>
        <v>4.54747350886464E-013</v>
      </c>
      <c r="H168" s="34" t="n">
        <f aca="false">H166-G166-H155-H163-H162-H159+H160+H164</f>
        <v>-9.09494701772928E-013</v>
      </c>
      <c r="I168" s="34" t="n">
        <f aca="false">I166-H166-I155-I163-I162-I159+I160+I164</f>
        <v>1.81898940354586E-012</v>
      </c>
      <c r="J168" s="34" t="n">
        <f aca="false">J166-I166-J155-J163-J162-J159+J160+J164</f>
        <v>2.72848410531878E-012</v>
      </c>
      <c r="K168" s="34" t="n">
        <f aca="false">K166-J166-K155-K163-K162-K159+K160+K164</f>
        <v>-3.63797880709171E-012</v>
      </c>
      <c r="L168" s="34" t="n">
        <f aca="false">L166-K166-L155-L163-L162-L159+L160+L164</f>
        <v>-1.81898940354586E-012</v>
      </c>
      <c r="M168" s="34" t="n">
        <f aca="false">M166-L166-M155-M163-M162-M159+M160+M164</f>
        <v>0</v>
      </c>
      <c r="N168" s="34" t="n">
        <f aca="false">N166-M166-N155-N163-N162-N159+N160+N164</f>
        <v>-1.81898940354586E-012</v>
      </c>
    </row>
    <row r="169" customFormat="false" ht="15" hidden="false" customHeight="false" outlineLevel="0" collapsed="false">
      <c r="A169" s="14" t="s">
        <v>196</v>
      </c>
      <c r="B169" s="12" t="s">
        <v>197</v>
      </c>
      <c r="C169" s="52" t="n">
        <v>182.8</v>
      </c>
      <c r="D169" s="52" t="n">
        <v>197.6</v>
      </c>
      <c r="E169" s="52" t="n">
        <v>212.36</v>
      </c>
      <c r="F169" s="38" t="n">
        <f aca="false">E169+2</f>
        <v>214.36</v>
      </c>
      <c r="G169" s="38" t="n">
        <f aca="false">F169+2</f>
        <v>216.36</v>
      </c>
      <c r="H169" s="38" t="n">
        <f aca="false">G169+2</f>
        <v>218.36</v>
      </c>
      <c r="I169" s="38" t="n">
        <f aca="false">H169+2</f>
        <v>220.36</v>
      </c>
      <c r="J169" s="38" t="n">
        <f aca="false">I169+2</f>
        <v>222.36</v>
      </c>
      <c r="K169" s="38" t="n">
        <f aca="false">J169+2</f>
        <v>224.36</v>
      </c>
      <c r="L169" s="38" t="n">
        <f aca="false">K169+2</f>
        <v>226.36</v>
      </c>
      <c r="M169" s="38" t="n">
        <f aca="false">L169+2</f>
        <v>228.36</v>
      </c>
      <c r="N169" s="38" t="n">
        <f aca="false">M169+2</f>
        <v>230.36</v>
      </c>
      <c r="P169" s="29" t="s">
        <v>483</v>
      </c>
    </row>
    <row r="170" customFormat="false" ht="15" hidden="false" customHeight="false" outlineLevel="0" collapsed="false">
      <c r="A170" s="11" t="s">
        <v>484</v>
      </c>
      <c r="B170" s="12" t="s">
        <v>39</v>
      </c>
      <c r="C170" s="43" t="n">
        <f aca="false">C155/C169</f>
        <v>4.53003282275711</v>
      </c>
      <c r="D170" s="43" t="n">
        <f aca="false">D155/D169</f>
        <v>8.60991902834009</v>
      </c>
      <c r="E170" s="43" t="n">
        <f aca="false">E155/E169</f>
        <v>16.4301186664155</v>
      </c>
      <c r="F170" s="43" t="n">
        <f aca="false">F155/F169</f>
        <v>14.2758824307512</v>
      </c>
      <c r="G170" s="43" t="n">
        <f aca="false">G155/G169</f>
        <v>12.2111990163349</v>
      </c>
      <c r="H170" s="43" t="n">
        <f aca="false">H155/H169</f>
        <v>12.406216151689</v>
      </c>
      <c r="I170" s="43" t="n">
        <f aca="false">I155/I169</f>
        <v>14.0922874971947</v>
      </c>
      <c r="J170" s="43" t="n">
        <f aca="false">J155/J169</f>
        <v>16.3176612184066</v>
      </c>
      <c r="K170" s="43" t="n">
        <f aca="false">K155/K169</f>
        <v>19.7607534128647</v>
      </c>
      <c r="L170" s="43" t="n">
        <f aca="false">L155/L169</f>
        <v>23.4319101285752</v>
      </c>
      <c r="M170" s="43" t="n">
        <f aca="false">M155/M169</f>
        <v>27.377584289506</v>
      </c>
      <c r="N170" s="43" t="n">
        <f aca="false">N155/N169</f>
        <v>32.2207980098623</v>
      </c>
    </row>
    <row r="171" customFormat="false" ht="15" hidden="false" customHeight="false" outlineLevel="0" collapsed="false">
      <c r="A171" s="17" t="s">
        <v>485</v>
      </c>
      <c r="B171" s="12" t="s">
        <v>39</v>
      </c>
      <c r="C171" s="34" t="n">
        <f aca="false">C170-4.53</f>
        <v>3.28227571095852E-005</v>
      </c>
      <c r="D171" s="34" t="n">
        <f aca="false">D170-8.61</f>
        <v>-8.09716599121657E-005</v>
      </c>
      <c r="E171" s="34" t="n">
        <f aca="false">E170-16.43</f>
        <v>0.000118666415506397</v>
      </c>
      <c r="F171" s="34"/>
      <c r="G171" s="34"/>
      <c r="H171" s="34"/>
      <c r="I171" s="34"/>
      <c r="J171" s="34"/>
      <c r="K171" s="34"/>
      <c r="L171" s="34"/>
      <c r="M171" s="34"/>
      <c r="N171" s="34"/>
    </row>
    <row r="173" customFormat="false" ht="15" hidden="false" customHeight="false" outlineLevel="0" collapsed="false">
      <c r="A173" s="3" t="s">
        <v>486</v>
      </c>
      <c r="B173" s="4"/>
      <c r="C173" s="4"/>
      <c r="D173" s="4"/>
      <c r="E173" s="4"/>
      <c r="F173" s="4"/>
      <c r="G173" s="4"/>
      <c r="H173" s="4"/>
      <c r="I173" s="4"/>
      <c r="J173" s="4"/>
      <c r="K173" s="4"/>
      <c r="L173" s="4"/>
      <c r="M173" s="4"/>
      <c r="N173" s="4"/>
      <c r="O173" s="4"/>
      <c r="P173" s="4"/>
    </row>
    <row r="174" customFormat="false" ht="15" hidden="false" customHeight="false" outlineLevel="0" collapsed="false">
      <c r="A174" s="14" t="s">
        <v>487</v>
      </c>
      <c r="B174" s="12" t="s">
        <v>27</v>
      </c>
      <c r="C174" s="15" t="n">
        <f aca="false">C175/C6</f>
        <v>0.0295431681338377</v>
      </c>
      <c r="D174" s="15" t="n">
        <f aca="false">D175/D6</f>
        <v>0.0252547843995822</v>
      </c>
      <c r="E174" s="15" t="n">
        <f aca="false">E175/E6</f>
        <v>0.0594414939712437</v>
      </c>
      <c r="F174" s="37" t="n">
        <v>0.05</v>
      </c>
      <c r="G174" s="37" t="n">
        <v>0.048</v>
      </c>
      <c r="H174" s="37" t="n">
        <v>0.046</v>
      </c>
      <c r="I174" s="37" t="n">
        <v>0.045</v>
      </c>
      <c r="J174" s="37" t="n">
        <v>0.044</v>
      </c>
      <c r="K174" s="37" t="n">
        <v>0.043</v>
      </c>
      <c r="L174" s="37" t="n">
        <v>0.042</v>
      </c>
      <c r="M174" s="37" t="n">
        <v>0.041</v>
      </c>
      <c r="N174" s="37" t="n">
        <v>0.04</v>
      </c>
      <c r="P174" s="29" t="s">
        <v>488</v>
      </c>
    </row>
    <row r="175" customFormat="false" ht="15" hidden="false" customHeight="false" outlineLevel="0" collapsed="false">
      <c r="A175" s="14" t="s">
        <v>205</v>
      </c>
      <c r="B175" s="12" t="s">
        <v>11</v>
      </c>
      <c r="C175" s="28" t="n">
        <v>432.86</v>
      </c>
      <c r="D175" s="28" t="n">
        <v>427.96</v>
      </c>
      <c r="E175" s="28" t="n">
        <v>1303.25</v>
      </c>
      <c r="F175" s="24" t="n">
        <f aca="false">F6*F174</f>
        <v>1257.79708648806</v>
      </c>
      <c r="G175" s="24" t="n">
        <f aca="false">G6*G174</f>
        <v>1370.75709935469</v>
      </c>
      <c r="H175" s="24" t="n">
        <f aca="false">H6*H174</f>
        <v>1495.08027333577</v>
      </c>
      <c r="I175" s="24" t="n">
        <f aca="false">I6*I174</f>
        <v>1649.67889477038</v>
      </c>
      <c r="J175" s="24" t="n">
        <f aca="false">J6*J174</f>
        <v>1805.57362548023</v>
      </c>
      <c r="K175" s="24" t="n">
        <f aca="false">K6*K174</f>
        <v>1978.22692918479</v>
      </c>
      <c r="L175" s="24" t="n">
        <f aca="false">L6*L174</f>
        <v>2151.92078727675</v>
      </c>
      <c r="M175" s="24" t="n">
        <f aca="false">M6*M174</f>
        <v>2324.2685272789</v>
      </c>
      <c r="N175" s="24" t="n">
        <f aca="false">N6*N174</f>
        <v>2493.31390477337</v>
      </c>
      <c r="P175" s="29" t="s">
        <v>489</v>
      </c>
    </row>
  </sheetData>
  <mergeCells count="2">
    <mergeCell ref="A1:P1"/>
    <mergeCell ref="A2:P2"/>
  </mergeCells>
  <printOptions headings="false" gridLines="false" gridLinesSet="true" horizontalCentered="true" verticalCentered="false"/>
  <pageMargins left="0.3" right="0.3"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&amp;LSai Life Sciences model - Schedules&amp;R&amp;P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P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8" min="3" style="0" width="24"/>
    <col collapsed="false" customWidth="true" hidden="false" outlineLevel="0" max="14" min="9" style="0" width="12"/>
    <col collapsed="false" customWidth="true" hidden="false" outlineLevel="0" max="15" min="15" style="0" width="2"/>
    <col collapsed="false" customWidth="true" hidden="false" outlineLevel="0" max="16" min="16" style="0" width="20"/>
  </cols>
  <sheetData>
    <row r="1" customFormat="false" ht="21.75" hidden="false" customHeight="true" outlineLevel="0" collapsed="false">
      <c r="A1" s="1" t="s">
        <v>490</v>
      </c>
      <c r="B1" s="1"/>
      <c r="C1" s="1"/>
      <c r="D1" s="1"/>
      <c r="E1" s="1"/>
      <c r="F1" s="1"/>
      <c r="G1" s="1"/>
      <c r="H1" s="1"/>
      <c r="I1" s="1"/>
      <c r="J1" s="1"/>
      <c r="K1" s="1"/>
      <c r="L1" s="1"/>
      <c r="M1" s="1"/>
      <c r="N1" s="1"/>
      <c r="O1" s="1"/>
      <c r="P1" s="1"/>
    </row>
    <row r="3" customFormat="false" ht="15" hidden="false" customHeight="false" outlineLevel="0" collapsed="false">
      <c r="A3" s="3" t="s">
        <v>491</v>
      </c>
      <c r="B3" s="4"/>
      <c r="C3" s="4"/>
      <c r="D3" s="4"/>
      <c r="E3" s="4"/>
      <c r="F3" s="4"/>
      <c r="G3" s="4"/>
      <c r="H3" s="4"/>
      <c r="I3" s="4"/>
      <c r="J3" s="4"/>
      <c r="K3" s="4"/>
      <c r="L3" s="4"/>
      <c r="M3" s="4"/>
      <c r="N3" s="4"/>
      <c r="O3" s="4"/>
      <c r="P3" s="4"/>
    </row>
    <row r="4" customFormat="false" ht="15" hidden="false" customHeight="false" outlineLevel="0" collapsed="false">
      <c r="A4" s="53" t="s">
        <v>492</v>
      </c>
      <c r="B4" s="53" t="s">
        <v>493</v>
      </c>
      <c r="C4" s="53" t="s">
        <v>494</v>
      </c>
      <c r="D4" s="53" t="s">
        <v>495</v>
      </c>
    </row>
    <row r="5" customFormat="false" ht="15" hidden="false" customHeight="false" outlineLevel="0" collapsed="false">
      <c r="A5" s="14" t="s">
        <v>496</v>
      </c>
      <c r="B5" s="29" t="s">
        <v>497</v>
      </c>
      <c r="C5" s="54" t="n">
        <f aca="false">MAX(ABS(Statements!C67),ABS(Statements!D67),ABS(Statements!E67),ABS(Statements!F67),ABS(Statements!G67),ABS(Statements!H67),ABS(Statements!I67),ABS(Statements!J67),ABS(Statements!K67),ABS(Statements!L67),ABS(Statements!M67),ABS(Statements!N67))</f>
        <v>0</v>
      </c>
      <c r="D5" s="55" t="str">
        <f aca="false">IF(ABS(C5)&lt;0.05,"OK","FAIL")</f>
        <v>OK</v>
      </c>
    </row>
    <row r="6" customFormat="false" ht="15" hidden="false" customHeight="false" outlineLevel="0" collapsed="false">
      <c r="A6" s="14" t="s">
        <v>498</v>
      </c>
      <c r="B6" s="29" t="s">
        <v>499</v>
      </c>
      <c r="C6" s="54" t="n">
        <f aca="false">MAX(ABS(Statements!F102),ABS(Statements!G102),ABS(Statements!H102),ABS(Statements!I102),ABS(Statements!J102),ABS(Statements!K102),ABS(Statements!L102),ABS(Statements!M102),ABS(Statements!N102))</f>
        <v>0</v>
      </c>
      <c r="D6" s="55" t="str">
        <f aca="false">IF(ABS(C6)&lt;0.05,"OK","FAIL")</f>
        <v>OK</v>
      </c>
    </row>
    <row r="7" customFormat="false" ht="15" hidden="false" customHeight="false" outlineLevel="0" collapsed="false">
      <c r="A7" s="14" t="s">
        <v>500</v>
      </c>
      <c r="B7" s="29" t="s">
        <v>501</v>
      </c>
      <c r="C7" s="54" t="n">
        <f aca="false">MAX(ABS(Statements!C81),ABS(Statements!D81),ABS(Statements!E81))</f>
        <v>0</v>
      </c>
      <c r="D7" s="55" t="str">
        <f aca="false">IF(ABS(C7)&lt;0.05,"OK","FAIL")</f>
        <v>OK</v>
      </c>
    </row>
    <row r="8" customFormat="false" ht="15" hidden="false" customHeight="false" outlineLevel="0" collapsed="false">
      <c r="A8" s="14" t="s">
        <v>502</v>
      </c>
      <c r="B8" s="29" t="s">
        <v>503</v>
      </c>
      <c r="C8" s="54" t="n">
        <f aca="false">MAX(ABS(Statements!C31),ABS(Statements!D31),ABS(Statements!E31))</f>
        <v>0</v>
      </c>
      <c r="D8" s="55" t="str">
        <f aca="false">IF(ABS(C8)&lt;0.05,"OK","FAIL")</f>
        <v>OK</v>
      </c>
    </row>
    <row r="9" customFormat="false" ht="15" hidden="false" customHeight="false" outlineLevel="0" collapsed="false">
      <c r="A9" s="14" t="s">
        <v>504</v>
      </c>
      <c r="B9" s="29" t="s">
        <v>505</v>
      </c>
      <c r="C9" s="54" t="n">
        <f aca="false">MAX(ABS(Schedules!C145),ABS(Schedules!D145),ABS(Schedules!E145))</f>
        <v>0</v>
      </c>
      <c r="D9" s="55" t="str">
        <f aca="false">IF(ABS(C9)&lt;0.05,"OK","FAIL")</f>
        <v>OK</v>
      </c>
    </row>
    <row r="10" customFormat="false" ht="15" hidden="false" customHeight="false" outlineLevel="0" collapsed="false">
      <c r="A10" s="14" t="s">
        <v>506</v>
      </c>
      <c r="B10" s="29" t="s">
        <v>507</v>
      </c>
      <c r="C10" s="54" t="n">
        <f aca="false">MAX(ABS(Revenue_Model!C57),ABS(Revenue_Model!D57),ABS(Revenue_Model!E57))</f>
        <v>0</v>
      </c>
      <c r="D10" s="55" t="str">
        <f aca="false">IF(ABS(C10)&lt;0.05,"OK","FAIL")</f>
        <v>OK</v>
      </c>
    </row>
    <row r="11" customFormat="false" ht="15" hidden="false" customHeight="false" outlineLevel="0" collapsed="false">
      <c r="A11" s="14" t="s">
        <v>508</v>
      </c>
      <c r="B11" s="29" t="s">
        <v>509</v>
      </c>
      <c r="C11" s="54" t="n">
        <f aca="false">MAX(ABS(Revenue_Model!C18),ABS(Revenue_Model!D18),ABS(Revenue_Model!E18))</f>
        <v>0</v>
      </c>
      <c r="D11" s="55" t="str">
        <f aca="false">IF(ABS(C11)&lt;0.05,"OK","FAIL")</f>
        <v>OK</v>
      </c>
    </row>
    <row r="12" customFormat="false" ht="15" hidden="false" customHeight="false" outlineLevel="0" collapsed="false">
      <c r="A12" s="14" t="s">
        <v>510</v>
      </c>
      <c r="B12" s="29" t="s">
        <v>511</v>
      </c>
      <c r="C12" s="54" t="n">
        <f aca="false">MAX(ABS(Revenue_Model!C40),ABS(Revenue_Model!D40),ABS(Revenue_Model!E40))</f>
        <v>0</v>
      </c>
      <c r="D12" s="55" t="str">
        <f aca="false">IF(ABS(C12)&lt;0.05,"OK","FAIL")</f>
        <v>OK</v>
      </c>
    </row>
    <row r="13" customFormat="false" ht="15" hidden="false" customHeight="false" outlineLevel="0" collapsed="false">
      <c r="A13" s="14" t="s">
        <v>512</v>
      </c>
      <c r="B13" s="29" t="s">
        <v>513</v>
      </c>
      <c r="C13" s="54" t="n">
        <f aca="false">MAX(ABS(Revenue_Model!D25),ABS(Revenue_Model!E25),ABS(Revenue_Model!F25),ABS(Revenue_Model!J25),ABS(Revenue_Model!N25))</f>
        <v>0</v>
      </c>
      <c r="D13" s="55" t="str">
        <f aca="false">IF(ABS(C13)&lt;0.05,"OK","FAIL")</f>
        <v>OK</v>
      </c>
    </row>
    <row r="14" customFormat="false" ht="15" hidden="false" customHeight="false" outlineLevel="0" collapsed="false">
      <c r="A14" s="14" t="s">
        <v>514</v>
      </c>
      <c r="B14" s="29" t="s">
        <v>515</v>
      </c>
      <c r="C14" s="54" t="n">
        <f aca="false">MAX(ABS(Revenue_Model!E55+Revenue_Model!E56-1),ABS(Revenue_Model!J55+Revenue_Model!J56-1),ABS(Revenue_Model!N55+Revenue_Model!N56-1))</f>
        <v>0.000224402187100292</v>
      </c>
      <c r="D14" s="55" t="str">
        <f aca="false">IF(ABS(C14)&lt;0.05,"OK","FAIL")</f>
        <v>OK</v>
      </c>
    </row>
    <row r="15" customFormat="false" ht="15" hidden="false" customHeight="false" outlineLevel="0" collapsed="false">
      <c r="A15" s="14" t="s">
        <v>516</v>
      </c>
      <c r="B15" s="29" t="s">
        <v>517</v>
      </c>
      <c r="C15" s="54" t="n">
        <f aca="false">MAX(0,MAX(Revenue_Model!F49,Revenue_Model!G49,Revenue_Model!H49,Revenue_Model!I49,Revenue_Model!J49,Revenue_Model!K49,Revenue_Model!L49,Revenue_Model!M49,Revenue_Model!N49)-0.1)</f>
        <v>0</v>
      </c>
      <c r="D15" s="55" t="str">
        <f aca="false">IF(ABS(C15)&lt;0.05,"OK","FAIL")</f>
        <v>OK</v>
      </c>
    </row>
    <row r="16" customFormat="false" ht="15" hidden="false" customHeight="false" outlineLevel="0" collapsed="false">
      <c r="A16" s="14" t="s">
        <v>518</v>
      </c>
      <c r="B16" s="29" t="s">
        <v>519</v>
      </c>
      <c r="C16" s="54" t="n">
        <f aca="false">MAX(ABS(Schedules!C20),ABS(Schedules!D20),ABS(Schedules!E20))</f>
        <v>0</v>
      </c>
      <c r="D16" s="55" t="str">
        <f aca="false">IF(ABS(C16)&lt;0.05,"OK","FAIL")</f>
        <v>OK</v>
      </c>
    </row>
    <row r="17" customFormat="false" ht="15" hidden="false" customHeight="false" outlineLevel="0" collapsed="false">
      <c r="A17" s="14" t="s">
        <v>520</v>
      </c>
      <c r="B17" s="29" t="s">
        <v>521</v>
      </c>
      <c r="C17" s="54" t="n">
        <f aca="false">MAX(ABS(Schedules!C28),ABS(Schedules!D28),ABS(Schedules!E28))</f>
        <v>0</v>
      </c>
      <c r="D17" s="55" t="str">
        <f aca="false">IF(ABS(C17)&lt;0.05,"OK","FAIL")</f>
        <v>OK</v>
      </c>
    </row>
    <row r="18" customFormat="false" ht="15" hidden="false" customHeight="false" outlineLevel="0" collapsed="false">
      <c r="A18" s="14" t="s">
        <v>522</v>
      </c>
      <c r="B18" s="29" t="s">
        <v>523</v>
      </c>
      <c r="C18" s="54" t="n">
        <f aca="false">MAX(ABS(Schedules!C41),ABS(Schedules!D41),ABS(Schedules!E41))</f>
        <v>0</v>
      </c>
      <c r="D18" s="55" t="str">
        <f aca="false">IF(ABS(C18)&lt;0.05,"OK","FAIL")</f>
        <v>OK</v>
      </c>
    </row>
    <row r="19" customFormat="false" ht="15" hidden="false" customHeight="false" outlineLevel="0" collapsed="false">
      <c r="A19" s="14" t="s">
        <v>524</v>
      </c>
      <c r="B19" s="29" t="s">
        <v>525</v>
      </c>
      <c r="C19" s="54" t="n">
        <f aca="false">MAX(ABS(Schedules!C90),ABS(Schedules!D90),ABS(Schedules!E90))</f>
        <v>0</v>
      </c>
      <c r="D19" s="55" t="str">
        <f aca="false">IF(ABS(C19)&lt;0.05,"OK","FAIL")</f>
        <v>OK</v>
      </c>
    </row>
    <row r="20" customFormat="false" ht="15" hidden="false" customHeight="false" outlineLevel="0" collapsed="false">
      <c r="A20" s="14" t="s">
        <v>526</v>
      </c>
      <c r="B20" s="29" t="s">
        <v>527</v>
      </c>
      <c r="C20" s="54" t="n">
        <f aca="false">MAX(ABS(Schedules!F168),ABS(Schedules!I168),ABS(Schedules!N168))</f>
        <v>1.81898940354586E-012</v>
      </c>
      <c r="D20" s="55" t="str">
        <f aca="false">IF(ABS(C20)&lt;0.05,"OK","FAIL")</f>
        <v>OK</v>
      </c>
    </row>
    <row r="21" customFormat="false" ht="15" hidden="false" customHeight="false" outlineLevel="0" collapsed="false">
      <c r="A21" s="14" t="s">
        <v>528</v>
      </c>
      <c r="B21" s="29" t="s">
        <v>529</v>
      </c>
      <c r="C21" s="54" t="n">
        <f aca="false">MAX(ABS(Schedules!C171),ABS(Schedules!D171),ABS(Schedules!E171))</f>
        <v>0.000118666415506397</v>
      </c>
      <c r="D21" s="55" t="str">
        <f aca="false">IF(ABS(C21)&lt;0.05,"OK","FAIL")</f>
        <v>OK</v>
      </c>
    </row>
    <row r="22" customFormat="false" ht="15" hidden="false" customHeight="false" outlineLevel="0" collapsed="false">
      <c r="A22" s="56" t="s">
        <v>530</v>
      </c>
      <c r="B22" s="57" t="s">
        <v>531</v>
      </c>
      <c r="C22" s="58" t="n">
        <f aca="false">MAX(MAX(C5:C21),-MIN(C5:C21))</f>
        <v>0.000224402187100292</v>
      </c>
      <c r="D22" s="59" t="str">
        <f aca="false">IF(COUNTIF(D5:D21,"FAIL")=0,"ALL CHECKS OK","REVIEW FAILURES")</f>
        <v>ALL CHECKS OK</v>
      </c>
    </row>
    <row r="24" customFormat="false" ht="15" hidden="false" customHeight="false" outlineLevel="0" collapsed="false">
      <c r="A24" s="29" t="s">
        <v>532</v>
      </c>
    </row>
    <row r="26" customFormat="false" ht="15" hidden="false" customHeight="false" outlineLevel="0" collapsed="false">
      <c r="A26" s="3" t="s">
        <v>533</v>
      </c>
      <c r="B26" s="4"/>
      <c r="C26" s="4"/>
      <c r="D26" s="4"/>
      <c r="E26" s="4"/>
      <c r="F26" s="4"/>
      <c r="G26" s="4"/>
      <c r="H26" s="4"/>
      <c r="I26" s="4"/>
      <c r="J26" s="4"/>
      <c r="K26" s="4"/>
      <c r="L26" s="4"/>
      <c r="M26" s="4"/>
      <c r="N26" s="4"/>
      <c r="O26" s="4"/>
      <c r="P26" s="4"/>
    </row>
    <row r="27" customFormat="false" ht="15" hidden="false" customHeight="false" outlineLevel="0" collapsed="false">
      <c r="A27" s="29" t="s">
        <v>534</v>
      </c>
    </row>
    <row r="28" customFormat="false" ht="19.4" hidden="false" customHeight="false" outlineLevel="0" collapsed="false">
      <c r="A28" s="60" t="s">
        <v>535</v>
      </c>
      <c r="B28" s="60" t="s">
        <v>536</v>
      </c>
      <c r="C28" s="60" t="s">
        <v>537</v>
      </c>
      <c r="D28" s="60" t="s">
        <v>538</v>
      </c>
      <c r="E28" s="60" t="s">
        <v>539</v>
      </c>
      <c r="F28" s="60" t="s">
        <v>540</v>
      </c>
      <c r="G28" s="60" t="s">
        <v>541</v>
      </c>
      <c r="H28" s="60" t="s">
        <v>542</v>
      </c>
    </row>
    <row r="29" customFormat="false" ht="42" hidden="false" customHeight="true" outlineLevel="0" collapsed="false">
      <c r="A29" s="61" t="s">
        <v>543</v>
      </c>
      <c r="B29" s="62" t="s">
        <v>544</v>
      </c>
      <c r="C29" s="62" t="s">
        <v>545</v>
      </c>
      <c r="D29" s="62" t="s">
        <v>546</v>
      </c>
      <c r="E29" s="62" t="s">
        <v>547</v>
      </c>
      <c r="F29" s="62" t="s">
        <v>548</v>
      </c>
      <c r="G29" s="62" t="s">
        <v>549</v>
      </c>
      <c r="H29" s="62" t="s">
        <v>550</v>
      </c>
    </row>
    <row r="30" customFormat="false" ht="42" hidden="false" customHeight="true" outlineLevel="0" collapsed="false">
      <c r="A30" s="61" t="s">
        <v>551</v>
      </c>
      <c r="B30" s="62" t="s">
        <v>552</v>
      </c>
      <c r="C30" s="62" t="s">
        <v>553</v>
      </c>
      <c r="D30" s="62" t="s">
        <v>554</v>
      </c>
      <c r="E30" s="62" t="s">
        <v>555</v>
      </c>
      <c r="F30" s="62" t="s">
        <v>548</v>
      </c>
      <c r="G30" s="62" t="s">
        <v>556</v>
      </c>
      <c r="H30" s="62" t="s">
        <v>557</v>
      </c>
    </row>
    <row r="31" customFormat="false" ht="42" hidden="false" customHeight="true" outlineLevel="0" collapsed="false">
      <c r="A31" s="61" t="s">
        <v>558</v>
      </c>
      <c r="B31" s="62" t="s">
        <v>559</v>
      </c>
      <c r="C31" s="62" t="s">
        <v>560</v>
      </c>
      <c r="D31" s="62" t="s">
        <v>561</v>
      </c>
      <c r="E31" s="62" t="s">
        <v>562</v>
      </c>
      <c r="F31" s="62" t="s">
        <v>548</v>
      </c>
      <c r="G31" s="62" t="s">
        <v>563</v>
      </c>
      <c r="H31" s="62" t="s">
        <v>557</v>
      </c>
    </row>
    <row r="32" customFormat="false" ht="42" hidden="false" customHeight="true" outlineLevel="0" collapsed="false">
      <c r="A32" s="61" t="s">
        <v>564</v>
      </c>
      <c r="B32" s="62" t="s">
        <v>565</v>
      </c>
      <c r="C32" s="62" t="s">
        <v>566</v>
      </c>
      <c r="D32" s="62" t="s">
        <v>567</v>
      </c>
      <c r="E32" s="62" t="s">
        <v>568</v>
      </c>
      <c r="F32" s="62" t="s">
        <v>548</v>
      </c>
      <c r="G32" s="62" t="s">
        <v>569</v>
      </c>
      <c r="H32" s="62" t="s">
        <v>557</v>
      </c>
    </row>
    <row r="33" customFormat="false" ht="42" hidden="false" customHeight="true" outlineLevel="0" collapsed="false">
      <c r="A33" s="61" t="s">
        <v>570</v>
      </c>
      <c r="B33" s="62" t="s">
        <v>571</v>
      </c>
      <c r="C33" s="62" t="s">
        <v>572</v>
      </c>
      <c r="D33" s="62" t="s">
        <v>573</v>
      </c>
      <c r="E33" s="62" t="s">
        <v>574</v>
      </c>
      <c r="F33" s="62" t="s">
        <v>548</v>
      </c>
      <c r="G33" s="62" t="s">
        <v>575</v>
      </c>
      <c r="H33" s="62" t="s">
        <v>576</v>
      </c>
    </row>
    <row r="35" customFormat="false" ht="15" hidden="false" customHeight="false" outlineLevel="0" collapsed="false">
      <c r="A35" s="3" t="s">
        <v>577</v>
      </c>
      <c r="B35" s="4"/>
      <c r="C35" s="4"/>
      <c r="D35" s="4"/>
      <c r="E35" s="4"/>
      <c r="F35" s="4"/>
      <c r="G35" s="4"/>
      <c r="H35" s="4"/>
      <c r="I35" s="4"/>
      <c r="J35" s="4"/>
      <c r="K35" s="4"/>
      <c r="L35" s="4"/>
      <c r="M35" s="4"/>
      <c r="N35" s="4"/>
      <c r="O35" s="4"/>
      <c r="P35" s="4"/>
    </row>
    <row r="36" customFormat="false" ht="15" hidden="false" customHeight="false" outlineLevel="0" collapsed="false">
      <c r="A36" s="10" t="s">
        <v>578</v>
      </c>
      <c r="B36" s="10" t="s">
        <v>579</v>
      </c>
      <c r="C36" s="10" t="s">
        <v>580</v>
      </c>
      <c r="D36" s="10" t="s">
        <v>581</v>
      </c>
    </row>
    <row r="37" customFormat="false" ht="25.5" hidden="false" customHeight="true" outlineLevel="0" collapsed="false">
      <c r="A37" s="63" t="s">
        <v>582</v>
      </c>
      <c r="B37" s="62" t="s">
        <v>583</v>
      </c>
      <c r="C37" s="64" t="s">
        <v>584</v>
      </c>
      <c r="D37" s="65" t="s">
        <v>585</v>
      </c>
    </row>
    <row r="38" customFormat="false" ht="25.5" hidden="false" customHeight="true" outlineLevel="0" collapsed="false">
      <c r="A38" s="63" t="s">
        <v>586</v>
      </c>
      <c r="B38" s="62" t="s">
        <v>587</v>
      </c>
      <c r="C38" s="64" t="s">
        <v>584</v>
      </c>
      <c r="D38" s="65" t="s">
        <v>588</v>
      </c>
    </row>
    <row r="39" customFormat="false" ht="25.5" hidden="false" customHeight="true" outlineLevel="0" collapsed="false">
      <c r="A39" s="63" t="s">
        <v>589</v>
      </c>
      <c r="B39" s="62" t="s">
        <v>590</v>
      </c>
      <c r="C39" s="64" t="s">
        <v>584</v>
      </c>
      <c r="D39" s="65" t="s">
        <v>591</v>
      </c>
    </row>
    <row r="40" customFormat="false" ht="25.5" hidden="false" customHeight="true" outlineLevel="0" collapsed="false">
      <c r="A40" s="63" t="s">
        <v>589</v>
      </c>
      <c r="B40" s="62" t="s">
        <v>592</v>
      </c>
      <c r="C40" s="66" t="s">
        <v>593</v>
      </c>
      <c r="D40" s="65" t="s">
        <v>594</v>
      </c>
    </row>
    <row r="41" customFormat="false" ht="25.5" hidden="false" customHeight="true" outlineLevel="0" collapsed="false">
      <c r="A41" s="63" t="s">
        <v>595</v>
      </c>
      <c r="B41" s="62" t="s">
        <v>596</v>
      </c>
      <c r="C41" s="66" t="s">
        <v>597</v>
      </c>
      <c r="D41" s="65" t="s">
        <v>598</v>
      </c>
    </row>
    <row r="42" customFormat="false" ht="25.5" hidden="false" customHeight="true" outlineLevel="0" collapsed="false">
      <c r="A42" s="63" t="s">
        <v>599</v>
      </c>
      <c r="B42" s="62" t="s">
        <v>600</v>
      </c>
      <c r="C42" s="66" t="s">
        <v>597</v>
      </c>
      <c r="D42" s="65" t="s">
        <v>601</v>
      </c>
    </row>
    <row r="43" customFormat="false" ht="25.5" hidden="false" customHeight="true" outlineLevel="0" collapsed="false">
      <c r="A43" s="63" t="s">
        <v>602</v>
      </c>
      <c r="B43" s="62" t="s">
        <v>603</v>
      </c>
      <c r="C43" s="64" t="s">
        <v>604</v>
      </c>
      <c r="D43" s="65" t="s">
        <v>605</v>
      </c>
    </row>
    <row r="44" customFormat="false" ht="25.5" hidden="false" customHeight="true" outlineLevel="0" collapsed="false">
      <c r="A44" s="63" t="s">
        <v>602</v>
      </c>
      <c r="B44" s="62" t="s">
        <v>606</v>
      </c>
      <c r="C44" s="66" t="s">
        <v>597</v>
      </c>
      <c r="D44" s="65" t="s">
        <v>607</v>
      </c>
    </row>
    <row r="45" customFormat="false" ht="25.5" hidden="false" customHeight="true" outlineLevel="0" collapsed="false">
      <c r="A45" s="63" t="s">
        <v>608</v>
      </c>
      <c r="B45" s="62" t="s">
        <v>609</v>
      </c>
      <c r="C45" s="66" t="s">
        <v>597</v>
      </c>
      <c r="D45" s="65" t="s">
        <v>610</v>
      </c>
    </row>
    <row r="46" customFormat="false" ht="25.5" hidden="false" customHeight="true" outlineLevel="0" collapsed="false">
      <c r="A46" s="63" t="s">
        <v>611</v>
      </c>
      <c r="B46" s="62" t="s">
        <v>612</v>
      </c>
      <c r="C46" s="64" t="s">
        <v>584</v>
      </c>
      <c r="D46" s="65" t="s">
        <v>613</v>
      </c>
    </row>
    <row r="47" customFormat="false" ht="25.5" hidden="false" customHeight="true" outlineLevel="0" collapsed="false">
      <c r="A47" s="63" t="s">
        <v>614</v>
      </c>
      <c r="B47" s="62" t="s">
        <v>615</v>
      </c>
      <c r="C47" s="67" t="s">
        <v>616</v>
      </c>
      <c r="D47" s="65" t="s">
        <v>617</v>
      </c>
    </row>
    <row r="48" customFormat="false" ht="25.5" hidden="false" customHeight="true" outlineLevel="0" collapsed="false">
      <c r="A48" s="63" t="s">
        <v>618</v>
      </c>
      <c r="B48" s="62" t="s">
        <v>619</v>
      </c>
      <c r="C48" s="66" t="s">
        <v>620</v>
      </c>
      <c r="D48" s="65" t="s">
        <v>621</v>
      </c>
    </row>
    <row r="49" customFormat="false" ht="25.5" hidden="false" customHeight="true" outlineLevel="0" collapsed="false">
      <c r="A49" s="63" t="s">
        <v>41</v>
      </c>
      <c r="B49" s="62" t="s">
        <v>622</v>
      </c>
      <c r="C49" s="64" t="s">
        <v>623</v>
      </c>
      <c r="D49" s="65" t="s">
        <v>624</v>
      </c>
    </row>
    <row r="50" customFormat="false" ht="25.5" hidden="false" customHeight="true" outlineLevel="0" collapsed="false">
      <c r="A50" s="63" t="s">
        <v>41</v>
      </c>
      <c r="B50" s="62" t="s">
        <v>625</v>
      </c>
      <c r="C50" s="66" t="s">
        <v>597</v>
      </c>
      <c r="D50" s="65" t="s">
        <v>626</v>
      </c>
    </row>
    <row r="51" customFormat="false" ht="25.5" hidden="false" customHeight="true" outlineLevel="0" collapsed="false">
      <c r="A51" s="63" t="s">
        <v>627</v>
      </c>
      <c r="B51" s="62" t="s">
        <v>628</v>
      </c>
      <c r="C51" s="66" t="s">
        <v>629</v>
      </c>
      <c r="D51" s="65" t="s">
        <v>630</v>
      </c>
    </row>
    <row r="52" customFormat="false" ht="25.5" hidden="false" customHeight="true" outlineLevel="0" collapsed="false">
      <c r="A52" s="63" t="s">
        <v>631</v>
      </c>
      <c r="B52" s="62" t="s">
        <v>632</v>
      </c>
      <c r="C52" s="66" t="s">
        <v>597</v>
      </c>
      <c r="D52" s="65" t="s">
        <v>633</v>
      </c>
    </row>
    <row r="53" customFormat="false" ht="25.5" hidden="false" customHeight="true" outlineLevel="0" collapsed="false">
      <c r="A53" s="63" t="s">
        <v>634</v>
      </c>
      <c r="B53" s="62" t="s">
        <v>635</v>
      </c>
      <c r="C53" s="66" t="s">
        <v>597</v>
      </c>
      <c r="D53" s="65" t="s">
        <v>636</v>
      </c>
    </row>
    <row r="54" customFormat="false" ht="25.5" hidden="false" customHeight="true" outlineLevel="0" collapsed="false">
      <c r="A54" s="63" t="s">
        <v>637</v>
      </c>
      <c r="B54" s="62" t="s">
        <v>638</v>
      </c>
      <c r="C54" s="66" t="s">
        <v>639</v>
      </c>
      <c r="D54" s="65" t="s">
        <v>640</v>
      </c>
    </row>
    <row r="55" customFormat="false" ht="25.5" hidden="false" customHeight="true" outlineLevel="0" collapsed="false">
      <c r="A55" s="63" t="s">
        <v>641</v>
      </c>
      <c r="B55" s="62" t="s">
        <v>642</v>
      </c>
      <c r="C55" s="66" t="s">
        <v>597</v>
      </c>
      <c r="D55" s="65" t="s">
        <v>643</v>
      </c>
    </row>
    <row r="56" customFormat="false" ht="25.5" hidden="false" customHeight="true" outlineLevel="0" collapsed="false">
      <c r="A56" s="63" t="s">
        <v>644</v>
      </c>
      <c r="B56" s="62" t="s">
        <v>645</v>
      </c>
      <c r="C56" s="66" t="s">
        <v>597</v>
      </c>
      <c r="D56" s="65" t="s">
        <v>646</v>
      </c>
    </row>
    <row r="57" customFormat="false" ht="25.5" hidden="false" customHeight="true" outlineLevel="0" collapsed="false">
      <c r="A57" s="63" t="s">
        <v>647</v>
      </c>
      <c r="B57" s="62" t="s">
        <v>648</v>
      </c>
      <c r="C57" s="66" t="s">
        <v>597</v>
      </c>
      <c r="D57" s="65" t="s">
        <v>649</v>
      </c>
    </row>
    <row r="59" customFormat="false" ht="15" hidden="false" customHeight="false" outlineLevel="0" collapsed="false">
      <c r="A59" s="3" t="s">
        <v>650</v>
      </c>
      <c r="B59" s="4"/>
      <c r="C59" s="4"/>
      <c r="D59" s="4"/>
      <c r="E59" s="4"/>
      <c r="F59" s="4"/>
      <c r="G59" s="4"/>
      <c r="H59" s="4"/>
      <c r="I59" s="4"/>
      <c r="J59" s="4"/>
      <c r="K59" s="4"/>
      <c r="L59" s="4"/>
      <c r="M59" s="4"/>
      <c r="N59" s="4"/>
      <c r="O59" s="4"/>
      <c r="P59" s="4"/>
    </row>
    <row r="60" customFormat="false" ht="24" hidden="false" customHeight="true" outlineLevel="0" collapsed="false">
      <c r="A60" s="5" t="s">
        <v>651</v>
      </c>
      <c r="B60" s="5"/>
      <c r="C60" s="5"/>
      <c r="D60" s="5"/>
      <c r="E60" s="5"/>
      <c r="F60" s="5"/>
      <c r="G60" s="5"/>
      <c r="H60" s="5"/>
    </row>
    <row r="61" customFormat="false" ht="24" hidden="false" customHeight="true" outlineLevel="0" collapsed="false">
      <c r="A61" s="5" t="s">
        <v>652</v>
      </c>
      <c r="B61" s="5"/>
      <c r="C61" s="5"/>
      <c r="D61" s="5"/>
      <c r="E61" s="5"/>
      <c r="F61" s="5"/>
      <c r="G61" s="5"/>
      <c r="H61" s="5"/>
    </row>
    <row r="62" customFormat="false" ht="24" hidden="false" customHeight="true" outlineLevel="0" collapsed="false">
      <c r="A62" s="5" t="s">
        <v>653</v>
      </c>
      <c r="B62" s="5"/>
      <c r="C62" s="5"/>
      <c r="D62" s="5"/>
      <c r="E62" s="5"/>
      <c r="F62" s="5"/>
      <c r="G62" s="5"/>
      <c r="H62" s="5"/>
    </row>
    <row r="63" customFormat="false" ht="24" hidden="false" customHeight="true" outlineLevel="0" collapsed="false">
      <c r="A63" s="5" t="s">
        <v>654</v>
      </c>
      <c r="B63" s="5"/>
      <c r="C63" s="5"/>
      <c r="D63" s="5"/>
      <c r="E63" s="5"/>
      <c r="F63" s="5"/>
      <c r="G63" s="5"/>
      <c r="H63" s="5"/>
    </row>
    <row r="64" customFormat="false" ht="24" hidden="false" customHeight="true" outlineLevel="0" collapsed="false">
      <c r="A64" s="5" t="s">
        <v>655</v>
      </c>
      <c r="B64" s="5"/>
      <c r="C64" s="5"/>
      <c r="D64" s="5"/>
      <c r="E64" s="5"/>
      <c r="F64" s="5"/>
      <c r="G64" s="5"/>
      <c r="H64" s="5"/>
    </row>
    <row r="65" customFormat="false" ht="24" hidden="false" customHeight="true" outlineLevel="0" collapsed="false">
      <c r="A65" s="5" t="s">
        <v>656</v>
      </c>
      <c r="B65" s="5"/>
      <c r="C65" s="5"/>
      <c r="D65" s="5"/>
      <c r="E65" s="5"/>
      <c r="F65" s="5"/>
      <c r="G65" s="5"/>
      <c r="H65" s="5"/>
    </row>
    <row r="66" customFormat="false" ht="24" hidden="false" customHeight="true" outlineLevel="0" collapsed="false">
      <c r="A66" s="5" t="s">
        <v>657</v>
      </c>
      <c r="B66" s="5"/>
      <c r="C66" s="5"/>
      <c r="D66" s="5"/>
      <c r="E66" s="5"/>
      <c r="F66" s="5"/>
      <c r="G66" s="5"/>
      <c r="H66" s="5"/>
    </row>
    <row r="67" customFormat="false" ht="24" hidden="false" customHeight="true" outlineLevel="0" collapsed="false">
      <c r="A67" s="5" t="s">
        <v>658</v>
      </c>
      <c r="B67" s="5"/>
      <c r="C67" s="5"/>
      <c r="D67" s="5"/>
      <c r="E67" s="5"/>
      <c r="F67" s="5"/>
      <c r="G67" s="5"/>
      <c r="H67" s="5"/>
    </row>
    <row r="68" customFormat="false" ht="24" hidden="false" customHeight="true" outlineLevel="0" collapsed="false">
      <c r="A68" s="5" t="s">
        <v>659</v>
      </c>
      <c r="B68" s="5"/>
      <c r="C68" s="5"/>
      <c r="D68" s="5"/>
      <c r="E68" s="5"/>
      <c r="F68" s="5"/>
      <c r="G68" s="5"/>
      <c r="H68" s="5"/>
    </row>
    <row r="70" customFormat="false" ht="15" hidden="false" customHeight="false" outlineLevel="0" collapsed="false">
      <c r="A70" s="3" t="s">
        <v>660</v>
      </c>
      <c r="B70" s="4"/>
      <c r="C70" s="4"/>
      <c r="D70" s="4"/>
      <c r="E70" s="4"/>
      <c r="F70" s="4"/>
      <c r="G70" s="4"/>
      <c r="H70" s="4"/>
      <c r="I70" s="4"/>
      <c r="J70" s="4"/>
      <c r="K70" s="4"/>
      <c r="L70" s="4"/>
      <c r="M70" s="4"/>
      <c r="N70" s="4"/>
      <c r="O70" s="4"/>
      <c r="P70" s="4"/>
    </row>
    <row r="71" customFormat="false" ht="15" hidden="false" customHeight="false" outlineLevel="0" collapsed="false">
      <c r="A71" s="10" t="s">
        <v>661</v>
      </c>
      <c r="B71" s="10" t="s">
        <v>662</v>
      </c>
      <c r="C71" s="10" t="s">
        <v>663</v>
      </c>
    </row>
    <row r="72" customFormat="false" ht="33.75" hidden="false" customHeight="true" outlineLevel="0" collapsed="false">
      <c r="A72" s="61" t="s">
        <v>664</v>
      </c>
      <c r="B72" s="62" t="s">
        <v>665</v>
      </c>
      <c r="C72" s="65" t="s">
        <v>666</v>
      </c>
    </row>
    <row r="73" customFormat="false" ht="33.75" hidden="false" customHeight="true" outlineLevel="0" collapsed="false">
      <c r="A73" s="61" t="s">
        <v>667</v>
      </c>
      <c r="B73" s="62" t="s">
        <v>668</v>
      </c>
      <c r="C73" s="65" t="s">
        <v>669</v>
      </c>
    </row>
    <row r="74" customFormat="false" ht="33.75" hidden="false" customHeight="true" outlineLevel="0" collapsed="false">
      <c r="A74" s="61" t="s">
        <v>670</v>
      </c>
      <c r="B74" s="62" t="s">
        <v>671</v>
      </c>
      <c r="C74" s="65" t="s">
        <v>672</v>
      </c>
    </row>
    <row r="75" customFormat="false" ht="33.75" hidden="false" customHeight="true" outlineLevel="0" collapsed="false">
      <c r="A75" s="61" t="s">
        <v>673</v>
      </c>
      <c r="B75" s="62" t="s">
        <v>674</v>
      </c>
      <c r="C75" s="65" t="s">
        <v>675</v>
      </c>
    </row>
    <row r="76" customFormat="false" ht="33.75" hidden="false" customHeight="true" outlineLevel="0" collapsed="false">
      <c r="A76" s="61" t="s">
        <v>676</v>
      </c>
      <c r="B76" s="62" t="s">
        <v>677</v>
      </c>
      <c r="C76" s="65" t="s">
        <v>678</v>
      </c>
    </row>
    <row r="77" customFormat="false" ht="33.75" hidden="false" customHeight="true" outlineLevel="0" collapsed="false">
      <c r="A77" s="61" t="s">
        <v>679</v>
      </c>
      <c r="B77" s="62" t="s">
        <v>680</v>
      </c>
      <c r="C77" s="65" t="s">
        <v>681</v>
      </c>
    </row>
    <row r="78" customFormat="false" ht="33.75" hidden="false" customHeight="true" outlineLevel="0" collapsed="false">
      <c r="A78" s="61" t="s">
        <v>682</v>
      </c>
      <c r="B78" s="62" t="s">
        <v>683</v>
      </c>
      <c r="C78" s="65" t="s">
        <v>681</v>
      </c>
    </row>
    <row r="79" customFormat="false" ht="33.75" hidden="false" customHeight="true" outlineLevel="0" collapsed="false">
      <c r="A79" s="61" t="s">
        <v>684</v>
      </c>
      <c r="B79" s="62" t="s">
        <v>685</v>
      </c>
      <c r="C79" s="65" t="s">
        <v>686</v>
      </c>
    </row>
    <row r="81" customFormat="false" ht="15" hidden="false" customHeight="false" outlineLevel="0" collapsed="false">
      <c r="A81" s="3" t="s">
        <v>687</v>
      </c>
      <c r="B81" s="4"/>
      <c r="C81" s="4"/>
      <c r="D81" s="4"/>
      <c r="E81" s="4"/>
      <c r="F81" s="4"/>
      <c r="G81" s="4"/>
      <c r="H81" s="4"/>
      <c r="I81" s="4"/>
      <c r="J81" s="4"/>
      <c r="K81" s="4"/>
      <c r="L81" s="4"/>
      <c r="M81" s="4"/>
      <c r="N81" s="4"/>
      <c r="O81" s="4"/>
      <c r="P81" s="4"/>
    </row>
    <row r="82" customFormat="false" ht="24" hidden="false" customHeight="true" outlineLevel="0" collapsed="false">
      <c r="A82" s="5" t="s">
        <v>688</v>
      </c>
      <c r="B82" s="5"/>
      <c r="C82" s="5"/>
      <c r="D82" s="5"/>
      <c r="E82" s="5"/>
      <c r="F82" s="5"/>
      <c r="G82" s="5"/>
      <c r="H82" s="5"/>
    </row>
    <row r="83" customFormat="false" ht="24" hidden="false" customHeight="true" outlineLevel="0" collapsed="false">
      <c r="A83" s="5" t="s">
        <v>689</v>
      </c>
      <c r="B83" s="5"/>
      <c r="C83" s="5"/>
      <c r="D83" s="5"/>
      <c r="E83" s="5"/>
      <c r="F83" s="5"/>
      <c r="G83" s="5"/>
      <c r="H83" s="5"/>
    </row>
    <row r="84" customFormat="false" ht="24" hidden="false" customHeight="true" outlineLevel="0" collapsed="false">
      <c r="A84" s="5" t="s">
        <v>690</v>
      </c>
      <c r="B84" s="5"/>
      <c r="C84" s="5"/>
      <c r="D84" s="5"/>
      <c r="E84" s="5"/>
      <c r="F84" s="5"/>
      <c r="G84" s="5"/>
      <c r="H84" s="5"/>
    </row>
    <row r="85" customFormat="false" ht="24" hidden="false" customHeight="true" outlineLevel="0" collapsed="false">
      <c r="A85" s="5" t="s">
        <v>691</v>
      </c>
      <c r="B85" s="5"/>
      <c r="C85" s="5"/>
      <c r="D85" s="5"/>
      <c r="E85" s="5"/>
      <c r="F85" s="5"/>
      <c r="G85" s="5"/>
      <c r="H85" s="5"/>
    </row>
    <row r="86" customFormat="false" ht="24" hidden="false" customHeight="true" outlineLevel="0" collapsed="false">
      <c r="A86" s="5" t="s">
        <v>692</v>
      </c>
      <c r="B86" s="5"/>
      <c r="C86" s="5"/>
      <c r="D86" s="5"/>
      <c r="E86" s="5"/>
      <c r="F86" s="5"/>
      <c r="G86" s="5"/>
      <c r="H86" s="5"/>
    </row>
    <row r="87" customFormat="false" ht="24" hidden="false" customHeight="true" outlineLevel="0" collapsed="false">
      <c r="A87" s="5" t="s">
        <v>693</v>
      </c>
      <c r="B87" s="5"/>
      <c r="C87" s="5"/>
      <c r="D87" s="5"/>
      <c r="E87" s="5"/>
      <c r="F87" s="5"/>
      <c r="G87" s="5"/>
      <c r="H87" s="5"/>
    </row>
    <row r="88" customFormat="false" ht="24" hidden="false" customHeight="true" outlineLevel="0" collapsed="false">
      <c r="A88" s="5" t="s">
        <v>694</v>
      </c>
      <c r="B88" s="5"/>
      <c r="C88" s="5"/>
      <c r="D88" s="5"/>
      <c r="E88" s="5"/>
      <c r="F88" s="5"/>
      <c r="G88" s="5"/>
      <c r="H88" s="5"/>
    </row>
    <row r="89" customFormat="false" ht="24" hidden="false" customHeight="true" outlineLevel="0" collapsed="false">
      <c r="A89" s="5" t="s">
        <v>695</v>
      </c>
      <c r="B89" s="5"/>
      <c r="C89" s="5"/>
      <c r="D89" s="5"/>
      <c r="E89" s="5"/>
      <c r="F89" s="5"/>
      <c r="G89" s="5"/>
      <c r="H89" s="5"/>
    </row>
    <row r="90" customFormat="false" ht="24" hidden="false" customHeight="true" outlineLevel="0" collapsed="false">
      <c r="A90" s="5" t="s">
        <v>696</v>
      </c>
      <c r="B90" s="5"/>
      <c r="C90" s="5"/>
      <c r="D90" s="5"/>
      <c r="E90" s="5"/>
      <c r="F90" s="5"/>
      <c r="G90" s="5"/>
      <c r="H90" s="5"/>
    </row>
    <row r="91" customFormat="false" ht="24" hidden="false" customHeight="true" outlineLevel="0" collapsed="false">
      <c r="A91" s="5" t="s">
        <v>697</v>
      </c>
      <c r="B91" s="5"/>
      <c r="C91" s="5"/>
      <c r="D91" s="5"/>
      <c r="E91" s="5"/>
      <c r="F91" s="5"/>
      <c r="G91" s="5"/>
      <c r="H91" s="5"/>
    </row>
  </sheetData>
  <mergeCells count="20">
    <mergeCell ref="A1:P1"/>
    <mergeCell ref="A60:H60"/>
    <mergeCell ref="A61:H61"/>
    <mergeCell ref="A62:H62"/>
    <mergeCell ref="A63:H63"/>
    <mergeCell ref="A64:H64"/>
    <mergeCell ref="A65:H65"/>
    <mergeCell ref="A66:H66"/>
    <mergeCell ref="A67:H67"/>
    <mergeCell ref="A68:H68"/>
    <mergeCell ref="A82:H82"/>
    <mergeCell ref="A83:H83"/>
    <mergeCell ref="A84:H84"/>
    <mergeCell ref="A85:H85"/>
    <mergeCell ref="A86:H86"/>
    <mergeCell ref="A87:H87"/>
    <mergeCell ref="A88:H88"/>
    <mergeCell ref="A89:H89"/>
    <mergeCell ref="A90:H90"/>
    <mergeCell ref="A91:H91"/>
  </mergeCells>
  <printOptions headings="false" gridLines="false" gridLinesSet="true" horizontalCentered="true" verticalCentered="false"/>
  <pageMargins left="0.3" right="0.3" top="0.4" bottom="0.4"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&amp;LSai Life Sciences model - Sources_Checks&amp;R&amp;P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2026-08-04T11:37:21Z</dcterms:created>
  <dc:creator>openpyxl</dc:creator>
  <dc:description/>
  <dc:language>en-US</dc:language>
  <cp:lastModifiedBy/>
  <dcterms:modified xsi:type="dcterms:W3CDTF">2026-08-04T11:37:22Z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