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19519ecd1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 Sales Time Series" sheetId="1" r:id="R0199fa4ba4e2449d"/>
    <x:sheet xmlns:r="http://schemas.openxmlformats.org/officeDocument/2006/relationships" name="Raw Extract" sheetId="2" r:id="R6633aa8332254818"/>
    <x:sheet xmlns:r="http://schemas.openxmlformats.org/officeDocument/2006/relationships" name="Source Audit" sheetId="3" r:id="Rf7cc89c06d77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-yy"/>
    <x:numFmt numFmtId="201" formatCode="0.00;[Red](0.00);-"/>
    <x:numFmt numFmtId="202" formatCode="0"/>
  </x:numFmts>
  <x:fonts count="11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1F4E78"/>
      <x:name val="Aptos"/>
    </x:font>
    <x:font>
      <x:i/>
      <x:sz val="9"/>
      <x:color rgb="FF5B6573"/>
      <x:name val="Aptos"/>
    </x:font>
    <x:font>
      <x:b/>
      <x:sz val="9"/>
      <x:color rgb="FFFFFFFF"/>
      <x:name val="Aptos"/>
    </x:font>
    <x:font>
      <x:b/>
      <x:sz val="9"/>
      <x:color rgb="FF1F2937"/>
      <x:name val="Aptos"/>
    </x:font>
    <x:font>
      <x:sz val="9"/>
      <x:color rgb="FF1F2937"/>
      <x:name val="Aptos"/>
    </x:font>
    <x:font>
      <x:sz val="9"/>
      <x:color rgb="FF5B6573"/>
      <x:name val="Aptos"/>
    </x:font>
    <x:font>
      <x:b/>
      <x:sz val="14"/>
      <x:color rgb="FFFFFFFF"/>
      <x:name val="Aptos Display"/>
    </x:font>
    <x:font>
      <x:i/>
      <x:sz val="9"/>
      <x:color rgb="FF1F4E78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8F5F5"/>
      </x:patternFill>
    </x:fill>
    <x:fill>
      <x:patternFill patternType="solid">
        <x:fgColor rgb="FFF3F4F6"/>
      </x:patternFill>
    </x:fill>
    <x:fill>
      <x:patternFill patternType="solid">
        <x:fgColor rgb="FF008C95"/>
      </x:patternFill>
    </x:fill>
  </x:fills>
  <x:borders count="8">
    <x:border/>
    <x:border>
      <x:left style="thin">
        <x:color rgb="FF10243E"/>
      </x:left>
      <x:top style="thin">
        <x:color rgb="FF10243E"/>
      </x:top>
      <x:bottom style="thin">
        <x:color rgb="FF10243E"/>
      </x:bottom>
    </x:border>
    <x:border>
      <x:top style="thin">
        <x:color rgb="FF10243E"/>
      </x:top>
      <x:bottom style="thin">
        <x:color rgb="FF10243E"/>
      </x:bottom>
    </x:border>
    <x:border>
      <x:right style="thin">
        <x:color rgb="FF10243E"/>
      </x:right>
      <x:top style="thin">
        <x:color rgb="FF10243E"/>
      </x:top>
      <x:bottom style="thin">
        <x:color rgb="FF10243E"/>
      </x:bottom>
    </x:border>
    <x:border>
      <x:bottom style="thin">
        <x:color rgb="FFD6DBE1"/>
      </x:bottom>
    </x:border>
    <x:border>
      <x:left style="medium">
        <x:color rgb="FF008C95"/>
      </x:left>
      <x:top style="thin">
        <x:color rgb="FF10243E"/>
      </x:top>
      <x:bottom style="thin">
        <x:color rgb="FF10243E"/>
      </x:bottom>
    </x:border>
    <x:border>
      <x:left style="medium">
        <x:color rgb="FF008C95"/>
      </x:left>
    </x:border>
    <x:border>
      <x:left style="medium">
        <x:color rgb="FF008C95"/>
      </x:left>
      <x:bottom style="thin">
        <x:color rgb="FF10243E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left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4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201" fontId="6" fillId="0" borderId="0" xfId="0" applyNumberFormat="1" applyFont="1" applyFill="1" applyBorder="1"/>
    <x:xf numFmtId="201" fontId="6" fillId="0" borderId="4" xfId="0" applyNumberFormat="1" applyFont="1" applyFill="1" applyBorder="1"/>
    <x:xf numFmtId="201" fontId="6" fillId="0" borderId="0" xfId="0" applyNumberFormat="1" applyFont="1" applyFill="1" applyBorder="1" applyAlignment="1">
      <x:alignment horizontal="right"/>
    </x:xf>
    <x:xf numFmtId="201" fontId="6" fillId="0" borderId="4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 vertical="center"/>
    </x:xf>
    <x:xf numFmtId="201" fontId="6" fillId="0" borderId="4" xfId="0" applyNumberFormat="1" applyFont="1" applyFill="1" applyBorder="1" applyAlignment="1">
      <x:alignment horizontal="right" vertical="center"/>
    </x:xf>
    <x:xf numFmtId="201" fontId="6" fillId="6" borderId="0" xfId="0" applyNumberFormat="1" applyFont="1" applyFill="1" applyBorder="1" applyAlignment="1">
      <x:alignment horizontal="right" vertical="center"/>
    </x:xf>
    <x:xf numFmtId="201" fontId="6" fillId="6" borderId="4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1" fontId="6" fillId="0" borderId="6" xfId="0" applyNumberFormat="1" applyFont="1" applyFill="1" applyBorder="1" applyAlignment="1">
      <x:alignment horizontal="right" vertical="center"/>
    </x:xf>
    <x:xf numFmtId="201" fontId="6" fillId="0" borderId="7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6" fillId="0" borderId="4" xfId="0" applyNumberFormat="1" applyFont="1" applyFill="1" applyBorder="1"/>
    <x:xf numFmtId="202" fontId="6" fillId="0" borderId="4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3F4F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3b010eb114c2c" /><Relationship Type="http://schemas.openxmlformats.org/officeDocument/2006/relationships/theme" Target="/xl/theme/theme1.xml" Id="Ra01084fae0ec4c85" /><Relationship Type="http://schemas.openxmlformats.org/officeDocument/2006/relationships/sharedStrings" Target="/xl/sharedStrings.xml" Id="Radde2d4a659b4b5d" /><Relationship Type="http://schemas.openxmlformats.org/officeDocument/2006/relationships/worksheet" Target="/xl/worksheets/sheet1.xml" Id="R0199fa4ba4e2449d" /><Relationship Type="http://schemas.openxmlformats.org/officeDocument/2006/relationships/worksheet" Target="/xl/worksheets/sheet2.xml" Id="R6633aa8332254818" /><Relationship Type="http://schemas.openxmlformats.org/officeDocument/2006/relationships/worksheet" Target="/xl/worksheets/sheet3.xml" Id="Rf7cc89c06d77471a" /></Relationships>
</file>

<file path=xl/tables/table1.xml><?xml version="1.0" encoding="utf-8"?>
<x:table xmlns:x="http://schemas.openxmlformats.org/spreadsheetml/2006/main" id="1" name="RawExtractTable" displayName="RawExtractTable" ref="A3:D442" headerRowCount="1" totalsRowCount="0" totalsRowShown="0">
  <x:tableColumns count="4">
    <x:tableColumn id="1" name="Month"/>
    <x:tableColumn id="2" name="Product"/>
    <x:tableColumn id="3" name="Sales (INR cr)"/>
    <x:tableColumn id="4" name="PDF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eceac8e8c44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</x:cols>
  <x:sheetData>
    <x:row r="1" ht="30" customHeight="1">
      <x:c r="A1" s="3" t="str">
        <x:v>Mankind Pharma - IQVIA Top-Brand Monthly Sales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2" customHeight="1">
      <x:c r="A2" s="6" t="str">
        <x:v>Monthly sales time series | September 2024 to July 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 ht="28" customHeight="1">
      <x:c r="A3" s="10" t="str">
        <x:v>Units: INR crore. Rows ranked by July 2026 sales; ties use June 2026. Brands absent in July are placed below current brands by recency of last appearance.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</x:row>
    <x:row r="5" ht="24" customHeight="1">
      <x:c r="A5" s="22" t="str">
        <x:v>Product</x:v>
      </x:c>
      <x:c r="B5" s="23" t="n">
        <x:v>45536</x:v>
      </x:c>
      <x:c r="C5" s="23" t="n">
        <x:v>45566</x:v>
      </x:c>
      <x:c r="D5" s="23" t="n">
        <x:v>45597</x:v>
      </x:c>
      <x:c r="E5" s="23" t="n">
        <x:v>45627</x:v>
      </x:c>
      <x:c r="F5" s="41" t="n">
        <x:v>45658</x:v>
      </x:c>
      <x:c r="G5" s="23" t="n">
        <x:v>45689</x:v>
      </x:c>
      <x:c r="H5" s="23" t="n">
        <x:v>45717</x:v>
      </x:c>
      <x:c r="I5" s="23" t="n">
        <x:v>45748</x:v>
      </x:c>
      <x:c r="J5" s="23" t="n">
        <x:v>45778</x:v>
      </x:c>
      <x:c r="K5" s="23" t="n">
        <x:v>45809</x:v>
      </x:c>
      <x:c r="L5" s="23" t="n">
        <x:v>45839</x:v>
      </x:c>
      <x:c r="M5" s="23" t="n">
        <x:v>45870</x:v>
      </x:c>
      <x:c r="N5" s="23" t="n">
        <x:v>45901</x:v>
      </x:c>
      <x:c r="O5" s="23" t="n">
        <x:v>45931</x:v>
      </x:c>
      <x:c r="P5" s="23" t="n">
        <x:v>45962</x:v>
      </x:c>
      <x:c r="Q5" s="23" t="n">
        <x:v>45992</x:v>
      </x:c>
      <x:c r="R5" s="41" t="n">
        <x:v>46023</x:v>
      </x:c>
      <x:c r="S5" s="23" t="n">
        <x:v>46054</x:v>
      </x:c>
      <x:c r="T5" s="23" t="n">
        <x:v>46082</x:v>
      </x:c>
      <x:c r="U5" s="23" t="n">
        <x:v>46113</x:v>
      </x:c>
      <x:c r="V5" s="23" t="n">
        <x:v>46143</x:v>
      </x:c>
      <x:c r="W5" s="23" t="n">
        <x:v>46174</x:v>
      </x:c>
      <x:c r="X5" s="24" t="n">
        <x:v>46204</x:v>
      </x:c>
    </x:row>
    <x:row r="6" ht="19" customHeight="1">
      <x:c r="A6" s="29" t="str">
        <x:v>MANFORCE</x:v>
      </x:c>
      <x:c r="B6" s="37" t="n">
        <x:f>IF(COUNTIFS('Raw Extract'!$A$4:$A$442,B$5,'Raw Extract'!$B$4:$B$442,$A6)=0,"",SUMIFS('Raw Extract'!$C$4:$C$442,'Raw Extract'!$A$4:$A$442,B$5,'Raw Extract'!$B$4:$B$442,$A6))</x:f>
        <x:v>40.56</x:v>
      </x:c>
      <x:c r="C6" s="37" t="n">
        <x:f>IF(COUNTIFS('Raw Extract'!$A$4:$A$442,C$5,'Raw Extract'!$B$4:$B$442,$A6)=0,"",SUMIFS('Raw Extract'!$C$4:$C$442,'Raw Extract'!$A$4:$A$442,C$5,'Raw Extract'!$B$4:$B$442,$A6))</x:f>
        <x:v>41.12</x:v>
      </x:c>
      <x:c r="D6" s="37" t="n">
        <x:f>IF(COUNTIFS('Raw Extract'!$A$4:$A$442,D$5,'Raw Extract'!$B$4:$B$442,$A6)=0,"",SUMIFS('Raw Extract'!$C$4:$C$442,'Raw Extract'!$A$4:$A$442,D$5,'Raw Extract'!$B$4:$B$442,$A6))</x:f>
        <x:v>46.98</x:v>
      </x:c>
      <x:c r="E6" s="37" t="n">
        <x:f>IF(COUNTIFS('Raw Extract'!$A$4:$A$442,E$5,'Raw Extract'!$B$4:$B$442,$A6)=0,"",SUMIFS('Raw Extract'!$C$4:$C$442,'Raw Extract'!$A$4:$A$442,E$5,'Raw Extract'!$B$4:$B$442,$A6))</x:f>
        <x:v>48.63</x:v>
      </x:c>
      <x:c r="F6" s="42" t="n">
        <x:f>IF(COUNTIFS('Raw Extract'!$A$4:$A$442,F$5,'Raw Extract'!$B$4:$B$442,$A6)=0,"",SUMIFS('Raw Extract'!$C$4:$C$442,'Raw Extract'!$A$4:$A$442,F$5,'Raw Extract'!$B$4:$B$442,$A6))</x:f>
        <x:v>49.7</x:v>
      </x:c>
      <x:c r="G6" s="37" t="n">
        <x:f>IF(COUNTIFS('Raw Extract'!$A$4:$A$442,G$5,'Raw Extract'!$B$4:$B$442,$A6)=0,"",SUMIFS('Raw Extract'!$C$4:$C$442,'Raw Extract'!$A$4:$A$442,G$5,'Raw Extract'!$B$4:$B$442,$A6))</x:f>
        <x:v>45.94</x:v>
      </x:c>
      <x:c r="H6" s="37" t="n">
        <x:f>IF(COUNTIFS('Raw Extract'!$A$4:$A$442,H$5,'Raw Extract'!$B$4:$B$442,$A6)=0,"",SUMIFS('Raw Extract'!$C$4:$C$442,'Raw Extract'!$A$4:$A$442,H$5,'Raw Extract'!$B$4:$B$442,$A6))</x:f>
        <x:v>43.99</x:v>
      </x:c>
      <x:c r="I6" s="37" t="n">
        <x:f>IF(COUNTIFS('Raw Extract'!$A$4:$A$442,I$5,'Raw Extract'!$B$4:$B$442,$A6)=0,"",SUMIFS('Raw Extract'!$C$4:$C$442,'Raw Extract'!$A$4:$A$442,I$5,'Raw Extract'!$B$4:$B$442,$A6))</x:f>
        <x:v>52.2</x:v>
      </x:c>
      <x:c r="J6" s="37" t="n">
        <x:f>IF(COUNTIFS('Raw Extract'!$A$4:$A$442,J$5,'Raw Extract'!$B$4:$B$442,$A6)=0,"",SUMIFS('Raw Extract'!$C$4:$C$442,'Raw Extract'!$A$4:$A$442,J$5,'Raw Extract'!$B$4:$B$442,$A6))</x:f>
        <x:v>50.9</x:v>
      </x:c>
      <x:c r="K6" s="37" t="n">
        <x:f>IF(COUNTIFS('Raw Extract'!$A$4:$A$442,K$5,'Raw Extract'!$B$4:$B$442,$A6)=0,"",SUMIFS('Raw Extract'!$C$4:$C$442,'Raw Extract'!$A$4:$A$442,K$5,'Raw Extract'!$B$4:$B$442,$A6))</x:f>
        <x:v>47.4</x:v>
      </x:c>
      <x:c r="L6" s="37" t="n">
        <x:f>IF(COUNTIFS('Raw Extract'!$A$4:$A$442,L$5,'Raw Extract'!$B$4:$B$442,$A6)=0,"",SUMIFS('Raw Extract'!$C$4:$C$442,'Raw Extract'!$A$4:$A$442,L$5,'Raw Extract'!$B$4:$B$442,$A6))</x:f>
        <x:v>48.77</x:v>
      </x:c>
      <x:c r="M6" s="37" t="n">
        <x:f>IF(COUNTIFS('Raw Extract'!$A$4:$A$442,M$5,'Raw Extract'!$B$4:$B$442,$A6)=0,"",SUMIFS('Raw Extract'!$C$4:$C$442,'Raw Extract'!$A$4:$A$442,M$5,'Raw Extract'!$B$4:$B$442,$A6))</x:f>
        <x:v>45.68</x:v>
      </x:c>
      <x:c r="N6" s="37" t="n">
        <x:f>IF(COUNTIFS('Raw Extract'!$A$4:$A$442,N$5,'Raw Extract'!$B$4:$B$442,$A6)=0,"",SUMIFS('Raw Extract'!$C$4:$C$442,'Raw Extract'!$A$4:$A$442,N$5,'Raw Extract'!$B$4:$B$442,$A6))</x:f>
        <x:v>41.94</x:v>
      </x:c>
      <x:c r="O6" s="37" t="n">
        <x:f>IF(COUNTIFS('Raw Extract'!$A$4:$A$442,O$5,'Raw Extract'!$B$4:$B$442,$A6)=0,"",SUMIFS('Raw Extract'!$C$4:$C$442,'Raw Extract'!$A$4:$A$442,O$5,'Raw Extract'!$B$4:$B$442,$A6))</x:f>
        <x:v>48.86</x:v>
      </x:c>
      <x:c r="P6" s="37" t="n">
        <x:f>IF(COUNTIFS('Raw Extract'!$A$4:$A$442,P$5,'Raw Extract'!$B$4:$B$442,$A6)=0,"",SUMIFS('Raw Extract'!$C$4:$C$442,'Raw Extract'!$A$4:$A$442,P$5,'Raw Extract'!$B$4:$B$442,$A6))</x:f>
        <x:v>52.49</x:v>
      </x:c>
      <x:c r="Q6" s="37" t="n">
        <x:f>IF(COUNTIFS('Raw Extract'!$A$4:$A$442,Q$5,'Raw Extract'!$B$4:$B$442,$A6)=0,"",SUMIFS('Raw Extract'!$C$4:$C$442,'Raw Extract'!$A$4:$A$442,Q$5,'Raw Extract'!$B$4:$B$442,$A6))</x:f>
        <x:v>56.61</x:v>
      </x:c>
      <x:c r="R6" s="42" t="n">
        <x:f>IF(COUNTIFS('Raw Extract'!$A$4:$A$442,R$5,'Raw Extract'!$B$4:$B$442,$A6)=0,"",SUMIFS('Raw Extract'!$C$4:$C$442,'Raw Extract'!$A$4:$A$442,R$5,'Raw Extract'!$B$4:$B$442,$A6))</x:f>
        <x:v>52.53</x:v>
      </x:c>
      <x:c r="S6" s="37" t="n">
        <x:f>IF(COUNTIFS('Raw Extract'!$A$4:$A$442,S$5,'Raw Extract'!$B$4:$B$442,$A6)=0,"",SUMIFS('Raw Extract'!$C$4:$C$442,'Raw Extract'!$A$4:$A$442,S$5,'Raw Extract'!$B$4:$B$442,$A6))</x:f>
        <x:v>48.31</x:v>
      </x:c>
      <x:c r="T6" s="37" t="n">
        <x:f>IF(COUNTIFS('Raw Extract'!$A$4:$A$442,T$5,'Raw Extract'!$B$4:$B$442,$A6)=0,"",SUMIFS('Raw Extract'!$C$4:$C$442,'Raw Extract'!$A$4:$A$442,T$5,'Raw Extract'!$B$4:$B$442,$A6))</x:f>
        <x:v>48.97</x:v>
      </x:c>
      <x:c r="U6" s="37" t="n">
        <x:f>IF(COUNTIFS('Raw Extract'!$A$4:$A$442,U$5,'Raw Extract'!$B$4:$B$442,$A6)=0,"",SUMIFS('Raw Extract'!$C$4:$C$442,'Raw Extract'!$A$4:$A$442,U$5,'Raw Extract'!$B$4:$B$442,$A6))</x:f>
        <x:v>58.65</x:v>
      </x:c>
      <x:c r="V6" s="37" t="n">
        <x:f>IF(COUNTIFS('Raw Extract'!$A$4:$A$442,V$5,'Raw Extract'!$B$4:$B$442,$A6)=0,"",SUMIFS('Raw Extract'!$C$4:$C$442,'Raw Extract'!$A$4:$A$442,V$5,'Raw Extract'!$B$4:$B$442,$A6))</x:f>
        <x:v>57.95</x:v>
      </x:c>
      <x:c r="W6" s="37" t="n">
        <x:f>IF(COUNTIFS('Raw Extract'!$A$4:$A$442,W$5,'Raw Extract'!$B$4:$B$442,$A6)=0,"",SUMIFS('Raw Extract'!$C$4:$C$442,'Raw Extract'!$A$4:$A$442,W$5,'Raw Extract'!$B$4:$B$442,$A6))</x:f>
        <x:v>55.74</x:v>
      </x:c>
      <x:c r="X6" s="39" t="n">
        <x:f>IF(COUNTIFS('Raw Extract'!$A$4:$A$442,X$5,'Raw Extract'!$B$4:$B$442,$A6)=0,"",SUMIFS('Raw Extract'!$C$4:$C$442,'Raw Extract'!$A$4:$A$442,X$5,'Raw Extract'!$B$4:$B$442,$A6))</x:f>
        <x:v>58.53</x:v>
      </x:c>
    </x:row>
    <x:row r="7" ht="19" customHeight="1">
      <x:c r="A7" s="29" t="str">
        <x:v>MOXIKIND-CV</x:v>
      </x:c>
      <x:c r="B7" s="37" t="n">
        <x:f>IF(COUNTIFS('Raw Extract'!$A$4:$A$442,B$5,'Raw Extract'!$B$4:$B$442,$A7)=0,"",SUMIFS('Raw Extract'!$C$4:$C$442,'Raw Extract'!$A$4:$A$442,B$5,'Raw Extract'!$B$4:$B$442,$A7))</x:f>
        <x:v>37.52</x:v>
      </x:c>
      <x:c r="C7" s="37" t="n">
        <x:f>IF(COUNTIFS('Raw Extract'!$A$4:$A$442,C$5,'Raw Extract'!$B$4:$B$442,$A7)=0,"",SUMIFS('Raw Extract'!$C$4:$C$442,'Raw Extract'!$A$4:$A$442,C$5,'Raw Extract'!$B$4:$B$442,$A7))</x:f>
        <x:v>36.47</x:v>
      </x:c>
      <x:c r="D7" s="37" t="n">
        <x:f>IF(COUNTIFS('Raw Extract'!$A$4:$A$442,D$5,'Raw Extract'!$B$4:$B$442,$A7)=0,"",SUMIFS('Raw Extract'!$C$4:$C$442,'Raw Extract'!$A$4:$A$442,D$5,'Raw Extract'!$B$4:$B$442,$A7))</x:f>
        <x:v>35.97</x:v>
      </x:c>
      <x:c r="E7" s="37" t="n">
        <x:f>IF(COUNTIFS('Raw Extract'!$A$4:$A$442,E$5,'Raw Extract'!$B$4:$B$442,$A7)=0,"",SUMIFS('Raw Extract'!$C$4:$C$442,'Raw Extract'!$A$4:$A$442,E$5,'Raw Extract'!$B$4:$B$442,$A7))</x:f>
        <x:v>34.42</x:v>
      </x:c>
      <x:c r="F7" s="42" t="n">
        <x:f>IF(COUNTIFS('Raw Extract'!$A$4:$A$442,F$5,'Raw Extract'!$B$4:$B$442,$A7)=0,"",SUMIFS('Raw Extract'!$C$4:$C$442,'Raw Extract'!$A$4:$A$442,F$5,'Raw Extract'!$B$4:$B$442,$A7))</x:f>
        <x:v>33.23</x:v>
      </x:c>
      <x:c r="G7" s="37" t="n">
        <x:f>IF(COUNTIFS('Raw Extract'!$A$4:$A$442,G$5,'Raw Extract'!$B$4:$B$442,$A7)=0,"",SUMIFS('Raw Extract'!$C$4:$C$442,'Raw Extract'!$A$4:$A$442,G$5,'Raw Extract'!$B$4:$B$442,$A7))</x:f>
        <x:v>34.55</x:v>
      </x:c>
      <x:c r="H7" s="37" t="n">
        <x:f>IF(COUNTIFS('Raw Extract'!$A$4:$A$442,H$5,'Raw Extract'!$B$4:$B$442,$A7)=0,"",SUMIFS('Raw Extract'!$C$4:$C$442,'Raw Extract'!$A$4:$A$442,H$5,'Raw Extract'!$B$4:$B$442,$A7))</x:f>
        <x:v>31.1</x:v>
      </x:c>
      <x:c r="I7" s="37" t="n">
        <x:f>IF(COUNTIFS('Raw Extract'!$A$4:$A$442,I$5,'Raw Extract'!$B$4:$B$442,$A7)=0,"",SUMIFS('Raw Extract'!$C$4:$C$442,'Raw Extract'!$A$4:$A$442,I$5,'Raw Extract'!$B$4:$B$442,$A7))</x:f>
        <x:v>31.54</x:v>
      </x:c>
      <x:c r="J7" s="37" t="n">
        <x:f>IF(COUNTIFS('Raw Extract'!$A$4:$A$442,J$5,'Raw Extract'!$B$4:$B$442,$A7)=0,"",SUMIFS('Raw Extract'!$C$4:$C$442,'Raw Extract'!$A$4:$A$442,J$5,'Raw Extract'!$B$4:$B$442,$A7))</x:f>
        <x:v>27.96</x:v>
      </x:c>
      <x:c r="K7" s="37" t="n">
        <x:f>IF(COUNTIFS('Raw Extract'!$A$4:$A$442,K$5,'Raw Extract'!$B$4:$B$442,$A7)=0,"",SUMIFS('Raw Extract'!$C$4:$C$442,'Raw Extract'!$A$4:$A$442,K$5,'Raw Extract'!$B$4:$B$442,$A7))</x:f>
        <x:v>27.81</x:v>
      </x:c>
      <x:c r="L7" s="37" t="n">
        <x:f>IF(COUNTIFS('Raw Extract'!$A$4:$A$442,L$5,'Raw Extract'!$B$4:$B$442,$A7)=0,"",SUMIFS('Raw Extract'!$C$4:$C$442,'Raw Extract'!$A$4:$A$442,L$5,'Raw Extract'!$B$4:$B$442,$A7))</x:f>
        <x:v>32.08</x:v>
      </x:c>
      <x:c r="M7" s="37" t="n">
        <x:f>IF(COUNTIFS('Raw Extract'!$A$4:$A$442,M$5,'Raw Extract'!$B$4:$B$442,$A7)=0,"",SUMIFS('Raw Extract'!$C$4:$C$442,'Raw Extract'!$A$4:$A$442,M$5,'Raw Extract'!$B$4:$B$442,$A7))</x:f>
        <x:v>39.8</x:v>
      </x:c>
      <x:c r="N7" s="37" t="n">
        <x:f>IF(COUNTIFS('Raw Extract'!$A$4:$A$442,N$5,'Raw Extract'!$B$4:$B$442,$A7)=0,"",SUMIFS('Raw Extract'!$C$4:$C$442,'Raw Extract'!$A$4:$A$442,N$5,'Raw Extract'!$B$4:$B$442,$A7))</x:f>
        <x:v>39.5</x:v>
      </x:c>
      <x:c r="O7" s="37" t="n">
        <x:f>IF(COUNTIFS('Raw Extract'!$A$4:$A$442,O$5,'Raw Extract'!$B$4:$B$442,$A7)=0,"",SUMIFS('Raw Extract'!$C$4:$C$442,'Raw Extract'!$A$4:$A$442,O$5,'Raw Extract'!$B$4:$B$442,$A7))</x:f>
        <x:v>38.96</x:v>
      </x:c>
      <x:c r="P7" s="37" t="n">
        <x:f>IF(COUNTIFS('Raw Extract'!$A$4:$A$442,P$5,'Raw Extract'!$B$4:$B$442,$A7)=0,"",SUMIFS('Raw Extract'!$C$4:$C$442,'Raw Extract'!$A$4:$A$442,P$5,'Raw Extract'!$B$4:$B$442,$A7))</x:f>
        <x:v>35</x:v>
      </x:c>
      <x:c r="Q7" s="37" t="n">
        <x:f>IF(COUNTIFS('Raw Extract'!$A$4:$A$442,Q$5,'Raw Extract'!$B$4:$B$442,$A7)=0,"",SUMIFS('Raw Extract'!$C$4:$C$442,'Raw Extract'!$A$4:$A$442,Q$5,'Raw Extract'!$B$4:$B$442,$A7))</x:f>
        <x:v>36.85</x:v>
      </x:c>
      <x:c r="R7" s="42" t="n">
        <x:f>IF(COUNTIFS('Raw Extract'!$A$4:$A$442,R$5,'Raw Extract'!$B$4:$B$442,$A7)=0,"",SUMIFS('Raw Extract'!$C$4:$C$442,'Raw Extract'!$A$4:$A$442,R$5,'Raw Extract'!$B$4:$B$442,$A7))</x:f>
        <x:v>34.02</x:v>
      </x:c>
      <x:c r="S7" s="37" t="n">
        <x:f>IF(COUNTIFS('Raw Extract'!$A$4:$A$442,S$5,'Raw Extract'!$B$4:$B$442,$A7)=0,"",SUMIFS('Raw Extract'!$C$4:$C$442,'Raw Extract'!$A$4:$A$442,S$5,'Raw Extract'!$B$4:$B$442,$A7))</x:f>
        <x:v>32.6</x:v>
      </x:c>
      <x:c r="T7" s="37" t="n">
        <x:f>IF(COUNTIFS('Raw Extract'!$A$4:$A$442,T$5,'Raw Extract'!$B$4:$B$442,$A7)=0,"",SUMIFS('Raw Extract'!$C$4:$C$442,'Raw Extract'!$A$4:$A$442,T$5,'Raw Extract'!$B$4:$B$442,$A7))</x:f>
        <x:v>31.47</x:v>
      </x:c>
      <x:c r="U7" s="37" t="n">
        <x:f>IF(COUNTIFS('Raw Extract'!$A$4:$A$442,U$5,'Raw Extract'!$B$4:$B$442,$A7)=0,"",SUMIFS('Raw Extract'!$C$4:$C$442,'Raw Extract'!$A$4:$A$442,U$5,'Raw Extract'!$B$4:$B$442,$A7))</x:f>
        <x:v>33.11</x:v>
      </x:c>
      <x:c r="V7" s="37" t="n">
        <x:f>IF(COUNTIFS('Raw Extract'!$A$4:$A$442,V$5,'Raw Extract'!$B$4:$B$442,$A7)=0,"",SUMIFS('Raw Extract'!$C$4:$C$442,'Raw Extract'!$A$4:$A$442,V$5,'Raw Extract'!$B$4:$B$442,$A7))</x:f>
        <x:v>28.54</x:v>
      </x:c>
      <x:c r="W7" s="37" t="n">
        <x:f>IF(COUNTIFS('Raw Extract'!$A$4:$A$442,W$5,'Raw Extract'!$B$4:$B$442,$A7)=0,"",SUMIFS('Raw Extract'!$C$4:$C$442,'Raw Extract'!$A$4:$A$442,W$5,'Raw Extract'!$B$4:$B$442,$A7))</x:f>
        <x:v>29.56</x:v>
      </x:c>
      <x:c r="X7" s="39" t="n">
        <x:f>IF(COUNTIFS('Raw Extract'!$A$4:$A$442,X$5,'Raw Extract'!$B$4:$B$442,$A7)=0,"",SUMIFS('Raw Extract'!$C$4:$C$442,'Raw Extract'!$A$4:$A$442,X$5,'Raw Extract'!$B$4:$B$442,$A7))</x:f>
        <x:v>34.13</x:v>
      </x:c>
    </x:row>
    <x:row r="8" ht="19" customHeight="1">
      <x:c r="A8" s="29" t="str">
        <x:v>AMLOKIND-AT</x:v>
      </x:c>
      <x:c r="B8" s="37" t="n">
        <x:f>IF(COUNTIFS('Raw Extract'!$A$4:$A$442,B$5,'Raw Extract'!$B$4:$B$442,$A8)=0,"",SUMIFS('Raw Extract'!$C$4:$C$442,'Raw Extract'!$A$4:$A$442,B$5,'Raw Extract'!$B$4:$B$442,$A8))</x:f>
        <x:v>21.37</x:v>
      </x:c>
      <x:c r="C8" s="37" t="n">
        <x:f>IF(COUNTIFS('Raw Extract'!$A$4:$A$442,C$5,'Raw Extract'!$B$4:$B$442,$A8)=0,"",SUMIFS('Raw Extract'!$C$4:$C$442,'Raw Extract'!$A$4:$A$442,C$5,'Raw Extract'!$B$4:$B$442,$A8))</x:f>
        <x:v>22.47</x:v>
      </x:c>
      <x:c r="D8" s="37" t="n">
        <x:f>IF(COUNTIFS('Raw Extract'!$A$4:$A$442,D$5,'Raw Extract'!$B$4:$B$442,$A8)=0,"",SUMIFS('Raw Extract'!$C$4:$C$442,'Raw Extract'!$A$4:$A$442,D$5,'Raw Extract'!$B$4:$B$442,$A8))</x:f>
        <x:v>22.67</x:v>
      </x:c>
      <x:c r="E8" s="37" t="n">
        <x:f>IF(COUNTIFS('Raw Extract'!$A$4:$A$442,E$5,'Raw Extract'!$B$4:$B$442,$A8)=0,"",SUMIFS('Raw Extract'!$C$4:$C$442,'Raw Extract'!$A$4:$A$442,E$5,'Raw Extract'!$B$4:$B$442,$A8))</x:f>
        <x:v>23</x:v>
      </x:c>
      <x:c r="F8" s="42" t="n">
        <x:f>IF(COUNTIFS('Raw Extract'!$A$4:$A$442,F$5,'Raw Extract'!$B$4:$B$442,$A8)=0,"",SUMIFS('Raw Extract'!$C$4:$C$442,'Raw Extract'!$A$4:$A$442,F$5,'Raw Extract'!$B$4:$B$442,$A8))</x:f>
        <x:v>24.03</x:v>
      </x:c>
      <x:c r="G8" s="37" t="n">
        <x:f>IF(COUNTIFS('Raw Extract'!$A$4:$A$442,G$5,'Raw Extract'!$B$4:$B$442,$A8)=0,"",SUMIFS('Raw Extract'!$C$4:$C$442,'Raw Extract'!$A$4:$A$442,G$5,'Raw Extract'!$B$4:$B$442,$A8))</x:f>
        <x:v>24.95</x:v>
      </x:c>
      <x:c r="H8" s="37" t="n">
        <x:f>IF(COUNTIFS('Raw Extract'!$A$4:$A$442,H$5,'Raw Extract'!$B$4:$B$442,$A8)=0,"",SUMIFS('Raw Extract'!$C$4:$C$442,'Raw Extract'!$A$4:$A$442,H$5,'Raw Extract'!$B$4:$B$442,$A8))</x:f>
        <x:v>24.06</x:v>
      </x:c>
      <x:c r="I8" s="37" t="n">
        <x:f>IF(COUNTIFS('Raw Extract'!$A$4:$A$442,I$5,'Raw Extract'!$B$4:$B$442,$A8)=0,"",SUMIFS('Raw Extract'!$C$4:$C$442,'Raw Extract'!$A$4:$A$442,I$5,'Raw Extract'!$B$4:$B$442,$A8))</x:f>
        <x:v>27.46</x:v>
      </x:c>
      <x:c r="J8" s="37" t="n">
        <x:f>IF(COUNTIFS('Raw Extract'!$A$4:$A$442,J$5,'Raw Extract'!$B$4:$B$442,$A8)=0,"",SUMIFS('Raw Extract'!$C$4:$C$442,'Raw Extract'!$A$4:$A$442,J$5,'Raw Extract'!$B$4:$B$442,$A8))</x:f>
        <x:v>24.63</x:v>
      </x:c>
      <x:c r="K8" s="37" t="n">
        <x:f>IF(COUNTIFS('Raw Extract'!$A$4:$A$442,K$5,'Raw Extract'!$B$4:$B$442,$A8)=0,"",SUMIFS('Raw Extract'!$C$4:$C$442,'Raw Extract'!$A$4:$A$442,K$5,'Raw Extract'!$B$4:$B$442,$A8))</x:f>
        <x:v>23.92</x:v>
      </x:c>
      <x:c r="L8" s="37" t="n">
        <x:f>IF(COUNTIFS('Raw Extract'!$A$4:$A$442,L$5,'Raw Extract'!$B$4:$B$442,$A8)=0,"",SUMIFS('Raw Extract'!$C$4:$C$442,'Raw Extract'!$A$4:$A$442,L$5,'Raw Extract'!$B$4:$B$442,$A8))</x:f>
        <x:v>24.33</x:v>
      </x:c>
      <x:c r="M8" s="37" t="n">
        <x:f>IF(COUNTIFS('Raw Extract'!$A$4:$A$442,M$5,'Raw Extract'!$B$4:$B$442,$A8)=0,"",SUMIFS('Raw Extract'!$C$4:$C$442,'Raw Extract'!$A$4:$A$442,M$5,'Raw Extract'!$B$4:$B$442,$A8))</x:f>
        <x:v>23.91</x:v>
      </x:c>
      <x:c r="N8" s="37" t="n">
        <x:f>IF(COUNTIFS('Raw Extract'!$A$4:$A$442,N$5,'Raw Extract'!$B$4:$B$442,$A8)=0,"",SUMIFS('Raw Extract'!$C$4:$C$442,'Raw Extract'!$A$4:$A$442,N$5,'Raw Extract'!$B$4:$B$442,$A8))</x:f>
        <x:v>23.17</x:v>
      </x:c>
      <x:c r="O8" s="37" t="n">
        <x:f>IF(COUNTIFS('Raw Extract'!$A$4:$A$442,O$5,'Raw Extract'!$B$4:$B$442,$A8)=0,"",SUMIFS('Raw Extract'!$C$4:$C$442,'Raw Extract'!$A$4:$A$442,O$5,'Raw Extract'!$B$4:$B$442,$A8))</x:f>
        <x:v>25.41</x:v>
      </x:c>
      <x:c r="P8" s="37" t="n">
        <x:f>IF(COUNTIFS('Raw Extract'!$A$4:$A$442,P$5,'Raw Extract'!$B$4:$B$442,$A8)=0,"",SUMIFS('Raw Extract'!$C$4:$C$442,'Raw Extract'!$A$4:$A$442,P$5,'Raw Extract'!$B$4:$B$442,$A8))</x:f>
        <x:v>24.15</x:v>
      </x:c>
      <x:c r="Q8" s="37" t="n">
        <x:f>IF(COUNTIFS('Raw Extract'!$A$4:$A$442,Q$5,'Raw Extract'!$B$4:$B$442,$A8)=0,"",SUMIFS('Raw Extract'!$C$4:$C$442,'Raw Extract'!$A$4:$A$442,Q$5,'Raw Extract'!$B$4:$B$442,$A8))</x:f>
        <x:v>25.71</x:v>
      </x:c>
      <x:c r="R8" s="42" t="n">
        <x:f>IF(COUNTIFS('Raw Extract'!$A$4:$A$442,R$5,'Raw Extract'!$B$4:$B$442,$A8)=0,"",SUMIFS('Raw Extract'!$C$4:$C$442,'Raw Extract'!$A$4:$A$442,R$5,'Raw Extract'!$B$4:$B$442,$A8))</x:f>
        <x:v>25.75</x:v>
      </x:c>
      <x:c r="S8" s="37" t="n">
        <x:f>IF(COUNTIFS('Raw Extract'!$A$4:$A$442,S$5,'Raw Extract'!$B$4:$B$442,$A8)=0,"",SUMIFS('Raw Extract'!$C$4:$C$442,'Raw Extract'!$A$4:$A$442,S$5,'Raw Extract'!$B$4:$B$442,$A8))</x:f>
        <x:v>25.59</x:v>
      </x:c>
      <x:c r="T8" s="37" t="n">
        <x:f>IF(COUNTIFS('Raw Extract'!$A$4:$A$442,T$5,'Raw Extract'!$B$4:$B$442,$A8)=0,"",SUMIFS('Raw Extract'!$C$4:$C$442,'Raw Extract'!$A$4:$A$442,T$5,'Raw Extract'!$B$4:$B$442,$A8))</x:f>
        <x:v>25.74</x:v>
      </x:c>
      <x:c r="U8" s="37" t="n">
        <x:f>IF(COUNTIFS('Raw Extract'!$A$4:$A$442,U$5,'Raw Extract'!$B$4:$B$442,$A8)=0,"",SUMIFS('Raw Extract'!$C$4:$C$442,'Raw Extract'!$A$4:$A$442,U$5,'Raw Extract'!$B$4:$B$442,$A8))</x:f>
        <x:v>31.42</x:v>
      </x:c>
      <x:c r="V8" s="37" t="n">
        <x:f>IF(COUNTIFS('Raw Extract'!$A$4:$A$442,V$5,'Raw Extract'!$B$4:$B$442,$A8)=0,"",SUMIFS('Raw Extract'!$C$4:$C$442,'Raw Extract'!$A$4:$A$442,V$5,'Raw Extract'!$B$4:$B$442,$A8))</x:f>
        <x:v>28.04</x:v>
      </x:c>
      <x:c r="W8" s="37" t="n">
        <x:f>IF(COUNTIFS('Raw Extract'!$A$4:$A$442,W$5,'Raw Extract'!$B$4:$B$442,$A8)=0,"",SUMIFS('Raw Extract'!$C$4:$C$442,'Raw Extract'!$A$4:$A$442,W$5,'Raw Extract'!$B$4:$B$442,$A8))</x:f>
        <x:v>28.58</x:v>
      </x:c>
      <x:c r="X8" s="39" t="n">
        <x:f>IF(COUNTIFS('Raw Extract'!$A$4:$A$442,X$5,'Raw Extract'!$B$4:$B$442,$A8)=0,"",SUMIFS('Raw Extract'!$C$4:$C$442,'Raw Extract'!$A$4:$A$442,X$5,'Raw Extract'!$B$4:$B$442,$A8))</x:f>
        <x:v>29.06</x:v>
      </x:c>
    </x:row>
    <x:row r="9" ht="19" customHeight="1">
      <x:c r="A9" s="29" t="str">
        <x:v>DYDROBOON</x:v>
      </x:c>
      <x:c r="B9" s="37" t="n">
        <x:f>IF(COUNTIFS('Raw Extract'!$A$4:$A$442,B$5,'Raw Extract'!$B$4:$B$442,$A9)=0,"",SUMIFS('Raw Extract'!$C$4:$C$442,'Raw Extract'!$A$4:$A$442,B$5,'Raw Extract'!$B$4:$B$442,$A9))</x:f>
        <x:v>18.01</x:v>
      </x:c>
      <x:c r="C9" s="37" t="n">
        <x:f>IF(COUNTIFS('Raw Extract'!$A$4:$A$442,C$5,'Raw Extract'!$B$4:$B$442,$A9)=0,"",SUMIFS('Raw Extract'!$C$4:$C$442,'Raw Extract'!$A$4:$A$442,C$5,'Raw Extract'!$B$4:$B$442,$A9))</x:f>
        <x:v>16.76</x:v>
      </x:c>
      <x:c r="D9" s="37" t="n">
        <x:f>IF(COUNTIFS('Raw Extract'!$A$4:$A$442,D$5,'Raw Extract'!$B$4:$B$442,$A9)=0,"",SUMIFS('Raw Extract'!$C$4:$C$442,'Raw Extract'!$A$4:$A$442,D$5,'Raw Extract'!$B$4:$B$442,$A9))</x:f>
        <x:v>16.16</x:v>
      </x:c>
      <x:c r="E9" s="37" t="n">
        <x:f>IF(COUNTIFS('Raw Extract'!$A$4:$A$442,E$5,'Raw Extract'!$B$4:$B$442,$A9)=0,"",SUMIFS('Raw Extract'!$C$4:$C$442,'Raw Extract'!$A$4:$A$442,E$5,'Raw Extract'!$B$4:$B$442,$A9))</x:f>
        <x:v>16.72</x:v>
      </x:c>
      <x:c r="F9" s="42" t="n">
        <x:f>IF(COUNTIFS('Raw Extract'!$A$4:$A$442,F$5,'Raw Extract'!$B$4:$B$442,$A9)=0,"",SUMIFS('Raw Extract'!$C$4:$C$442,'Raw Extract'!$A$4:$A$442,F$5,'Raw Extract'!$B$4:$B$442,$A9))</x:f>
        <x:v>17.31</x:v>
      </x:c>
      <x:c r="G9" s="37" t="n">
        <x:f>IF(COUNTIFS('Raw Extract'!$A$4:$A$442,G$5,'Raw Extract'!$B$4:$B$442,$A9)=0,"",SUMIFS('Raw Extract'!$C$4:$C$442,'Raw Extract'!$A$4:$A$442,G$5,'Raw Extract'!$B$4:$B$442,$A9))</x:f>
        <x:v>16.76</x:v>
      </x:c>
      <x:c r="H9" s="37" t="n">
        <x:f>IF(COUNTIFS('Raw Extract'!$A$4:$A$442,H$5,'Raw Extract'!$B$4:$B$442,$A9)=0,"",SUMIFS('Raw Extract'!$C$4:$C$442,'Raw Extract'!$A$4:$A$442,H$5,'Raw Extract'!$B$4:$B$442,$A9))</x:f>
        <x:v>17.27</x:v>
      </x:c>
      <x:c r="I9" s="37" t="n">
        <x:f>IF(COUNTIFS('Raw Extract'!$A$4:$A$442,I$5,'Raw Extract'!$B$4:$B$442,$A9)=0,"",SUMIFS('Raw Extract'!$C$4:$C$442,'Raw Extract'!$A$4:$A$442,I$5,'Raw Extract'!$B$4:$B$442,$A9))</x:f>
        <x:v>21.7</x:v>
      </x:c>
      <x:c r="J9" s="37" t="n">
        <x:f>IF(COUNTIFS('Raw Extract'!$A$4:$A$442,J$5,'Raw Extract'!$B$4:$B$442,$A9)=0,"",SUMIFS('Raw Extract'!$C$4:$C$442,'Raw Extract'!$A$4:$A$442,J$5,'Raw Extract'!$B$4:$B$442,$A9))</x:f>
        <x:v>19.97</x:v>
      </x:c>
      <x:c r="K9" s="37" t="n">
        <x:f>IF(COUNTIFS('Raw Extract'!$A$4:$A$442,K$5,'Raw Extract'!$B$4:$B$442,$A9)=0,"",SUMIFS('Raw Extract'!$C$4:$C$442,'Raw Extract'!$A$4:$A$442,K$5,'Raw Extract'!$B$4:$B$442,$A9))</x:f>
        <x:v>21.05</x:v>
      </x:c>
      <x:c r="L9" s="37" t="n">
        <x:f>IF(COUNTIFS('Raw Extract'!$A$4:$A$442,L$5,'Raw Extract'!$B$4:$B$442,$A9)=0,"",SUMIFS('Raw Extract'!$C$4:$C$442,'Raw Extract'!$A$4:$A$442,L$5,'Raw Extract'!$B$4:$B$442,$A9))</x:f>
        <x:v>20.73</x:v>
      </x:c>
      <x:c r="M9" s="37" t="n">
        <x:f>IF(COUNTIFS('Raw Extract'!$A$4:$A$442,M$5,'Raw Extract'!$B$4:$B$442,$A9)=0,"",SUMIFS('Raw Extract'!$C$4:$C$442,'Raw Extract'!$A$4:$A$442,M$5,'Raw Extract'!$B$4:$B$442,$A9))</x:f>
        <x:v>20.2</x:v>
      </x:c>
      <x:c r="N9" s="37" t="n">
        <x:f>IF(COUNTIFS('Raw Extract'!$A$4:$A$442,N$5,'Raw Extract'!$B$4:$B$442,$A9)=0,"",SUMIFS('Raw Extract'!$C$4:$C$442,'Raw Extract'!$A$4:$A$442,N$5,'Raw Extract'!$B$4:$B$442,$A9))</x:f>
        <x:v>18.08</x:v>
      </x:c>
      <x:c r="O9" s="37" t="n">
        <x:f>IF(COUNTIFS('Raw Extract'!$A$4:$A$442,O$5,'Raw Extract'!$B$4:$B$442,$A9)=0,"",SUMIFS('Raw Extract'!$C$4:$C$442,'Raw Extract'!$A$4:$A$442,O$5,'Raw Extract'!$B$4:$B$442,$A9))</x:f>
        <x:v>18.84</x:v>
      </x:c>
      <x:c r="P9" s="37" t="n">
        <x:f>IF(COUNTIFS('Raw Extract'!$A$4:$A$442,P$5,'Raw Extract'!$B$4:$B$442,$A9)=0,"",SUMIFS('Raw Extract'!$C$4:$C$442,'Raw Extract'!$A$4:$A$442,P$5,'Raw Extract'!$B$4:$B$442,$A9))</x:f>
        <x:v>18.21</x:v>
      </x:c>
      <x:c r="Q9" s="37" t="n">
        <x:f>IF(COUNTIFS('Raw Extract'!$A$4:$A$442,Q$5,'Raw Extract'!$B$4:$B$442,$A9)=0,"",SUMIFS('Raw Extract'!$C$4:$C$442,'Raw Extract'!$A$4:$A$442,Q$5,'Raw Extract'!$B$4:$B$442,$A9))</x:f>
        <x:v>19.8</x:v>
      </x:c>
      <x:c r="R9" s="42" t="n">
        <x:f>IF(COUNTIFS('Raw Extract'!$A$4:$A$442,R$5,'Raw Extract'!$B$4:$B$442,$A9)=0,"",SUMIFS('Raw Extract'!$C$4:$C$442,'Raw Extract'!$A$4:$A$442,R$5,'Raw Extract'!$B$4:$B$442,$A9))</x:f>
        <x:v>20.37</x:v>
      </x:c>
      <x:c r="S9" s="37" t="n">
        <x:f>IF(COUNTIFS('Raw Extract'!$A$4:$A$442,S$5,'Raw Extract'!$B$4:$B$442,$A9)=0,"",SUMIFS('Raw Extract'!$C$4:$C$442,'Raw Extract'!$A$4:$A$442,S$5,'Raw Extract'!$B$4:$B$442,$A9))</x:f>
        <x:v>20.63</x:v>
      </x:c>
      <x:c r="T9" s="37" t="n">
        <x:f>IF(COUNTIFS('Raw Extract'!$A$4:$A$442,T$5,'Raw Extract'!$B$4:$B$442,$A9)=0,"",SUMIFS('Raw Extract'!$C$4:$C$442,'Raw Extract'!$A$4:$A$442,T$5,'Raw Extract'!$B$4:$B$442,$A9))</x:f>
        <x:v>20.77</x:v>
      </x:c>
      <x:c r="U9" s="37" t="n">
        <x:f>IF(COUNTIFS('Raw Extract'!$A$4:$A$442,U$5,'Raw Extract'!$B$4:$B$442,$A9)=0,"",SUMIFS('Raw Extract'!$C$4:$C$442,'Raw Extract'!$A$4:$A$442,U$5,'Raw Extract'!$B$4:$B$442,$A9))</x:f>
        <x:v>24.98</x:v>
      </x:c>
      <x:c r="V9" s="37" t="n">
        <x:f>IF(COUNTIFS('Raw Extract'!$A$4:$A$442,V$5,'Raw Extract'!$B$4:$B$442,$A9)=0,"",SUMIFS('Raw Extract'!$C$4:$C$442,'Raw Extract'!$A$4:$A$442,V$5,'Raw Extract'!$B$4:$B$442,$A9))</x:f>
        <x:v>22.59</x:v>
      </x:c>
      <x:c r="W9" s="37" t="n">
        <x:f>IF(COUNTIFS('Raw Extract'!$A$4:$A$442,W$5,'Raw Extract'!$B$4:$B$442,$A9)=0,"",SUMIFS('Raw Extract'!$C$4:$C$442,'Raw Extract'!$A$4:$A$442,W$5,'Raw Extract'!$B$4:$B$442,$A9))</x:f>
        <x:v>27.77</x:v>
      </x:c>
      <x:c r="X9" s="39" t="n">
        <x:f>IF(COUNTIFS('Raw Extract'!$A$4:$A$442,X$5,'Raw Extract'!$B$4:$B$442,$A9)=0,"",SUMIFS('Raw Extract'!$C$4:$C$442,'Raw Extract'!$A$4:$A$442,X$5,'Raw Extract'!$B$4:$B$442,$A9))</x:f>
        <x:v>25.12</x:v>
      </x:c>
    </x:row>
    <x:row r="10" ht="19" customHeight="1">
      <x:c r="A10" s="29" t="str">
        <x:v>PREGA NEWS</x:v>
      </x:c>
      <x:c r="B10" s="37" t="n">
        <x:f>IF(COUNTIFS('Raw Extract'!$A$4:$A$442,B$5,'Raw Extract'!$B$4:$B$442,$A10)=0,"",SUMIFS('Raw Extract'!$C$4:$C$442,'Raw Extract'!$A$4:$A$442,B$5,'Raw Extract'!$B$4:$B$442,$A10))</x:f>
        <x:v>17.33</x:v>
      </x:c>
      <x:c r="C10" s="37" t="n">
        <x:f>IF(COUNTIFS('Raw Extract'!$A$4:$A$442,C$5,'Raw Extract'!$B$4:$B$442,$A10)=0,"",SUMIFS('Raw Extract'!$C$4:$C$442,'Raw Extract'!$A$4:$A$442,C$5,'Raw Extract'!$B$4:$B$442,$A10))</x:f>
        <x:v>17.07</x:v>
      </x:c>
      <x:c r="D10" s="37" t="n">
        <x:f>IF(COUNTIFS('Raw Extract'!$A$4:$A$442,D$5,'Raw Extract'!$B$4:$B$442,$A10)=0,"",SUMIFS('Raw Extract'!$C$4:$C$442,'Raw Extract'!$A$4:$A$442,D$5,'Raw Extract'!$B$4:$B$442,$A10))</x:f>
        <x:v>16.88</x:v>
      </x:c>
      <x:c r="E10" s="37" t="n">
        <x:f>IF(COUNTIFS('Raw Extract'!$A$4:$A$442,E$5,'Raw Extract'!$B$4:$B$442,$A10)=0,"",SUMIFS('Raw Extract'!$C$4:$C$442,'Raw Extract'!$A$4:$A$442,E$5,'Raw Extract'!$B$4:$B$442,$A10))</x:f>
        <x:v>18.29</x:v>
      </x:c>
      <x:c r="F10" s="42" t="n">
        <x:f>IF(COUNTIFS('Raw Extract'!$A$4:$A$442,F$5,'Raw Extract'!$B$4:$B$442,$A10)=0,"",SUMIFS('Raw Extract'!$C$4:$C$442,'Raw Extract'!$A$4:$A$442,F$5,'Raw Extract'!$B$4:$B$442,$A10))</x:f>
        <x:v>18.29</x:v>
      </x:c>
      <x:c r="G10" s="37" t="n">
        <x:f>IF(COUNTIFS('Raw Extract'!$A$4:$A$442,G$5,'Raw Extract'!$B$4:$B$442,$A10)=0,"",SUMIFS('Raw Extract'!$C$4:$C$442,'Raw Extract'!$A$4:$A$442,G$5,'Raw Extract'!$B$4:$B$442,$A10))</x:f>
        <x:v>18.54</x:v>
      </x:c>
      <x:c r="H10" s="37" t="n">
        <x:f>IF(COUNTIFS('Raw Extract'!$A$4:$A$442,H$5,'Raw Extract'!$B$4:$B$442,$A10)=0,"",SUMIFS('Raw Extract'!$C$4:$C$442,'Raw Extract'!$A$4:$A$442,H$5,'Raw Extract'!$B$4:$B$442,$A10))</x:f>
        <x:v>21.06</x:v>
      </x:c>
      <x:c r="I10" s="37" t="n">
        <x:f>IF(COUNTIFS('Raw Extract'!$A$4:$A$442,I$5,'Raw Extract'!$B$4:$B$442,$A10)=0,"",SUMIFS('Raw Extract'!$C$4:$C$442,'Raw Extract'!$A$4:$A$442,I$5,'Raw Extract'!$B$4:$B$442,$A10))</x:f>
        <x:v>22.89</x:v>
      </x:c>
      <x:c r="J10" s="37" t="n">
        <x:f>IF(COUNTIFS('Raw Extract'!$A$4:$A$442,J$5,'Raw Extract'!$B$4:$B$442,$A10)=0,"",SUMIFS('Raw Extract'!$C$4:$C$442,'Raw Extract'!$A$4:$A$442,J$5,'Raw Extract'!$B$4:$B$442,$A10))</x:f>
        <x:v>23.78</x:v>
      </x:c>
      <x:c r="K10" s="37" t="n">
        <x:f>IF(COUNTIFS('Raw Extract'!$A$4:$A$442,K$5,'Raw Extract'!$B$4:$B$442,$A10)=0,"",SUMIFS('Raw Extract'!$C$4:$C$442,'Raw Extract'!$A$4:$A$442,K$5,'Raw Extract'!$B$4:$B$442,$A10))</x:f>
        <x:v>23.55</x:v>
      </x:c>
      <x:c r="L10" s="37" t="n">
        <x:f>IF(COUNTIFS('Raw Extract'!$A$4:$A$442,L$5,'Raw Extract'!$B$4:$B$442,$A10)=0,"",SUMIFS('Raw Extract'!$C$4:$C$442,'Raw Extract'!$A$4:$A$442,L$5,'Raw Extract'!$B$4:$B$442,$A10))</x:f>
        <x:v>22.8</x:v>
      </x:c>
      <x:c r="M10" s="37" t="n">
        <x:f>IF(COUNTIFS('Raw Extract'!$A$4:$A$442,M$5,'Raw Extract'!$B$4:$B$442,$A10)=0,"",SUMIFS('Raw Extract'!$C$4:$C$442,'Raw Extract'!$A$4:$A$442,M$5,'Raw Extract'!$B$4:$B$442,$A10))</x:f>
        <x:v>18.4</x:v>
      </x:c>
      <x:c r="N10" s="37" t="n">
        <x:f>IF(COUNTIFS('Raw Extract'!$A$4:$A$442,N$5,'Raw Extract'!$B$4:$B$442,$A10)=0,"",SUMIFS('Raw Extract'!$C$4:$C$442,'Raw Extract'!$A$4:$A$442,N$5,'Raw Extract'!$B$4:$B$442,$A10))</x:f>
        <x:v>16.47</x:v>
      </x:c>
      <x:c r="O10" s="37" t="n">
        <x:f>IF(COUNTIFS('Raw Extract'!$A$4:$A$442,O$5,'Raw Extract'!$B$4:$B$442,$A10)=0,"",SUMIFS('Raw Extract'!$C$4:$C$442,'Raw Extract'!$A$4:$A$442,O$5,'Raw Extract'!$B$4:$B$442,$A10))</x:f>
        <x:v>16.16</x:v>
      </x:c>
      <x:c r="P10" s="37" t="n">
        <x:f>IF(COUNTIFS('Raw Extract'!$A$4:$A$442,P$5,'Raw Extract'!$B$4:$B$442,$A10)=0,"",SUMIFS('Raw Extract'!$C$4:$C$442,'Raw Extract'!$A$4:$A$442,P$5,'Raw Extract'!$B$4:$B$442,$A10))</x:f>
        <x:v>16.53</x:v>
      </x:c>
      <x:c r="Q10" s="37" t="n">
        <x:f>IF(COUNTIFS('Raw Extract'!$A$4:$A$442,Q$5,'Raw Extract'!$B$4:$B$442,$A10)=0,"",SUMIFS('Raw Extract'!$C$4:$C$442,'Raw Extract'!$A$4:$A$442,Q$5,'Raw Extract'!$B$4:$B$442,$A10))</x:f>
        <x:v>20.08</x:v>
      </x:c>
      <x:c r="R10" s="42" t="n">
        <x:f>IF(COUNTIFS('Raw Extract'!$A$4:$A$442,R$5,'Raw Extract'!$B$4:$B$442,$A10)=0,"",SUMIFS('Raw Extract'!$C$4:$C$442,'Raw Extract'!$A$4:$A$442,R$5,'Raw Extract'!$B$4:$B$442,$A10))</x:f>
        <x:v>24.4</x:v>
      </x:c>
      <x:c r="S10" s="37" t="n">
        <x:f>IF(COUNTIFS('Raw Extract'!$A$4:$A$442,S$5,'Raw Extract'!$B$4:$B$442,$A10)=0,"",SUMIFS('Raw Extract'!$C$4:$C$442,'Raw Extract'!$A$4:$A$442,S$5,'Raw Extract'!$B$4:$B$442,$A10))</x:f>
        <x:v>26.2</x:v>
      </x:c>
      <x:c r="T10" s="37" t="n">
        <x:f>IF(COUNTIFS('Raw Extract'!$A$4:$A$442,T$5,'Raw Extract'!$B$4:$B$442,$A10)=0,"",SUMIFS('Raw Extract'!$C$4:$C$442,'Raw Extract'!$A$4:$A$442,T$5,'Raw Extract'!$B$4:$B$442,$A10))</x:f>
        <x:v>23.9</x:v>
      </x:c>
      <x:c r="U10" s="37" t="n">
        <x:f>IF(COUNTIFS('Raw Extract'!$A$4:$A$442,U$5,'Raw Extract'!$B$4:$B$442,$A10)=0,"",SUMIFS('Raw Extract'!$C$4:$C$442,'Raw Extract'!$A$4:$A$442,U$5,'Raw Extract'!$B$4:$B$442,$A10))</x:f>
        <x:v>25.37</x:v>
      </x:c>
      <x:c r="V10" s="37" t="n">
        <x:f>IF(COUNTIFS('Raw Extract'!$A$4:$A$442,V$5,'Raw Extract'!$B$4:$B$442,$A10)=0,"",SUMIFS('Raw Extract'!$C$4:$C$442,'Raw Extract'!$A$4:$A$442,V$5,'Raw Extract'!$B$4:$B$442,$A10))</x:f>
        <x:v>21.66</x:v>
      </x:c>
      <x:c r="W10" s="37" t="n">
        <x:f>IF(COUNTIFS('Raw Extract'!$A$4:$A$442,W$5,'Raw Extract'!$B$4:$B$442,$A10)=0,"",SUMIFS('Raw Extract'!$C$4:$C$442,'Raw Extract'!$A$4:$A$442,W$5,'Raw Extract'!$B$4:$B$442,$A10))</x:f>
        <x:v>21.65</x:v>
      </x:c>
      <x:c r="X10" s="39" t="n">
        <x:f>IF(COUNTIFS('Raw Extract'!$A$4:$A$442,X$5,'Raw Extract'!$B$4:$B$442,$A10)=0,"",SUMIFS('Raw Extract'!$C$4:$C$442,'Raw Extract'!$A$4:$A$442,X$5,'Raw Extract'!$B$4:$B$442,$A10))</x:f>
        <x:v>22.43</x:v>
      </x:c>
    </x:row>
    <x:row r="11" ht="19" customHeight="1">
      <x:c r="A11" s="29" t="str">
        <x:v>TELMIKIND-AM</x:v>
      </x:c>
      <x:c r="B11" s="37" t="n">
        <x:f>IF(COUNTIFS('Raw Extract'!$A$4:$A$442,B$5,'Raw Extract'!$B$4:$B$442,$A11)=0,"",SUMIFS('Raw Extract'!$C$4:$C$442,'Raw Extract'!$A$4:$A$442,B$5,'Raw Extract'!$B$4:$B$442,$A11))</x:f>
        <x:v>13.31</x:v>
      </x:c>
      <x:c r="C11" s="37" t="n">
        <x:f>IF(COUNTIFS('Raw Extract'!$A$4:$A$442,C$5,'Raw Extract'!$B$4:$B$442,$A11)=0,"",SUMIFS('Raw Extract'!$C$4:$C$442,'Raw Extract'!$A$4:$A$442,C$5,'Raw Extract'!$B$4:$B$442,$A11))</x:f>
        <x:v>13.96</x:v>
      </x:c>
      <x:c r="D11" s="37" t="n">
        <x:f>IF(COUNTIFS('Raw Extract'!$A$4:$A$442,D$5,'Raw Extract'!$B$4:$B$442,$A11)=0,"",SUMIFS('Raw Extract'!$C$4:$C$442,'Raw Extract'!$A$4:$A$442,D$5,'Raw Extract'!$B$4:$B$442,$A11))</x:f>
        <x:v>14.12</x:v>
      </x:c>
      <x:c r="E11" s="37" t="n">
        <x:f>IF(COUNTIFS('Raw Extract'!$A$4:$A$442,E$5,'Raw Extract'!$B$4:$B$442,$A11)=0,"",SUMIFS('Raw Extract'!$C$4:$C$442,'Raw Extract'!$A$4:$A$442,E$5,'Raw Extract'!$B$4:$B$442,$A11))</x:f>
        <x:v>15.59</x:v>
      </x:c>
      <x:c r="F11" s="42" t="n">
        <x:f>IF(COUNTIFS('Raw Extract'!$A$4:$A$442,F$5,'Raw Extract'!$B$4:$B$442,$A11)=0,"",SUMIFS('Raw Extract'!$C$4:$C$442,'Raw Extract'!$A$4:$A$442,F$5,'Raw Extract'!$B$4:$B$442,$A11))</x:f>
        <x:v>16.51</x:v>
      </x:c>
      <x:c r="G11" s="37" t="n">
        <x:f>IF(COUNTIFS('Raw Extract'!$A$4:$A$442,G$5,'Raw Extract'!$B$4:$B$442,$A11)=0,"",SUMIFS('Raw Extract'!$C$4:$C$442,'Raw Extract'!$A$4:$A$442,G$5,'Raw Extract'!$B$4:$B$442,$A11))</x:f>
        <x:v>16.04</x:v>
      </x:c>
      <x:c r="H11" s="37" t="n">
        <x:f>IF(COUNTIFS('Raw Extract'!$A$4:$A$442,H$5,'Raw Extract'!$B$4:$B$442,$A11)=0,"",SUMIFS('Raw Extract'!$C$4:$C$442,'Raw Extract'!$A$4:$A$442,H$5,'Raw Extract'!$B$4:$B$442,$A11))</x:f>
        <x:v>15.65</x:v>
      </x:c>
      <x:c r="I11" s="37" t="n">
        <x:f>IF(COUNTIFS('Raw Extract'!$A$4:$A$442,I$5,'Raw Extract'!$B$4:$B$442,$A11)=0,"",SUMIFS('Raw Extract'!$C$4:$C$442,'Raw Extract'!$A$4:$A$442,I$5,'Raw Extract'!$B$4:$B$442,$A11))</x:f>
        <x:v>17.98</x:v>
      </x:c>
      <x:c r="J11" s="37" t="n">
        <x:f>IF(COUNTIFS('Raw Extract'!$A$4:$A$442,J$5,'Raw Extract'!$B$4:$B$442,$A11)=0,"",SUMIFS('Raw Extract'!$C$4:$C$442,'Raw Extract'!$A$4:$A$442,J$5,'Raw Extract'!$B$4:$B$442,$A11))</x:f>
        <x:v>16.6</x:v>
      </x:c>
      <x:c r="K11" s="37" t="n">
        <x:f>IF(COUNTIFS('Raw Extract'!$A$4:$A$442,K$5,'Raw Extract'!$B$4:$B$442,$A11)=0,"",SUMIFS('Raw Extract'!$C$4:$C$442,'Raw Extract'!$A$4:$A$442,K$5,'Raw Extract'!$B$4:$B$442,$A11))</x:f>
        <x:v>16.18</x:v>
      </x:c>
      <x:c r="L11" s="37" t="n">
        <x:f>IF(COUNTIFS('Raw Extract'!$A$4:$A$442,L$5,'Raw Extract'!$B$4:$B$442,$A11)=0,"",SUMIFS('Raw Extract'!$C$4:$C$442,'Raw Extract'!$A$4:$A$442,L$5,'Raw Extract'!$B$4:$B$442,$A11))</x:f>
        <x:v>16.77</x:v>
      </x:c>
      <x:c r="M11" s="37" t="n">
        <x:f>IF(COUNTIFS('Raw Extract'!$A$4:$A$442,M$5,'Raw Extract'!$B$4:$B$442,$A11)=0,"",SUMIFS('Raw Extract'!$C$4:$C$442,'Raw Extract'!$A$4:$A$442,M$5,'Raw Extract'!$B$4:$B$442,$A11))</x:f>
        <x:v>16.26</x:v>
      </x:c>
      <x:c r="N11" s="37" t="n">
        <x:f>IF(COUNTIFS('Raw Extract'!$A$4:$A$442,N$5,'Raw Extract'!$B$4:$B$442,$A11)=0,"",SUMIFS('Raw Extract'!$C$4:$C$442,'Raw Extract'!$A$4:$A$442,N$5,'Raw Extract'!$B$4:$B$442,$A11))</x:f>
        <x:v>16.07</x:v>
      </x:c>
      <x:c r="O11" s="37" t="n">
        <x:f>IF(COUNTIFS('Raw Extract'!$A$4:$A$442,O$5,'Raw Extract'!$B$4:$B$442,$A11)=0,"",SUMIFS('Raw Extract'!$C$4:$C$442,'Raw Extract'!$A$4:$A$442,O$5,'Raw Extract'!$B$4:$B$442,$A11))</x:f>
        <x:v>17.42</x:v>
      </x:c>
      <x:c r="P11" s="37" t="n">
        <x:f>IF(COUNTIFS('Raw Extract'!$A$4:$A$442,P$5,'Raw Extract'!$B$4:$B$442,$A11)=0,"",SUMIFS('Raw Extract'!$C$4:$C$442,'Raw Extract'!$A$4:$A$442,P$5,'Raw Extract'!$B$4:$B$442,$A11))</x:f>
        <x:v>17.98</x:v>
      </x:c>
      <x:c r="Q11" s="37" t="n">
        <x:f>IF(COUNTIFS('Raw Extract'!$A$4:$A$442,Q$5,'Raw Extract'!$B$4:$B$442,$A11)=0,"",SUMIFS('Raw Extract'!$C$4:$C$442,'Raw Extract'!$A$4:$A$442,Q$5,'Raw Extract'!$B$4:$B$442,$A11))</x:f>
        <x:v>19.37</x:v>
      </x:c>
      <x:c r="R11" s="42" t="n">
        <x:f>IF(COUNTIFS('Raw Extract'!$A$4:$A$442,R$5,'Raw Extract'!$B$4:$B$442,$A11)=0,"",SUMIFS('Raw Extract'!$C$4:$C$442,'Raw Extract'!$A$4:$A$442,R$5,'Raw Extract'!$B$4:$B$442,$A11))</x:f>
        <x:v>19.58</x:v>
      </x:c>
      <x:c r="S11" s="37" t="n">
        <x:f>IF(COUNTIFS('Raw Extract'!$A$4:$A$442,S$5,'Raw Extract'!$B$4:$B$442,$A11)=0,"",SUMIFS('Raw Extract'!$C$4:$C$442,'Raw Extract'!$A$4:$A$442,S$5,'Raw Extract'!$B$4:$B$442,$A11))</x:f>
        <x:v>18.53</x:v>
      </x:c>
      <x:c r="T11" s="37" t="n">
        <x:f>IF(COUNTIFS('Raw Extract'!$A$4:$A$442,T$5,'Raw Extract'!$B$4:$B$442,$A11)=0,"",SUMIFS('Raw Extract'!$C$4:$C$442,'Raw Extract'!$A$4:$A$442,T$5,'Raw Extract'!$B$4:$B$442,$A11))</x:f>
        <x:v>18.93</x:v>
      </x:c>
      <x:c r="U11" s="37" t="n">
        <x:f>IF(COUNTIFS('Raw Extract'!$A$4:$A$442,U$5,'Raw Extract'!$B$4:$B$442,$A11)=0,"",SUMIFS('Raw Extract'!$C$4:$C$442,'Raw Extract'!$A$4:$A$442,U$5,'Raw Extract'!$B$4:$B$442,$A11))</x:f>
        <x:v>21.64</x:v>
      </x:c>
      <x:c r="V11" s="37" t="n">
        <x:f>IF(COUNTIFS('Raw Extract'!$A$4:$A$442,V$5,'Raw Extract'!$B$4:$B$442,$A11)=0,"",SUMIFS('Raw Extract'!$C$4:$C$442,'Raw Extract'!$A$4:$A$442,V$5,'Raw Extract'!$B$4:$B$442,$A11))</x:f>
        <x:v>20.1</x:v>
      </x:c>
      <x:c r="W11" s="37" t="n">
        <x:f>IF(COUNTIFS('Raw Extract'!$A$4:$A$442,W$5,'Raw Extract'!$B$4:$B$442,$A11)=0,"",SUMIFS('Raw Extract'!$C$4:$C$442,'Raw Extract'!$A$4:$A$442,W$5,'Raw Extract'!$B$4:$B$442,$A11))</x:f>
        <x:v>20.43</x:v>
      </x:c>
      <x:c r="X11" s="39" t="n">
        <x:f>IF(COUNTIFS('Raw Extract'!$A$4:$A$442,X$5,'Raw Extract'!$B$4:$B$442,$A11)=0,"",SUMIFS('Raw Extract'!$C$4:$C$442,'Raw Extract'!$A$4:$A$442,X$5,'Raw Extract'!$B$4:$B$442,$A11))</x:f>
        <x:v>20.34</x:v>
      </x:c>
    </x:row>
    <x:row r="12" ht="19" customHeight="1">
      <x:c r="A12" s="29" t="str">
        <x:v>NUROKIND-GOLD</x:v>
      </x:c>
      <x:c r="B12" s="37" t="n">
        <x:f>IF(COUNTIFS('Raw Extract'!$A$4:$A$442,B$5,'Raw Extract'!$B$4:$B$442,$A12)=0,"",SUMIFS('Raw Extract'!$C$4:$C$442,'Raw Extract'!$A$4:$A$442,B$5,'Raw Extract'!$B$4:$B$442,$A12))</x:f>
        <x:v>16</x:v>
      </x:c>
      <x:c r="C12" s="37" t="n">
        <x:f>IF(COUNTIFS('Raw Extract'!$A$4:$A$442,C$5,'Raw Extract'!$B$4:$B$442,$A12)=0,"",SUMIFS('Raw Extract'!$C$4:$C$442,'Raw Extract'!$A$4:$A$442,C$5,'Raw Extract'!$B$4:$B$442,$A12))</x:f>
        <x:v>15.01</x:v>
      </x:c>
      <x:c r="D12" s="37" t="n">
        <x:f>IF(COUNTIFS('Raw Extract'!$A$4:$A$442,D$5,'Raw Extract'!$B$4:$B$442,$A12)=0,"",SUMIFS('Raw Extract'!$C$4:$C$442,'Raw Extract'!$A$4:$A$442,D$5,'Raw Extract'!$B$4:$B$442,$A12))</x:f>
        <x:v>14.75</x:v>
      </x:c>
      <x:c r="E12" s="37" t="n">
        <x:f>IF(COUNTIFS('Raw Extract'!$A$4:$A$442,E$5,'Raw Extract'!$B$4:$B$442,$A12)=0,"",SUMIFS('Raw Extract'!$C$4:$C$442,'Raw Extract'!$A$4:$A$442,E$5,'Raw Extract'!$B$4:$B$442,$A12))</x:f>
        <x:v>11.36</x:v>
      </x:c>
      <x:c r="F12" s="42" t="n">
        <x:f>IF(COUNTIFS('Raw Extract'!$A$4:$A$442,F$5,'Raw Extract'!$B$4:$B$442,$A12)=0,"",SUMIFS('Raw Extract'!$C$4:$C$442,'Raw Extract'!$A$4:$A$442,F$5,'Raw Extract'!$B$4:$B$442,$A12))</x:f>
        <x:v>11.04</x:v>
      </x:c>
      <x:c r="G12" s="37" t="n">
        <x:f>IF(COUNTIFS('Raw Extract'!$A$4:$A$442,G$5,'Raw Extract'!$B$4:$B$442,$A12)=0,"",SUMIFS('Raw Extract'!$C$4:$C$442,'Raw Extract'!$A$4:$A$442,G$5,'Raw Extract'!$B$4:$B$442,$A12))</x:f>
        <x:v>13.08</x:v>
      </x:c>
      <x:c r="H12" s="37" t="n">
        <x:f>IF(COUNTIFS('Raw Extract'!$A$4:$A$442,H$5,'Raw Extract'!$B$4:$B$442,$A12)=0,"",SUMIFS('Raw Extract'!$C$4:$C$442,'Raw Extract'!$A$4:$A$442,H$5,'Raw Extract'!$B$4:$B$442,$A12))</x:f>
        <x:v>14.3</x:v>
      </x:c>
      <x:c r="I12" s="37" t="n">
        <x:f>IF(COUNTIFS('Raw Extract'!$A$4:$A$442,I$5,'Raw Extract'!$B$4:$B$442,$A12)=0,"",SUMIFS('Raw Extract'!$C$4:$C$442,'Raw Extract'!$A$4:$A$442,I$5,'Raw Extract'!$B$4:$B$442,$A12))</x:f>
        <x:v>18.43</x:v>
      </x:c>
      <x:c r="J12" s="37" t="n">
        <x:f>IF(COUNTIFS('Raw Extract'!$A$4:$A$442,J$5,'Raw Extract'!$B$4:$B$442,$A12)=0,"",SUMIFS('Raw Extract'!$C$4:$C$442,'Raw Extract'!$A$4:$A$442,J$5,'Raw Extract'!$B$4:$B$442,$A12))</x:f>
        <x:v>18.24</x:v>
      </x:c>
      <x:c r="K12" s="37" t="n">
        <x:f>IF(COUNTIFS('Raw Extract'!$A$4:$A$442,K$5,'Raw Extract'!$B$4:$B$442,$A12)=0,"",SUMIFS('Raw Extract'!$C$4:$C$442,'Raw Extract'!$A$4:$A$442,K$5,'Raw Extract'!$B$4:$B$442,$A12))</x:f>
        <x:v>17.39</x:v>
      </x:c>
      <x:c r="L12" s="37" t="n">
        <x:f>IF(COUNTIFS('Raw Extract'!$A$4:$A$442,L$5,'Raw Extract'!$B$4:$B$442,$A12)=0,"",SUMIFS('Raw Extract'!$C$4:$C$442,'Raw Extract'!$A$4:$A$442,L$5,'Raw Extract'!$B$4:$B$442,$A12))</x:f>
        <x:v>16.91</x:v>
      </x:c>
      <x:c r="M12" s="37" t="n">
        <x:f>IF(COUNTIFS('Raw Extract'!$A$4:$A$442,M$5,'Raw Extract'!$B$4:$B$442,$A12)=0,"",SUMIFS('Raw Extract'!$C$4:$C$442,'Raw Extract'!$A$4:$A$442,M$5,'Raw Extract'!$B$4:$B$442,$A12))</x:f>
        <x:v>17.44</x:v>
      </x:c>
      <x:c r="N12" s="37" t="n">
        <x:f>IF(COUNTIFS('Raw Extract'!$A$4:$A$442,N$5,'Raw Extract'!$B$4:$B$442,$A12)=0,"",SUMIFS('Raw Extract'!$C$4:$C$442,'Raw Extract'!$A$4:$A$442,N$5,'Raw Extract'!$B$4:$B$442,$A12))</x:f>
        <x:v>16.98</x:v>
      </x:c>
      <x:c r="O12" s="37" t="n">
        <x:f>IF(COUNTIFS('Raw Extract'!$A$4:$A$442,O$5,'Raw Extract'!$B$4:$B$442,$A12)=0,"",SUMIFS('Raw Extract'!$C$4:$C$442,'Raw Extract'!$A$4:$A$442,O$5,'Raw Extract'!$B$4:$B$442,$A12))</x:f>
        <x:v>16.19</x:v>
      </x:c>
      <x:c r="P12" s="37" t="n">
        <x:f>IF(COUNTIFS('Raw Extract'!$A$4:$A$442,P$5,'Raw Extract'!$B$4:$B$442,$A12)=0,"",SUMIFS('Raw Extract'!$C$4:$C$442,'Raw Extract'!$A$4:$A$442,P$5,'Raw Extract'!$B$4:$B$442,$A12))</x:f>
        <x:v>13.81</x:v>
      </x:c>
      <x:c r="Q12" s="37" t="n">
        <x:f>IF(COUNTIFS('Raw Extract'!$A$4:$A$442,Q$5,'Raw Extract'!$B$4:$B$442,$A12)=0,"",SUMIFS('Raw Extract'!$C$4:$C$442,'Raw Extract'!$A$4:$A$442,Q$5,'Raw Extract'!$B$4:$B$442,$A12))</x:f>
        <x:v>12.01</x:v>
      </x:c>
      <x:c r="R12" s="42" t="n">
        <x:f>IF(COUNTIFS('Raw Extract'!$A$4:$A$442,R$5,'Raw Extract'!$B$4:$B$442,$A12)=0,"",SUMIFS('Raw Extract'!$C$4:$C$442,'Raw Extract'!$A$4:$A$442,R$5,'Raw Extract'!$B$4:$B$442,$A12))</x:f>
        <x:v>12.15</x:v>
      </x:c>
      <x:c r="S12" s="37" t="n">
        <x:f>IF(COUNTIFS('Raw Extract'!$A$4:$A$442,S$5,'Raw Extract'!$B$4:$B$442,$A12)=0,"",SUMIFS('Raw Extract'!$C$4:$C$442,'Raw Extract'!$A$4:$A$442,S$5,'Raw Extract'!$B$4:$B$442,$A12))</x:f>
        <x:v>13.29</x:v>
      </x:c>
      <x:c r="T12" s="37" t="n">
        <x:f>IF(COUNTIFS('Raw Extract'!$A$4:$A$442,T$5,'Raw Extract'!$B$4:$B$442,$A12)=0,"",SUMIFS('Raw Extract'!$C$4:$C$442,'Raw Extract'!$A$4:$A$442,T$5,'Raw Extract'!$B$4:$B$442,$A12))</x:f>
        <x:v>14.97</x:v>
      </x:c>
      <x:c r="U12" s="37" t="n">
        <x:f>IF(COUNTIFS('Raw Extract'!$A$4:$A$442,U$5,'Raw Extract'!$B$4:$B$442,$A12)=0,"",SUMIFS('Raw Extract'!$C$4:$C$442,'Raw Extract'!$A$4:$A$442,U$5,'Raw Extract'!$B$4:$B$442,$A12))</x:f>
        <x:v>21.35</x:v>
      </x:c>
      <x:c r="V12" s="37" t="n">
        <x:f>IF(COUNTIFS('Raw Extract'!$A$4:$A$442,V$5,'Raw Extract'!$B$4:$B$442,$A12)=0,"",SUMIFS('Raw Extract'!$C$4:$C$442,'Raw Extract'!$A$4:$A$442,V$5,'Raw Extract'!$B$4:$B$442,$A12))</x:f>
        <x:v>21.03</x:v>
      </x:c>
      <x:c r="W12" s="37" t="n">
        <x:f>IF(COUNTIFS('Raw Extract'!$A$4:$A$442,W$5,'Raw Extract'!$B$4:$B$442,$A12)=0,"",SUMIFS('Raw Extract'!$C$4:$C$442,'Raw Extract'!$A$4:$A$442,W$5,'Raw Extract'!$B$4:$B$442,$A12))</x:f>
        <x:v>20.27</x:v>
      </x:c>
      <x:c r="X12" s="39" t="n">
        <x:f>IF(COUNTIFS('Raw Extract'!$A$4:$A$442,X$5,'Raw Extract'!$B$4:$B$442,$A12)=0,"",SUMIFS('Raw Extract'!$C$4:$C$442,'Raw Extract'!$A$4:$A$442,X$5,'Raw Extract'!$B$4:$B$442,$A12))</x:f>
        <x:v>20.34</x:v>
      </x:c>
    </x:row>
    <x:row r="13" ht="19" customHeight="1">
      <x:c r="A13" s="29" t="str">
        <x:v>CANDIFORCE</x:v>
      </x:c>
      <x:c r="B13" s="37" t="n">
        <x:f>IF(COUNTIFS('Raw Extract'!$A$4:$A$442,B$5,'Raw Extract'!$B$4:$B$442,$A13)=0,"",SUMIFS('Raw Extract'!$C$4:$C$442,'Raw Extract'!$A$4:$A$442,B$5,'Raw Extract'!$B$4:$B$442,$A13))</x:f>
        <x:v>19.76</x:v>
      </x:c>
      <x:c r="C13" s="37" t="n">
        <x:f>IF(COUNTIFS('Raw Extract'!$A$4:$A$442,C$5,'Raw Extract'!$B$4:$B$442,$A13)=0,"",SUMIFS('Raw Extract'!$C$4:$C$442,'Raw Extract'!$A$4:$A$442,C$5,'Raw Extract'!$B$4:$B$442,$A13))</x:f>
        <x:v>19.67</x:v>
      </x:c>
      <x:c r="D13" s="37" t="n">
        <x:f>IF(COUNTIFS('Raw Extract'!$A$4:$A$442,D$5,'Raw Extract'!$B$4:$B$442,$A13)=0,"",SUMIFS('Raw Extract'!$C$4:$C$442,'Raw Extract'!$A$4:$A$442,D$5,'Raw Extract'!$B$4:$B$442,$A13))</x:f>
        <x:v>18.34</x:v>
      </x:c>
      <x:c r="E13" s="37" t="n">
        <x:f>IF(COUNTIFS('Raw Extract'!$A$4:$A$442,E$5,'Raw Extract'!$B$4:$B$442,$A13)=0,"",SUMIFS('Raw Extract'!$C$4:$C$442,'Raw Extract'!$A$4:$A$442,E$5,'Raw Extract'!$B$4:$B$442,$A13))</x:f>
        <x:v>15.7</x:v>
      </x:c>
      <x:c r="F13" s="42" t="n">
        <x:f>IF(COUNTIFS('Raw Extract'!$A$4:$A$442,F$5,'Raw Extract'!$B$4:$B$442,$A13)=0,"",SUMIFS('Raw Extract'!$C$4:$C$442,'Raw Extract'!$A$4:$A$442,F$5,'Raw Extract'!$B$4:$B$442,$A13))</x:f>
        <x:v>15.05</x:v>
      </x:c>
      <x:c r="G13" s="37" t="n">
        <x:f>IF(COUNTIFS('Raw Extract'!$A$4:$A$442,G$5,'Raw Extract'!$B$4:$B$442,$A13)=0,"",SUMIFS('Raw Extract'!$C$4:$C$442,'Raw Extract'!$A$4:$A$442,G$5,'Raw Extract'!$B$4:$B$442,$A13))</x:f>
        <x:v>13.79</x:v>
      </x:c>
      <x:c r="H13" s="37" t="n">
        <x:f>IF(COUNTIFS('Raw Extract'!$A$4:$A$442,H$5,'Raw Extract'!$B$4:$B$442,$A13)=0,"",SUMIFS('Raw Extract'!$C$4:$C$442,'Raw Extract'!$A$4:$A$442,H$5,'Raw Extract'!$B$4:$B$442,$A13))</x:f>
        <x:v>13.73</x:v>
      </x:c>
      <x:c r="I13" s="37" t="n">
        <x:f>IF(COUNTIFS('Raw Extract'!$A$4:$A$442,I$5,'Raw Extract'!$B$4:$B$442,$A13)=0,"",SUMIFS('Raw Extract'!$C$4:$C$442,'Raw Extract'!$A$4:$A$442,I$5,'Raw Extract'!$B$4:$B$442,$A13))</x:f>
        <x:v>16</x:v>
      </x:c>
      <x:c r="J13" s="37" t="n">
        <x:f>IF(COUNTIFS('Raw Extract'!$A$4:$A$442,J$5,'Raw Extract'!$B$4:$B$442,$A13)=0,"",SUMIFS('Raw Extract'!$C$4:$C$442,'Raw Extract'!$A$4:$A$442,J$5,'Raw Extract'!$B$4:$B$442,$A13))</x:f>
        <x:v>15.49</x:v>
      </x:c>
      <x:c r="K13" s="37" t="n">
        <x:f>IF(COUNTIFS('Raw Extract'!$A$4:$A$442,K$5,'Raw Extract'!$B$4:$B$442,$A13)=0,"",SUMIFS('Raw Extract'!$C$4:$C$442,'Raw Extract'!$A$4:$A$442,K$5,'Raw Extract'!$B$4:$B$442,$A13))</x:f>
        <x:v>16.2</x:v>
      </x:c>
      <x:c r="L13" s="37" t="n">
        <x:f>IF(COUNTIFS('Raw Extract'!$A$4:$A$442,L$5,'Raw Extract'!$B$4:$B$442,$A13)=0,"",SUMIFS('Raw Extract'!$C$4:$C$442,'Raw Extract'!$A$4:$A$442,L$5,'Raw Extract'!$B$4:$B$442,$A13))</x:f>
        <x:v>18.99</x:v>
      </x:c>
      <x:c r="M13" s="37" t="n">
        <x:f>IF(COUNTIFS('Raw Extract'!$A$4:$A$442,M$5,'Raw Extract'!$B$4:$B$442,$A13)=0,"",SUMIFS('Raw Extract'!$C$4:$C$442,'Raw Extract'!$A$4:$A$442,M$5,'Raw Extract'!$B$4:$B$442,$A13))</x:f>
        <x:v>19.37</x:v>
      </x:c>
      <x:c r="N13" s="37" t="n">
        <x:f>IF(COUNTIFS('Raw Extract'!$A$4:$A$442,N$5,'Raw Extract'!$B$4:$B$442,$A13)=0,"",SUMIFS('Raw Extract'!$C$4:$C$442,'Raw Extract'!$A$4:$A$442,N$5,'Raw Extract'!$B$4:$B$442,$A13))</x:f>
        <x:v>19.36</x:v>
      </x:c>
      <x:c r="O13" s="37" t="n">
        <x:f>IF(COUNTIFS('Raw Extract'!$A$4:$A$442,O$5,'Raw Extract'!$B$4:$B$442,$A13)=0,"",SUMIFS('Raw Extract'!$C$4:$C$442,'Raw Extract'!$A$4:$A$442,O$5,'Raw Extract'!$B$4:$B$442,$A13))</x:f>
        <x:v>20.39</x:v>
      </x:c>
      <x:c r="P13" s="37" t="n">
        <x:f>IF(COUNTIFS('Raw Extract'!$A$4:$A$442,P$5,'Raw Extract'!$B$4:$B$442,$A13)=0,"",SUMIFS('Raw Extract'!$C$4:$C$442,'Raw Extract'!$A$4:$A$442,P$5,'Raw Extract'!$B$4:$B$442,$A13))</x:f>
        <x:v>17.95</x:v>
      </x:c>
      <x:c r="Q13" s="37" t="n">
        <x:f>IF(COUNTIFS('Raw Extract'!$A$4:$A$442,Q$5,'Raw Extract'!$B$4:$B$442,$A13)=0,"",SUMIFS('Raw Extract'!$C$4:$C$442,'Raw Extract'!$A$4:$A$442,Q$5,'Raw Extract'!$B$4:$B$442,$A13))</x:f>
        <x:v>16.02</x:v>
      </x:c>
      <x:c r="R13" s="42" t="n">
        <x:f>IF(COUNTIFS('Raw Extract'!$A$4:$A$442,R$5,'Raw Extract'!$B$4:$B$442,$A13)=0,"",SUMIFS('Raw Extract'!$C$4:$C$442,'Raw Extract'!$A$4:$A$442,R$5,'Raw Extract'!$B$4:$B$442,$A13))</x:f>
        <x:v>14.84</x:v>
      </x:c>
      <x:c r="S13" s="37" t="n">
        <x:f>IF(COUNTIFS('Raw Extract'!$A$4:$A$442,S$5,'Raw Extract'!$B$4:$B$442,$A13)=0,"",SUMIFS('Raw Extract'!$C$4:$C$442,'Raw Extract'!$A$4:$A$442,S$5,'Raw Extract'!$B$4:$B$442,$A13))</x:f>
        <x:v>13.77</x:v>
      </x:c>
      <x:c r="T13" s="37" t="n">
        <x:f>IF(COUNTIFS('Raw Extract'!$A$4:$A$442,T$5,'Raw Extract'!$B$4:$B$442,$A13)=0,"",SUMIFS('Raw Extract'!$C$4:$C$442,'Raw Extract'!$A$4:$A$442,T$5,'Raw Extract'!$B$4:$B$442,$A13))</x:f>
        <x:v>13.98</x:v>
      </x:c>
      <x:c r="U13" s="37" t="n">
        <x:f>IF(COUNTIFS('Raw Extract'!$A$4:$A$442,U$5,'Raw Extract'!$B$4:$B$442,$A13)=0,"",SUMIFS('Raw Extract'!$C$4:$C$442,'Raw Extract'!$A$4:$A$442,U$5,'Raw Extract'!$B$4:$B$442,$A13))</x:f>
        <x:v>17.1</x:v>
      </x:c>
      <x:c r="V13" s="37" t="n">
        <x:f>IF(COUNTIFS('Raw Extract'!$A$4:$A$442,V$5,'Raw Extract'!$B$4:$B$442,$A13)=0,"",SUMIFS('Raw Extract'!$C$4:$C$442,'Raw Extract'!$A$4:$A$442,V$5,'Raw Extract'!$B$4:$B$442,$A13))</x:f>
        <x:v>16.52</x:v>
      </x:c>
      <x:c r="W13" s="37" t="n">
        <x:f>IF(COUNTIFS('Raw Extract'!$A$4:$A$442,W$5,'Raw Extract'!$B$4:$B$442,$A13)=0,"",SUMIFS('Raw Extract'!$C$4:$C$442,'Raw Extract'!$A$4:$A$442,W$5,'Raw Extract'!$B$4:$B$442,$A13))</x:f>
        <x:v>17.48</x:v>
      </x:c>
      <x:c r="X13" s="39" t="n">
        <x:f>IF(COUNTIFS('Raw Extract'!$A$4:$A$442,X$5,'Raw Extract'!$B$4:$B$442,$A13)=0,"",SUMIFS('Raw Extract'!$C$4:$C$442,'Raw Extract'!$A$4:$A$442,X$5,'Raw Extract'!$B$4:$B$442,$A13))</x:f>
        <x:v>20.1</x:v>
      </x:c>
    </x:row>
    <x:row r="14" ht="19" customHeight="1">
      <x:c r="A14" s="29" t="str">
        <x:v>UNWANTED-KIT</x:v>
      </x:c>
      <x:c r="B14" s="37" t="n">
        <x:f>IF(COUNTIFS('Raw Extract'!$A$4:$A$442,B$5,'Raw Extract'!$B$4:$B$442,$A14)=0,"",SUMIFS('Raw Extract'!$C$4:$C$442,'Raw Extract'!$A$4:$A$442,B$5,'Raw Extract'!$B$4:$B$442,$A14))</x:f>
        <x:v>14.72</x:v>
      </x:c>
      <x:c r="C14" s="37" t="n">
        <x:f>IF(COUNTIFS('Raw Extract'!$A$4:$A$442,C$5,'Raw Extract'!$B$4:$B$442,$A14)=0,"",SUMIFS('Raw Extract'!$C$4:$C$442,'Raw Extract'!$A$4:$A$442,C$5,'Raw Extract'!$B$4:$B$442,$A14))</x:f>
        <x:v>15.66</x:v>
      </x:c>
      <x:c r="D14" s="37" t="n">
        <x:f>IF(COUNTIFS('Raw Extract'!$A$4:$A$442,D$5,'Raw Extract'!$B$4:$B$442,$A14)=0,"",SUMIFS('Raw Extract'!$C$4:$C$442,'Raw Extract'!$A$4:$A$442,D$5,'Raw Extract'!$B$4:$B$442,$A14))</x:f>
        <x:v>16.98</x:v>
      </x:c>
      <x:c r="E14" s="37" t="n">
        <x:f>IF(COUNTIFS('Raw Extract'!$A$4:$A$442,E$5,'Raw Extract'!$B$4:$B$442,$A14)=0,"",SUMIFS('Raw Extract'!$C$4:$C$442,'Raw Extract'!$A$4:$A$442,E$5,'Raw Extract'!$B$4:$B$442,$A14))</x:f>
        <x:v>22.26</x:v>
      </x:c>
      <x:c r="F14" s="42" t="n">
        <x:f>IF(COUNTIFS('Raw Extract'!$A$4:$A$442,F$5,'Raw Extract'!$B$4:$B$442,$A14)=0,"",SUMIFS('Raw Extract'!$C$4:$C$442,'Raw Extract'!$A$4:$A$442,F$5,'Raw Extract'!$B$4:$B$442,$A14))</x:f>
        <x:v>24.38</x:v>
      </x:c>
      <x:c r="G14" s="37" t="n">
        <x:f>IF(COUNTIFS('Raw Extract'!$A$4:$A$442,G$5,'Raw Extract'!$B$4:$B$442,$A14)=0,"",SUMIFS('Raw Extract'!$C$4:$C$442,'Raw Extract'!$A$4:$A$442,G$5,'Raw Extract'!$B$4:$B$442,$A14))</x:f>
        <x:v>24.72</x:v>
      </x:c>
      <x:c r="H14" s="37" t="n">
        <x:f>IF(COUNTIFS('Raw Extract'!$A$4:$A$442,H$5,'Raw Extract'!$B$4:$B$442,$A14)=0,"",SUMIFS('Raw Extract'!$C$4:$C$442,'Raw Extract'!$A$4:$A$442,H$5,'Raw Extract'!$B$4:$B$442,$A14))</x:f>
        <x:v>25.92</x:v>
      </x:c>
      <x:c r="I14" s="37" t="n">
        <x:f>IF(COUNTIFS('Raw Extract'!$A$4:$A$442,I$5,'Raw Extract'!$B$4:$B$442,$A14)=0,"",SUMIFS('Raw Extract'!$C$4:$C$442,'Raw Extract'!$A$4:$A$442,I$5,'Raw Extract'!$B$4:$B$442,$A14))</x:f>
        <x:v>25.93</x:v>
      </x:c>
      <x:c r="J14" s="37" t="n">
        <x:f>IF(COUNTIFS('Raw Extract'!$A$4:$A$442,J$5,'Raw Extract'!$B$4:$B$442,$A14)=0,"",SUMIFS('Raw Extract'!$C$4:$C$442,'Raw Extract'!$A$4:$A$442,J$5,'Raw Extract'!$B$4:$B$442,$A14))</x:f>
        <x:v>24.89</x:v>
      </x:c>
      <x:c r="K14" s="37" t="n">
        <x:f>IF(COUNTIFS('Raw Extract'!$A$4:$A$442,K$5,'Raw Extract'!$B$4:$B$442,$A14)=0,"",SUMIFS('Raw Extract'!$C$4:$C$442,'Raw Extract'!$A$4:$A$442,K$5,'Raw Extract'!$B$4:$B$442,$A14))</x:f>
        <x:v>21.87</x:v>
      </x:c>
      <x:c r="L14" s="37" t="n">
        <x:f>IF(COUNTIFS('Raw Extract'!$A$4:$A$442,L$5,'Raw Extract'!$B$4:$B$442,$A14)=0,"",SUMIFS('Raw Extract'!$C$4:$C$442,'Raw Extract'!$A$4:$A$442,L$5,'Raw Extract'!$B$4:$B$442,$A14))</x:f>
        <x:v>20.73</x:v>
      </x:c>
      <x:c r="M14" s="37" t="n">
        <x:f>IF(COUNTIFS('Raw Extract'!$A$4:$A$442,M$5,'Raw Extract'!$B$4:$B$442,$A14)=0,"",SUMIFS('Raw Extract'!$C$4:$C$442,'Raw Extract'!$A$4:$A$442,M$5,'Raw Extract'!$B$4:$B$442,$A14))</x:f>
        <x:v>18.08</x:v>
      </x:c>
      <x:c r="N14" s="37" t="n">
        <x:f>IF(COUNTIFS('Raw Extract'!$A$4:$A$442,N$5,'Raw Extract'!$B$4:$B$442,$A14)=0,"",SUMIFS('Raw Extract'!$C$4:$C$442,'Raw Extract'!$A$4:$A$442,N$5,'Raw Extract'!$B$4:$B$442,$A14))</x:f>
        <x:v>16.21</x:v>
      </x:c>
      <x:c r="O14" s="37" t="n">
        <x:f>IF(COUNTIFS('Raw Extract'!$A$4:$A$442,O$5,'Raw Extract'!$B$4:$B$442,$A14)=0,"",SUMIFS('Raw Extract'!$C$4:$C$442,'Raw Extract'!$A$4:$A$442,O$5,'Raw Extract'!$B$4:$B$442,$A14))</x:f>
        <x:v>17.49</x:v>
      </x:c>
      <x:c r="P14" s="37" t="n">
        <x:f>IF(COUNTIFS('Raw Extract'!$A$4:$A$442,P$5,'Raw Extract'!$B$4:$B$442,$A14)=0,"",SUMIFS('Raw Extract'!$C$4:$C$442,'Raw Extract'!$A$4:$A$442,P$5,'Raw Extract'!$B$4:$B$442,$A14))</x:f>
        <x:v>18.39</x:v>
      </x:c>
      <x:c r="Q14" s="37" t="n">
        <x:f>IF(COUNTIFS('Raw Extract'!$A$4:$A$442,Q$5,'Raw Extract'!$B$4:$B$442,$A14)=0,"",SUMIFS('Raw Extract'!$C$4:$C$442,'Raw Extract'!$A$4:$A$442,Q$5,'Raw Extract'!$B$4:$B$442,$A14))</x:f>
        <x:v>22.5</x:v>
      </x:c>
      <x:c r="R14" s="42" t="n">
        <x:f>IF(COUNTIFS('Raw Extract'!$A$4:$A$442,R$5,'Raw Extract'!$B$4:$B$442,$A14)=0,"",SUMIFS('Raw Extract'!$C$4:$C$442,'Raw Extract'!$A$4:$A$442,R$5,'Raw Extract'!$B$4:$B$442,$A14))</x:f>
        <x:v>23.3</x:v>
      </x:c>
      <x:c r="S14" s="37" t="n">
        <x:f>IF(COUNTIFS('Raw Extract'!$A$4:$A$442,S$5,'Raw Extract'!$B$4:$B$442,$A14)=0,"",SUMIFS('Raw Extract'!$C$4:$C$442,'Raw Extract'!$A$4:$A$442,S$5,'Raw Extract'!$B$4:$B$442,$A14))</x:f>
        <x:v>22.42</x:v>
      </x:c>
      <x:c r="T14" s="37" t="n">
        <x:f>IF(COUNTIFS('Raw Extract'!$A$4:$A$442,T$5,'Raw Extract'!$B$4:$B$442,$A14)=0,"",SUMIFS('Raw Extract'!$C$4:$C$442,'Raw Extract'!$A$4:$A$442,T$5,'Raw Extract'!$B$4:$B$442,$A14))</x:f>
        <x:v>24.33</x:v>
      </x:c>
      <x:c r="U14" s="37" t="n">
        <x:f>IF(COUNTIFS('Raw Extract'!$A$4:$A$442,U$5,'Raw Extract'!$B$4:$B$442,$A14)=0,"",SUMIFS('Raw Extract'!$C$4:$C$442,'Raw Extract'!$A$4:$A$442,U$5,'Raw Extract'!$B$4:$B$442,$A14))</x:f>
        <x:v>26.48</x:v>
      </x:c>
      <x:c r="V14" s="37" t="n">
        <x:f>IF(COUNTIFS('Raw Extract'!$A$4:$A$442,V$5,'Raw Extract'!$B$4:$B$442,$A14)=0,"",SUMIFS('Raw Extract'!$C$4:$C$442,'Raw Extract'!$A$4:$A$442,V$5,'Raw Extract'!$B$4:$B$442,$A14))</x:f>
        <x:v>23.12</x:v>
      </x:c>
      <x:c r="W14" s="37" t="n">
        <x:f>IF(COUNTIFS('Raw Extract'!$A$4:$A$442,W$5,'Raw Extract'!$B$4:$B$442,$A14)=0,"",SUMIFS('Raw Extract'!$C$4:$C$442,'Raw Extract'!$A$4:$A$442,W$5,'Raw Extract'!$B$4:$B$442,$A14))</x:f>
        <x:v>21.32</x:v>
      </x:c>
      <x:c r="X14" s="39" t="n">
        <x:f>IF(COUNTIFS('Raw Extract'!$A$4:$A$442,X$5,'Raw Extract'!$B$4:$B$442,$A14)=0,"",SUMIFS('Raw Extract'!$C$4:$C$442,'Raw Extract'!$A$4:$A$442,X$5,'Raw Extract'!$B$4:$B$442,$A14))</x:f>
        <x:v>19.42</x:v>
      </x:c>
    </x:row>
    <x:row r="15" ht="19" customHeight="1">
      <x:c r="A15" s="29" t="str">
        <x:v>GLIMESTAR-M</x:v>
      </x:c>
      <x:c r="B15" s="37" t="n">
        <x:f>IF(COUNTIFS('Raw Extract'!$A$4:$A$442,B$5,'Raw Extract'!$B$4:$B$442,$A15)=0,"",SUMIFS('Raw Extract'!$C$4:$C$442,'Raw Extract'!$A$4:$A$442,B$5,'Raw Extract'!$B$4:$B$442,$A15))</x:f>
        <x:v>16.04</x:v>
      </x:c>
      <x:c r="C15" s="37" t="n">
        <x:f>IF(COUNTIFS('Raw Extract'!$A$4:$A$442,C$5,'Raw Extract'!$B$4:$B$442,$A15)=0,"",SUMIFS('Raw Extract'!$C$4:$C$442,'Raw Extract'!$A$4:$A$442,C$5,'Raw Extract'!$B$4:$B$442,$A15))</x:f>
        <x:v>16.45</x:v>
      </x:c>
      <x:c r="D15" s="37" t="n">
        <x:f>IF(COUNTIFS('Raw Extract'!$A$4:$A$442,D$5,'Raw Extract'!$B$4:$B$442,$A15)=0,"",SUMIFS('Raw Extract'!$C$4:$C$442,'Raw Extract'!$A$4:$A$442,D$5,'Raw Extract'!$B$4:$B$442,$A15))</x:f>
        <x:v>16.34</x:v>
      </x:c>
      <x:c r="E15" s="37" t="n">
        <x:f>IF(COUNTIFS('Raw Extract'!$A$4:$A$442,E$5,'Raw Extract'!$B$4:$B$442,$A15)=0,"",SUMIFS('Raw Extract'!$C$4:$C$442,'Raw Extract'!$A$4:$A$442,E$5,'Raw Extract'!$B$4:$B$442,$A15))</x:f>
        <x:v>16.5</x:v>
      </x:c>
      <x:c r="F15" s="42" t="n">
        <x:f>IF(COUNTIFS('Raw Extract'!$A$4:$A$442,F$5,'Raw Extract'!$B$4:$B$442,$A15)=0,"",SUMIFS('Raw Extract'!$C$4:$C$442,'Raw Extract'!$A$4:$A$442,F$5,'Raw Extract'!$B$4:$B$442,$A15))</x:f>
        <x:v>16.6</x:v>
      </x:c>
      <x:c r="G15" s="37" t="n">
        <x:f>IF(COUNTIFS('Raw Extract'!$A$4:$A$442,G$5,'Raw Extract'!$B$4:$B$442,$A15)=0,"",SUMIFS('Raw Extract'!$C$4:$C$442,'Raw Extract'!$A$4:$A$442,G$5,'Raw Extract'!$B$4:$B$442,$A15))</x:f>
        <x:v>15.95</x:v>
      </x:c>
      <x:c r="H15" s="37" t="n">
        <x:f>IF(COUNTIFS('Raw Extract'!$A$4:$A$442,H$5,'Raw Extract'!$B$4:$B$442,$A15)=0,"",SUMIFS('Raw Extract'!$C$4:$C$442,'Raw Extract'!$A$4:$A$442,H$5,'Raw Extract'!$B$4:$B$442,$A15))</x:f>
        <x:v>15.85</x:v>
      </x:c>
      <x:c r="I15" s="37" t="n">
        <x:f>IF(COUNTIFS('Raw Extract'!$A$4:$A$442,I$5,'Raw Extract'!$B$4:$B$442,$A15)=0,"",SUMIFS('Raw Extract'!$C$4:$C$442,'Raw Extract'!$A$4:$A$442,I$5,'Raw Extract'!$B$4:$B$442,$A15))</x:f>
        <x:v>18.66</x:v>
      </x:c>
      <x:c r="J15" s="37" t="n">
        <x:f>IF(COUNTIFS('Raw Extract'!$A$4:$A$442,J$5,'Raw Extract'!$B$4:$B$442,$A15)=0,"",SUMIFS('Raw Extract'!$C$4:$C$442,'Raw Extract'!$A$4:$A$442,J$5,'Raw Extract'!$B$4:$B$442,$A15))</x:f>
        <x:v>17.83</x:v>
      </x:c>
      <x:c r="K15" s="37" t="n">
        <x:f>IF(COUNTIFS('Raw Extract'!$A$4:$A$442,K$5,'Raw Extract'!$B$4:$B$442,$A15)=0,"",SUMIFS('Raw Extract'!$C$4:$C$442,'Raw Extract'!$A$4:$A$442,K$5,'Raw Extract'!$B$4:$B$442,$A15))</x:f>
        <x:v>16.97</x:v>
      </x:c>
      <x:c r="L15" s="37" t="n">
        <x:f>IF(COUNTIFS('Raw Extract'!$A$4:$A$442,L$5,'Raw Extract'!$B$4:$B$442,$A15)=0,"",SUMIFS('Raw Extract'!$C$4:$C$442,'Raw Extract'!$A$4:$A$442,L$5,'Raw Extract'!$B$4:$B$442,$A15))</x:f>
        <x:v>17.77</x:v>
      </x:c>
      <x:c r="M15" s="37" t="n">
        <x:f>IF(COUNTIFS('Raw Extract'!$A$4:$A$442,M$5,'Raw Extract'!$B$4:$B$442,$A15)=0,"",SUMIFS('Raw Extract'!$C$4:$C$442,'Raw Extract'!$A$4:$A$442,M$5,'Raw Extract'!$B$4:$B$442,$A15))</x:f>
        <x:v>17.17</x:v>
      </x:c>
      <x:c r="N15" s="37" t="n">
        <x:f>IF(COUNTIFS('Raw Extract'!$A$4:$A$442,N$5,'Raw Extract'!$B$4:$B$442,$A15)=0,"",SUMIFS('Raw Extract'!$C$4:$C$442,'Raw Extract'!$A$4:$A$442,N$5,'Raw Extract'!$B$4:$B$442,$A15))</x:f>
        <x:v>16.22</x:v>
      </x:c>
      <x:c r="O15" s="37" t="n">
        <x:f>IF(COUNTIFS('Raw Extract'!$A$4:$A$442,O$5,'Raw Extract'!$B$4:$B$442,$A15)=0,"",SUMIFS('Raw Extract'!$C$4:$C$442,'Raw Extract'!$A$4:$A$442,O$5,'Raw Extract'!$B$4:$B$442,$A15))</x:f>
        <x:v>18.06</x:v>
      </x:c>
      <x:c r="P15" s="37" t="n">
        <x:f>IF(COUNTIFS('Raw Extract'!$A$4:$A$442,P$5,'Raw Extract'!$B$4:$B$442,$A15)=0,"",SUMIFS('Raw Extract'!$C$4:$C$442,'Raw Extract'!$A$4:$A$442,P$5,'Raw Extract'!$B$4:$B$442,$A15))</x:f>
        <x:v>17.26</x:v>
      </x:c>
      <x:c r="Q15" s="37" t="n">
        <x:f>IF(COUNTIFS('Raw Extract'!$A$4:$A$442,Q$5,'Raw Extract'!$B$4:$B$442,$A15)=0,"",SUMIFS('Raw Extract'!$C$4:$C$442,'Raw Extract'!$A$4:$A$442,Q$5,'Raw Extract'!$B$4:$B$442,$A15))</x:f>
        <x:v>18.42</x:v>
      </x:c>
      <x:c r="R15" s="42" t="n">
        <x:f>IF(COUNTIFS('Raw Extract'!$A$4:$A$442,R$5,'Raw Extract'!$B$4:$B$442,$A15)=0,"",SUMIFS('Raw Extract'!$C$4:$C$442,'Raw Extract'!$A$4:$A$442,R$5,'Raw Extract'!$B$4:$B$442,$A15))</x:f>
        <x:v>16.99</x:v>
      </x:c>
      <x:c r="S15" s="37" t="n">
        <x:f>IF(COUNTIFS('Raw Extract'!$A$4:$A$442,S$5,'Raw Extract'!$B$4:$B$442,$A15)=0,"",SUMIFS('Raw Extract'!$C$4:$C$442,'Raw Extract'!$A$4:$A$442,S$5,'Raw Extract'!$B$4:$B$442,$A15))</x:f>
        <x:v>15.14</x:v>
      </x:c>
      <x:c r="T15" s="37" t="n">
        <x:f>IF(COUNTIFS('Raw Extract'!$A$4:$A$442,T$5,'Raw Extract'!$B$4:$B$442,$A15)=0,"",SUMIFS('Raw Extract'!$C$4:$C$442,'Raw Extract'!$A$4:$A$442,T$5,'Raw Extract'!$B$4:$B$442,$A15))</x:f>
        <x:v>15.23</x:v>
      </x:c>
      <x:c r="U15" s="37" t="n">
        <x:f>IF(COUNTIFS('Raw Extract'!$A$4:$A$442,U$5,'Raw Extract'!$B$4:$B$442,$A15)=0,"",SUMIFS('Raw Extract'!$C$4:$C$442,'Raw Extract'!$A$4:$A$442,U$5,'Raw Extract'!$B$4:$B$442,$A15))</x:f>
        <x:v>17.89</x:v>
      </x:c>
      <x:c r="V15" s="37" t="n">
        <x:f>IF(COUNTIFS('Raw Extract'!$A$4:$A$442,V$5,'Raw Extract'!$B$4:$B$442,$A15)=0,"",SUMIFS('Raw Extract'!$C$4:$C$442,'Raw Extract'!$A$4:$A$442,V$5,'Raw Extract'!$B$4:$B$442,$A15))</x:f>
        <x:v>16.78</x:v>
      </x:c>
      <x:c r="W15" s="37" t="n">
        <x:f>IF(COUNTIFS('Raw Extract'!$A$4:$A$442,W$5,'Raw Extract'!$B$4:$B$442,$A15)=0,"",SUMIFS('Raw Extract'!$C$4:$C$442,'Raw Extract'!$A$4:$A$442,W$5,'Raw Extract'!$B$4:$B$442,$A15))</x:f>
        <x:v>17.38</x:v>
      </x:c>
      <x:c r="X15" s="39" t="n">
        <x:f>IF(COUNTIFS('Raw Extract'!$A$4:$A$442,X$5,'Raw Extract'!$B$4:$B$442,$A15)=0,"",SUMIFS('Raw Extract'!$C$4:$C$442,'Raw Extract'!$A$4:$A$442,X$5,'Raw Extract'!$B$4:$B$442,$A15))</x:f>
        <x:v>18.09</x:v>
      </x:c>
    </x:row>
    <x:row r="16" ht="19" customHeight="1">
      <x:c r="A16" s="29" t="str">
        <x:v>TELMIKIND-H</x:v>
      </x:c>
      <x:c r="B16" s="37" t="n">
        <x:f>IF(COUNTIFS('Raw Extract'!$A$4:$A$442,B$5,'Raw Extract'!$B$4:$B$442,$A16)=0,"",SUMIFS('Raw Extract'!$C$4:$C$442,'Raw Extract'!$A$4:$A$442,B$5,'Raw Extract'!$B$4:$B$442,$A16))</x:f>
        <x:v>13</x:v>
      </x:c>
      <x:c r="C16" s="37" t="n">
        <x:f>IF(COUNTIFS('Raw Extract'!$A$4:$A$442,C$5,'Raw Extract'!$B$4:$B$442,$A16)=0,"",SUMIFS('Raw Extract'!$C$4:$C$442,'Raw Extract'!$A$4:$A$442,C$5,'Raw Extract'!$B$4:$B$442,$A16))</x:f>
        <x:v>13.24</x:v>
      </x:c>
      <x:c r="D16" s="37" t="n">
        <x:f>IF(COUNTIFS('Raw Extract'!$A$4:$A$442,D$5,'Raw Extract'!$B$4:$B$442,$A16)=0,"",SUMIFS('Raw Extract'!$C$4:$C$442,'Raw Extract'!$A$4:$A$442,D$5,'Raw Extract'!$B$4:$B$442,$A16))</x:f>
        <x:v>13.19</x:v>
      </x:c>
      <x:c r="E16" s="37" t="n">
        <x:f>IF(COUNTIFS('Raw Extract'!$A$4:$A$442,E$5,'Raw Extract'!$B$4:$B$442,$A16)=0,"",SUMIFS('Raw Extract'!$C$4:$C$442,'Raw Extract'!$A$4:$A$442,E$5,'Raw Extract'!$B$4:$B$442,$A16))</x:f>
        <x:v>13.29</x:v>
      </x:c>
      <x:c r="F16" s="42" t="n">
        <x:f>IF(COUNTIFS('Raw Extract'!$A$4:$A$442,F$5,'Raw Extract'!$B$4:$B$442,$A16)=0,"",SUMIFS('Raw Extract'!$C$4:$C$442,'Raw Extract'!$A$4:$A$442,F$5,'Raw Extract'!$B$4:$B$442,$A16))</x:f>
        <x:v>13.67</x:v>
      </x:c>
      <x:c r="G16" s="37" t="n">
        <x:f>IF(COUNTIFS('Raw Extract'!$A$4:$A$442,G$5,'Raw Extract'!$B$4:$B$442,$A16)=0,"",SUMIFS('Raw Extract'!$C$4:$C$442,'Raw Extract'!$A$4:$A$442,G$5,'Raw Extract'!$B$4:$B$442,$A16))</x:f>
        <x:v>13.43</x:v>
      </x:c>
      <x:c r="H16" s="37" t="n">
        <x:f>IF(COUNTIFS('Raw Extract'!$A$4:$A$442,H$5,'Raw Extract'!$B$4:$B$442,$A16)=0,"",SUMIFS('Raw Extract'!$C$4:$C$442,'Raw Extract'!$A$4:$A$442,H$5,'Raw Extract'!$B$4:$B$442,$A16))</x:f>
        <x:v>13.12</x:v>
      </x:c>
      <x:c r="I16" s="37" t="n">
        <x:f>IF(COUNTIFS('Raw Extract'!$A$4:$A$442,I$5,'Raw Extract'!$B$4:$B$442,$A16)=0,"",SUMIFS('Raw Extract'!$C$4:$C$442,'Raw Extract'!$A$4:$A$442,I$5,'Raw Extract'!$B$4:$B$442,$A16))</x:f>
        <x:v>15.34</x:v>
      </x:c>
      <x:c r="J16" s="37" t="n">
        <x:f>IF(COUNTIFS('Raw Extract'!$A$4:$A$442,J$5,'Raw Extract'!$B$4:$B$442,$A16)=0,"",SUMIFS('Raw Extract'!$C$4:$C$442,'Raw Extract'!$A$4:$A$442,J$5,'Raw Extract'!$B$4:$B$442,$A16))</x:f>
        <x:v>15.6</x:v>
      </x:c>
      <x:c r="K16" s="37" t="n">
        <x:f>IF(COUNTIFS('Raw Extract'!$A$4:$A$442,K$5,'Raw Extract'!$B$4:$B$442,$A16)=0,"",SUMIFS('Raw Extract'!$C$4:$C$442,'Raw Extract'!$A$4:$A$442,K$5,'Raw Extract'!$B$4:$B$442,$A16))</x:f>
        <x:v>14.7</x:v>
      </x:c>
      <x:c r="L16" s="37" t="n">
        <x:f>IF(COUNTIFS('Raw Extract'!$A$4:$A$442,L$5,'Raw Extract'!$B$4:$B$442,$A16)=0,"",SUMIFS('Raw Extract'!$C$4:$C$442,'Raw Extract'!$A$4:$A$442,L$5,'Raw Extract'!$B$4:$B$442,$A16))</x:f>
        <x:v>15.04</x:v>
      </x:c>
      <x:c r="M16" s="37" t="n">
        <x:f>IF(COUNTIFS('Raw Extract'!$A$4:$A$442,M$5,'Raw Extract'!$B$4:$B$442,$A16)=0,"",SUMIFS('Raw Extract'!$C$4:$C$442,'Raw Extract'!$A$4:$A$442,M$5,'Raw Extract'!$B$4:$B$442,$A16))</x:f>
        <x:v>14.28</x:v>
      </x:c>
      <x:c r="N16" s="37" t="n">
        <x:f>IF(COUNTIFS('Raw Extract'!$A$4:$A$442,N$5,'Raw Extract'!$B$4:$B$442,$A16)=0,"",SUMIFS('Raw Extract'!$C$4:$C$442,'Raw Extract'!$A$4:$A$442,N$5,'Raw Extract'!$B$4:$B$442,$A16))</x:f>
        <x:v>13.84</x:v>
      </x:c>
      <x:c r="O16" s="37" t="n">
        <x:f>IF(COUNTIFS('Raw Extract'!$A$4:$A$442,O$5,'Raw Extract'!$B$4:$B$442,$A16)=0,"",SUMIFS('Raw Extract'!$C$4:$C$442,'Raw Extract'!$A$4:$A$442,O$5,'Raw Extract'!$B$4:$B$442,$A16))</x:f>
        <x:v>15.14</x:v>
      </x:c>
      <x:c r="P16" s="37" t="n">
        <x:f>IF(COUNTIFS('Raw Extract'!$A$4:$A$442,P$5,'Raw Extract'!$B$4:$B$442,$A16)=0,"",SUMIFS('Raw Extract'!$C$4:$C$442,'Raw Extract'!$A$4:$A$442,P$5,'Raw Extract'!$B$4:$B$442,$A16))</x:f>
        <x:v>14.31</x:v>
      </x:c>
      <x:c r="Q16" s="37" t="n">
        <x:f>IF(COUNTIFS('Raw Extract'!$A$4:$A$442,Q$5,'Raw Extract'!$B$4:$B$442,$A16)=0,"",SUMIFS('Raw Extract'!$C$4:$C$442,'Raw Extract'!$A$4:$A$442,Q$5,'Raw Extract'!$B$4:$B$442,$A16))</x:f>
        <x:v>15.24</x:v>
      </x:c>
      <x:c r="R16" s="42" t="n">
        <x:f>IF(COUNTIFS('Raw Extract'!$A$4:$A$442,R$5,'Raw Extract'!$B$4:$B$442,$A16)=0,"",SUMIFS('Raw Extract'!$C$4:$C$442,'Raw Extract'!$A$4:$A$442,R$5,'Raw Extract'!$B$4:$B$442,$A16))</x:f>
        <x:v>14.58</x:v>
      </x:c>
      <x:c r="S16" s="37" t="n">
        <x:f>IF(COUNTIFS('Raw Extract'!$A$4:$A$442,S$5,'Raw Extract'!$B$4:$B$442,$A16)=0,"",SUMIFS('Raw Extract'!$C$4:$C$442,'Raw Extract'!$A$4:$A$442,S$5,'Raw Extract'!$B$4:$B$442,$A16))</x:f>
        <x:v>14.04</x:v>
      </x:c>
      <x:c r="T16" s="37" t="n">
        <x:f>IF(COUNTIFS('Raw Extract'!$A$4:$A$442,T$5,'Raw Extract'!$B$4:$B$442,$A16)=0,"",SUMIFS('Raw Extract'!$C$4:$C$442,'Raw Extract'!$A$4:$A$442,T$5,'Raw Extract'!$B$4:$B$442,$A16))</x:f>
        <x:v>14.07</x:v>
      </x:c>
      <x:c r="U16" s="37" t="n">
        <x:f>IF(COUNTIFS('Raw Extract'!$A$4:$A$442,U$5,'Raw Extract'!$B$4:$B$442,$A16)=0,"",SUMIFS('Raw Extract'!$C$4:$C$442,'Raw Extract'!$A$4:$A$442,U$5,'Raw Extract'!$B$4:$B$442,$A16))</x:f>
        <x:v>17.73</x:v>
      </x:c>
      <x:c r="V16" s="37" t="n">
        <x:f>IF(COUNTIFS('Raw Extract'!$A$4:$A$442,V$5,'Raw Extract'!$B$4:$B$442,$A16)=0,"",SUMIFS('Raw Extract'!$C$4:$C$442,'Raw Extract'!$A$4:$A$442,V$5,'Raw Extract'!$B$4:$B$442,$A16))</x:f>
        <x:v>16.45</x:v>
      </x:c>
      <x:c r="W16" s="37" t="n">
        <x:f>IF(COUNTIFS('Raw Extract'!$A$4:$A$442,W$5,'Raw Extract'!$B$4:$B$442,$A16)=0,"",SUMIFS('Raw Extract'!$C$4:$C$442,'Raw Extract'!$A$4:$A$442,W$5,'Raw Extract'!$B$4:$B$442,$A16))</x:f>
        <x:v>17.17</x:v>
      </x:c>
      <x:c r="X16" s="39" t="n">
        <x:f>IF(COUNTIFS('Raw Extract'!$A$4:$A$442,X$5,'Raw Extract'!$B$4:$B$442,$A16)=0,"",SUMIFS('Raw Extract'!$C$4:$C$442,'Raw Extract'!$A$4:$A$442,X$5,'Raw Extract'!$B$4:$B$442,$A16))</x:f>
        <x:v>17</x:v>
      </x:c>
    </x:row>
    <x:row r="17" ht="19" customHeight="1">
      <x:c r="A17" s="29" t="str">
        <x:v>NUROKIND-LC</x:v>
      </x:c>
      <x:c r="B17" s="37" t="n">
        <x:f>IF(COUNTIFS('Raw Extract'!$A$4:$A$442,B$5,'Raw Extract'!$B$4:$B$442,$A17)=0,"",SUMIFS('Raw Extract'!$C$4:$C$442,'Raw Extract'!$A$4:$A$442,B$5,'Raw Extract'!$B$4:$B$442,$A17))</x:f>
        <x:v>13</x:v>
      </x:c>
      <x:c r="C17" s="37" t="n">
        <x:f>IF(COUNTIFS('Raw Extract'!$A$4:$A$442,C$5,'Raw Extract'!$B$4:$B$442,$A17)=0,"",SUMIFS('Raw Extract'!$C$4:$C$442,'Raw Extract'!$A$4:$A$442,C$5,'Raw Extract'!$B$4:$B$442,$A17))</x:f>
        <x:v>13</x:v>
      </x:c>
      <x:c r="D17" s="37" t="n">
        <x:f>IF(COUNTIFS('Raw Extract'!$A$4:$A$442,D$5,'Raw Extract'!$B$4:$B$442,$A17)=0,"",SUMIFS('Raw Extract'!$C$4:$C$442,'Raw Extract'!$A$4:$A$442,D$5,'Raw Extract'!$B$4:$B$442,$A17))</x:f>
        <x:v>12</x:v>
      </x:c>
      <x:c r="E17" s="37" t="n">
        <x:f>IF(COUNTIFS('Raw Extract'!$A$4:$A$442,E$5,'Raw Extract'!$B$4:$B$442,$A17)=0,"",SUMIFS('Raw Extract'!$C$4:$C$442,'Raw Extract'!$A$4:$A$442,E$5,'Raw Extract'!$B$4:$B$442,$A17))</x:f>
        <x:v>11</x:v>
      </x:c>
      <x:c r="F17" s="42" t="n">
        <x:f>IF(COUNTIFS('Raw Extract'!$A$4:$A$442,F$5,'Raw Extract'!$B$4:$B$442,$A17)=0,"",SUMIFS('Raw Extract'!$C$4:$C$442,'Raw Extract'!$A$4:$A$442,F$5,'Raw Extract'!$B$4:$B$442,$A17))</x:f>
        <x:v>10.21</x:v>
      </x:c>
      <x:c r="G17" s="37" t="n">
        <x:f>IF(COUNTIFS('Raw Extract'!$A$4:$A$442,G$5,'Raw Extract'!$B$4:$B$442,$A17)=0,"",SUMIFS('Raw Extract'!$C$4:$C$442,'Raw Extract'!$A$4:$A$442,G$5,'Raw Extract'!$B$4:$B$442,$A17))</x:f>
        <x:v>10.48</x:v>
      </x:c>
      <x:c r="H17" s="37" t="n">
        <x:f>IF(COUNTIFS('Raw Extract'!$A$4:$A$442,H$5,'Raw Extract'!$B$4:$B$442,$A17)=0,"",SUMIFS('Raw Extract'!$C$4:$C$442,'Raw Extract'!$A$4:$A$442,H$5,'Raw Extract'!$B$4:$B$442,$A17))</x:f>
        <x:v>11</x:v>
      </x:c>
      <x:c r="I17" s="37" t="n">
        <x:f>IF(COUNTIFS('Raw Extract'!$A$4:$A$442,I$5,'Raw Extract'!$B$4:$B$442,$A17)=0,"",SUMIFS('Raw Extract'!$C$4:$C$442,'Raw Extract'!$A$4:$A$442,I$5,'Raw Extract'!$B$4:$B$442,$A17))</x:f>
        <x:v>13</x:v>
      </x:c>
      <x:c r="J17" s="37" t="n">
        <x:f>IF(COUNTIFS('Raw Extract'!$A$4:$A$442,J$5,'Raw Extract'!$B$4:$B$442,$A17)=0,"",SUMIFS('Raw Extract'!$C$4:$C$442,'Raw Extract'!$A$4:$A$442,J$5,'Raw Extract'!$B$4:$B$442,$A17))</x:f>
        <x:v>13</x:v>
      </x:c>
      <x:c r="K17" s="37" t="n">
        <x:f>IF(COUNTIFS('Raw Extract'!$A$4:$A$442,K$5,'Raw Extract'!$B$4:$B$442,$A17)=0,"",SUMIFS('Raw Extract'!$C$4:$C$442,'Raw Extract'!$A$4:$A$442,K$5,'Raw Extract'!$B$4:$B$442,$A17))</x:f>
        <x:v>13</x:v>
      </x:c>
      <x:c r="L17" s="37" t="n">
        <x:f>IF(COUNTIFS('Raw Extract'!$A$4:$A$442,L$5,'Raw Extract'!$B$4:$B$442,$A17)=0,"",SUMIFS('Raw Extract'!$C$4:$C$442,'Raw Extract'!$A$4:$A$442,L$5,'Raw Extract'!$B$4:$B$442,$A17))</x:f>
        <x:v>13</x:v>
      </x:c>
      <x:c r="M17" s="37" t="n">
        <x:f>IF(COUNTIFS('Raw Extract'!$A$4:$A$442,M$5,'Raw Extract'!$B$4:$B$442,$A17)=0,"",SUMIFS('Raw Extract'!$C$4:$C$442,'Raw Extract'!$A$4:$A$442,M$5,'Raw Extract'!$B$4:$B$442,$A17))</x:f>
        <x:v>13</x:v>
      </x:c>
      <x:c r="N17" s="37" t="n">
        <x:f>IF(COUNTIFS('Raw Extract'!$A$4:$A$442,N$5,'Raw Extract'!$B$4:$B$442,$A17)=0,"",SUMIFS('Raw Extract'!$C$4:$C$442,'Raw Extract'!$A$4:$A$442,N$5,'Raw Extract'!$B$4:$B$442,$A17))</x:f>
        <x:v>13</x:v>
      </x:c>
      <x:c r="O17" s="37" t="n">
        <x:f>IF(COUNTIFS('Raw Extract'!$A$4:$A$442,O$5,'Raw Extract'!$B$4:$B$442,$A17)=0,"",SUMIFS('Raw Extract'!$C$4:$C$442,'Raw Extract'!$A$4:$A$442,O$5,'Raw Extract'!$B$4:$B$442,$A17))</x:f>
        <x:v>13</x:v>
      </x:c>
      <x:c r="P17" s="37" t="n">
        <x:f>IF(COUNTIFS('Raw Extract'!$A$4:$A$442,P$5,'Raw Extract'!$B$4:$B$442,$A17)=0,"",SUMIFS('Raw Extract'!$C$4:$C$442,'Raw Extract'!$A$4:$A$442,P$5,'Raw Extract'!$B$4:$B$442,$A17))</x:f>
        <x:v>12</x:v>
      </x:c>
      <x:c r="Q17" s="37" t="n">
        <x:f>IF(COUNTIFS('Raw Extract'!$A$4:$A$442,Q$5,'Raw Extract'!$B$4:$B$442,$A17)=0,"",SUMIFS('Raw Extract'!$C$4:$C$442,'Raw Extract'!$A$4:$A$442,Q$5,'Raw Extract'!$B$4:$B$442,$A17))</x:f>
        <x:v>12</x:v>
      </x:c>
      <x:c r="R17" s="42" t="n">
        <x:f>IF(COUNTIFS('Raw Extract'!$A$4:$A$442,R$5,'Raw Extract'!$B$4:$B$442,$A17)=0,"",SUMIFS('Raw Extract'!$C$4:$C$442,'Raw Extract'!$A$4:$A$442,R$5,'Raw Extract'!$B$4:$B$442,$A17))</x:f>
        <x:v>11</x:v>
      </x:c>
      <x:c r="S17" s="37" t="n">
        <x:f>IF(COUNTIFS('Raw Extract'!$A$4:$A$442,S$5,'Raw Extract'!$B$4:$B$442,$A17)=0,"",SUMIFS('Raw Extract'!$C$4:$C$442,'Raw Extract'!$A$4:$A$442,S$5,'Raw Extract'!$B$4:$B$442,$A17))</x:f>
        <x:v>11</x:v>
      </x:c>
      <x:c r="T17" s="37" t="n">
        <x:f>IF(COUNTIFS('Raw Extract'!$A$4:$A$442,T$5,'Raw Extract'!$B$4:$B$442,$A17)=0,"",SUMIFS('Raw Extract'!$C$4:$C$442,'Raw Extract'!$A$4:$A$442,T$5,'Raw Extract'!$B$4:$B$442,$A17))</x:f>
        <x:v>12</x:v>
      </x:c>
      <x:c r="U17" s="37" t="n">
        <x:f>IF(COUNTIFS('Raw Extract'!$A$4:$A$442,U$5,'Raw Extract'!$B$4:$B$442,$A17)=0,"",SUMIFS('Raw Extract'!$C$4:$C$442,'Raw Extract'!$A$4:$A$442,U$5,'Raw Extract'!$B$4:$B$442,$A17))</x:f>
        <x:v>15</x:v>
      </x:c>
      <x:c r="V17" s="37" t="n">
        <x:f>IF(COUNTIFS('Raw Extract'!$A$4:$A$442,V$5,'Raw Extract'!$B$4:$B$442,$A17)=0,"",SUMIFS('Raw Extract'!$C$4:$C$442,'Raw Extract'!$A$4:$A$442,V$5,'Raw Extract'!$B$4:$B$442,$A17))</x:f>
        <x:v>14</x:v>
      </x:c>
      <x:c r="W17" s="37" t="n">
        <x:f>IF(COUNTIFS('Raw Extract'!$A$4:$A$442,W$5,'Raw Extract'!$B$4:$B$442,$A17)=0,"",SUMIFS('Raw Extract'!$C$4:$C$442,'Raw Extract'!$A$4:$A$442,W$5,'Raw Extract'!$B$4:$B$442,$A17))</x:f>
        <x:v>15</x:v>
      </x:c>
      <x:c r="X17" s="39" t="n">
        <x:f>IF(COUNTIFS('Raw Extract'!$A$4:$A$442,X$5,'Raw Extract'!$B$4:$B$442,$A17)=0,"",SUMIFS('Raw Extract'!$C$4:$C$442,'Raw Extract'!$A$4:$A$442,X$5,'Raw Extract'!$B$4:$B$442,$A17))</x:f>
        <x:v>17</x:v>
      </x:c>
    </x:row>
    <x:row r="18" ht="19" customHeight="1">
      <x:c r="A18" s="29" t="str">
        <x:v>GUDCEF</x:v>
      </x:c>
      <x:c r="B18" s="37" t="n">
        <x:f>IF(COUNTIFS('Raw Extract'!$A$4:$A$442,B$5,'Raw Extract'!$B$4:$B$442,$A18)=0,"",SUMIFS('Raw Extract'!$C$4:$C$442,'Raw Extract'!$A$4:$A$442,B$5,'Raw Extract'!$B$4:$B$442,$A18))</x:f>
        <x:v>22.75</x:v>
      </x:c>
      <x:c r="C18" s="37" t="n">
        <x:f>IF(COUNTIFS('Raw Extract'!$A$4:$A$442,C$5,'Raw Extract'!$B$4:$B$442,$A18)=0,"",SUMIFS('Raw Extract'!$C$4:$C$442,'Raw Extract'!$A$4:$A$442,C$5,'Raw Extract'!$B$4:$B$442,$A18))</x:f>
        <x:v>20.76</x:v>
      </x:c>
      <x:c r="D18" s="37" t="n">
        <x:f>IF(COUNTIFS('Raw Extract'!$A$4:$A$442,D$5,'Raw Extract'!$B$4:$B$442,$A18)=0,"",SUMIFS('Raw Extract'!$C$4:$C$442,'Raw Extract'!$A$4:$A$442,D$5,'Raw Extract'!$B$4:$B$442,$A18))</x:f>
        <x:v>19.06</x:v>
      </x:c>
      <x:c r="E18" s="37" t="n">
        <x:f>IF(COUNTIFS('Raw Extract'!$A$4:$A$442,E$5,'Raw Extract'!$B$4:$B$442,$A18)=0,"",SUMIFS('Raw Extract'!$C$4:$C$442,'Raw Extract'!$A$4:$A$442,E$5,'Raw Extract'!$B$4:$B$442,$A18))</x:f>
        <x:v>14.93</x:v>
      </x:c>
      <x:c r="F18" s="42" t="n">
        <x:f>IF(COUNTIFS('Raw Extract'!$A$4:$A$442,F$5,'Raw Extract'!$B$4:$B$442,$A18)=0,"",SUMIFS('Raw Extract'!$C$4:$C$442,'Raw Extract'!$A$4:$A$442,F$5,'Raw Extract'!$B$4:$B$442,$A18))</x:f>
        <x:v>14.28</x:v>
      </x:c>
      <x:c r="G18" s="37" t="n">
        <x:f>IF(COUNTIFS('Raw Extract'!$A$4:$A$442,G$5,'Raw Extract'!$B$4:$B$442,$A18)=0,"",SUMIFS('Raw Extract'!$C$4:$C$442,'Raw Extract'!$A$4:$A$442,G$5,'Raw Extract'!$B$4:$B$442,$A18))</x:f>
        <x:v>17.21</x:v>
      </x:c>
      <x:c r="H18" s="37" t="n">
        <x:f>IF(COUNTIFS('Raw Extract'!$A$4:$A$442,H$5,'Raw Extract'!$B$4:$B$442,$A18)=0,"",SUMIFS('Raw Extract'!$C$4:$C$442,'Raw Extract'!$A$4:$A$442,H$5,'Raw Extract'!$B$4:$B$442,$A18))</x:f>
        <x:v>16.99</x:v>
      </x:c>
      <x:c r="I18" s="37" t="n">
        <x:f>IF(COUNTIFS('Raw Extract'!$A$4:$A$442,I$5,'Raw Extract'!$B$4:$B$442,$A18)=0,"",SUMIFS('Raw Extract'!$C$4:$C$442,'Raw Extract'!$A$4:$A$442,I$5,'Raw Extract'!$B$4:$B$442,$A18))</x:f>
        <x:v>17.07</x:v>
      </x:c>
      <x:c r="J18" s="37" t="n">
        <x:f>IF(COUNTIFS('Raw Extract'!$A$4:$A$442,J$5,'Raw Extract'!$B$4:$B$442,$A18)=0,"",SUMIFS('Raw Extract'!$C$4:$C$442,'Raw Extract'!$A$4:$A$442,J$5,'Raw Extract'!$B$4:$B$442,$A18))</x:f>
        <x:v>15.45</x:v>
      </x:c>
      <x:c r="K18" s="37" t="n">
        <x:f>IF(COUNTIFS('Raw Extract'!$A$4:$A$442,K$5,'Raw Extract'!$B$4:$B$442,$A18)=0,"",SUMIFS('Raw Extract'!$C$4:$C$442,'Raw Extract'!$A$4:$A$442,K$5,'Raw Extract'!$B$4:$B$442,$A18))</x:f>
        <x:v>14.02</x:v>
      </x:c>
      <x:c r="L18" s="37" t="n">
        <x:f>IF(COUNTIFS('Raw Extract'!$A$4:$A$442,L$5,'Raw Extract'!$B$4:$B$442,$A18)=0,"",SUMIFS('Raw Extract'!$C$4:$C$442,'Raw Extract'!$A$4:$A$442,L$5,'Raw Extract'!$B$4:$B$442,$A18))</x:f>
        <x:v>15.65</x:v>
      </x:c>
      <x:c r="M18" s="37" t="n">
        <x:f>IF(COUNTIFS('Raw Extract'!$A$4:$A$442,M$5,'Raw Extract'!$B$4:$B$442,$A18)=0,"",SUMIFS('Raw Extract'!$C$4:$C$442,'Raw Extract'!$A$4:$A$442,M$5,'Raw Extract'!$B$4:$B$442,$A18))</x:f>
        <x:v>24.05</x:v>
      </x:c>
      <x:c r="N18" s="37" t="n">
        <x:f>IF(COUNTIFS('Raw Extract'!$A$4:$A$442,N$5,'Raw Extract'!$B$4:$B$442,$A18)=0,"",SUMIFS('Raw Extract'!$C$4:$C$442,'Raw Extract'!$A$4:$A$442,N$5,'Raw Extract'!$B$4:$B$442,$A18))</x:f>
        <x:v>22.79</x:v>
      </x:c>
      <x:c r="O18" s="37" t="n">
        <x:f>IF(COUNTIFS('Raw Extract'!$A$4:$A$442,O$5,'Raw Extract'!$B$4:$B$442,$A18)=0,"",SUMIFS('Raw Extract'!$C$4:$C$442,'Raw Extract'!$A$4:$A$442,O$5,'Raw Extract'!$B$4:$B$442,$A18))</x:f>
        <x:v>20.57</x:v>
      </x:c>
      <x:c r="P18" s="37" t="n">
        <x:f>IF(COUNTIFS('Raw Extract'!$A$4:$A$442,P$5,'Raw Extract'!$B$4:$B$442,$A18)=0,"",SUMIFS('Raw Extract'!$C$4:$C$442,'Raw Extract'!$A$4:$A$442,P$5,'Raw Extract'!$B$4:$B$442,$A18))</x:f>
        <x:v>20.13</x:v>
      </x:c>
      <x:c r="Q18" s="37" t="n">
        <x:f>IF(COUNTIFS('Raw Extract'!$A$4:$A$442,Q$5,'Raw Extract'!$B$4:$B$442,$A18)=0,"",SUMIFS('Raw Extract'!$C$4:$C$442,'Raw Extract'!$A$4:$A$442,Q$5,'Raw Extract'!$B$4:$B$442,$A18))</x:f>
        <x:v>16.42</x:v>
      </x:c>
      <x:c r="R18" s="42" t="n">
        <x:f>IF(COUNTIFS('Raw Extract'!$A$4:$A$442,R$5,'Raw Extract'!$B$4:$B$442,$A18)=0,"",SUMIFS('Raw Extract'!$C$4:$C$442,'Raw Extract'!$A$4:$A$442,R$5,'Raw Extract'!$B$4:$B$442,$A18))</x:f>
        <x:v>14.71</x:v>
      </x:c>
      <x:c r="S18" s="37" t="n">
        <x:f>IF(COUNTIFS('Raw Extract'!$A$4:$A$442,S$5,'Raw Extract'!$B$4:$B$442,$A18)=0,"",SUMIFS('Raw Extract'!$C$4:$C$442,'Raw Extract'!$A$4:$A$442,S$5,'Raw Extract'!$B$4:$B$442,$A18))</x:f>
        <x:v>14.84</x:v>
      </x:c>
      <x:c r="T18" s="37" t="n">
        <x:f>IF(COUNTIFS('Raw Extract'!$A$4:$A$442,T$5,'Raw Extract'!$B$4:$B$442,$A18)=0,"",SUMIFS('Raw Extract'!$C$4:$C$442,'Raw Extract'!$A$4:$A$442,T$5,'Raw Extract'!$B$4:$B$442,$A18))</x:f>
        <x:v>15.74</x:v>
      </x:c>
      <x:c r="U18" s="37" t="n">
        <x:f>IF(COUNTIFS('Raw Extract'!$A$4:$A$442,U$5,'Raw Extract'!$B$4:$B$442,$A18)=0,"",SUMIFS('Raw Extract'!$C$4:$C$442,'Raw Extract'!$A$4:$A$442,U$5,'Raw Extract'!$B$4:$B$442,$A18))</x:f>
        <x:v>16.82</x:v>
      </x:c>
      <x:c r="V18" s="37" t="n">
        <x:f>IF(COUNTIFS('Raw Extract'!$A$4:$A$442,V$5,'Raw Extract'!$B$4:$B$442,$A18)=0,"",SUMIFS('Raw Extract'!$C$4:$C$442,'Raw Extract'!$A$4:$A$442,V$5,'Raw Extract'!$B$4:$B$442,$A18))</x:f>
        <x:v>15.09</x:v>
      </x:c>
      <x:c r="W18" s="37" t="n">
        <x:f>IF(COUNTIFS('Raw Extract'!$A$4:$A$442,W$5,'Raw Extract'!$B$4:$B$442,$A18)=0,"",SUMIFS('Raw Extract'!$C$4:$C$442,'Raw Extract'!$A$4:$A$442,W$5,'Raw Extract'!$B$4:$B$442,$A18))</x:f>
        <x:v>13.94</x:v>
      </x:c>
      <x:c r="X18" s="39" t="n">
        <x:f>IF(COUNTIFS('Raw Extract'!$A$4:$A$442,X$5,'Raw Extract'!$B$4:$B$442,$A18)=0,"",SUMIFS('Raw Extract'!$C$4:$C$442,'Raw Extract'!$A$4:$A$442,X$5,'Raw Extract'!$B$4:$B$442,$A18))</x:f>
        <x:v>16.72</x:v>
      </x:c>
    </x:row>
    <x:row r="19" ht="19" customHeight="1">
      <x:c r="A19" s="29" t="str">
        <x:v>TELMIKIND</x:v>
      </x:c>
      <x:c r="B19" s="37" t="n">
        <x:f>IF(COUNTIFS('Raw Extract'!$A$4:$A$442,B$5,'Raw Extract'!$B$4:$B$442,$A19)=0,"",SUMIFS('Raw Extract'!$C$4:$C$442,'Raw Extract'!$A$4:$A$442,B$5,'Raw Extract'!$B$4:$B$442,$A19))</x:f>
        <x:v>12</x:v>
      </x:c>
      <x:c r="C19" s="37" t="n">
        <x:f>IF(COUNTIFS('Raw Extract'!$A$4:$A$442,C$5,'Raw Extract'!$B$4:$B$442,$A19)=0,"",SUMIFS('Raw Extract'!$C$4:$C$442,'Raw Extract'!$A$4:$A$442,C$5,'Raw Extract'!$B$4:$B$442,$A19))</x:f>
        <x:v>12</x:v>
      </x:c>
      <x:c r="D19" s="37" t="n">
        <x:f>IF(COUNTIFS('Raw Extract'!$A$4:$A$442,D$5,'Raw Extract'!$B$4:$B$442,$A19)=0,"",SUMIFS('Raw Extract'!$C$4:$C$442,'Raw Extract'!$A$4:$A$442,D$5,'Raw Extract'!$B$4:$B$442,$A19))</x:f>
        <x:v>12</x:v>
      </x:c>
      <x:c r="E19" s="37" t="n">
        <x:f>IF(COUNTIFS('Raw Extract'!$A$4:$A$442,E$5,'Raw Extract'!$B$4:$B$442,$A19)=0,"",SUMIFS('Raw Extract'!$C$4:$C$442,'Raw Extract'!$A$4:$A$442,E$5,'Raw Extract'!$B$4:$B$442,$A19))</x:f>
        <x:v>12</x:v>
      </x:c>
      <x:c r="F19" s="42" t="n">
        <x:f>IF(COUNTIFS('Raw Extract'!$A$4:$A$442,F$5,'Raw Extract'!$B$4:$B$442,$A19)=0,"",SUMIFS('Raw Extract'!$C$4:$C$442,'Raw Extract'!$A$4:$A$442,F$5,'Raw Extract'!$B$4:$B$442,$A19))</x:f>
        <x:v>13</x:v>
      </x:c>
      <x:c r="G19" s="37" t="n">
        <x:f>IF(COUNTIFS('Raw Extract'!$A$4:$A$442,G$5,'Raw Extract'!$B$4:$B$442,$A19)=0,"",SUMIFS('Raw Extract'!$C$4:$C$442,'Raw Extract'!$A$4:$A$442,G$5,'Raw Extract'!$B$4:$B$442,$A19))</x:f>
        <x:v>12</x:v>
      </x:c>
      <x:c r="H19" s="37" t="n">
        <x:f>IF(COUNTIFS('Raw Extract'!$A$4:$A$442,H$5,'Raw Extract'!$B$4:$B$442,$A19)=0,"",SUMIFS('Raw Extract'!$C$4:$C$442,'Raw Extract'!$A$4:$A$442,H$5,'Raw Extract'!$B$4:$B$442,$A19))</x:f>
        <x:v>12</x:v>
      </x:c>
      <x:c r="I19" s="37" t="n">
        <x:f>IF(COUNTIFS('Raw Extract'!$A$4:$A$442,I$5,'Raw Extract'!$B$4:$B$442,$A19)=0,"",SUMIFS('Raw Extract'!$C$4:$C$442,'Raw Extract'!$A$4:$A$442,I$5,'Raw Extract'!$B$4:$B$442,$A19))</x:f>
        <x:v>14</x:v>
      </x:c>
      <x:c r="J19" s="37" t="n">
        <x:f>IF(COUNTIFS('Raw Extract'!$A$4:$A$442,J$5,'Raw Extract'!$B$4:$B$442,$A19)=0,"",SUMIFS('Raw Extract'!$C$4:$C$442,'Raw Extract'!$A$4:$A$442,J$5,'Raw Extract'!$B$4:$B$442,$A19))</x:f>
        <x:v>13</x:v>
      </x:c>
      <x:c r="K19" s="37" t="n">
        <x:f>IF(COUNTIFS('Raw Extract'!$A$4:$A$442,K$5,'Raw Extract'!$B$4:$B$442,$A19)=0,"",SUMIFS('Raw Extract'!$C$4:$C$442,'Raw Extract'!$A$4:$A$442,K$5,'Raw Extract'!$B$4:$B$442,$A19))</x:f>
        <x:v>13</x:v>
      </x:c>
      <x:c r="L19" s="37" t="n">
        <x:f>IF(COUNTIFS('Raw Extract'!$A$4:$A$442,L$5,'Raw Extract'!$B$4:$B$442,$A19)=0,"",SUMIFS('Raw Extract'!$C$4:$C$442,'Raw Extract'!$A$4:$A$442,L$5,'Raw Extract'!$B$4:$B$442,$A19))</x:f>
        <x:v>13</x:v>
      </x:c>
      <x:c r="M19" s="37" t="n">
        <x:f>IF(COUNTIFS('Raw Extract'!$A$4:$A$442,M$5,'Raw Extract'!$B$4:$B$442,$A19)=0,"",SUMIFS('Raw Extract'!$C$4:$C$442,'Raw Extract'!$A$4:$A$442,M$5,'Raw Extract'!$B$4:$B$442,$A19))</x:f>
        <x:v>14</x:v>
      </x:c>
      <x:c r="N19" s="37" t="n">
        <x:f>IF(COUNTIFS('Raw Extract'!$A$4:$A$442,N$5,'Raw Extract'!$B$4:$B$442,$A19)=0,"",SUMIFS('Raw Extract'!$C$4:$C$442,'Raw Extract'!$A$4:$A$442,N$5,'Raw Extract'!$B$4:$B$442,$A19))</x:f>
        <x:v>13.76</x:v>
      </x:c>
      <x:c r="O19" s="37" t="n">
        <x:f>IF(COUNTIFS('Raw Extract'!$A$4:$A$442,O$5,'Raw Extract'!$B$4:$B$442,$A19)=0,"",SUMIFS('Raw Extract'!$C$4:$C$442,'Raw Extract'!$A$4:$A$442,O$5,'Raw Extract'!$B$4:$B$442,$A19))</x:f>
        <x:v>15</x:v>
      </x:c>
      <x:c r="P19" s="37" t="n">
        <x:f>IF(COUNTIFS('Raw Extract'!$A$4:$A$442,P$5,'Raw Extract'!$B$4:$B$442,$A19)=0,"",SUMIFS('Raw Extract'!$C$4:$C$442,'Raw Extract'!$A$4:$A$442,P$5,'Raw Extract'!$B$4:$B$442,$A19))</x:f>
        <x:v>14</x:v>
      </x:c>
      <x:c r="Q19" s="37" t="n">
        <x:f>IF(COUNTIFS('Raw Extract'!$A$4:$A$442,Q$5,'Raw Extract'!$B$4:$B$442,$A19)=0,"",SUMIFS('Raw Extract'!$C$4:$C$442,'Raw Extract'!$A$4:$A$442,Q$5,'Raw Extract'!$B$4:$B$442,$A19))</x:f>
        <x:v>14.6</x:v>
      </x:c>
      <x:c r="R19" s="42" t="n">
        <x:f>IF(COUNTIFS('Raw Extract'!$A$4:$A$442,R$5,'Raw Extract'!$B$4:$B$442,$A19)=0,"",SUMIFS('Raw Extract'!$C$4:$C$442,'Raw Extract'!$A$4:$A$442,R$5,'Raw Extract'!$B$4:$B$442,$A19))</x:f>
        <x:v>14.27</x:v>
      </x:c>
      <x:c r="S19" s="37" t="n">
        <x:f>IF(COUNTIFS('Raw Extract'!$A$4:$A$442,S$5,'Raw Extract'!$B$4:$B$442,$A19)=0,"",SUMIFS('Raw Extract'!$C$4:$C$442,'Raw Extract'!$A$4:$A$442,S$5,'Raw Extract'!$B$4:$B$442,$A19))</x:f>
        <x:v>14.89</x:v>
      </x:c>
      <x:c r="T19" s="37" t="n">
        <x:f>IF(COUNTIFS('Raw Extract'!$A$4:$A$442,T$5,'Raw Extract'!$B$4:$B$442,$A19)=0,"",SUMIFS('Raw Extract'!$C$4:$C$442,'Raw Extract'!$A$4:$A$442,T$5,'Raw Extract'!$B$4:$B$442,$A19))</x:f>
        <x:v>15</x:v>
      </x:c>
      <x:c r="U19" s="37" t="n">
        <x:f>IF(COUNTIFS('Raw Extract'!$A$4:$A$442,U$5,'Raw Extract'!$B$4:$B$442,$A19)=0,"",SUMIFS('Raw Extract'!$C$4:$C$442,'Raw Extract'!$A$4:$A$442,U$5,'Raw Extract'!$B$4:$B$442,$A19))</x:f>
        <x:v>17.68</x:v>
      </x:c>
      <x:c r="V19" s="37" t="n">
        <x:f>IF(COUNTIFS('Raw Extract'!$A$4:$A$442,V$5,'Raw Extract'!$B$4:$B$442,$A19)=0,"",SUMIFS('Raw Extract'!$C$4:$C$442,'Raw Extract'!$A$4:$A$442,V$5,'Raw Extract'!$B$4:$B$442,$A19))</x:f>
        <x:v>15.98</x:v>
      </x:c>
      <x:c r="W19" s="37" t="n">
        <x:f>IF(COUNTIFS('Raw Extract'!$A$4:$A$442,W$5,'Raw Extract'!$B$4:$B$442,$A19)=0,"",SUMIFS('Raw Extract'!$C$4:$C$442,'Raw Extract'!$A$4:$A$442,W$5,'Raw Extract'!$B$4:$B$442,$A19))</x:f>
        <x:v>16.32</x:v>
      </x:c>
      <x:c r="X19" s="39" t="n">
        <x:f>IF(COUNTIFS('Raw Extract'!$A$4:$A$442,X$5,'Raw Extract'!$B$4:$B$442,$A19)=0,"",SUMIFS('Raw Extract'!$C$4:$C$442,'Raw Extract'!$A$4:$A$442,X$5,'Raw Extract'!$B$4:$B$442,$A19))</x:f>
        <x:v>16.23</x:v>
      </x:c>
    </x:row>
    <x:row r="20" ht="19" customHeight="1">
      <x:c r="A20" s="29" t="str">
        <x:v>NUROKIND PLUS-RF</x:v>
      </x:c>
      <x:c r="B20" s="37" t="n">
        <x:f>IF(COUNTIFS('Raw Extract'!$A$4:$A$442,B$5,'Raw Extract'!$B$4:$B$442,$A20)=0,"",SUMIFS('Raw Extract'!$C$4:$C$442,'Raw Extract'!$A$4:$A$442,B$5,'Raw Extract'!$B$4:$B$442,$A20))</x:f>
        <x:v>12</x:v>
      </x:c>
      <x:c r="C20" s="37" t="n">
        <x:f>IF(COUNTIFS('Raw Extract'!$A$4:$A$442,C$5,'Raw Extract'!$B$4:$B$442,$A20)=0,"",SUMIFS('Raw Extract'!$C$4:$C$442,'Raw Extract'!$A$4:$A$442,C$5,'Raw Extract'!$B$4:$B$442,$A20))</x:f>
        <x:v>12</x:v>
      </x:c>
      <x:c r="D20" s="37" t="n">
        <x:f>IF(COUNTIFS('Raw Extract'!$A$4:$A$442,D$5,'Raw Extract'!$B$4:$B$442,$A20)=0,"",SUMIFS('Raw Extract'!$C$4:$C$442,'Raw Extract'!$A$4:$A$442,D$5,'Raw Extract'!$B$4:$B$442,$A20))</x:f>
        <x:v>11</x:v>
      </x:c>
      <x:c r="E20" s="37" t="n">
        <x:f>IF(COUNTIFS('Raw Extract'!$A$4:$A$442,E$5,'Raw Extract'!$B$4:$B$442,$A20)=0,"",SUMIFS('Raw Extract'!$C$4:$C$442,'Raw Extract'!$A$4:$A$442,E$5,'Raw Extract'!$B$4:$B$442,$A20))</x:f>
        <x:v>10</x:v>
      </x:c>
      <x:c r="F20" s="42" t="n">
        <x:f>IF(COUNTIFS('Raw Extract'!$A$4:$A$442,F$5,'Raw Extract'!$B$4:$B$442,$A20)=0,"",SUMIFS('Raw Extract'!$C$4:$C$442,'Raw Extract'!$A$4:$A$442,F$5,'Raw Extract'!$B$4:$B$442,$A20))</x:f>
        <x:v>10</x:v>
      </x:c>
      <x:c r="G20" s="37" t="n">
        <x:f>IF(COUNTIFS('Raw Extract'!$A$4:$A$442,G$5,'Raw Extract'!$B$4:$B$442,$A20)=0,"",SUMIFS('Raw Extract'!$C$4:$C$442,'Raw Extract'!$A$4:$A$442,G$5,'Raw Extract'!$B$4:$B$442,$A20))</x:f>
        <x:v>10</x:v>
      </x:c>
      <x:c r="H20" s="37" t="n">
        <x:f>IF(COUNTIFS('Raw Extract'!$A$4:$A$442,H$5,'Raw Extract'!$B$4:$B$442,$A20)=0,"",SUMIFS('Raw Extract'!$C$4:$C$442,'Raw Extract'!$A$4:$A$442,H$5,'Raw Extract'!$B$4:$B$442,$A20))</x:f>
        <x:v>11</x:v>
      </x:c>
      <x:c r="I20" s="37" t="n">
        <x:f>IF(COUNTIFS('Raw Extract'!$A$4:$A$442,I$5,'Raw Extract'!$B$4:$B$442,$A20)=0,"",SUMIFS('Raw Extract'!$C$4:$C$442,'Raw Extract'!$A$4:$A$442,I$5,'Raw Extract'!$B$4:$B$442,$A20))</x:f>
        <x:v>13</x:v>
      </x:c>
      <x:c r="J20" s="37" t="n">
        <x:f>IF(COUNTIFS('Raw Extract'!$A$4:$A$442,J$5,'Raw Extract'!$B$4:$B$442,$A20)=0,"",SUMIFS('Raw Extract'!$C$4:$C$442,'Raw Extract'!$A$4:$A$442,J$5,'Raw Extract'!$B$4:$B$442,$A20))</x:f>
        <x:v>12</x:v>
      </x:c>
      <x:c r="K20" s="37" t="n">
        <x:f>IF(COUNTIFS('Raw Extract'!$A$4:$A$442,K$5,'Raw Extract'!$B$4:$B$442,$A20)=0,"",SUMIFS('Raw Extract'!$C$4:$C$442,'Raw Extract'!$A$4:$A$442,K$5,'Raw Extract'!$B$4:$B$442,$A20))</x:f>
        <x:v>12</x:v>
      </x:c>
      <x:c r="L20" s="37" t="n">
        <x:f>IF(COUNTIFS('Raw Extract'!$A$4:$A$442,L$5,'Raw Extract'!$B$4:$B$442,$A20)=0,"",SUMIFS('Raw Extract'!$C$4:$C$442,'Raw Extract'!$A$4:$A$442,L$5,'Raw Extract'!$B$4:$B$442,$A20))</x:f>
        <x:v>12</x:v>
      </x:c>
      <x:c r="M20" s="37" t="n">
        <x:f>IF(COUNTIFS('Raw Extract'!$A$4:$A$442,M$5,'Raw Extract'!$B$4:$B$442,$A20)=0,"",SUMIFS('Raw Extract'!$C$4:$C$442,'Raw Extract'!$A$4:$A$442,M$5,'Raw Extract'!$B$4:$B$442,$A20))</x:f>
        <x:v>12</x:v>
      </x:c>
      <x:c r="N20" s="37" t="n">
        <x:f>IF(COUNTIFS('Raw Extract'!$A$4:$A$442,N$5,'Raw Extract'!$B$4:$B$442,$A20)=0,"",SUMIFS('Raw Extract'!$C$4:$C$442,'Raw Extract'!$A$4:$A$442,N$5,'Raw Extract'!$B$4:$B$442,$A20))</x:f>
        <x:v>12</x:v>
      </x:c>
      <x:c r="O20" s="37" t="n">
        <x:f>IF(COUNTIFS('Raw Extract'!$A$4:$A$442,O$5,'Raw Extract'!$B$4:$B$442,$A20)=0,"",SUMIFS('Raw Extract'!$C$4:$C$442,'Raw Extract'!$A$4:$A$442,O$5,'Raw Extract'!$B$4:$B$442,$A20))</x:f>
        <x:v>13</x:v>
      </x:c>
      <x:c r="P20" s="37" t="n">
        <x:f>IF(COUNTIFS('Raw Extract'!$A$4:$A$442,P$5,'Raw Extract'!$B$4:$B$442,$A20)=0,"",SUMIFS('Raw Extract'!$C$4:$C$442,'Raw Extract'!$A$4:$A$442,P$5,'Raw Extract'!$B$4:$B$442,$A20))</x:f>
        <x:v>11</x:v>
      </x:c>
      <x:c r="Q20" s="37" t="n">
        <x:f>IF(COUNTIFS('Raw Extract'!$A$4:$A$442,Q$5,'Raw Extract'!$B$4:$B$442,$A20)=0,"",SUMIFS('Raw Extract'!$C$4:$C$442,'Raw Extract'!$A$4:$A$442,Q$5,'Raw Extract'!$B$4:$B$442,$A20))</x:f>
        <x:v>11</x:v>
      </x:c>
      <x:c r="R20" s="42" t="n">
        <x:f>IF(COUNTIFS('Raw Extract'!$A$4:$A$442,R$5,'Raw Extract'!$B$4:$B$442,$A20)=0,"",SUMIFS('Raw Extract'!$C$4:$C$442,'Raw Extract'!$A$4:$A$442,R$5,'Raw Extract'!$B$4:$B$442,$A20))</x:f>
        <x:v>11</x:v>
      </x:c>
      <x:c r="S20" s="37" t="n">
        <x:f>IF(COUNTIFS('Raw Extract'!$A$4:$A$442,S$5,'Raw Extract'!$B$4:$B$442,$A20)=0,"",SUMIFS('Raw Extract'!$C$4:$C$442,'Raw Extract'!$A$4:$A$442,S$5,'Raw Extract'!$B$4:$B$442,$A20))</x:f>
        <x:v>11</x:v>
      </x:c>
      <x:c r="T20" s="37" t="n">
        <x:f>IF(COUNTIFS('Raw Extract'!$A$4:$A$442,T$5,'Raw Extract'!$B$4:$B$442,$A20)=0,"",SUMIFS('Raw Extract'!$C$4:$C$442,'Raw Extract'!$A$4:$A$442,T$5,'Raw Extract'!$B$4:$B$442,$A20))</x:f>
        <x:v>12</x:v>
      </x:c>
      <x:c r="U20" s="37" t="n">
        <x:f>IF(COUNTIFS('Raw Extract'!$A$4:$A$442,U$5,'Raw Extract'!$B$4:$B$442,$A20)=0,"",SUMIFS('Raw Extract'!$C$4:$C$442,'Raw Extract'!$A$4:$A$442,U$5,'Raw Extract'!$B$4:$B$442,$A20))</x:f>
        <x:v>15</x:v>
      </x:c>
      <x:c r="V20" s="37" t="n">
        <x:f>IF(COUNTIFS('Raw Extract'!$A$4:$A$442,V$5,'Raw Extract'!$B$4:$B$442,$A20)=0,"",SUMIFS('Raw Extract'!$C$4:$C$442,'Raw Extract'!$A$4:$A$442,V$5,'Raw Extract'!$B$4:$B$442,$A20))</x:f>
        <x:v>13</x:v>
      </x:c>
      <x:c r="W20" s="37" t="n">
        <x:f>IF(COUNTIFS('Raw Extract'!$A$4:$A$442,W$5,'Raw Extract'!$B$4:$B$442,$A20)=0,"",SUMIFS('Raw Extract'!$C$4:$C$442,'Raw Extract'!$A$4:$A$442,W$5,'Raw Extract'!$B$4:$B$442,$A20))</x:f>
        <x:v>14</x:v>
      </x:c>
      <x:c r="X20" s="39" t="n">
        <x:f>IF(COUNTIFS('Raw Extract'!$A$4:$A$442,X$5,'Raw Extract'!$B$4:$B$442,$A20)=0,"",SUMIFS('Raw Extract'!$C$4:$C$442,'Raw Extract'!$A$4:$A$442,X$5,'Raw Extract'!$B$4:$B$442,$A20))</x:f>
        <x:v>14</x:v>
      </x:c>
    </x:row>
    <x:row r="21" ht="19" customHeight="1">
      <x:c r="A21" s="29" t="str">
        <x:v>GLIZID-M</x:v>
      </x:c>
      <x:c r="B21" s="37" t="str">
        <x:f>IF(COUNTIFS('Raw Extract'!$A$4:$A$442,B$5,'Raw Extract'!$B$4:$B$442,$A21)=0,"",SUMIFS('Raw Extract'!$C$4:$C$442,'Raw Extract'!$A$4:$A$442,B$5,'Raw Extract'!$B$4:$B$442,$A21))</x:f>
      </x:c>
      <x:c r="C21" s="37" t="str">
        <x:f>IF(COUNTIFS('Raw Extract'!$A$4:$A$442,C$5,'Raw Extract'!$B$4:$B$442,$A21)=0,"",SUMIFS('Raw Extract'!$C$4:$C$442,'Raw Extract'!$A$4:$A$442,C$5,'Raw Extract'!$B$4:$B$442,$A21))</x:f>
      </x:c>
      <x:c r="D21" s="37" t="str">
        <x:f>IF(COUNTIFS('Raw Extract'!$A$4:$A$442,D$5,'Raw Extract'!$B$4:$B$442,$A21)=0,"",SUMIFS('Raw Extract'!$C$4:$C$442,'Raw Extract'!$A$4:$A$442,D$5,'Raw Extract'!$B$4:$B$442,$A21))</x:f>
      </x:c>
      <x:c r="E21" s="37" t="str">
        <x:f>IF(COUNTIFS('Raw Extract'!$A$4:$A$442,E$5,'Raw Extract'!$B$4:$B$442,$A21)=0,"",SUMIFS('Raw Extract'!$C$4:$C$442,'Raw Extract'!$A$4:$A$442,E$5,'Raw Extract'!$B$4:$B$442,$A21))</x:f>
      </x:c>
      <x:c r="F21" s="42" t="str">
        <x:f>IF(COUNTIFS('Raw Extract'!$A$4:$A$442,F$5,'Raw Extract'!$B$4:$B$442,$A21)=0,"",SUMIFS('Raw Extract'!$C$4:$C$442,'Raw Extract'!$A$4:$A$442,F$5,'Raw Extract'!$B$4:$B$442,$A21))</x:f>
      </x:c>
      <x:c r="G21" s="37" t="str">
        <x:f>IF(COUNTIFS('Raw Extract'!$A$4:$A$442,G$5,'Raw Extract'!$B$4:$B$442,$A21)=0,"",SUMIFS('Raw Extract'!$C$4:$C$442,'Raw Extract'!$A$4:$A$442,G$5,'Raw Extract'!$B$4:$B$442,$A21))</x:f>
      </x:c>
      <x:c r="H21" s="37" t="str">
        <x:f>IF(COUNTIFS('Raw Extract'!$A$4:$A$442,H$5,'Raw Extract'!$B$4:$B$442,$A21)=0,"",SUMIFS('Raw Extract'!$C$4:$C$442,'Raw Extract'!$A$4:$A$442,H$5,'Raw Extract'!$B$4:$B$442,$A21))</x:f>
      </x:c>
      <x:c r="I21" s="37" t="str">
        <x:f>IF(COUNTIFS('Raw Extract'!$A$4:$A$442,I$5,'Raw Extract'!$B$4:$B$442,$A21)=0,"",SUMIFS('Raw Extract'!$C$4:$C$442,'Raw Extract'!$A$4:$A$442,I$5,'Raw Extract'!$B$4:$B$442,$A21))</x:f>
      </x:c>
      <x:c r="J21" s="37" t="str">
        <x:f>IF(COUNTIFS('Raw Extract'!$A$4:$A$442,J$5,'Raw Extract'!$B$4:$B$442,$A21)=0,"",SUMIFS('Raw Extract'!$C$4:$C$442,'Raw Extract'!$A$4:$A$442,J$5,'Raw Extract'!$B$4:$B$442,$A21))</x:f>
      </x:c>
      <x:c r="K21" s="37" t="str">
        <x:f>IF(COUNTIFS('Raw Extract'!$A$4:$A$442,K$5,'Raw Extract'!$B$4:$B$442,$A21)=0,"",SUMIFS('Raw Extract'!$C$4:$C$442,'Raw Extract'!$A$4:$A$442,K$5,'Raw Extract'!$B$4:$B$442,$A21))</x:f>
      </x:c>
      <x:c r="L21" s="37" t="str">
        <x:f>IF(COUNTIFS('Raw Extract'!$A$4:$A$442,L$5,'Raw Extract'!$B$4:$B$442,$A21)=0,"",SUMIFS('Raw Extract'!$C$4:$C$442,'Raw Extract'!$A$4:$A$442,L$5,'Raw Extract'!$B$4:$B$442,$A21))</x:f>
      </x:c>
      <x:c r="M21" s="37" t="str">
        <x:f>IF(COUNTIFS('Raw Extract'!$A$4:$A$442,M$5,'Raw Extract'!$B$4:$B$442,$A21)=0,"",SUMIFS('Raw Extract'!$C$4:$C$442,'Raw Extract'!$A$4:$A$442,M$5,'Raw Extract'!$B$4:$B$442,$A21))</x:f>
      </x:c>
      <x:c r="N21" s="37" t="str">
        <x:f>IF(COUNTIFS('Raw Extract'!$A$4:$A$442,N$5,'Raw Extract'!$B$4:$B$442,$A21)=0,"",SUMIFS('Raw Extract'!$C$4:$C$442,'Raw Extract'!$A$4:$A$442,N$5,'Raw Extract'!$B$4:$B$442,$A21))</x:f>
      </x:c>
      <x:c r="O21" s="37" t="str">
        <x:f>IF(COUNTIFS('Raw Extract'!$A$4:$A$442,O$5,'Raw Extract'!$B$4:$B$442,$A21)=0,"",SUMIFS('Raw Extract'!$C$4:$C$442,'Raw Extract'!$A$4:$A$442,O$5,'Raw Extract'!$B$4:$B$442,$A21))</x:f>
      </x:c>
      <x:c r="P21" s="37" t="str">
        <x:f>IF(COUNTIFS('Raw Extract'!$A$4:$A$442,P$5,'Raw Extract'!$B$4:$B$442,$A21)=0,"",SUMIFS('Raw Extract'!$C$4:$C$442,'Raw Extract'!$A$4:$A$442,P$5,'Raw Extract'!$B$4:$B$442,$A21))</x:f>
      </x:c>
      <x:c r="Q21" s="37" t="n">
        <x:f>IF(COUNTIFS('Raw Extract'!$A$4:$A$442,Q$5,'Raw Extract'!$B$4:$B$442,$A21)=0,"",SUMIFS('Raw Extract'!$C$4:$C$442,'Raw Extract'!$A$4:$A$442,Q$5,'Raw Extract'!$B$4:$B$442,$A21))</x:f>
        <x:v>11</x:v>
      </x:c>
      <x:c r="R21" s="42" t="n">
        <x:f>IF(COUNTIFS('Raw Extract'!$A$4:$A$442,R$5,'Raw Extract'!$B$4:$B$442,$A21)=0,"",SUMIFS('Raw Extract'!$C$4:$C$442,'Raw Extract'!$A$4:$A$442,R$5,'Raw Extract'!$B$4:$B$442,$A21))</x:f>
        <x:v>12</x:v>
      </x:c>
      <x:c r="S21" s="37" t="n">
        <x:f>IF(COUNTIFS('Raw Extract'!$A$4:$A$442,S$5,'Raw Extract'!$B$4:$B$442,$A21)=0,"",SUMIFS('Raw Extract'!$C$4:$C$442,'Raw Extract'!$A$4:$A$442,S$5,'Raw Extract'!$B$4:$B$442,$A21))</x:f>
        <x:v>11</x:v>
      </x:c>
      <x:c r="T21" s="37" t="n">
        <x:f>IF(COUNTIFS('Raw Extract'!$A$4:$A$442,T$5,'Raw Extract'!$B$4:$B$442,$A21)=0,"",SUMIFS('Raw Extract'!$C$4:$C$442,'Raw Extract'!$A$4:$A$442,T$5,'Raw Extract'!$B$4:$B$442,$A21))</x:f>
        <x:v>11</x:v>
      </x:c>
      <x:c r="U21" s="37" t="n">
        <x:f>IF(COUNTIFS('Raw Extract'!$A$4:$A$442,U$5,'Raw Extract'!$B$4:$B$442,$A21)=0,"",SUMIFS('Raw Extract'!$C$4:$C$442,'Raw Extract'!$A$4:$A$442,U$5,'Raw Extract'!$B$4:$B$442,$A21))</x:f>
        <x:v>13</x:v>
      </x:c>
      <x:c r="V21" s="37" t="n">
        <x:f>IF(COUNTIFS('Raw Extract'!$A$4:$A$442,V$5,'Raw Extract'!$B$4:$B$442,$A21)=0,"",SUMIFS('Raw Extract'!$C$4:$C$442,'Raw Extract'!$A$4:$A$442,V$5,'Raw Extract'!$B$4:$B$442,$A21))</x:f>
        <x:v>13</x:v>
      </x:c>
      <x:c r="W21" s="37" t="n">
        <x:f>IF(COUNTIFS('Raw Extract'!$A$4:$A$442,W$5,'Raw Extract'!$B$4:$B$442,$A21)=0,"",SUMIFS('Raw Extract'!$C$4:$C$442,'Raw Extract'!$A$4:$A$442,W$5,'Raw Extract'!$B$4:$B$442,$A21))</x:f>
        <x:v>13</x:v>
      </x:c>
      <x:c r="X21" s="39" t="n">
        <x:f>IF(COUNTIFS('Raw Extract'!$A$4:$A$442,X$5,'Raw Extract'!$B$4:$B$442,$A21)=0,"",SUMIFS('Raw Extract'!$C$4:$C$442,'Raw Extract'!$A$4:$A$442,X$5,'Raw Extract'!$B$4:$B$442,$A21))</x:f>
        <x:v>13</x:v>
      </x:c>
    </x:row>
    <x:row r="22" ht="19" customHeight="1">
      <x:c r="A22" s="29" t="str">
        <x:v>VOMIKIND</x:v>
      </x:c>
      <x:c r="B22" s="37" t="n">
        <x:f>IF(COUNTIFS('Raw Extract'!$A$4:$A$442,B$5,'Raw Extract'!$B$4:$B$442,$A22)=0,"",SUMIFS('Raw Extract'!$C$4:$C$442,'Raw Extract'!$A$4:$A$442,B$5,'Raw Extract'!$B$4:$B$442,$A22))</x:f>
        <x:v>11.74</x:v>
      </x:c>
      <x:c r="C22" s="37" t="n">
        <x:f>IF(COUNTIFS('Raw Extract'!$A$4:$A$442,C$5,'Raw Extract'!$B$4:$B$442,$A22)=0,"",SUMIFS('Raw Extract'!$C$4:$C$442,'Raw Extract'!$A$4:$A$442,C$5,'Raw Extract'!$B$4:$B$442,$A22))</x:f>
        <x:v>11</x:v>
      </x:c>
      <x:c r="D22" s="37" t="n">
        <x:f>IF(COUNTIFS('Raw Extract'!$A$4:$A$442,D$5,'Raw Extract'!$B$4:$B$442,$A22)=0,"",SUMIFS('Raw Extract'!$C$4:$C$442,'Raw Extract'!$A$4:$A$442,D$5,'Raw Extract'!$B$4:$B$442,$A22))</x:f>
        <x:v>10</x:v>
      </x:c>
      <x:c r="E22" s="37" t="n">
        <x:f>IF(COUNTIFS('Raw Extract'!$A$4:$A$442,E$5,'Raw Extract'!$B$4:$B$442,$A22)=0,"",SUMIFS('Raw Extract'!$C$4:$C$442,'Raw Extract'!$A$4:$A$442,E$5,'Raw Extract'!$B$4:$B$442,$A22))</x:f>
        <x:v>9</x:v>
      </x:c>
      <x:c r="F22" s="42" t="n">
        <x:f>IF(COUNTIFS('Raw Extract'!$A$4:$A$442,F$5,'Raw Extract'!$B$4:$B$442,$A22)=0,"",SUMIFS('Raw Extract'!$C$4:$C$442,'Raw Extract'!$A$4:$A$442,F$5,'Raw Extract'!$B$4:$B$442,$A22))</x:f>
        <x:v>10</x:v>
      </x:c>
      <x:c r="G22" s="37" t="n">
        <x:f>IF(COUNTIFS('Raw Extract'!$A$4:$A$442,G$5,'Raw Extract'!$B$4:$B$442,$A22)=0,"",SUMIFS('Raw Extract'!$C$4:$C$442,'Raw Extract'!$A$4:$A$442,G$5,'Raw Extract'!$B$4:$B$442,$A22))</x:f>
        <x:v>11</x:v>
      </x:c>
      <x:c r="H22" s="37" t="n">
        <x:f>IF(COUNTIFS('Raw Extract'!$A$4:$A$442,H$5,'Raw Extract'!$B$4:$B$442,$A22)=0,"",SUMIFS('Raw Extract'!$C$4:$C$442,'Raw Extract'!$A$4:$A$442,H$5,'Raw Extract'!$B$4:$B$442,$A22))</x:f>
        <x:v>12</x:v>
      </x:c>
      <x:c r="I22" s="37" t="n">
        <x:f>IF(COUNTIFS('Raw Extract'!$A$4:$A$442,I$5,'Raw Extract'!$B$4:$B$442,$A22)=0,"",SUMIFS('Raw Extract'!$C$4:$C$442,'Raw Extract'!$A$4:$A$442,I$5,'Raw Extract'!$B$4:$B$442,$A22))</x:f>
        <x:v>15</x:v>
      </x:c>
      <x:c r="J22" s="37" t="n">
        <x:f>IF(COUNTIFS('Raw Extract'!$A$4:$A$442,J$5,'Raw Extract'!$B$4:$B$442,$A22)=0,"",SUMIFS('Raw Extract'!$C$4:$C$442,'Raw Extract'!$A$4:$A$442,J$5,'Raw Extract'!$B$4:$B$442,$A22))</x:f>
        <x:v>14</x:v>
      </x:c>
      <x:c r="K22" s="37" t="n">
        <x:f>IF(COUNTIFS('Raw Extract'!$A$4:$A$442,K$5,'Raw Extract'!$B$4:$B$442,$A22)=0,"",SUMIFS('Raw Extract'!$C$4:$C$442,'Raw Extract'!$A$4:$A$442,K$5,'Raw Extract'!$B$4:$B$442,$A22))</x:f>
        <x:v>13</x:v>
      </x:c>
      <x:c r="L22" s="37" t="n">
        <x:f>IF(COUNTIFS('Raw Extract'!$A$4:$A$442,L$5,'Raw Extract'!$B$4:$B$442,$A22)=0,"",SUMIFS('Raw Extract'!$C$4:$C$442,'Raw Extract'!$A$4:$A$442,L$5,'Raw Extract'!$B$4:$B$442,$A22))</x:f>
        <x:v>12</x:v>
      </x:c>
      <x:c r="M22" s="37" t="n">
        <x:f>IF(COUNTIFS('Raw Extract'!$A$4:$A$442,M$5,'Raw Extract'!$B$4:$B$442,$A22)=0,"",SUMIFS('Raw Extract'!$C$4:$C$442,'Raw Extract'!$A$4:$A$442,M$5,'Raw Extract'!$B$4:$B$442,$A22))</x:f>
        <x:v>12</x:v>
      </x:c>
      <x:c r="N22" s="37" t="n">
        <x:f>IF(COUNTIFS('Raw Extract'!$A$4:$A$442,N$5,'Raw Extract'!$B$4:$B$442,$A22)=0,"",SUMIFS('Raw Extract'!$C$4:$C$442,'Raw Extract'!$A$4:$A$442,N$5,'Raw Extract'!$B$4:$B$442,$A22))</x:f>
        <x:v>12</x:v>
      </x:c>
      <x:c r="O22" s="37" t="n">
        <x:f>IF(COUNTIFS('Raw Extract'!$A$4:$A$442,O$5,'Raw Extract'!$B$4:$B$442,$A22)=0,"",SUMIFS('Raw Extract'!$C$4:$C$442,'Raw Extract'!$A$4:$A$442,O$5,'Raw Extract'!$B$4:$B$442,$A22))</x:f>
        <x:v>11</x:v>
      </x:c>
      <x:c r="P22" s="37" t="n">
        <x:f>IF(COUNTIFS('Raw Extract'!$A$4:$A$442,P$5,'Raw Extract'!$B$4:$B$442,$A22)=0,"",SUMIFS('Raw Extract'!$C$4:$C$442,'Raw Extract'!$A$4:$A$442,P$5,'Raw Extract'!$B$4:$B$442,$A22))</x:f>
        <x:v>9</x:v>
      </x:c>
      <x:c r="Q22" s="37" t="n">
        <x:f>IF(COUNTIFS('Raw Extract'!$A$4:$A$442,Q$5,'Raw Extract'!$B$4:$B$442,$A22)=0,"",SUMIFS('Raw Extract'!$C$4:$C$442,'Raw Extract'!$A$4:$A$442,Q$5,'Raw Extract'!$B$4:$B$442,$A22))</x:f>
        <x:v>11</x:v>
      </x:c>
      <x:c r="R22" s="42" t="n">
        <x:f>IF(COUNTIFS('Raw Extract'!$A$4:$A$442,R$5,'Raw Extract'!$B$4:$B$442,$A22)=0,"",SUMIFS('Raw Extract'!$C$4:$C$442,'Raw Extract'!$A$4:$A$442,R$5,'Raw Extract'!$B$4:$B$442,$A22))</x:f>
        <x:v>10</x:v>
      </x:c>
      <x:c r="S22" s="37" t="n">
        <x:f>IF(COUNTIFS('Raw Extract'!$A$4:$A$442,S$5,'Raw Extract'!$B$4:$B$442,$A22)=0,"",SUMIFS('Raw Extract'!$C$4:$C$442,'Raw Extract'!$A$4:$A$442,S$5,'Raw Extract'!$B$4:$B$442,$A22))</x:f>
        <x:v>11</x:v>
      </x:c>
      <x:c r="T22" s="37" t="n">
        <x:f>IF(COUNTIFS('Raw Extract'!$A$4:$A$442,T$5,'Raw Extract'!$B$4:$B$442,$A22)=0,"",SUMIFS('Raw Extract'!$C$4:$C$442,'Raw Extract'!$A$4:$A$442,T$5,'Raw Extract'!$B$4:$B$442,$A22))</x:f>
        <x:v>12</x:v>
      </x:c>
      <x:c r="U22" s="37" t="n">
        <x:f>IF(COUNTIFS('Raw Extract'!$A$4:$A$442,U$5,'Raw Extract'!$B$4:$B$442,$A22)=0,"",SUMIFS('Raw Extract'!$C$4:$C$442,'Raw Extract'!$A$4:$A$442,U$5,'Raw Extract'!$B$4:$B$442,$A22))</x:f>
        <x:v>11</x:v>
      </x:c>
      <x:c r="V22" s="37" t="n">
        <x:f>IF(COUNTIFS('Raw Extract'!$A$4:$A$442,V$5,'Raw Extract'!$B$4:$B$442,$A22)=0,"",SUMIFS('Raw Extract'!$C$4:$C$442,'Raw Extract'!$A$4:$A$442,V$5,'Raw Extract'!$B$4:$B$442,$A22))</x:f>
        <x:v>15</x:v>
      </x:c>
      <x:c r="W22" s="37" t="n">
        <x:f>IF(COUNTIFS('Raw Extract'!$A$4:$A$442,W$5,'Raw Extract'!$B$4:$B$442,$A22)=0,"",SUMIFS('Raw Extract'!$C$4:$C$442,'Raw Extract'!$A$4:$A$442,W$5,'Raw Extract'!$B$4:$B$442,$A22))</x:f>
        <x:v>13</x:v>
      </x:c>
      <x:c r="X22" s="39" t="n">
        <x:f>IF(COUNTIFS('Raw Extract'!$A$4:$A$442,X$5,'Raw Extract'!$B$4:$B$442,$A22)=0,"",SUMIFS('Raw Extract'!$C$4:$C$442,'Raw Extract'!$A$4:$A$442,X$5,'Raw Extract'!$B$4:$B$442,$A22))</x:f>
        <x:v>12</x:v>
      </x:c>
    </x:row>
    <x:row r="23" ht="19" customHeight="1">
      <x:c r="A23" s="29" t="str">
        <x:v>CEFAKIND</x:v>
      </x:c>
      <x:c r="B23" s="37" t="n">
        <x:f>IF(COUNTIFS('Raw Extract'!$A$4:$A$442,B$5,'Raw Extract'!$B$4:$B$442,$A23)=0,"",SUMIFS('Raw Extract'!$C$4:$C$442,'Raw Extract'!$A$4:$A$442,B$5,'Raw Extract'!$B$4:$B$442,$A23))</x:f>
        <x:v>14</x:v>
      </x:c>
      <x:c r="C23" s="37" t="n">
        <x:f>IF(COUNTIFS('Raw Extract'!$A$4:$A$442,C$5,'Raw Extract'!$B$4:$B$442,$A23)=0,"",SUMIFS('Raw Extract'!$C$4:$C$442,'Raw Extract'!$A$4:$A$442,C$5,'Raw Extract'!$B$4:$B$442,$A23))</x:f>
        <x:v>13</x:v>
      </x:c>
      <x:c r="D23" s="37" t="n">
        <x:f>IF(COUNTIFS('Raw Extract'!$A$4:$A$442,D$5,'Raw Extract'!$B$4:$B$442,$A23)=0,"",SUMIFS('Raw Extract'!$C$4:$C$442,'Raw Extract'!$A$4:$A$442,D$5,'Raw Extract'!$B$4:$B$442,$A23))</x:f>
        <x:v>12</x:v>
      </x:c>
      <x:c r="E23" s="37" t="n">
        <x:f>IF(COUNTIFS('Raw Extract'!$A$4:$A$442,E$5,'Raw Extract'!$B$4:$B$442,$A23)=0,"",SUMIFS('Raw Extract'!$C$4:$C$442,'Raw Extract'!$A$4:$A$442,E$5,'Raw Extract'!$B$4:$B$442,$A23))</x:f>
        <x:v>10</x:v>
      </x:c>
      <x:c r="F23" s="42" t="n">
        <x:f>IF(COUNTIFS('Raw Extract'!$A$4:$A$442,F$5,'Raw Extract'!$B$4:$B$442,$A23)=0,"",SUMIFS('Raw Extract'!$C$4:$C$442,'Raw Extract'!$A$4:$A$442,F$5,'Raw Extract'!$B$4:$B$442,$A23))</x:f>
        <x:v>10</x:v>
      </x:c>
      <x:c r="G23" s="37" t="n">
        <x:f>IF(COUNTIFS('Raw Extract'!$A$4:$A$442,G$5,'Raw Extract'!$B$4:$B$442,$A23)=0,"",SUMIFS('Raw Extract'!$C$4:$C$442,'Raw Extract'!$A$4:$A$442,G$5,'Raw Extract'!$B$4:$B$442,$A23))</x:f>
        <x:v>11</x:v>
      </x:c>
      <x:c r="H23" s="37" t="n">
        <x:f>IF(COUNTIFS('Raw Extract'!$A$4:$A$442,H$5,'Raw Extract'!$B$4:$B$442,$A23)=0,"",SUMIFS('Raw Extract'!$C$4:$C$442,'Raw Extract'!$A$4:$A$442,H$5,'Raw Extract'!$B$4:$B$442,$A23))</x:f>
        <x:v>11</x:v>
      </x:c>
      <x:c r="I23" s="37" t="n">
        <x:f>IF(COUNTIFS('Raw Extract'!$A$4:$A$442,I$5,'Raw Extract'!$B$4:$B$442,$A23)=0,"",SUMIFS('Raw Extract'!$C$4:$C$442,'Raw Extract'!$A$4:$A$442,I$5,'Raw Extract'!$B$4:$B$442,$A23))</x:f>
        <x:v>11</x:v>
      </x:c>
      <x:c r="J23" s="37" t="n">
        <x:f>IF(COUNTIFS('Raw Extract'!$A$4:$A$442,J$5,'Raw Extract'!$B$4:$B$442,$A23)=0,"",SUMIFS('Raw Extract'!$C$4:$C$442,'Raw Extract'!$A$4:$A$442,J$5,'Raw Extract'!$B$4:$B$442,$A23))</x:f>
        <x:v>10</x:v>
      </x:c>
      <x:c r="K23" s="37" t="n">
        <x:f>IF(COUNTIFS('Raw Extract'!$A$4:$A$442,K$5,'Raw Extract'!$B$4:$B$442,$A23)=0,"",SUMIFS('Raw Extract'!$C$4:$C$442,'Raw Extract'!$A$4:$A$442,K$5,'Raw Extract'!$B$4:$B$442,$A23))</x:f>
        <x:v>10</x:v>
      </x:c>
      <x:c r="L23" s="37" t="n">
        <x:f>IF(COUNTIFS('Raw Extract'!$A$4:$A$442,L$5,'Raw Extract'!$B$4:$B$442,$A23)=0,"",SUMIFS('Raw Extract'!$C$4:$C$442,'Raw Extract'!$A$4:$A$442,L$5,'Raw Extract'!$B$4:$B$442,$A23))</x:f>
        <x:v>11</x:v>
      </x:c>
      <x:c r="M23" s="37" t="n">
        <x:f>IF(COUNTIFS('Raw Extract'!$A$4:$A$442,M$5,'Raw Extract'!$B$4:$B$442,$A23)=0,"",SUMIFS('Raw Extract'!$C$4:$C$442,'Raw Extract'!$A$4:$A$442,M$5,'Raw Extract'!$B$4:$B$442,$A23))</x:f>
        <x:v>13</x:v>
      </x:c>
      <x:c r="N23" s="37" t="n">
        <x:f>IF(COUNTIFS('Raw Extract'!$A$4:$A$442,N$5,'Raw Extract'!$B$4:$B$442,$A23)=0,"",SUMIFS('Raw Extract'!$C$4:$C$442,'Raw Extract'!$A$4:$A$442,N$5,'Raw Extract'!$B$4:$B$442,$A23))</x:f>
        <x:v>14</x:v>
      </x:c>
      <x:c r="O23" s="37" t="n">
        <x:f>IF(COUNTIFS('Raw Extract'!$A$4:$A$442,O$5,'Raw Extract'!$B$4:$B$442,$A23)=0,"",SUMIFS('Raw Extract'!$C$4:$C$442,'Raw Extract'!$A$4:$A$442,O$5,'Raw Extract'!$B$4:$B$442,$A23))</x:f>
        <x:v>13</x:v>
      </x:c>
      <x:c r="P23" s="37" t="n">
        <x:f>IF(COUNTIFS('Raw Extract'!$A$4:$A$442,P$5,'Raw Extract'!$B$4:$B$442,$A23)=0,"",SUMIFS('Raw Extract'!$C$4:$C$442,'Raw Extract'!$A$4:$A$442,P$5,'Raw Extract'!$B$4:$B$442,$A23))</x:f>
        <x:v>11</x:v>
      </x:c>
      <x:c r="Q23" s="37" t="n">
        <x:f>IF(COUNTIFS('Raw Extract'!$A$4:$A$442,Q$5,'Raw Extract'!$B$4:$B$442,$A23)=0,"",SUMIFS('Raw Extract'!$C$4:$C$442,'Raw Extract'!$A$4:$A$442,Q$5,'Raw Extract'!$B$4:$B$442,$A23))</x:f>
        <x:v>10</x:v>
      </x:c>
      <x:c r="R23" s="42" t="n">
        <x:f>IF(COUNTIFS('Raw Extract'!$A$4:$A$442,R$5,'Raw Extract'!$B$4:$B$442,$A23)=0,"",SUMIFS('Raw Extract'!$C$4:$C$442,'Raw Extract'!$A$4:$A$442,R$5,'Raw Extract'!$B$4:$B$442,$A23))</x:f>
        <x:v>11</x:v>
      </x:c>
      <x:c r="S23" s="37" t="n">
        <x:f>IF(COUNTIFS('Raw Extract'!$A$4:$A$442,S$5,'Raw Extract'!$B$4:$B$442,$A23)=0,"",SUMIFS('Raw Extract'!$C$4:$C$442,'Raw Extract'!$A$4:$A$442,S$5,'Raw Extract'!$B$4:$B$442,$A23))</x:f>
        <x:v>10</x:v>
      </x:c>
      <x:c r="T23" s="37" t="n">
        <x:f>IF(COUNTIFS('Raw Extract'!$A$4:$A$442,T$5,'Raw Extract'!$B$4:$B$442,$A23)=0,"",SUMIFS('Raw Extract'!$C$4:$C$442,'Raw Extract'!$A$4:$A$442,T$5,'Raw Extract'!$B$4:$B$442,$A23))</x:f>
        <x:v>11</x:v>
      </x:c>
      <x:c r="U23" s="37" t="n">
        <x:f>IF(COUNTIFS('Raw Extract'!$A$4:$A$442,U$5,'Raw Extract'!$B$4:$B$442,$A23)=0,"",SUMIFS('Raw Extract'!$C$4:$C$442,'Raw Extract'!$A$4:$A$442,U$5,'Raw Extract'!$B$4:$B$442,$A23))</x:f>
        <x:v>11</x:v>
      </x:c>
      <x:c r="V23" s="37" t="n">
        <x:f>IF(COUNTIFS('Raw Extract'!$A$4:$A$442,V$5,'Raw Extract'!$B$4:$B$442,$A23)=0,"",SUMIFS('Raw Extract'!$C$4:$C$442,'Raw Extract'!$A$4:$A$442,V$5,'Raw Extract'!$B$4:$B$442,$A23))</x:f>
        <x:v>11</x:v>
      </x:c>
      <x:c r="W23" s="37" t="n">
        <x:f>IF(COUNTIFS('Raw Extract'!$A$4:$A$442,W$5,'Raw Extract'!$B$4:$B$442,$A23)=0,"",SUMIFS('Raw Extract'!$C$4:$C$442,'Raw Extract'!$A$4:$A$442,W$5,'Raw Extract'!$B$4:$B$442,$A23))</x:f>
        <x:v>11</x:v>
      </x:c>
      <x:c r="X23" s="39" t="n">
        <x:f>IF(COUNTIFS('Raw Extract'!$A$4:$A$442,X$5,'Raw Extract'!$B$4:$B$442,$A23)=0,"",SUMIFS('Raw Extract'!$C$4:$C$442,'Raw Extract'!$A$4:$A$442,X$5,'Raw Extract'!$B$4:$B$442,$A23))</x:f>
        <x:v>12</x:v>
      </x:c>
    </x:row>
    <x:row r="24" ht="19" customHeight="1">
      <x:c r="A24" s="29" t="str">
        <x:v>MONTICOPE</x:v>
      </x:c>
      <x:c r="B24" s="37" t="n">
        <x:f>IF(COUNTIFS('Raw Extract'!$A$4:$A$442,B$5,'Raw Extract'!$B$4:$B$442,$A24)=0,"",SUMIFS('Raw Extract'!$C$4:$C$442,'Raw Extract'!$A$4:$A$442,B$5,'Raw Extract'!$B$4:$B$442,$A24))</x:f>
        <x:v>11</x:v>
      </x:c>
      <x:c r="C24" s="37" t="n">
        <x:f>IF(COUNTIFS('Raw Extract'!$A$4:$A$442,C$5,'Raw Extract'!$B$4:$B$442,$A24)=0,"",SUMIFS('Raw Extract'!$C$4:$C$442,'Raw Extract'!$A$4:$A$442,C$5,'Raw Extract'!$B$4:$B$442,$A24))</x:f>
        <x:v>11</x:v>
      </x:c>
      <x:c r="D24" s="37" t="n">
        <x:f>IF(COUNTIFS('Raw Extract'!$A$4:$A$442,D$5,'Raw Extract'!$B$4:$B$442,$A24)=0,"",SUMIFS('Raw Extract'!$C$4:$C$442,'Raw Extract'!$A$4:$A$442,D$5,'Raw Extract'!$B$4:$B$442,$A24))</x:f>
        <x:v>12</x:v>
      </x:c>
      <x:c r="E24" s="37" t="n">
        <x:f>IF(COUNTIFS('Raw Extract'!$A$4:$A$442,E$5,'Raw Extract'!$B$4:$B$442,$A24)=0,"",SUMIFS('Raw Extract'!$C$4:$C$442,'Raw Extract'!$A$4:$A$442,E$5,'Raw Extract'!$B$4:$B$442,$A24))</x:f>
        <x:v>11</x:v>
      </x:c>
      <x:c r="F24" s="42" t="n">
        <x:f>IF(COUNTIFS('Raw Extract'!$A$4:$A$442,F$5,'Raw Extract'!$B$4:$B$442,$A24)=0,"",SUMIFS('Raw Extract'!$C$4:$C$442,'Raw Extract'!$A$4:$A$442,F$5,'Raw Extract'!$B$4:$B$442,$A24))</x:f>
        <x:v>11</x:v>
      </x:c>
      <x:c r="G24" s="37" t="n">
        <x:f>IF(COUNTIFS('Raw Extract'!$A$4:$A$442,G$5,'Raw Extract'!$B$4:$B$442,$A24)=0,"",SUMIFS('Raw Extract'!$C$4:$C$442,'Raw Extract'!$A$4:$A$442,G$5,'Raw Extract'!$B$4:$B$442,$A24))</x:f>
        <x:v>11</x:v>
      </x:c>
      <x:c r="H24" s="37" t="n">
        <x:f>IF(COUNTIFS('Raw Extract'!$A$4:$A$442,H$5,'Raw Extract'!$B$4:$B$442,$A24)=0,"",SUMIFS('Raw Extract'!$C$4:$C$442,'Raw Extract'!$A$4:$A$442,H$5,'Raw Extract'!$B$4:$B$442,$A24))</x:f>
        <x:v>10</x:v>
      </x:c>
      <x:c r="I24" s="37" t="n">
        <x:f>IF(COUNTIFS('Raw Extract'!$A$4:$A$442,I$5,'Raw Extract'!$B$4:$B$442,$A24)=0,"",SUMIFS('Raw Extract'!$C$4:$C$442,'Raw Extract'!$A$4:$A$442,I$5,'Raw Extract'!$B$4:$B$442,$A24))</x:f>
        <x:v>9</x:v>
      </x:c>
      <x:c r="J24" s="37" t="n">
        <x:f>IF(COUNTIFS('Raw Extract'!$A$4:$A$442,J$5,'Raw Extract'!$B$4:$B$442,$A24)=0,"",SUMIFS('Raw Extract'!$C$4:$C$442,'Raw Extract'!$A$4:$A$442,J$5,'Raw Extract'!$B$4:$B$442,$A24))</x:f>
        <x:v>7</x:v>
      </x:c>
      <x:c r="K24" s="37" t="n">
        <x:f>IF(COUNTIFS('Raw Extract'!$A$4:$A$442,K$5,'Raw Extract'!$B$4:$B$442,$A24)=0,"",SUMIFS('Raw Extract'!$C$4:$C$442,'Raw Extract'!$A$4:$A$442,K$5,'Raw Extract'!$B$4:$B$442,$A24))</x:f>
        <x:v>8</x:v>
      </x:c>
      <x:c r="L24" s="37" t="n">
        <x:f>IF(COUNTIFS('Raw Extract'!$A$4:$A$442,L$5,'Raw Extract'!$B$4:$B$442,$A24)=0,"",SUMIFS('Raw Extract'!$C$4:$C$442,'Raw Extract'!$A$4:$A$442,L$5,'Raw Extract'!$B$4:$B$442,$A24))</x:f>
        <x:v>9</x:v>
      </x:c>
      <x:c r="M24" s="37" t="n">
        <x:f>IF(COUNTIFS('Raw Extract'!$A$4:$A$442,M$5,'Raw Extract'!$B$4:$B$442,$A24)=0,"",SUMIFS('Raw Extract'!$C$4:$C$442,'Raw Extract'!$A$4:$A$442,M$5,'Raw Extract'!$B$4:$B$442,$A24))</x:f>
        <x:v>13</x:v>
      </x:c>
      <x:c r="N24" s="37" t="n">
        <x:f>IF(COUNTIFS('Raw Extract'!$A$4:$A$442,N$5,'Raw Extract'!$B$4:$B$442,$A24)=0,"",SUMIFS('Raw Extract'!$C$4:$C$442,'Raw Extract'!$A$4:$A$442,N$5,'Raw Extract'!$B$4:$B$442,$A24))</x:f>
        <x:v>13</x:v>
      </x:c>
      <x:c r="O24" s="37" t="n">
        <x:f>IF(COUNTIFS('Raw Extract'!$A$4:$A$442,O$5,'Raw Extract'!$B$4:$B$442,$A24)=0,"",SUMIFS('Raw Extract'!$C$4:$C$442,'Raw Extract'!$A$4:$A$442,O$5,'Raw Extract'!$B$4:$B$442,$A24))</x:f>
        <x:v>13</x:v>
      </x:c>
      <x:c r="P24" s="37" t="n">
        <x:f>IF(COUNTIFS('Raw Extract'!$A$4:$A$442,P$5,'Raw Extract'!$B$4:$B$442,$A24)=0,"",SUMIFS('Raw Extract'!$C$4:$C$442,'Raw Extract'!$A$4:$A$442,P$5,'Raw Extract'!$B$4:$B$442,$A24))</x:f>
        <x:v>13</x:v>
      </x:c>
      <x:c r="Q24" s="37" t="n">
        <x:f>IF(COUNTIFS('Raw Extract'!$A$4:$A$442,Q$5,'Raw Extract'!$B$4:$B$442,$A24)=0,"",SUMIFS('Raw Extract'!$C$4:$C$442,'Raw Extract'!$A$4:$A$442,Q$5,'Raw Extract'!$B$4:$B$442,$A24))</x:f>
        <x:v>11</x:v>
      </x:c>
      <x:c r="R24" s="42" t="n">
        <x:f>IF(COUNTIFS('Raw Extract'!$A$4:$A$442,R$5,'Raw Extract'!$B$4:$B$442,$A24)=0,"",SUMIFS('Raw Extract'!$C$4:$C$442,'Raw Extract'!$A$4:$A$442,R$5,'Raw Extract'!$B$4:$B$442,$A24))</x:f>
        <x:v>11</x:v>
      </x:c>
      <x:c r="S24" s="37" t="n">
        <x:f>IF(COUNTIFS('Raw Extract'!$A$4:$A$442,S$5,'Raw Extract'!$B$4:$B$442,$A24)=0,"",SUMIFS('Raw Extract'!$C$4:$C$442,'Raw Extract'!$A$4:$A$442,S$5,'Raw Extract'!$B$4:$B$442,$A24))</x:f>
        <x:v>10</x:v>
      </x:c>
      <x:c r="T24" s="37" t="n">
        <x:f>IF(COUNTIFS('Raw Extract'!$A$4:$A$442,T$5,'Raw Extract'!$B$4:$B$442,$A24)=0,"",SUMIFS('Raw Extract'!$C$4:$C$442,'Raw Extract'!$A$4:$A$442,T$5,'Raw Extract'!$B$4:$B$442,$A24))</x:f>
        <x:v>10</x:v>
      </x:c>
      <x:c r="U24" s="37" t="n">
        <x:f>IF(COUNTIFS('Raw Extract'!$A$4:$A$442,U$5,'Raw Extract'!$B$4:$B$442,$A24)=0,"",SUMIFS('Raw Extract'!$C$4:$C$442,'Raw Extract'!$A$4:$A$442,U$5,'Raw Extract'!$B$4:$B$442,$A24))</x:f>
        <x:v>10</x:v>
      </x:c>
      <x:c r="V24" s="37" t="n">
        <x:f>IF(COUNTIFS('Raw Extract'!$A$4:$A$442,V$5,'Raw Extract'!$B$4:$B$442,$A24)=0,"",SUMIFS('Raw Extract'!$C$4:$C$442,'Raw Extract'!$A$4:$A$442,V$5,'Raw Extract'!$B$4:$B$442,$A24))</x:f>
        <x:v>8</x:v>
      </x:c>
      <x:c r="W24" s="37" t="n">
        <x:f>IF(COUNTIFS('Raw Extract'!$A$4:$A$442,W$5,'Raw Extract'!$B$4:$B$442,$A24)=0,"",SUMIFS('Raw Extract'!$C$4:$C$442,'Raw Extract'!$A$4:$A$442,W$5,'Raw Extract'!$B$4:$B$442,$A24))</x:f>
        <x:v>8</x:v>
      </x:c>
      <x:c r="X24" s="39" t="str">
        <x:f>IF(COUNTIFS('Raw Extract'!$A$4:$A$442,X$5,'Raw Extract'!$B$4:$B$442,$A24)=0,"",SUMIFS('Raw Extract'!$C$4:$C$442,'Raw Extract'!$A$4:$A$442,X$5,'Raw Extract'!$B$4:$B$442,$A24))</x:f>
      </x:c>
    </x:row>
    <x:row r="25" ht="19" customHeight="1">
      <x:c r="A25" s="29" t="str">
        <x:v>GUDCEF-CV</x:v>
      </x:c>
      <x:c r="B25" s="37" t="n">
        <x:f>IF(COUNTIFS('Raw Extract'!$A$4:$A$442,B$5,'Raw Extract'!$B$4:$B$442,$A25)=0,"",SUMIFS('Raw Extract'!$C$4:$C$442,'Raw Extract'!$A$4:$A$442,B$5,'Raw Extract'!$B$4:$B$442,$A25))</x:f>
        <x:v>14</x:v>
      </x:c>
      <x:c r="C25" s="37" t="n">
        <x:f>IF(COUNTIFS('Raw Extract'!$A$4:$A$442,C$5,'Raw Extract'!$B$4:$B$442,$A25)=0,"",SUMIFS('Raw Extract'!$C$4:$C$442,'Raw Extract'!$A$4:$A$442,C$5,'Raw Extract'!$B$4:$B$442,$A25))</x:f>
        <x:v>13</x:v>
      </x:c>
      <x:c r="D25" s="37" t="n">
        <x:f>IF(COUNTIFS('Raw Extract'!$A$4:$A$442,D$5,'Raw Extract'!$B$4:$B$442,$A25)=0,"",SUMIFS('Raw Extract'!$C$4:$C$442,'Raw Extract'!$A$4:$A$442,D$5,'Raw Extract'!$B$4:$B$442,$A25))</x:f>
        <x:v>12</x:v>
      </x:c>
      <x:c r="E25" s="37" t="n">
        <x:f>IF(COUNTIFS('Raw Extract'!$A$4:$A$442,E$5,'Raw Extract'!$B$4:$B$442,$A25)=0,"",SUMIFS('Raw Extract'!$C$4:$C$442,'Raw Extract'!$A$4:$A$442,E$5,'Raw Extract'!$B$4:$B$442,$A25))</x:f>
        <x:v>10</x:v>
      </x:c>
      <x:c r="F25" s="42" t="n">
        <x:f>IF(COUNTIFS('Raw Extract'!$A$4:$A$442,F$5,'Raw Extract'!$B$4:$B$442,$A25)=0,"",SUMIFS('Raw Extract'!$C$4:$C$442,'Raw Extract'!$A$4:$A$442,F$5,'Raw Extract'!$B$4:$B$442,$A25))</x:f>
        <x:v>10</x:v>
      </x:c>
      <x:c r="G25" s="37" t="n">
        <x:f>IF(COUNTIFS('Raw Extract'!$A$4:$A$442,G$5,'Raw Extract'!$B$4:$B$442,$A25)=0,"",SUMIFS('Raw Extract'!$C$4:$C$442,'Raw Extract'!$A$4:$A$442,G$5,'Raw Extract'!$B$4:$B$442,$A25))</x:f>
        <x:v>11</x:v>
      </x:c>
      <x:c r="H25" s="37" t="n">
        <x:f>IF(COUNTIFS('Raw Extract'!$A$4:$A$442,H$5,'Raw Extract'!$B$4:$B$442,$A25)=0,"",SUMIFS('Raw Extract'!$C$4:$C$442,'Raw Extract'!$A$4:$A$442,H$5,'Raw Extract'!$B$4:$B$442,$A25))</x:f>
        <x:v>10</x:v>
      </x:c>
      <x:c r="I25" s="37" t="n">
        <x:f>IF(COUNTIFS('Raw Extract'!$A$4:$A$442,I$5,'Raw Extract'!$B$4:$B$442,$A25)=0,"",SUMIFS('Raw Extract'!$C$4:$C$442,'Raw Extract'!$A$4:$A$442,I$5,'Raw Extract'!$B$4:$B$442,$A25))</x:f>
        <x:v>10</x:v>
      </x:c>
      <x:c r="J25" s="37" t="n">
        <x:f>IF(COUNTIFS('Raw Extract'!$A$4:$A$442,J$5,'Raw Extract'!$B$4:$B$442,$A25)=0,"",SUMIFS('Raw Extract'!$C$4:$C$442,'Raw Extract'!$A$4:$A$442,J$5,'Raw Extract'!$B$4:$B$442,$A25))</x:f>
        <x:v>9</x:v>
      </x:c>
      <x:c r="K25" s="37" t="n">
        <x:f>IF(COUNTIFS('Raw Extract'!$A$4:$A$442,K$5,'Raw Extract'!$B$4:$B$442,$A25)=0,"",SUMIFS('Raw Extract'!$C$4:$C$442,'Raw Extract'!$A$4:$A$442,K$5,'Raw Extract'!$B$4:$B$442,$A25))</x:f>
        <x:v>8</x:v>
      </x:c>
      <x:c r="L25" s="37" t="n">
        <x:f>IF(COUNTIFS('Raw Extract'!$A$4:$A$442,L$5,'Raw Extract'!$B$4:$B$442,$A25)=0,"",SUMIFS('Raw Extract'!$C$4:$C$442,'Raw Extract'!$A$4:$A$442,L$5,'Raw Extract'!$B$4:$B$442,$A25))</x:f>
        <x:v>9</x:v>
      </x:c>
      <x:c r="M25" s="37" t="n">
        <x:f>IF(COUNTIFS('Raw Extract'!$A$4:$A$442,M$5,'Raw Extract'!$B$4:$B$442,$A25)=0,"",SUMIFS('Raw Extract'!$C$4:$C$442,'Raw Extract'!$A$4:$A$442,M$5,'Raw Extract'!$B$4:$B$442,$A25))</x:f>
        <x:v>13</x:v>
      </x:c>
      <x:c r="N25" s="37" t="n">
        <x:f>IF(COUNTIFS('Raw Extract'!$A$4:$A$442,N$5,'Raw Extract'!$B$4:$B$442,$A25)=0,"",SUMIFS('Raw Extract'!$C$4:$C$442,'Raw Extract'!$A$4:$A$442,N$5,'Raw Extract'!$B$4:$B$442,$A25))</x:f>
        <x:v>14</x:v>
      </x:c>
      <x:c r="O25" s="37" t="n">
        <x:f>IF(COUNTIFS('Raw Extract'!$A$4:$A$442,O$5,'Raw Extract'!$B$4:$B$442,$A25)=0,"",SUMIFS('Raw Extract'!$C$4:$C$442,'Raw Extract'!$A$4:$A$442,O$5,'Raw Extract'!$B$4:$B$442,$A25))</x:f>
        <x:v>12</x:v>
      </x:c>
      <x:c r="P25" s="37" t="n">
        <x:f>IF(COUNTIFS('Raw Extract'!$A$4:$A$442,P$5,'Raw Extract'!$B$4:$B$442,$A25)=0,"",SUMIFS('Raw Extract'!$C$4:$C$442,'Raw Extract'!$A$4:$A$442,P$5,'Raw Extract'!$B$4:$B$442,$A25))</x:f>
        <x:v>10</x:v>
      </x:c>
      <x:c r="Q25" s="37" t="n">
        <x:f>IF(COUNTIFS('Raw Extract'!$A$4:$A$442,Q$5,'Raw Extract'!$B$4:$B$442,$A25)=0,"",SUMIFS('Raw Extract'!$C$4:$C$442,'Raw Extract'!$A$4:$A$442,Q$5,'Raw Extract'!$B$4:$B$442,$A25))</x:f>
        <x:v>10</x:v>
      </x:c>
      <x:c r="R25" s="42" t="n">
        <x:f>IF(COUNTIFS('Raw Extract'!$A$4:$A$442,R$5,'Raw Extract'!$B$4:$B$442,$A25)=0,"",SUMIFS('Raw Extract'!$C$4:$C$442,'Raw Extract'!$A$4:$A$442,R$5,'Raw Extract'!$B$4:$B$442,$A25))</x:f>
        <x:v>10</x:v>
      </x:c>
      <x:c r="S25" s="37" t="str">
        <x:f>IF(COUNTIFS('Raw Extract'!$A$4:$A$442,S$5,'Raw Extract'!$B$4:$B$442,$A25)=0,"",SUMIFS('Raw Extract'!$C$4:$C$442,'Raw Extract'!$A$4:$A$442,S$5,'Raw Extract'!$B$4:$B$442,$A25))</x:f>
      </x:c>
      <x:c r="T25" s="37" t="str">
        <x:f>IF(COUNTIFS('Raw Extract'!$A$4:$A$442,T$5,'Raw Extract'!$B$4:$B$442,$A25)=0,"",SUMIFS('Raw Extract'!$C$4:$C$442,'Raw Extract'!$A$4:$A$442,T$5,'Raw Extract'!$B$4:$B$442,$A25))</x:f>
      </x:c>
      <x:c r="U25" s="37" t="str">
        <x:f>IF(COUNTIFS('Raw Extract'!$A$4:$A$442,U$5,'Raw Extract'!$B$4:$B$442,$A25)=0,"",SUMIFS('Raw Extract'!$C$4:$C$442,'Raw Extract'!$A$4:$A$442,U$5,'Raw Extract'!$B$4:$B$442,$A25))</x:f>
      </x:c>
      <x:c r="V25" s="37" t="str">
        <x:f>IF(COUNTIFS('Raw Extract'!$A$4:$A$442,V$5,'Raw Extract'!$B$4:$B$442,$A25)=0,"",SUMIFS('Raw Extract'!$C$4:$C$442,'Raw Extract'!$A$4:$A$442,V$5,'Raw Extract'!$B$4:$B$442,$A25))</x:f>
      </x:c>
      <x:c r="W25" s="37" t="str">
        <x:f>IF(COUNTIFS('Raw Extract'!$A$4:$A$442,W$5,'Raw Extract'!$B$4:$B$442,$A25)=0,"",SUMIFS('Raw Extract'!$C$4:$C$442,'Raw Extract'!$A$4:$A$442,W$5,'Raw Extract'!$B$4:$B$442,$A25))</x:f>
      </x:c>
      <x:c r="X25" s="39" t="str">
        <x:f>IF(COUNTIFS('Raw Extract'!$A$4:$A$442,X$5,'Raw Extract'!$B$4:$B$442,$A25)=0,"",SUMIFS('Raw Extract'!$C$4:$C$442,'Raw Extract'!$A$4:$A$442,X$5,'Raw Extract'!$B$4:$B$442,$A25))</x:f>
      </x:c>
    </x:row>
    <x:row r="26" ht="19" customHeight="1">
      <x:c r="A26" s="30" t="str">
        <x:v>ASTHAKIND-DX</x:v>
      </x:c>
      <x:c r="B26" s="38" t="n">
        <x:f>IF(COUNTIFS('Raw Extract'!$A$4:$A$442,B$5,'Raw Extract'!$B$4:$B$442,$A26)=0,"",SUMIFS('Raw Extract'!$C$4:$C$442,'Raw Extract'!$A$4:$A$442,B$5,'Raw Extract'!$B$4:$B$442,$A26))</x:f>
        <x:v>11</x:v>
      </x:c>
      <x:c r="C26" s="38" t="str">
        <x:f>IF(COUNTIFS('Raw Extract'!$A$4:$A$442,C$5,'Raw Extract'!$B$4:$B$442,$A26)=0,"",SUMIFS('Raw Extract'!$C$4:$C$442,'Raw Extract'!$A$4:$A$442,C$5,'Raw Extract'!$B$4:$B$442,$A26))</x:f>
      </x:c>
      <x:c r="D26" s="38" t="str">
        <x:f>IF(COUNTIFS('Raw Extract'!$A$4:$A$442,D$5,'Raw Extract'!$B$4:$B$442,$A26)=0,"",SUMIFS('Raw Extract'!$C$4:$C$442,'Raw Extract'!$A$4:$A$442,D$5,'Raw Extract'!$B$4:$B$442,$A26))</x:f>
      </x:c>
      <x:c r="E26" s="38" t="str">
        <x:f>IF(COUNTIFS('Raw Extract'!$A$4:$A$442,E$5,'Raw Extract'!$B$4:$B$442,$A26)=0,"",SUMIFS('Raw Extract'!$C$4:$C$442,'Raw Extract'!$A$4:$A$442,E$5,'Raw Extract'!$B$4:$B$442,$A26))</x:f>
      </x:c>
      <x:c r="F26" s="43" t="str">
        <x:f>IF(COUNTIFS('Raw Extract'!$A$4:$A$442,F$5,'Raw Extract'!$B$4:$B$442,$A26)=0,"",SUMIFS('Raw Extract'!$C$4:$C$442,'Raw Extract'!$A$4:$A$442,F$5,'Raw Extract'!$B$4:$B$442,$A26))</x:f>
      </x:c>
      <x:c r="G26" s="38" t="str">
        <x:f>IF(COUNTIFS('Raw Extract'!$A$4:$A$442,G$5,'Raw Extract'!$B$4:$B$442,$A26)=0,"",SUMIFS('Raw Extract'!$C$4:$C$442,'Raw Extract'!$A$4:$A$442,G$5,'Raw Extract'!$B$4:$B$442,$A26))</x:f>
      </x:c>
      <x:c r="H26" s="38" t="str">
        <x:f>IF(COUNTIFS('Raw Extract'!$A$4:$A$442,H$5,'Raw Extract'!$B$4:$B$442,$A26)=0,"",SUMIFS('Raw Extract'!$C$4:$C$442,'Raw Extract'!$A$4:$A$442,H$5,'Raw Extract'!$B$4:$B$442,$A26))</x:f>
      </x:c>
      <x:c r="I26" s="38" t="str">
        <x:f>IF(COUNTIFS('Raw Extract'!$A$4:$A$442,I$5,'Raw Extract'!$B$4:$B$442,$A26)=0,"",SUMIFS('Raw Extract'!$C$4:$C$442,'Raw Extract'!$A$4:$A$442,I$5,'Raw Extract'!$B$4:$B$442,$A26))</x:f>
      </x:c>
      <x:c r="J26" s="38" t="str">
        <x:f>IF(COUNTIFS('Raw Extract'!$A$4:$A$442,J$5,'Raw Extract'!$B$4:$B$442,$A26)=0,"",SUMIFS('Raw Extract'!$C$4:$C$442,'Raw Extract'!$A$4:$A$442,J$5,'Raw Extract'!$B$4:$B$442,$A26))</x:f>
      </x:c>
      <x:c r="K26" s="38" t="str">
        <x:f>IF(COUNTIFS('Raw Extract'!$A$4:$A$442,K$5,'Raw Extract'!$B$4:$B$442,$A26)=0,"",SUMIFS('Raw Extract'!$C$4:$C$442,'Raw Extract'!$A$4:$A$442,K$5,'Raw Extract'!$B$4:$B$442,$A26))</x:f>
      </x:c>
      <x:c r="L26" s="38" t="str">
        <x:f>IF(COUNTIFS('Raw Extract'!$A$4:$A$442,L$5,'Raw Extract'!$B$4:$B$442,$A26)=0,"",SUMIFS('Raw Extract'!$C$4:$C$442,'Raw Extract'!$A$4:$A$442,L$5,'Raw Extract'!$B$4:$B$442,$A26))</x:f>
      </x:c>
      <x:c r="M26" s="38" t="str">
        <x:f>IF(COUNTIFS('Raw Extract'!$A$4:$A$442,M$5,'Raw Extract'!$B$4:$B$442,$A26)=0,"",SUMIFS('Raw Extract'!$C$4:$C$442,'Raw Extract'!$A$4:$A$442,M$5,'Raw Extract'!$B$4:$B$442,$A26))</x:f>
      </x:c>
      <x:c r="N26" s="38" t="str">
        <x:f>IF(COUNTIFS('Raw Extract'!$A$4:$A$442,N$5,'Raw Extract'!$B$4:$B$442,$A26)=0,"",SUMIFS('Raw Extract'!$C$4:$C$442,'Raw Extract'!$A$4:$A$442,N$5,'Raw Extract'!$B$4:$B$442,$A26))</x:f>
      </x:c>
      <x:c r="O26" s="38" t="str">
        <x:f>IF(COUNTIFS('Raw Extract'!$A$4:$A$442,O$5,'Raw Extract'!$B$4:$B$442,$A26)=0,"",SUMIFS('Raw Extract'!$C$4:$C$442,'Raw Extract'!$A$4:$A$442,O$5,'Raw Extract'!$B$4:$B$442,$A26))</x:f>
      </x:c>
      <x:c r="P26" s="38" t="str">
        <x:f>IF(COUNTIFS('Raw Extract'!$A$4:$A$442,P$5,'Raw Extract'!$B$4:$B$442,$A26)=0,"",SUMIFS('Raw Extract'!$C$4:$C$442,'Raw Extract'!$A$4:$A$442,P$5,'Raw Extract'!$B$4:$B$442,$A26))</x:f>
      </x:c>
      <x:c r="Q26" s="38" t="str">
        <x:f>IF(COUNTIFS('Raw Extract'!$A$4:$A$442,Q$5,'Raw Extract'!$B$4:$B$442,$A26)=0,"",SUMIFS('Raw Extract'!$C$4:$C$442,'Raw Extract'!$A$4:$A$442,Q$5,'Raw Extract'!$B$4:$B$442,$A26))</x:f>
      </x:c>
      <x:c r="R26" s="43" t="str">
        <x:f>IF(COUNTIFS('Raw Extract'!$A$4:$A$442,R$5,'Raw Extract'!$B$4:$B$442,$A26)=0,"",SUMIFS('Raw Extract'!$C$4:$C$442,'Raw Extract'!$A$4:$A$442,R$5,'Raw Extract'!$B$4:$B$442,$A26))</x:f>
      </x:c>
      <x:c r="S26" s="38" t="str">
        <x:f>IF(COUNTIFS('Raw Extract'!$A$4:$A$442,S$5,'Raw Extract'!$B$4:$B$442,$A26)=0,"",SUMIFS('Raw Extract'!$C$4:$C$442,'Raw Extract'!$A$4:$A$442,S$5,'Raw Extract'!$B$4:$B$442,$A26))</x:f>
      </x:c>
      <x:c r="T26" s="38" t="str">
        <x:f>IF(COUNTIFS('Raw Extract'!$A$4:$A$442,T$5,'Raw Extract'!$B$4:$B$442,$A26)=0,"",SUMIFS('Raw Extract'!$C$4:$C$442,'Raw Extract'!$A$4:$A$442,T$5,'Raw Extract'!$B$4:$B$442,$A26))</x:f>
      </x:c>
      <x:c r="U26" s="38" t="str">
        <x:f>IF(COUNTIFS('Raw Extract'!$A$4:$A$442,U$5,'Raw Extract'!$B$4:$B$442,$A26)=0,"",SUMIFS('Raw Extract'!$C$4:$C$442,'Raw Extract'!$A$4:$A$442,U$5,'Raw Extract'!$B$4:$B$442,$A26))</x:f>
      </x:c>
      <x:c r="V26" s="38" t="str">
        <x:f>IF(COUNTIFS('Raw Extract'!$A$4:$A$442,V$5,'Raw Extract'!$B$4:$B$442,$A26)=0,"",SUMIFS('Raw Extract'!$C$4:$C$442,'Raw Extract'!$A$4:$A$442,V$5,'Raw Extract'!$B$4:$B$442,$A26))</x:f>
      </x:c>
      <x:c r="W26" s="38" t="str">
        <x:f>IF(COUNTIFS('Raw Extract'!$A$4:$A$442,W$5,'Raw Extract'!$B$4:$B$442,$A26)=0,"",SUMIFS('Raw Extract'!$C$4:$C$442,'Raw Extract'!$A$4:$A$442,W$5,'Raw Extract'!$B$4:$B$442,$A26))</x:f>
      </x:c>
      <x:c r="X26" s="40" t="str">
        <x:f>IF(COUNTIFS('Raw Extract'!$A$4:$A$442,X$5,'Raw Extract'!$B$4:$B$442,$A26)=0,"",SUMIFS('Raw Extract'!$C$4:$C$442,'Raw Extract'!$A$4:$A$442,X$5,'Raw Extract'!$B$4:$B$442,$A26))</x:f>
      </x:c>
    </x:row>
    <x:row r="28" ht="24" customHeight="1">
      <x:c r="A28" s="47" t="str">
        <x:v>Blank cells mean the product was not shown in that month's supplied top-brand table; blanks are not interpreted as zero sales.</x:v>
      </x:c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</x:row>
    <x:row r="29">
      <x:c r="A29" s="48" t="str">
        <x:v>Source: MOM_IQVIA_Mankind.pdf; monthly 'Values in Crores' column on the printed month page.</x:v>
      </x:c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</x:row>
  </x:sheetData>
  <x:mergeCells>
    <x:mergeCell ref="A1:X1"/>
    <x:mergeCell ref="A2:X2"/>
    <x:mergeCell ref="A3:X3"/>
    <x:mergeCell ref="A28:X28"/>
    <x:mergeCell ref="A29:X29"/>
  </x:mergeCells>
  <x:conditionalFormatting sqref="B6:X26">
    <x:cfRule type="containsBlank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1" hidden="0" customWidth="1"/>
  </x:cols>
  <x:sheetData>
    <x:row r="1" ht="28" customHeight="1">
      <x:c r="A1" s="50" t="str">
        <x:v>Raw Extract - Observed Brand-Month Records</x:v>
      </x:c>
      <x:c r="B1" s="50"/>
      <x:c r="C1" s="50"/>
      <x:c r="D1" s="50"/>
    </x:row>
    <x:row r="2">
      <x:c r="A2" s="51" t="str">
        <x:v>Only entries visible in the supplied monthly top-brand tables are captured.</x:v>
      </x:c>
      <x:c r="B2" s="51"/>
      <x:c r="C2" s="51"/>
      <x:c r="D2" s="51"/>
    </x:row>
    <x:row r="3">
      <x:c r="A3" s="53" t="str">
        <x:v>Month</x:v>
      </x:c>
      <x:c r="B3" s="53" t="str">
        <x:v>Product</x:v>
      </x:c>
      <x:c r="C3" s="53" t="str">
        <x:v>Sales (INR cr)</x:v>
      </x:c>
      <x:c r="D3" s="53" t="str">
        <x:v>PDF Page</x:v>
      </x:c>
    </x:row>
    <x:row r="4">
      <x:c r="A4" s="61" t="n">
        <x:v>45536</x:v>
      </x:c>
      <x:c r="B4" s="62" t="str">
        <x:v>MANFORCE</x:v>
      </x:c>
      <x:c r="C4" s="63" t="n">
        <x:v>40.56</x:v>
      </x:c>
      <x:c r="D4" s="64" t="n">
        <x:v>1</x:v>
      </x:c>
    </x:row>
    <x:row r="5">
      <x:c r="A5" s="61" t="n">
        <x:v>45536</x:v>
      </x:c>
      <x:c r="B5" s="62" t="str">
        <x:v>MOXIKIND-CV</x:v>
      </x:c>
      <x:c r="C5" s="63" t="n">
        <x:v>37.52</x:v>
      </x:c>
      <x:c r="D5" s="64" t="n">
        <x:v>1</x:v>
      </x:c>
    </x:row>
    <x:row r="6">
      <x:c r="A6" s="61" t="n">
        <x:v>45536</x:v>
      </x:c>
      <x:c r="B6" s="62" t="str">
        <x:v>AMLOKIND-AT</x:v>
      </x:c>
      <x:c r="C6" s="63" t="n">
        <x:v>21.37</x:v>
      </x:c>
      <x:c r="D6" s="64" t="n">
        <x:v>1</x:v>
      </x:c>
    </x:row>
    <x:row r="7">
      <x:c r="A7" s="61" t="n">
        <x:v>45536</x:v>
      </x:c>
      <x:c r="B7" s="62" t="str">
        <x:v>UNWANTED-KIT</x:v>
      </x:c>
      <x:c r="C7" s="63" t="n">
        <x:v>14.72</x:v>
      </x:c>
      <x:c r="D7" s="64" t="n">
        <x:v>1</x:v>
      </x:c>
    </x:row>
    <x:row r="8">
      <x:c r="A8" s="61" t="n">
        <x:v>45536</x:v>
      </x:c>
      <x:c r="B8" s="62" t="str">
        <x:v>DYDROBOON</x:v>
      </x:c>
      <x:c r="C8" s="63" t="n">
        <x:v>18.01</x:v>
      </x:c>
      <x:c r="D8" s="64" t="n">
        <x:v>1</x:v>
      </x:c>
    </x:row>
    <x:row r="9">
      <x:c r="A9" s="61" t="n">
        <x:v>45536</x:v>
      </x:c>
      <x:c r="B9" s="62" t="str">
        <x:v>PREGA NEWS</x:v>
      </x:c>
      <x:c r="C9" s="63" t="n">
        <x:v>17.33</x:v>
      </x:c>
      <x:c r="D9" s="64" t="n">
        <x:v>1</x:v>
      </x:c>
    </x:row>
    <x:row r="10">
      <x:c r="A10" s="61" t="n">
        <x:v>45536</x:v>
      </x:c>
      <x:c r="B10" s="62" t="str">
        <x:v>GUDCEF</x:v>
      </x:c>
      <x:c r="C10" s="63" t="n">
        <x:v>22.75</x:v>
      </x:c>
      <x:c r="D10" s="64" t="n">
        <x:v>1</x:v>
      </x:c>
    </x:row>
    <x:row r="11">
      <x:c r="A11" s="61" t="n">
        <x:v>45536</x:v>
      </x:c>
      <x:c r="B11" s="62" t="str">
        <x:v>CANDIFORCE</x:v>
      </x:c>
      <x:c r="C11" s="63" t="n">
        <x:v>19.76</x:v>
      </x:c>
      <x:c r="D11" s="64" t="n">
        <x:v>1</x:v>
      </x:c>
    </x:row>
    <x:row r="12">
      <x:c r="A12" s="61" t="n">
        <x:v>45536</x:v>
      </x:c>
      <x:c r="B12" s="62" t="str">
        <x:v>GLIMESTAR-M</x:v>
      </x:c>
      <x:c r="C12" s="63" t="n">
        <x:v>16.04</x:v>
      </x:c>
      <x:c r="D12" s="64" t="n">
        <x:v>1</x:v>
      </x:c>
    </x:row>
    <x:row r="13">
      <x:c r="A13" s="61" t="n">
        <x:v>45536</x:v>
      </x:c>
      <x:c r="B13" s="62" t="str">
        <x:v>NUROKIND-GOLD</x:v>
      </x:c>
      <x:c r="C13" s="63" t="n">
        <x:v>16</x:v>
      </x:c>
      <x:c r="D13" s="64" t="n">
        <x:v>1</x:v>
      </x:c>
    </x:row>
    <x:row r="14">
      <x:c r="A14" s="61" t="n">
        <x:v>45536</x:v>
      </x:c>
      <x:c r="B14" s="62" t="str">
        <x:v>TELMIKIND-AM</x:v>
      </x:c>
      <x:c r="C14" s="63" t="n">
        <x:v>13.31</x:v>
      </x:c>
      <x:c r="D14" s="64" t="n">
        <x:v>1</x:v>
      </x:c>
    </x:row>
    <x:row r="15">
      <x:c r="A15" s="61" t="n">
        <x:v>45536</x:v>
      </x:c>
      <x:c r="B15" s="62" t="str">
        <x:v>NUROKIND-LC</x:v>
      </x:c>
      <x:c r="C15" s="63" t="n">
        <x:v>13</x:v>
      </x:c>
      <x:c r="D15" s="64" t="n">
        <x:v>1</x:v>
      </x:c>
    </x:row>
    <x:row r="16">
      <x:c r="A16" s="61" t="n">
        <x:v>45536</x:v>
      </x:c>
      <x:c r="B16" s="62" t="str">
        <x:v>TELMIKIND-H</x:v>
      </x:c>
      <x:c r="C16" s="63" t="n">
        <x:v>13</x:v>
      </x:c>
      <x:c r="D16" s="64" t="n">
        <x:v>1</x:v>
      </x:c>
    </x:row>
    <x:row r="17">
      <x:c r="A17" s="61" t="n">
        <x:v>45536</x:v>
      </x:c>
      <x:c r="B17" s="62" t="str">
        <x:v>VOMIKIND</x:v>
      </x:c>
      <x:c r="C17" s="63" t="n">
        <x:v>11.74</x:v>
      </x:c>
      <x:c r="D17" s="64" t="n">
        <x:v>1</x:v>
      </x:c>
    </x:row>
    <x:row r="18">
      <x:c r="A18" s="61" t="n">
        <x:v>45536</x:v>
      </x:c>
      <x:c r="B18" s="62" t="str">
        <x:v>CEFAKIND</x:v>
      </x:c>
      <x:c r="C18" s="63" t="n">
        <x:v>14</x:v>
      </x:c>
      <x:c r="D18" s="64" t="n">
        <x:v>1</x:v>
      </x:c>
    </x:row>
    <x:row r="19">
      <x:c r="A19" s="61" t="n">
        <x:v>45536</x:v>
      </x:c>
      <x:c r="B19" s="62" t="str">
        <x:v>TELMIKIND</x:v>
      </x:c>
      <x:c r="C19" s="63" t="n">
        <x:v>12</x:v>
      </x:c>
      <x:c r="D19" s="64" t="n">
        <x:v>1</x:v>
      </x:c>
    </x:row>
    <x:row r="20">
      <x:c r="A20" s="61" t="n">
        <x:v>45536</x:v>
      </x:c>
      <x:c r="B20" s="62" t="str">
        <x:v>NUROKIND PLUS-RF</x:v>
      </x:c>
      <x:c r="C20" s="63" t="n">
        <x:v>12</x:v>
      </x:c>
      <x:c r="D20" s="64" t="n">
        <x:v>1</x:v>
      </x:c>
    </x:row>
    <x:row r="21">
      <x:c r="A21" s="61" t="n">
        <x:v>45536</x:v>
      </x:c>
      <x:c r="B21" s="62" t="str">
        <x:v>GUDCEF-CV</x:v>
      </x:c>
      <x:c r="C21" s="63" t="n">
        <x:v>14</x:v>
      </x:c>
      <x:c r="D21" s="64" t="n">
        <x:v>1</x:v>
      </x:c>
    </x:row>
    <x:row r="22">
      <x:c r="A22" s="61" t="n">
        <x:v>45536</x:v>
      </x:c>
      <x:c r="B22" s="62" t="str">
        <x:v>MONTICOPE</x:v>
      </x:c>
      <x:c r="C22" s="63" t="n">
        <x:v>11</x:v>
      </x:c>
      <x:c r="D22" s="64" t="n">
        <x:v>1</x:v>
      </x:c>
    </x:row>
    <x:row r="23">
      <x:c r="A23" s="61" t="n">
        <x:v>45536</x:v>
      </x:c>
      <x:c r="B23" s="62" t="str">
        <x:v>ASTHAKIND-DX</x:v>
      </x:c>
      <x:c r="C23" s="63" t="n">
        <x:v>11</x:v>
      </x:c>
      <x:c r="D23" s="64" t="n">
        <x:v>1</x:v>
      </x:c>
    </x:row>
    <x:row r="24">
      <x:c r="A24" s="61" t="n">
        <x:v>45566</x:v>
      </x:c>
      <x:c r="B24" s="62" t="str">
        <x:v>MANFORCE</x:v>
      </x:c>
      <x:c r="C24" s="63" t="n">
        <x:v>41.12</x:v>
      </x:c>
      <x:c r="D24" s="64" t="n">
        <x:v>2</x:v>
      </x:c>
    </x:row>
    <x:row r="25">
      <x:c r="A25" s="61" t="n">
        <x:v>45566</x:v>
      </x:c>
      <x:c r="B25" s="62" t="str">
        <x:v>MOXIKIND-CV</x:v>
      </x:c>
      <x:c r="C25" s="63" t="n">
        <x:v>36.47</x:v>
      </x:c>
      <x:c r="D25" s="64" t="n">
        <x:v>2</x:v>
      </x:c>
    </x:row>
    <x:row r="26">
      <x:c r="A26" s="61" t="n">
        <x:v>45566</x:v>
      </x:c>
      <x:c r="B26" s="62" t="str">
        <x:v>AMLOKIND-AT</x:v>
      </x:c>
      <x:c r="C26" s="63" t="n">
        <x:v>22.47</x:v>
      </x:c>
      <x:c r="D26" s="64" t="n">
        <x:v>2</x:v>
      </x:c>
    </x:row>
    <x:row r="27">
      <x:c r="A27" s="61" t="n">
        <x:v>45566</x:v>
      </x:c>
      <x:c r="B27" s="62" t="str">
        <x:v>UNWANTED-KIT</x:v>
      </x:c>
      <x:c r="C27" s="63" t="n">
        <x:v>15.66</x:v>
      </x:c>
      <x:c r="D27" s="64" t="n">
        <x:v>2</x:v>
      </x:c>
    </x:row>
    <x:row r="28">
      <x:c r="A28" s="61" t="n">
        <x:v>45566</x:v>
      </x:c>
      <x:c r="B28" s="62" t="str">
        <x:v>DYDROBOON</x:v>
      </x:c>
      <x:c r="C28" s="63" t="n">
        <x:v>16.76</x:v>
      </x:c>
      <x:c r="D28" s="64" t="n">
        <x:v>2</x:v>
      </x:c>
    </x:row>
    <x:row r="29">
      <x:c r="A29" s="61" t="n">
        <x:v>45566</x:v>
      </x:c>
      <x:c r="B29" s="62" t="str">
        <x:v>PREGA NEWS</x:v>
      </x:c>
      <x:c r="C29" s="63" t="n">
        <x:v>17.07</x:v>
      </x:c>
      <x:c r="D29" s="64" t="n">
        <x:v>2</x:v>
      </x:c>
    </x:row>
    <x:row r="30">
      <x:c r="A30" s="61" t="n">
        <x:v>45566</x:v>
      </x:c>
      <x:c r="B30" s="62" t="str">
        <x:v>GUDCEF</x:v>
      </x:c>
      <x:c r="C30" s="63" t="n">
        <x:v>20.76</x:v>
      </x:c>
      <x:c r="D30" s="64" t="n">
        <x:v>2</x:v>
      </x:c>
    </x:row>
    <x:row r="31">
      <x:c r="A31" s="61" t="n">
        <x:v>45566</x:v>
      </x:c>
      <x:c r="B31" s="62" t="str">
        <x:v>CANDIFORCE</x:v>
      </x:c>
      <x:c r="C31" s="63" t="n">
        <x:v>19.67</x:v>
      </x:c>
      <x:c r="D31" s="64" t="n">
        <x:v>2</x:v>
      </x:c>
    </x:row>
    <x:row r="32">
      <x:c r="A32" s="61" t="n">
        <x:v>45566</x:v>
      </x:c>
      <x:c r="B32" s="62" t="str">
        <x:v>GLIMESTAR-M</x:v>
      </x:c>
      <x:c r="C32" s="63" t="n">
        <x:v>16.45</x:v>
      </x:c>
      <x:c r="D32" s="64" t="n">
        <x:v>2</x:v>
      </x:c>
    </x:row>
    <x:row r="33">
      <x:c r="A33" s="61" t="n">
        <x:v>45566</x:v>
      </x:c>
      <x:c r="B33" s="62" t="str">
        <x:v>NUROKIND-GOLD</x:v>
      </x:c>
      <x:c r="C33" s="63" t="n">
        <x:v>15.01</x:v>
      </x:c>
      <x:c r="D33" s="64" t="n">
        <x:v>2</x:v>
      </x:c>
    </x:row>
    <x:row r="34">
      <x:c r="A34" s="61" t="n">
        <x:v>45566</x:v>
      </x:c>
      <x:c r="B34" s="62" t="str">
        <x:v>TELMIKIND-AM</x:v>
      </x:c>
      <x:c r="C34" s="63" t="n">
        <x:v>13.96</x:v>
      </x:c>
      <x:c r="D34" s="64" t="n">
        <x:v>2</x:v>
      </x:c>
    </x:row>
    <x:row r="35">
      <x:c r="A35" s="61" t="n">
        <x:v>45566</x:v>
      </x:c>
      <x:c r="B35" s="62" t="str">
        <x:v>TELMIKIND-H</x:v>
      </x:c>
      <x:c r="C35" s="63" t="n">
        <x:v>13.24</x:v>
      </x:c>
      <x:c r="D35" s="64" t="n">
        <x:v>2</x:v>
      </x:c>
    </x:row>
    <x:row r="36">
      <x:c r="A36" s="61" t="n">
        <x:v>45566</x:v>
      </x:c>
      <x:c r="B36" s="62" t="str">
        <x:v>NUROKIND-LC</x:v>
      </x:c>
      <x:c r="C36" s="63" t="n">
        <x:v>13</x:v>
      </x:c>
      <x:c r="D36" s="64" t="n">
        <x:v>2</x:v>
      </x:c>
    </x:row>
    <x:row r="37">
      <x:c r="A37" s="61" t="n">
        <x:v>45566</x:v>
      </x:c>
      <x:c r="B37" s="62" t="str">
        <x:v>VOMIKIND</x:v>
      </x:c>
      <x:c r="C37" s="63" t="n">
        <x:v>11</x:v>
      </x:c>
      <x:c r="D37" s="64" t="n">
        <x:v>2</x:v>
      </x:c>
    </x:row>
    <x:row r="38">
      <x:c r="A38" s="61" t="n">
        <x:v>45566</x:v>
      </x:c>
      <x:c r="B38" s="62" t="str">
        <x:v>TELMIKIND</x:v>
      </x:c>
      <x:c r="C38" s="63" t="n">
        <x:v>12</x:v>
      </x:c>
      <x:c r="D38" s="64" t="n">
        <x:v>2</x:v>
      </x:c>
    </x:row>
    <x:row r="39">
      <x:c r="A39" s="61" t="n">
        <x:v>45566</x:v>
      </x:c>
      <x:c r="B39" s="62" t="str">
        <x:v>CEFAKIND</x:v>
      </x:c>
      <x:c r="C39" s="63" t="n">
        <x:v>13</x:v>
      </x:c>
      <x:c r="D39" s="64" t="n">
        <x:v>2</x:v>
      </x:c>
    </x:row>
    <x:row r="40">
      <x:c r="A40" s="61" t="n">
        <x:v>45566</x:v>
      </x:c>
      <x:c r="B40" s="62" t="str">
        <x:v>NUROKIND PLUS-RF</x:v>
      </x:c>
      <x:c r="C40" s="63" t="n">
        <x:v>12</x:v>
      </x:c>
      <x:c r="D40" s="64" t="n">
        <x:v>2</x:v>
      </x:c>
    </x:row>
    <x:row r="41">
      <x:c r="A41" s="61" t="n">
        <x:v>45566</x:v>
      </x:c>
      <x:c r="B41" s="62" t="str">
        <x:v>GUDCEF-CV</x:v>
      </x:c>
      <x:c r="C41" s="63" t="n">
        <x:v>13</x:v>
      </x:c>
      <x:c r="D41" s="64" t="n">
        <x:v>2</x:v>
      </x:c>
    </x:row>
    <x:row r="42">
      <x:c r="A42" s="61" t="n">
        <x:v>45566</x:v>
      </x:c>
      <x:c r="B42" s="62" t="str">
        <x:v>MONTICOPE</x:v>
      </x:c>
      <x:c r="C42" s="63" t="n">
        <x:v>11</x:v>
      </x:c>
      <x:c r="D42" s="64" t="n">
        <x:v>2</x:v>
      </x:c>
    </x:row>
    <x:row r="43">
      <x:c r="A43" s="61" t="n">
        <x:v>45597</x:v>
      </x:c>
      <x:c r="B43" s="62" t="str">
        <x:v>MANFORCE</x:v>
      </x:c>
      <x:c r="C43" s="63" t="n">
        <x:v>46.98</x:v>
      </x:c>
      <x:c r="D43" s="64" t="n">
        <x:v>4</x:v>
      </x:c>
    </x:row>
    <x:row r="44">
      <x:c r="A44" s="61" t="n">
        <x:v>45597</x:v>
      </x:c>
      <x:c r="B44" s="62" t="str">
        <x:v>MOXIKIND-CV</x:v>
      </x:c>
      <x:c r="C44" s="63" t="n">
        <x:v>35.97</x:v>
      </x:c>
      <x:c r="D44" s="64" t="n">
        <x:v>4</x:v>
      </x:c>
    </x:row>
    <x:row r="45">
      <x:c r="A45" s="61" t="n">
        <x:v>45597</x:v>
      </x:c>
      <x:c r="B45" s="62" t="str">
        <x:v>AMLOKIND-AT</x:v>
      </x:c>
      <x:c r="C45" s="63" t="n">
        <x:v>22.67</x:v>
      </x:c>
      <x:c r="D45" s="64" t="n">
        <x:v>4</x:v>
      </x:c>
    </x:row>
    <x:row r="46">
      <x:c r="A46" s="61" t="n">
        <x:v>45597</x:v>
      </x:c>
      <x:c r="B46" s="62" t="str">
        <x:v>UNWANTED-KIT</x:v>
      </x:c>
      <x:c r="C46" s="63" t="n">
        <x:v>16.98</x:v>
      </x:c>
      <x:c r="D46" s="64" t="n">
        <x:v>4</x:v>
      </x:c>
    </x:row>
    <x:row r="47">
      <x:c r="A47" s="61" t="n">
        <x:v>45597</x:v>
      </x:c>
      <x:c r="B47" s="62" t="str">
        <x:v>DYDROBOON</x:v>
      </x:c>
      <x:c r="C47" s="63" t="n">
        <x:v>16.16</x:v>
      </x:c>
      <x:c r="D47" s="64" t="n">
        <x:v>4</x:v>
      </x:c>
    </x:row>
    <x:row r="48">
      <x:c r="A48" s="61" t="n">
        <x:v>45597</x:v>
      </x:c>
      <x:c r="B48" s="62" t="str">
        <x:v>PREGA NEWS</x:v>
      </x:c>
      <x:c r="C48" s="63" t="n">
        <x:v>16.88</x:v>
      </x:c>
      <x:c r="D48" s="64" t="n">
        <x:v>4</x:v>
      </x:c>
    </x:row>
    <x:row r="49">
      <x:c r="A49" s="61" t="n">
        <x:v>45597</x:v>
      </x:c>
      <x:c r="B49" s="62" t="str">
        <x:v>GUDCEF</x:v>
      </x:c>
      <x:c r="C49" s="63" t="n">
        <x:v>19.06</x:v>
      </x:c>
      <x:c r="D49" s="64" t="n">
        <x:v>4</x:v>
      </x:c>
    </x:row>
    <x:row r="50">
      <x:c r="A50" s="61" t="n">
        <x:v>45597</x:v>
      </x:c>
      <x:c r="B50" s="62" t="str">
        <x:v>CANDIFORCE</x:v>
      </x:c>
      <x:c r="C50" s="63" t="n">
        <x:v>18.34</x:v>
      </x:c>
      <x:c r="D50" s="64" t="n">
        <x:v>4</x:v>
      </x:c>
    </x:row>
    <x:row r="51">
      <x:c r="A51" s="61" t="n">
        <x:v>45597</x:v>
      </x:c>
      <x:c r="B51" s="62" t="str">
        <x:v>GLIMESTAR-M</x:v>
      </x:c>
      <x:c r="C51" s="63" t="n">
        <x:v>16.34</x:v>
      </x:c>
      <x:c r="D51" s="64" t="n">
        <x:v>4</x:v>
      </x:c>
    </x:row>
    <x:row r="52">
      <x:c r="A52" s="61" t="n">
        <x:v>45597</x:v>
      </x:c>
      <x:c r="B52" s="62" t="str">
        <x:v>NUROKIND-GOLD</x:v>
      </x:c>
      <x:c r="C52" s="63" t="n">
        <x:v>14.75</x:v>
      </x:c>
      <x:c r="D52" s="64" t="n">
        <x:v>4</x:v>
      </x:c>
    </x:row>
    <x:row r="53">
      <x:c r="A53" s="61" t="n">
        <x:v>45597</x:v>
      </x:c>
      <x:c r="B53" s="62" t="str">
        <x:v>TELMIKIND-AM</x:v>
      </x:c>
      <x:c r="C53" s="63" t="n">
        <x:v>14.12</x:v>
      </x:c>
      <x:c r="D53" s="64" t="n">
        <x:v>4</x:v>
      </x:c>
    </x:row>
    <x:row r="54">
      <x:c r="A54" s="61" t="n">
        <x:v>45597</x:v>
      </x:c>
      <x:c r="B54" s="62" t="str">
        <x:v>TELMIKIND-H</x:v>
      </x:c>
      <x:c r="C54" s="63" t="n">
        <x:v>13.19</x:v>
      </x:c>
      <x:c r="D54" s="64" t="n">
        <x:v>4</x:v>
      </x:c>
    </x:row>
    <x:row r="55">
      <x:c r="A55" s="61" t="n">
        <x:v>45597</x:v>
      </x:c>
      <x:c r="B55" s="62" t="str">
        <x:v>NUROKIND-LC</x:v>
      </x:c>
      <x:c r="C55" s="63" t="n">
        <x:v>12</x:v>
      </x:c>
      <x:c r="D55" s="64" t="n">
        <x:v>4</x:v>
      </x:c>
    </x:row>
    <x:row r="56">
      <x:c r="A56" s="61" t="n">
        <x:v>45597</x:v>
      </x:c>
      <x:c r="B56" s="62" t="str">
        <x:v>TELMIKIND</x:v>
      </x:c>
      <x:c r="C56" s="63" t="n">
        <x:v>12</x:v>
      </x:c>
      <x:c r="D56" s="64" t="n">
        <x:v>4</x:v>
      </x:c>
    </x:row>
    <x:row r="57">
      <x:c r="A57" s="61" t="n">
        <x:v>45597</x:v>
      </x:c>
      <x:c r="B57" s="62" t="str">
        <x:v>VOMIKIND</x:v>
      </x:c>
      <x:c r="C57" s="63" t="n">
        <x:v>10</x:v>
      </x:c>
      <x:c r="D57" s="64" t="n">
        <x:v>4</x:v>
      </x:c>
    </x:row>
    <x:row r="58">
      <x:c r="A58" s="61" t="n">
        <x:v>45597</x:v>
      </x:c>
      <x:c r="B58" s="62" t="str">
        <x:v>CEFAKIND</x:v>
      </x:c>
      <x:c r="C58" s="63" t="n">
        <x:v>12</x:v>
      </x:c>
      <x:c r="D58" s="64" t="n">
        <x:v>4</x:v>
      </x:c>
    </x:row>
    <x:row r="59">
      <x:c r="A59" s="61" t="n">
        <x:v>45597</x:v>
      </x:c>
      <x:c r="B59" s="62" t="str">
        <x:v>NUROKIND PLUS-RF</x:v>
      </x:c>
      <x:c r="C59" s="63" t="n">
        <x:v>11</x:v>
      </x:c>
      <x:c r="D59" s="64" t="n">
        <x:v>4</x:v>
      </x:c>
    </x:row>
    <x:row r="60">
      <x:c r="A60" s="61" t="n">
        <x:v>45597</x:v>
      </x:c>
      <x:c r="B60" s="62" t="str">
        <x:v>GUDCEF-CV</x:v>
      </x:c>
      <x:c r="C60" s="63" t="n">
        <x:v>12</x:v>
      </x:c>
      <x:c r="D60" s="64" t="n">
        <x:v>4</x:v>
      </x:c>
    </x:row>
    <x:row r="61">
      <x:c r="A61" s="61" t="n">
        <x:v>45597</x:v>
      </x:c>
      <x:c r="B61" s="62" t="str">
        <x:v>MONTICOPE</x:v>
      </x:c>
      <x:c r="C61" s="63" t="n">
        <x:v>12</x:v>
      </x:c>
      <x:c r="D61" s="64" t="n">
        <x:v>4</x:v>
      </x:c>
    </x:row>
    <x:row r="62">
      <x:c r="A62" s="61" t="n">
        <x:v>45627</x:v>
      </x:c>
      <x:c r="B62" s="62" t="str">
        <x:v>MANFORCE</x:v>
      </x:c>
      <x:c r="C62" s="63" t="n">
        <x:v>48.63</x:v>
      </x:c>
      <x:c r="D62" s="64" t="n">
        <x:v>3</x:v>
      </x:c>
    </x:row>
    <x:row r="63">
      <x:c r="A63" s="61" t="n">
        <x:v>45627</x:v>
      </x:c>
      <x:c r="B63" s="62" t="str">
        <x:v>MOXIKIND-CV</x:v>
      </x:c>
      <x:c r="C63" s="63" t="n">
        <x:v>34.42</x:v>
      </x:c>
      <x:c r="D63" s="64" t="n">
        <x:v>3</x:v>
      </x:c>
    </x:row>
    <x:row r="64">
      <x:c r="A64" s="61" t="n">
        <x:v>45627</x:v>
      </x:c>
      <x:c r="B64" s="62" t="str">
        <x:v>AMLOKIND-AT</x:v>
      </x:c>
      <x:c r="C64" s="63" t="n">
        <x:v>23</x:v>
      </x:c>
      <x:c r="D64" s="64" t="n">
        <x:v>3</x:v>
      </x:c>
    </x:row>
    <x:row r="65">
      <x:c r="A65" s="61" t="n">
        <x:v>45627</x:v>
      </x:c>
      <x:c r="B65" s="62" t="str">
        <x:v>UNWANTED-KIT</x:v>
      </x:c>
      <x:c r="C65" s="63" t="n">
        <x:v>22.26</x:v>
      </x:c>
      <x:c r="D65" s="64" t="n">
        <x:v>3</x:v>
      </x:c>
    </x:row>
    <x:row r="66">
      <x:c r="A66" s="61" t="n">
        <x:v>45627</x:v>
      </x:c>
      <x:c r="B66" s="62" t="str">
        <x:v>PREGA NEWS</x:v>
      </x:c>
      <x:c r="C66" s="63" t="n">
        <x:v>18.29</x:v>
      </x:c>
      <x:c r="D66" s="64" t="n">
        <x:v>3</x:v>
      </x:c>
    </x:row>
    <x:row r="67">
      <x:c r="A67" s="61" t="n">
        <x:v>45627</x:v>
      </x:c>
      <x:c r="B67" s="62" t="str">
        <x:v>DYDROBOON</x:v>
      </x:c>
      <x:c r="C67" s="63" t="n">
        <x:v>16.72</x:v>
      </x:c>
      <x:c r="D67" s="64" t="n">
        <x:v>3</x:v>
      </x:c>
    </x:row>
    <x:row r="68">
      <x:c r="A68" s="61" t="n">
        <x:v>45627</x:v>
      </x:c>
      <x:c r="B68" s="62" t="str">
        <x:v>GUDCEF</x:v>
      </x:c>
      <x:c r="C68" s="63" t="n">
        <x:v>14.93</x:v>
      </x:c>
      <x:c r="D68" s="64" t="n">
        <x:v>3</x:v>
      </x:c>
    </x:row>
    <x:row r="69">
      <x:c r="A69" s="61" t="n">
        <x:v>45627</x:v>
      </x:c>
      <x:c r="B69" s="62" t="str">
        <x:v>CANDIFORCE</x:v>
      </x:c>
      <x:c r="C69" s="63" t="n">
        <x:v>15.7</x:v>
      </x:c>
      <x:c r="D69" s="64" t="n">
        <x:v>3</x:v>
      </x:c>
    </x:row>
    <x:row r="70">
      <x:c r="A70" s="61" t="n">
        <x:v>45627</x:v>
      </x:c>
      <x:c r="B70" s="62" t="str">
        <x:v>GLIMESTAR-M</x:v>
      </x:c>
      <x:c r="C70" s="63" t="n">
        <x:v>16.5</x:v>
      </x:c>
      <x:c r="D70" s="64" t="n">
        <x:v>3</x:v>
      </x:c>
    </x:row>
    <x:row r="71">
      <x:c r="A71" s="61" t="n">
        <x:v>45627</x:v>
      </x:c>
      <x:c r="B71" s="62" t="str">
        <x:v>NUROKIND-GOLD</x:v>
      </x:c>
      <x:c r="C71" s="63" t="n">
        <x:v>11.36</x:v>
      </x:c>
      <x:c r="D71" s="64" t="n">
        <x:v>3</x:v>
      </x:c>
    </x:row>
    <x:row r="72">
      <x:c r="A72" s="61" t="n">
        <x:v>45627</x:v>
      </x:c>
      <x:c r="B72" s="62" t="str">
        <x:v>TELMIKIND-AM</x:v>
      </x:c>
      <x:c r="C72" s="63" t="n">
        <x:v>15.59</x:v>
      </x:c>
      <x:c r="D72" s="64" t="n">
        <x:v>3</x:v>
      </x:c>
    </x:row>
    <x:row r="73">
      <x:c r="A73" s="61" t="n">
        <x:v>45627</x:v>
      </x:c>
      <x:c r="B73" s="62" t="str">
        <x:v>TELMIKIND-H</x:v>
      </x:c>
      <x:c r="C73" s="63" t="n">
        <x:v>13.29</x:v>
      </x:c>
      <x:c r="D73" s="64" t="n">
        <x:v>3</x:v>
      </x:c>
    </x:row>
    <x:row r="74">
      <x:c r="A74" s="61" t="n">
        <x:v>45627</x:v>
      </x:c>
      <x:c r="B74" s="62" t="str">
        <x:v>NUROKIND-LC</x:v>
      </x:c>
      <x:c r="C74" s="63" t="n">
        <x:v>11</x:v>
      </x:c>
      <x:c r="D74" s="64" t="n">
        <x:v>3</x:v>
      </x:c>
    </x:row>
    <x:row r="75">
      <x:c r="A75" s="61" t="n">
        <x:v>45627</x:v>
      </x:c>
      <x:c r="B75" s="62" t="str">
        <x:v>TELMIKIND</x:v>
      </x:c>
      <x:c r="C75" s="63" t="n">
        <x:v>12</x:v>
      </x:c>
      <x:c r="D75" s="64" t="n">
        <x:v>3</x:v>
      </x:c>
    </x:row>
    <x:row r="76">
      <x:c r="A76" s="61" t="n">
        <x:v>45627</x:v>
      </x:c>
      <x:c r="B76" s="62" t="str">
        <x:v>VOMIKIND</x:v>
      </x:c>
      <x:c r="C76" s="63" t="n">
        <x:v>9</x:v>
      </x:c>
      <x:c r="D76" s="64" t="n">
        <x:v>3</x:v>
      </x:c>
    </x:row>
    <x:row r="77">
      <x:c r="A77" s="61" t="n">
        <x:v>45627</x:v>
      </x:c>
      <x:c r="B77" s="62" t="str">
        <x:v>CEFAKIND</x:v>
      </x:c>
      <x:c r="C77" s="63" t="n">
        <x:v>10</x:v>
      </x:c>
      <x:c r="D77" s="64" t="n">
        <x:v>3</x:v>
      </x:c>
    </x:row>
    <x:row r="78">
      <x:c r="A78" s="61" t="n">
        <x:v>45627</x:v>
      </x:c>
      <x:c r="B78" s="62" t="str">
        <x:v>NUROKIND PLUS-RF</x:v>
      </x:c>
      <x:c r="C78" s="63" t="n">
        <x:v>10</x:v>
      </x:c>
      <x:c r="D78" s="64" t="n">
        <x:v>3</x:v>
      </x:c>
    </x:row>
    <x:row r="79">
      <x:c r="A79" s="61" t="n">
        <x:v>45627</x:v>
      </x:c>
      <x:c r="B79" s="62" t="str">
        <x:v>GUDCEF-CV</x:v>
      </x:c>
      <x:c r="C79" s="63" t="n">
        <x:v>10</x:v>
      </x:c>
      <x:c r="D79" s="64" t="n">
        <x:v>3</x:v>
      </x:c>
    </x:row>
    <x:row r="80">
      <x:c r="A80" s="61" t="n">
        <x:v>45627</x:v>
      </x:c>
      <x:c r="B80" s="62" t="str">
        <x:v>MONTICOPE</x:v>
      </x:c>
      <x:c r="C80" s="63" t="n">
        <x:v>11</x:v>
      </x:c>
      <x:c r="D80" s="64" t="n">
        <x:v>3</x:v>
      </x:c>
    </x:row>
    <x:row r="81">
      <x:c r="A81" s="61" t="n">
        <x:v>45658</x:v>
      </x:c>
      <x:c r="B81" s="62" t="str">
        <x:v>MANFORCE</x:v>
      </x:c>
      <x:c r="C81" s="63" t="n">
        <x:v>49.7</x:v>
      </x:c>
      <x:c r="D81" s="64" t="n">
        <x:v>7</x:v>
      </x:c>
    </x:row>
    <x:row r="82">
      <x:c r="A82" s="61" t="n">
        <x:v>45658</x:v>
      </x:c>
      <x:c r="B82" s="62" t="str">
        <x:v>MOXIKIND-CV</x:v>
      </x:c>
      <x:c r="C82" s="63" t="n">
        <x:v>33.23</x:v>
      </x:c>
      <x:c r="D82" s="64" t="n">
        <x:v>7</x:v>
      </x:c>
    </x:row>
    <x:row r="83">
      <x:c r="A83" s="61" t="n">
        <x:v>45658</x:v>
      </x:c>
      <x:c r="B83" s="62" t="str">
        <x:v>AMLOKIND-AT</x:v>
      </x:c>
      <x:c r="C83" s="63" t="n">
        <x:v>24.03</x:v>
      </x:c>
      <x:c r="D83" s="64" t="n">
        <x:v>7</x:v>
      </x:c>
    </x:row>
    <x:row r="84">
      <x:c r="A84" s="61" t="n">
        <x:v>45658</x:v>
      </x:c>
      <x:c r="B84" s="62" t="str">
        <x:v>UNWANTED-KIT</x:v>
      </x:c>
      <x:c r="C84" s="63" t="n">
        <x:v>24.38</x:v>
      </x:c>
      <x:c r="D84" s="64" t="n">
        <x:v>7</x:v>
      </x:c>
    </x:row>
    <x:row r="85">
      <x:c r="A85" s="61" t="n">
        <x:v>45658</x:v>
      </x:c>
      <x:c r="B85" s="62" t="str">
        <x:v>PREGA NEWS</x:v>
      </x:c>
      <x:c r="C85" s="63" t="n">
        <x:v>18.29</x:v>
      </x:c>
      <x:c r="D85" s="64" t="n">
        <x:v>7</x:v>
      </x:c>
    </x:row>
    <x:row r="86">
      <x:c r="A86" s="61" t="n">
        <x:v>45658</x:v>
      </x:c>
      <x:c r="B86" s="62" t="str">
        <x:v>DYDROBOON</x:v>
      </x:c>
      <x:c r="C86" s="63" t="n">
        <x:v>17.31</x:v>
      </x:c>
      <x:c r="D86" s="64" t="n">
        <x:v>7</x:v>
      </x:c>
    </x:row>
    <x:row r="87">
      <x:c r="A87" s="61" t="n">
        <x:v>45658</x:v>
      </x:c>
      <x:c r="B87" s="62" t="str">
        <x:v>GUDCEF</x:v>
      </x:c>
      <x:c r="C87" s="63" t="n">
        <x:v>14.28</x:v>
      </x:c>
      <x:c r="D87" s="64" t="n">
        <x:v>7</x:v>
      </x:c>
    </x:row>
    <x:row r="88">
      <x:c r="A88" s="61" t="n">
        <x:v>45658</x:v>
      </x:c>
      <x:c r="B88" s="62" t="str">
        <x:v>CANDIFORCE</x:v>
      </x:c>
      <x:c r="C88" s="63" t="n">
        <x:v>15.05</x:v>
      </x:c>
      <x:c r="D88" s="64" t="n">
        <x:v>7</x:v>
      </x:c>
    </x:row>
    <x:row r="89">
      <x:c r="A89" s="61" t="n">
        <x:v>45658</x:v>
      </x:c>
      <x:c r="B89" s="62" t="str">
        <x:v>GLIMESTAR-M</x:v>
      </x:c>
      <x:c r="C89" s="63" t="n">
        <x:v>16.6</x:v>
      </x:c>
      <x:c r="D89" s="64" t="n">
        <x:v>7</x:v>
      </x:c>
    </x:row>
    <x:row r="90">
      <x:c r="A90" s="61" t="n">
        <x:v>45658</x:v>
      </x:c>
      <x:c r="B90" s="62" t="str">
        <x:v>TELMIKIND-AM</x:v>
      </x:c>
      <x:c r="C90" s="63" t="n">
        <x:v>16.51</x:v>
      </x:c>
      <x:c r="D90" s="64" t="n">
        <x:v>7</x:v>
      </x:c>
    </x:row>
    <x:row r="91">
      <x:c r="A91" s="61" t="n">
        <x:v>45658</x:v>
      </x:c>
      <x:c r="B91" s="62" t="str">
        <x:v>NUROKIND-GOLD</x:v>
      </x:c>
      <x:c r="C91" s="63" t="n">
        <x:v>11.04</x:v>
      </x:c>
      <x:c r="D91" s="64" t="n">
        <x:v>7</x:v>
      </x:c>
    </x:row>
    <x:row r="92">
      <x:c r="A92" s="61" t="n">
        <x:v>45658</x:v>
      </x:c>
      <x:c r="B92" s="62" t="str">
        <x:v>TELMIKIND-H</x:v>
      </x:c>
      <x:c r="C92" s="63" t="n">
        <x:v>13.67</x:v>
      </x:c>
      <x:c r="D92" s="64" t="n">
        <x:v>7</x:v>
      </x:c>
    </x:row>
    <x:row r="93">
      <x:c r="A93" s="61" t="n">
        <x:v>45658</x:v>
      </x:c>
      <x:c r="B93" s="62" t="str">
        <x:v>NUROKIND-LC</x:v>
      </x:c>
      <x:c r="C93" s="63" t="n">
        <x:v>10.21</x:v>
      </x:c>
      <x:c r="D93" s="64" t="n">
        <x:v>7</x:v>
      </x:c>
    </x:row>
    <x:row r="94">
      <x:c r="A94" s="61" t="n">
        <x:v>45658</x:v>
      </x:c>
      <x:c r="B94" s="62" t="str">
        <x:v>TELMIKIND</x:v>
      </x:c>
      <x:c r="C94" s="63" t="n">
        <x:v>13</x:v>
      </x:c>
      <x:c r="D94" s="64" t="n">
        <x:v>7</x:v>
      </x:c>
    </x:row>
    <x:row r="95">
      <x:c r="A95" s="61" t="n">
        <x:v>45658</x:v>
      </x:c>
      <x:c r="B95" s="62" t="str">
        <x:v>VOMIKIND</x:v>
      </x:c>
      <x:c r="C95" s="63" t="n">
        <x:v>10</x:v>
      </x:c>
      <x:c r="D95" s="64" t="n">
        <x:v>7</x:v>
      </x:c>
    </x:row>
    <x:row r="96">
      <x:c r="A96" s="61" t="n">
        <x:v>45658</x:v>
      </x:c>
      <x:c r="B96" s="62" t="str">
        <x:v>CEFAKIND</x:v>
      </x:c>
      <x:c r="C96" s="63" t="n">
        <x:v>10</x:v>
      </x:c>
      <x:c r="D96" s="64" t="n">
        <x:v>7</x:v>
      </x:c>
    </x:row>
    <x:row r="97">
      <x:c r="A97" s="61" t="n">
        <x:v>45658</x:v>
      </x:c>
      <x:c r="B97" s="62" t="str">
        <x:v>NUROKIND PLUS-RF</x:v>
      </x:c>
      <x:c r="C97" s="63" t="n">
        <x:v>10</x:v>
      </x:c>
      <x:c r="D97" s="64" t="n">
        <x:v>7</x:v>
      </x:c>
    </x:row>
    <x:row r="98">
      <x:c r="A98" s="61" t="n">
        <x:v>45658</x:v>
      </x:c>
      <x:c r="B98" s="62" t="str">
        <x:v>GUDCEF-CV</x:v>
      </x:c>
      <x:c r="C98" s="63" t="n">
        <x:v>10</x:v>
      </x:c>
      <x:c r="D98" s="64" t="n">
        <x:v>7</x:v>
      </x:c>
    </x:row>
    <x:row r="99">
      <x:c r="A99" s="61" t="n">
        <x:v>45658</x:v>
      </x:c>
      <x:c r="B99" s="62" t="str">
        <x:v>MONTICOPE</x:v>
      </x:c>
      <x:c r="C99" s="63" t="n">
        <x:v>11</x:v>
      </x:c>
      <x:c r="D99" s="64" t="n">
        <x:v>7</x:v>
      </x:c>
    </x:row>
    <x:row r="100">
      <x:c r="A100" s="61" t="n">
        <x:v>45689</x:v>
      </x:c>
      <x:c r="B100" s="62" t="str">
        <x:v>MANFORCE</x:v>
      </x:c>
      <x:c r="C100" s="63" t="n">
        <x:v>45.94</x:v>
      </x:c>
      <x:c r="D100" s="64" t="n">
        <x:v>5</x:v>
      </x:c>
    </x:row>
    <x:row r="101">
      <x:c r="A101" s="61" t="n">
        <x:v>45689</x:v>
      </x:c>
      <x:c r="B101" s="62" t="str">
        <x:v>MOXIKIND-CV</x:v>
      </x:c>
      <x:c r="C101" s="63" t="n">
        <x:v>34.55</x:v>
      </x:c>
      <x:c r="D101" s="64" t="n">
        <x:v>5</x:v>
      </x:c>
    </x:row>
    <x:row r="102">
      <x:c r="A102" s="61" t="n">
        <x:v>45689</x:v>
      </x:c>
      <x:c r="B102" s="62" t="str">
        <x:v>AMLOKIND-AT</x:v>
      </x:c>
      <x:c r="C102" s="63" t="n">
        <x:v>24.95</x:v>
      </x:c>
      <x:c r="D102" s="64" t="n">
        <x:v>5</x:v>
      </x:c>
    </x:row>
    <x:row r="103">
      <x:c r="A103" s="61" t="n">
        <x:v>45689</x:v>
      </x:c>
      <x:c r="B103" s="62" t="str">
        <x:v>UNWANTED-KIT</x:v>
      </x:c>
      <x:c r="C103" s="63" t="n">
        <x:v>24.72</x:v>
      </x:c>
      <x:c r="D103" s="64" t="n">
        <x:v>5</x:v>
      </x:c>
    </x:row>
    <x:row r="104">
      <x:c r="A104" s="61" t="n">
        <x:v>45689</x:v>
      </x:c>
      <x:c r="B104" s="62" t="str">
        <x:v>PREGA NEWS</x:v>
      </x:c>
      <x:c r="C104" s="63" t="n">
        <x:v>18.54</x:v>
      </x:c>
      <x:c r="D104" s="64" t="n">
        <x:v>5</x:v>
      </x:c>
    </x:row>
    <x:row r="105">
      <x:c r="A105" s="61" t="n">
        <x:v>45689</x:v>
      </x:c>
      <x:c r="B105" s="62" t="str">
        <x:v>DYDROBOON</x:v>
      </x:c>
      <x:c r="C105" s="63" t="n">
        <x:v>16.76</x:v>
      </x:c>
      <x:c r="D105" s="64" t="n">
        <x:v>5</x:v>
      </x:c>
    </x:row>
    <x:row r="106">
      <x:c r="A106" s="61" t="n">
        <x:v>45689</x:v>
      </x:c>
      <x:c r="B106" s="62" t="str">
        <x:v>GUDCEF</x:v>
      </x:c>
      <x:c r="C106" s="63" t="n">
        <x:v>17.21</x:v>
      </x:c>
      <x:c r="D106" s="64" t="n">
        <x:v>5</x:v>
      </x:c>
    </x:row>
    <x:row r="107">
      <x:c r="A107" s="61" t="n">
        <x:v>45689</x:v>
      </x:c>
      <x:c r="B107" s="62" t="str">
        <x:v>CANDIFORCE</x:v>
      </x:c>
      <x:c r="C107" s="63" t="n">
        <x:v>13.79</x:v>
      </x:c>
      <x:c r="D107" s="64" t="n">
        <x:v>5</x:v>
      </x:c>
    </x:row>
    <x:row r="108">
      <x:c r="A108" s="61" t="n">
        <x:v>45689</x:v>
      </x:c>
      <x:c r="B108" s="62" t="str">
        <x:v>GLIMESTAR-M</x:v>
      </x:c>
      <x:c r="C108" s="63" t="n">
        <x:v>15.95</x:v>
      </x:c>
      <x:c r="D108" s="64" t="n">
        <x:v>5</x:v>
      </x:c>
    </x:row>
    <x:row r="109">
      <x:c r="A109" s="61" t="n">
        <x:v>45689</x:v>
      </x:c>
      <x:c r="B109" s="62" t="str">
        <x:v>NUROKIND-GOLD</x:v>
      </x:c>
      <x:c r="C109" s="63" t="n">
        <x:v>13.08</x:v>
      </x:c>
      <x:c r="D109" s="64" t="n">
        <x:v>5</x:v>
      </x:c>
    </x:row>
    <x:row r="110">
      <x:c r="A110" s="61" t="n">
        <x:v>45689</x:v>
      </x:c>
      <x:c r="B110" s="62" t="str">
        <x:v>TELMIKIND-AM</x:v>
      </x:c>
      <x:c r="C110" s="63" t="n">
        <x:v>16.04</x:v>
      </x:c>
      <x:c r="D110" s="64" t="n">
        <x:v>5</x:v>
      </x:c>
    </x:row>
    <x:row r="111">
      <x:c r="A111" s="61" t="n">
        <x:v>45689</x:v>
      </x:c>
      <x:c r="B111" s="62" t="str">
        <x:v>TELMIKIND-H</x:v>
      </x:c>
      <x:c r="C111" s="63" t="n">
        <x:v>13.43</x:v>
      </x:c>
      <x:c r="D111" s="64" t="n">
        <x:v>5</x:v>
      </x:c>
    </x:row>
    <x:row r="112">
      <x:c r="A112" s="61" t="n">
        <x:v>45689</x:v>
      </x:c>
      <x:c r="B112" s="62" t="str">
        <x:v>NUROKIND-LC</x:v>
      </x:c>
      <x:c r="C112" s="63" t="n">
        <x:v>10.48</x:v>
      </x:c>
      <x:c r="D112" s="64" t="n">
        <x:v>5</x:v>
      </x:c>
    </x:row>
    <x:row r="113">
      <x:c r="A113" s="61" t="n">
        <x:v>45689</x:v>
      </x:c>
      <x:c r="B113" s="62" t="str">
        <x:v>TELMIKIND</x:v>
      </x:c>
      <x:c r="C113" s="63" t="n">
        <x:v>12</x:v>
      </x:c>
      <x:c r="D113" s="64" t="n">
        <x:v>5</x:v>
      </x:c>
    </x:row>
    <x:row r="114">
      <x:c r="A114" s="61" t="n">
        <x:v>45689</x:v>
      </x:c>
      <x:c r="B114" s="62" t="str">
        <x:v>VOMIKIND</x:v>
      </x:c>
      <x:c r="C114" s="63" t="n">
        <x:v>11</x:v>
      </x:c>
      <x:c r="D114" s="64" t="n">
        <x:v>5</x:v>
      </x:c>
    </x:row>
    <x:row r="115">
      <x:c r="A115" s="61" t="n">
        <x:v>45689</x:v>
      </x:c>
      <x:c r="B115" s="62" t="str">
        <x:v>CEFAKIND</x:v>
      </x:c>
      <x:c r="C115" s="63" t="n">
        <x:v>11</x:v>
      </x:c>
      <x:c r="D115" s="64" t="n">
        <x:v>5</x:v>
      </x:c>
    </x:row>
    <x:row r="116">
      <x:c r="A116" s="61" t="n">
        <x:v>45689</x:v>
      </x:c>
      <x:c r="B116" s="62" t="str">
        <x:v>NUROKIND PLUS-RF</x:v>
      </x:c>
      <x:c r="C116" s="63" t="n">
        <x:v>10</x:v>
      </x:c>
      <x:c r="D116" s="64" t="n">
        <x:v>5</x:v>
      </x:c>
    </x:row>
    <x:row r="117">
      <x:c r="A117" s="61" t="n">
        <x:v>45689</x:v>
      </x:c>
      <x:c r="B117" s="62" t="str">
        <x:v>GUDCEF-CV</x:v>
      </x:c>
      <x:c r="C117" s="63" t="n">
        <x:v>11</x:v>
      </x:c>
      <x:c r="D117" s="64" t="n">
        <x:v>5</x:v>
      </x:c>
    </x:row>
    <x:row r="118">
      <x:c r="A118" s="61" t="n">
        <x:v>45689</x:v>
      </x:c>
      <x:c r="B118" s="62" t="str">
        <x:v>MONTICOPE</x:v>
      </x:c>
      <x:c r="C118" s="63" t="n">
        <x:v>11</x:v>
      </x:c>
      <x:c r="D118" s="64" t="n">
        <x:v>5</x:v>
      </x:c>
    </x:row>
    <x:row r="119">
      <x:c r="A119" s="61" t="n">
        <x:v>45717</x:v>
      </x:c>
      <x:c r="B119" s="62" t="str">
        <x:v>MANFORCE</x:v>
      </x:c>
      <x:c r="C119" s="63" t="n">
        <x:v>43.99</x:v>
      </x:c>
      <x:c r="D119" s="64" t="n">
        <x:v>6</x:v>
      </x:c>
    </x:row>
    <x:row r="120">
      <x:c r="A120" s="61" t="n">
        <x:v>45717</x:v>
      </x:c>
      <x:c r="B120" s="62" t="str">
        <x:v>MOXIKIND-CV</x:v>
      </x:c>
      <x:c r="C120" s="63" t="n">
        <x:v>31.1</x:v>
      </x:c>
      <x:c r="D120" s="64" t="n">
        <x:v>6</x:v>
      </x:c>
    </x:row>
    <x:row r="121">
      <x:c r="A121" s="61" t="n">
        <x:v>45717</x:v>
      </x:c>
      <x:c r="B121" s="62" t="str">
        <x:v>AMLOKIND-AT</x:v>
      </x:c>
      <x:c r="C121" s="63" t="n">
        <x:v>24.06</x:v>
      </x:c>
      <x:c r="D121" s="64" t="n">
        <x:v>6</x:v>
      </x:c>
    </x:row>
    <x:row r="122">
      <x:c r="A122" s="61" t="n">
        <x:v>45717</x:v>
      </x:c>
      <x:c r="B122" s="62" t="str">
        <x:v>UNWANTED-KIT</x:v>
      </x:c>
      <x:c r="C122" s="63" t="n">
        <x:v>25.92</x:v>
      </x:c>
      <x:c r="D122" s="64" t="n">
        <x:v>6</x:v>
      </x:c>
    </x:row>
    <x:row r="123">
      <x:c r="A123" s="61" t="n">
        <x:v>45717</x:v>
      </x:c>
      <x:c r="B123" s="62" t="str">
        <x:v>PREGA NEWS</x:v>
      </x:c>
      <x:c r="C123" s="63" t="n">
        <x:v>21.06</x:v>
      </x:c>
      <x:c r="D123" s="64" t="n">
        <x:v>6</x:v>
      </x:c>
    </x:row>
    <x:row r="124">
      <x:c r="A124" s="61" t="n">
        <x:v>45717</x:v>
      </x:c>
      <x:c r="B124" s="62" t="str">
        <x:v>DYDROBOON</x:v>
      </x:c>
      <x:c r="C124" s="63" t="n">
        <x:v>17.27</x:v>
      </x:c>
      <x:c r="D124" s="64" t="n">
        <x:v>6</x:v>
      </x:c>
    </x:row>
    <x:row r="125">
      <x:c r="A125" s="61" t="n">
        <x:v>45717</x:v>
      </x:c>
      <x:c r="B125" s="62" t="str">
        <x:v>GUDCEF</x:v>
      </x:c>
      <x:c r="C125" s="63" t="n">
        <x:v>16.99</x:v>
      </x:c>
      <x:c r="D125" s="64" t="n">
        <x:v>6</x:v>
      </x:c>
    </x:row>
    <x:row r="126">
      <x:c r="A126" s="61" t="n">
        <x:v>45717</x:v>
      </x:c>
      <x:c r="B126" s="62" t="str">
        <x:v>CANDIFORCE</x:v>
      </x:c>
      <x:c r="C126" s="63" t="n">
        <x:v>13.73</x:v>
      </x:c>
      <x:c r="D126" s="64" t="n">
        <x:v>6</x:v>
      </x:c>
    </x:row>
    <x:row r="127">
      <x:c r="A127" s="61" t="n">
        <x:v>45717</x:v>
      </x:c>
      <x:c r="B127" s="62" t="str">
        <x:v>GLIMESTAR-M</x:v>
      </x:c>
      <x:c r="C127" s="63" t="n">
        <x:v>15.85</x:v>
      </x:c>
      <x:c r="D127" s="64" t="n">
        <x:v>6</x:v>
      </x:c>
    </x:row>
    <x:row r="128">
      <x:c r="A128" s="61" t="n">
        <x:v>45717</x:v>
      </x:c>
      <x:c r="B128" s="62" t="str">
        <x:v>TELMIKIND-AM</x:v>
      </x:c>
      <x:c r="C128" s="63" t="n">
        <x:v>15.65</x:v>
      </x:c>
      <x:c r="D128" s="64" t="n">
        <x:v>6</x:v>
      </x:c>
    </x:row>
    <x:row r="129">
      <x:c r="A129" s="61" t="n">
        <x:v>45717</x:v>
      </x:c>
      <x:c r="B129" s="62" t="str">
        <x:v>NUROKIND-GOLD</x:v>
      </x:c>
      <x:c r="C129" s="63" t="n">
        <x:v>14.3</x:v>
      </x:c>
      <x:c r="D129" s="64" t="n">
        <x:v>6</x:v>
      </x:c>
    </x:row>
    <x:row r="130">
      <x:c r="A130" s="61" t="n">
        <x:v>45717</x:v>
      </x:c>
      <x:c r="B130" s="62" t="str">
        <x:v>TELMIKIND-H</x:v>
      </x:c>
      <x:c r="C130" s="63" t="n">
        <x:v>13.12</x:v>
      </x:c>
      <x:c r="D130" s="64" t="n">
        <x:v>6</x:v>
      </x:c>
    </x:row>
    <x:row r="131">
      <x:c r="A131" s="61" t="n">
        <x:v>45717</x:v>
      </x:c>
      <x:c r="B131" s="62" t="str">
        <x:v>NUROKIND-LC</x:v>
      </x:c>
      <x:c r="C131" s="63" t="n">
        <x:v>11</x:v>
      </x:c>
      <x:c r="D131" s="64" t="n">
        <x:v>6</x:v>
      </x:c>
    </x:row>
    <x:row r="132">
      <x:c r="A132" s="61" t="n">
        <x:v>45717</x:v>
      </x:c>
      <x:c r="B132" s="62" t="str">
        <x:v>TELMIKIND</x:v>
      </x:c>
      <x:c r="C132" s="63" t="n">
        <x:v>12</x:v>
      </x:c>
      <x:c r="D132" s="64" t="n">
        <x:v>6</x:v>
      </x:c>
    </x:row>
    <x:row r="133">
      <x:c r="A133" s="61" t="n">
        <x:v>45717</x:v>
      </x:c>
      <x:c r="B133" s="62" t="str">
        <x:v>VOMIKIND</x:v>
      </x:c>
      <x:c r="C133" s="63" t="n">
        <x:v>12</x:v>
      </x:c>
      <x:c r="D133" s="64" t="n">
        <x:v>6</x:v>
      </x:c>
    </x:row>
    <x:row r="134">
      <x:c r="A134" s="61" t="n">
        <x:v>45717</x:v>
      </x:c>
      <x:c r="B134" s="62" t="str">
        <x:v>CEFAKIND</x:v>
      </x:c>
      <x:c r="C134" s="63" t="n">
        <x:v>11</x:v>
      </x:c>
      <x:c r="D134" s="64" t="n">
        <x:v>6</x:v>
      </x:c>
    </x:row>
    <x:row r="135">
      <x:c r="A135" s="61" t="n">
        <x:v>45717</x:v>
      </x:c>
      <x:c r="B135" s="62" t="str">
        <x:v>NUROKIND PLUS-RF</x:v>
      </x:c>
      <x:c r="C135" s="63" t="n">
        <x:v>11</x:v>
      </x:c>
      <x:c r="D135" s="64" t="n">
        <x:v>6</x:v>
      </x:c>
    </x:row>
    <x:row r="136">
      <x:c r="A136" s="61" t="n">
        <x:v>45717</x:v>
      </x:c>
      <x:c r="B136" s="62" t="str">
        <x:v>GUDCEF-CV</x:v>
      </x:c>
      <x:c r="C136" s="63" t="n">
        <x:v>10</x:v>
      </x:c>
      <x:c r="D136" s="64" t="n">
        <x:v>6</x:v>
      </x:c>
    </x:row>
    <x:row r="137">
      <x:c r="A137" s="61" t="n">
        <x:v>45717</x:v>
      </x:c>
      <x:c r="B137" s="62" t="str">
        <x:v>MONTICOPE</x:v>
      </x:c>
      <x:c r="C137" s="63" t="n">
        <x:v>10</x:v>
      </x:c>
      <x:c r="D137" s="64" t="n">
        <x:v>6</x:v>
      </x:c>
    </x:row>
    <x:row r="138">
      <x:c r="A138" s="61" t="n">
        <x:v>45748</x:v>
      </x:c>
      <x:c r="B138" s="62" t="str">
        <x:v>MANFORCE</x:v>
      </x:c>
      <x:c r="C138" s="63" t="n">
        <x:v>52.2</x:v>
      </x:c>
      <x:c r="D138" s="64" t="n">
        <x:v>10</x:v>
      </x:c>
    </x:row>
    <x:row r="139">
      <x:c r="A139" s="61" t="n">
        <x:v>45748</x:v>
      </x:c>
      <x:c r="B139" s="62" t="str">
        <x:v>MOXIKIND-CV</x:v>
      </x:c>
      <x:c r="C139" s="63" t="n">
        <x:v>31.54</x:v>
      </x:c>
      <x:c r="D139" s="64" t="n">
        <x:v>10</x:v>
      </x:c>
    </x:row>
    <x:row r="140">
      <x:c r="A140" s="61" t="n">
        <x:v>45748</x:v>
      </x:c>
      <x:c r="B140" s="62" t="str">
        <x:v>AMLOKIND-AT</x:v>
      </x:c>
      <x:c r="C140" s="63" t="n">
        <x:v>27.46</x:v>
      </x:c>
      <x:c r="D140" s="64" t="n">
        <x:v>10</x:v>
      </x:c>
    </x:row>
    <x:row r="141">
      <x:c r="A141" s="61" t="n">
        <x:v>45748</x:v>
      </x:c>
      <x:c r="B141" s="62" t="str">
        <x:v>UNWANTED-KIT</x:v>
      </x:c>
      <x:c r="C141" s="63" t="n">
        <x:v>25.93</x:v>
      </x:c>
      <x:c r="D141" s="64" t="n">
        <x:v>10</x:v>
      </x:c>
    </x:row>
    <x:row r="142">
      <x:c r="A142" s="61" t="n">
        <x:v>45748</x:v>
      </x:c>
      <x:c r="B142" s="62" t="str">
        <x:v>PREGA NEWS</x:v>
      </x:c>
      <x:c r="C142" s="63" t="n">
        <x:v>22.89</x:v>
      </x:c>
      <x:c r="D142" s="64" t="n">
        <x:v>10</x:v>
      </x:c>
    </x:row>
    <x:row r="143">
      <x:c r="A143" s="61" t="n">
        <x:v>45748</x:v>
      </x:c>
      <x:c r="B143" s="62" t="str">
        <x:v>DYDROBOON</x:v>
      </x:c>
      <x:c r="C143" s="63" t="n">
        <x:v>21.7</x:v>
      </x:c>
      <x:c r="D143" s="64" t="n">
        <x:v>10</x:v>
      </x:c>
    </x:row>
    <x:row r="144">
      <x:c r="A144" s="61" t="n">
        <x:v>45748</x:v>
      </x:c>
      <x:c r="B144" s="62" t="str">
        <x:v>GUDCEF</x:v>
      </x:c>
      <x:c r="C144" s="63" t="n">
        <x:v>17.07</x:v>
      </x:c>
      <x:c r="D144" s="64" t="n">
        <x:v>10</x:v>
      </x:c>
    </x:row>
    <x:row r="145">
      <x:c r="A145" s="61" t="n">
        <x:v>45748</x:v>
      </x:c>
      <x:c r="B145" s="62" t="str">
        <x:v>CANDIFORCE</x:v>
      </x:c>
      <x:c r="C145" s="63" t="n">
        <x:v>16</x:v>
      </x:c>
      <x:c r="D145" s="64" t="n">
        <x:v>10</x:v>
      </x:c>
    </x:row>
    <x:row r="146">
      <x:c r="A146" s="61" t="n">
        <x:v>45748</x:v>
      </x:c>
      <x:c r="B146" s="62" t="str">
        <x:v>GLIMESTAR-M</x:v>
      </x:c>
      <x:c r="C146" s="63" t="n">
        <x:v>18.66</x:v>
      </x:c>
      <x:c r="D146" s="64" t="n">
        <x:v>10</x:v>
      </x:c>
    </x:row>
    <x:row r="147">
      <x:c r="A147" s="61" t="n">
        <x:v>45748</x:v>
      </x:c>
      <x:c r="B147" s="62" t="str">
        <x:v>TELMIKIND-AM</x:v>
      </x:c>
      <x:c r="C147" s="63" t="n">
        <x:v>17.98</x:v>
      </x:c>
      <x:c r="D147" s="64" t="n">
        <x:v>10</x:v>
      </x:c>
    </x:row>
    <x:row r="148">
      <x:c r="A148" s="61" t="n">
        <x:v>45748</x:v>
      </x:c>
      <x:c r="B148" s="62" t="str">
        <x:v>NUROKIND-GOLD</x:v>
      </x:c>
      <x:c r="C148" s="63" t="n">
        <x:v>18.43</x:v>
      </x:c>
      <x:c r="D148" s="64" t="n">
        <x:v>10</x:v>
      </x:c>
    </x:row>
    <x:row r="149">
      <x:c r="A149" s="61" t="n">
        <x:v>45748</x:v>
      </x:c>
      <x:c r="B149" s="62" t="str">
        <x:v>TELMIKIND-H</x:v>
      </x:c>
      <x:c r="C149" s="63" t="n">
        <x:v>15.34</x:v>
      </x:c>
      <x:c r="D149" s="64" t="n">
        <x:v>10</x:v>
      </x:c>
    </x:row>
    <x:row r="150">
      <x:c r="A150" s="61" t="n">
        <x:v>45748</x:v>
      </x:c>
      <x:c r="B150" s="62" t="str">
        <x:v>TELMIKIND</x:v>
      </x:c>
      <x:c r="C150" s="63" t="n">
        <x:v>14</x:v>
      </x:c>
      <x:c r="D150" s="64" t="n">
        <x:v>10</x:v>
      </x:c>
    </x:row>
    <x:row r="151">
      <x:c r="A151" s="61" t="n">
        <x:v>45748</x:v>
      </x:c>
      <x:c r="B151" s="62" t="str">
        <x:v>NUROKIND-LC</x:v>
      </x:c>
      <x:c r="C151" s="63" t="n">
        <x:v>13</x:v>
      </x:c>
      <x:c r="D151" s="64" t="n">
        <x:v>10</x:v>
      </x:c>
    </x:row>
    <x:row r="152">
      <x:c r="A152" s="61" t="n">
        <x:v>45748</x:v>
      </x:c>
      <x:c r="B152" s="62" t="str">
        <x:v>VOMIKIND</x:v>
      </x:c>
      <x:c r="C152" s="63" t="n">
        <x:v>15</x:v>
      </x:c>
      <x:c r="D152" s="64" t="n">
        <x:v>10</x:v>
      </x:c>
    </x:row>
    <x:row r="153">
      <x:c r="A153" s="61" t="n">
        <x:v>45748</x:v>
      </x:c>
      <x:c r="B153" s="62" t="str">
        <x:v>CEFAKIND</x:v>
      </x:c>
      <x:c r="C153" s="63" t="n">
        <x:v>11</x:v>
      </x:c>
      <x:c r="D153" s="64" t="n">
        <x:v>10</x:v>
      </x:c>
    </x:row>
    <x:row r="154">
      <x:c r="A154" s="61" t="n">
        <x:v>45748</x:v>
      </x:c>
      <x:c r="B154" s="62" t="str">
        <x:v>NUROKIND PLUS-RF</x:v>
      </x:c>
      <x:c r="C154" s="63" t="n">
        <x:v>13</x:v>
      </x:c>
      <x:c r="D154" s="64" t="n">
        <x:v>10</x:v>
      </x:c>
    </x:row>
    <x:row r="155">
      <x:c r="A155" s="61" t="n">
        <x:v>45748</x:v>
      </x:c>
      <x:c r="B155" s="62" t="str">
        <x:v>GUDCEF-CV</x:v>
      </x:c>
      <x:c r="C155" s="63" t="n">
        <x:v>10</x:v>
      </x:c>
      <x:c r="D155" s="64" t="n">
        <x:v>10</x:v>
      </x:c>
    </x:row>
    <x:row r="156">
      <x:c r="A156" s="61" t="n">
        <x:v>45748</x:v>
      </x:c>
      <x:c r="B156" s="62" t="str">
        <x:v>MONTICOPE</x:v>
      </x:c>
      <x:c r="C156" s="63" t="n">
        <x:v>9</x:v>
      </x:c>
      <x:c r="D156" s="64" t="n">
        <x:v>10</x:v>
      </x:c>
    </x:row>
    <x:row r="157">
      <x:c r="A157" s="61" t="n">
        <x:v>45778</x:v>
      </x:c>
      <x:c r="B157" s="62" t="str">
        <x:v>MANFORCE</x:v>
      </x:c>
      <x:c r="C157" s="63" t="n">
        <x:v>50.9</x:v>
      </x:c>
      <x:c r="D157" s="64" t="n">
        <x:v>8</x:v>
      </x:c>
    </x:row>
    <x:row r="158">
      <x:c r="A158" s="61" t="n">
        <x:v>45778</x:v>
      </x:c>
      <x:c r="B158" s="62" t="str">
        <x:v>MOXIKIND-CV</x:v>
      </x:c>
      <x:c r="C158" s="63" t="n">
        <x:v>27.96</x:v>
      </x:c>
      <x:c r="D158" s="64" t="n">
        <x:v>8</x:v>
      </x:c>
    </x:row>
    <x:row r="159">
      <x:c r="A159" s="61" t="n">
        <x:v>45778</x:v>
      </x:c>
      <x:c r="B159" s="62" t="str">
        <x:v>AMLOKIND-AT</x:v>
      </x:c>
      <x:c r="C159" s="63" t="n">
        <x:v>24.63</x:v>
      </x:c>
      <x:c r="D159" s="64" t="n">
        <x:v>8</x:v>
      </x:c>
    </x:row>
    <x:row r="160">
      <x:c r="A160" s="61" t="n">
        <x:v>45778</x:v>
      </x:c>
      <x:c r="B160" s="62" t="str">
        <x:v>UNWANTED-KIT</x:v>
      </x:c>
      <x:c r="C160" s="63" t="n">
        <x:v>24.89</x:v>
      </x:c>
      <x:c r="D160" s="64" t="n">
        <x:v>8</x:v>
      </x:c>
    </x:row>
    <x:row r="161">
      <x:c r="A161" s="61" t="n">
        <x:v>45778</x:v>
      </x:c>
      <x:c r="B161" s="62" t="str">
        <x:v>PREGA NEWS</x:v>
      </x:c>
      <x:c r="C161" s="63" t="n">
        <x:v>23.78</x:v>
      </x:c>
      <x:c r="D161" s="64" t="n">
        <x:v>8</x:v>
      </x:c>
    </x:row>
    <x:row r="162">
      <x:c r="A162" s="61" t="n">
        <x:v>45778</x:v>
      </x:c>
      <x:c r="B162" s="62" t="str">
        <x:v>DYDROBOON</x:v>
      </x:c>
      <x:c r="C162" s="63" t="n">
        <x:v>19.97</x:v>
      </x:c>
      <x:c r="D162" s="64" t="n">
        <x:v>8</x:v>
      </x:c>
    </x:row>
    <x:row r="163">
      <x:c r="A163" s="61" t="n">
        <x:v>45778</x:v>
      </x:c>
      <x:c r="B163" s="62" t="str">
        <x:v>GUDCEF</x:v>
      </x:c>
      <x:c r="C163" s="63" t="n">
        <x:v>15.45</x:v>
      </x:c>
      <x:c r="D163" s="64" t="n">
        <x:v>8</x:v>
      </x:c>
    </x:row>
    <x:row r="164">
      <x:c r="A164" s="61" t="n">
        <x:v>45778</x:v>
      </x:c>
      <x:c r="B164" s="62" t="str">
        <x:v>CANDIFORCE</x:v>
      </x:c>
      <x:c r="C164" s="63" t="n">
        <x:v>15.49</x:v>
      </x:c>
      <x:c r="D164" s="64" t="n">
        <x:v>8</x:v>
      </x:c>
    </x:row>
    <x:row r="165">
      <x:c r="A165" s="61" t="n">
        <x:v>45778</x:v>
      </x:c>
      <x:c r="B165" s="62" t="str">
        <x:v>GLIMESTAR-M</x:v>
      </x:c>
      <x:c r="C165" s="63" t="n">
        <x:v>17.83</x:v>
      </x:c>
      <x:c r="D165" s="64" t="n">
        <x:v>8</x:v>
      </x:c>
    </x:row>
    <x:row r="166">
      <x:c r="A166" s="61" t="n">
        <x:v>45778</x:v>
      </x:c>
      <x:c r="B166" s="62" t="str">
        <x:v>TELMIKIND-AM</x:v>
      </x:c>
      <x:c r="C166" s="63" t="n">
        <x:v>16.6</x:v>
      </x:c>
      <x:c r="D166" s="64" t="n">
        <x:v>8</x:v>
      </x:c>
    </x:row>
    <x:row r="167">
      <x:c r="A167" s="61" t="n">
        <x:v>45778</x:v>
      </x:c>
      <x:c r="B167" s="62" t="str">
        <x:v>NUROKIND-GOLD</x:v>
      </x:c>
      <x:c r="C167" s="63" t="n">
        <x:v>18.24</x:v>
      </x:c>
      <x:c r="D167" s="64" t="n">
        <x:v>8</x:v>
      </x:c>
    </x:row>
    <x:row r="168">
      <x:c r="A168" s="61" t="n">
        <x:v>45778</x:v>
      </x:c>
      <x:c r="B168" s="62" t="str">
        <x:v>TELMIKIND-H</x:v>
      </x:c>
      <x:c r="C168" s="63" t="n">
        <x:v>15.6</x:v>
      </x:c>
      <x:c r="D168" s="64" t="n">
        <x:v>8</x:v>
      </x:c>
    </x:row>
    <x:row r="169">
      <x:c r="A169" s="61" t="n">
        <x:v>45778</x:v>
      </x:c>
      <x:c r="B169" s="62" t="str">
        <x:v>TELMIKIND</x:v>
      </x:c>
      <x:c r="C169" s="63" t="n">
        <x:v>13</x:v>
      </x:c>
      <x:c r="D169" s="64" t="n">
        <x:v>8</x:v>
      </x:c>
    </x:row>
    <x:row r="170">
      <x:c r="A170" s="61" t="n">
        <x:v>45778</x:v>
      </x:c>
      <x:c r="B170" s="62" t="str">
        <x:v>NUROKIND-LC</x:v>
      </x:c>
      <x:c r="C170" s="63" t="n">
        <x:v>13</x:v>
      </x:c>
      <x:c r="D170" s="64" t="n">
        <x:v>8</x:v>
      </x:c>
    </x:row>
    <x:row r="171">
      <x:c r="A171" s="61" t="n">
        <x:v>45778</x:v>
      </x:c>
      <x:c r="B171" s="62" t="str">
        <x:v>VOMIKIND</x:v>
      </x:c>
      <x:c r="C171" s="63" t="n">
        <x:v>14</x:v>
      </x:c>
      <x:c r="D171" s="64" t="n">
        <x:v>8</x:v>
      </x:c>
    </x:row>
    <x:row r="172">
      <x:c r="A172" s="61" t="n">
        <x:v>45778</x:v>
      </x:c>
      <x:c r="B172" s="62" t="str">
        <x:v>CEFAKIND</x:v>
      </x:c>
      <x:c r="C172" s="63" t="n">
        <x:v>10</x:v>
      </x:c>
      <x:c r="D172" s="64" t="n">
        <x:v>8</x:v>
      </x:c>
    </x:row>
    <x:row r="173">
      <x:c r="A173" s="61" t="n">
        <x:v>45778</x:v>
      </x:c>
      <x:c r="B173" s="62" t="str">
        <x:v>NUROKIND PLUS-RF</x:v>
      </x:c>
      <x:c r="C173" s="63" t="n">
        <x:v>12</x:v>
      </x:c>
      <x:c r="D173" s="64" t="n">
        <x:v>8</x:v>
      </x:c>
    </x:row>
    <x:row r="174">
      <x:c r="A174" s="61" t="n">
        <x:v>45778</x:v>
      </x:c>
      <x:c r="B174" s="62" t="str">
        <x:v>GUDCEF-CV</x:v>
      </x:c>
      <x:c r="C174" s="63" t="n">
        <x:v>9</x:v>
      </x:c>
      <x:c r="D174" s="64" t="n">
        <x:v>8</x:v>
      </x:c>
    </x:row>
    <x:row r="175">
      <x:c r="A175" s="61" t="n">
        <x:v>45778</x:v>
      </x:c>
      <x:c r="B175" s="62" t="str">
        <x:v>MONTICOPE</x:v>
      </x:c>
      <x:c r="C175" s="63" t="n">
        <x:v>7</x:v>
      </x:c>
      <x:c r="D175" s="64" t="n">
        <x:v>8</x:v>
      </x:c>
    </x:row>
    <x:row r="176">
      <x:c r="A176" s="61" t="n">
        <x:v>45809</x:v>
      </x:c>
      <x:c r="B176" s="62" t="str">
        <x:v>MANFORCE</x:v>
      </x:c>
      <x:c r="C176" s="63" t="n">
        <x:v>47.4</x:v>
      </x:c>
      <x:c r="D176" s="64" t="n">
        <x:v>9</x:v>
      </x:c>
    </x:row>
    <x:row r="177">
      <x:c r="A177" s="61" t="n">
        <x:v>45809</x:v>
      </x:c>
      <x:c r="B177" s="62" t="str">
        <x:v>MOXIKIND-CV</x:v>
      </x:c>
      <x:c r="C177" s="63" t="n">
        <x:v>27.81</x:v>
      </x:c>
      <x:c r="D177" s="64" t="n">
        <x:v>9</x:v>
      </x:c>
    </x:row>
    <x:row r="178">
      <x:c r="A178" s="61" t="n">
        <x:v>45809</x:v>
      </x:c>
      <x:c r="B178" s="62" t="str">
        <x:v>AMLOKIND-AT</x:v>
      </x:c>
      <x:c r="C178" s="63" t="n">
        <x:v>23.92</x:v>
      </x:c>
      <x:c r="D178" s="64" t="n">
        <x:v>9</x:v>
      </x:c>
    </x:row>
    <x:row r="179">
      <x:c r="A179" s="61" t="n">
        <x:v>45809</x:v>
      </x:c>
      <x:c r="B179" s="62" t="str">
        <x:v>UNWANTED-KIT</x:v>
      </x:c>
      <x:c r="C179" s="63" t="n">
        <x:v>21.87</x:v>
      </x:c>
      <x:c r="D179" s="64" t="n">
        <x:v>9</x:v>
      </x:c>
    </x:row>
    <x:row r="180">
      <x:c r="A180" s="61" t="n">
        <x:v>45809</x:v>
      </x:c>
      <x:c r="B180" s="62" t="str">
        <x:v>PREGA NEWS</x:v>
      </x:c>
      <x:c r="C180" s="63" t="n">
        <x:v>23.55</x:v>
      </x:c>
      <x:c r="D180" s="64" t="n">
        <x:v>9</x:v>
      </x:c>
    </x:row>
    <x:row r="181">
      <x:c r="A181" s="61" t="n">
        <x:v>45809</x:v>
      </x:c>
      <x:c r="B181" s="62" t="str">
        <x:v>DYDROBOON</x:v>
      </x:c>
      <x:c r="C181" s="63" t="n">
        <x:v>21.05</x:v>
      </x:c>
      <x:c r="D181" s="64" t="n">
        <x:v>9</x:v>
      </x:c>
    </x:row>
    <x:row r="182">
      <x:c r="A182" s="61" t="n">
        <x:v>45809</x:v>
      </x:c>
      <x:c r="B182" s="62" t="str">
        <x:v>GUDCEF</x:v>
      </x:c>
      <x:c r="C182" s="63" t="n">
        <x:v>14.02</x:v>
      </x:c>
      <x:c r="D182" s="64" t="n">
        <x:v>9</x:v>
      </x:c>
    </x:row>
    <x:row r="183">
      <x:c r="A183" s="61" t="n">
        <x:v>45809</x:v>
      </x:c>
      <x:c r="B183" s="62" t="str">
        <x:v>CANDIFORCE</x:v>
      </x:c>
      <x:c r="C183" s="63" t="n">
        <x:v>16.2</x:v>
      </x:c>
      <x:c r="D183" s="64" t="n">
        <x:v>9</x:v>
      </x:c>
    </x:row>
    <x:row r="184">
      <x:c r="A184" s="61" t="n">
        <x:v>45809</x:v>
      </x:c>
      <x:c r="B184" s="62" t="str">
        <x:v>GLIMESTAR-M</x:v>
      </x:c>
      <x:c r="C184" s="63" t="n">
        <x:v>16.97</x:v>
      </x:c>
      <x:c r="D184" s="64" t="n">
        <x:v>9</x:v>
      </x:c>
    </x:row>
    <x:row r="185">
      <x:c r="A185" s="61" t="n">
        <x:v>45809</x:v>
      </x:c>
      <x:c r="B185" s="62" t="str">
        <x:v>TELMIKIND-AM</x:v>
      </x:c>
      <x:c r="C185" s="63" t="n">
        <x:v>16.18</x:v>
      </x:c>
      <x:c r="D185" s="64" t="n">
        <x:v>9</x:v>
      </x:c>
    </x:row>
    <x:row r="186">
      <x:c r="A186" s="61" t="n">
        <x:v>45809</x:v>
      </x:c>
      <x:c r="B186" s="62" t="str">
        <x:v>NUROKIND-GOLD</x:v>
      </x:c>
      <x:c r="C186" s="63" t="n">
        <x:v>17.39</x:v>
      </x:c>
      <x:c r="D186" s="64" t="n">
        <x:v>9</x:v>
      </x:c>
    </x:row>
    <x:row r="187">
      <x:c r="A187" s="61" t="n">
        <x:v>45809</x:v>
      </x:c>
      <x:c r="B187" s="62" t="str">
        <x:v>TELMIKIND-H</x:v>
      </x:c>
      <x:c r="C187" s="63" t="n">
        <x:v>14.7</x:v>
      </x:c>
      <x:c r="D187" s="64" t="n">
        <x:v>9</x:v>
      </x:c>
    </x:row>
    <x:row r="188">
      <x:c r="A188" s="61" t="n">
        <x:v>45809</x:v>
      </x:c>
      <x:c r="B188" s="62" t="str">
        <x:v>TELMIKIND</x:v>
      </x:c>
      <x:c r="C188" s="63" t="n">
        <x:v>13</x:v>
      </x:c>
      <x:c r="D188" s="64" t="n">
        <x:v>9</x:v>
      </x:c>
    </x:row>
    <x:row r="189">
      <x:c r="A189" s="61" t="n">
        <x:v>45809</x:v>
      </x:c>
      <x:c r="B189" s="62" t="str">
        <x:v>NUROKIND-LC</x:v>
      </x:c>
      <x:c r="C189" s="63" t="n">
        <x:v>13</x:v>
      </x:c>
      <x:c r="D189" s="64" t="n">
        <x:v>9</x:v>
      </x:c>
    </x:row>
    <x:row r="190">
      <x:c r="A190" s="61" t="n">
        <x:v>45809</x:v>
      </x:c>
      <x:c r="B190" s="62" t="str">
        <x:v>VOMIKIND</x:v>
      </x:c>
      <x:c r="C190" s="63" t="n">
        <x:v>13</x:v>
      </x:c>
      <x:c r="D190" s="64" t="n">
        <x:v>9</x:v>
      </x:c>
    </x:row>
    <x:row r="191">
      <x:c r="A191" s="61" t="n">
        <x:v>45809</x:v>
      </x:c>
      <x:c r="B191" s="62" t="str">
        <x:v>CEFAKIND</x:v>
      </x:c>
      <x:c r="C191" s="63" t="n">
        <x:v>10</x:v>
      </x:c>
      <x:c r="D191" s="64" t="n">
        <x:v>9</x:v>
      </x:c>
    </x:row>
    <x:row r="192">
      <x:c r="A192" s="61" t="n">
        <x:v>45809</x:v>
      </x:c>
      <x:c r="B192" s="62" t="str">
        <x:v>NUROKIND PLUS-RF</x:v>
      </x:c>
      <x:c r="C192" s="63" t="n">
        <x:v>12</x:v>
      </x:c>
      <x:c r="D192" s="64" t="n">
        <x:v>9</x:v>
      </x:c>
    </x:row>
    <x:row r="193">
      <x:c r="A193" s="61" t="n">
        <x:v>45809</x:v>
      </x:c>
      <x:c r="B193" s="62" t="str">
        <x:v>GUDCEF-CV</x:v>
      </x:c>
      <x:c r="C193" s="63" t="n">
        <x:v>8</x:v>
      </x:c>
      <x:c r="D193" s="64" t="n">
        <x:v>9</x:v>
      </x:c>
    </x:row>
    <x:row r="194">
      <x:c r="A194" s="61" t="n">
        <x:v>45809</x:v>
      </x:c>
      <x:c r="B194" s="62" t="str">
        <x:v>MONTICOPE</x:v>
      </x:c>
      <x:c r="C194" s="63" t="n">
        <x:v>8</x:v>
      </x:c>
      <x:c r="D194" s="64" t="n">
        <x:v>9</x:v>
      </x:c>
    </x:row>
    <x:row r="195">
      <x:c r="A195" s="61" t="n">
        <x:v>45839</x:v>
      </x:c>
      <x:c r="B195" s="62" t="str">
        <x:v>MANFORCE</x:v>
      </x:c>
      <x:c r="C195" s="63" t="n">
        <x:v>48.77</x:v>
      </x:c>
      <x:c r="D195" s="64" t="n">
        <x:v>11</x:v>
      </x:c>
    </x:row>
    <x:row r="196">
      <x:c r="A196" s="61" t="n">
        <x:v>45839</x:v>
      </x:c>
      <x:c r="B196" s="62" t="str">
        <x:v>MOXIKIND-CV</x:v>
      </x:c>
      <x:c r="C196" s="63" t="n">
        <x:v>32.08</x:v>
      </x:c>
      <x:c r="D196" s="64" t="n">
        <x:v>11</x:v>
      </x:c>
    </x:row>
    <x:row r="197">
      <x:c r="A197" s="61" t="n">
        <x:v>45839</x:v>
      </x:c>
      <x:c r="B197" s="62" t="str">
        <x:v>AMLOKIND-AT</x:v>
      </x:c>
      <x:c r="C197" s="63" t="n">
        <x:v>24.33</x:v>
      </x:c>
      <x:c r="D197" s="64" t="n">
        <x:v>11</x:v>
      </x:c>
    </x:row>
    <x:row r="198">
      <x:c r="A198" s="61" t="n">
        <x:v>45839</x:v>
      </x:c>
      <x:c r="B198" s="62" t="str">
        <x:v>UNWANTED-KIT</x:v>
      </x:c>
      <x:c r="C198" s="63" t="n">
        <x:v>20.73</x:v>
      </x:c>
      <x:c r="D198" s="64" t="n">
        <x:v>11</x:v>
      </x:c>
    </x:row>
    <x:row r="199">
      <x:c r="A199" s="61" t="n">
        <x:v>45839</x:v>
      </x:c>
      <x:c r="B199" s="62" t="str">
        <x:v>PREGA NEWS</x:v>
      </x:c>
      <x:c r="C199" s="63" t="n">
        <x:v>22.8</x:v>
      </x:c>
      <x:c r="D199" s="64" t="n">
        <x:v>11</x:v>
      </x:c>
    </x:row>
    <x:row r="200">
      <x:c r="A200" s="61" t="n">
        <x:v>45839</x:v>
      </x:c>
      <x:c r="B200" s="62" t="str">
        <x:v>DYDROBOON</x:v>
      </x:c>
      <x:c r="C200" s="63" t="n">
        <x:v>20.73</x:v>
      </x:c>
      <x:c r="D200" s="64" t="n">
        <x:v>11</x:v>
      </x:c>
    </x:row>
    <x:row r="201">
      <x:c r="A201" s="61" t="n">
        <x:v>45839</x:v>
      </x:c>
      <x:c r="B201" s="62" t="str">
        <x:v>GUDCEF</x:v>
      </x:c>
      <x:c r="C201" s="63" t="n">
        <x:v>15.65</x:v>
      </x:c>
      <x:c r="D201" s="64" t="n">
        <x:v>11</x:v>
      </x:c>
    </x:row>
    <x:row r="202">
      <x:c r="A202" s="61" t="n">
        <x:v>45839</x:v>
      </x:c>
      <x:c r="B202" s="62" t="str">
        <x:v>CANDIFORCE</x:v>
      </x:c>
      <x:c r="C202" s="63" t="n">
        <x:v>18.99</x:v>
      </x:c>
      <x:c r="D202" s="64" t="n">
        <x:v>11</x:v>
      </x:c>
    </x:row>
    <x:row r="203">
      <x:c r="A203" s="61" t="n">
        <x:v>45839</x:v>
      </x:c>
      <x:c r="B203" s="62" t="str">
        <x:v>GLIMESTAR-M</x:v>
      </x:c>
      <x:c r="C203" s="63" t="n">
        <x:v>17.77</x:v>
      </x:c>
      <x:c r="D203" s="64" t="n">
        <x:v>11</x:v>
      </x:c>
    </x:row>
    <x:row r="204">
      <x:c r="A204" s="61" t="n">
        <x:v>45839</x:v>
      </x:c>
      <x:c r="B204" s="62" t="str">
        <x:v>TELMIKIND-AM</x:v>
      </x:c>
      <x:c r="C204" s="63" t="n">
        <x:v>16.77</x:v>
      </x:c>
      <x:c r="D204" s="64" t="n">
        <x:v>11</x:v>
      </x:c>
    </x:row>
    <x:row r="205">
      <x:c r="A205" s="61" t="n">
        <x:v>45839</x:v>
      </x:c>
      <x:c r="B205" s="62" t="str">
        <x:v>NUROKIND-GOLD</x:v>
      </x:c>
      <x:c r="C205" s="63" t="n">
        <x:v>16.91</x:v>
      </x:c>
      <x:c r="D205" s="64" t="n">
        <x:v>11</x:v>
      </x:c>
    </x:row>
    <x:row r="206">
      <x:c r="A206" s="61" t="n">
        <x:v>45839</x:v>
      </x:c>
      <x:c r="B206" s="62" t="str">
        <x:v>TELMIKIND-H</x:v>
      </x:c>
      <x:c r="C206" s="63" t="n">
        <x:v>15.04</x:v>
      </x:c>
      <x:c r="D206" s="64" t="n">
        <x:v>11</x:v>
      </x:c>
    </x:row>
    <x:row r="207">
      <x:c r="A207" s="61" t="n">
        <x:v>45839</x:v>
      </x:c>
      <x:c r="B207" s="62" t="str">
        <x:v>TELMIKIND</x:v>
      </x:c>
      <x:c r="C207" s="63" t="n">
        <x:v>13</x:v>
      </x:c>
      <x:c r="D207" s="64" t="n">
        <x:v>11</x:v>
      </x:c>
    </x:row>
    <x:row r="208">
      <x:c r="A208" s="61" t="n">
        <x:v>45839</x:v>
      </x:c>
      <x:c r="B208" s="62" t="str">
        <x:v>NUROKIND-LC</x:v>
      </x:c>
      <x:c r="C208" s="63" t="n">
        <x:v>13</x:v>
      </x:c>
      <x:c r="D208" s="64" t="n">
        <x:v>11</x:v>
      </x:c>
    </x:row>
    <x:row r="209">
      <x:c r="A209" s="61" t="n">
        <x:v>45839</x:v>
      </x:c>
      <x:c r="B209" s="62" t="str">
        <x:v>VOMIKIND</x:v>
      </x:c>
      <x:c r="C209" s="63" t="n">
        <x:v>12</x:v>
      </x:c>
      <x:c r="D209" s="64" t="n">
        <x:v>11</x:v>
      </x:c>
    </x:row>
    <x:row r="210">
      <x:c r="A210" s="61" t="n">
        <x:v>45839</x:v>
      </x:c>
      <x:c r="B210" s="62" t="str">
        <x:v>NUROKIND PLUS-RF</x:v>
      </x:c>
      <x:c r="C210" s="63" t="n">
        <x:v>12</x:v>
      </x:c>
      <x:c r="D210" s="64" t="n">
        <x:v>11</x:v>
      </x:c>
    </x:row>
    <x:row r="211">
      <x:c r="A211" s="61" t="n">
        <x:v>45839</x:v>
      </x:c>
      <x:c r="B211" s="62" t="str">
        <x:v>CEFAKIND</x:v>
      </x:c>
      <x:c r="C211" s="63" t="n">
        <x:v>11</x:v>
      </x:c>
      <x:c r="D211" s="64" t="n">
        <x:v>11</x:v>
      </x:c>
    </x:row>
    <x:row r="212">
      <x:c r="A212" s="61" t="n">
        <x:v>45839</x:v>
      </x:c>
      <x:c r="B212" s="62" t="str">
        <x:v>GUDCEF-CV</x:v>
      </x:c>
      <x:c r="C212" s="63" t="n">
        <x:v>9</x:v>
      </x:c>
      <x:c r="D212" s="64" t="n">
        <x:v>11</x:v>
      </x:c>
    </x:row>
    <x:row r="213">
      <x:c r="A213" s="61" t="n">
        <x:v>45839</x:v>
      </x:c>
      <x:c r="B213" s="62" t="str">
        <x:v>MONTICOPE</x:v>
      </x:c>
      <x:c r="C213" s="63" t="n">
        <x:v>9</x:v>
      </x:c>
      <x:c r="D213" s="64" t="n">
        <x:v>11</x:v>
      </x:c>
    </x:row>
    <x:row r="214">
      <x:c r="A214" s="61" t="n">
        <x:v>45870</x:v>
      </x:c>
      <x:c r="B214" s="62" t="str">
        <x:v>MANFORCE</x:v>
      </x:c>
      <x:c r="C214" s="63" t="n">
        <x:v>45.68</x:v>
      </x:c>
      <x:c r="D214" s="64" t="n">
        <x:v>12</x:v>
      </x:c>
    </x:row>
    <x:row r="215">
      <x:c r="A215" s="61" t="n">
        <x:v>45870</x:v>
      </x:c>
      <x:c r="B215" s="62" t="str">
        <x:v>MOXIKIND-CV</x:v>
      </x:c>
      <x:c r="C215" s="63" t="n">
        <x:v>39.8</x:v>
      </x:c>
      <x:c r="D215" s="64" t="n">
        <x:v>12</x:v>
      </x:c>
    </x:row>
    <x:row r="216">
      <x:c r="A216" s="61" t="n">
        <x:v>45870</x:v>
      </x:c>
      <x:c r="B216" s="62" t="str">
        <x:v>AMLOKIND-AT</x:v>
      </x:c>
      <x:c r="C216" s="63" t="n">
        <x:v>23.91</x:v>
      </x:c>
      <x:c r="D216" s="64" t="n">
        <x:v>12</x:v>
      </x:c>
    </x:row>
    <x:row r="217">
      <x:c r="A217" s="61" t="n">
        <x:v>45870</x:v>
      </x:c>
      <x:c r="B217" s="62" t="str">
        <x:v>UNWANTED-KIT</x:v>
      </x:c>
      <x:c r="C217" s="63" t="n">
        <x:v>18.08</x:v>
      </x:c>
      <x:c r="D217" s="64" t="n">
        <x:v>12</x:v>
      </x:c>
    </x:row>
    <x:row r="218">
      <x:c r="A218" s="61" t="n">
        <x:v>45870</x:v>
      </x:c>
      <x:c r="B218" s="62" t="str">
        <x:v>PREGA NEWS</x:v>
      </x:c>
      <x:c r="C218" s="63" t="n">
        <x:v>18.4</x:v>
      </x:c>
      <x:c r="D218" s="64" t="n">
        <x:v>12</x:v>
      </x:c>
    </x:row>
    <x:row r="219">
      <x:c r="A219" s="61" t="n">
        <x:v>45870</x:v>
      </x:c>
      <x:c r="B219" s="62" t="str">
        <x:v>DYDROBOON</x:v>
      </x:c>
      <x:c r="C219" s="63" t="n">
        <x:v>20.2</x:v>
      </x:c>
      <x:c r="D219" s="64" t="n">
        <x:v>12</x:v>
      </x:c>
    </x:row>
    <x:row r="220">
      <x:c r="A220" s="61" t="n">
        <x:v>45870</x:v>
      </x:c>
      <x:c r="B220" s="62" t="str">
        <x:v>GUDCEF</x:v>
      </x:c>
      <x:c r="C220" s="63" t="n">
        <x:v>24.05</x:v>
      </x:c>
      <x:c r="D220" s="64" t="n">
        <x:v>12</x:v>
      </x:c>
    </x:row>
    <x:row r="221">
      <x:c r="A221" s="61" t="n">
        <x:v>45870</x:v>
      </x:c>
      <x:c r="B221" s="62" t="str">
        <x:v>GLIMESTAR-M</x:v>
      </x:c>
      <x:c r="C221" s="63" t="n">
        <x:v>17.17</x:v>
      </x:c>
      <x:c r="D221" s="64" t="n">
        <x:v>12</x:v>
      </x:c>
    </x:row>
    <x:row r="222">
      <x:c r="A222" s="61" t="n">
        <x:v>45870</x:v>
      </x:c>
      <x:c r="B222" s="62" t="str">
        <x:v>CANDIFORCE</x:v>
      </x:c>
      <x:c r="C222" s="63" t="n">
        <x:v>19.37</x:v>
      </x:c>
      <x:c r="D222" s="64" t="n">
        <x:v>12</x:v>
      </x:c>
    </x:row>
    <x:row r="223">
      <x:c r="A223" s="61" t="n">
        <x:v>45870</x:v>
      </x:c>
      <x:c r="B223" s="62" t="str">
        <x:v>TELMIKIND-AM</x:v>
      </x:c>
      <x:c r="C223" s="63" t="n">
        <x:v>16.26</x:v>
      </x:c>
      <x:c r="D223" s="64" t="n">
        <x:v>12</x:v>
      </x:c>
    </x:row>
    <x:row r="224">
      <x:c r="A224" s="61" t="n">
        <x:v>45870</x:v>
      </x:c>
      <x:c r="B224" s="62" t="str">
        <x:v>NUROKIND-GOLD</x:v>
      </x:c>
      <x:c r="C224" s="63" t="n">
        <x:v>17.44</x:v>
      </x:c>
      <x:c r="D224" s="64" t="n">
        <x:v>12</x:v>
      </x:c>
    </x:row>
    <x:row r="225">
      <x:c r="A225" s="61" t="n">
        <x:v>45870</x:v>
      </x:c>
      <x:c r="B225" s="62" t="str">
        <x:v>TELMIKIND-H</x:v>
      </x:c>
      <x:c r="C225" s="63" t="n">
        <x:v>14.28</x:v>
      </x:c>
      <x:c r="D225" s="64" t="n">
        <x:v>12</x:v>
      </x:c>
    </x:row>
    <x:row r="226">
      <x:c r="A226" s="61" t="n">
        <x:v>45870</x:v>
      </x:c>
      <x:c r="B226" s="62" t="str">
        <x:v>TELMIKIND</x:v>
      </x:c>
      <x:c r="C226" s="63" t="n">
        <x:v>14</x:v>
      </x:c>
      <x:c r="D226" s="64" t="n">
        <x:v>12</x:v>
      </x:c>
    </x:row>
    <x:row r="227">
      <x:c r="A227" s="61" t="n">
        <x:v>45870</x:v>
      </x:c>
      <x:c r="B227" s="62" t="str">
        <x:v>NUROKIND-LC</x:v>
      </x:c>
      <x:c r="C227" s="63" t="n">
        <x:v>13</x:v>
      </x:c>
      <x:c r="D227" s="64" t="n">
        <x:v>12</x:v>
      </x:c>
    </x:row>
    <x:row r="228">
      <x:c r="A228" s="61" t="n">
        <x:v>45870</x:v>
      </x:c>
      <x:c r="B228" s="62" t="str">
        <x:v>VOMIKIND</x:v>
      </x:c>
      <x:c r="C228" s="63" t="n">
        <x:v>12</x:v>
      </x:c>
      <x:c r="D228" s="64" t="n">
        <x:v>12</x:v>
      </x:c>
    </x:row>
    <x:row r="229">
      <x:c r="A229" s="61" t="n">
        <x:v>45870</x:v>
      </x:c>
      <x:c r="B229" s="62" t="str">
        <x:v>NUROKIND PLUS-RF</x:v>
      </x:c>
      <x:c r="C229" s="63" t="n">
        <x:v>12</x:v>
      </x:c>
      <x:c r="D229" s="64" t="n">
        <x:v>12</x:v>
      </x:c>
    </x:row>
    <x:row r="230">
      <x:c r="A230" s="61" t="n">
        <x:v>45870</x:v>
      </x:c>
      <x:c r="B230" s="62" t="str">
        <x:v>CEFAKIND</x:v>
      </x:c>
      <x:c r="C230" s="63" t="n">
        <x:v>13</x:v>
      </x:c>
      <x:c r="D230" s="64" t="n">
        <x:v>12</x:v>
      </x:c>
    </x:row>
    <x:row r="231">
      <x:c r="A231" s="61" t="n">
        <x:v>45870</x:v>
      </x:c>
      <x:c r="B231" s="62" t="str">
        <x:v>GUDCEF-CV</x:v>
      </x:c>
      <x:c r="C231" s="63" t="n">
        <x:v>13</x:v>
      </x:c>
      <x:c r="D231" s="64" t="n">
        <x:v>12</x:v>
      </x:c>
    </x:row>
    <x:row r="232">
      <x:c r="A232" s="61" t="n">
        <x:v>45870</x:v>
      </x:c>
      <x:c r="B232" s="62" t="str">
        <x:v>MONTICOPE</x:v>
      </x:c>
      <x:c r="C232" s="63" t="n">
        <x:v>13</x:v>
      </x:c>
      <x:c r="D232" s="64" t="n">
        <x:v>12</x:v>
      </x:c>
    </x:row>
    <x:row r="233">
      <x:c r="A233" s="61" t="n">
        <x:v>45901</x:v>
      </x:c>
      <x:c r="B233" s="62" t="str">
        <x:v>MANFORCE</x:v>
      </x:c>
      <x:c r="C233" s="63" t="n">
        <x:v>41.94</x:v>
      </x:c>
      <x:c r="D233" s="64" t="n">
        <x:v>14</x:v>
      </x:c>
    </x:row>
    <x:row r="234">
      <x:c r="A234" s="61" t="n">
        <x:v>45901</x:v>
      </x:c>
      <x:c r="B234" s="62" t="str">
        <x:v>MOXIKIND-CV</x:v>
      </x:c>
      <x:c r="C234" s="63" t="n">
        <x:v>39.5</x:v>
      </x:c>
      <x:c r="D234" s="64" t="n">
        <x:v>14</x:v>
      </x:c>
    </x:row>
    <x:row r="235">
      <x:c r="A235" s="61" t="n">
        <x:v>45901</x:v>
      </x:c>
      <x:c r="B235" s="62" t="str">
        <x:v>AMLOKIND-AT</x:v>
      </x:c>
      <x:c r="C235" s="63" t="n">
        <x:v>23.17</x:v>
      </x:c>
      <x:c r="D235" s="64" t="n">
        <x:v>14</x:v>
      </x:c>
    </x:row>
    <x:row r="236">
      <x:c r="A236" s="61" t="n">
        <x:v>45901</x:v>
      </x:c>
      <x:c r="B236" s="62" t="str">
        <x:v>UNWANTED-KIT</x:v>
      </x:c>
      <x:c r="C236" s="63" t="n">
        <x:v>16.21</x:v>
      </x:c>
      <x:c r="D236" s="64" t="n">
        <x:v>14</x:v>
      </x:c>
    </x:row>
    <x:row r="237">
      <x:c r="A237" s="61" t="n">
        <x:v>45901</x:v>
      </x:c>
      <x:c r="B237" s="62" t="str">
        <x:v>PREGA NEWS</x:v>
      </x:c>
      <x:c r="C237" s="63" t="n">
        <x:v>16.47</x:v>
      </x:c>
      <x:c r="D237" s="64" t="n">
        <x:v>14</x:v>
      </x:c>
    </x:row>
    <x:row r="238">
      <x:c r="A238" s="61" t="n">
        <x:v>45901</x:v>
      </x:c>
      <x:c r="B238" s="62" t="str">
        <x:v>DYDROBOON</x:v>
      </x:c>
      <x:c r="C238" s="63" t="n">
        <x:v>18.08</x:v>
      </x:c>
      <x:c r="D238" s="64" t="n">
        <x:v>14</x:v>
      </x:c>
    </x:row>
    <x:row r="239">
      <x:c r="A239" s="61" t="n">
        <x:v>45901</x:v>
      </x:c>
      <x:c r="B239" s="62" t="str">
        <x:v>GUDCEF</x:v>
      </x:c>
      <x:c r="C239" s="63" t="n">
        <x:v>22.79</x:v>
      </x:c>
      <x:c r="D239" s="64" t="n">
        <x:v>14</x:v>
      </x:c>
    </x:row>
    <x:row r="240">
      <x:c r="A240" s="61" t="n">
        <x:v>45901</x:v>
      </x:c>
      <x:c r="B240" s="62" t="str">
        <x:v>GLIMESTAR-M</x:v>
      </x:c>
      <x:c r="C240" s="63" t="n">
        <x:v>16.22</x:v>
      </x:c>
      <x:c r="D240" s="64" t="n">
        <x:v>14</x:v>
      </x:c>
    </x:row>
    <x:row r="241">
      <x:c r="A241" s="61" t="n">
        <x:v>45901</x:v>
      </x:c>
      <x:c r="B241" s="62" t="str">
        <x:v>CANDIFORCE</x:v>
      </x:c>
      <x:c r="C241" s="63" t="n">
        <x:v>19.36</x:v>
      </x:c>
      <x:c r="D241" s="64" t="n">
        <x:v>14</x:v>
      </x:c>
    </x:row>
    <x:row r="242">
      <x:c r="A242" s="61" t="n">
        <x:v>45901</x:v>
      </x:c>
      <x:c r="B242" s="62" t="str">
        <x:v>TELMIKIND-AM</x:v>
      </x:c>
      <x:c r="C242" s="63" t="n">
        <x:v>16.07</x:v>
      </x:c>
      <x:c r="D242" s="64" t="n">
        <x:v>14</x:v>
      </x:c>
    </x:row>
    <x:row r="243">
      <x:c r="A243" s="61" t="n">
        <x:v>45901</x:v>
      </x:c>
      <x:c r="B243" s="62" t="str">
        <x:v>NUROKIND-GOLD</x:v>
      </x:c>
      <x:c r="C243" s="63" t="n">
        <x:v>16.98</x:v>
      </x:c>
      <x:c r="D243" s="64" t="n">
        <x:v>14</x:v>
      </x:c>
    </x:row>
    <x:row r="244">
      <x:c r="A244" s="61" t="n">
        <x:v>45901</x:v>
      </x:c>
      <x:c r="B244" s="62" t="str">
        <x:v>TELMIKIND-H</x:v>
      </x:c>
      <x:c r="C244" s="63" t="n">
        <x:v>13.84</x:v>
      </x:c>
      <x:c r="D244" s="64" t="n">
        <x:v>14</x:v>
      </x:c>
    </x:row>
    <x:row r="245">
      <x:c r="A245" s="61" t="n">
        <x:v>45901</x:v>
      </x:c>
      <x:c r="B245" s="62" t="str">
        <x:v>TELMIKIND</x:v>
      </x:c>
      <x:c r="C245" s="63" t="n">
        <x:v>13.76</x:v>
      </x:c>
      <x:c r="D245" s="64" t="n">
        <x:v>14</x:v>
      </x:c>
    </x:row>
    <x:row r="246">
      <x:c r="A246" s="61" t="n">
        <x:v>45901</x:v>
      </x:c>
      <x:c r="B246" s="62" t="str">
        <x:v>NUROKIND-LC</x:v>
      </x:c>
      <x:c r="C246" s="63" t="n">
        <x:v>13</x:v>
      </x:c>
      <x:c r="D246" s="64" t="n">
        <x:v>14</x:v>
      </x:c>
    </x:row>
    <x:row r="247">
      <x:c r="A247" s="61" t="n">
        <x:v>45901</x:v>
      </x:c>
      <x:c r="B247" s="62" t="str">
        <x:v>VOMIKIND</x:v>
      </x:c>
      <x:c r="C247" s="63" t="n">
        <x:v>12</x:v>
      </x:c>
      <x:c r="D247" s="64" t="n">
        <x:v>14</x:v>
      </x:c>
    </x:row>
    <x:row r="248">
      <x:c r="A248" s="61" t="n">
        <x:v>45901</x:v>
      </x:c>
      <x:c r="B248" s="62" t="str">
        <x:v>NUROKIND PLUS-RF</x:v>
      </x:c>
      <x:c r="C248" s="63" t="n">
        <x:v>12</x:v>
      </x:c>
      <x:c r="D248" s="64" t="n">
        <x:v>14</x:v>
      </x:c>
    </x:row>
    <x:row r="249">
      <x:c r="A249" s="61" t="n">
        <x:v>45901</x:v>
      </x:c>
      <x:c r="B249" s="62" t="str">
        <x:v>CEFAKIND</x:v>
      </x:c>
      <x:c r="C249" s="63" t="n">
        <x:v>14</x:v>
      </x:c>
      <x:c r="D249" s="64" t="n">
        <x:v>14</x:v>
      </x:c>
    </x:row>
    <x:row r="250">
      <x:c r="A250" s="61" t="n">
        <x:v>45901</x:v>
      </x:c>
      <x:c r="B250" s="62" t="str">
        <x:v>GUDCEF-CV</x:v>
      </x:c>
      <x:c r="C250" s="63" t="n">
        <x:v>14</x:v>
      </x:c>
      <x:c r="D250" s="64" t="n">
        <x:v>14</x:v>
      </x:c>
    </x:row>
    <x:row r="251">
      <x:c r="A251" s="61" t="n">
        <x:v>45901</x:v>
      </x:c>
      <x:c r="B251" s="62" t="str">
        <x:v>MONTICOPE</x:v>
      </x:c>
      <x:c r="C251" s="63" t="n">
        <x:v>13</x:v>
      </x:c>
      <x:c r="D251" s="64" t="n">
        <x:v>14</x:v>
      </x:c>
    </x:row>
    <x:row r="252">
      <x:c r="A252" s="61" t="n">
        <x:v>45931</x:v>
      </x:c>
      <x:c r="B252" s="62" t="str">
        <x:v>MANFORCE</x:v>
      </x:c>
      <x:c r="C252" s="63" t="n">
        <x:v>48.86</x:v>
      </x:c>
      <x:c r="D252" s="64" t="n">
        <x:v>13</x:v>
      </x:c>
    </x:row>
    <x:row r="253">
      <x:c r="A253" s="61" t="n">
        <x:v>45931</x:v>
      </x:c>
      <x:c r="B253" s="62" t="str">
        <x:v>MOXIKIND-CV</x:v>
      </x:c>
      <x:c r="C253" s="63" t="n">
        <x:v>38.96</x:v>
      </x:c>
      <x:c r="D253" s="64" t="n">
        <x:v>13</x:v>
      </x:c>
    </x:row>
    <x:row r="254">
      <x:c r="A254" s="61" t="n">
        <x:v>45931</x:v>
      </x:c>
      <x:c r="B254" s="62" t="str">
        <x:v>AMLOKIND-AT</x:v>
      </x:c>
      <x:c r="C254" s="63" t="n">
        <x:v>25.41</x:v>
      </x:c>
      <x:c r="D254" s="64" t="n">
        <x:v>13</x:v>
      </x:c>
    </x:row>
    <x:row r="255">
      <x:c r="A255" s="61" t="n">
        <x:v>45931</x:v>
      </x:c>
      <x:c r="B255" s="62" t="str">
        <x:v>UNWANTED-KIT</x:v>
      </x:c>
      <x:c r="C255" s="63" t="n">
        <x:v>17.49</x:v>
      </x:c>
      <x:c r="D255" s="64" t="n">
        <x:v>13</x:v>
      </x:c>
    </x:row>
    <x:row r="256">
      <x:c r="A256" s="61" t="n">
        <x:v>45931</x:v>
      </x:c>
      <x:c r="B256" s="62" t="str">
        <x:v>PREGA NEWS</x:v>
      </x:c>
      <x:c r="C256" s="63" t="n">
        <x:v>16.16</x:v>
      </x:c>
      <x:c r="D256" s="64" t="n">
        <x:v>13</x:v>
      </x:c>
    </x:row>
    <x:row r="257">
      <x:c r="A257" s="61" t="n">
        <x:v>45931</x:v>
      </x:c>
      <x:c r="B257" s="62" t="str">
        <x:v>DYDROBOON</x:v>
      </x:c>
      <x:c r="C257" s="63" t="n">
        <x:v>18.84</x:v>
      </x:c>
      <x:c r="D257" s="64" t="n">
        <x:v>13</x:v>
      </x:c>
    </x:row>
    <x:row r="258">
      <x:c r="A258" s="61" t="n">
        <x:v>45931</x:v>
      </x:c>
      <x:c r="B258" s="62" t="str">
        <x:v>GUDCEF</x:v>
      </x:c>
      <x:c r="C258" s="63" t="n">
        <x:v>20.57</x:v>
      </x:c>
      <x:c r="D258" s="64" t="n">
        <x:v>13</x:v>
      </x:c>
    </x:row>
    <x:row r="259">
      <x:c r="A259" s="61" t="n">
        <x:v>45931</x:v>
      </x:c>
      <x:c r="B259" s="62" t="str">
        <x:v>GLIMESTAR-M</x:v>
      </x:c>
      <x:c r="C259" s="63" t="n">
        <x:v>18.06</x:v>
      </x:c>
      <x:c r="D259" s="64" t="n">
        <x:v>13</x:v>
      </x:c>
    </x:row>
    <x:row r="260">
      <x:c r="A260" s="61" t="n">
        <x:v>45931</x:v>
      </x:c>
      <x:c r="B260" s="62" t="str">
        <x:v>CANDIFORCE</x:v>
      </x:c>
      <x:c r="C260" s="63" t="n">
        <x:v>20.39</x:v>
      </x:c>
      <x:c r="D260" s="64" t="n">
        <x:v>13</x:v>
      </x:c>
    </x:row>
    <x:row r="261">
      <x:c r="A261" s="61" t="n">
        <x:v>45931</x:v>
      </x:c>
      <x:c r="B261" s="62" t="str">
        <x:v>TELMIKIND-AM</x:v>
      </x:c>
      <x:c r="C261" s="63" t="n">
        <x:v>17.42</x:v>
      </x:c>
      <x:c r="D261" s="64" t="n">
        <x:v>13</x:v>
      </x:c>
    </x:row>
    <x:row r="262">
      <x:c r="A262" s="61" t="n">
        <x:v>45931</x:v>
      </x:c>
      <x:c r="B262" s="62" t="str">
        <x:v>NUROKIND-GOLD</x:v>
      </x:c>
      <x:c r="C262" s="63" t="n">
        <x:v>16.19</x:v>
      </x:c>
      <x:c r="D262" s="64" t="n">
        <x:v>13</x:v>
      </x:c>
    </x:row>
    <x:row r="263">
      <x:c r="A263" s="61" t="n">
        <x:v>45931</x:v>
      </x:c>
      <x:c r="B263" s="62" t="str">
        <x:v>TELMIKIND-H</x:v>
      </x:c>
      <x:c r="C263" s="63" t="n">
        <x:v>15.14</x:v>
      </x:c>
      <x:c r="D263" s="64" t="n">
        <x:v>13</x:v>
      </x:c>
    </x:row>
    <x:row r="264">
      <x:c r="A264" s="61" t="n">
        <x:v>45931</x:v>
      </x:c>
      <x:c r="B264" s="62" t="str">
        <x:v>TELMIKIND</x:v>
      </x:c>
      <x:c r="C264" s="63" t="n">
        <x:v>15</x:v>
      </x:c>
      <x:c r="D264" s="64" t="n">
        <x:v>13</x:v>
      </x:c>
    </x:row>
    <x:row r="265">
      <x:c r="A265" s="61" t="n">
        <x:v>45931</x:v>
      </x:c>
      <x:c r="B265" s="62" t="str">
        <x:v>NUROKIND-LC</x:v>
      </x:c>
      <x:c r="C265" s="63" t="n">
        <x:v>13</x:v>
      </x:c>
      <x:c r="D265" s="64" t="n">
        <x:v>13</x:v>
      </x:c>
    </x:row>
    <x:row r="266">
      <x:c r="A266" s="61" t="n">
        <x:v>45931</x:v>
      </x:c>
      <x:c r="B266" s="62" t="str">
        <x:v>VOMIKIND</x:v>
      </x:c>
      <x:c r="C266" s="63" t="n">
        <x:v>11</x:v>
      </x:c>
      <x:c r="D266" s="64" t="n">
        <x:v>13</x:v>
      </x:c>
    </x:row>
    <x:row r="267">
      <x:c r="A267" s="61" t="n">
        <x:v>45931</x:v>
      </x:c>
      <x:c r="B267" s="62" t="str">
        <x:v>NUROKIND PLUS-RF</x:v>
      </x:c>
      <x:c r="C267" s="63" t="n">
        <x:v>13</x:v>
      </x:c>
      <x:c r="D267" s="64" t="n">
        <x:v>13</x:v>
      </x:c>
    </x:row>
    <x:row r="268">
      <x:c r="A268" s="61" t="n">
        <x:v>45931</x:v>
      </x:c>
      <x:c r="B268" s="62" t="str">
        <x:v>CEFAKIND</x:v>
      </x:c>
      <x:c r="C268" s="63" t="n">
        <x:v>13</x:v>
      </x:c>
      <x:c r="D268" s="64" t="n">
        <x:v>13</x:v>
      </x:c>
    </x:row>
    <x:row r="269">
      <x:c r="A269" s="61" t="n">
        <x:v>45931</x:v>
      </x:c>
      <x:c r="B269" s="62" t="str">
        <x:v>GUDCEF-CV</x:v>
      </x:c>
      <x:c r="C269" s="63" t="n">
        <x:v>12</x:v>
      </x:c>
      <x:c r="D269" s="64" t="n">
        <x:v>13</x:v>
      </x:c>
    </x:row>
    <x:row r="270">
      <x:c r="A270" s="61" t="n">
        <x:v>45931</x:v>
      </x:c>
      <x:c r="B270" s="62" t="str">
        <x:v>MONTICOPE</x:v>
      </x:c>
      <x:c r="C270" s="63" t="n">
        <x:v>13</x:v>
      </x:c>
      <x:c r="D270" s="64" t="n">
        <x:v>13</x:v>
      </x:c>
    </x:row>
    <x:row r="271">
      <x:c r="A271" s="61" t="n">
        <x:v>45962</x:v>
      </x:c>
      <x:c r="B271" s="62" t="str">
        <x:v>MANFORCE</x:v>
      </x:c>
      <x:c r="C271" s="63" t="n">
        <x:v>52.49</x:v>
      </x:c>
      <x:c r="D271" s="64" t="n">
        <x:v>17</x:v>
      </x:c>
    </x:row>
    <x:row r="272">
      <x:c r="A272" s="61" t="n">
        <x:v>45962</x:v>
      </x:c>
      <x:c r="B272" s="62" t="str">
        <x:v>MOXIKIND-CV</x:v>
      </x:c>
      <x:c r="C272" s="63" t="n">
        <x:v>35</x:v>
      </x:c>
      <x:c r="D272" s="64" t="n">
        <x:v>17</x:v>
      </x:c>
    </x:row>
    <x:row r="273">
      <x:c r="A273" s="61" t="n">
        <x:v>45962</x:v>
      </x:c>
      <x:c r="B273" s="62" t="str">
        <x:v>AMLOKIND-AT</x:v>
      </x:c>
      <x:c r="C273" s="63" t="n">
        <x:v>24.15</x:v>
      </x:c>
      <x:c r="D273" s="64" t="n">
        <x:v>17</x:v>
      </x:c>
    </x:row>
    <x:row r="274">
      <x:c r="A274" s="61" t="n">
        <x:v>45962</x:v>
      </x:c>
      <x:c r="B274" s="62" t="str">
        <x:v>UNWANTED-KIT</x:v>
      </x:c>
      <x:c r="C274" s="63" t="n">
        <x:v>18.39</x:v>
      </x:c>
      <x:c r="D274" s="64" t="n">
        <x:v>17</x:v>
      </x:c>
    </x:row>
    <x:row r="275">
      <x:c r="A275" s="61" t="n">
        <x:v>45962</x:v>
      </x:c>
      <x:c r="B275" s="62" t="str">
        <x:v>PREGA NEWS</x:v>
      </x:c>
      <x:c r="C275" s="63" t="n">
        <x:v>16.53</x:v>
      </x:c>
      <x:c r="D275" s="64" t="n">
        <x:v>17</x:v>
      </x:c>
    </x:row>
    <x:row r="276">
      <x:c r="A276" s="61" t="n">
        <x:v>45962</x:v>
      </x:c>
      <x:c r="B276" s="62" t="str">
        <x:v>DYDROBOON</x:v>
      </x:c>
      <x:c r="C276" s="63" t="n">
        <x:v>18.21</x:v>
      </x:c>
      <x:c r="D276" s="64" t="n">
        <x:v>17</x:v>
      </x:c>
    </x:row>
    <x:row r="277">
      <x:c r="A277" s="61" t="n">
        <x:v>45962</x:v>
      </x:c>
      <x:c r="B277" s="62" t="str">
        <x:v>GUDCEF</x:v>
      </x:c>
      <x:c r="C277" s="63" t="n">
        <x:v>20.13</x:v>
      </x:c>
      <x:c r="D277" s="64" t="n">
        <x:v>17</x:v>
      </x:c>
    </x:row>
    <x:row r="278">
      <x:c r="A278" s="61" t="n">
        <x:v>45962</x:v>
      </x:c>
      <x:c r="B278" s="62" t="str">
        <x:v>GLIMESTAR-M</x:v>
      </x:c>
      <x:c r="C278" s="63" t="n">
        <x:v>17.26</x:v>
      </x:c>
      <x:c r="D278" s="64" t="n">
        <x:v>17</x:v>
      </x:c>
    </x:row>
    <x:row r="279">
      <x:c r="A279" s="61" t="n">
        <x:v>45962</x:v>
      </x:c>
      <x:c r="B279" s="62" t="str">
        <x:v>CANDIFORCE</x:v>
      </x:c>
      <x:c r="C279" s="63" t="n">
        <x:v>17.95</x:v>
      </x:c>
      <x:c r="D279" s="64" t="n">
        <x:v>17</x:v>
      </x:c>
    </x:row>
    <x:row r="280">
      <x:c r="A280" s="61" t="n">
        <x:v>45962</x:v>
      </x:c>
      <x:c r="B280" s="62" t="str">
        <x:v>TELMIKIND-AM</x:v>
      </x:c>
      <x:c r="C280" s="63" t="n">
        <x:v>17.98</x:v>
      </x:c>
      <x:c r="D280" s="64" t="n">
        <x:v>17</x:v>
      </x:c>
    </x:row>
    <x:row r="281">
      <x:c r="A281" s="61" t="n">
        <x:v>45962</x:v>
      </x:c>
      <x:c r="B281" s="62" t="str">
        <x:v>NUROKIND-GOLD</x:v>
      </x:c>
      <x:c r="C281" s="63" t="n">
        <x:v>13.81</x:v>
      </x:c>
      <x:c r="D281" s="64" t="n">
        <x:v>17</x:v>
      </x:c>
    </x:row>
    <x:row r="282">
      <x:c r="A282" s="61" t="n">
        <x:v>45962</x:v>
      </x:c>
      <x:c r="B282" s="62" t="str">
        <x:v>TELMIKIND-H</x:v>
      </x:c>
      <x:c r="C282" s="63" t="n">
        <x:v>14.31</x:v>
      </x:c>
      <x:c r="D282" s="64" t="n">
        <x:v>17</x:v>
      </x:c>
    </x:row>
    <x:row r="283">
      <x:c r="A283" s="61" t="n">
        <x:v>45962</x:v>
      </x:c>
      <x:c r="B283" s="62" t="str">
        <x:v>TELMIKIND</x:v>
      </x:c>
      <x:c r="C283" s="63" t="n">
        <x:v>14</x:v>
      </x:c>
      <x:c r="D283" s="64" t="n">
        <x:v>17</x:v>
      </x:c>
    </x:row>
    <x:row r="284">
      <x:c r="A284" s="61" t="n">
        <x:v>45962</x:v>
      </x:c>
      <x:c r="B284" s="62" t="str">
        <x:v>NUROKIND-LC</x:v>
      </x:c>
      <x:c r="C284" s="63" t="n">
        <x:v>12</x:v>
      </x:c>
      <x:c r="D284" s="64" t="n">
        <x:v>17</x:v>
      </x:c>
    </x:row>
    <x:row r="285">
      <x:c r="A285" s="61" t="n">
        <x:v>45962</x:v>
      </x:c>
      <x:c r="B285" s="62" t="str">
        <x:v>VOMIKIND</x:v>
      </x:c>
      <x:c r="C285" s="63" t="n">
        <x:v>9</x:v>
      </x:c>
      <x:c r="D285" s="64" t="n">
        <x:v>17</x:v>
      </x:c>
    </x:row>
    <x:row r="286">
      <x:c r="A286" s="61" t="n">
        <x:v>45962</x:v>
      </x:c>
      <x:c r="B286" s="62" t="str">
        <x:v>NUROKIND PLUS-RF</x:v>
      </x:c>
      <x:c r="C286" s="63" t="n">
        <x:v>11</x:v>
      </x:c>
      <x:c r="D286" s="64" t="n">
        <x:v>17</x:v>
      </x:c>
    </x:row>
    <x:row r="287">
      <x:c r="A287" s="61" t="n">
        <x:v>45962</x:v>
      </x:c>
      <x:c r="B287" s="62" t="str">
        <x:v>CEFAKIND</x:v>
      </x:c>
      <x:c r="C287" s="63" t="n">
        <x:v>11</x:v>
      </x:c>
      <x:c r="D287" s="64" t="n">
        <x:v>17</x:v>
      </x:c>
    </x:row>
    <x:row r="288">
      <x:c r="A288" s="61" t="n">
        <x:v>45962</x:v>
      </x:c>
      <x:c r="B288" s="62" t="str">
        <x:v>MONTICOPE</x:v>
      </x:c>
      <x:c r="C288" s="63" t="n">
        <x:v>13</x:v>
      </x:c>
      <x:c r="D288" s="64" t="n">
        <x:v>17</x:v>
      </x:c>
    </x:row>
    <x:row r="289">
      <x:c r="A289" s="61" t="n">
        <x:v>45962</x:v>
      </x:c>
      <x:c r="B289" s="62" t="str">
        <x:v>GUDCEF-CV</x:v>
      </x:c>
      <x:c r="C289" s="63" t="n">
        <x:v>10</x:v>
      </x:c>
      <x:c r="D289" s="64" t="n">
        <x:v>17</x:v>
      </x:c>
    </x:row>
    <x:row r="290">
      <x:c r="A290" s="61" t="n">
        <x:v>45992</x:v>
      </x:c>
      <x:c r="B290" s="62" t="str">
        <x:v>MANFORCE</x:v>
      </x:c>
      <x:c r="C290" s="63" t="n">
        <x:v>56.61</x:v>
      </x:c>
      <x:c r="D290" s="64" t="n">
        <x:v>15</x:v>
      </x:c>
    </x:row>
    <x:row r="291">
      <x:c r="A291" s="61" t="n">
        <x:v>45992</x:v>
      </x:c>
      <x:c r="B291" s="62" t="str">
        <x:v>MOXIKIND-CV</x:v>
      </x:c>
      <x:c r="C291" s="63" t="n">
        <x:v>36.85</x:v>
      </x:c>
      <x:c r="D291" s="64" t="n">
        <x:v>15</x:v>
      </x:c>
    </x:row>
    <x:row r="292">
      <x:c r="A292" s="61" t="n">
        <x:v>45992</x:v>
      </x:c>
      <x:c r="B292" s="62" t="str">
        <x:v>AMLOKIND-AT</x:v>
      </x:c>
      <x:c r="C292" s="63" t="n">
        <x:v>25.71</x:v>
      </x:c>
      <x:c r="D292" s="64" t="n">
        <x:v>15</x:v>
      </x:c>
    </x:row>
    <x:row r="293">
      <x:c r="A293" s="61" t="n">
        <x:v>45992</x:v>
      </x:c>
      <x:c r="B293" s="62" t="str">
        <x:v>UNWANTED-KIT</x:v>
      </x:c>
      <x:c r="C293" s="63" t="n">
        <x:v>22.5</x:v>
      </x:c>
      <x:c r="D293" s="64" t="n">
        <x:v>15</x:v>
      </x:c>
    </x:row>
    <x:row r="294">
      <x:c r="A294" s="61" t="n">
        <x:v>45992</x:v>
      </x:c>
      <x:c r="B294" s="62" t="str">
        <x:v>PREGA NEWS</x:v>
      </x:c>
      <x:c r="C294" s="63" t="n">
        <x:v>20.08</x:v>
      </x:c>
      <x:c r="D294" s="64" t="n">
        <x:v>15</x:v>
      </x:c>
    </x:row>
    <x:row r="295">
      <x:c r="A295" s="61" t="n">
        <x:v>45992</x:v>
      </x:c>
      <x:c r="B295" s="62" t="str">
        <x:v>DYDROBOON</x:v>
      </x:c>
      <x:c r="C295" s="63" t="n">
        <x:v>19.8</x:v>
      </x:c>
      <x:c r="D295" s="64" t="n">
        <x:v>15</x:v>
      </x:c>
    </x:row>
    <x:row r="296">
      <x:c r="A296" s="61" t="n">
        <x:v>45992</x:v>
      </x:c>
      <x:c r="B296" s="62" t="str">
        <x:v>GUDCEF</x:v>
      </x:c>
      <x:c r="C296" s="63" t="n">
        <x:v>16.42</x:v>
      </x:c>
      <x:c r="D296" s="64" t="n">
        <x:v>15</x:v>
      </x:c>
    </x:row>
    <x:row r="297">
      <x:c r="A297" s="61" t="n">
        <x:v>45992</x:v>
      </x:c>
      <x:c r="B297" s="62" t="str">
        <x:v>GLIMESTAR-M</x:v>
      </x:c>
      <x:c r="C297" s="63" t="n">
        <x:v>18.42</x:v>
      </x:c>
      <x:c r="D297" s="64" t="n">
        <x:v>15</x:v>
      </x:c>
    </x:row>
    <x:row r="298">
      <x:c r="A298" s="61" t="n">
        <x:v>45992</x:v>
      </x:c>
      <x:c r="B298" s="62" t="str">
        <x:v>TELMIKIND-AM</x:v>
      </x:c>
      <x:c r="C298" s="63" t="n">
        <x:v>19.37</x:v>
      </x:c>
      <x:c r="D298" s="64" t="n">
        <x:v>15</x:v>
      </x:c>
    </x:row>
    <x:row r="299">
      <x:c r="A299" s="61" t="n">
        <x:v>45992</x:v>
      </x:c>
      <x:c r="B299" s="62" t="str">
        <x:v>CANDIFORCE</x:v>
      </x:c>
      <x:c r="C299" s="63" t="n">
        <x:v>16.02</x:v>
      </x:c>
      <x:c r="D299" s="64" t="n">
        <x:v>15</x:v>
      </x:c>
    </x:row>
    <x:row r="300">
      <x:c r="A300" s="61" t="n">
        <x:v>45992</x:v>
      </x:c>
      <x:c r="B300" s="62" t="str">
        <x:v>NUROKIND-GOLD</x:v>
      </x:c>
      <x:c r="C300" s="63" t="n">
        <x:v>12.01</x:v>
      </x:c>
      <x:c r="D300" s="64" t="n">
        <x:v>15</x:v>
      </x:c>
    </x:row>
    <x:row r="301">
      <x:c r="A301" s="61" t="n">
        <x:v>45992</x:v>
      </x:c>
      <x:c r="B301" s="62" t="str">
        <x:v>TELMIKIND-H</x:v>
      </x:c>
      <x:c r="C301" s="63" t="n">
        <x:v>15.24</x:v>
      </x:c>
      <x:c r="D301" s="64" t="n">
        <x:v>15</x:v>
      </x:c>
    </x:row>
    <x:row r="302">
      <x:c r="A302" s="61" t="n">
        <x:v>45992</x:v>
      </x:c>
      <x:c r="B302" s="62" t="str">
        <x:v>TELMIKIND</x:v>
      </x:c>
      <x:c r="C302" s="63" t="n">
        <x:v>14.6</x:v>
      </x:c>
      <x:c r="D302" s="64" t="n">
        <x:v>15</x:v>
      </x:c>
    </x:row>
    <x:row r="303">
      <x:c r="A303" s="61" t="n">
        <x:v>45992</x:v>
      </x:c>
      <x:c r="B303" s="62" t="str">
        <x:v>NUROKIND-LC</x:v>
      </x:c>
      <x:c r="C303" s="63" t="n">
        <x:v>12</x:v>
      </x:c>
      <x:c r="D303" s="64" t="n">
        <x:v>15</x:v>
      </x:c>
    </x:row>
    <x:row r="304">
      <x:c r="A304" s="61" t="n">
        <x:v>45992</x:v>
      </x:c>
      <x:c r="B304" s="62" t="str">
        <x:v>NUROKIND PLUS-RF</x:v>
      </x:c>
      <x:c r="C304" s="63" t="n">
        <x:v>11</x:v>
      </x:c>
      <x:c r="D304" s="64" t="n">
        <x:v>15</x:v>
      </x:c>
    </x:row>
    <x:row r="305">
      <x:c r="A305" s="61" t="n">
        <x:v>45992</x:v>
      </x:c>
      <x:c r="B305" s="62" t="str">
        <x:v>VOMIKIND</x:v>
      </x:c>
      <x:c r="C305" s="63" t="n">
        <x:v>11</x:v>
      </x:c>
      <x:c r="D305" s="64" t="n">
        <x:v>15</x:v>
      </x:c>
    </x:row>
    <x:row r="306">
      <x:c r="A306" s="61" t="n">
        <x:v>45992</x:v>
      </x:c>
      <x:c r="B306" s="62" t="str">
        <x:v>CEFAKIND</x:v>
      </x:c>
      <x:c r="C306" s="63" t="n">
        <x:v>10</x:v>
      </x:c>
      <x:c r="D306" s="64" t="n">
        <x:v>15</x:v>
      </x:c>
    </x:row>
    <x:row r="307">
      <x:c r="A307" s="61" t="n">
        <x:v>45992</x:v>
      </x:c>
      <x:c r="B307" s="62" t="str">
        <x:v>MONTICOPE</x:v>
      </x:c>
      <x:c r="C307" s="63" t="n">
        <x:v>11</x:v>
      </x:c>
      <x:c r="D307" s="64" t="n">
        <x:v>15</x:v>
      </x:c>
    </x:row>
    <x:row r="308">
      <x:c r="A308" s="61" t="n">
        <x:v>45992</x:v>
      </x:c>
      <x:c r="B308" s="62" t="str">
        <x:v>GUDCEF-CV</x:v>
      </x:c>
      <x:c r="C308" s="63" t="n">
        <x:v>10</x:v>
      </x:c>
      <x:c r="D308" s="64" t="n">
        <x:v>15</x:v>
      </x:c>
    </x:row>
    <x:row r="309">
      <x:c r="A309" s="61" t="n">
        <x:v>45992</x:v>
      </x:c>
      <x:c r="B309" s="62" t="str">
        <x:v>GLIZID-M</x:v>
      </x:c>
      <x:c r="C309" s="63" t="n">
        <x:v>11</x:v>
      </x:c>
      <x:c r="D309" s="64" t="n">
        <x:v>15</x:v>
      </x:c>
    </x:row>
    <x:row r="310">
      <x:c r="A310" s="61" t="n">
        <x:v>46023</x:v>
      </x:c>
      <x:c r="B310" s="62" t="str">
        <x:v>MANFORCE</x:v>
      </x:c>
      <x:c r="C310" s="63" t="n">
        <x:v>52.53</x:v>
      </x:c>
      <x:c r="D310" s="64" t="n">
        <x:v>16</x:v>
      </x:c>
    </x:row>
    <x:row r="311">
      <x:c r="A311" s="61" t="n">
        <x:v>46023</x:v>
      </x:c>
      <x:c r="B311" s="62" t="str">
        <x:v>MOXIKIND-CV</x:v>
      </x:c>
      <x:c r="C311" s="63" t="n">
        <x:v>34.02</x:v>
      </x:c>
      <x:c r="D311" s="64" t="n">
        <x:v>16</x:v>
      </x:c>
    </x:row>
    <x:row r="312">
      <x:c r="A312" s="61" t="n">
        <x:v>46023</x:v>
      </x:c>
      <x:c r="B312" s="62" t="str">
        <x:v>AMLOKIND-AT</x:v>
      </x:c>
      <x:c r="C312" s="63" t="n">
        <x:v>25.75</x:v>
      </x:c>
      <x:c r="D312" s="64" t="n">
        <x:v>16</x:v>
      </x:c>
    </x:row>
    <x:row r="313">
      <x:c r="A313" s="61" t="n">
        <x:v>46023</x:v>
      </x:c>
      <x:c r="B313" s="62" t="str">
        <x:v>UNWANTED-KIT</x:v>
      </x:c>
      <x:c r="C313" s="63" t="n">
        <x:v>23.3</x:v>
      </x:c>
      <x:c r="D313" s="64" t="n">
        <x:v>16</x:v>
      </x:c>
    </x:row>
    <x:row r="314">
      <x:c r="A314" s="61" t="n">
        <x:v>46023</x:v>
      </x:c>
      <x:c r="B314" s="62" t="str">
        <x:v>PREGA NEWS</x:v>
      </x:c>
      <x:c r="C314" s="63" t="n">
        <x:v>24.4</x:v>
      </x:c>
      <x:c r="D314" s="64" t="n">
        <x:v>16</x:v>
      </x:c>
    </x:row>
    <x:row r="315">
      <x:c r="A315" s="61" t="n">
        <x:v>46023</x:v>
      </x:c>
      <x:c r="B315" s="62" t="str">
        <x:v>DYDROBOON</x:v>
      </x:c>
      <x:c r="C315" s="63" t="n">
        <x:v>20.37</x:v>
      </x:c>
      <x:c r="D315" s="64" t="n">
        <x:v>16</x:v>
      </x:c>
    </x:row>
    <x:row r="316">
      <x:c r="A316" s="61" t="n">
        <x:v>46023</x:v>
      </x:c>
      <x:c r="B316" s="62" t="str">
        <x:v>GUDCEF</x:v>
      </x:c>
      <x:c r="C316" s="63" t="n">
        <x:v>14.71</x:v>
      </x:c>
      <x:c r="D316" s="64" t="n">
        <x:v>16</x:v>
      </x:c>
    </x:row>
    <x:row r="317">
      <x:c r="A317" s="61" t="n">
        <x:v>46023</x:v>
      </x:c>
      <x:c r="B317" s="62" t="str">
        <x:v>GLIMESTAR-M</x:v>
      </x:c>
      <x:c r="C317" s="63" t="n">
        <x:v>16.99</x:v>
      </x:c>
      <x:c r="D317" s="64" t="n">
        <x:v>16</x:v>
      </x:c>
    </x:row>
    <x:row r="318">
      <x:c r="A318" s="61" t="n">
        <x:v>46023</x:v>
      </x:c>
      <x:c r="B318" s="62" t="str">
        <x:v>TELMIKIND-AM</x:v>
      </x:c>
      <x:c r="C318" s="63" t="n">
        <x:v>19.58</x:v>
      </x:c>
      <x:c r="D318" s="64" t="n">
        <x:v>16</x:v>
      </x:c>
    </x:row>
    <x:row r="319">
      <x:c r="A319" s="61" t="n">
        <x:v>46023</x:v>
      </x:c>
      <x:c r="B319" s="62" t="str">
        <x:v>CANDIFORCE</x:v>
      </x:c>
      <x:c r="C319" s="63" t="n">
        <x:v>14.84</x:v>
      </x:c>
      <x:c r="D319" s="64" t="n">
        <x:v>16</x:v>
      </x:c>
    </x:row>
    <x:row r="320">
      <x:c r="A320" s="61" t="n">
        <x:v>46023</x:v>
      </x:c>
      <x:c r="B320" s="62" t="str">
        <x:v>NUROKIND-GOLD</x:v>
      </x:c>
      <x:c r="C320" s="63" t="n">
        <x:v>12.15</x:v>
      </x:c>
      <x:c r="D320" s="64" t="n">
        <x:v>16</x:v>
      </x:c>
    </x:row>
    <x:row r="321">
      <x:c r="A321" s="61" t="n">
        <x:v>46023</x:v>
      </x:c>
      <x:c r="B321" s="62" t="str">
        <x:v>TELMIKIND-H</x:v>
      </x:c>
      <x:c r="C321" s="63" t="n">
        <x:v>14.58</x:v>
      </x:c>
      <x:c r="D321" s="64" t="n">
        <x:v>16</x:v>
      </x:c>
    </x:row>
    <x:row r="322">
      <x:c r="A322" s="61" t="n">
        <x:v>46023</x:v>
      </x:c>
      <x:c r="B322" s="62" t="str">
        <x:v>TELMIKIND</x:v>
      </x:c>
      <x:c r="C322" s="63" t="n">
        <x:v>14.27</x:v>
      </x:c>
      <x:c r="D322" s="64" t="n">
        <x:v>16</x:v>
      </x:c>
    </x:row>
    <x:row r="323">
      <x:c r="A323" s="61" t="n">
        <x:v>46023</x:v>
      </x:c>
      <x:c r="B323" s="62" t="str">
        <x:v>NUROKIND-LC</x:v>
      </x:c>
      <x:c r="C323" s="63" t="n">
        <x:v>11</x:v>
      </x:c>
      <x:c r="D323" s="64" t="n">
        <x:v>16</x:v>
      </x:c>
    </x:row>
    <x:row r="324">
      <x:c r="A324" s="61" t="n">
        <x:v>46023</x:v>
      </x:c>
      <x:c r="B324" s="62" t="str">
        <x:v>NUROKIND PLUS-RF</x:v>
      </x:c>
      <x:c r="C324" s="63" t="n">
        <x:v>11</x:v>
      </x:c>
      <x:c r="D324" s="64" t="n">
        <x:v>16</x:v>
      </x:c>
    </x:row>
    <x:row r="325">
      <x:c r="A325" s="61" t="n">
        <x:v>46023</x:v>
      </x:c>
      <x:c r="B325" s="62" t="str">
        <x:v>VOMIKIND</x:v>
      </x:c>
      <x:c r="C325" s="63" t="n">
        <x:v>10</x:v>
      </x:c>
      <x:c r="D325" s="64" t="n">
        <x:v>16</x:v>
      </x:c>
    </x:row>
    <x:row r="326">
      <x:c r="A326" s="61" t="n">
        <x:v>46023</x:v>
      </x:c>
      <x:c r="B326" s="62" t="str">
        <x:v>CEFAKIND</x:v>
      </x:c>
      <x:c r="C326" s="63" t="n">
        <x:v>11</x:v>
      </x:c>
      <x:c r="D326" s="64" t="n">
        <x:v>16</x:v>
      </x:c>
    </x:row>
    <x:row r="327">
      <x:c r="A327" s="61" t="n">
        <x:v>46023</x:v>
      </x:c>
      <x:c r="B327" s="62" t="str">
        <x:v>MONTICOPE</x:v>
      </x:c>
      <x:c r="C327" s="63" t="n">
        <x:v>11</x:v>
      </x:c>
      <x:c r="D327" s="64" t="n">
        <x:v>16</x:v>
      </x:c>
    </x:row>
    <x:row r="328">
      <x:c r="A328" s="61" t="n">
        <x:v>46023</x:v>
      </x:c>
      <x:c r="B328" s="62" t="str">
        <x:v>GUDCEF-CV</x:v>
      </x:c>
      <x:c r="C328" s="63" t="n">
        <x:v>10</x:v>
      </x:c>
      <x:c r="D328" s="64" t="n">
        <x:v>16</x:v>
      </x:c>
    </x:row>
    <x:row r="329">
      <x:c r="A329" s="61" t="n">
        <x:v>46023</x:v>
      </x:c>
      <x:c r="B329" s="62" t="str">
        <x:v>GLIZID-M</x:v>
      </x:c>
      <x:c r="C329" s="63" t="n">
        <x:v>12</x:v>
      </x:c>
      <x:c r="D329" s="64" t="n">
        <x:v>16</x:v>
      </x:c>
    </x:row>
    <x:row r="330">
      <x:c r="A330" s="61" t="n">
        <x:v>46054</x:v>
      </x:c>
      <x:c r="B330" s="62" t="str">
        <x:v>MANFORCE</x:v>
      </x:c>
      <x:c r="C330" s="63" t="n">
        <x:v>48.31</x:v>
      </x:c>
      <x:c r="D330" s="64" t="n">
        <x:v>18</x:v>
      </x:c>
    </x:row>
    <x:row r="331">
      <x:c r="A331" s="61" t="n">
        <x:v>46054</x:v>
      </x:c>
      <x:c r="B331" s="62" t="str">
        <x:v>MOXIKIND-CV</x:v>
      </x:c>
      <x:c r="C331" s="63" t="n">
        <x:v>32.6</x:v>
      </x:c>
      <x:c r="D331" s="64" t="n">
        <x:v>18</x:v>
      </x:c>
    </x:row>
    <x:row r="332">
      <x:c r="A332" s="61" t="n">
        <x:v>46054</x:v>
      </x:c>
      <x:c r="B332" s="62" t="str">
        <x:v>AMLOKIND-AT</x:v>
      </x:c>
      <x:c r="C332" s="63" t="n">
        <x:v>25.59</x:v>
      </x:c>
      <x:c r="D332" s="64" t="n">
        <x:v>18</x:v>
      </x:c>
    </x:row>
    <x:row r="333">
      <x:c r="A333" s="61" t="n">
        <x:v>46054</x:v>
      </x:c>
      <x:c r="B333" s="62" t="str">
        <x:v>UNWANTED-KIT</x:v>
      </x:c>
      <x:c r="C333" s="63" t="n">
        <x:v>22.42</x:v>
      </x:c>
      <x:c r="D333" s="64" t="n">
        <x:v>18</x:v>
      </x:c>
    </x:row>
    <x:row r="334">
      <x:c r="A334" s="61" t="n">
        <x:v>46054</x:v>
      </x:c>
      <x:c r="B334" s="62" t="str">
        <x:v>PREGA NEWS</x:v>
      </x:c>
      <x:c r="C334" s="63" t="n">
        <x:v>26.2</x:v>
      </x:c>
      <x:c r="D334" s="64" t="n">
        <x:v>18</x:v>
      </x:c>
    </x:row>
    <x:row r="335">
      <x:c r="A335" s="61" t="n">
        <x:v>46054</x:v>
      </x:c>
      <x:c r="B335" s="62" t="str">
        <x:v>DYDROBOON</x:v>
      </x:c>
      <x:c r="C335" s="63" t="n">
        <x:v>20.63</x:v>
      </x:c>
      <x:c r="D335" s="64" t="n">
        <x:v>18</x:v>
      </x:c>
    </x:row>
    <x:row r="336">
      <x:c r="A336" s="61" t="n">
        <x:v>46054</x:v>
      </x:c>
      <x:c r="B336" s="62" t="str">
        <x:v>GUDCEF</x:v>
      </x:c>
      <x:c r="C336" s="63" t="n">
        <x:v>14.84</x:v>
      </x:c>
      <x:c r="D336" s="64" t="n">
        <x:v>18</x:v>
      </x:c>
    </x:row>
    <x:row r="337">
      <x:c r="A337" s="61" t="n">
        <x:v>46054</x:v>
      </x:c>
      <x:c r="B337" s="62" t="str">
        <x:v>TELMIKIND-AM</x:v>
      </x:c>
      <x:c r="C337" s="63" t="n">
        <x:v>18.53</x:v>
      </x:c>
      <x:c r="D337" s="64" t="n">
        <x:v>18</x:v>
      </x:c>
    </x:row>
    <x:row r="338">
      <x:c r="A338" s="61" t="n">
        <x:v>46054</x:v>
      </x:c>
      <x:c r="B338" s="62" t="str">
        <x:v>GLIMESTAR-M</x:v>
      </x:c>
      <x:c r="C338" s="63" t="n">
        <x:v>15.14</x:v>
      </x:c>
      <x:c r="D338" s="64" t="n">
        <x:v>18</x:v>
      </x:c>
    </x:row>
    <x:row r="339">
      <x:c r="A339" s="61" t="n">
        <x:v>46054</x:v>
      </x:c>
      <x:c r="B339" s="62" t="str">
        <x:v>CANDIFORCE</x:v>
      </x:c>
      <x:c r="C339" s="63" t="n">
        <x:v>13.77</x:v>
      </x:c>
      <x:c r="D339" s="64" t="n">
        <x:v>18</x:v>
      </x:c>
    </x:row>
    <x:row r="340">
      <x:c r="A340" s="61" t="n">
        <x:v>46054</x:v>
      </x:c>
      <x:c r="B340" s="62" t="str">
        <x:v>NUROKIND-GOLD</x:v>
      </x:c>
      <x:c r="C340" s="63" t="n">
        <x:v>13.29</x:v>
      </x:c>
      <x:c r="D340" s="64" t="n">
        <x:v>18</x:v>
      </x:c>
    </x:row>
    <x:row r="341">
      <x:c r="A341" s="61" t="n">
        <x:v>46054</x:v>
      </x:c>
      <x:c r="B341" s="62" t="str">
        <x:v>TELMIKIND-H</x:v>
      </x:c>
      <x:c r="C341" s="63" t="n">
        <x:v>14.04</x:v>
      </x:c>
      <x:c r="D341" s="64" t="n">
        <x:v>18</x:v>
      </x:c>
    </x:row>
    <x:row r="342">
      <x:c r="A342" s="61" t="n">
        <x:v>46054</x:v>
      </x:c>
      <x:c r="B342" s="62" t="str">
        <x:v>TELMIKIND</x:v>
      </x:c>
      <x:c r="C342" s="63" t="n">
        <x:v>14.89</x:v>
      </x:c>
      <x:c r="D342" s="64" t="n">
        <x:v>18</x:v>
      </x:c>
    </x:row>
    <x:row r="343">
      <x:c r="A343" s="61" t="n">
        <x:v>46054</x:v>
      </x:c>
      <x:c r="B343" s="62" t="str">
        <x:v>NUROKIND-LC</x:v>
      </x:c>
      <x:c r="C343" s="63" t="n">
        <x:v>11</x:v>
      </x:c>
      <x:c r="D343" s="64" t="n">
        <x:v>18</x:v>
      </x:c>
    </x:row>
    <x:row r="344">
      <x:c r="A344" s="61" t="n">
        <x:v>46054</x:v>
      </x:c>
      <x:c r="B344" s="62" t="str">
        <x:v>NUROKIND PLUS-RF</x:v>
      </x:c>
      <x:c r="C344" s="63" t="n">
        <x:v>11</x:v>
      </x:c>
      <x:c r="D344" s="64" t="n">
        <x:v>18</x:v>
      </x:c>
    </x:row>
    <x:row r="345">
      <x:c r="A345" s="61" t="n">
        <x:v>46054</x:v>
      </x:c>
      <x:c r="B345" s="62" t="str">
        <x:v>VOMIKIND</x:v>
      </x:c>
      <x:c r="C345" s="63" t="n">
        <x:v>11</x:v>
      </x:c>
      <x:c r="D345" s="64" t="n">
        <x:v>18</x:v>
      </x:c>
    </x:row>
    <x:row r="346">
      <x:c r="A346" s="61" t="n">
        <x:v>46054</x:v>
      </x:c>
      <x:c r="B346" s="62" t="str">
        <x:v>CEFAKIND</x:v>
      </x:c>
      <x:c r="C346" s="63" t="n">
        <x:v>10</x:v>
      </x:c>
      <x:c r="D346" s="64" t="n">
        <x:v>18</x:v>
      </x:c>
    </x:row>
    <x:row r="347">
      <x:c r="A347" s="61" t="n">
        <x:v>46054</x:v>
      </x:c>
      <x:c r="B347" s="62" t="str">
        <x:v>GLIZID-M</x:v>
      </x:c>
      <x:c r="C347" s="63" t="n">
        <x:v>11</x:v>
      </x:c>
      <x:c r="D347" s="64" t="n">
        <x:v>18</x:v>
      </x:c>
    </x:row>
    <x:row r="348">
      <x:c r="A348" s="61" t="n">
        <x:v>46054</x:v>
      </x:c>
      <x:c r="B348" s="62" t="str">
        <x:v>MONTICOPE</x:v>
      </x:c>
      <x:c r="C348" s="63" t="n">
        <x:v>10</x:v>
      </x:c>
      <x:c r="D348" s="64" t="n">
        <x:v>18</x:v>
      </x:c>
    </x:row>
    <x:row r="349">
      <x:c r="A349" s="61" t="n">
        <x:v>46082</x:v>
      </x:c>
      <x:c r="B349" s="62" t="str">
        <x:v>MANFORCE</x:v>
      </x:c>
      <x:c r="C349" s="63" t="n">
        <x:v>48.97</x:v>
      </x:c>
      <x:c r="D349" s="64" t="n">
        <x:v>20</x:v>
      </x:c>
    </x:row>
    <x:row r="350">
      <x:c r="A350" s="61" t="n">
        <x:v>46082</x:v>
      </x:c>
      <x:c r="B350" s="62" t="str">
        <x:v>MOXIKIND-CV</x:v>
      </x:c>
      <x:c r="C350" s="63" t="n">
        <x:v>31.47</x:v>
      </x:c>
      <x:c r="D350" s="64" t="n">
        <x:v>20</x:v>
      </x:c>
    </x:row>
    <x:row r="351">
      <x:c r="A351" s="61" t="n">
        <x:v>46082</x:v>
      </x:c>
      <x:c r="B351" s="62" t="str">
        <x:v>AMLOKIND-AT</x:v>
      </x:c>
      <x:c r="C351" s="63" t="n">
        <x:v>25.74</x:v>
      </x:c>
      <x:c r="D351" s="64" t="n">
        <x:v>20</x:v>
      </x:c>
    </x:row>
    <x:row r="352">
      <x:c r="A352" s="61" t="n">
        <x:v>46082</x:v>
      </x:c>
      <x:c r="B352" s="62" t="str">
        <x:v>UNWANTED-KIT</x:v>
      </x:c>
      <x:c r="C352" s="63" t="n">
        <x:v>24.33</x:v>
      </x:c>
      <x:c r="D352" s="64" t="n">
        <x:v>20</x:v>
      </x:c>
    </x:row>
    <x:row r="353">
      <x:c r="A353" s="61" t="n">
        <x:v>46082</x:v>
      </x:c>
      <x:c r="B353" s="62" t="str">
        <x:v>PREGA NEWS</x:v>
      </x:c>
      <x:c r="C353" s="63" t="n">
        <x:v>23.9</x:v>
      </x:c>
      <x:c r="D353" s="64" t="n">
        <x:v>20</x:v>
      </x:c>
    </x:row>
    <x:row r="354">
      <x:c r="A354" s="61" t="n">
        <x:v>46082</x:v>
      </x:c>
      <x:c r="B354" s="62" t="str">
        <x:v>DYDROBOON</x:v>
      </x:c>
      <x:c r="C354" s="63" t="n">
        <x:v>20.77</x:v>
      </x:c>
      <x:c r="D354" s="64" t="n">
        <x:v>20</x:v>
      </x:c>
    </x:row>
    <x:row r="355">
      <x:c r="A355" s="61" t="n">
        <x:v>46082</x:v>
      </x:c>
      <x:c r="B355" s="62" t="str">
        <x:v>TELMIKIND-AM</x:v>
      </x:c>
      <x:c r="C355" s="63" t="n">
        <x:v>18.93</x:v>
      </x:c>
      <x:c r="D355" s="64" t="n">
        <x:v>20</x:v>
      </x:c>
    </x:row>
    <x:row r="356">
      <x:c r="A356" s="61" t="n">
        <x:v>46082</x:v>
      </x:c>
      <x:c r="B356" s="62" t="str">
        <x:v>GUDCEF</x:v>
      </x:c>
      <x:c r="C356" s="63" t="n">
        <x:v>15.74</x:v>
      </x:c>
      <x:c r="D356" s="64" t="n">
        <x:v>20</x:v>
      </x:c>
    </x:row>
    <x:row r="357">
      <x:c r="A357" s="61" t="n">
        <x:v>46082</x:v>
      </x:c>
      <x:c r="B357" s="62" t="str">
        <x:v>GLIMESTAR-M</x:v>
      </x:c>
      <x:c r="C357" s="63" t="n">
        <x:v>15.23</x:v>
      </x:c>
      <x:c r="D357" s="64" t="n">
        <x:v>20</x:v>
      </x:c>
    </x:row>
    <x:row r="358">
      <x:c r="A358" s="61" t="n">
        <x:v>46082</x:v>
      </x:c>
      <x:c r="B358" s="62" t="str">
        <x:v>CANDIFORCE</x:v>
      </x:c>
      <x:c r="C358" s="63" t="n">
        <x:v>13.98</x:v>
      </x:c>
      <x:c r="D358" s="64" t="n">
        <x:v>20</x:v>
      </x:c>
    </x:row>
    <x:row r="359">
      <x:c r="A359" s="61" t="n">
        <x:v>46082</x:v>
      </x:c>
      <x:c r="B359" s="62" t="str">
        <x:v>NUROKIND-GOLD</x:v>
      </x:c>
      <x:c r="C359" s="63" t="n">
        <x:v>14.97</x:v>
      </x:c>
      <x:c r="D359" s="64" t="n">
        <x:v>20</x:v>
      </x:c>
    </x:row>
    <x:row r="360">
      <x:c r="A360" s="61" t="n">
        <x:v>46082</x:v>
      </x:c>
      <x:c r="B360" s="62" t="str">
        <x:v>TELMIKIND-H</x:v>
      </x:c>
      <x:c r="C360" s="63" t="n">
        <x:v>14.07</x:v>
      </x:c>
      <x:c r="D360" s="64" t="n">
        <x:v>20</x:v>
      </x:c>
    </x:row>
    <x:row r="361">
      <x:c r="A361" s="61" t="n">
        <x:v>46082</x:v>
      </x:c>
      <x:c r="B361" s="62" t="str">
        <x:v>TELMIKIND</x:v>
      </x:c>
      <x:c r="C361" s="63" t="n">
        <x:v>15</x:v>
      </x:c>
      <x:c r="D361" s="64" t="n">
        <x:v>20</x:v>
      </x:c>
    </x:row>
    <x:row r="362">
      <x:c r="A362" s="61" t="n">
        <x:v>46082</x:v>
      </x:c>
      <x:c r="B362" s="62" t="str">
        <x:v>NUROKIND-LC</x:v>
      </x:c>
      <x:c r="C362" s="63" t="n">
        <x:v>12</x:v>
      </x:c>
      <x:c r="D362" s="64" t="n">
        <x:v>20</x:v>
      </x:c>
    </x:row>
    <x:row r="363">
      <x:c r="A363" s="61" t="n">
        <x:v>46082</x:v>
      </x:c>
      <x:c r="B363" s="62" t="str">
        <x:v>NUROKIND PLUS-RF</x:v>
      </x:c>
      <x:c r="C363" s="63" t="n">
        <x:v>12</x:v>
      </x:c>
      <x:c r="D363" s="64" t="n">
        <x:v>20</x:v>
      </x:c>
    </x:row>
    <x:row r="364">
      <x:c r="A364" s="61" t="n">
        <x:v>46082</x:v>
      </x:c>
      <x:c r="B364" s="62" t="str">
        <x:v>VOMIKIND</x:v>
      </x:c>
      <x:c r="C364" s="63" t="n">
        <x:v>12</x:v>
      </x:c>
      <x:c r="D364" s="64" t="n">
        <x:v>20</x:v>
      </x:c>
    </x:row>
    <x:row r="365">
      <x:c r="A365" s="61" t="n">
        <x:v>46082</x:v>
      </x:c>
      <x:c r="B365" s="62" t="str">
        <x:v>CEFAKIND</x:v>
      </x:c>
      <x:c r="C365" s="63" t="n">
        <x:v>11</x:v>
      </x:c>
      <x:c r="D365" s="64" t="n">
        <x:v>20</x:v>
      </x:c>
    </x:row>
    <x:row r="366">
      <x:c r="A366" s="61" t="n">
        <x:v>46082</x:v>
      </x:c>
      <x:c r="B366" s="62" t="str">
        <x:v>GLIZID-M</x:v>
      </x:c>
      <x:c r="C366" s="63" t="n">
        <x:v>11</x:v>
      </x:c>
      <x:c r="D366" s="64" t="n">
        <x:v>20</x:v>
      </x:c>
    </x:row>
    <x:row r="367">
      <x:c r="A367" s="61" t="n">
        <x:v>46082</x:v>
      </x:c>
      <x:c r="B367" s="62" t="str">
        <x:v>MONTICOPE</x:v>
      </x:c>
      <x:c r="C367" s="63" t="n">
        <x:v>10</x:v>
      </x:c>
      <x:c r="D367" s="64" t="n">
        <x:v>20</x:v>
      </x:c>
    </x:row>
    <x:row r="368">
      <x:c r="A368" s="61" t="n">
        <x:v>46113</x:v>
      </x:c>
      <x:c r="B368" s="62" t="str">
        <x:v>MANFORCE</x:v>
      </x:c>
      <x:c r="C368" s="63" t="n">
        <x:v>58.65</x:v>
      </x:c>
      <x:c r="D368" s="64" t="n">
        <x:v>19</x:v>
      </x:c>
    </x:row>
    <x:row r="369">
      <x:c r="A369" s="61" t="n">
        <x:v>46113</x:v>
      </x:c>
      <x:c r="B369" s="62" t="str">
        <x:v>MOXIKIND-CV</x:v>
      </x:c>
      <x:c r="C369" s="63" t="n">
        <x:v>33.11</x:v>
      </x:c>
      <x:c r="D369" s="64" t="n">
        <x:v>19</x:v>
      </x:c>
    </x:row>
    <x:row r="370">
      <x:c r="A370" s="61" t="n">
        <x:v>46113</x:v>
      </x:c>
      <x:c r="B370" s="62" t="str">
        <x:v>AMLOKIND-AT</x:v>
      </x:c>
      <x:c r="C370" s="63" t="n">
        <x:v>31.42</x:v>
      </x:c>
      <x:c r="D370" s="64" t="n">
        <x:v>19</x:v>
      </x:c>
    </x:row>
    <x:row r="371">
      <x:c r="A371" s="61" t="n">
        <x:v>46113</x:v>
      </x:c>
      <x:c r="B371" s="62" t="str">
        <x:v>UNWANTED-KIT</x:v>
      </x:c>
      <x:c r="C371" s="63" t="n">
        <x:v>26.48</x:v>
      </x:c>
      <x:c r="D371" s="64" t="n">
        <x:v>19</x:v>
      </x:c>
    </x:row>
    <x:row r="372">
      <x:c r="A372" s="61" t="n">
        <x:v>46113</x:v>
      </x:c>
      <x:c r="B372" s="62" t="str">
        <x:v>PREGA NEWS</x:v>
      </x:c>
      <x:c r="C372" s="63" t="n">
        <x:v>25.37</x:v>
      </x:c>
      <x:c r="D372" s="64" t="n">
        <x:v>19</x:v>
      </x:c>
    </x:row>
    <x:row r="373">
      <x:c r="A373" s="61" t="n">
        <x:v>46113</x:v>
      </x:c>
      <x:c r="B373" s="62" t="str">
        <x:v>DYDROBOON</x:v>
      </x:c>
      <x:c r="C373" s="63" t="n">
        <x:v>24.98</x:v>
      </x:c>
      <x:c r="D373" s="64" t="n">
        <x:v>19</x:v>
      </x:c>
    </x:row>
    <x:row r="374">
      <x:c r="A374" s="61" t="n">
        <x:v>46113</x:v>
      </x:c>
      <x:c r="B374" s="62" t="str">
        <x:v>TELMIKIND-AM</x:v>
      </x:c>
      <x:c r="C374" s="63" t="n">
        <x:v>21.64</x:v>
      </x:c>
      <x:c r="D374" s="64" t="n">
        <x:v>19</x:v>
      </x:c>
    </x:row>
    <x:row r="375">
      <x:c r="A375" s="61" t="n">
        <x:v>46113</x:v>
      </x:c>
      <x:c r="B375" s="62" t="str">
        <x:v>GUDCEF</x:v>
      </x:c>
      <x:c r="C375" s="63" t="n">
        <x:v>16.82</x:v>
      </x:c>
      <x:c r="D375" s="64" t="n">
        <x:v>19</x:v>
      </x:c>
    </x:row>
    <x:row r="376">
      <x:c r="A376" s="61" t="n">
        <x:v>46113</x:v>
      </x:c>
      <x:c r="B376" s="62" t="str">
        <x:v>GLIMESTAR-M</x:v>
      </x:c>
      <x:c r="C376" s="63" t="n">
        <x:v>17.89</x:v>
      </x:c>
      <x:c r="D376" s="64" t="n">
        <x:v>19</x:v>
      </x:c>
    </x:row>
    <x:row r="377">
      <x:c r="A377" s="61" t="n">
        <x:v>46113</x:v>
      </x:c>
      <x:c r="B377" s="62" t="str">
        <x:v>CANDIFORCE</x:v>
      </x:c>
      <x:c r="C377" s="63" t="n">
        <x:v>17.1</x:v>
      </x:c>
      <x:c r="D377" s="64" t="n">
        <x:v>19</x:v>
      </x:c>
    </x:row>
    <x:row r="378">
      <x:c r="A378" s="61" t="n">
        <x:v>46113</x:v>
      </x:c>
      <x:c r="B378" s="62" t="str">
        <x:v>NUROKIND-GOLD</x:v>
      </x:c>
      <x:c r="C378" s="63" t="n">
        <x:v>21.35</x:v>
      </x:c>
      <x:c r="D378" s="64" t="n">
        <x:v>19</x:v>
      </x:c>
    </x:row>
    <x:row r="379">
      <x:c r="A379" s="61" t="n">
        <x:v>46113</x:v>
      </x:c>
      <x:c r="B379" s="62" t="str">
        <x:v>TELMIKIND-H</x:v>
      </x:c>
      <x:c r="C379" s="63" t="n">
        <x:v>17.73</x:v>
      </x:c>
      <x:c r="D379" s="64" t="n">
        <x:v>19</x:v>
      </x:c>
    </x:row>
    <x:row r="380">
      <x:c r="A380" s="61" t="n">
        <x:v>46113</x:v>
      </x:c>
      <x:c r="B380" s="62" t="str">
        <x:v>TELMIKIND</x:v>
      </x:c>
      <x:c r="C380" s="63" t="n">
        <x:v>17.68</x:v>
      </x:c>
      <x:c r="D380" s="64" t="n">
        <x:v>19</x:v>
      </x:c>
    </x:row>
    <x:row r="381">
      <x:c r="A381" s="61" t="n">
        <x:v>46113</x:v>
      </x:c>
      <x:c r="B381" s="62" t="str">
        <x:v>NUROKIND-LC</x:v>
      </x:c>
      <x:c r="C381" s="63" t="n">
        <x:v>15</x:v>
      </x:c>
      <x:c r="D381" s="64" t="n">
        <x:v>19</x:v>
      </x:c>
    </x:row>
    <x:row r="382">
      <x:c r="A382" s="61" t="n">
        <x:v>46113</x:v>
      </x:c>
      <x:c r="B382" s="62" t="str">
        <x:v>NUROKIND PLUS-RF</x:v>
      </x:c>
      <x:c r="C382" s="63" t="n">
        <x:v>15</x:v>
      </x:c>
      <x:c r="D382" s="64" t="n">
        <x:v>19</x:v>
      </x:c>
    </x:row>
    <x:row r="383">
      <x:c r="A383" s="61" t="n">
        <x:v>46113</x:v>
      </x:c>
      <x:c r="B383" s="62" t="str">
        <x:v>VOMIKIND</x:v>
      </x:c>
      <x:c r="C383" s="63" t="n">
        <x:v>11</x:v>
      </x:c>
      <x:c r="D383" s="64" t="n">
        <x:v>19</x:v>
      </x:c>
    </x:row>
    <x:row r="384">
      <x:c r="A384" s="61" t="n">
        <x:v>46113</x:v>
      </x:c>
      <x:c r="B384" s="62" t="str">
        <x:v>CEFAKIND</x:v>
      </x:c>
      <x:c r="C384" s="63" t="n">
        <x:v>11</x:v>
      </x:c>
      <x:c r="D384" s="64" t="n">
        <x:v>19</x:v>
      </x:c>
    </x:row>
    <x:row r="385">
      <x:c r="A385" s="61" t="n">
        <x:v>46113</x:v>
      </x:c>
      <x:c r="B385" s="62" t="str">
        <x:v>GLIZID-M</x:v>
      </x:c>
      <x:c r="C385" s="63" t="n">
        <x:v>13</x:v>
      </x:c>
      <x:c r="D385" s="64" t="n">
        <x:v>19</x:v>
      </x:c>
    </x:row>
    <x:row r="386">
      <x:c r="A386" s="61" t="n">
        <x:v>46113</x:v>
      </x:c>
      <x:c r="B386" s="62" t="str">
        <x:v>MONTICOPE</x:v>
      </x:c>
      <x:c r="C386" s="63" t="n">
        <x:v>10</x:v>
      </x:c>
      <x:c r="D386" s="64" t="n">
        <x:v>19</x:v>
      </x:c>
    </x:row>
    <x:row r="387">
      <x:c r="A387" s="61" t="n">
        <x:v>46143</x:v>
      </x:c>
      <x:c r="B387" s="62" t="str">
        <x:v>MANFORCE</x:v>
      </x:c>
      <x:c r="C387" s="63" t="n">
        <x:v>57.95</x:v>
      </x:c>
      <x:c r="D387" s="64" t="n">
        <x:v>23</x:v>
      </x:c>
    </x:row>
    <x:row r="388">
      <x:c r="A388" s="61" t="n">
        <x:v>46143</x:v>
      </x:c>
      <x:c r="B388" s="62" t="str">
        <x:v>MOXIKIND-CV</x:v>
      </x:c>
      <x:c r="C388" s="63" t="n">
        <x:v>28.54</x:v>
      </x:c>
      <x:c r="D388" s="64" t="n">
        <x:v>23</x:v>
      </x:c>
    </x:row>
    <x:row r="389">
      <x:c r="A389" s="61" t="n">
        <x:v>46143</x:v>
      </x:c>
      <x:c r="B389" s="62" t="str">
        <x:v>AMLOKIND-AT</x:v>
      </x:c>
      <x:c r="C389" s="63" t="n">
        <x:v>28.04</x:v>
      </x:c>
      <x:c r="D389" s="64" t="n">
        <x:v>23</x:v>
      </x:c>
    </x:row>
    <x:row r="390">
      <x:c r="A390" s="61" t="n">
        <x:v>46143</x:v>
      </x:c>
      <x:c r="B390" s="62" t="str">
        <x:v>UNWANTED-KIT</x:v>
      </x:c>
      <x:c r="C390" s="63" t="n">
        <x:v>23.12</x:v>
      </x:c>
      <x:c r="D390" s="64" t="n">
        <x:v>23</x:v>
      </x:c>
    </x:row>
    <x:row r="391">
      <x:c r="A391" s="61" t="n">
        <x:v>46143</x:v>
      </x:c>
      <x:c r="B391" s="62" t="str">
        <x:v>PREGA NEWS</x:v>
      </x:c>
      <x:c r="C391" s="63" t="n">
        <x:v>21.66</x:v>
      </x:c>
      <x:c r="D391" s="64" t="n">
        <x:v>23</x:v>
      </x:c>
    </x:row>
    <x:row r="392">
      <x:c r="A392" s="61" t="n">
        <x:v>46143</x:v>
      </x:c>
      <x:c r="B392" s="62" t="str">
        <x:v>DYDROBOON</x:v>
      </x:c>
      <x:c r="C392" s="63" t="n">
        <x:v>22.59</x:v>
      </x:c>
      <x:c r="D392" s="64" t="n">
        <x:v>23</x:v>
      </x:c>
    </x:row>
    <x:row r="393">
      <x:c r="A393" s="61" t="n">
        <x:v>46143</x:v>
      </x:c>
      <x:c r="B393" s="62" t="str">
        <x:v>TELMIKIND-AM</x:v>
      </x:c>
      <x:c r="C393" s="63" t="n">
        <x:v>20.1</x:v>
      </x:c>
      <x:c r="D393" s="64" t="n">
        <x:v>23</x:v>
      </x:c>
    </x:row>
    <x:row r="394">
      <x:c r="A394" s="61" t="n">
        <x:v>46143</x:v>
      </x:c>
      <x:c r="B394" s="62" t="str">
        <x:v>GUDCEF</x:v>
      </x:c>
      <x:c r="C394" s="63" t="n">
        <x:v>15.09</x:v>
      </x:c>
      <x:c r="D394" s="64" t="n">
        <x:v>23</x:v>
      </x:c>
    </x:row>
    <x:row r="395">
      <x:c r="A395" s="61" t="n">
        <x:v>46143</x:v>
      </x:c>
      <x:c r="B395" s="62" t="str">
        <x:v>CANDIFORCE</x:v>
      </x:c>
      <x:c r="C395" s="63" t="n">
        <x:v>16.52</x:v>
      </x:c>
      <x:c r="D395" s="64" t="n">
        <x:v>23</x:v>
      </x:c>
    </x:row>
    <x:row r="396">
      <x:c r="A396" s="61" t="n">
        <x:v>46143</x:v>
      </x:c>
      <x:c r="B396" s="62" t="str">
        <x:v>GLIMESTAR-M</x:v>
      </x:c>
      <x:c r="C396" s="63" t="n">
        <x:v>16.78</x:v>
      </x:c>
      <x:c r="D396" s="64" t="n">
        <x:v>23</x:v>
      </x:c>
    </x:row>
    <x:row r="397">
      <x:c r="A397" s="61" t="n">
        <x:v>46143</x:v>
      </x:c>
      <x:c r="B397" s="62" t="str">
        <x:v>NUROKIND-GOLD</x:v>
      </x:c>
      <x:c r="C397" s="63" t="n">
        <x:v>21.03</x:v>
      </x:c>
      <x:c r="D397" s="64" t="n">
        <x:v>23</x:v>
      </x:c>
    </x:row>
    <x:row r="398">
      <x:c r="A398" s="61" t="n">
        <x:v>46143</x:v>
      </x:c>
      <x:c r="B398" s="62" t="str">
        <x:v>TELMIKIND-H</x:v>
      </x:c>
      <x:c r="C398" s="63" t="n">
        <x:v>16.45</x:v>
      </x:c>
      <x:c r="D398" s="64" t="n">
        <x:v>23</x:v>
      </x:c>
    </x:row>
    <x:row r="399">
      <x:c r="A399" s="61" t="n">
        <x:v>46143</x:v>
      </x:c>
      <x:c r="B399" s="62" t="str">
        <x:v>TELMIKIND</x:v>
      </x:c>
      <x:c r="C399" s="63" t="n">
        <x:v>15.98</x:v>
      </x:c>
      <x:c r="D399" s="64" t="n">
        <x:v>23</x:v>
      </x:c>
    </x:row>
    <x:row r="400">
      <x:c r="A400" s="61" t="n">
        <x:v>46143</x:v>
      </x:c>
      <x:c r="B400" s="62" t="str">
        <x:v>NUROKIND-LC</x:v>
      </x:c>
      <x:c r="C400" s="63" t="n">
        <x:v>14</x:v>
      </x:c>
      <x:c r="D400" s="64" t="n">
        <x:v>23</x:v>
      </x:c>
    </x:row>
    <x:row r="401">
      <x:c r="A401" s="61" t="n">
        <x:v>46143</x:v>
      </x:c>
      <x:c r="B401" s="62" t="str">
        <x:v>NUROKIND PLUS-RF</x:v>
      </x:c>
      <x:c r="C401" s="63" t="n">
        <x:v>13</x:v>
      </x:c>
      <x:c r="D401" s="64" t="n">
        <x:v>23</x:v>
      </x:c>
    </x:row>
    <x:row r="402">
      <x:c r="A402" s="61" t="n">
        <x:v>46143</x:v>
      </x:c>
      <x:c r="B402" s="62" t="str">
        <x:v>VOMIKIND</x:v>
      </x:c>
      <x:c r="C402" s="63" t="n">
        <x:v>15</x:v>
      </x:c>
      <x:c r="D402" s="64" t="n">
        <x:v>23</x:v>
      </x:c>
    </x:row>
    <x:row r="403">
      <x:c r="A403" s="61" t="n">
        <x:v>46143</x:v>
      </x:c>
      <x:c r="B403" s="62" t="str">
        <x:v>GLIZID-M</x:v>
      </x:c>
      <x:c r="C403" s="63" t="n">
        <x:v>13</x:v>
      </x:c>
      <x:c r="D403" s="64" t="n">
        <x:v>23</x:v>
      </x:c>
    </x:row>
    <x:row r="404">
      <x:c r="A404" s="61" t="n">
        <x:v>46143</x:v>
      </x:c>
      <x:c r="B404" s="62" t="str">
        <x:v>CEFAKIND</x:v>
      </x:c>
      <x:c r="C404" s="63" t="n">
        <x:v>11</x:v>
      </x:c>
      <x:c r="D404" s="64" t="n">
        <x:v>23</x:v>
      </x:c>
    </x:row>
    <x:row r="405">
      <x:c r="A405" s="61" t="n">
        <x:v>46143</x:v>
      </x:c>
      <x:c r="B405" s="62" t="str">
        <x:v>MONTICOPE</x:v>
      </x:c>
      <x:c r="C405" s="63" t="n">
        <x:v>8</x:v>
      </x:c>
      <x:c r="D405" s="64" t="n">
        <x:v>23</x:v>
      </x:c>
    </x:row>
    <x:row r="406">
      <x:c r="A406" s="61" t="n">
        <x:v>46174</x:v>
      </x:c>
      <x:c r="B406" s="62" t="str">
        <x:v>MANFORCE</x:v>
      </x:c>
      <x:c r="C406" s="63" t="n">
        <x:v>55.74</x:v>
      </x:c>
      <x:c r="D406" s="64" t="n">
        <x:v>21</x:v>
      </x:c>
    </x:row>
    <x:row r="407">
      <x:c r="A407" s="61" t="n">
        <x:v>46174</x:v>
      </x:c>
      <x:c r="B407" s="62" t="str">
        <x:v>MOXIKIND-CV</x:v>
      </x:c>
      <x:c r="C407" s="63" t="n">
        <x:v>29.56</x:v>
      </x:c>
      <x:c r="D407" s="64" t="n">
        <x:v>21</x:v>
      </x:c>
    </x:row>
    <x:row r="408">
      <x:c r="A408" s="61" t="n">
        <x:v>46174</x:v>
      </x:c>
      <x:c r="B408" s="62" t="str">
        <x:v>AMLOKIND-AT</x:v>
      </x:c>
      <x:c r="C408" s="63" t="n">
        <x:v>28.58</x:v>
      </x:c>
      <x:c r="D408" s="64" t="n">
        <x:v>21</x:v>
      </x:c>
    </x:row>
    <x:row r="409">
      <x:c r="A409" s="61" t="n">
        <x:v>46174</x:v>
      </x:c>
      <x:c r="B409" s="62" t="str">
        <x:v>UNWANTED-KIT</x:v>
      </x:c>
      <x:c r="C409" s="63" t="n">
        <x:v>21.32</x:v>
      </x:c>
      <x:c r="D409" s="64" t="n">
        <x:v>21</x:v>
      </x:c>
    </x:row>
    <x:row r="410">
      <x:c r="A410" s="61" t="n">
        <x:v>46174</x:v>
      </x:c>
      <x:c r="B410" s="62" t="str">
        <x:v>DYDROBOON</x:v>
      </x:c>
      <x:c r="C410" s="63" t="n">
        <x:v>27.77</x:v>
      </x:c>
      <x:c r="D410" s="64" t="n">
        <x:v>21</x:v>
      </x:c>
    </x:row>
    <x:row r="411">
      <x:c r="A411" s="61" t="n">
        <x:v>46174</x:v>
      </x:c>
      <x:c r="B411" s="62" t="str">
        <x:v>PREGA NEWS</x:v>
      </x:c>
      <x:c r="C411" s="63" t="n">
        <x:v>21.65</x:v>
      </x:c>
      <x:c r="D411" s="64" t="n">
        <x:v>21</x:v>
      </x:c>
    </x:row>
    <x:row r="412">
      <x:c r="A412" s="61" t="n">
        <x:v>46174</x:v>
      </x:c>
      <x:c r="B412" s="62" t="str">
        <x:v>TELMIKIND-AM</x:v>
      </x:c>
      <x:c r="C412" s="63" t="n">
        <x:v>20.43</x:v>
      </x:c>
      <x:c r="D412" s="64" t="n">
        <x:v>21</x:v>
      </x:c>
    </x:row>
    <x:row r="413">
      <x:c r="A413" s="61" t="n">
        <x:v>46174</x:v>
      </x:c>
      <x:c r="B413" s="62" t="str">
        <x:v>GUDCEF</x:v>
      </x:c>
      <x:c r="C413" s="63" t="n">
        <x:v>13.94</x:v>
      </x:c>
      <x:c r="D413" s="64" t="n">
        <x:v>21</x:v>
      </x:c>
    </x:row>
    <x:row r="414">
      <x:c r="A414" s="61" t="n">
        <x:v>46174</x:v>
      </x:c>
      <x:c r="B414" s="62" t="str">
        <x:v>CANDIFORCE</x:v>
      </x:c>
      <x:c r="C414" s="63" t="n">
        <x:v>17.48</x:v>
      </x:c>
      <x:c r="D414" s="64" t="n">
        <x:v>21</x:v>
      </x:c>
    </x:row>
    <x:row r="415">
      <x:c r="A415" s="61" t="n">
        <x:v>46174</x:v>
      </x:c>
      <x:c r="B415" s="62" t="str">
        <x:v>GLIMESTAR-M</x:v>
      </x:c>
      <x:c r="C415" s="63" t="n">
        <x:v>17.38</x:v>
      </x:c>
      <x:c r="D415" s="64" t="n">
        <x:v>21</x:v>
      </x:c>
    </x:row>
    <x:row r="416">
      <x:c r="A416" s="61" t="n">
        <x:v>46174</x:v>
      </x:c>
      <x:c r="B416" s="62" t="str">
        <x:v>NUROKIND-GOLD</x:v>
      </x:c>
      <x:c r="C416" s="63" t="n">
        <x:v>20.27</x:v>
      </x:c>
      <x:c r="D416" s="64" t="n">
        <x:v>21</x:v>
      </x:c>
    </x:row>
    <x:row r="417">
      <x:c r="A417" s="61" t="n">
        <x:v>46174</x:v>
      </x:c>
      <x:c r="B417" s="62" t="str">
        <x:v>TELMIKIND-H</x:v>
      </x:c>
      <x:c r="C417" s="63" t="n">
        <x:v>17.17</x:v>
      </x:c>
      <x:c r="D417" s="64" t="n">
        <x:v>21</x:v>
      </x:c>
    </x:row>
    <x:row r="418">
      <x:c r="A418" s="61" t="n">
        <x:v>46174</x:v>
      </x:c>
      <x:c r="B418" s="62" t="str">
        <x:v>TELMIKIND</x:v>
      </x:c>
      <x:c r="C418" s="63" t="n">
        <x:v>16.32</x:v>
      </x:c>
      <x:c r="D418" s="64" t="n">
        <x:v>21</x:v>
      </x:c>
    </x:row>
    <x:row r="419">
      <x:c r="A419" s="61" t="n">
        <x:v>46174</x:v>
      </x:c>
      <x:c r="B419" s="62" t="str">
        <x:v>NUROKIND-LC</x:v>
      </x:c>
      <x:c r="C419" s="63" t="n">
        <x:v>15</x:v>
      </x:c>
      <x:c r="D419" s="64" t="n">
        <x:v>21</x:v>
      </x:c>
    </x:row>
    <x:row r="420">
      <x:c r="A420" s="61" t="n">
        <x:v>46174</x:v>
      </x:c>
      <x:c r="B420" s="62" t="str">
        <x:v>NUROKIND PLUS-RF</x:v>
      </x:c>
      <x:c r="C420" s="63" t="n">
        <x:v>14</x:v>
      </x:c>
      <x:c r="D420" s="64" t="n">
        <x:v>21</x:v>
      </x:c>
    </x:row>
    <x:row r="421">
      <x:c r="A421" s="61" t="n">
        <x:v>46174</x:v>
      </x:c>
      <x:c r="B421" s="62" t="str">
        <x:v>VOMIKIND</x:v>
      </x:c>
      <x:c r="C421" s="63" t="n">
        <x:v>13</x:v>
      </x:c>
      <x:c r="D421" s="64" t="n">
        <x:v>21</x:v>
      </x:c>
    </x:row>
    <x:row r="422">
      <x:c r="A422" s="61" t="n">
        <x:v>46174</x:v>
      </x:c>
      <x:c r="B422" s="62" t="str">
        <x:v>GLIZID-M</x:v>
      </x:c>
      <x:c r="C422" s="63" t="n">
        <x:v>13</x:v>
      </x:c>
      <x:c r="D422" s="64" t="n">
        <x:v>21</x:v>
      </x:c>
    </x:row>
    <x:row r="423">
      <x:c r="A423" s="61" t="n">
        <x:v>46174</x:v>
      </x:c>
      <x:c r="B423" s="62" t="str">
        <x:v>CEFAKIND</x:v>
      </x:c>
      <x:c r="C423" s="63" t="n">
        <x:v>11</x:v>
      </x:c>
      <x:c r="D423" s="64" t="n">
        <x:v>21</x:v>
      </x:c>
    </x:row>
    <x:row r="424">
      <x:c r="A424" s="61" t="n">
        <x:v>46174</x:v>
      </x:c>
      <x:c r="B424" s="62" t="str">
        <x:v>MONTICOPE</x:v>
      </x:c>
      <x:c r="C424" s="63" t="n">
        <x:v>8</x:v>
      </x:c>
      <x:c r="D424" s="64" t="n">
        <x:v>21</x:v>
      </x:c>
    </x:row>
    <x:row r="425">
      <x:c r="A425" s="61" t="n">
        <x:v>46204</x:v>
      </x:c>
      <x:c r="B425" s="62" t="str">
        <x:v>MANFORCE</x:v>
      </x:c>
      <x:c r="C425" s="63" t="n">
        <x:v>58.53</x:v>
      </x:c>
      <x:c r="D425" s="64" t="n">
        <x:v>22</x:v>
      </x:c>
    </x:row>
    <x:row r="426">
      <x:c r="A426" s="61" t="n">
        <x:v>46204</x:v>
      </x:c>
      <x:c r="B426" s="62" t="str">
        <x:v>MOXIKIND-CV</x:v>
      </x:c>
      <x:c r="C426" s="63" t="n">
        <x:v>34.13</x:v>
      </x:c>
      <x:c r="D426" s="64" t="n">
        <x:v>22</x:v>
      </x:c>
    </x:row>
    <x:row r="427">
      <x:c r="A427" s="61" t="n">
        <x:v>46204</x:v>
      </x:c>
      <x:c r="B427" s="62" t="str">
        <x:v>AMLOKIND-AT</x:v>
      </x:c>
      <x:c r="C427" s="63" t="n">
        <x:v>29.06</x:v>
      </x:c>
      <x:c r="D427" s="64" t="n">
        <x:v>22</x:v>
      </x:c>
    </x:row>
    <x:row r="428">
      <x:c r="A428" s="61" t="n">
        <x:v>46204</x:v>
      </x:c>
      <x:c r="B428" s="62" t="str">
        <x:v>DYDROBOON</x:v>
      </x:c>
      <x:c r="C428" s="63" t="n">
        <x:v>25.12</x:v>
      </x:c>
      <x:c r="D428" s="64" t="n">
        <x:v>22</x:v>
      </x:c>
    </x:row>
    <x:row r="429">
      <x:c r="A429" s="61" t="n">
        <x:v>46204</x:v>
      </x:c>
      <x:c r="B429" s="62" t="str">
        <x:v>PREGA NEWS</x:v>
      </x:c>
      <x:c r="C429" s="63" t="n">
        <x:v>22.43</x:v>
      </x:c>
      <x:c r="D429" s="64" t="n">
        <x:v>22</x:v>
      </x:c>
    </x:row>
    <x:row r="430">
      <x:c r="A430" s="61" t="n">
        <x:v>46204</x:v>
      </x:c>
      <x:c r="B430" s="62" t="str">
        <x:v>UNWANTED-KIT</x:v>
      </x:c>
      <x:c r="C430" s="63" t="n">
        <x:v>19.42</x:v>
      </x:c>
      <x:c r="D430" s="64" t="n">
        <x:v>22</x:v>
      </x:c>
    </x:row>
    <x:row r="431">
      <x:c r="A431" s="61" t="n">
        <x:v>46204</x:v>
      </x:c>
      <x:c r="B431" s="62" t="str">
        <x:v>TELMIKIND-AM</x:v>
      </x:c>
      <x:c r="C431" s="63" t="n">
        <x:v>20.34</x:v>
      </x:c>
      <x:c r="D431" s="64" t="n">
        <x:v>22</x:v>
      </x:c>
    </x:row>
    <x:row r="432">
      <x:c r="A432" s="61" t="n">
        <x:v>46204</x:v>
      </x:c>
      <x:c r="B432" s="62" t="str">
        <x:v>GUDCEF</x:v>
      </x:c>
      <x:c r="C432" s="63" t="n">
        <x:v>16.72</x:v>
      </x:c>
      <x:c r="D432" s="64" t="n">
        <x:v>22</x:v>
      </x:c>
    </x:row>
    <x:row r="433">
      <x:c r="A433" s="61" t="n">
        <x:v>46204</x:v>
      </x:c>
      <x:c r="B433" s="62" t="str">
        <x:v>CANDIFORCE</x:v>
      </x:c>
      <x:c r="C433" s="63" t="n">
        <x:v>20.1</x:v>
      </x:c>
      <x:c r="D433" s="64" t="n">
        <x:v>22</x:v>
      </x:c>
    </x:row>
    <x:row r="434">
      <x:c r="A434" s="61" t="n">
        <x:v>46204</x:v>
      </x:c>
      <x:c r="B434" s="62" t="str">
        <x:v>GLIMESTAR-M</x:v>
      </x:c>
      <x:c r="C434" s="63" t="n">
        <x:v>18.09</x:v>
      </x:c>
      <x:c r="D434" s="64" t="n">
        <x:v>22</x:v>
      </x:c>
    </x:row>
    <x:row r="435">
      <x:c r="A435" s="61" t="n">
        <x:v>46204</x:v>
      </x:c>
      <x:c r="B435" s="62" t="str">
        <x:v>NUROKIND-GOLD</x:v>
      </x:c>
      <x:c r="C435" s="63" t="n">
        <x:v>20.34</x:v>
      </x:c>
      <x:c r="D435" s="64" t="n">
        <x:v>22</x:v>
      </x:c>
    </x:row>
    <x:row r="436">
      <x:c r="A436" s="61" t="n">
        <x:v>46204</x:v>
      </x:c>
      <x:c r="B436" s="62" t="str">
        <x:v>TELMIKIND-H</x:v>
      </x:c>
      <x:c r="C436" s="63" t="n">
        <x:v>17</x:v>
      </x:c>
      <x:c r="D436" s="64" t="n">
        <x:v>22</x:v>
      </x:c>
    </x:row>
    <x:row r="437">
      <x:c r="A437" s="61" t="n">
        <x:v>46204</x:v>
      </x:c>
      <x:c r="B437" s="62" t="str">
        <x:v>TELMIKIND</x:v>
      </x:c>
      <x:c r="C437" s="63" t="n">
        <x:v>16.23</x:v>
      </x:c>
      <x:c r="D437" s="64" t="n">
        <x:v>22</x:v>
      </x:c>
    </x:row>
    <x:row r="438">
      <x:c r="A438" s="61" t="n">
        <x:v>46204</x:v>
      </x:c>
      <x:c r="B438" s="62" t="str">
        <x:v>NUROKIND-LC</x:v>
      </x:c>
      <x:c r="C438" s="63" t="n">
        <x:v>17</x:v>
      </x:c>
      <x:c r="D438" s="64" t="n">
        <x:v>22</x:v>
      </x:c>
    </x:row>
    <x:row r="439">
      <x:c r="A439" s="61" t="n">
        <x:v>46204</x:v>
      </x:c>
      <x:c r="B439" s="62" t="str">
        <x:v>NUROKIND PLUS-RF</x:v>
      </x:c>
      <x:c r="C439" s="63" t="n">
        <x:v>14</x:v>
      </x:c>
      <x:c r="D439" s="64" t="n">
        <x:v>22</x:v>
      </x:c>
    </x:row>
    <x:row r="440">
      <x:c r="A440" s="61" t="n">
        <x:v>46204</x:v>
      </x:c>
      <x:c r="B440" s="62" t="str">
        <x:v>VOMIKIND</x:v>
      </x:c>
      <x:c r="C440" s="63" t="n">
        <x:v>12</x:v>
      </x:c>
      <x:c r="D440" s="64" t="n">
        <x:v>22</x:v>
      </x:c>
    </x:row>
    <x:row r="441">
      <x:c r="A441" s="61" t="n">
        <x:v>46204</x:v>
      </x:c>
      <x:c r="B441" s="62" t="str">
        <x:v>GLIZID-M</x:v>
      </x:c>
      <x:c r="C441" s="63" t="n">
        <x:v>13</x:v>
      </x:c>
      <x:c r="D441" s="64" t="n">
        <x:v>22</x:v>
      </x:c>
    </x:row>
    <x:row r="442">
      <x:c r="A442" s="65" t="n">
        <x:v>46204</x:v>
      </x:c>
      <x:c r="B442" s="66" t="str">
        <x:v>CEFAKIND</x:v>
      </x:c>
      <x:c r="C442" s="67" t="n">
        <x:v>12</x:v>
      </x:c>
      <x:c r="D442" s="68" t="n">
        <x:v>22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4eceac8e8c44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</x:cols>
  <x:sheetData>
    <x:row r="1" ht="28" customHeight="1">
      <x:c r="A1" s="50" t="str">
        <x:v>Source Audit and Completeness Checks</x:v>
      </x:c>
      <x:c r="B1" s="50"/>
      <x:c r="C1" s="50"/>
      <x:c r="D1" s="50"/>
      <x:c r="E1" s="50"/>
      <x:c r="F1" s="50"/>
      <x:c r="G1" s="50"/>
    </x:row>
    <x:row r="2">
      <x:c r="A2" s="51" t="str">
        <x:v>Each printed month was mapped independently because the PDF page order is not chronological.</x:v>
      </x:c>
      <x:c r="B2" s="51"/>
      <x:c r="C2" s="51"/>
      <x:c r="D2" s="51"/>
      <x:c r="E2" s="51"/>
      <x:c r="F2" s="51"/>
      <x:c r="G2" s="51"/>
    </x:row>
    <x:row r="3">
      <x:c r="A3" s="53" t="str">
        <x:v>Month</x:v>
      </x:c>
      <x:c r="B3" s="53" t="str">
        <x:v>PDF Page</x:v>
      </x:c>
      <x:c r="C3" s="53" t="str">
        <x:v>Expected Rows</x:v>
      </x:c>
      <x:c r="D3" s="53" t="str">
        <x:v>Extracted Rows</x:v>
      </x:c>
      <x:c r="E3" s="53" t="str">
        <x:v>Difference</x:v>
      </x:c>
      <x:c r="F3" s="53" t="str">
        <x:v>Status</x:v>
      </x:c>
      <x:c r="G3" s="53" t="str">
        <x:v>Captured Sales (INR cr)</x:v>
      </x:c>
    </x:row>
    <x:row r="4">
      <x:c r="A4" s="61" t="n">
        <x:v>45536</x:v>
      </x:c>
      <x:c r="B4" s="64" t="n">
        <x:v>1</x:v>
      </x:c>
      <x:c r="C4" s="64" t="n">
        <x:v>20</x:v>
      </x:c>
      <x:c r="D4" s="64" t="n">
        <x:f>COUNTIFS('Raw Extract'!$A$4:$A$442,A4)</x:f>
        <x:v>20</x:v>
      </x:c>
      <x:c r="E4" s="64" t="n">
        <x:f>D4-C4</x:f>
        <x:v>0</x:v>
      </x:c>
      <x:c r="F4" s="62" t="str">
        <x:f>IF(E4=0,"OK","CHECK")</x:f>
        <x:v>OK</x:v>
      </x:c>
      <x:c r="G4" s="63" t="n">
        <x:f>SUMIFS('Raw Extract'!$C$4:$C$442,'Raw Extract'!$A$4:$A$442,A4)</x:f>
        <x:v>349.11</x:v>
      </x:c>
    </x:row>
    <x:row r="5">
      <x:c r="A5" s="61" t="n">
        <x:v>45566</x:v>
      </x:c>
      <x:c r="B5" s="64" t="n">
        <x:v>2</x:v>
      </x:c>
      <x:c r="C5" s="64" t="n">
        <x:v>19</x:v>
      </x:c>
      <x:c r="D5" s="64" t="n">
        <x:f>COUNTIFS('Raw Extract'!$A$4:$A$442,A5)</x:f>
        <x:v>19</x:v>
      </x:c>
      <x:c r="E5" s="64" t="n">
        <x:f>D5-C5</x:f>
        <x:v>0</x:v>
      </x:c>
      <x:c r="F5" s="62" t="str">
        <x:f>IF(E5=0,"OK","CHECK")</x:f>
        <x:v>OK</x:v>
      </x:c>
      <x:c r="G5" s="63" t="n">
        <x:f>SUMIFS('Raw Extract'!$C$4:$C$442,'Raw Extract'!$A$4:$A$442,A5)</x:f>
        <x:v>333.64</x:v>
      </x:c>
    </x:row>
    <x:row r="6">
      <x:c r="A6" s="61" t="n">
        <x:v>45597</x:v>
      </x:c>
      <x:c r="B6" s="64" t="n">
        <x:v>4</x:v>
      </x:c>
      <x:c r="C6" s="64" t="n">
        <x:v>19</x:v>
      </x:c>
      <x:c r="D6" s="64" t="n">
        <x:f>COUNTIFS('Raw Extract'!$A$4:$A$442,A6)</x:f>
        <x:v>19</x:v>
      </x:c>
      <x:c r="E6" s="64" t="n">
        <x:f>D6-C6</x:f>
        <x:v>0</x:v>
      </x:c>
      <x:c r="F6" s="62" t="str">
        <x:f>IF(E6=0,"OK","CHECK")</x:f>
        <x:v>OK</x:v>
      </x:c>
      <x:c r="G6" s="63" t="n">
        <x:f>SUMIFS('Raw Extract'!$C$4:$C$442,'Raw Extract'!$A$4:$A$442,A6)</x:f>
        <x:v>332.44</x:v>
      </x:c>
    </x:row>
    <x:row r="7">
      <x:c r="A7" s="61" t="n">
        <x:v>45627</x:v>
      </x:c>
      <x:c r="B7" s="64" t="n">
        <x:v>3</x:v>
      </x:c>
      <x:c r="C7" s="64" t="n">
        <x:v>19</x:v>
      </x:c>
      <x:c r="D7" s="64" t="n">
        <x:f>COUNTIFS('Raw Extract'!$A$4:$A$442,A7)</x:f>
        <x:v>19</x:v>
      </x:c>
      <x:c r="E7" s="64" t="n">
        <x:f>D7-C7</x:f>
        <x:v>0</x:v>
      </x:c>
      <x:c r="F7" s="62" t="str">
        <x:f>IF(E7=0,"OK","CHECK")</x:f>
        <x:v>OK</x:v>
      </x:c>
      <x:c r="G7" s="63" t="n">
        <x:f>SUMIFS('Raw Extract'!$C$4:$C$442,'Raw Extract'!$A$4:$A$442,A7)</x:f>
        <x:v>323.69</x:v>
      </x:c>
    </x:row>
    <x:row r="8">
      <x:c r="A8" s="61" t="n">
        <x:v>45658</x:v>
      </x:c>
      <x:c r="B8" s="64" t="n">
        <x:v>7</x:v>
      </x:c>
      <x:c r="C8" s="64" t="n">
        <x:v>19</x:v>
      </x:c>
      <x:c r="D8" s="64" t="n">
        <x:f>COUNTIFS('Raw Extract'!$A$4:$A$442,A8)</x:f>
        <x:v>19</x:v>
      </x:c>
      <x:c r="E8" s="64" t="n">
        <x:f>D8-C8</x:f>
        <x:v>0</x:v>
      </x:c>
      <x:c r="F8" s="62" t="str">
        <x:f>IF(E8=0,"OK","CHECK")</x:f>
        <x:v>OK</x:v>
      </x:c>
      <x:c r="G8" s="63" t="n">
        <x:f>SUMIFS('Raw Extract'!$C$4:$C$442,'Raw Extract'!$A$4:$A$442,A8)</x:f>
        <x:v>328.29999999999995</x:v>
      </x:c>
    </x:row>
    <x:row r="9">
      <x:c r="A9" s="61" t="n">
        <x:v>45689</x:v>
      </x:c>
      <x:c r="B9" s="64" t="n">
        <x:v>5</x:v>
      </x:c>
      <x:c r="C9" s="64" t="n">
        <x:v>19</x:v>
      </x:c>
      <x:c r="D9" s="64" t="n">
        <x:f>COUNTIFS('Raw Extract'!$A$4:$A$442,A9)</x:f>
        <x:v>19</x:v>
      </x:c>
      <x:c r="E9" s="64" t="n">
        <x:f>D9-C9</x:f>
        <x:v>0</x:v>
      </x:c>
      <x:c r="F9" s="62" t="str">
        <x:f>IF(E9=0,"OK","CHECK")</x:f>
        <x:v>OK</x:v>
      </x:c>
      <x:c r="G9" s="63" t="n">
        <x:f>SUMIFS('Raw Extract'!$C$4:$C$442,'Raw Extract'!$A$4:$A$442,A9)</x:f>
        <x:v>331.44</x:v>
      </x:c>
    </x:row>
    <x:row r="10">
      <x:c r="A10" s="61" t="n">
        <x:v>45717</x:v>
      </x:c>
      <x:c r="B10" s="64" t="n">
        <x:v>6</x:v>
      </x:c>
      <x:c r="C10" s="64" t="n">
        <x:v>19</x:v>
      </x:c>
      <x:c r="D10" s="64" t="n">
        <x:f>COUNTIFS('Raw Extract'!$A$4:$A$442,A10)</x:f>
        <x:v>19</x:v>
      </x:c>
      <x:c r="E10" s="64" t="n">
        <x:f>D10-C10</x:f>
        <x:v>0</x:v>
      </x:c>
      <x:c r="F10" s="62" t="str">
        <x:f>IF(E10=0,"OK","CHECK")</x:f>
        <x:v>OK</x:v>
      </x:c>
      <x:c r="G10" s="63" t="n">
        <x:f>SUMIFS('Raw Extract'!$C$4:$C$442,'Raw Extract'!$A$4:$A$442,A10)</x:f>
        <x:v>330.04</x:v>
      </x:c>
    </x:row>
    <x:row r="11">
      <x:c r="A11" s="61" t="n">
        <x:v>45748</x:v>
      </x:c>
      <x:c r="B11" s="64" t="n">
        <x:v>10</x:v>
      </x:c>
      <x:c r="C11" s="64" t="n">
        <x:v>19</x:v>
      </x:c>
      <x:c r="D11" s="64" t="n">
        <x:f>COUNTIFS('Raw Extract'!$A$4:$A$442,A11)</x:f>
        <x:v>19</x:v>
      </x:c>
      <x:c r="E11" s="64" t="n">
        <x:f>D11-C11</x:f>
        <x:v>0</x:v>
      </x:c>
      <x:c r="F11" s="62" t="str">
        <x:f>IF(E11=0,"OK","CHECK")</x:f>
        <x:v>OK</x:v>
      </x:c>
      <x:c r="G11" s="63" t="n">
        <x:f>SUMIFS('Raw Extract'!$C$4:$C$442,'Raw Extract'!$A$4:$A$442,A11)</x:f>
        <x:v>370.2</x:v>
      </x:c>
    </x:row>
    <x:row r="12">
      <x:c r="A12" s="61" t="n">
        <x:v>45778</x:v>
      </x:c>
      <x:c r="B12" s="64" t="n">
        <x:v>8</x:v>
      </x:c>
      <x:c r="C12" s="64" t="n">
        <x:v>19</x:v>
      </x:c>
      <x:c r="D12" s="64" t="n">
        <x:f>COUNTIFS('Raw Extract'!$A$4:$A$442,A12)</x:f>
        <x:v>19</x:v>
      </x:c>
      <x:c r="E12" s="64" t="n">
        <x:f>D12-C12</x:f>
        <x:v>0</x:v>
      </x:c>
      <x:c r="F12" s="62" t="str">
        <x:f>IF(E12=0,"OK","CHECK")</x:f>
        <x:v>OK</x:v>
      </x:c>
      <x:c r="G12" s="63" t="n">
        <x:f>SUMIFS('Raw Extract'!$C$4:$C$442,'Raw Extract'!$A$4:$A$442,A12)</x:f>
        <x:v>349.34</x:v>
      </x:c>
    </x:row>
    <x:row r="13">
      <x:c r="A13" s="61" t="n">
        <x:v>45809</x:v>
      </x:c>
      <x:c r="B13" s="64" t="n">
        <x:v>9</x:v>
      </x:c>
      <x:c r="C13" s="64" t="n">
        <x:v>19</x:v>
      </x:c>
      <x:c r="D13" s="64" t="n">
        <x:f>COUNTIFS('Raw Extract'!$A$4:$A$442,A13)</x:f>
        <x:v>19</x:v>
      </x:c>
      <x:c r="E13" s="64" t="n">
        <x:f>D13-C13</x:f>
        <x:v>0</x:v>
      </x:c>
      <x:c r="F13" s="62" t="str">
        <x:f>IF(E13=0,"OK","CHECK")</x:f>
        <x:v>OK</x:v>
      </x:c>
      <x:c r="G13" s="63" t="n">
        <x:f>SUMIFS('Raw Extract'!$C$4:$C$442,'Raw Extract'!$A$4:$A$442,A13)</x:f>
        <x:v>338.06</x:v>
      </x:c>
    </x:row>
    <x:row r="14">
      <x:c r="A14" s="61" t="n">
        <x:v>45839</x:v>
      </x:c>
      <x:c r="B14" s="64" t="n">
        <x:v>11</x:v>
      </x:c>
      <x:c r="C14" s="64" t="n">
        <x:v>19</x:v>
      </x:c>
      <x:c r="D14" s="64" t="n">
        <x:f>COUNTIFS('Raw Extract'!$A$4:$A$442,A14)</x:f>
        <x:v>19</x:v>
      </x:c>
      <x:c r="E14" s="64" t="n">
        <x:f>D14-C14</x:f>
        <x:v>0</x:v>
      </x:c>
      <x:c r="F14" s="62" t="str">
        <x:f>IF(E14=0,"OK","CHECK")</x:f>
        <x:v>OK</x:v>
      </x:c>
      <x:c r="G14" s="63" t="n">
        <x:f>SUMIFS('Raw Extract'!$C$4:$C$442,'Raw Extract'!$A$4:$A$442,A14)</x:f>
        <x:v>349.57000000000005</x:v>
      </x:c>
    </x:row>
    <x:row r="15">
      <x:c r="A15" s="61" t="n">
        <x:v>45870</x:v>
      </x:c>
      <x:c r="B15" s="64" t="n">
        <x:v>12</x:v>
      </x:c>
      <x:c r="C15" s="64" t="n">
        <x:v>19</x:v>
      </x:c>
      <x:c r="D15" s="64" t="n">
        <x:f>COUNTIFS('Raw Extract'!$A$4:$A$442,A15)</x:f>
        <x:v>19</x:v>
      </x:c>
      <x:c r="E15" s="64" t="n">
        <x:f>D15-C15</x:f>
        <x:v>0</x:v>
      </x:c>
      <x:c r="F15" s="62" t="str">
        <x:f>IF(E15=0,"OK","CHECK")</x:f>
        <x:v>OK</x:v>
      </x:c>
      <x:c r="G15" s="63" t="n">
        <x:f>SUMIFS('Raw Extract'!$C$4:$C$442,'Raw Extract'!$A$4:$A$442,A15)</x:f>
        <x:v>364.63999999999993</x:v>
      </x:c>
    </x:row>
    <x:row r="16">
      <x:c r="A16" s="61" t="n">
        <x:v>45901</x:v>
      </x:c>
      <x:c r="B16" s="64" t="n">
        <x:v>14</x:v>
      </x:c>
      <x:c r="C16" s="64" t="n">
        <x:v>19</x:v>
      </x:c>
      <x:c r="D16" s="64" t="n">
        <x:f>COUNTIFS('Raw Extract'!$A$4:$A$442,A16)</x:f>
        <x:v>19</x:v>
      </x:c>
      <x:c r="E16" s="64" t="n">
        <x:f>D16-C16</x:f>
        <x:v>0</x:v>
      </x:c>
      <x:c r="F16" s="62" t="str">
        <x:f>IF(E16=0,"OK","CHECK")</x:f>
        <x:v>OK</x:v>
      </x:c>
      <x:c r="G16" s="63" t="n">
        <x:f>SUMIFS('Raw Extract'!$C$4:$C$442,'Raw Extract'!$A$4:$A$442,A16)</x:f>
        <x:v>352.39</x:v>
      </x:c>
    </x:row>
    <x:row r="17">
      <x:c r="A17" s="61" t="n">
        <x:v>45931</x:v>
      </x:c>
      <x:c r="B17" s="64" t="n">
        <x:v>13</x:v>
      </x:c>
      <x:c r="C17" s="64" t="n">
        <x:v>19</x:v>
      </x:c>
      <x:c r="D17" s="64" t="n">
        <x:f>COUNTIFS('Raw Extract'!$A$4:$A$442,A17)</x:f>
        <x:v>19</x:v>
      </x:c>
      <x:c r="E17" s="64" t="n">
        <x:f>D17-C17</x:f>
        <x:v>0</x:v>
      </x:c>
      <x:c r="F17" s="62" t="str">
        <x:f>IF(E17=0,"OK","CHECK")</x:f>
        <x:v>OK</x:v>
      </x:c>
      <x:c r="G17" s="63" t="n">
        <x:f>SUMIFS('Raw Extract'!$C$4:$C$442,'Raw Extract'!$A$4:$A$442,A17)</x:f>
        <x:v>363.49</x:v>
      </x:c>
    </x:row>
    <x:row r="18">
      <x:c r="A18" s="61" t="n">
        <x:v>45962</x:v>
      </x:c>
      <x:c r="B18" s="64" t="n">
        <x:v>17</x:v>
      </x:c>
      <x:c r="C18" s="64" t="n">
        <x:v>19</x:v>
      </x:c>
      <x:c r="D18" s="64" t="n">
        <x:f>COUNTIFS('Raw Extract'!$A$4:$A$442,A18)</x:f>
        <x:v>19</x:v>
      </x:c>
      <x:c r="E18" s="64" t="n">
        <x:f>D18-C18</x:f>
        <x:v>0</x:v>
      </x:c>
      <x:c r="F18" s="62" t="str">
        <x:f>IF(E18=0,"OK","CHECK")</x:f>
        <x:v>OK</x:v>
      </x:c>
      <x:c r="G18" s="63" t="n">
        <x:f>SUMIFS('Raw Extract'!$C$4:$C$442,'Raw Extract'!$A$4:$A$442,A18)</x:f>
        <x:v>346.21</x:v>
      </x:c>
    </x:row>
    <x:row r="19">
      <x:c r="A19" s="61" t="n">
        <x:v>45992</x:v>
      </x:c>
      <x:c r="B19" s="64" t="n">
        <x:v>15</x:v>
      </x:c>
      <x:c r="C19" s="64" t="n">
        <x:v>20</x:v>
      </x:c>
      <x:c r="D19" s="64" t="n">
        <x:f>COUNTIFS('Raw Extract'!$A$4:$A$442,A19)</x:f>
        <x:v>20</x:v>
      </x:c>
      <x:c r="E19" s="64" t="n">
        <x:f>D19-C19</x:f>
        <x:v>0</x:v>
      </x:c>
      <x:c r="F19" s="62" t="str">
        <x:f>IF(E19=0,"OK","CHECK")</x:f>
        <x:v>OK</x:v>
      </x:c>
      <x:c r="G19" s="63" t="n">
        <x:f>SUMIFS('Raw Extract'!$C$4:$C$442,'Raw Extract'!$A$4:$A$442,A19)</x:f>
        <x:v>369.6300000000001</x:v>
      </x:c>
    </x:row>
    <x:row r="20">
      <x:c r="A20" s="61" t="n">
        <x:v>46023</x:v>
      </x:c>
      <x:c r="B20" s="64" t="n">
        <x:v>16</x:v>
      </x:c>
      <x:c r="C20" s="64" t="n">
        <x:v>20</x:v>
      </x:c>
      <x:c r="D20" s="64" t="n">
        <x:f>COUNTIFS('Raw Extract'!$A$4:$A$442,A20)</x:f>
        <x:v>20</x:v>
      </x:c>
      <x:c r="E20" s="64" t="n">
        <x:f>D20-C20</x:f>
        <x:v>0</x:v>
      </x:c>
      <x:c r="F20" s="62" t="str">
        <x:f>IF(E20=0,"OK","CHECK")</x:f>
        <x:v>OK</x:v>
      </x:c>
      <x:c r="G20" s="63" t="n">
        <x:f>SUMIFS('Raw Extract'!$C$4:$C$442,'Raw Extract'!$A$4:$A$442,A20)</x:f>
        <x:v>363.49</x:v>
      </x:c>
    </x:row>
    <x:row r="21">
      <x:c r="A21" s="61" t="n">
        <x:v>46054</x:v>
      </x:c>
      <x:c r="B21" s="64" t="n">
        <x:v>18</x:v>
      </x:c>
      <x:c r="C21" s="64" t="n">
        <x:v>19</x:v>
      </x:c>
      <x:c r="D21" s="64" t="n">
        <x:f>COUNTIFS('Raw Extract'!$A$4:$A$442,A21)</x:f>
        <x:v>19</x:v>
      </x:c>
      <x:c r="E21" s="64" t="n">
        <x:f>D21-C21</x:f>
        <x:v>0</x:v>
      </x:c>
      <x:c r="F21" s="62" t="str">
        <x:f>IF(E21=0,"OK","CHECK")</x:f>
        <x:v>OK</x:v>
      </x:c>
      <x:c r="G21" s="63" t="n">
        <x:f>SUMIFS('Raw Extract'!$C$4:$C$442,'Raw Extract'!$A$4:$A$442,A21)</x:f>
        <x:v>344.25</x:v>
      </x:c>
    </x:row>
    <x:row r="22">
      <x:c r="A22" s="61" t="n">
        <x:v>46082</x:v>
      </x:c>
      <x:c r="B22" s="64" t="n">
        <x:v>20</x:v>
      </x:c>
      <x:c r="C22" s="64" t="n">
        <x:v>19</x:v>
      </x:c>
      <x:c r="D22" s="64" t="n">
        <x:f>COUNTIFS('Raw Extract'!$A$4:$A$442,A22)</x:f>
        <x:v>19</x:v>
      </x:c>
      <x:c r="E22" s="64" t="n">
        <x:f>D22-C22</x:f>
        <x:v>0</x:v>
      </x:c>
      <x:c r="F22" s="62" t="str">
        <x:f>IF(E22=0,"OK","CHECK")</x:f>
        <x:v>OK</x:v>
      </x:c>
      <x:c r="G22" s="63" t="n">
        <x:f>SUMIFS('Raw Extract'!$C$4:$C$442,'Raw Extract'!$A$4:$A$442,A22)</x:f>
        <x:v>351.1</x:v>
      </x:c>
    </x:row>
    <x:row r="23">
      <x:c r="A23" s="61" t="n">
        <x:v>46113</x:v>
      </x:c>
      <x:c r="B23" s="64" t="n">
        <x:v>19</x:v>
      </x:c>
      <x:c r="C23" s="64" t="n">
        <x:v>19</x:v>
      </x:c>
      <x:c r="D23" s="64" t="n">
        <x:f>COUNTIFS('Raw Extract'!$A$4:$A$442,A23)</x:f>
        <x:v>19</x:v>
      </x:c>
      <x:c r="E23" s="64" t="n">
        <x:f>D23-C23</x:f>
        <x:v>0</x:v>
      </x:c>
      <x:c r="F23" s="62" t="str">
        <x:f>IF(E23=0,"OK","CHECK")</x:f>
        <x:v>OK</x:v>
      </x:c>
      <x:c r="G23" s="63" t="n">
        <x:f>SUMIFS('Raw Extract'!$C$4:$C$442,'Raw Extract'!$A$4:$A$442,A23)</x:f>
        <x:v>405.22</x:v>
      </x:c>
    </x:row>
    <x:row r="24">
      <x:c r="A24" s="61" t="n">
        <x:v>46143</x:v>
      </x:c>
      <x:c r="B24" s="64" t="n">
        <x:v>23</x:v>
      </x:c>
      <x:c r="C24" s="64" t="n">
        <x:v>19</x:v>
      </x:c>
      <x:c r="D24" s="64" t="n">
        <x:f>COUNTIFS('Raw Extract'!$A$4:$A$442,A24)</x:f>
        <x:v>19</x:v>
      </x:c>
      <x:c r="E24" s="64" t="n">
        <x:f>D24-C24</x:f>
        <x:v>0</x:v>
      </x:c>
      <x:c r="F24" s="62" t="str">
        <x:f>IF(E24=0,"OK","CHECK")</x:f>
        <x:v>OK</x:v>
      </x:c>
      <x:c r="G24" s="63" t="n">
        <x:f>SUMIFS('Raw Extract'!$C$4:$C$442,'Raw Extract'!$A$4:$A$442,A24)</x:f>
        <x:v>377.85</x:v>
      </x:c>
    </x:row>
    <x:row r="25">
      <x:c r="A25" s="61" t="n">
        <x:v>46174</x:v>
      </x:c>
      <x:c r="B25" s="64" t="n">
        <x:v>21</x:v>
      </x:c>
      <x:c r="C25" s="64" t="n">
        <x:v>19</x:v>
      </x:c>
      <x:c r="D25" s="64" t="n">
        <x:f>COUNTIFS('Raw Extract'!$A$4:$A$442,A25)</x:f>
        <x:v>19</x:v>
      </x:c>
      <x:c r="E25" s="64" t="n">
        <x:f>D25-C25</x:f>
        <x:v>0</x:v>
      </x:c>
      <x:c r="F25" s="62" t="str">
        <x:f>IF(E25=0,"OK","CHECK")</x:f>
        <x:v>OK</x:v>
      </x:c>
      <x:c r="G25" s="63" t="n">
        <x:f>SUMIFS('Raw Extract'!$C$4:$C$442,'Raw Extract'!$A$4:$A$442,A25)</x:f>
        <x:v>381.61</x:v>
      </x:c>
    </x:row>
    <x:row r="26">
      <x:c r="A26" s="65" t="n">
        <x:v>46204</x:v>
      </x:c>
      <x:c r="B26" s="68" t="n">
        <x:v>22</x:v>
      </x:c>
      <x:c r="C26" s="68" t="n">
        <x:v>18</x:v>
      </x:c>
      <x:c r="D26" s="68" t="n">
        <x:f>COUNTIFS('Raw Extract'!$A$4:$A$442,A26)</x:f>
        <x:v>18</x:v>
      </x:c>
      <x:c r="E26" s="68" t="n">
        <x:f>D26-C26</x:f>
        <x:v>0</x:v>
      </x:c>
      <x:c r="F26" s="66" t="str">
        <x:f>IF(E26=0,"OK","CHECK")</x:f>
        <x:v>OK</x:v>
      </x:c>
      <x:c r="G26" s="67" t="n">
        <x:f>SUMIFS('Raw Extract'!$C$4:$C$442,'Raw Extract'!$A$4:$A$442,A26)</x:f>
        <x:v>385.51</x:v>
      </x:c>
    </x:row>
    <x:row r="28">
      <x:c r="A28" s="70" t="str">
        <x:v>Workbook checks</x:v>
      </x:c>
      <x:c r="B28" s="70"/>
      <x:c r="C28" s="70"/>
      <x:c r="D28" s="70"/>
      <x:c r="E28" s="70"/>
      <x:c r="F28" s="70"/>
      <x:c r="G28" s="70"/>
    </x:row>
    <x:row r="29">
      <x:c r="A29" s="25" t="str">
        <x:v>Expected monthly pages</x:v>
      </x:c>
      <x:c r="B29" s="31" t="n">
        <x:v>23</x:v>
      </x:c>
    </x:row>
    <x:row r="30">
      <x:c r="A30" s="25" t="str">
        <x:v>Mapped monthly pages</x:v>
      </x:c>
      <x:c r="B30" s="31" t="n">
        <x:f>COUNTA(A4:A26)</x:f>
        <x:v>23</x:v>
      </x:c>
    </x:row>
    <x:row r="31">
      <x:c r="A31" s="25" t="str">
        <x:v>Unique brands captured</x:v>
      </x:c>
      <x:c r="B31" s="31" t="n">
        <x:v>21</x:v>
      </x:c>
    </x:row>
    <x:row r="32">
      <x:c r="A32" s="25" t="str">
        <x:v>Duplicate brand-month records</x:v>
      </x:c>
      <x:c r="B32" s="31" t="n">
        <x:f>ROWS('Raw Extract'!$A$4:$A$442)-SUM(D4:D26)</x:f>
        <x:v>0</x:v>
      </x:c>
    </x:row>
    <x:row r="33">
      <x:c r="A33" s="26" t="str">
        <x:v>Overall status</x:v>
      </x:c>
      <x:c r="B33" s="32" t="str">
        <x:f>IF(AND(B29=B30,B32=0,COUNTIF(F4:F26,"CHECK")=0),"OK","CHECK")</x:f>
        <x:v>OK</x:v>
      </x:c>
    </x:row>
    <x:row r="35">
      <x:c r="A35" s="47" t="str">
        <x:v>Source: MOM_IQVIA_Mankind.pdf. Extracted field: MONTH - Values in Crores. Blank time-series cells reflect brands omitted from that month's supplied top-brand table and are not zero-filled.</x:v>
      </x:c>
      <x:c r="B35" s="47"/>
      <x:c r="C35" s="47"/>
      <x:c r="D35" s="47"/>
      <x:c r="E35" s="47"/>
      <x:c r="F35" s="47"/>
      <x:c r="G35" s="47"/>
    </x:row>
    <x:row r="36">
      <x:c r="A36" s="47"/>
      <x:c r="B36" s="47"/>
      <x:c r="C36" s="47"/>
      <x:c r="D36" s="47"/>
      <x:c r="E36" s="47"/>
      <x:c r="F36" s="47"/>
      <x:c r="G36" s="47"/>
    </x:row>
  </x:sheetData>
  <x:mergeCells>
    <x:mergeCell ref="A1:G1"/>
    <x:mergeCell ref="A2:G2"/>
    <x:mergeCell ref="A28:G28"/>
    <x:mergeCell ref="A35:G36"/>
  </x:mergeCells>
  <x:conditionalFormatting sqref="F4:F26">
    <x:cfRule type="containsText" dxfId="1" priority="1" operator="containsText" text="OK"/>
    <x:cfRule type="containsText" dxfId="2" priority="2" operator="containsText" text="CHECK"/>
  </x:conditionalFormatting>
  <x:conditionalFormatting sqref="B33:B33">
    <x:cfRule type="containsText" dxfId="3" priority="3" operator="containsText" text="OK"/>
    <x:cfRule type="containsText" dxfId="4" priority="4" operator="containsText" text="CHECK"/>
  </x:conditionalFormatting>
  <x:pageMargins left="0.7" right="0.7" top="0.75" bottom="0.75" header="0.3" footer="0.3"/>
</x:worksheet>
</file>