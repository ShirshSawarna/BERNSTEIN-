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67414d86a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hibit" sheetId="1" r:id="R078e7fb6ffb6480c"/>
    <x:sheet xmlns:r="http://schemas.openxmlformats.org/officeDocument/2006/relationships" name="Aerosol data" sheetId="2" r:id="Read545938cf54340"/>
    <x:sheet xmlns:r="http://schemas.openxmlformats.org/officeDocument/2006/relationships" name="Evidence and devices" sheetId="3" r:id="Rfdb6a57ef57d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%"/>
    <x:numFmt numFmtId="202" formatCode="0.0"/>
    <x:numFmt numFmtId="203" formatCode="#,##0"/>
    <x:numFmt numFmtId="204" formatCode="#,##0.0"/>
    <x:numFmt numFmtId="205" formatCode="0%"/>
  </x:numFmts>
  <x:fonts count="5">
    <x:font>
      <x:sz val="11"/>
      <x:name val="Carlito"/>
    </x:font>
    <x:font>
      <x:sz val="10"/>
      <x:color rgb="FF202020"/>
      <x:name val="Arial"/>
    </x:font>
    <x:font>
      <x:b/>
      <x:sz val="14"/>
      <x:color rgb="FF202020"/>
      <x:name val="Arial"/>
    </x:font>
    <x:font>
      <x:sz val="10"/>
      <x:color rgb="FF666666"/>
      <x:name val="Arial"/>
    </x:font>
    <x:font>
      <x:b/>
      <x:sz val="10"/>
      <x:color rgb="FF20202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8888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b5ef3d4b24eba" /><Relationship Type="http://schemas.openxmlformats.org/officeDocument/2006/relationships/theme" Target="/xl/theme/theme1.xml" Id="R7dcbd11c43464bab" /><Relationship Type="http://schemas.openxmlformats.org/officeDocument/2006/relationships/sharedStrings" Target="/xl/sharedStrings.xml" Id="R0c67ece5916c4b04" /><Relationship Type="http://schemas.openxmlformats.org/officeDocument/2006/relationships/worksheet" Target="/xl/worksheets/sheet1.xml" Id="R078e7fb6ffb6480c" /><Relationship Type="http://schemas.openxmlformats.org/officeDocument/2006/relationships/worksheet" Target="/xl/worksheets/sheet2.xml" Id="Read545938cf54340" /><Relationship Type="http://schemas.openxmlformats.org/officeDocument/2006/relationships/worksheet" Target="/xl/worksheets/sheet3.xml" Id="Rfdb6a57ef57d45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fa634903ec47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Ellipta recorded fewer critical handling errors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Ellipta error rate</c:v>
          </c:tx>
          <c:spPr>
            <a:solidFill xmlns:a="http://schemas.openxmlformats.org/drawingml/2006/main">
              <a:srgbClr val="00589C"/>
            </a:solidFill>
          </c:spPr>
          <c:invertIfNegative val="0"/>
          <c:cat>
            <c:strRef>
              <c:f>'Exhibit'!$A$7:$A$11</c:f>
              <c:strCache>
                <c:ptCount val="0"/>
              </c:strCache>
            </c:strRef>
          </c:cat>
          <c:val>
            <c:numRef>
              <c:f>'Exhibit'!$E$7:$E$11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Other error rate</c:v>
          </c:tx>
          <c:spPr>
            <a:solidFill xmlns:a="http://schemas.openxmlformats.org/drawingml/2006/main">
              <a:srgbClr val="A5A5A5"/>
            </a:solidFill>
          </c:spPr>
          <c:invertIfNegative val="0"/>
          <c:cat>
            <c:strRef>
              <c:f>'Exhibit'!$A$7:$A$11</c:f>
              <c:strCache>
                <c:ptCount val="0"/>
              </c:strCache>
            </c:strRef>
          </c:cat>
          <c:val>
            <c:numRef>
              <c:f>'Exhibit'!$F$7:$F$11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fa634903ec47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ccdeb0154342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Ellipta critical handling errors in paired COPD comparisons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 t="str">
        <x:v>Placebo devices, after reading the leaflet and before investigator instruction. Lower is better.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4" t="str">
        <x:v>Device usability evidence. Not a lung-deposition test or a comparison with current Indian triple generics.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8" t="str">
        <x:v>Comparator device</x:v>
      </x:c>
      <x:c r="B6" s="8" t="str">
        <x:v>Paired n</x:v>
      </x:c>
      <x:c r="C6" s="8" t="str">
        <x:v>Ellipta errors (n)</x:v>
      </x:c>
      <x:c r="D6" s="8" t="str">
        <x:v>Other errors (n)</x:v>
      </x:c>
      <x:c r="E6" s="8" t="str">
        <x:v>Ellipta error rate</x:v>
      </x:c>
      <x:c r="F6" s="8" t="str">
        <x:v>Other error rate</x:v>
      </x:c>
      <x:c r="G6" s="8" t="str">
        <x:v>Difference (pp)</x:v>
      </x:c>
      <x:c r="H6" s="8" t="str">
        <x:v>Relative reduction</x:v>
      </x:c>
    </x:row>
    <x:row r="7" ht="22" customHeight="1">
      <x:c r="A7" s="2" t="str">
        <x:v>DISKUS</x:v>
      </x:c>
      <x:c r="B7" s="9" t="n">
        <x:v>171</x:v>
      </x:c>
      <x:c r="C7" s="9" t="n">
        <x:v>9</x:v>
      </x:c>
      <x:c r="D7" s="9" t="n">
        <x:v>75</x:v>
      </x:c>
      <x:c r="E7" s="10" t="n">
        <x:f>C7/B7</x:f>
        <x:v>0.05263157894736842</x:v>
      </x:c>
      <x:c r="F7" s="10" t="n">
        <x:f>D7/B7</x:f>
        <x:v>0.43859649122807015</x:v>
      </x:c>
      <x:c r="G7" s="11" t="n">
        <x:f>(F7-E7)*100</x:f>
        <x:v>38.59649122807017</x:v>
      </x:c>
      <x:c r="H7" s="10" t="n">
        <x:f>1-E7/F7</x:f>
        <x:v>0.88</x:v>
      </x:c>
    </x:row>
    <x:row r="8" ht="22" customHeight="1">
      <x:c r="A8" s="2" t="str">
        <x:v>MDI</x:v>
      </x:c>
      <x:c r="B8" s="9" t="n">
        <x:v>80</x:v>
      </x:c>
      <x:c r="C8" s="9" t="n">
        <x:v>10</x:v>
      </x:c>
      <x:c r="D8" s="9" t="n">
        <x:v>48</x:v>
      </x:c>
      <x:c r="E8" s="10" t="n">
        <x:f>C8/B8</x:f>
        <x:v>0.125</x:v>
      </x:c>
      <x:c r="F8" s="10" t="n">
        <x:f>D8/B8</x:f>
        <x:v>0.6</x:v>
      </x:c>
      <x:c r="G8" s="11" t="n">
        <x:f>(F8-E8)*100</x:f>
        <x:v>47.5</x:v>
      </x:c>
      <x:c r="H8" s="10" t="n">
        <x:f>1-E8/F8</x:f>
        <x:v>0.7916666666666666</x:v>
      </x:c>
    </x:row>
    <x:row r="9" ht="22" customHeight="1">
      <x:c r="A9" s="2" t="str">
        <x:v>Turbuhaler</x:v>
      </x:c>
      <x:c r="B9" s="9" t="n">
        <x:v>100</x:v>
      </x:c>
      <x:c r="C9" s="9" t="n">
        <x:v>8</x:v>
      </x:c>
      <x:c r="D9" s="9" t="n">
        <x:v>44</x:v>
      </x:c>
      <x:c r="E9" s="10" t="n">
        <x:f>C9/B9</x:f>
        <x:v>0.08</x:v>
      </x:c>
      <x:c r="F9" s="10" t="n">
        <x:f>D9/B9</x:f>
        <x:v>0.44</x:v>
      </x:c>
      <x:c r="G9" s="11" t="n">
        <x:f>(F9-E9)*100</x:f>
        <x:v>36</x:v>
      </x:c>
      <x:c r="H9" s="10" t="n">
        <x:f>1-E9/F9</x:f>
        <x:v>0.8181818181818181</x:v>
      </x:c>
    </x:row>
    <x:row r="10" ht="22" customHeight="1">
      <x:c r="A10" s="2" t="str">
        <x:v>HandiHaler</x:v>
      </x:c>
      <x:c r="B10" s="9" t="n">
        <x:v>118</x:v>
      </x:c>
      <x:c r="C10" s="9" t="n">
        <x:v>17</x:v>
      </x:c>
      <x:c r="D10" s="9" t="n">
        <x:v>57</x:v>
      </x:c>
      <x:c r="E10" s="10" t="n">
        <x:f>C10/B10</x:f>
        <x:v>0.1440677966101695</x:v>
      </x:c>
      <x:c r="F10" s="10" t="n">
        <x:f>D10/B10</x:f>
        <x:v>0.4830508474576271</x:v>
      </x:c>
      <x:c r="G10" s="11" t="n">
        <x:f>(F10-E10)*100</x:f>
        <x:v>33.89830508474576</x:v>
      </x:c>
      <x:c r="H10" s="10" t="n">
        <x:f>1-E10/F10</x:f>
        <x:v>0.7017543859649122</x:v>
      </x:c>
    </x:row>
    <x:row r="11" ht="22" customHeight="1">
      <x:c r="A11" s="2" t="str">
        <x:v>Breezhaler</x:v>
      </x:c>
      <x:c r="B11" s="9" t="n">
        <x:v>98</x:v>
      </x:c>
      <x:c r="C11" s="9" t="n">
        <x:v>13</x:v>
      </x:c>
      <x:c r="D11" s="9" t="n">
        <x:v>45</x:v>
      </x:c>
      <x:c r="E11" s="10" t="n">
        <x:f>C11/B11</x:f>
        <x:v>0.1326530612244898</x:v>
      </x:c>
      <x:c r="F11" s="10" t="n">
        <x:f>D11/B11</x:f>
        <x:v>0.45918367346938777</x:v>
      </x:c>
      <x:c r="G11" s="11" t="n">
        <x:f>(F11-E11)*100</x:f>
        <x:v>32.6530612244898</x:v>
      </x:c>
      <x:c r="H11" s="10" t="n">
        <x:f>1-E11/F11</x:f>
        <x:v>0.711111111111111</x:v>
      </x:c>
    </x:row>
    <x:row r="12" ht="22" customHeight="1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4" t="str">
        <x:v>Each device comparison uses its own paired cohort. All five COPD comparisons: p &lt; 0.001.</x:v>
      </x:c>
      <x:c r="B13" s="2"/>
      <x:c r="C13" s="2"/>
      <x:c r="D13" s="2"/>
      <x:c r="E13" s="2"/>
      <x:c r="F13" s="2"/>
      <x:c r="G13" s="2"/>
      <x:c r="H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4" t="str">
        <x:v>Source: van der Palen et al., npj Primary Care Respiratory Medicine 2016, Table 3A. GSK-funded.</x:v>
      </x:c>
      <x:c r="B33" s="2"/>
      <x:c r="C33" s="2"/>
      <x:c r="D33" s="2"/>
      <x:c r="E33" s="2"/>
      <x:c r="F33" s="2"/>
      <x:c r="G33" s="2"/>
      <x:c r="H33" s="2"/>
    </x:row>
    <x:row r="34" ht="22" customHeight="1">
      <x:c r="A34" s="4" t="str">
        <x:v>https://doi.org/10.1038/npjpcrm.2016.79</x:v>
      </x:c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  <x:row r="36" ht="22" customHeight="1">
      <x:c r="A36" s="4" t="str">
        <x:v>Chart: grouped bars, one group per named comparator; keep both paired rates in each group.</x:v>
      </x:c>
      <x:c r="B36" s="2"/>
      <x:c r="C36" s="2"/>
      <x:c r="D36" s="2"/>
      <x:c r="E36" s="2"/>
      <x:c r="F36" s="2"/>
      <x:c r="G36" s="2"/>
      <x:c r="H36" s="2"/>
    </x:row>
    <x:row r="37" ht="22" customHeight="1">
      <x:c r="A37" s="4" t="str">
        <x:v>Suggested slide title: Trelegy sustains share after umeclidinium LOE, supported by Ellipta device differentiation.</x:v>
      </x:c>
      <x:c r="B37" s="2"/>
      <x:c r="C37" s="2"/>
      <x:c r="D37" s="2"/>
      <x:c r="E37" s="2"/>
      <x:c r="F37" s="2"/>
      <x:c r="G37" s="2"/>
      <x:c r="H37" s="2"/>
    </x:row>
    <x:row r="38" ht="22" customHeight="1">
      <x:c r="A38" s="4" t="str">
        <x:v>Do not label the error rates as deposition percentages or assign them to Glenmark, Lupin or Cipla products.</x:v>
      </x:c>
      <x:c r="B38" s="2"/>
      <x:c r="C38" s="2"/>
      <x:c r="D38" s="2"/>
      <x:c r="E38" s="2"/>
      <x:c r="F38" s="2"/>
      <x:c r="G38" s="2"/>
      <x:c r="H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</x:row>
  </x:sheetData>
  <x:pageMargins left="0.7" right="0.7" top="0.75" bottom="0.75" header="0.3" footer="0.3"/>
  <x:drawing xmlns:r="http://schemas.openxmlformats.org/officeDocument/2006/relationships" r:id="R8cccdeb0154342d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Trelegy aerosol delivery and modelled lung deposition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Trelegy strength: FF/UMEC/VI 100/62.5/25 micrograms. Bench tests measure emitted aerosol, not in-vivo efficacy.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4" t="str">
        <x:v>FPF below uses nominal blister content as denominator. Tolerance bounds are 95% confidence / 95% coverage.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8" t="str">
        <x:v>Flow (L/min)</x:v>
      </x:c>
      <x:c r="B6" s="8" t="str">
        <x:v>Component</x:v>
      </x:c>
      <x:c r="C6" s="8" t="str">
        <x:v>Delivered dose</x:v>
      </x:c>
      <x:c r="D6" s="8" t="str">
        <x:v>Fine particle fraction</x:v>
      </x:c>
      <x:c r="E6" s="8" t="str">
        <x:v>MMAD (micrometres)</x:v>
      </x:c>
      <x:c r="F6" s="8" t="str">
        <x:v>DD lower bound</x:v>
      </x:c>
      <x:c r="G6" s="8" t="str">
        <x:v>DD upper bound</x:v>
      </x:c>
      <x:c r="H6" s="8" t="str">
        <x:v>FPF lower bound</x:v>
      </x:c>
      <x:c r="I6" s="8" t="str">
        <x:v>FPF upper bound</x:v>
      </x:c>
      <x:c r="J6" s="2"/>
    </x:row>
    <x:row r="7" ht="22" customHeight="1">
      <x:c r="A7" s="2" t="n">
        <x:v>30</x:v>
      </x:c>
      <x:c r="B7" s="2" t="str">
        <x:v>Fluticasone furoate</x:v>
      </x:c>
      <x:c r="C7" s="10" t="n">
        <x:v>0.885</x:v>
      </x:c>
      <x:c r="D7" s="10" t="n">
        <x:v>0.21899999999999997</x:v>
      </x:c>
      <x:c r="E7" s="11" t="n">
        <x:v>4.4</x:v>
      </x:c>
      <x:c r="F7" s="10" t="n">
        <x:v>0.8490000000000001</x:v>
      </x:c>
      <x:c r="G7" s="10" t="n">
        <x:v>0.9209999999999999</x:v>
      </x:c>
      <x:c r="H7" s="10" t="n">
        <x:v>0.20199999999999999</x:v>
      </x:c>
      <x:c r="I7" s="10" t="n">
        <x:v>0.237</x:v>
      </x:c>
      <x:c r="J7" s="2"/>
    </x:row>
    <x:row r="8" ht="22" customHeight="1">
      <x:c r="A8" s="2" t="n">
        <x:v>30</x:v>
      </x:c>
      <x:c r="B8" s="2" t="str">
        <x:v>Umeclidinium</x:v>
      </x:c>
      <x:c r="C8" s="10" t="n">
        <x:v>0.878</x:v>
      </x:c>
      <x:c r="D8" s="10" t="n">
        <x:v>0.34600000000000003</x:v>
      </x:c>
      <x:c r="E8" s="11" t="n">
        <x:v>3.3</x:v>
      </x:c>
      <x:c r="F8" s="10" t="n">
        <x:v>0.845</x:v>
      </x:c>
      <x:c r="G8" s="10" t="n">
        <x:v>0.91</x:v>
      </x:c>
      <x:c r="H8" s="10" t="n">
        <x:v>0.313</x:v>
      </x:c>
      <x:c r="I8" s="10" t="n">
        <x:v>0.379</x:v>
      </x:c>
      <x:c r="J8" s="2"/>
    </x:row>
    <x:row r="9" ht="22" customHeight="1">
      <x:c r="A9" s="2" t="n">
        <x:v>30</x:v>
      </x:c>
      <x:c r="B9" s="2" t="str">
        <x:v>Vilanterol</x:v>
      </x:c>
      <x:c r="C9" s="10" t="n">
        <x:v>0.8590000000000001</x:v>
      </x:c>
      <x:c r="D9" s="10" t="n">
        <x:v>0.318</x:v>
      </x:c>
      <x:c r="E9" s="11" t="n">
        <x:v>2.7</x:v>
      </x:c>
      <x:c r="F9" s="10" t="n">
        <x:v>0.8240000000000001</x:v>
      </x:c>
      <x:c r="G9" s="10" t="n">
        <x:v>0.895</x:v>
      </x:c>
      <x:c r="H9" s="10" t="n">
        <x:v>0.28300000000000003</x:v>
      </x:c>
      <x:c r="I9" s="10" t="n">
        <x:v>0.353</x:v>
      </x:c>
      <x:c r="J9" s="2"/>
    </x:row>
    <x:row r="10" ht="22" customHeight="1">
      <x:c r="A10" s="2" t="n">
        <x:v>60</x:v>
      </x:c>
      <x:c r="B10" s="2" t="str">
        <x:v>Fluticasone furoate</x:v>
      </x:c>
      <x:c r="C10" s="10" t="n">
        <x:v>0.946</x:v>
      </x:c>
      <x:c r="D10" s="10" t="n">
        <x:v>0.266</x:v>
      </x:c>
      <x:c r="E10" s="11" t="n">
        <x:v>3.9</x:v>
      </x:c>
      <x:c r="F10" s="10" t="n">
        <x:v>0.91</x:v>
      </x:c>
      <x:c r="G10" s="10" t="n">
        <x:v>0.982</x:v>
      </x:c>
      <x:c r="H10" s="10" t="n">
        <x:v>0.249</x:v>
      </x:c>
      <x:c r="I10" s="10" t="n">
        <x:v>0.28300000000000003</x:v>
      </x:c>
      <x:c r="J10" s="2"/>
    </x:row>
    <x:row r="11" ht="22" customHeight="1">
      <x:c r="A11" s="2" t="n">
        <x:v>60</x:v>
      </x:c>
      <x:c r="B11" s="2" t="str">
        <x:v>Umeclidinium</x:v>
      </x:c>
      <x:c r="C11" s="10" t="n">
        <x:v>0.9129999999999999</x:v>
      </x:c>
      <x:c r="D11" s="10" t="n">
        <x:v>0.418</x:v>
      </x:c>
      <x:c r="E11" s="11" t="n">
        <x:v>2.9</x:v>
      </x:c>
      <x:c r="F11" s="10" t="n">
        <x:v>0.8809999999999999</x:v>
      </x:c>
      <x:c r="G11" s="10" t="n">
        <x:v>0.946</x:v>
      </x:c>
      <x:c r="H11" s="10" t="n">
        <x:v>0.385</x:v>
      </x:c>
      <x:c r="I11" s="10" t="n">
        <x:v>0.451</x:v>
      </x:c>
      <x:c r="J11" s="2"/>
    </x:row>
    <x:row r="12" ht="22" customHeight="1">
      <x:c r="A12" s="2" t="n">
        <x:v>60</x:v>
      </x:c>
      <x:c r="B12" s="2" t="str">
        <x:v>Vilanterol</x:v>
      </x:c>
      <x:c r="C12" s="10" t="n">
        <x:v>0.8909999999999999</x:v>
      </x:c>
      <x:c r="D12" s="10" t="n">
        <x:v>0.40299999999999997</x:v>
      </x:c>
      <x:c r="E12" s="11" t="n">
        <x:v>2.2</x:v>
      </x:c>
      <x:c r="F12" s="10" t="n">
        <x:v>0.856</x:v>
      </x:c>
      <x:c r="G12" s="10" t="n">
        <x:v>0.927</x:v>
      </x:c>
      <x:c r="H12" s="10" t="n">
        <x:v>0.36700000000000005</x:v>
      </x:c>
      <x:c r="I12" s="10" t="n">
        <x:v>0.43799999999999994</x:v>
      </x:c>
      <x:c r="J12" s="2"/>
    </x:row>
    <x:row r="13" ht="22" customHeight="1">
      <x:c r="A13" s="2" t="n">
        <x:v>90</x:v>
      </x:c>
      <x:c r="B13" s="2" t="str">
        <x:v>Fluticasone furoate</x:v>
      </x:c>
      <x:c r="C13" s="10" t="n">
        <x:v>0.97</x:v>
      </x:c>
      <x:c r="D13" s="10" t="n">
        <x:v>0.282</x:v>
      </x:c>
      <x:c r="E13" s="11" t="n">
        <x:v>3.6</x:v>
      </x:c>
      <x:c r="F13" s="10" t="n">
        <x:v>0.934</x:v>
      </x:c>
      <x:c r="G13" s="10" t="n">
        <x:v>1.006</x:v>
      </x:c>
      <x:c r="H13" s="10" t="n">
        <x:v>0.265</x:v>
      </x:c>
      <x:c r="I13" s="10" t="n">
        <x:v>0.299</x:v>
      </x:c>
      <x:c r="J13" s="2"/>
    </x:row>
    <x:row r="14" ht="22" customHeight="1">
      <x:c r="A14" s="2" t="n">
        <x:v>90</x:v>
      </x:c>
      <x:c r="B14" s="2" t="str">
        <x:v>Umeclidinium</x:v>
      </x:c>
      <x:c r="C14" s="10" t="n">
        <x:v>0.932</x:v>
      </x:c>
      <x:c r="D14" s="10" t="n">
        <x:v>0.455</x:v>
      </x:c>
      <x:c r="E14" s="11" t="n">
        <x:v>2.7</x:v>
      </x:c>
      <x:c r="F14" s="10" t="n">
        <x:v>0.9</x:v>
      </x:c>
      <x:c r="G14" s="10" t="n">
        <x:v>0.965</x:v>
      </x:c>
      <x:c r="H14" s="10" t="n">
        <x:v>0.42200000000000004</x:v>
      </x:c>
      <x:c r="I14" s="10" t="n">
        <x:v>0.488</x:v>
      </x:c>
      <x:c r="J14" s="2"/>
    </x:row>
    <x:row r="15" ht="22" customHeight="1">
      <x:c r="A15" s="2" t="n">
        <x:v>90</x:v>
      </x:c>
      <x:c r="B15" s="2" t="str">
        <x:v>Vilanterol</x:v>
      </x:c>
      <x:c r="C15" s="10" t="n">
        <x:v>0.91</x:v>
      </x:c>
      <x:c r="D15" s="10" t="n">
        <x:v>0.45299999999999996</x:v>
      </x:c>
      <x:c r="E15" s="11" t="n">
        <x:v>2</x:v>
      </x:c>
      <x:c r="F15" s="10" t="n">
        <x:v>0.875</x:v>
      </x:c>
      <x:c r="G15" s="10" t="n">
        <x:v>0.946</x:v>
      </x:c>
      <x:c r="H15" s="10" t="n">
        <x:v>0.41700000000000004</x:v>
      </x:c>
      <x:c r="I15" s="10" t="n">
        <x:v>0.488</x:v>
      </x:c>
      <x:c r="J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4" t="str">
        <x:v>NGI: four devices per strength/flow, six-dose composites. Hamilton et al. 2023, Supplementary Table 2. GSK-funded.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A18" s="4" t="str">
        <x:v>https://pmc.ncbi.nlm.nih.gov/articles/PMC9942181/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A20" s="4" t="str">
        <x:v>Patient-profile simulation through an anatomical throat model (eLung). Not direct lung imaging.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8" customHeight="1">
      <x:c r="A22" s="8" t="str">
        <x:v>Peak flow (L/min)</x:v>
      </x:c>
      <x:c r="B22" s="8" t="str">
        <x:v>Inhaled volume (L)</x:v>
      </x:c>
      <x:c r="C22" s="8" t="str">
        <x:v>Component</x:v>
      </x:c>
      <x:c r="D22" s="8" t="str">
        <x:v>Delivered dose</x:v>
      </x:c>
      <x:c r="E22" s="8" t="str">
        <x:v>Fine particle fraction</x:v>
      </x:c>
      <x:c r="F22" s="8" t="str">
        <x:v>MMAD (micrometres)</x:v>
      </x:c>
      <x:c r="G22" s="2"/>
      <x:c r="H22" s="2"/>
      <x:c r="I22" s="2"/>
      <x:c r="J22" s="2"/>
    </x:row>
    <x:row r="23" ht="22" customHeight="1">
      <x:c r="A23" s="2" t="n">
        <x:v>43.5</x:v>
      </x:c>
      <x:c r="B23" s="2" t="n">
        <x:v>0.8</x:v>
      </x:c>
      <x:c r="C23" s="2" t="str">
        <x:v>Fluticasone furoate</x:v>
      </x:c>
      <x:c r="D23" s="10" t="n">
        <x:v>0.948</x:v>
      </x:c>
      <x:c r="E23" s="10" t="n">
        <x:v>0.248</x:v>
      </x:c>
      <x:c r="F23" s="11" t="n">
        <x:v>3.1</x:v>
      </x:c>
      <x:c r="G23" s="2"/>
      <x:c r="H23" s="2"/>
      <x:c r="I23" s="2"/>
      <x:c r="J23" s="2"/>
    </x:row>
    <x:row r="24" ht="22" customHeight="1">
      <x:c r="A24" s="2" t="n">
        <x:v>43.5</x:v>
      </x:c>
      <x:c r="B24" s="2" t="n">
        <x:v>0.8</x:v>
      </x:c>
      <x:c r="C24" s="2" t="str">
        <x:v>Umeclidinium</x:v>
      </x:c>
      <x:c r="D24" s="10" t="n">
        <x:v>0.867</x:v>
      </x:c>
      <x:c r="E24" s="10" t="n">
        <x:v>0.375</x:v>
      </x:c>
      <x:c r="F24" s="11" t="n">
        <x:v>2.6</x:v>
      </x:c>
      <x:c r="G24" s="2"/>
      <x:c r="H24" s="2"/>
      <x:c r="I24" s="2"/>
      <x:c r="J24" s="2"/>
    </x:row>
    <x:row r="25" ht="22" customHeight="1">
      <x:c r="A25" s="2" t="n">
        <x:v>43.5</x:v>
      </x:c>
      <x:c r="B25" s="2" t="n">
        <x:v>0.8</x:v>
      </x:c>
      <x:c r="C25" s="2" t="str">
        <x:v>Vilanterol</x:v>
      </x:c>
      <x:c r="D25" s="10" t="n">
        <x:v>0.828</x:v>
      </x:c>
      <x:c r="E25" s="10" t="n">
        <x:v>0.316</x:v>
      </x:c>
      <x:c r="F25" s="11" t="n">
        <x:v>2</x:v>
      </x:c>
      <x:c r="G25" s="2"/>
      <x:c r="H25" s="2"/>
      <x:c r="I25" s="2"/>
      <x:c r="J25" s="2"/>
    </x:row>
    <x:row r="26" ht="22" customHeight="1">
      <x:c r="A26" s="2" t="n">
        <x:v>67.4</x:v>
      </x:c>
      <x:c r="B26" s="2" t="n">
        <x:v>1.8</x:v>
      </x:c>
      <x:c r="C26" s="2" t="str">
        <x:v>Fluticasone furoate</x:v>
      </x:c>
      <x:c r="D26" s="10" t="n">
        <x:v>0.9540000000000001</x:v>
      </x:c>
      <x:c r="E26" s="10" t="n">
        <x:v>0.244</x:v>
      </x:c>
      <x:c r="F26" s="11" t="n">
        <x:v>3</x:v>
      </x:c>
      <x:c r="G26" s="2"/>
      <x:c r="H26" s="2"/>
      <x:c r="I26" s="2"/>
      <x:c r="J26" s="2"/>
    </x:row>
    <x:row r="27" ht="22" customHeight="1">
      <x:c r="A27" s="2" t="n">
        <x:v>67.4</x:v>
      </x:c>
      <x:c r="B27" s="2" t="n">
        <x:v>1.8</x:v>
      </x:c>
      <x:c r="C27" s="2" t="str">
        <x:v>Umeclidinium</x:v>
      </x:c>
      <x:c r="D27" s="10" t="n">
        <x:v>0.882</x:v>
      </x:c>
      <x:c r="E27" s="10" t="n">
        <x:v>0.376</x:v>
      </x:c>
      <x:c r="F27" s="11" t="n">
        <x:v>2.5</x:v>
      </x:c>
      <x:c r="G27" s="2"/>
      <x:c r="H27" s="2"/>
      <x:c r="I27" s="2"/>
      <x:c r="J27" s="2"/>
    </x:row>
    <x:row r="28" ht="22" customHeight="1">
      <x:c r="A28" s="2" t="n">
        <x:v>67.4</x:v>
      </x:c>
      <x:c r="B28" s="2" t="n">
        <x:v>1.8</x:v>
      </x:c>
      <x:c r="C28" s="2" t="str">
        <x:v>Vilanterol</x:v>
      </x:c>
      <x:c r="D28" s="10" t="n">
        <x:v>0.843</x:v>
      </x:c>
      <x:c r="E28" s="10" t="n">
        <x:v>0.32</x:v>
      </x:c>
      <x:c r="F28" s="11" t="n">
        <x:v>1.9</x:v>
      </x:c>
      <x:c r="G28" s="2"/>
      <x:c r="H28" s="2"/>
      <x:c r="I28" s="2"/>
      <x:c r="J28" s="2"/>
    </x:row>
    <x:row r="29" ht="22" customHeight="1">
      <x:c r="A29" s="2" t="n">
        <x:v>82.4</x:v>
      </x:c>
      <x:c r="B29" s="2" t="n">
        <x:v>2.1</x:v>
      </x:c>
      <x:c r="C29" s="2" t="str">
        <x:v>Fluticasone furoate</x:v>
      </x:c>
      <x:c r="D29" s="10" t="n">
        <x:v>0.956</x:v>
      </x:c>
      <x:c r="E29" s="10" t="n">
        <x:v>0.23399999999999999</x:v>
      </x:c>
      <x:c r="F29" s="11" t="n">
        <x:v>2.6</x:v>
      </x:c>
      <x:c r="G29" s="2"/>
      <x:c r="H29" s="2"/>
      <x:c r="I29" s="2"/>
      <x:c r="J29" s="2"/>
    </x:row>
    <x:row r="30" ht="22" customHeight="1">
      <x:c r="A30" s="2" t="n">
        <x:v>82.4</x:v>
      </x:c>
      <x:c r="B30" s="2" t="n">
        <x:v>2.1</x:v>
      </x:c>
      <x:c r="C30" s="2" t="str">
        <x:v>Umeclidinium</x:v>
      </x:c>
      <x:c r="D30" s="10" t="n">
        <x:v>0.8909999999999999</x:v>
      </x:c>
      <x:c r="E30" s="10" t="n">
        <x:v>0.35600000000000004</x:v>
      </x:c>
      <x:c r="F30" s="11" t="n">
        <x:v>2.4</x:v>
      </x:c>
      <x:c r="G30" s="2"/>
      <x:c r="H30" s="2"/>
      <x:c r="I30" s="2"/>
      <x:c r="J30" s="2"/>
    </x:row>
    <x:row r="31" ht="22" customHeight="1">
      <x:c r="A31" s="2" t="n">
        <x:v>82.4</x:v>
      </x:c>
      <x:c r="B31" s="2" t="n">
        <x:v>2.1</x:v>
      </x:c>
      <x:c r="C31" s="2" t="str">
        <x:v>Vilanterol</x:v>
      </x:c>
      <x:c r="D31" s="10" t="n">
        <x:v>0.87</x:v>
      </x:c>
      <x:c r="E31" s="10" t="n">
        <x:v>0.324</x:v>
      </x:c>
      <x:c r="F31" s="11" t="n">
        <x:v>1.8</x:v>
      </x:c>
      <x:c r="G31" s="2"/>
      <x:c r="H31" s="2"/>
      <x:c r="I31" s="2"/>
      <x:c r="J31" s="2"/>
    </x:row>
    <x:row r="32" ht="22" customHeight="1">
      <x:c r="A32" s="2" t="n">
        <x:v>99.9</x:v>
      </x:c>
      <x:c r="B32" s="2" t="n">
        <x:v>2.4</x:v>
      </x:c>
      <x:c r="C32" s="2" t="str">
        <x:v>Fluticasone furoate</x:v>
      </x:c>
      <x:c r="D32" s="10" t="n">
        <x:v>0.937</x:v>
      </x:c>
      <x:c r="E32" s="10" t="n">
        <x:v>0.23600000000000002</x:v>
      </x:c>
      <x:c r="F32" s="11" t="n">
        <x:v>2.5</x:v>
      </x:c>
      <x:c r="G32" s="2"/>
      <x:c r="H32" s="2"/>
      <x:c r="I32" s="2"/>
      <x:c r="J32" s="2"/>
    </x:row>
    <x:row r="33" ht="22" customHeight="1">
      <x:c r="A33" s="2" t="n">
        <x:v>99.9</x:v>
      </x:c>
      <x:c r="B33" s="2" t="n">
        <x:v>2.4</x:v>
      </x:c>
      <x:c r="C33" s="2" t="str">
        <x:v>Umeclidinium</x:v>
      </x:c>
      <x:c r="D33" s="10" t="n">
        <x:v>0.875</x:v>
      </x:c>
      <x:c r="E33" s="10" t="n">
        <x:v>0.368</x:v>
      </x:c>
      <x:c r="F33" s="11" t="n">
        <x:v>2.2</x:v>
      </x:c>
      <x:c r="G33" s="2"/>
      <x:c r="H33" s="2"/>
      <x:c r="I33" s="2"/>
      <x:c r="J33" s="2"/>
    </x:row>
    <x:row r="34" ht="22" customHeight="1">
      <x:c r="A34" s="2" t="n">
        <x:v>99.9</x:v>
      </x:c>
      <x:c r="B34" s="2" t="n">
        <x:v>2.4</x:v>
      </x:c>
      <x:c r="C34" s="2" t="str">
        <x:v>Vilanterol</x:v>
      </x:c>
      <x:c r="D34" s="10" t="n">
        <x:v>0.848</x:v>
      </x:c>
      <x:c r="E34" s="10" t="n">
        <x:v>0.353</x:v>
      </x:c>
      <x:c r="F34" s="11" t="n">
        <x:v>1.6</x:v>
      </x:c>
      <x:c r="G34" s="2"/>
      <x:c r="H34" s="2"/>
      <x:c r="I34" s="2"/>
      <x:c r="J34" s="2"/>
    </x:row>
    <x:row r="35" ht="22" customHeight="1">
      <x:c r="A35" s="2" t="n">
        <x:v>129.9</x:v>
      </x:c>
      <x:c r="B35" s="2" t="n">
        <x:v>3.2</x:v>
      </x:c>
      <x:c r="C35" s="2" t="str">
        <x:v>Fluticasone furoate</x:v>
      </x:c>
      <x:c r="D35" s="10" t="n">
        <x:v>0.9279999999999999</x:v>
      </x:c>
      <x:c r="E35" s="10" t="n">
        <x:v>0.223</x:v>
      </x:c>
      <x:c r="F35" s="11" t="n">
        <x:v>2.4</x:v>
      </x:c>
      <x:c r="G35" s="2"/>
      <x:c r="H35" s="2"/>
      <x:c r="I35" s="2"/>
      <x:c r="J35" s="2"/>
    </x:row>
    <x:row r="36" ht="22" customHeight="1">
      <x:c r="A36" s="2" t="n">
        <x:v>129.9</x:v>
      </x:c>
      <x:c r="B36" s="2" t="n">
        <x:v>3.2</x:v>
      </x:c>
      <x:c r="C36" s="2" t="str">
        <x:v>Umeclidinium</x:v>
      </x:c>
      <x:c r="D36" s="10" t="n">
        <x:v>0.88</x:v>
      </x:c>
      <x:c r="E36" s="10" t="n">
        <x:v>0.374</x:v>
      </x:c>
      <x:c r="F36" s="11" t="n">
        <x:v>2.1</x:v>
      </x:c>
      <x:c r="G36" s="2"/>
      <x:c r="H36" s="2"/>
      <x:c r="I36" s="2"/>
      <x:c r="J36" s="2"/>
    </x:row>
    <x:row r="37" ht="22" customHeight="1">
      <x:c r="A37" s="2" t="n">
        <x:v>129.9</x:v>
      </x:c>
      <x:c r="B37" s="2" t="n">
        <x:v>3.2</x:v>
      </x:c>
      <x:c r="C37" s="2" t="str">
        <x:v>Vilanterol</x:v>
      </x:c>
      <x:c r="D37" s="10" t="n">
        <x:v>0.8490000000000001</x:v>
      </x:c>
      <x:c r="E37" s="10" t="n">
        <x:v>0.371</x:v>
      </x:c>
      <x:c r="F37" s="11" t="n">
        <x:v>1.5</x:v>
      </x:c>
      <x:c r="G37" s="2"/>
      <x:c r="H37" s="2"/>
      <x:c r="I37" s="2"/>
      <x:c r="J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2" customHeight="1">
      <x:c r="A39" s="4" t="str">
        <x:v>Source: Hamilton et al. 2023, Supplementary Table 3. Three devices per profile, six-dose composites. GSK-funded.</x:v>
      </x:c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2" customHeight="1">
      <x:c r="A40" s="4" t="str">
        <x:v>https://www.ebi.ac.uk/europepmc/webservices/rest/PMC9942181/supplementaryFiles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2" customHeight="1">
      <x:c r="A42" s="4" t="str">
        <x:v>Actual lung-deposition estimates below come from a computational FRI model, not a head-to-head patient efficacy trial.</x:v>
      </x:c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38" customHeight="1">
      <x:c r="A44" s="8" t="str">
        <x:v>Treatment/device</x:v>
      </x:c>
      <x:c r="B44" s="8" t="str">
        <x:v>Flow (L/min)</x:v>
      </x:c>
      <x:c r="C44" s="8" t="str">
        <x:v>ICS lung fraction</x:v>
      </x:c>
      <x:c r="D44" s="8" t="str">
        <x:v>LAMA lung fraction</x:v>
      </x:c>
      <x:c r="E44" s="8" t="str">
        <x:v>LABA lung fraction</x:v>
      </x:c>
      <x:c r="F44" s="2"/>
      <x:c r="G44" s="2"/>
      <x:c r="H44" s="2"/>
      <x:c r="I44" s="2"/>
      <x:c r="J44" s="2"/>
    </x:row>
    <x:row r="45" ht="22" customHeight="1">
      <x:c r="A45" s="12" t="str">
        <x:v>Trelegy Ellipta</x:v>
      </x:c>
      <x:c r="B45" s="2" t="n">
        <x:v>30</x:v>
      </x:c>
      <x:c r="C45" s="10" t="n">
        <x:v>0.24</x:v>
      </x:c>
      <x:c r="D45" s="10" t="n">
        <x:v>0.361</x:v>
      </x:c>
      <x:c r="E45" s="10" t="n">
        <x:v>0.322</x:v>
      </x:c>
      <x:c r="F45" s="2"/>
      <x:c r="G45" s="2"/>
      <x:c r="H45" s="2"/>
      <x:c r="I45" s="2"/>
      <x:c r="J45" s="2"/>
    </x:row>
    <x:row r="46" ht="22" customHeight="1">
      <x:c r="A46" s="12" t="str">
        <x:v>Trelegy Ellipta</x:v>
      </x:c>
      <x:c r="B46" s="2" t="n">
        <x:v>60</x:v>
      </x:c>
      <x:c r="C46" s="10" t="n">
        <x:v>0.198</x:v>
      </x:c>
      <x:c r="D46" s="10" t="n">
        <x:v>0.341</x:v>
      </x:c>
      <x:c r="E46" s="10" t="n">
        <x:v>0.312</x:v>
      </x:c>
      <x:c r="F46" s="2"/>
      <x:c r="G46" s="2"/>
      <x:c r="H46" s="2"/>
      <x:c r="I46" s="2"/>
      <x:c r="J46" s="2"/>
    </x:row>
    <x:row r="47" ht="22" customHeight="1">
      <x:c r="A47" s="12" t="str">
        <x:v>BGF pMDI</x:v>
      </x:c>
      <x:c r="B47" s="2" t="n">
        <x:v>30</x:v>
      </x:c>
      <x:c r="C47" s="10" t="n">
        <x:v>0.548</x:v>
      </x:c>
      <x:c r="D47" s="10" t="n">
        <x:v>0.549</x:v>
      </x:c>
      <x:c r="E47" s="10" t="n">
        <x:v>0.577</x:v>
      </x:c>
      <x:c r="F47" s="2"/>
      <x:c r="G47" s="2"/>
      <x:c r="H47" s="2"/>
      <x:c r="I47" s="2"/>
      <x:c r="J47" s="2"/>
    </x:row>
    <x:row r="48" ht="22" customHeight="1">
      <x:c r="A48" s="12" t="str">
        <x:v>BGF pMDI</x:v>
      </x:c>
      <x:c r="B48" s="2" t="n">
        <x:v>60</x:v>
      </x:c>
      <x:c r="C48" s="10" t="n">
        <x:v>0.572</x:v>
      </x:c>
      <x:c r="D48" s="10" t="n">
        <x:v>0.575</x:v>
      </x:c>
      <x:c r="E48" s="10" t="n">
        <x:v>0.585</x:v>
      </x:c>
      <x:c r="F48" s="2"/>
      <x:c r="G48" s="2"/>
      <x:c r="H48" s="2"/>
      <x:c r="I48" s="2"/>
      <x:c r="J48" s="2"/>
    </x:row>
    <x:row r="49" ht="22" customHeight="1">
      <x:c r="A49" s="12" t="str">
        <x:v>BDP/G/F pMDI</x:v>
      </x:c>
      <x:c r="B49" s="2" t="n">
        <x:v>30</x:v>
      </x:c>
      <x:c r="C49" s="10" t="n">
        <x:v>0.395</x:v>
      </x:c>
      <x:c r="D49" s="10" t="n">
        <x:v>0.386</x:v>
      </x:c>
      <x:c r="E49" s="10" t="n">
        <x:v>0.405</x:v>
      </x:c>
      <x:c r="F49" s="2"/>
      <x:c r="G49" s="2"/>
      <x:c r="H49" s="2"/>
      <x:c r="I49" s="2"/>
      <x:c r="J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2" customHeight="1">
      <x:c r="A51" s="4" t="str">
        <x:v>Denominator: delivered dose. This differs from the nominal blister denominator in the two tables above.</x:v>
      </x:c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2" customHeight="1">
      <x:c r="A52" s="4" t="str">
        <x:v>FRI study: CT-based airways from 20 COPD patients. Different formulations, actives and devices; no Indian generic arms.</x:v>
      </x:c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2" customHeight="1">
      <x:c r="A53" s="4" t="str">
        <x:v>Source: In Silico Lung Deposition Profiles of Three Single-Inhaler Triple Therapies, 2025, Table 2. AstraZeneca-funded.</x:v>
      </x:c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2" customHeight="1">
      <x:c r="A54" s="4" t="str">
        <x:v>https://pmc.ncbi.nlm.nih.gov/articles/PMC12214429/</x:v>
      </x:c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2" customHeight="1">
      <x:c r="A56" s="4" t="str">
        <x:v>The model does not show Trelegy having the highest deposition. It cannot establish clinical inferiority or superiority.</x:v>
      </x:c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2" customHeight="1">
      <x:c r="A58" s="4" t="str">
        <x:v>Direct Indian competitor evidence: Lopez et al., ERS 2025 PA352, Voltido Trio Ciphaler versus Trelegy Ellipta.</x:v>
      </x:c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2" customHeight="1">
      <x:c r="A59" s="4" t="str">
        <x:v>Ciphaler tested at 76 L/min and Ellipta at 60 L/min; three readings per parameter; NGI bench comparison.</x:v>
      </x:c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2" customHeight="1">
      <x:c r="A60" s="4" t="str">
        <x:v>Abstract reports similar delivered dose, fine particle dose, MMAD and GSD under tested conditions.</x:v>
      </x:c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2" customHeight="1">
      <x:c r="A61" s="4" t="str">
        <x:v>Numeric results were presented as an image table not retrieved for transcription; no comparison values are invented.</x:v>
      </x:c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2" customHeight="1">
      <x:c r="A62" s="4" t="str">
        <x:v>https://doi.org/10.1183/13993003.congress-2025.PA352</x:v>
      </x:c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2" customHeight="1">
      <x:c r="A64" s="4" t="str">
        <x:v>FPD: drug mass below 5 micrometres. FPF: that mass as a fraction of a defined dose. MMAD: median aerodynamic diameter.</x:v>
      </x:c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2" customHeight="1">
      <x:c r="A65" s="4" t="str">
        <x:v>Bench aerosol, simulated deposition, handling errors and clinical outcomes are distinct endpoints.</x:v>
      </x:c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6" hidden="0" customWidth="1"/>
    <x:col min="3" max="3" width="58" hidden="0" customWidth="1"/>
    <x:col min="4" max="4" width="60" hidden="0" customWidth="1"/>
    <x:col min="5" max="5" width="3" hidden="0" customWidth="1"/>
  </x:cols>
  <x:sheetData>
    <x:row r="1" ht="22" customHeight="1">
      <x:c r="A1" s="2"/>
      <x:c r="B1" s="2"/>
      <x:c r="C1" s="2"/>
      <x:c r="D1" s="2"/>
      <x:c r="E1" s="2"/>
    </x:row>
    <x:row r="2" ht="28" customHeight="1">
      <x:c r="A2" s="3" t="str">
        <x:v>Device evidence and exhibit labels</x:v>
      </x:c>
      <x:c r="B2" s="2"/>
      <x:c r="C2" s="2"/>
      <x:c r="D2" s="2"/>
      <x:c r="E2" s="2"/>
    </x:row>
    <x:row r="3" ht="22" customHeight="1">
      <x:c r="A3" s="2"/>
      <x:c r="B3" s="2"/>
      <x:c r="C3" s="2"/>
      <x:c r="D3" s="2"/>
      <x:c r="E3" s="2"/>
    </x:row>
    <x:row r="4" ht="38" customHeight="1">
      <x:c r="A4" s="8" t="str">
        <x:v>Question</x:v>
      </x:c>
      <x:c r="B4" s="8" t="str">
        <x:v>Supported finding</x:v>
      </x:c>
      <x:c r="C4" s="8" t="str">
        <x:v>Source</x:v>
      </x:c>
      <x:c r="D4" s="8" t="str">
        <x:v>Use in the slide</x:v>
      </x:c>
      <x:c r="E4" s="2"/>
    </x:row>
    <x:row r="5" ht="102" customHeight="1">
      <x:c r="A5" s="13" t="str">
        <x:v>Ellipta architecture</x:v>
      </x:c>
      <x:c r="B5" s="13" t="str">
        <x:v>Two sealed blister strips: FF separately from the UMEC/VI blend; simultaneous delivery through one mouthpiece.</x:v>
      </x:c>
      <x:c r="C5" s="13" t="str">
        <x:v>Trelegy label, section 11. https://dailymed.nlm.nih.gov/dailymed/drugInfo.cfm?setid=b5a81d5a-4648-4c7a-951d-33c014a63c7e</x:v>
      </x:c>
      <x:c r="D5" s="13" t="str">
        <x:v>Both Ellipta and Ciphaler use blister technology. A blister is not intrinsically an inferior system.</x:v>
      </x:c>
      <x:c r="E5" s="2"/>
    </x:row>
    <x:row r="6" ht="102" customHeight="1">
      <x:c r="A6" s="13" t="str">
        <x:v>Ellipta dose preparation</x:v>
      </x:c>
      <x:c r="B6" s="13" t="str">
        <x:v>Cover-linked indexing and dose preparation; mechanical counter; no separate dose-loading lever.</x:v>
      </x:c>
      <x:c r="C6" s="13" t="str">
        <x:v>Grant et al. 2015, Figures 2-5. https://pmc.ncbi.nlm.nih.gov/articles/PMC4685506/</x:v>
      </x:c>
      <x:c r="D6" s="13" t="str">
        <x:v>A documented usability feature. Do not convert it into an estimated pulmonary-deposition premium.</x:v>
      </x:c>
      <x:c r="E6" s="2"/>
    </x:row>
    <x:row r="7" ht="102" customHeight="1">
      <x:c r="A7" s="13" t="str">
        <x:v>Ciphaler platform</x:v>
      </x:c>
      <x:c r="B7" s="13" t="str">
        <x:v>Individually sealed blister doses; opening by thumb grip and a separate loading lever.</x:v>
      </x:c>
      <x:c r="C7" s="13" t="str">
        <x:v>Cipla Breathefree device guide. https://www.breathefree.com/Treatment/Inhalers-A-Z/How-to-Use/Ciphaler-in-english</x:v>
      </x:c>
      <x:c r="D7" s="13" t="str">
        <x:v>The companion illustration shows the documented platform mechanism, with simplified internal positioning.</x:v>
      </x:c>
      <x:c r="E7" s="2"/>
    </x:row>
    <x:row r="8" ht="102" customHeight="1">
      <x:c r="A8" s="13" t="str">
        <x:v>Cipla same-active comparator</x:v>
      </x:c>
      <x:c r="B8" s="13" t="str">
        <x:v>Voltido Trio 100 Ciphaler contains FF/UMEC/VI. ERS 2025 PA352 reports similar bench aerosol parameters to Trelegy.</x:v>
      </x:c>
      <x:c r="C8" s="13" t="str">
        <x:v>https://www.ciplamed.com/product-index/voltido-trio-100-ciphaler
https://doi.org/10.1183/13993003.congress-2025.PA352</x:v>
      </x:c>
      <x:c r="D8" s="13" t="str">
        <x:v>Use Ciphaler as the named sourced comparator. Do not claim that Ellipta superiority is proven against this product.</x:v>
      </x:c>
      <x:c r="E8" s="2"/>
    </x:row>
    <x:row r="9" ht="102" customHeight="1">
      <x:c r="A9" s="13" t="str">
        <x:v>Lupin product distinction</x:v>
      </x:c>
      <x:c r="B9" s="13" t="str">
        <x:v>Vilfuro-G contains FF/vilanterol/glycopyrronium. It replaces the LAMA component and is not the identical Trelegy combination.</x:v>
      </x:c>
      <x:c r="C9" s="13" t="str">
        <x:v>Lupin release 23 Nov 2023. https://www.lupin.com/media/press-releases/lupin-launches-worlds-first-fixed-dose-triple-combination-drug-vilfuro-g-for-copd-management-in-india</x:v>
      </x:c>
      <x:c r="D9" s="13" t="str">
        <x:v>Do not attribute differences between these medicines solely to the inhaler. Lupin also has other respiratory products.</x:v>
      </x:c>
      <x:c r="E9" s="2"/>
    </x:row>
    <x:row r="10" ht="102" customHeight="1">
      <x:c r="A10" s="13" t="str">
        <x:v>Glenmark product distinction</x:v>
      </x:c>
      <x:c r="B10" s="13" t="str">
        <x:v>Vilor-FG contains vilanterol/fluticasone/glycopyrronium and is marketed in DPI and pMDI formats.</x:v>
      </x:c>
      <x:c r="C10" s="13" t="str">
        <x:v>Glenmark FY25 annual report. https://glenmarkpharma.com/gpl_pdfs/investors/reports_presentations/Integrated_Annual_Report_FY_2024-25.pdf</x:v>
      </x:c>
      <x:c r="D10" s="13" t="str">
        <x:v>Name the precise SKU and active combination. Do not treat every Glenmark product as one generic Multihaler.</x:v>
      </x:c>
      <x:c r="E10" s="2"/>
    </x:row>
    <x:row r="11" ht="102" customHeight="1">
      <x:c r="A11" s="13" t="str">
        <x:v>Indian molecule LOE</x:v>
      </x:c>
      <x:c r="B11" s="13" t="str">
        <x:v>GSK identifies umeclidinium as the ingredient that lost patent protection; presentation dates LOE to Apr 2025.</x:v>
      </x:c>
      <x:c r="C11" s="13" t="str">
        <x:v>GSK analyst call 13 May 2026, printed page 8. https://india-pharma.gsk.com/media/xlqcxt14/gsk-q4fy26-analyst-meet-transcript.pdf</x:v>
      </x:c>
      <x:c r="D11" s="13" t="str">
        <x:v>Use umeclidinium LOE rather than all Trelegy molecule patents expired.</x:v>
      </x:c>
      <x:c r="E11" s="2"/>
    </x:row>
    <x:row r="12" ht="102" customHeight="1">
      <x:c r="A12" s="13" t="str">
        <x:v>Indian device patent</x:v>
      </x:c>
      <x:c r="B12" s="13" t="str">
        <x:v>A live Indian grant, claim coverage and expiry date were not verified. Device design complexity and patent protection are different claims.</x:v>
      </x:c>
      <x:c r="C12" s="13" t="str">
        <x:v>No verified India-specific patent grant/expiry established by the sources above.</x:v>
      </x:c>
      <x:c r="D12" s="13" t="str">
        <x:v>Do not state an Indian device-patent end date or that a surviving patent proves efficacy.</x:v>
      </x:c>
      <x:c r="E12" s="2"/>
    </x:row>
    <x:row r="13" ht="102" customHeight="1">
      <x:c r="A13" s="13" t="str">
        <x:v>Existing chart share label</x:v>
      </x:c>
      <x:c r="B13" s="13" t="str">
        <x:v>GSK says FUV (FF/UMEC/VI) share of SITT rose from 5% pre-LOE to 12%. It separately says Trelegy maintained market share post-LOE.</x:v>
      </x:c>
      <x:c r="C13" s="13" t="str">
        <x:v>GSK May 2026 presentation, slide 6. https://india-pharma.gsk.com/media/inhdnswz/analyst-meet-may-2026.pdf</x:v>
      </x:c>
      <x:c r="D13" s="13" t="str">
        <x:v>Replace Trelegy share 5%-12% with FF/UMEC/VI combination share unless independent brand-level IQVIA data support the original label.</x:v>
      </x:c>
      <x:c r="E13" s="2"/>
    </x:row>
    <x:row r="14" ht="22" customHeight="1">
      <x:c r="A14" s="2"/>
      <x:c r="B14" s="2"/>
      <x:c r="C14" s="2"/>
      <x:c r="D14" s="2"/>
      <x:c r="E14" s="2"/>
    </x:row>
    <x:row r="15" ht="22" customHeight="1">
      <x:c r="A15" s="2"/>
      <x:c r="B15" s="2"/>
      <x:c r="C15" s="2"/>
      <x:c r="D15" s="2"/>
      <x:c r="E15" s="2"/>
    </x:row>
    <x:row r="16" ht="38" customHeight="1">
      <x:c r="A16" s="8" t="str">
        <x:v>Market context</x:v>
      </x:c>
      <x:c r="B16" s="8" t="str">
        <x:v>Value</x:v>
      </x:c>
      <x:c r="C16" s="8" t="str">
        <x:v>Unit / timing</x:v>
      </x:c>
      <x:c r="D16" s="2"/>
      <x:c r="E16" s="2"/>
    </x:row>
    <x:row r="17" ht="22" customHeight="1">
      <x:c r="A17" s="2" t="str">
        <x:v>SITT market</x:v>
      </x:c>
      <x:c r="B17" s="14" t="n">
        <x:v>5130</x:v>
      </x:c>
      <x:c r="C17" s="2" t="str">
        <x:v>INR mn, Q1 CY2026</x:v>
      </x:c>
      <x:c r="D17" s="2"/>
      <x:c r="E17" s="2"/>
    </x:row>
    <x:row r="18" ht="22" customHeight="1">
      <x:c r="A18" s="2" t="str">
        <x:v>SITT YoY growth</x:v>
      </x:c>
      <x:c r="B18" s="10" t="n">
        <x:v>0.591</x:v>
      </x:c>
      <x:c r="C18" s="2" t="str">
        <x:v>Q1 CY2026</x:v>
      </x:c>
      <x:c r="D18" s="2"/>
      <x:c r="E18" s="2"/>
    </x:row>
    <x:row r="19" ht="22" customHeight="1">
      <x:c r="A19" s="2" t="str">
        <x:v>Prior-year SITT market (derived)</x:v>
      </x:c>
      <x:c r="B19" s="15" t="n">
        <x:f>B17/(1+B18)</x:f>
        <x:v>3224.38717787555</x:v>
      </x:c>
      <x:c r="C19" s="2" t="str">
        <x:v>INR mn, inferred from reported growth</x:v>
      </x:c>
      <x:c r="D19" s="2"/>
      <x:c r="E19" s="2"/>
    </x:row>
    <x:row r="20" ht="22" customHeight="1">
      <x:c r="A20" s="2" t="str">
        <x:v>FUV share pre-LOE</x:v>
      </x:c>
      <x:c r="B20" s="16" t="n">
        <x:v>0.05</x:v>
      </x:c>
      <x:c r="C20" s="2" t="str">
        <x:v>Share of SITT, pre-Apr 2025</x:v>
      </x:c>
      <x:c r="D20" s="2"/>
      <x:c r="E20" s="2"/>
    </x:row>
    <x:row r="21" ht="22" customHeight="1">
      <x:c r="A21" s="2" t="str">
        <x:v>FUV share after LOE</x:v>
      </x:c>
      <x:c r="B21" s="16" t="n">
        <x:v>0.12</x:v>
      </x:c>
      <x:c r="C21" s="2" t="str">
        <x:v>Share of SITT, Q1 CY2026</x:v>
      </x:c>
      <x:c r="D21" s="2"/>
      <x:c r="E21" s="2"/>
    </x:row>
    <x:row r="22" ht="22" customHeight="1">
      <x:c r="A22" s="2" t="str">
        <x:v>Change in FUV share</x:v>
      </x:c>
      <x:c r="B22" s="11" t="n">
        <x:f>(B21-B20)*100</x:f>
        <x:v>6.999999999999999</x:v>
      </x:c>
      <x:c r="C22" s="2" t="str">
        <x:v>Percentage points</x:v>
      </x:c>
      <x:c r="D22" s="2"/>
      <x:c r="E22" s="2"/>
    </x:row>
    <x:row r="23" ht="22" customHeight="1">
      <x:c r="A23" s="2"/>
      <x:c r="B23" s="2"/>
      <x:c r="C23" s="2"/>
      <x:c r="D23" s="2"/>
      <x:c r="E23" s="2"/>
    </x:row>
    <x:row r="24" ht="22" customHeight="1">
      <x:c r="A24" s="4" t="str">
        <x:v>These market inputs are from GSK May 2026 slide 6. FUV includes the named combination, not only the Trelegy brand.</x:v>
      </x:c>
      <x:c r="B24" s="2"/>
      <x:c r="C24" s="2"/>
      <x:c r="D24" s="2"/>
      <x:c r="E24" s="2"/>
    </x:row>
    <x:row r="25" ht="22" customHeight="1">
      <x:c r="A25" s="2"/>
      <x:c r="B25" s="2"/>
      <x:c r="C25" s="2"/>
      <x:c r="D25" s="2"/>
      <x:c r="E25" s="2"/>
    </x:row>
    <x:row r="26" ht="22" customHeight="1">
      <x:c r="A26" s="2"/>
      <x:c r="B26" s="2"/>
      <x:c r="C26" s="2"/>
      <x:c r="D26" s="2"/>
      <x:c r="E26" s="2"/>
    </x:row>
    <x:row r="27" ht="38" customHeight="1">
      <x:c r="A27" s="8" t="str">
        <x:v>Slide copy</x:v>
      </x:c>
      <x:c r="B27" s="8" t="str">
        <x:v>Suggested wording</x:v>
      </x:c>
      <x:c r="C27" s="2"/>
      <x:c r="D27" s="2"/>
      <x:c r="E27" s="2"/>
    </x:row>
    <x:row r="28" ht="72" customHeight="1">
      <x:c r="A28" s="13" t="str">
        <x:v>Slide title</x:v>
      </x:c>
      <x:c r="B28" s="13" t="str">
        <x:v>Trelegy sustains share after umeclidinium LOE, while Ellipta device differentiation supports its position in an expanding SITT market</x:v>
      </x:c>
      <x:c r="C28" s="2"/>
      <x:c r="D28" s="2"/>
      <x:c r="E28" s="2"/>
    </x:row>
    <x:row r="29" ht="72" customHeight="1">
      <x:c r="A29" s="13" t="str">
        <x:v>New exhibit title</x:v>
      </x:c>
      <x:c r="B29" s="13" t="str">
        <x:v>Ellipta recorded fewer critical handling errors than five comparator devices in paired COPD testing</x:v>
      </x:c>
      <x:c r="C29" s="2"/>
      <x:c r="D29" s="2"/>
      <x:c r="E29" s="2"/>
    </x:row>
    <x:row r="30" ht="72" customHeight="1">
      <x:c r="A30" s="13" t="str">
        <x:v>Main bullet 1</x:v>
      </x:c>
      <x:c r="B30" s="13" t="str">
        <x:v>Cover-linked dose preparation reduces handling steps; a controlled placebo-device study recorded fewer critical errors with Ellipta.</x:v>
      </x:c>
      <x:c r="C30" s="2"/>
      <x:c r="D30" s="2"/>
      <x:c r="E30" s="2"/>
    </x:row>
    <x:row r="31" ht="72" customHeight="1">
      <x:c r="A31" s="13" t="str">
        <x:v>Main bullet 2</x:v>
      </x:c>
      <x:c r="B31" s="13" t="str">
        <x:v>Published Trelegy aerosol data show dose delivery across tested flows; superiority to current Indian triple generics is not established.</x:v>
      </x:c>
      <x:c r="C31" s="2"/>
      <x:c r="D31" s="2"/>
      <x:c r="E31" s="2"/>
    </x:row>
    <x:row r="32" ht="22" customHeight="1">
      <x:c r="A32" s="2"/>
      <x:c r="B32" s="2"/>
      <x:c r="C32" s="2"/>
      <x:c r="D32" s="2"/>
      <x:c r="E32" s="2"/>
    </x:row>
    <x:row r="33" ht="22" customHeight="1">
      <x:c r="A33" s="2"/>
      <x:c r="B33" s="2"/>
      <x:c r="C33" s="2"/>
      <x:c r="D33" s="2"/>
      <x:c r="E33" s="2"/>
    </x:row>
    <x:row r="34" ht="22" customHeight="1">
      <x:c r="A34" s="2"/>
      <x:c r="B34" s="2"/>
      <x:c r="C34" s="2"/>
      <x:c r="D34" s="2"/>
      <x:c r="E34" s="2"/>
    </x:row>
    <x:row r="35" ht="22" customHeight="1">
      <x:c r="A35" s="2"/>
      <x:c r="B35" s="2"/>
      <x:c r="C35" s="2"/>
      <x:c r="D35" s="2"/>
      <x:c r="E35" s="2"/>
    </x:row>
    <x:row r="36" ht="22" customHeight="1">
      <x:c r="A36" s="2"/>
      <x:c r="B36" s="2"/>
      <x:c r="C36" s="2"/>
      <x:c r="D36" s="2"/>
      <x:c r="E36" s="2"/>
    </x:row>
    <x:row r="37" ht="22" customHeight="1">
      <x:c r="A37" s="2"/>
      <x:c r="B37" s="2"/>
      <x:c r="C37" s="2"/>
      <x:c r="D37" s="2"/>
      <x:c r="E37" s="2"/>
    </x:row>
    <x:row r="38" ht="22" customHeight="1">
      <x:c r="A38" s="2"/>
      <x:c r="B38" s="2"/>
      <x:c r="C38" s="2"/>
      <x:c r="D38" s="2"/>
      <x:c r="E38" s="2"/>
    </x:row>
    <x:row r="39" ht="22" customHeight="1">
      <x:c r="A39" s="2"/>
      <x:c r="B39" s="2"/>
      <x:c r="C39" s="2"/>
      <x:c r="D39" s="2"/>
      <x:c r="E39" s="2"/>
    </x:row>
  </x:sheetData>
  <x:pageMargins left="0.7" right="0.7" top="0.75" bottom="0.75" header="0.3" footer="0.3"/>
</x:worksheet>
</file>