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2d9853b434e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ly Tracker" sheetId="1" r:id="Rfd67034e090348f3"/>
    <x:sheet xmlns:r="http://schemas.openxmlformats.org/officeDocument/2006/relationships" name="Capex &amp; Returns" sheetId="2" r:id="R28847e85089949fe"/>
  </x:sheets>
</x:workbook>
</file>

<file path=xl/comments1.xml><?xml version="1.0" encoding="utf-8"?>
<x:comments xmlns:x="http://schemas.openxmlformats.org/spreadsheetml/2006/main">
  <x:authors>
    <x:author>tc={FC18832C-C105-98D1-1F29-78FD098BFD11}</x:author>
    <x:author>tc={96F897A2-EEF1-DAFA-DDFC-DAB99DB01A41}</x:author>
    <x:author>tc={55B722D8-E947-9B6F-1809-314B87A7C52C}</x:author>
    <x:author>tc={6358CA27-9B19-6E6A-4C73-9163F474468C}</x:author>
    <x:author>tc={D7BE1353-F847-5FA1-5166-9A574C78DF7C}</x:author>
    <x:author>tc={724A0812-FA8B-1BAB-006F-6B706981FAA4}</x:author>
    <x:author>tc={96AF02F3-1CDF-DC13-792A-78B8816658FA}</x:author>
    <x:author>tc={24ED02B7-A4C9-C44D-6DC9-B3EBCCB97837}</x:author>
    <x:author>tc={8214E1B9-5A52-A227-41A2-84E02283EE8C}</x:author>
    <x:author>tc={5D818B4E-A5A7-3220-7325-5DD34734A141}</x:author>
    <x:author>tc={C9A690D7-3996-A1FE-2D1A-5ADBC13EA543}</x:author>
    <x:author>tc={F6A3883F-ADC7-33D2-A9E2-00F835F7ED2A}</x:author>
    <x:author>tc={FA651EA2-9B23-A4F0-7646-7F63415C9638}</x:author>
    <x:author>tc={80A9D5A4-28F7-AED9-80CD-AB0926E4F7FA}</x:author>
    <x:author>tc={F079D26C-709E-64BF-7A4E-314ED94F2A5A}</x:author>
    <x:author>tc={8B5256C6-E4B3-B744-DD79-0F16BE4423B1}</x:author>
    <x:author>tc={B7B54D64-7A6D-6039-3B3F-420DF225DDD9}</x:author>
    <x:author>tc={33F2EAF7-96C9-E76C-845E-62FD46D9F740}</x:author>
    <x:author>tc={441F6730-185E-69E9-88DE-63179E036898}</x:author>
    <x:author>tc={A7D15944-D8AB-5536-0B64-BDCD5D293E5E}</x:author>
    <x:author>tc={A7181F8F-9ACB-8B84-7345-AF90B186C161}</x:author>
    <x:author>tc={719DBC2D-5A88-E2F4-D897-7D59F48E278B}</x:author>
    <x:author>tc={55086354-C8F0-39C3-D9CA-49EFE8243AA9}</x:author>
    <x:author>tc={E746FFF5-28BC-99C6-C78C-A7A032A75783}</x:author>
    <x:author>tc={90194DCB-19DE-D394-DD02-A612B4F09B00}</x:author>
    <x:author>tc={52393783-EAB7-1465-8357-67470E17CEF3}</x:author>
    <x:author>tc={D7872C33-A1C7-BB96-1557-D72606939478}</x:author>
    <x:author>tc={D05E60BC-30D0-9A64-AD93-C2AE7E18508A}</x:author>
    <x:author>tc={42A0FB65-15FB-3055-C5E6-7DF8473CD526}</x:author>
    <x:author>tc={A3FD3D82-D8E0-1BC5-3512-C3C64308D16E}</x:author>
    <x:author>tc={815D2B08-0573-C22C-7201-BA3C9C3812C2}</x:author>
    <x:author>tc={C4D59916-A141-B8DF-5802-CF9FB192EE27}</x:author>
    <x:author>tc={73E76B6B-5CAA-CE7A-4A27-F876F3B3ADD5}</x:author>
    <x:author>tc={7B30806F-3DD1-AABF-99C9-47F6284430B1}</x:author>
    <x:author>tc={1F40FD07-DE92-3369-0695-B2D521F946CC}</x:author>
    <x:author>tc={004A7234-4A54-C2AA-F8D7-79EBD68155C0}</x:author>
    <x:author>tc={3F453A00-4BF1-CFBA-0CC4-CD6E549ED384}</x:author>
    <x:author>tc={F0145A8E-EFF2-DC43-97B0-060DB6CAE624}</x:author>
    <x:author>tc={FBF9DB5E-76A7-DA32-8685-89E1C96AA131}</x:author>
    <x:author>tc={57A57ACC-A54E-0855-1412-4672185EACB4}</x:author>
    <x:author>tc={59BE4A14-0D7B-F4AB-7AC4-6218A74FD8AF}</x:author>
    <x:author>tc={01EB8429-9285-4817-86E4-7CA03A143B4F}</x:author>
    <x:author>tc={8A33BA0C-5C20-1FD1-7A84-A7C254531A5D}</x:author>
    <x:author>tc={E306685F-C54F-A848-0553-4D2CCC1862F2}</x:author>
    <x:author>tc={39FF1DA7-CFF1-50CF-ADCB-303AE4CF5D62}</x:author>
    <x:author>tc={07C367A7-10CA-EC02-50F4-35C651603016}</x:author>
    <x:author>tc={06CC0618-0491-388F-FCE4-F3E7196EAE77}</x:author>
    <x:author>tc={A56F752D-CDF4-FAC7-0DD8-B2F10727CB8A}</x:author>
    <x:author>tc={F9BA4AAF-53C4-6E99-331C-1629008E64E7}</x:author>
    <x:author>tc={2EB8F5AC-1485-1168-5A57-F0037A644940}</x:author>
    <x:author>tc={68615464-DCD8-8979-5081-08C69263E98E}</x:author>
    <x:author>tc={BE9709C5-04BB-AB83-F2DA-F864A7ED7609}</x:author>
    <x:author>tc={DE7311CE-8D0A-34EB-5D3B-A71093A6E7F0}</x:author>
    <x:author>tc={6E61E11C-0892-0D75-1955-6767BD2C9776}</x:author>
    <x:author>tc={ECEA9F1D-EF70-F7D6-8CF3-E16FFFB733AC}</x:author>
    <x:author>tc={E1CF61F4-22D0-6069-6B49-0263DD09A38D}</x:author>
    <x:author>tc={64F1A720-BCDE-B6C3-2529-B4E9185D257C}</x:author>
    <x:author>tc={C7674C2A-2FD0-5840-3FE8-85AF4C4A621F}</x:author>
    <x:author>tc={4E66AA9B-3E42-1FC2-CBF2-CB3D418B0467}</x:author>
    <x:author>tc={537C2EF9-6F84-2257-A9A4-6C87C69A76D0}</x:author>
    <x:author>tc={9EB1275D-8DDE-B397-56D4-94815D0DD584}</x:author>
    <x:author>tc={6ED2974D-C1FB-035E-1A63-72EF439C9A16}</x:author>
    <x:author>tc={7CE54202-EDC3-811A-9449-D3E991A866DC}</x:author>
    <x:author>tc={E72F1565-2B2D-6702-98DE-4A3B048D5C11}</x:author>
    <x:author>tc={58335FBB-E1B4-483A-B94B-DF36288FF8C4}</x:author>
    <x:author>tc={B5CCE901-01FC-A0C0-D050-D3B763419E06}</x:author>
    <x:author>tc={6D05F38F-ED05-4270-A6F3-F38BC4CC5817}</x:author>
    <x:author>tc={117F987A-C62D-975D-E222-C0FBFB94AA12}</x:author>
    <x:author>tc={7CD82F33-E0EF-AC0C-4873-528CDF75CDDD}</x:author>
    <x:author>tc={7A2C7EDA-23D6-0CD8-7D44-C0BEE6C75D61}</x:author>
    <x:author>tc={28D8B6FE-B569-58C1-2AB0-F8E08D6ECF84}</x:author>
    <x:author>tc={9D7F923C-3E1B-81B8-907E-5CFDD1D0035D}</x:author>
    <x:author>tc={57C5E19E-2979-AB19-0C8A-F8B286AA3FC6}</x:author>
    <x:author>tc={F31CB339-303A-283C-1C38-F1AC7F67DC88}</x:author>
    <x:author>tc={4071BE87-6B36-0656-F3D4-3AD4E818E476}</x:author>
    <x:author>tc={DC6C352D-5F3B-3014-6508-2A019D6DACF3}</x:author>
    <x:author>tc={AC685921-FE3E-ECA7-44EF-A173CB23037D}</x:author>
    <x:author>tc={5B73B91E-FEEE-5A35-CD74-96EF745F8CA8}</x:author>
    <x:author>tc={E6D552E1-C4B6-A7F9-0EED-725EA01E17EF}</x:author>
    <x:author>tc={814C397F-7000-FC4B-609F-130CAED23ABD}</x:author>
    <x:author>tc={F453C3F5-7274-1473-E961-FC76770B1E2A}</x:author>
    <x:author>tc={2D1023B4-63E5-E050-805B-2CF83C1563CC}</x:author>
    <x:author>tc={1EA432C1-27B8-66AD-79FF-ECD773EE00F8}</x:author>
    <x:author>tc={DE1D4985-3433-C290-81F2-AB9DB3203CF7}</x:author>
    <x:author>tc={30C1E238-B907-B230-44D0-4D9F0EC12492}</x:author>
    <x:author>tc={254F9974-7CC2-FCEF-D97F-78F64C521BEF}</x:author>
    <x:author>tc={CBE6B2A9-1761-5CA2-4DEB-DC7C54EF8635}</x:author>
    <x:author>tc={3F48FF0C-E0D5-A0DA-20B9-024A3B070400}</x:author>
    <x:author>tc={F0876D19-B948-794B-CAB6-DFCB7BB08AFF}</x:author>
    <x:author>tc={8F800B94-2FB8-C4A2-F48B-1EAC9391F070}</x:author>
    <x:author>tc={BC8FD271-1B9C-DE88-9D49-355FBFB5B940}</x:author>
    <x:author>tc={7B409ABA-8657-7C9E-90FE-AD78517DBF1A}</x:author>
    <x:author>tc={0E6287DA-2689-D646-05FF-D47085A28F9F}</x:author>
    <x:author>tc={CEF27896-1FC3-E717-3C08-7CF5C0D9D739}</x:author>
    <x:author>tc={416B1F90-0050-68DB-4CB2-F1A35017C723}</x:author>
    <x:author>tc={567DF0F8-E6CF-59B7-64F0-21BFE7038111}</x:author>
    <x:author>tc={ACA6DA05-7FF4-5BFF-4EB7-899F2DB1449C}</x:author>
    <x:author>tc={9050B5BA-DEAF-5971-6D37-FA7DD84EBD15}</x:author>
    <x:author>tc={EE8458A9-B12F-8FFD-30A2-9CDAB87E52C5}</x:author>
    <x:author>tc={D2394E1F-DBD1-F75D-88D0-E56DDE713965}</x:author>
    <x:author>tc={5D5FAE48-70BD-92FF-453A-2D3A1AE94765}</x:author>
    <x:author>tc={446432F5-0283-E46C-B7F1-ECD6FA124851}</x:author>
    <x:author>tc={B9532A05-7290-F3E9-7C58-10BBB6939141}</x:author>
    <x:author>tc={4916270D-2650-F823-527A-32F774E8D418}</x:author>
    <x:author>tc={AB2DB449-2222-137F-463F-2AC015A91102}</x:author>
    <x:author>tc={890ABDD5-3F40-2190-6944-6034EC23D5BD}</x:author>
    <x:author>tc={4A1DA3CD-0E8F-B7DF-7CC1-DFECCF886FCE}</x:author>
    <x:author>tc={3F697F4D-8CD8-D0E5-4C78-38B89B27218D}</x:author>
    <x:author>tc={F162C0A3-185A-D230-ADCC-CC23AF276DBD}</x:author>
    <x:author>tc={DDB2D225-FBF9-1722-088F-076036B163D2}</x:author>
    <x:author>tc={D975BF52-772C-A528-0BAA-3F0D9A05DF6A}</x:author>
    <x:author>tc={50642EA2-4361-3347-1BEE-E01E6AD81696}</x:author>
    <x:author>tc={65C58204-0868-9FB0-76E3-BAF937B52D57}</x:author>
    <x:author>tc={485C0CF4-CCA0-89B0-B3BA-F0B8B2FC477B}</x:author>
    <x:author>tc={81673C5A-A807-F9EE-F607-5A7238210159}</x:author>
    <x:author>tc={0F7CF6DB-DB4D-5D36-2C25-F1D464B5FD54}</x:author>
    <x:author>tc={40EAD38A-8560-496F-D542-2CB55012679C}</x:author>
    <x:author>tc={ABC3FECD-FAD2-6313-8606-8DDA990B45C1}</x:author>
    <x:author>tc={8366735E-12FD-C4FC-A356-1CE15D74A1E4}</x:author>
    <x:author>tc={DC06D947-A5E6-EBD6-3315-69B21573BEED}</x:author>
    <x:author>tc={B9E9D0A3-0F92-506A-9B7B-FD25543413DB}</x:author>
    <x:author>tc={DA4AB3B9-2A03-0A7A-3340-38A989F9A64F}</x:author>
    <x:author>tc={C0013708-F0DD-1476-B7A3-09B137554EB8}</x:author>
    <x:author>tc={6F31C211-C747-7CD3-AB92-95941D7071B0}</x:author>
    <x:author>tc={60E62BBF-7357-84FA-65E4-C4D6FCA1DF7D}</x:author>
    <x:author>tc={C721DFED-3DB8-4A1E-1A12-BB436921B793}</x:author>
    <x:author>tc={526C5632-3B16-7065-F4B3-F520450F8714}</x:author>
    <x:author>tc={37C53CCA-AE29-74C6-6C81-5812209F77C7}</x:author>
    <x:author>tc={46D4E55D-59A3-9AFD-BA0E-B21978AB1FC9}</x:author>
  </x:authors>
  <x:commentList>
    <x:comment ref="K2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FY27 Investor Presentation, July 21, 2026, consolidated P&amp;L table; Reported; INR million.</x:t>
        </x:r>
      </x:text>
    </x:comment>
    <x:comment ref="D2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comparative table (Q2 FY25), p.4. Classification: Reported. Units: INR million. https://anthembio.com/investors/</x:t>
        </x:r>
      </x:text>
    </x:comment>
    <x:comment ref="D2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comparative table (Q2 FY25), p.4. Classification: Reported. Units: INR million. https://anthembio.com/investors/</x:t>
        </x:r>
      </x:text>
    </x:comment>
    <x:comment ref="D2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comparative table (Q2 FY25), p.4. Classification: Reported. Units: INR million. https://anthembio.com/investors/</x:t>
        </x:r>
      </x:text>
    </x:comment>
    <x:comment ref="D3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comparative table (Q2 FY25), p.4. Classification: Reported. Units: INR million. https://anthembio.com/investors/</x:t>
        </x:r>
      </x:text>
    </x:comment>
    <x:comment ref="D32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comparative table (Q2 FY25), p.4. Classification: Reported. Units: INR million. https://anthembio.com/investors/</x:t>
        </x:r>
      </x:text>
    </x:comment>
    <x:comment ref="D3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comparative table (Q2 FY25), p.4. Classification: Reported. Units: INR million. https://anthembio.com/investors/</x:t>
        </x:r>
      </x:text>
    </x:comment>
    <x:comment ref="D34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comparative table (Q2 FY25), p.4. Classification: Reported. Units: INR million. https://anthembio.com/investors/</x:t>
        </x:r>
      </x:text>
    </x:comment>
    <x:comment ref="D37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comparative table (Q2 FY25), p.4. Classification: Reported. Units: INR million. https://anthembio.com/investors/</x:t>
        </x:r>
      </x:text>
    </x:comment>
    <x:comment ref="D40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comparative table (Q2 FY25), p.4. Classification: Reported. Units: INR million. https://anthembio.com/investors/</x:t>
        </x:r>
      </x:text>
    </x:comment>
    <x:comment ref="D4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comparative table (Q2 FY25), p.4. Classification: Reported. Units: INR million. https://anthembio.com/investors/</x:t>
        </x:r>
      </x:text>
    </x:comment>
    <x:comment ref="D42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comparative table (Q2 FY25), p.4. Classification: Reported. Units: INR million. https://anthembio.com/investors/</x:t>
        </x:r>
      </x:text>
    </x:comment>
    <x:comment ref="D4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comparative table (Q2 FY25), p.4. Classification: Reported. Units: INR million. https://anthembio.com/investors/</x:t>
        </x:r>
      </x:text>
    </x:comment>
    <x:comment ref="D46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comparative table (Q2 FY25), p.4. Classification: Reported. Units: INR million. https://anthembio.com/investors/</x:t>
        </x:r>
      </x:text>
    </x:comment>
    <x:comment ref="D47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comparative table (Q2 FY25), p.4. Classification: Reported. Units: INR million. https://anthembio.com/investors/</x:t>
        </x:r>
      </x:text>
    </x:comment>
    <x:comment ref="D55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/ segment revenue comparative table (Q2 FY25), p.4. Classification: Reported. Units: INR million. https://anthembio.com/investors/</x:t>
        </x:r>
      </x:text>
    </x:comment>
    <x:comment ref="D59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/ segment revenue comparative table (Q2 FY25), p.4. Classification: Reported. Units: INR million. https://anthembio.com/investors/</x:t>
        </x:r>
      </x:text>
    </x:comment>
    <x:comment ref="E24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comparative table (Q3 FY25), p.4. Classification: Reported. Units: INR million. https://anthembio.com/investors/</x:t>
        </x:r>
      </x:text>
    </x:comment>
    <x:comment ref="E27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comparative table (Q3 FY25), p.4. Classification: Reported. Units: INR million. https://anthembio.com/investors/</x:t>
        </x:r>
      </x:text>
    </x:comment>
    <x:comment ref="E28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comparative table (Q3 FY25), p.4. Classification: Reported. Units: INR million. https://anthembio.com/investors/</x:t>
        </x:r>
      </x:text>
    </x:comment>
    <x:comment ref="E31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comparative table (Q3 FY25), p.4. Classification: Reported. Units: INR million. https://anthembio.com/investors/</x:t>
        </x:r>
      </x:text>
    </x:comment>
    <x:comment ref="E32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comparative table (Q3 FY25), p.4. Classification: Reported. Units: INR million. https://anthembio.com/investors/</x:t>
        </x:r>
      </x:text>
    </x:comment>
    <x:comment ref="E33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comparative table (Q3 FY25), p.4. Classification: Reported. Units: INR million. https://anthembio.com/investors/</x:t>
        </x:r>
      </x:text>
    </x:comment>
    <x:comment ref="E34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comparative table (Q3 FY25), p.4. Classification: Reported. Units: INR million. https://anthembio.com/investors/</x:t>
        </x:r>
      </x:text>
    </x:comment>
    <x:comment ref="E37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comparative table (Q3 FY25), p.4. Classification: Reported. Units: INR million. https://anthembio.com/investors/</x:t>
        </x:r>
      </x:text>
    </x:comment>
    <x:comment ref="E4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comparative table (Q3 FY25), p.4. Classification: Reported. Units: INR million. https://anthembio.com/investors/</x:t>
        </x:r>
      </x:text>
    </x:comment>
    <x:comment ref="E4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comparative table (Q3 FY25), p.4. Classification: Reported. Units: INR million. https://anthembio.com/investors/</x:t>
        </x:r>
      </x:text>
    </x:comment>
    <x:comment ref="E42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comparative table (Q3 FY25), p.4. Classification: Reported. Units: INR million. https://anthembio.com/investors/</x:t>
        </x:r>
      </x:text>
    </x:comment>
    <x:comment ref="E4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comparative table (Q3 FY25), p.4. Classification: Reported. Units: INR million. https://anthembio.com/investors/</x:t>
        </x:r>
      </x:text>
    </x:comment>
    <x:comment ref="E46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comparative table (Q3 FY25), p.4. Classification: Reported. Units: INR million. https://anthembio.com/investors/</x:t>
        </x:r>
      </x:text>
    </x:comment>
    <x:comment ref="E47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comparative table (Q3 FY25), p.4. Classification: Reported. Units: INR million. https://anthembio.com/investors/</x:t>
        </x:r>
      </x:text>
    </x:comment>
    <x:comment ref="E55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/ segment revenue comparative table (Q3 FY25), p.4. Classification: Reported. Units: INR million. https://anthembio.com/investors/</x:t>
        </x:r>
      </x:text>
    </x:comment>
    <x:comment ref="E59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/ segment revenue comparative table (Q3 FY25), p.4. Classification: Reported. Units: INR million. https://anthembio.com/investors/</x:t>
        </x:r>
      </x:text>
    </x:comment>
    <x:comment ref="F24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comparative table (Q4 FY25), p.5. Classification: Reported. Units: INR million. https://anthembio.com/investors/</x:t>
        </x:r>
      </x:text>
    </x:comment>
    <x:comment ref="F27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comparative table (Q4 FY25), p.5. Classification: Reported. Units: INR million. https://anthembio.com/investors/</x:t>
        </x:r>
      </x:text>
    </x:comment>
    <x:comment ref="F28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comparative table (Q4 FY25), p.5. Classification: Reported. Units: INR million. https://anthembio.com/investors/</x:t>
        </x:r>
      </x:text>
    </x:comment>
    <x:comment ref="F31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comparative table (Q4 FY25), p.5. Classification: Reported. Units: INR million. https://anthembio.com/investors/</x:t>
        </x:r>
      </x:text>
    </x:comment>
    <x:comment ref="F32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comparative table (Q4 FY25), p.5. Classification: Reported. Units: INR million. https://anthembio.com/investors/</x:t>
        </x:r>
      </x:text>
    </x:comment>
    <x:comment ref="F3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comparative table (Q4 FY25), p.5. Classification: Reported. Units: INR million. https://anthembio.com/investors/</x:t>
        </x:r>
      </x:text>
    </x:comment>
    <x:comment ref="F34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comparative table (Q4 FY25), p.5. Classification: Reported. Units: INR million. https://anthembio.com/investors/</x:t>
        </x:r>
      </x:text>
    </x:comment>
    <x:comment ref="F37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comparative table (Q4 FY25), p.5. Classification: Reported. Units: INR million. https://anthembio.com/investors/</x:t>
        </x:r>
      </x:text>
    </x:comment>
    <x:comment ref="F40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comparative table (Q4 FY25), p.5. Classification: Reported. Units: INR million. https://anthembio.com/investors/</x:t>
        </x:r>
      </x:text>
    </x:comment>
    <x:comment ref="F41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comparative table (Q4 FY25), p.5. Classification: Reported. Units: INR million. https://anthembio.com/investors/</x:t>
        </x:r>
      </x:text>
    </x:comment>
    <x:comment ref="F42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comparative table (Q4 FY25), p.5. Classification: Reported. Units: INR million. https://anthembio.com/investors/</x:t>
        </x:r>
      </x:text>
    </x:comment>
    <x:comment ref="F43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comparative table (Q4 FY25), p.5. Classification: Reported. Units: INR million. https://anthembio.com/investors/</x:t>
        </x:r>
      </x:text>
    </x:comment>
    <x:comment ref="F46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comparative table (Q4 FY25), p.5. Classification: Reported. Units: INR million. https://anthembio.com/investors/</x:t>
        </x:r>
      </x:text>
    </x:comment>
    <x:comment ref="F47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comparative table (Q4 FY25), p.5. Classification: Reported. Units: INR million. https://anthembio.com/investors/</x:t>
        </x:r>
      </x:text>
    </x:comment>
    <x:comment ref="F55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/ segment revenue comparative table (Q4 FY25), p.5. Classification: Reported. Units: INR million. https://anthembio.com/investors/</x:t>
        </x:r>
      </x:text>
    </x:comment>
    <x:comment ref="F59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/ segment revenue comparative table (Q4 FY25), p.5. Classification: Reported. Units: INR million. https://anthembio.com/investors/</x:t>
        </x:r>
      </x:text>
    </x:comment>
    <x:comment ref="G24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FY26 Investor Presentation, August 13, 2025, consolidated P&amp;L table, p.4. Classification: Reported. Units: INR million. https://anthembio.com/investors/</x:t>
        </x:r>
      </x:text>
    </x:comment>
    <x:comment ref="G27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FY26 Investor Presentation, August 13, 2025, consolidated P&amp;L table, p.4. Classification: Reported. Units: INR million. https://anthembio.com/investors/</x:t>
        </x:r>
      </x:text>
    </x:comment>
    <x:comment ref="G28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FY26 Investor Presentation, August 13, 2025, consolidated P&amp;L table, p.4. Classification: Reported. Units: INR million. https://anthembio.com/investors/</x:t>
        </x:r>
      </x:text>
    </x:comment>
    <x:comment ref="G31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FY26 Investor Presentation, August 13, 2025, consolidated P&amp;L table, p.4. Classification: Reported. Units: INR million. https://anthembio.com/investors/</x:t>
        </x:r>
      </x:text>
    </x:comment>
    <x:comment ref="G32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FY26 Investor Presentation, August 13, 2025, consolidated P&amp;L table, p.4. Classification: Reported. Units: INR million. https://anthembio.com/investors/</x:t>
        </x:r>
      </x:text>
    </x:comment>
    <x:comment ref="G33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FY26 Investor Presentation, August 13, 2025, consolidated P&amp;L table, p.4. Classification: Reported. Units: INR million. https://anthembio.com/investors/</x:t>
        </x:r>
      </x:text>
    </x:comment>
    <x:comment ref="G34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FY26 Investor Presentation, August 13, 2025, consolidated P&amp;L table, p.4. Classification: Reported. Units: INR million. https://anthembio.com/investors/</x:t>
        </x:r>
      </x:text>
    </x:comment>
    <x:comment ref="G37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FY26 Investor Presentation, August 13, 2025, consolidated P&amp;L table, p.4. Classification: Reported. Units: INR million. https://anthembio.com/investors/</x:t>
        </x:r>
      </x:text>
    </x:comment>
    <x:comment ref="G40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FY26 Investor Presentation, August 13, 2025, consolidated P&amp;L table, p.4. Classification: Reported. Units: INR million. https://anthembio.com/investors/</x:t>
        </x:r>
      </x:text>
    </x:comment>
    <x:comment ref="G41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FY26 Investor Presentation, August 13, 2025, consolidated P&amp;L table, p.4. Classification: Reported. Units: INR million. https://anthembio.com/investors/</x:t>
        </x:r>
      </x:text>
    </x:comment>
    <x:comment ref="G42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FY26 Investor Presentation, August 13, 2025, consolidated P&amp;L table, p.4. Classification: Reported. Units: INR million. https://anthembio.com/investors/</x:t>
        </x:r>
      </x:text>
    </x:comment>
    <x:comment ref="G43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FY26 Investor Presentation, August 13, 2025, consolidated P&amp;L table, p.4. Classification: Reported. Units: INR million. https://anthembio.com/investors/</x:t>
        </x:r>
      </x:text>
    </x:comment>
    <x:comment ref="G46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FY26 Investor Presentation, August 13, 2025, consolidated P&amp;L table, p.4. Classification: Reported. Units: INR million. https://anthembio.com/investors/</x:t>
        </x:r>
      </x:text>
    </x:comment>
    <x:comment ref="G47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FY26 Investor Presentation, August 13, 2025, consolidated P&amp;L table, p.4. Classification: Reported. Units: INR million. https://anthembio.com/investors/</x:t>
        </x:r>
      </x:text>
    </x:comment>
    <x:comment ref="G55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FY26 Investor Presentation, August 13, 2025, consolidated P&amp;L / segment revenue table, p.4. Classification: Reported. Units: INR million. https://anthembio.com/investors/</x:t>
        </x:r>
      </x:text>
    </x:comment>
    <x:comment ref="G59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FY26 Investor Presentation, August 13, 2025, consolidated P&amp;L / segment revenue table, p.4. Classification: Reported. Units: INR million. https://anthembio.com/investors/</x:t>
        </x:r>
      </x:text>
    </x:comment>
    <x:comment ref="H24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table, p.4. Classification: Reported. Units: INR million. https://anthembio.com/investors/</x:t>
        </x:r>
      </x:text>
    </x:comment>
    <x:comment ref="H27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table, p.4. Classification: Reported. Units: INR million. https://anthembio.com/investors/</x:t>
        </x:r>
      </x:text>
    </x:comment>
    <x:comment ref="H28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table, p.4. Classification: Reported. Units: INR million. https://anthembio.com/investors/</x:t>
        </x:r>
      </x:text>
    </x:comment>
    <x:comment ref="H31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table, p.4. Classification: Reported. Units: INR million. https://anthembio.com/investors/</x:t>
        </x:r>
      </x:text>
    </x:comment>
    <x:comment ref="H32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table, p.4. Classification: Reported. Units: INR million. https://anthembio.com/investors/</x:t>
        </x:r>
      </x:text>
    </x:comment>
    <x:comment ref="H33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table, p.4. Classification: Reported. Units: INR million. https://anthembio.com/investors/</x:t>
        </x:r>
      </x:text>
    </x:comment>
    <x:comment ref="H34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table, p.4. Classification: Reported. Units: INR million. https://anthembio.com/investors/</x:t>
        </x:r>
      </x:text>
    </x:comment>
    <x:comment ref="H37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table, p.4. Classification: Reported. Units: INR million. https://anthembio.com/investors/</x:t>
        </x:r>
      </x:text>
    </x:comment>
    <x:comment ref="H40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table, p.4. Classification: Reported. Units: INR million. https://anthembio.com/investors/</x:t>
        </x:r>
      </x:text>
    </x:comment>
    <x:comment ref="H41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table, p.4. Classification: Reported. Units: INR million. https://anthembio.com/investors/</x:t>
        </x:r>
      </x:text>
    </x:comment>
    <x:comment ref="H42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table, p.4. Classification: Reported. Units: INR million. https://anthembio.com/investors/</x:t>
        </x:r>
      </x:text>
    </x:comment>
    <x:comment ref="H43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table, p.4. Classification: Reported. Units: INR million. https://anthembio.com/investors/</x:t>
        </x:r>
      </x:text>
    </x:comment>
    <x:comment ref="H46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table, p.4. Classification: Reported. Units: INR million. https://anthembio.com/investors/</x:t>
        </x:r>
      </x:text>
    </x:comment>
    <x:comment ref="H47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table, p.4. Classification: Reported. Units: INR million. https://anthembio.com/investors/</x:t>
        </x:r>
      </x:text>
    </x:comment>
    <x:comment ref="H55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/ segment revenue table, p.4. Classification: Reported. Units: INR million. https://anthembio.com/investors/</x:t>
        </x:r>
      </x:text>
    </x:comment>
    <x:comment ref="H59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Q2 &amp; H1 FY26 Investor Presentation, November 8, 2025, consolidated P&amp;L / segment revenue table, p.4. Classification: Reported. Units: INR million. https://anthembio.com/investors/</x:t>
        </x:r>
      </x:text>
    </x:comment>
    <x:comment ref="I24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table, p.4. Classification: Reported. Units: INR million. https://anthembio.com/investors/</x:t>
        </x:r>
      </x:text>
    </x:comment>
    <x:comment ref="I27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table, p.4. Classification: Reported. Units: INR million. https://anthembio.com/investors/</x:t>
        </x:r>
      </x:text>
    </x:comment>
    <x:comment ref="I28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table, p.4. Classification: Reported. Units: INR million. https://anthembio.com/investors/</x:t>
        </x:r>
      </x:text>
    </x:comment>
    <x:comment ref="I31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table, p.4. Classification: Reported. Units: INR million. https://anthembio.com/investors/</x:t>
        </x:r>
      </x:text>
    </x:comment>
    <x:comment ref="I32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table, p.4. Classification: Reported. Units: INR million. https://anthembio.com/investors/</x:t>
        </x:r>
      </x:text>
    </x:comment>
    <x:comment ref="I33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table, p.4. Classification: Reported. Units: INR million. https://anthembio.com/investors/</x:t>
        </x:r>
      </x:text>
    </x:comment>
    <x:comment ref="I34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table, p.4. Classification: Reported. Units: INR million. https://anthembio.com/investors/</x:t>
        </x:r>
      </x:text>
    </x:comment>
    <x:comment ref="I37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table, p.4. Classification: Reported. Units: INR million. https://anthembio.com/investors/</x:t>
        </x:r>
      </x:text>
    </x:comment>
    <x:comment ref="I40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table, p.4. Classification: Reported. Units: INR million. https://anthembio.com/investors/</x:t>
        </x:r>
      </x:text>
    </x:comment>
    <x:comment ref="I41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table, p.4. Classification: Reported. Units: INR million. https://anthembio.com/investors/</x:t>
        </x:r>
      </x:text>
    </x:comment>
    <x:comment ref="I42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table, p.4. Classification: Reported. Units: INR million. https://anthembio.com/investors/</x:t>
        </x:r>
      </x:text>
    </x:comment>
    <x:comment ref="I43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table, p.4. Classification: Reported. Units: INR million. https://anthembio.com/investors/</x:t>
        </x:r>
      </x:text>
    </x:comment>
    <x:comment ref="I46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table, p.4. Classification: Reported. Units: INR million. https://anthembio.com/investors/</x:t>
        </x:r>
      </x:text>
    </x:comment>
    <x:comment ref="I47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table, p.4. Classification: Reported. Units: INR million. https://anthembio.com/investors/</x:t>
        </x:r>
      </x:text>
    </x:comment>
    <x:comment ref="I55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/ segment revenue table, p.4. Classification: Reported. Units: INR million. https://anthembio.com/investors/</x:t>
        </x:r>
      </x:text>
    </x:comment>
    <x:comment ref="I59" authorId="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Q3 &amp; 9M FY26 Investor Presentation, February 5, 2026, consolidated P&amp;L / segment revenue table, p.4. Classification: Reported. Units: INR million. https://anthembio.com/investors/</x:t>
        </x:r>
      </x:text>
    </x:comment>
    <x:comment ref="J24" authorId="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table, p.5. Classification: Reported. Units: INR million. https://anthembio.com/investors/</x:t>
        </x:r>
      </x:text>
    </x:comment>
    <x:comment ref="J27" authorId="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table, p.5. Classification: Reported. Units: INR million. https://anthembio.com/investors/</x:t>
        </x:r>
      </x:text>
    </x:comment>
    <x:comment ref="J28" authorId="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table, p.5. Classification: Reported. Units: INR million. https://anthembio.com/investors/</x:t>
        </x:r>
      </x:text>
    </x:comment>
    <x:comment ref="J31" authorId="1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table, p.5. Classification: Reported. Units: INR million. https://anthembio.com/investors/</x:t>
        </x:r>
      </x:text>
    </x:comment>
    <x:comment ref="J32" authorId="1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table, p.5. Classification: Reported. Units: INR million. https://anthembio.com/investors/</x:t>
        </x:r>
      </x:text>
    </x:comment>
    <x:comment ref="J33" authorId="1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table, p.5. Classification: Reported. Units: INR million. https://anthembio.com/investors/</x:t>
        </x:r>
      </x:text>
    </x:comment>
    <x:comment ref="J34" authorId="1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table, p.5. Classification: Reported. Units: INR million. https://anthembio.com/investors/</x:t>
        </x:r>
      </x:text>
    </x:comment>
    <x:comment ref="J37" authorId="1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table, p.5. Classification: Reported. Units: INR million. https://anthembio.com/investors/</x:t>
        </x:r>
      </x:text>
    </x:comment>
    <x:comment ref="J40" authorId="1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table, p.5. Classification: Reported. Units: INR million. https://anthembio.com/investors/</x:t>
        </x:r>
      </x:text>
    </x:comment>
    <x:comment ref="J41" authorId="1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table, p.5. Classification: Reported. Units: INR million. https://anthembio.com/investors/</x:t>
        </x:r>
      </x:text>
    </x:comment>
    <x:comment ref="J42" authorId="1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table, p.5. Classification: Reported. Units: INR million. https://anthembio.com/investors/</x:t>
        </x:r>
      </x:text>
    </x:comment>
    <x:comment ref="J43" authorId="1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table, p.5. Classification: Reported. Units: INR million. https://anthembio.com/investors/</x:t>
        </x:r>
      </x:text>
    </x:comment>
    <x:comment ref="J46" authorId="1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table, p.5. Classification: Reported. Units: INR million. https://anthembio.com/investors/</x:t>
        </x:r>
      </x:text>
    </x:comment>
    <x:comment ref="J47" authorId="1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table, p.5. Classification: Reported. Units: INR million. https://anthembio.com/investors/</x:t>
        </x:r>
      </x:text>
    </x:comment>
    <x:comment ref="J55" authorId="1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/ segment revenue table, p.5. Classification: Reported. Units: INR million. https://anthembio.com/investors/</x:t>
        </x:r>
      </x:text>
    </x:comment>
    <x:comment ref="J59" authorId="1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Q4 &amp; FY26 Investor Presentation, May 19, 2026, consolidated P&amp;L / segment revenue table, p.5. Classification: Reported. Units: INR million. https://anthembio.com/investors/</x:t>
        </x:r>
      </x:text>
    </x:comment>
    <x:comment ref="K27" authorId="1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FY27 Investor Presentation, July 21, 2026, consolidated P&amp;L table, p.4. Classification: Reported. Units: INR million. https://anthembio.com/investors/</x:t>
        </x:r>
      </x:text>
    </x:comment>
    <x:comment ref="K28" authorId="1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FY27 Investor Presentation, July 21, 2026, consolidated P&amp;L table, p.4. Classification: Reported. Units: INR million. https://anthembio.com/investors/</x:t>
        </x:r>
      </x:text>
    </x:comment>
    <x:comment ref="K31" authorId="1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FY27 Investor Presentation, July 21, 2026, consolidated P&amp;L table, p.4. Classification: Reported. Units: INR million. https://anthembio.com/investors/</x:t>
        </x:r>
      </x:text>
    </x:comment>
    <x:comment ref="K32" authorId="1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FY27 Investor Presentation, July 21, 2026, consolidated P&amp;L table, p.4. Classification: Reported. Units: INR million. https://anthembio.com/investors/</x:t>
        </x:r>
      </x:text>
    </x:comment>
    <x:comment ref="K33" authorId="1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FY27 Investor Presentation, July 21, 2026, consolidated P&amp;L table, p.4. Classification: Reported. Units: INR million. https://anthembio.com/investors/</x:t>
        </x:r>
      </x:text>
    </x:comment>
    <x:comment ref="K34" authorId="1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FY27 Investor Presentation, July 21, 2026, consolidated P&amp;L table, p.4. Classification: Reported. Units: INR million. https://anthembio.com/investors/</x:t>
        </x:r>
      </x:text>
    </x:comment>
    <x:comment ref="K37" authorId="1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FY27 Investor Presentation, July 21, 2026, consolidated P&amp;L table, p.4. Classification: Reported. Units: INR million. https://anthembio.com/investors/</x:t>
        </x:r>
      </x:text>
    </x:comment>
    <x:comment ref="K40" authorId="1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FY27 Investor Presentation, July 21, 2026, consolidated P&amp;L table, p.4. Classification: Reported. Units: INR million. https://anthembio.com/investors/</x:t>
        </x:r>
      </x:text>
    </x:comment>
    <x:comment ref="K41" authorId="1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FY27 Investor Presentation, July 21, 2026, consolidated P&amp;L table, p.4. Classification: Reported. Units: INR million. https://anthembio.com/investors/</x:t>
        </x:r>
      </x:text>
    </x:comment>
    <x:comment ref="K42" authorId="1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FY27 Investor Presentation, July 21, 2026, consolidated P&amp;L table, p.4. Classification: Reported. Units: INR million. https://anthembio.com/investors/</x:t>
        </x:r>
      </x:text>
    </x:comment>
    <x:comment ref="K43" authorId="1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FY27 Investor Presentation, July 21, 2026, consolidated P&amp;L table, p.4. Classification: Reported. Units: INR million. https://anthembio.com/investors/</x:t>
        </x:r>
      </x:text>
    </x:comment>
    <x:comment ref="K46" authorId="1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FY27 Investor Presentation, July 21, 2026, consolidated P&amp;L table, p.4. Classification: Reported. Units: INR million. https://anthembio.com/investors/</x:t>
        </x:r>
      </x:text>
    </x:comment>
    <x:comment ref="K47" authorId="1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FY27 Investor Presentation, July 21, 2026, consolidated P&amp;L table, p.4. Classification: Reported. Units: INR million. https://anthembio.com/investors/</x:t>
        </x:r>
      </x:text>
    </x:comment>
    <x:comment ref="K55" authorId="1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FY27 Investor Presentation, July 21, 2026, consolidated P&amp;L / segment revenue table, p.4. Classification: Reported. Units: INR million. https://anthembio.com/investors/</x:t>
        </x:r>
      </x:text>
    </x:comment>
    <x:comment ref="K59" authorId="1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FY27 Investor Presentation, July 21, 2026, consolidated P&amp;L / segment revenue table, p.4. Classification: Reported. Units: INR million. https://anthembio.com/investors/</x:t>
        </x:r>
      </x:text>
    </x:comment>
    <x:comment ref="B9" authorId="1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Q1 FY27 earnings call / investor materials, July 22, 2026. Management reported net cash of approximately INR 17,197 million at June 30, 2026. Classification: Reported. https://anthembio.com/investors/</x:t>
        </x:r>
      </x:text>
    </x:comment>
  </x:commentList>
</x:comments>
</file>

<file path=xl/comments2.xml><?xml version="1.0" encoding="utf-8"?>
<x:comments xmlns:x="http://schemas.openxmlformats.org/spreadsheetml/2006/main">
  <x:authors>
    <x:author>tc={54735FF8-4331-6068-4B7B-6E06FD28E9F0}</x:author>
    <x:author>tc={2AFAE9EE-7E29-FFF2-8B5F-17E04E1BC03B}</x:author>
    <x:author>tc={7C469369-93EE-A688-0D8D-255DDC4B40DD}</x:author>
    <x:author>tc={3CD7C1AE-1461-40C6-F63F-7C2DE4F772D4}</x:author>
    <x:author>tc={5CB0BD60-925D-0878-0731-F9988A56841F}</x:author>
    <x:author>tc={B79D689A-7551-D360-1239-BFDAE93F04EC}</x:author>
    <x:author>tc={04A03283-8326-E3DC-43F3-48263F97FD28}</x:author>
    <x:author>tc={23DE5036-49FD-D1DC-3CDA-3FC65A41B6F5}</x:author>
    <x:author>tc={E0C950ED-7EB0-63FC-5DD5-6654930BE631}</x:author>
    <x:author>tc={12F535FC-384D-9A31-32F1-7046C2A2F6AC}</x:author>
    <x:author>tc={7BB5DAB6-8103-2E35-127A-4EA569EE4EC7}</x:author>
    <x:author>tc={05651854-0AEE-741F-51A3-C4E177C1A609}</x:author>
    <x:author>tc={61F01C7D-A2FC-FE94-4E27-4204B055712E}</x:author>
    <x:author>tc={E2A6EC71-59CB-55C5-F1DD-9E54D1622C63}</x:author>
    <x:author>tc={ED0EE79B-3B1D-9C75-5722-B3E97E26910C}</x:author>
    <x:author>tc={F084BE5D-05E1-688C-E770-061B0196D071}</x:author>
    <x:author>tc={018B0A26-A9FD-9D99-C07F-74F3CFA52EED}</x:author>
    <x:author>tc={2A9DBD00-7530-B9C9-4ECB-C7B9EF1391E7}</x:author>
    <x:author>tc={8914FE9F-B62E-0BFA-75B2-BACCC4BEBCF5}</x:author>
    <x:author>tc={7F03E68E-15DF-3280-E87C-28EB09D6ED77}</x:author>
    <x:author>tc={B59C3841-3869-7CAE-E383-8C982E9F150E}</x:author>
    <x:author>tc={DB2E1A25-270F-0BB9-2577-4E2C1090D454}</x:author>
    <x:author>tc={E3BD784F-8979-3A12-E451-0B69815A1158}</x:author>
    <x:author>tc={D9783F12-81CF-EF7D-2BC6-267B25348D22}</x:author>
    <x:author>tc={EA324F57-11CC-8E89-ADCF-83BD6F7C6483}</x:author>
    <x:author>tc={40A1F379-7A54-715A-2B30-BB927DDEDB2B}</x:author>
    <x:author>tc={E3A8EE40-2783-34A4-4650-AD8671E04009}</x:author>
    <x:author>tc={297DA220-FC34-00F7-2BF8-FC65B37AB2FE}</x:author>
    <x:author>tc={8882E393-004E-7A12-6DE3-956702EFACB2}</x:author>
    <x:author>tc={4ABF9C42-ED6D-6663-54D0-3C369C7E44AF}</x:author>
    <x:author>tc={DE121FB7-A3A4-6380-8257-0A2B8F821D0C}</x:author>
    <x:author>tc={BEF26217-9533-E2D4-026C-FF896F121893}</x:author>
    <x:author>tc={EE82E207-14C2-D69A-04B5-08826AFE4E44}</x:author>
    <x:author>tc={C533DDD4-BA4E-2312-F276-F3127D5C3D66}</x:author>
    <x:author>tc={E2EB2ED4-2BAC-5D00-FF01-D672313075FE}</x:author>
    <x:author>tc={437A771E-4A35-65C7-E9DB-965781742B44}</x:author>
    <x:author>tc={CA5C89E9-A90B-5645-006A-97994A4AF9D6}</x:author>
    <x:author>tc={F716E228-33D4-D5AB-BF0B-117BDB436474}</x:author>
    <x:author>tc={01DC398C-EEC0-A193-D7CD-8672044C3469}</x:author>
    <x:author>tc={D7568A0C-4469-C614-03CE-59B928C56B0C}</x:author>
    <x:author>tc={DF450BF2-2787-CAAC-13B9-6B2032EF44E1}</x:author>
    <x:author>tc={C0549783-447C-D20F-2270-55A4292E8E0F}</x:author>
    <x:author>tc={5D81D3A6-8450-C3D1-C209-BF73807235C0}</x:author>
    <x:author>tc={15A877E4-1CCF-2E3F-0A94-15AD70E23AD2}</x:author>
    <x:author>tc={1E94FDC8-B01C-C807-25F4-6AA1F1CC028E}</x:author>
    <x:author>tc={BEE8C2EB-523B-1034-A242-704EA08C04A9}</x:author>
    <x:author>tc={19D3C30A-D4B1-5602-4080-AFBE6C974C4E}</x:author>
    <x:author>tc={0BE50EF1-F67A-3914-C939-8E59457D1DB5}</x:author>
    <x:author>tc={0E4DA570-C82E-D6FA-FD76-D2579C255724}</x:author>
    <x:author>tc={7D4AE31A-31F2-88C1-8918-F320B21397DA}</x:author>
    <x:author>tc={6AA09412-7BEF-2800-E93C-1AF4FC1118BC}</x:author>
    <x:author>tc={53659346-D866-272A-058E-75F0B8340C09}</x:author>
    <x:author>tc={9CEF2483-E0CA-E49D-43FD-F518EF231E4F}</x:author>
    <x:author>tc={50B7C6CA-AF16-5486-15E0-A16B21A763DE}</x:author>
    <x:author>tc={46A25BE8-B5D0-0FAB-244F-43C97449FBBF}</x:author>
    <x:author>tc={C6482A30-A6C3-214F-BEE4-D080632E41CA}</x:author>
    <x:author>tc={C425819E-1414-D6BC-CB54-4B2DC2E61A20}</x:author>
    <x:author>tc={BE666B07-C19E-CE32-853B-507F9E8E5ED7}</x:author>
    <x:author>tc={F28F1F41-BACA-D7C9-3F52-3CA46BC72CF8}</x:author>
    <x:author>tc={4AEC1D0E-24C4-C6C9-9F36-EDA42B11ADF1}</x:author>
    <x:author>tc={75C5BBC6-9853-DF3D-3065-00C74FD5E614}</x:author>
    <x:author>tc={6A848C35-534A-783A-D216-2B4CACECB97A}</x:author>
    <x:author>tc={6F74DF4B-91C2-6DBC-D2F5-3F4863B07C60}</x:author>
    <x:author>tc={FCD0C62C-4291-DF03-5CC6-9D65DF3738F8}</x:author>
    <x:author>tc={261B3EAF-7E7D-1DC5-1996-80F805356F43}</x:author>
    <x:author>tc={07DBFBFA-7653-A147-0DE6-F290EB18E12F}</x:author>
    <x:author>tc={0D200437-9CD3-B6A7-7EB8-0086E590EA41}</x:author>
    <x:author>tc={D395CA9E-7119-3494-3AE7-C33AD0441F2C}</x:author>
    <x:author>tc={DC5629BD-C8B9-0973-BE21-5FF27EBB09AE}</x:author>
    <x:author>tc={A62430B1-6E51-EAE7-639F-0A9C88F04C08}</x:author>
    <x:author>tc={9E33DE67-20D4-D27E-C73F-20E12EBB6EFA}</x:author>
    <x:author>tc={58DBE4F8-70B7-286E-3BBB-79D5CB0859EA}</x:author>
    <x:author>tc={85732988-074D-6B3B-46F7-EC0984BB9BA4}</x:author>
    <x:author>tc={4E5752FC-8196-2C09-FFEB-4E62C891D378}</x:author>
    <x:author>tc={4E0AF9B7-1065-6AF2-8481-6AC1591B3E86}</x:author>
    <x:author>tc={82D053B7-206A-B48D-0E29-8684FADC16AD}</x:author>
    <x:author>tc={75D2ECD3-E684-6DD0-6260-E7CBEB1D189A}</x:author>
    <x:author>tc={339C7D39-93F2-400C-699E-E70C6FA48CDB}</x:author>
    <x:author>tc={6ACF7EFF-935F-3ADB-2C8B-F447CEAF760A}</x:author>
    <x:author>tc={7C7DAC4A-D106-404A-1B23-1C2FE02AE46E}</x:author>
    <x:author>tc={4332E43B-C9B0-18D5-8C86-C7BE34057DEA}</x:author>
    <x:author>tc={F41CBC59-257A-8D42-F676-4AAA0F7762F2}</x:author>
    <x:author>tc={31CAD869-B009-890A-9872-733CA15F9E59}</x:author>
    <x:author>tc={23EC3A27-B7E9-4BD9-7C5F-8FF50ACAA567}</x:author>
    <x:author>tc={041A4756-DE0B-AD18-4186-0FEE7590A3F3}</x:author>
    <x:author>tc={3429B1A4-752A-7EF6-23FD-5756523B5FDD}</x:author>
    <x:author>tc={DE5B0BD0-1D67-D0EF-136E-BE2C382F4309}</x:author>
    <x:author>tc={F30BB13B-3C9D-5B00-4B9F-C22071CE55FF}</x:author>
    <x:author>tc={5A080BCF-3F6A-072F-4DCE-B5D1220EAC3F}</x:author>
    <x:author>tc={6712035D-737F-30BE-1644-95351A7DBF04}</x:author>
    <x:author>tc={F3D2FEB6-F25D-D2FA-8A3C-15E8ED257195}</x:author>
    <x:author>tc={5D15505F-8886-26F0-1436-1B40B513EA5C}</x:author>
    <x:author>tc={8738E948-E76B-0CF7-63D4-30AB7A51C93B}</x:author>
    <x:author>tc={7EAF4AB4-DDBD-6F2E-C01B-1DC1439EAF2C}</x:author>
    <x:author>tc={5AA02BDD-54B3-18A9-C87C-CF85C51670EB}</x:author>
    <x:author>tc={1A592E6F-EBA4-BB6E-79A9-ADAD496FEE3F}</x:author>
    <x:author>tc={D2447866-B0B4-E515-04D1-02B985EBABE8}</x:author>
    <x:author>tc={FD9E07F3-944A-61B0-B591-2AAAC5237372}</x:author>
    <x:author>tc={716E757A-BAA8-0B76-77BC-48F2CDCF6C95}</x:author>
    <x:author>tc={55F5B98E-A256-4E74-992A-AF3B740861EB}</x:author>
    <x:author>tc={EDD51DA2-5C6E-F21D-D97B-2CD6FD5104C4}</x:author>
    <x:author>tc={317DD2FA-61CB-05DE-DE3A-BA44BBA36CF9}</x:author>
    <x:author>tc={3D5C85FB-C08A-EFBD-60F1-94D64ACC5F81}</x:author>
    <x:author>tc={FE26BDE6-2759-C70B-A03D-7D74531AFDE4}</x:author>
    <x:author>tc={04F81CF7-B453-B6B0-832F-58D756EE39D5}</x:author>
    <x:author>tc={43207591-27AC-B793-39E8-96221257A9F5}</x:author>
    <x:author>tc={55BB3901-8D01-BFEB-B468-E4C378888A14}</x:author>
    <x:author>tc={3D831DD7-218E-F406-3ECA-B4BE120BCB9E}</x:author>
    <x:author>tc={C9684F81-7364-A6D8-1E79-948FE3769A33}</x:author>
    <x:author>tc={60722CF0-DAC6-FA02-EEF0-61242E04CF39}</x:author>
    <x:author>tc={94AAA4F3-5864-5780-5291-D468D869D164}</x:author>
    <x:author>tc={D66E0530-3833-FCD0-F09D-0E2F84513ABE}</x:author>
    <x:author>tc={E3B1AA13-92A1-2CA7-BB0B-82ADCFBDA6C4}</x:author>
    <x:author>tc={4C737F69-BFFB-3A7B-54E5-F734E65E99FE}</x:author>
    <x:author>tc={0F3D526A-48E9-185E-76C4-870A44248C73}</x:author>
    <x:author>tc={4A9352AE-2C72-C85C-8C08-9B41D62CBB94}</x:author>
    <x:author>tc={A3DE21A8-7F11-94D0-9169-F073922CAA0B}</x:author>
    <x:author>tc={28C3D3C3-EA99-68E1-776D-E14F984C6489}</x:author>
    <x:author>tc={15A9B879-F790-3A54-05A0-1A4229E656BC}</x:author>
    <x:author>tc={960D3295-543A-5369-1CFE-8BF78DE7599A}</x:author>
    <x:author>tc={C5921A48-D830-5C36-2DC1-B1B67966DF27}</x:author>
    <x:author>tc={57476EBB-6DB0-7317-4CFA-45B3A571D6AF}</x:author>
    <x:author>tc={8BFB61BA-262E-4095-422B-D898A9EF96E9}</x:author>
    <x:author>tc={912933C4-A282-8A7C-D5F4-3EAD836B38DB}</x:author>
    <x:author>tc={2149DB44-85A7-0E48-7C83-BE2E31C79284}</x:author>
    <x:author>tc={0CC67933-8373-FE90-5026-32923CFC2FEE}</x:author>
    <x:author>tc={56993BD0-7012-5F61-DA51-E350B2E3E017}</x:author>
    <x:author>tc={26F4AD99-AF76-E38B-7370-EF1DA3FEC00A}</x:author>
    <x:author>tc={623D1D21-6A7A-4B00-5728-76291B585C2A}</x:author>
    <x:author>tc={5AF35F54-1CF0-485F-ABD4-F2D3963BEC6B}</x:author>
    <x:author>tc={D652163A-4A7A-D3AF-DCB8-4076DCE71909}</x:author>
    <x:author>tc={8AA44EE2-C3EE-578A-B1B5-9D7E6E589025}</x:author>
    <x:author>tc={4CB564DA-05F3-6C33-36C8-B5EC0054043E}</x:author>
    <x:author>tc={2AD44C9C-B508-2D04-B21B-C7154CF64073}</x:author>
    <x:author>tc={976C777E-EE1C-8A26-DA0E-787259BA648E}</x:author>
    <x:author>tc={FAE3B7D7-78ED-B7FF-E2CD-DEC1912D3D65}</x:author>
    <x:author>tc={C6CEF1C9-F2BC-3D03-50D4-F11BAEF21ACD}</x:author>
    <x:author>tc={E6FEA51C-1787-6221-E244-D1D3C89985AB}</x:author>
    <x:author>tc={710F1C15-7708-EDDF-A712-7BEFD5D5B9A0}</x:author>
    <x:author>tc={9D13DD7A-A813-BE13-18A6-D79C76A6190D}</x:author>
    <x:author>tc={7A109BB0-1C6A-932E-B869-BCC43DF9EBC7}</x:author>
    <x:author>tc={1F901A90-23F2-11BE-65F7-E5C2C1F89F0D}</x:author>
    <x:author>tc={9AA0B2C9-DFE4-FA46-C1A4-5342D0FBF79E}</x:author>
    <x:author>tc={FBE71440-E95F-8402-7C54-9EB428339263}</x:author>
    <x:author>tc={9C2CAF41-3664-B3DB-8B91-72CE2D0E9785}</x:author>
    <x:author>tc={070957D6-ED4C-F598-B822-07873C64D879}</x:author>
    <x:author>tc={11909439-AF52-CBEF-2DDD-CAAB17F7FFD0}</x:author>
    <x:author>tc={2DEFF41A-089E-16CB-40A5-6AE1478581A8}</x:author>
    <x:author>tc={CF80AAEC-5E49-4B8D-75D0-7ECD9F1022CB}</x:author>
    <x:author>tc={4AC8991F-A65C-10E3-521E-CB2BE7EB9D6C}</x:author>
    <x:author>tc={0042D9F0-2B07-9524-20C7-D9091AF6A8B1}</x:author>
    <x:author>tc={19BD0FE5-FB9E-6235-ED8B-212253BF0788}</x:author>
    <x:author>tc={4CCCA471-0FDD-BFEF-B629-6E45F6C2D467}</x:author>
    <x:author>tc={1010B39B-6C35-728D-569D-62FC788EB59B}</x:author>
    <x:author>tc={758EA2F7-565C-53D8-1EED-4DBAE98758AC}</x:author>
    <x:author>tc={1B9999DA-76DF-21FA-9BD0-DC9858744613}</x:author>
    <x:author>tc={B1C33198-EAB1-E008-5713-CF94E20AD3C3}</x:author>
    <x:author>tc={74522E3F-24F0-A7F1-39C8-6B54801065C1}</x:author>
    <x:author>tc={64F4BDD9-3420-EBE6-B9AE-CCC8C59B5481}</x:author>
    <x:author>tc={652BA887-8323-0212-AA29-950A2E4BB931}</x:author>
    <x:author>tc={75784FD1-1ADB-5626-6CA4-75C18D745909}</x:author>
    <x:author>tc={B0A31EB1-B71B-46D1-D617-CEC77D8F4F6F}</x:author>
    <x:author>tc={632DF1B2-2EED-8143-7290-DC14A0EF8B76}</x:author>
    <x:author>tc={0864FB56-00B8-1A1D-41FE-3986D659A611}</x:author>
    <x:author>tc={E2360F15-3EAC-F534-25EE-088121A023E1}</x:author>
    <x:author>tc={C14CE680-A842-38DD-B35F-7FED6BFEEA92}</x:author>
    <x:author>tc={4F62540A-7CCD-B94D-9F38-7EA6DC489338}</x:author>
    <x:author>tc={569E19AD-6EF3-5EA3-4690-142DCA1DECC5}</x:author>
    <x:author>tc={F2EEBC8B-CA69-4C41-9943-136A7ADD6190}</x:author>
  </x:authors>
  <x:commentList>
    <x:comment ref="D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D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D1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D1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D1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D14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D1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D17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D18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D20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D22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D2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D25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D26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D27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D28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D29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D3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D39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/ Prospectus, audited consolidated FY24 historicals, cross-checked to uploaded Anthem integrated three-statement model. Classification: Reported / historical. https://anthembio.com/investors/</x:t>
        </x:r>
      </x:text>
    </x:comment>
    <x:comment ref="E7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E9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E11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E12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E13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E14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E16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E17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E18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E20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E22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E2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E25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E26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E27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E28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E29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E31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E39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Annual Report FY2024-25 and Prospectus dated July 16, 2025, audited consolidated FY25 historicals; cross-checked to uploaded Anthem integrated three-statement model. Classification: Reported / historical. https://anthembio.com/investors/</x:t>
        </x:r>
      </x:text>
    </x:comment>
    <x:comment ref="F7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F9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F11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F12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F1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F14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F16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F17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F18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F20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F22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F2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F25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F26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F27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F28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F29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F31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F39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:t>
        </x:r>
      </x:text>
    </x:comment>
    <x:comment ref="G7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G9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G11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G12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G13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G14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G16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G17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G18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G20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G22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G23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G25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G26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G27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G28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G29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G31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G39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FY27E central forecast. Classification: Analyst Estimate.</x:t>
        </x:r>
      </x:text>
    </x:comment>
    <x:comment ref="H7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H9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H11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H12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H13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H14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H16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H17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H18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H20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H22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H23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H25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H26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H27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H28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H29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H31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H39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FY28E central forecast. Classification: Analyst Estimate.</x:t>
        </x:r>
      </x:text>
    </x:comment>
    <x:comment ref="I7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I9" authorId="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I11" authorId="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I12" authorId="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I13" authorId="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I14" authorId="1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I16" authorId="1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I17" authorId="1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I18" authorId="1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I20" authorId="1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I22" authorId="1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I23" authorId="1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I25" authorId="1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I26" authorId="1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I27" authorId="1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I28" authorId="1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I29" authorId="1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I31" authorId="1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I39" authorId="1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FY29E central forecast. Classification: Analyst Estimate.</x:t>
        </x:r>
      </x:text>
    </x:comment>
    <x:comment ref="J7" authorId="1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J9" authorId="1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J11" authorId="1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J12" authorId="1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J13" authorId="1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J14" authorId="1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J16" authorId="1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J17" authorId="1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J18" authorId="1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J20" authorId="1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J22" authorId="1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J23" authorId="1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J25" authorId="1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J26" authorId="1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J27" authorId="1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J28" authorId="1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J29" authorId="1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J31" authorId="1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J39" authorId="1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FY30E central forecast. Classification: Analyst Estimate.</x:t>
        </x:r>
      </x:text>
    </x:comment>
    <x:comment ref="K7" authorId="1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K9" authorId="1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K11" authorId="1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K12" authorId="1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K13" authorId="1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K14" authorId="1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K16" authorId="1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K17" authorId="1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K18" authorId="1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K20" authorId="1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K22" authorId="1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K23" authorId="1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K25" authorId="1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K26" authorId="1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K27" authorId="1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K28" authorId="1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K29" authorId="1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K31" authorId="1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K39" authorId="1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Uploaded Anthem_Biosciences_Integrated_Three_Statement_Model(3).xlsx, FY31E central forecast. Classification: Analyst Estimate.</x:t>
        </x:r>
      </x:text>
    </x:comment>
    <x:comment ref="D40" authorId="1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normalised tax rate of 25% used only for NOPAT / Operating ROCE comparability. Change if house tax assumption changes.</x:t>
        </x:r>
      </x:text>
    </x:comment>
    <x:comment ref="D90" authorId="1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Management commentary, Q4 FY26 and Q1 FY27 earnings calls. Unit IV Phase 1 capex approximately INR 12,000 million. Reported.</x:t>
        </x:r>
      </x:text>
    </x:comment>
    <x:comment ref="D91" authorId="1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Q4 FY26 / Q1 FY27 earnings calls. FY27 total capex guidance approximately INR 7,000 million. Reported / rounded.</x:t>
        </x:r>
      </x:text>
    </x:comment>
    <x:comment ref="D92" authorId="1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Q4 FY26 earnings call. FY28 spend indicated approximately INR 5,000 million following FY27 spend. Reported / rounded.</x:t>
        </x:r>
      </x:text>
    </x:comment>
    <x:comment ref="D93" authorId="1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Q4 FY26 / Q1 FY27 calls. Unit IV Phase 1 planned custom-synthesis addition approximately 365 kL. Reported.</x:t>
        </x:r>
      </x:text>
    </x:comment>
    <x:comment ref="D94" authorId="1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Q4 FY26 / Q1 FY27 calls. Unit IV Phase 1 planned fermentation addition approximately 100 kL. Reported.</x:t>
        </x:r>
      </x:text>
    </x:comment>
    <x:comment ref="D95" authorId="1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25% normalised tax rate for project NOPAT sensitivity; not management guidance.</x:t>
        </x:r>
      </x:text>
    </x:comment>
    <x:comment ref="D96" authorId="1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sensitivity: 35% steady-state EBIT margin used only to reverse-engineer required Unit IV revenue for target returns; not a forecast.</x:t>
        </x:r>
      </x:text>
    </x:comment>
    <x:comment ref="G91" authorId="1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Analytical return threshold: 15% ROCE is a sensitivity / hurdle for capital-discipline testing, not a company-disclosed WACC.</x:t>
        </x:r>
      </x:text>
    </x:comment>
    <x:comment ref="D156" authorId="1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FY26A base year. No growth assumption applied.</x:t>
        </x:r>
      </x:text>
    </x:comment>
    <x:comment ref="E156" authorId="1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cross-check: 15% D&amp;M growth on existing assets in FY27, reflecting management statement that current capacity can support near-term growth.</x:t>
        </x:r>
      </x:text>
    </x:comment>
    <x:comment ref="F156" authorId="1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cross-check: 15% D&amp;M growth on existing assets in FY28; Unit IV not assumed to contribute materially before end-FY28.</x:t>
        </x:r>
      </x:text>
    </x:comment>
    <x:comment ref="G156" authorId="1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cross-check: existing-asset D&amp;M growth normalises to 5% from FY29 as Unit IV begins to matter.</x:t>
        </x:r>
      </x:text>
    </x:comment>
    <x:comment ref="H156" authorId="1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cross-check: 5% existing-asset D&amp;M growth assumption.</x:t>
        </x:r>
      </x:text>
    </x:comment>
    <x:comment ref="I156" authorId="1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cross-check: 5% existing-asset D&amp;M growth assumption.</x:t>
        </x:r>
      </x:text>
    </x:comment>
    <x:comment ref="J329" authorId="1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Capacity timing source: FY25 Annual Report / Prospectus and FY26–FY27 management calls. FY26 current custom synthesis capacity ~425 kL; Unit IV Phase 1 adds ~365 kL and is assumed operational for charting from FY29 after end-FY28 completion. Chart uses an index only; not a revenue/kL forecast.</x:t>
        </x:r>
      </x:text>
    </x:comment>
    <x:comment ref="K329" authorId="1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Capacity timing source: FY25 Annual Report / Prospectus and FY26–FY27 management calls. FY26 current fermentation capacity ~180 kL; Unit IV Phase 1 adds ~100 kL and is assumed operational for charting from FY29 after end-FY28 completion. Chart uses an index only; not a revenue/kL forecast.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;[Red](#,##0);-"/>
    <x:numFmt numFmtId="201" formatCode="0.0%;[Red](0.0%);-"/>
    <x:numFmt numFmtId="202" formatCode="0.0&quot; ppt&quot;"/>
    <x:numFmt numFmtId="203" formatCode="0;[Red](0);-"/>
    <x:numFmt numFmtId="204" formatCode="General"/>
    <x:numFmt numFmtId="205" formatCode="0.0x"/>
    <x:numFmt numFmtId="206" formatCode="#,##0.0;[Red](#,##0.0);-"/>
  </x:numFmts>
  <x:fonts count="18">
    <x:font>
      <x:sz val="11"/>
      <x:name val="Carlito"/>
    </x:font>
    <x:font>
      <x:b/>
      <x:sz val="15"/>
      <x:color rgb="FFFFFFFF"/>
      <x:name val="Carlito"/>
    </x:font>
    <x:font>
      <x:i/>
      <x:sz val="9"/>
      <x:color rgb="FF666666"/>
      <x:name val="Carlito"/>
    </x:font>
    <x:font>
      <x:b/>
      <x:sz val="10"/>
      <x:color rgb="FFFFFFFF"/>
      <x:name val="Carlito"/>
    </x:font>
    <x:font>
      <x:b/>
      <x:sz val="11"/>
      <x:color rgb="FF000000"/>
      <x:name val="Carlito"/>
    </x:font>
    <x:font>
      <x:b/>
      <x:sz val="11"/>
      <x:color rgb="FF0000FF"/>
      <x:name val="Carlito"/>
    </x:font>
    <x:font>
      <x:b/>
      <x:sz val="11"/>
      <x:color rgb="FF666666"/>
      <x:name val="Carlito"/>
    </x:font>
    <x:font>
      <x:b/>
      <x:sz val="9"/>
      <x:color rgb="FF000000"/>
      <x:name val="Carlito"/>
    </x:font>
    <x:font>
      <x:sz val="11"/>
      <x:color rgb="FF0000FF"/>
      <x:name val="Carlito"/>
    </x:font>
    <x:font>
      <x:sz val="11"/>
      <x:color rgb="FF666666"/>
      <x:name val="Carlito"/>
    </x:font>
    <x:font>
      <x:sz val="11"/>
      <x:color rgb="FF000000"/>
      <x:name val="Carlito"/>
    </x:font>
    <x:font>
      <x:b/>
      <x:sz val="11"/>
      <x:color rgb="FF17365D"/>
      <x:name val="Carlito"/>
    </x:font>
    <x:font>
      <x:sz val="11"/>
      <x:color rgb="FF008000"/>
      <x:name val="Carlito"/>
    </x:font>
    <x:font>
      <x:b/>
      <x:sz val="8"/>
      <x:color rgb="FF808080"/>
      <x:name val="Carlito"/>
    </x:font>
    <x:font>
      <x:sz val="8"/>
      <x:color rgb="FF808080"/>
      <x:name val="Carlito"/>
    </x:font>
    <x:font>
      <x:b/>
      <x:sz val="8"/>
      <x:color rgb="FF666666"/>
      <x:name val="Carlito"/>
    </x:font>
    <x:font>
      <x:sz val="8"/>
      <x:color rgb="FF666666"/>
      <x:name val="Carlito"/>
    </x:font>
    <x:font>
      <x:b/>
      <x:sz val="8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2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201" fontId="10" fillId="0" borderId="0" xfId="0" applyNumberFormat="1" applyFont="1" applyFill="1" applyBorder="1"/>
    <x:xf numFmtId="201" fontId="10" fillId="0" borderId="1" xfId="0" applyNumberFormat="1" applyFont="1" applyFill="1" applyBorder="1"/>
    <x:xf numFmtId="202" fontId="10" fillId="0" borderId="0" xfId="0" applyNumberFormat="1" applyFont="1" applyFill="1" applyBorder="1"/>
    <x:xf numFmtId="202" fontId="10" fillId="0" borderId="1" xfId="0" applyNumberFormat="1" applyFont="1" applyFill="1" applyBorder="1"/>
    <x:xf numFmtId="200" fontId="10" fillId="0" borderId="0" xfId="0" applyNumberFormat="1" applyFont="1" applyFill="1" applyBorder="1"/>
    <x:xf numFmtId="200" fontId="10" fillId="0" borderId="1" xfId="0" applyNumberFormat="1" applyFont="1" applyFill="1" applyBorder="1"/>
    <x:xf numFmtId="201" fontId="8" fillId="0" borderId="0" xfId="0" applyNumberFormat="1" applyFont="1" applyFill="1" applyBorder="1"/>
    <x:xf numFmtId="201" fontId="8" fillId="0" borderId="1" xfId="0" applyNumberFormat="1" applyFont="1" applyFill="1" applyBorder="1"/>
    <x:xf numFmtId="203" fontId="8" fillId="0" borderId="0" xfId="0" applyNumberFormat="1" applyFont="1" applyFill="1" applyBorder="1"/>
    <x:xf numFmtId="203" fontId="8" fillId="0" borderId="1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204" fontId="8" fillId="0" borderId="0" xfId="0" applyNumberFormat="1" applyFont="1" applyFill="1" applyBorder="1"/>
    <x:xf numFmtId="204" fontId="8" fillId="0" borderId="1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200" fontId="8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201" fontId="10" fillId="5" borderId="0" xfId="0" applyNumberFormat="1" applyFont="1" applyFill="1" applyBorder="1"/>
    <x:xf numFmtId="201" fontId="10" fillId="5" borderId="1" xfId="0" applyNumberFormat="1" applyFont="1" applyFill="1" applyBorder="1"/>
    <x:xf numFmtId="202" fontId="10" fillId="5" borderId="0" xfId="0" applyNumberFormat="1" applyFont="1" applyFill="1" applyBorder="1"/>
    <x:xf numFmtId="202" fontId="10" fillId="5" borderId="1" xfId="0" applyNumberFormat="1" applyFont="1" applyFill="1" applyBorder="1"/>
    <x:xf numFmtId="200" fontId="10" fillId="5" borderId="0" xfId="0" applyNumberFormat="1" applyFont="1" applyFill="1" applyBorder="1"/>
    <x:xf numFmtId="200" fontId="10" fillId="5" borderId="1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/>
    </x:xf>
    <x:xf numFmtId="205" fontId="10" fillId="0" borderId="0" xfId="0" applyNumberFormat="1" applyFont="1" applyFill="1" applyBorder="1"/>
    <x:xf numFmtId="205" fontId="1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1" fontId="8" fillId="0" borderId="0" xfId="0" applyNumberFormat="1" applyFont="1" applyFill="1" applyBorder="1" applyAlignment="1">
      <x:alignment wrapText="1"/>
    </x:xf>
    <x:xf numFmtId="201" fontId="8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201" fontId="11" fillId="0" borderId="0" xfId="0" applyNumberFormat="1" applyFont="1" applyFill="1" applyBorder="1"/>
    <x:xf numFmtId="201" fontId="11" fillId="0" borderId="1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11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1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11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0" fontId="12" fillId="0" borderId="0" xfId="0" applyNumberFormat="1" applyFont="1" applyFill="1" applyBorder="1"/>
    <x:xf numFmtId="200" fontId="12" fillId="0" borderId="1" xfId="0" applyNumberFormat="1" applyFont="1" applyFill="1" applyBorder="1"/>
    <x:xf numFmtId="0" fontId="13" fillId="3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13" fillId="3" borderId="1" xfId="0" applyNumberFormat="1" applyFont="1" applyFill="1" applyBorder="1" applyAlignment="1">
      <x:alignment horizontal="center" vertical="center"/>
    </x:xf>
    <x:xf numFmtId="0" fontId="14" fillId="0" borderId="1" xfId="0" applyNumberFormat="1" applyFont="1" applyFill="1" applyBorder="1"/>
    <x:xf numFmtId="0" fontId="15" fillId="3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/>
    <x:xf numFmtId="0" fontId="15" fillId="3" borderId="1" xfId="0" applyNumberFormat="1" applyFont="1" applyFill="1" applyBorder="1" applyAlignment="1">
      <x:alignment horizontal="center" vertical="center"/>
    </x:xf>
    <x:xf numFmtId="0" fontId="16" fillId="0" borderId="1" xfId="0" applyNumberFormat="1" applyFont="1" applyFill="1" applyBorder="1"/>
    <x:xf numFmtId="0" fontId="17" fillId="3" borderId="0" xfId="0" applyNumberFormat="1" applyFont="1" applyFill="1" applyBorder="1" applyAlignment="1">
      <x:alignment horizontal="center" vertical="center"/>
    </x:xf>
    <x:xf numFmtId="0" fontId="17" fillId="3" borderId="1" xfId="0" applyNumberFormat="1" applyFont="1" applyFill="1" applyBorder="1" applyAlignment="1">
      <x:alignment horizontal="center" vertical="center"/>
    </x:xf>
    <x:xf numFmtId="0" fontId="16" fillId="3" borderId="0" xfId="0" applyNumberFormat="1" applyFont="1" applyFill="1" applyBorder="1"/>
    <x:xf numFmtId="0" fontId="16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200" fontId="12" fillId="0" borderId="0" xfId="0" applyNumberFormat="1" applyFont="1" applyFill="1" applyBorder="1" applyAlignment="1">
      <x:alignment wrapText="1"/>
    </x:xf>
    <x:xf numFmtId="201" fontId="10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201" fontId="10" fillId="5" borderId="0" xfId="0" applyNumberFormat="1" applyFont="1" applyFill="1" applyBorder="1" applyAlignment="1">
      <x:alignment wrapText="1"/>
    </x:xf>
    <x:xf numFmtId="202" fontId="10" fillId="0" borderId="0" xfId="0" applyNumberFormat="1" applyFont="1" applyFill="1" applyBorder="1" applyAlignment="1">
      <x:alignment wrapText="1"/>
    </x:xf>
    <x:xf numFmtId="202" fontId="10" fillId="5" borderId="0" xfId="0" applyNumberFormat="1" applyFont="1" applyFill="1" applyBorder="1" applyAlignment="1">
      <x:alignment wrapText="1"/>
    </x:xf>
    <x:xf numFmtId="200" fontId="10" fillId="5" borderId="0" xfId="0" applyNumberFormat="1" applyFont="1" applyFill="1" applyBorder="1" applyAlignment="1">
      <x:alignment wrapText="1"/>
    </x:xf>
    <x:xf numFmtId="203" fontId="8" fillId="0" borderId="0" xfId="0" applyNumberFormat="1" applyFont="1" applyFill="1" applyBorder="1" applyAlignment="1">
      <x:alignment wrapText="1"/>
    </x:xf>
    <x:xf numFmtId="204" fontId="8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200" fontId="12" fillId="0" borderId="1" xfId="0" applyNumberFormat="1" applyFont="1" applyFill="1" applyBorder="1" applyAlignment="1">
      <x:alignment wrapText="1"/>
    </x:xf>
    <x:xf numFmtId="201" fontId="10" fillId="0" borderId="1" xfId="0" applyNumberFormat="1" applyFont="1" applyFill="1" applyBorder="1" applyAlignment="1">
      <x:alignment wrapText="1"/>
    </x:xf>
    <x:xf numFmtId="200" fontId="10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201" fontId="10" fillId="5" borderId="1" xfId="0" applyNumberFormat="1" applyFont="1" applyFill="1" applyBorder="1" applyAlignment="1">
      <x:alignment wrapText="1"/>
    </x:xf>
    <x:xf numFmtId="202" fontId="10" fillId="0" borderId="1" xfId="0" applyNumberFormat="1" applyFont="1" applyFill="1" applyBorder="1" applyAlignment="1">
      <x:alignment wrapText="1"/>
    </x:xf>
    <x:xf numFmtId="202" fontId="10" fillId="5" borderId="1" xfId="0" applyNumberFormat="1" applyFont="1" applyFill="1" applyBorder="1" applyAlignment="1">
      <x:alignment wrapText="1"/>
    </x:xf>
    <x:xf numFmtId="200" fontId="10" fillId="5" borderId="1" xfId="0" applyNumberFormat="1" applyFont="1" applyFill="1" applyBorder="1" applyAlignment="1">
      <x:alignment wrapText="1"/>
    </x:xf>
    <x:xf numFmtId="203" fontId="8" fillId="0" borderId="1" xfId="0" applyNumberFormat="1" applyFont="1" applyFill="1" applyBorder="1" applyAlignment="1">
      <x:alignment wrapText="1"/>
    </x:xf>
    <x:xf numFmtId="204" fontId="8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wrapText="1"/>
    </x:xf>
    <x:xf numFmtId="205" fontId="1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0" fontId="17" fillId="3" borderId="0" xfId="0" applyNumberFormat="1" applyFont="1" applyFill="1" applyBorder="1" applyAlignment="1">
      <x:alignment horizontal="center" vertical="center" wrapText="1"/>
    </x:xf>
    <x:xf numFmtId="0" fontId="13" fillId="3" borderId="0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horizontal="center" wrapText="1"/>
    </x:xf>
    <x:xf numFmtId="205" fontId="1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0" fontId="17" fillId="3" borderId="1" xfId="0" applyNumberFormat="1" applyFont="1" applyFill="1" applyBorder="1" applyAlignment="1">
      <x:alignment horizontal="center" vertical="center" wrapText="1"/>
    </x:xf>
    <x:xf numFmtId="0" fontId="13" fillId="3" borderId="1" xfId="0" applyNumberFormat="1" applyFont="1" applyFill="1" applyBorder="1" applyAlignment="1">
      <x:alignment horizontal="center" vertical="center" wrapText="1"/>
    </x:xf>
    <x:xf numFmtId="0" fontId="16" fillId="0" borderId="1" xfId="0" applyNumberFormat="1" applyFont="1" applyFill="1" applyBorder="1" applyAlignment="1">
      <x:alignment wrapText="1"/>
    </x:xf>
    <x:xf numFmtId="0" fontId="14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201" fontId="10" fillId="0" borderId="0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vertical="center" wrapText="1"/>
    </x:xf>
    <x:xf numFmtId="205" fontId="1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 wrapText="1"/>
    </x:xf>
    <x:xf numFmtId="203" fontId="8" fillId="0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200" fontId="8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201" fontId="10" fillId="0" borderId="1" xfId="0" applyNumberFormat="1" applyFont="1" applyFill="1" applyBorder="1" applyAlignment="1">
      <x:alignment vertical="center" wrapText="1"/>
    </x:xf>
    <x:xf numFmtId="200" fontId="10" fillId="0" borderId="1" xfId="0" applyNumberFormat="1" applyFont="1" applyFill="1" applyBorder="1" applyAlignment="1">
      <x:alignment vertical="center" wrapText="1"/>
    </x:xf>
    <x:xf numFmtId="201" fontId="8" fillId="0" borderId="1" xfId="0" applyNumberFormat="1" applyFont="1" applyFill="1" applyBorder="1" applyAlignment="1">
      <x:alignment vertical="center" wrapText="1"/>
    </x:xf>
    <x:xf numFmtId="205" fontId="1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5" fontId="0" fillId="0" borderId="1" xfId="0" applyNumberFormat="1" applyFont="1" applyFill="1" applyBorder="1" applyAlignment="1">
      <x:alignment vertical="center" wrapText="1"/>
    </x:xf>
    <x:xf numFmtId="203" fontId="8" fillId="0" borderId="1" xfId="0" applyNumberFormat="1" applyFont="1" applyFill="1" applyBorder="1" applyAlignment="1">
      <x:alignment vertical="center" wrapText="1"/>
    </x:xf>
    <x:xf numFmtId="206" fontId="0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 applyAlignment="1">
      <x:alignment vertical="center" wrapText="1"/>
    </x:xf>
    <x:xf numFmtId="0" fontId="1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cdfa5c616429d" /><Relationship Type="http://schemas.openxmlformats.org/officeDocument/2006/relationships/theme" Target="/xl/theme/theme1.xml" Id="Rde07bfd86694418d" /><Relationship Type="http://schemas.openxmlformats.org/officeDocument/2006/relationships/sharedStrings" Target="/xl/sharedStrings.xml" Id="Rb114059655664be7" /><Relationship Type="http://schemas.openxmlformats.org/officeDocument/2006/relationships/worksheet" Target="/xl/worksheets/sheet1.xml" Id="Rfd67034e090348f3" /><Relationship Type="http://schemas.openxmlformats.org/officeDocument/2006/relationships/worksheet" Target="/xl/worksheets/sheet2.xml" Id="R28847e85089949fe" /><Relationship Type="http://schemas.microsoft.com/office/2017/10/relationships/person" Target="/xl/persons/person.xml" Id="Rc15ab23151584b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5f82dfce624f19" /><Relationship Type="http://schemas.openxmlformats.org/officeDocument/2006/relationships/chart" Target="/xl/drawings/charts/chart2.xml" Id="R9ab5f49ae48a4296" /><Relationship Type="http://schemas.openxmlformats.org/officeDocument/2006/relationships/chart" Target="/xl/drawings/charts/chart3.xml" Id="R77d7a272000945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&amp; Capex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'Capex &amp; Returns'!$A$327:$A$334</c:f>
              <c:strCache>
                <c:ptCount val="0"/>
              </c:strCache>
            </c:strRef>
          </c:cat>
          <c:val>
            <c:numRef>
              <c:f>'Capex &amp; Returns'!$B$327:$B$334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Capex</c:v>
          </c:tx>
          <c:cat>
            <c:strRef>
              <c:f>'Capex &amp; Returns'!$A$327:$A$334</c:f>
              <c:strCache>
                <c:ptCount val="0"/>
              </c:strCache>
            </c:strRef>
          </c:cat>
          <c:val>
            <c:numRef>
              <c:f>'Capex &amp; Returns'!$C$327:$C$334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Asset Turnover &amp; Operating ROCE Index (FY25=100)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Fixed Asset Turnover Index</c:v>
          </c:tx>
          <c:cat>
            <c:strRef>
              <c:f>'Capex &amp; Returns'!$E$327:$E$334</c:f>
              <c:strCache>
                <c:ptCount val="0"/>
              </c:strCache>
            </c:strRef>
          </c:cat>
          <c:val>
            <c:numRef>
              <c:f>'Capex &amp; Returns'!$F$327:$F$334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Operating ROCE Index</c:v>
          </c:tx>
          <c:cat>
            <c:strRef>
              <c:f>'Capex &amp; Returns'!$E$327:$E$334</c:f>
              <c:strCache>
                <c:ptCount val="0"/>
              </c:strCache>
            </c:strRef>
          </c:cat>
          <c:val>
            <c:numRef>
              <c:f>'Capex &amp; Returns'!$G$327:$G$334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vs D&amp;M Revenue Index (FY26=100)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Custom Capacity Index</c:v>
          </c:tx>
          <c:cat>
            <c:strRef>
              <c:f>'Capex &amp; Returns'!$I$327:$I$334</c:f>
              <c:strCache>
                <c:ptCount val="0"/>
              </c:strCache>
            </c:strRef>
          </c:cat>
          <c:val>
            <c:numRef>
              <c:f>'Capex &amp; Returns'!$J$327:$J$334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Fermentation Capacity Index</c:v>
          </c:tx>
          <c:cat>
            <c:strRef>
              <c:f>'Capex &amp; Returns'!$I$327:$I$334</c:f>
              <c:strCache>
                <c:ptCount val="0"/>
              </c:strCache>
            </c:strRef>
          </c:cat>
          <c:val>
            <c:numRef>
              <c:f>'Capex &amp; Returns'!$K$327:$K$334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D&amp;M Revenue Index</c:v>
          </c:tx>
          <c:cat>
            <c:strRef>
              <c:f>'Capex &amp; Returns'!$I$327:$I$334</c:f>
              <c:strCache>
                <c:ptCount val="0"/>
              </c:strCache>
            </c:strRef>
          </c:cat>
          <c:val>
            <c:numRef>
              <c:f>'Capex &amp; Returns'!$L$327:$L$334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307</xdr:row>
      <xdr:rowOff>0</xdr:rowOff>
    </xdr:from>
    <xdr:to>
      <xdr:col>8</xdr:col>
      <xdr:colOff>0</xdr:colOff>
      <xdr:row>324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5f82dfce624f19"/>
        </a:graphicData>
      </a:graphic>
    </xdr:graphicFrame>
    <xdr:clientData/>
  </xdr:twoCellAnchor>
  <xdr:twoCellAnchor>
    <xdr:from>
      <xdr:col>8</xdr:col>
      <xdr:colOff>0</xdr:colOff>
      <xdr:row>307</xdr:row>
      <xdr:rowOff>0</xdr:rowOff>
    </xdr:from>
    <xdr:to>
      <xdr:col>16</xdr:col>
      <xdr:colOff>0</xdr:colOff>
      <xdr:row>324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b5f49ae48a4296"/>
        </a:graphicData>
      </a:graphic>
    </xdr:graphicFrame>
    <xdr:clientData/>
  </xdr:twoCellAnchor>
  <xdr:twoCellAnchor>
    <xdr:from>
      <xdr:col>16</xdr:col>
      <xdr:colOff>0</xdr:colOff>
      <xdr:row>307</xdr:row>
      <xdr:rowOff>0</xdr:rowOff>
    </xdr:from>
    <xdr:to>
      <xdr:col>24</xdr:col>
      <xdr:colOff>0</xdr:colOff>
      <xdr:row>324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d7a272000945c2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8484DBF9-6267-4EBE-B72C-C37A92FC8FA5}"/>
  <xltc:person displayName="OpenAI" id="{78706FC3-4740-4DF9-8DE7-C4EB55FF771E}"/>
  <xltc:person displayName="OpenAI" id="{CE036B57-5A5C-4FEE-9407-422DBC588C10}"/>
  <xltc:person displayName="OpenAI" id="{BA08D588-B611-40EE-9A15-F704836FD0C6}"/>
  <xltc:person displayName="OpenAI" id="{27FFA022-EC0B-4FBF-9504-852410D4EA18}"/>
  <xltc:person displayName="OpenAI" id="{F9849773-1674-4660-83F5-F53F41556192}"/>
  <xltc:person displayName="OpenAI" id="{924F3875-D632-438A-A934-0D5C0F04B5F4}"/>
  <xltc:person displayName="OpenAI" id="{CA7AFD42-B7A4-43A8-BB22-A330F17C0A03}"/>
  <xltc:person displayName="OpenAI" id="{E39A6974-E851-44FD-8EA4-42F27F2D1BC7}"/>
  <xltc:person displayName="OpenAI" id="{F9A5BF13-1140-467A-8B95-C70C66CD5644}"/>
  <xltc:person displayName="OpenAI" id="{26DE5ABA-18DC-4C00-AC7C-1C9D4BCC96F4}"/>
  <xltc:person displayName="OpenAI" id="{D3AD4E08-D184-447D-9842-91B62A94E3E6}"/>
  <xltc:person displayName="OpenAI" id="{4855F95E-4E02-4E98-8C85-784E8AC25C1D}"/>
  <xltc:person displayName="OpenAI" id="{C22A966D-2A93-411C-A075-2EB458DCB70C}"/>
  <xltc:person displayName="OpenAI" id="{58B2E6D3-0EE2-4509-944A-F00C2B6C1A01}"/>
  <xltc:person displayName="OpenAI" id="{CCFF06B4-8093-4850-A13F-158E3B7DD0F8}"/>
  <xltc:person displayName="OpenAI" id="{2AF7D293-08C1-48C4-B689-4DBE4EDB2F3A}"/>
  <xltc:person displayName="OpenAI" id="{1DFA7400-3A7F-4B95-9EAF-5A0945196807}"/>
  <xltc:person displayName="OpenAI" id="{FE0E6912-408A-4072-8874-35ED514A2AD1}"/>
  <xltc:person displayName="OpenAI" id="{77B8E126-FD44-47CC-A870-30F701B79390}"/>
  <xltc:person displayName="OpenAI" id="{5CFD7BB7-DA7F-446C-A86D-CCC85B818472}"/>
  <xltc:person displayName="OpenAI" id="{B3084DE9-D5D1-4C53-A48D-C252BCFED9A5}"/>
  <xltc:person displayName="OpenAI" id="{E780BC3C-CDFC-46A7-8586-F99FF186F1B3}"/>
  <xltc:person displayName="OpenAI" id="{B2FC72F3-CD6A-4F16-A7E3-1A23398C4A77}"/>
  <xltc:person displayName="OpenAI" id="{38C089CF-7A3E-4BCF-8811-419A51F6BFF5}"/>
  <xltc:person displayName="OpenAI" id="{A8B44DBA-2C50-48A6-B2C3-DB0175FEA80E}"/>
  <xltc:person displayName="OpenAI" id="{8D43F439-E0AC-40DA-8106-1D4E015377AA}"/>
  <xltc:person displayName="OpenAI" id="{83AADFEA-5C62-4B7C-9F77-801BF870433A}"/>
  <xltc:person displayName="OpenAI" id="{4E376576-73BF-40F3-88D9-38D09FE03F3D}"/>
  <xltc:person displayName="OpenAI" id="{AC95CEBE-201C-4D13-9C94-859350AE533A}"/>
  <xltc:person displayName="OpenAI" id="{9CFB2A72-275A-474D-BA28-8BCAEE5F9C16}"/>
  <xltc:person displayName="OpenAI" id="{DFDF8097-B1F0-4378-863A-3A4337C24A95}"/>
  <xltc:person displayName="OpenAI" id="{B4ADC6CE-C890-4EE2-9054-51B127EFE3A5}"/>
  <xltc:person displayName="OpenAI" id="{00C155E9-777B-474C-BD45-B3DE0D6848EF}"/>
  <xltc:person displayName="OpenAI" id="{9D910EEF-B4C4-4D00-9A4C-778825C037E0}"/>
  <xltc:person displayName="OpenAI" id="{0FB5F8CA-1486-4A6C-A9CC-A4C9EB0EA299}"/>
  <xltc:person displayName="OpenAI" id="{CFB95AB4-45BF-41D8-87CA-3A35CDC959B4}"/>
  <xltc:person displayName="OpenAI" id="{AB0E4EE1-9CF0-423D-BA2C-97A285B6C53A}"/>
  <xltc:person displayName="OpenAI" id="{63F8DEAA-A0A9-441D-AF50-E799D35E4788}"/>
  <xltc:person displayName="OpenAI" id="{B60BA178-8673-4A73-B527-C563529C6131}"/>
  <xltc:person displayName="OpenAI" id="{600F5FF9-EE1E-429A-89B6-53CA69FF354F}"/>
  <xltc:person displayName="OpenAI" id="{D295F9D0-2F54-42BD-9A57-E1E386B952D2}"/>
  <xltc:person displayName="OpenAI" id="{FAA1EC99-9F4C-44CE-B0DF-10E948A87B01}"/>
  <xltc:person displayName="OpenAI" id="{61358893-8E43-445B-8B70-8D53D7DE117A}"/>
  <xltc:person displayName="OpenAI" id="{DD9A72F2-332D-4C0F-892E-E1BFD82CE7BF}"/>
  <xltc:person displayName="OpenAI" id="{9DBC6EE9-17D9-417F-8148-62CC480E14BF}"/>
  <xltc:person displayName="OpenAI" id="{AE42F7A2-EA53-438D-B6A8-231A46868AAE}"/>
  <xltc:person displayName="OpenAI" id="{01D1EB83-0AA8-48D1-8F7E-D1FF65E53164}"/>
  <xltc:person displayName="OpenAI" id="{0D64EFA7-564B-45E4-A116-1BDFE79E20AA}"/>
  <xltc:person displayName="OpenAI" id="{AB765FC9-FB85-4EEF-A462-70DA2C459398}"/>
  <xltc:person displayName="OpenAI" id="{C97A776C-2252-419C-AF8A-77427882D81F}"/>
  <xltc:person displayName="OpenAI" id="{A36CB2A2-20EE-4861-95E4-BC929DD851F4}"/>
  <xltc:person displayName="OpenAI" id="{D92FD882-0B2B-4E60-938D-894B2EEC6DCD}"/>
  <xltc:person displayName="OpenAI" id="{CF0AF88F-0A41-4B4C-8E89-EA2C8C320072}"/>
  <xltc:person displayName="OpenAI" id="{8CEB6DF8-C5FA-4F42-96C8-7AFFA0D5D403}"/>
  <xltc:person displayName="OpenAI" id="{A4194A5A-B5B8-47CE-BC02-2C39FAA2BF14}"/>
  <xltc:person displayName="OpenAI" id="{D52FD4C8-5B57-481C-BADE-3A6A562F7979}"/>
  <xltc:person displayName="OpenAI" id="{EC6DCB25-64F6-46E0-9F05-C868AE470613}"/>
  <xltc:person displayName="OpenAI" id="{371DA8E4-77FD-44E2-B3AF-04ED3199DE06}"/>
  <xltc:person displayName="OpenAI" id="{3A462B60-F45A-4527-A638-55E277E6A28A}"/>
  <xltc:person displayName="OpenAI" id="{F942A443-1AB2-461E-BC69-850F02139A0F}"/>
  <xltc:person displayName="OpenAI" id="{ECD670E8-8EFA-4121-A20A-0B75F1104A86}"/>
  <xltc:person displayName="OpenAI" id="{603EEDBC-5B34-49E5-8F1B-2B8BD02E1205}"/>
  <xltc:person displayName="OpenAI" id="{ABBDFB9C-035C-4659-B927-9CFA29359B8F}"/>
  <xltc:person displayName="OpenAI" id="{64E690D3-EC96-412D-BEAA-47E2E44E327D}"/>
  <xltc:person displayName="OpenAI" id="{F2274A21-0A62-4582-903A-684EB621DE03}"/>
  <xltc:person displayName="OpenAI" id="{F5B4FE1F-22AE-43AD-BA93-233EBAA9CFD7}"/>
  <xltc:person displayName="OpenAI" id="{A58DABB5-3C0C-447A-997E-6DBD22007D72}"/>
  <xltc:person displayName="OpenAI" id="{BB05A5DF-E01F-4C37-8017-2F0609F519D1}"/>
  <xltc:person displayName="OpenAI" id="{C1DA60B3-F510-4CAB-A841-4837BBCB450E}"/>
  <xltc:person displayName="OpenAI" id="{42D96819-3B28-4C15-AFF9-308BD3C0EF3B}"/>
  <xltc:person displayName="OpenAI" id="{8D1EC152-4676-4E51-98B1-3AB075199F93}"/>
  <xltc:person displayName="OpenAI" id="{6722BA0A-0078-40E2-AE34-4536ABFB9B00}"/>
  <xltc:person displayName="OpenAI" id="{75FF5C7A-61B1-4049-A241-C64F72BAC405}"/>
  <xltc:person displayName="OpenAI" id="{822DB4DE-E0A3-4030-B9FF-EB1D24471F70}"/>
  <xltc:person displayName="OpenAI" id="{3ADCFC72-AA77-4B36-AC93-C6DAE33C853C}"/>
  <xltc:person displayName="OpenAI" id="{610FC5C8-583F-4AE6-A653-904A3D32A9C4}"/>
  <xltc:person displayName="OpenAI" id="{58BB1A1B-8337-4260-AA96-DDE7E3447DE0}"/>
  <xltc:person displayName="OpenAI" id="{76D986A5-A76C-42B9-83BA-076BBE223AF5}"/>
  <xltc:person displayName="OpenAI" id="{439AB273-0D29-44F1-9877-F143E7441A48}"/>
  <xltc:person displayName="OpenAI" id="{15F327FE-6B11-4F0C-B2C7-B02D3AAA9914}"/>
  <xltc:person displayName="OpenAI" id="{21E442C5-13D9-4FAD-8BC5-56B2835B01EF}"/>
  <xltc:person displayName="OpenAI" id="{AC64841D-8859-44A1-8373-499C576C022D}"/>
  <xltc:person displayName="OpenAI" id="{6F4CB780-31E4-423C-97E4-9A912265CAD4}"/>
  <xltc:person displayName="OpenAI" id="{9B586F80-CC87-40C5-AA47-A167228F8547}"/>
  <xltc:person displayName="OpenAI" id="{3645D2F1-1E09-4C01-A2F9-1FB1651E5B57}"/>
  <xltc:person displayName="OpenAI" id="{FB551964-2F6B-4252-9AA2-5F97E3A80CFB}"/>
  <xltc:person displayName="OpenAI" id="{83A2DE8F-5AA2-48EC-BD8E-983956178F4A}"/>
  <xltc:person displayName="OpenAI" id="{E6F3772F-DE17-4687-BCDA-9A36CD9F87FA}"/>
  <xltc:person displayName="OpenAI" id="{7047037D-1E34-4E11-878E-303DF1BF633B}"/>
  <xltc:person displayName="OpenAI" id="{A334CDDA-F9BA-48AA-978A-84D0E7F43848}"/>
  <xltc:person displayName="OpenAI" id="{D6ABC53A-3CD5-425F-9A49-B9A7CFB93A76}"/>
  <xltc:person displayName="OpenAI" id="{BCE0E215-A097-489B-ADA7-13C7C8DF90CA}"/>
  <xltc:person displayName="OpenAI" id="{5FA243E2-3CC9-419A-93C2-1BE7BA98B929}"/>
  <xltc:person displayName="OpenAI" id="{43DF3422-1AA5-4D4C-A38C-6E8E5EE868A2}"/>
  <xltc:person displayName="OpenAI" id="{537A6020-0180-49A9-9C1C-5469D16B1396}"/>
  <xltc:person displayName="OpenAI" id="{78CC7111-D27D-4DA6-89E2-CA2E9E7DC423}"/>
  <xltc:person displayName="OpenAI" id="{8CE1FE36-C4D9-445A-9FB0-16883FFECDF5}"/>
  <xltc:person displayName="OpenAI" id="{99F5D8FC-A7D2-4F5B-B66C-B8FC48B6096F}"/>
  <xltc:person displayName="OpenAI" id="{EB748093-6175-4CB3-BBA6-6BDAF3EC2E0F}"/>
  <xltc:person displayName="OpenAI" id="{1BD1B174-D006-40D9-840B-BB369167E2AE}"/>
  <xltc:person displayName="OpenAI" id="{383E0B07-78BE-4AE0-BB95-94AAD4F29374}"/>
  <xltc:person displayName="OpenAI" id="{955BDF53-30DA-4C68-B559-5F8FABF925A5}"/>
  <xltc:person displayName="OpenAI" id="{5484292D-4A46-4EA8-82BA-68C551EE134E}"/>
  <xltc:person displayName="OpenAI" id="{3CE39493-1A25-4CEC-8EAB-428C7624FFD2}"/>
  <xltc:person displayName="OpenAI" id="{CFC9816E-A47B-4BB4-A5B6-A54114BF3F01}"/>
  <xltc:person displayName="OpenAI" id="{BC934D20-08EB-4079-9661-89D8C208AFDC}"/>
  <xltc:person displayName="OpenAI" id="{B0A66FF8-432E-4F97-A96C-3EC67963D828}"/>
  <xltc:person displayName="OpenAI" id="{E872CC8E-2660-43BA-BC05-B54472D1DE35}"/>
  <xltc:person displayName="OpenAI" id="{F60F43CD-73F9-44D0-B699-CF9947C8D023}"/>
  <xltc:person displayName="OpenAI" id="{0BDB5BCC-2F50-4665-B304-DEC577B43017}"/>
  <xltc:person displayName="OpenAI" id="{2EEE176C-D88F-4500-857F-8D729160459A}"/>
  <xltc:person displayName="OpenAI" id="{AD80F7AB-76FC-420C-94D5-E4AA8555A3ED}"/>
  <xltc:person displayName="OpenAI" id="{0A9B40FD-9F7E-4589-A3CC-6387A69C09AE}"/>
  <xltc:person displayName="OpenAI" id="{4CF06F46-8AD8-4889-A6E5-FC5900759852}"/>
  <xltc:person displayName="OpenAI" id="{BF3B5E7F-F6B8-40FD-BAC1-9405E900B2C6}"/>
  <xltc:person displayName="OpenAI" id="{E697489E-B1C2-4CC3-AFDD-26301CA82411}"/>
  <xltc:person displayName="OpenAI" id="{6BF01AD9-2621-4463-9AAA-12812809D73A}"/>
  <xltc:person displayName="OpenAI" id="{1B7697FC-2E99-4261-974E-4A0BAF418422}"/>
  <xltc:person displayName="OpenAI" id="{6E69DA74-60A6-42B8-8DC7-0DACDE89E08A}"/>
  <xltc:person displayName="OpenAI" id="{FD7843D2-52FF-452E-830D-4896D19686BC}"/>
  <xltc:person displayName="OpenAI" id="{294BEC6B-93C1-4243-BEBD-70FC50425A9B}"/>
  <xltc:person displayName="OpenAI" id="{D119CFCC-F8C6-4237-8509-05ABE66DCD5A}"/>
  <xltc:person displayName="OpenAI" id="{8378986D-6623-4FAE-838C-EB8432FCC60F}"/>
  <xltc:person displayName="OpenAI" id="{B974283A-5145-40CB-8D82-E4033CF38827}"/>
  <xltc:person displayName="OpenAI" id="{A39EDCBD-1725-4875-A16E-7194D4D83916}"/>
  <xltc:person displayName="OpenAI" id="{E38E121E-0560-4B0D-80DC-65D73EE9E604}"/>
  <xltc:person displayName="OpenAI" id="{C454E4EA-3E3A-477F-9E65-550B91AAA31F}"/>
  <xltc:person displayName="OpenAI" id="{2035005C-B17B-434B-9EB9-AD4D2D53961A}"/>
  <xltc:person displayName="OpenAI" id="{BD6FEDD0-56B4-4795-B60C-A4D4942A9B75}"/>
  <xltc:person displayName="OpenAI" id="{69892A20-509C-48EE-A674-04FF71BE27B9}"/>
  <xltc:person displayName="OpenAI" id="{EDCA1D6D-8FAC-4894-B4B1-9D10D1F41527}"/>
  <xltc:person displayName="OpenAI" id="{52564DF2-1E40-4448-A177-D64C0F3ECF70}"/>
  <xltc:person displayName="OpenAI" id="{46FF2D0C-4CA9-4F4F-A31B-CE33AE5ACB58}"/>
  <xltc:person displayName="OpenAI" id="{DD62BBFC-4C2B-4A49-9533-60C31A5FF48A}"/>
  <xltc:person displayName="OpenAI" id="{662B4517-B6E6-4742-A2FA-7F27F07AAB49}"/>
  <xltc:person displayName="OpenAI" id="{AFD70DC1-7D87-429E-BB82-F019A1343DCE}"/>
  <xltc:person displayName="OpenAI" id="{EFE7F78D-1A80-4CE4-A457-55DC4EC3DE75}"/>
  <xltc:person displayName="OpenAI" id="{C5EDB8C7-961C-45AF-AD3E-0A2AAEB3991E}"/>
  <xltc:person displayName="OpenAI" id="{99900804-8483-4682-BF9F-6C79E7F50A1E}"/>
  <xltc:person displayName="OpenAI" id="{4DE710B6-4C85-4215-87DC-363613F1E48E}"/>
  <xltc:person displayName="OpenAI" id="{3DEB5D95-CB91-4ED0-8A9C-FCD9AC69150A}"/>
  <xltc:person displayName="OpenAI" id="{EE0AAC3B-3383-4C7E-843F-11D9ABCCC2D7}"/>
  <xltc:person displayName="OpenAI" id="{7F0C7008-6572-4C89-A7DE-B3D7E865CF81}"/>
  <xltc:person displayName="OpenAI" id="{78E5766A-0005-4FEC-8F37-CCF0DA6755E6}"/>
  <xltc:person displayName="OpenAI" id="{A53D0425-875B-4FA7-8B48-BB0E975AF78E}"/>
  <xltc:person displayName="OpenAI" id="{6F2C867E-B5F1-415E-BFFB-974C31591F26}"/>
  <xltc:person displayName="OpenAI" id="{132F7E79-55F8-4157-A08D-2B497072FEB2}"/>
  <xltc:person displayName="OpenAI" id="{E2EC6C26-FBB1-4F1A-A65E-3045ACF45CB7}"/>
  <xltc:person displayName="OpenAI" id="{93EAAFD1-A161-41B5-A202-622D5DAD0BF2}"/>
  <xltc:person displayName="OpenAI" id="{6E4B25A6-6E48-4E38-8265-506E0BF58E71}"/>
  <xltc:person displayName="OpenAI" id="{50ABD6F8-AB5A-4173-B477-782FEFE05D9A}"/>
  <xltc:person displayName="OpenAI" id="{F6CFA1E5-DC83-4201-A4C1-87AFA3B494B7}"/>
  <xltc:person displayName="OpenAI" id="{F4F59FBD-E596-4306-82C3-0B2BF6578AB9}"/>
  <xltc:person displayName="OpenAI" id="{F6A482E3-2961-4401-A3FA-B483D6862B89}"/>
  <xltc:person displayName="OpenAI" id="{F16A717E-A725-44E9-A917-D00E96D9FB33}"/>
  <xltc:person displayName="OpenAI" id="{337956CE-729B-4397-9CE5-E594D7E80DAC}"/>
  <xltc:person displayName="OpenAI" id="{2CF2007F-43F4-4ECE-812A-53C85DFE4F30}"/>
  <xltc:person displayName="OpenAI" id="{4713E9DC-4B44-433E-B11A-3AE53113B56E}"/>
  <xltc:person displayName="OpenAI" id="{E5ED476A-CB58-4B4A-AE1F-D113C259CC65}"/>
  <xltc:person displayName="OpenAI" id="{D389B00E-4C1F-4486-92CC-17FE95415EF0}"/>
  <xltc:person displayName="OpenAI" id="{0914C590-0567-4530-9BDD-1C5300851745}"/>
  <xltc:person displayName="OpenAI" id="{7569EDD2-10DA-4833-8C0A-2C51A3949D42}"/>
  <xltc:person displayName="OpenAI" id="{1779857E-A47B-41F2-BA0C-022F54C2668A}"/>
  <xltc:person displayName="OpenAI" id="{126A3CBC-4E07-4DE7-81D9-E2CE198312D3}"/>
  <xltc:person displayName="OpenAI" id="{4F341961-DF20-4D59-B521-D6A7DCFB0738}"/>
  <xltc:person displayName="OpenAI" id="{5814B0DC-A601-4738-8C41-DBEB5ED7FFB2}"/>
  <xltc:person displayName="OpenAI" id="{A41C55B3-B229-4CBB-A51E-C0317980011F}"/>
  <xltc:person displayName="OpenAI" id="{2BB5BDF3-A531-4E34-A3B4-412AC02A90F0}"/>
  <xltc:person displayName="OpenAI" id="{B8964C0B-C268-47FD-9F6D-412434EBD1B2}"/>
  <xltc:person displayName="OpenAI" id="{56BC0E5F-2DB3-45E7-8820-2F3B33796961}"/>
  <xltc:person displayName="OpenAI" id="{506543F5-B678-49D8-860B-F26A34B3B62B}"/>
  <xltc:person displayName="OpenAI" id="{A3E800F8-C46C-4308-9A28-B90949163052}"/>
  <xltc:person displayName="OpenAI" id="{17E814A5-EDA7-46F9-BE03-762A0BDF7066}"/>
  <xltc:person displayName="OpenAI" id="{2C292C0B-2BE6-472B-96E0-3B3DD4729977}"/>
  <xltc:person displayName="OpenAI" id="{66FA1442-1E12-4915-A3F7-A64236C08504}"/>
  <xltc:person displayName="OpenAI" id="{37CF15B5-23CE-4D44-8640-2B95F46C3C3E}"/>
  <xltc:person displayName="OpenAI" id="{27CD72D4-ED61-48F2-A89B-B6E561E09594}"/>
  <xltc:person displayName="OpenAI" id="{974161D0-BA5F-452B-8794-78627F47F440}"/>
  <xltc:person displayName="OpenAI" id="{519C879E-535C-4612-AFC6-025ACA3C0247}"/>
  <xltc:person displayName="OpenAI" id="{73C44C91-D373-4A87-A683-F8A2EB5A6A73}"/>
  <xltc:person displayName="OpenAI" id="{1C3F12B7-C6BF-4087-8AEF-B7ECA4E7ABD7}"/>
  <xltc:person displayName="OpenAI" id="{AA2F960F-13CD-4A44-B11E-CB96C6726E07}"/>
  <xltc:person displayName="OpenAI" id="{76A2EAEE-10B6-47B2-9195-940F147094D3}"/>
  <xltc:person displayName="OpenAI" id="{DD686386-BDFF-4789-B537-B03DB22EF30D}"/>
  <xltc:person displayName="OpenAI" id="{ECB1211C-78F8-489B-91C9-09EF4E99CF48}"/>
  <xltc:person displayName="OpenAI" id="{0D4B4E99-9249-4EE6-88E6-8097EE1A4FB9}"/>
  <xltc:person displayName="OpenAI" id="{BAF338F0-C622-4069-8D98-03BBC5D55537}"/>
  <xltc:person displayName="OpenAI" id="{D683E3C0-53C9-4F4D-BB0D-02B0FAC58D78}"/>
  <xltc:person displayName="OpenAI" id="{8FB7F819-3FB8-4342-9982-033BEEF325F2}"/>
  <xltc:person displayName="OpenAI" id="{3277DB54-205F-43A6-A0EF-FD3D913840C5}"/>
  <xltc:person displayName="OpenAI" id="{8F74F0BF-39D0-4C84-846B-3A51A1D6FE57}"/>
  <xltc:person displayName="OpenAI" id="{DD7CDDFB-CA91-432C-B583-6517B283048A}"/>
  <xltc:person displayName="OpenAI" id="{88D416CE-DF57-4051-89F8-D7359CD243EB}"/>
  <xltc:person displayName="OpenAI" id="{A8F2AB78-1EC1-41A7-92B8-F3A040988F2A}"/>
  <xltc:person displayName="OpenAI" id="{5E6684B2-5C64-44F7-9969-91EDEA956636}"/>
  <xltc:person displayName="OpenAI" id="{84965837-5922-451E-8EED-97F5DA4269A5}"/>
  <xltc:person displayName="OpenAI" id="{97E56260-A5F4-448D-96C0-67C553D09244}"/>
  <xltc:person displayName="OpenAI" id="{D9CD1AC7-95B6-4664-9DF2-A6F55AE289F8}"/>
  <xltc:person displayName="OpenAI" id="{604C6462-9E04-465E-9023-38E9A09E6549}"/>
  <xltc:person displayName="OpenAI" id="{CD3C6EF0-4C7C-487C-A30B-B76CEF902AFC}"/>
  <xltc:person displayName="OpenAI" id="{CBE2EF6F-CF99-4A6C-86BA-71759833155A}"/>
  <xltc:person displayName="OpenAI" id="{0C6FFABA-E595-45B2-BB7E-CBBE34B1393B}"/>
  <xltc:person displayName="OpenAI" id="{2661437D-B036-4137-A74C-257C7699E579}"/>
  <xltc:person displayName="OpenAI" id="{ABD325DD-4814-4E42-8449-D286D97CE18A}"/>
  <xltc:person displayName="OpenAI" id="{884EBE11-68B0-4B15-AC01-CB984B47BA97}"/>
  <xltc:person displayName="OpenAI" id="{E2B954E4-8DA9-4AC8-B50C-65593EEE08D8}"/>
  <xltc:person displayName="OpenAI" id="{4EB4A379-7F22-4170-A1FA-1224D68AE3ED}"/>
  <xltc:person displayName="OpenAI" id="{2D58BE4B-5C4B-43D6-B32A-0D229D226F47}"/>
  <xltc:person displayName="OpenAI" id="{DA8D21D8-DA5F-4E88-B35F-1BFA7CDB5D8A}"/>
  <xltc:person displayName="OpenAI" id="{23634B1F-60C7-4A71-AF49-F62CAA86673D}"/>
  <xltc:person displayName="OpenAI" id="{C7A87DFA-3C1D-4449-8313-AA9DEF3ADD15}"/>
  <xltc:person displayName="OpenAI" id="{1B7A57FF-624B-4B25-8BC4-4FC748ECDA97}"/>
  <xltc:person displayName="OpenAI" id="{5D31DBB9-875A-4890-9A94-744765861B57}"/>
  <xltc:person displayName="OpenAI" id="{4460DCF5-1896-44AB-A3F3-1953745A76A1}"/>
  <xltc:person displayName="OpenAI" id="{B3045CF3-81F8-49C2-98CE-ED1F0EE30175}"/>
  <xltc:person displayName="OpenAI" id="{D543AF3F-4BC2-4E26-B6A7-869E9E63632C}"/>
  <xltc:person displayName="OpenAI" id="{7B60C48B-FAA1-4DA6-A7AF-5C29EB91312C}"/>
  <xltc:person displayName="OpenAI" id="{439CFEB2-C1A2-4685-8D2E-903FCCA7B940}"/>
  <xltc:person displayName="OpenAI" id="{20D27BF6-7257-4CC6-92F7-F8E004291BA2}"/>
  <xltc:person displayName="OpenAI" id="{A5FF969D-B770-45AA-AA64-7E9A1D7BDAED}"/>
  <xltc:person displayName="OpenAI" id="{0226ADB0-89ED-48C2-B43C-BB6D626BC116}"/>
  <xltc:person displayName="OpenAI" id="{6F56C8AC-F297-4F52-B82F-6EA7DE80CC31}"/>
  <xltc:person displayName="OpenAI" id="{AA08E914-97C1-461C-941A-E3C525596342}"/>
  <xltc:person displayName="OpenAI" id="{3C59CCCF-21AC-40CF-A831-5D8E6CB33CA6}"/>
  <xltc:person displayName="OpenAI" id="{51AEA743-8CF0-4B44-BF84-A812BD99563B}"/>
  <xltc:person displayName="OpenAI" id="{9FC76B52-59C9-46E6-ACDA-ABD87C5E082B}"/>
  <xltc:person displayName="OpenAI" id="{38B7D8BB-552E-4D86-A419-7EADA428D24E}"/>
  <xltc:person displayName="OpenAI" id="{57EBEAE1-EE7D-4297-9CA4-4A312F25DF0C}"/>
  <xltc:person displayName="OpenAI" id="{12D2D6F1-1A1D-49D9-A685-F1E7B3BEAB53}"/>
  <xltc:person displayName="OpenAI" id="{9126078E-05DC-489F-9364-19CBF02657AC}"/>
  <xltc:person displayName="OpenAI" id="{8A6F33ED-BE1F-4E32-9F20-1BB848E5F54A}"/>
  <xltc:person displayName="OpenAI" id="{B78BD557-A256-45C5-B8CB-A269B5D2A6F5}"/>
  <xltc:person displayName="OpenAI" id="{53BF4E0C-3BA7-47DE-8F91-394923D8ADC1}"/>
  <xltc:person displayName="OpenAI" id="{2D8FDC9A-AFE6-459F-94A0-4E08B99BEDF7}"/>
  <xltc:person displayName="OpenAI" id="{E384B153-5E74-4CDB-82E9-91C79CDD1303}"/>
  <xltc:person displayName="OpenAI" id="{C1FB565C-9AA5-4007-806C-8847654C2F49}"/>
  <xltc:person displayName="OpenAI" id="{5F602E8F-3032-43EA-AE66-639896E95EE7}"/>
  <xltc:person displayName="OpenAI" id="{A2A11486-7A19-4D66-AAC1-C0284C217F62}"/>
  <xltc:person displayName="OpenAI" id="{B9909999-34BC-4353-8CF6-BEC78BA61450}"/>
  <xltc:person displayName="OpenAI" id="{7A84BFAF-5C7C-40EB-9C00-3ED3B7FE178B}"/>
  <xltc:person displayName="OpenAI" id="{164E21B6-0CB2-48A8-8561-4EC7A7FC79DD}"/>
  <xltc:person displayName="OpenAI" id="{7278B382-B407-4522-8131-27CC1193FEEF}"/>
  <xltc:person displayName="OpenAI" id="{88386427-15DD-49EE-8C90-41EB0D2E2EAA}"/>
  <xltc:person displayName="OpenAI" id="{DDDA8A44-7EA4-4FD2-9AC8-612092BB7CD7}"/>
  <xltc:person displayName="OpenAI" id="{46D5E21A-3A54-4321-9209-DFE5118B42A4}"/>
  <xltc:person displayName="OpenAI" id="{A9567180-3E26-4BD2-A7E9-8F973AD366E5}"/>
  <xltc:person displayName="OpenAI" id="{EF23BFBB-7657-4925-A958-6911111F2993}"/>
  <xltc:person displayName="OpenAI" id="{B034B92C-7752-4CBB-9B0D-A3C927AF0692}"/>
  <xltc:person displayName="OpenAI" id="{9BD6A24C-B45F-4D52-A47F-B377527CAFFD}"/>
  <xltc:person displayName="OpenAI" id="{EE0FF1E8-D5D7-4AD8-84F6-482D4393BFAB}"/>
  <xltc:person displayName="OpenAI" id="{48F4AF70-4867-49B3-9F49-170AB20A5084}"/>
  <xltc:person displayName="OpenAI" id="{FCC58668-0FF9-4132-859C-8FED5FF26BFD}"/>
  <xltc:person displayName="OpenAI" id="{7119B6D7-5D37-4802-9A23-1ADD1A5DCEA3}"/>
  <xltc:person displayName="OpenAI" id="{BE5663D2-255F-46AD-ACD1-2AE2254449CB}"/>
  <xltc:person displayName="OpenAI" id="{E6F25C68-13A6-45DA-BE6B-A80913B43B04}"/>
  <xltc:person displayName="OpenAI" id="{E09063D1-CD0F-4BBE-8863-436E6393B0E5}"/>
  <xltc:person displayName="OpenAI" id="{284AA99C-A1CF-4046-B5BF-AFD753E4A771}"/>
  <xltc:person displayName="OpenAI" id="{7A2F421E-1102-4746-9159-8591209ACD5B}"/>
  <xltc:person displayName="OpenAI" id="{1744301A-7BBB-4DE3-BE8C-C85E134ADC36}"/>
  <xltc:person displayName="OpenAI" id="{7AE8FAA9-4491-43CF-A074-AC5D616162F2}"/>
  <xltc:person displayName="OpenAI" id="{8FD22421-0FB5-488D-BC05-F64A77AAAD06}"/>
  <xltc:person displayName="OpenAI" id="{3F88709F-D24A-49D4-A7D6-4B3C372F189A}"/>
  <xltc:person displayName="OpenAI" id="{FEA8DE10-EB3C-47FB-91D4-A9E3D2FA7AEF}"/>
  <xltc:person displayName="OpenAI" id="{3E596191-8D5D-4717-B9B1-7D50146A0251}"/>
  <xltc:person displayName="OpenAI" id="{5510562E-DCBA-462C-8EA9-4C748710654B}"/>
  <xltc:person displayName="OpenAI" id="{2ADA13A9-8EBE-4546-ACF1-5D4F3BFDA90A}"/>
  <xltc:person displayName="OpenAI" id="{75898991-E494-4E9C-8544-0E98E16FA411}"/>
  <xltc:person displayName="OpenAI" id="{65BF7B38-DC1E-4077-9B9E-61333B80417D}"/>
  <xltc:person displayName="OpenAI" id="{F3316C5D-FB97-4ACC-8EF5-B08049AD5B8D}"/>
  <xltc:person displayName="OpenAI" id="{4F8A2BD6-CE51-4720-B698-3F0919CC8684}"/>
  <xltc:person displayName="OpenAI" id="{5E11F882-EAF0-46D2-9467-51CE34260A71}"/>
  <xltc:person displayName="OpenAI" id="{AA36C05C-31E6-4CF2-B71B-7F62633DB08E}"/>
  <xltc:person displayName="OpenAI" id="{4D802B6B-CBFC-493B-9E68-0F2BEBBE6184}"/>
  <xltc:person displayName="OpenAI" id="{6157602F-7FAA-4177-8076-B94DFDCA4CAC}"/>
  <xltc:person displayName="OpenAI" id="{D17D97A0-70E6-4EDE-8AD7-A4726586DFC3}"/>
  <xltc:person displayName="OpenAI" id="{AF38F4CB-AA54-4F5F-9960-44A9614C6440}"/>
  <xltc:person displayName="OpenAI" id="{58E6C41D-E251-46C7-BBA8-E1709E2C4D3E}"/>
  <xltc:person displayName="OpenAI" id="{8BD14978-3FCA-4BCD-AC0C-B8C97706A0F5}"/>
  <xltc:person displayName="OpenAI" id="{7BE00D24-A267-4F5B-BA5E-BC5B1312C621}"/>
  <xltc:person displayName="OpenAI" id="{276B52CF-00EE-41A2-B985-9FE7D76A7FD0}"/>
  <xltc:person displayName="OpenAI" id="{2A0C2EFB-4507-481D-8E86-060EA5FB5368}"/>
  <xltc:person displayName="OpenAI" id="{DF45ABC2-DD03-41CA-AD11-7F1E095EF255}"/>
  <xltc:person displayName="OpenAI" id="{69AED275-9908-4485-BDE4-7D01547CFB1D}"/>
  <xltc:person displayName="OpenAI" id="{CBD8A0AE-1D67-4BAE-8BBA-40D8B0344F01}"/>
  <xltc:person displayName="OpenAI" id="{67EE11FD-226F-4626-9F84-48CBDDE96B88}"/>
  <xltc:person displayName="OpenAI" id="{6AB821DC-7A61-4DCA-A6CD-7770C218B568}"/>
  <xltc:person displayName="OpenAI" id="{2B45BB7C-858E-416F-A938-CD72818765DB}"/>
  <xltc:person displayName="OpenAI" id="{36199B6B-53BE-4CF7-8332-8361D7C32014}"/>
  <xltc:person displayName="OpenAI" id="{E1EC0FBF-8E8A-49D0-8E0A-2DEBD07D5BF2}"/>
  <xltc:person displayName="OpenAI" id="{16B4A942-8BD3-4DAE-8740-A1068F587612}"/>
  <xltc:person displayName="OpenAI" id="{4BEA3185-0DD0-4694-AFBF-A2AB1D49F38B}"/>
  <xltc:person displayName="OpenAI" id="{73B0E122-CA1E-421E-983E-B771E081F209}"/>
  <xltc:person displayName="OpenAI" id="{8077D170-8182-48B5-904C-646E0BB2FAC1}"/>
  <xltc:person displayName="OpenAI" id="{D0A3E473-24E7-496C-A34A-7C09FEE322E3}"/>
  <xltc:person displayName="OpenAI" id="{3B026F50-B174-4E02-B0B7-77F6992D8699}"/>
  <xltc:person displayName="OpenAI" id="{75F39DF0-F04D-47A6-9D22-58386C793C5A}"/>
  <xltc:person displayName="OpenAI" id="{0C1E87DF-854D-44E7-8366-4C1C3F0055A2}"/>
  <xltc:person displayName="OpenAI" id="{FEF10172-85DD-496B-B6D2-64BEC6A569FD}"/>
  <xltc:person displayName="OpenAI" id="{81E158C4-7360-41B3-87F1-01D760F32313}"/>
  <xltc:person displayName="OpenAI" id="{A59D29A7-A237-4BAB-A297-AD399C5F06D0}"/>
  <xltc:person displayName="OpenAI" id="{801C590F-6E96-443C-813E-C4A388F7631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K24" dT="2026-08-07T11:14:23.97" personId="{8484DBF9-6267-4EBE-B72C-C37A92FC8FA5}" id="{FC18832C-C105-98D1-1F29-78FD098BFD11}">
    <xltc:text>Source: Anthem Biosciences Q1 FY27 Investor Presentation, July 21, 2026, consolidated P&amp;L table; Reported; INR million.</xltc:text>
  </xltc:threadedComment>
  <xltc:threadedComment ref="D24" dT="2026-08-07T11:16:04.452" personId="{78706FC3-4740-4DF9-8DE7-C4EB55FF771E}" id="{96F897A2-EEF1-DAFA-DDFC-DAB99DB01A41}">
    <xltc:text>Source: Anthem Biosciences Q2 &amp; H1 FY26 Investor Presentation, November 8, 2025, consolidated P&amp;L comparative table (Q2 FY25), p.4. Classification: Reported. Units: INR million. https://anthembio.com/investors/</xltc:text>
  </xltc:threadedComment>
  <xltc:threadedComment ref="D27" dT="2026-08-07T11:16:04.454" personId="{CE036B57-5A5C-4FEE-9407-422DBC588C10}" id="{55B722D8-E947-9B6F-1809-314B87A7C52C}">
    <xltc:text>Source: Anthem Biosciences Q2 &amp; H1 FY26 Investor Presentation, November 8, 2025, consolidated P&amp;L comparative table (Q2 FY25), p.4. Classification: Reported. Units: INR million. https://anthembio.com/investors/</xltc:text>
  </xltc:threadedComment>
  <xltc:threadedComment ref="D28" dT="2026-08-07T11:16:04.457" personId="{BA08D588-B611-40EE-9A15-F704836FD0C6}" id="{6358CA27-9B19-6E6A-4C73-9163F474468C}">
    <xltc:text>Source: Anthem Biosciences Q2 &amp; H1 FY26 Investor Presentation, November 8, 2025, consolidated P&amp;L comparative table (Q2 FY25), p.4. Classification: Reported. Units: INR million. https://anthembio.com/investors/</xltc:text>
  </xltc:threadedComment>
  <xltc:threadedComment ref="D31" dT="2026-08-07T11:16:04.46" personId="{27FFA022-EC0B-4FBF-9504-852410D4EA18}" id="{D7BE1353-F847-5FA1-5166-9A574C78DF7C}">
    <xltc:text>Source: Anthem Biosciences Q2 &amp; H1 FY26 Investor Presentation, November 8, 2025, consolidated P&amp;L comparative table (Q2 FY25), p.4. Classification: Reported. Units: INR million. https://anthembio.com/investors/</xltc:text>
  </xltc:threadedComment>
  <xltc:threadedComment ref="D32" dT="2026-08-07T11:16:04.462" personId="{F9849773-1674-4660-83F5-F53F41556192}" id="{724A0812-FA8B-1BAB-006F-6B706981FAA4}">
    <xltc:text>Source: Anthem Biosciences Q2 &amp; H1 FY26 Investor Presentation, November 8, 2025, consolidated P&amp;L comparative table (Q2 FY25), p.4. Classification: Reported. Units: INR million. https://anthembio.com/investors/</xltc:text>
  </xltc:threadedComment>
  <xltc:threadedComment ref="D33" dT="2026-08-07T11:16:04.467" personId="{924F3875-D632-438A-A934-0D5C0F04B5F4}" id="{96AF02F3-1CDF-DC13-792A-78B8816658FA}">
    <xltc:text>Source: Anthem Biosciences Q2 &amp; H1 FY26 Investor Presentation, November 8, 2025, consolidated P&amp;L comparative table (Q2 FY25), p.4. Classification: Reported. Units: INR million. https://anthembio.com/investors/</xltc:text>
  </xltc:threadedComment>
  <xltc:threadedComment ref="D34" dT="2026-08-07T11:16:04.47" personId="{CA7AFD42-B7A4-43A8-BB22-A330F17C0A03}" id="{24ED02B7-A4C9-C44D-6DC9-B3EBCCB97837}">
    <xltc:text>Source: Anthem Biosciences Q2 &amp; H1 FY26 Investor Presentation, November 8, 2025, consolidated P&amp;L comparative table (Q2 FY25), p.4. Classification: Reported. Units: INR million. https://anthembio.com/investors/</xltc:text>
  </xltc:threadedComment>
  <xltc:threadedComment ref="D37" dT="2026-08-07T11:16:04.472" personId="{E39A6974-E851-44FD-8EA4-42F27F2D1BC7}" id="{8214E1B9-5A52-A227-41A2-84E02283EE8C}">
    <xltc:text>Source: Anthem Biosciences Q2 &amp; H1 FY26 Investor Presentation, November 8, 2025, consolidated P&amp;L comparative table (Q2 FY25), p.4. Classification: Reported. Units: INR million. https://anthembio.com/investors/</xltc:text>
  </xltc:threadedComment>
  <xltc:threadedComment ref="D40" dT="2026-08-07T11:16:04.474" personId="{F9A5BF13-1140-467A-8B95-C70C66CD5644}" id="{5D818B4E-A5A7-3220-7325-5DD34734A141}">
    <xltc:text>Source: Anthem Biosciences Q2 &amp; H1 FY26 Investor Presentation, November 8, 2025, consolidated P&amp;L comparative table (Q2 FY25), p.4. Classification: Reported. Units: INR million. https://anthembio.com/investors/</xltc:text>
  </xltc:threadedComment>
  <xltc:threadedComment ref="D41" dT="2026-08-07T11:16:04.478" personId="{26DE5ABA-18DC-4C00-AC7C-1C9D4BCC96F4}" id="{C9A690D7-3996-A1FE-2D1A-5ADBC13EA543}">
    <xltc:text>Source: Anthem Biosciences Q2 &amp; H1 FY26 Investor Presentation, November 8, 2025, consolidated P&amp;L comparative table (Q2 FY25), p.4. Classification: Reported. Units: INR million. https://anthembio.com/investors/</xltc:text>
  </xltc:threadedComment>
  <xltc:threadedComment ref="D42" dT="2026-08-07T11:16:04.483" personId="{D3AD4E08-D184-447D-9842-91B62A94E3E6}" id="{F6A3883F-ADC7-33D2-A9E2-00F835F7ED2A}">
    <xltc:text>Source: Anthem Biosciences Q2 &amp; H1 FY26 Investor Presentation, November 8, 2025, consolidated P&amp;L comparative table (Q2 FY25), p.4. Classification: Reported. Units: INR million. https://anthembio.com/investors/</xltc:text>
  </xltc:threadedComment>
  <xltc:threadedComment ref="D43" dT="2026-08-07T11:16:04.485" personId="{4855F95E-4E02-4E98-8C85-784E8AC25C1D}" id="{FA651EA2-9B23-A4F0-7646-7F63415C9638}">
    <xltc:text>Source: Anthem Biosciences Q2 &amp; H1 FY26 Investor Presentation, November 8, 2025, consolidated P&amp;L comparative table (Q2 FY25), p.4. Classification: Reported. Units: INR million. https://anthembio.com/investors/</xltc:text>
  </xltc:threadedComment>
  <xltc:threadedComment ref="D46" dT="2026-08-07T11:16:04.488" personId="{C22A966D-2A93-411C-A075-2EB458DCB70C}" id="{80A9D5A4-28F7-AED9-80CD-AB0926E4F7FA}">
    <xltc:text>Source: Anthem Biosciences Q2 &amp; H1 FY26 Investor Presentation, November 8, 2025, consolidated P&amp;L comparative table (Q2 FY25), p.4. Classification: Reported. Units: INR million. https://anthembio.com/investors/</xltc:text>
  </xltc:threadedComment>
  <xltc:threadedComment ref="D47" dT="2026-08-07T11:16:04.491" personId="{58B2E6D3-0EE2-4509-944A-F00C2B6C1A01}" id="{F079D26C-709E-64BF-7A4E-314ED94F2A5A}">
    <xltc:text>Source: Anthem Biosciences Q2 &amp; H1 FY26 Investor Presentation, November 8, 2025, consolidated P&amp;L comparative table (Q2 FY25), p.4. Classification: Reported. Units: INR million. https://anthembio.com/investors/</xltc:text>
  </xltc:threadedComment>
  <xltc:threadedComment ref="D55" dT="2026-08-07T11:16:04.493" personId="{CCFF06B4-8093-4850-A13F-158E3B7DD0F8}" id="{8B5256C6-E4B3-B744-DD79-0F16BE4423B1}">
    <xltc:text>Source: Anthem Biosciences Q2 &amp; H1 FY26 Investor Presentation, November 8, 2025, consolidated P&amp;L / segment revenue comparative table (Q2 FY25), p.4. Classification: Reported. Units: INR million. https://anthembio.com/investors/</xltc:text>
  </xltc:threadedComment>
  <xltc:threadedComment ref="D59" dT="2026-08-07T11:16:04.498" personId="{2AF7D293-08C1-48C4-B689-4DBE4EDB2F3A}" id="{B7B54D64-7A6D-6039-3B3F-420DF225DDD9}">
    <xltc:text>Source: Anthem Biosciences Q2 &amp; H1 FY26 Investor Presentation, November 8, 2025, consolidated P&amp;L / segment revenue comparative table (Q2 FY25), p.4. Classification: Reported. Units: INR million. https://anthembio.com/investors/</xltc:text>
  </xltc:threadedComment>
  <xltc:threadedComment ref="E24" dT="2026-08-07T11:16:04.501" personId="{1DFA7400-3A7F-4B95-9EAF-5A0945196807}" id="{33F2EAF7-96C9-E76C-845E-62FD46D9F740}">
    <xltc:text>Source: Anthem Biosciences Q3 &amp; 9M FY26 Investor Presentation, February 5, 2026, consolidated P&amp;L comparative table (Q3 FY25), p.4. Classification: Reported. Units: INR million. https://anthembio.com/investors/</xltc:text>
  </xltc:threadedComment>
  <xltc:threadedComment ref="E27" dT="2026-08-07T11:16:04.504" personId="{FE0E6912-408A-4072-8874-35ED514A2AD1}" id="{441F6730-185E-69E9-88DE-63179E036898}">
    <xltc:text>Source: Anthem Biosciences Q3 &amp; 9M FY26 Investor Presentation, February 5, 2026, consolidated P&amp;L comparative table (Q3 FY25), p.4. Classification: Reported. Units: INR million. https://anthembio.com/investors/</xltc:text>
  </xltc:threadedComment>
  <xltc:threadedComment ref="E28" dT="2026-08-07T11:16:04.507" personId="{77B8E126-FD44-47CC-A870-30F701B79390}" id="{A7D15944-D8AB-5536-0B64-BDCD5D293E5E}">
    <xltc:text>Source: Anthem Biosciences Q3 &amp; 9M FY26 Investor Presentation, February 5, 2026, consolidated P&amp;L comparative table (Q3 FY25), p.4. Classification: Reported. Units: INR million. https://anthembio.com/investors/</xltc:text>
  </xltc:threadedComment>
  <xltc:threadedComment ref="E31" dT="2026-08-07T11:16:04.51" personId="{5CFD7BB7-DA7F-446C-A86D-CCC85B818472}" id="{A7181F8F-9ACB-8B84-7345-AF90B186C161}">
    <xltc:text>Source: Anthem Biosciences Q3 &amp; 9M FY26 Investor Presentation, February 5, 2026, consolidated P&amp;L comparative table (Q3 FY25), p.4. Classification: Reported. Units: INR million. https://anthembio.com/investors/</xltc:text>
  </xltc:threadedComment>
  <xltc:threadedComment ref="E32" dT="2026-08-07T11:16:04.514" personId="{B3084DE9-D5D1-4C53-A48D-C252BCFED9A5}" id="{719DBC2D-5A88-E2F4-D897-7D59F48E278B}">
    <xltc:text>Source: Anthem Biosciences Q3 &amp; 9M FY26 Investor Presentation, February 5, 2026, consolidated P&amp;L comparative table (Q3 FY25), p.4. Classification: Reported. Units: INR million. https://anthembio.com/investors/</xltc:text>
  </xltc:threadedComment>
  <xltc:threadedComment ref="E33" dT="2026-08-07T11:16:04.517" personId="{E780BC3C-CDFC-46A7-8586-F99FF186F1B3}" id="{55086354-C8F0-39C3-D9CA-49EFE8243AA9}">
    <xltc:text>Source: Anthem Biosciences Q3 &amp; 9M FY26 Investor Presentation, February 5, 2026, consolidated P&amp;L comparative table (Q3 FY25), p.4. Classification: Reported. Units: INR million. https://anthembio.com/investors/</xltc:text>
  </xltc:threadedComment>
  <xltc:threadedComment ref="E34" dT="2026-08-07T11:16:04.521" personId="{B2FC72F3-CD6A-4F16-A7E3-1A23398C4A77}" id="{E746FFF5-28BC-99C6-C78C-A7A032A75783}">
    <xltc:text>Source: Anthem Biosciences Q3 &amp; 9M FY26 Investor Presentation, February 5, 2026, consolidated P&amp;L comparative table (Q3 FY25), p.4. Classification: Reported. Units: INR million. https://anthembio.com/investors/</xltc:text>
  </xltc:threadedComment>
  <xltc:threadedComment ref="E37" dT="2026-08-07T11:16:04.524" personId="{38C089CF-7A3E-4BCF-8811-419A51F6BFF5}" id="{90194DCB-19DE-D394-DD02-A612B4F09B00}">
    <xltc:text>Source: Anthem Biosciences Q3 &amp; 9M FY26 Investor Presentation, February 5, 2026, consolidated P&amp;L comparative table (Q3 FY25), p.4. Classification: Reported. Units: INR million. https://anthembio.com/investors/</xltc:text>
  </xltc:threadedComment>
  <xltc:threadedComment ref="E40" dT="2026-08-07T11:16:04.527" personId="{A8B44DBA-2C50-48A6-B2C3-DB0175FEA80E}" id="{52393783-EAB7-1465-8357-67470E17CEF3}">
    <xltc:text>Source: Anthem Biosciences Q3 &amp; 9M FY26 Investor Presentation, February 5, 2026, consolidated P&amp;L comparative table (Q3 FY25), p.4. Classification: Reported. Units: INR million. https://anthembio.com/investors/</xltc:text>
  </xltc:threadedComment>
  <xltc:threadedComment ref="E41" dT="2026-08-07T11:16:04.531" personId="{8D43F439-E0AC-40DA-8106-1D4E015377AA}" id="{D7872C33-A1C7-BB96-1557-D72606939478}">
    <xltc:text>Source: Anthem Biosciences Q3 &amp; 9M FY26 Investor Presentation, February 5, 2026, consolidated P&amp;L comparative table (Q3 FY25), p.4. Classification: Reported. Units: INR million. https://anthembio.com/investors/</xltc:text>
  </xltc:threadedComment>
  <xltc:threadedComment ref="E42" dT="2026-08-07T11:16:04.534" personId="{83AADFEA-5C62-4B7C-9F77-801BF870433A}" id="{D05E60BC-30D0-9A64-AD93-C2AE7E18508A}">
    <xltc:text>Source: Anthem Biosciences Q3 &amp; 9M FY26 Investor Presentation, February 5, 2026, consolidated P&amp;L comparative table (Q3 FY25), p.4. Classification: Reported. Units: INR million. https://anthembio.com/investors/</xltc:text>
  </xltc:threadedComment>
  <xltc:threadedComment ref="E43" dT="2026-08-07T11:16:04.537" personId="{4E376576-73BF-40F3-88D9-38D09FE03F3D}" id="{42A0FB65-15FB-3055-C5E6-7DF8473CD526}">
    <xltc:text>Source: Anthem Biosciences Q3 &amp; 9M FY26 Investor Presentation, February 5, 2026, consolidated P&amp;L comparative table (Q3 FY25), p.4. Classification: Reported. Units: INR million. https://anthembio.com/investors/</xltc:text>
  </xltc:threadedComment>
  <xltc:threadedComment ref="E46" dT="2026-08-07T11:16:04.54" personId="{AC95CEBE-201C-4D13-9C94-859350AE533A}" id="{A3FD3D82-D8E0-1BC5-3512-C3C64308D16E}">
    <xltc:text>Source: Anthem Biosciences Q3 &amp; 9M FY26 Investor Presentation, February 5, 2026, consolidated P&amp;L comparative table (Q3 FY25), p.4. Classification: Reported. Units: INR million. https://anthembio.com/investors/</xltc:text>
  </xltc:threadedComment>
  <xltc:threadedComment ref="E47" dT="2026-08-07T11:16:04.544" personId="{9CFB2A72-275A-474D-BA28-8BCAEE5F9C16}" id="{815D2B08-0573-C22C-7201-BA3C9C3812C2}">
    <xltc:text>Source: Anthem Biosciences Q3 &amp; 9M FY26 Investor Presentation, February 5, 2026, consolidated P&amp;L comparative table (Q3 FY25), p.4. Classification: Reported. Units: INR million. https://anthembio.com/investors/</xltc:text>
  </xltc:threadedComment>
  <xltc:threadedComment ref="E55" dT="2026-08-07T11:16:04.547" personId="{DFDF8097-B1F0-4378-863A-3A4337C24A95}" id="{C4D59916-A141-B8DF-5802-CF9FB192EE27}">
    <xltc:text>Source: Anthem Biosciences Q3 &amp; 9M FY26 Investor Presentation, February 5, 2026, consolidated P&amp;L / segment revenue comparative table (Q3 FY25), p.4. Classification: Reported. Units: INR million. https://anthembio.com/investors/</xltc:text>
  </xltc:threadedComment>
  <xltc:threadedComment ref="E59" dT="2026-08-07T11:16:04.55" personId="{B4ADC6CE-C890-4EE2-9054-51B127EFE3A5}" id="{73E76B6B-5CAA-CE7A-4A27-F876F3B3ADD5}">
    <xltc:text>Source: Anthem Biosciences Q3 &amp; 9M FY26 Investor Presentation, February 5, 2026, consolidated P&amp;L / segment revenue comparative table (Q3 FY25), p.4. Classification: Reported. Units: INR million. https://anthembio.com/investors/</xltc:text>
  </xltc:threadedComment>
  <xltc:threadedComment ref="F24" dT="2026-08-07T11:16:04.553" personId="{00C155E9-777B-474C-BD45-B3DE0D6848EF}" id="{7B30806F-3DD1-AABF-99C9-47F6284430B1}">
    <xltc:text>Source: Anthem Biosciences Q4 &amp; FY26 Investor Presentation, May 19, 2026, consolidated P&amp;L comparative table (Q4 FY25), p.5. Classification: Reported. Units: INR million. https://anthembio.com/investors/</xltc:text>
  </xltc:threadedComment>
  <xltc:threadedComment ref="F27" dT="2026-08-07T11:16:04.557" personId="{9D910EEF-B4C4-4D00-9A4C-778825C037E0}" id="{1F40FD07-DE92-3369-0695-B2D521F946CC}">
    <xltc:text>Source: Anthem Biosciences Q4 &amp; FY26 Investor Presentation, May 19, 2026, consolidated P&amp;L comparative table (Q4 FY25), p.5. Classification: Reported. Units: INR million. https://anthembio.com/investors/</xltc:text>
  </xltc:threadedComment>
  <xltc:threadedComment ref="F28" dT="2026-08-07T11:16:04.56" personId="{0FB5F8CA-1486-4A6C-A9CC-A4C9EB0EA299}" id="{004A7234-4A54-C2AA-F8D7-79EBD68155C0}">
    <xltc:text>Source: Anthem Biosciences Q4 &amp; FY26 Investor Presentation, May 19, 2026, consolidated P&amp;L comparative table (Q4 FY25), p.5. Classification: Reported. Units: INR million. https://anthembio.com/investors/</xltc:text>
  </xltc:threadedComment>
  <xltc:threadedComment ref="F31" dT="2026-08-07T11:16:04.563" personId="{CFB95AB4-45BF-41D8-87CA-3A35CDC959B4}" id="{3F453A00-4BF1-CFBA-0CC4-CD6E549ED384}">
    <xltc:text>Source: Anthem Biosciences Q4 &amp; FY26 Investor Presentation, May 19, 2026, consolidated P&amp;L comparative table (Q4 FY25), p.5. Classification: Reported. Units: INR million. https://anthembio.com/investors/</xltc:text>
  </xltc:threadedComment>
  <xltc:threadedComment ref="F32" dT="2026-08-07T11:16:04.567" personId="{AB0E4EE1-9CF0-423D-BA2C-97A285B6C53A}" id="{F0145A8E-EFF2-DC43-97B0-060DB6CAE624}">
    <xltc:text>Source: Anthem Biosciences Q4 &amp; FY26 Investor Presentation, May 19, 2026, consolidated P&amp;L comparative table (Q4 FY25), p.5. Classification: Reported. Units: INR million. https://anthembio.com/investors/</xltc:text>
  </xltc:threadedComment>
  <xltc:threadedComment ref="F33" dT="2026-08-07T11:16:04.569" personId="{63F8DEAA-A0A9-441D-AF50-E799D35E4788}" id="{FBF9DB5E-76A7-DA32-8685-89E1C96AA131}">
    <xltc:text>Source: Anthem Biosciences Q4 &amp; FY26 Investor Presentation, May 19, 2026, consolidated P&amp;L comparative table (Q4 FY25), p.5. Classification: Reported. Units: INR million. https://anthembio.com/investors/</xltc:text>
  </xltc:threadedComment>
  <xltc:threadedComment ref="F34" dT="2026-08-07T11:16:04.572" personId="{B60BA178-8673-4A73-B527-C563529C6131}" id="{57A57ACC-A54E-0855-1412-4672185EACB4}">
    <xltc:text>Source: Anthem Biosciences Q4 &amp; FY26 Investor Presentation, May 19, 2026, consolidated P&amp;L comparative table (Q4 FY25), p.5. Classification: Reported. Units: INR million. https://anthembio.com/investors/</xltc:text>
  </xltc:threadedComment>
  <xltc:threadedComment ref="F37" dT="2026-08-07T11:16:04.575" personId="{600F5FF9-EE1E-429A-89B6-53CA69FF354F}" id="{59BE4A14-0D7B-F4AB-7AC4-6218A74FD8AF}">
    <xltc:text>Source: Anthem Biosciences Q4 &amp; FY26 Investor Presentation, May 19, 2026, consolidated P&amp;L comparative table (Q4 FY25), p.5. Classification: Reported. Units: INR million. https://anthembio.com/investors/</xltc:text>
  </xltc:threadedComment>
  <xltc:threadedComment ref="F40" dT="2026-08-07T11:16:04.579" personId="{D295F9D0-2F54-42BD-9A57-E1E386B952D2}" id="{01EB8429-9285-4817-86E4-7CA03A143B4F}">
    <xltc:text>Source: Anthem Biosciences Q4 &amp; FY26 Investor Presentation, May 19, 2026, consolidated P&amp;L comparative table (Q4 FY25), p.5. Classification: Reported. Units: INR million. https://anthembio.com/investors/</xltc:text>
  </xltc:threadedComment>
  <xltc:threadedComment ref="F41" dT="2026-08-07T11:16:04.581" personId="{FAA1EC99-9F4C-44CE-B0DF-10E948A87B01}" id="{8A33BA0C-5C20-1FD1-7A84-A7C254531A5D}">
    <xltc:text>Source: Anthem Biosciences Q4 &amp; FY26 Investor Presentation, May 19, 2026, consolidated P&amp;L comparative table (Q4 FY25), p.5. Classification: Reported. Units: INR million. https://anthembio.com/investors/</xltc:text>
  </xltc:threadedComment>
  <xltc:threadedComment ref="F42" dT="2026-08-07T11:16:04.584" personId="{61358893-8E43-445B-8B70-8D53D7DE117A}" id="{E306685F-C54F-A848-0553-4D2CCC1862F2}">
    <xltc:text>Source: Anthem Biosciences Q4 &amp; FY26 Investor Presentation, May 19, 2026, consolidated P&amp;L comparative table (Q4 FY25), p.5. Classification: Reported. Units: INR million. https://anthembio.com/investors/</xltc:text>
  </xltc:threadedComment>
  <xltc:threadedComment ref="F43" dT="2026-08-07T11:16:04.587" personId="{DD9A72F2-332D-4C0F-892E-E1BFD82CE7BF}" id="{39FF1DA7-CFF1-50CF-ADCB-303AE4CF5D62}">
    <xltc:text>Source: Anthem Biosciences Q4 &amp; FY26 Investor Presentation, May 19, 2026, consolidated P&amp;L comparative table (Q4 FY25), p.5. Classification: Reported. Units: INR million. https://anthembio.com/investors/</xltc:text>
  </xltc:threadedComment>
  <xltc:threadedComment ref="F46" dT="2026-08-07T11:16:04.589" personId="{9DBC6EE9-17D9-417F-8148-62CC480E14BF}" id="{07C367A7-10CA-EC02-50F4-35C651603016}">
    <xltc:text>Source: Anthem Biosciences Q4 &amp; FY26 Investor Presentation, May 19, 2026, consolidated P&amp;L comparative table (Q4 FY25), p.5. Classification: Reported. Units: INR million. https://anthembio.com/investors/</xltc:text>
  </xltc:threadedComment>
  <xltc:threadedComment ref="F47" dT="2026-08-07T11:16:04.592" personId="{AE42F7A2-EA53-438D-B6A8-231A46868AAE}" id="{06CC0618-0491-388F-FCE4-F3E7196EAE77}">
    <xltc:text>Source: Anthem Biosciences Q4 &amp; FY26 Investor Presentation, May 19, 2026, consolidated P&amp;L comparative table (Q4 FY25), p.5. Classification: Reported. Units: INR million. https://anthembio.com/investors/</xltc:text>
  </xltc:threadedComment>
  <xltc:threadedComment ref="F55" dT="2026-08-07T11:16:04.595" personId="{01D1EB83-0AA8-48D1-8F7E-D1FF65E53164}" id="{A56F752D-CDF4-FAC7-0DD8-B2F10727CB8A}">
    <xltc:text>Source: Anthem Biosciences Q4 &amp; FY26 Investor Presentation, May 19, 2026, consolidated P&amp;L / segment revenue comparative table (Q4 FY25), p.5. Classification: Reported. Units: INR million. https://anthembio.com/investors/</xltc:text>
  </xltc:threadedComment>
  <xltc:threadedComment ref="F59" dT="2026-08-07T11:16:04.597" personId="{0D64EFA7-564B-45E4-A116-1BDFE79E20AA}" id="{F9BA4AAF-53C4-6E99-331C-1629008E64E7}">
    <xltc:text>Source: Anthem Biosciences Q4 &amp; FY26 Investor Presentation, May 19, 2026, consolidated P&amp;L / segment revenue comparative table (Q4 FY25), p.5. Classification: Reported. Units: INR million. https://anthembio.com/investors/</xltc:text>
  </xltc:threadedComment>
  <xltc:threadedComment ref="G24" dT="2026-08-07T11:16:04.6" personId="{AB765FC9-FB85-4EEF-A462-70DA2C459398}" id="{2EB8F5AC-1485-1168-5A57-F0037A644940}">
    <xltc:text>Source: Anthem Biosciences Q1 FY26 Investor Presentation, August 13, 2025, consolidated P&amp;L table, p.4. Classification: Reported. Units: INR million. https://anthembio.com/investors/</xltc:text>
  </xltc:threadedComment>
  <xltc:threadedComment ref="G27" dT="2026-08-07T11:16:04.603" personId="{C97A776C-2252-419C-AF8A-77427882D81F}" id="{68615464-DCD8-8979-5081-08C69263E98E}">
    <xltc:text>Source: Anthem Biosciences Q1 FY26 Investor Presentation, August 13, 2025, consolidated P&amp;L table, p.4. Classification: Reported. Units: INR million. https://anthembio.com/investors/</xltc:text>
  </xltc:threadedComment>
  <xltc:threadedComment ref="G28" dT="2026-08-07T11:16:04.611" personId="{A36CB2A2-20EE-4861-95E4-BC929DD851F4}" id="{BE9709C5-04BB-AB83-F2DA-F864A7ED7609}">
    <xltc:text>Source: Anthem Biosciences Q1 FY26 Investor Presentation, August 13, 2025, consolidated P&amp;L table, p.4. Classification: Reported. Units: INR million. https://anthembio.com/investors/</xltc:text>
  </xltc:threadedComment>
  <xltc:threadedComment ref="G31" dT="2026-08-07T11:16:04.614" personId="{D92FD882-0B2B-4E60-938D-894B2EEC6DCD}" id="{DE7311CE-8D0A-34EB-5D3B-A71093A6E7F0}">
    <xltc:text>Source: Anthem Biosciences Q1 FY26 Investor Presentation, August 13, 2025, consolidated P&amp;L table, p.4. Classification: Reported. Units: INR million. https://anthembio.com/investors/</xltc:text>
  </xltc:threadedComment>
  <xltc:threadedComment ref="G32" dT="2026-08-07T11:16:04.616" personId="{CF0AF88F-0A41-4B4C-8E89-EA2C8C320072}" id="{6E61E11C-0892-0D75-1955-6767BD2C9776}">
    <xltc:text>Source: Anthem Biosciences Q1 FY26 Investor Presentation, August 13, 2025, consolidated P&amp;L table, p.4. Classification: Reported. Units: INR million. https://anthembio.com/investors/</xltc:text>
  </xltc:threadedComment>
  <xltc:threadedComment ref="G33" dT="2026-08-07T11:16:04.619" personId="{8CEB6DF8-C5FA-4F42-96C8-7AFFA0D5D403}" id="{ECEA9F1D-EF70-F7D6-8CF3-E16FFFB733AC}">
    <xltc:text>Source: Anthem Biosciences Q1 FY26 Investor Presentation, August 13, 2025, consolidated P&amp;L table, p.4. Classification: Reported. Units: INR million. https://anthembio.com/investors/</xltc:text>
  </xltc:threadedComment>
  <xltc:threadedComment ref="G34" dT="2026-08-07T11:16:04.622" personId="{A4194A5A-B5B8-47CE-BC02-2C39FAA2BF14}" id="{E1CF61F4-22D0-6069-6B49-0263DD09A38D}">
    <xltc:text>Source: Anthem Biosciences Q1 FY26 Investor Presentation, August 13, 2025, consolidated P&amp;L table, p.4. Classification: Reported. Units: INR million. https://anthembio.com/investors/</xltc:text>
  </xltc:threadedComment>
  <xltc:threadedComment ref="G37" dT="2026-08-07T11:16:04.624" personId="{D52FD4C8-5B57-481C-BADE-3A6A562F7979}" id="{64F1A720-BCDE-B6C3-2529-B4E9185D257C}">
    <xltc:text>Source: Anthem Biosciences Q1 FY26 Investor Presentation, August 13, 2025, consolidated P&amp;L table, p.4. Classification: Reported. Units: INR million. https://anthembio.com/investors/</xltc:text>
  </xltc:threadedComment>
  <xltc:threadedComment ref="G40" dT="2026-08-07T11:16:04.628" personId="{EC6DCB25-64F6-46E0-9F05-C868AE470613}" id="{C7674C2A-2FD0-5840-3FE8-85AF4C4A621F}">
    <xltc:text>Source: Anthem Biosciences Q1 FY26 Investor Presentation, August 13, 2025, consolidated P&amp;L table, p.4. Classification: Reported. Units: INR million. https://anthembio.com/investors/</xltc:text>
  </xltc:threadedComment>
  <xltc:threadedComment ref="G41" dT="2026-08-07T11:16:04.631" personId="{371DA8E4-77FD-44E2-B3AF-04ED3199DE06}" id="{4E66AA9B-3E42-1FC2-CBF2-CB3D418B0467}">
    <xltc:text>Source: Anthem Biosciences Q1 FY26 Investor Presentation, August 13, 2025, consolidated P&amp;L table, p.4. Classification: Reported. Units: INR million. https://anthembio.com/investors/</xltc:text>
  </xltc:threadedComment>
  <xltc:threadedComment ref="G42" dT="2026-08-07T11:16:04.634" personId="{3A462B60-F45A-4527-A638-55E277E6A28A}" id="{537C2EF9-6F84-2257-A9A4-6C87C69A76D0}">
    <xltc:text>Source: Anthem Biosciences Q1 FY26 Investor Presentation, August 13, 2025, consolidated P&amp;L table, p.4. Classification: Reported. Units: INR million. https://anthembio.com/investors/</xltc:text>
  </xltc:threadedComment>
  <xltc:threadedComment ref="G43" dT="2026-08-07T11:16:04.637" personId="{F942A443-1AB2-461E-BC69-850F02139A0F}" id="{9EB1275D-8DDE-B397-56D4-94815D0DD584}">
    <xltc:text>Source: Anthem Biosciences Q1 FY26 Investor Presentation, August 13, 2025, consolidated P&amp;L table, p.4. Classification: Reported. Units: INR million. https://anthembio.com/investors/</xltc:text>
  </xltc:threadedComment>
  <xltc:threadedComment ref="G46" dT="2026-08-07T11:16:04.64" personId="{ECD670E8-8EFA-4121-A20A-0B75F1104A86}" id="{6ED2974D-C1FB-035E-1A63-72EF439C9A16}">
    <xltc:text>Source: Anthem Biosciences Q1 FY26 Investor Presentation, August 13, 2025, consolidated P&amp;L table, p.4. Classification: Reported. Units: INR million. https://anthembio.com/investors/</xltc:text>
  </xltc:threadedComment>
  <xltc:threadedComment ref="G47" dT="2026-08-07T11:16:04.643" personId="{603EEDBC-5B34-49E5-8F1B-2B8BD02E1205}" id="{7CE54202-EDC3-811A-9449-D3E991A866DC}">
    <xltc:text>Source: Anthem Biosciences Q1 FY26 Investor Presentation, August 13, 2025, consolidated P&amp;L table, p.4. Classification: Reported. Units: INR million. https://anthembio.com/investors/</xltc:text>
  </xltc:threadedComment>
  <xltc:threadedComment ref="G55" dT="2026-08-07T11:16:04.646" personId="{ABBDFB9C-035C-4659-B927-9CFA29359B8F}" id="{E72F1565-2B2D-6702-98DE-4A3B048D5C11}">
    <xltc:text>Source: Anthem Biosciences Q1 FY26 Investor Presentation, August 13, 2025, consolidated P&amp;L / segment revenue table, p.4. Classification: Reported. Units: INR million. https://anthembio.com/investors/</xltc:text>
  </xltc:threadedComment>
  <xltc:threadedComment ref="G59" dT="2026-08-07T11:16:04.65" personId="{64E690D3-EC96-412D-BEAA-47E2E44E327D}" id="{58335FBB-E1B4-483A-B94B-DF36288FF8C4}">
    <xltc:text>Source: Anthem Biosciences Q1 FY26 Investor Presentation, August 13, 2025, consolidated P&amp;L / segment revenue table, p.4. Classification: Reported. Units: INR million. https://anthembio.com/investors/</xltc:text>
  </xltc:threadedComment>
  <xltc:threadedComment ref="H24" dT="2026-08-07T11:16:04.654" personId="{F2274A21-0A62-4582-903A-684EB621DE03}" id="{B5CCE901-01FC-A0C0-D050-D3B763419E06}">
    <xltc:text>Source: Anthem Biosciences Q2 &amp; H1 FY26 Investor Presentation, November 8, 2025, consolidated P&amp;L table, p.4. Classification: Reported. Units: INR million. https://anthembio.com/investors/</xltc:text>
  </xltc:threadedComment>
  <xltc:threadedComment ref="H27" dT="2026-08-07T11:16:04.66" personId="{F5B4FE1F-22AE-43AD-BA93-233EBAA9CFD7}" id="{6D05F38F-ED05-4270-A6F3-F38BC4CC5817}">
    <xltc:text>Source: Anthem Biosciences Q2 &amp; H1 FY26 Investor Presentation, November 8, 2025, consolidated P&amp;L table, p.4. Classification: Reported. Units: INR million. https://anthembio.com/investors/</xltc:text>
  </xltc:threadedComment>
  <xltc:threadedComment ref="H28" dT="2026-08-07T11:16:04.665" personId="{A58DABB5-3C0C-447A-997E-6DBD22007D72}" id="{117F987A-C62D-975D-E222-C0FBFB94AA12}">
    <xltc:text>Source: Anthem Biosciences Q2 &amp; H1 FY26 Investor Presentation, November 8, 2025, consolidated P&amp;L table, p.4. Classification: Reported. Units: INR million. https://anthembio.com/investors/</xltc:text>
  </xltc:threadedComment>
  <xltc:threadedComment ref="H31" dT="2026-08-07T11:16:04.669" personId="{BB05A5DF-E01F-4C37-8017-2F0609F519D1}" id="{7CD82F33-E0EF-AC0C-4873-528CDF75CDDD}">
    <xltc:text>Source: Anthem Biosciences Q2 &amp; H1 FY26 Investor Presentation, November 8, 2025, consolidated P&amp;L table, p.4. Classification: Reported. Units: INR million. https://anthembio.com/investors/</xltc:text>
  </xltc:threadedComment>
  <xltc:threadedComment ref="H32" dT="2026-08-07T11:16:04.672" personId="{C1DA60B3-F510-4CAB-A841-4837BBCB450E}" id="{7A2C7EDA-23D6-0CD8-7D44-C0BEE6C75D61}">
    <xltc:text>Source: Anthem Biosciences Q2 &amp; H1 FY26 Investor Presentation, November 8, 2025, consolidated P&amp;L table, p.4. Classification: Reported. Units: INR million. https://anthembio.com/investors/</xltc:text>
  </xltc:threadedComment>
  <xltc:threadedComment ref="H33" dT="2026-08-07T11:16:04.676" personId="{42D96819-3B28-4C15-AFF9-308BD3C0EF3B}" id="{28D8B6FE-B569-58C1-2AB0-F8E08D6ECF84}">
    <xltc:text>Source: Anthem Biosciences Q2 &amp; H1 FY26 Investor Presentation, November 8, 2025, consolidated P&amp;L table, p.4. Classification: Reported. Units: INR million. https://anthembio.com/investors/</xltc:text>
  </xltc:threadedComment>
  <xltc:threadedComment ref="H34" dT="2026-08-07T11:16:04.679" personId="{8D1EC152-4676-4E51-98B1-3AB075199F93}" id="{9D7F923C-3E1B-81B8-907E-5CFDD1D0035D}">
    <xltc:text>Source: Anthem Biosciences Q2 &amp; H1 FY26 Investor Presentation, November 8, 2025, consolidated P&amp;L table, p.4. Classification: Reported. Units: INR million. https://anthembio.com/investors/</xltc:text>
  </xltc:threadedComment>
  <xltc:threadedComment ref="H37" dT="2026-08-07T11:16:04.682" personId="{6722BA0A-0078-40E2-AE34-4536ABFB9B00}" id="{57C5E19E-2979-AB19-0C8A-F8B286AA3FC6}">
    <xltc:text>Source: Anthem Biosciences Q2 &amp; H1 FY26 Investor Presentation, November 8, 2025, consolidated P&amp;L table, p.4. Classification: Reported. Units: INR million. https://anthembio.com/investors/</xltc:text>
  </xltc:threadedComment>
  <xltc:threadedComment ref="H40" dT="2026-08-07T11:16:04.685" personId="{75FF5C7A-61B1-4049-A241-C64F72BAC405}" id="{F31CB339-303A-283C-1C38-F1AC7F67DC88}">
    <xltc:text>Source: Anthem Biosciences Q2 &amp; H1 FY26 Investor Presentation, November 8, 2025, consolidated P&amp;L table, p.4. Classification: Reported. Units: INR million. https://anthembio.com/investors/</xltc:text>
  </xltc:threadedComment>
  <xltc:threadedComment ref="H41" dT="2026-08-07T11:16:04.688" personId="{822DB4DE-E0A3-4030-B9FF-EB1D24471F70}" id="{4071BE87-6B36-0656-F3D4-3AD4E818E476}">
    <xltc:text>Source: Anthem Biosciences Q2 &amp; H1 FY26 Investor Presentation, November 8, 2025, consolidated P&amp;L table, p.4. Classification: Reported. Units: INR million. https://anthembio.com/investors/</xltc:text>
  </xltc:threadedComment>
  <xltc:threadedComment ref="H42" dT="2026-08-07T11:16:04.692" personId="{3ADCFC72-AA77-4B36-AC93-C6DAE33C853C}" id="{DC6C352D-5F3B-3014-6508-2A019D6DACF3}">
    <xltc:text>Source: Anthem Biosciences Q2 &amp; H1 FY26 Investor Presentation, November 8, 2025, consolidated P&amp;L table, p.4. Classification: Reported. Units: INR million. https://anthembio.com/investors/</xltc:text>
  </xltc:threadedComment>
  <xltc:threadedComment ref="H43" dT="2026-08-07T11:16:04.712" personId="{610FC5C8-583F-4AE6-A653-904A3D32A9C4}" id="{AC685921-FE3E-ECA7-44EF-A173CB23037D}">
    <xltc:text>Source: Anthem Biosciences Q2 &amp; H1 FY26 Investor Presentation, November 8, 2025, consolidated P&amp;L table, p.4. Classification: Reported. Units: INR million. https://anthembio.com/investors/</xltc:text>
  </xltc:threadedComment>
  <xltc:threadedComment ref="H46" dT="2026-08-07T11:16:04.716" personId="{58BB1A1B-8337-4260-AA96-DDE7E3447DE0}" id="{5B73B91E-FEEE-5A35-CD74-96EF745F8CA8}">
    <xltc:text>Source: Anthem Biosciences Q2 &amp; H1 FY26 Investor Presentation, November 8, 2025, consolidated P&amp;L table, p.4. Classification: Reported. Units: INR million. https://anthembio.com/investors/</xltc:text>
  </xltc:threadedComment>
  <xltc:threadedComment ref="H47" dT="2026-08-07T11:16:04.724" personId="{76D986A5-A76C-42B9-83BA-076BBE223AF5}" id="{E6D552E1-C4B6-A7F9-0EED-725EA01E17EF}">
    <xltc:text>Source: Anthem Biosciences Q2 &amp; H1 FY26 Investor Presentation, November 8, 2025, consolidated P&amp;L table, p.4. Classification: Reported. Units: INR million. https://anthembio.com/investors/</xltc:text>
  </xltc:threadedComment>
  <xltc:threadedComment ref="H55" dT="2026-08-07T11:16:04.728" personId="{439AB273-0D29-44F1-9877-F143E7441A48}" id="{814C397F-7000-FC4B-609F-130CAED23ABD}">
    <xltc:text>Source: Anthem Biosciences Q2 &amp; H1 FY26 Investor Presentation, November 8, 2025, consolidated P&amp;L / segment revenue table, p.4. Classification: Reported. Units: INR million. https://anthembio.com/investors/</xltc:text>
  </xltc:threadedComment>
  <xltc:threadedComment ref="H59" dT="2026-08-07T11:16:04.731" personId="{15F327FE-6B11-4F0C-B2C7-B02D3AAA9914}" id="{F453C3F5-7274-1473-E961-FC76770B1E2A}">
    <xltc:text>Source: Anthem Biosciences Q2 &amp; H1 FY26 Investor Presentation, November 8, 2025, consolidated P&amp;L / segment revenue table, p.4. Classification: Reported. Units: INR million. https://anthembio.com/investors/</xltc:text>
  </xltc:threadedComment>
  <xltc:threadedComment ref="I24" dT="2026-08-07T11:16:04.735" personId="{21E442C5-13D9-4FAD-8BC5-56B2835B01EF}" id="{2D1023B4-63E5-E050-805B-2CF83C1563CC}">
    <xltc:text>Source: Anthem Biosciences Q3 &amp; 9M FY26 Investor Presentation, February 5, 2026, consolidated P&amp;L table, p.4. Classification: Reported. Units: INR million. https://anthembio.com/investors/</xltc:text>
  </xltc:threadedComment>
  <xltc:threadedComment ref="I27" dT="2026-08-07T11:16:04.74" personId="{AC64841D-8859-44A1-8373-499C576C022D}" id="{1EA432C1-27B8-66AD-79FF-ECD773EE00F8}">
    <xltc:text>Source: Anthem Biosciences Q3 &amp; 9M FY26 Investor Presentation, February 5, 2026, consolidated P&amp;L table, p.4. Classification: Reported. Units: INR million. https://anthembio.com/investors/</xltc:text>
  </xltc:threadedComment>
  <xltc:threadedComment ref="I28" dT="2026-08-07T11:16:04.743" personId="{6F4CB780-31E4-423C-97E4-9A912265CAD4}" id="{DE1D4985-3433-C290-81F2-AB9DB3203CF7}">
    <xltc:text>Source: Anthem Biosciences Q3 &amp; 9M FY26 Investor Presentation, February 5, 2026, consolidated P&amp;L table, p.4. Classification: Reported. Units: INR million. https://anthembio.com/investors/</xltc:text>
  </xltc:threadedComment>
  <xltc:threadedComment ref="I31" dT="2026-08-07T11:16:04.746" personId="{9B586F80-CC87-40C5-AA47-A167228F8547}" id="{30C1E238-B907-B230-44D0-4D9F0EC12492}">
    <xltc:text>Source: Anthem Biosciences Q3 &amp; 9M FY26 Investor Presentation, February 5, 2026, consolidated P&amp;L table, p.4. Classification: Reported. Units: INR million. https://anthembio.com/investors/</xltc:text>
  </xltc:threadedComment>
  <xltc:threadedComment ref="I32" dT="2026-08-07T11:16:04.749" personId="{3645D2F1-1E09-4C01-A2F9-1FB1651E5B57}" id="{254F9974-7CC2-FCEF-D97F-78F64C521BEF}">
    <xltc:text>Source: Anthem Biosciences Q3 &amp; 9M FY26 Investor Presentation, February 5, 2026, consolidated P&amp;L table, p.4. Classification: Reported. Units: INR million. https://anthembio.com/investors/</xltc:text>
  </xltc:threadedComment>
  <xltc:threadedComment ref="I33" dT="2026-08-07T11:16:04.752" personId="{FB551964-2F6B-4252-9AA2-5F97E3A80CFB}" id="{CBE6B2A9-1761-5CA2-4DEB-DC7C54EF8635}">
    <xltc:text>Source: Anthem Biosciences Q3 &amp; 9M FY26 Investor Presentation, February 5, 2026, consolidated P&amp;L table, p.4. Classification: Reported. Units: INR million. https://anthembio.com/investors/</xltc:text>
  </xltc:threadedComment>
  <xltc:threadedComment ref="I34" dT="2026-08-07T11:16:04.758" personId="{83A2DE8F-5AA2-48EC-BD8E-983956178F4A}" id="{3F48FF0C-E0D5-A0DA-20B9-024A3B070400}">
    <xltc:text>Source: Anthem Biosciences Q3 &amp; 9M FY26 Investor Presentation, February 5, 2026, consolidated P&amp;L table, p.4. Classification: Reported. Units: INR million. https://anthembio.com/investors/</xltc:text>
  </xltc:threadedComment>
  <xltc:threadedComment ref="I37" dT="2026-08-07T11:16:04.769" personId="{E6F3772F-DE17-4687-BCDA-9A36CD9F87FA}" id="{F0876D19-B948-794B-CAB6-DFCB7BB08AFF}">
    <xltc:text>Source: Anthem Biosciences Q3 &amp; 9M FY26 Investor Presentation, February 5, 2026, consolidated P&amp;L table, p.4. Classification: Reported. Units: INR million. https://anthembio.com/investors/</xltc:text>
  </xltc:threadedComment>
  <xltc:threadedComment ref="I40" dT="2026-08-07T11:16:04.775" personId="{7047037D-1E34-4E11-878E-303DF1BF633B}" id="{8F800B94-2FB8-C4A2-F48B-1EAC9391F070}">
    <xltc:text>Source: Anthem Biosciences Q3 &amp; 9M FY26 Investor Presentation, February 5, 2026, consolidated P&amp;L table, p.4. Classification: Reported. Units: INR million. https://anthembio.com/investors/</xltc:text>
  </xltc:threadedComment>
  <xltc:threadedComment ref="I41" dT="2026-08-07T11:16:04.791" personId="{A334CDDA-F9BA-48AA-978A-84D0E7F43848}" id="{BC8FD271-1B9C-DE88-9D49-355FBFB5B940}">
    <xltc:text>Source: Anthem Biosciences Q3 &amp; 9M FY26 Investor Presentation, February 5, 2026, consolidated P&amp;L table, p.4. Classification: Reported. Units: INR million. https://anthembio.com/investors/</xltc:text>
  </xltc:threadedComment>
  <xltc:threadedComment ref="I42" dT="2026-08-07T11:16:04.796" personId="{D6ABC53A-3CD5-425F-9A49-B9A7CFB93A76}" id="{7B409ABA-8657-7C9E-90FE-AD78517DBF1A}">
    <xltc:text>Source: Anthem Biosciences Q3 &amp; 9M FY26 Investor Presentation, February 5, 2026, consolidated P&amp;L table, p.4. Classification: Reported. Units: INR million. https://anthembio.com/investors/</xltc:text>
  </xltc:threadedComment>
  <xltc:threadedComment ref="I43" dT="2026-08-07T11:16:04.799" personId="{BCE0E215-A097-489B-ADA7-13C7C8DF90CA}" id="{0E6287DA-2689-D646-05FF-D47085A28F9F}">
    <xltc:text>Source: Anthem Biosciences Q3 &amp; 9M FY26 Investor Presentation, February 5, 2026, consolidated P&amp;L table, p.4. Classification: Reported. Units: INR million. https://anthembio.com/investors/</xltc:text>
  </xltc:threadedComment>
  <xltc:threadedComment ref="I46" dT="2026-08-07T11:16:04.803" personId="{5FA243E2-3CC9-419A-93C2-1BE7BA98B929}" id="{CEF27896-1FC3-E717-3C08-7CF5C0D9D739}">
    <xltc:text>Source: Anthem Biosciences Q3 &amp; 9M FY26 Investor Presentation, February 5, 2026, consolidated P&amp;L table, p.4. Classification: Reported. Units: INR million. https://anthembio.com/investors/</xltc:text>
  </xltc:threadedComment>
  <xltc:threadedComment ref="I47" dT="2026-08-07T11:16:04.807" personId="{43DF3422-1AA5-4D4C-A38C-6E8E5EE868A2}" id="{416B1F90-0050-68DB-4CB2-F1A35017C723}">
    <xltc:text>Source: Anthem Biosciences Q3 &amp; 9M FY26 Investor Presentation, February 5, 2026, consolidated P&amp;L table, p.4. Classification: Reported. Units: INR million. https://anthembio.com/investors/</xltc:text>
  </xltc:threadedComment>
  <xltc:threadedComment ref="I55" dT="2026-08-07T11:16:04.81" personId="{537A6020-0180-49A9-9C1C-5469D16B1396}" id="{567DF0F8-E6CF-59B7-64F0-21BFE7038111}">
    <xltc:text>Source: Anthem Biosciences Q3 &amp; 9M FY26 Investor Presentation, February 5, 2026, consolidated P&amp;L / segment revenue table, p.4. Classification: Reported. Units: INR million. https://anthembio.com/investors/</xltc:text>
  </xltc:threadedComment>
  <xltc:threadedComment ref="I59" dT="2026-08-07T11:16:04.813" personId="{78CC7111-D27D-4DA6-89E2-CA2E9E7DC423}" id="{ACA6DA05-7FF4-5BFF-4EB7-899F2DB1449C}">
    <xltc:text>Source: Anthem Biosciences Q3 &amp; 9M FY26 Investor Presentation, February 5, 2026, consolidated P&amp;L / segment revenue table, p.4. Classification: Reported. Units: INR million. https://anthembio.com/investors/</xltc:text>
  </xltc:threadedComment>
  <xltc:threadedComment ref="J24" dT="2026-08-07T11:16:04.817" personId="{8CE1FE36-C4D9-445A-9FB0-16883FFECDF5}" id="{9050B5BA-DEAF-5971-6D37-FA7DD84EBD15}">
    <xltc:text>Source: Anthem Biosciences Q4 &amp; FY26 Investor Presentation, May 19, 2026, consolidated P&amp;L table, p.5. Classification: Reported. Units: INR million. https://anthembio.com/investors/</xltc:text>
  </xltc:threadedComment>
  <xltc:threadedComment ref="J27" dT="2026-08-07T11:16:04.82" personId="{99F5D8FC-A7D2-4F5B-B66C-B8FC48B6096F}" id="{EE8458A9-B12F-8FFD-30A2-9CDAB87E52C5}">
    <xltc:text>Source: Anthem Biosciences Q4 &amp; FY26 Investor Presentation, May 19, 2026, consolidated P&amp;L table, p.5. Classification: Reported. Units: INR million. https://anthembio.com/investors/</xltc:text>
  </xltc:threadedComment>
  <xltc:threadedComment ref="J28" dT="2026-08-07T11:16:04.825" personId="{EB748093-6175-4CB3-BBA6-6BDAF3EC2E0F}" id="{D2394E1F-DBD1-F75D-88D0-E56DDE713965}">
    <xltc:text>Source: Anthem Biosciences Q4 &amp; FY26 Investor Presentation, May 19, 2026, consolidated P&amp;L table, p.5. Classification: Reported. Units: INR million. https://anthembio.com/investors/</xltc:text>
  </xltc:threadedComment>
  <xltc:threadedComment ref="J31" dT="2026-08-07T11:16:04.828" personId="{1BD1B174-D006-40D9-840B-BB369167E2AE}" id="{5D5FAE48-70BD-92FF-453A-2D3A1AE94765}">
    <xltc:text>Source: Anthem Biosciences Q4 &amp; FY26 Investor Presentation, May 19, 2026, consolidated P&amp;L table, p.5. Classification: Reported. Units: INR million. https://anthembio.com/investors/</xltc:text>
  </xltc:threadedComment>
  <xltc:threadedComment ref="J32" dT="2026-08-07T11:16:04.832" personId="{383E0B07-78BE-4AE0-BB95-94AAD4F29374}" id="{446432F5-0283-E46C-B7F1-ECD6FA124851}">
    <xltc:text>Source: Anthem Biosciences Q4 &amp; FY26 Investor Presentation, May 19, 2026, consolidated P&amp;L table, p.5. Classification: Reported. Units: INR million. https://anthembio.com/investors/</xltc:text>
  </xltc:threadedComment>
  <xltc:threadedComment ref="J33" dT="2026-08-07T11:16:04.836" personId="{955BDF53-30DA-4C68-B559-5F8FABF925A5}" id="{B9532A05-7290-F3E9-7C58-10BBB6939141}">
    <xltc:text>Source: Anthem Biosciences Q4 &amp; FY26 Investor Presentation, May 19, 2026, consolidated P&amp;L table, p.5. Classification: Reported. Units: INR million. https://anthembio.com/investors/</xltc:text>
  </xltc:threadedComment>
  <xltc:threadedComment ref="J34" dT="2026-08-07T11:16:04.84" personId="{5484292D-4A46-4EA8-82BA-68C551EE134E}" id="{4916270D-2650-F823-527A-32F774E8D418}">
    <xltc:text>Source: Anthem Biosciences Q4 &amp; FY26 Investor Presentation, May 19, 2026, consolidated P&amp;L table, p.5. Classification: Reported. Units: INR million. https://anthembio.com/investors/</xltc:text>
  </xltc:threadedComment>
  <xltc:threadedComment ref="J37" dT="2026-08-07T11:16:04.843" personId="{3CE39493-1A25-4CEC-8EAB-428C7624FFD2}" id="{AB2DB449-2222-137F-463F-2AC015A91102}">
    <xltc:text>Source: Anthem Biosciences Q4 &amp; FY26 Investor Presentation, May 19, 2026, consolidated P&amp;L table, p.5. Classification: Reported. Units: INR million. https://anthembio.com/investors/</xltc:text>
  </xltc:threadedComment>
  <xltc:threadedComment ref="J40" dT="2026-08-07T11:16:04.846" personId="{CFC9816E-A47B-4BB4-A5B6-A54114BF3F01}" id="{890ABDD5-3F40-2190-6944-6034EC23D5BD}">
    <xltc:text>Source: Anthem Biosciences Q4 &amp; FY26 Investor Presentation, May 19, 2026, consolidated P&amp;L table, p.5. Classification: Reported. Units: INR million. https://anthembio.com/investors/</xltc:text>
  </xltc:threadedComment>
  <xltc:threadedComment ref="J41" dT="2026-08-07T11:16:04.851" personId="{BC934D20-08EB-4079-9661-89D8C208AFDC}" id="{4A1DA3CD-0E8F-B7DF-7CC1-DFECCF886FCE}">
    <xltc:text>Source: Anthem Biosciences Q4 &amp; FY26 Investor Presentation, May 19, 2026, consolidated P&amp;L table, p.5. Classification: Reported. Units: INR million. https://anthembio.com/investors/</xltc:text>
  </xltc:threadedComment>
  <xltc:threadedComment ref="J42" dT="2026-08-07T11:16:04.856" personId="{B0A66FF8-432E-4F97-A96C-3EC67963D828}" id="{3F697F4D-8CD8-D0E5-4C78-38B89B27218D}">
    <xltc:text>Source: Anthem Biosciences Q4 &amp; FY26 Investor Presentation, May 19, 2026, consolidated P&amp;L table, p.5. Classification: Reported. Units: INR million. https://anthembio.com/investors/</xltc:text>
  </xltc:threadedComment>
  <xltc:threadedComment ref="J43" dT="2026-08-07T11:16:04.86" personId="{E872CC8E-2660-43BA-BC05-B54472D1DE35}" id="{F162C0A3-185A-D230-ADCC-CC23AF276DBD}">
    <xltc:text>Source: Anthem Biosciences Q4 &amp; FY26 Investor Presentation, May 19, 2026, consolidated P&amp;L table, p.5. Classification: Reported. Units: INR million. https://anthembio.com/investors/</xltc:text>
  </xltc:threadedComment>
  <xltc:threadedComment ref="J46" dT="2026-08-07T11:16:04.864" personId="{F60F43CD-73F9-44D0-B699-CF9947C8D023}" id="{DDB2D225-FBF9-1722-088F-076036B163D2}">
    <xltc:text>Source: Anthem Biosciences Q4 &amp; FY26 Investor Presentation, May 19, 2026, consolidated P&amp;L table, p.5. Classification: Reported. Units: INR million. https://anthembio.com/investors/</xltc:text>
  </xltc:threadedComment>
  <xltc:threadedComment ref="J47" dT="2026-08-07T11:16:04.868" personId="{0BDB5BCC-2F50-4665-B304-DEC577B43017}" id="{D975BF52-772C-A528-0BAA-3F0D9A05DF6A}">
    <xltc:text>Source: Anthem Biosciences Q4 &amp; FY26 Investor Presentation, May 19, 2026, consolidated P&amp;L table, p.5. Classification: Reported. Units: INR million. https://anthembio.com/investors/</xltc:text>
  </xltc:threadedComment>
  <xltc:threadedComment ref="J55" dT="2026-08-07T11:16:04.872" personId="{2EEE176C-D88F-4500-857F-8D729160459A}" id="{50642EA2-4361-3347-1BEE-E01E6AD81696}">
    <xltc:text>Source: Anthem Biosciences Q4 &amp; FY26 Investor Presentation, May 19, 2026, consolidated P&amp;L / segment revenue table, p.5. Classification: Reported. Units: INR million. https://anthembio.com/investors/</xltc:text>
  </xltc:threadedComment>
  <xltc:threadedComment ref="J59" dT="2026-08-07T11:16:04.875" personId="{AD80F7AB-76FC-420C-94D5-E4AA8555A3ED}" id="{65C58204-0868-9FB0-76E3-BAF937B52D57}">
    <xltc:text>Source: Anthem Biosciences Q4 &amp; FY26 Investor Presentation, May 19, 2026, consolidated P&amp;L / segment revenue table, p.5. Classification: Reported. Units: INR million. https://anthembio.com/investors/</xltc:text>
  </xltc:threadedComment>
  <xltc:threadedComment ref="K24" dT="2026-08-07T11:16:04.879" personId="{0A9B40FD-9F7E-4589-A3CC-6387A69C09AE}" id="{908412E0-6442-41C0-36EE-A152609BB8AD}">
    <xltc:text>Source: Anthem Biosciences Q1 FY27 Investor Presentation, July 21, 2026, consolidated P&amp;L table, p.4. Classification: Reported. Units: INR million. https://anthembio.com/investors/</xltc:text>
  </xltc:threadedComment>
  <xltc:threadedComment ref="K27" dT="2026-08-07T11:16:04.882" personId="{4CF06F46-8AD8-4889-A6E5-FC5900759852}" id="{485C0CF4-CCA0-89B0-B3BA-F0B8B2FC477B}">
    <xltc:text>Source: Anthem Biosciences Q1 FY27 Investor Presentation, July 21, 2026, consolidated P&amp;L table, p.4. Classification: Reported. Units: INR million. https://anthembio.com/investors/</xltc:text>
  </xltc:threadedComment>
  <xltc:threadedComment ref="K28" dT="2026-08-07T11:16:04.888" personId="{BF3B5E7F-F6B8-40FD-BAC1-9405E900B2C6}" id="{81673C5A-A807-F9EE-F607-5A7238210159}">
    <xltc:text>Source: Anthem Biosciences Q1 FY27 Investor Presentation, July 21, 2026, consolidated P&amp;L table, p.4. Classification: Reported. Units: INR million. https://anthembio.com/investors/</xltc:text>
  </xltc:threadedComment>
  <xltc:threadedComment ref="K31" dT="2026-08-07T11:16:04.891" personId="{E697489E-B1C2-4CC3-AFDD-26301CA82411}" id="{0F7CF6DB-DB4D-5D36-2C25-F1D464B5FD54}">
    <xltc:text>Source: Anthem Biosciences Q1 FY27 Investor Presentation, July 21, 2026, consolidated P&amp;L table, p.4. Classification: Reported. Units: INR million. https://anthembio.com/investors/</xltc:text>
  </xltc:threadedComment>
  <xltc:threadedComment ref="K32" dT="2026-08-07T11:16:04.895" personId="{6BF01AD9-2621-4463-9AAA-12812809D73A}" id="{40EAD38A-8560-496F-D542-2CB55012679C}">
    <xltc:text>Source: Anthem Biosciences Q1 FY27 Investor Presentation, July 21, 2026, consolidated P&amp;L table, p.4. Classification: Reported. Units: INR million. https://anthembio.com/investors/</xltc:text>
  </xltc:threadedComment>
  <xltc:threadedComment ref="K33" dT="2026-08-07T11:16:04.898" personId="{1B7697FC-2E99-4261-974E-4A0BAF418422}" id="{ABC3FECD-FAD2-6313-8606-8DDA990B45C1}">
    <xltc:text>Source: Anthem Biosciences Q1 FY27 Investor Presentation, July 21, 2026, consolidated P&amp;L table, p.4. Classification: Reported. Units: INR million. https://anthembio.com/investors/</xltc:text>
  </xltc:threadedComment>
  <xltc:threadedComment ref="K34" dT="2026-08-07T11:16:04.904" personId="{6E69DA74-60A6-42B8-8DC7-0DACDE89E08A}" id="{8366735E-12FD-C4FC-A356-1CE15D74A1E4}">
    <xltc:text>Source: Anthem Biosciences Q1 FY27 Investor Presentation, July 21, 2026, consolidated P&amp;L table, p.4. Classification: Reported. Units: INR million. https://anthembio.com/investors/</xltc:text>
  </xltc:threadedComment>
  <xltc:threadedComment ref="K37" dT="2026-08-07T11:16:04.908" personId="{FD7843D2-52FF-452E-830D-4896D19686BC}" id="{DC06D947-A5E6-EBD6-3315-69B21573BEED}">
    <xltc:text>Source: Anthem Biosciences Q1 FY27 Investor Presentation, July 21, 2026, consolidated P&amp;L table, p.4. Classification: Reported. Units: INR million. https://anthembio.com/investors/</xltc:text>
  </xltc:threadedComment>
  <xltc:threadedComment ref="K40" dT="2026-08-07T11:16:04.911" personId="{294BEC6B-93C1-4243-BEBD-70FC50425A9B}" id="{B9E9D0A3-0F92-506A-9B7B-FD25543413DB}">
    <xltc:text>Source: Anthem Biosciences Q1 FY27 Investor Presentation, July 21, 2026, consolidated P&amp;L table, p.4. Classification: Reported. Units: INR million. https://anthembio.com/investors/</xltc:text>
  </xltc:threadedComment>
  <xltc:threadedComment ref="K41" dT="2026-08-07T11:16:04.915" personId="{D119CFCC-F8C6-4237-8509-05ABE66DCD5A}" id="{DA4AB3B9-2A03-0A7A-3340-38A989F9A64F}">
    <xltc:text>Source: Anthem Biosciences Q1 FY27 Investor Presentation, July 21, 2026, consolidated P&amp;L table, p.4. Classification: Reported. Units: INR million. https://anthembio.com/investors/</xltc:text>
  </xltc:threadedComment>
  <xltc:threadedComment ref="K42" dT="2026-08-07T11:16:04.92" personId="{8378986D-6623-4FAE-838C-EB8432FCC60F}" id="{C0013708-F0DD-1476-B7A3-09B137554EB8}">
    <xltc:text>Source: Anthem Biosciences Q1 FY27 Investor Presentation, July 21, 2026, consolidated P&amp;L table, p.4. Classification: Reported. Units: INR million. https://anthembio.com/investors/</xltc:text>
  </xltc:threadedComment>
  <xltc:threadedComment ref="K43" dT="2026-08-07T11:16:04.924" personId="{B974283A-5145-40CB-8D82-E4033CF38827}" id="{6F31C211-C747-7CD3-AB92-95941D7071B0}">
    <xltc:text>Source: Anthem Biosciences Q1 FY27 Investor Presentation, July 21, 2026, consolidated P&amp;L table, p.4. Classification: Reported. Units: INR million. https://anthembio.com/investors/</xltc:text>
  </xltc:threadedComment>
  <xltc:threadedComment ref="K46" dT="2026-08-07T11:16:04.929" personId="{A39EDCBD-1725-4875-A16E-7194D4D83916}" id="{60E62BBF-7357-84FA-65E4-C4D6FCA1DF7D}">
    <xltc:text>Source: Anthem Biosciences Q1 FY27 Investor Presentation, July 21, 2026, consolidated P&amp;L table, p.4. Classification: Reported. Units: INR million. https://anthembio.com/investors/</xltc:text>
  </xltc:threadedComment>
  <xltc:threadedComment ref="K47" dT="2026-08-07T11:16:04.932" personId="{E38E121E-0560-4B0D-80DC-65D73EE9E604}" id="{C721DFED-3DB8-4A1E-1A12-BB436921B793}">
    <xltc:text>Source: Anthem Biosciences Q1 FY27 Investor Presentation, July 21, 2026, consolidated P&amp;L table, p.4. Classification: Reported. Units: INR million. https://anthembio.com/investors/</xltc:text>
  </xltc:threadedComment>
  <xltc:threadedComment ref="K55" dT="2026-08-07T11:16:04.937" personId="{C454E4EA-3E3A-477F-9E65-550B91AAA31F}" id="{526C5632-3B16-7065-F4B3-F520450F8714}">
    <xltc:text>Source: Anthem Biosciences Q1 FY27 Investor Presentation, July 21, 2026, consolidated P&amp;L / segment revenue table, p.4. Classification: Reported. Units: INR million. https://anthembio.com/investors/</xltc:text>
  </xltc:threadedComment>
  <xltc:threadedComment ref="K59" dT="2026-08-07T11:16:04.941" personId="{2035005C-B17B-434B-9EB9-AD4D2D53961A}" id="{37C53CCA-AE29-74C6-6C81-5812209F77C7}">
    <xltc:text>Source: Anthem Biosciences Q1 FY27 Investor Presentation, July 21, 2026, consolidated P&amp;L / segment revenue table, p.4. Classification: Reported. Units: INR million. https://anthembio.com/investors/</xltc:text>
  </xltc:threadedComment>
  <xltc:threadedComment ref="B9" dT="2026-08-07T11:16:04.945" personId="{BD6FEDD0-56B4-4795-B60C-A4D4942A9B75}" id="{46D4E55D-59A3-9AFD-BA0E-B21978AB1FC9}">
    <xltc:text>Source: Anthem Biosciences Q1 FY27 earnings call / investor materials, July 22, 2026. Management reported net cash of approximately INR 17,197 million at June 30, 2026. Classification: Reported. https://anthembio.com/investors/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7" dT="2026-08-07T11:16:04.952" personId="{69892A20-509C-48EE-A674-04FF71BE27B9}" id="{54735FF8-4331-6068-4B7B-6E06FD28E9F0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D9" dT="2026-08-07T11:16:04.956" personId="{EDCA1D6D-8FAC-4894-B4B1-9D10D1F41527}" id="{2AFAE9EE-7E29-FFF2-8B5F-17E04E1BC03B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D11" dT="2026-08-07T11:16:04.961" personId="{52564DF2-1E40-4448-A177-D64C0F3ECF70}" id="{7C469369-93EE-A688-0D8D-255DDC4B40DD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D12" dT="2026-08-07T11:16:04.965" personId="{46FF2D0C-4CA9-4F4F-A31B-CE33AE5ACB58}" id="{3CD7C1AE-1461-40C6-F63F-7C2DE4F772D4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D13" dT="2026-08-07T11:16:04.977" personId="{DD62BBFC-4C2B-4A49-9533-60C31A5FF48A}" id="{5CB0BD60-925D-0878-0731-F9988A56841F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D14" dT="2026-08-07T11:16:04.982" personId="{662B4517-B6E6-4742-A2FA-7F27F07AAB49}" id="{B79D689A-7551-D360-1239-BFDAE93F04EC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D16" dT="2026-08-07T11:16:04.986" personId="{AFD70DC1-7D87-429E-BB82-F019A1343DCE}" id="{04A03283-8326-E3DC-43F3-48263F97FD28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D17" dT="2026-08-07T11:16:04.993" personId="{EFE7F78D-1A80-4CE4-A457-55DC4EC3DE75}" id="{23DE5036-49FD-D1DC-3CDA-3FC65A41B6F5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D18" dT="2026-08-07T11:16:04.998" personId="{C5EDB8C7-961C-45AF-AD3E-0A2AAEB3991E}" id="{E0C950ED-7EB0-63FC-5DD5-6654930BE631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D20" dT="2026-08-07T11:16:05.004" personId="{99900804-8483-4682-BF9F-6C79E7F50A1E}" id="{12F535FC-384D-9A31-32F1-7046C2A2F6AC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D22" dT="2026-08-07T11:16:05.008" personId="{4DE710B6-4C85-4215-87DC-363613F1E48E}" id="{7BB5DAB6-8103-2E35-127A-4EA569EE4EC7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D23" dT="2026-08-07T11:16:05.012" personId="{3DEB5D95-CB91-4ED0-8A9C-FCD9AC69150A}" id="{05651854-0AEE-741F-51A3-C4E177C1A609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D25" dT="2026-08-07T11:16:05.018" personId="{EE0AAC3B-3383-4C7E-843F-11D9ABCCC2D7}" id="{61F01C7D-A2FC-FE94-4E27-4204B055712E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D26" dT="2026-08-07T11:16:05.024" personId="{7F0C7008-6572-4C89-A7DE-B3D7E865CF81}" id="{E2A6EC71-59CB-55C5-F1DD-9E54D1622C63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D27" dT="2026-08-07T11:16:05.03" personId="{78E5766A-0005-4FEC-8F37-CCF0DA6755E6}" id="{ED0EE79B-3B1D-9C75-5722-B3E97E26910C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D28" dT="2026-08-07T11:16:05.035" personId="{A53D0425-875B-4FA7-8B48-BB0E975AF78E}" id="{F084BE5D-05E1-688C-E770-061B0196D071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D29" dT="2026-08-07T11:16:05.039" personId="{6F2C867E-B5F1-415E-BFFB-974C31591F26}" id="{018B0A26-A9FD-9D99-C07F-74F3CFA52EED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D31" dT="2026-08-07T11:16:05.044" personId="{132F7E79-55F8-4157-A08D-2B497072FEB2}" id="{2A9DBD00-7530-B9C9-4ECB-C7B9EF1391E7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D39" dT="2026-08-07T11:16:05.048" personId="{E2EC6C26-FBB1-4F1A-A65E-3045ACF45CB7}" id="{8914FE9F-B62E-0BFA-75B2-BACCC4BEBCF5}">
    <xltc:text>Source: Anthem Biosciences Annual Report FY2024-25 / Prospectus, audited consolidated FY24 historicals, cross-checked to uploaded Anthem integrated three-statement model. Classification: Reported / historical. https://anthembio.com/investors/</xltc:text>
  </xltc:threadedComment>
  <xltc:threadedComment ref="E7" dT="2026-08-07T11:16:05.052" personId="{93EAAFD1-A161-41B5-A202-622D5DAD0BF2}" id="{7F03E68E-15DF-3280-E87C-28EB09D6ED77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E9" dT="2026-08-07T11:16:05.057" personId="{6E4B25A6-6E48-4E38-8265-506E0BF58E71}" id="{B59C3841-3869-7CAE-E383-8C982E9F150E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E11" dT="2026-08-07T11:16:05.062" personId="{50ABD6F8-AB5A-4173-B477-782FEFE05D9A}" id="{DB2E1A25-270F-0BB9-2577-4E2C1090D454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E12" dT="2026-08-07T11:16:05.066" personId="{F6CFA1E5-DC83-4201-A4C1-87AFA3B494B7}" id="{E3BD784F-8979-3A12-E451-0B69815A1158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E13" dT="2026-08-07T11:16:05.079" personId="{F4F59FBD-E596-4306-82C3-0B2BF6578AB9}" id="{D9783F12-81CF-EF7D-2BC6-267B25348D22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E14" dT="2026-08-07T11:16:05.084" personId="{F6A482E3-2961-4401-A3FA-B483D6862B89}" id="{EA324F57-11CC-8E89-ADCF-83BD6F7C6483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E16" dT="2026-08-07T11:16:05.088" personId="{F16A717E-A725-44E9-A917-D00E96D9FB33}" id="{40A1F379-7A54-715A-2B30-BB927DDEDB2B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E17" dT="2026-08-07T11:16:05.094" personId="{337956CE-729B-4397-9CE5-E594D7E80DAC}" id="{E3A8EE40-2783-34A4-4650-AD8671E04009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E18" dT="2026-08-07T11:16:05.099" personId="{2CF2007F-43F4-4ECE-812A-53C85DFE4F30}" id="{297DA220-FC34-00F7-2BF8-FC65B37AB2FE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E20" dT="2026-08-07T11:16:05.103" personId="{4713E9DC-4B44-433E-B11A-3AE53113B56E}" id="{8882E393-004E-7A12-6DE3-956702EFACB2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E22" dT="2026-08-07T11:16:05.106" personId="{E5ED476A-CB58-4B4A-AE1F-D113C259CC65}" id="{4ABF9C42-ED6D-6663-54D0-3C369C7E44AF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E23" dT="2026-08-07T11:16:05.111" personId="{D389B00E-4C1F-4486-92CC-17FE95415EF0}" id="{DE121FB7-A3A4-6380-8257-0A2B8F821D0C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E25" dT="2026-08-07T11:16:05.116" personId="{0914C590-0567-4530-9BDD-1C5300851745}" id="{BEF26217-9533-E2D4-026C-FF896F121893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E26" dT="2026-08-07T11:16:05.121" personId="{7569EDD2-10DA-4833-8C0A-2C51A3949D42}" id="{EE82E207-14C2-D69A-04B5-08826AFE4E44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E27" dT="2026-08-07T11:16:05.126" personId="{1779857E-A47B-41F2-BA0C-022F54C2668A}" id="{C533DDD4-BA4E-2312-F276-F3127D5C3D66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E28" dT="2026-08-07T11:16:05.131" personId="{126A3CBC-4E07-4DE7-81D9-E2CE198312D3}" id="{E2EB2ED4-2BAC-5D00-FF01-D672313075FE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E29" dT="2026-08-07T11:16:05.135" personId="{4F341961-DF20-4D59-B521-D6A7DCFB0738}" id="{437A771E-4A35-65C7-E9DB-965781742B44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E31" dT="2026-08-07T11:16:05.141" personId="{5814B0DC-A601-4738-8C41-DBEB5ED7FFB2}" id="{CA5C89E9-A90B-5645-006A-97994A4AF9D6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E39" dT="2026-08-07T11:16:05.146" personId="{A41C55B3-B229-4CBB-A51E-C0317980011F}" id="{F716E228-33D4-D5AB-BF0B-117BDB436474}">
    <xltc:text>Source: Anthem Biosciences Annual Report FY2024-25 and Prospectus dated July 16, 2025, audited consolidated FY25 historicals; cross-checked to uploaded Anthem integrated three-statement model. Classification: Reported / historical. https://anthembio.com/investors/</xltc:text>
  </xltc:threadedComment>
  <xltc:threadedComment ref="F7" dT="2026-08-07T11:16:05.151" personId="{2BB5BDF3-A531-4E34-A3B4-412AC02A90F0}" id="{01DC398C-EEC0-A193-D7CD-8672044C3469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F9" dT="2026-08-07T11:16:05.157" personId="{B8964C0B-C268-47FD-9F6D-412434EBD1B2}" id="{D7568A0C-4469-C614-03CE-59B928C56B0C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F11" dT="2026-08-07T11:16:05.162" personId="{56BC0E5F-2DB3-45E7-8820-2F3B33796961}" id="{DF450BF2-2787-CAAC-13B9-6B2032EF44E1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F12" dT="2026-08-07T11:16:05.168" personId="{506543F5-B678-49D8-860B-F26A34B3B62B}" id="{C0549783-447C-D20F-2270-55A4292E8E0F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F13" dT="2026-08-07T11:16:05.174" personId="{A3E800F8-C46C-4308-9A28-B90949163052}" id="{5D81D3A6-8450-C3D1-C209-BF73807235C0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F14" dT="2026-08-07T11:16:05.18" personId="{17E814A5-EDA7-46F9-BE03-762A0BDF7066}" id="{15A877E4-1CCF-2E3F-0A94-15AD70E23AD2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F16" dT="2026-08-07T11:16:05.184" personId="{2C292C0B-2BE6-472B-96E0-3B3DD4729977}" id="{1E94FDC8-B01C-C807-25F4-6AA1F1CC028E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F17" dT="2026-08-07T11:16:05.19" personId="{66FA1442-1E12-4915-A3F7-A64236C08504}" id="{BEE8C2EB-523B-1034-A242-704EA08C04A9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F18" dT="2026-08-07T11:16:05.195" personId="{37CF15B5-23CE-4D44-8640-2B95F46C3C3E}" id="{19D3C30A-D4B1-5602-4080-AFBE6C974C4E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F20" dT="2026-08-07T11:16:05.2" personId="{27CD72D4-ED61-48F2-A89B-B6E561E09594}" id="{0BE50EF1-F67A-3914-C939-8E59457D1DB5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F22" dT="2026-08-07T11:16:05.206" personId="{974161D0-BA5F-452B-8794-78627F47F440}" id="{0E4DA570-C82E-D6FA-FD76-D2579C255724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F23" dT="2026-08-07T11:16:05.212" personId="{519C879E-535C-4612-AFC6-025ACA3C0247}" id="{7D4AE31A-31F2-88C1-8918-F320B21397DA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F25" dT="2026-08-07T11:16:05.217" personId="{73C44C91-D373-4A87-A683-F8A2EB5A6A73}" id="{6AA09412-7BEF-2800-E93C-1AF4FC1118BC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F26" dT="2026-08-07T11:16:05.222" personId="{1C3F12B7-C6BF-4087-8AEF-B7ECA4E7ABD7}" id="{53659346-D866-272A-058E-75F0B8340C09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F27" dT="2026-08-07T11:16:05.227" personId="{AA2F960F-13CD-4A44-B11E-CB96C6726E07}" id="{9CEF2483-E0CA-E49D-43FD-F518EF231E4F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F28" dT="2026-08-07T11:16:05.234" personId="{76A2EAEE-10B6-47B2-9195-940F147094D3}" id="{50B7C6CA-AF16-5486-15E0-A16B21A763DE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F29" dT="2026-08-07T11:16:05.239" personId="{DD686386-BDFF-4789-B537-B03DB22EF30D}" id="{46A25BE8-B5D0-0FAB-244F-43C97449FBBF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F31" dT="2026-08-07T11:16:05.244" personId="{ECB1211C-78F8-489B-91C9-09EF4E99CF48}" id="{C6482A30-A6C3-214F-BEE4-D080632E41CA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F39" dT="2026-08-07T11:16:05.249" personId="{0D4B4E99-9249-4EE6-88E6-8097EE1A4FB9}" id="{C425819E-1414-D6BC-CB54-4B2DC2E61A20}">
    <xltc:text>Source: Anthem Biosciences FY26 annual results / investor presentation dated May 19, 2026 and uploaded Anthem integrated three-statement model. R&amp;D / D&amp;M split is model-derived where not formally disclosed as an audited segment split. Classification: Reported or model-derived as labelled. https://anthembio.com/investors/</xltc:text>
  </xltc:threadedComment>
  <xltc:threadedComment ref="G7" dT="2026-08-07T11:16:05.255" personId="{BAF338F0-C622-4069-8D98-03BBC5D55537}" id="{BE666B07-C19E-CE32-853B-507F9E8E5ED7}">
    <xltc:text>Source: Uploaded Anthem_Biosciences_Integrated_Three_Statement_Model(3).xlsx, FY27E central forecast. Classification: Analyst Estimate.</xltc:text>
  </xltc:threadedComment>
  <xltc:threadedComment ref="G9" dT="2026-08-07T11:16:05.261" personId="{D683E3C0-53C9-4F4D-BB0D-02B0FAC58D78}" id="{F28F1F41-BACA-D7C9-3F52-3CA46BC72CF8}">
    <xltc:text>Source: Uploaded Anthem_Biosciences_Integrated_Three_Statement_Model(3).xlsx, FY27E central forecast. Classification: Analyst Estimate.</xltc:text>
  </xltc:threadedComment>
  <xltc:threadedComment ref="G11" dT="2026-08-07T11:16:05.266" personId="{8FB7F819-3FB8-4342-9982-033BEEF325F2}" id="{4AEC1D0E-24C4-C6C9-9F36-EDA42B11ADF1}">
    <xltc:text>Source: Uploaded Anthem_Biosciences_Integrated_Three_Statement_Model(3).xlsx, FY27E central forecast. Classification: Analyst Estimate.</xltc:text>
  </xltc:threadedComment>
  <xltc:threadedComment ref="G12" dT="2026-08-07T11:16:05.274" personId="{3277DB54-205F-43A6-A0EF-FD3D913840C5}" id="{75C5BBC6-9853-DF3D-3065-00C74FD5E614}">
    <xltc:text>Source: Uploaded Anthem_Biosciences_Integrated_Three_Statement_Model(3).xlsx, FY27E central forecast. Classification: Analyst Estimate.</xltc:text>
  </xltc:threadedComment>
  <xltc:threadedComment ref="G13" dT="2026-08-07T11:16:05.279" personId="{8F74F0BF-39D0-4C84-846B-3A51A1D6FE57}" id="{6A848C35-534A-783A-D216-2B4CACECB97A}">
    <xltc:text>Source: Uploaded Anthem_Biosciences_Integrated_Three_Statement_Model(3).xlsx, FY27E central forecast. Classification: Analyst Estimate.</xltc:text>
  </xltc:threadedComment>
  <xltc:threadedComment ref="G14" dT="2026-08-07T11:16:05.286" personId="{DD7CDDFB-CA91-432C-B583-6517B283048A}" id="{6F74DF4B-91C2-6DBC-D2F5-3F4863B07C60}">
    <xltc:text>Source: Uploaded Anthem_Biosciences_Integrated_Three_Statement_Model(3).xlsx, FY27E central forecast. Classification: Analyst Estimate.</xltc:text>
  </xltc:threadedComment>
  <xltc:threadedComment ref="G16" dT="2026-08-07T11:16:05.291" personId="{88D416CE-DF57-4051-89F8-D7359CD243EB}" id="{FCD0C62C-4291-DF03-5CC6-9D65DF3738F8}">
    <xltc:text>Source: Uploaded Anthem_Biosciences_Integrated_Three_Statement_Model(3).xlsx, FY27E central forecast. Classification: Analyst Estimate.</xltc:text>
  </xltc:threadedComment>
  <xltc:threadedComment ref="G17" dT="2026-08-07T11:16:05.295" personId="{A8F2AB78-1EC1-41A7-92B8-F3A040988F2A}" id="{261B3EAF-7E7D-1DC5-1996-80F805356F43}">
    <xltc:text>Source: Uploaded Anthem_Biosciences_Integrated_Three_Statement_Model(3).xlsx, FY27E central forecast. Classification: Analyst Estimate.</xltc:text>
  </xltc:threadedComment>
  <xltc:threadedComment ref="G18" dT="2026-08-07T11:16:05.3" personId="{5E6684B2-5C64-44F7-9969-91EDEA956636}" id="{07DBFBFA-7653-A147-0DE6-F290EB18E12F}">
    <xltc:text>Source: Uploaded Anthem_Biosciences_Integrated_Three_Statement_Model(3).xlsx, FY27E central forecast. Classification: Analyst Estimate.</xltc:text>
  </xltc:threadedComment>
  <xltc:threadedComment ref="G20" dT="2026-08-07T11:16:05.309" personId="{84965837-5922-451E-8EED-97F5DA4269A5}" id="{0D200437-9CD3-B6A7-7EB8-0086E590EA41}">
    <xltc:text>Source: Uploaded Anthem_Biosciences_Integrated_Three_Statement_Model(3).xlsx, FY27E central forecast. Classification: Analyst Estimate.</xltc:text>
  </xltc:threadedComment>
  <xltc:threadedComment ref="G22" dT="2026-08-07T11:16:05.314" personId="{97E56260-A5F4-448D-96C0-67C553D09244}" id="{D395CA9E-7119-3494-3AE7-C33AD0441F2C}">
    <xltc:text>Source: Uploaded Anthem_Biosciences_Integrated_Three_Statement_Model(3).xlsx, FY27E central forecast. Classification: Analyst Estimate.</xltc:text>
  </xltc:threadedComment>
  <xltc:threadedComment ref="G23" dT="2026-08-07T11:16:05.323" personId="{D9CD1AC7-95B6-4664-9DF2-A6F55AE289F8}" id="{DC5629BD-C8B9-0973-BE21-5FF27EBB09AE}">
    <xltc:text>Source: Uploaded Anthem_Biosciences_Integrated_Three_Statement_Model(3).xlsx, FY27E central forecast. Classification: Analyst Estimate.</xltc:text>
  </xltc:threadedComment>
  <xltc:threadedComment ref="G25" dT="2026-08-07T11:16:05.329" personId="{604C6462-9E04-465E-9023-38E9A09E6549}" id="{A62430B1-6E51-EAE7-639F-0A9C88F04C08}">
    <xltc:text>Source: Uploaded Anthem_Biosciences_Integrated_Three_Statement_Model(3).xlsx, FY27E central forecast. Classification: Analyst Estimate.</xltc:text>
  </xltc:threadedComment>
  <xltc:threadedComment ref="G26" dT="2026-08-07T11:16:05.335" personId="{CD3C6EF0-4C7C-487C-A30B-B76CEF902AFC}" id="{9E33DE67-20D4-D27E-C73F-20E12EBB6EFA}">
    <xltc:text>Source: Uploaded Anthem_Biosciences_Integrated_Three_Statement_Model(3).xlsx, FY27E central forecast. Classification: Analyst Estimate.</xltc:text>
  </xltc:threadedComment>
  <xltc:threadedComment ref="G27" dT="2026-08-07T11:16:05.342" personId="{CBE2EF6F-CF99-4A6C-86BA-71759833155A}" id="{58DBE4F8-70B7-286E-3BBB-79D5CB0859EA}">
    <xltc:text>Source: Uploaded Anthem_Biosciences_Integrated_Three_Statement_Model(3).xlsx, FY27E central forecast. Classification: Analyst Estimate.</xltc:text>
  </xltc:threadedComment>
  <xltc:threadedComment ref="G28" dT="2026-08-07T11:16:05.347" personId="{0C6FFABA-E595-45B2-BB7E-CBBE34B1393B}" id="{85732988-074D-6B3B-46F7-EC0984BB9BA4}">
    <xltc:text>Source: Uploaded Anthem_Biosciences_Integrated_Three_Statement_Model(3).xlsx, FY27E central forecast. Classification: Analyst Estimate.</xltc:text>
  </xltc:threadedComment>
  <xltc:threadedComment ref="G29" dT="2026-08-07T11:16:05.356" personId="{2661437D-B036-4137-A74C-257C7699E579}" id="{4E5752FC-8196-2C09-FFEB-4E62C891D378}">
    <xltc:text>Source: Uploaded Anthem_Biosciences_Integrated_Three_Statement_Model(3).xlsx, FY27E central forecast. Classification: Analyst Estimate.</xltc:text>
  </xltc:threadedComment>
  <xltc:threadedComment ref="G31" dT="2026-08-07T11:16:05.362" personId="{ABD325DD-4814-4E42-8449-D286D97CE18A}" id="{4E0AF9B7-1065-6AF2-8481-6AC1591B3E86}">
    <xltc:text>Source: Uploaded Anthem_Biosciences_Integrated_Three_Statement_Model(3).xlsx, FY27E central forecast. Classification: Analyst Estimate.</xltc:text>
  </xltc:threadedComment>
  <xltc:threadedComment ref="G39" dT="2026-08-07T11:16:05.371" personId="{884EBE11-68B0-4B15-AC01-CB984B47BA97}" id="{82D053B7-206A-B48D-0E29-8684FADC16AD}">
    <xltc:text>Source: Uploaded Anthem_Biosciences_Integrated_Three_Statement_Model(3).xlsx, FY27E central forecast. Classification: Analyst Estimate.</xltc:text>
  </xltc:threadedComment>
  <xltc:threadedComment ref="H7" dT="2026-08-07T11:16:05.377" personId="{E2B954E4-8DA9-4AC8-B50C-65593EEE08D8}" id="{75D2ECD3-E684-6DD0-6260-E7CBEB1D189A}">
    <xltc:text>Source: Uploaded Anthem_Biosciences_Integrated_Three_Statement_Model(3).xlsx, FY28E central forecast. Classification: Analyst Estimate.</xltc:text>
  </xltc:threadedComment>
  <xltc:threadedComment ref="H9" dT="2026-08-07T11:16:05.382" personId="{4EB4A379-7F22-4170-A1FA-1224D68AE3ED}" id="{339C7D39-93F2-400C-699E-E70C6FA48CDB}">
    <xltc:text>Source: Uploaded Anthem_Biosciences_Integrated_Three_Statement_Model(3).xlsx, FY28E central forecast. Classification: Analyst Estimate.</xltc:text>
  </xltc:threadedComment>
  <xltc:threadedComment ref="H11" dT="2026-08-07T11:16:05.39" personId="{2D58BE4B-5C4B-43D6-B32A-0D229D226F47}" id="{6ACF7EFF-935F-3ADB-2C8B-F447CEAF760A}">
    <xltc:text>Source: Uploaded Anthem_Biosciences_Integrated_Three_Statement_Model(3).xlsx, FY28E central forecast. Classification: Analyst Estimate.</xltc:text>
  </xltc:threadedComment>
  <xltc:threadedComment ref="H12" dT="2026-08-07T11:16:05.396" personId="{DA8D21D8-DA5F-4E88-B35F-1BFA7CDB5D8A}" id="{7C7DAC4A-D106-404A-1B23-1C2FE02AE46E}">
    <xltc:text>Source: Uploaded Anthem_Biosciences_Integrated_Three_Statement_Model(3).xlsx, FY28E central forecast. Classification: Analyst Estimate.</xltc:text>
  </xltc:threadedComment>
  <xltc:threadedComment ref="H13" dT="2026-08-07T11:16:05.404" personId="{23634B1F-60C7-4A71-AF49-F62CAA86673D}" id="{4332E43B-C9B0-18D5-8C86-C7BE34057DEA}">
    <xltc:text>Source: Uploaded Anthem_Biosciences_Integrated_Three_Statement_Model(3).xlsx, FY28E central forecast. Classification: Analyst Estimate.</xltc:text>
  </xltc:threadedComment>
  <xltc:threadedComment ref="H14" dT="2026-08-07T11:16:05.41" personId="{C7A87DFA-3C1D-4449-8313-AA9DEF3ADD15}" id="{F41CBC59-257A-8D42-F676-4AAA0F7762F2}">
    <xltc:text>Source: Uploaded Anthem_Biosciences_Integrated_Three_Statement_Model(3).xlsx, FY28E central forecast. Classification: Analyst Estimate.</xltc:text>
  </xltc:threadedComment>
  <xltc:threadedComment ref="H16" dT="2026-08-07T11:16:05.415" personId="{1B7A57FF-624B-4B25-8BC4-4FC748ECDA97}" id="{31CAD869-B009-890A-9872-733CA15F9E59}">
    <xltc:text>Source: Uploaded Anthem_Biosciences_Integrated_Three_Statement_Model(3).xlsx, FY28E central forecast. Classification: Analyst Estimate.</xltc:text>
  </xltc:threadedComment>
  <xltc:threadedComment ref="H17" dT="2026-08-07T11:16:05.422" personId="{5D31DBB9-875A-4890-9A94-744765861B57}" id="{23EC3A27-B7E9-4BD9-7C5F-8FF50ACAA567}">
    <xltc:text>Source: Uploaded Anthem_Biosciences_Integrated_Three_Statement_Model(3).xlsx, FY28E central forecast. Classification: Analyst Estimate.</xltc:text>
  </xltc:threadedComment>
  <xltc:threadedComment ref="H18" dT="2026-08-07T11:16:05.427" personId="{4460DCF5-1896-44AB-A3F3-1953745A76A1}" id="{041A4756-DE0B-AD18-4186-0FEE7590A3F3}">
    <xltc:text>Source: Uploaded Anthem_Biosciences_Integrated_Three_Statement_Model(3).xlsx, FY28E central forecast. Classification: Analyst Estimate.</xltc:text>
  </xltc:threadedComment>
  <xltc:threadedComment ref="H20" dT="2026-08-07T11:16:05.433" personId="{B3045CF3-81F8-49C2-98CE-ED1F0EE30175}" id="{3429B1A4-752A-7EF6-23FD-5756523B5FDD}">
    <xltc:text>Source: Uploaded Anthem_Biosciences_Integrated_Three_Statement_Model(3).xlsx, FY28E central forecast. Classification: Analyst Estimate.</xltc:text>
  </xltc:threadedComment>
  <xltc:threadedComment ref="H22" dT="2026-08-07T11:16:05.439" personId="{D543AF3F-4BC2-4E26-B6A7-869E9E63632C}" id="{DE5B0BD0-1D67-D0EF-136E-BE2C382F4309}">
    <xltc:text>Source: Uploaded Anthem_Biosciences_Integrated_Three_Statement_Model(3).xlsx, FY28E central forecast. Classification: Analyst Estimate.</xltc:text>
  </xltc:threadedComment>
  <xltc:threadedComment ref="H23" dT="2026-08-07T11:16:05.445" personId="{7B60C48B-FAA1-4DA6-A7AF-5C29EB91312C}" id="{F30BB13B-3C9D-5B00-4B9F-C22071CE55FF}">
    <xltc:text>Source: Uploaded Anthem_Biosciences_Integrated_Three_Statement_Model(3).xlsx, FY28E central forecast. Classification: Analyst Estimate.</xltc:text>
  </xltc:threadedComment>
  <xltc:threadedComment ref="H25" dT="2026-08-07T11:16:05.452" personId="{439CFEB2-C1A2-4685-8D2E-903FCCA7B940}" id="{5A080BCF-3F6A-072F-4DCE-B5D1220EAC3F}">
    <xltc:text>Source: Uploaded Anthem_Biosciences_Integrated_Three_Statement_Model(3).xlsx, FY28E central forecast. Classification: Analyst Estimate.</xltc:text>
  </xltc:threadedComment>
  <xltc:threadedComment ref="H26" dT="2026-08-07T11:16:05.458" personId="{20D27BF6-7257-4CC6-92F7-F8E004291BA2}" id="{6712035D-737F-30BE-1644-95351A7DBF04}">
    <xltc:text>Source: Uploaded Anthem_Biosciences_Integrated_Three_Statement_Model(3).xlsx, FY28E central forecast. Classification: Analyst Estimate.</xltc:text>
  </xltc:threadedComment>
  <xltc:threadedComment ref="H27" dT="2026-08-07T11:16:05.466" personId="{A5FF969D-B770-45AA-AA64-7E9A1D7BDAED}" id="{F3D2FEB6-F25D-D2FA-8A3C-15E8ED257195}">
    <xltc:text>Source: Uploaded Anthem_Biosciences_Integrated_Three_Statement_Model(3).xlsx, FY28E central forecast. Classification: Analyst Estimate.</xltc:text>
  </xltc:threadedComment>
  <xltc:threadedComment ref="H28" dT="2026-08-07T11:16:05.475" personId="{0226ADB0-89ED-48C2-B43C-BB6D626BC116}" id="{5D15505F-8886-26F0-1436-1B40B513EA5C}">
    <xltc:text>Source: Uploaded Anthem_Biosciences_Integrated_Three_Statement_Model(3).xlsx, FY28E central forecast. Classification: Analyst Estimate.</xltc:text>
  </xltc:threadedComment>
  <xltc:threadedComment ref="H29" dT="2026-08-07T11:16:05.481" personId="{6F56C8AC-F297-4F52-B82F-6EA7DE80CC31}" id="{8738E948-E76B-0CF7-63D4-30AB7A51C93B}">
    <xltc:text>Source: Uploaded Anthem_Biosciences_Integrated_Three_Statement_Model(3).xlsx, FY28E central forecast. Classification: Analyst Estimate.</xltc:text>
  </xltc:threadedComment>
  <xltc:threadedComment ref="H31" dT="2026-08-07T11:16:05.486" personId="{AA08E914-97C1-461C-941A-E3C525596342}" id="{7EAF4AB4-DDBD-6F2E-C01B-1DC1439EAF2C}">
    <xltc:text>Source: Uploaded Anthem_Biosciences_Integrated_Three_Statement_Model(3).xlsx, FY28E central forecast. Classification: Analyst Estimate.</xltc:text>
  </xltc:threadedComment>
  <xltc:threadedComment ref="H39" dT="2026-08-07T11:16:05.492" personId="{3C59CCCF-21AC-40CF-A831-5D8E6CB33CA6}" id="{5AA02BDD-54B3-18A9-C87C-CF85C51670EB}">
    <xltc:text>Source: Uploaded Anthem_Biosciences_Integrated_Three_Statement_Model(3).xlsx, FY28E central forecast. Classification: Analyst Estimate.</xltc:text>
  </xltc:threadedComment>
  <xltc:threadedComment ref="I7" dT="2026-08-07T11:16:05.497" personId="{51AEA743-8CF0-4B44-BF84-A812BD99563B}" id="{1A592E6F-EBA4-BB6E-79A9-ADAD496FEE3F}">
    <xltc:text>Source: Uploaded Anthem_Biosciences_Integrated_Three_Statement_Model(3).xlsx, FY29E central forecast. Classification: Analyst Estimate.</xltc:text>
  </xltc:threadedComment>
  <xltc:threadedComment ref="I9" dT="2026-08-07T11:16:05.502" personId="{9FC76B52-59C9-46E6-ACDA-ABD87C5E082B}" id="{D2447866-B0B4-E515-04D1-02B985EBABE8}">
    <xltc:text>Source: Uploaded Anthem_Biosciences_Integrated_Three_Statement_Model(3).xlsx, FY29E central forecast. Classification: Analyst Estimate.</xltc:text>
  </xltc:threadedComment>
  <xltc:threadedComment ref="I11" dT="2026-08-07T11:16:05.508" personId="{38B7D8BB-552E-4D86-A419-7EADA428D24E}" id="{FD9E07F3-944A-61B0-B591-2AAAC5237372}">
    <xltc:text>Source: Uploaded Anthem_Biosciences_Integrated_Three_Statement_Model(3).xlsx, FY29E central forecast. Classification: Analyst Estimate.</xltc:text>
  </xltc:threadedComment>
  <xltc:threadedComment ref="I12" dT="2026-08-07T11:16:05.513" personId="{57EBEAE1-EE7D-4297-9CA4-4A312F25DF0C}" id="{716E757A-BAA8-0B76-77BC-48F2CDCF6C95}">
    <xltc:text>Source: Uploaded Anthem_Biosciences_Integrated_Three_Statement_Model(3).xlsx, FY29E central forecast. Classification: Analyst Estimate.</xltc:text>
  </xltc:threadedComment>
  <xltc:threadedComment ref="I13" dT="2026-08-07T11:16:05.519" personId="{12D2D6F1-1A1D-49D9-A685-F1E7B3BEAB53}" id="{55F5B98E-A256-4E74-992A-AF3B740861EB}">
    <xltc:text>Source: Uploaded Anthem_Biosciences_Integrated_Three_Statement_Model(3).xlsx, FY29E central forecast. Classification: Analyst Estimate.</xltc:text>
  </xltc:threadedComment>
  <xltc:threadedComment ref="I14" dT="2026-08-07T11:16:05.526" personId="{9126078E-05DC-489F-9364-19CBF02657AC}" id="{EDD51DA2-5C6E-F21D-D97B-2CD6FD5104C4}">
    <xltc:text>Source: Uploaded Anthem_Biosciences_Integrated_Three_Statement_Model(3).xlsx, FY29E central forecast. Classification: Analyst Estimate.</xltc:text>
  </xltc:threadedComment>
  <xltc:threadedComment ref="I16" dT="2026-08-07T11:16:05.533" personId="{8A6F33ED-BE1F-4E32-9F20-1BB848E5F54A}" id="{317DD2FA-61CB-05DE-DE3A-BA44BBA36CF9}">
    <xltc:text>Source: Uploaded Anthem_Biosciences_Integrated_Three_Statement_Model(3).xlsx, FY29E central forecast. Classification: Analyst Estimate.</xltc:text>
  </xltc:threadedComment>
  <xltc:threadedComment ref="I17" dT="2026-08-07T11:16:05.539" personId="{B78BD557-A256-45C5-B8CB-A269B5D2A6F5}" id="{3D5C85FB-C08A-EFBD-60F1-94D64ACC5F81}">
    <xltc:text>Source: Uploaded Anthem_Biosciences_Integrated_Three_Statement_Model(3).xlsx, FY29E central forecast. Classification: Analyst Estimate.</xltc:text>
  </xltc:threadedComment>
  <xltc:threadedComment ref="I18" dT="2026-08-07T11:16:05.545" personId="{53BF4E0C-3BA7-47DE-8F91-394923D8ADC1}" id="{FE26BDE6-2759-C70B-A03D-7D74531AFDE4}">
    <xltc:text>Source: Uploaded Anthem_Biosciences_Integrated_Three_Statement_Model(3).xlsx, FY29E central forecast. Classification: Analyst Estimate.</xltc:text>
  </xltc:threadedComment>
  <xltc:threadedComment ref="I20" dT="2026-08-07T11:16:05.55" personId="{2D8FDC9A-AFE6-459F-94A0-4E08B99BEDF7}" id="{04F81CF7-B453-B6B0-832F-58D756EE39D5}">
    <xltc:text>Source: Uploaded Anthem_Biosciences_Integrated_Three_Statement_Model(3).xlsx, FY29E central forecast. Classification: Analyst Estimate.</xltc:text>
  </xltc:threadedComment>
  <xltc:threadedComment ref="I22" dT="2026-08-07T11:16:05.557" personId="{E384B153-5E74-4CDB-82E9-91C79CDD1303}" id="{43207591-27AC-B793-39E8-96221257A9F5}">
    <xltc:text>Source: Uploaded Anthem_Biosciences_Integrated_Three_Statement_Model(3).xlsx, FY29E central forecast. Classification: Analyst Estimate.</xltc:text>
  </xltc:threadedComment>
  <xltc:threadedComment ref="I23" dT="2026-08-07T11:16:05.566" personId="{C1FB565C-9AA5-4007-806C-8847654C2F49}" id="{55BB3901-8D01-BFEB-B468-E4C378888A14}">
    <xltc:text>Source: Uploaded Anthem_Biosciences_Integrated_Three_Statement_Model(3).xlsx, FY29E central forecast. Classification: Analyst Estimate.</xltc:text>
  </xltc:threadedComment>
  <xltc:threadedComment ref="I25" dT="2026-08-07T11:16:05.571" personId="{5F602E8F-3032-43EA-AE66-639896E95EE7}" id="{3D831DD7-218E-F406-3ECA-B4BE120BCB9E}">
    <xltc:text>Source: Uploaded Anthem_Biosciences_Integrated_Three_Statement_Model(3).xlsx, FY29E central forecast. Classification: Analyst Estimate.</xltc:text>
  </xltc:threadedComment>
  <xltc:threadedComment ref="I26" dT="2026-08-07T11:16:05.577" personId="{A2A11486-7A19-4D66-AAC1-C0284C217F62}" id="{C9684F81-7364-A6D8-1E79-948FE3769A33}">
    <xltc:text>Source: Uploaded Anthem_Biosciences_Integrated_Three_Statement_Model(3).xlsx, FY29E central forecast. Classification: Analyst Estimate.</xltc:text>
  </xltc:threadedComment>
  <xltc:threadedComment ref="I27" dT="2026-08-07T11:16:05.583" personId="{B9909999-34BC-4353-8CF6-BEC78BA61450}" id="{60722CF0-DAC6-FA02-EEF0-61242E04CF39}">
    <xltc:text>Source: Uploaded Anthem_Biosciences_Integrated_Three_Statement_Model(3).xlsx, FY29E central forecast. Classification: Analyst Estimate.</xltc:text>
  </xltc:threadedComment>
  <xltc:threadedComment ref="I28" dT="2026-08-07T11:16:05.59" personId="{7A84BFAF-5C7C-40EB-9C00-3ED3B7FE178B}" id="{94AAA4F3-5864-5780-5291-D468D869D164}">
    <xltc:text>Source: Uploaded Anthem_Biosciences_Integrated_Three_Statement_Model(3).xlsx, FY29E central forecast. Classification: Analyst Estimate.</xltc:text>
  </xltc:threadedComment>
  <xltc:threadedComment ref="I29" dT="2026-08-07T11:16:05.596" personId="{164E21B6-0CB2-48A8-8561-4EC7A7FC79DD}" id="{D66E0530-3833-FCD0-F09D-0E2F84513ABE}">
    <xltc:text>Source: Uploaded Anthem_Biosciences_Integrated_Three_Statement_Model(3).xlsx, FY29E central forecast. Classification: Analyst Estimate.</xltc:text>
  </xltc:threadedComment>
  <xltc:threadedComment ref="I31" dT="2026-08-07T11:16:05.601" personId="{7278B382-B407-4522-8131-27CC1193FEEF}" id="{E3B1AA13-92A1-2CA7-BB0B-82ADCFBDA6C4}">
    <xltc:text>Source: Uploaded Anthem_Biosciences_Integrated_Three_Statement_Model(3).xlsx, FY29E central forecast. Classification: Analyst Estimate.</xltc:text>
  </xltc:threadedComment>
  <xltc:threadedComment ref="I39" dT="2026-08-07T11:16:05.608" personId="{88386427-15DD-49EE-8C90-41EB0D2E2EAA}" id="{4C737F69-BFFB-3A7B-54E5-F734E65E99FE}">
    <xltc:text>Source: Uploaded Anthem_Biosciences_Integrated_Three_Statement_Model(3).xlsx, FY29E central forecast. Classification: Analyst Estimate.</xltc:text>
  </xltc:threadedComment>
  <xltc:threadedComment ref="J7" dT="2026-08-07T11:16:05.614" personId="{DDDA8A44-7EA4-4FD2-9AC8-612092BB7CD7}" id="{0F3D526A-48E9-185E-76C4-870A44248C73}">
    <xltc:text>Source: Uploaded Anthem_Biosciences_Integrated_Three_Statement_Model(3).xlsx, FY30E central forecast. Classification: Analyst Estimate.</xltc:text>
  </xltc:threadedComment>
  <xltc:threadedComment ref="J9" dT="2026-08-07T11:16:05.621" personId="{46D5E21A-3A54-4321-9209-DFE5118B42A4}" id="{4A9352AE-2C72-C85C-8C08-9B41D62CBB94}">
    <xltc:text>Source: Uploaded Anthem_Biosciences_Integrated_Three_Statement_Model(3).xlsx, FY30E central forecast. Classification: Analyst Estimate.</xltc:text>
  </xltc:threadedComment>
  <xltc:threadedComment ref="J11" dT="2026-08-07T11:16:05.627" personId="{A9567180-3E26-4BD2-A7E9-8F973AD366E5}" id="{A3DE21A8-7F11-94D0-9169-F073922CAA0B}">
    <xltc:text>Source: Uploaded Anthem_Biosciences_Integrated_Three_Statement_Model(3).xlsx, FY30E central forecast. Classification: Analyst Estimate.</xltc:text>
  </xltc:threadedComment>
  <xltc:threadedComment ref="J12" dT="2026-08-07T11:16:05.634" personId="{EF23BFBB-7657-4925-A958-6911111F2993}" id="{28C3D3C3-EA99-68E1-776D-E14F984C6489}">
    <xltc:text>Source: Uploaded Anthem_Biosciences_Integrated_Three_Statement_Model(3).xlsx, FY30E central forecast. Classification: Analyst Estimate.</xltc:text>
  </xltc:threadedComment>
  <xltc:threadedComment ref="J13" dT="2026-08-07T11:16:05.642" personId="{B034B92C-7752-4CBB-9B0D-A3C927AF0692}" id="{15A9B879-F790-3A54-05A0-1A4229E656BC}">
    <xltc:text>Source: Uploaded Anthem_Biosciences_Integrated_Three_Statement_Model(3).xlsx, FY30E central forecast. Classification: Analyst Estimate.</xltc:text>
  </xltc:threadedComment>
  <xltc:threadedComment ref="J14" dT="2026-08-07T11:16:05.648" personId="{9BD6A24C-B45F-4D52-A47F-B377527CAFFD}" id="{960D3295-543A-5369-1CFE-8BF78DE7599A}">
    <xltc:text>Source: Uploaded Anthem_Biosciences_Integrated_Three_Statement_Model(3).xlsx, FY30E central forecast. Classification: Analyst Estimate.</xltc:text>
  </xltc:threadedComment>
  <xltc:threadedComment ref="J16" dT="2026-08-07T11:16:05.658" personId="{EE0FF1E8-D5D7-4AD8-84F6-482D4393BFAB}" id="{C5921A48-D830-5C36-2DC1-B1B67966DF27}">
    <xltc:text>Source: Uploaded Anthem_Biosciences_Integrated_Three_Statement_Model(3).xlsx, FY30E central forecast. Classification: Analyst Estimate.</xltc:text>
  </xltc:threadedComment>
  <xltc:threadedComment ref="J17" dT="2026-08-07T11:16:05.672" personId="{48F4AF70-4867-49B3-9F49-170AB20A5084}" id="{57476EBB-6DB0-7317-4CFA-45B3A571D6AF}">
    <xltc:text>Source: Uploaded Anthem_Biosciences_Integrated_Three_Statement_Model(3).xlsx, FY30E central forecast. Classification: Analyst Estimate.</xltc:text>
  </xltc:threadedComment>
  <xltc:threadedComment ref="J18" dT="2026-08-07T11:16:05.679" personId="{FCC58668-0FF9-4132-859C-8FED5FF26BFD}" id="{8BFB61BA-262E-4095-422B-D898A9EF96E9}">
    <xltc:text>Source: Uploaded Anthem_Biosciences_Integrated_Three_Statement_Model(3).xlsx, FY30E central forecast. Classification: Analyst Estimate.</xltc:text>
  </xltc:threadedComment>
  <xltc:threadedComment ref="J20" dT="2026-08-07T11:16:05.688" personId="{7119B6D7-5D37-4802-9A23-1ADD1A5DCEA3}" id="{912933C4-A282-8A7C-D5F4-3EAD836B38DB}">
    <xltc:text>Source: Uploaded Anthem_Biosciences_Integrated_Three_Statement_Model(3).xlsx, FY30E central forecast. Classification: Analyst Estimate.</xltc:text>
  </xltc:threadedComment>
  <xltc:threadedComment ref="J22" dT="2026-08-07T11:16:05.694" personId="{BE5663D2-255F-46AD-ACD1-2AE2254449CB}" id="{2149DB44-85A7-0E48-7C83-BE2E31C79284}">
    <xltc:text>Source: Uploaded Anthem_Biosciences_Integrated_Three_Statement_Model(3).xlsx, FY30E central forecast. Classification: Analyst Estimate.</xltc:text>
  </xltc:threadedComment>
  <xltc:threadedComment ref="J23" dT="2026-08-07T11:16:05.699" personId="{E6F25C68-13A6-45DA-BE6B-A80913B43B04}" id="{0CC67933-8373-FE90-5026-32923CFC2FEE}">
    <xltc:text>Source: Uploaded Anthem_Biosciences_Integrated_Three_Statement_Model(3).xlsx, FY30E central forecast. Classification: Analyst Estimate.</xltc:text>
  </xltc:threadedComment>
  <xltc:threadedComment ref="J25" dT="2026-08-07T11:16:05.708" personId="{E09063D1-CD0F-4BBE-8863-436E6393B0E5}" id="{56993BD0-7012-5F61-DA51-E350B2E3E017}">
    <xltc:text>Source: Uploaded Anthem_Biosciences_Integrated_Three_Statement_Model(3).xlsx, FY30E central forecast. Classification: Analyst Estimate.</xltc:text>
  </xltc:threadedComment>
  <xltc:threadedComment ref="J26" dT="2026-08-07T11:16:05.714" personId="{284AA99C-A1CF-4046-B5BF-AFD753E4A771}" id="{26F4AD99-AF76-E38B-7370-EF1DA3FEC00A}">
    <xltc:text>Source: Uploaded Anthem_Biosciences_Integrated_Three_Statement_Model(3).xlsx, FY30E central forecast. Classification: Analyst Estimate.</xltc:text>
  </xltc:threadedComment>
  <xltc:threadedComment ref="J27" dT="2026-08-07T11:16:05.721" personId="{7A2F421E-1102-4746-9159-8591209ACD5B}" id="{623D1D21-6A7A-4B00-5728-76291B585C2A}">
    <xltc:text>Source: Uploaded Anthem_Biosciences_Integrated_Three_Statement_Model(3).xlsx, FY30E central forecast. Classification: Analyst Estimate.</xltc:text>
  </xltc:threadedComment>
  <xltc:threadedComment ref="J28" dT="2026-08-07T11:16:05.728" personId="{1744301A-7BBB-4DE3-BE8C-C85E134ADC36}" id="{5AF35F54-1CF0-485F-ABD4-F2D3963BEC6B}">
    <xltc:text>Source: Uploaded Anthem_Biosciences_Integrated_Three_Statement_Model(3).xlsx, FY30E central forecast. Classification: Analyst Estimate.</xltc:text>
  </xltc:threadedComment>
  <xltc:threadedComment ref="J29" dT="2026-08-07T11:16:05.734" personId="{7AE8FAA9-4491-43CF-A074-AC5D616162F2}" id="{D652163A-4A7A-D3AF-DCB8-4076DCE71909}">
    <xltc:text>Source: Uploaded Anthem_Biosciences_Integrated_Three_Statement_Model(3).xlsx, FY30E central forecast. Classification: Analyst Estimate.</xltc:text>
  </xltc:threadedComment>
  <xltc:threadedComment ref="J31" dT="2026-08-07T11:16:05.741" personId="{8FD22421-0FB5-488D-BC05-F64A77AAAD06}" id="{8AA44EE2-C3EE-578A-B1B5-9D7E6E589025}">
    <xltc:text>Source: Uploaded Anthem_Biosciences_Integrated_Three_Statement_Model(3).xlsx, FY30E central forecast. Classification: Analyst Estimate.</xltc:text>
  </xltc:threadedComment>
  <xltc:threadedComment ref="J39" dT="2026-08-07T11:16:05.748" personId="{3F88709F-D24A-49D4-A7D6-4B3C372F189A}" id="{4CB564DA-05F3-6C33-36C8-B5EC0054043E}">
    <xltc:text>Source: Uploaded Anthem_Biosciences_Integrated_Three_Statement_Model(3).xlsx, FY30E central forecast. Classification: Analyst Estimate.</xltc:text>
  </xltc:threadedComment>
  <xltc:threadedComment ref="K7" dT="2026-08-07T11:16:05.755" personId="{FEA8DE10-EB3C-47FB-91D4-A9E3D2FA7AEF}" id="{2AD44C9C-B508-2D04-B21B-C7154CF64073}">
    <xltc:text>Source: Uploaded Anthem_Biosciences_Integrated_Three_Statement_Model(3).xlsx, FY31E central forecast. Classification: Analyst Estimate.</xltc:text>
  </xltc:threadedComment>
  <xltc:threadedComment ref="K9" dT="2026-08-07T11:16:05.761" personId="{3E596191-8D5D-4717-B9B1-7D50146A0251}" id="{976C777E-EE1C-8A26-DA0E-787259BA648E}">
    <xltc:text>Source: Uploaded Anthem_Biosciences_Integrated_Three_Statement_Model(3).xlsx, FY31E central forecast. Classification: Analyst Estimate.</xltc:text>
  </xltc:threadedComment>
  <xltc:threadedComment ref="K11" dT="2026-08-07T11:16:05.773" personId="{5510562E-DCBA-462C-8EA9-4C748710654B}" id="{FAE3B7D7-78ED-B7FF-E2CD-DEC1912D3D65}">
    <xltc:text>Source: Uploaded Anthem_Biosciences_Integrated_Three_Statement_Model(3).xlsx, FY31E central forecast. Classification: Analyst Estimate.</xltc:text>
  </xltc:threadedComment>
  <xltc:threadedComment ref="K12" dT="2026-08-07T11:16:05.78" personId="{2ADA13A9-8EBE-4546-ACF1-5D4F3BFDA90A}" id="{C6CEF1C9-F2BC-3D03-50D4-F11BAEF21ACD}">
    <xltc:text>Source: Uploaded Anthem_Biosciences_Integrated_Three_Statement_Model(3).xlsx, FY31E central forecast. Classification: Analyst Estimate.</xltc:text>
  </xltc:threadedComment>
  <xltc:threadedComment ref="K13" dT="2026-08-07T11:16:05.788" personId="{75898991-E494-4E9C-8544-0E98E16FA411}" id="{E6FEA51C-1787-6221-E244-D1D3C89985AB}">
    <xltc:text>Source: Uploaded Anthem_Biosciences_Integrated_Three_Statement_Model(3).xlsx, FY31E central forecast. Classification: Analyst Estimate.</xltc:text>
  </xltc:threadedComment>
  <xltc:threadedComment ref="K14" dT="2026-08-07T11:16:05.795" personId="{65BF7B38-DC1E-4077-9B9E-61333B80417D}" id="{710F1C15-7708-EDDF-A712-7BEFD5D5B9A0}">
    <xltc:text>Source: Uploaded Anthem_Biosciences_Integrated_Three_Statement_Model(3).xlsx, FY31E central forecast. Classification: Analyst Estimate.</xltc:text>
  </xltc:threadedComment>
  <xltc:threadedComment ref="K16" dT="2026-08-07T11:16:05.8" personId="{F3316C5D-FB97-4ACC-8EF5-B08049AD5B8D}" id="{9D13DD7A-A813-BE13-18A6-D79C76A6190D}">
    <xltc:text>Source: Uploaded Anthem_Biosciences_Integrated_Three_Statement_Model(3).xlsx, FY31E central forecast. Classification: Analyst Estimate.</xltc:text>
  </xltc:threadedComment>
  <xltc:threadedComment ref="K17" dT="2026-08-07T11:16:05.807" personId="{4F8A2BD6-CE51-4720-B698-3F0919CC8684}" id="{7A109BB0-1C6A-932E-B869-BCC43DF9EBC7}">
    <xltc:text>Source: Uploaded Anthem_Biosciences_Integrated_Three_Statement_Model(3).xlsx, FY31E central forecast. Classification: Analyst Estimate.</xltc:text>
  </xltc:threadedComment>
  <xltc:threadedComment ref="K18" dT="2026-08-07T11:16:05.813" personId="{5E11F882-EAF0-46D2-9467-51CE34260A71}" id="{1F901A90-23F2-11BE-65F7-E5C2C1F89F0D}">
    <xltc:text>Source: Uploaded Anthem_Biosciences_Integrated_Three_Statement_Model(3).xlsx, FY31E central forecast. Classification: Analyst Estimate.</xltc:text>
  </xltc:threadedComment>
  <xltc:threadedComment ref="K20" dT="2026-08-07T11:16:05.821" personId="{AA36C05C-31E6-4CF2-B71B-7F62633DB08E}" id="{9AA0B2C9-DFE4-FA46-C1A4-5342D0FBF79E}">
    <xltc:text>Source: Uploaded Anthem_Biosciences_Integrated_Three_Statement_Model(3).xlsx, FY31E central forecast. Classification: Analyst Estimate.</xltc:text>
  </xltc:threadedComment>
  <xltc:threadedComment ref="K22" dT="2026-08-07T11:16:05.828" personId="{4D802B6B-CBFC-493B-9E68-0F2BEBBE6184}" id="{FBE71440-E95F-8402-7C54-9EB428339263}">
    <xltc:text>Source: Uploaded Anthem_Biosciences_Integrated_Three_Statement_Model(3).xlsx, FY31E central forecast. Classification: Analyst Estimate.</xltc:text>
  </xltc:threadedComment>
  <xltc:threadedComment ref="K23" dT="2026-08-07T11:16:05.837" personId="{6157602F-7FAA-4177-8076-B94DFDCA4CAC}" id="{9C2CAF41-3664-B3DB-8B91-72CE2D0E9785}">
    <xltc:text>Source: Uploaded Anthem_Biosciences_Integrated_Three_Statement_Model(3).xlsx, FY31E central forecast. Classification: Analyst Estimate.</xltc:text>
  </xltc:threadedComment>
  <xltc:threadedComment ref="K25" dT="2026-08-07T11:16:05.845" personId="{D17D97A0-70E6-4EDE-8AD7-A4726586DFC3}" id="{070957D6-ED4C-F598-B822-07873C64D879}">
    <xltc:text>Source: Uploaded Anthem_Biosciences_Integrated_Three_Statement_Model(3).xlsx, FY31E central forecast. Classification: Analyst Estimate.</xltc:text>
  </xltc:threadedComment>
  <xltc:threadedComment ref="K26" dT="2026-08-07T11:16:05.855" personId="{AF38F4CB-AA54-4F5F-9960-44A9614C6440}" id="{11909439-AF52-CBEF-2DDD-CAAB17F7FFD0}">
    <xltc:text>Source: Uploaded Anthem_Biosciences_Integrated_Three_Statement_Model(3).xlsx, FY31E central forecast. Classification: Analyst Estimate.</xltc:text>
  </xltc:threadedComment>
  <xltc:threadedComment ref="K27" dT="2026-08-07T11:16:05.863" personId="{58E6C41D-E251-46C7-BBA8-E1709E2C4D3E}" id="{2DEFF41A-089E-16CB-40A5-6AE1478581A8}">
    <xltc:text>Source: Uploaded Anthem_Biosciences_Integrated_Three_Statement_Model(3).xlsx, FY31E central forecast. Classification: Analyst Estimate.</xltc:text>
  </xltc:threadedComment>
  <xltc:threadedComment ref="K28" dT="2026-08-07T11:16:05.871" personId="{8BD14978-3FCA-4BCD-AC0C-B8C97706A0F5}" id="{CF80AAEC-5E49-4B8D-75D0-7ECD9F1022CB}">
    <xltc:text>Source: Uploaded Anthem_Biosciences_Integrated_Three_Statement_Model(3).xlsx, FY31E central forecast. Classification: Analyst Estimate.</xltc:text>
  </xltc:threadedComment>
  <xltc:threadedComment ref="K29" dT="2026-08-07T11:16:05.878" personId="{7BE00D24-A267-4F5B-BA5E-BC5B1312C621}" id="{4AC8991F-A65C-10E3-521E-CB2BE7EB9D6C}">
    <xltc:text>Source: Uploaded Anthem_Biosciences_Integrated_Three_Statement_Model(3).xlsx, FY31E central forecast. Classification: Analyst Estimate.</xltc:text>
  </xltc:threadedComment>
  <xltc:threadedComment ref="K31" dT="2026-08-07T11:16:05.883" personId="{276B52CF-00EE-41A2-B985-9FE7D76A7FD0}" id="{0042D9F0-2B07-9524-20C7-D9091AF6A8B1}">
    <xltc:text>Source: Uploaded Anthem_Biosciences_Integrated_Three_Statement_Model(3).xlsx, FY31E central forecast. Classification: Analyst Estimate.</xltc:text>
  </xltc:threadedComment>
  <xltc:threadedComment ref="K39" dT="2026-08-07T11:16:05.891" personId="{2A0C2EFB-4507-481D-8E86-060EA5FB5368}" id="{19BD0FE5-FB9E-6235-ED8B-212253BF0788}">
    <xltc:text>Source: Uploaded Anthem_Biosciences_Integrated_Three_Statement_Model(3).xlsx, FY31E central forecast. Classification: Analyst Estimate.</xltc:text>
  </xltc:threadedComment>
  <xltc:threadedComment ref="D40" dT="2026-08-07T11:16:05.899" personId="{DF45ABC2-DD03-41CA-AD11-7F1E095EF255}" id="{4CCCA471-0FDD-BFEF-B629-6E45F6C2D467}">
    <xltc:text>Analyst assumption: normalised tax rate of 25% used only for NOPAT / Operating ROCE comparability. Change if house tax assumption changes.</xltc:text>
  </xltc:threadedComment>
  <xltc:threadedComment ref="D90" dT="2026-08-07T11:16:05.908" personId="{69AED275-9908-4485-BDE4-7D01547CFB1D}" id="{1010B39B-6C35-728D-569D-62FC788EB59B}">
    <xltc:text>Source: Management commentary, Q4 FY26 and Q1 FY27 earnings calls. Unit IV Phase 1 capex approximately INR 12,000 million. Reported.</xltc:text>
  </xltc:threadedComment>
  <xltc:threadedComment ref="D91" dT="2026-08-07T11:16:05.914" personId="{CBD8A0AE-1D67-4BAE-8BBA-40D8B0344F01}" id="{758EA2F7-565C-53D8-1EED-4DBAE98758AC}">
    <xltc:text>Source: Q4 FY26 / Q1 FY27 earnings calls. FY27 total capex guidance approximately INR 7,000 million. Reported / rounded.</xltc:text>
  </xltc:threadedComment>
  <xltc:threadedComment ref="D92" dT="2026-08-07T11:16:05.922" personId="{67EE11FD-226F-4626-9F84-48CBDDE96B88}" id="{1B9999DA-76DF-21FA-9BD0-DC9858744613}">
    <xltc:text>Source: Q4 FY26 earnings call. FY28 spend indicated approximately INR 5,000 million following FY27 spend. Reported / rounded.</xltc:text>
  </xltc:threadedComment>
  <xltc:threadedComment ref="D93" dT="2026-08-07T11:16:05.929" personId="{6AB821DC-7A61-4DCA-A6CD-7770C218B568}" id="{B1C33198-EAB1-E008-5713-CF94E20AD3C3}">
    <xltc:text>Source: Q4 FY26 / Q1 FY27 calls. Unit IV Phase 1 planned custom-synthesis addition approximately 365 kL. Reported.</xltc:text>
  </xltc:threadedComment>
  <xltc:threadedComment ref="D94" dT="2026-08-07T11:16:05.939" personId="{2B45BB7C-858E-416F-A938-CD72818765DB}" id="{74522E3F-24F0-A7F1-39C8-6B54801065C1}">
    <xltc:text>Source: Q4 FY26 / Q1 FY27 calls. Unit IV Phase 1 planned fermentation addition approximately 100 kL. Reported.</xltc:text>
  </xltc:threadedComment>
  <xltc:threadedComment ref="D95" dT="2026-08-07T11:16:05.945" personId="{36199B6B-53BE-4CF7-8332-8361D7C32014}" id="{64F4BDD9-3420-EBE6-B9AE-CCC8C59B5481}">
    <xltc:text>Analyst assumption: 25% normalised tax rate for project NOPAT sensitivity; not management guidance.</xltc:text>
  </xltc:threadedComment>
  <xltc:threadedComment ref="D96" dT="2026-08-07T11:16:05.952" personId="{E1EC0FBF-8E8A-49D0-8E0A-2DEBD07D5BF2}" id="{652BA887-8323-0212-AA29-950A2E4BB931}">
    <xltc:text>Analyst sensitivity: 35% steady-state EBIT margin used only to reverse-engineer required Unit IV revenue for target returns; not a forecast.</xltc:text>
  </xltc:threadedComment>
  <xltc:threadedComment ref="G91" dT="2026-08-07T11:16:05.961" personId="{16B4A942-8BD3-4DAE-8740-A1068F587612}" id="{75784FD1-1ADB-5626-6CA4-75C18D745909}">
    <xltc:text>Analytical return threshold: 15% ROCE is a sensitivity / hurdle for capital-discipline testing, not a company-disclosed WACC.</xltc:text>
  </xltc:threadedComment>
  <xltc:threadedComment ref="D156" dT="2026-08-07T11:16:05.97" personId="{4BEA3185-0DD0-4694-AFBF-A2AB1D49F38B}" id="{B0A31EB1-B71B-46D1-D617-CEC77D8F4F6F}">
    <xltc:text>FY26A base year. No growth assumption applied.</xltc:text>
  </xltc:threadedComment>
  <xltc:threadedComment ref="E156" dT="2026-08-07T11:16:05.979" personId="{73B0E122-CA1E-421E-983E-B771E081F209}" id="{632DF1B2-2EED-8143-7290-DC14A0EF8B76}">
    <xltc:text>Analyst cross-check: 15% D&amp;M growth on existing assets in FY27, reflecting management statement that current capacity can support near-term growth.</xltc:text>
  </xltc:threadedComment>
  <xltc:threadedComment ref="F156" dT="2026-08-07T11:16:05.987" personId="{8077D170-8182-48B5-904C-646E0BB2FAC1}" id="{0864FB56-00B8-1A1D-41FE-3986D659A611}">
    <xltc:text>Analyst cross-check: 15% D&amp;M growth on existing assets in FY28; Unit IV not assumed to contribute materially before end-FY28.</xltc:text>
  </xltc:threadedComment>
  <xltc:threadedComment ref="G156" dT="2026-08-07T11:16:05.995" personId="{D0A3E473-24E7-496C-A34A-7C09FEE322E3}" id="{E2360F15-3EAC-F534-25EE-088121A023E1}">
    <xltc:text>Analyst cross-check: existing-asset D&amp;M growth normalises to 5% from FY29 as Unit IV begins to matter.</xltc:text>
  </xltc:threadedComment>
  <xltc:threadedComment ref="H156" dT="2026-08-07T11:16:06.002" personId="{3B026F50-B174-4E02-B0B7-77F6992D8699}" id="{C14CE680-A842-38DD-B35F-7FED6BFEEA92}">
    <xltc:text>Analyst cross-check: 5% existing-asset D&amp;M growth assumption.</xltc:text>
  </xltc:threadedComment>
  <xltc:threadedComment ref="I156" dT="2026-08-07T11:16:06.01" personId="{75F39DF0-F04D-47A6-9D22-58386C793C5A}" id="{4F62540A-7CCD-B94D-9F38-7EA6DC489338}">
    <xltc:text>Analyst cross-check: 5% existing-asset D&amp;M growth assumption.</xltc:text>
  </xltc:threadedComment>
  <xltc:threadedComment ref="J329" dT="2026-08-07T11:18:38.166" personId="{0C1E87DF-854D-44E7-8366-4C1C3F0055A2}" id="{569E19AD-6EF3-5EA3-4690-142DCA1DECC5}">
    <xltc:text>Capacity timing source: FY25 Annual Report / Prospectus and FY26–FY27 management calls. FY26 current custom synthesis capacity ~425 kL; Unit IV Phase 1 adds ~365 kL and is assumed operational for charting from FY29 after end-FY28 completion. Chart uses an index only; not a revenue/kL forecast.</xltc:text>
  </xltc:threadedComment>
  <xltc:threadedComment ref="K329" dT="2026-08-07T11:18:38.177" personId="{FEF10172-85DD-496B-B6D2-64BEC6A569FD}" id="{F2EEBC8B-CA69-4C41-9943-136A7ADD6190}">
    <xltc:text>Capacity timing source: FY25 Annual Report / Prospectus and FY26–FY27 management calls. FY26 current fermentation capacity ~180 kL; Unit IV Phase 1 adds ~100 kL and is assumed operational for charting from FY29 after end-FY28 completion. Chart uses an index only; not a revenue/kL forecast.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71820f09d564b87" /><Relationship Type="http://schemas.openxmlformats.org/officeDocument/2006/relationships/vmlDrawing" Target="/xl/drawings/vmldrawing.vml" Id="Rdccb59732f1a4114" /><Relationship Type="http://schemas.microsoft.com/office/2017/10/relationships/threadedComment" Target="/xl/threadedcomments/threadedcomment.xml" Id="R0af398574cf546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0b0b3dd3313740dd" /><Relationship Type="http://schemas.openxmlformats.org/officeDocument/2006/relationships/vmlDrawing" Target="/xl/drawings/vmldrawing2.vml" Id="R7eb4488761ba466b" /><Relationship Type="http://schemas.microsoft.com/office/2017/10/relationships/threadedComment" Target="/xl/threadedcomments/threadedcomment2.xml" Id="R661f7f2e80b940fd" /><Relationship Type="http://schemas.openxmlformats.org/officeDocument/2006/relationships/drawing" Target="/xl/drawings/drawing1.xml" Id="Rf14022a1d4834c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6" customHeight="1">
      <x:c r="A1" s="144" t="str">
        <x:v>Anthem Biosciences – Quarterly Monitoring &amp; Capex Tracker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  <x:c r="N1" s="144"/>
      <x:c r="O1" s="144"/>
    </x:row>
    <x:row r="2" ht="18" customHeight="1">
      <x:c r="A2" s="145" t="str">
        <x:v>Institutional result monitor | 8 reported quarters + 4 future input quarters | INR million unless stated</x:v>
      </x:c>
      <x:c r="B2" s="145"/>
      <x:c r="C2" s="145"/>
      <x:c r="D2" s="145"/>
      <x:c r="E2" s="145"/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</x:row>
    <x:row r="4" ht="21" customHeight="1">
      <x:c r="A4" s="146" t="str">
        <x:v>LATEST QUARTER SCORECARD – Q1 FY27</x:v>
      </x:c>
      <x:c r="B4" s="146"/>
      <x:c r="C4" s="146"/>
      <x:c r="D4" s="146"/>
      <x:c r="E4" s="146"/>
      <x:c r="F4" s="146"/>
      <x:c r="G4" s="146"/>
      <x:c r="H4" s="146"/>
      <x:c r="I4" s="146"/>
      <x:c r="J4" s="146"/>
      <x:c r="K4" s="146"/>
      <x:c r="L4" s="146"/>
      <x:c r="M4" s="146"/>
      <x:c r="N4" s="146"/>
      <x:c r="O4" s="146"/>
    </x:row>
    <x:row r="5">
      <x:c r="A5" s="116" t="str">
        <x:v>Revenue</x:v>
      </x:c>
      <x:c r="B5" s="117" t="n">
        <x:f>K24</x:f>
        <x:v>4182</x:v>
      </x:c>
      <x:c r="C5" s="118"/>
      <x:c r="D5" s="116" t="str">
        <x:v>YoY Growth</x:v>
      </x:c>
      <x:c r="E5" s="119" t="n">
        <x:f>K25</x:f>
        <x:v>-0.22584228063680123</x:v>
      </x:c>
      <x:c r="F5" s="120"/>
      <x:c r="G5" s="121" t="str">
        <x:v>QoQ Growth</x:v>
      </x:c>
      <x:c r="H5" s="119" t="n">
        <x:f>K26</x:f>
        <x:v>-0.31543624161073824</x:v>
      </x:c>
      <x:c r="I5" s="118"/>
      <x:c r="J5" s="116" t="str">
        <x:v>CRDMO Revenue</x:v>
      </x:c>
      <x:c r="K5" s="117" t="n">
        <x:f>K55</x:f>
        <x:v>3408</x:v>
      </x:c>
      <x:c r="L5" s="50"/>
      <x:c r="M5" s="50"/>
      <x:c r="N5" s="50"/>
      <x:c r="O5" s="50"/>
    </x:row>
    <x:row r="6">
      <x:c r="A6" s="116" t="str">
        <x:v>CRDMO YoY Growth</x:v>
      </x:c>
      <x:c r="B6" s="119" t="n">
        <x:f>K56</x:f>
        <x:v>-0.24718356527501661</x:v>
      </x:c>
      <x:c r="C6" s="118"/>
      <x:c r="D6" s="116" t="str">
        <x:v>Specialty Ingredients Revenue</x:v>
      </x:c>
      <x:c r="E6" s="117" t="n">
        <x:f>K59</x:f>
        <x:v>774</x:v>
      </x:c>
      <x:c r="F6" s="118"/>
      <x:c r="G6" s="116" t="str">
        <x:v>Specialty YoY Growth</x:v>
      </x:c>
      <x:c r="H6" s="119" t="n">
        <x:f>K60</x:f>
        <x:v>-0.11542857142857144</x:v>
      </x:c>
      <x:c r="I6" s="120"/>
      <x:c r="J6" s="121" t="str">
        <x:v>CRDMO Mix</x:v>
      </x:c>
      <x:c r="K6" s="119" t="n">
        <x:f>K58</x:f>
        <x:v>0.8149210903873745</x:v>
      </x:c>
      <x:c r="L6" s="50"/>
      <x:c r="M6" s="50"/>
      <x:c r="N6" s="50"/>
      <x:c r="O6" s="50"/>
    </x:row>
    <x:row r="7">
      <x:c r="A7" s="116" t="str">
        <x:v>EBITDA</x:v>
      </x:c>
      <x:c r="B7" s="117" t="n">
        <x:f>K34</x:f>
        <x:v>1755</x:v>
      </x:c>
      <x:c r="C7" s="118"/>
      <x:c r="D7" s="116" t="str">
        <x:v>EBITDA Margin</x:v>
      </x:c>
      <x:c r="E7" s="119" t="n">
        <x:f>K35</x:f>
        <x:v>0.3960731211916046</x:v>
      </x:c>
      <x:c r="F7" s="120"/>
      <x:c r="G7" s="121" t="str">
        <x:v>Margin YoY Change</x:v>
      </x:c>
      <x:c r="H7" s="119" t="n">
        <x:f>K36</x:f>
        <x:v>0.015433689575263587</x:v>
      </x:c>
      <x:c r="I7" s="118"/>
      <x:c r="J7" s="116" t="str">
        <x:v>PAT</x:v>
      </x:c>
      <x:c r="K7" s="117" t="n">
        <x:f>K47</x:f>
        <x:v>1199</x:v>
      </x:c>
      <x:c r="L7" s="50"/>
      <x:c r="M7" s="50"/>
      <x:c r="N7" s="50"/>
      <x:c r="O7" s="50"/>
    </x:row>
    <x:row r="8">
      <x:c r="A8" s="116" t="str">
        <x:v>PAT Margin</x:v>
      </x:c>
      <x:c r="B8" s="119" t="n">
        <x:f>K48</x:f>
        <x:v>0.27059354547506204</x:v>
      </x:c>
      <x:c r="C8" s="118"/>
      <x:c r="D8" s="116" t="str">
        <x:v>Capex / YTD Capex</x:v>
      </x:c>
      <x:c r="E8" s="119" t="str">
        <x:v>NA – YTD spend not disclosed</x:v>
      </x:c>
      <x:c r="F8" s="118"/>
      <x:c r="G8" s="116" t="str">
        <x:v>Cash / Investments</x:v>
      </x:c>
      <x:c r="H8" s="122" t="str">
        <x:v>NA – components not disclosed</x:v>
      </x:c>
      <x:c r="I8" s="118"/>
      <x:c r="J8" s="116" t="str">
        <x:v>Gross Debt</x:v>
      </x:c>
      <x:c r="K8" s="122" t="str">
        <x:v>NA – not disclosed</x:v>
      </x:c>
      <x:c r="L8" s="50"/>
      <x:c r="M8" s="50"/>
      <x:c r="N8" s="50"/>
      <x:c r="O8" s="50"/>
    </x:row>
    <x:row r="9">
      <x:c r="A9" s="116" t="str">
        <x:v>Net Cash</x:v>
      </x:c>
      <x:c r="B9" s="117" t="n">
        <x:v>17197</x:v>
      </x:c>
      <x:c r="C9" s="118"/>
      <x:c r="D9" s="118"/>
      <x:c r="E9" s="118"/>
      <x:c r="F9" s="118"/>
      <x:c r="G9" s="118"/>
      <x:c r="H9" s="118"/>
      <x:c r="I9" s="118"/>
      <x:c r="J9" s="118"/>
      <x:c r="K9" s="118"/>
      <x:c r="L9" s="50"/>
      <x:c r="M9" s="50"/>
      <x:c r="N9" s="50"/>
      <x:c r="O9" s="50"/>
    </x:row>
    <x:row r="10">
      <x:c r="A10" s="50"/>
      <x:c r="B10" s="50"/>
      <x:c r="C10" s="50"/>
      <x:c r="D10" s="50"/>
      <x:c r="E10" s="50"/>
      <x:c r="F10" s="50"/>
      <x:c r="G10" s="50"/>
      <x:c r="H10" s="50"/>
      <x:c r="I10" s="50"/>
      <x:c r="J10" s="50"/>
      <x:c r="K10" s="50"/>
      <x:c r="L10" s="50"/>
      <x:c r="M10" s="50"/>
      <x:c r="N10" s="50"/>
      <x:c r="O10" s="50"/>
    </x:row>
    <x:row r="11">
      <x:c r="A11" s="50"/>
      <x:c r="B11" s="50"/>
      <x:c r="C11" s="50"/>
      <x:c r="D11" s="50"/>
      <x:c r="E11" s="50"/>
      <x:c r="F11" s="50"/>
      <x:c r="G11" s="50"/>
      <x:c r="H11" s="50"/>
      <x:c r="I11" s="50"/>
      <x:c r="J11" s="50"/>
      <x:c r="K11" s="50"/>
      <x:c r="L11" s="50"/>
      <x:c r="M11" s="50"/>
      <x:c r="N11" s="50"/>
      <x:c r="O11" s="50"/>
    </x:row>
    <x:row r="12" ht="20" customHeight="1">
      <x:c r="A12" s="146" t="str">
        <x:v>YTD VS CURRENT MODEL (FY27E)</x:v>
      </x:c>
      <x:c r="B12" s="146"/>
      <x:c r="C12" s="146"/>
      <x:c r="D12" s="146"/>
      <x:c r="E12" s="146"/>
      <x:c r="F12" s="146"/>
      <x:c r="G12" s="146"/>
      <x:c r="H12" s="146"/>
      <x:c r="I12" s="146"/>
      <x:c r="J12" s="146"/>
      <x:c r="K12" s="146"/>
      <x:c r="L12" s="146"/>
      <x:c r="M12" s="146"/>
      <x:c r="N12" s="146"/>
      <x:c r="O12" s="146"/>
    </x:row>
    <x:row r="13">
      <x:c r="A13" s="147" t="str">
        <x:v>Metric</x:v>
      </x:c>
      <x:c r="B13" s="147" t="str">
        <x:v>Units</x:v>
      </x:c>
      <x:c r="C13" s="147" t="str">
        <x:v>YTD Actual</x:v>
      </x:c>
      <x:c r="D13" s="147" t="str">
        <x:v>Current Model FY27E</x:v>
      </x:c>
      <x:c r="E13" s="147" t="str">
        <x:v>% Achieved</x:v>
      </x:c>
      <x:c r="F13" s="147" t="str">
        <x:v>Remaining</x:v>
      </x:c>
      <x:c r="G13" s="147" t="str">
        <x:v>Required Avg / Qtr</x:v>
      </x:c>
      <x:c r="H13" s="147" t="str">
        <x:v>Analyst Read-through</x:v>
      </x:c>
      <x:c r="I13" s="147"/>
      <x:c r="J13" s="147"/>
      <x:c r="K13" s="147"/>
      <x:c r="L13" s="147"/>
      <x:c r="M13" s="147"/>
      <x:c r="N13" s="147"/>
      <x:c r="O13" s="147"/>
    </x:row>
    <x:row r="14" ht="34" customHeight="1">
      <x:c r="A14" s="50" t="str">
        <x:v>Revenue</x:v>
      </x:c>
      <x:c r="B14" s="50" t="str">
        <x:v>INR mn</x:v>
      </x:c>
      <x:c r="C14" s="72" t="n">
        <x:v>4182</x:v>
      </x:c>
      <x:c r="D14" s="148" t="n">
        <x:f>'Capex &amp; Returns'!G7</x:f>
        <x:v>24834.127433962265</x:v>
      </x:c>
      <x:c r="E14" s="149" t="n">
        <x:f>IFERROR(C14/D14,"")</x:f>
        <x:v>0.16839729968852646</x:v>
      </x:c>
      <x:c r="F14" s="150" t="n">
        <x:f>D14-C14</x:f>
        <x:v>20652.127433962265</x:v>
      </x:c>
      <x:c r="G14" s="150" t="n">
        <x:f>F14/3</x:f>
        <x:v>6884.042477987422</x:v>
      </x:c>
      <x:c r="H14" s="118" t="str">
        <x:v>Q1 soft; requires material H2 acceleration consistent with delivery-timing commentary.</x:v>
      </x:c>
      <x:c r="I14" s="118"/>
      <x:c r="J14" s="118"/>
      <x:c r="K14" s="118"/>
      <x:c r="L14" s="118"/>
      <x:c r="M14" s="118"/>
      <x:c r="N14" s="118"/>
      <x:c r="O14" s="118"/>
    </x:row>
    <x:row r="15" ht="34" customHeight="1">
      <x:c r="A15" s="50" t="str">
        <x:v>CRDMO</x:v>
      </x:c>
      <x:c r="B15" s="50" t="str">
        <x:v>INR mn</x:v>
      </x:c>
      <x:c r="C15" s="72" t="n">
        <x:v>3408</x:v>
      </x:c>
      <x:c r="D15" s="148" t="n">
        <x:f>'Capex &amp; Returns'!G9</x:f>
        <x:v>21037.225433962263</x:v>
      </x:c>
      <x:c r="E15" s="149" t="n">
        <x:f>IFERROR(C15/D15,"")</x:f>
        <x:v>0.1619985492239943</x:v>
      </x:c>
      <x:c r="F15" s="150" t="n">
        <x:f>D15-C15</x:f>
        <x:v>17629.225433962263</x:v>
      </x:c>
      <x:c r="G15" s="150" t="n">
        <x:f>F15/3</x:f>
        <x:v>5876.408477987421</x:v>
      </x:c>
      <x:c r="H15" s="118" t="str">
        <x:v>Core driver; Q1 weakness was attributed to shipment timing, not demand.</x:v>
      </x:c>
      <x:c r="I15" s="118"/>
      <x:c r="J15" s="118"/>
      <x:c r="K15" s="118"/>
      <x:c r="L15" s="118"/>
      <x:c r="M15" s="118"/>
      <x:c r="N15" s="118"/>
      <x:c r="O15" s="118"/>
    </x:row>
    <x:row r="16" ht="34" customHeight="1">
      <x:c r="A16" s="50" t="str">
        <x:v>Specialty Ingredients</x:v>
      </x:c>
      <x:c r="B16" s="50" t="str">
        <x:v>INR mn</x:v>
      </x:c>
      <x:c r="C16" s="72" t="n">
        <x:v>774</x:v>
      </x:c>
      <x:c r="D16" s="148" t="n">
        <x:f>'Capex &amp; Returns'!G13</x:f>
        <x:v>3796.9020000000005</x:v>
      </x:c>
      <x:c r="E16" s="149" t="n">
        <x:f>IFERROR(C16/D16,"")</x:f>
        <x:v>0.2038504022489914</x:v>
      </x:c>
      <x:c r="F16" s="150" t="n">
        <x:f>D16-C16</x:f>
        <x:v>3022.9020000000005</x:v>
      </x:c>
      <x:c r="G16" s="150" t="n">
        <x:f>F16/3</x:f>
        <x:v>1007.6340000000001</x:v>
      </x:c>
      <x:c r="H16" s="118" t="str">
        <x:v>Q1 soft; management expects improvement through the year.</x:v>
      </x:c>
      <x:c r="I16" s="118"/>
      <x:c r="J16" s="118"/>
      <x:c r="K16" s="118"/>
      <x:c r="L16" s="118"/>
      <x:c r="M16" s="118"/>
      <x:c r="N16" s="118"/>
      <x:c r="O16" s="118"/>
    </x:row>
    <x:row r="17" ht="34" customHeight="1">
      <x:c r="A17" s="50" t="str">
        <x:v>EBITDA</x:v>
      </x:c>
      <x:c r="B17" s="50" t="str">
        <x:v>INR mn</x:v>
      </x:c>
      <x:c r="C17" s="72" t="n">
        <x:v>1755</x:v>
      </x:c>
      <x:c r="D17" s="148" t="n">
        <x:f>'Capex &amp; Returns'!G14</x:f>
        <x:v>11163.541038377356</x:v>
      </x:c>
      <x:c r="E17" s="149" t="n">
        <x:f>IFERROR(C17/D17,"")</x:f>
        <x:v>0.1572081827770208</x:v>
      </x:c>
      <x:c r="F17" s="150" t="n">
        <x:f>D17-C17</x:f>
        <x:v>9408.541038377356</x:v>
      </x:c>
      <x:c r="G17" s="150" t="n">
        <x:f>F17/3</x:f>
        <x:v>3136.1803461257855</x:v>
      </x:c>
      <x:c r="H17" s="118" t="str">
        <x:v>Margin resilient despite lower Q1 revenue.</x:v>
      </x:c>
      <x:c r="I17" s="118"/>
      <x:c r="J17" s="118"/>
      <x:c r="K17" s="118"/>
      <x:c r="L17" s="118"/>
      <x:c r="M17" s="118"/>
      <x:c r="N17" s="118"/>
      <x:c r="O17" s="118"/>
    </x:row>
    <x:row r="18" ht="34" customHeight="1">
      <x:c r="A18" s="50" t="str">
        <x:v>PAT</x:v>
      </x:c>
      <x:c r="B18" s="50" t="str">
        <x:v>INR mn</x:v>
      </x:c>
      <x:c r="C18" s="72" t="n">
        <x:v>1199</x:v>
      </x:c>
      <x:c r="D18" s="148" t="n">
        <x:f>'Capex &amp; Returns'!G17</x:f>
        <x:v>7175.897688399243</x:v>
      </x:c>
      <x:c r="E18" s="149" t="n">
        <x:f>IFERROR(C18/D18,"")</x:f>
        <x:v>0.16708710910668878</x:v>
      </x:c>
      <x:c r="F18" s="150" t="n">
        <x:f>D18-C18</x:f>
        <x:v>5976.897688399243</x:v>
      </x:c>
      <x:c r="G18" s="150" t="n">
        <x:f>F18/3</x:f>
        <x:v>1992.2992294664143</x:v>
      </x:c>
      <x:c r="H18" s="118" t="str">
        <x:v>Track operating conversion separately from other income / low finance costs.</x:v>
      </x:c>
      <x:c r="I18" s="118"/>
      <x:c r="J18" s="118"/>
      <x:c r="K18" s="118"/>
      <x:c r="L18" s="118"/>
      <x:c r="M18" s="118"/>
      <x:c r="N18" s="118"/>
      <x:c r="O18" s="118"/>
    </x:row>
    <x:row r="19" ht="34" customHeight="1">
      <x:c r="A19" s="50" t="str">
        <x:v>Capex</x:v>
      </x:c>
      <x:c r="B19" s="50" t="str">
        <x:v>INR mn</x:v>
      </x:c>
      <x:c r="C19" s="66" t="str">
        <x:v>NA</x:v>
      </x:c>
      <x:c r="D19" s="148" t="n">
        <x:f>'Capex &amp; Returns'!G20</x:f>
        <x:v>7000</x:v>
      </x:c>
      <x:c r="E19" s="151"/>
      <x:c r="F19" s="151"/>
      <x:c r="G19" s="151"/>
      <x:c r="H19" s="118" t="str">
        <x:v>FY27 guidance ~₹7,000m; Q1/YTD spend not disclosed.</x:v>
      </x:c>
      <x:c r="I19" s="118"/>
      <x:c r="J19" s="118"/>
      <x:c r="K19" s="118"/>
      <x:c r="L19" s="118"/>
      <x:c r="M19" s="118"/>
      <x:c r="N19" s="118"/>
      <x:c r="O19" s="118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</x:row>
    <x:row r="22" ht="20" customHeight="1">
      <x:c r="A22" s="146" t="str">
        <x:v>QUARTERLY P&amp;L</x:v>
      </x:c>
      <x:c r="B22" s="146"/>
      <x:c r="C22" s="146"/>
      <x:c r="D22" s="146"/>
      <x:c r="E22" s="146"/>
      <x:c r="F22" s="146"/>
      <x:c r="G22" s="146"/>
      <x:c r="H22" s="146"/>
      <x:c r="I22" s="146"/>
      <x:c r="J22" s="146"/>
      <x:c r="K22" s="146"/>
      <x:c r="L22" s="146"/>
      <x:c r="M22" s="146"/>
      <x:c r="N22" s="146"/>
      <x:c r="O22" s="146"/>
    </x:row>
    <x:row r="23">
      <x:c r="A23" s="147" t="str">
        <x:v>Metric</x:v>
      </x:c>
      <x:c r="B23" s="147" t="str">
        <x:v>Units</x:v>
      </x:c>
      <x:c r="C23" s="147" t="str">
        <x:v>Classification</x:v>
      </x:c>
      <x:c r="D23" s="147" t="str">
        <x:v>Q2 FY25</x:v>
      </x:c>
      <x:c r="E23" s="147" t="str">
        <x:v>Q3 FY25</x:v>
      </x:c>
      <x:c r="F23" s="147" t="str">
        <x:v>Q4 FY25</x:v>
      </x:c>
      <x:c r="G23" s="147" t="str">
        <x:v>Q1 FY26</x:v>
      </x:c>
      <x:c r="H23" s="147" t="str">
        <x:v>Q2 FY26</x:v>
      </x:c>
      <x:c r="I23" s="147" t="str">
        <x:v>Q3 FY26</x:v>
      </x:c>
      <x:c r="J23" s="147" t="str">
        <x:v>Q4 FY26</x:v>
      </x:c>
      <x:c r="K23" s="147" t="str">
        <x:v>Q1 FY27</x:v>
      </x:c>
      <x:c r="L23" s="147" t="str">
        <x:v>Q2 FY27</x:v>
      </x:c>
      <x:c r="M23" s="147" t="str">
        <x:v>Q3 FY27</x:v>
      </x:c>
      <x:c r="N23" s="147" t="str">
        <x:v>Q4 FY27</x:v>
      </x:c>
      <x:c r="O23" s="147" t="str">
        <x:v>Q1 FY28</x:v>
      </x:c>
    </x:row>
    <x:row r="24">
      <x:c r="A24" s="50" t="str">
        <x:v>Revenue from Operations</x:v>
      </x:c>
      <x:c r="B24" s="50" t="str">
        <x:v>INR mn</x:v>
      </x:c>
      <x:c r="C24" s="50" t="str">
        <x:v>Reported</x:v>
      </x:c>
      <x:c r="D24" s="72" t="n">
        <x:v>5250</x:v>
      </x:c>
      <x:c r="E24" s="72" t="n">
        <x:v>4978</x:v>
      </x:c>
      <x:c r="F24" s="72" t="n">
        <x:v>4832</x:v>
      </x:c>
      <x:c r="G24" s="72" t="n">
        <x:v>5402</x:v>
      </x:c>
      <x:c r="H24" s="72" t="n">
        <x:v>5500</x:v>
      </x:c>
      <x:c r="I24" s="72" t="n">
        <x:v>4232</x:v>
      </x:c>
      <x:c r="J24" s="72" t="n">
        <x:v>6109</x:v>
      </x:c>
      <x:c r="K24" s="72" t="n">
        <x:v>4182</x:v>
      </x:c>
      <x:c r="L24" s="152"/>
      <x:c r="M24" s="152"/>
      <x:c r="N24" s="152"/>
      <x:c r="O24" s="152"/>
    </x:row>
    <x:row r="25">
      <x:c r="A25" s="50" t="str">
        <x:v>  YoY Revenue Growth</x:v>
      </x:c>
      <x:c r="B25" s="50" t="str">
        <x:v>%</x:v>
      </x:c>
      <x:c r="C25" s="50" t="str">
        <x:v>Derived</x:v>
      </x:c>
      <x:c r="D25" s="149" t="str">
        <x:v>NA</x:v>
      </x:c>
      <x:c r="E25" s="149" t="str">
        <x:v>NA</x:v>
      </x:c>
      <x:c r="F25" s="149" t="str">
        <x:v>NA</x:v>
      </x:c>
      <x:c r="G25" s="149" t="str">
        <x:v>NA</x:v>
      </x:c>
      <x:c r="H25" s="149" t="n">
        <x:f>IFERROR(H24/D24-1,"")</x:f>
        <x:v>0.04761904761904767</x:v>
      </x:c>
      <x:c r="I25" s="149" t="n">
        <x:f>IFERROR(I24/E24-1,"")</x:f>
        <x:v>-0.14985938127762155</x:v>
      </x:c>
      <x:c r="J25" s="149" t="n">
        <x:f>IFERROR(J24/F24-1,"")</x:f>
        <x:v>0.26427980132450335</x:v>
      </x:c>
      <x:c r="K25" s="149" t="n">
        <x:f>IFERROR(K24/G24-1,"")</x:f>
        <x:v>-0.22584228063680123</x:v>
      </x:c>
      <x:c r="L25" s="153" t="str">
        <x:f>IF(L24="","",IFERROR(L24/H24-1,""))</x:f>
      </x:c>
      <x:c r="M25" s="153" t="str">
        <x:f>IF(M24="","",IFERROR(M24/I24-1,""))</x:f>
      </x:c>
      <x:c r="N25" s="153" t="str">
        <x:f>IF(N24="","",IFERROR(N24/J24-1,""))</x:f>
      </x:c>
      <x:c r="O25" s="153" t="str">
        <x:f>IF(O24="","",IFERROR(O24/K24-1,""))</x:f>
      </x:c>
    </x:row>
    <x:row r="26">
      <x:c r="A26" s="50" t="str">
        <x:v>  QoQ Revenue Growth</x:v>
      </x:c>
      <x:c r="B26" s="50" t="str">
        <x:v>%</x:v>
      </x:c>
      <x:c r="C26" s="50" t="str">
        <x:v>Derived</x:v>
      </x:c>
      <x:c r="D26" s="149" t="str">
        <x:v>NA</x:v>
      </x:c>
      <x:c r="E26" s="149" t="n">
        <x:f>IFERROR(E24/D24-1,"")</x:f>
        <x:v>-0.05180952380952386</x:v>
      </x:c>
      <x:c r="F26" s="149" t="n">
        <x:f>IFERROR(F24/E24-1,"")</x:f>
        <x:v>-0.029329047810365605</x:v>
      </x:c>
      <x:c r="G26" s="149" t="n">
        <x:f>IFERROR(G24/F24-1,"")</x:f>
        <x:v>0.11796357615894038</x:v>
      </x:c>
      <x:c r="H26" s="149" t="n">
        <x:f>IFERROR(H24/G24-1,"")</x:f>
        <x:v>0.01814142910033323</x:v>
      </x:c>
      <x:c r="I26" s="149" t="n">
        <x:f>IFERROR(I24/H24-1,"")</x:f>
        <x:v>-0.2305454545454545</x:v>
      </x:c>
      <x:c r="J26" s="149" t="n">
        <x:f>IFERROR(J24/I24-1,"")</x:f>
        <x:v>0.4435255198487713</x:v>
      </x:c>
      <x:c r="K26" s="149" t="n">
        <x:f>IFERROR(K24/J24-1,"")</x:f>
        <x:v>-0.31543624161073824</x:v>
      </x:c>
      <x:c r="L26" s="153" t="str">
        <x:f>IF(L24="","",IFERROR(L24/K24-1,""))</x:f>
      </x:c>
      <x:c r="M26" s="153" t="str">
        <x:f>IF(M24="","",IFERROR(M24/L24-1,""))</x:f>
      </x:c>
      <x:c r="N26" s="153" t="str">
        <x:f>IF(N24="","",IFERROR(N24/M24-1,""))</x:f>
      </x:c>
      <x:c r="O26" s="153" t="str">
        <x:f>IF(O24="","",IFERROR(O24/N24-1,""))</x:f>
      </x:c>
    </x:row>
    <x:row r="27">
      <x:c r="A27" s="50" t="str">
        <x:v>Other Income</x:v>
      </x:c>
      <x:c r="B27" s="50" t="str">
        <x:v>INR mn</x:v>
      </x:c>
      <x:c r="C27" s="50" t="str">
        <x:v>Reported</x:v>
      </x:c>
      <x:c r="D27" s="72" t="n">
        <x:v>278</x:v>
      </x:c>
      <x:c r="E27" s="72" t="n">
        <x:v>244</x:v>
      </x:c>
      <x:c r="F27" s="72" t="n">
        <x:v>140</x:v>
      </x:c>
      <x:c r="G27" s="72" t="n">
        <x:v>228</x:v>
      </x:c>
      <x:c r="H27" s="72" t="n">
        <x:v>482</x:v>
      </x:c>
      <x:c r="I27" s="72" t="n">
        <x:v>335</x:v>
      </x:c>
      <x:c r="J27" s="72" t="n">
        <x:v>512</x:v>
      </x:c>
      <x:c r="K27" s="72" t="n">
        <x:v>249</x:v>
      </x:c>
      <x:c r="L27" s="152"/>
      <x:c r="M27" s="152"/>
      <x:c r="N27" s="152"/>
      <x:c r="O27" s="152"/>
    </x:row>
    <x:row r="28">
      <x:c r="A28" s="50" t="str">
        <x:v>Total Income</x:v>
      </x:c>
      <x:c r="B28" s="50" t="str">
        <x:v>INR mn</x:v>
      </x:c>
      <x:c r="C28" s="50" t="str">
        <x:v>Reported</x:v>
      </x:c>
      <x:c r="D28" s="72" t="n">
        <x:v>5528</x:v>
      </x:c>
      <x:c r="E28" s="72" t="n">
        <x:v>5222</x:v>
      </x:c>
      <x:c r="F28" s="72" t="n">
        <x:v>4973</x:v>
      </x:c>
      <x:c r="G28" s="72" t="n">
        <x:v>5630</x:v>
      </x:c>
      <x:c r="H28" s="72" t="n">
        <x:v>5983</x:v>
      </x:c>
      <x:c r="I28" s="72" t="n">
        <x:v>4567</x:v>
      </x:c>
      <x:c r="J28" s="72" t="n">
        <x:v>6622</x:v>
      </x:c>
      <x:c r="K28" s="72" t="n">
        <x:v>4431</x:v>
      </x:c>
      <x:c r="L28" s="152"/>
      <x:c r="M28" s="152"/>
      <x:c r="N28" s="152"/>
      <x:c r="O28" s="152"/>
    </x:row>
    <x:row r="29">
      <x:c r="A29" s="50" t="str">
        <x:v>  Cost of Materials Consumed</x:v>
      </x:c>
      <x:c r="B29" s="50" t="str">
        <x:v>INR mn</x:v>
      </x:c>
      <x:c r="C29" s="50" t="str">
        <x:v>Not Disclosed</x:v>
      </x:c>
      <x:c r="D29" s="66" t="str">
        <x:v>NA</x:v>
      </x:c>
      <x:c r="E29" s="66" t="str">
        <x:v>NA</x:v>
      </x:c>
      <x:c r="F29" s="66" t="str">
        <x:v>NA</x:v>
      </x:c>
      <x:c r="G29" s="66" t="str">
        <x:v>NA</x:v>
      </x:c>
      <x:c r="H29" s="66" t="str">
        <x:v>NA</x:v>
      </x:c>
      <x:c r="I29" s="66" t="str">
        <x:v>NA</x:v>
      </x:c>
      <x:c r="J29" s="66" t="str">
        <x:v>NA</x:v>
      </x:c>
      <x:c r="K29" s="66" t="str">
        <x:v>NA</x:v>
      </x:c>
      <x:c r="L29" s="152"/>
      <x:c r="M29" s="152"/>
      <x:c r="N29" s="152"/>
      <x:c r="O29" s="152"/>
    </x:row>
    <x:row r="30">
      <x:c r="A30" s="50" t="str">
        <x:v>  Change in Inventories</x:v>
      </x:c>
      <x:c r="B30" s="50" t="str">
        <x:v>INR mn</x:v>
      </x:c>
      <x:c r="C30" s="50" t="str">
        <x:v>Not Disclosed</x:v>
      </x:c>
      <x:c r="D30" s="66" t="str">
        <x:v>NA</x:v>
      </x:c>
      <x:c r="E30" s="66" t="str">
        <x:v>NA</x:v>
      </x:c>
      <x:c r="F30" s="66" t="str">
        <x:v>NA</x:v>
      </x:c>
      <x:c r="G30" s="66" t="str">
        <x:v>NA</x:v>
      </x:c>
      <x:c r="H30" s="66" t="str">
        <x:v>NA</x:v>
      </x:c>
      <x:c r="I30" s="66" t="str">
        <x:v>NA</x:v>
      </x:c>
      <x:c r="J30" s="66" t="str">
        <x:v>NA</x:v>
      </x:c>
      <x:c r="K30" s="66" t="str">
        <x:v>NA</x:v>
      </x:c>
      <x:c r="L30" s="152"/>
      <x:c r="M30" s="152"/>
      <x:c r="N30" s="152"/>
      <x:c r="O30" s="152"/>
    </x:row>
    <x:row r="31">
      <x:c r="A31" s="50" t="str">
        <x:v>  Materials + Change in Inventories</x:v>
      </x:c>
      <x:c r="B31" s="50" t="str">
        <x:v>INR mn</x:v>
      </x:c>
      <x:c r="C31" s="50" t="str">
        <x:v>Reported</x:v>
      </x:c>
      <x:c r="D31" s="72" t="n">
        <x:v>1879</x:v>
      </x:c>
      <x:c r="E31" s="72" t="n">
        <x:v>2327</x:v>
      </x:c>
      <x:c r="F31" s="72" t="n">
        <x:v>1768</x:v>
      </x:c>
      <x:c r="G31" s="72" t="n">
        <x:v>2309</x:v>
      </x:c>
      <x:c r="H31" s="72" t="n">
        <x:v>2234</x:v>
      </x:c>
      <x:c r="I31" s="72" t="n">
        <x:v>1426</x:v>
      </x:c>
      <x:c r="J31" s="72" t="n">
        <x:v>2155</x:v>
      </x:c>
      <x:c r="K31" s="72" t="n">
        <x:v>1462</x:v>
      </x:c>
      <x:c r="L31" s="152"/>
      <x:c r="M31" s="152"/>
      <x:c r="N31" s="152"/>
      <x:c r="O31" s="152"/>
    </x:row>
    <x:row r="32">
      <x:c r="A32" s="50" t="str">
        <x:v>Employee Expense</x:v>
      </x:c>
      <x:c r="B32" s="50" t="str">
        <x:v>INR mn</x:v>
      </x:c>
      <x:c r="C32" s="50" t="str">
        <x:v>Reported</x:v>
      </x:c>
      <x:c r="D32" s="72" t="n">
        <x:v>964</x:v>
      </x:c>
      <x:c r="E32" s="72" t="n">
        <x:v>569</x:v>
      </x:c>
      <x:c r="F32" s="72" t="n">
        <x:v>598</x:v>
      </x:c>
      <x:c r="G32" s="72" t="n">
        <x:v>720</x:v>
      </x:c>
      <x:c r="H32" s="72" t="n">
        <x:v>677</x:v>
      </x:c>
      <x:c r="I32" s="72" t="n">
        <x:v>705</x:v>
      </x:c>
      <x:c r="J32" s="72" t="n">
        <x:v>725</x:v>
      </x:c>
      <x:c r="K32" s="72" t="n">
        <x:v>788</x:v>
      </x:c>
      <x:c r="L32" s="152"/>
      <x:c r="M32" s="152"/>
      <x:c r="N32" s="152"/>
      <x:c r="O32" s="152"/>
    </x:row>
    <x:row r="33">
      <x:c r="A33" s="50" t="str">
        <x:v>Other Operating Expenses</x:v>
      </x:c>
      <x:c r="B33" s="50" t="str">
        <x:v>INR mn</x:v>
      </x:c>
      <x:c r="C33" s="50" t="str">
        <x:v>Reported</x:v>
      </x:c>
      <x:c r="D33" s="72" t="n">
        <x:v>455</x:v>
      </x:c>
      <x:c r="E33" s="72" t="n">
        <x:v>487</x:v>
      </x:c>
      <x:c r="F33" s="72" t="n">
        <x:v>514</x:v>
      </x:c>
      <x:c r="G33" s="72" t="n">
        <x:v>458</x:v>
      </x:c>
      <x:c r="H33" s="72" t="n">
        <x:v>410</x:v>
      </x:c>
      <x:c r="I33" s="72" t="n">
        <x:v>529</x:v>
      </x:c>
      <x:c r="J33" s="72" t="n">
        <x:v>558</x:v>
      </x:c>
      <x:c r="K33" s="72" t="n">
        <x:v>426</x:v>
      </x:c>
      <x:c r="L33" s="152"/>
      <x:c r="M33" s="152"/>
      <x:c r="N33" s="152"/>
      <x:c r="O33" s="152"/>
    </x:row>
    <x:row r="34">
      <x:c r="A34" s="50" t="str">
        <x:v>EBITDA</x:v>
      </x:c>
      <x:c r="B34" s="50" t="str">
        <x:v>INR mn</x:v>
      </x:c>
      <x:c r="C34" s="50" t="str">
        <x:v>Reported</x:v>
      </x:c>
      <x:c r="D34" s="72" t="n">
        <x:v>2231</x:v>
      </x:c>
      <x:c r="E34" s="72" t="n">
        <x:v>1839</x:v>
      </x:c>
      <x:c r="F34" s="72" t="n">
        <x:v>2092</x:v>
      </x:c>
      <x:c r="G34" s="72" t="n">
        <x:v>2143</x:v>
      </x:c>
      <x:c r="H34" s="72" t="n">
        <x:v>2661</x:v>
      </x:c>
      <x:c r="I34" s="72" t="n">
        <x:v>1907</x:v>
      </x:c>
      <x:c r="J34" s="72" t="n">
        <x:v>3184</x:v>
      </x:c>
      <x:c r="K34" s="72" t="n">
        <x:v>1755</x:v>
      </x:c>
      <x:c r="L34" s="152"/>
      <x:c r="M34" s="152"/>
      <x:c r="N34" s="152"/>
      <x:c r="O34" s="152"/>
    </x:row>
    <x:row r="35">
      <x:c r="A35" s="50" t="str">
        <x:v>  EBITDA Margin</x:v>
      </x:c>
      <x:c r="B35" s="50" t="str">
        <x:v>%</x:v>
      </x:c>
      <x:c r="C35" s="50" t="str">
        <x:v>Derived</x:v>
      </x:c>
      <x:c r="D35" s="149" t="n">
        <x:f>IFERROR(D34/D28,"")</x:f>
        <x:v>0.4035817655571635</x:v>
      </x:c>
      <x:c r="E35" s="149" t="n">
        <x:f>IFERROR(E34/E28,"")</x:f>
        <x:v>0.3521639218690157</x:v>
      </x:c>
      <x:c r="F35" s="149" t="n">
        <x:f>IFERROR(F34/F28,"")</x:f>
        <x:v>0.42067162678463704</x:v>
      </x:c>
      <x:c r="G35" s="149" t="n">
        <x:f>IFERROR(G34/G28,"")</x:f>
        <x:v>0.380639431616341</x:v>
      </x:c>
      <x:c r="H35" s="149" t="n">
        <x:f>IFERROR(H34/H28,"")</x:f>
        <x:v>0.4447601537690122</x:v>
      </x:c>
      <x:c r="I35" s="149" t="n">
        <x:f>IFERROR(I34/I28,"")</x:f>
        <x:v>0.41756076198817604</x:v>
      </x:c>
      <x:c r="J35" s="149" t="n">
        <x:f>IFERROR(J34/J28,"")</x:f>
        <x:v>0.48082150407731805</x:v>
      </x:c>
      <x:c r="K35" s="149" t="n">
        <x:f>IFERROR(K34/K28,"")</x:f>
        <x:v>0.3960731211916046</x:v>
      </x:c>
      <x:c r="L35" s="153" t="str">
        <x:f>IF(OR(L34="",L28=""),"",IFERROR(L34/L28,""))</x:f>
      </x:c>
      <x:c r="M35" s="153" t="str">
        <x:f>IF(OR(M34="",M28=""),"",IFERROR(M34/M28,""))</x:f>
      </x:c>
      <x:c r="N35" s="153" t="str">
        <x:f>IF(OR(N34="",N28=""),"",IFERROR(N34/N28,""))</x:f>
      </x:c>
      <x:c r="O35" s="153" t="str">
        <x:f>IF(OR(O34="",O28=""),"",IFERROR(O34/O28,""))</x:f>
      </x:c>
    </x:row>
    <x:row r="36">
      <x:c r="A36" s="50" t="str">
        <x:v>  EBITDA Margin YoY Change</x:v>
      </x:c>
      <x:c r="B36" s="50" t="str">
        <x:v>ppt</x:v>
      </x:c>
      <x:c r="C36" s="50" t="str">
        <x:v>Derived</x:v>
      </x:c>
      <x:c r="D36" s="154" t="str">
        <x:v>NA</x:v>
      </x:c>
      <x:c r="E36" s="154" t="str">
        <x:v>NA</x:v>
      </x:c>
      <x:c r="F36" s="154" t="str">
        <x:v>NA</x:v>
      </x:c>
      <x:c r="G36" s="154" t="str">
        <x:v>NA</x:v>
      </x:c>
      <x:c r="H36" s="154" t="n">
        <x:f>IFERROR(H35-D35,"")</x:f>
        <x:v>0.04117838821184866</x:v>
      </x:c>
      <x:c r="I36" s="154" t="n">
        <x:f>IFERROR(I35-E35,"")</x:f>
        <x:v>0.06539684011916036</x:v>
      </x:c>
      <x:c r="J36" s="154" t="n">
        <x:f>IFERROR(J35-F35,"")</x:f>
        <x:v>0.06014987729268101</x:v>
      </x:c>
      <x:c r="K36" s="154" t="n">
        <x:f>IFERROR(K35-G35,"")</x:f>
        <x:v>0.015433689575263587</x:v>
      </x:c>
      <x:c r="L36" s="155" t="str">
        <x:f>IF(L35="","",L35-H35)</x:f>
      </x:c>
      <x:c r="M36" s="155" t="str">
        <x:f>IF(M35="","",M35-I35)</x:f>
      </x:c>
      <x:c r="N36" s="155" t="str">
        <x:f>IF(N35="","",N35-J35)</x:f>
      </x:c>
      <x:c r="O36" s="155" t="str">
        <x:f>IF(O35="","",O35-K35)</x:f>
      </x:c>
    </x:row>
    <x:row r="37">
      <x:c r="A37" s="50" t="str">
        <x:v>Depreciation &amp; Amortisation</x:v>
      </x:c>
      <x:c r="B37" s="50" t="str">
        <x:v>INR mn</x:v>
      </x:c>
      <x:c r="C37" s="50" t="str">
        <x:v>Reported</x:v>
      </x:c>
      <x:c r="D37" s="72" t="n">
        <x:v>200</x:v>
      </x:c>
      <x:c r="E37" s="72" t="n">
        <x:v>203</x:v>
      </x:c>
      <x:c r="F37" s="72" t="n">
        <x:v>304</x:v>
      </x:c>
      <x:c r="G37" s="72" t="n">
        <x:v>264</x:v>
      </x:c>
      <x:c r="H37" s="72" t="n">
        <x:v>335</x:v>
      </x:c>
      <x:c r="I37" s="72" t="n">
        <x:v>345</x:v>
      </x:c>
      <x:c r="J37" s="72" t="n">
        <x:v>396</x:v>
      </x:c>
      <x:c r="K37" s="72" t="n">
        <x:v>300</x:v>
      </x:c>
      <x:c r="L37" s="152"/>
      <x:c r="M37" s="152"/>
      <x:c r="N37" s="152"/>
      <x:c r="O37" s="152"/>
    </x:row>
    <x:row r="38">
      <x:c r="A38" s="50" t="str">
        <x:v>EBIT</x:v>
      </x:c>
      <x:c r="B38" s="50" t="str">
        <x:v>INR mn</x:v>
      </x:c>
      <x:c r="C38" s="50" t="str">
        <x:v>Derived</x:v>
      </x:c>
      <x:c r="D38" s="150" t="n">
        <x:f>IFERROR(D34-D37,"")</x:f>
        <x:v>2031</x:v>
      </x:c>
      <x:c r="E38" s="150" t="n">
        <x:f>IFERROR(E34-E37,"")</x:f>
        <x:v>1636</x:v>
      </x:c>
      <x:c r="F38" s="150" t="n">
        <x:f>IFERROR(F34-F37,"")</x:f>
        <x:v>1788</x:v>
      </x:c>
      <x:c r="G38" s="150" t="n">
        <x:f>IFERROR(G34-G37,"")</x:f>
        <x:v>1879</x:v>
      </x:c>
      <x:c r="H38" s="150" t="n">
        <x:f>IFERROR(H34-H37,"")</x:f>
        <x:v>2326</x:v>
      </x:c>
      <x:c r="I38" s="150" t="n">
        <x:f>IFERROR(I34-I37,"")</x:f>
        <x:v>1562</x:v>
      </x:c>
      <x:c r="J38" s="150" t="n">
        <x:f>IFERROR(J34-J37,"")</x:f>
        <x:v>2788</x:v>
      </x:c>
      <x:c r="K38" s="150" t="n">
        <x:f>IFERROR(K34-K37,"")</x:f>
        <x:v>1455</x:v>
      </x:c>
      <x:c r="L38" s="156" t="str">
        <x:f>IF(OR(L34="",L37=""),"",L34-L37)</x:f>
      </x:c>
      <x:c r="M38" s="156" t="str">
        <x:f>IF(OR(M34="",M37=""),"",M34-M37)</x:f>
      </x:c>
      <x:c r="N38" s="156" t="str">
        <x:f>IF(OR(N34="",N37=""),"",N34-N37)</x:f>
      </x:c>
      <x:c r="O38" s="156" t="str">
        <x:f>IF(OR(O34="",O37=""),"",O34-O37)</x:f>
      </x:c>
    </x:row>
    <x:row r="39">
      <x:c r="A39" s="50" t="str">
        <x:v>  EBIT Margin</x:v>
      </x:c>
      <x:c r="B39" s="50" t="str">
        <x:v>%</x:v>
      </x:c>
      <x:c r="C39" s="50" t="str">
        <x:v>Derived</x:v>
      </x:c>
      <x:c r="D39" s="149" t="n">
        <x:f>IFERROR(D38/D28,"")</x:f>
        <x:v>0.3674023154848046</x:v>
      </x:c>
      <x:c r="E39" s="149" t="n">
        <x:f>IFERROR(E38/E28,"")</x:f>
        <x:v>0.313289927230946</x:v>
      </x:c>
      <x:c r="F39" s="149" t="n">
        <x:f>IFERROR(F38/F28,"")</x:f>
        <x:v>0.35954152423084657</x:v>
      </x:c>
      <x:c r="G39" s="149" t="n">
        <x:f>IFERROR(G38/G28,"")</x:f>
        <x:v>0.33374777975133213</x:v>
      </x:c>
      <x:c r="H39" s="149" t="n">
        <x:f>IFERROR(H38/H28,"")</x:f>
        <x:v>0.38876817650008355</x:v>
      </x:c>
      <x:c r="I39" s="149" t="n">
        <x:f>IFERROR(I38/I28,"")</x:f>
        <x:v>0.34201883074228157</x:v>
      </x:c>
      <x:c r="J39" s="149" t="n">
        <x:f>IFERROR(J38/J28,"")</x:f>
        <x:v>0.4210208396254908</x:v>
      </x:c>
      <x:c r="K39" s="149" t="n">
        <x:f>IFERROR(K38/K28,"")</x:f>
        <x:v>0.32836831415030465</x:v>
      </x:c>
      <x:c r="L39" s="153" t="str">
        <x:f>IF(OR(L38="",L28=""),"",IFERROR(L38/L28,""))</x:f>
      </x:c>
      <x:c r="M39" s="153" t="str">
        <x:f>IF(OR(M38="",M28=""),"",IFERROR(M38/M28,""))</x:f>
      </x:c>
      <x:c r="N39" s="153" t="str">
        <x:f>IF(OR(N38="",N28=""),"",IFERROR(N38/N28,""))</x:f>
      </x:c>
      <x:c r="O39" s="153" t="str">
        <x:f>IF(OR(O38="",O28=""),"",IFERROR(O38/O28,""))</x:f>
      </x:c>
    </x:row>
    <x:row r="40">
      <x:c r="A40" s="50" t="str">
        <x:v>Finance Cost</x:v>
      </x:c>
      <x:c r="B40" s="50" t="str">
        <x:v>INR mn</x:v>
      </x:c>
      <x:c r="C40" s="50" t="str">
        <x:v>Reported</x:v>
      </x:c>
      <x:c r="D40" s="72" t="n">
        <x:v>36</x:v>
      </x:c>
      <x:c r="E40" s="72" t="n">
        <x:v>26</x:v>
      </x:c>
      <x:c r="F40" s="72" t="n">
        <x:v>5</x:v>
      </x:c>
      <x:c r="G40" s="72" t="n">
        <x:v>16</x:v>
      </x:c>
      <x:c r="H40" s="72" t="n">
        <x:v>30</x:v>
      </x:c>
      <x:c r="I40" s="72" t="n">
        <x:v>4</x:v>
      </x:c>
      <x:c r="J40" s="72" t="n">
        <x:v>19</x:v>
      </x:c>
      <x:c r="K40" s="72" t="n">
        <x:v>9</x:v>
      </x:c>
      <x:c r="L40" s="152"/>
      <x:c r="M40" s="152"/>
      <x:c r="N40" s="152"/>
      <x:c r="O40" s="152"/>
    </x:row>
    <x:row r="41">
      <x:c r="A41" s="50" t="str">
        <x:v>Exceptional Items</x:v>
      </x:c>
      <x:c r="B41" s="50" t="str">
        <x:v>INR mn</x:v>
      </x:c>
      <x:c r="C41" s="50" t="str">
        <x:v>Reported / NA</x:v>
      </x:c>
      <x:c r="D41" s="66" t="str">
        <x:v>NA</x:v>
      </x:c>
      <x:c r="E41" s="66" t="str">
        <x:v>NA</x:v>
      </x:c>
      <x:c r="F41" s="66" t="str">
        <x:v>NA</x:v>
      </x:c>
      <x:c r="G41" s="66" t="str">
        <x:v>NA</x:v>
      </x:c>
      <x:c r="H41" s="66" t="str">
        <x:v>NA</x:v>
      </x:c>
      <x:c r="I41" s="72" t="n">
        <x:v>254</x:v>
      </x:c>
      <x:c r="J41" s="72" t="n">
        <x:v>-10</x:v>
      </x:c>
      <x:c r="K41" s="66" t="str">
        <x:v>NA</x:v>
      </x:c>
      <x:c r="L41" s="152"/>
      <x:c r="M41" s="152"/>
      <x:c r="N41" s="152"/>
      <x:c r="O41" s="152"/>
    </x:row>
    <x:row r="42">
      <x:c r="A42" s="50" t="str">
        <x:v>PBT before Exceptional Items</x:v>
      </x:c>
      <x:c r="B42" s="50" t="str">
        <x:v>INR mn</x:v>
      </x:c>
      <x:c r="C42" s="50" t="str">
        <x:v>Reported</x:v>
      </x:c>
      <x:c r="D42" s="72" t="n">
        <x:v>1995</x:v>
      </x:c>
      <x:c r="E42" s="72" t="n">
        <x:v>1610</x:v>
      </x:c>
      <x:c r="F42" s="72" t="n">
        <x:v>1783</x:v>
      </x:c>
      <x:c r="G42" s="72" t="n">
        <x:v>1862</x:v>
      </x:c>
      <x:c r="H42" s="72" t="n">
        <x:v>2296</x:v>
      </x:c>
      <x:c r="I42" s="72" t="n">
        <x:v>1558</x:v>
      </x:c>
      <x:c r="J42" s="72" t="n">
        <x:v>2769</x:v>
      </x:c>
      <x:c r="K42" s="72" t="n">
        <x:v>1446</x:v>
      </x:c>
      <x:c r="L42" s="152"/>
      <x:c r="M42" s="152"/>
      <x:c r="N42" s="152"/>
      <x:c r="O42" s="152"/>
    </x:row>
    <x:row r="43">
      <x:c r="A43" s="50" t="str">
        <x:v>PBT</x:v>
      </x:c>
      <x:c r="B43" s="50" t="str">
        <x:v>INR mn</x:v>
      </x:c>
      <x:c r="C43" s="50" t="str">
        <x:v>Reported</x:v>
      </x:c>
      <x:c r="D43" s="72" t="n">
        <x:v>1995</x:v>
      </x:c>
      <x:c r="E43" s="72" t="n">
        <x:v>1610</x:v>
      </x:c>
      <x:c r="F43" s="72" t="n">
        <x:v>1783</x:v>
      </x:c>
      <x:c r="G43" s="72" t="n">
        <x:v>1862</x:v>
      </x:c>
      <x:c r="H43" s="72" t="n">
        <x:v>2296</x:v>
      </x:c>
      <x:c r="I43" s="72" t="n">
        <x:v>1305</x:v>
      </x:c>
      <x:c r="J43" s="72" t="n">
        <x:v>2779</x:v>
      </x:c>
      <x:c r="K43" s="72" t="n">
        <x:v>1446</x:v>
      </x:c>
      <x:c r="L43" s="152"/>
      <x:c r="M43" s="152"/>
      <x:c r="N43" s="152"/>
      <x:c r="O43" s="152"/>
    </x:row>
    <x:row r="44">
      <x:c r="A44" s="50" t="str">
        <x:v>  Current Tax</x:v>
      </x:c>
      <x:c r="B44" s="50" t="str">
        <x:v>INR mn</x:v>
      </x:c>
      <x:c r="C44" s="50" t="str">
        <x:v>Not Disclosed</x:v>
      </x:c>
      <x:c r="D44" s="66" t="str">
        <x:v>NA</x:v>
      </x:c>
      <x:c r="E44" s="66" t="str">
        <x:v>NA</x:v>
      </x:c>
      <x:c r="F44" s="66" t="str">
        <x:v>NA</x:v>
      </x:c>
      <x:c r="G44" s="66" t="str">
        <x:v>NA</x:v>
      </x:c>
      <x:c r="H44" s="66" t="str">
        <x:v>NA</x:v>
      </x:c>
      <x:c r="I44" s="66" t="str">
        <x:v>NA</x:v>
      </x:c>
      <x:c r="J44" s="66" t="str">
        <x:v>NA</x:v>
      </x:c>
      <x:c r="K44" s="66" t="str">
        <x:v>NA</x:v>
      </x:c>
      <x:c r="L44" s="152"/>
      <x:c r="M44" s="152"/>
      <x:c r="N44" s="152"/>
      <x:c r="O44" s="152"/>
    </x:row>
    <x:row r="45">
      <x:c r="A45" s="50" t="str">
        <x:v>  Deferred Tax</x:v>
      </x:c>
      <x:c r="B45" s="50" t="str">
        <x:v>INR mn</x:v>
      </x:c>
      <x:c r="C45" s="50" t="str">
        <x:v>Not Disclosed</x:v>
      </x:c>
      <x:c r="D45" s="66" t="str">
        <x:v>NA</x:v>
      </x:c>
      <x:c r="E45" s="66" t="str">
        <x:v>NA</x:v>
      </x:c>
      <x:c r="F45" s="66" t="str">
        <x:v>NA</x:v>
      </x:c>
      <x:c r="G45" s="66" t="str">
        <x:v>NA</x:v>
      </x:c>
      <x:c r="H45" s="66" t="str">
        <x:v>NA</x:v>
      </x:c>
      <x:c r="I45" s="66" t="str">
        <x:v>NA</x:v>
      </x:c>
      <x:c r="J45" s="66" t="str">
        <x:v>NA</x:v>
      </x:c>
      <x:c r="K45" s="66" t="str">
        <x:v>NA</x:v>
      </x:c>
      <x:c r="L45" s="152"/>
      <x:c r="M45" s="152"/>
      <x:c r="N45" s="152"/>
      <x:c r="O45" s="152"/>
    </x:row>
    <x:row r="46">
      <x:c r="A46" s="50" t="str">
        <x:v>  Total Tax Expense</x:v>
      </x:c>
      <x:c r="B46" s="50" t="str">
        <x:v>INR mn</x:v>
      </x:c>
      <x:c r="C46" s="50" t="str">
        <x:v>Reported</x:v>
      </x:c>
      <x:c r="D46" s="72" t="n">
        <x:v>376</x:v>
      </x:c>
      <x:c r="E46" s="72" t="n">
        <x:v>367</x:v>
      </x:c>
      <x:c r="F46" s="72" t="n">
        <x:v>957</x:v>
      </x:c>
      <x:c r="G46" s="72" t="n">
        <x:v>505</x:v>
      </x:c>
      <x:c r="H46" s="72" t="n">
        <x:v>562</x:v>
      </x:c>
      <x:c r="I46" s="72" t="n">
        <x:v>377</x:v>
      </x:c>
      <x:c r="J46" s="72" t="n">
        <x:v>882</x:v>
      </x:c>
      <x:c r="K46" s="72" t="n">
        <x:v>246</x:v>
      </x:c>
      <x:c r="L46" s="152"/>
      <x:c r="M46" s="152"/>
      <x:c r="N46" s="152"/>
      <x:c r="O46" s="152"/>
    </x:row>
    <x:row r="47">
      <x:c r="A47" s="50" t="str">
        <x:v>PAT</x:v>
      </x:c>
      <x:c r="B47" s="50" t="str">
        <x:v>INR mn</x:v>
      </x:c>
      <x:c r="C47" s="50" t="str">
        <x:v>Reported</x:v>
      </x:c>
      <x:c r="D47" s="72" t="n">
        <x:v>1619</x:v>
      </x:c>
      <x:c r="E47" s="72" t="n">
        <x:v>1243</x:v>
      </x:c>
      <x:c r="F47" s="72" t="n">
        <x:v>826</x:v>
      </x:c>
      <x:c r="G47" s="72" t="n">
        <x:v>1358</x:v>
      </x:c>
      <x:c r="H47" s="72" t="n">
        <x:v>1734</x:v>
      </x:c>
      <x:c r="I47" s="72" t="n">
        <x:v>928</x:v>
      </x:c>
      <x:c r="J47" s="72" t="n">
        <x:v>1898</x:v>
      </x:c>
      <x:c r="K47" s="72" t="n">
        <x:v>1199</x:v>
      </x:c>
      <x:c r="L47" s="152"/>
      <x:c r="M47" s="152"/>
      <x:c r="N47" s="152"/>
      <x:c r="O47" s="152"/>
    </x:row>
    <x:row r="48">
      <x:c r="A48" s="50" t="str">
        <x:v>  PAT Margin</x:v>
      </x:c>
      <x:c r="B48" s="50" t="str">
        <x:v>%</x:v>
      </x:c>
      <x:c r="C48" s="50" t="str">
        <x:v>Derived</x:v>
      </x:c>
      <x:c r="D48" s="149" t="n">
        <x:f>IFERROR(D47/D28,"")</x:f>
        <x:v>0.2928726483357453</x:v>
      </x:c>
      <x:c r="E48" s="149" t="n">
        <x:f>IFERROR(E47/E28,"")</x:f>
        <x:v>0.2380314055917273</x:v>
      </x:c>
      <x:c r="F48" s="149" t="n">
        <x:f>IFERROR(F47/F28,"")</x:f>
        <x:v>0.16609692338628596</x:v>
      </x:c>
      <x:c r="G48" s="149" t="n">
        <x:f>IFERROR(G47/G28,"")</x:f>
        <x:v>0.24120781527531082</x:v>
      </x:c>
      <x:c r="H48" s="149" t="n">
        <x:f>IFERROR(H47/H28,"")</x:f>
        <x:v>0.28982115995320074</x:v>
      </x:c>
      <x:c r="I48" s="149" t="n">
        <x:f>IFERROR(I47/I28,"")</x:f>
        <x:v>0.20319684694547843</x:v>
      </x:c>
      <x:c r="J48" s="149" t="n">
        <x:f>IFERROR(J47/J28,"")</x:f>
        <x:v>0.28662035638779826</x:v>
      </x:c>
      <x:c r="K48" s="149" t="n">
        <x:f>IFERROR(K47/K28,"")</x:f>
        <x:v>0.27059354547506204</x:v>
      </x:c>
      <x:c r="L48" s="153" t="str">
        <x:f>IF(OR(L47="",L28=""),"",IFERROR(L47/L28,""))</x:f>
      </x:c>
      <x:c r="M48" s="153" t="str">
        <x:f>IF(OR(M47="",M28=""),"",IFERROR(M47/M28,""))</x:f>
      </x:c>
      <x:c r="N48" s="153" t="str">
        <x:f>IF(OR(N47="",N28=""),"",IFERROR(N47/N28,""))</x:f>
      </x:c>
      <x:c r="O48" s="153" t="str">
        <x:f>IF(OR(O47="",O28=""),"",IFERROR(O47/O28,""))</x:f>
      </x:c>
    </x:row>
    <x:row r="49">
      <x:c r="A49" s="50" t="str">
        <x:v>  PAT YoY Growth</x:v>
      </x:c>
      <x:c r="B49" s="50" t="str">
        <x:v>%</x:v>
      </x:c>
      <x:c r="C49" s="50" t="str">
        <x:v>Derived</x:v>
      </x:c>
      <x:c r="D49" s="149" t="str">
        <x:v>NA</x:v>
      </x:c>
      <x:c r="E49" s="149" t="str">
        <x:v>NA</x:v>
      </x:c>
      <x:c r="F49" s="149" t="str">
        <x:v>NA</x:v>
      </x:c>
      <x:c r="G49" s="149" t="str">
        <x:v>NA</x:v>
      </x:c>
      <x:c r="H49" s="149" t="n">
        <x:f>IFERROR(H47/D47-1,"")</x:f>
        <x:v>0.0710315009264979</x:v>
      </x:c>
      <x:c r="I49" s="149" t="n">
        <x:f>IFERROR(I47/E47-1,"")</x:f>
        <x:v>-0.2534191472244569</x:v>
      </x:c>
      <x:c r="J49" s="149" t="n">
        <x:f>IFERROR(J47/F47-1,"")</x:f>
        <x:v>1.2978208232445523</x:v>
      </x:c>
      <x:c r="K49" s="149" t="n">
        <x:f>IFERROR(K47/G47-1,"")</x:f>
        <x:v>-0.11708394698085423</x:v>
      </x:c>
      <x:c r="L49" s="153" t="str">
        <x:f>IF(L47="","",IFERROR(L47/H47-1,""))</x:f>
      </x:c>
      <x:c r="M49" s="153" t="str">
        <x:f>IF(M47="","",IFERROR(M47/I47-1,""))</x:f>
      </x:c>
      <x:c r="N49" s="153" t="str">
        <x:f>IF(N47="","",IFERROR(N47/J47-1,""))</x:f>
      </x:c>
      <x:c r="O49" s="153" t="str">
        <x:f>IF(O47="","",IFERROR(O47/K47-1,""))</x:f>
      </x:c>
    </x:row>
    <x:row r="50">
      <x:c r="A50" s="50" t="str">
        <x:v>Diluted EPS</x:v>
      </x:c>
      <x:c r="B50" s="50" t="str">
        <x:v>INR/share</x:v>
      </x:c>
      <x:c r="C50" s="50" t="str">
        <x:v>Not Disclosed</x:v>
      </x:c>
      <x:c r="D50" s="66" t="str">
        <x:v>NA</x:v>
      </x:c>
      <x:c r="E50" s="66" t="str">
        <x:v>NA</x:v>
      </x:c>
      <x:c r="F50" s="66" t="str">
        <x:v>NA</x:v>
      </x:c>
      <x:c r="G50" s="66" t="str">
        <x:v>NA</x:v>
      </x:c>
      <x:c r="H50" s="66" t="str">
        <x:v>NA</x:v>
      </x:c>
      <x:c r="I50" s="66" t="str">
        <x:v>NA</x:v>
      </x:c>
      <x:c r="J50" s="66" t="str">
        <x:v>NA</x:v>
      </x:c>
      <x:c r="K50" s="66" t="str">
        <x:v>NA</x:v>
      </x:c>
      <x:c r="L50" s="152"/>
      <x:c r="M50" s="152"/>
      <x:c r="N50" s="152"/>
      <x:c r="O50" s="152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</x:row>
    <x:row r="53" ht="20" customHeight="1">
      <x:c r="A53" s="146" t="str">
        <x:v>REVENUE MIX</x:v>
      </x:c>
      <x:c r="B53" s="146"/>
      <x:c r="C53" s="146"/>
      <x:c r="D53" s="146"/>
      <x:c r="E53" s="146"/>
      <x:c r="F53" s="146"/>
      <x:c r="G53" s="146"/>
      <x:c r="H53" s="146"/>
      <x:c r="I53" s="146"/>
      <x:c r="J53" s="146"/>
      <x:c r="K53" s="146"/>
      <x:c r="L53" s="146"/>
      <x:c r="M53" s="146"/>
      <x:c r="N53" s="146"/>
      <x:c r="O53" s="146"/>
    </x:row>
    <x:row r="54">
      <x:c r="A54" s="147" t="str">
        <x:v>Metric</x:v>
      </x:c>
      <x:c r="B54" s="147" t="str">
        <x:v>Units</x:v>
      </x:c>
      <x:c r="C54" s="147" t="str">
        <x:v>Classification</x:v>
      </x:c>
      <x:c r="D54" s="147" t="str">
        <x:v>Q2 FY25</x:v>
      </x:c>
      <x:c r="E54" s="147" t="str">
        <x:v>Q3 FY25</x:v>
      </x:c>
      <x:c r="F54" s="147" t="str">
        <x:v>Q4 FY25</x:v>
      </x:c>
      <x:c r="G54" s="147" t="str">
        <x:v>Q1 FY26</x:v>
      </x:c>
      <x:c r="H54" s="147" t="str">
        <x:v>Q2 FY26</x:v>
      </x:c>
      <x:c r="I54" s="147" t="str">
        <x:v>Q3 FY26</x:v>
      </x:c>
      <x:c r="J54" s="147" t="str">
        <x:v>Q4 FY26</x:v>
      </x:c>
      <x:c r="K54" s="147" t="str">
        <x:v>Q1 FY27</x:v>
      </x:c>
      <x:c r="L54" s="147" t="str">
        <x:v>Q2 FY27</x:v>
      </x:c>
      <x:c r="M54" s="147" t="str">
        <x:v>Q3 FY27</x:v>
      </x:c>
      <x:c r="N54" s="147" t="str">
        <x:v>Q4 FY27</x:v>
      </x:c>
      <x:c r="O54" s="147" t="str">
        <x:v>Q1 FY28</x:v>
      </x:c>
    </x:row>
    <x:row r="55">
      <x:c r="A55" s="50" t="str">
        <x:v>CRDMO Revenue</x:v>
      </x:c>
      <x:c r="B55" s="50" t="str">
        <x:v>INR mn</x:v>
      </x:c>
      <x:c r="C55" s="50" t="str">
        <x:v>Reported</x:v>
      </x:c>
      <x:c r="D55" s="72" t="n">
        <x:v>4351</x:v>
      </x:c>
      <x:c r="E55" s="72" t="n">
        <x:v>4135</x:v>
      </x:c>
      <x:c r="F55" s="72" t="n">
        <x:v>3923</x:v>
      </x:c>
      <x:c r="G55" s="72" t="n">
        <x:v>4527</x:v>
      </x:c>
      <x:c r="H55" s="72" t="n">
        <x:v>4719</x:v>
      </x:c>
      <x:c r="I55" s="72" t="n">
        <x:v>3332</x:v>
      </x:c>
      <x:c r="J55" s="72" t="n">
        <x:v>5128</x:v>
      </x:c>
      <x:c r="K55" s="72" t="n">
        <x:v>3408</x:v>
      </x:c>
      <x:c r="L55" s="152"/>
      <x:c r="M55" s="152"/>
      <x:c r="N55" s="152"/>
      <x:c r="O55" s="152"/>
    </x:row>
    <x:row r="56">
      <x:c r="A56" s="50" t="str">
        <x:v>  CRDMO YoY Growth</x:v>
      </x:c>
      <x:c r="B56" s="50" t="str">
        <x:v>%</x:v>
      </x:c>
      <x:c r="C56" s="50" t="str">
        <x:v>Derived</x:v>
      </x:c>
      <x:c r="D56" s="149" t="str">
        <x:v>NA</x:v>
      </x:c>
      <x:c r="E56" s="149" t="str">
        <x:v>NA</x:v>
      </x:c>
      <x:c r="F56" s="149" t="str">
        <x:v>NA</x:v>
      </x:c>
      <x:c r="G56" s="149" t="str">
        <x:v>NA</x:v>
      </x:c>
      <x:c r="H56" s="149" t="n">
        <x:f>IFERROR(H55/D55-1,"")</x:f>
        <x:v>0.08457825787175355</x:v>
      </x:c>
      <x:c r="I56" s="149" t="n">
        <x:f>IFERROR(I55/E55-1,"")</x:f>
        <x:v>-0.19419588875453442</x:v>
      </x:c>
      <x:c r="J56" s="149" t="n">
        <x:f>IFERROR(J55/F55-1,"")</x:f>
        <x:v>0.3071628855467754</x:v>
      </x:c>
      <x:c r="K56" s="149" t="n">
        <x:f>IFERROR(K55/G55-1,"")</x:f>
        <x:v>-0.24718356527501661</x:v>
      </x:c>
      <x:c r="L56" s="153" t="str">
        <x:f>IF(L55="","",IFERROR(L55/H55-1,""))</x:f>
      </x:c>
      <x:c r="M56" s="153" t="str">
        <x:f>IF(M55="","",IFERROR(M55/I55-1,""))</x:f>
      </x:c>
      <x:c r="N56" s="153" t="str">
        <x:f>IF(N55="","",IFERROR(N55/J55-1,""))</x:f>
      </x:c>
      <x:c r="O56" s="153" t="str">
        <x:f>IF(O55="","",IFERROR(O55/K55-1,""))</x:f>
      </x:c>
    </x:row>
    <x:row r="57">
      <x:c r="A57" s="50" t="str">
        <x:v>  CRDMO QoQ Growth</x:v>
      </x:c>
      <x:c r="B57" s="50" t="str">
        <x:v>%</x:v>
      </x:c>
      <x:c r="C57" s="50" t="str">
        <x:v>Derived</x:v>
      </x:c>
      <x:c r="D57" s="149" t="str">
        <x:v>NA</x:v>
      </x:c>
      <x:c r="E57" s="149" t="n">
        <x:f>IFERROR(E55/D55-1,"")</x:f>
        <x:v>-0.04964376005515969</x:v>
      </x:c>
      <x:c r="F57" s="149" t="n">
        <x:f>IFERROR(F55/E55-1,"")</x:f>
        <x:v>-0.0512696493349456</x:v>
      </x:c>
      <x:c r="G57" s="149" t="n">
        <x:f>IFERROR(G55/F55-1,"")</x:f>
        <x:v>0.1539638032118278</x:v>
      </x:c>
      <x:c r="H57" s="149" t="n">
        <x:f>IFERROR(H55/G55-1,"")</x:f>
        <x:v>0.04241219350563297</x:v>
      </x:c>
      <x:c r="I57" s="149" t="n">
        <x:f>IFERROR(I55/H55-1,"")</x:f>
        <x:v>-0.2939182030091121</x:v>
      </x:c>
      <x:c r="J57" s="149" t="n">
        <x:f>IFERROR(J55/I55-1,"")</x:f>
        <x:v>0.5390156062424969</x:v>
      </x:c>
      <x:c r="K57" s="149" t="n">
        <x:f>IFERROR(K55/J55-1,"")</x:f>
        <x:v>-0.33541341653666146</x:v>
      </x:c>
      <x:c r="L57" s="153" t="str">
        <x:f>IF(L55="","",IFERROR(L55/K55-1,""))</x:f>
      </x:c>
      <x:c r="M57" s="153" t="str">
        <x:f>IF(M55="","",IFERROR(M55/L55-1,""))</x:f>
      </x:c>
      <x:c r="N57" s="153" t="str">
        <x:f>IF(N55="","",IFERROR(N55/M55-1,""))</x:f>
      </x:c>
      <x:c r="O57" s="153" t="str">
        <x:f>IF(O55="","",IFERROR(O55/N55-1,""))</x:f>
      </x:c>
    </x:row>
    <x:row r="58">
      <x:c r="A58" s="50" t="str">
        <x:v>  CRDMO % of Consolidated Revenue</x:v>
      </x:c>
      <x:c r="B58" s="50" t="str">
        <x:v>%</x:v>
      </x:c>
      <x:c r="C58" s="50" t="str">
        <x:v>Derived</x:v>
      </x:c>
      <x:c r="D58" s="149" t="n">
        <x:f>IFERROR(D55/D24,"")</x:f>
        <x:v>0.8287619047619048</x:v>
      </x:c>
      <x:c r="E58" s="149" t="n">
        <x:f>IFERROR(E55/E24,"")</x:f>
        <x:v>0.8306548814785054</x:v>
      </x:c>
      <x:c r="F58" s="149" t="n">
        <x:f>IFERROR(F55/F24,"")</x:f>
        <x:v>0.8118791390728477</x:v>
      </x:c>
      <x:c r="G58" s="149" t="n">
        <x:f>IFERROR(G55/G24,"")</x:f>
        <x:v>0.8380229544613106</x:v>
      </x:c>
      <x:c r="H58" s="149" t="n">
        <x:f>IFERROR(H55/H24,"")</x:f>
        <x:v>0.858</x:v>
      </x:c>
      <x:c r="I58" s="149" t="n">
        <x:f>IFERROR(I55/I24,"")</x:f>
        <x:v>0.7873345935727788</x:v>
      </x:c>
      <x:c r="J58" s="149" t="n">
        <x:f>IFERROR(J55/J24,"")</x:f>
        <x:v>0.839417253232935</x:v>
      </x:c>
      <x:c r="K58" s="149" t="n">
        <x:f>IFERROR(K55/K24,"")</x:f>
        <x:v>0.8149210903873745</x:v>
      </x:c>
      <x:c r="L58" s="153" t="str">
        <x:f>IF(OR(L55="",L24=""),"",IFERROR(L55/L24,""))</x:f>
      </x:c>
      <x:c r="M58" s="153" t="str">
        <x:f>IF(OR(M55="",M24=""),"",IFERROR(M55/M24,""))</x:f>
      </x:c>
      <x:c r="N58" s="153" t="str">
        <x:f>IF(OR(N55="",N24=""),"",IFERROR(N55/N24,""))</x:f>
      </x:c>
      <x:c r="O58" s="153" t="str">
        <x:f>IF(OR(O55="",O24=""),"",IFERROR(O55/O24,""))</x:f>
      </x:c>
    </x:row>
    <x:row r="59">
      <x:c r="A59" s="50" t="str">
        <x:v>Specialty Ingredients Revenue</x:v>
      </x:c>
      <x:c r="B59" s="50" t="str">
        <x:v>INR mn</x:v>
      </x:c>
      <x:c r="C59" s="50" t="str">
        <x:v>Reported</x:v>
      </x:c>
      <x:c r="D59" s="72" t="n">
        <x:v>899</x:v>
      </x:c>
      <x:c r="E59" s="72" t="n">
        <x:v>843</x:v>
      </x:c>
      <x:c r="F59" s="72" t="n">
        <x:v>909</x:v>
      </x:c>
      <x:c r="G59" s="72" t="n">
        <x:v>875</x:v>
      </x:c>
      <x:c r="H59" s="72" t="n">
        <x:v>781</x:v>
      </x:c>
      <x:c r="I59" s="72" t="n">
        <x:v>899</x:v>
      </x:c>
      <x:c r="J59" s="72" t="n">
        <x:v>981</x:v>
      </x:c>
      <x:c r="K59" s="72" t="n">
        <x:v>774</x:v>
      </x:c>
      <x:c r="L59" s="152"/>
      <x:c r="M59" s="152"/>
      <x:c r="N59" s="152"/>
      <x:c r="O59" s="152"/>
    </x:row>
    <x:row r="60">
      <x:c r="A60" s="50" t="str">
        <x:v>  Specialty Ingredients YoY Growth</x:v>
      </x:c>
      <x:c r="B60" s="50" t="str">
        <x:v>%</x:v>
      </x:c>
      <x:c r="C60" s="50" t="str">
        <x:v>Derived</x:v>
      </x:c>
      <x:c r="D60" s="149" t="str">
        <x:v>NA</x:v>
      </x:c>
      <x:c r="E60" s="149" t="str">
        <x:v>NA</x:v>
      </x:c>
      <x:c r="F60" s="149" t="str">
        <x:v>NA</x:v>
      </x:c>
      <x:c r="G60" s="149" t="str">
        <x:v>NA</x:v>
      </x:c>
      <x:c r="H60" s="149" t="n">
        <x:f>IFERROR(H59/D59-1,"")</x:f>
        <x:v>-0.13125695216907673</x:v>
      </x:c>
      <x:c r="I60" s="149" t="n">
        <x:f>IFERROR(I59/E59-1,"")</x:f>
        <x:v>0.06642941874258601</x:v>
      </x:c>
      <x:c r="J60" s="149" t="n">
        <x:f>IFERROR(J59/F59-1,"")</x:f>
        <x:v>0.07920792079207928</x:v>
      </x:c>
      <x:c r="K60" s="149" t="n">
        <x:f>IFERROR(K59/G59-1,"")</x:f>
        <x:v>-0.11542857142857144</x:v>
      </x:c>
      <x:c r="L60" s="153" t="str">
        <x:f>IF(L59="","",IFERROR(L59/H59-1,""))</x:f>
      </x:c>
      <x:c r="M60" s="153" t="str">
        <x:f>IF(M59="","",IFERROR(M59/I59-1,""))</x:f>
      </x:c>
      <x:c r="N60" s="153" t="str">
        <x:f>IF(N59="","",IFERROR(N59/J59-1,""))</x:f>
      </x:c>
      <x:c r="O60" s="153" t="str">
        <x:f>IF(O59="","",IFERROR(O59/K59-1,""))</x:f>
      </x:c>
    </x:row>
    <x:row r="61">
      <x:c r="A61" s="50" t="str">
        <x:v>  Specialty Ingredients QoQ Growth</x:v>
      </x:c>
      <x:c r="B61" s="50" t="str">
        <x:v>%</x:v>
      </x:c>
      <x:c r="C61" s="50" t="str">
        <x:v>Derived</x:v>
      </x:c>
      <x:c r="D61" s="149" t="str">
        <x:v>NA</x:v>
      </x:c>
      <x:c r="E61" s="149" t="n">
        <x:f>IFERROR(E59/D59-1,"")</x:f>
        <x:v>-0.0622914349276974</x:v>
      </x:c>
      <x:c r="F61" s="149" t="n">
        <x:f>IFERROR(F59/E59-1,"")</x:f>
        <x:v>0.07829181494661919</x:v>
      </x:c>
      <x:c r="G61" s="149" t="n">
        <x:f>IFERROR(G59/F59-1,"")</x:f>
        <x:v>-0.037403740374037375</x:v>
      </x:c>
      <x:c r="H61" s="149" t="n">
        <x:f>IFERROR(H59/G59-1,"")</x:f>
        <x:v>-0.10742857142857143</x:v>
      </x:c>
      <x:c r="I61" s="149" t="n">
        <x:f>IFERROR(I59/H59-1,"")</x:f>
        <x:v>0.1510883482714469</x:v>
      </x:c>
      <x:c r="J61" s="149" t="n">
        <x:f>IFERROR(J59/I59-1,"")</x:f>
        <x:v>0.09121245828698554</x:v>
      </x:c>
      <x:c r="K61" s="149" t="n">
        <x:f>IFERROR(K59/J59-1,"")</x:f>
        <x:v>-0.21100917431192656</x:v>
      </x:c>
      <x:c r="L61" s="153" t="str">
        <x:f>IF(L59="","",IFERROR(L59/K59-1,""))</x:f>
      </x:c>
      <x:c r="M61" s="153" t="str">
        <x:f>IF(M59="","",IFERROR(M59/L59-1,""))</x:f>
      </x:c>
      <x:c r="N61" s="153" t="str">
        <x:f>IF(N59="","",IFERROR(N59/M59-1,""))</x:f>
      </x:c>
      <x:c r="O61" s="153" t="str">
        <x:f>IF(O59="","",IFERROR(O59/N59-1,""))</x:f>
      </x:c>
    </x:row>
    <x:row r="62">
      <x:c r="A62" s="50" t="str">
        <x:v>  Specialty Ingredients % of Revenue</x:v>
      </x:c>
      <x:c r="B62" s="50" t="str">
        <x:v>%</x:v>
      </x:c>
      <x:c r="C62" s="50" t="str">
        <x:v>Derived</x:v>
      </x:c>
      <x:c r="D62" s="149" t="n">
        <x:f>IFERROR(D59/D24,"")</x:f>
        <x:v>0.17123809523809524</x:v>
      </x:c>
      <x:c r="E62" s="149" t="n">
        <x:f>IFERROR(E59/E24,"")</x:f>
        <x:v>0.1693451185214946</x:v>
      </x:c>
      <x:c r="F62" s="149" t="n">
        <x:f>IFERROR(F59/F24,"")</x:f>
        <x:v>0.18812086092715233</x:v>
      </x:c>
      <x:c r="G62" s="149" t="n">
        <x:f>IFERROR(G59/G24,"")</x:f>
        <x:v>0.16197704553868938</x:v>
      </x:c>
      <x:c r="H62" s="149" t="n">
        <x:f>IFERROR(H59/H24,"")</x:f>
        <x:v>0.142</x:v>
      </x:c>
      <x:c r="I62" s="149" t="n">
        <x:f>IFERROR(I59/I24,"")</x:f>
        <x:v>0.21242911153119093</x:v>
      </x:c>
      <x:c r="J62" s="149" t="n">
        <x:f>IFERROR(J59/J24,"")</x:f>
        <x:v>0.160582746767065</x:v>
      </x:c>
      <x:c r="K62" s="149" t="n">
        <x:f>IFERROR(K59/K24,"")</x:f>
        <x:v>0.18507890961262555</x:v>
      </x:c>
      <x:c r="L62" s="153" t="str">
        <x:f>IF(OR(L59="",L24=""),"",IFERROR(L59/L24,""))</x:f>
      </x:c>
      <x:c r="M62" s="153" t="str">
        <x:f>IF(OR(M59="",M24=""),"",IFERROR(M59/M24,""))</x:f>
      </x:c>
      <x:c r="N62" s="153" t="str">
        <x:f>IF(OR(N59="",N24=""),"",IFERROR(N59/N24,""))</x:f>
      </x:c>
      <x:c r="O62" s="153" t="str">
        <x:f>IF(OR(O59="",O24=""),"",IFERROR(O59/O24,""))</x:f>
      </x:c>
    </x:row>
    <x:row r="63">
      <x:c r="A63" s="50" t="str">
        <x:v>  CRDMO Mix Change vs YoY</x:v>
      </x:c>
      <x:c r="B63" s="50" t="str">
        <x:v>ppt</x:v>
      </x:c>
      <x:c r="C63" s="50" t="str">
        <x:v>Derived</x:v>
      </x:c>
      <x:c r="D63" s="154" t="str">
        <x:v>NA</x:v>
      </x:c>
      <x:c r="E63" s="154" t="str">
        <x:v>NA</x:v>
      </x:c>
      <x:c r="F63" s="154" t="str">
        <x:v>NA</x:v>
      </x:c>
      <x:c r="G63" s="154" t="str">
        <x:v>NA</x:v>
      </x:c>
      <x:c r="H63" s="154" t="n">
        <x:f>IFERROR(H58-D58,"")</x:f>
        <x:v>0.029238095238095174</x:v>
      </x:c>
      <x:c r="I63" s="154" t="n">
        <x:f>IFERROR(I58-E58,"")</x:f>
        <x:v>-0.04332028790572662</x:v>
      </x:c>
      <x:c r="J63" s="154" t="n">
        <x:f>IFERROR(J58-F58,"")</x:f>
        <x:v>0.027538114160087335</x:v>
      </x:c>
      <x:c r="K63" s="154" t="n">
        <x:f>IFERROR(K58-G58,"")</x:f>
        <x:v>-0.023101864073936107</x:v>
      </x:c>
      <x:c r="L63" s="155" t="str">
        <x:f>IF(L58="","",L58-H58)</x:f>
      </x:c>
      <x:c r="M63" s="155" t="str">
        <x:f>IF(M58="","",M58-I58)</x:f>
      </x:c>
      <x:c r="N63" s="155" t="str">
        <x:f>IF(N58="","",N58-J58)</x:f>
      </x:c>
      <x:c r="O63" s="155" t="str">
        <x:f>IF(O58="","",O58-K58)</x:f>
      </x:c>
    </x:row>
    <x:row r="64">
      <x:c r="A64" s="50" t="str">
        <x:v>  CRDMO + Specialty – Consolidated Revenue</x:v>
      </x:c>
      <x:c r="B64" s="50" t="str">
        <x:v>INR mn</x:v>
      </x:c>
      <x:c r="C64" s="50" t="str">
        <x:v>Derived</x:v>
      </x:c>
      <x:c r="D64" s="150" t="n">
        <x:f>IFERROR(D55+D59-D24,"")</x:f>
        <x:v>0</x:v>
      </x:c>
      <x:c r="E64" s="150" t="n">
        <x:f>IFERROR(E55+E59-E24,"")</x:f>
        <x:v>0</x:v>
      </x:c>
      <x:c r="F64" s="150" t="n">
        <x:f>IFERROR(F55+F59-F24,"")</x:f>
        <x:v>0</x:v>
      </x:c>
      <x:c r="G64" s="150" t="n">
        <x:f>IFERROR(G55+G59-G24,"")</x:f>
        <x:v>0</x:v>
      </x:c>
      <x:c r="H64" s="150" t="n">
        <x:f>IFERROR(H55+H59-H24,"")</x:f>
        <x:v>0</x:v>
      </x:c>
      <x:c r="I64" s="150" t="n">
        <x:f>IFERROR(I55+I59-I24,"")</x:f>
        <x:v>-1</x:v>
      </x:c>
      <x:c r="J64" s="150" t="n">
        <x:f>IFERROR(J55+J59-J24,"")</x:f>
        <x:v>0</x:v>
      </x:c>
      <x:c r="K64" s="150" t="n">
        <x:f>IFERROR(K55+K59-K24,"")</x:f>
        <x:v>0</x:v>
      </x:c>
      <x:c r="L64" s="156" t="str">
        <x:f>IF(OR(L55="",L59="",L24=""),"",L55+L59-L24)</x:f>
      </x:c>
      <x:c r="M64" s="156" t="str">
        <x:f>IF(OR(M55="",M59="",M24=""),"",M55+M59-M24)</x:f>
      </x:c>
      <x:c r="N64" s="156" t="str">
        <x:f>IF(OR(N55="",N59="",N24=""),"",N55+N59-N24)</x:f>
      </x:c>
      <x:c r="O64" s="156" t="str">
        <x:f>IF(OR(O55="",O59="",O24=""),"",O55+O59-O24)</x:f>
      </x:c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</x:row>
    <x:row r="67" ht="20" customHeight="1">
      <x:c r="A67" s="146" t="str">
        <x:v>R&amp;D MONITOR – DO NOT FABRICATE QUARTERLY R&amp;D / FTE / FFS REVENUE</x:v>
      </x:c>
      <x:c r="B67" s="146"/>
      <x:c r="C67" s="146"/>
      <x:c r="D67" s="146"/>
      <x:c r="E67" s="146"/>
      <x:c r="F67" s="146"/>
      <x:c r="G67" s="146"/>
      <x:c r="H67" s="146"/>
      <x:c r="I67" s="146"/>
      <x:c r="J67" s="146"/>
      <x:c r="K67" s="146"/>
      <x:c r="L67" s="146"/>
      <x:c r="M67" s="146"/>
      <x:c r="N67" s="146"/>
      <x:c r="O67" s="146"/>
    </x:row>
    <x:row r="68">
      <x:c r="A68" s="147" t="str">
        <x:v>Metric</x:v>
      </x:c>
      <x:c r="B68" s="147" t="str">
        <x:v>Units</x:v>
      </x:c>
      <x:c r="C68" s="147" t="str">
        <x:v>Classification</x:v>
      </x:c>
      <x:c r="D68" s="147" t="str">
        <x:v>Q2 FY25</x:v>
      </x:c>
      <x:c r="E68" s="147" t="str">
        <x:v>Q3 FY25</x:v>
      </x:c>
      <x:c r="F68" s="147" t="str">
        <x:v>Q4 FY25</x:v>
      </x:c>
      <x:c r="G68" s="147" t="str">
        <x:v>Q1 FY26</x:v>
      </x:c>
      <x:c r="H68" s="147" t="str">
        <x:v>Q2 FY26</x:v>
      </x:c>
      <x:c r="I68" s="147" t="str">
        <x:v>Q3 FY26</x:v>
      </x:c>
      <x:c r="J68" s="147" t="str">
        <x:v>Q4 FY26</x:v>
      </x:c>
      <x:c r="K68" s="147" t="str">
        <x:v>Q1 FY27</x:v>
      </x:c>
      <x:c r="L68" s="147" t="str">
        <x:v>Q2 FY27</x:v>
      </x:c>
      <x:c r="M68" s="147" t="str">
        <x:v>Q3 FY27</x:v>
      </x:c>
      <x:c r="N68" s="147" t="str">
        <x:v>Q4 FY27</x:v>
      </x:c>
      <x:c r="O68" s="147" t="str">
        <x:v>Q1 FY28</x:v>
      </x:c>
    </x:row>
    <x:row r="69">
      <x:c r="A69" s="50" t="str">
        <x:v>R&amp;D Revenue</x:v>
      </x:c>
      <x:c r="B69" s="50" t="str">
        <x:v>INR mn</x:v>
      </x:c>
      <x:c r="C69" s="50" t="str">
        <x:v>Not Disclosed</x:v>
      </x:c>
      <x:c r="D69" s="50" t="str">
        <x:v>NA</x:v>
      </x:c>
      <x:c r="E69" s="50" t="str">
        <x:v>NA</x:v>
      </x:c>
      <x:c r="F69" s="50" t="str">
        <x:v>NA</x:v>
      </x:c>
      <x:c r="G69" s="50" t="str">
        <x:v>NA</x:v>
      </x:c>
      <x:c r="H69" s="50" t="str">
        <x:v>NA</x:v>
      </x:c>
      <x:c r="I69" s="50" t="str">
        <x:v>NA</x:v>
      </x:c>
      <x:c r="J69" s="50" t="str">
        <x:v>NA</x:v>
      </x:c>
      <x:c r="K69" s="50" t="str">
        <x:v>NA</x:v>
      </x:c>
      <x:c r="L69" s="152"/>
      <x:c r="M69" s="152"/>
      <x:c r="N69" s="152"/>
      <x:c r="O69" s="152"/>
    </x:row>
    <x:row r="70">
      <x:c r="A70" s="50" t="str">
        <x:v>FTE Revenue</x:v>
      </x:c>
      <x:c r="B70" s="50" t="str">
        <x:v>INR mn</x:v>
      </x:c>
      <x:c r="C70" s="50" t="str">
        <x:v>Not Disclosed</x:v>
      </x:c>
      <x:c r="D70" s="50" t="str">
        <x:v>NA</x:v>
      </x:c>
      <x:c r="E70" s="50" t="str">
        <x:v>NA</x:v>
      </x:c>
      <x:c r="F70" s="50" t="str">
        <x:v>NA</x:v>
      </x:c>
      <x:c r="G70" s="50" t="str">
        <x:v>NA</x:v>
      </x:c>
      <x:c r="H70" s="50" t="str">
        <x:v>NA</x:v>
      </x:c>
      <x:c r="I70" s="50" t="str">
        <x:v>NA</x:v>
      </x:c>
      <x:c r="J70" s="50" t="str">
        <x:v>NA</x:v>
      </x:c>
      <x:c r="K70" s="50" t="str">
        <x:v>NA</x:v>
      </x:c>
      <x:c r="L70" s="152"/>
      <x:c r="M70" s="152"/>
      <x:c r="N70" s="152"/>
      <x:c r="O70" s="152"/>
    </x:row>
    <x:row r="71">
      <x:c r="A71" s="50" t="str">
        <x:v>FFS Revenue</x:v>
      </x:c>
      <x:c r="B71" s="50" t="str">
        <x:v>INR mn</x:v>
      </x:c>
      <x:c r="C71" s="50" t="str">
        <x:v>Not Disclosed</x:v>
      </x:c>
      <x:c r="D71" s="50" t="str">
        <x:v>NA</x:v>
      </x:c>
      <x:c r="E71" s="50" t="str">
        <x:v>NA</x:v>
      </x:c>
      <x:c r="F71" s="50" t="str">
        <x:v>NA</x:v>
      </x:c>
      <x:c r="G71" s="50" t="str">
        <x:v>NA</x:v>
      </x:c>
      <x:c r="H71" s="50" t="str">
        <x:v>NA</x:v>
      </x:c>
      <x:c r="I71" s="50" t="str">
        <x:v>NA</x:v>
      </x:c>
      <x:c r="J71" s="50" t="str">
        <x:v>NA</x:v>
      </x:c>
      <x:c r="K71" s="50" t="str">
        <x:v>NA</x:v>
      </x:c>
      <x:c r="L71" s="152"/>
      <x:c r="M71" s="152"/>
      <x:c r="N71" s="152"/>
      <x:c r="O71" s="152"/>
    </x:row>
    <x:row r="72">
      <x:c r="A72" s="50" t="str">
        <x:v>FTE Mix</x:v>
      </x:c>
      <x:c r="B72" s="50" t="str">
        <x:v>%</x:v>
      </x:c>
      <x:c r="C72" s="50" t="str">
        <x:v>Reported FY25 / periodic</x:v>
      </x:c>
      <x:c r="D72" s="50" t="str">
        <x:v>NA</x:v>
      </x:c>
      <x:c r="E72" s="50" t="str">
        <x:v>NA</x:v>
      </x:c>
      <x:c r="F72" s="92" t="n">
        <x:v>0.1035</x:v>
      </x:c>
      <x:c r="G72" s="50" t="str">
        <x:v>NA</x:v>
      </x:c>
      <x:c r="H72" s="50" t="str">
        <x:v>NA</x:v>
      </x:c>
      <x:c r="I72" s="50" t="str">
        <x:v>NA</x:v>
      </x:c>
      <x:c r="J72" s="50" t="str">
        <x:v>NA</x:v>
      </x:c>
      <x:c r="K72" s="50" t="str">
        <x:v>NA</x:v>
      </x:c>
      <x:c r="L72" s="152"/>
      <x:c r="M72" s="152"/>
      <x:c r="N72" s="152"/>
      <x:c r="O72" s="152"/>
    </x:row>
    <x:row r="73">
      <x:c r="A73" s="50" t="str">
        <x:v>FFS Mix</x:v>
      </x:c>
      <x:c r="B73" s="50" t="str">
        <x:v>%</x:v>
      </x:c>
      <x:c r="C73" s="50" t="str">
        <x:v>Reported FY25 / periodic</x:v>
      </x:c>
      <x:c r="D73" s="50" t="str">
        <x:v>NA</x:v>
      </x:c>
      <x:c r="E73" s="50" t="str">
        <x:v>NA</x:v>
      </x:c>
      <x:c r="F73" s="92" t="n">
        <x:v>0.8965</x:v>
      </x:c>
      <x:c r="G73" s="50" t="str">
        <x:v>NA</x:v>
      </x:c>
      <x:c r="H73" s="50" t="str">
        <x:v>NA</x:v>
      </x:c>
      <x:c r="I73" s="50" t="str">
        <x:v>NA</x:v>
      </x:c>
      <x:c r="J73" s="50" t="str">
        <x:v>NA</x:v>
      </x:c>
      <x:c r="K73" s="50" t="str">
        <x:v>NA</x:v>
      </x:c>
      <x:c r="L73" s="152"/>
      <x:c r="M73" s="152"/>
      <x:c r="N73" s="152"/>
      <x:c r="O73" s="152"/>
    </x:row>
    <x:row r="74">
      <x:c r="A74" s="50" t="str">
        <x:v>R&amp;D Services Mix of Revenue</x:v>
      </x:c>
      <x:c r="B74" s="50" t="str">
        <x:v>%</x:v>
      </x:c>
      <x:c r="C74" s="50" t="str">
        <x:v>Reported FY25 / H1FY26</x:v>
      </x:c>
      <x:c r="D74" s="50" t="str">
        <x:v>NA</x:v>
      </x:c>
      <x:c r="E74" s="50" t="str">
        <x:v>NA</x:v>
      </x:c>
      <x:c r="F74" s="92" t="n">
        <x:v>0.1087</x:v>
      </x:c>
      <x:c r="G74" s="50" t="str">
        <x:v>NA</x:v>
      </x:c>
      <x:c r="H74" s="92" t="n">
        <x:v>0.098</x:v>
      </x:c>
      <x:c r="I74" s="50" t="str">
        <x:v>NA</x:v>
      </x:c>
      <x:c r="J74" s="50" t="str">
        <x:v>NA</x:v>
      </x:c>
      <x:c r="K74" s="50" t="str">
        <x:v>NA</x:v>
      </x:c>
      <x:c r="L74" s="152"/>
      <x:c r="M74" s="152"/>
      <x:c r="N74" s="152"/>
      <x:c r="O74" s="152"/>
    </x:row>
    <x:row r="75">
      <x:c r="A75" s="50" t="str">
        <x:v>Billable FTE Capacity</x:v>
      </x:c>
      <x:c r="B75" s="50" t="str">
        <x:v>#</x:v>
      </x:c>
      <x:c r="C75" s="50" t="str">
        <x:v>Not Disclosed</x:v>
      </x:c>
      <x:c r="D75" s="50" t="str">
        <x:v>NA</x:v>
      </x:c>
      <x:c r="E75" s="50" t="str">
        <x:v>NA</x:v>
      </x:c>
      <x:c r="F75" s="50" t="str">
        <x:v>NA</x:v>
      </x:c>
      <x:c r="G75" s="50" t="str">
        <x:v>NA</x:v>
      </x:c>
      <x:c r="H75" s="50" t="str">
        <x:v>NA</x:v>
      </x:c>
      <x:c r="I75" s="50" t="str">
        <x:v>NA</x:v>
      </x:c>
      <x:c r="J75" s="50" t="str">
        <x:v>NA</x:v>
      </x:c>
      <x:c r="K75" s="50" t="str">
        <x:v>NA</x:v>
      </x:c>
      <x:c r="L75" s="152"/>
      <x:c r="M75" s="152"/>
      <x:c r="N75" s="152"/>
      <x:c r="O75" s="152"/>
    </x:row>
    <x:row r="76">
      <x:c r="A76" s="50" t="str">
        <x:v>FTE Utilisation</x:v>
      </x:c>
      <x:c r="B76" s="50" t="str">
        <x:v>%</x:v>
      </x:c>
      <x:c r="C76" s="50" t="str">
        <x:v>Not Disclosed</x:v>
      </x:c>
      <x:c r="D76" s="50" t="str">
        <x:v>NA</x:v>
      </x:c>
      <x:c r="E76" s="50" t="str">
        <x:v>NA</x:v>
      </x:c>
      <x:c r="F76" s="50" t="str">
        <x:v>NA</x:v>
      </x:c>
      <x:c r="G76" s="50" t="str">
        <x:v>NA</x:v>
      </x:c>
      <x:c r="H76" s="50" t="str">
        <x:v>NA</x:v>
      </x:c>
      <x:c r="I76" s="50" t="str">
        <x:v>NA</x:v>
      </x:c>
      <x:c r="J76" s="50" t="str">
        <x:v>NA</x:v>
      </x:c>
      <x:c r="K76" s="50" t="str">
        <x:v>NA</x:v>
      </x:c>
      <x:c r="L76" s="152"/>
      <x:c r="M76" s="152"/>
      <x:c r="N76" s="152"/>
      <x:c r="O76" s="152"/>
    </x:row>
    <x:row r="77">
      <x:c r="A77" s="50" t="str">
        <x:v>Revenue / Billable FTE</x:v>
      </x:c>
      <x:c r="B77" s="50" t="str">
        <x:v>INR mn</x:v>
      </x:c>
      <x:c r="C77" s="50" t="str">
        <x:v>Not Disclosed</x:v>
      </x:c>
      <x:c r="D77" s="50" t="str">
        <x:v>NA</x:v>
      </x:c>
      <x:c r="E77" s="50" t="str">
        <x:v>NA</x:v>
      </x:c>
      <x:c r="F77" s="50" t="str">
        <x:v>NA</x:v>
      </x:c>
      <x:c r="G77" s="50" t="str">
        <x:v>NA</x:v>
      </x:c>
      <x:c r="H77" s="50" t="str">
        <x:v>NA</x:v>
      </x:c>
      <x:c r="I77" s="50" t="str">
        <x:v>NA</x:v>
      </x:c>
      <x:c r="J77" s="50" t="str">
        <x:v>NA</x:v>
      </x:c>
      <x:c r="K77" s="50" t="str">
        <x:v>NA</x:v>
      </x:c>
      <x:c r="L77" s="152"/>
      <x:c r="M77" s="152"/>
      <x:c r="N77" s="152"/>
      <x:c r="O77" s="152"/>
    </x:row>
    <x:row r="78">
      <x:c r="A78" s="50" t="str">
        <x:v>Scientific Employees</x:v>
      </x:c>
      <x:c r="B78" s="50" t="str">
        <x:v>#</x:v>
      </x:c>
      <x:c r="C78" s="50" t="str">
        <x:v>Reported periodic</x:v>
      </x:c>
      <x:c r="D78" s="50" t="str">
        <x:v>NA</x:v>
      </x:c>
      <x:c r="E78" s="50" t="str">
        <x:v>NA</x:v>
      </x:c>
      <x:c r="F78" s="157" t="n">
        <x:v>1015</x:v>
      </x:c>
      <x:c r="G78" s="50" t="str">
        <x:v>NA</x:v>
      </x:c>
      <x:c r="H78" s="50" t="str">
        <x:v>NA</x:v>
      </x:c>
      <x:c r="I78" s="50" t="str">
        <x:v>NA</x:v>
      </x:c>
      <x:c r="J78" s="157" t="n">
        <x:v>1117</x:v>
      </x:c>
      <x:c r="K78" s="50" t="str">
        <x:v>NA</x:v>
      </x:c>
      <x:c r="L78" s="152"/>
      <x:c r="M78" s="152"/>
      <x:c r="N78" s="152"/>
      <x:c r="O78" s="152"/>
    </x:row>
    <x:row r="79">
      <x:c r="A79" s="50" t="str">
        <x:v>Scientific Employee Additions</x:v>
      </x:c>
      <x:c r="B79" s="50" t="str">
        <x:v>#</x:v>
      </x:c>
      <x:c r="C79" s="50" t="str">
        <x:v>Derived when available</x:v>
      </x:c>
      <x:c r="D79" s="50" t="str">
        <x:v>NA</x:v>
      </x:c>
      <x:c r="E79" s="50" t="str">
        <x:v>NA</x:v>
      </x:c>
      <x:c r="F79" s="50" t="str">
        <x:v>NA</x:v>
      </x:c>
      <x:c r="G79" s="50" t="str">
        <x:v>NA</x:v>
      </x:c>
      <x:c r="H79" s="50" t="str">
        <x:v>NA</x:v>
      </x:c>
      <x:c r="I79" s="50" t="str">
        <x:v>NA</x:v>
      </x:c>
      <x:c r="J79" s="50" t="str">
        <x:v>NA</x:v>
      </x:c>
      <x:c r="K79" s="50" t="str">
        <x:v>NA</x:v>
      </x:c>
      <x:c r="L79" s="152"/>
      <x:c r="M79" s="152"/>
      <x:c r="N79" s="152"/>
      <x:c r="O79" s="152"/>
    </x:row>
    <x:row r="80">
      <x:c r="A80" s="50" t="str">
        <x:v>Total Employees</x:v>
      </x:c>
      <x:c r="B80" s="50" t="str">
        <x:v>#</x:v>
      </x:c>
      <x:c r="C80" s="50" t="str">
        <x:v>Reported periodic</x:v>
      </x:c>
      <x:c r="D80" s="50" t="str">
        <x:v>NA</x:v>
      </x:c>
      <x:c r="E80" s="50" t="str">
        <x:v>NA</x:v>
      </x:c>
      <x:c r="F80" s="157" t="n">
        <x:v>2062</x:v>
      </x:c>
      <x:c r="G80" s="50" t="str">
        <x:v>NA</x:v>
      </x:c>
      <x:c r="H80" s="50" t="str">
        <x:v>NA</x:v>
      </x:c>
      <x:c r="I80" s="50" t="str">
        <x:v>NA</x:v>
      </x:c>
      <x:c r="J80" s="157" t="n">
        <x:v>2282</x:v>
      </x:c>
      <x:c r="K80" s="50" t="str">
        <x:v>NA</x:v>
      </x:c>
      <x:c r="L80" s="152"/>
      <x:c r="M80" s="152"/>
      <x:c r="N80" s="152"/>
      <x:c r="O80" s="152"/>
    </x:row>
    <x:row r="81">
      <x:c r="A81" s="50" t="str">
        <x:v>Number of R&amp;D Programmes</x:v>
      </x:c>
      <x:c r="B81" s="50" t="str">
        <x:v>#</x:v>
      </x:c>
      <x:c r="C81" s="50" t="str">
        <x:v>Not Disclosed</x:v>
      </x:c>
      <x:c r="D81" s="50" t="str">
        <x:v>NA</x:v>
      </x:c>
      <x:c r="E81" s="50" t="str">
        <x:v>NA</x:v>
      </x:c>
      <x:c r="F81" s="50" t="str">
        <x:v>NA</x:v>
      </x:c>
      <x:c r="G81" s="50" t="str">
        <x:v>NA</x:v>
      </x:c>
      <x:c r="H81" s="50" t="str">
        <x:v>NA</x:v>
      </x:c>
      <x:c r="I81" s="50" t="str">
        <x:v>NA</x:v>
      </x:c>
      <x:c r="J81" s="50" t="str">
        <x:v>NA</x:v>
      </x:c>
      <x:c r="K81" s="50" t="str">
        <x:v>NA</x:v>
      </x:c>
      <x:c r="L81" s="152"/>
      <x:c r="M81" s="152"/>
      <x:c r="N81" s="152"/>
      <x:c r="O81" s="152"/>
    </x:row>
    <x:row r="82">
      <x:c r="A82" s="50" t="str">
        <x:v>Integrated Project Wins</x:v>
      </x:c>
      <x:c r="B82" s="50" t="str">
        <x:v>#</x:v>
      </x:c>
      <x:c r="C82" s="50" t="str">
        <x:v>Not Disclosed</x:v>
      </x:c>
      <x:c r="D82" s="50" t="str">
        <x:v>NA</x:v>
      </x:c>
      <x:c r="E82" s="50" t="str">
        <x:v>NA</x:v>
      </x:c>
      <x:c r="F82" s="50" t="str">
        <x:v>NA</x:v>
      </x:c>
      <x:c r="G82" s="50" t="str">
        <x:v>NA</x:v>
      </x:c>
      <x:c r="H82" s="50" t="str">
        <x:v>NA</x:v>
      </x:c>
      <x:c r="I82" s="50" t="str">
        <x:v>NA</x:v>
      </x:c>
      <x:c r="J82" s="50" t="str">
        <x:v>NA</x:v>
      </x:c>
      <x:c r="K82" s="50" t="str">
        <x:v>NA</x:v>
      </x:c>
      <x:c r="L82" s="152"/>
      <x:c r="M82" s="152"/>
      <x:c r="N82" s="152"/>
      <x:c r="O82" s="152"/>
    </x:row>
    <x:row r="83">
      <x:c r="A83" s="50" t="str">
        <x:v>FFS Project Commentary</x:v>
      </x:c>
      <x:c r="B83" s="50" t="str">
        <x:v>Text</x:v>
      </x:c>
      <x:c r="C83" s="50" t="str">
        <x:v>Qualitative</x:v>
      </x:c>
      <x:c r="D83" s="66" t="str">
        <x:v>NA</x:v>
      </x:c>
      <x:c r="E83" s="66" t="str">
        <x:v>NA</x:v>
      </x:c>
      <x:c r="F83" s="66" t="str">
        <x:v>FY25 R&amp;D was 89.7% FFS</x:v>
      </x:c>
      <x:c r="G83" s="66" t="str">
        <x:v>NA</x:v>
      </x:c>
      <x:c r="H83" s="66" t="str">
        <x:v>H1 R&amp;D mix 9.8% of revenue</x:v>
      </x:c>
      <x:c r="I83" s="66" t="str">
        <x:v>NA</x:v>
      </x:c>
      <x:c r="J83" s="66" t="str">
        <x:v>FFS-led model remains core</x:v>
      </x:c>
      <x:c r="K83" s="66" t="str">
        <x:v>FFS-led; no quarterly split disclosed</x:v>
      </x:c>
      <x:c r="L83" s="152"/>
      <x:c r="M83" s="152"/>
      <x:c r="N83" s="152"/>
      <x:c r="O83" s="152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</x:row>
    <x:row r="86" ht="20" customHeight="1">
      <x:c r="A86" s="146" t="str">
        <x:v>D&amp;M / PROJECT PIPELINE MONITOR</x:v>
      </x:c>
      <x:c r="B86" s="146"/>
      <x:c r="C86" s="146"/>
      <x:c r="D86" s="146"/>
      <x:c r="E86" s="146"/>
      <x:c r="F86" s="146"/>
      <x:c r="G86" s="146"/>
      <x:c r="H86" s="146"/>
      <x:c r="I86" s="146"/>
      <x:c r="J86" s="146"/>
      <x:c r="K86" s="146"/>
      <x:c r="L86" s="146"/>
      <x:c r="M86" s="146"/>
      <x:c r="N86" s="146"/>
      <x:c r="O86" s="146"/>
    </x:row>
    <x:row r="87">
      <x:c r="A87" s="147" t="str">
        <x:v>Metric</x:v>
      </x:c>
      <x:c r="B87" s="147" t="str">
        <x:v>Units</x:v>
      </x:c>
      <x:c r="C87" s="147" t="str">
        <x:v>Classification</x:v>
      </x:c>
      <x:c r="D87" s="147" t="str">
        <x:v>Q2 FY25</x:v>
      </x:c>
      <x:c r="E87" s="147" t="str">
        <x:v>Q3 FY25</x:v>
      </x:c>
      <x:c r="F87" s="147" t="str">
        <x:v>Q4 FY25</x:v>
      </x:c>
      <x:c r="G87" s="147" t="str">
        <x:v>Q1 FY26</x:v>
      </x:c>
      <x:c r="H87" s="147" t="str">
        <x:v>Q2 FY26</x:v>
      </x:c>
      <x:c r="I87" s="147" t="str">
        <x:v>Q3 FY26</x:v>
      </x:c>
      <x:c r="J87" s="147" t="str">
        <x:v>Q4 FY26</x:v>
      </x:c>
      <x:c r="K87" s="147" t="str">
        <x:v>Q1 FY27</x:v>
      </x:c>
      <x:c r="L87" s="147" t="str">
        <x:v>Q2 FY27</x:v>
      </x:c>
      <x:c r="M87" s="147" t="str">
        <x:v>Q3 FY27</x:v>
      </x:c>
      <x:c r="N87" s="147" t="str">
        <x:v>Q4 FY27</x:v>
      </x:c>
      <x:c r="O87" s="147" t="str">
        <x:v>Q1 FY28</x:v>
      </x:c>
    </x:row>
    <x:row r="88">
      <x:c r="A88" s="50" t="str">
        <x:v>Commercial Molecules</x:v>
      </x:c>
      <x:c r="B88" s="50" t="str">
        <x:v>#</x:v>
      </x:c>
      <x:c r="C88" s="50" t="str">
        <x:v>Reported periodic</x:v>
      </x:c>
      <x:c r="D88" s="50" t="str">
        <x:v>NA</x:v>
      </x:c>
      <x:c r="E88" s="50" t="str">
        <x:v>NA</x:v>
      </x:c>
      <x:c r="F88" s="157" t="n">
        <x:v>10</x:v>
      </x:c>
      <x:c r="G88" s="157" t="n">
        <x:v>12</x:v>
      </x:c>
      <x:c r="H88" s="157" t="n">
        <x:v>14</x:v>
      </x:c>
      <x:c r="I88" s="157" t="n">
        <x:v>14</x:v>
      </x:c>
      <x:c r="J88" s="157" t="n">
        <x:v>14</x:v>
      </x:c>
      <x:c r="K88" s="157" t="n">
        <x:v>14</x:v>
      </x:c>
      <x:c r="L88" s="152"/>
      <x:c r="M88" s="152"/>
      <x:c r="N88" s="152"/>
      <x:c r="O88" s="152"/>
    </x:row>
    <x:row r="89">
      <x:c r="A89" s="50" t="str">
        <x:v>New Commercial Molecules</x:v>
      </x:c>
      <x:c r="B89" s="50" t="str">
        <x:v>#</x:v>
      </x:c>
      <x:c r="C89" s="50" t="str">
        <x:v>Derived / reported progression</x:v>
      </x:c>
      <x:c r="D89" s="50" t="str">
        <x:v>NA</x:v>
      </x:c>
      <x:c r="E89" s="50" t="str">
        <x:v>NA</x:v>
      </x:c>
      <x:c r="F89" s="50" t="str">
        <x:v>NA</x:v>
      </x:c>
      <x:c r="G89" s="157" t="n">
        <x:v>2</x:v>
      </x:c>
      <x:c r="H89" s="157" t="n">
        <x:v>2</x:v>
      </x:c>
      <x:c r="I89" s="157" t="n">
        <x:v>0</x:v>
      </x:c>
      <x:c r="J89" s="157" t="n">
        <x:v>0</x:v>
      </x:c>
      <x:c r="K89" s="157" t="n">
        <x:v>0</x:v>
      </x:c>
      <x:c r="L89" s="152"/>
      <x:c r="M89" s="152"/>
      <x:c r="N89" s="152"/>
      <x:c r="O89" s="152"/>
    </x:row>
    <x:row r="90">
      <x:c r="A90" s="50" t="str">
        <x:v>Late-Phase Molecules</x:v>
      </x:c>
      <x:c r="B90" s="50" t="str">
        <x:v>#</x:v>
      </x:c>
      <x:c r="C90" s="50" t="str">
        <x:v>Reported periodic</x:v>
      </x:c>
      <x:c r="D90" s="50" t="str">
        <x:v>NA</x:v>
      </x:c>
      <x:c r="E90" s="50" t="str">
        <x:v>NA</x:v>
      </x:c>
      <x:c r="F90" s="157" t="n">
        <x:v>10</x:v>
      </x:c>
      <x:c r="G90" s="157" t="n">
        <x:v>8</x:v>
      </x:c>
      <x:c r="H90" s="157" t="n">
        <x:v>6</x:v>
      </x:c>
      <x:c r="I90" s="50" t="str">
        <x:v>NA</x:v>
      </x:c>
      <x:c r="J90" s="157" t="n">
        <x:v>10</x:v>
      </x:c>
      <x:c r="K90" s="157" t="n">
        <x:v>10</x:v>
      </x:c>
      <x:c r="L90" s="152"/>
      <x:c r="M90" s="152"/>
      <x:c r="N90" s="152"/>
      <x:c r="O90" s="152"/>
    </x:row>
    <x:row r="91">
      <x:c r="A91" s="50" t="str">
        <x:v>Early-Stage Active Programmes</x:v>
      </x:c>
      <x:c r="B91" s="50" t="str">
        <x:v>#</x:v>
      </x:c>
      <x:c r="C91" s="50" t="str">
        <x:v>Reported periodic</x:v>
      </x:c>
      <x:c r="D91" s="50" t="str">
        <x:v>NA</x:v>
      </x:c>
      <x:c r="E91" s="50" t="str">
        <x:v>NA</x:v>
      </x:c>
      <x:c r="F91" s="158" t="n">
        <x:v>145</x:v>
      </x:c>
      <x:c r="G91" s="50" t="str">
        <x:v>NA</x:v>
      </x:c>
      <x:c r="H91" s="50" t="str">
        <x:v>NA</x:v>
      </x:c>
      <x:c r="I91" s="50" t="str">
        <x:v>NA</x:v>
      </x:c>
      <x:c r="J91" s="66" t="str">
        <x:v>100+</x:v>
      </x:c>
      <x:c r="K91" s="66" t="str">
        <x:v>100+</x:v>
      </x:c>
      <x:c r="L91" s="152"/>
      <x:c r="M91" s="152"/>
      <x:c r="N91" s="152"/>
      <x:c r="O91" s="152"/>
    </x:row>
    <x:row r="92">
      <x:c r="A92" s="50" t="str">
        <x:v>Development Programmes</x:v>
      </x:c>
      <x:c r="B92" s="50" t="str">
        <x:v>#</x:v>
      </x:c>
      <x:c r="C92" s="50" t="str">
        <x:v>Not Disclosed</x:v>
      </x:c>
      <x:c r="D92" s="50" t="str">
        <x:v>NA</x:v>
      </x:c>
      <x:c r="E92" s="50" t="str">
        <x:v>NA</x:v>
      </x:c>
      <x:c r="F92" s="50" t="str">
        <x:v>NA</x:v>
      </x:c>
      <x:c r="G92" s="50" t="str">
        <x:v>NA</x:v>
      </x:c>
      <x:c r="H92" s="50" t="str">
        <x:v>NA</x:v>
      </x:c>
      <x:c r="I92" s="50" t="str">
        <x:v>NA</x:v>
      </x:c>
      <x:c r="J92" s="50" t="str">
        <x:v>NA</x:v>
      </x:c>
      <x:c r="K92" s="50" t="str">
        <x:v>NA</x:v>
      </x:c>
      <x:c r="L92" s="152"/>
      <x:c r="M92" s="152"/>
      <x:c r="N92" s="152"/>
      <x:c r="O92" s="152"/>
    </x:row>
    <x:row r="93">
      <x:c r="A93" s="50" t="str">
        <x:v>New Programme Additions</x:v>
      </x:c>
      <x:c r="B93" s="50" t="str">
        <x:v>#</x:v>
      </x:c>
      <x:c r="C93" s="50" t="str">
        <x:v>Not Disclosed</x:v>
      </x:c>
      <x:c r="D93" s="50" t="str">
        <x:v>NA</x:v>
      </x:c>
      <x:c r="E93" s="50" t="str">
        <x:v>NA</x:v>
      </x:c>
      <x:c r="F93" s="50" t="str">
        <x:v>NA</x:v>
      </x:c>
      <x:c r="G93" s="50" t="str">
        <x:v>NA</x:v>
      </x:c>
      <x:c r="H93" s="50" t="str">
        <x:v>NA</x:v>
      </x:c>
      <x:c r="I93" s="50" t="str">
        <x:v>NA</x:v>
      </x:c>
      <x:c r="J93" s="50" t="str">
        <x:v>NA</x:v>
      </x:c>
      <x:c r="K93" s="50" t="str">
        <x:v>NA</x:v>
      </x:c>
      <x:c r="L93" s="152"/>
      <x:c r="M93" s="152"/>
      <x:c r="N93" s="152"/>
      <x:c r="O93" s="152"/>
    </x:row>
    <x:row r="94">
      <x:c r="A94" s="50" t="str">
        <x:v>Programmes progressing into late stage</x:v>
      </x:c>
      <x:c r="B94" s="50" t="str">
        <x:v>#</x:v>
      </x:c>
      <x:c r="C94" s="50" t="str">
        <x:v>Not Disclosed</x:v>
      </x:c>
      <x:c r="D94" s="50" t="str">
        <x:v>NA</x:v>
      </x:c>
      <x:c r="E94" s="50" t="str">
        <x:v>NA</x:v>
      </x:c>
      <x:c r="F94" s="50" t="str">
        <x:v>NA</x:v>
      </x:c>
      <x:c r="G94" s="50" t="str">
        <x:v>NA</x:v>
      </x:c>
      <x:c r="H94" s="50" t="str">
        <x:v>NA</x:v>
      </x:c>
      <x:c r="I94" s="50" t="str">
        <x:v>NA</x:v>
      </x:c>
      <x:c r="J94" s="50" t="str">
        <x:v>NA</x:v>
      </x:c>
      <x:c r="K94" s="50" t="str">
        <x:v>NA</x:v>
      </x:c>
      <x:c r="L94" s="152"/>
      <x:c r="M94" s="152"/>
      <x:c r="N94" s="152"/>
      <x:c r="O94" s="152"/>
    </x:row>
    <x:row r="95">
      <x:c r="A95" s="50" t="str">
        <x:v>Programmes progressing into commercial supply</x:v>
      </x:c>
      <x:c r="B95" s="50" t="str">
        <x:v>#</x:v>
      </x:c>
      <x:c r="C95" s="50" t="str">
        <x:v>Reported / derived</x:v>
      </x:c>
      <x:c r="D95" s="50" t="str">
        <x:v>NA</x:v>
      </x:c>
      <x:c r="E95" s="50" t="str">
        <x:v>NA</x:v>
      </x:c>
      <x:c r="F95" s="50" t="str">
        <x:v>NA</x:v>
      </x:c>
      <x:c r="G95" s="157" t="n">
        <x:v>2</x:v>
      </x:c>
      <x:c r="H95" s="157" t="n">
        <x:v>2</x:v>
      </x:c>
      <x:c r="I95" s="157" t="n">
        <x:v>0</x:v>
      </x:c>
      <x:c r="J95" s="157" t="n">
        <x:v>0</x:v>
      </x:c>
      <x:c r="K95" s="157" t="n">
        <x:v>0</x:v>
      </x:c>
      <x:c r="L95" s="152"/>
      <x:c r="M95" s="152"/>
      <x:c r="N95" s="152"/>
      <x:c r="O95" s="152"/>
    </x:row>
    <x:row r="96">
      <x:c r="A96" s="50" t="str">
        <x:v>Customers</x:v>
      </x:c>
      <x:c r="B96" s="50" t="str">
        <x:v>#</x:v>
      </x:c>
      <x:c r="C96" s="50" t="str">
        <x:v>Reported periodic</x:v>
      </x:c>
      <x:c r="D96" s="50" t="str">
        <x:v>NA</x:v>
      </x:c>
      <x:c r="E96" s="50" t="str">
        <x:v>NA</x:v>
      </x:c>
      <x:c r="F96" s="157" t="n">
        <x:v>550</x:v>
      </x:c>
      <x:c r="G96" s="50" t="str">
        <x:v>NA</x:v>
      </x:c>
      <x:c r="H96" s="50" t="str">
        <x:v>NA</x:v>
      </x:c>
      <x:c r="I96" s="50" t="str">
        <x:v>NA</x:v>
      </x:c>
      <x:c r="J96" s="50" t="str">
        <x:v>NA</x:v>
      </x:c>
      <x:c r="K96" s="50" t="str">
        <x:v>NA</x:v>
      </x:c>
      <x:c r="L96" s="152"/>
      <x:c r="M96" s="152"/>
      <x:c r="N96" s="152"/>
      <x:c r="O96" s="152"/>
    </x:row>
    <x:row r="97">
      <x:c r="A97" s="50" t="str">
        <x:v>Largest Customer Concentration</x:v>
      </x:c>
      <x:c r="B97" s="50" t="str">
        <x:v>%</x:v>
      </x:c>
      <x:c r="C97" s="50" t="str">
        <x:v>Reported FY25</x:v>
      </x:c>
      <x:c r="D97" s="50" t="str">
        <x:v>NA</x:v>
      </x:c>
      <x:c r="E97" s="50" t="str">
        <x:v>NA</x:v>
      </x:c>
      <x:c r="F97" s="92" t="n">
        <x:v>0.2422</x:v>
      </x:c>
      <x:c r="G97" s="50" t="str">
        <x:v>NA</x:v>
      </x:c>
      <x:c r="H97" s="50" t="str">
        <x:v>NA</x:v>
      </x:c>
      <x:c r="I97" s="50" t="str">
        <x:v>NA</x:v>
      </x:c>
      <x:c r="J97" s="50" t="str">
        <x:v>NA</x:v>
      </x:c>
      <x:c r="K97" s="50" t="str">
        <x:v>NA</x:v>
      </x:c>
      <x:c r="L97" s="152"/>
      <x:c r="M97" s="152"/>
      <x:c r="N97" s="152"/>
      <x:c r="O97" s="152"/>
    </x:row>
    <x:row r="98">
      <x:c r="A98" s="50" t="str">
        <x:v>Top-5 Customer Concentration</x:v>
      </x:c>
      <x:c r="B98" s="50" t="str">
        <x:v>%</x:v>
      </x:c>
      <x:c r="C98" s="50" t="str">
        <x:v>Reported FY25</x:v>
      </x:c>
      <x:c r="D98" s="50" t="str">
        <x:v>NA</x:v>
      </x:c>
      <x:c r="E98" s="50" t="str">
        <x:v>NA</x:v>
      </x:c>
      <x:c r="F98" s="92" t="n">
        <x:v>0.7092</x:v>
      </x:c>
      <x:c r="G98" s="50" t="str">
        <x:v>NA</x:v>
      </x:c>
      <x:c r="H98" s="50" t="str">
        <x:v>NA</x:v>
      </x:c>
      <x:c r="I98" s="50" t="str">
        <x:v>NA</x:v>
      </x:c>
      <x:c r="J98" s="50" t="str">
        <x:v>NA</x:v>
      </x:c>
      <x:c r="K98" s="50" t="str">
        <x:v>NA</x:v>
      </x:c>
      <x:c r="L98" s="152"/>
      <x:c r="M98" s="152"/>
      <x:c r="N98" s="152"/>
      <x:c r="O98" s="152"/>
    </x:row>
    <x:row r="99">
      <x:c r="A99" s="50" t="str">
        <x:v>Top-10 Customer Concentration</x:v>
      </x:c>
      <x:c r="B99" s="50" t="str">
        <x:v>%</x:v>
      </x:c>
      <x:c r="C99" s="50" t="str">
        <x:v>Reported FY25</x:v>
      </x:c>
      <x:c r="D99" s="50" t="str">
        <x:v>NA</x:v>
      </x:c>
      <x:c r="E99" s="50" t="str">
        <x:v>NA</x:v>
      </x:c>
      <x:c r="F99" s="92" t="n">
        <x:v>0.7733</x:v>
      </x:c>
      <x:c r="G99" s="50" t="str">
        <x:v>NA</x:v>
      </x:c>
      <x:c r="H99" s="50" t="str">
        <x:v>NA</x:v>
      </x:c>
      <x:c r="I99" s="50" t="str">
        <x:v>NA</x:v>
      </x:c>
      <x:c r="J99" s="50" t="str">
        <x:v>NA</x:v>
      </x:c>
      <x:c r="K99" s="50" t="str">
        <x:v>NA</x:v>
      </x:c>
      <x:c r="L99" s="152"/>
      <x:c r="M99" s="152"/>
      <x:c r="N99" s="152"/>
      <x:c r="O99" s="152"/>
    </x:row>
    <x:row r="100">
      <x:c r="A100" s="50" t="str">
        <x:v>Large Campaign Commentary</x:v>
      </x:c>
      <x:c r="B100" s="50" t="str">
        <x:v>Text</x:v>
      </x:c>
      <x:c r="C100" s="50" t="str">
        <x:v>Qualitative</x:v>
      </x:c>
      <x:c r="D100" s="66" t="str">
        <x:v>NA</x:v>
      </x:c>
      <x:c r="E100" s="66" t="str">
        <x:v>NA</x:v>
      </x:c>
      <x:c r="F100" s="66" t="str">
        <x:v>Commercial D&amp;M remained core</x:v>
      </x:c>
      <x:c r="G100" s="66" t="str">
        <x:v>Commercial product uptake strong</x:v>
      </x:c>
      <x:c r="H100" s="66" t="str">
        <x:v>14 commercial molecules after 4 conversions</x:v>
      </x:c>
      <x:c r="I100" s="66" t="str">
        <x:v>Shipment / campaign timing weighed on quarter</x:v>
      </x:c>
      <x:c r="J100" s="66" t="str">
        <x:v>Record Q4; commercial portfolio 14</x:v>
      </x:c>
      <x:c r="K100" s="66" t="str">
        <x:v>Delivery timing shifted to H2</x:v>
      </x:c>
      <x:c r="L100" s="152"/>
      <x:c r="M100" s="152"/>
      <x:c r="N100" s="152"/>
      <x:c r="O100" s="152"/>
    </x:row>
    <x:row r="101">
      <x:c r="A101" s="50" t="str">
        <x:v>Project / Shipment Timing Commentary</x:v>
      </x:c>
      <x:c r="B101" s="50" t="str">
        <x:v>Text</x:v>
      </x:c>
      <x:c r="C101" s="50" t="str">
        <x:v>Qualitative</x:v>
      </x:c>
      <x:c r="D101" s="66" t="str">
        <x:v>NA</x:v>
      </x:c>
      <x:c r="E101" s="66" t="str">
        <x:v>NA</x:v>
      </x:c>
      <x:c r="F101" s="66" t="str">
        <x:v>NA</x:v>
      </x:c>
      <x:c r="G101" s="66" t="str">
        <x:v>Quarterly lumpiness normal</x:v>
      </x:c>
      <x:c r="H101" s="66" t="str">
        <x:v>Momentum continued</x:v>
      </x:c>
      <x:c r="I101" s="66" t="str">
        <x:v>Timing + high base drove volatility</x:v>
      </x:c>
      <x:c r="J101" s="66" t="str">
        <x:v>Strong finish / record quarter</x:v>
      </x:c>
      <x:c r="K101" s="66" t="str">
        <x:v>Timing-led softness; Q1 seen as softest quarter</x:v>
      </x:c>
      <x:c r="L101" s="152"/>
      <x:c r="M101" s="152"/>
      <x:c r="N101" s="152"/>
      <x:c r="O101" s="152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</x:row>
    <x:row r="104" ht="20" customHeight="1">
      <x:c r="A104" s="146" t="str">
        <x:v>PIPELINE PROGRESSION – DOES THE FUNNEL SUPPORT THE MANUFACTURING BUILD?</x:v>
      </x:c>
      <x:c r="B104" s="146"/>
      <x:c r="C104" s="146"/>
      <x:c r="D104" s="146"/>
      <x:c r="E104" s="146"/>
      <x:c r="F104" s="146"/>
      <x:c r="G104" s="146"/>
      <x:c r="H104" s="146"/>
      <x:c r="I104" s="50"/>
      <x:c r="J104" s="50"/>
      <x:c r="K104" s="50"/>
      <x:c r="L104" s="50"/>
      <x:c r="M104" s="50"/>
      <x:c r="N104" s="50"/>
      <x:c r="O104" s="50"/>
    </x:row>
    <x:row r="105">
      <x:c r="A105" s="147" t="str">
        <x:v>Quarter</x:v>
      </x:c>
      <x:c r="B105" s="147" t="str">
        <x:v>Early Stage</x:v>
      </x:c>
      <x:c r="C105" s="147" t="str">
        <x:v>Late Phase</x:v>
      </x:c>
      <x:c r="D105" s="147" t="str">
        <x:v>Commercial</x:v>
      </x:c>
      <x:c r="E105" s="147" t="str">
        <x:v>Key Progressions</x:v>
      </x:c>
      <x:c r="F105" s="147" t="str">
        <x:v>Analyst Read-through</x:v>
      </x:c>
      <x:c r="G105" s="147" t="str">
        <x:v>Source / Period</x:v>
      </x:c>
      <x:c r="H105" s="147" t="str">
        <x:v>Confidence</x:v>
      </x:c>
      <x:c r="I105" s="50"/>
      <x:c r="J105" s="50"/>
      <x:c r="K105" s="50"/>
      <x:c r="L105" s="50"/>
      <x:c r="M105" s="50"/>
      <x:c r="N105" s="50"/>
      <x:c r="O105" s="50"/>
    </x:row>
    <x:row r="106">
      <x:c r="A106" s="50" t="str">
        <x:v>Q4 FY25</x:v>
      </x:c>
      <x:c r="B106" s="70" t="n">
        <x:v>145</x:v>
      </x:c>
      <x:c r="C106" s="70" t="n">
        <x:v>10</x:v>
      </x:c>
      <x:c r="D106" s="70" t="n">
        <x:v>10</x:v>
      </x:c>
      <x:c r="E106" s="50" t="str">
        <x:v>FY25 snapshot: 145 early-phase projects; 10 late-phase molecules; 10 commercial molecules.</x:v>
      </x:c>
      <x:c r="F106" s="50" t="str">
        <x:v>Large early-stage funnel, but concentration remains high.</x:v>
      </x:c>
      <x:c r="G106" s="50" t="str">
        <x:v>Prospectus FY25</x:v>
      </x:c>
      <x:c r="H106" s="50" t="str">
        <x:v>High</x:v>
      </x:c>
      <x:c r="I106" s="50"/>
      <x:c r="J106" s="50"/>
      <x:c r="K106" s="50"/>
      <x:c r="L106" s="50"/>
      <x:c r="M106" s="50"/>
      <x:c r="N106" s="50"/>
      <x:c r="O106" s="50"/>
    </x:row>
    <x:row r="107">
      <x:c r="A107" s="50" t="str">
        <x:v>Q1 FY26</x:v>
      </x:c>
      <x:c r="B107" s="70" t="str">
        <x:v>NA</x:v>
      </x:c>
      <x:c r="C107" s="70" t="n">
        <x:v>8</x:v>
      </x:c>
      <x:c r="D107" s="70" t="n">
        <x:v>12</x:v>
      </x:c>
      <x:c r="E107" s="50" t="str">
        <x:v>2 late-phase molecules moved commercial.</x:v>
      </x:c>
      <x:c r="F107" s="50" t="str">
        <x:v>Early evidence of funnel conversion.</x:v>
      </x:c>
      <x:c r="G107" s="50" t="str">
        <x:v>Q1 FY26 call</x:v>
      </x:c>
      <x:c r="H107" s="50" t="str">
        <x:v>High</x:v>
      </x:c>
      <x:c r="I107" s="50"/>
      <x:c r="J107" s="50"/>
      <x:c r="K107" s="50"/>
      <x:c r="L107" s="50"/>
      <x:c r="M107" s="50"/>
      <x:c r="N107" s="50"/>
      <x:c r="O107" s="50"/>
    </x:row>
    <x:row r="108">
      <x:c r="A108" s="50" t="str">
        <x:v>Q2 FY26</x:v>
      </x:c>
      <x:c r="B108" s="70" t="str">
        <x:v>NA</x:v>
      </x:c>
      <x:c r="C108" s="70" t="n">
        <x:v>6</x:v>
      </x:c>
      <x:c r="D108" s="70" t="n">
        <x:v>14</x:v>
      </x:c>
      <x:c r="E108" s="50" t="str">
        <x:v>4 total conversions from the IPO late-phase pool by H1.</x:v>
      </x:c>
      <x:c r="F108" s="50" t="str">
        <x:v>Commercial portfolio expanded 40% vs FY25.</x:v>
      </x:c>
      <x:c r="G108" s="50" t="str">
        <x:v>Q2 FY26 call</x:v>
      </x:c>
      <x:c r="H108" s="50" t="str">
        <x:v>High</x:v>
      </x:c>
      <x:c r="I108" s="50"/>
      <x:c r="J108" s="50"/>
      <x:c r="K108" s="50"/>
      <x:c r="L108" s="50"/>
      <x:c r="M108" s="50"/>
      <x:c r="N108" s="50"/>
      <x:c r="O108" s="50"/>
    </x:row>
    <x:row r="109">
      <x:c r="A109" s="50" t="str">
        <x:v>Q3 FY26</x:v>
      </x:c>
      <x:c r="B109" s="70" t="str">
        <x:v>NA</x:v>
      </x:c>
      <x:c r="C109" s="70" t="str">
        <x:v>NA</x:v>
      </x:c>
      <x:c r="D109" s="70" t="n">
        <x:v>14</x:v>
      </x:c>
      <x:c r="E109" s="50" t="str">
        <x:v>No new commercial additions disclosed.</x:v>
      </x:c>
      <x:c r="F109" s="50" t="str">
        <x:v>Quarter weak on timing/high base, not disclosed funnel deterioration.</x:v>
      </x:c>
      <x:c r="G109" s="50" t="str">
        <x:v>Q3 FY26 call</x:v>
      </x:c>
      <x:c r="H109" s="50" t="str">
        <x:v>Medium</x:v>
      </x:c>
      <x:c r="I109" s="50"/>
      <x:c r="J109" s="50"/>
      <x:c r="K109" s="50"/>
      <x:c r="L109" s="50"/>
      <x:c r="M109" s="50"/>
      <x:c r="N109" s="50"/>
      <x:c r="O109" s="50"/>
    </x:row>
    <x:row r="110">
      <x:c r="A110" s="50" t="str">
        <x:v>Q4 FY26</x:v>
      </x:c>
      <x:c r="B110" s="70" t="str">
        <x:v>100+</x:v>
      </x:c>
      <x:c r="C110" s="70" t="n">
        <x:v>10</x:v>
      </x:c>
      <x:c r="D110" s="70" t="n">
        <x:v>14</x:v>
      </x:c>
      <x:c r="E110" s="50" t="str">
        <x:v>Late-phase pipeline replenished to 10 after four commercialisations during FY26.</x:v>
      </x:c>
      <x:c r="F110" s="50" t="str">
        <x:v>Conversion + replenishment is constructive for future D&amp;M.</x:v>
      </x:c>
      <x:c r="G110" s="50" t="str">
        <x:v>FY26 call</x:v>
      </x:c>
      <x:c r="H110" s="50" t="str">
        <x:v>High</x:v>
      </x:c>
      <x:c r="I110" s="50"/>
      <x:c r="J110" s="50"/>
      <x:c r="K110" s="50"/>
      <x:c r="L110" s="50"/>
      <x:c r="M110" s="50"/>
      <x:c r="N110" s="50"/>
      <x:c r="O110" s="50"/>
    </x:row>
    <x:row r="111">
      <x:c r="A111" s="50" t="str">
        <x:v>Q1 FY27</x:v>
      </x:c>
      <x:c r="B111" s="70" t="str">
        <x:v>100+</x:v>
      </x:c>
      <x:c r="C111" s="70" t="n">
        <x:v>10</x:v>
      </x:c>
      <x:c r="D111" s="70" t="n">
        <x:v>14</x:v>
      </x:c>
      <x:c r="E111" s="50" t="str">
        <x:v>Pipeline count stable; no new commercial conversion disclosed.</x:v>
      </x:c>
      <x:c r="F111" s="50" t="str">
        <x:v>Key watch is whether 10 Phase III assets convert before Unit IV ramps.</x:v>
      </x:c>
      <x:c r="G111" s="50" t="str">
        <x:v>Q1 FY27 materials</x:v>
      </x:c>
      <x:c r="H111" s="50" t="str">
        <x:v>High</x:v>
      </x:c>
      <x:c r="I111" s="50"/>
      <x:c r="J111" s="50"/>
      <x:c r="K111" s="50"/>
      <x:c r="L111" s="50"/>
      <x:c r="M111" s="50"/>
      <x:c r="N111" s="50"/>
      <x:c r="O111" s="50"/>
    </x:row>
    <x:row r="112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</x:row>
    <x:row r="113" ht="20" customHeight="1">
      <x:c r="A113" s="146" t="str">
        <x:v>QUALITATIVE PROGRAMME / CAPABILITY WATCHLIST</x:v>
      </x:c>
      <x:c r="B113" s="146"/>
      <x:c r="C113" s="146"/>
      <x:c r="D113" s="146"/>
      <x:c r="E113" s="146"/>
      <x:c r="F113" s="146"/>
      <x:c r="G113" s="146"/>
      <x:c r="H113" s="146"/>
      <x:c r="I113" s="146"/>
      <x:c r="J113" s="50"/>
      <x:c r="K113" s="50"/>
      <x:c r="L113" s="50"/>
      <x:c r="M113" s="50"/>
      <x:c r="N113" s="50"/>
      <x:c r="O113" s="50"/>
    </x:row>
    <x:row r="114">
      <x:c r="A114" s="147" t="str">
        <x:v>Programme / Capability</x:v>
      </x:c>
      <x:c r="B114" s="147" t="str">
        <x:v>Stage</x:v>
      </x:c>
      <x:c r="C114" s="147" t="str">
        <x:v>Latest Commentary</x:v>
      </x:c>
      <x:c r="D114" s="147" t="str">
        <x:v>Customer / Molecule</x:v>
      </x:c>
      <x:c r="E114" s="147" t="str">
        <x:v>Commercialisation Potential</x:v>
      </x:c>
      <x:c r="F114" s="147" t="str">
        <x:v>Capacity Implication</x:v>
      </x:c>
      <x:c r="G114" s="147" t="str">
        <x:v>Confidence</x:v>
      </x:c>
      <x:c r="H114" s="147" t="str">
        <x:v>Evidence Rule</x:v>
      </x:c>
      <x:c r="I114" s="147" t="str">
        <x:v>Analyst Read-through</x:v>
      </x:c>
      <x:c r="J114" s="50"/>
      <x:c r="K114" s="50"/>
      <x:c r="L114" s="50"/>
      <x:c r="M114" s="50"/>
      <x:c r="N114" s="50"/>
      <x:c r="O114" s="50"/>
    </x:row>
    <x:row r="115">
      <x:c r="A115" s="50" t="str">
        <x:v>ADC linker programme</x:v>
      </x:c>
      <x:c r="B115" s="50" t="str">
        <x:v>Late-stage as of Mar-25</x:v>
      </x:c>
      <x:c r="C115" s="50" t="str">
        <x:v>Linker work initiated in 2016 and progressed to late-stage clinical development by Mar-25.</x:v>
      </x:c>
      <x:c r="D115" s="50" t="str">
        <x:v>Undisclosed</x:v>
      </x:c>
      <x:c r="E115" s="50" t="str">
        <x:v>Potentially meaningful if end-product succeeds</x:v>
      </x:c>
      <x:c r="F115" s="50" t="str">
        <x:v>Supports high-complexity chemistry / conjugation capabilities</x:v>
      </x:c>
      <x:c r="G115" s="50" t="str">
        <x:v>High</x:v>
      </x:c>
      <x:c r="H115" s="50" t="str">
        <x:v>Direct company annual report</x:v>
      </x:c>
      <x:c r="I115" s="50" t="str">
        <x:v>Track stage progression; do not infer customer.</x:v>
      </x:c>
      <x:c r="J115" s="50"/>
      <x:c r="K115" s="50"/>
      <x:c r="L115" s="50"/>
      <x:c r="M115" s="50"/>
      <x:c r="N115" s="50"/>
      <x:c r="O115" s="50"/>
    </x:row>
    <x:row r="116">
      <x:c r="A116" s="50" t="str">
        <x:v>RNAi glycolipid delivery programmes</x:v>
      </x:c>
      <x:c r="B116" s="50" t="str">
        <x:v>Platform / development</x:v>
      </x:c>
      <x:c r="C116" s="50" t="str">
        <x:v>Anthem has worked on glycolipid-based RNAi delivery since 2016.</x:v>
      </x:c>
      <x:c r="D116" s="50" t="str">
        <x:v>Undisclosed</x:v>
      </x:c>
      <x:c r="E116" s="50" t="str">
        <x:v>Portfolio optionality; no quantified revenue visibility</x:v>
      </x:c>
      <x:c r="F116" s="50" t="str">
        <x:v>Specialty chemistry / lipid synthesis; capability-led rather than kL-led</x:v>
      </x:c>
      <x:c r="G116" s="50" t="str">
        <x:v>High</x:v>
      </x:c>
      <x:c r="H116" s="50" t="str">
        <x:v>Direct company disclosure</x:v>
      </x:c>
      <x:c r="I116" s="50" t="str">
        <x:v>Useful capability signal, not a molecule forecast.</x:v>
      </x:c>
      <x:c r="J116" s="50"/>
      <x:c r="K116" s="50"/>
      <x:c r="L116" s="50"/>
      <x:c r="M116" s="50"/>
      <x:c r="N116" s="50"/>
      <x:c r="O116" s="50"/>
    </x:row>
    <x:row r="117">
      <x:c r="A117" s="50" t="str">
        <x:v>P29 peptide / fermentation programme</x:v>
      </x:c>
      <x:c r="B117" s="50" t="str">
        <x:v>Process capability</x:v>
      </x:c>
      <x:c r="C117" s="50" t="str">
        <x:v>Management described making the 29-aa P29 fermentation backbone plus downstream chain assembly, rather than buying P29.</x:v>
      </x:c>
      <x:c r="D117" s="50" t="str">
        <x:v>Semaglutide used as process example; customer relationships undisclosed</x:v>
      </x:c>
      <x:c r="E117" s="50" t="str">
        <x:v>Near-term GLP-1 + broader peptide optionality</x:v>
      </x:c>
      <x:c r="F117" s="50" t="str">
        <x:v>Requires large-scale fermentation plus peptide chemistry</x:v>
      </x:c>
      <x:c r="G117" s="50" t="str">
        <x:v>High</x:v>
      </x:c>
      <x:c r="H117" s="50" t="str">
        <x:v>Q2 FY26 earnings call</x:v>
      </x:c>
      <x:c r="I117" s="50" t="str">
        <x:v>Differentiates integration; economics depend on approvals, customer wins and scale.</x:v>
      </x:c>
      <x:c r="J117" s="50"/>
      <x:c r="K117" s="50"/>
      <x:c r="L117" s="50"/>
      <x:c r="M117" s="50"/>
      <x:c r="N117" s="50"/>
      <x:c r="O117" s="50"/>
    </x:row>
    <x:row r="118">
      <x:c r="A118" s="50" t="str">
        <x:v>Backward-integrated commercial intermediate</x:v>
      </x:c>
      <x:c r="B118" s="50" t="str">
        <x:v>Commercial / completed</x:v>
      </x:c>
      <x:c r="C118" s="50" t="str">
        <x:v>Backward integration completed; external intermediate sourcing eliminated; benefit visible in material margins.</x:v>
      </x:c>
      <x:c r="D118" s="50" t="str">
        <x:v>Underlying molecule undisclosed</x:v>
      </x:c>
      <x:c r="E118" s="50" t="str">
        <x:v>Margin / supply-chain improvement more than new revenue</x:v>
      </x:c>
      <x:c r="F118" s="50" t="str">
        <x:v>Internal process / chemistry capability</x:v>
      </x:c>
      <x:c r="G118" s="50" t="str">
        <x:v>High</x:v>
      </x:c>
      <x:c r="H118" s="50" t="str">
        <x:v>FY26 earnings calls</x:v>
      </x:c>
      <x:c r="I118" s="50" t="str">
        <x:v>Treat as margin support, not named-molecule revenue.</x:v>
      </x:c>
      <x:c r="J118" s="50"/>
      <x:c r="K118" s="50"/>
      <x:c r="L118" s="50"/>
      <x:c r="M118" s="50"/>
      <x:c r="N118" s="50"/>
      <x:c r="O118" s="50"/>
    </x:row>
    <x:row r="119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</x:row>
    <x:row r="120" ht="20" customHeight="1">
      <x:c r="A120" s="146" t="str">
        <x:v>CAPACITY MONITOR</x:v>
      </x:c>
      <x:c r="B120" s="146"/>
      <x:c r="C120" s="146"/>
      <x:c r="D120" s="146"/>
      <x:c r="E120" s="146"/>
      <x:c r="F120" s="146"/>
      <x:c r="G120" s="146"/>
      <x:c r="H120" s="146"/>
      <x:c r="I120" s="146"/>
      <x:c r="J120" s="146"/>
      <x:c r="K120" s="146"/>
      <x:c r="L120" s="146"/>
      <x:c r="M120" s="146"/>
      <x:c r="N120" s="146"/>
      <x:c r="O120" s="146"/>
    </x:row>
    <x:row r="121">
      <x:c r="A121" s="147" t="str">
        <x:v>Metric</x:v>
      </x:c>
      <x:c r="B121" s="147" t="str">
        <x:v>Units</x:v>
      </x:c>
      <x:c r="C121" s="147" t="str">
        <x:v>Classification</x:v>
      </x:c>
      <x:c r="D121" s="147" t="str">
        <x:v>Q2 FY25</x:v>
      </x:c>
      <x:c r="E121" s="147" t="str">
        <x:v>Q3 FY25</x:v>
      </x:c>
      <x:c r="F121" s="147" t="str">
        <x:v>Q4 FY25</x:v>
      </x:c>
      <x:c r="G121" s="147" t="str">
        <x:v>Q1 FY26</x:v>
      </x:c>
      <x:c r="H121" s="147" t="str">
        <x:v>Q2 FY26</x:v>
      </x:c>
      <x:c r="I121" s="147" t="str">
        <x:v>Q3 FY26</x:v>
      </x:c>
      <x:c r="J121" s="147" t="str">
        <x:v>Q4 FY26</x:v>
      </x:c>
      <x:c r="K121" s="147" t="str">
        <x:v>Q1 FY27</x:v>
      </x:c>
      <x:c r="L121" s="147" t="str">
        <x:v>Q2 FY27</x:v>
      </x:c>
      <x:c r="M121" s="147" t="str">
        <x:v>Q3 FY27</x:v>
      </x:c>
      <x:c r="N121" s="147" t="str">
        <x:v>Q4 FY27</x:v>
      </x:c>
      <x:c r="O121" s="147" t="str">
        <x:v>Q1 FY28</x:v>
      </x:c>
    </x:row>
    <x:row r="122">
      <x:c r="A122" s="50" t="str">
        <x:v>Custom Synthesis – Installed Capacity</x:v>
      </x:c>
      <x:c r="B122" s="50" t="str">
        <x:v>kL</x:v>
      </x:c>
      <x:c r="C122" s="50" t="str">
        <x:v>Reported / derived</x:v>
      </x:c>
      <x:c r="D122" s="50" t="str">
        <x:v>NA</x:v>
      </x:c>
      <x:c r="E122" s="50" t="str">
        <x:v>NA</x:v>
      </x:c>
      <x:c r="F122" s="72" t="n">
        <x:v>270</x:v>
      </x:c>
      <x:c r="G122" s="72" t="n">
        <x:v>324</x:v>
      </x:c>
      <x:c r="H122" s="50" t="str">
        <x:v>NA</x:v>
      </x:c>
      <x:c r="I122" s="72" t="n">
        <x:v>425</x:v>
      </x:c>
      <x:c r="J122" s="72" t="n">
        <x:v>425</x:v>
      </x:c>
      <x:c r="K122" s="72" t="n">
        <x:v>425</x:v>
      </x:c>
      <x:c r="L122" s="152"/>
      <x:c r="M122" s="152"/>
      <x:c r="N122" s="152"/>
      <x:c r="O122" s="152"/>
    </x:row>
    <x:row r="123">
      <x:c r="A123" s="50" t="str">
        <x:v>Custom Synthesis – Capacity Added</x:v>
      </x:c>
      <x:c r="B123" s="50" t="str">
        <x:v>kL</x:v>
      </x:c>
      <x:c r="C123" s="50" t="str">
        <x:v>Reported / derived</x:v>
      </x:c>
      <x:c r="D123" s="50" t="str">
        <x:v>NA</x:v>
      </x:c>
      <x:c r="E123" s="50" t="str">
        <x:v>NA</x:v>
      </x:c>
      <x:c r="F123" s="50" t="str">
        <x:v>NA</x:v>
      </x:c>
      <x:c r="G123" s="72" t="n">
        <x:v>54</x:v>
      </x:c>
      <x:c r="H123" s="50" t="str">
        <x:v>NA</x:v>
      </x:c>
      <x:c r="I123" s="72" t="n">
        <x:v>101</x:v>
      </x:c>
      <x:c r="J123" s="72" t="n">
        <x:v>0</x:v>
      </x:c>
      <x:c r="K123" s="72" t="n">
        <x:v>0</x:v>
      </x:c>
      <x:c r="L123" s="152"/>
      <x:c r="M123" s="152"/>
      <x:c r="N123" s="152"/>
      <x:c r="O123" s="152"/>
    </x:row>
    <x:row r="124">
      <x:c r="A124" s="50" t="str">
        <x:v>Custom Synthesis – Under Construction</x:v>
      </x:c>
      <x:c r="B124" s="50" t="str">
        <x:v>kL</x:v>
      </x:c>
      <x:c r="C124" s="50" t="str">
        <x:v>Reported / announced</x:v>
      </x:c>
      <x:c r="D124" s="50" t="str">
        <x:v>NA</x:v>
      </x:c>
      <x:c r="E124" s="50" t="str">
        <x:v>NA</x:v>
      </x:c>
      <x:c r="F124" s="72" t="n">
        <x:v>155</x:v>
      </x:c>
      <x:c r="G124" s="72" t="n">
        <x:v>101</x:v>
      </x:c>
      <x:c r="H124" s="50" t="str">
        <x:v>NA</x:v>
      </x:c>
      <x:c r="I124" s="72" t="n">
        <x:v>0</x:v>
      </x:c>
      <x:c r="J124" s="72" t="n">
        <x:v>365</x:v>
      </x:c>
      <x:c r="K124" s="72" t="n">
        <x:v>365</x:v>
      </x:c>
      <x:c r="L124" s="152"/>
      <x:c r="M124" s="152"/>
      <x:c r="N124" s="152"/>
      <x:c r="O124" s="152"/>
    </x:row>
    <x:row r="125">
      <x:c r="A125" s="50" t="str">
        <x:v>Custom Synthesis – Commissioned Capacity</x:v>
      </x:c>
      <x:c r="B125" s="50" t="str">
        <x:v>kL</x:v>
      </x:c>
      <x:c r="C125" s="50" t="str">
        <x:v>Reported / derived</x:v>
      </x:c>
      <x:c r="D125" s="50" t="str">
        <x:v>NA</x:v>
      </x:c>
      <x:c r="E125" s="50" t="str">
        <x:v>NA</x:v>
      </x:c>
      <x:c r="F125" s="72" t="n">
        <x:v>270</x:v>
      </x:c>
      <x:c r="G125" s="72" t="n">
        <x:v>324</x:v>
      </x:c>
      <x:c r="H125" s="50" t="str">
        <x:v>NA</x:v>
      </x:c>
      <x:c r="I125" s="72" t="n">
        <x:v>425</x:v>
      </x:c>
      <x:c r="J125" s="72" t="n">
        <x:v>425</x:v>
      </x:c>
      <x:c r="K125" s="72" t="n">
        <x:v>425</x:v>
      </x:c>
      <x:c r="L125" s="152"/>
      <x:c r="M125" s="152"/>
      <x:c r="N125" s="152"/>
      <x:c r="O125" s="152"/>
    </x:row>
    <x:row r="126">
      <x:c r="A126" s="50" t="str">
        <x:v>Custom Synthesis – Qualified Capacity</x:v>
      </x:c>
      <x:c r="B126" s="50" t="str">
        <x:v>kL</x:v>
      </x:c>
      <x:c r="C126" s="50" t="str">
        <x:v>Not Disclosed</x:v>
      </x:c>
      <x:c r="D126" s="50" t="str">
        <x:v>NA</x:v>
      </x:c>
      <x:c r="E126" s="50" t="str">
        <x:v>NA</x:v>
      </x:c>
      <x:c r="F126" s="50" t="str">
        <x:v>NA</x:v>
      </x:c>
      <x:c r="G126" s="50" t="str">
        <x:v>NA</x:v>
      </x:c>
      <x:c r="H126" s="50" t="str">
        <x:v>NA</x:v>
      </x:c>
      <x:c r="I126" s="50" t="str">
        <x:v>NA</x:v>
      </x:c>
      <x:c r="J126" s="50" t="str">
        <x:v>NA</x:v>
      </x:c>
      <x:c r="K126" s="50" t="str">
        <x:v>NA</x:v>
      </x:c>
      <x:c r="L126" s="152"/>
      <x:c r="M126" s="152"/>
      <x:c r="N126" s="152"/>
      <x:c r="O126" s="152"/>
    </x:row>
    <x:row r="127">
      <x:c r="A127" s="50" t="str">
        <x:v>Custom Synthesis – Utilisation Commentary</x:v>
      </x:c>
      <x:c r="B127" s="50" t="str">
        <x:v>Text</x:v>
      </x:c>
      <x:c r="C127" s="50" t="str">
        <x:v>Reported periodic</x:v>
      </x:c>
      <x:c r="D127" s="50" t="str">
        <x:v>NA</x:v>
      </x:c>
      <x:c r="E127" s="50" t="str">
        <x:v>NA</x:v>
      </x:c>
      <x:c r="F127" s="66" t="str">
        <x:v>FY25 ~78%</x:v>
      </x:c>
      <x:c r="G127" s="66" t="str">
        <x:v>54kL added; exact consolidated utilisation not disclosed</x:v>
      </x:c>
      <x:c r="H127" s="50" t="str">
        <x:v>NA</x:v>
      </x:c>
      <x:c r="I127" s="66" t="str">
        <x:v>Unit1 ~75%; active 300kL Unit2 ~75%; CP7 unused; Unit3 underutilised</x:v>
      </x:c>
      <x:c r="J127" s="66" t="str">
        <x:v>Management says capacity not constrained</x:v>
      </x:c>
      <x:c r="K127" s="66" t="str">
        <x:v>Management says capacity available; Q1 delivery timing-led</x:v>
      </x:c>
      <x:c r="L127" s="152"/>
      <x:c r="M127" s="152"/>
      <x:c r="N127" s="152"/>
      <x:c r="O127" s="152"/>
    </x:row>
    <x:row r="128">
      <x:c r="A128" s="50" t="str">
        <x:v>Fermentation – Installed / Operating Capacity</x:v>
      </x:c>
      <x:c r="B128" s="50" t="str">
        <x:v>kL</x:v>
      </x:c>
      <x:c r="C128" s="50" t="str">
        <x:v>Reported periodic</x:v>
      </x:c>
      <x:c r="D128" s="50" t="str">
        <x:v>NA</x:v>
      </x:c>
      <x:c r="E128" s="50" t="str">
        <x:v>NA</x:v>
      </x:c>
      <x:c r="F128" s="72" t="n">
        <x:v>142</x:v>
      </x:c>
      <x:c r="G128" s="72" t="n">
        <x:v>142</x:v>
      </x:c>
      <x:c r="H128" s="50" t="str">
        <x:v>NA</x:v>
      </x:c>
      <x:c r="I128" s="72" t="n">
        <x:v>140</x:v>
      </x:c>
      <x:c r="J128" s="72" t="n">
        <x:v>142</x:v>
      </x:c>
      <x:c r="K128" s="72" t="n">
        <x:v>142</x:v>
      </x:c>
      <x:c r="L128" s="152"/>
      <x:c r="M128" s="152"/>
      <x:c r="N128" s="152"/>
      <x:c r="O128" s="152"/>
    </x:row>
    <x:row r="129">
      <x:c r="A129" s="50" t="str">
        <x:v>Fermentation – Announced / Current Capacity</x:v>
      </x:c>
      <x:c r="B129" s="50" t="str">
        <x:v>kL</x:v>
      </x:c>
      <x:c r="C129" s="50" t="str">
        <x:v>Reported / definition-sensitive</x:v>
      </x:c>
      <x:c r="D129" s="50" t="str">
        <x:v>NA</x:v>
      </x:c>
      <x:c r="E129" s="50" t="str">
        <x:v>NA</x:v>
      </x:c>
      <x:c r="F129" s="72" t="n">
        <x:v>182</x:v>
      </x:c>
      <x:c r="G129" s="72" t="n">
        <x:v>182</x:v>
      </x:c>
      <x:c r="H129" s="50" t="str">
        <x:v>NA</x:v>
      </x:c>
      <x:c r="I129" s="72" t="n">
        <x:v>180</x:v>
      </x:c>
      <x:c r="J129" s="72" t="n">
        <x:v>180</x:v>
      </x:c>
      <x:c r="K129" s="72" t="n">
        <x:v>180</x:v>
      </x:c>
      <x:c r="L129" s="152"/>
      <x:c r="M129" s="152"/>
      <x:c r="N129" s="152"/>
      <x:c r="O129" s="152"/>
    </x:row>
    <x:row r="130">
      <x:c r="A130" s="50" t="str">
        <x:v>Fermentation – Capacity Added</x:v>
      </x:c>
      <x:c r="B130" s="50" t="str">
        <x:v>kL</x:v>
      </x:c>
      <x:c r="C130" s="50" t="str">
        <x:v>Reported / announced</x:v>
      </x:c>
      <x:c r="D130" s="50" t="str">
        <x:v>NA</x:v>
      </x:c>
      <x:c r="E130" s="50" t="str">
        <x:v>NA</x:v>
      </x:c>
      <x:c r="F130" s="50" t="str">
        <x:v>NA</x:v>
      </x:c>
      <x:c r="G130" s="72" t="n">
        <x:v>0</x:v>
      </x:c>
      <x:c r="H130" s="50" t="str">
        <x:v>NA</x:v>
      </x:c>
      <x:c r="I130" s="72" t="n">
        <x:v>0</x:v>
      </x:c>
      <x:c r="J130" s="72" t="n">
        <x:v>0</x:v>
      </x:c>
      <x:c r="K130" s="72" t="n">
        <x:v>0</x:v>
      </x:c>
      <x:c r="L130" s="152"/>
      <x:c r="M130" s="152"/>
      <x:c r="N130" s="152"/>
      <x:c r="O130" s="152"/>
    </x:row>
    <x:row r="131">
      <x:c r="A131" s="50" t="str">
        <x:v>Fermentation – Under Construction</x:v>
      </x:c>
      <x:c r="B131" s="50" t="str">
        <x:v>kL</x:v>
      </x:c>
      <x:c r="C131" s="50" t="str">
        <x:v>Reported / announced</x:v>
      </x:c>
      <x:c r="D131" s="50" t="str">
        <x:v>NA</x:v>
      </x:c>
      <x:c r="E131" s="50" t="str">
        <x:v>NA</x:v>
      </x:c>
      <x:c r="F131" s="72" t="n">
        <x:v>40</x:v>
      </x:c>
      <x:c r="G131" s="72" t="n">
        <x:v>40</x:v>
      </x:c>
      <x:c r="H131" s="50" t="str">
        <x:v>NA</x:v>
      </x:c>
      <x:c r="I131" s="72" t="n">
        <x:v>40</x:v>
      </x:c>
      <x:c r="J131" s="72" t="n">
        <x:v>0</x:v>
      </x:c>
      <x:c r="K131" s="72" t="n">
        <x:v>0</x:v>
      </x:c>
      <x:c r="L131" s="152"/>
      <x:c r="M131" s="152"/>
      <x:c r="N131" s="152"/>
      <x:c r="O131" s="152"/>
    </x:row>
    <x:row r="132">
      <x:c r="A132" s="50" t="str">
        <x:v>Fermentation – Qualified Capacity</x:v>
      </x:c>
      <x:c r="B132" s="50" t="str">
        <x:v>kL</x:v>
      </x:c>
      <x:c r="C132" s="50" t="str">
        <x:v>Not Disclosed</x:v>
      </x:c>
      <x:c r="D132" s="50" t="str">
        <x:v>NA</x:v>
      </x:c>
      <x:c r="E132" s="50" t="str">
        <x:v>NA</x:v>
      </x:c>
      <x:c r="F132" s="50" t="str">
        <x:v>NA</x:v>
      </x:c>
      <x:c r="G132" s="50" t="str">
        <x:v>NA</x:v>
      </x:c>
      <x:c r="H132" s="50" t="str">
        <x:v>NA</x:v>
      </x:c>
      <x:c r="I132" s="50" t="str">
        <x:v>NA</x:v>
      </x:c>
      <x:c r="J132" s="50" t="str">
        <x:v>NA</x:v>
      </x:c>
      <x:c r="K132" s="50" t="str">
        <x:v>NA</x:v>
      </x:c>
      <x:c r="L132" s="152"/>
      <x:c r="M132" s="152"/>
      <x:c r="N132" s="152"/>
      <x:c r="O132" s="152"/>
    </x:row>
    <x:row r="133">
      <x:c r="A133" s="50" t="str">
        <x:v>Fermentation – Utilisation Commentary</x:v>
      </x:c>
      <x:c r="B133" s="50" t="str">
        <x:v>Text</x:v>
      </x:c>
      <x:c r="C133" s="50" t="str">
        <x:v>Reported periodic</x:v>
      </x:c>
      <x:c r="D133" s="50" t="str">
        <x:v>NA</x:v>
      </x:c>
      <x:c r="E133" s="50" t="str">
        <x:v>NA</x:v>
      </x:c>
      <x:c r="F133" s="66" t="str">
        <x:v>FY25 ~48%</x:v>
      </x:c>
      <x:c r="G133" s="66" t="str">
        <x:v>142kL base; +40kL Unit III planned</x:v>
      </x:c>
      <x:c r="H133" s="66" t="str">
        <x:v>NA</x:v>
      </x:c>
      <x:c r="I133" s="66" t="str">
        <x:v>Existing ~140kL block at 46–47%; Unit III ferment not commissioned</x:v>
      </x:c>
      <x:c r="J133" s="66" t="str">
        <x:v>Unit III fully up by FY26 call; headline presentation still 142kL</x:v>
      </x:c>
      <x:c r="K133" s="66" t="str">
        <x:v>Headline Q1 presentation shows 142kL; management capex discussion references ~180kL current</x:v>
      </x:c>
      <x:c r="L133" s="152"/>
      <x:c r="M133" s="152"/>
      <x:c r="N133" s="152"/>
      <x:c r="O133" s="152"/>
    </x:row>
    <x:row r="134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</x:row>
    <x:row r="135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</x:row>
    <x:row r="136" ht="20" customHeight="1">
      <x:c r="A136" s="146" t="str">
        <x:v>UNIT IV MONITOR – CONSTRUCTION → QUALIFICATION → COMMERCIAL RAMP</x:v>
      </x:c>
      <x:c r="B136" s="146"/>
      <x:c r="C136" s="146"/>
      <x:c r="D136" s="146"/>
      <x:c r="E136" s="146"/>
      <x:c r="F136" s="146"/>
      <x:c r="G136" s="146"/>
      <x:c r="H136" s="146"/>
      <x:c r="I136" s="50"/>
      <x:c r="J136" s="50"/>
      <x:c r="K136" s="50"/>
      <x:c r="L136" s="50"/>
      <x:c r="M136" s="50"/>
      <x:c r="N136" s="50"/>
      <x:c r="O136" s="50"/>
    </x:row>
    <x:row r="137">
      <x:c r="A137" s="147" t="str">
        <x:v>Metric</x:v>
      </x:c>
      <x:c r="B137" s="147" t="str">
        <x:v>Units</x:v>
      </x:c>
      <x:c r="C137" s="147" t="str">
        <x:v>Current / Latest</x:v>
      </x:c>
      <x:c r="D137" s="147" t="str">
        <x:v>Previous / Anchor</x:v>
      </x:c>
      <x:c r="E137" s="147" t="str">
        <x:v>Change / Delay</x:v>
      </x:c>
      <x:c r="F137" s="147" t="str">
        <x:v>Classification</x:v>
      </x:c>
      <x:c r="G137" s="147" t="str">
        <x:v>Analyst Interpretation</x:v>
      </x:c>
      <x:c r="H137" s="147" t="str">
        <x:v>Source</x:v>
      </x:c>
      <x:c r="I137" s="50"/>
      <x:c r="J137" s="50"/>
      <x:c r="K137" s="50"/>
      <x:c r="L137" s="50"/>
      <x:c r="M137" s="50"/>
      <x:c r="N137" s="50"/>
      <x:c r="O137" s="50"/>
    </x:row>
    <x:row r="138">
      <x:c r="A138" s="50" t="str">
        <x:v>Total Phase 1 Capex</x:v>
      </x:c>
      <x:c r="B138" s="50" t="str">
        <x:v>INR mn</x:v>
      </x:c>
      <x:c r="C138" s="72" t="n">
        <x:v>12000</x:v>
      </x:c>
      <x:c r="D138" s="50" t="n">
        <x:v>12000</x:v>
      </x:c>
      <x:c r="E138" s="50" t="str">
        <x:v>-</x:v>
      </x:c>
      <x:c r="F138" s="50" t="str">
        <x:v>Reported</x:v>
      </x:c>
      <x:c r="G138" s="50" t="str">
        <x:v>Largest project; Phase 1 only.</x:v>
      </x:c>
      <x:c r="H138" s="50" t="str">
        <x:v>Q4 FY26 / Q1 FY27 calls</x:v>
      </x:c>
      <x:c r="I138" s="50"/>
      <x:c r="J138" s="50"/>
      <x:c r="K138" s="50"/>
      <x:c r="L138" s="50"/>
      <x:c r="M138" s="50"/>
      <x:c r="N138" s="50"/>
      <x:c r="O138" s="50"/>
    </x:row>
    <x:row r="139">
      <x:c r="A139" s="50" t="str">
        <x:v>FY27 Planned Spend</x:v>
      </x:c>
      <x:c r="B139" s="50" t="str">
        <x:v>INR mn</x:v>
      </x:c>
      <x:c r="C139" s="72" t="n">
        <x:v>7000</x:v>
      </x:c>
      <x:c r="D139" s="50" t="n">
        <x:v>7000</x:v>
      </x:c>
      <x:c r="E139" s="50" t="str">
        <x:v>-</x:v>
      </x:c>
      <x:c r="F139" s="50" t="str">
        <x:v>Reported</x:v>
      </x:c>
      <x:c r="G139" s="50" t="str">
        <x:v>Elevated capex in construction phase.</x:v>
      </x:c>
      <x:c r="H139" s="50" t="str">
        <x:v>Q1 FY27 call</x:v>
      </x:c>
      <x:c r="I139" s="50"/>
      <x:c r="J139" s="50"/>
      <x:c r="K139" s="50"/>
      <x:c r="L139" s="50"/>
      <x:c r="M139" s="50"/>
      <x:c r="N139" s="50"/>
      <x:c r="O139" s="50"/>
    </x:row>
    <x:row r="140">
      <x:c r="A140" s="50" t="str">
        <x:v>FY28 Planned Spend</x:v>
      </x:c>
      <x:c r="B140" s="50" t="str">
        <x:v>INR mn</x:v>
      </x:c>
      <x:c r="C140" s="72" t="n">
        <x:v>5000</x:v>
      </x:c>
      <x:c r="D140" s="50" t="n">
        <x:v>5000</x:v>
      </x:c>
      <x:c r="E140" s="50" t="str">
        <x:v>-</x:v>
      </x:c>
      <x:c r="F140" s="50" t="str">
        <x:v>Reported / rounded</x:v>
      </x:c>
      <x:c r="G140" s="50" t="str">
        <x:v>FY26 call said ~₹5bn; Q1FY27 call described roughly 50/50 split.</x:v>
      </x:c>
      <x:c r="H140" s="50" t="str">
        <x:v>FY26 / Q1 FY27 calls</x:v>
      </x:c>
      <x:c r="I140" s="50"/>
      <x:c r="J140" s="50"/>
      <x:c r="K140" s="50"/>
      <x:c r="L140" s="50"/>
      <x:c r="M140" s="50"/>
      <x:c r="N140" s="50"/>
      <x:c r="O140" s="50"/>
    </x:row>
    <x:row r="141">
      <x:c r="A141" s="50" t="str">
        <x:v>Spend to Date</x:v>
      </x:c>
      <x:c r="B141" s="50" t="str">
        <x:v>INR mn</x:v>
      </x:c>
      <x:c r="C141" s="50" t="str">
        <x:v>NA</x:v>
      </x:c>
      <x:c r="D141" s="50" t="str">
        <x:v>NA</x:v>
      </x:c>
      <x:c r="E141" s="50" t="str">
        <x:v>NA</x:v>
      </x:c>
      <x:c r="F141" s="50" t="str">
        <x:v>Not Disclosed</x:v>
      </x:c>
      <x:c r="G141" s="50" t="str">
        <x:v>Do not infer from total capex.</x:v>
      </x:c>
      <x:c r="H141" s="50" t="str">
        <x:v>Q1 FY27 call did not quantify</x:v>
      </x:c>
      <x:c r="I141" s="50"/>
      <x:c r="J141" s="50"/>
      <x:c r="K141" s="50"/>
      <x:c r="L141" s="50"/>
      <x:c r="M141" s="50"/>
      <x:c r="N141" s="50"/>
      <x:c r="O141" s="50"/>
    </x:row>
    <x:row r="142">
      <x:c r="A142" s="50" t="str">
        <x:v>Remaining Spend</x:v>
      </x:c>
      <x:c r="B142" s="50" t="str">
        <x:v>INR mn</x:v>
      </x:c>
      <x:c r="C142" s="50" t="str">
        <x:v>NA</x:v>
      </x:c>
      <x:c r="D142" s="50" t="str">
        <x:v>NA</x:v>
      </x:c>
      <x:c r="E142" s="50" t="str">
        <x:v>NA</x:v>
      </x:c>
      <x:c r="F142" s="50" t="str">
        <x:v>Not Disclosed</x:v>
      </x:c>
      <x:c r="G142" s="50" t="str">
        <x:v>Requires disclosed spend to date.</x:v>
      </x:c>
      <x:c r="H142" s="50" t="str">
        <x:v>NA</x:v>
      </x:c>
      <x:c r="I142" s="50"/>
      <x:c r="J142" s="50"/>
      <x:c r="K142" s="50"/>
      <x:c r="L142" s="50"/>
      <x:c r="M142" s="50"/>
      <x:c r="N142" s="50"/>
      <x:c r="O142" s="50"/>
    </x:row>
    <x:row r="143">
      <x:c r="A143" s="50" t="str">
        <x:v>Custom Synthesis Capacity Addition</x:v>
      </x:c>
      <x:c r="B143" s="50" t="str">
        <x:v>kL</x:v>
      </x:c>
      <x:c r="C143" s="72" t="n">
        <x:v>365</x:v>
      </x:c>
      <x:c r="D143" s="50" t="n">
        <x:v>365</x:v>
      </x:c>
      <x:c r="E143" s="50" t="str">
        <x:v>-</x:v>
      </x:c>
      <x:c r="F143" s="50" t="str">
        <x:v>Reported</x:v>
      </x:c>
      <x:c r="G143" s="50" t="str">
        <x:v>~86% addition to 425kL base.</x:v>
      </x:c>
      <x:c r="H143" s="50" t="str">
        <x:v>Company calls</x:v>
      </x:c>
      <x:c r="I143" s="50"/>
      <x:c r="J143" s="50"/>
      <x:c r="K143" s="50"/>
      <x:c r="L143" s="50"/>
      <x:c r="M143" s="50"/>
      <x:c r="N143" s="50"/>
      <x:c r="O143" s="50"/>
    </x:row>
    <x:row r="144">
      <x:c r="A144" s="50" t="str">
        <x:v>Fermentation Capacity Addition</x:v>
      </x:c>
      <x:c r="B144" s="50" t="str">
        <x:v>kL</x:v>
      </x:c>
      <x:c r="C144" s="72" t="n">
        <x:v>100</x:v>
      </x:c>
      <x:c r="D144" s="50" t="n">
        <x:v>100</x:v>
      </x:c>
      <x:c r="E144" s="50" t="str">
        <x:v>-</x:v>
      </x:c>
      <x:c r="F144" s="50" t="str">
        <x:v>Reported</x:v>
      </x:c>
      <x:c r="G144" s="50" t="str">
        <x:v>~56% addition vs ~180kL management base.</x:v>
      </x:c>
      <x:c r="H144" s="50" t="str">
        <x:v>Company calls</x:v>
      </x:c>
      <x:c r="I144" s="50"/>
      <x:c r="J144" s="50"/>
      <x:c r="K144" s="50"/>
      <x:c r="L144" s="50"/>
      <x:c r="M144" s="50"/>
      <x:c r="N144" s="50"/>
      <x:c r="O144" s="50"/>
    </x:row>
    <x:row r="145">
      <x:c r="A145" s="50" t="str">
        <x:v>Construction Status</x:v>
      </x:c>
      <x:c r="B145" s="50" t="str">
        <x:v>Text</x:v>
      </x:c>
      <x:c r="C145" s="50" t="str">
        <x:v>Civil work almost complete; equipment ordering begins</x:v>
      </x:c>
      <x:c r="D145" s="50" t="str">
        <x:v>Groundbreaking / construction</x:v>
      </x:c>
      <x:c r="E145" s="50" t="str">
        <x:v>Progressing</x:v>
      </x:c>
      <x:c r="F145" s="50" t="str">
        <x:v>Reported</x:v>
      </x:c>
      <x:c r="G145" s="50" t="str">
        <x:v>Construction appears on track.</x:v>
      </x:c>
      <x:c r="H145" s="50" t="str">
        <x:v>Q1 FY27 call</x:v>
      </x:c>
      <x:c r="I145" s="50"/>
      <x:c r="J145" s="50"/>
      <x:c r="K145" s="50"/>
      <x:c r="L145" s="50"/>
      <x:c r="M145" s="50"/>
      <x:c r="N145" s="50"/>
      <x:c r="O145" s="50"/>
    </x:row>
    <x:row r="146">
      <x:c r="A146" s="50" t="str">
        <x:v>Mechanical Completion</x:v>
      </x:c>
      <x:c r="B146" s="50" t="str">
        <x:v>Date / status</x:v>
      </x:c>
      <x:c r="C146" s="50" t="str">
        <x:v>NA</x:v>
      </x:c>
      <x:c r="D146" s="50" t="str">
        <x:v>NA</x:v>
      </x:c>
      <x:c r="E146" s="50" t="str">
        <x:v>NA</x:v>
      </x:c>
      <x:c r="F146" s="50" t="str">
        <x:v>Not Disclosed</x:v>
      </x:c>
      <x:c r="G146" s="50" t="str">
        <x:v>Key next disclosure.</x:v>
      </x:c>
      <x:c r="H146" s="50" t="str">
        <x:v>NA</x:v>
      </x:c>
      <x:c r="I146" s="50"/>
      <x:c r="J146" s="50"/>
      <x:c r="K146" s="50"/>
      <x:c r="L146" s="50"/>
      <x:c r="M146" s="50"/>
      <x:c r="N146" s="50"/>
      <x:c r="O146" s="50"/>
    </x:row>
    <x:row r="147">
      <x:c r="A147" s="50" t="str">
        <x:v>Commissioning</x:v>
      </x:c>
      <x:c r="B147" s="50" t="str">
        <x:v>Timing</x:v>
      </x:c>
      <x:c r="C147" s="50" t="str">
        <x:v>End FY28</x:v>
      </x:c>
      <x:c r="D147" s="50" t="str">
        <x:v>Late Mar-28 / FY28</x:v>
      </x:c>
      <x:c r="E147" s="50" t="str">
        <x:v>No material change</x:v>
      </x:c>
      <x:c r="F147" s="50" t="str">
        <x:v>Reported</x:v>
      </x:c>
      <x:c r="G147" s="50" t="str">
        <x:v>No revenue should be assumed before commissioning.</x:v>
      </x:c>
      <x:c r="H147" s="50" t="str">
        <x:v>FY26 / Q1 FY27 calls</x:v>
      </x:c>
      <x:c r="I147" s="50"/>
      <x:c r="J147" s="50"/>
      <x:c r="K147" s="50"/>
      <x:c r="L147" s="50"/>
      <x:c r="M147" s="50"/>
      <x:c r="N147" s="50"/>
      <x:c r="O147" s="50"/>
    </x:row>
    <x:row r="148">
      <x:c r="A148" s="50" t="str">
        <x:v>Qualification</x:v>
      </x:c>
      <x:c r="B148" s="50" t="str">
        <x:v>Timing</x:v>
      </x:c>
      <x:c r="C148" s="50" t="str">
        <x:v>Post-commissioning; not disclosed</x:v>
      </x:c>
      <x:c r="D148" s="50" t="str">
        <x:v>NA</x:v>
      </x:c>
      <x:c r="E148" s="50" t="str">
        <x:v>NA</x:v>
      </x:c>
      <x:c r="F148" s="50" t="str">
        <x:v>Analyst Framework</x:v>
      </x:c>
      <x:c r="G148" s="50" t="str">
        <x:v>Separate from physical completion.</x:v>
      </x:c>
      <x:c r="H148" s="50" t="str">
        <x:v>Analyst</x:v>
      </x:c>
      <x:c r="I148" s="50"/>
      <x:c r="J148" s="50"/>
      <x:c r="K148" s="50"/>
      <x:c r="L148" s="50"/>
      <x:c r="M148" s="50"/>
      <x:c r="N148" s="50"/>
      <x:c r="O148" s="50"/>
    </x:row>
    <x:row r="149">
      <x:c r="A149" s="50" t="str">
        <x:v>Customer Audit Status</x:v>
      </x:c>
      <x:c r="B149" s="50" t="str">
        <x:v>Status</x:v>
      </x:c>
      <x:c r="C149" s="50" t="str">
        <x:v>NA</x:v>
      </x:c>
      <x:c r="D149" s="50" t="str">
        <x:v>NA</x:v>
      </x:c>
      <x:c r="E149" s="50" t="str">
        <x:v>NA</x:v>
      </x:c>
      <x:c r="F149" s="50" t="str">
        <x:v>Not Disclosed</x:v>
      </x:c>
      <x:c r="G149" s="50" t="str">
        <x:v>Customer audits / validation are key monetisation gates.</x:v>
      </x:c>
      <x:c r="H149" s="50" t="str">
        <x:v>NA</x:v>
      </x:c>
      <x:c r="I149" s="50"/>
      <x:c r="J149" s="50"/>
      <x:c r="K149" s="50"/>
      <x:c r="L149" s="50"/>
      <x:c r="M149" s="50"/>
      <x:c r="N149" s="50"/>
      <x:c r="O149" s="50"/>
    </x:row>
    <x:row r="150">
      <x:c r="A150" s="50" t="str">
        <x:v>Expected Commercial Readiness</x:v>
      </x:c>
      <x:c r="B150" s="50" t="str">
        <x:v>Timing</x:v>
      </x:c>
      <x:c r="C150" s="50" t="str">
        <x:v>After commissioning + qualification</x:v>
      </x:c>
      <x:c r="D150" s="50" t="str">
        <x:v>NA</x:v>
      </x:c>
      <x:c r="E150" s="50" t="str">
        <x:v>NA</x:v>
      </x:c>
      <x:c r="F150" s="50" t="str">
        <x:v>Analyst Estimate</x:v>
      </x:c>
      <x:c r="G150" s="50" t="str">
        <x:v>Material D&amp;M contribution more defensible from FY29.</x:v>
      </x:c>
      <x:c r="H150" s="50" t="str">
        <x:v>Analyst</x:v>
      </x:c>
      <x:c r="I150" s="50"/>
      <x:c r="J150" s="50"/>
      <x:c r="K150" s="50"/>
      <x:c r="L150" s="50"/>
      <x:c r="M150" s="50"/>
      <x:c r="N150" s="50"/>
      <x:c r="O150" s="50"/>
    </x:row>
    <x:row r="151">
      <x:c r="A151" s="50" t="str">
        <x:v>Expected Initial Revenue Contribution</x:v>
      </x:c>
      <x:c r="B151" s="50" t="str">
        <x:v>Timing</x:v>
      </x:c>
      <x:c r="C151" s="50" t="str">
        <x:v>FY29E – analyst cross-check</x:v>
      </x:c>
      <x:c r="D151" s="50" t="str">
        <x:v>NA</x:v>
      </x:c>
      <x:c r="E151" s="50" t="str">
        <x:v>NA</x:v>
      </x:c>
      <x:c r="F151" s="50" t="str">
        <x:v>Analyst Estimate</x:v>
      </x:c>
      <x:c r="G151" s="50" t="str">
        <x:v>No material FY27/FY28 Unit IV contribution assumed in cross-check.</x:v>
      </x:c>
      <x:c r="H151" s="50" t="str">
        <x:v>Analyst</x:v>
      </x:c>
      <x:c r="I151" s="50"/>
      <x:c r="J151" s="50"/>
      <x:c r="K151" s="50"/>
      <x:c r="L151" s="50"/>
      <x:c r="M151" s="50"/>
      <x:c r="N151" s="50"/>
      <x:c r="O151" s="50"/>
    </x:row>
    <x:row r="152">
      <x:c r="A152" s="50" t="str">
        <x:v>Expected Material Revenue Contribution</x:v>
      </x:c>
      <x:c r="B152" s="50" t="str">
        <x:v>Timing</x:v>
      </x:c>
      <x:c r="C152" s="50" t="str">
        <x:v>FY30–FY31E – analyst cross-check</x:v>
      </x:c>
      <x:c r="D152" s="50" t="str">
        <x:v>NA</x:v>
      </x:c>
      <x:c r="E152" s="50" t="str">
        <x:v>NA</x:v>
      </x:c>
      <x:c r="F152" s="50" t="str">
        <x:v>Analyst Estimate</x:v>
      </x:c>
      <x:c r="G152" s="50" t="str">
        <x:v>Depends on campaign transfer and utilisation.</x:v>
      </x:c>
      <x:c r="H152" s="50" t="str">
        <x:v>Analyst</x:v>
      </x:c>
      <x:c r="I152" s="50"/>
      <x:c r="J152" s="50"/>
      <x:c r="K152" s="50"/>
      <x:c r="L152" s="50"/>
      <x:c r="M152" s="50"/>
      <x:c r="N152" s="50"/>
      <x:c r="O152" s="50"/>
    </x:row>
    <x:row r="153">
      <x:c r="A153" s="50" t="str">
        <x:v>Current Management Timeline</x:v>
      </x:c>
      <x:c r="B153" s="50" t="str">
        <x:v>Timing</x:v>
      </x:c>
      <x:c r="C153" s="50" t="str">
        <x:v>End FY28</x:v>
      </x:c>
      <x:c r="D153" s="50" t="str">
        <x:v>End FY28</x:v>
      </x:c>
      <x:c r="E153" s="50" t="str">
        <x:v>-</x:v>
      </x:c>
      <x:c r="F153" s="50" t="str">
        <x:v>Reported</x:v>
      </x:c>
      <x:c r="G153" s="50" t="str">
        <x:v>On track.</x:v>
      </x:c>
      <x:c r="H153" s="50" t="str">
        <x:v>Q1 FY27 call</x:v>
      </x:c>
      <x:c r="I153" s="50"/>
      <x:c r="J153" s="50"/>
      <x:c r="K153" s="50"/>
      <x:c r="L153" s="50"/>
      <x:c r="M153" s="50"/>
      <x:c r="N153" s="50"/>
      <x:c r="O153" s="50"/>
    </x:row>
    <x:row r="154">
      <x:c r="A154" s="50" t="str">
        <x:v>Previous Management Timeline</x:v>
      </x:c>
      <x:c r="B154" s="50" t="str">
        <x:v>Timing</x:v>
      </x:c>
      <x:c r="C154" s="50" t="str">
        <x:v>Late Mar-28 / FY28</x:v>
      </x:c>
      <x:c r="D154" s="50" t="str">
        <x:v>Late Mar-28 / FY28</x:v>
      </x:c>
      <x:c r="E154" s="50" t="str">
        <x:v>-</x:v>
      </x:c>
      <x:c r="F154" s="50" t="str">
        <x:v>Reported</x:v>
      </x:c>
      <x:c r="G154" s="50" t="str">
        <x:v>No clear slippage disclosed.</x:v>
      </x:c>
      <x:c r="H154" s="50" t="str">
        <x:v>Q4 FY26 call</x:v>
      </x:c>
      <x:c r="I154" s="50"/>
      <x:c r="J154" s="50"/>
      <x:c r="K154" s="50"/>
      <x:c r="L154" s="50"/>
      <x:c r="M154" s="50"/>
      <x:c r="N154" s="50"/>
      <x:c r="O154" s="50"/>
    </x:row>
    <x:row r="155">
      <x:c r="A155" s="50" t="str">
        <x:v>Analyst Interpretation</x:v>
      </x:c>
      <x:c r="B155" s="50" t="str">
        <x:v>Text</x:v>
      </x:c>
      <x:c r="C155" s="50" t="str">
        <x:v>Construction phase; monetisation lag remains the core debate.</x:v>
      </x:c>
      <x:c r="D155" s="50" t="str">
        <x:v>NA</x:v>
      </x:c>
      <x:c r="E155" s="50" t="str">
        <x:v>NA</x:v>
      </x:c>
      <x:c r="F155" s="50" t="str">
        <x:v>Analyst View</x:v>
      </x:c>
      <x:c r="G155" s="50" t="str">
        <x:v>Existing assets can support near-term growth; Unit IV is primarily FY29+ optionality / requirement.</x:v>
      </x:c>
      <x:c r="H155" s="50" t="str">
        <x:v>Analyst</x:v>
      </x:c>
      <x:c r="I155" s="50"/>
      <x:c r="J155" s="50"/>
      <x:c r="K155" s="50"/>
      <x:c r="L155" s="50"/>
      <x:c r="M155" s="50"/>
      <x:c r="N155" s="50"/>
      <x:c r="O155" s="50"/>
    </x:row>
    <x:row r="156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</x:row>
    <x:row r="157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</x:row>
    <x:row r="158" ht="20" customHeight="1">
      <x:c r="A158" s="146" t="str">
        <x:v>WORKING CAPITAL / CASH – PERIODIC SNAPSHOTS ONLY</x:v>
      </x:c>
      <x:c r="B158" s="146"/>
      <x:c r="C158" s="146"/>
      <x:c r="D158" s="146"/>
      <x:c r="E158" s="146"/>
      <x:c r="F158" s="146"/>
      <x:c r="G158" s="146"/>
      <x:c r="H158" s="146"/>
      <x:c r="I158" s="50"/>
      <x:c r="J158" s="50"/>
      <x:c r="K158" s="50"/>
      <x:c r="L158" s="50"/>
      <x:c r="M158" s="50"/>
      <x:c r="N158" s="50"/>
      <x:c r="O158" s="50"/>
    </x:row>
    <x:row r="159">
      <x:c r="A159" s="147" t="str">
        <x:v>Metric</x:v>
      </x:c>
      <x:c r="B159" s="147" t="str">
        <x:v>Units</x:v>
      </x:c>
      <x:c r="C159" s="147" t="str">
        <x:v>FY25A</x:v>
      </x:c>
      <x:c r="D159" s="147" t="str">
        <x:v>FY26A</x:v>
      </x:c>
      <x:c r="E159" s="147" t="str">
        <x:v>Q1 FY27 / Latest</x:v>
      </x:c>
      <x:c r="F159" s="147" t="str">
        <x:v>Classification</x:v>
      </x:c>
      <x:c r="G159" s="147" t="str">
        <x:v>Analyst Read-through</x:v>
      </x:c>
      <x:c r="H159" s="147" t="str">
        <x:v>Source</x:v>
      </x:c>
      <x:c r="I159" s="50"/>
      <x:c r="J159" s="50"/>
      <x:c r="K159" s="50"/>
      <x:c r="L159" s="50"/>
      <x:c r="M159" s="50"/>
      <x:c r="N159" s="50"/>
      <x:c r="O159" s="50"/>
    </x:row>
    <x:row r="160">
      <x:c r="A160" s="50" t="str">
        <x:v>Trade Receivable Days</x:v>
      </x:c>
      <x:c r="B160" s="50" t="str">
        <x:v>days</x:v>
      </x:c>
      <x:c r="C160" s="72" t="n">
        <x:v>89.1</x:v>
      </x:c>
      <x:c r="D160" s="72" t="n">
        <x:v>101.5</x:v>
      </x:c>
      <x:c r="E160" s="50" t="str">
        <x:v>NA</x:v>
      </x:c>
      <x:c r="F160" s="50" t="str">
        <x:v>Reported / model historical</x:v>
      </x:c>
      <x:c r="G160" s="50" t="str">
        <x:v>Working capital can be lumpy with shipment timing.</x:v>
      </x:c>
      <x:c r="H160" s="50" t="str">
        <x:v>Model / annual accounts</x:v>
      </x:c>
      <x:c r="I160" s="50"/>
      <x:c r="J160" s="50"/>
      <x:c r="K160" s="50"/>
      <x:c r="L160" s="50"/>
      <x:c r="M160" s="50"/>
      <x:c r="N160" s="50"/>
      <x:c r="O160" s="50"/>
    </x:row>
    <x:row r="161">
      <x:c r="A161" s="50" t="str">
        <x:v>Inventory Days</x:v>
      </x:c>
      <x:c r="B161" s="50" t="str">
        <x:v>days</x:v>
      </x:c>
      <x:c r="C161" s="72" t="n">
        <x:v>166.9</x:v>
      </x:c>
      <x:c r="D161" s="72" t="n">
        <x:v>55.9</x:v>
      </x:c>
      <x:c r="E161" s="50" t="str">
        <x:v>NA</x:v>
      </x:c>
      <x:c r="F161" s="50" t="str">
        <x:v>Reported / model historical</x:v>
      </x:c>
      <x:c r="G161" s="50" t="str">
        <x:v>FY26 inventory normalization materially improved cash conversion.</x:v>
      </x:c>
      <x:c r="H161" s="50" t="str">
        <x:v>Model / annual accounts</x:v>
      </x:c>
      <x:c r="I161" s="50"/>
      <x:c r="J161" s="50"/>
      <x:c r="K161" s="50"/>
      <x:c r="L161" s="50"/>
      <x:c r="M161" s="50"/>
      <x:c r="N161" s="50"/>
      <x:c r="O161" s="50"/>
    </x:row>
    <x:row r="162">
      <x:c r="A162" s="50" t="str">
        <x:v>Trade Payable Days</x:v>
      </x:c>
      <x:c r="B162" s="50" t="str">
        <x:v>days</x:v>
      </x:c>
      <x:c r="C162" s="72" t="n">
        <x:v>48.4</x:v>
      </x:c>
      <x:c r="D162" s="72" t="n">
        <x:v>49.2</x:v>
      </x:c>
      <x:c r="E162" s="50" t="str">
        <x:v>NA</x:v>
      </x:c>
      <x:c r="F162" s="50" t="str">
        <x:v>Reported / model historical</x:v>
      </x:c>
      <x:c r="G162" s="50" t="str">
        <x:v>Broadly stable.</x:v>
      </x:c>
      <x:c r="H162" s="50" t="str">
        <x:v>Model / annual accounts</x:v>
      </x:c>
      <x:c r="I162" s="50"/>
      <x:c r="J162" s="50"/>
      <x:c r="K162" s="50"/>
      <x:c r="L162" s="50"/>
      <x:c r="M162" s="50"/>
      <x:c r="N162" s="50"/>
      <x:c r="O162" s="50"/>
    </x:row>
    <x:row r="163">
      <x:c r="A163" s="50" t="str">
        <x:v>Net Working Capital Days</x:v>
      </x:c>
      <x:c r="B163" s="50" t="str">
        <x:v>days</x:v>
      </x:c>
      <x:c r="C163" s="72" t="n">
        <x:v>222.15</x:v>
      </x:c>
      <x:c r="D163" s="50" t="str">
        <x:v>NA</x:v>
      </x:c>
      <x:c r="E163" s="50" t="str">
        <x:v>NA</x:v>
      </x:c>
      <x:c r="F163" s="50" t="str">
        <x:v>Reported FY25 only</x:v>
      </x:c>
      <x:c r="G163" s="50" t="str">
        <x:v>Do not interpolate quarterly.</x:v>
      </x:c>
      <x:c r="H163" s="50" t="str">
        <x:v>Prospectus</x:v>
      </x:c>
      <x:c r="I163" s="50"/>
      <x:c r="J163" s="50"/>
      <x:c r="K163" s="50"/>
      <x:c r="L163" s="50"/>
      <x:c r="M163" s="50"/>
      <x:c r="N163" s="50"/>
      <x:c r="O163" s="50"/>
    </x:row>
    <x:row r="164">
      <x:c r="A164" s="50" t="str">
        <x:v>Receivables</x:v>
      </x:c>
      <x:c r="B164" s="50" t="str">
        <x:v>INR mn</x:v>
      </x:c>
      <x:c r="C164" s="72" t="n">
        <x:v>4504</x:v>
      </x:c>
      <x:c r="D164" s="72" t="n">
        <x:v>5906</x:v>
      </x:c>
      <x:c r="E164" s="50" t="str">
        <x:v>NA</x:v>
      </x:c>
      <x:c r="F164" s="50" t="str">
        <x:v>Reported</x:v>
      </x:c>
      <x:c r="G164" s="50" t="str">
        <x:v>No quarterly interpolation.</x:v>
      </x:c>
      <x:c r="H164" s="50" t="str">
        <x:v>Annual / model</x:v>
      </x:c>
      <x:c r="I164" s="50"/>
      <x:c r="J164" s="50"/>
      <x:c r="K164" s="50"/>
      <x:c r="L164" s="50"/>
      <x:c r="M164" s="50"/>
      <x:c r="N164" s="50"/>
      <x:c r="O164" s="50"/>
    </x:row>
    <x:row r="165">
      <x:c r="A165" s="50" t="str">
        <x:v>Inventory</x:v>
      </x:c>
      <x:c r="B165" s="50" t="str">
        <x:v>INR mn</x:v>
      </x:c>
      <x:c r="C165" s="72" t="n">
        <x:v>3404</x:v>
      </x:c>
      <x:c r="D165" s="72" t="n">
        <x:v>1245</x:v>
      </x:c>
      <x:c r="E165" s="50" t="str">
        <x:v>NA</x:v>
      </x:c>
      <x:c r="F165" s="50" t="str">
        <x:v>Reported</x:v>
      </x:c>
      <x:c r="G165" s="50" t="str">
        <x:v>No quarterly interpolation.</x:v>
      </x:c>
      <x:c r="H165" s="50" t="str">
        <x:v>Annual / model</x:v>
      </x:c>
      <x:c r="I165" s="50"/>
      <x:c r="J165" s="50"/>
      <x:c r="K165" s="50"/>
      <x:c r="L165" s="50"/>
      <x:c r="M165" s="50"/>
      <x:c r="N165" s="50"/>
      <x:c r="O165" s="50"/>
    </x:row>
    <x:row r="166">
      <x:c r="A166" s="50" t="str">
        <x:v>Payables</x:v>
      </x:c>
      <x:c r="B166" s="50" t="str">
        <x:v>INR mn</x:v>
      </x:c>
      <x:c r="C166" s="72" t="n">
        <x:v>1101</x:v>
      </x:c>
      <x:c r="D166" s="72" t="n">
        <x:v>962</x:v>
      </x:c>
      <x:c r="E166" s="50" t="str">
        <x:v>NA</x:v>
      </x:c>
      <x:c r="F166" s="50" t="str">
        <x:v>Reported</x:v>
      </x:c>
      <x:c r="G166" s="50" t="str">
        <x:v>No quarterly interpolation.</x:v>
      </x:c>
      <x:c r="H166" s="50" t="str">
        <x:v>Annual / model</x:v>
      </x:c>
      <x:c r="I166" s="50"/>
      <x:c r="J166" s="50"/>
      <x:c r="K166" s="50"/>
      <x:c r="L166" s="50"/>
      <x:c r="M166" s="50"/>
      <x:c r="N166" s="50"/>
      <x:c r="O166" s="50"/>
    </x:row>
    <x:row r="167">
      <x:c r="A167" s="50" t="str">
        <x:v>CFO</x:v>
      </x:c>
      <x:c r="B167" s="50" t="str">
        <x:v>INR mn</x:v>
      </x:c>
      <x:c r="C167" s="72" t="n">
        <x:v>4183</x:v>
      </x:c>
      <x:c r="D167" s="72" t="n">
        <x:v>8445</x:v>
      </x:c>
      <x:c r="E167" s="50" t="str">
        <x:v>NA</x:v>
      </x:c>
      <x:c r="F167" s="50" t="str">
        <x:v>Reported annual</x:v>
      </x:c>
      <x:c r="G167" s="50" t="str">
        <x:v>Cash generation improved sharply in FY26.</x:v>
      </x:c>
      <x:c r="H167" s="50" t="str">
        <x:v>Model / annual</x:v>
      </x:c>
      <x:c r="I167" s="50"/>
      <x:c r="J167" s="50"/>
      <x:c r="K167" s="50"/>
      <x:c r="L167" s="50"/>
      <x:c r="M167" s="50"/>
      <x:c r="N167" s="50"/>
      <x:c r="O167" s="50"/>
    </x:row>
    <x:row r="168">
      <x:c r="A168" s="50" t="str">
        <x:v>Capex</x:v>
      </x:c>
      <x:c r="B168" s="50" t="str">
        <x:v>INR mn</x:v>
      </x:c>
      <x:c r="C168" s="72" t="n">
        <x:v>2667</x:v>
      </x:c>
      <x:c r="D168" s="72" t="n">
        <x:v>2112</x:v>
      </x:c>
      <x:c r="E168" s="50" t="str">
        <x:v>NA</x:v>
      </x:c>
      <x:c r="F168" s="50" t="str">
        <x:v>Reported annual / latest NA</x:v>
      </x:c>
      <x:c r="G168" s="50" t="str">
        <x:v>FY27 step-up guided to ~₹7bn.</x:v>
      </x:c>
      <x:c r="H168" s="50" t="str">
        <x:v>Model / calls</x:v>
      </x:c>
      <x:c r="I168" s="50"/>
      <x:c r="J168" s="50"/>
      <x:c r="K168" s="50"/>
      <x:c r="L168" s="50"/>
      <x:c r="M168" s="50"/>
      <x:c r="N168" s="50"/>
      <x:c r="O168" s="50"/>
    </x:row>
    <x:row r="169">
      <x:c r="A169" s="50" t="str">
        <x:v>FCF</x:v>
      </x:c>
      <x:c r="B169" s="50" t="str">
        <x:v>INR mn</x:v>
      </x:c>
      <x:c r="C169" s="72" t="n">
        <x:v>1516</x:v>
      </x:c>
      <x:c r="D169" s="72" t="n">
        <x:v>6333</x:v>
      </x:c>
      <x:c r="E169" s="50" t="str">
        <x:v>NA</x:v>
      </x:c>
      <x:c r="F169" s="50" t="str">
        <x:v>Derived annual</x:v>
      </x:c>
      <x:c r="G169" s="50" t="str">
        <x:v>Will compress during Unit IV build.</x:v>
      </x:c>
      <x:c r="H169" s="50" t="str">
        <x:v>Derived</x:v>
      </x:c>
      <x:c r="I169" s="50"/>
      <x:c r="J169" s="50"/>
      <x:c r="K169" s="50"/>
      <x:c r="L169" s="50"/>
      <x:c r="M169" s="50"/>
      <x:c r="N169" s="50"/>
      <x:c r="O169" s="50"/>
    </x:row>
    <x:row r="170">
      <x:c r="A170" s="50" t="str">
        <x:v>Cash</x:v>
      </x:c>
      <x:c r="B170" s="50" t="str">
        <x:v>INR mn</x:v>
      </x:c>
      <x:c r="C170" s="72" t="n">
        <x:v>3170</x:v>
      </x:c>
      <x:c r="D170" s="72" t="n">
        <x:v>2749</x:v>
      </x:c>
      <x:c r="E170" s="50" t="str">
        <x:v>NA</x:v>
      </x:c>
      <x:c r="F170" s="50" t="str">
        <x:v>Reported annual</x:v>
      </x:c>
      <x:c r="G170" s="50" t="str">
        <x:v>Quarterly components not disclosed.</x:v>
      </x:c>
      <x:c r="H170" s="50" t="str">
        <x:v>Annual / model</x:v>
      </x:c>
      <x:c r="I170" s="50"/>
      <x:c r="J170" s="50"/>
      <x:c r="K170" s="50"/>
      <x:c r="L170" s="50"/>
      <x:c r="M170" s="50"/>
      <x:c r="N170" s="50"/>
      <x:c r="O170" s="50"/>
    </x:row>
    <x:row r="171">
      <x:c r="A171" s="50" t="str">
        <x:v>Current Investments</x:v>
      </x:c>
      <x:c r="B171" s="50" t="str">
        <x:v>INR mn</x:v>
      </x:c>
      <x:c r="C171" s="72" t="n">
        <x:v>4161</x:v>
      </x:c>
      <x:c r="D171" s="72" t="n">
        <x:v>6656</x:v>
      </x:c>
      <x:c r="E171" s="50" t="str">
        <x:v>NA</x:v>
      </x:c>
      <x:c r="F171" s="50" t="str">
        <x:v>Reported annual</x:v>
      </x:c>
      <x:c r="G171" s="50" t="str">
        <x:v>Part of liquid financial assets.</x:v>
      </x:c>
      <x:c r="H171" s="50" t="str">
        <x:v>Annual / model</x:v>
      </x:c>
      <x:c r="I171" s="50"/>
      <x:c r="J171" s="50"/>
      <x:c r="K171" s="50"/>
      <x:c r="L171" s="50"/>
      <x:c r="M171" s="50"/>
      <x:c r="N171" s="50"/>
      <x:c r="O171" s="50"/>
    </x:row>
    <x:row r="172">
      <x:c r="A172" s="50" t="str">
        <x:v>Non-current Investments</x:v>
      </x:c>
      <x:c r="B172" s="50" t="str">
        <x:v>INR mn</x:v>
      </x:c>
      <x:c r="C172" s="72" t="n">
        <x:v>169</x:v>
      </x:c>
      <x:c r="D172" s="72" t="n">
        <x:v>3419</x:v>
      </x:c>
      <x:c r="E172" s="50" t="str">
        <x:v>NA</x:v>
      </x:c>
      <x:c r="F172" s="50" t="str">
        <x:v>Reported annual</x:v>
      </x:c>
      <x:c r="G172" s="50" t="str">
        <x:v>Assess cash-like status when calculating financial ROCE.</x:v>
      </x:c>
      <x:c r="H172" s="50" t="str">
        <x:v>Annual / model</x:v>
      </x:c>
      <x:c r="I172" s="50"/>
      <x:c r="J172" s="50"/>
      <x:c r="K172" s="50"/>
      <x:c r="L172" s="50"/>
      <x:c r="M172" s="50"/>
      <x:c r="N172" s="50"/>
      <x:c r="O172" s="50"/>
    </x:row>
    <x:row r="173">
      <x:c r="A173" s="50" t="str">
        <x:v>Gross Debt</x:v>
      </x:c>
      <x:c r="B173" s="50" t="str">
        <x:v>INR mn</x:v>
      </x:c>
      <x:c r="C173" s="72" t="n">
        <x:v>1090</x:v>
      </x:c>
      <x:c r="D173" s="72" t="n">
        <x:v>301</x:v>
      </x:c>
      <x:c r="E173" s="50" t="str">
        <x:v>NA</x:v>
      </x:c>
      <x:c r="F173" s="50" t="str">
        <x:v>Reported annual</x:v>
      </x:c>
      <x:c r="G173" s="50" t="str">
        <x:v>Low leverage; Unit IV funded largely from internal resources / liquidity.</x:v>
      </x:c>
      <x:c r="H173" s="50" t="str">
        <x:v>Annual / model</x:v>
      </x:c>
      <x:c r="I173" s="50"/>
      <x:c r="J173" s="50"/>
      <x:c r="K173" s="50"/>
      <x:c r="L173" s="50"/>
      <x:c r="M173" s="50"/>
      <x:c r="N173" s="50"/>
      <x:c r="O173" s="50"/>
    </x:row>
    <x:row r="174">
      <x:c r="A174" s="50" t="str">
        <x:v>Net Cash</x:v>
      </x:c>
      <x:c r="B174" s="50" t="str">
        <x:v>INR mn</x:v>
      </x:c>
      <x:c r="C174" s="72" t="n">
        <x:v>6242</x:v>
      </x:c>
      <x:c r="D174" s="72" t="n">
        <x:v>13743</x:v>
      </x:c>
      <x:c r="E174" s="72" t="n">
        <x:v>17197</x:v>
      </x:c>
      <x:c r="F174" s="50" t="str">
        <x:v>Reported</x:v>
      </x:c>
      <x:c r="G174" s="50" t="str">
        <x:v>Significant liquidity; IPO was OFS and did not inject company cash.</x:v>
      </x:c>
      <x:c r="H174" s="50" t="str">
        <x:v>Company materials</x:v>
      </x:c>
      <x:c r="I174" s="50"/>
      <x:c r="J174" s="50"/>
      <x:c r="K174" s="50"/>
      <x:c r="L174" s="50"/>
      <x:c r="M174" s="50"/>
      <x:c r="N174" s="50"/>
      <x:c r="O174" s="50"/>
    </x:row>
    <x:row r="175">
      <x:c r="A175" s="50" t="str">
        <x:v>IPO Cash Treatment</x:v>
      </x:c>
      <x:c r="B175" s="50" t="str">
        <x:v>Text</x:v>
      </x:c>
      <x:c r="C175" s="50" t="str">
        <x:v>Pure OFS</x:v>
      </x:c>
      <x:c r="D175" s="50" t="str">
        <x:v>Pure OFS</x:v>
      </x:c>
      <x:c r="E175" s="50" t="str">
        <x:v>Pure OFS</x:v>
      </x:c>
      <x:c r="F175" s="50" t="str">
        <x:v>Reported</x:v>
      </x:c>
      <x:c r="G175" s="50" t="str">
        <x:v>Do NOT include IPO proceeds as company cash.</x:v>
      </x:c>
      <x:c r="H175" s="50" t="str">
        <x:v>Prospectus</x:v>
      </x:c>
      <x:c r="I175" s="50"/>
      <x:c r="J175" s="50"/>
      <x:c r="K175" s="50"/>
      <x:c r="L175" s="50"/>
      <x:c r="M175" s="50"/>
      <x:c r="N175" s="50"/>
      <x:c r="O175" s="50"/>
    </x:row>
    <x:row r="176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</x:row>
    <x:row r="177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</x:row>
    <x:row r="178" ht="20" customHeight="1">
      <x:c r="A178" s="146" t="str">
        <x:v>MANAGEMENT GUIDANCE / QUARTERLY TAKEAWAYS</x:v>
      </x:c>
      <x:c r="B178" s="146"/>
      <x:c r="C178" s="146"/>
      <x:c r="D178" s="146"/>
      <x:c r="E178" s="146"/>
      <x:c r="F178" s="146"/>
      <x:c r="G178" s="146"/>
      <x:c r="H178" s="146"/>
      <x:c r="I178" s="146"/>
      <x:c r="J178" s="50"/>
      <x:c r="K178" s="50"/>
      <x:c r="L178" s="50"/>
      <x:c r="M178" s="50"/>
      <x:c r="N178" s="50"/>
      <x:c r="O178" s="50"/>
    </x:row>
    <x:row r="179">
      <x:c r="A179" s="147" t="str">
        <x:v>Quarter</x:v>
      </x:c>
      <x:c r="B179" s="147" t="str">
        <x:v>CRDMO Commentary</x:v>
      </x:c>
      <x:c r="C179" s="147" t="str">
        <x:v>D&amp;M / Campaign Commentary</x:v>
      </x:c>
      <x:c r="D179" s="147" t="str">
        <x:v>Specialty Ingredients</x:v>
      </x:c>
      <x:c r="E179" s="147" t="str">
        <x:v>Margin</x:v>
      </x:c>
      <x:c r="F179" s="147" t="str">
        <x:v>Capex Guidance</x:v>
      </x:c>
      <x:c r="G179" s="147" t="str">
        <x:v>Unit IV</x:v>
      </x:c>
      <x:c r="H179" s="147" t="str">
        <x:v>Key Positive</x:v>
      </x:c>
      <x:c r="I179" s="147" t="str">
        <x:v>Key Concern</x:v>
      </x:c>
      <x:c r="J179" s="50"/>
      <x:c r="K179" s="50"/>
      <x:c r="L179" s="50"/>
      <x:c r="M179" s="50"/>
      <x:c r="N179" s="50"/>
      <x:c r="O179" s="50"/>
    </x:row>
    <x:row r="180">
      <x:c r="A180" s="50" t="str">
        <x:v>Q2 FY25</x:v>
      </x:c>
      <x:c r="B180" s="50" t="str">
        <x:v>NA</x:v>
      </x:c>
      <x:c r="C180" s="50" t="str">
        <x:v>NA</x:v>
      </x:c>
      <x:c r="D180" s="50" t="str">
        <x:v>NA</x:v>
      </x:c>
      <x:c r="E180" s="50" t="str">
        <x:v>NA</x:v>
      </x:c>
      <x:c r="F180" s="50" t="str">
        <x:v>NA</x:v>
      </x:c>
      <x:c r="G180" s="50" t="str">
        <x:v>NA</x:v>
      </x:c>
      <x:c r="H180" s="50" t="str">
        <x:v>Historical base quarter</x:v>
      </x:c>
      <x:c r="I180" s="50" t="str">
        <x:v>Limited public quarterly KPI disclosure pre-listing</x:v>
      </x:c>
      <x:c r="J180" s="50"/>
      <x:c r="K180" s="50"/>
      <x:c r="L180" s="50"/>
      <x:c r="M180" s="50"/>
      <x:c r="N180" s="50"/>
      <x:c r="O180" s="50"/>
    </x:row>
    <x:row r="181">
      <x:c r="A181" s="50" t="str">
        <x:v>Q3 FY25</x:v>
      </x:c>
      <x:c r="B181" s="50" t="str">
        <x:v>NA</x:v>
      </x:c>
      <x:c r="C181" s="50" t="str">
        <x:v>NA</x:v>
      </x:c>
      <x:c r="D181" s="50" t="str">
        <x:v>NA</x:v>
      </x:c>
      <x:c r="E181" s="50" t="str">
        <x:v>NA</x:v>
      </x:c>
      <x:c r="F181" s="50" t="str">
        <x:v>NA</x:v>
      </x:c>
      <x:c r="G181" s="50" t="str">
        <x:v>NA</x:v>
      </x:c>
      <x:c r="H181" s="50" t="str">
        <x:v>Historical base quarter</x:v>
      </x:c>
      <x:c r="I181" s="50" t="str">
        <x:v>Limited public quarterly KPI disclosure pre-listing</x:v>
      </x:c>
      <x:c r="J181" s="50"/>
      <x:c r="K181" s="50"/>
      <x:c r="L181" s="50"/>
      <x:c r="M181" s="50"/>
      <x:c r="N181" s="50"/>
      <x:c r="O181" s="50"/>
    </x:row>
    <x:row r="182">
      <x:c r="A182" s="50" t="str">
        <x:v>Q4 FY25</x:v>
      </x:c>
      <x:c r="B182" s="50" t="str">
        <x:v>Strong commercial D&amp;M base</x:v>
      </x:c>
      <x:c r="C182" s="50" t="str">
        <x:v>10 commercial / 10 late-phase snapshot</x:v>
      </x:c>
      <x:c r="D182" s="50" t="str">
        <x:v>Specialty flat YoY FY25</x:v>
      </x:c>
      <x:c r="E182" s="50" t="str">
        <x:v>FY25 EBITDA margin ~39% on company definition</x:v>
      </x:c>
      <x:c r="F182" s="50" t="str">
        <x:v>Expansion at Units II/III</x:v>
      </x:c>
      <x:c r="G182" s="50" t="str">
        <x:v>Unit IV not yet quantified</x:v>
      </x:c>
      <x:c r="H182" s="50" t="str">
        <x:v>Large pipeline / strong returns</x:v>
      </x:c>
      <x:c r="I182" s="50" t="str">
        <x:v>Customer concentration high</x:v>
      </x:c>
      <x:c r="J182" s="50"/>
      <x:c r="K182" s="50"/>
      <x:c r="L182" s="50"/>
      <x:c r="M182" s="50"/>
      <x:c r="N182" s="50"/>
      <x:c r="O182" s="50"/>
    </x:row>
    <x:row r="183">
      <x:c r="A183" s="50" t="str">
        <x:v>Q1 FY26</x:v>
      </x:c>
      <x:c r="B183" s="50" t="str">
        <x:v>Commercial products drove strong quarter; quarterly lumpiness emphasized</x:v>
      </x:c>
      <x:c r="C183" s="50" t="str">
        <x:v>2 products moved commercial; 12 commercial / 8 late phase</x:v>
      </x:c>
      <x:c r="D183" s="50" t="str">
        <x:v>Growth +19.7% YoY</x:v>
      </x:c>
      <x:c r="E183" s="50" t="str">
        <x:v>ESOP cost partly weighed margin</x:v>
      </x:c>
      <x:c r="F183" s="50" t="str">
        <x:v>Unit II/III expansions progressing</x:v>
      </x:c>
      <x:c r="G183" s="50" t="str">
        <x:v>Groundbreaking in Q1</x:v>
      </x:c>
      <x:c r="H183" s="50" t="str">
        <x:v>Commercial uptake strong</x:v>
      </x:c>
      <x:c r="I183" s="50" t="str">
        <x:v>Do not annualize exceptional quarter</x:v>
      </x:c>
      <x:c r="J183" s="50"/>
      <x:c r="K183" s="50"/>
      <x:c r="L183" s="50"/>
      <x:c r="M183" s="50"/>
      <x:c r="N183" s="50"/>
      <x:c r="O183" s="50"/>
    </x:row>
    <x:row r="184">
      <x:c r="A184" s="50" t="str">
        <x:v>Q2 FY26</x:v>
      </x:c>
      <x:c r="B184" s="50" t="str">
        <x:v>H1 momentum continued</x:v>
      </x:c>
      <x:c r="C184" s="50" t="str">
        <x:v>4 original late-phase molecules commercialised by H1; commercial count 14</x:v>
      </x:c>
      <x:c r="D184" s="50" t="str">
        <x:v>Down YoY in Q2</x:v>
      </x:c>
      <x:c r="E184" s="50" t="str">
        <x:v>EBITDA margin 44.5%</x:v>
      </x:c>
      <x:c r="F184" s="50" t="str">
        <x:v>Unit IV details emerging</x:v>
      </x:c>
      <x:c r="G184" s="50" t="str">
        <x:v>Pipeline supports new capacity rationale</x:v>
      </x:c>
      <x:c r="H184" s="50" t="str">
        <x:v>40% growth in commercial molecule count vs FY25</x:v>
      </x:c>
      <x:c r="I184" s="50" t="str">
        <x:v>Approval timing of remaining late-stage assets uncertain</x:v>
      </x:c>
      <x:c r="J184" s="50"/>
      <x:c r="K184" s="50"/>
      <x:c r="L184" s="50"/>
      <x:c r="M184" s="50"/>
      <x:c r="N184" s="50"/>
      <x:c r="O184" s="50"/>
    </x:row>
    <x:row r="185">
      <x:c r="A185" s="50" t="str">
        <x:v>Q3 FY26</x:v>
      </x:c>
      <x:c r="B185" s="50" t="str">
        <x:v>Quarter weakness timing / high-base driven; demand described as robust</x:v>
      </x:c>
      <x:c r="C185" s="50" t="str">
        <x:v>Shipment timing + base effect</x:v>
      </x:c>
      <x:c r="D185" s="50" t="str">
        <x:v>Positive YoY</x:v>
      </x:c>
      <x:c r="E185" s="50" t="str">
        <x:v>Margin expanded despite revenue decline</x:v>
      </x:c>
      <x:c r="F185" s="50" t="str">
        <x:v>Capacity sufficient near term</x:v>
      </x:c>
      <x:c r="G185" s="50" t="str">
        <x:v>Capacity build future-ready</x:v>
      </x:c>
      <x:c r="H185" s="50" t="str">
        <x:v>Profitability resilient</x:v>
      </x:c>
      <x:c r="I185" s="50" t="str">
        <x:v>Topline volatility / customer delivery timing</x:v>
      </x:c>
      <x:c r="J185" s="50"/>
      <x:c r="K185" s="50"/>
      <x:c r="L185" s="50"/>
      <x:c r="M185" s="50"/>
      <x:c r="N185" s="50"/>
      <x:c r="O185" s="50"/>
    </x:row>
    <x:row r="186">
      <x:c r="A186" s="50" t="str">
        <x:v>Q4 FY26</x:v>
      </x:c>
      <x:c r="B186" s="50" t="str">
        <x:v>CRDMO +31% YoY; FY26 +18%</x:v>
      </x:c>
      <x:c r="C186" s="50" t="str">
        <x:v>Commercial 14; late-stage replenished to 10; 100+ early programs</x:v>
      </x:c>
      <x:c r="D186" s="50" t="str">
        <x:v>FY26 ~17% mix</x:v>
      </x:c>
      <x:c r="E186" s="50" t="str">
        <x:v>FY26 EBITDA margin 43.4%</x:v>
      </x:c>
      <x:c r="F186" s="50" t="str">
        <x:v>FY27 ~₹7bn; FY28 ~₹5bn</x:v>
      </x:c>
      <x:c r="G186" s="50" t="str">
        <x:v>₹12bn Phase 1; ready by end FY28</x:v>
      </x:c>
      <x:c r="H186" s="50" t="str">
        <x:v>4 commercialisations + late-stage replenishment</x:v>
      </x:c>
      <x:c r="I186" s="50" t="str">
        <x:v>Capex rises before revenue monetisation</x:v>
      </x:c>
      <x:c r="J186" s="50"/>
      <x:c r="K186" s="50"/>
      <x:c r="L186" s="50"/>
      <x:c r="M186" s="50"/>
      <x:c r="N186" s="50"/>
      <x:c r="O186" s="50"/>
    </x:row>
    <x:row r="187">
      <x:c r="A187" s="50" t="str">
        <x:v>Q1 FY27</x:v>
      </x:c>
      <x:c r="B187" s="50" t="str">
        <x:v>Timing shifts to key customer deliveries; management says underlying demand strong</x:v>
      </x:c>
      <x:c r="C187" s="50" t="str">
        <x:v>Q1 seen as softest quarter; deliveries weighted to later year</x:v>
      </x:c>
      <x:c r="D187" s="50" t="str">
        <x:v>Soft; supply-chain/raw-material pressure but management expects growth</x:v>
      </x:c>
      <x:c r="E187" s="50" t="str">
        <x:v>39.6% despite muted revenue</x:v>
      </x:c>
      <x:c r="F187" s="50" t="str">
        <x:v>FY27 ~₹7bn</x:v>
      </x:c>
      <x:c r="G187" s="50" t="str">
        <x:v>Civil work nearly done; equipment orders starting; end-FY28 timeline</x:v>
      </x:c>
      <x:c r="H187" s="50" t="str">
        <x:v>Margins defend despite lower revenue</x:v>
      </x:c>
      <x:c r="I187" s="50" t="str">
        <x:v>Need evidence that H2 shipments and Unit IV demand materialise</x:v>
      </x:c>
      <x:c r="J187" s="50"/>
      <x:c r="K187" s="50"/>
      <x:c r="L187" s="50"/>
      <x:c r="M187" s="50"/>
      <x:c r="N187" s="50"/>
      <x:c r="O187" s="50"/>
    </x:row>
    <x:row r="188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</x:row>
    <x:row r="189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</x:row>
    <x:row r="190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</x:row>
  </x:sheetData>
  <x:mergeCells>
    <x:mergeCell ref="A1:O1"/>
    <x:mergeCell ref="A2:O2"/>
    <x:mergeCell ref="A4:O4"/>
    <x:mergeCell ref="A12:O12"/>
    <x:mergeCell ref="A22:O22"/>
    <x:mergeCell ref="A53:O53"/>
    <x:mergeCell ref="A67:O67"/>
    <x:mergeCell ref="A86:O86"/>
    <x:mergeCell ref="A104:H104"/>
    <x:mergeCell ref="A113:I113"/>
    <x:mergeCell ref="A120:O120"/>
    <x:mergeCell ref="A136:H136"/>
    <x:mergeCell ref="A158:H158"/>
    <x:mergeCell ref="A178:I178"/>
    <x:mergeCell ref="H13:O13"/>
    <x:mergeCell ref="H14:O14"/>
    <x:mergeCell ref="H15:O15"/>
    <x:mergeCell ref="H16:O16"/>
    <x:mergeCell ref="H17:O17"/>
    <x:mergeCell ref="H18:O18"/>
    <x:mergeCell ref="H19:O19"/>
  </x:mergeCells>
  <x:pageMargins left="0.7" right="0.7" top="0.75" bottom="0.75" header="0.3" footer="0.3"/>
  <x:legacyDrawing xmlns:r="http://schemas.openxmlformats.org/officeDocument/2006/relationships" r:id="Rdccb59732f1a411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14" hidden="0" customWidth="1"/>
    <x:col min="34" max="34" width="14" hidden="0" customWidth="1"/>
  </x:cols>
  <x:sheetData>
    <x:row r="1" ht="26" customHeight="1">
      <x:c r="A1" s="144" t="str">
        <x:v>Anthem Biosciences – Capex Monetisation &amp; Capital Productivity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  <x:c r="V1" s="118"/>
      <x:c r="W1" s="118"/>
      <x:c r="X1" s="118"/>
      <x:c r="Y1" s="118"/>
      <x:c r="Z1" s="118"/>
      <x:c r="AA1" s="118"/>
      <x:c r="AB1" s="118"/>
      <x:c r="AC1" s="118"/>
      <x:c r="AD1" s="118"/>
      <x:c r="AE1" s="118"/>
      <x:c r="AF1" s="118"/>
      <x:c r="AG1" s="118"/>
      <x:c r="AH1" s="118"/>
    </x:row>
    <x:row r="2">
      <x:c r="A2" s="190" t="str">
        <x:v>Core question: can Anthem convert Unit IV into high-return D&amp;M growth, or is capacity being built materially ahead of demand?</x:v>
      </x:c>
      <x:c r="B2" s="190"/>
      <x:c r="C2" s="190"/>
      <x:c r="D2" s="190"/>
      <x:c r="E2" s="190"/>
      <x:c r="F2" s="190"/>
      <x:c r="G2" s="190"/>
      <x:c r="H2" s="190"/>
      <x:c r="I2" s="190"/>
      <x:c r="J2" s="190"/>
      <x:c r="K2" s="190"/>
      <x:c r="L2" s="118"/>
      <x:c r="M2" s="118"/>
      <x:c r="N2" s="118"/>
      <x:c r="O2" s="118"/>
      <x:c r="P2" s="118"/>
      <x:c r="Q2" s="118"/>
      <x:c r="R2" s="118"/>
      <x:c r="S2" s="118"/>
      <x:c r="T2" s="118"/>
      <x:c r="U2" s="118"/>
      <x:c r="V2" s="118"/>
      <x:c r="W2" s="118"/>
      <x:c r="X2" s="118"/>
      <x:c r="Y2" s="118"/>
      <x:c r="Z2" s="118"/>
      <x:c r="AA2" s="118"/>
      <x:c r="AB2" s="118"/>
      <x:c r="AC2" s="118"/>
      <x:c r="AD2" s="118"/>
      <x:c r="AE2" s="118"/>
      <x:c r="AF2" s="118"/>
      <x:c r="AG2" s="118"/>
      <x:c r="AH2" s="118"/>
    </x:row>
    <x:row r="3">
      <x:c r="A3" s="118"/>
      <x:c r="B3" s="118"/>
      <x:c r="C3" s="118"/>
      <x:c r="D3" s="118"/>
      <x:c r="E3" s="118"/>
      <x:c r="F3" s="118"/>
      <x:c r="G3" s="118"/>
      <x:c r="H3" s="118"/>
      <x:c r="I3" s="118"/>
      <x:c r="J3" s="118"/>
      <x:c r="K3" s="118"/>
      <x:c r="L3" s="118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  <x:c r="Z3" s="118"/>
      <x:c r="AA3" s="118"/>
      <x:c r="AB3" s="118"/>
      <x:c r="AC3" s="118"/>
      <x:c r="AD3" s="118"/>
      <x:c r="AE3" s="118"/>
      <x:c r="AF3" s="118"/>
      <x:c r="AG3" s="118"/>
      <x:c r="AH3" s="118"/>
    </x:row>
    <x:row r="4" ht="20" customHeight="1">
      <x:c r="A4" s="146" t="str">
        <x:v>A. CAPITAL PRODUCTIVITY DASHBOARD</x:v>
      </x:c>
      <x:c r="B4" s="146"/>
      <x:c r="C4" s="146"/>
      <x:c r="D4" s="146"/>
      <x:c r="E4" s="146"/>
      <x:c r="F4" s="146"/>
      <x:c r="G4" s="146"/>
      <x:c r="H4" s="146"/>
      <x:c r="I4" s="146"/>
      <x:c r="J4" s="146"/>
      <x:c r="K4" s="146"/>
      <x:c r="L4" s="118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  <x:c r="Z4" s="118"/>
      <x:c r="AA4" s="118"/>
      <x:c r="AB4" s="118"/>
      <x:c r="AC4" s="118"/>
      <x:c r="AD4" s="118"/>
      <x:c r="AE4" s="118"/>
      <x:c r="AF4" s="118"/>
      <x:c r="AG4" s="118"/>
      <x:c r="AH4" s="118"/>
    </x:row>
    <x:row r="5">
      <x:c r="A5" s="147" t="str">
        <x:v>Metric</x:v>
      </x:c>
      <x:c r="B5" s="147" t="str">
        <x:v>Units</x:v>
      </x:c>
      <x:c r="C5" s="147" t="str">
        <x:v>Classification</x:v>
      </x:c>
      <x:c r="D5" s="147" t="str">
        <x:v>FY24A</x:v>
      </x:c>
      <x:c r="E5" s="147" t="str">
        <x:v>FY25A</x:v>
      </x:c>
      <x:c r="F5" s="147" t="str">
        <x:v>FY26A</x:v>
      </x:c>
      <x:c r="G5" s="147" t="str">
        <x:v>FY27E</x:v>
      </x:c>
      <x:c r="H5" s="147" t="str">
        <x:v>FY28E</x:v>
      </x:c>
      <x:c r="I5" s="147" t="str">
        <x:v>FY29E</x:v>
      </x:c>
      <x:c r="J5" s="147" t="str">
        <x:v>FY30E</x:v>
      </x:c>
      <x:c r="K5" s="147" t="str">
        <x:v>FY31E</x:v>
      </x:c>
      <x:c r="L5" s="118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  <x:c r="AA5" s="118"/>
      <x:c r="AB5" s="118"/>
      <x:c r="AC5" s="118"/>
      <x:c r="AD5" s="118"/>
      <x:c r="AE5" s="118"/>
      <x:c r="AF5" s="118"/>
      <x:c r="AG5" s="118"/>
      <x:c r="AH5" s="118"/>
    </x:row>
    <x:row r="6">
      <x:c r="A6" s="118" t="str">
        <x:v>Period Status</x:v>
      </x:c>
      <x:c r="B6" s="118" t="str"/>
      <x:c r="C6" s="118" t="str"/>
      <x:c r="D6" s="191" t="str">
        <x:v>A</x:v>
      </x:c>
      <x:c r="E6" s="191" t="str">
        <x:v>A</x:v>
      </x:c>
      <x:c r="F6" s="191" t="str">
        <x:v>A</x:v>
      </x:c>
      <x:c r="G6" s="191" t="str">
        <x:v>E</x:v>
      </x:c>
      <x:c r="H6" s="191" t="str">
        <x:v>E</x:v>
      </x:c>
      <x:c r="I6" s="191" t="str">
        <x:v>E</x:v>
      </x:c>
      <x:c r="J6" s="191" t="str">
        <x:v>E</x:v>
      </x:c>
      <x:c r="K6" s="191" t="str">
        <x:v>E</x:v>
      </x:c>
      <x:c r="L6" s="118"/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  <x:c r="Z6" s="118"/>
      <x:c r="AA6" s="118"/>
      <x:c r="AB6" s="118"/>
      <x:c r="AC6" s="118"/>
      <x:c r="AD6" s="118"/>
      <x:c r="AE6" s="118"/>
      <x:c r="AF6" s="118"/>
      <x:c r="AG6" s="118"/>
      <x:c r="AH6" s="118"/>
    </x:row>
    <x:row r="7">
      <x:c r="A7" s="118" t="str">
        <x:v>Revenue</x:v>
      </x:c>
      <x:c r="B7" s="118" t="str">
        <x:v>INR mn</x:v>
      </x:c>
      <x:c r="C7" s="118" t="str">
        <x:v>Reported / forecast</x:v>
      </x:c>
      <x:c r="D7" s="192" t="n">
        <x:v>14193.696</x:v>
      </x:c>
      <x:c r="E7" s="192" t="n">
        <x:v>18445.527</x:v>
      </x:c>
      <x:c r="F7" s="192" t="n">
        <x:v>21243.33</x:v>
      </x:c>
      <x:c r="G7" s="192" t="n">
        <x:v>24834.127433962265</x:v>
      </x:c>
      <x:c r="H7" s="192" t="n">
        <x:v>28972.018156408107</x:v>
      </x:c>
      <x:c r="I7" s="192" t="n">
        <x:v>33958.18405732732</x:v>
      </x:c>
      <x:c r="J7" s="192" t="n">
        <x:v>39103.32135192696</x:v>
      </x:c>
      <x:c r="K7" s="192" t="n">
        <x:v>44003.65494147529</x:v>
      </x:c>
      <x:c r="L7" s="118"/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  <x:c r="Z7" s="118"/>
      <x:c r="AA7" s="118"/>
      <x:c r="AB7" s="118"/>
      <x:c r="AC7" s="118"/>
      <x:c r="AD7" s="118"/>
      <x:c r="AE7" s="118"/>
      <x:c r="AF7" s="118"/>
      <x:c r="AG7" s="118"/>
      <x:c r="AH7" s="118"/>
    </x:row>
    <x:row r="8">
      <x:c r="A8" s="118" t="str">
        <x:v>Revenue Growth</x:v>
      </x:c>
      <x:c r="B8" s="118" t="str">
        <x:v>%</x:v>
      </x:c>
      <x:c r="C8" s="118" t="str">
        <x:v>Derived</x:v>
      </x:c>
      <x:c r="D8" s="193" t="str">
        <x:v>NA</x:v>
      </x:c>
      <x:c r="E8" s="194" t="n">
        <x:f>IFERROR(E7/D7-1,"")</x:f>
        <x:v>0.2995577050544127</x:v>
      </x:c>
      <x:c r="F8" s="194" t="n">
        <x:f>IFERROR(F7/E7-1,"")</x:f>
        <x:v>0.15167921198456424</x:v>
      </x:c>
      <x:c r="G8" s="194" t="n">
        <x:f>IFERROR(G7/F7-1,"")</x:f>
        <x:v>0.16903175886088784</x:v>
      </x:c>
      <x:c r="H8" s="194" t="n">
        <x:f>IFERROR(H7/G7-1,"")</x:f>
        <x:v>0.16662114396606542</x:v>
      </x:c>
      <x:c r="I8" s="194" t="n">
        <x:f>IFERROR(I7/H7-1,"")</x:f>
        <x:v>0.1721028156892952</x:v>
      </x:c>
      <x:c r="J8" s="194" t="n">
        <x:f>IFERROR(J7/I7-1,"")</x:f>
        <x:v>0.1515139115187596</x:v>
      </x:c>
      <x:c r="K8" s="194" t="n">
        <x:f>IFERROR(K7/J7-1,"")</x:f>
        <x:v>0.12531757968704738</x:v>
      </x:c>
      <x:c r="L8" s="118"/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  <x:c r="Z8" s="118"/>
      <x:c r="AA8" s="118"/>
      <x:c r="AB8" s="118"/>
      <x:c r="AC8" s="118"/>
      <x:c r="AD8" s="118"/>
      <x:c r="AE8" s="118"/>
      <x:c r="AF8" s="118"/>
      <x:c r="AG8" s="118"/>
      <x:c r="AH8" s="118"/>
    </x:row>
    <x:row r="9">
      <x:c r="A9" s="118" t="str">
        <x:v>CRDMO Revenue</x:v>
      </x:c>
      <x:c r="B9" s="118" t="str">
        <x:v>INR mn</x:v>
      </x:c>
      <x:c r="C9" s="118" t="str">
        <x:v>Reported / forecast</x:v>
      </x:c>
      <x:c r="D9" s="192" t="n">
        <x:v>10831.69</x:v>
      </x:c>
      <x:c r="E9" s="192" t="n">
        <x:v>15060.92</x:v>
      </x:c>
      <x:c r="F9" s="192" t="n">
        <x:v>17727.68</x:v>
      </x:c>
      <x:c r="G9" s="192" t="n">
        <x:v>21037.225433962263</x:v>
      </x:c>
      <x:c r="H9" s="192" t="n">
        <x:v>24833.394976408104</x:v>
      </x:c>
      <x:c r="I9" s="192" t="n">
        <x:v>29347.08479112732</x:v>
      </x:c>
      <x:c r="J9" s="192" t="n">
        <x:v>33981.33414443096</x:v>
      </x:c>
      <x:c r="K9" s="192" t="n">
        <x:v>38391.908757379606</x:v>
      </x:c>
      <x:c r="L9" s="118"/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  <x:c r="Z9" s="118"/>
      <x:c r="AA9" s="118"/>
      <x:c r="AB9" s="118"/>
      <x:c r="AC9" s="118"/>
      <x:c r="AD9" s="118"/>
      <x:c r="AE9" s="118"/>
      <x:c r="AF9" s="118"/>
      <x:c r="AG9" s="118"/>
      <x:c r="AH9" s="118"/>
    </x:row>
    <x:row r="10">
      <x:c r="A10" s="118" t="str">
        <x:v>CRDMO Mix</x:v>
      </x:c>
      <x:c r="B10" s="118" t="str">
        <x:v>%</x:v>
      </x:c>
      <x:c r="C10" s="118" t="str">
        <x:v>Derived</x:v>
      </x:c>
      <x:c r="D10" s="194" t="n">
        <x:f>IFERROR(D9/D7,"")</x:f>
        <x:v>0.7631338588624134</x:v>
      </x:c>
      <x:c r="E10" s="194" t="n">
        <x:f>IFERROR(E9/E7,"")</x:f>
        <x:v>0.81650798049847</x:v>
      </x:c>
      <x:c r="F10" s="194" t="n">
        <x:f>IFERROR(F9/F7,"")</x:f>
        <x:v>0.8345057013189551</x:v>
      </x:c>
      <x:c r="G10" s="194" t="n">
        <x:f>IFERROR(G9/G7,"")</x:f>
        <x:v>0.8471095064605534</x:v>
      </x:c>
      <x:c r="H10" s="194" t="n">
        <x:f>IFERROR(H9/H7,"")</x:f>
        <x:v>0.8571510221463599</x:v>
      </x:c>
      <x:c r="I10" s="194" t="n">
        <x:f>IFERROR(I9/I7,"")</x:f>
        <x:v>0.8642124308409523</x:v>
      </x:c>
      <x:c r="J10" s="194" t="n">
        <x:f>IFERROR(J9/J7,"")</x:f>
        <x:v>0.8690140113317102</x:v>
      </x:c>
      <x:c r="K10" s="194" t="n">
        <x:f>IFERROR(K9/K7,"")</x:f>
        <x:v>0.8724709074380461</x:v>
      </x:c>
      <x:c r="L10" s="118"/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  <x:c r="Z10" s="118"/>
      <x:c r="AA10" s="118"/>
      <x:c r="AB10" s="118"/>
      <x:c r="AC10" s="118"/>
      <x:c r="AD10" s="118"/>
      <x:c r="AE10" s="118"/>
      <x:c r="AF10" s="118"/>
      <x:c r="AG10" s="118"/>
      <x:c r="AH10" s="118"/>
    </x:row>
    <x:row r="11">
      <x:c r="A11" s="118" t="str">
        <x:v>R&amp;D Revenue</x:v>
      </x:c>
      <x:c r="B11" s="118" t="str">
        <x:v>INR mn</x:v>
      </x:c>
      <x:c r="C11" s="118" t="str">
        <x:v>Reported FY24-25 / FY26 model-derived / forecast</x:v>
      </x:c>
      <x:c r="D11" s="192" t="n">
        <x:v>1855.72</x:v>
      </x:c>
      <x:c r="E11" s="192" t="n">
        <x:v>2005.78</x:v>
      </x:c>
      <x:c r="F11" s="192" t="n">
        <x:v>2300</x:v>
      </x:c>
      <x:c r="G11" s="192" t="n">
        <x:v>2640.009433962264</x:v>
      </x:c>
      <x:c r="H11" s="192" t="n">
        <x:v>3038.147936408106</x:v>
      </x:c>
      <x:c r="I11" s="192" t="n">
        <x:v>3470.449283927324</x:v>
      </x:c>
      <x:c r="J11" s="192" t="n">
        <x:v>3937.3843800789655</x:v>
      </x:c>
      <x:c r="K11" s="192" t="n">
        <x:v>4417.481862178326</x:v>
      </x:c>
      <x:c r="L11" s="118"/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  <x:c r="Z11" s="118"/>
      <x:c r="AA11" s="118"/>
      <x:c r="AB11" s="118"/>
      <x:c r="AC11" s="118"/>
      <x:c r="AD11" s="118"/>
      <x:c r="AE11" s="118"/>
      <x:c r="AF11" s="118"/>
      <x:c r="AG11" s="118"/>
      <x:c r="AH11" s="118"/>
    </x:row>
    <x:row r="12">
      <x:c r="A12" s="118" t="str">
        <x:v>D&amp;M Revenue</x:v>
      </x:c>
      <x:c r="B12" s="118" t="str">
        <x:v>INR mn</x:v>
      </x:c>
      <x:c r="C12" s="118" t="str">
        <x:v>Reported FY24-25 / FY26 model-derived / forecast</x:v>
      </x:c>
      <x:c r="D12" s="192" t="n">
        <x:v>8975.97</x:v>
      </x:c>
      <x:c r="E12" s="192" t="n">
        <x:v>13055.14</x:v>
      </x:c>
      <x:c r="F12" s="192" t="n">
        <x:v>15427.68</x:v>
      </x:c>
      <x:c r="G12" s="192" t="n">
        <x:v>18397.216</x:v>
      </x:c>
      <x:c r="H12" s="192" t="n">
        <x:v>21795.24704</x:v>
      </x:c>
      <x:c r="I12" s="192" t="n">
        <x:v>25876.635507199997</x:v>
      </x:c>
      <x:c r="J12" s="192" t="n">
        <x:v>30043.949764351994</x:v>
      </x:c>
      <x:c r="K12" s="192" t="n">
        <x:v>33974.42689520128</x:v>
      </x:c>
      <x:c r="L12" s="118"/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  <x:c r="Z12" s="118"/>
      <x:c r="AA12" s="118"/>
      <x:c r="AB12" s="118"/>
      <x:c r="AC12" s="118"/>
      <x:c r="AD12" s="118"/>
      <x:c r="AE12" s="118"/>
      <x:c r="AF12" s="118"/>
      <x:c r="AG12" s="118"/>
      <x:c r="AH12" s="118"/>
    </x:row>
    <x:row r="13">
      <x:c r="A13" s="118" t="str">
        <x:v>Specialty Ingredients Revenue</x:v>
      </x:c>
      <x:c r="B13" s="118" t="str">
        <x:v>INR mn</x:v>
      </x:c>
      <x:c r="C13" s="118" t="str">
        <x:v>Reported / forecast</x:v>
      </x:c>
      <x:c r="D13" s="192" t="n">
        <x:v>3362.01</x:v>
      </x:c>
      <x:c r="E13" s="192" t="n">
        <x:v>3384.6</x:v>
      </x:c>
      <x:c r="F13" s="192" t="n">
        <x:v>3515.65</x:v>
      </x:c>
      <x:c r="G13" s="192" t="n">
        <x:v>3796.9020000000005</x:v>
      </x:c>
      <x:c r="H13" s="192" t="n">
        <x:v>4138.6231800000005</x:v>
      </x:c>
      <x:c r="I13" s="192" t="n">
        <x:v>4611.099266200001</x:v>
      </x:c>
      <x:c r="J13" s="192" t="n">
        <x:v>5121.987207496001</x:v>
      </x:c>
      <x:c r="K13" s="192" t="n">
        <x:v>5611.746184095682</x:v>
      </x:c>
      <x:c r="L13" s="118"/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  <x:c r="Z13" s="118"/>
      <x:c r="AA13" s="118"/>
      <x:c r="AB13" s="118"/>
      <x:c r="AC13" s="118"/>
      <x:c r="AD13" s="118"/>
      <x:c r="AE13" s="118"/>
      <x:c r="AF13" s="118"/>
      <x:c r="AG13" s="118"/>
      <x:c r="AH13" s="118"/>
    </x:row>
    <x:row r="14">
      <x:c r="A14" s="118" t="str">
        <x:v>EBITDA incl. other income</x:v>
      </x:c>
      <x:c r="B14" s="118" t="str">
        <x:v>INR mn</x:v>
      </x:c>
      <x:c r="C14" s="118" t="str">
        <x:v>Reported / forecast</x:v>
      </x:c>
      <x:c r="D14" s="192" t="n">
        <x:v>5686.778</x:v>
      </x:c>
      <x:c r="E14" s="192" t="n">
        <x:v>7565.68</x:v>
      </x:c>
      <x:c r="F14" s="192" t="n">
        <x:v>9895.95</x:v>
      </x:c>
      <x:c r="G14" s="192" t="n">
        <x:v>11163.541038377356</x:v>
      </x:c>
      <x:c r="H14" s="192" t="n">
        <x:v>13047.064826174454</x:v>
      </x:c>
      <x:c r="I14" s="192" t="n">
        <x:v>15522.831313965758</x:v>
      </x:c>
      <x:c r="J14" s="192" t="n">
        <x:v>18301.97125417261</x:v>
      </x:c>
      <x:c r="K14" s="192" t="n">
        <x:v>21101.56779229392</x:v>
      </x:c>
      <x:c r="L14" s="118"/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  <x:c r="Z14" s="118"/>
      <x:c r="AA14" s="118"/>
      <x:c r="AB14" s="118"/>
      <x:c r="AC14" s="118"/>
      <x:c r="AD14" s="118"/>
      <x:c r="AE14" s="118"/>
      <x:c r="AF14" s="118"/>
      <x:c r="AG14" s="118"/>
      <x:c r="AH14" s="118"/>
    </x:row>
    <x:row r="15">
      <x:c r="A15" s="118" t="str">
        <x:v>EBITDA Margin</x:v>
      </x:c>
      <x:c r="B15" s="118" t="str">
        <x:v>%</x:v>
      </x:c>
      <x:c r="C15" s="118" t="str">
        <x:v>Derived</x:v>
      </x:c>
      <x:c r="D15" s="194" t="n">
        <x:f>IFERROR(D14/D7,"")</x:f>
        <x:v>0.40065519227690943</x:v>
      </x:c>
      <x:c r="E15" s="194" t="n">
        <x:f>IFERROR(E14/E7,"")</x:f>
        <x:v>0.41016339625319465</x:v>
      </x:c>
      <x:c r="F15" s="194" t="n">
        <x:f>IFERROR(F14/F7,"")</x:f>
        <x:v>0.4658379830280846</x:v>
      </x:c>
      <x:c r="G15" s="194" t="n">
        <x:f>IFERROR(G14/G7,"")</x:f>
        <x:v>0.4495241907758956</x:v>
      </x:c>
      <x:c r="H15" s="194" t="n">
        <x:f>IFERROR(H14/H7,"")</x:f>
        <x:v>0.45033330973833696</x:v>
      </x:c>
      <x:c r="I15" s="194" t="n">
        <x:f>IFERROR(I14/I7,"")</x:f>
        <x:v>0.4571160603806293</x:v>
      </x:c>
      <x:c r="J15" s="194" t="n">
        <x:f>IFERROR(J14/J7,"")</x:f>
        <x:v>0.46804134844342865</x:v>
      </x:c>
      <x:c r="K15" s="194" t="n">
        <x:f>IFERROR(K14/K7,"")</x:f>
        <x:v>0.4795412522064118</x:v>
      </x:c>
      <x:c r="L15" s="118"/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  <x:c r="Z15" s="118"/>
      <x:c r="AA15" s="118"/>
      <x:c r="AB15" s="118"/>
      <x:c r="AC15" s="118"/>
      <x:c r="AD15" s="118"/>
      <x:c r="AE15" s="118"/>
      <x:c r="AF15" s="118"/>
      <x:c r="AG15" s="118"/>
      <x:c r="AH15" s="118"/>
    </x:row>
    <x:row r="16">
      <x:c r="A16" s="118" t="str">
        <x:v>EBIT</x:v>
      </x:c>
      <x:c r="B16" s="118" t="str">
        <x:v>INR mn</x:v>
      </x:c>
      <x:c r="C16" s="118" t="str">
        <x:v>Derived / forecast</x:v>
      </x:c>
      <x:c r="D16" s="192" t="n">
        <x:v>4868.536</x:v>
      </x:c>
      <x:c r="E16" s="192" t="n">
        <x:v>6671.967</x:v>
      </x:c>
      <x:c r="F16" s="192" t="n">
        <x:v>8555.25</x:v>
      </x:c>
      <x:c r="G16" s="192" t="n">
        <x:v>9709.186238377355</x:v>
      </x:c>
      <x:c r="H16" s="192" t="n">
        <x:v>10945.644154174453</x:v>
      </x:c>
      <x:c r="I16" s="192" t="n">
        <x:v>12717.827837485758</x:v>
      </x:c>
      <x:c r="J16" s="192" t="n">
        <x:v>15329.92024432941</x:v>
      </x:c>
      <x:c r="K16" s="192" t="n">
        <x:v>18155.55039060314</x:v>
      </x:c>
      <x:c r="L16" s="118"/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  <x:c r="Z16" s="118"/>
      <x:c r="AA16" s="118"/>
      <x:c r="AB16" s="118"/>
      <x:c r="AC16" s="118"/>
      <x:c r="AD16" s="118"/>
      <x:c r="AE16" s="118"/>
      <x:c r="AF16" s="118"/>
      <x:c r="AG16" s="118"/>
      <x:c r="AH16" s="118"/>
    </x:row>
    <x:row r="17">
      <x:c r="A17" s="118" t="str">
        <x:v>PAT</x:v>
      </x:c>
      <x:c r="B17" s="118" t="str">
        <x:v>INR mn</x:v>
      </x:c>
      <x:c r="C17" s="118" t="str">
        <x:v>Reported / forecast</x:v>
      </x:c>
      <x:c r="D17" s="192" t="n">
        <x:v>3673.102</x:v>
      </x:c>
      <x:c r="E17" s="192" t="n">
        <x:v>4512.593</x:v>
      </x:c>
      <x:c r="F17" s="192" t="n">
        <x:v>5917.93</x:v>
      </x:c>
      <x:c r="G17" s="192" t="n">
        <x:v>7175.897688399243</x:v>
      </x:c>
      <x:c r="H17" s="192" t="n">
        <x:v>8099.776674089095</x:v>
      </x:c>
      <x:c r="I17" s="192" t="n">
        <x:v>9449.346083251918</x:v>
      </x:c>
      <x:c r="J17" s="192" t="n">
        <x:v>11344.140980803764</x:v>
      </x:c>
      <x:c r="K17" s="192" t="n">
        <x:v>13435.107289046324</x:v>
      </x:c>
      <x:c r="L17" s="118"/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  <x:c r="Z17" s="118"/>
      <x:c r="AA17" s="118"/>
      <x:c r="AB17" s="118"/>
      <x:c r="AC17" s="118"/>
      <x:c r="AD17" s="118"/>
      <x:c r="AE17" s="118"/>
      <x:c r="AF17" s="118"/>
      <x:c r="AG17" s="118"/>
      <x:c r="AH17" s="118"/>
    </x:row>
    <x:row r="18">
      <x:c r="A18" s="118" t="str">
        <x:v>Operating Cash Flow</x:v>
      </x:c>
      <x:c r="B18" s="118" t="str">
        <x:v>INR mn</x:v>
      </x:c>
      <x:c r="C18" s="118" t="str">
        <x:v>Reported / forecast</x:v>
      </x:c>
      <x:c r="D18" s="192" t="n">
        <x:v>1401.507</x:v>
      </x:c>
      <x:c r="E18" s="192" t="n">
        <x:v>4183.365</x:v>
      </x:c>
      <x:c r="F18" s="192" t="n">
        <x:v>8444.55</x:v>
      </x:c>
      <x:c r="G18" s="192" t="n">
        <x:v>7439.12266883032</x:v>
      </x:c>
      <x:c r="H18" s="192" t="n">
        <x:v>8569.207664955638</x:v>
      </x:c>
      <x:c r="I18" s="192" t="n">
        <x:v>10394.916505516756</x:v>
      </x:c>
      <x:c r="J18" s="192" t="n">
        <x:v>11990.001238773428</x:v>
      </x:c>
      <x:c r="K18" s="192" t="n">
        <x:v>13696.480034391556</x:v>
      </x:c>
      <x:c r="L18" s="118"/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  <x:c r="Z18" s="118"/>
      <x:c r="AA18" s="118"/>
      <x:c r="AB18" s="118"/>
      <x:c r="AC18" s="118"/>
      <x:c r="AD18" s="118"/>
      <x:c r="AE18" s="118"/>
      <x:c r="AF18" s="118"/>
      <x:c r="AG18" s="118"/>
      <x:c r="AH18" s="118"/>
    </x:row>
    <x:row r="19">
      <x:c r="A19" s="118" t="str">
        <x:v>Free Cash Flow</x:v>
      </x:c>
      <x:c r="B19" s="118" t="str">
        <x:v>INR mn</x:v>
      </x:c>
      <x:c r="C19" s="118" t="str">
        <x:v>Derived</x:v>
      </x:c>
      <x:c r="D19" s="195" t="n">
        <x:f>D18-D20</x:f>
        <x:v>-1498.899</x:v>
      </x:c>
      <x:c r="E19" s="195" t="n">
        <x:f>E18-E20</x:f>
        <x:v>1516.2039999999997</x:v>
      </x:c>
      <x:c r="F19" s="195" t="n">
        <x:f>F18-F20</x:f>
        <x:v>6332.859999999999</x:v>
      </x:c>
      <x:c r="G19" s="195" t="n">
        <x:f>G18-G20</x:f>
        <x:v>439.12266883032044</x:v>
      </x:c>
      <x:c r="H19" s="195" t="n">
        <x:f>H18-H20</x:f>
        <x:v>3569.2076649556384</x:v>
      </x:c>
      <x:c r="I19" s="195" t="n">
        <x:f>I18-I20</x:f>
        <x:v>7894.916505516756</x:v>
      </x:c>
      <x:c r="J19" s="195" t="n">
        <x:f>J18-J20</x:f>
        <x:v>9790.001238773428</x:v>
      </x:c>
      <x:c r="K19" s="195" t="n">
        <x:f>K18-K20</x:f>
        <x:v>11276.279012610416</x:v>
      </x:c>
      <x:c r="L19" s="118"/>
      <x:c r="M19" s="118"/>
      <x:c r="N19" s="118"/>
      <x:c r="O19" s="118"/>
      <x:c r="P19" s="118"/>
      <x:c r="Q19" s="118"/>
      <x:c r="R19" s="118"/>
      <x:c r="S19" s="118"/>
      <x:c r="T19" s="118"/>
      <x:c r="U19" s="118"/>
      <x:c r="V19" s="118"/>
      <x:c r="W19" s="118"/>
      <x:c r="X19" s="118"/>
      <x:c r="Y19" s="118"/>
      <x:c r="Z19" s="118"/>
      <x:c r="AA19" s="118"/>
      <x:c r="AB19" s="118"/>
      <x:c r="AC19" s="118"/>
      <x:c r="AD19" s="118"/>
      <x:c r="AE19" s="118"/>
      <x:c r="AF19" s="118"/>
      <x:c r="AG19" s="118"/>
      <x:c r="AH19" s="118"/>
    </x:row>
    <x:row r="20">
      <x:c r="A20" s="118" t="str">
        <x:v>Capex</x:v>
      </x:c>
      <x:c r="B20" s="118" t="str">
        <x:v>INR mn</x:v>
      </x:c>
      <x:c r="C20" s="118" t="str">
        <x:v>Reported / forecast</x:v>
      </x:c>
      <x:c r="D20" s="192" t="n">
        <x:v>2900.406</x:v>
      </x:c>
      <x:c r="E20" s="192" t="n">
        <x:v>2667.161</x:v>
      </x:c>
      <x:c r="F20" s="192" t="n">
        <x:v>2111.69</x:v>
      </x:c>
      <x:c r="G20" s="192" t="n">
        <x:v>7000</x:v>
      </x:c>
      <x:c r="H20" s="192" t="n">
        <x:v>5000</x:v>
      </x:c>
      <x:c r="I20" s="192" t="n">
        <x:v>2500</x:v>
      </x:c>
      <x:c r="J20" s="192" t="n">
        <x:v>2200</x:v>
      </x:c>
      <x:c r="K20" s="192" t="n">
        <x:v>2420.2010217811408</x:v>
      </x:c>
      <x:c r="L20" s="118"/>
      <x:c r="M20" s="118"/>
      <x:c r="N20" s="118"/>
      <x:c r="O20" s="118"/>
      <x:c r="P20" s="118"/>
      <x:c r="Q20" s="118"/>
      <x:c r="R20" s="118"/>
      <x:c r="S20" s="118"/>
      <x:c r="T20" s="118"/>
      <x:c r="U20" s="118"/>
      <x:c r="V20" s="118"/>
      <x:c r="W20" s="118"/>
      <x:c r="X20" s="118"/>
      <x:c r="Y20" s="118"/>
      <x:c r="Z20" s="118"/>
      <x:c r="AA20" s="118"/>
      <x:c r="AB20" s="118"/>
      <x:c r="AC20" s="118"/>
      <x:c r="AD20" s="118"/>
      <x:c r="AE20" s="118"/>
      <x:c r="AF20" s="118"/>
      <x:c r="AG20" s="118"/>
      <x:c r="AH20" s="118"/>
    </x:row>
    <x:row r="21">
      <x:c r="A21" s="118" t="str">
        <x:v>Capex / Revenue</x:v>
      </x:c>
      <x:c r="B21" s="118" t="str">
        <x:v>%</x:v>
      </x:c>
      <x:c r="C21" s="118" t="str">
        <x:v>Derived</x:v>
      </x:c>
      <x:c r="D21" s="194" t="n">
        <x:f>IFERROR(D20/D7,"")</x:f>
        <x:v>0.2043446611791601</x:v>
      </x:c>
      <x:c r="E21" s="194" t="n">
        <x:f>IFERROR(E20/E7,"")</x:f>
        <x:v>0.1445966276810633</x:v>
      </x:c>
      <x:c r="F21" s="194" t="n">
        <x:f>IFERROR(F20/F7,"")</x:f>
        <x:v>0.09940484848656024</x:v>
      </x:c>
      <x:c r="G21" s="194" t="n">
        <x:f>IFERROR(G20/G7,"")</x:f>
        <x:v>0.2818701812098721</x:v>
      </x:c>
      <x:c r="H21" s="194" t="n">
        <x:f>IFERROR(H20/H7,"")</x:f>
        <x:v>0.17258031432284213</x:v>
      </x:c>
      <x:c r="I21" s="194" t="n">
        <x:f>IFERROR(I20/I7,"")</x:f>
        <x:v>0.07361995552469959</x:v>
      </x:c>
      <x:c r="J21" s="194" t="n">
        <x:f>IFERROR(J20/J7,"")</x:f>
        <x:v>0.05626120554313443</x:v>
      </x:c>
      <x:c r="K21" s="194" t="n">
        <x:f>IFERROR(K20/K7,"")</x:f>
        <x:v>0.055</x:v>
      </x:c>
      <x:c r="L21" s="118"/>
      <x:c r="M21" s="118"/>
      <x:c r="N21" s="118"/>
      <x:c r="O21" s="118"/>
      <x:c r="P21" s="118"/>
      <x:c r="Q21" s="118"/>
      <x:c r="R21" s="118"/>
      <x:c r="S21" s="118"/>
      <x:c r="T21" s="118"/>
      <x:c r="U21" s="118"/>
      <x:c r="V21" s="118"/>
      <x:c r="W21" s="118"/>
      <x:c r="X21" s="118"/>
      <x:c r="Y21" s="118"/>
      <x:c r="Z21" s="118"/>
      <x:c r="AA21" s="118"/>
      <x:c r="AB21" s="118"/>
      <x:c r="AC21" s="118"/>
      <x:c r="AD21" s="118"/>
      <x:c r="AE21" s="118"/>
      <x:c r="AF21" s="118"/>
      <x:c r="AG21" s="118"/>
      <x:c r="AH21" s="118"/>
    </x:row>
    <x:row r="22">
      <x:c r="A22" s="118" t="str">
        <x:v>Net PP&amp;E</x:v>
      </x:c>
      <x:c r="B22" s="118" t="str">
        <x:v>INR mn</x:v>
      </x:c>
      <x:c r="C22" s="118" t="str">
        <x:v>Reported / forecast</x:v>
      </x:c>
      <x:c r="D22" s="192" t="n">
        <x:v>4699.865</x:v>
      </x:c>
      <x:c r="E22" s="192" t="n">
        <x:v>6964.422</x:v>
      </x:c>
      <x:c r="F22" s="192" t="n">
        <x:v>7802.63</x:v>
      </x:c>
      <x:c r="G22" s="192" t="n">
        <x:v>8854.2092</x:v>
      </x:c>
      <x:c r="H22" s="192" t="n">
        <x:v>15257.535728</x:v>
      </x:c>
      <x:c r="I22" s="192" t="n">
        <x:v>16956.33001152</x:v>
      </x:c>
      <x:c r="J22" s="192" t="n">
        <x:v>17187.317209677</x:v>
      </x:c>
      <x:c r="K22" s="192" t="n">
        <x:v>16663.931396167</x:v>
      </x:c>
      <x:c r="L22" s="118"/>
      <x:c r="M22" s="118"/>
      <x:c r="N22" s="118"/>
      <x:c r="O22" s="118"/>
      <x:c r="P22" s="118"/>
      <x:c r="Q22" s="118"/>
      <x:c r="R22" s="118"/>
      <x:c r="S22" s="118"/>
      <x:c r="T22" s="118"/>
      <x:c r="U22" s="118"/>
      <x:c r="V22" s="118"/>
      <x:c r="W22" s="118"/>
      <x:c r="X22" s="118"/>
      <x:c r="Y22" s="118"/>
      <x:c r="Z22" s="118"/>
      <x:c r="AA22" s="118"/>
      <x:c r="AB22" s="118"/>
      <x:c r="AC22" s="118"/>
      <x:c r="AD22" s="118"/>
      <x:c r="AE22" s="118"/>
      <x:c r="AF22" s="118"/>
      <x:c r="AG22" s="118"/>
      <x:c r="AH22" s="118"/>
    </x:row>
    <x:row r="23">
      <x:c r="A23" s="118" t="str">
        <x:v>CWIP</x:v>
      </x:c>
      <x:c r="B23" s="118" t="str">
        <x:v>INR mn</x:v>
      </x:c>
      <x:c r="C23" s="118" t="str">
        <x:v>Reported / forecast</x:v>
      </x:c>
      <x:c r="D23" s="192" t="n">
        <x:v>3446.939</x:v>
      </x:c>
      <x:c r="E23" s="192" t="n">
        <x:v>2968.811</x:v>
      </x:c>
      <x:c r="F23" s="192" t="n">
        <x:v>2643.46</x:v>
      </x:c>
      <x:c r="G23" s="192" t="n">
        <x:v>7143.46</x:v>
      </x:c>
      <x:c r="H23" s="192" t="n">
        <x:v>3643.46</x:v>
      </x:c>
      <x:c r="I23" s="192" t="n">
        <x:v>1643.46</x:v>
      </x:c>
      <x:c r="J23" s="192" t="n">
        <x:v>643.46</x:v>
      </x:c>
      <x:c r="K23" s="192" t="n">
        <x:v>643.46</x:v>
      </x:c>
      <x:c r="L23" s="118"/>
      <x:c r="M23" s="118"/>
      <x:c r="N23" s="118"/>
      <x:c r="O23" s="118"/>
      <x:c r="P23" s="118"/>
      <x:c r="Q23" s="118"/>
      <x:c r="R23" s="118"/>
      <x:c r="S23" s="118"/>
      <x:c r="T23" s="118"/>
      <x:c r="U23" s="118"/>
      <x:c r="V23" s="118"/>
      <x:c r="W23" s="118"/>
      <x:c r="X23" s="118"/>
      <x:c r="Y23" s="118"/>
      <x:c r="Z23" s="118"/>
      <x:c r="AA23" s="118"/>
      <x:c r="AB23" s="118"/>
      <x:c r="AC23" s="118"/>
      <x:c r="AD23" s="118"/>
      <x:c r="AE23" s="118"/>
      <x:c r="AF23" s="118"/>
      <x:c r="AG23" s="118"/>
      <x:c r="AH23" s="118"/>
    </x:row>
    <x:row r="24">
      <x:c r="A24" s="118" t="str">
        <x:v>Net PP&amp;E + CWIP</x:v>
      </x:c>
      <x:c r="B24" s="118" t="str">
        <x:v>INR mn</x:v>
      </x:c>
      <x:c r="C24" s="118" t="str">
        <x:v>Derived</x:v>
      </x:c>
      <x:c r="D24" s="195" t="n">
        <x:f>D22+D23</x:f>
        <x:v>8146.804</x:v>
      </x:c>
      <x:c r="E24" s="195" t="n">
        <x:f>E22+E23</x:f>
        <x:v>9933.233</x:v>
      </x:c>
      <x:c r="F24" s="195" t="n">
        <x:f>F22+F23</x:f>
        <x:v>10446.09</x:v>
      </x:c>
      <x:c r="G24" s="195" t="n">
        <x:f>G22+G23</x:f>
        <x:v>15997.6692</x:v>
      </x:c>
      <x:c r="H24" s="195" t="n">
        <x:f>H22+H23</x:f>
        <x:v>18900.995728</x:v>
      </x:c>
      <x:c r="I24" s="195" t="n">
        <x:f>I22+I23</x:f>
        <x:v>18599.79001152</x:v>
      </x:c>
      <x:c r="J24" s="195" t="n">
        <x:f>J22+J23</x:f>
        <x:v>17830.777209677</x:v>
      </x:c>
      <x:c r="K24" s="195" t="n">
        <x:f>K22+K23</x:f>
        <x:v>17307.391396167</x:v>
      </x:c>
      <x:c r="L24" s="118"/>
      <x:c r="M24" s="118"/>
      <x:c r="N24" s="118"/>
      <x:c r="O24" s="118"/>
      <x:c r="P24" s="118"/>
      <x:c r="Q24" s="118"/>
      <x:c r="R24" s="118"/>
      <x:c r="S24" s="118"/>
      <x:c r="T24" s="118"/>
      <x:c r="U24" s="118"/>
      <x:c r="V24" s="118"/>
      <x:c r="W24" s="118"/>
      <x:c r="X24" s="118"/>
      <x:c r="Y24" s="118"/>
      <x:c r="Z24" s="118"/>
      <x:c r="AA24" s="118"/>
      <x:c r="AB24" s="118"/>
      <x:c r="AC24" s="118"/>
      <x:c r="AD24" s="118"/>
      <x:c r="AE24" s="118"/>
      <x:c r="AF24" s="118"/>
      <x:c r="AG24" s="118"/>
      <x:c r="AH24" s="118"/>
    </x:row>
    <x:row r="25">
      <x:c r="A25" s="118" t="str">
        <x:v>Total Assets</x:v>
      </x:c>
      <x:c r="B25" s="118" t="str">
        <x:v>INR mn</x:v>
      </x:c>
      <x:c r="C25" s="118" t="str">
        <x:v>Reported / forecast</x:v>
      </x:c>
      <x:c r="D25" s="192" t="n">
        <x:v>23981.134</x:v>
      </x:c>
      <x:c r="E25" s="192" t="n">
        <x:v>28075.834</x:v>
      </x:c>
      <x:c r="F25" s="192" t="n">
        <x:v>34292.91</x:v>
      </x:c>
      <x:c r="G25" s="192" t="n">
        <x:v>42073.01789347426</x:v>
      </x:c>
      <x:c r="H25" s="192" t="n">
        <x:v>50287.717791478695</x:v>
      </x:c>
      <x:c r="I25" s="192" t="n">
        <x:v>59542.73177196374</x:v>
      </x:c>
      <x:c r="J25" s="192" t="n">
        <x:v>69971.35717031933</x:v>
      </x:c>
      <x:c r="K25" s="192" t="n">
        <x:v>81765.94693015807</x:v>
      </x:c>
      <x:c r="L25" s="118"/>
      <x:c r="M25" s="118"/>
      <x:c r="N25" s="118"/>
      <x:c r="O25" s="118"/>
      <x:c r="P25" s="118"/>
      <x:c r="Q25" s="118"/>
      <x:c r="R25" s="118"/>
      <x:c r="S25" s="118"/>
      <x:c r="T25" s="118"/>
      <x:c r="U25" s="118"/>
      <x:c r="V25" s="118"/>
      <x:c r="W25" s="118"/>
      <x:c r="X25" s="118"/>
      <x:c r="Y25" s="118"/>
      <x:c r="Z25" s="118"/>
      <x:c r="AA25" s="118"/>
      <x:c r="AB25" s="118"/>
      <x:c r="AC25" s="118"/>
      <x:c r="AD25" s="118"/>
      <x:c r="AE25" s="118"/>
      <x:c r="AF25" s="118"/>
      <x:c r="AG25" s="118"/>
      <x:c r="AH25" s="118"/>
    </x:row>
    <x:row r="26">
      <x:c r="A26" s="118" t="str">
        <x:v>Gross Debt</x:v>
      </x:c>
      <x:c r="B26" s="118" t="str">
        <x:v>INR mn</x:v>
      </x:c>
      <x:c r="C26" s="118" t="str">
        <x:v>Reported / forecast</x:v>
      </x:c>
      <x:c r="D26" s="192" t="n">
        <x:v>2325.254</x:v>
      </x:c>
      <x:c r="E26" s="192" t="n">
        <x:v>1089.547</x:v>
      </x:c>
      <x:c r="F26" s="192" t="n">
        <x:v>300.68</x:v>
      </x:c>
      <x:c r="G26" s="192" t="n">
        <x:v>0</x:v>
      </x:c>
      <x:c r="H26" s="192" t="n">
        <x:v>0</x:v>
      </x:c>
      <x:c r="I26" s="192" t="n">
        <x:v>0</x:v>
      </x:c>
      <x:c r="J26" s="192" t="n">
        <x:v>0</x:v>
      </x:c>
      <x:c r="K26" s="192" t="n">
        <x:v>0</x:v>
      </x:c>
      <x:c r="L26" s="118"/>
      <x:c r="M26" s="118"/>
      <x:c r="N26" s="118"/>
      <x:c r="O26" s="118"/>
      <x:c r="P26" s="118"/>
      <x:c r="Q26" s="118"/>
      <x:c r="R26" s="118"/>
      <x:c r="S26" s="118"/>
      <x:c r="T26" s="118"/>
      <x:c r="U26" s="118"/>
      <x:c r="V26" s="118"/>
      <x:c r="W26" s="118"/>
      <x:c r="X26" s="118"/>
      <x:c r="Y26" s="118"/>
      <x:c r="Z26" s="118"/>
      <x:c r="AA26" s="118"/>
      <x:c r="AB26" s="118"/>
      <x:c r="AC26" s="118"/>
      <x:c r="AD26" s="118"/>
      <x:c r="AE26" s="118"/>
      <x:c r="AF26" s="118"/>
      <x:c r="AG26" s="118"/>
      <x:c r="AH26" s="118"/>
    </x:row>
    <x:row r="27">
      <x:c r="A27" s="118" t="str">
        <x:v>Cash</x:v>
      </x:c>
      <x:c r="B27" s="118" t="str">
        <x:v>INR mn</x:v>
      </x:c>
      <x:c r="C27" s="118" t="str">
        <x:v>Reported / forecast</x:v>
      </x:c>
      <x:c r="D27" s="192" t="n">
        <x:v>1843.579</x:v>
      </x:c>
      <x:c r="E27" s="192" t="n">
        <x:v>3169.816</x:v>
      </x:c>
      <x:c r="F27" s="192" t="n">
        <x:v>2748.8</x:v>
      </x:c>
      <x:c r="G27" s="192" t="n">
        <x:v>1241.7063716981133</x:v>
      </x:c>
      <x:c r="H27" s="192" t="n">
        <x:v>1448.6009078204052</x:v>
      </x:c>
      <x:c r="I27" s="192" t="n">
        <x:v>1697.9092028663663</x:v>
      </x:c>
      <x:c r="J27" s="192" t="n">
        <x:v>1955.1660675963485</x:v>
      </x:c>
      <x:c r="K27" s="192" t="n">
        <x:v>2200.1827470737644</x:v>
      </x:c>
      <x:c r="L27" s="118"/>
      <x:c r="M27" s="118"/>
      <x:c r="N27" s="118"/>
      <x:c r="O27" s="118"/>
      <x:c r="P27" s="118"/>
      <x:c r="Q27" s="118"/>
      <x:c r="R27" s="118"/>
      <x:c r="S27" s="118"/>
      <x:c r="T27" s="118"/>
      <x:c r="U27" s="118"/>
      <x:c r="V27" s="118"/>
      <x:c r="W27" s="118"/>
      <x:c r="X27" s="118"/>
      <x:c r="Y27" s="118"/>
      <x:c r="Z27" s="118"/>
      <x:c r="AA27" s="118"/>
      <x:c r="AB27" s="118"/>
      <x:c r="AC27" s="118"/>
      <x:c r="AD27" s="118"/>
      <x:c r="AE27" s="118"/>
      <x:c r="AF27" s="118"/>
      <x:c r="AG27" s="118"/>
      <x:c r="AH27" s="118"/>
    </x:row>
    <x:row r="28">
      <x:c r="A28" s="118" t="str">
        <x:v>Current Investments</x:v>
      </x:c>
      <x:c r="B28" s="118" t="str">
        <x:v>INR mn</x:v>
      </x:c>
      <x:c r="C28" s="118" t="str">
        <x:v>Reported / forecast</x:v>
      </x:c>
      <x:c r="D28" s="192" t="n">
        <x:v>4590.703</x:v>
      </x:c>
      <x:c r="E28" s="192" t="n">
        <x:v>4161.418</x:v>
      </x:c>
      <x:c r="F28" s="192" t="n">
        <x:v>6655.87</x:v>
      </x:c>
      <x:c r="G28" s="192" t="n">
        <x:v>8984.667197132207</x:v>
      </x:c>
      <x:c r="H28" s="192" t="n">
        <x:v>12277.484454842312</x:v>
      </x:c>
      <x:c r="I28" s="192" t="n">
        <x:v>19723.577080269326</x:v>
      </x:c>
      <x:c r="J28" s="192" t="n">
        <x:v>28920.913302764668</x:v>
      </x:c>
      <x:c r="K28" s="192" t="n">
        <x:v>39420.071939239184</x:v>
      </x:c>
      <x:c r="L28" s="118"/>
      <x:c r="M28" s="118"/>
      <x:c r="N28" s="118"/>
      <x:c r="O28" s="118"/>
      <x:c r="P28" s="118"/>
      <x:c r="Q28" s="118"/>
      <x:c r="R28" s="118"/>
      <x:c r="S28" s="118"/>
      <x:c r="T28" s="118"/>
      <x:c r="U28" s="118"/>
      <x:c r="V28" s="118"/>
      <x:c r="W28" s="118"/>
      <x:c r="X28" s="118"/>
      <x:c r="Y28" s="118"/>
      <x:c r="Z28" s="118"/>
      <x:c r="AA28" s="118"/>
      <x:c r="AB28" s="118"/>
      <x:c r="AC28" s="118"/>
      <x:c r="AD28" s="118"/>
      <x:c r="AE28" s="118"/>
      <x:c r="AF28" s="118"/>
      <x:c r="AG28" s="118"/>
      <x:c r="AH28" s="118"/>
    </x:row>
    <x:row r="29">
      <x:c r="A29" s="118" t="str">
        <x:v>Non-current Investments</x:v>
      </x:c>
      <x:c r="B29" s="118" t="str">
        <x:v>INR mn</x:v>
      </x:c>
      <x:c r="C29" s="118" t="str">
        <x:v>Reported / forecast</x:v>
      </x:c>
      <x:c r="D29" s="192" t="n">
        <x:v>125.531</x:v>
      </x:c>
      <x:c r="E29" s="192" t="n">
        <x:v>169.282</x:v>
      </x:c>
      <x:c r="F29" s="192" t="n">
        <x:v>3418.75</x:v>
      </x:c>
      <x:c r="G29" s="192" t="n">
        <x:v>3418.75</x:v>
      </x:c>
      <x:c r="H29" s="192" t="n">
        <x:v>3418.75</x:v>
      </x:c>
      <x:c r="I29" s="192" t="n">
        <x:v>3418.75</x:v>
      </x:c>
      <x:c r="J29" s="192" t="n">
        <x:v>3418.75</x:v>
      </x:c>
      <x:c r="K29" s="192" t="n">
        <x:v>3418.75</x:v>
      </x:c>
      <x:c r="L29" s="118"/>
      <x:c r="M29" s="118"/>
      <x:c r="N29" s="118"/>
      <x:c r="O29" s="118"/>
      <x:c r="P29" s="118"/>
      <x:c r="Q29" s="118"/>
      <x:c r="R29" s="118"/>
      <x:c r="S29" s="118"/>
      <x:c r="T29" s="118"/>
      <x:c r="U29" s="118"/>
      <x:c r="V29" s="118"/>
      <x:c r="W29" s="118"/>
      <x:c r="X29" s="118"/>
      <x:c r="Y29" s="118"/>
      <x:c r="Z29" s="118"/>
      <x:c r="AA29" s="118"/>
      <x:c r="AB29" s="118"/>
      <x:c r="AC29" s="118"/>
      <x:c r="AD29" s="118"/>
      <x:c r="AE29" s="118"/>
      <x:c r="AF29" s="118"/>
      <x:c r="AG29" s="118"/>
      <x:c r="AH29" s="118"/>
    </x:row>
    <x:row r="30">
      <x:c r="A30" s="118" t="str">
        <x:v>Net Cash</x:v>
      </x:c>
      <x:c r="B30" s="118" t="str">
        <x:v>INR mn</x:v>
      </x:c>
      <x:c r="C30" s="118" t="str">
        <x:v>Derived</x:v>
      </x:c>
      <x:c r="D30" s="195" t="n">
        <x:f>D27+D28+D29-D26</x:f>
        <x:v>4234.559</x:v>
      </x:c>
      <x:c r="E30" s="195" t="n">
        <x:f>E27+E28+E29-E26</x:f>
        <x:v>6410.968999999999</x:v>
      </x:c>
      <x:c r="F30" s="195" t="n">
        <x:f>F27+F28+F29-F26</x:f>
        <x:v>12522.74</x:v>
      </x:c>
      <x:c r="G30" s="195" t="n">
        <x:f>G27+G28+G29-G26</x:f>
        <x:v>13645.12356883032</x:v>
      </x:c>
      <x:c r="H30" s="195" t="n">
        <x:f>H27+H28+H29-H26</x:f>
        <x:v>17144.835362662718</x:v>
      </x:c>
      <x:c r="I30" s="195" t="n">
        <x:f>I27+I28+I29-I26</x:f>
        <x:v>24840.23628313569</x:v>
      </x:c>
      <x:c r="J30" s="195" t="n">
        <x:f>J27+J28+J29-J26</x:f>
        <x:v>34294.82937036102</x:v>
      </x:c>
      <x:c r="K30" s="195" t="n">
        <x:f>K27+K28+K29-K26</x:f>
        <x:v>45039.00468631295</x:v>
      </x:c>
      <x:c r="L30" s="118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8"/>
      <x:c r="Z30" s="118"/>
      <x:c r="AA30" s="118"/>
      <x:c r="AB30" s="118"/>
      <x:c r="AC30" s="118"/>
      <x:c r="AD30" s="118"/>
      <x:c r="AE30" s="118"/>
      <x:c r="AF30" s="118"/>
      <x:c r="AG30" s="118"/>
      <x:c r="AH30" s="118"/>
    </x:row>
    <x:row r="31">
      <x:c r="A31" s="118" t="str">
        <x:v>Equity</x:v>
      </x:c>
      <x:c r="B31" s="118" t="str">
        <x:v>INR mn</x:v>
      </x:c>
      <x:c r="C31" s="118" t="str">
        <x:v>Reported / forecast</x:v>
      </x:c>
      <x:c r="D31" s="192" t="n">
        <x:v>19246.545</x:v>
      </x:c>
      <x:c r="E31" s="192" t="n">
        <x:v>24098.638</x:v>
      </x:c>
      <x:c r="F31" s="192" t="n">
        <x:v>30425.16</x:v>
      </x:c>
      <x:c r="G31" s="192" t="n">
        <x:v>37732.18188125056</x:v>
      </x:c>
      <x:c r="H31" s="192" t="n">
        <x:v>45153.803570542404</x:v>
      </x:c>
      <x:c r="I31" s="192" t="n">
        <x:v>53599.627550584235</x:v>
      </x:c>
      <x:c r="J31" s="192" t="n">
        <x:v>63340.687754074286</x:v>
      </x:c>
      <x:c r="K31" s="192" t="n">
        <x:v>74439.3225292834</x:v>
      </x:c>
      <x:c r="L31" s="118"/>
      <x:c r="M31" s="118"/>
      <x:c r="N31" s="118"/>
      <x:c r="O31" s="118"/>
      <x:c r="P31" s="118"/>
      <x:c r="Q31" s="118"/>
      <x:c r="R31" s="118"/>
      <x:c r="S31" s="118"/>
      <x:c r="T31" s="118"/>
      <x:c r="U31" s="118"/>
      <x:c r="V31" s="118"/>
      <x:c r="W31" s="118"/>
      <x:c r="X31" s="118"/>
      <x:c r="Y31" s="118"/>
      <x:c r="Z31" s="118"/>
      <x:c r="AA31" s="118"/>
      <x:c r="AB31" s="118"/>
      <x:c r="AC31" s="118"/>
      <x:c r="AD31" s="118"/>
      <x:c r="AE31" s="118"/>
      <x:c r="AF31" s="118"/>
      <x:c r="AG31" s="118"/>
      <x:c r="AH31" s="118"/>
    </x:row>
    <x:row r="32">
      <x:c r="A32" s="118" t="str">
        <x:v>Capital Employed</x:v>
      </x:c>
      <x:c r="B32" s="118" t="str">
        <x:v>INR mn</x:v>
      </x:c>
      <x:c r="C32" s="118" t="str">
        <x:v>Equity + Debt – Cash – liquid investments</x:v>
      </x:c>
      <x:c r="D32" s="195" t="n">
        <x:f>D31+D26-D27-D28-D29</x:f>
        <x:v>15011.985999999995</x:v>
      </x:c>
      <x:c r="E32" s="195" t="n">
        <x:f>E31+E26-E27-E28-E29</x:f>
        <x:v>17687.669</x:v>
      </x:c>
      <x:c r="F32" s="195" t="n">
        <x:f>F31+F26-F27-F28-F29</x:f>
        <x:v>17902.420000000002</x:v>
      </x:c>
      <x:c r="G32" s="195" t="n">
        <x:f>G31+G26-G27-G28-G29</x:f>
        <x:v>24087.05831242024</x:v>
      </x:c>
      <x:c r="H32" s="195" t="n">
        <x:f>H31+H26-H27-H28-H29</x:f>
        <x:v>28008.968207879683</x:v>
      </x:c>
      <x:c r="I32" s="195" t="n">
        <x:f>I31+I26-I27-I28-I29</x:f>
        <x:v>28759.391267448544</x:v>
      </x:c>
      <x:c r="J32" s="195" t="n">
        <x:f>J31+J26-J27-J28-J29</x:f>
        <x:v>29045.85838371327</x:v>
      </x:c>
      <x:c r="K32" s="195" t="n">
        <x:f>K31+K26-K27-K28-K29</x:f>
        <x:v>29400.31784297045</x:v>
      </x:c>
      <x:c r="L32" s="118"/>
      <x:c r="M32" s="118"/>
      <x:c r="N32" s="118"/>
      <x:c r="O32" s="118"/>
      <x:c r="P32" s="118"/>
      <x:c r="Q32" s="118"/>
      <x:c r="R32" s="118"/>
      <x:c r="S32" s="118"/>
      <x:c r="T32" s="118"/>
      <x:c r="U32" s="118"/>
      <x:c r="V32" s="118"/>
      <x:c r="W32" s="118"/>
      <x:c r="X32" s="118"/>
      <x:c r="Y32" s="118"/>
      <x:c r="Z32" s="118"/>
      <x:c r="AA32" s="118"/>
      <x:c r="AB32" s="118"/>
      <x:c r="AC32" s="118"/>
      <x:c r="AD32" s="118"/>
      <x:c r="AE32" s="118"/>
      <x:c r="AF32" s="118"/>
      <x:c r="AG32" s="118"/>
      <x:c r="AH32" s="118"/>
    </x:row>
    <x:row r="33">
      <x:c r="A33" s="118" t="str">
        <x:v>Average Capital Employed</x:v>
      </x:c>
      <x:c r="B33" s="118" t="str">
        <x:v>INR mn</x:v>
      </x:c>
      <x:c r="C33" s="118" t="str">
        <x:v>Derived</x:v>
      </x:c>
      <x:c r="D33" s="193" t="str">
        <x:v>NA</x:v>
      </x:c>
      <x:c r="E33" s="195" t="n">
        <x:f>AVERAGE(D32,E32)</x:f>
        <x:v>16349.8275</x:v>
      </x:c>
      <x:c r="F33" s="195" t="n">
        <x:f>AVERAGE(E32,F32)</x:f>
        <x:v>17795.044500000004</x:v>
      </x:c>
      <x:c r="G33" s="195" t="n">
        <x:f>AVERAGE(F32,G32)</x:f>
        <x:v>20994.73915621012</x:v>
      </x:c>
      <x:c r="H33" s="195" t="n">
        <x:f>AVERAGE(G32,H32)</x:f>
        <x:v>26048.01326014996</x:v>
      </x:c>
      <x:c r="I33" s="195" t="n">
        <x:f>AVERAGE(H32,I32)</x:f>
        <x:v>28384.17973766411</x:v>
      </x:c>
      <x:c r="J33" s="195" t="n">
        <x:f>AVERAGE(I32,J32)</x:f>
        <x:v>28902.624825580904</x:v>
      </x:c>
      <x:c r="K33" s="195" t="n">
        <x:f>AVERAGE(J32,K32)</x:f>
        <x:v>29223.08811334186</x:v>
      </x:c>
      <x:c r="L33" s="118"/>
      <x:c r="M33" s="118"/>
      <x:c r="N33" s="118"/>
      <x:c r="O33" s="118"/>
      <x:c r="P33" s="118"/>
      <x:c r="Q33" s="118"/>
      <x:c r="R33" s="118"/>
      <x:c r="S33" s="118"/>
      <x:c r="T33" s="118"/>
      <x:c r="U33" s="118"/>
      <x:c r="V33" s="118"/>
      <x:c r="W33" s="118"/>
      <x:c r="X33" s="118"/>
      <x:c r="Y33" s="118"/>
      <x:c r="Z33" s="118"/>
      <x:c r="AA33" s="118"/>
      <x:c r="AB33" s="118"/>
      <x:c r="AC33" s="118"/>
      <x:c r="AD33" s="118"/>
      <x:c r="AE33" s="118"/>
      <x:c r="AF33" s="118"/>
      <x:c r="AG33" s="118"/>
      <x:c r="AH33" s="118"/>
    </x:row>
    <x:row r="34">
      <x:c r="A34" s="118" t="str">
        <x:v>Operating Capital Employed</x:v>
      </x:c>
      <x:c r="B34" s="118" t="str">
        <x:v>INR mn</x:v>
      </x:c>
      <x:c r="C34" s="118" t="str">
        <x:v>Operating assets – operating liabilities</x:v>
      </x:c>
      <x:c r="D34" s="195" t="n">
        <x:f>D22+D23+D59+D60+D61+D64-D62-D63-D65</x:f>
        <x:v>14532.641</x:v>
      </x:c>
      <x:c r="E34" s="195" t="n">
        <x:f>E22+E23+E59+E60+E61+E64-E62-E63-E65</x:f>
        <x:v>17465.222999999998</x:v>
      </x:c>
      <x:c r="F34" s="195" t="n">
        <x:f>F22+F23+F59+F60+F61+F64-F62-F63-F65</x:f>
        <x:v>17628.090000000004</x:v>
      </x:c>
      <x:c r="G34" s="195" t="n">
        <x:f>G22+G23+G59+G60+G61+G64-G62-G63-G65</x:f>
        <x:v>23760.176517228003</x:v>
      </x:c>
      <x:c r="H34" s="195" t="n">
        <x:f>H22+H23+H59+H60+H61+H64-H62-H63-H65</x:f>
        <x:v>27622.105391917</x:v>
      </x:c>
      <x:c r="I34" s="195" t="n">
        <x:f>I22+I23+I59+I60+I61+I64-I62-I63-I65</x:f>
        <x:v>28329.612727973996</x:v>
      </x:c>
      <x:c r="J34" s="195" t="n">
        <x:f>J22+J23+J59+J60+J61+J64-J62-J63-J65</x:f>
        <x:v>28619.11805224</x:v>
      </x:c>
      <x:c r="K34" s="195" t="n">
        <x:f>K22+K23+K59+K60+K61+K64-K62-K63-K65</x:f>
        <x:v>28976.008077895</x:v>
      </x:c>
      <x:c r="L34" s="118"/>
      <x:c r="M34" s="118"/>
      <x:c r="N34" s="118"/>
      <x:c r="O34" s="118"/>
      <x:c r="P34" s="118"/>
      <x:c r="Q34" s="118"/>
      <x:c r="R34" s="118"/>
      <x:c r="S34" s="118"/>
      <x:c r="T34" s="118"/>
      <x:c r="U34" s="118"/>
      <x:c r="V34" s="118"/>
      <x:c r="W34" s="118"/>
      <x:c r="X34" s="118"/>
      <x:c r="Y34" s="118"/>
      <x:c r="Z34" s="118"/>
      <x:c r="AA34" s="118"/>
      <x:c r="AB34" s="118"/>
      <x:c r="AC34" s="118"/>
      <x:c r="AD34" s="118"/>
      <x:c r="AE34" s="118"/>
      <x:c r="AF34" s="118"/>
      <x:c r="AG34" s="118"/>
      <x:c r="AH34" s="118"/>
    </x:row>
    <x:row r="35">
      <x:c r="A35" s="118" t="str">
        <x:v>Average Operating Capital Employed</x:v>
      </x:c>
      <x:c r="B35" s="118" t="str">
        <x:v>INR mn</x:v>
      </x:c>
      <x:c r="C35" s="118" t="str">
        <x:v>Derived</x:v>
      </x:c>
      <x:c r="D35" s="193" t="str">
        <x:v>NA</x:v>
      </x:c>
      <x:c r="E35" s="195" t="n">
        <x:f>AVERAGE(D34,E34)</x:f>
        <x:v>15998.931999999999</x:v>
      </x:c>
      <x:c r="F35" s="195" t="n">
        <x:f>AVERAGE(E34,F34)</x:f>
        <x:v>17546.6565</x:v>
      </x:c>
      <x:c r="G35" s="195" t="n">
        <x:f>AVERAGE(F34,G34)</x:f>
        <x:v>20694.133258614005</x:v>
      </x:c>
      <x:c r="H35" s="195" t="n">
        <x:f>AVERAGE(G34,H34)</x:f>
        <x:v>25691.140954572504</x:v>
      </x:c>
      <x:c r="I35" s="195" t="n">
        <x:f>AVERAGE(H34,I34)</x:f>
        <x:v>27975.8590599455</x:v>
      </x:c>
      <x:c r="J35" s="195" t="n">
        <x:f>AVERAGE(I34,J34)</x:f>
        <x:v>28474.365390107</x:v>
      </x:c>
      <x:c r="K35" s="195" t="n">
        <x:f>AVERAGE(J34,K34)</x:f>
        <x:v>28797.5630650675</x:v>
      </x:c>
      <x:c r="L35" s="118"/>
      <x:c r="M35" s="118"/>
      <x:c r="N35" s="118"/>
      <x:c r="O35" s="118"/>
      <x:c r="P35" s="118"/>
      <x:c r="Q35" s="118"/>
      <x:c r="R35" s="118"/>
      <x:c r="S35" s="118"/>
      <x:c r="T35" s="118"/>
      <x:c r="U35" s="118"/>
      <x:c r="V35" s="118"/>
      <x:c r="W35" s="118"/>
      <x:c r="X35" s="118"/>
      <x:c r="Y35" s="118"/>
      <x:c r="Z35" s="118"/>
      <x:c r="AA35" s="118"/>
      <x:c r="AB35" s="118"/>
      <x:c r="AC35" s="118"/>
      <x:c r="AD35" s="118"/>
      <x:c r="AE35" s="118"/>
      <x:c r="AF35" s="118"/>
      <x:c r="AG35" s="118"/>
      <x:c r="AH35" s="118"/>
    </x:row>
    <x:row r="36">
      <x:c r="A36" s="118" t="str">
        <x:v>Average Net PP&amp;E</x:v>
      </x:c>
      <x:c r="B36" s="118" t="str">
        <x:v>INR mn</x:v>
      </x:c>
      <x:c r="C36" s="118" t="str">
        <x:v>Derived</x:v>
      </x:c>
      <x:c r="D36" s="193" t="str">
        <x:v>NA</x:v>
      </x:c>
      <x:c r="E36" s="195" t="n">
        <x:f>AVERAGE(D22,E22)</x:f>
        <x:v>5832.1435</x:v>
      </x:c>
      <x:c r="F36" s="195" t="n">
        <x:f>AVERAGE(E22,F22)</x:f>
        <x:v>7383.526</x:v>
      </x:c>
      <x:c r="G36" s="195" t="n">
        <x:f>AVERAGE(F22,G22)</x:f>
        <x:v>8328.4196</x:v>
      </x:c>
      <x:c r="H36" s="195" t="n">
        <x:f>AVERAGE(G22,H22)</x:f>
        <x:v>12055.872464</x:v>
      </x:c>
      <x:c r="I36" s="195" t="n">
        <x:f>AVERAGE(H22,I22)</x:f>
        <x:v>16106.93286976</x:v>
      </x:c>
      <x:c r="J36" s="195" t="n">
        <x:f>AVERAGE(I22,J22)</x:f>
        <x:v>17071.823610598498</x:v>
      </x:c>
      <x:c r="K36" s="195" t="n">
        <x:f>AVERAGE(J22,K22)</x:f>
        <x:v>16925.624302922</x:v>
      </x:c>
      <x:c r="L36" s="118"/>
      <x:c r="M36" s="118"/>
      <x:c r="N36" s="118"/>
      <x:c r="O36" s="118"/>
      <x:c r="P36" s="118"/>
      <x:c r="Q36" s="118"/>
      <x:c r="R36" s="118"/>
      <x:c r="S36" s="118"/>
      <x:c r="T36" s="118"/>
      <x:c r="U36" s="118"/>
      <x:c r="V36" s="118"/>
      <x:c r="W36" s="118"/>
      <x:c r="X36" s="118"/>
      <x:c r="Y36" s="118"/>
      <x:c r="Z36" s="118"/>
      <x:c r="AA36" s="118"/>
      <x:c r="AB36" s="118"/>
      <x:c r="AC36" s="118"/>
      <x:c r="AD36" s="118"/>
      <x:c r="AE36" s="118"/>
      <x:c r="AF36" s="118"/>
      <x:c r="AG36" s="118"/>
      <x:c r="AH36" s="118"/>
    </x:row>
    <x:row r="37">
      <x:c r="A37" s="118" t="str">
        <x:v>Average Net PP&amp;E + CWIP</x:v>
      </x:c>
      <x:c r="B37" s="118" t="str">
        <x:v>INR mn</x:v>
      </x:c>
      <x:c r="C37" s="118" t="str">
        <x:v>Derived</x:v>
      </x:c>
      <x:c r="D37" s="193" t="str">
        <x:v>NA</x:v>
      </x:c>
      <x:c r="E37" s="195" t="n">
        <x:f>AVERAGE(D24,E24)</x:f>
        <x:v>9040.0185</x:v>
      </x:c>
      <x:c r="F37" s="195" t="n">
        <x:f>AVERAGE(E24,F24)</x:f>
        <x:v>10189.6615</x:v>
      </x:c>
      <x:c r="G37" s="195" t="n">
        <x:f>AVERAGE(F24,G24)</x:f>
        <x:v>13221.8796</x:v>
      </x:c>
      <x:c r="H37" s="195" t="n">
        <x:f>AVERAGE(G24,H24)</x:f>
        <x:v>17449.332464</x:v>
      </x:c>
      <x:c r="I37" s="195" t="n">
        <x:f>AVERAGE(H24,I24)</x:f>
        <x:v>18750.39286976</x:v>
      </x:c>
      <x:c r="J37" s="195" t="n">
        <x:f>AVERAGE(I24,J24)</x:f>
        <x:v>18215.283610598497</x:v>
      </x:c>
      <x:c r="K37" s="195" t="n">
        <x:f>AVERAGE(J24,K24)</x:f>
        <x:v>17569.084302921998</x:v>
      </x:c>
      <x:c r="L37" s="118"/>
      <x:c r="M37" s="118"/>
      <x:c r="N37" s="118"/>
      <x:c r="O37" s="118"/>
      <x:c r="P37" s="118"/>
      <x:c r="Q37" s="118"/>
      <x:c r="R37" s="118"/>
      <x:c r="S37" s="118"/>
      <x:c r="T37" s="118"/>
      <x:c r="U37" s="118"/>
      <x:c r="V37" s="118"/>
      <x:c r="W37" s="118"/>
      <x:c r="X37" s="118"/>
      <x:c r="Y37" s="118"/>
      <x:c r="Z37" s="118"/>
      <x:c r="AA37" s="118"/>
      <x:c r="AB37" s="118"/>
      <x:c r="AC37" s="118"/>
      <x:c r="AD37" s="118"/>
      <x:c r="AE37" s="118"/>
      <x:c r="AF37" s="118"/>
      <x:c r="AG37" s="118"/>
      <x:c r="AH37" s="118"/>
    </x:row>
    <x:row r="38">
      <x:c r="A38" s="118" t="str">
        <x:v>Average Total Assets</x:v>
      </x:c>
      <x:c r="B38" s="118" t="str">
        <x:v>INR mn</x:v>
      </x:c>
      <x:c r="C38" s="118" t="str">
        <x:v>Derived</x:v>
      </x:c>
      <x:c r="D38" s="193" t="str">
        <x:v>NA</x:v>
      </x:c>
      <x:c r="E38" s="195" t="n">
        <x:f>AVERAGE(D25,E25)</x:f>
        <x:v>26028.483999999997</x:v>
      </x:c>
      <x:c r="F38" s="195" t="n">
        <x:f>AVERAGE(E25,F25)</x:f>
        <x:v>31184.372000000003</x:v>
      </x:c>
      <x:c r="G38" s="195" t="n">
        <x:f>AVERAGE(F25,G25)</x:f>
        <x:v>38182.96394673713</x:v>
      </x:c>
      <x:c r="H38" s="195" t="n">
        <x:f>AVERAGE(G25,H25)</x:f>
        <x:v>46180.36784247648</x:v>
      </x:c>
      <x:c r="I38" s="195" t="n">
        <x:f>AVERAGE(H25,I25)</x:f>
        <x:v>54915.22478172122</x:v>
      </x:c>
      <x:c r="J38" s="195" t="n">
        <x:f>AVERAGE(I25,J25)</x:f>
        <x:v>64757.04447114153</x:v>
      </x:c>
      <x:c r="K38" s="195" t="n">
        <x:f>AVERAGE(J25,K25)</x:f>
        <x:v>75868.6520502387</x:v>
      </x:c>
      <x:c r="L38" s="118"/>
      <x:c r="M38" s="118"/>
      <x:c r="N38" s="118"/>
      <x:c r="O38" s="118"/>
      <x:c r="P38" s="118"/>
      <x:c r="Q38" s="118"/>
      <x:c r="R38" s="118"/>
      <x:c r="S38" s="118"/>
      <x:c r="T38" s="118"/>
      <x:c r="U38" s="118"/>
      <x:c r="V38" s="118"/>
      <x:c r="W38" s="118"/>
      <x:c r="X38" s="118"/>
      <x:c r="Y38" s="118"/>
      <x:c r="Z38" s="118"/>
      <x:c r="AA38" s="118"/>
      <x:c r="AB38" s="118"/>
      <x:c r="AC38" s="118"/>
      <x:c r="AD38" s="118"/>
      <x:c r="AE38" s="118"/>
      <x:c r="AF38" s="118"/>
      <x:c r="AG38" s="118"/>
      <x:c r="AH38" s="118"/>
    </x:row>
    <x:row r="39">
      <x:c r="A39" s="118" t="str">
        <x:v>Depreciation &amp; Amortisation</x:v>
      </x:c>
      <x:c r="B39" s="118" t="str">
        <x:v>INR mn</x:v>
      </x:c>
      <x:c r="C39" s="118" t="str">
        <x:v>Reported / forecast</x:v>
      </x:c>
      <x:c r="D39" s="192" t="n">
        <x:v>818.242</x:v>
      </x:c>
      <x:c r="E39" s="192" t="n">
        <x:v>893.713</x:v>
      </x:c>
      <x:c r="F39" s="192" t="n">
        <x:v>1340.7</x:v>
      </x:c>
      <x:c r="G39" s="192" t="n">
        <x:v>1454.3548</x:v>
      </x:c>
      <x:c r="H39" s="192" t="n">
        <x:v>2101.420672</x:v>
      </x:c>
      <x:c r="I39" s="192" t="n">
        <x:v>2805.00347648</x:v>
      </x:c>
      <x:c r="J39" s="192" t="n">
        <x:v>2972.051009843</x:v>
      </x:c>
      <x:c r="K39" s="192" t="n">
        <x:v>2946.017401691</x:v>
      </x:c>
      <x:c r="L39" s="118"/>
      <x:c r="M39" s="118"/>
      <x:c r="N39" s="118"/>
      <x:c r="O39" s="118"/>
      <x:c r="P39" s="118"/>
      <x:c r="Q39" s="118"/>
      <x:c r="R39" s="118"/>
      <x:c r="S39" s="118"/>
      <x:c r="T39" s="118"/>
      <x:c r="U39" s="118"/>
      <x:c r="V39" s="118"/>
      <x:c r="W39" s="118"/>
      <x:c r="X39" s="118"/>
      <x:c r="Y39" s="118"/>
      <x:c r="Z39" s="118"/>
      <x:c r="AA39" s="118"/>
      <x:c r="AB39" s="118"/>
      <x:c r="AC39" s="118"/>
      <x:c r="AD39" s="118"/>
      <x:c r="AE39" s="118"/>
      <x:c r="AF39" s="118"/>
      <x:c r="AG39" s="118"/>
      <x:c r="AH39" s="118"/>
    </x:row>
    <x:row r="40">
      <x:c r="A40" s="118" t="str">
        <x:v>Normalised Tax Rate</x:v>
      </x:c>
      <x:c r="B40" s="118" t="str">
        <x:v>%</x:v>
      </x:c>
      <x:c r="C40" s="118" t="str">
        <x:v>Analyst assumption</x:v>
      </x:c>
      <x:c r="D40" s="196" t="n">
        <x:v>0.25</x:v>
      </x:c>
      <x:c r="E40" s="196" t="n">
        <x:v>0.25</x:v>
      </x:c>
      <x:c r="F40" s="196" t="n">
        <x:v>0.25</x:v>
      </x:c>
      <x:c r="G40" s="196" t="n">
        <x:v>0.25</x:v>
      </x:c>
      <x:c r="H40" s="196" t="n">
        <x:v>0.25</x:v>
      </x:c>
      <x:c r="I40" s="196" t="n">
        <x:v>0.25</x:v>
      </x:c>
      <x:c r="J40" s="196" t="n">
        <x:v>0.25</x:v>
      </x:c>
      <x:c r="K40" s="196" t="n">
        <x:v>0.25</x:v>
      </x:c>
      <x:c r="L40" s="118"/>
      <x:c r="M40" s="118"/>
      <x:c r="N40" s="118"/>
      <x:c r="O40" s="118"/>
      <x:c r="P40" s="118"/>
      <x:c r="Q40" s="118"/>
      <x:c r="R40" s="118"/>
      <x:c r="S40" s="118"/>
      <x:c r="T40" s="118"/>
      <x:c r="U40" s="118"/>
      <x:c r="V40" s="118"/>
      <x:c r="W40" s="118"/>
      <x:c r="X40" s="118"/>
      <x:c r="Y40" s="118"/>
      <x:c r="Z40" s="118"/>
      <x:c r="AA40" s="118"/>
      <x:c r="AB40" s="118"/>
      <x:c r="AC40" s="118"/>
      <x:c r="AD40" s="118"/>
      <x:c r="AE40" s="118"/>
      <x:c r="AF40" s="118"/>
      <x:c r="AG40" s="118"/>
      <x:c r="AH40" s="118"/>
    </x:row>
    <x:row r="41">
      <x:c r="A41" s="118" t="str">
        <x:v>NOPAT</x:v>
      </x:c>
      <x:c r="B41" s="118" t="str">
        <x:v>INR mn</x:v>
      </x:c>
      <x:c r="C41" s="118" t="str">
        <x:v>EBIT × (1 – normalised tax)</x:v>
      </x:c>
      <x:c r="D41" s="195" t="n">
        <x:f>D16*(1-D40)</x:f>
        <x:v>3651.402</x:v>
      </x:c>
      <x:c r="E41" s="195" t="n">
        <x:f>E16*(1-E40)</x:f>
        <x:v>5003.9752499999995</x:v>
      </x:c>
      <x:c r="F41" s="195" t="n">
        <x:f>F16*(1-F40)</x:f>
        <x:v>6416.4375</x:v>
      </x:c>
      <x:c r="G41" s="195" t="n">
        <x:f>G16*(1-G40)</x:f>
        <x:v>7281.889678783016</x:v>
      </x:c>
      <x:c r="H41" s="195" t="n">
        <x:f>H16*(1-H40)</x:f>
        <x:v>8209.23311563084</x:v>
      </x:c>
      <x:c r="I41" s="195" t="n">
        <x:f>I16*(1-I40)</x:f>
        <x:v>9538.370878114318</x:v>
      </x:c>
      <x:c r="J41" s="195" t="n">
        <x:f>J16*(1-J40)</x:f>
        <x:v>11497.440183247058</x:v>
      </x:c>
      <x:c r="K41" s="195" t="n">
        <x:f>K16*(1-K40)</x:f>
        <x:v>13616.662792952357</x:v>
      </x:c>
      <x:c r="L41" s="118"/>
      <x:c r="M41" s="118"/>
      <x:c r="N41" s="118"/>
      <x:c r="O41" s="118"/>
      <x:c r="P41" s="118"/>
      <x:c r="Q41" s="118"/>
      <x:c r="R41" s="118"/>
      <x:c r="S41" s="118"/>
      <x:c r="T41" s="118"/>
      <x:c r="U41" s="118"/>
      <x:c r="V41" s="118"/>
      <x:c r="W41" s="118"/>
      <x:c r="X41" s="118"/>
      <x:c r="Y41" s="118"/>
      <x:c r="Z41" s="118"/>
      <x:c r="AA41" s="118"/>
      <x:c r="AB41" s="118"/>
      <x:c r="AC41" s="118"/>
      <x:c r="AD41" s="118"/>
      <x:c r="AE41" s="118"/>
      <x:c r="AF41" s="118"/>
      <x:c r="AG41" s="118"/>
      <x:c r="AH41" s="118"/>
    </x:row>
    <x:row r="42">
      <x:c r="A42" s="118" t="str">
        <x:v>Fixed Asset Turnover</x:v>
      </x:c>
      <x:c r="B42" s="118" t="str">
        <x:v>x</x:v>
      </x:c>
      <x:c r="C42" s="118" t="str">
        <x:v>Revenue / Avg Net PP&amp;E</x:v>
      </x:c>
      <x:c r="D42" s="193" t="str">
        <x:v>NA</x:v>
      </x:c>
      <x:c r="E42" s="197" t="n">
        <x:f>IFERROR(E7/E36,"")</x:f>
        <x:v>3.1627354505251795</x:v>
      </x:c>
      <x:c r="F42" s="197" t="n">
        <x:f>IFERROR(F7/F36,"")</x:f>
        <x:v>2.8771253734326936</x:v>
      </x:c>
      <x:c r="G42" s="197" t="n">
        <x:f>IFERROR(G7/G36,"")</x:f>
        <x:v>2.9818535360492966</x:v>
      </x:c>
      <x:c r="H42" s="197" t="n">
        <x:f>IFERROR(H7/H36,"")</x:f>
        <x:v>2.403145707033759</x:v>
      </x:c>
      <x:c r="I42" s="197" t="n">
        <x:f>IFERROR(I7/I36,"")</x:f>
        <x:v>2.108296118939081</x:v>
      </x:c>
      <x:c r="J42" s="197" t="n">
        <x:f>IFERROR(J7/J36,"")</x:f>
        <x:v>2.290518121781138</x:v>
      </x:c>
      <x:c r="K42" s="197" t="n">
        <x:f>IFERROR(K7/K36,"")</x:f>
        <x:v>2.5998246300361636</x:v>
      </x:c>
      <x:c r="L42" s="118"/>
      <x:c r="M42" s="118"/>
      <x:c r="N42" s="118"/>
      <x:c r="O42" s="118"/>
      <x:c r="P42" s="118"/>
      <x:c r="Q42" s="118"/>
      <x:c r="R42" s="118"/>
      <x:c r="S42" s="118"/>
      <x:c r="T42" s="118"/>
      <x:c r="U42" s="118"/>
      <x:c r="V42" s="118"/>
      <x:c r="W42" s="118"/>
      <x:c r="X42" s="118"/>
      <x:c r="Y42" s="118"/>
      <x:c r="Z42" s="118"/>
      <x:c r="AA42" s="118"/>
      <x:c r="AB42" s="118"/>
      <x:c r="AC42" s="118"/>
      <x:c r="AD42" s="118"/>
      <x:c r="AE42" s="118"/>
      <x:c r="AF42" s="118"/>
      <x:c r="AG42" s="118"/>
      <x:c r="AH42" s="118"/>
    </x:row>
    <x:row r="43">
      <x:c r="A43" s="118" t="str">
        <x:v>Invested Fixed Asset Turnover</x:v>
      </x:c>
      <x:c r="B43" s="118" t="str">
        <x:v>x</x:v>
      </x:c>
      <x:c r="C43" s="118" t="str">
        <x:v>Revenue / Avg (Net PP&amp;E + CWIP)</x:v>
      </x:c>
      <x:c r="D43" s="193" t="str">
        <x:v>NA</x:v>
      </x:c>
      <x:c r="E43" s="197" t="n">
        <x:f>IFERROR(E7/E37,"")</x:f>
        <x:v>2.0404302269956633</x:v>
      </x:c>
      <x:c r="F43" s="197" t="n">
        <x:f>IFERROR(F7/F37,"")</x:f>
        <x:v>2.084792512489252</x:v>
      </x:c>
      <x:c r="G43" s="197" t="n">
        <x:f>IFERROR(G7/G37,"")</x:f>
        <x:v>1.8782599891442262</x:v>
      </x:c>
      <x:c r="H43" s="197" t="n">
        <x:f>IFERROR(H7/H37,"")</x:f>
        <x:v>1.660351088855734</x:v>
      </x:c>
      <x:c r="I43" s="197" t="n">
        <x:f>IFERROR(I7/I37,"")</x:f>
        <x:v>1.8110652023773826</x:v>
      </x:c>
      <x:c r="J43" s="197" t="n">
        <x:f>IFERROR(J7/J37,"")</x:f>
        <x:v>2.1467314035766556</x:v>
      </x:c>
      <x:c r="K43" s="197" t="n">
        <x:f>IFERROR(K7/K37,"")</x:f>
        <x:v>2.5046071942495507</x:v>
      </x:c>
      <x:c r="L43" s="118"/>
      <x:c r="M43" s="118"/>
      <x:c r="N43" s="118"/>
      <x:c r="O43" s="118"/>
      <x:c r="P43" s="118"/>
      <x:c r="Q43" s="118"/>
      <x:c r="R43" s="118"/>
      <x:c r="S43" s="118"/>
      <x:c r="T43" s="118"/>
      <x:c r="U43" s="118"/>
      <x:c r="V43" s="118"/>
      <x:c r="W43" s="118"/>
      <x:c r="X43" s="118"/>
      <x:c r="Y43" s="118"/>
      <x:c r="Z43" s="118"/>
      <x:c r="AA43" s="118"/>
      <x:c r="AB43" s="118"/>
      <x:c r="AC43" s="118"/>
      <x:c r="AD43" s="118"/>
      <x:c r="AE43" s="118"/>
      <x:c r="AF43" s="118"/>
      <x:c r="AG43" s="118"/>
      <x:c r="AH43" s="118"/>
    </x:row>
    <x:row r="44">
      <x:c r="A44" s="118" t="str">
        <x:v>Total Asset Turnover</x:v>
      </x:c>
      <x:c r="B44" s="118" t="str">
        <x:v>x</x:v>
      </x:c>
      <x:c r="C44" s="118" t="str">
        <x:v>Revenue / Avg Total Assets</x:v>
      </x:c>
      <x:c r="D44" s="193" t="str">
        <x:v>NA</x:v>
      </x:c>
      <x:c r="E44" s="197" t="n">
        <x:f>IFERROR(E7/E38,"")</x:f>
        <x:v>0.7086669742271582</x:v>
      </x:c>
      <x:c r="F44" s="197" t="n">
        <x:f>IFERROR(F7/F38,"")</x:f>
        <x:v>0.6812171814779531</x:v>
      </x:c>
      <x:c r="G44" s="197" t="n">
        <x:f>IFERROR(G7/G38,"")</x:f>
        <x:v>0.6503981060402837</x:v>
      </x:c>
      <x:c r="H44" s="197" t="n">
        <x:f>IFERROR(H7/H38,"")</x:f>
        <x:v>0.6273665522811143</x:v>
      </x:c>
      <x:c r="I44" s="197" t="n">
        <x:f>IFERROR(I7/I38,"")</x:f>
        <x:v>0.6183746710007177</x:v>
      </x:c>
      <x:c r="J44" s="197" t="n">
        <x:f>IFERROR(J7/J38,"")</x:f>
        <x:v>0.6038466034278795</x:v>
      </x:c>
      <x:c r="K44" s="197" t="n">
        <x:f>IFERROR(K7/K38,"")</x:f>
        <x:v>0.579997848285705</x:v>
      </x:c>
      <x:c r="L44" s="118"/>
      <x:c r="M44" s="118"/>
      <x:c r="N44" s="118"/>
      <x:c r="O44" s="118"/>
      <x:c r="P44" s="118"/>
      <x:c r="Q44" s="118"/>
      <x:c r="R44" s="118"/>
      <x:c r="S44" s="118"/>
      <x:c r="T44" s="118"/>
      <x:c r="U44" s="118"/>
      <x:c r="V44" s="118"/>
      <x:c r="W44" s="118"/>
      <x:c r="X44" s="118"/>
      <x:c r="Y44" s="118"/>
      <x:c r="Z44" s="118"/>
      <x:c r="AA44" s="118"/>
      <x:c r="AB44" s="118"/>
      <x:c r="AC44" s="118"/>
      <x:c r="AD44" s="118"/>
      <x:c r="AE44" s="118"/>
      <x:c r="AF44" s="118"/>
      <x:c r="AG44" s="118"/>
      <x:c r="AH44" s="118"/>
    </x:row>
    <x:row r="45">
      <x:c r="A45" s="118" t="str">
        <x:v>Reported / Financial ROCE</x:v>
      </x:c>
      <x:c r="B45" s="118" t="str">
        <x:v>%</x:v>
      </x:c>
      <x:c r="C45" s="118" t="str">
        <x:v>EBIT / Avg Capital Employed</x:v>
      </x:c>
      <x:c r="D45" s="193" t="str">
        <x:v>NA</x:v>
      </x:c>
      <x:c r="E45" s="194" t="n">
        <x:f>IF(E33&gt;0,E16/E33,"")</x:f>
        <x:v>0.40807568153241985</x:v>
      </x:c>
      <x:c r="F45" s="194" t="n">
        <x:f>IF(F33&gt;0,F16/F33,"")</x:f>
        <x:v>0.480765867149138</x:v>
      </x:c>
      <x:c r="G45" s="194" t="n">
        <x:f>IF(G33&gt;0,G16/G33,"")</x:f>
        <x:v>0.46245805514118216</x:v>
      </x:c>
      <x:c r="H45" s="194" t="n">
        <x:f>IF(H33&gt;0,H16/H33,"")</x:f>
        <x:v>0.4202103264021234</x:v>
      </x:c>
      <x:c r="I45" s="194" t="n">
        <x:f>IF(I33&gt;0,I16/I33,"")</x:f>
        <x:v>0.4480604320797039</x:v>
      </x:c>
      <x:c r="J45" s="194" t="n">
        <x:f>IF(J33&gt;0,J16/J33,"")</x:f>
        <x:v>0.5303988941087914</x:v>
      </x:c>
      <x:c r="K45" s="194" t="n">
        <x:f>IF(K33&gt;0,K16/K33,"")</x:f>
        <x:v>0.6212741897840081</x:v>
      </x:c>
      <x:c r="L45" s="118"/>
      <x:c r="M45" s="118"/>
      <x:c r="N45" s="118"/>
      <x:c r="O45" s="118"/>
      <x:c r="P45" s="118"/>
      <x:c r="Q45" s="118"/>
      <x:c r="R45" s="118"/>
      <x:c r="S45" s="118"/>
      <x:c r="T45" s="118"/>
      <x:c r="U45" s="118"/>
      <x:c r="V45" s="118"/>
      <x:c r="W45" s="118"/>
      <x:c r="X45" s="118"/>
      <x:c r="Y45" s="118"/>
      <x:c r="Z45" s="118"/>
      <x:c r="AA45" s="118"/>
      <x:c r="AB45" s="118"/>
      <x:c r="AC45" s="118"/>
      <x:c r="AD45" s="118"/>
      <x:c r="AE45" s="118"/>
      <x:c r="AF45" s="118"/>
      <x:c r="AG45" s="118"/>
      <x:c r="AH45" s="118"/>
    </x:row>
    <x:row r="46">
      <x:c r="A46" s="118" t="str">
        <x:v>Operating ROCE</x:v>
      </x:c>
      <x:c r="B46" s="118" t="str">
        <x:v>%</x:v>
      </x:c>
      <x:c r="C46" s="118" t="str">
        <x:v>NOPAT / Avg Operating Capital Employed</x:v>
      </x:c>
      <x:c r="D46" s="193" t="str">
        <x:v>NA</x:v>
      </x:c>
      <x:c r="E46" s="194" t="n">
        <x:f>IF(E35&gt;0,E41/E35,"")</x:f>
        <x:v>0.31276933047780936</x:v>
      </x:c>
      <x:c r="F46" s="194" t="n">
        <x:f>IF(F35&gt;0,F41/F35,"")</x:f>
        <x:v>0.3656786408282398</x:v>
      </x:c>
      <x:c r="G46" s="194" t="n">
        <x:f>IF(G35&gt;0,G41/G35,"")</x:f>
        <x:v>0.3518818395427073</x:v>
      </x:c>
      <x:c r="H46" s="194" t="n">
        <x:f>IF(H35&gt;0,H41/H35,"")</x:f>
        <x:v>0.3195355601429512</x:v>
      </x:c>
      <x:c r="I46" s="194" t="n">
        <x:f>IF(I35&gt;0,I41/I35,"")</x:f>
        <x:v>0.3409500618971484</x:v>
      </x:c>
      <x:c r="J46" s="194" t="n">
        <x:f>IF(J35&gt;0,J41/J35,"")</x:f>
        <x:v>0.403782139679983</x:v>
      </x:c>
      <x:c r="K46" s="194" t="n">
        <x:f>IF(K35&gt;0,K41/K35,"")</x:f>
        <x:v>0.47284080122286</x:v>
      </x:c>
      <x:c r="L46" s="118"/>
      <x:c r="M46" s="118"/>
      <x:c r="N46" s="118"/>
      <x:c r="O46" s="118"/>
      <x:c r="P46" s="118"/>
      <x:c r="Q46" s="118"/>
      <x:c r="R46" s="118"/>
      <x:c r="S46" s="118"/>
      <x:c r="T46" s="118"/>
      <x:c r="U46" s="118"/>
      <x:c r="V46" s="118"/>
      <x:c r="W46" s="118"/>
      <x:c r="X46" s="118"/>
      <x:c r="Y46" s="118"/>
      <x:c r="Z46" s="118"/>
      <x:c r="AA46" s="118"/>
      <x:c r="AB46" s="118"/>
      <x:c r="AC46" s="118"/>
      <x:c r="AD46" s="118"/>
      <x:c r="AE46" s="118"/>
      <x:c r="AF46" s="118"/>
      <x:c r="AG46" s="118"/>
      <x:c r="AH46" s="118"/>
    </x:row>
    <x:row r="47">
      <x:c r="A47" s="118" t="str">
        <x:v>ROA</x:v>
      </x:c>
      <x:c r="B47" s="118" t="str">
        <x:v>%</x:v>
      </x:c>
      <x:c r="C47" s="118" t="str">
        <x:v>PAT / Avg Total Assets</x:v>
      </x:c>
      <x:c r="D47" s="193" t="str">
        <x:v>NA</x:v>
      </x:c>
      <x:c r="E47" s="194" t="n">
        <x:f>IFERROR(E17/E38,"")</x:f>
        <x:v>0.17337133426595266</x:v>
      </x:c>
      <x:c r="F47" s="194" t="n">
        <x:f>IFERROR(F17/F38,"")</x:f>
        <x:v>0.1897723000482421</x:v>
      </x:c>
      <x:c r="G47" s="194" t="n">
        <x:f>IFERROR(G17/G38,"")</x:f>
        <x:v>0.18793453798948598</x:v>
      </x:c>
      <x:c r="H47" s="194" t="n">
        <x:f>IFERROR(H17/H38,"")</x:f>
        <x:v>0.17539437324790988</x:v>
      </x:c>
      <x:c r="I47" s="194" t="n">
        <x:f>IFERROR(I17/I38,"")</x:f>
        <x:v>0.1720715178861869</x:v>
      </x:c>
      <x:c r="J47" s="194" t="n">
        <x:f>IFERROR(J17/J38,"")</x:f>
        <x:v>0.17518002980909964</x:v>
      </x:c>
      <x:c r="K47" s="194" t="n">
        <x:f>IFERROR(K17/K38,"")</x:f>
        <x:v>0.1770837747341269</x:v>
      </x:c>
      <x:c r="L47" s="118"/>
      <x:c r="M47" s="118"/>
      <x:c r="N47" s="118"/>
      <x:c r="O47" s="118"/>
      <x:c r="P47" s="118"/>
      <x:c r="Q47" s="118"/>
      <x:c r="R47" s="118"/>
      <x:c r="S47" s="118"/>
      <x:c r="T47" s="118"/>
      <x:c r="U47" s="118"/>
      <x:c r="V47" s="118"/>
      <x:c r="W47" s="118"/>
      <x:c r="X47" s="118"/>
      <x:c r="Y47" s="118"/>
      <x:c r="Z47" s="118"/>
      <x:c r="AA47" s="118"/>
      <x:c r="AB47" s="118"/>
      <x:c r="AC47" s="118"/>
      <x:c r="AD47" s="118"/>
      <x:c r="AE47" s="118"/>
      <x:c r="AF47" s="118"/>
      <x:c r="AG47" s="118"/>
      <x:c r="AH47" s="118"/>
    </x:row>
    <x:row r="48">
      <x:c r="A48" s="118" t="str">
        <x:v>EBITDA / Avg Net PP&amp;E</x:v>
      </x:c>
      <x:c r="B48" s="118" t="str">
        <x:v>x</x:v>
      </x:c>
      <x:c r="C48" s="118" t="str">
        <x:v>Derived</x:v>
      </x:c>
      <x:c r="D48" s="193" t="str">
        <x:v>NA</x:v>
      </x:c>
      <x:c r="E48" s="197" t="n">
        <x:f>IFERROR(E14/E36,"")</x:f>
        <x:v>1.2972383138377854</x:v>
      </x:c>
      <x:c r="F48" s="197" t="n">
        <x:f>IFERROR(F14/F36,"")</x:f>
        <x:v>1.3402742808788106</x:v>
      </x:c>
      <x:c r="G48" s="197" t="n">
        <x:f>IFERROR(G14/G36,"")</x:f>
        <x:v>1.340415297804803</x:v>
      </x:c>
      <x:c r="H48" s="197" t="n">
        <x:f>IFERROR(H14/H36,"")</x:f>
        <x:v>1.0822165600319886</x:v>
      </x:c>
      <x:c r="I48" s="197" t="n">
        <x:f>IFERROR(I14/I36,"")</x:f>
        <x:v>0.9637360160052033</x:v>
      </x:c>
      <x:c r="J48" s="197" t="n">
        <x:f>IFERROR(J14/J36,"")</x:f>
        <x:v>1.0720571903525535</x:v>
      </x:c>
      <x:c r="K48" s="197" t="n">
        <x:f>IFERROR(K14/K36,"")</x:f>
        <x:v>1.2467231586046132</x:v>
      </x:c>
      <x:c r="L48" s="118"/>
      <x:c r="M48" s="118"/>
      <x:c r="N48" s="118"/>
      <x:c r="O48" s="118"/>
      <x:c r="P48" s="118"/>
      <x:c r="Q48" s="118"/>
      <x:c r="R48" s="118"/>
      <x:c r="S48" s="118"/>
      <x:c r="T48" s="118"/>
      <x:c r="U48" s="118"/>
      <x:c r="V48" s="118"/>
      <x:c r="W48" s="118"/>
      <x:c r="X48" s="118"/>
      <x:c r="Y48" s="118"/>
      <x:c r="Z48" s="118"/>
      <x:c r="AA48" s="118"/>
      <x:c r="AB48" s="118"/>
      <x:c r="AC48" s="118"/>
      <x:c r="AD48" s="118"/>
      <x:c r="AE48" s="118"/>
      <x:c r="AF48" s="118"/>
      <x:c r="AG48" s="118"/>
      <x:c r="AH48" s="118"/>
    </x:row>
    <x:row r="49">
      <x:c r="A49" s="118" t="str">
        <x:v>EBIT / Avg Net PP&amp;E</x:v>
      </x:c>
      <x:c r="B49" s="118" t="str">
        <x:v>x</x:v>
      </x:c>
      <x:c r="C49" s="118" t="str">
        <x:v>Derived</x:v>
      </x:c>
      <x:c r="D49" s="193" t="str">
        <x:v>NA</x:v>
      </x:c>
      <x:c r="E49" s="197" t="n">
        <x:f>IFERROR(E16/E36,"")</x:f>
        <x:v>1.143999114562253</x:v>
      </x:c>
      <x:c r="F49" s="197" t="n">
        <x:f>IFERROR(F16/F36,"")</x:f>
        <x:v>1.1586943690589022</x:v>
      </x:c>
      <x:c r="G49" s="197" t="n">
        <x:f>IFERROR(G16/G36,"")</x:f>
        <x:v>1.1657897542022686</x:v>
      </x:c>
      <x:c r="H49" s="197" t="n">
        <x:f>IFERROR(H16/H36,"")</x:f>
        <x:v>0.9079097499462776</x:v>
      </x:c>
      <x:c r="I49" s="197" t="n">
        <x:f>IFERROR(I16/I36,"")</x:f>
        <x:v>0.7895871883443977</x:v>
      </x:c>
      <x:c r="J49" s="197" t="n">
        <x:f>IFERROR(J16/J36,"")</x:f>
        <x:v>0.8979661806494016</x:v>
      </x:c>
      <x:c r="K49" s="197" t="n">
        <x:f>IFERROR(K16/K36,"")</x:f>
        <x:v>1.0726665123642625</x:v>
      </x:c>
      <x:c r="L49" s="118"/>
      <x:c r="M49" s="118"/>
      <x:c r="N49" s="118"/>
      <x:c r="O49" s="118"/>
      <x:c r="P49" s="118"/>
      <x:c r="Q49" s="118"/>
      <x:c r="R49" s="118"/>
      <x:c r="S49" s="118"/>
      <x:c r="T49" s="118"/>
      <x:c r="U49" s="118"/>
      <x:c r="V49" s="118"/>
      <x:c r="W49" s="118"/>
      <x:c r="X49" s="118"/>
      <x:c r="Y49" s="118"/>
      <x:c r="Z49" s="118"/>
      <x:c r="AA49" s="118"/>
      <x:c r="AB49" s="118"/>
      <x:c r="AC49" s="118"/>
      <x:c r="AD49" s="118"/>
      <x:c r="AE49" s="118"/>
      <x:c r="AF49" s="118"/>
      <x:c r="AG49" s="118"/>
      <x:c r="AH49" s="118"/>
    </x:row>
    <x:row r="50">
      <x:c r="A50" s="118" t="str">
        <x:v>Capex / Sales</x:v>
      </x:c>
      <x:c r="B50" s="118" t="str">
        <x:v>%</x:v>
      </x:c>
      <x:c r="C50" s="118" t="str">
        <x:v>Derived</x:v>
      </x:c>
      <x:c r="D50" s="194" t="n">
        <x:f>IFERROR(D20/D7,"")</x:f>
        <x:v>0.2043446611791601</x:v>
      </x:c>
      <x:c r="E50" s="194" t="n">
        <x:f>IFERROR(E20/E7,"")</x:f>
        <x:v>0.1445966276810633</x:v>
      </x:c>
      <x:c r="F50" s="194" t="n">
        <x:f>IFERROR(F20/F7,"")</x:f>
        <x:v>0.09940484848656024</x:v>
      </x:c>
      <x:c r="G50" s="194" t="n">
        <x:f>IFERROR(G20/G7,"")</x:f>
        <x:v>0.2818701812098721</x:v>
      </x:c>
      <x:c r="H50" s="194" t="n">
        <x:f>IFERROR(H20/H7,"")</x:f>
        <x:v>0.17258031432284213</x:v>
      </x:c>
      <x:c r="I50" s="194" t="n">
        <x:f>IFERROR(I20/I7,"")</x:f>
        <x:v>0.07361995552469959</x:v>
      </x:c>
      <x:c r="J50" s="194" t="n">
        <x:f>IFERROR(J20/J7,"")</x:f>
        <x:v>0.05626120554313443</x:v>
      </x:c>
      <x:c r="K50" s="194" t="n">
        <x:f>IFERROR(K20/K7,"")</x:f>
        <x:v>0.055</x:v>
      </x:c>
      <x:c r="L50" s="118"/>
      <x:c r="M50" s="118"/>
      <x:c r="N50" s="118"/>
      <x:c r="O50" s="118"/>
      <x:c r="P50" s="118"/>
      <x:c r="Q50" s="118"/>
      <x:c r="R50" s="118"/>
      <x:c r="S50" s="118"/>
      <x:c r="T50" s="118"/>
      <x:c r="U50" s="118"/>
      <x:c r="V50" s="118"/>
      <x:c r="W50" s="118"/>
      <x:c r="X50" s="118"/>
      <x:c r="Y50" s="118"/>
      <x:c r="Z50" s="118"/>
      <x:c r="AA50" s="118"/>
      <x:c r="AB50" s="118"/>
      <x:c r="AC50" s="118"/>
      <x:c r="AD50" s="118"/>
      <x:c r="AE50" s="118"/>
      <x:c r="AF50" s="118"/>
      <x:c r="AG50" s="118"/>
      <x:c r="AH50" s="118"/>
    </x:row>
    <x:row r="51">
      <x:c r="A51" s="118" t="str">
        <x:v>Capex / Depreciation</x:v>
      </x:c>
      <x:c r="B51" s="118" t="str">
        <x:v>x</x:v>
      </x:c>
      <x:c r="C51" s="118" t="str">
        <x:v>Derived</x:v>
      </x:c>
      <x:c r="D51" s="197" t="n">
        <x:f>IFERROR(D20/D39,"")</x:f>
        <x:v>3.544679935764725</x:v>
      </x:c>
      <x:c r="E51" s="197" t="n">
        <x:f>IFERROR(E20/E39,"")</x:f>
        <x:v>2.984359632230929</x:v>
      </x:c>
      <x:c r="F51" s="197" t="n">
        <x:f>IFERROR(F20/F39,"")</x:f>
        <x:v>1.575065264414112</x:v>
      </x:c>
      <x:c r="G51" s="197" t="n">
        <x:f>IFERROR(G20/G39,"")</x:f>
        <x:v>4.813130881130244</x:v>
      </x:c>
      <x:c r="H51" s="197" t="n">
        <x:f>IFERROR(H20/H39,"")</x:f>
        <x:v>2.3793427306686357</x:v>
      </x:c>
      <x:c r="I51" s="197" t="n">
        <x:f>IFERROR(I20/I39,"")</x:f>
        <x:v>0.8912644925264945</x:v>
      </x:c>
      <x:c r="J51" s="197" t="n">
        <x:f>IFERROR(J20/J39,"")</x:f>
        <x:v>0.7402295561933225</x:v>
      </x:c>
      <x:c r="K51" s="197" t="n">
        <x:f>IFERROR(K20/K39,"")</x:f>
        <x:v>0.8215162002749735</x:v>
      </x:c>
      <x:c r="L51" s="118"/>
      <x:c r="M51" s="118"/>
      <x:c r="N51" s="118"/>
      <x:c r="O51" s="118"/>
      <x:c r="P51" s="118"/>
      <x:c r="Q51" s="118"/>
      <x:c r="R51" s="118"/>
      <x:c r="S51" s="118"/>
      <x:c r="T51" s="118"/>
      <x:c r="U51" s="118"/>
      <x:c r="V51" s="118"/>
      <x:c r="W51" s="118"/>
      <x:c r="X51" s="118"/>
      <x:c r="Y51" s="118"/>
      <x:c r="Z51" s="118"/>
      <x:c r="AA51" s="118"/>
      <x:c r="AB51" s="118"/>
      <x:c r="AC51" s="118"/>
      <x:c r="AD51" s="118"/>
      <x:c r="AE51" s="118"/>
      <x:c r="AF51" s="118"/>
      <x:c r="AG51" s="118"/>
      <x:c r="AH51" s="118"/>
    </x:row>
    <x:row r="52">
      <x:c r="A52" s="118" t="str">
        <x:v>CWIP / Total Fixed Capital</x:v>
      </x:c>
      <x:c r="B52" s="118" t="str">
        <x:v>%</x:v>
      </x:c>
      <x:c r="C52" s="118" t="str">
        <x:v>CWIP / (Net PP&amp;E + CWIP)</x:v>
      </x:c>
      <x:c r="D52" s="194" t="n">
        <x:f>IFERROR(D23/D24,"")</x:f>
        <x:v>0.42310321937289763</x:v>
      </x:c>
      <x:c r="E52" s="194" t="n">
        <x:f>IFERROR(E23/E24,"")</x:f>
        <x:v>0.2988766094583707</x:v>
      </x:c>
      <x:c r="F52" s="194" t="n">
        <x:f>IFERROR(F23/F24,"")</x:f>
        <x:v>0.2530573640472177</x:v>
      </x:c>
      <x:c r="G52" s="194" t="n">
        <x:f>IFERROR(G23/G24,"")</x:f>
        <x:v>0.44653129844690126</x:v>
      </x:c>
      <x:c r="H52" s="194" t="n">
        <x:f>IFERROR(H23/H24,"")</x:f>
        <x:v>0.19276550571367865</x:v>
      </x:c>
      <x:c r="I52" s="194" t="n">
        <x:f>IFERROR(I23/I24,"")</x:f>
        <x:v>0.08835906206371705</x:v>
      </x:c>
      <x:c r="J52" s="194" t="n">
        <x:f>IFERROR(J23/J24,"")</x:f>
        <x:v>0.03608704166023598</x:v>
      </x:c>
      <x:c r="K52" s="194" t="n">
        <x:f>IFERROR(K23/K24,"")</x:f>
        <x:v>0.03717833527139766</x:v>
      </x:c>
      <x:c r="L52" s="118"/>
      <x:c r="M52" s="118"/>
      <x:c r="N52" s="118"/>
      <x:c r="O52" s="118"/>
      <x:c r="P52" s="118"/>
      <x:c r="Q52" s="118"/>
      <x:c r="R52" s="118"/>
      <x:c r="S52" s="118"/>
      <x:c r="T52" s="118"/>
      <x:c r="U52" s="118"/>
      <x:c r="V52" s="118"/>
      <x:c r="W52" s="118"/>
      <x:c r="X52" s="118"/>
      <x:c r="Y52" s="118"/>
      <x:c r="Z52" s="118"/>
      <x:c r="AA52" s="118"/>
      <x:c r="AB52" s="118"/>
      <x:c r="AC52" s="118"/>
      <x:c r="AD52" s="118"/>
      <x:c r="AE52" s="118"/>
      <x:c r="AF52" s="118"/>
      <x:c r="AG52" s="118"/>
      <x:c r="AH52" s="118"/>
    </x:row>
    <x:row r="53">
      <x:c r="A53" s="118" t="str">
        <x:v>CFO / EBITDA</x:v>
      </x:c>
      <x:c r="B53" s="118" t="str">
        <x:v>%</x:v>
      </x:c>
      <x:c r="C53" s="118" t="str">
        <x:v>Derived</x:v>
      </x:c>
      <x:c r="D53" s="194" t="n">
        <x:f>IFERROR(D18/D14,"")</x:f>
        <x:v>0.2464500988081476</x:v>
      </x:c>
      <x:c r="E53" s="194" t="n">
        <x:f>IFERROR(E18/E14,"")</x:f>
        <x:v>0.5529397225365069</x:v>
      </x:c>
      <x:c r="F53" s="194" t="n">
        <x:f>IFERROR(F18/F14,"")</x:f>
        <x:v>0.8533339396419746</x:v>
      </x:c>
      <x:c r="G53" s="194" t="n">
        <x:f>IFERROR(G18/G14,"")</x:f>
        <x:v>0.6663766132319976</x:v>
      </x:c>
      <x:c r="H53" s="194" t="n">
        <x:f>IFERROR(H18/H14,"")</x:f>
        <x:v>0.6567919895488269</x:v>
      </x:c>
      <x:c r="I53" s="194" t="n">
        <x:f>IFERROR(I18/I14,"")</x:f>
        <x:v>0.6696533831534031</x:v>
      </x:c>
      <x:c r="J53" s="194" t="n">
        <x:f>IFERROR(J18/J14,"")</x:f>
        <x:v>0.655120755696732</x:v>
      </x:c>
      <x:c r="K53" s="194" t="n">
        <x:f>IFERROR(K18/K14,"")</x:f>
        <x:v>0.6490740483933791</x:v>
      </x:c>
      <x:c r="L53" s="118"/>
      <x:c r="M53" s="118"/>
      <x:c r="N53" s="118"/>
      <x:c r="O53" s="118"/>
      <x:c r="P53" s="118"/>
      <x:c r="Q53" s="118"/>
      <x:c r="R53" s="118"/>
      <x:c r="S53" s="118"/>
      <x:c r="T53" s="118"/>
      <x:c r="U53" s="118"/>
      <x:c r="V53" s="118"/>
      <x:c r="W53" s="118"/>
      <x:c r="X53" s="118"/>
      <x:c r="Y53" s="118"/>
      <x:c r="Z53" s="118"/>
      <x:c r="AA53" s="118"/>
      <x:c r="AB53" s="118"/>
      <x:c r="AC53" s="118"/>
      <x:c r="AD53" s="118"/>
      <x:c r="AE53" s="118"/>
      <x:c r="AF53" s="118"/>
      <x:c r="AG53" s="118"/>
      <x:c r="AH53" s="118"/>
    </x:row>
    <x:row r="54">
      <x:c r="A54" s="118" t="str">
        <x:v>FCF / EBITDA</x:v>
      </x:c>
      <x:c r="B54" s="118" t="str">
        <x:v>%</x:v>
      </x:c>
      <x:c r="C54" s="118" t="str">
        <x:v>Derived</x:v>
      </x:c>
      <x:c r="D54" s="194" t="n">
        <x:f>IFERROR(D19/D14,"")</x:f>
        <x:v>-0.26357614100638355</x:v>
      </x:c>
      <x:c r="E54" s="194" t="n">
        <x:f>IFERROR(E19/E14,"")</x:f>
        <x:v>0.20040551543284935</x:v>
      </x:c>
      <x:c r="F54" s="194" t="n">
        <x:f>IFERROR(F19/F14,"")</x:f>
        <x:v>0.6399446238107507</x:v>
      </x:c>
      <x:c r="G54" s="194" t="n">
        <x:f>IFERROR(G19/G14,"")</x:f>
        <x:v>0.03933542836638757</x:v>
      </x:c>
      <x:c r="H54" s="194" t="n">
        <x:f>IFERROR(H19/H14,"")</x:f>
        <x:v>0.2735640324094389</x:v>
      </x:c>
      <x:c r="I54" s="194" t="n">
        <x:f>IFERROR(I19/I14,"")</x:f>
        <x:v>0.5086002898462065</x:v>
      </x:c>
      <x:c r="J54" s="194" t="n">
        <x:f>IFERROR(J19/J14,"")</x:f>
        <x:v>0.5349151248689364</x:v>
      </x:c>
      <x:c r="K54" s="194" t="n">
        <x:f>IFERROR(K19/K14,"")</x:f>
        <x:v>0.5343811001914464</x:v>
      </x:c>
      <x:c r="L54" s="118"/>
      <x:c r="M54" s="118"/>
      <x:c r="N54" s="118"/>
      <x:c r="O54" s="118"/>
      <x:c r="P54" s="118"/>
      <x:c r="Q54" s="118"/>
      <x:c r="R54" s="118"/>
      <x:c r="S54" s="118"/>
      <x:c r="T54" s="118"/>
      <x:c r="U54" s="118"/>
      <x:c r="V54" s="118"/>
      <x:c r="W54" s="118"/>
      <x:c r="X54" s="118"/>
      <x:c r="Y54" s="118"/>
      <x:c r="Z54" s="118"/>
      <x:c r="AA54" s="118"/>
      <x:c r="AB54" s="118"/>
      <x:c r="AC54" s="118"/>
      <x:c r="AD54" s="118"/>
      <x:c r="AE54" s="118"/>
      <x:c r="AF54" s="118"/>
      <x:c r="AG54" s="118"/>
      <x:c r="AH54" s="118"/>
    </x:row>
    <x:row r="55">
      <x:c r="A55" s="118" t="str">
        <x:v>FCF / PAT</x:v>
      </x:c>
      <x:c r="B55" s="118" t="str">
        <x:v>%</x:v>
      </x:c>
      <x:c r="C55" s="118" t="str">
        <x:v>Derived</x:v>
      </x:c>
      <x:c r="D55" s="194" t="n">
        <x:f>IFERROR(D19/D17,"")</x:f>
        <x:v>-0.4080744286436913</x:v>
      </x:c>
      <x:c r="E55" s="194" t="n">
        <x:f>IFERROR(E19/E17,"")</x:f>
        <x:v>0.3359939617864939</x:v>
      </x:c>
      <x:c r="F55" s="194" t="n">
        <x:f>IFERROR(F19/F17,"")</x:f>
        <x:v>1.0701140432549892</x:v>
      </x:c>
      <x:c r="G55" s="194" t="n">
        <x:f>IFERROR(G19/G17,"")</x:f>
        <x:v>0.06119410948963479</x:v>
      </x:c>
      <x:c r="H55" s="194" t="n">
        <x:f>IFERROR(H19/H17,"")</x:f>
        <x:v>0.4406550709445373</x:v>
      </x:c>
      <x:c r="I55" s="194" t="n">
        <x:f>IFERROR(I19/I17,"")</x:f>
        <x:v>0.8354987145099656</x:v>
      </x:c>
      <x:c r="J55" s="194" t="n">
        <x:f>IFERROR(J19/J17,"")</x:f>
        <x:v>0.8630006675110784</x:v>
      </x:c>
      <x:c r="K55" s="194" t="n">
        <x:f>IFERROR(K19/K17,"")</x:f>
        <x:v>0.8393143999530241</x:v>
      </x:c>
      <x:c r="L55" s="118"/>
      <x:c r="M55" s="118"/>
      <x:c r="N55" s="118"/>
      <x:c r="O55" s="118"/>
      <x:c r="P55" s="118"/>
      <x:c r="Q55" s="118"/>
      <x:c r="R55" s="118"/>
      <x:c r="S55" s="118"/>
      <x:c r="T55" s="118"/>
      <x:c r="U55" s="118"/>
      <x:c r="V55" s="118"/>
      <x:c r="W55" s="118"/>
      <x:c r="X55" s="118"/>
      <x:c r="Y55" s="118"/>
      <x:c r="Z55" s="118"/>
      <x:c r="AA55" s="118"/>
      <x:c r="AB55" s="118"/>
      <x:c r="AC55" s="118"/>
      <x:c r="AD55" s="118"/>
      <x:c r="AE55" s="118"/>
      <x:c r="AF55" s="118"/>
      <x:c r="AG55" s="118"/>
      <x:c r="AH55" s="118"/>
    </x:row>
    <x:row r="56">
      <x:c r="A56" s="118"/>
      <x:c r="B56" s="118"/>
      <x:c r="C56" s="118"/>
      <x:c r="D56" s="118"/>
      <x:c r="E56" s="118"/>
      <x:c r="F56" s="118"/>
      <x:c r="G56" s="118"/>
      <x:c r="H56" s="118"/>
      <x:c r="I56" s="118"/>
      <x:c r="J56" s="118"/>
      <x:c r="K56" s="118"/>
      <x:c r="L56" s="118"/>
      <x:c r="M56" s="118"/>
      <x:c r="N56" s="118"/>
      <x:c r="O56" s="118"/>
      <x:c r="P56" s="118"/>
      <x:c r="Q56" s="118"/>
      <x:c r="R56" s="118"/>
      <x:c r="S56" s="118"/>
      <x:c r="T56" s="118"/>
      <x:c r="U56" s="118"/>
      <x:c r="V56" s="118"/>
      <x:c r="W56" s="118"/>
      <x:c r="X56" s="118"/>
      <x:c r="Y56" s="118"/>
      <x:c r="Z56" s="118"/>
      <x:c r="AA56" s="118"/>
      <x:c r="AB56" s="118"/>
      <x:c r="AC56" s="118"/>
      <x:c r="AD56" s="118"/>
      <x:c r="AE56" s="118"/>
      <x:c r="AF56" s="118"/>
      <x:c r="AG56" s="118"/>
      <x:c r="AH56" s="118"/>
    </x:row>
    <x:row r="57" ht="18" customHeight="1">
      <x:c r="A57" s="146" t="str">
        <x:v>OPERATING CAPITAL SUPPORT – AUDIT TRAIL</x:v>
      </x:c>
      <x:c r="B57" s="146"/>
      <x:c r="C57" s="146"/>
      <x:c r="D57" s="146"/>
      <x:c r="E57" s="146"/>
      <x:c r="F57" s="146"/>
      <x:c r="G57" s="146"/>
      <x:c r="H57" s="146"/>
      <x:c r="I57" s="146"/>
      <x:c r="J57" s="146"/>
      <x:c r="K57" s="146"/>
      <x:c r="L57" s="118"/>
      <x:c r="M57" s="118"/>
      <x:c r="N57" s="118"/>
      <x:c r="O57" s="118"/>
      <x:c r="P57" s="118"/>
      <x:c r="Q57" s="118"/>
      <x:c r="R57" s="118"/>
      <x:c r="S57" s="118"/>
      <x:c r="T57" s="118"/>
      <x:c r="U57" s="118"/>
      <x:c r="V57" s="118"/>
      <x:c r="W57" s="118"/>
      <x:c r="X57" s="118"/>
      <x:c r="Y57" s="118"/>
      <x:c r="Z57" s="118"/>
      <x:c r="AA57" s="118"/>
      <x:c r="AB57" s="118"/>
      <x:c r="AC57" s="118"/>
      <x:c r="AD57" s="118"/>
      <x:c r="AE57" s="118"/>
      <x:c r="AF57" s="118"/>
      <x:c r="AG57" s="118"/>
      <x:c r="AH57" s="118"/>
    </x:row>
    <x:row r="58">
      <x:c r="A58" s="147" t="str">
        <x:v>Metric</x:v>
      </x:c>
      <x:c r="B58" s="147" t="str">
        <x:v>Units</x:v>
      </x:c>
      <x:c r="C58" s="147" t="str">
        <x:v>Classification</x:v>
      </x:c>
      <x:c r="D58" s="147" t="str">
        <x:v>FY24A</x:v>
      </x:c>
      <x:c r="E58" s="147" t="str">
        <x:v>FY25A</x:v>
      </x:c>
      <x:c r="F58" s="147" t="str">
        <x:v>FY26A</x:v>
      </x:c>
      <x:c r="G58" s="147" t="str">
        <x:v>FY27E</x:v>
      </x:c>
      <x:c r="H58" s="147" t="str">
        <x:v>FY28E</x:v>
      </x:c>
      <x:c r="I58" s="147" t="str">
        <x:v>FY29E</x:v>
      </x:c>
      <x:c r="J58" s="147" t="str">
        <x:v>FY30E</x:v>
      </x:c>
      <x:c r="K58" s="147" t="str">
        <x:v>FY31E</x:v>
      </x:c>
      <x:c r="L58" s="118"/>
      <x:c r="M58" s="118"/>
      <x:c r="N58" s="118"/>
      <x:c r="O58" s="118"/>
      <x:c r="P58" s="118"/>
      <x:c r="Q58" s="118"/>
      <x:c r="R58" s="118"/>
      <x:c r="S58" s="118"/>
      <x:c r="T58" s="118"/>
      <x:c r="U58" s="118"/>
      <x:c r="V58" s="118"/>
      <x:c r="W58" s="118"/>
      <x:c r="X58" s="118"/>
      <x:c r="Y58" s="118"/>
      <x:c r="Z58" s="118"/>
      <x:c r="AA58" s="118"/>
      <x:c r="AB58" s="118"/>
      <x:c r="AC58" s="118"/>
      <x:c r="AD58" s="118"/>
      <x:c r="AE58" s="118"/>
      <x:c r="AF58" s="118"/>
      <x:c r="AG58" s="118"/>
      <x:c r="AH58" s="118"/>
    </x:row>
    <x:row r="59">
      <x:c r="A59" s="118" t="str">
        <x:v>Trade Receivables</x:v>
      </x:c>
      <x:c r="B59" s="118" t="str">
        <x:v>INR mn</x:v>
      </x:c>
      <x:c r="C59" s="118" t="str">
        <x:v>Reported / forecast</x:v>
      </x:c>
      <x:c r="D59" s="192" t="n">
        <x:v>4904.478</x:v>
      </x:c>
      <x:c r="E59" s="192" t="n">
        <x:v>4503.963</x:v>
      </x:c>
      <x:c r="F59" s="192" t="n">
        <x:v>5905.88</x:v>
      </x:c>
      <x:c r="G59" s="192" t="n">
        <x:v>6463.67700336</x:v>
      </x:c>
      <x:c r="H59" s="192" t="n">
        <x:v>7302.536083259</x:v>
      </x:c>
      <x:c r="I59" s="192" t="n">
        <x:v>8373.250863451</x:v>
      </x:c>
      <x:c r="J59" s="192" t="n">
        <x:v>9427.650079369</x:v>
      </x:c>
      <x:c r="K59" s="192" t="n">
        <x:v>10367.984451964</x:v>
      </x:c>
      <x:c r="L59" s="118"/>
      <x:c r="M59" s="118"/>
      <x:c r="N59" s="118"/>
      <x:c r="O59" s="118"/>
      <x:c r="P59" s="118"/>
      <x:c r="Q59" s="118"/>
      <x:c r="R59" s="118"/>
      <x:c r="S59" s="118"/>
      <x:c r="T59" s="118"/>
      <x:c r="U59" s="118"/>
      <x:c r="V59" s="118"/>
      <x:c r="W59" s="118"/>
      <x:c r="X59" s="118"/>
      <x:c r="Y59" s="118"/>
      <x:c r="Z59" s="118"/>
      <x:c r="AA59" s="118"/>
      <x:c r="AB59" s="118"/>
      <x:c r="AC59" s="118"/>
      <x:c r="AD59" s="118"/>
      <x:c r="AE59" s="118"/>
      <x:c r="AF59" s="118"/>
      <x:c r="AG59" s="118"/>
      <x:c r="AH59" s="118"/>
    </x:row>
    <x:row r="60">
      <x:c r="A60" s="118" t="str">
        <x:v>Inventory</x:v>
      </x:c>
      <x:c r="B60" s="118" t="str">
        <x:v>INR mn</x:v>
      </x:c>
      <x:c r="C60" s="118" t="str">
        <x:v>Reported / forecast</x:v>
      </x:c>
      <x:c r="D60" s="192" t="n">
        <x:v>2113.474</x:v>
      </x:c>
      <x:c r="E60" s="192" t="n">
        <x:v>3404.341</x:v>
      </x:c>
      <x:c r="F60" s="192" t="n">
        <x:v>1245.16</x:v>
      </x:c>
      <x:c r="G60" s="192" t="n">
        <x:v>1809.237861742</x:v>
      </x:c>
      <x:c r="H60" s="192" t="n">
        <x:v>2241.781543848</x:v>
      </x:c>
      <x:c r="I60" s="192" t="n">
        <x:v>2426.909252458</x:v>
      </x:c>
      <x:c r="J60" s="192" t="n">
        <x:v>2575.818003164</x:v>
      </x:c>
      <x:c r="K60" s="192" t="n">
        <x:v>2753.070090849</x:v>
      </x:c>
      <x:c r="L60" s="118"/>
      <x:c r="M60" s="118"/>
      <x:c r="N60" s="118"/>
      <x:c r="O60" s="118"/>
      <x:c r="P60" s="118"/>
      <x:c r="Q60" s="118"/>
      <x:c r="R60" s="118"/>
      <x:c r="S60" s="118"/>
      <x:c r="T60" s="118"/>
      <x:c r="U60" s="118"/>
      <x:c r="V60" s="118"/>
      <x:c r="W60" s="118"/>
      <x:c r="X60" s="118"/>
      <x:c r="Y60" s="118"/>
      <x:c r="Z60" s="118"/>
      <x:c r="AA60" s="118"/>
      <x:c r="AB60" s="118"/>
      <x:c r="AC60" s="118"/>
      <x:c r="AD60" s="118"/>
      <x:c r="AE60" s="118"/>
      <x:c r="AF60" s="118"/>
      <x:c r="AG60" s="118"/>
      <x:c r="AH60" s="118"/>
    </x:row>
    <x:row r="61">
      <x:c r="A61" s="118" t="str">
        <x:v>Other Current Assets</x:v>
      </x:c>
      <x:c r="B61" s="118" t="str">
        <x:v>INR mn</x:v>
      </x:c>
      <x:c r="C61" s="118" t="str">
        <x:v>Reported / forecast</x:v>
      </x:c>
      <x:c r="D61" s="192" t="n">
        <x:v>1363.307</x:v>
      </x:c>
      <x:c r="E61" s="192" t="n">
        <x:v>2127.657</x:v>
      </x:c>
      <x:c r="F61" s="192" t="n">
        <x:v>1475.74</x:v>
      </x:c>
      <x:c r="G61" s="192" t="n">
        <x:v>1700.967632463</x:v>
      </x:c>
      <x:c r="H61" s="192" t="n">
        <x:v>1984.384805233</x:v>
      </x:c>
      <x:c r="I61" s="192" t="n">
        <x:v>2325.903017625</x:v>
      </x:c>
      <x:c r="J61" s="192" t="n">
        <x:v>2678.309681639</x:v>
      </x:c>
      <x:c r="K61" s="192" t="n">
        <x:v>3013.948968594</x:v>
      </x:c>
      <x:c r="L61" s="118"/>
      <x:c r="M61" s="118"/>
      <x:c r="N61" s="118"/>
      <x:c r="O61" s="118"/>
      <x:c r="P61" s="118"/>
      <x:c r="Q61" s="118"/>
      <x:c r="R61" s="118"/>
      <x:c r="S61" s="118"/>
      <x:c r="T61" s="118"/>
      <x:c r="U61" s="118"/>
      <x:c r="V61" s="118"/>
      <x:c r="W61" s="118"/>
      <x:c r="X61" s="118"/>
      <x:c r="Y61" s="118"/>
      <x:c r="Z61" s="118"/>
      <x:c r="AA61" s="118"/>
      <x:c r="AB61" s="118"/>
      <x:c r="AC61" s="118"/>
      <x:c r="AD61" s="118"/>
      <x:c r="AE61" s="118"/>
      <x:c r="AF61" s="118"/>
      <x:c r="AG61" s="118"/>
      <x:c r="AH61" s="118"/>
    </x:row>
    <x:row r="62">
      <x:c r="A62" s="118" t="str">
        <x:v>Trade Payables</x:v>
      </x:c>
      <x:c r="B62" s="118" t="str">
        <x:v>INR mn</x:v>
      </x:c>
      <x:c r="C62" s="118" t="str">
        <x:v>Reported / forecast</x:v>
      </x:c>
      <x:c r="D62" s="192" t="n">
        <x:v>1007.411</x:v>
      </x:c>
      <x:c r="E62" s="192" t="n">
        <x:v>1100.87</x:v>
      </x:c>
      <x:c r="F62" s="192" t="n">
        <x:v>962.17</x:v>
      </x:c>
      <x:c r="G62" s="192" t="n">
        <x:v>1343.341787361</x:v>
      </x:c>
      <x:c r="H62" s="192" t="n">
        <x:v>1603.83211514</x:v>
      </x:c>
      <x:c r="I62" s="192" t="n">
        <x:v>1851.225656021</x:v>
      </x:c>
      <x:c r="J62" s="192" t="n">
        <x:v>2024.251418878</x:v>
      </x:c>
      <x:c r="K62" s="192" t="n">
        <x:v>2256.385202824</x:v>
      </x:c>
      <x:c r="L62" s="118"/>
      <x:c r="M62" s="118"/>
      <x:c r="N62" s="118"/>
      <x:c r="O62" s="118"/>
      <x:c r="P62" s="118"/>
      <x:c r="Q62" s="118"/>
      <x:c r="R62" s="118"/>
      <x:c r="S62" s="118"/>
      <x:c r="T62" s="118"/>
      <x:c r="U62" s="118"/>
      <x:c r="V62" s="118"/>
      <x:c r="W62" s="118"/>
      <x:c r="X62" s="118"/>
      <x:c r="Y62" s="118"/>
      <x:c r="Z62" s="118"/>
      <x:c r="AA62" s="118"/>
      <x:c r="AB62" s="118"/>
      <x:c r="AC62" s="118"/>
      <x:c r="AD62" s="118"/>
      <x:c r="AE62" s="118"/>
      <x:c r="AF62" s="118"/>
      <x:c r="AG62" s="118"/>
      <x:c r="AH62" s="118"/>
    </x:row>
    <x:row r="63">
      <x:c r="A63" s="118" t="str">
        <x:v>Other Current Liabilities</x:v>
      </x:c>
      <x:c r="B63" s="118" t="str">
        <x:v>INR mn</x:v>
      </x:c>
      <x:c r="C63" s="118" t="str">
        <x:v>Reported / forecast</x:v>
      </x:c>
      <x:c r="D63" s="192" t="n">
        <x:v>1153.339</x:v>
      </x:c>
      <x:c r="E63" s="192" t="n">
        <x:v>1527.128</x:v>
      </x:c>
      <x:c r="F63" s="192" t="n">
        <x:v>2251.9</x:v>
      </x:c>
      <x:c r="G63" s="192" t="n">
        <x:v>2656.090568221</x:v>
      </x:c>
      <x:c r="H63" s="192" t="n">
        <x:v>3159.371878841</x:v>
      </x:c>
      <x:c r="I63" s="192" t="n">
        <x:v>3684.380356671</x:v>
      </x:c>
      <x:c r="J63" s="192" t="n">
        <x:v>4156.729801819</x:v>
      </x:c>
      <x:c r="K63" s="192" t="n">
        <x:v>4586.198993695</x:v>
      </x:c>
      <x:c r="L63" s="118"/>
      <x:c r="M63" s="118"/>
      <x:c r="N63" s="118"/>
      <x:c r="O63" s="118"/>
      <x:c r="P63" s="118"/>
      <x:c r="Q63" s="118"/>
      <x:c r="R63" s="118"/>
      <x:c r="S63" s="118"/>
      <x:c r="T63" s="118"/>
      <x:c r="U63" s="118"/>
      <x:c r="V63" s="118"/>
      <x:c r="W63" s="118"/>
      <x:c r="X63" s="118"/>
      <x:c r="Y63" s="118"/>
      <x:c r="Z63" s="118"/>
      <x:c r="AA63" s="118"/>
      <x:c r="AB63" s="118"/>
      <x:c r="AC63" s="118"/>
      <x:c r="AD63" s="118"/>
      <x:c r="AE63" s="118"/>
      <x:c r="AF63" s="118"/>
      <x:c r="AG63" s="118"/>
      <x:c r="AH63" s="118"/>
    </x:row>
    <x:row r="64">
      <x:c r="A64" s="118" t="str">
        <x:v>Other Non-current Assets</x:v>
      </x:c>
      <x:c r="B64" s="118" t="str">
        <x:v>INR mn</x:v>
      </x:c>
      <x:c r="C64" s="118" t="str">
        <x:v>Reported / forecast</x:v>
      </x:c>
      <x:c r="D64" s="192" t="n">
        <x:v>354.009</x:v>
      </x:c>
      <x:c r="E64" s="192" t="n">
        <x:v>340.047</x:v>
      </x:c>
      <x:c r="F64" s="192" t="n">
        <x:v>2093.73</x:v>
      </x:c>
      <x:c r="G64" s="192" t="n">
        <x:v>2110.900831887</x:v>
      </x:c>
      <x:c r="H64" s="192" t="n">
        <x:v>2317.761452513</x:v>
      </x:c>
      <x:c r="I64" s="192" t="n">
        <x:v>2546.8638043</x:v>
      </x:c>
      <x:c r="J64" s="192" t="n">
        <x:v>2737.232494635</x:v>
      </x:c>
      <x:c r="K64" s="192" t="n">
        <x:v>2860.237571196</x:v>
      </x:c>
      <x:c r="L64" s="118"/>
      <x:c r="M64" s="118"/>
      <x:c r="N64" s="118"/>
      <x:c r="O64" s="118"/>
      <x:c r="P64" s="118"/>
      <x:c r="Q64" s="118"/>
      <x:c r="R64" s="118"/>
      <x:c r="S64" s="118"/>
      <x:c r="T64" s="118"/>
      <x:c r="U64" s="118"/>
      <x:c r="V64" s="118"/>
      <x:c r="W64" s="118"/>
      <x:c r="X64" s="118"/>
      <x:c r="Y64" s="118"/>
      <x:c r="Z64" s="118"/>
      <x:c r="AA64" s="118"/>
      <x:c r="AB64" s="118"/>
      <x:c r="AC64" s="118"/>
      <x:c r="AD64" s="118"/>
      <x:c r="AE64" s="118"/>
      <x:c r="AF64" s="118"/>
      <x:c r="AG64" s="118"/>
      <x:c r="AH64" s="118"/>
    </x:row>
    <x:row r="65">
      <x:c r="A65" s="118" t="str">
        <x:v>Other Non-current Liabilities</x:v>
      </x:c>
      <x:c r="B65" s="118" t="str">
        <x:v>INR mn</x:v>
      </x:c>
      <x:c r="C65" s="118" t="str">
        <x:v>Reported / forecast</x:v>
      </x:c>
      <x:c r="D65" s="192" t="n">
        <x:v>188.681</x:v>
      </x:c>
      <x:c r="E65" s="192" t="n">
        <x:v>216.02</x:v>
      </x:c>
      <x:c r="F65" s="192" t="n">
        <x:v>324.44</x:v>
      </x:c>
      <x:c r="G65" s="192" t="n">
        <x:v>322.843656642</x:v>
      </x:c>
      <x:c r="H65" s="192" t="n">
        <x:v>362.150226955</x:v>
      </x:c>
      <x:c r="I65" s="192" t="n">
        <x:v>407.498208688</x:v>
      </x:c>
      <x:c r="J65" s="192" t="n">
        <x:v>449.688195547</x:v>
      </x:c>
      <x:c r="K65" s="192" t="n">
        <x:v>484.040204356</x:v>
      </x:c>
      <x:c r="L65" s="118"/>
      <x:c r="M65" s="118"/>
      <x:c r="N65" s="118"/>
      <x:c r="O65" s="118"/>
      <x:c r="P65" s="118"/>
      <x:c r="Q65" s="118"/>
      <x:c r="R65" s="118"/>
      <x:c r="S65" s="118"/>
      <x:c r="T65" s="118"/>
      <x:c r="U65" s="118"/>
      <x:c r="V65" s="118"/>
      <x:c r="W65" s="118"/>
      <x:c r="X65" s="118"/>
      <x:c r="Y65" s="118"/>
      <x:c r="Z65" s="118"/>
      <x:c r="AA65" s="118"/>
      <x:c r="AB65" s="118"/>
      <x:c r="AC65" s="118"/>
      <x:c r="AD65" s="118"/>
      <x:c r="AE65" s="118"/>
      <x:c r="AF65" s="118"/>
      <x:c r="AG65" s="118"/>
      <x:c r="AH65" s="118"/>
    </x:row>
    <x:row r="66">
      <x:c r="A66" s="118"/>
      <x:c r="B66" s="118"/>
      <x:c r="C66" s="118"/>
      <x:c r="D66" s="118"/>
      <x:c r="E66" s="118"/>
      <x:c r="F66" s="118"/>
      <x:c r="G66" s="118"/>
      <x:c r="H66" s="118"/>
      <x:c r="I66" s="118"/>
      <x:c r="J66" s="118"/>
      <x:c r="K66" s="118"/>
      <x:c r="L66" s="118"/>
      <x:c r="M66" s="118"/>
      <x:c r="N66" s="118"/>
      <x:c r="O66" s="118"/>
      <x:c r="P66" s="118"/>
      <x:c r="Q66" s="118"/>
      <x:c r="R66" s="118"/>
      <x:c r="S66" s="118"/>
      <x:c r="T66" s="118"/>
      <x:c r="U66" s="118"/>
      <x:c r="V66" s="118"/>
      <x:c r="W66" s="118"/>
      <x:c r="X66" s="118"/>
      <x:c r="Y66" s="118"/>
      <x:c r="Z66" s="118"/>
      <x:c r="AA66" s="118"/>
      <x:c r="AB66" s="118"/>
      <x:c r="AC66" s="118"/>
      <x:c r="AD66" s="118"/>
      <x:c r="AE66" s="118"/>
      <x:c r="AF66" s="118"/>
      <x:c r="AG66" s="118"/>
      <x:c r="AH66" s="118"/>
    </x:row>
    <x:row r="67">
      <x:c r="A67" s="118"/>
      <x:c r="B67" s="118"/>
      <x:c r="C67" s="118"/>
      <x:c r="D67" s="118"/>
      <x:c r="E67" s="118"/>
      <x:c r="F67" s="118"/>
      <x:c r="G67" s="118"/>
      <x:c r="H67" s="118"/>
      <x:c r="I67" s="118"/>
      <x:c r="J67" s="118"/>
      <x:c r="K67" s="118"/>
      <x:c r="L67" s="118"/>
      <x:c r="M67" s="118"/>
      <x:c r="N67" s="118"/>
      <x:c r="O67" s="118"/>
      <x:c r="P67" s="118"/>
      <x:c r="Q67" s="118"/>
      <x:c r="R67" s="118"/>
      <x:c r="S67" s="118"/>
      <x:c r="T67" s="118"/>
      <x:c r="U67" s="118"/>
      <x:c r="V67" s="118"/>
      <x:c r="W67" s="118"/>
      <x:c r="X67" s="118"/>
      <x:c r="Y67" s="118"/>
      <x:c r="Z67" s="118"/>
      <x:c r="AA67" s="118"/>
      <x:c r="AB67" s="118"/>
      <x:c r="AC67" s="118"/>
      <x:c r="AD67" s="118"/>
      <x:c r="AE67" s="118"/>
      <x:c r="AF67" s="118"/>
      <x:c r="AG67" s="118"/>
      <x:c r="AH67" s="118"/>
    </x:row>
    <x:row r="68" ht="20" customHeight="1">
      <x:c r="A68" s="146" t="str">
        <x:v>B. CAPEX CYCLE</x:v>
      </x:c>
      <x:c r="B68" s="146"/>
      <x:c r="C68" s="146"/>
      <x:c r="D68" s="146"/>
      <x:c r="E68" s="146"/>
      <x:c r="F68" s="146"/>
      <x:c r="G68" s="146"/>
      <x:c r="H68" s="146"/>
      <x:c r="I68" s="118"/>
      <x:c r="J68" s="118"/>
      <x:c r="K68" s="118"/>
      <x:c r="L68" s="118"/>
      <x:c r="M68" s="118"/>
      <x:c r="N68" s="118"/>
      <x:c r="O68" s="118"/>
      <x:c r="P68" s="118"/>
      <x:c r="Q68" s="118"/>
      <x:c r="R68" s="118"/>
      <x:c r="S68" s="118"/>
      <x:c r="T68" s="118"/>
      <x:c r="U68" s="118"/>
      <x:c r="V68" s="118"/>
      <x:c r="W68" s="118"/>
      <x:c r="X68" s="118"/>
      <x:c r="Y68" s="118"/>
      <x:c r="Z68" s="118"/>
      <x:c r="AA68" s="118"/>
      <x:c r="AB68" s="118"/>
      <x:c r="AC68" s="118"/>
      <x:c r="AD68" s="118"/>
      <x:c r="AE68" s="118"/>
      <x:c r="AF68" s="118"/>
      <x:c r="AG68" s="118"/>
      <x:c r="AH68" s="118"/>
    </x:row>
    <x:row r="69" ht="38" customHeight="1">
      <x:c r="A69" s="147" t="str">
        <x:v>Phase</x:v>
      </x:c>
      <x:c r="B69" s="147" t="str">
        <x:v>Capital / Asset Pattern</x:v>
      </x:c>
      <x:c r="C69" s="147" t="str">
        <x:v>Revenue Pattern</x:v>
      </x:c>
      <x:c r="D69" s="147" t="str">
        <x:v>Returns Pattern</x:v>
      </x:c>
      <x:c r="E69" s="147" t="str">
        <x:v>Anthem Position</x:v>
      </x:c>
      <x:c r="F69" s="147" t="str">
        <x:v>Evidence</x:v>
      </x:c>
      <x:c r="G69" s="147" t="str">
        <x:v>Key Question</x:v>
      </x:c>
      <x:c r="H69" s="147" t="str">
        <x:v>Analyst Read-through</x:v>
      </x:c>
      <x:c r="I69" s="118"/>
      <x:c r="J69" s="118"/>
      <x:c r="K69" s="118"/>
      <x:c r="L69" s="118"/>
      <x:c r="M69" s="118"/>
      <x:c r="N69" s="118"/>
      <x:c r="O69" s="118"/>
      <x:c r="P69" s="118"/>
      <x:c r="Q69" s="118"/>
      <x:c r="R69" s="118"/>
      <x:c r="S69" s="118"/>
      <x:c r="T69" s="118"/>
      <x:c r="U69" s="118"/>
      <x:c r="V69" s="118"/>
      <x:c r="W69" s="118"/>
      <x:c r="X69" s="118"/>
      <x:c r="Y69" s="118"/>
      <x:c r="Z69" s="118"/>
      <x:c r="AA69" s="118"/>
      <x:c r="AB69" s="118"/>
      <x:c r="AC69" s="118"/>
      <x:c r="AD69" s="118"/>
      <x:c r="AE69" s="118"/>
      <x:c r="AF69" s="118"/>
      <x:c r="AG69" s="118"/>
      <x:c r="AH69" s="118"/>
    </x:row>
    <x:row r="70" ht="38" customHeight="1">
      <x:c r="A70" s="118" t="str">
        <x:v>Phase 1 – Existing Capacity</x:v>
      </x:c>
      <x:c r="B70" s="118" t="str">
        <x:v>Normal capex / installed assets</x:v>
      </x:c>
      <x:c r="C70" s="118" t="str">
        <x:v>Existing capacity drives revenue</x:v>
      </x:c>
      <x:c r="D70" s="118" t="str">
        <x:v>Asset turns / ROCE reflect mature assets</x:v>
      </x:c>
      <x:c r="E70" s="118" t="str">
        <x:v>Mostly FY25–FY26</x:v>
      </x:c>
      <x:c r="F70" s="118" t="str">
        <x:v>FY25 utilisation + FY26 capacity additions</x:v>
      </x:c>
      <x:c r="G70" s="118" t="str">
        <x:v>How constrained were existing units?</x:v>
      </x:c>
      <x:c r="H70" s="118" t="str">
        <x:v>FY26 calls indicate meaningful headroom, particularly fermentation / Unit III.</x:v>
      </x:c>
      <x:c r="I70" s="118"/>
      <x:c r="J70" s="118"/>
      <x:c r="K70" s="118"/>
      <x:c r="L70" s="118"/>
      <x:c r="M70" s="118"/>
      <x:c r="N70" s="118"/>
      <x:c r="O70" s="118"/>
      <x:c r="P70" s="118"/>
      <x:c r="Q70" s="118"/>
      <x:c r="R70" s="118"/>
      <x:c r="S70" s="118"/>
      <x:c r="T70" s="118"/>
      <x:c r="U70" s="118"/>
      <x:c r="V70" s="118"/>
      <x:c r="W70" s="118"/>
      <x:c r="X70" s="118"/>
      <x:c r="Y70" s="118"/>
      <x:c r="Z70" s="118"/>
      <x:c r="AA70" s="118"/>
      <x:c r="AB70" s="118"/>
      <x:c r="AC70" s="118"/>
      <x:c r="AD70" s="118"/>
      <x:c r="AE70" s="118"/>
      <x:c r="AF70" s="118"/>
      <x:c r="AG70" s="118"/>
      <x:c r="AH70" s="118"/>
    </x:row>
    <x:row r="71" ht="38" customHeight="1">
      <x:c r="A71" s="118" t="str">
        <x:v>Phase 2 – Unit IV Construction</x:v>
      </x:c>
      <x:c r="B71" s="118" t="str">
        <x:v>Capex spikes; CWIP rises</x:v>
      </x:c>
      <x:c r="C71" s="118" t="str">
        <x:v>Little / no Unit IV revenue</x:v>
      </x:c>
      <x:c r="D71" s="118" t="str">
        <x:v>FCF falls; invested asset turnover dilutes</x:v>
      </x:c>
      <x:c r="E71" s="118" t="str">
        <x:v>Current – FY27/FY28</x:v>
      </x:c>
      <x:c r="F71" s="118" t="str">
        <x:v>₹12bn Phase 1; FY27/FY28 spend</x:v>
      </x:c>
      <x:c r="G71" s="118" t="str">
        <x:v>Is demand visibility sufficient?</x:v>
      </x:c>
      <x:c r="H71" s="118" t="str">
        <x:v>Current capex-cycle stage.</x:v>
      </x:c>
      <x:c r="I71" s="118"/>
      <x:c r="J71" s="118"/>
      <x:c r="K71" s="118"/>
      <x:c r="L71" s="118"/>
      <x:c r="M71" s="118"/>
      <x:c r="N71" s="118"/>
      <x:c r="O71" s="118"/>
      <x:c r="P71" s="118"/>
      <x:c r="Q71" s="118"/>
      <x:c r="R71" s="118"/>
      <x:c r="S71" s="118"/>
      <x:c r="T71" s="118"/>
      <x:c r="U71" s="118"/>
      <x:c r="V71" s="118"/>
      <x:c r="W71" s="118"/>
      <x:c r="X71" s="118"/>
      <x:c r="Y71" s="118"/>
      <x:c r="Z71" s="118"/>
      <x:c r="AA71" s="118"/>
      <x:c r="AB71" s="118"/>
      <x:c r="AC71" s="118"/>
      <x:c r="AD71" s="118"/>
      <x:c r="AE71" s="118"/>
      <x:c r="AF71" s="118"/>
      <x:c r="AG71" s="118"/>
      <x:c r="AH71" s="118"/>
    </x:row>
    <x:row r="72" ht="38" customHeight="1">
      <x:c r="A72" s="118" t="str">
        <x:v>Phase 3 – Commissioning / Qualification</x:v>
      </x:c>
      <x:c r="B72" s="118" t="str">
        <x:v>CWIP capitalises; PP&amp;E + depreciation rise</x:v>
      </x:c>
      <x:c r="C72" s="118" t="str">
        <x:v>Limited initial revenue</x:v>
      </x:c>
      <x:c r="D72" s="118" t="str">
        <x:v>Fixed-asset turnover can trough</x:v>
      </x:c>
      <x:c r="E72" s="118" t="str">
        <x:v>Expected end-FY28 / FY29</x:v>
      </x:c>
      <x:c r="F72" s="118" t="str">
        <x:v>End-FY28 readiness target</x:v>
      </x:c>
      <x:c r="G72" s="118" t="str">
        <x:v>How long from mechanical completion to commercial batches?</x:v>
      </x:c>
      <x:c r="H72" s="118" t="str">
        <x:v>Customer qualification / audits are the key unquantified lag.</x:v>
      </x:c>
      <x:c r="I72" s="118"/>
      <x:c r="J72" s="118"/>
      <x:c r="K72" s="118"/>
      <x:c r="L72" s="118"/>
      <x:c r="M72" s="118"/>
      <x:c r="N72" s="118"/>
      <x:c r="O72" s="118"/>
      <x:c r="P72" s="118"/>
      <x:c r="Q72" s="118"/>
      <x:c r="R72" s="118"/>
      <x:c r="S72" s="118"/>
      <x:c r="T72" s="118"/>
      <x:c r="U72" s="118"/>
      <x:c r="V72" s="118"/>
      <x:c r="W72" s="118"/>
      <x:c r="X72" s="118"/>
      <x:c r="Y72" s="118"/>
      <x:c r="Z72" s="118"/>
      <x:c r="AA72" s="118"/>
      <x:c r="AB72" s="118"/>
      <x:c r="AC72" s="118"/>
      <x:c r="AD72" s="118"/>
      <x:c r="AE72" s="118"/>
      <x:c r="AF72" s="118"/>
      <x:c r="AG72" s="118"/>
      <x:c r="AH72" s="118"/>
    </x:row>
    <x:row r="73" ht="38" customHeight="1">
      <x:c r="A73" s="118" t="str">
        <x:v>Phase 4 – Commercial Ramp</x:v>
      </x:c>
      <x:c r="B73" s="118" t="str">
        <x:v>Capex moderates</x:v>
      </x:c>
      <x:c r="C73" s="118" t="str">
        <x:v>Campaign transfers / utilisation drive D&amp;M</x:v>
      </x:c>
      <x:c r="D73" s="118" t="str">
        <x:v>Margins + turns improve</x:v>
      </x:c>
      <x:c r="E73" s="118" t="str">
        <x:v>FY29–FY31E analyst framework</x:v>
      </x:c>
      <x:c r="F73" s="118" t="str">
        <x:v>Pipeline + Unit IV ramp</x:v>
      </x:c>
      <x:c r="G73" s="118" t="str">
        <x:v>How quickly do late-stage assets convert?</x:v>
      </x:c>
      <x:c r="H73" s="118" t="str">
        <x:v>Model becomes increasingly reliant on Unit IV / pipeline after FY28.</x:v>
      </x:c>
      <x:c r="I73" s="118"/>
      <x:c r="J73" s="118"/>
      <x:c r="K73" s="118"/>
      <x:c r="L73" s="118"/>
      <x:c r="M73" s="118"/>
      <x:c r="N73" s="118"/>
      <x:c r="O73" s="118"/>
      <x:c r="P73" s="118"/>
      <x:c r="Q73" s="118"/>
      <x:c r="R73" s="118"/>
      <x:c r="S73" s="118"/>
      <x:c r="T73" s="118"/>
      <x:c r="U73" s="118"/>
      <x:c r="V73" s="118"/>
      <x:c r="W73" s="118"/>
      <x:c r="X73" s="118"/>
      <x:c r="Y73" s="118"/>
      <x:c r="Z73" s="118"/>
      <x:c r="AA73" s="118"/>
      <x:c r="AB73" s="118"/>
      <x:c r="AC73" s="118"/>
      <x:c r="AD73" s="118"/>
      <x:c r="AE73" s="118"/>
      <x:c r="AF73" s="118"/>
      <x:c r="AG73" s="118"/>
      <x:c r="AH73" s="118"/>
    </x:row>
    <x:row r="74" ht="38" customHeight="1">
      <x:c r="A74" s="118" t="str">
        <x:v>Phase 5 – Mature Utilisation</x:v>
      </x:c>
      <x:c r="B74" s="118" t="str">
        <x:v>Maintenance capex</x:v>
      </x:c>
      <x:c r="C74" s="118" t="str">
        <x:v>Sustainable manufacturing revenue</x:v>
      </x:c>
      <x:c r="D74" s="118" t="str">
        <x:v>FCF / ROCE reflect project economics</x:v>
      </x:c>
      <x:c r="E74" s="118" t="str">
        <x:v>Beyond FY31</x:v>
      </x:c>
      <x:c r="F74" s="118" t="str">
        <x:v>Not yet observable</x:v>
      </x:c>
      <x:c r="G74" s="118" t="str">
        <x:v>Can Unit IV earn &gt; cost of capital?</x:v>
      </x:c>
      <x:c r="H74" s="118" t="str">
        <x:v>Target-return sensitivity is more robust than arbitrary revenue/kL.</x:v>
      </x:c>
      <x:c r="I74" s="118"/>
      <x:c r="J74" s="118"/>
      <x:c r="K74" s="118"/>
      <x:c r="L74" s="118"/>
      <x:c r="M74" s="118"/>
      <x:c r="N74" s="118"/>
      <x:c r="O74" s="118"/>
      <x:c r="P74" s="118"/>
      <x:c r="Q74" s="118"/>
      <x:c r="R74" s="118"/>
      <x:c r="S74" s="118"/>
      <x:c r="T74" s="118"/>
      <x:c r="U74" s="118"/>
      <x:c r="V74" s="118"/>
      <x:c r="W74" s="118"/>
      <x:c r="X74" s="118"/>
      <x:c r="Y74" s="118"/>
      <x:c r="Z74" s="118"/>
      <x:c r="AA74" s="118"/>
      <x:c r="AB74" s="118"/>
      <x:c r="AC74" s="118"/>
      <x:c r="AD74" s="118"/>
      <x:c r="AE74" s="118"/>
      <x:c r="AF74" s="118"/>
      <x:c r="AG74" s="118"/>
      <x:c r="AH74" s="118"/>
    </x:row>
    <x:row r="75" ht="38" customHeight="1">
      <x:c r="A75" s="118" t="str">
        <x:v>Current Anthem Capex Cycle Stage</x:v>
      </x:c>
      <x:c r="B75" s="118" t="str">
        <x:v>Construction</x:v>
      </x:c>
      <x:c r="C75" s="118" t="str"/>
      <x:c r="D75" s="118" t="str"/>
      <x:c r="E75" s="118" t="str">
        <x:v>Phase 2 – Unit IV Construction</x:v>
      </x:c>
      <x:c r="F75" s="118" t="str">
        <x:v>Civil work nearly done; equipment ordering begins</x:v>
      </x:c>
      <x:c r="G75" s="118" t="str">
        <x:v>What changes the stock debate?</x:v>
      </x:c>
      <x:c r="H75" s="118" t="str">
        <x:v>Evidence of customer audits / transfers / contracted campaigns before FY29.</x:v>
      </x:c>
      <x:c r="I75" s="118"/>
      <x:c r="J75" s="118"/>
      <x:c r="K75" s="118"/>
      <x:c r="L75" s="118"/>
      <x:c r="M75" s="118"/>
      <x:c r="N75" s="118"/>
      <x:c r="O75" s="118"/>
      <x:c r="P75" s="118"/>
      <x:c r="Q75" s="118"/>
      <x:c r="R75" s="118"/>
      <x:c r="S75" s="118"/>
      <x:c r="T75" s="118"/>
      <x:c r="U75" s="118"/>
      <x:c r="V75" s="118"/>
      <x:c r="W75" s="118"/>
      <x:c r="X75" s="118"/>
      <x:c r="Y75" s="118"/>
      <x:c r="Z75" s="118"/>
      <x:c r="AA75" s="118"/>
      <x:c r="AB75" s="118"/>
      <x:c r="AC75" s="118"/>
      <x:c r="AD75" s="118"/>
      <x:c r="AE75" s="118"/>
      <x:c r="AF75" s="118"/>
      <x:c r="AG75" s="118"/>
      <x:c r="AH75" s="118"/>
    </x:row>
    <x:row r="76">
      <x:c r="A76" s="118"/>
      <x:c r="B76" s="118"/>
      <x:c r="C76" s="118"/>
      <x:c r="D76" s="118"/>
      <x:c r="E76" s="118"/>
      <x:c r="F76" s="118"/>
      <x:c r="G76" s="118"/>
      <x:c r="H76" s="118"/>
      <x:c r="I76" s="118"/>
      <x:c r="J76" s="118"/>
      <x:c r="K76" s="118"/>
      <x:c r="L76" s="118"/>
      <x:c r="M76" s="118"/>
      <x:c r="N76" s="118"/>
      <x:c r="O76" s="118"/>
      <x:c r="P76" s="118"/>
      <x:c r="Q76" s="118"/>
      <x:c r="R76" s="118"/>
      <x:c r="S76" s="118"/>
      <x:c r="T76" s="118"/>
      <x:c r="U76" s="118"/>
      <x:c r="V76" s="118"/>
      <x:c r="W76" s="118"/>
      <x:c r="X76" s="118"/>
      <x:c r="Y76" s="118"/>
      <x:c r="Z76" s="118"/>
      <x:c r="AA76" s="118"/>
      <x:c r="AB76" s="118"/>
      <x:c r="AC76" s="118"/>
      <x:c r="AD76" s="118"/>
      <x:c r="AE76" s="118"/>
      <x:c r="AF76" s="118"/>
      <x:c r="AG76" s="118"/>
      <x:c r="AH76" s="118"/>
    </x:row>
    <x:row r="77">
      <x:c r="A77" s="118"/>
      <x:c r="B77" s="118"/>
      <x:c r="C77" s="118"/>
      <x:c r="D77" s="118"/>
      <x:c r="E77" s="118"/>
      <x:c r="F77" s="118"/>
      <x:c r="G77" s="118"/>
      <x:c r="H77" s="118"/>
      <x:c r="I77" s="118"/>
      <x:c r="J77" s="118"/>
      <x:c r="K77" s="118"/>
      <x:c r="L77" s="118"/>
      <x:c r="M77" s="118"/>
      <x:c r="N77" s="118"/>
      <x:c r="O77" s="118"/>
      <x:c r="P77" s="118"/>
      <x:c r="Q77" s="118"/>
      <x:c r="R77" s="118"/>
      <x:c r="S77" s="118"/>
      <x:c r="T77" s="118"/>
      <x:c r="U77" s="118"/>
      <x:c r="V77" s="118"/>
      <x:c r="W77" s="118"/>
      <x:c r="X77" s="118"/>
      <x:c r="Y77" s="118"/>
      <x:c r="Z77" s="118"/>
      <x:c r="AA77" s="118"/>
      <x:c r="AB77" s="118"/>
      <x:c r="AC77" s="118"/>
      <x:c r="AD77" s="118"/>
      <x:c r="AE77" s="118"/>
      <x:c r="AF77" s="118"/>
      <x:c r="AG77" s="118"/>
      <x:c r="AH77" s="118"/>
    </x:row>
    <x:row r="78" ht="20" customHeight="1">
      <x:c r="A78" s="146" t="str">
        <x:v>C. DETAILED CAPEX PROJECT REGISTER</x:v>
      </x:c>
      <x:c r="B78" s="146"/>
      <x:c r="C78" s="146"/>
      <x:c r="D78" s="146"/>
      <x:c r="E78" s="146"/>
      <x:c r="F78" s="146"/>
      <x:c r="G78" s="146"/>
      <x:c r="H78" s="146"/>
      <x:c r="I78" s="146"/>
      <x:c r="J78" s="146"/>
      <x:c r="K78" s="146"/>
      <x:c r="L78" s="146"/>
      <x:c r="M78" s="146"/>
      <x:c r="N78" s="146"/>
      <x:c r="O78" s="146"/>
      <x:c r="P78" s="146"/>
      <x:c r="Q78" s="146"/>
      <x:c r="R78" s="146"/>
      <x:c r="S78" s="146"/>
      <x:c r="T78" s="146"/>
      <x:c r="U78" s="146"/>
      <x:c r="V78" s="146"/>
      <x:c r="W78" s="146"/>
      <x:c r="X78" s="146"/>
      <x:c r="Y78" s="146"/>
      <x:c r="Z78" s="146"/>
      <x:c r="AA78" s="146"/>
      <x:c r="AB78" s="146"/>
      <x:c r="AC78" s="146"/>
      <x:c r="AD78" s="146"/>
      <x:c r="AE78" s="146"/>
      <x:c r="AF78" s="118"/>
      <x:c r="AG78" s="118"/>
      <x:c r="AH78" s="118"/>
    </x:row>
    <x:row r="79" ht="40" customHeight="1">
      <x:c r="A79" s="147" t="str">
        <x:v>Announcement Date</x:v>
      </x:c>
      <x:c r="B79" s="147" t="str">
        <x:v>Quarter</x:v>
      </x:c>
      <x:c r="C79" s="147" t="str">
        <x:v>Site / Unit</x:v>
      </x:c>
      <x:c r="D79" s="147" t="str">
        <x:v>Project Name</x:v>
      </x:c>
      <x:c r="E79" s="147" t="str">
        <x:v>Greenfield / Brownfield</x:v>
      </x:c>
      <x:c r="F79" s="147" t="str">
        <x:v>Business Segment</x:v>
      </x:c>
      <x:c r="G79" s="147" t="str">
        <x:v>Capex Category</x:v>
      </x:c>
      <x:c r="H79" s="147" t="str">
        <x:v>Capability</x:v>
      </x:c>
      <x:c r="I79" s="147" t="str">
        <x:v>Capacity Type</x:v>
      </x:c>
      <x:c r="J79" s="147" t="str">
        <x:v>Maintenance / Growth</x:v>
      </x:c>
      <x:c r="K79" s="147" t="str">
        <x:v>Capacity / Capability Capex</x:v>
      </x:c>
      <x:c r="L79" s="147" t="str">
        <x:v>Announced Investment</x:v>
      </x:c>
      <x:c r="M79" s="147" t="str">
        <x:v>Revised Investment</x:v>
      </x:c>
      <x:c r="N79" s="147" t="str">
        <x:v>Spend to Date</x:v>
      </x:c>
      <x:c r="O79" s="147" t="str">
        <x:v>Remaining Spend</x:v>
      </x:c>
      <x:c r="P79" s="147" t="str">
        <x:v>Capacity Added</x:v>
      </x:c>
      <x:c r="Q79" s="147" t="str">
        <x:v>Capacity Unit</x:v>
      </x:c>
      <x:c r="R79" s="147" t="str">
        <x:v>Construction Start</x:v>
      </x:c>
      <x:c r="S79" s="147" t="str">
        <x:v>Expected Completion</x:v>
      </x:c>
      <x:c r="T79" s="147" t="str">
        <x:v>Actual Completion</x:v>
      </x:c>
      <x:c r="U79" s="147" t="str">
        <x:v>Commissioning</x:v>
      </x:c>
      <x:c r="V79" s="147" t="str">
        <x:v>Qualification</x:v>
      </x:c>
      <x:c r="W79" s="147" t="str">
        <x:v>Customer Audit</x:v>
      </x:c>
      <x:c r="X79" s="147" t="str">
        <x:v>Commercial Readiness</x:v>
      </x:c>
      <x:c r="Y79" s="147" t="str">
        <x:v>Expected Revenue Start</x:v>
      </x:c>
      <x:c r="Z79" s="147" t="str">
        <x:v>Expected Material Revenue Year</x:v>
      </x:c>
      <x:c r="AA79" s="147" t="str">
        <x:v>Current Status</x:v>
      </x:c>
      <x:c r="AB79" s="147" t="str">
        <x:v>Programmes Supported</x:v>
      </x:c>
      <x:c r="AC79" s="147" t="str">
        <x:v>Demand Visibility</x:v>
      </x:c>
      <x:c r="AD79" s="147" t="str">
        <x:v>Analyst Interpretation</x:v>
      </x:c>
      <x:c r="AE79" s="147" t="str">
        <x:v>Key Risk</x:v>
      </x:c>
      <x:c r="AF79" s="147" t="str">
        <x:v>Source</x:v>
      </x:c>
      <x:c r="AG79" s="147" t="str">
        <x:v>Page</x:v>
      </x:c>
      <x:c r="AH79" s="147" t="str">
        <x:v>Confidence</x:v>
      </x:c>
    </x:row>
    <x:row r="80" ht="40" customHeight="1">
      <x:c r="A80" s="118" t="str">
        <x:v>FY25</x:v>
      </x:c>
      <x:c r="B80" s="118" t="str">
        <x:v>FY25–FY26</x:v>
      </x:c>
      <x:c r="C80" s="118" t="str">
        <x:v>Unit II</x:v>
      </x:c>
      <x:c r="D80" s="118" t="str">
        <x:v>Custom synthesis expansion</x:v>
      </x:c>
      <x:c r="E80" s="118" t="str">
        <x:v>Brownfield</x:v>
      </x:c>
      <x:c r="F80" s="118" t="str">
        <x:v>CRDMO</x:v>
      </x:c>
      <x:c r="G80" s="118" t="str">
        <x:v>Capacity Capex</x:v>
      </x:c>
      <x:c r="H80" s="118" t="str">
        <x:v>Custom synthesis scale-up</x:v>
      </x:c>
      <x:c r="I80" s="118" t="str">
        <x:v>Custom synthesis</x:v>
      </x:c>
      <x:c r="J80" s="118" t="str">
        <x:v>Growth</x:v>
      </x:c>
      <x:c r="K80" s="118" t="str">
        <x:v>Capacity</x:v>
      </x:c>
      <x:c r="L80" s="118" t="str">
        <x:v>NA</x:v>
      </x:c>
      <x:c r="M80" s="118" t="str">
        <x:v>NA</x:v>
      </x:c>
      <x:c r="N80" s="118" t="str">
        <x:v>NA</x:v>
      </x:c>
      <x:c r="O80" s="118" t="str">
        <x:v>NA</x:v>
      </x:c>
      <x:c r="P80" s="192" t="n">
        <x:v>130</x:v>
      </x:c>
      <x:c r="Q80" s="118" t="str">
        <x:v>kL</x:v>
      </x:c>
      <x:c r="R80" s="118" t="str">
        <x:v>FY25</x:v>
      </x:c>
      <x:c r="S80" s="118" t="str">
        <x:v>FY26</x:v>
      </x:c>
      <x:c r="T80" s="118" t="str">
        <x:v>FY26</x:v>
      </x:c>
      <x:c r="U80" s="118" t="str">
        <x:v>Completed</x:v>
      </x:c>
      <x:c r="V80" s="118" t="str">
        <x:v>NA</x:v>
      </x:c>
      <x:c r="W80" s="118" t="str">
        <x:v>NA</x:v>
      </x:c>
      <x:c r="X80" s="118" t="str">
        <x:v>Operational</x:v>
      </x:c>
      <x:c r="Y80" s="118" t="str">
        <x:v>FY26</x:v>
      </x:c>
      <x:c r="Z80" s="118" t="str">
        <x:v>FY26</x:v>
      </x:c>
      <x:c r="AA80" s="118" t="str">
        <x:v>Completed</x:v>
      </x:c>
      <x:c r="AB80" s="118" t="str">
        <x:v>Commercial + late-stage</x:v>
      </x:c>
      <x:c r="AC80" s="118" t="str">
        <x:v>Strongly Demand-led</x:v>
      </x:c>
      <x:c r="AD80" s="118" t="str">
        <x:v>Expanded Unit II from 246kL to ~376kL; supports near-term volume growth.</x:v>
      </x:c>
      <x:c r="AE80" s="118" t="str">
        <x:v>Utilisation / campaign timing</x:v>
      </x:c>
      <x:c r="AF80" s="118" t="str">
        <x:v>Annual Report / calls</x:v>
      </x:c>
      <x:c r="AG80" s="118" t="str">
        <x:v>AR pp22-23; calls</x:v>
      </x:c>
      <x:c r="AH80" s="118" t="str">
        <x:v>High</x:v>
      </x:c>
    </x:row>
    <x:row r="81" ht="40" customHeight="1">
      <x:c r="A81" s="118" t="str">
        <x:v>FY25</x:v>
      </x:c>
      <x:c r="B81" s="118" t="str">
        <x:v>FY25–FY26</x:v>
      </x:c>
      <x:c r="C81" s="118" t="str">
        <x:v>Unit III / NeoAnthem</x:v>
      </x:c>
      <x:c r="D81" s="118" t="str">
        <x:v>Multi-modal custom synthesis / peptide / HPAPI block</x:v>
      </x:c>
      <x:c r="E81" s="118" t="str">
        <x:v>Greenfield</x:v>
      </x:c>
      <x:c r="F81" s="118" t="str">
        <x:v>CRDMO</x:v>
      </x:c>
      <x:c r="G81" s="118" t="str">
        <x:v>Capability + Capacity</x:v>
      </x:c>
      <x:c r="H81" s="118" t="str">
        <x:v>Peptides, high-potency, hydrogenation, R&amp;D / pilot</x:v>
      </x:c>
      <x:c r="I81" s="118" t="str">
        <x:v>Custom synthesis / capability</x:v>
      </x:c>
      <x:c r="J81" s="118" t="str">
        <x:v>Growth</x:v>
      </x:c>
      <x:c r="K81" s="118" t="str">
        <x:v>Mixed</x:v>
      </x:c>
      <x:c r="L81" s="118" t="str">
        <x:v>NA</x:v>
      </x:c>
      <x:c r="M81" s="118" t="str">
        <x:v>NA</x:v>
      </x:c>
      <x:c r="N81" s="118" t="str">
        <x:v>NA</x:v>
      </x:c>
      <x:c r="O81" s="118" t="str">
        <x:v>NA</x:v>
      </x:c>
      <x:c r="P81" s="192" t="n">
        <x:v>25</x:v>
      </x:c>
      <x:c r="Q81" s="118" t="str">
        <x:v>kL custom synthesis</x:v>
      </x:c>
      <x:c r="R81" s="118" t="str">
        <x:v>FY25</x:v>
      </x:c>
      <x:c r="S81" s="118" t="str">
        <x:v>FY26</x:v>
      </x:c>
      <x:c r="T81" s="118" t="str">
        <x:v>FY26</x:v>
      </x:c>
      <x:c r="U81" s="118" t="str">
        <x:v>Operational</x:v>
      </x:c>
      <x:c r="V81" s="118" t="str">
        <x:v>NA</x:v>
      </x:c>
      <x:c r="W81" s="118" t="str">
        <x:v>NA</x:v>
      </x:c>
      <x:c r="X81" s="118" t="str">
        <x:v>Operational</x:v>
      </x:c>
      <x:c r="Y81" s="118" t="str">
        <x:v>FY26</x:v>
      </x:c>
      <x:c r="Z81" s="118" t="str">
        <x:v>FY26</x:v>
      </x:c>
      <x:c r="AA81" s="118" t="str">
        <x:v>Operational / early ramp</x:v>
      </x:c>
      <x:c r="AB81" s="118" t="str">
        <x:v>Early / late-stage programmes</x:v>
      </x:c>
      <x:c r="AC81" s="118" t="str">
        <x:v>Partially Demand-backed</x:v>
      </x:c>
      <x:c r="AD81" s="118" t="str">
        <x:v>Strategic capability block; management described Unit III as underutilised in early ramp.</x:v>
      </x:c>
      <x:c r="AE81" s="118" t="str">
        <x:v>Ramp / utilisation</x:v>
      </x:c>
      <x:c r="AF81" s="118" t="str">
        <x:v>Annual Report / calls</x:v>
      </x:c>
      <x:c r="AG81" s="118" t="str">
        <x:v>AR 23; Q3 call</x:v>
      </x:c>
      <x:c r="AH81" s="118" t="str">
        <x:v>High</x:v>
      </x:c>
    </x:row>
    <x:row r="82" ht="40" customHeight="1">
      <x:c r="A82" s="118" t="str">
        <x:v>FY25</x:v>
      </x:c>
      <x:c r="B82" s="118" t="str">
        <x:v>FY25–FY26</x:v>
      </x:c>
      <x:c r="C82" s="118" t="str">
        <x:v>Unit III / NeoAnthem</x:v>
      </x:c>
      <x:c r="D82" s="118" t="str">
        <x:v>Fermentation block</x:v>
      </x:c>
      <x:c r="E82" s="118" t="str">
        <x:v>Greenfield</x:v>
      </x:c>
      <x:c r="F82" s="118" t="str">
        <x:v>CRDMO / Specialty</x:v>
      </x:c>
      <x:c r="G82" s="118" t="str">
        <x:v>Capacity + Capability</x:v>
      </x:c>
      <x:c r="H82" s="118" t="str">
        <x:v>Large-scale fermentation</x:v>
      </x:c>
      <x:c r="I82" s="118" t="str">
        <x:v>Fermentation</x:v>
      </x:c>
      <x:c r="J82" s="118" t="str">
        <x:v>Growth</x:v>
      </x:c>
      <x:c r="K82" s="118" t="str">
        <x:v>Mixed</x:v>
      </x:c>
      <x:c r="L82" s="118" t="str">
        <x:v>NA</x:v>
      </x:c>
      <x:c r="M82" s="118" t="str">
        <x:v>NA</x:v>
      </x:c>
      <x:c r="N82" s="118" t="str">
        <x:v>NA</x:v>
      </x:c>
      <x:c r="O82" s="118" t="str">
        <x:v>NA</x:v>
      </x:c>
      <x:c r="P82" s="192" t="n">
        <x:v>40</x:v>
      </x:c>
      <x:c r="Q82" s="118" t="str">
        <x:v>kL</x:v>
      </x:c>
      <x:c r="R82" s="118" t="str">
        <x:v>FY25</x:v>
      </x:c>
      <x:c r="S82" s="118" t="str">
        <x:v>FY26</x:v>
      </x:c>
      <x:c r="T82" s="118" t="str">
        <x:v>FY26</x:v>
      </x:c>
      <x:c r="U82" s="118" t="str">
        <x:v>Commissioned by FY26 call</x:v>
      </x:c>
      <x:c r="V82" s="118" t="str">
        <x:v>NA</x:v>
      </x:c>
      <x:c r="W82" s="118" t="str">
        <x:v>NA</x:v>
      </x:c>
      <x:c r="X82" s="118" t="str">
        <x:v>Operational / ramp</x:v>
      </x:c>
      <x:c r="Y82" s="118" t="str">
        <x:v>FY26–FY27</x:v>
      </x:c>
      <x:c r="Z82" s="118" t="str">
        <x:v>FY27+</x:v>
      </x:c>
      <x:c r="AA82" s="118" t="str">
        <x:v>Early ramp</x:v>
      </x:c>
      <x:c r="AB82" s="118" t="str">
        <x:v>Fermentation / peptide / specialty projects</x:v>
      </x:c>
      <x:c r="AC82" s="118" t="str">
        <x:v>Partially Demand-backed</x:v>
      </x:c>
      <x:c r="AD82" s="118" t="str">
        <x:v>Adds biology headroom; disclosed utilisation on legacy fermentation remained ~46–48%.</x:v>
      </x:c>
      <x:c r="AE82" s="118" t="str">
        <x:v>Demand ramp / qualification</x:v>
      </x:c>
      <x:c r="AF82" s="118" t="str">
        <x:v>Annual Report / calls</x:v>
      </x:c>
      <x:c r="AG82" s="118" t="str">
        <x:v>AR pp22-23; Q3/Q4 calls</x:v>
      </x:c>
      <x:c r="AH82" s="118" t="str">
        <x:v>High</x:v>
      </x:c>
    </x:row>
    <x:row r="83" ht="40" customHeight="1">
      <x:c r="A83" s="118" t="str">
        <x:v>FY26</x:v>
      </x:c>
      <x:c r="B83" s="118" t="str">
        <x:v>Q1 FY26 onward</x:v>
      </x:c>
      <x:c r="C83" s="118" t="str">
        <x:v>Unit IV Phase 1</x:v>
      </x:c>
      <x:c r="D83" s="118" t="str">
        <x:v>Harohalli greenfield Phase 1</x:v>
      </x:c>
      <x:c r="E83" s="118" t="str">
        <x:v>Greenfield</x:v>
      </x:c>
      <x:c r="F83" s="118" t="str">
        <x:v>CRDMO + Specialty</x:v>
      </x:c>
      <x:c r="G83" s="118" t="str">
        <x:v>Capacity + Capability</x:v>
      </x:c>
      <x:c r="H83" s="118" t="str">
        <x:v>Custom synthesis, fermentation, food/nutra; future peptide/oligo/HPAPI optionality</x:v>
      </x:c>
      <x:c r="I83" s="118" t="str">
        <x:v>Custom synthesis + fermentation</x:v>
      </x:c>
      <x:c r="J83" s="118" t="str">
        <x:v>Growth</x:v>
      </x:c>
      <x:c r="K83" s="118" t="str">
        <x:v>Mixed</x:v>
      </x:c>
      <x:c r="L83" s="192" t="n">
        <x:v>12000</x:v>
      </x:c>
      <x:c r="M83" s="192" t="n">
        <x:v>12000</x:v>
      </x:c>
      <x:c r="N83" s="118" t="str">
        <x:v>NA</x:v>
      </x:c>
      <x:c r="O83" s="118" t="str">
        <x:v>NA</x:v>
      </x:c>
      <x:c r="P83" s="192" t="n">
        <x:v>365</x:v>
      </x:c>
      <x:c r="Q83" s="118" t="str">
        <x:v>kL custom synthesis</x:v>
      </x:c>
      <x:c r="R83" s="118" t="str">
        <x:v>Q1 FY26</x:v>
      </x:c>
      <x:c r="S83" s="118" t="str">
        <x:v>End FY28</x:v>
      </x:c>
      <x:c r="T83" s="118" t="str">
        <x:v>NA</x:v>
      </x:c>
      <x:c r="U83" s="118" t="str">
        <x:v>End FY28 target</x:v>
      </x:c>
      <x:c r="V83" s="118" t="str">
        <x:v>Post-commissioning</x:v>
      </x:c>
      <x:c r="W83" s="118" t="str">
        <x:v>Not disclosed</x:v>
      </x:c>
      <x:c r="X83" s="118" t="str">
        <x:v>After qualification</x:v>
      </x:c>
      <x:c r="Y83" s="118" t="str">
        <x:v>FY29E analyst cross-check</x:v>
      </x:c>
      <x:c r="Z83" s="118" t="str">
        <x:v>FY30–FY31E analyst cross-check</x:v>
      </x:c>
      <x:c r="AA83" s="118" t="str">
        <x:v>Civil work almost complete; equipment ordering begins</x:v>
      </x:c>
      <x:c r="AB83" s="118" t="str">
        <x:v>Commercial + late-stage + future programmes</x:v>
      </x:c>
      <x:c r="AC83" s="118" t="str">
        <x:v>Partially Demand-backed</x:v>
      </x:c>
      <x:c r="AD83" s="118" t="str">
        <x:v>Capacity is explicitly future-ready; near-term existing capacity is not constrained. Returns depend on FY29+ conversion / utilisation.</x:v>
      </x:c>
      <x:c r="AE83" s="118" t="str">
        <x:v>Building ahead of demand / qualification lag</x:v>
      </x:c>
      <x:c r="AF83" s="118" t="str">
        <x:v>FY26 / Q1FY27 calls</x:v>
      </x:c>
      <x:c r="AG83" s="118" t="str">
        <x:v>Q4 FY26 call pp6-7; Q1 FY27 p9</x:v>
      </x:c>
      <x:c r="AH83" s="118" t="str">
        <x:v>High</x:v>
      </x:c>
    </x:row>
    <x:row r="84" ht="40" customHeight="1">
      <x:c r="A84" s="118" t="str">
        <x:v>FY26</x:v>
      </x:c>
      <x:c r="B84" s="118" t="str">
        <x:v>FY27–FY28</x:v>
      </x:c>
      <x:c r="C84" s="118" t="str">
        <x:v>Unit IV</x:v>
      </x:c>
      <x:c r="D84" s="118" t="str">
        <x:v>Dedicated food / nutraceutical / Specialty facility</x:v>
      </x:c>
      <x:c r="E84" s="118" t="str">
        <x:v>Greenfield</x:v>
      </x:c>
      <x:c r="F84" s="118" t="str">
        <x:v>Specialty Ingredients</x:v>
      </x:c>
      <x:c r="G84" s="118" t="str">
        <x:v>Capability + Capacity</x:v>
      </x:c>
      <x:c r="H84" s="118" t="str">
        <x:v>Dedicated Specialty Ingredients manufacturing</x:v>
      </x:c>
      <x:c r="I84" s="118" t="str">
        <x:v>Fermentation / specialty</x:v>
      </x:c>
      <x:c r="J84" s="118" t="str">
        <x:v>Growth</x:v>
      </x:c>
      <x:c r="K84" s="118" t="str">
        <x:v>Capability</x:v>
      </x:c>
      <x:c r="L84" s="118" t="str">
        <x:v>Capex allocation not disclosed</x:v>
      </x:c>
      <x:c r="M84" s="118" t="str">
        <x:v>NA</x:v>
      </x:c>
      <x:c r="N84" s="118" t="str">
        <x:v>NA</x:v>
      </x:c>
      <x:c r="O84" s="118" t="str">
        <x:v>NA</x:v>
      </x:c>
      <x:c r="P84" s="118" t="str">
        <x:v>NA</x:v>
      </x:c>
      <x:c r="Q84" s="118" t="str">
        <x:v>NA</x:v>
      </x:c>
      <x:c r="R84" s="118" t="str">
        <x:v>NA</x:v>
      </x:c>
      <x:c r="S84" s="118" t="str">
        <x:v>FY27–FY28</x:v>
      </x:c>
      <x:c r="T84" s="118" t="str">
        <x:v>End FY28 with Phase 1</x:v>
      </x:c>
      <x:c r="U84" s="118" t="str">
        <x:v>NA</x:v>
      </x:c>
      <x:c r="V84" s="118" t="str">
        <x:v>End FY28 target</x:v>
      </x:c>
      <x:c r="W84" s="118" t="str">
        <x:v>NA</x:v>
      </x:c>
      <x:c r="X84" s="118" t="str">
        <x:v>NA</x:v>
      </x:c>
      <x:c r="Y84" s="118" t="str">
        <x:v>Post-commissioning</x:v>
      </x:c>
      <x:c r="Z84" s="118" t="str">
        <x:v>FY29+</x:v>
      </x:c>
      <x:c r="AA84" s="118" t="str">
        <x:v>FY30+</x:v>
      </x:c>
      <x:c r="AB84" s="118" t="str">
        <x:v>Planned</x:v>
      </x:c>
      <x:c r="AC84" s="118" t="str">
        <x:v>Specialty portfolio</x:v>
      </x:c>
      <x:c r="AD84" s="118" t="str">
        <x:v>Partially Demand-backed</x:v>
      </x:c>
      <x:c r="AE84" s="118" t="str">
        <x:v>Dedicated facility should reduce CRDMO capacity cannibalisation; project economics cannot be isolated from public data.</x:v>
      </x:c>
      <x:c r="AF84" s="118" t="str">
        <x:v>Capex allocation / end-demand</x:v>
      </x:c>
      <x:c r="AG84" s="118" t="str">
        <x:v>FY26 call</x:v>
      </x:c>
      <x:c r="AH84" s="118" t="str">
        <x:v>Medium</x:v>
      </x:c>
      <x:c r="AI84" t="str">
        <x:v>High</x:v>
      </x:c>
    </x:row>
    <x:row r="85" ht="40" customHeight="1">
      <x:c r="A85" s="118"/>
      <x:c r="B85" s="118"/>
      <x:c r="C85" s="118"/>
      <x:c r="D85" s="118"/>
      <x:c r="E85" s="118"/>
      <x:c r="F85" s="118"/>
      <x:c r="G85" s="118"/>
      <x:c r="H85" s="118"/>
      <x:c r="I85" s="118"/>
      <x:c r="J85" s="118"/>
      <x:c r="K85" s="118"/>
      <x:c r="L85" s="118"/>
      <x:c r="M85" s="118"/>
      <x:c r="N85" s="118"/>
      <x:c r="O85" s="118"/>
      <x:c r="P85" s="118"/>
      <x:c r="Q85" s="118"/>
      <x:c r="R85" s="118"/>
      <x:c r="S85" s="118"/>
      <x:c r="T85" s="118"/>
      <x:c r="U85" s="118"/>
      <x:c r="V85" s="118"/>
      <x:c r="W85" s="118"/>
      <x:c r="X85" s="118"/>
      <x:c r="Y85" s="118"/>
      <x:c r="Z85" s="118"/>
      <x:c r="AA85" s="118"/>
      <x:c r="AB85" s="118"/>
      <x:c r="AC85" s="118"/>
      <x:c r="AD85" s="118"/>
      <x:c r="AE85" s="118"/>
      <x:c r="AF85" s="118"/>
      <x:c r="AG85" s="118"/>
      <x:c r="AH85" s="118"/>
    </x:row>
    <x:row r="86">
      <x:c r="A86" s="118"/>
      <x:c r="B86" s="118"/>
      <x:c r="C86" s="118"/>
      <x:c r="D86" s="118"/>
      <x:c r="E86" s="118"/>
      <x:c r="F86" s="118"/>
      <x:c r="G86" s="118"/>
      <x:c r="H86" s="118"/>
      <x:c r="I86" s="118"/>
      <x:c r="J86" s="118"/>
      <x:c r="K86" s="118"/>
      <x:c r="L86" s="118"/>
      <x:c r="M86" s="118"/>
      <x:c r="N86" s="118"/>
      <x:c r="O86" s="118"/>
      <x:c r="P86" s="118"/>
      <x:c r="Q86" s="118"/>
      <x:c r="R86" s="118"/>
      <x:c r="S86" s="118"/>
      <x:c r="T86" s="118"/>
      <x:c r="U86" s="118"/>
      <x:c r="V86" s="118"/>
      <x:c r="W86" s="118"/>
      <x:c r="X86" s="118"/>
      <x:c r="Y86" s="118"/>
      <x:c r="Z86" s="118"/>
      <x:c r="AA86" s="118"/>
      <x:c r="AB86" s="118"/>
      <x:c r="AC86" s="118"/>
      <x:c r="AD86" s="118"/>
      <x:c r="AE86" s="118"/>
      <x:c r="AF86" s="118"/>
      <x:c r="AG86" s="118"/>
      <x:c r="AH86" s="118"/>
    </x:row>
    <x:row r="87" ht="20" customHeight="1">
      <x:c r="A87" s="146" t="str">
        <x:v>D. UNIT IV DETAILED ECONOMICS</x:v>
      </x:c>
      <x:c r="B87" s="146"/>
      <x:c r="C87" s="146"/>
      <x:c r="D87" s="146"/>
      <x:c r="E87" s="146"/>
      <x:c r="F87" s="146"/>
      <x:c r="G87" s="146"/>
      <x:c r="H87" s="146"/>
      <x:c r="I87" s="146"/>
      <x:c r="J87" s="146"/>
      <x:c r="K87" s="146"/>
      <x:c r="L87" s="118"/>
      <x:c r="M87" s="118"/>
      <x:c r="N87" s="118"/>
      <x:c r="O87" s="118"/>
      <x:c r="P87" s="118"/>
      <x:c r="Q87" s="118"/>
      <x:c r="R87" s="118"/>
      <x:c r="S87" s="118"/>
      <x:c r="T87" s="118"/>
      <x:c r="U87" s="118"/>
      <x:c r="V87" s="118"/>
      <x:c r="W87" s="118"/>
      <x:c r="X87" s="118"/>
      <x:c r="Y87" s="118"/>
      <x:c r="Z87" s="118"/>
      <x:c r="AA87" s="118"/>
      <x:c r="AB87" s="118"/>
      <x:c r="AC87" s="118"/>
      <x:c r="AD87" s="118"/>
      <x:c r="AE87" s="118"/>
      <x:c r="AF87" s="118"/>
      <x:c r="AG87" s="118"/>
      <x:c r="AH87" s="118"/>
    </x:row>
    <x:row r="88">
      <x:c r="A88" s="147" t="str">
        <x:v>Input / Metric</x:v>
      </x:c>
      <x:c r="B88" s="147" t="str">
        <x:v>Units</x:v>
      </x:c>
      <x:c r="C88" s="147" t="str">
        <x:v>Classification</x:v>
      </x:c>
      <x:c r="D88" s="147" t="str">
        <x:v>Value</x:v>
      </x:c>
      <x:c r="E88" s="147" t="str">
        <x:v>Commentary</x:v>
      </x:c>
      <x:c r="F88" s="147" t="str"/>
      <x:c r="G88" s="147" t="str">
        <x:v>Target ROCE</x:v>
      </x:c>
      <x:c r="H88" s="147" t="str">
        <x:v>Required EBIT</x:v>
      </x:c>
      <x:c r="I88" s="147" t="str">
        <x:v>EBIT Margin</x:v>
      </x:c>
      <x:c r="J88" s="147" t="str">
        <x:v>Required Revenue</x:v>
      </x:c>
      <x:c r="K88" s="147" t="str">
        <x:v>NOPAT Return</x:v>
      </x:c>
      <x:c r="L88" s="118"/>
      <x:c r="M88" s="118"/>
      <x:c r="N88" s="118"/>
      <x:c r="O88" s="118"/>
      <x:c r="P88" s="118"/>
      <x:c r="Q88" s="118"/>
      <x:c r="R88" s="118"/>
      <x:c r="S88" s="118"/>
      <x:c r="T88" s="118"/>
      <x:c r="U88" s="118"/>
      <x:c r="V88" s="118"/>
      <x:c r="W88" s="118"/>
      <x:c r="X88" s="118"/>
      <x:c r="Y88" s="118"/>
      <x:c r="Z88" s="118"/>
      <x:c r="AA88" s="118"/>
      <x:c r="AB88" s="118"/>
      <x:c r="AC88" s="118"/>
      <x:c r="AD88" s="118"/>
      <x:c r="AE88" s="118"/>
      <x:c r="AF88" s="118"/>
      <x:c r="AG88" s="118"/>
      <x:c r="AH88" s="118"/>
    </x:row>
    <x:row r="89">
      <x:c r="A89" s="118" t="str">
        <x:v>Phase 1 Project Capital</x:v>
      </x:c>
      <x:c r="B89" s="118" t="str">
        <x:v>INR mn</x:v>
      </x:c>
      <x:c r="C89" s="118" t="str">
        <x:v>Reported</x:v>
      </x:c>
      <x:c r="D89" s="192" t="n">
        <x:v>12000</x:v>
      </x:c>
      <x:c r="E89" s="118" t="str">
        <x:v>Company disclosed ~₹1,200 crore</x:v>
      </x:c>
      <x:c r="F89" s="118"/>
      <x:c r="G89" s="196" t="n">
        <x:v>0.12</x:v>
      </x:c>
      <x:c r="H89" s="198" t="n">
        <x:f>$D$89*G89</x:f>
        <x:v>1440</x:v>
      </x:c>
      <x:c r="I89" s="120" t="n">
        <x:f>$D$95</x:f>
        <x:v>0.35</x:v>
      </x:c>
      <x:c r="J89" s="198" t="n">
        <x:f>H89/I89</x:f>
        <x:v>4114.285714285715</x:v>
      </x:c>
      <x:c r="K89" s="120" t="n">
        <x:f>H89*(1-$D$94)/$D$89</x:f>
        <x:v>0.09</x:v>
      </x:c>
      <x:c r="L89" s="118"/>
      <x:c r="M89" s="118"/>
      <x:c r="N89" s="118"/>
      <x:c r="O89" s="118"/>
      <x:c r="P89" s="118"/>
      <x:c r="Q89" s="118"/>
      <x:c r="R89" s="118"/>
      <x:c r="S89" s="118"/>
      <x:c r="T89" s="118"/>
      <x:c r="U89" s="118"/>
      <x:c r="V89" s="118"/>
      <x:c r="W89" s="118"/>
      <x:c r="X89" s="118"/>
      <x:c r="Y89" s="118"/>
      <x:c r="Z89" s="118"/>
      <x:c r="AA89" s="118"/>
      <x:c r="AB89" s="118"/>
      <x:c r="AC89" s="118"/>
      <x:c r="AD89" s="118"/>
      <x:c r="AE89" s="118"/>
      <x:c r="AF89" s="118"/>
      <x:c r="AG89" s="118"/>
      <x:c r="AH89" s="118"/>
    </x:row>
    <x:row r="90">
      <x:c r="A90" s="118" t="str">
        <x:v>FY27 Spend</x:v>
      </x:c>
      <x:c r="B90" s="118" t="str">
        <x:v>INR mn</x:v>
      </x:c>
      <x:c r="C90" s="118" t="str">
        <x:v>Reported</x:v>
      </x:c>
      <x:c r="D90" s="192" t="n">
        <x:v>7000</x:v>
      </x:c>
      <x:c r="E90" s="118" t="str">
        <x:v>Management capex guidance</x:v>
      </x:c>
      <x:c r="F90" s="118"/>
      <x:c r="G90" s="196" t="n">
        <x:v>0.15</x:v>
      </x:c>
      <x:c r="H90" s="198" t="n">
        <x:f>$D$89*G90</x:f>
        <x:v>1800</x:v>
      </x:c>
      <x:c r="I90" s="120" t="n">
        <x:f>$D$95</x:f>
        <x:v>0.35</x:v>
      </x:c>
      <x:c r="J90" s="198" t="n">
        <x:f>H90/I90</x:f>
        <x:v>5142.857142857143</x:v>
      </x:c>
      <x:c r="K90" s="120" t="n">
        <x:f>H90*(1-$D$94)/$D$89</x:f>
        <x:v>0.1125</x:v>
      </x:c>
      <x:c r="L90" s="118"/>
      <x:c r="M90" s="118"/>
      <x:c r="N90" s="118"/>
      <x:c r="O90" s="118"/>
      <x:c r="P90" s="118"/>
      <x:c r="Q90" s="118"/>
      <x:c r="R90" s="118"/>
      <x:c r="S90" s="118"/>
      <x:c r="T90" s="118"/>
      <x:c r="U90" s="118"/>
      <x:c r="V90" s="118"/>
      <x:c r="W90" s="118"/>
      <x:c r="X90" s="118"/>
      <x:c r="Y90" s="118"/>
      <x:c r="Z90" s="118"/>
      <x:c r="AA90" s="118"/>
      <x:c r="AB90" s="118"/>
      <x:c r="AC90" s="118"/>
      <x:c r="AD90" s="118"/>
      <x:c r="AE90" s="118"/>
      <x:c r="AF90" s="118"/>
      <x:c r="AG90" s="118"/>
      <x:c r="AH90" s="118"/>
    </x:row>
    <x:row r="91">
      <x:c r="A91" s="118" t="str">
        <x:v>FY28 Spend</x:v>
      </x:c>
      <x:c r="B91" s="118" t="str">
        <x:v>INR mn</x:v>
      </x:c>
      <x:c r="C91" s="118" t="str">
        <x:v>Reported / rounded</x:v>
      </x:c>
      <x:c r="D91" s="192" t="n">
        <x:v>5000</x:v>
      </x:c>
      <x:c r="E91" s="118" t="str">
        <x:v>Management indicated ~₹500 crore after FY27</x:v>
      </x:c>
      <x:c r="F91" s="118"/>
      <x:c r="G91" s="196" t="n">
        <x:v>0.18</x:v>
      </x:c>
      <x:c r="H91" s="198" t="n">
        <x:f>$D$89*G91</x:f>
        <x:v>2160</x:v>
      </x:c>
      <x:c r="I91" s="120" t="n">
        <x:f>$D$95</x:f>
        <x:v>0.35</x:v>
      </x:c>
      <x:c r="J91" s="198" t="n">
        <x:f>H91/I91</x:f>
        <x:v>6171.428571428572</x:v>
      </x:c>
      <x:c r="K91" s="120" t="n">
        <x:f>H91*(1-$D$94)/$D$89</x:f>
        <x:v>0.135</x:v>
      </x:c>
      <x:c r="L91" s="118"/>
      <x:c r="M91" s="118"/>
      <x:c r="N91" s="118"/>
      <x:c r="O91" s="118"/>
      <x:c r="P91" s="118"/>
      <x:c r="Q91" s="118"/>
      <x:c r="R91" s="118"/>
      <x:c r="S91" s="118"/>
      <x:c r="T91" s="118"/>
      <x:c r="U91" s="118"/>
      <x:c r="V91" s="118"/>
      <x:c r="W91" s="118"/>
      <x:c r="X91" s="118"/>
      <x:c r="Y91" s="118"/>
      <x:c r="Z91" s="118"/>
      <x:c r="AA91" s="118"/>
      <x:c r="AB91" s="118"/>
      <x:c r="AC91" s="118"/>
      <x:c r="AD91" s="118"/>
      <x:c r="AE91" s="118"/>
      <x:c r="AF91" s="118"/>
      <x:c r="AG91" s="118"/>
      <x:c r="AH91" s="118"/>
    </x:row>
    <x:row r="92">
      <x:c r="A92" s="118" t="str">
        <x:v>Custom Synthesis Addition</x:v>
      </x:c>
      <x:c r="B92" s="118" t="str">
        <x:v>kL</x:v>
      </x:c>
      <x:c r="C92" s="118" t="str">
        <x:v>Reported</x:v>
      </x:c>
      <x:c r="D92" s="192" t="n">
        <x:v>365</x:v>
      </x:c>
      <x:c r="E92" s="118" t="str">
        <x:v>Do not apply arbitrary revenue/kL</x:v>
      </x:c>
      <x:c r="F92" s="118"/>
      <x:c r="G92" s="196" t="n">
        <x:v>0.2</x:v>
      </x:c>
      <x:c r="H92" s="198" t="n">
        <x:f>$D$89*G92</x:f>
        <x:v>2400</x:v>
      </x:c>
      <x:c r="I92" s="120" t="n">
        <x:f>$D$95</x:f>
        <x:v>0.35</x:v>
      </x:c>
      <x:c r="J92" s="198" t="n">
        <x:f>H92/I92</x:f>
        <x:v>6857.142857142858</x:v>
      </x:c>
      <x:c r="K92" s="120" t="n">
        <x:f>H92*(1-$D$94)/$D$89</x:f>
        <x:v>0.15</x:v>
      </x:c>
      <x:c r="L92" s="118"/>
      <x:c r="M92" s="118"/>
      <x:c r="N92" s="118"/>
      <x:c r="O92" s="118"/>
      <x:c r="P92" s="118"/>
      <x:c r="Q92" s="118"/>
      <x:c r="R92" s="118"/>
      <x:c r="S92" s="118"/>
      <x:c r="T92" s="118"/>
      <x:c r="U92" s="118"/>
      <x:c r="V92" s="118"/>
      <x:c r="W92" s="118"/>
      <x:c r="X92" s="118"/>
      <x:c r="Y92" s="118"/>
      <x:c r="Z92" s="118"/>
      <x:c r="AA92" s="118"/>
      <x:c r="AB92" s="118"/>
      <x:c r="AC92" s="118"/>
      <x:c r="AD92" s="118"/>
      <x:c r="AE92" s="118"/>
      <x:c r="AF92" s="118"/>
      <x:c r="AG92" s="118"/>
      <x:c r="AH92" s="118"/>
    </x:row>
    <x:row r="93">
      <x:c r="A93" s="118" t="str">
        <x:v>Fermentation Addition</x:v>
      </x:c>
      <x:c r="B93" s="118" t="str">
        <x:v>kL</x:v>
      </x:c>
      <x:c r="C93" s="118" t="str">
        <x:v>Reported</x:v>
      </x:c>
      <x:c r="D93" s="192" t="n">
        <x:v>100</x:v>
      </x:c>
      <x:c r="E93" s="118" t="str">
        <x:v>Economics differ from custom synthesis</x:v>
      </x:c>
      <x:c r="F93" s="118"/>
      <x:c r="G93" s="118"/>
      <x:c r="H93" s="118"/>
      <x:c r="I93" s="118"/>
      <x:c r="J93" s="118"/>
      <x:c r="K93" s="118"/>
      <x:c r="L93" s="118"/>
      <x:c r="M93" s="118"/>
      <x:c r="N93" s="118"/>
      <x:c r="O93" s="118"/>
      <x:c r="P93" s="118"/>
      <x:c r="Q93" s="118"/>
      <x:c r="R93" s="118"/>
      <x:c r="S93" s="118"/>
      <x:c r="T93" s="118"/>
      <x:c r="U93" s="118"/>
      <x:c r="V93" s="118"/>
      <x:c r="W93" s="118"/>
      <x:c r="X93" s="118"/>
      <x:c r="Y93" s="118"/>
      <x:c r="Z93" s="118"/>
      <x:c r="AA93" s="118"/>
      <x:c r="AB93" s="118"/>
      <x:c r="AC93" s="118"/>
      <x:c r="AD93" s="118"/>
      <x:c r="AE93" s="118"/>
      <x:c r="AF93" s="118"/>
      <x:c r="AG93" s="118"/>
      <x:c r="AH93" s="118"/>
    </x:row>
    <x:row r="94">
      <x:c r="A94" s="118" t="str">
        <x:v>Normalised Tax Rate</x:v>
      </x:c>
      <x:c r="B94" s="118" t="str">
        <x:v>%</x:v>
      </x:c>
      <x:c r="C94" s="118" t="str">
        <x:v>Analyst assumption</x:v>
      </x:c>
      <x:c r="D94" s="196" t="n">
        <x:v>0.25</x:v>
      </x:c>
      <x:c r="E94" s="118" t="str">
        <x:v>For NOPAT sensitivity</x:v>
      </x:c>
      <x:c r="F94" s="118"/>
      <x:c r="G94" s="118"/>
      <x:c r="H94" s="118"/>
      <x:c r="I94" s="118"/>
      <x:c r="J94" s="118"/>
      <x:c r="K94" s="118"/>
      <x:c r="L94" s="118"/>
      <x:c r="M94" s="118"/>
      <x:c r="N94" s="118"/>
      <x:c r="O94" s="118"/>
      <x:c r="P94" s="118"/>
      <x:c r="Q94" s="118"/>
      <x:c r="R94" s="118"/>
      <x:c r="S94" s="118"/>
      <x:c r="T94" s="118"/>
      <x:c r="U94" s="118"/>
      <x:c r="V94" s="118"/>
      <x:c r="W94" s="118"/>
      <x:c r="X94" s="118"/>
      <x:c r="Y94" s="118"/>
      <x:c r="Z94" s="118"/>
      <x:c r="AA94" s="118"/>
      <x:c r="AB94" s="118"/>
      <x:c r="AC94" s="118"/>
      <x:c r="AD94" s="118"/>
      <x:c r="AE94" s="118"/>
      <x:c r="AF94" s="118"/>
      <x:c r="AG94" s="118"/>
      <x:c r="AH94" s="118"/>
    </x:row>
    <x:row r="95">
      <x:c r="A95" s="118" t="str">
        <x:v>Illustrative Steady-State EBIT Margin</x:v>
      </x:c>
      <x:c r="B95" s="118" t="str">
        <x:v>%</x:v>
      </x:c>
      <x:c r="C95" s="118" t="str">
        <x:v>Analyst sensitivity</x:v>
      </x:c>
      <x:c r="D95" s="196" t="n">
        <x:v>0.35</x:v>
      </x:c>
      <x:c r="E95" s="118" t="str">
        <x:v>Not a forecast; used to reverse-engineer return hurdle</x:v>
      </x:c>
      <x:c r="F95" s="118"/>
      <x:c r="G95" s="118"/>
      <x:c r="H95" s="118"/>
      <x:c r="I95" s="118"/>
      <x:c r="J95" s="118"/>
      <x:c r="K95" s="118"/>
      <x:c r="L95" s="118"/>
      <x:c r="M95" s="118"/>
      <x:c r="N95" s="118"/>
      <x:c r="O95" s="118"/>
      <x:c r="P95" s="118"/>
      <x:c r="Q95" s="118"/>
      <x:c r="R95" s="118"/>
      <x:c r="S95" s="118"/>
      <x:c r="T95" s="118"/>
      <x:c r="U95" s="118"/>
      <x:c r="V95" s="118"/>
      <x:c r="W95" s="118"/>
      <x:c r="X95" s="118"/>
      <x:c r="Y95" s="118"/>
      <x:c r="Z95" s="118"/>
      <x:c r="AA95" s="118"/>
      <x:c r="AB95" s="118"/>
      <x:c r="AC95" s="118"/>
      <x:c r="AD95" s="118"/>
      <x:c r="AE95" s="118"/>
      <x:c r="AF95" s="118"/>
      <x:c r="AG95" s="118"/>
      <x:c r="AH95" s="118"/>
    </x:row>
    <x:row r="96">
      <x:c r="A96" s="118"/>
      <x:c r="B96" s="118"/>
      <x:c r="C96" s="118"/>
      <x:c r="D96" s="118"/>
      <x:c r="E96" s="118"/>
      <x:c r="F96" s="118"/>
      <x:c r="G96" s="118"/>
      <x:c r="H96" s="118"/>
      <x:c r="I96" s="118"/>
      <x:c r="J96" s="118"/>
      <x:c r="K96" s="118"/>
      <x:c r="L96" s="118"/>
      <x:c r="M96" s="118"/>
      <x:c r="N96" s="118"/>
      <x:c r="O96" s="118"/>
      <x:c r="P96" s="118"/>
      <x:c r="Q96" s="118"/>
      <x:c r="R96" s="118"/>
      <x:c r="S96" s="118"/>
      <x:c r="T96" s="118"/>
      <x:c r="U96" s="118"/>
      <x:c r="V96" s="118"/>
      <x:c r="W96" s="118"/>
      <x:c r="X96" s="118"/>
      <x:c r="Y96" s="118"/>
      <x:c r="Z96" s="118"/>
      <x:c r="AA96" s="118"/>
      <x:c r="AB96" s="118"/>
      <x:c r="AC96" s="118"/>
      <x:c r="AD96" s="118"/>
      <x:c r="AE96" s="118"/>
      <x:c r="AF96" s="118"/>
      <x:c r="AG96" s="118"/>
      <x:c r="AH96" s="118"/>
    </x:row>
    <x:row r="97">
      <x:c r="A97" s="118"/>
      <x:c r="B97" s="118"/>
      <x:c r="C97" s="118"/>
      <x:c r="D97" s="118"/>
      <x:c r="E97" s="118"/>
      <x:c r="F97" s="118"/>
      <x:c r="G97" s="118"/>
      <x:c r="H97" s="118"/>
      <x:c r="I97" s="118"/>
      <x:c r="J97" s="118"/>
      <x:c r="K97" s="118"/>
      <x:c r="L97" s="118"/>
      <x:c r="M97" s="118"/>
      <x:c r="N97" s="118"/>
      <x:c r="O97" s="118"/>
      <x:c r="P97" s="118"/>
      <x:c r="Q97" s="118"/>
      <x:c r="R97" s="118"/>
      <x:c r="S97" s="118"/>
      <x:c r="T97" s="118"/>
      <x:c r="U97" s="118"/>
      <x:c r="V97" s="118"/>
      <x:c r="W97" s="118"/>
      <x:c r="X97" s="118"/>
      <x:c r="Y97" s="118"/>
      <x:c r="Z97" s="118"/>
      <x:c r="AA97" s="118"/>
      <x:c r="AB97" s="118"/>
      <x:c r="AC97" s="118"/>
      <x:c r="AD97" s="118"/>
      <x:c r="AE97" s="118"/>
      <x:c r="AF97" s="118"/>
      <x:c r="AG97" s="118"/>
      <x:c r="AH97" s="118"/>
    </x:row>
    <x:row r="98" ht="18" customHeight="1">
      <x:c r="A98" s="146" t="str">
        <x:v>UNIT IV PHYSICAL CAPACITY CEILING – DISCIPLINED SENSITIVITY</x:v>
      </x:c>
      <x:c r="B98" s="146"/>
      <x:c r="C98" s="146"/>
      <x:c r="D98" s="146"/>
      <x:c r="E98" s="146"/>
      <x:c r="F98" s="146"/>
      <x:c r="G98" s="146"/>
      <x:c r="H98" s="146"/>
      <x:c r="I98" s="146"/>
      <x:c r="J98" s="146"/>
      <x:c r="K98" s="146"/>
      <x:c r="L98" s="118"/>
      <x:c r="M98" s="118"/>
      <x:c r="N98" s="118"/>
      <x:c r="O98" s="118"/>
      <x:c r="P98" s="118"/>
      <x:c r="Q98" s="118"/>
      <x:c r="R98" s="118"/>
      <x:c r="S98" s="118"/>
      <x:c r="T98" s="118"/>
      <x:c r="U98" s="118"/>
      <x:c r="V98" s="118"/>
      <x:c r="W98" s="118"/>
      <x:c r="X98" s="118"/>
      <x:c r="Y98" s="118"/>
      <x:c r="Z98" s="118"/>
      <x:c r="AA98" s="118"/>
      <x:c r="AB98" s="118"/>
      <x:c r="AC98" s="118"/>
      <x:c r="AD98" s="118"/>
      <x:c r="AE98" s="118"/>
      <x:c r="AF98" s="118"/>
      <x:c r="AG98" s="118"/>
      <x:c r="AH98" s="118"/>
    </x:row>
    <x:row r="99">
      <x:c r="A99" s="147" t="str">
        <x:v>Utilisation</x:v>
      </x:c>
      <x:c r="B99" s="147" t="str">
        <x:v>Custom Synthesis Used</x:v>
      </x:c>
      <x:c r="C99" s="147" t="str">
        <x:v>Fermentation Used</x:v>
      </x:c>
      <x:c r="D99" s="147" t="str">
        <x:v>Revenue / utilised kL</x:v>
      </x:c>
      <x:c r="E99" s="147" t="str">
        <x:v>Implied Sales Ceiling</x:v>
      </x:c>
      <x:c r="F99" s="147" t="str">
        <x:v>Evidence Status</x:v>
      </x:c>
      <x:c r="G99" s="147" t="str">
        <x:v>Demand-backed read-through</x:v>
      </x:c>
      <x:c r="H99" s="147" t="str">
        <x:v>Analyst View</x:v>
      </x:c>
      <x:c r="I99" s="147" t="str"/>
      <x:c r="J99" s="147" t="str"/>
      <x:c r="K99" s="147" t="str"/>
      <x:c r="L99" s="118"/>
      <x:c r="M99" s="118"/>
      <x:c r="N99" s="118"/>
      <x:c r="O99" s="118"/>
      <x:c r="P99" s="118"/>
      <x:c r="Q99" s="118"/>
      <x:c r="R99" s="118"/>
      <x:c r="S99" s="118"/>
      <x:c r="T99" s="118"/>
      <x:c r="U99" s="118"/>
      <x:c r="V99" s="118"/>
      <x:c r="W99" s="118"/>
      <x:c r="X99" s="118"/>
      <x:c r="Y99" s="118"/>
      <x:c r="Z99" s="118"/>
      <x:c r="AA99" s="118"/>
      <x:c r="AB99" s="118"/>
      <x:c r="AC99" s="118"/>
      <x:c r="AD99" s="118"/>
      <x:c r="AE99" s="118"/>
      <x:c r="AF99" s="118"/>
      <x:c r="AG99" s="118"/>
      <x:c r="AH99" s="118"/>
    </x:row>
    <x:row r="100">
      <x:c r="A100" s="196" t="n">
        <x:v>0.25</x:v>
      </x:c>
      <x:c r="B100" s="198" t="n">
        <x:f>$D$92*A100</x:f>
        <x:v>91.25</x:v>
      </x:c>
      <x:c r="C100" s="198" t="n">
        <x:f>$D$93*A100</x:f>
        <x:v>25</x:v>
      </x:c>
      <x:c r="D100" s="118" t="str">
        <x:v>NA</x:v>
      </x:c>
      <x:c r="E100" s="118" t="str">
        <x:v>NA</x:v>
      </x:c>
      <x:c r="F100" s="118" t="str">
        <x:v>Insufficient public data</x:v>
      </x:c>
      <x:c r="G100" s="118" t="str">
        <x:v>Use programme / commercialisation progression rather than arbitrary kL economics.</x:v>
      </x:c>
      <x:c r="H100" s="118" t="str">
        <x:v>Sensitivity is physical capacity only; custom synthesis and fermentation have different value density.</x:v>
      </x:c>
      <x:c r="I100" s="118"/>
      <x:c r="J100" s="118"/>
      <x:c r="K100" s="118"/>
      <x:c r="L100" s="118"/>
      <x:c r="M100" s="118"/>
      <x:c r="N100" s="118"/>
      <x:c r="O100" s="118"/>
      <x:c r="P100" s="118"/>
      <x:c r="Q100" s="118"/>
      <x:c r="R100" s="118"/>
      <x:c r="S100" s="118"/>
      <x:c r="T100" s="118"/>
      <x:c r="U100" s="118"/>
      <x:c r="V100" s="118"/>
      <x:c r="W100" s="118"/>
      <x:c r="X100" s="118"/>
      <x:c r="Y100" s="118"/>
      <x:c r="Z100" s="118"/>
      <x:c r="AA100" s="118"/>
      <x:c r="AB100" s="118"/>
      <x:c r="AC100" s="118"/>
      <x:c r="AD100" s="118"/>
      <x:c r="AE100" s="118"/>
      <x:c r="AF100" s="118"/>
      <x:c r="AG100" s="118"/>
      <x:c r="AH100" s="118"/>
    </x:row>
    <x:row r="101">
      <x:c r="A101" s="196" t="n">
        <x:v>0.5</x:v>
      </x:c>
      <x:c r="B101" s="198" t="n">
        <x:f>$D$92*A101</x:f>
        <x:v>182.5</x:v>
      </x:c>
      <x:c r="C101" s="198" t="n">
        <x:f>$D$93*A101</x:f>
        <x:v>50</x:v>
      </x:c>
      <x:c r="D101" s="118" t="str">
        <x:v>NA</x:v>
      </x:c>
      <x:c r="E101" s="118" t="str">
        <x:v>NA</x:v>
      </x:c>
      <x:c r="F101" s="118" t="str">
        <x:v>Insufficient public data</x:v>
      </x:c>
      <x:c r="G101" s="118" t="str">
        <x:v>Use programme / commercialisation progression rather than arbitrary kL economics.</x:v>
      </x:c>
      <x:c r="H101" s="118" t="str">
        <x:v>Sensitivity is physical capacity only; custom synthesis and fermentation have different value density.</x:v>
      </x:c>
      <x:c r="I101" s="118"/>
      <x:c r="J101" s="118"/>
      <x:c r="K101" s="118"/>
      <x:c r="L101" s="118"/>
      <x:c r="M101" s="118"/>
      <x:c r="N101" s="118"/>
      <x:c r="O101" s="118"/>
      <x:c r="P101" s="118"/>
      <x:c r="Q101" s="118"/>
      <x:c r="R101" s="118"/>
      <x:c r="S101" s="118"/>
      <x:c r="T101" s="118"/>
      <x:c r="U101" s="118"/>
      <x:c r="V101" s="118"/>
      <x:c r="W101" s="118"/>
      <x:c r="X101" s="118"/>
      <x:c r="Y101" s="118"/>
      <x:c r="Z101" s="118"/>
      <x:c r="AA101" s="118"/>
      <x:c r="AB101" s="118"/>
      <x:c r="AC101" s="118"/>
      <x:c r="AD101" s="118"/>
      <x:c r="AE101" s="118"/>
      <x:c r="AF101" s="118"/>
      <x:c r="AG101" s="118"/>
      <x:c r="AH101" s="118"/>
    </x:row>
    <x:row r="102">
      <x:c r="A102" s="196" t="n">
        <x:v>0.75</x:v>
      </x:c>
      <x:c r="B102" s="198" t="n">
        <x:f>$D$92*A102</x:f>
        <x:v>273.75</x:v>
      </x:c>
      <x:c r="C102" s="198" t="n">
        <x:f>$D$93*A102</x:f>
        <x:v>75</x:v>
      </x:c>
      <x:c r="D102" s="118" t="str">
        <x:v>NA</x:v>
      </x:c>
      <x:c r="E102" s="118" t="str">
        <x:v>NA</x:v>
      </x:c>
      <x:c r="F102" s="118" t="str">
        <x:v>Insufficient public data</x:v>
      </x:c>
      <x:c r="G102" s="118" t="str">
        <x:v>Use programme / commercialisation progression rather than arbitrary kL economics.</x:v>
      </x:c>
      <x:c r="H102" s="118" t="str">
        <x:v>Sensitivity is physical capacity only; custom synthesis and fermentation have different value density.</x:v>
      </x:c>
      <x:c r="I102" s="118"/>
      <x:c r="J102" s="118"/>
      <x:c r="K102" s="118"/>
      <x:c r="L102" s="118"/>
      <x:c r="M102" s="118"/>
      <x:c r="N102" s="118"/>
      <x:c r="O102" s="118"/>
      <x:c r="P102" s="118"/>
      <x:c r="Q102" s="118"/>
      <x:c r="R102" s="118"/>
      <x:c r="S102" s="118"/>
      <x:c r="T102" s="118"/>
      <x:c r="U102" s="118"/>
      <x:c r="V102" s="118"/>
      <x:c r="W102" s="118"/>
      <x:c r="X102" s="118"/>
      <x:c r="Y102" s="118"/>
      <x:c r="Z102" s="118"/>
      <x:c r="AA102" s="118"/>
      <x:c r="AB102" s="118"/>
      <x:c r="AC102" s="118"/>
      <x:c r="AD102" s="118"/>
      <x:c r="AE102" s="118"/>
      <x:c r="AF102" s="118"/>
      <x:c r="AG102" s="118"/>
      <x:c r="AH102" s="118"/>
    </x:row>
    <x:row r="103">
      <x:c r="A103" s="118"/>
      <x:c r="B103" s="118"/>
      <x:c r="C103" s="118"/>
      <x:c r="D103" s="118"/>
      <x:c r="E103" s="118"/>
      <x:c r="F103" s="118"/>
      <x:c r="G103" s="118"/>
      <x:c r="H103" s="118"/>
      <x:c r="I103" s="118"/>
      <x:c r="J103" s="118"/>
      <x:c r="K103" s="118"/>
      <x:c r="L103" s="118"/>
      <x:c r="M103" s="118"/>
      <x:c r="N103" s="118"/>
      <x:c r="O103" s="118"/>
      <x:c r="P103" s="118"/>
      <x:c r="Q103" s="118"/>
      <x:c r="R103" s="118"/>
      <x:c r="S103" s="118"/>
      <x:c r="T103" s="118"/>
      <x:c r="U103" s="118"/>
      <x:c r="V103" s="118"/>
      <x:c r="W103" s="118"/>
      <x:c r="X103" s="118"/>
      <x:c r="Y103" s="118"/>
      <x:c r="Z103" s="118"/>
      <x:c r="AA103" s="118"/>
      <x:c r="AB103" s="118"/>
      <x:c r="AC103" s="118"/>
      <x:c r="AD103" s="118"/>
      <x:c r="AE103" s="118"/>
      <x:c r="AF103" s="118"/>
      <x:c r="AG103" s="118"/>
      <x:c r="AH103" s="118"/>
    </x:row>
    <x:row r="104">
      <x:c r="A104" s="118"/>
      <x:c r="B104" s="118"/>
      <x:c r="C104" s="118"/>
      <x:c r="D104" s="118"/>
      <x:c r="E104" s="118"/>
      <x:c r="F104" s="118"/>
      <x:c r="G104" s="118"/>
      <x:c r="H104" s="118"/>
      <x:c r="I104" s="118"/>
      <x:c r="J104" s="118"/>
      <x:c r="K104" s="118"/>
      <x:c r="L104" s="118"/>
      <x:c r="M104" s="118"/>
      <x:c r="N104" s="118"/>
      <x:c r="O104" s="118"/>
      <x:c r="P104" s="118"/>
      <x:c r="Q104" s="118"/>
      <x:c r="R104" s="118"/>
      <x:c r="S104" s="118"/>
      <x:c r="T104" s="118"/>
      <x:c r="U104" s="118"/>
      <x:c r="V104" s="118"/>
      <x:c r="W104" s="118"/>
      <x:c r="X104" s="118"/>
      <x:c r="Y104" s="118"/>
      <x:c r="Z104" s="118"/>
      <x:c r="AA104" s="118"/>
      <x:c r="AB104" s="118"/>
      <x:c r="AC104" s="118"/>
      <x:c r="AD104" s="118"/>
      <x:c r="AE104" s="118"/>
      <x:c r="AF104" s="118"/>
      <x:c r="AG104" s="118"/>
      <x:c r="AH104" s="118"/>
    </x:row>
    <x:row r="105" ht="18" customHeight="1">
      <x:c r="A105" s="146" t="str">
        <x:v>UNIT IV RETURN BRIDGE – REVENUE REQUIRED TO EARN ATTRACTIVE RETURNS</x:v>
      </x:c>
      <x:c r="B105" s="146"/>
      <x:c r="C105" s="146"/>
      <x:c r="D105" s="146"/>
      <x:c r="E105" s="146"/>
      <x:c r="F105" s="146"/>
      <x:c r="G105" s="146"/>
      <x:c r="H105" s="146"/>
      <x:c r="I105" s="146"/>
      <x:c r="J105" s="146"/>
      <x:c r="K105" s="146"/>
      <x:c r="L105" s="118"/>
      <x:c r="M105" s="118"/>
      <x:c r="N105" s="118"/>
      <x:c r="O105" s="118"/>
      <x:c r="P105" s="118"/>
      <x:c r="Q105" s="118"/>
      <x:c r="R105" s="118"/>
      <x:c r="S105" s="118"/>
      <x:c r="T105" s="118"/>
      <x:c r="U105" s="118"/>
      <x:c r="V105" s="118"/>
      <x:c r="W105" s="118"/>
      <x:c r="X105" s="118"/>
      <x:c r="Y105" s="118"/>
      <x:c r="Z105" s="118"/>
      <x:c r="AA105" s="118"/>
      <x:c r="AB105" s="118"/>
      <x:c r="AC105" s="118"/>
      <x:c r="AD105" s="118"/>
      <x:c r="AE105" s="118"/>
      <x:c r="AF105" s="118"/>
      <x:c r="AG105" s="118"/>
      <x:c r="AH105" s="118"/>
    </x:row>
    <x:row r="106">
      <x:c r="A106" s="147" t="str">
        <x:v>Metric</x:v>
      </x:c>
      <x:c r="B106" s="147" t="str">
        <x:v>Units</x:v>
      </x:c>
      <x:c r="C106" s="147" t="str">
        <x:v>25% of Required Revenue</x:v>
      </x:c>
      <x:c r="D106" s="147" t="str">
        <x:v>50%</x:v>
      </x:c>
      <x:c r="E106" s="147" t="str">
        <x:v>75%</x:v>
      </x:c>
      <x:c r="F106" s="147" t="str">
        <x:v>100%</x:v>
      </x:c>
      <x:c r="G106" s="147" t="str">
        <x:v>Classification</x:v>
      </x:c>
      <x:c r="H106" s="147" t="str">
        <x:v>Commentary</x:v>
      </x:c>
      <x:c r="I106" s="147" t="str"/>
      <x:c r="J106" s="147" t="str"/>
      <x:c r="K106" s="147" t="str"/>
      <x:c r="L106" s="118"/>
      <x:c r="M106" s="118"/>
      <x:c r="N106" s="118"/>
      <x:c r="O106" s="118"/>
      <x:c r="P106" s="118"/>
      <x:c r="Q106" s="118"/>
      <x:c r="R106" s="118"/>
      <x:c r="S106" s="118"/>
      <x:c r="T106" s="118"/>
      <x:c r="U106" s="118"/>
      <x:c r="V106" s="118"/>
      <x:c r="W106" s="118"/>
      <x:c r="X106" s="118"/>
      <x:c r="Y106" s="118"/>
      <x:c r="Z106" s="118"/>
      <x:c r="AA106" s="118"/>
      <x:c r="AB106" s="118"/>
      <x:c r="AC106" s="118"/>
      <x:c r="AD106" s="118"/>
      <x:c r="AE106" s="118"/>
      <x:c r="AF106" s="118"/>
      <x:c r="AG106" s="118"/>
      <x:c r="AH106" s="118"/>
    </x:row>
    <x:row r="107">
      <x:c r="A107" s="118" t="str">
        <x:v>Revenue</x:v>
      </x:c>
      <x:c r="B107" s="118" t="str">
        <x:v>INR mn</x:v>
      </x:c>
      <x:c r="C107" s="198" t="n">
        <x:f>$J$90*25%</x:f>
        <x:v>1285.7142857142858</x:v>
      </x:c>
      <x:c r="D107" s="198" t="n">
        <x:f>$J$90*50%</x:f>
        <x:v>2571.4285714285716</x:v>
      </x:c>
      <x:c r="E107" s="198" t="n">
        <x:f>$J$90*75%</x:f>
        <x:v>3857.1428571428573</x:v>
      </x:c>
      <x:c r="F107" s="198" t="n">
        <x:f>$J$90</x:f>
        <x:v>5142.857142857143</x:v>
      </x:c>
      <x:c r="G107" s="118" t="str">
        <x:v>Analytical sensitivity</x:v>
      </x:c>
      <x:c r="H107" s="118" t="str">
        <x:v>15% ROCE hurdle, 35% EBIT margin; EBITDA margin illustrative 40%.</x:v>
      </x:c>
      <x:c r="I107" s="118"/>
      <x:c r="J107" s="118"/>
      <x:c r="K107" s="118"/>
      <x:c r="L107" s="118"/>
      <x:c r="M107" s="118"/>
      <x:c r="N107" s="118"/>
      <x:c r="O107" s="118"/>
      <x:c r="P107" s="118"/>
      <x:c r="Q107" s="118"/>
      <x:c r="R107" s="118"/>
      <x:c r="S107" s="118"/>
      <x:c r="T107" s="118"/>
      <x:c r="U107" s="118"/>
      <x:c r="V107" s="118"/>
      <x:c r="W107" s="118"/>
      <x:c r="X107" s="118"/>
      <x:c r="Y107" s="118"/>
      <x:c r="Z107" s="118"/>
      <x:c r="AA107" s="118"/>
      <x:c r="AB107" s="118"/>
      <x:c r="AC107" s="118"/>
      <x:c r="AD107" s="118"/>
      <x:c r="AE107" s="118"/>
      <x:c r="AF107" s="118"/>
      <x:c r="AG107" s="118"/>
      <x:c r="AH107" s="118"/>
    </x:row>
    <x:row r="108">
      <x:c r="A108" s="118" t="str">
        <x:v>EBITDA</x:v>
      </x:c>
      <x:c r="B108" s="118" t="str">
        <x:v>INR mn</x:v>
      </x:c>
      <x:c r="C108" s="198" t="n">
        <x:f>C107*40%</x:f>
        <x:v>514.2857142857143</x:v>
      </x:c>
      <x:c r="D108" s="198" t="n">
        <x:f>D107*40%</x:f>
        <x:v>1028.5714285714287</x:v>
      </x:c>
      <x:c r="E108" s="198" t="n">
        <x:f>E107*40%</x:f>
        <x:v>1542.8571428571431</x:v>
      </x:c>
      <x:c r="F108" s="198" t="n">
        <x:f>F107*40%</x:f>
        <x:v>2057.1428571428573</x:v>
      </x:c>
      <x:c r="G108" s="118" t="str">
        <x:v>Analytical sensitivity</x:v>
      </x:c>
      <x:c r="H108" s="118" t="str">
        <x:v>15% ROCE hurdle, 35% EBIT margin; EBITDA margin illustrative 40%.</x:v>
      </x:c>
      <x:c r="I108" s="118"/>
      <x:c r="J108" s="118"/>
      <x:c r="K108" s="118"/>
      <x:c r="L108" s="118"/>
      <x:c r="M108" s="118"/>
      <x:c r="N108" s="118"/>
      <x:c r="O108" s="118"/>
      <x:c r="P108" s="118"/>
      <x:c r="Q108" s="118"/>
      <x:c r="R108" s="118"/>
      <x:c r="S108" s="118"/>
      <x:c r="T108" s="118"/>
      <x:c r="U108" s="118"/>
      <x:c r="V108" s="118"/>
      <x:c r="W108" s="118"/>
      <x:c r="X108" s="118"/>
      <x:c r="Y108" s="118"/>
      <x:c r="Z108" s="118"/>
      <x:c r="AA108" s="118"/>
      <x:c r="AB108" s="118"/>
      <x:c r="AC108" s="118"/>
      <x:c r="AD108" s="118"/>
      <x:c r="AE108" s="118"/>
      <x:c r="AF108" s="118"/>
      <x:c r="AG108" s="118"/>
      <x:c r="AH108" s="118"/>
    </x:row>
    <x:row r="109">
      <x:c r="A109" s="118" t="str">
        <x:v>EBIT</x:v>
      </x:c>
      <x:c r="B109" s="118" t="str">
        <x:v>INR mn</x:v>
      </x:c>
      <x:c r="C109" s="198" t="n">
        <x:f>C107*$D$95</x:f>
        <x:v>450</x:v>
      </x:c>
      <x:c r="D109" s="198" t="n">
        <x:f>D107*$D$95</x:f>
        <x:v>900</x:v>
      </x:c>
      <x:c r="E109" s="198" t="n">
        <x:f>E107*$D$95</x:f>
        <x:v>1350</x:v>
      </x:c>
      <x:c r="F109" s="198" t="n">
        <x:f>F107*$D$95</x:f>
        <x:v>1800</x:v>
      </x:c>
      <x:c r="G109" s="118" t="str">
        <x:v>Analytical sensitivity</x:v>
      </x:c>
      <x:c r="H109" s="118" t="str">
        <x:v>15% ROCE hurdle, 35% EBIT margin; EBITDA margin illustrative 40%.</x:v>
      </x:c>
      <x:c r="I109" s="118"/>
      <x:c r="J109" s="118"/>
      <x:c r="K109" s="118"/>
      <x:c r="L109" s="118"/>
      <x:c r="M109" s="118"/>
      <x:c r="N109" s="118"/>
      <x:c r="O109" s="118"/>
      <x:c r="P109" s="118"/>
      <x:c r="Q109" s="118"/>
      <x:c r="R109" s="118"/>
      <x:c r="S109" s="118"/>
      <x:c r="T109" s="118"/>
      <x:c r="U109" s="118"/>
      <x:c r="V109" s="118"/>
      <x:c r="W109" s="118"/>
      <x:c r="X109" s="118"/>
      <x:c r="Y109" s="118"/>
      <x:c r="Z109" s="118"/>
      <x:c r="AA109" s="118"/>
      <x:c r="AB109" s="118"/>
      <x:c r="AC109" s="118"/>
      <x:c r="AD109" s="118"/>
      <x:c r="AE109" s="118"/>
      <x:c r="AF109" s="118"/>
      <x:c r="AG109" s="118"/>
      <x:c r="AH109" s="118"/>
    </x:row>
    <x:row r="110">
      <x:c r="A110" s="118" t="str">
        <x:v>NOPAT</x:v>
      </x:c>
      <x:c r="B110" s="118" t="str">
        <x:v>INR mn</x:v>
      </x:c>
      <x:c r="C110" s="198" t="n">
        <x:f>C109*(1-$D$94)</x:f>
        <x:v>337.5</x:v>
      </x:c>
      <x:c r="D110" s="198" t="n">
        <x:f>D109*(1-$D$94)</x:f>
        <x:v>675</x:v>
      </x:c>
      <x:c r="E110" s="198" t="n">
        <x:f>E109*(1-$D$94)</x:f>
        <x:v>1012.5</x:v>
      </x:c>
      <x:c r="F110" s="198" t="n">
        <x:f>F109*(1-$D$94)</x:f>
        <x:v>1350</x:v>
      </x:c>
      <x:c r="G110" s="118" t="str">
        <x:v>Analytical sensitivity</x:v>
      </x:c>
      <x:c r="H110" s="118" t="str">
        <x:v>15% ROCE hurdle, 35% EBIT margin; EBITDA margin illustrative 40%.</x:v>
      </x:c>
      <x:c r="I110" s="118"/>
      <x:c r="J110" s="118"/>
      <x:c r="K110" s="118"/>
      <x:c r="L110" s="118"/>
      <x:c r="M110" s="118"/>
      <x:c r="N110" s="118"/>
      <x:c r="O110" s="118"/>
      <x:c r="P110" s="118"/>
      <x:c r="Q110" s="118"/>
      <x:c r="R110" s="118"/>
      <x:c r="S110" s="118"/>
      <x:c r="T110" s="118"/>
      <x:c r="U110" s="118"/>
      <x:c r="V110" s="118"/>
      <x:c r="W110" s="118"/>
      <x:c r="X110" s="118"/>
      <x:c r="Y110" s="118"/>
      <x:c r="Z110" s="118"/>
      <x:c r="AA110" s="118"/>
      <x:c r="AB110" s="118"/>
      <x:c r="AC110" s="118"/>
      <x:c r="AD110" s="118"/>
      <x:c r="AE110" s="118"/>
      <x:c r="AF110" s="118"/>
      <x:c r="AG110" s="118"/>
      <x:c r="AH110" s="118"/>
    </x:row>
    <x:row r="111">
      <x:c r="A111" s="118" t="str">
        <x:v>Project ROCE</x:v>
      </x:c>
      <x:c r="B111" s="118" t="str">
        <x:v>%</x:v>
      </x:c>
      <x:c r="C111" s="120" t="n">
        <x:f>C109/$D$89</x:f>
        <x:v>0.0375</x:v>
      </x:c>
      <x:c r="D111" s="120" t="n">
        <x:f>D109/$D$89</x:f>
        <x:v>0.075</x:v>
      </x:c>
      <x:c r="E111" s="120" t="n">
        <x:f>E109/$D$89</x:f>
        <x:v>0.1125</x:v>
      </x:c>
      <x:c r="F111" s="120" t="n">
        <x:f>F109/$D$89</x:f>
        <x:v>0.15</x:v>
      </x:c>
      <x:c r="G111" s="118" t="str">
        <x:v>Analytical sensitivity</x:v>
      </x:c>
      <x:c r="H111" s="118" t="str">
        <x:v>15% ROCE hurdle, 35% EBIT margin; EBITDA margin illustrative 40%.</x:v>
      </x:c>
      <x:c r="I111" s="118"/>
      <x:c r="J111" s="118"/>
      <x:c r="K111" s="118"/>
      <x:c r="L111" s="118"/>
      <x:c r="M111" s="118"/>
      <x:c r="N111" s="118"/>
      <x:c r="O111" s="118"/>
      <x:c r="P111" s="118"/>
      <x:c r="Q111" s="118"/>
      <x:c r="R111" s="118"/>
      <x:c r="S111" s="118"/>
      <x:c r="T111" s="118"/>
      <x:c r="U111" s="118"/>
      <x:c r="V111" s="118"/>
      <x:c r="W111" s="118"/>
      <x:c r="X111" s="118"/>
      <x:c r="Y111" s="118"/>
      <x:c r="Z111" s="118"/>
      <x:c r="AA111" s="118"/>
      <x:c r="AB111" s="118"/>
      <x:c r="AC111" s="118"/>
      <x:c r="AD111" s="118"/>
      <x:c r="AE111" s="118"/>
      <x:c r="AF111" s="118"/>
      <x:c r="AG111" s="118"/>
      <x:c r="AH111" s="118"/>
    </x:row>
    <x:row r="112">
      <x:c r="A112" s="118" t="str">
        <x:v>Simple Payback on EBITDA</x:v>
      </x:c>
      <x:c r="B112" s="118" t="str">
        <x:v>years</x:v>
      </x:c>
      <x:c r="C112" s="199" t="n">
        <x:f>$D$89/C108</x:f>
        <x:v>23.333333333333332</x:v>
      </x:c>
      <x:c r="D112" s="199" t="n">
        <x:f>$D$89/D108</x:f>
        <x:v>11.666666666666666</x:v>
      </x:c>
      <x:c r="E112" s="199" t="n">
        <x:f>$D$89/E108</x:f>
        <x:v>7.777777777777777</x:v>
      </x:c>
      <x:c r="F112" s="199" t="n">
        <x:f>$D$89/F108</x:f>
        <x:v>5.833333333333333</x:v>
      </x:c>
      <x:c r="G112" s="118" t="str">
        <x:v>Analytical sensitivity</x:v>
      </x:c>
      <x:c r="H112" s="118" t="str">
        <x:v>15% ROCE hurdle, 35% EBIT margin; EBITDA margin illustrative 40%.</x:v>
      </x:c>
      <x:c r="I112" s="118"/>
      <x:c r="J112" s="118"/>
      <x:c r="K112" s="118"/>
      <x:c r="L112" s="118"/>
      <x:c r="M112" s="118"/>
      <x:c r="N112" s="118"/>
      <x:c r="O112" s="118"/>
      <x:c r="P112" s="118"/>
      <x:c r="Q112" s="118"/>
      <x:c r="R112" s="118"/>
      <x:c r="S112" s="118"/>
      <x:c r="T112" s="118"/>
      <x:c r="U112" s="118"/>
      <x:c r="V112" s="118"/>
      <x:c r="W112" s="118"/>
      <x:c r="X112" s="118"/>
      <x:c r="Y112" s="118"/>
      <x:c r="Z112" s="118"/>
      <x:c r="AA112" s="118"/>
      <x:c r="AB112" s="118"/>
      <x:c r="AC112" s="118"/>
      <x:c r="AD112" s="118"/>
      <x:c r="AE112" s="118"/>
      <x:c r="AF112" s="118"/>
      <x:c r="AG112" s="118"/>
      <x:c r="AH112" s="118"/>
    </x:row>
    <x:row r="113">
      <x:c r="A113" s="118"/>
      <x:c r="B113" s="118"/>
      <x:c r="C113" s="118"/>
      <x:c r="D113" s="118"/>
      <x:c r="E113" s="118"/>
      <x:c r="F113" s="118"/>
      <x:c r="G113" s="118"/>
      <x:c r="H113" s="118"/>
      <x:c r="I113" s="118"/>
      <x:c r="J113" s="118"/>
      <x:c r="K113" s="118"/>
      <x:c r="L113" s="118"/>
      <x:c r="M113" s="118"/>
      <x:c r="N113" s="118"/>
      <x:c r="O113" s="118"/>
      <x:c r="P113" s="118"/>
      <x:c r="Q113" s="118"/>
      <x:c r="R113" s="118"/>
      <x:c r="S113" s="118"/>
      <x:c r="T113" s="118"/>
      <x:c r="U113" s="118"/>
      <x:c r="V113" s="118"/>
      <x:c r="W113" s="118"/>
      <x:c r="X113" s="118"/>
      <x:c r="Y113" s="118"/>
      <x:c r="Z113" s="118"/>
      <x:c r="AA113" s="118"/>
      <x:c r="AB113" s="118"/>
      <x:c r="AC113" s="118"/>
      <x:c r="AD113" s="118"/>
      <x:c r="AE113" s="118"/>
      <x:c r="AF113" s="118"/>
      <x:c r="AG113" s="118"/>
      <x:c r="AH113" s="118"/>
    </x:row>
    <x:row r="114">
      <x:c r="A114" s="118"/>
      <x:c r="B114" s="118"/>
      <x:c r="C114" s="118"/>
      <x:c r="D114" s="118"/>
      <x:c r="E114" s="118"/>
      <x:c r="F114" s="118"/>
      <x:c r="G114" s="118"/>
      <x:c r="H114" s="118"/>
      <x:c r="I114" s="118"/>
      <x:c r="J114" s="118"/>
      <x:c r="K114" s="118"/>
      <x:c r="L114" s="118"/>
      <x:c r="M114" s="118"/>
      <x:c r="N114" s="118"/>
      <x:c r="O114" s="118"/>
      <x:c r="P114" s="118"/>
      <x:c r="Q114" s="118"/>
      <x:c r="R114" s="118"/>
      <x:c r="S114" s="118"/>
      <x:c r="T114" s="118"/>
      <x:c r="U114" s="118"/>
      <x:c r="V114" s="118"/>
      <x:c r="W114" s="118"/>
      <x:c r="X114" s="118"/>
      <x:c r="Y114" s="118"/>
      <x:c r="Z114" s="118"/>
      <x:c r="AA114" s="118"/>
      <x:c r="AB114" s="118"/>
      <x:c r="AC114" s="118"/>
      <x:c r="AD114" s="118"/>
      <x:c r="AE114" s="118"/>
      <x:c r="AF114" s="118"/>
      <x:c r="AG114" s="118"/>
      <x:c r="AH114" s="118"/>
    </x:row>
    <x:row r="115" ht="20" customHeight="1">
      <x:c r="A115" s="146" t="str">
        <x:v>E. CUSTOM SYNTHESIS VS FERMENTATION</x:v>
      </x:c>
      <x:c r="B115" s="146"/>
      <x:c r="C115" s="146"/>
      <x:c r="D115" s="146"/>
      <x:c r="E115" s="146"/>
      <x:c r="F115" s="146"/>
      <x:c r="G115" s="146"/>
      <x:c r="H115" s="146"/>
      <x:c r="I115" s="146"/>
      <x:c r="J115" s="118"/>
      <x:c r="K115" s="118"/>
      <x:c r="L115" s="118"/>
      <x:c r="M115" s="118"/>
      <x:c r="N115" s="118"/>
      <x:c r="O115" s="118"/>
      <x:c r="P115" s="118"/>
      <x:c r="Q115" s="118"/>
      <x:c r="R115" s="118"/>
      <x:c r="S115" s="118"/>
      <x:c r="T115" s="118"/>
      <x:c r="U115" s="118"/>
      <x:c r="V115" s="118"/>
      <x:c r="W115" s="118"/>
      <x:c r="X115" s="118"/>
      <x:c r="Y115" s="118"/>
      <x:c r="Z115" s="118"/>
      <x:c r="AA115" s="118"/>
      <x:c r="AB115" s="118"/>
      <x:c r="AC115" s="118"/>
      <x:c r="AD115" s="118"/>
      <x:c r="AE115" s="118"/>
      <x:c r="AF115" s="118"/>
      <x:c r="AG115" s="118"/>
      <x:c r="AH115" s="118"/>
    </x:row>
    <x:row r="116">
      <x:c r="A116" s="147" t="str">
        <x:v>Metric</x:v>
      </x:c>
      <x:c r="B116" s="147" t="str">
        <x:v>Existing / Current</x:v>
      </x:c>
      <x:c r="C116" s="147" t="str">
        <x:v>Unit IV Addition</x:v>
      </x:c>
      <x:c r="D116" s="147" t="str">
        <x:v>Post Unit IV</x:v>
      </x:c>
      <x:c r="E116" s="147" t="str">
        <x:v>Utilisation / Pipeline</x:v>
      </x:c>
      <x:c r="F116" s="147" t="str">
        <x:v>Revenue Implication</x:v>
      </x:c>
      <x:c r="G116" s="147" t="str">
        <x:v>Return Potential</x:v>
      </x:c>
      <x:c r="H116" s="147" t="str">
        <x:v>Key Difference</x:v>
      </x:c>
      <x:c r="I116" s="147" t="str">
        <x:v>Source</x:v>
      </x:c>
      <x:c r="J116" s="118"/>
      <x:c r="K116" s="118"/>
      <x:c r="L116" s="118"/>
      <x:c r="M116" s="118"/>
      <x:c r="N116" s="118"/>
      <x:c r="O116" s="118"/>
      <x:c r="P116" s="118"/>
      <x:c r="Q116" s="118"/>
      <x:c r="R116" s="118"/>
      <x:c r="S116" s="118"/>
      <x:c r="T116" s="118"/>
      <x:c r="U116" s="118"/>
      <x:c r="V116" s="118"/>
      <x:c r="W116" s="118"/>
      <x:c r="X116" s="118"/>
      <x:c r="Y116" s="118"/>
      <x:c r="Z116" s="118"/>
      <x:c r="AA116" s="118"/>
      <x:c r="AB116" s="118"/>
      <x:c r="AC116" s="118"/>
      <x:c r="AD116" s="118"/>
      <x:c r="AE116" s="118"/>
      <x:c r="AF116" s="118"/>
      <x:c r="AG116" s="118"/>
      <x:c r="AH116" s="118"/>
    </x:row>
    <x:row r="117">
      <x:c r="A117" s="118" t="str">
        <x:v>Custom Synthesis Capacity (kL)</x:v>
      </x:c>
      <x:c r="B117" s="192" t="n">
        <x:v>425</x:v>
      </x:c>
      <x:c r="C117" s="192" t="n">
        <x:v>365</x:v>
      </x:c>
      <x:c r="D117" s="192" t="n">
        <x:v>790</x:v>
      </x:c>
      <x:c r="E117" s="118" t="str">
        <x:v>Unit1 ~75%; active Unit2 ~75%; new CP7 / Unit3 had headroom</x:v>
      </x:c>
      <x:c r="F117" s="118" t="str">
        <x:v>Supports current commercial + late-stage plus future small-molecule / peptide work</x:v>
      </x:c>
      <x:c r="G117" s="118" t="str">
        <x:v>Medium-High if capacity fills</x:v>
      </x:c>
      <x:c r="H117" s="118" t="str">
        <x:v>Batch cycles / value density vary by chemistry; do not use one revenue/kL</x:v>
      </x:c>
      <x:c r="I117" s="118" t="str">
        <x:v>Calls</x:v>
      </x:c>
      <x:c r="J117" s="118"/>
      <x:c r="K117" s="118"/>
      <x:c r="L117" s="118"/>
      <x:c r="M117" s="118"/>
      <x:c r="N117" s="118"/>
      <x:c r="O117" s="118"/>
      <x:c r="P117" s="118"/>
      <x:c r="Q117" s="118"/>
      <x:c r="R117" s="118"/>
      <x:c r="S117" s="118"/>
      <x:c r="T117" s="118"/>
      <x:c r="U117" s="118"/>
      <x:c r="V117" s="118"/>
      <x:c r="W117" s="118"/>
      <x:c r="X117" s="118"/>
      <x:c r="Y117" s="118"/>
      <x:c r="Z117" s="118"/>
      <x:c r="AA117" s="118"/>
      <x:c r="AB117" s="118"/>
      <x:c r="AC117" s="118"/>
      <x:c r="AD117" s="118"/>
      <x:c r="AE117" s="118"/>
      <x:c r="AF117" s="118"/>
      <x:c r="AG117" s="118"/>
      <x:c r="AH117" s="118"/>
    </x:row>
    <x:row r="118">
      <x:c r="A118" s="118" t="str">
        <x:v>Fermentation Capacity (kL)</x:v>
      </x:c>
      <x:c r="B118" s="192" t="n">
        <x:v>180</x:v>
      </x:c>
      <x:c r="C118" s="192" t="n">
        <x:v>100</x:v>
      </x:c>
      <x:c r="D118" s="192" t="n">
        <x:v>280</x:v>
      </x:c>
      <x:c r="E118" s="118" t="str">
        <x:v>Legacy 140kL block ~46–47%; Unit III ramp</x:v>
      </x:c>
      <x:c r="F118" s="118" t="str">
        <x:v>Peptides / fermentation products / Specialty; demand discussed but not quantified</x:v>
      </x:c>
      <x:c r="G118" s="118" t="str">
        <x:v>Medium / watch</x:v>
      </x:c>
      <x:c r="H118" s="118" t="str">
        <x:v>Different cycle times, yields and economics vs custom synthesis</x:v>
      </x:c>
      <x:c r="I118" s="118" t="str">
        <x:v>Calls</x:v>
      </x:c>
      <x:c r="J118" s="118"/>
      <x:c r="K118" s="118"/>
      <x:c r="L118" s="118"/>
      <x:c r="M118" s="118"/>
      <x:c r="N118" s="118"/>
      <x:c r="O118" s="118"/>
      <x:c r="P118" s="118"/>
      <x:c r="Q118" s="118"/>
      <x:c r="R118" s="118"/>
      <x:c r="S118" s="118"/>
      <x:c r="T118" s="118"/>
      <x:c r="U118" s="118"/>
      <x:c r="V118" s="118"/>
      <x:c r="W118" s="118"/>
      <x:c r="X118" s="118"/>
      <x:c r="Y118" s="118"/>
      <x:c r="Z118" s="118"/>
      <x:c r="AA118" s="118"/>
      <x:c r="AB118" s="118"/>
      <x:c r="AC118" s="118"/>
      <x:c r="AD118" s="118"/>
      <x:c r="AE118" s="118"/>
      <x:c r="AF118" s="118"/>
      <x:c r="AG118" s="118"/>
      <x:c r="AH118" s="118"/>
    </x:row>
    <x:row r="119">
      <x:c r="A119" s="118" t="str">
        <x:v>Revenue / kL</x:v>
      </x:c>
      <x:c r="B119" s="118" t="str">
        <x:v>NA</x:v>
      </x:c>
      <x:c r="C119" s="118" t="str">
        <x:v>NA</x:v>
      </x:c>
      <x:c r="D119" s="118" t="str">
        <x:v>NA</x:v>
      </x:c>
      <x:c r="E119" s="118" t="str">
        <x:v>Not defensibly disclosed</x:v>
      </x:c>
      <x:c r="F119" s="118" t="str">
        <x:v>Do not force same revenue/kL across modalities</x:v>
      </x:c>
      <x:c r="G119" s="118" t="str">
        <x:v>NA</x:v>
      </x:c>
      <x:c r="H119" s="118" t="str">
        <x:v>Use project / programme evidence instead</x:v>
      </x:c>
      <x:c r="I119" s="118" t="str">
        <x:v>Analyst</x:v>
      </x:c>
      <x:c r="J119" s="118"/>
      <x:c r="K119" s="118"/>
      <x:c r="L119" s="118"/>
      <x:c r="M119" s="118"/>
      <x:c r="N119" s="118"/>
      <x:c r="O119" s="118"/>
      <x:c r="P119" s="118"/>
      <x:c r="Q119" s="118"/>
      <x:c r="R119" s="118"/>
      <x:c r="S119" s="118"/>
      <x:c r="T119" s="118"/>
      <x:c r="U119" s="118"/>
      <x:c r="V119" s="118"/>
      <x:c r="W119" s="118"/>
      <x:c r="X119" s="118"/>
      <x:c r="Y119" s="118"/>
      <x:c r="Z119" s="118"/>
      <x:c r="AA119" s="118"/>
      <x:c r="AB119" s="118"/>
      <x:c r="AC119" s="118"/>
      <x:c r="AD119" s="118"/>
      <x:c r="AE119" s="118"/>
      <x:c r="AF119" s="118"/>
      <x:c r="AG119" s="118"/>
      <x:c r="AH119" s="118"/>
    </x:row>
    <x:row r="120">
      <x:c r="A120" s="118"/>
      <x:c r="B120" s="118"/>
      <x:c r="C120" s="118"/>
      <x:c r="D120" s="118"/>
      <x:c r="E120" s="118"/>
      <x:c r="F120" s="118"/>
      <x:c r="G120" s="118"/>
      <x:c r="H120" s="118"/>
      <x:c r="I120" s="118"/>
      <x:c r="J120" s="118"/>
      <x:c r="K120" s="118"/>
      <x:c r="L120" s="118"/>
      <x:c r="M120" s="118"/>
      <x:c r="N120" s="118"/>
      <x:c r="O120" s="118"/>
      <x:c r="P120" s="118"/>
      <x:c r="Q120" s="118"/>
      <x:c r="R120" s="118"/>
      <x:c r="S120" s="118"/>
      <x:c r="T120" s="118"/>
      <x:c r="U120" s="118"/>
      <x:c r="V120" s="118"/>
      <x:c r="W120" s="118"/>
      <x:c r="X120" s="118"/>
      <x:c r="Y120" s="118"/>
      <x:c r="Z120" s="118"/>
      <x:c r="AA120" s="118"/>
      <x:c r="AB120" s="118"/>
      <x:c r="AC120" s="118"/>
      <x:c r="AD120" s="118"/>
      <x:c r="AE120" s="118"/>
      <x:c r="AF120" s="118"/>
      <x:c r="AG120" s="118"/>
      <x:c r="AH120" s="118"/>
    </x:row>
    <x:row r="121" ht="20" customHeight="1">
      <x:c r="A121" s="146" t="str">
        <x:v>F. R&amp;D CAPITAL PRODUCTIVITY</x:v>
      </x:c>
      <x:c r="B121" s="146"/>
      <x:c r="C121" s="146"/>
      <x:c r="D121" s="146"/>
      <x:c r="E121" s="146"/>
      <x:c r="F121" s="146"/>
      <x:c r="G121" s="146"/>
      <x:c r="H121" s="146"/>
      <x:c r="I121" s="146"/>
      <x:c r="J121" s="146"/>
      <x:c r="K121" s="146"/>
      <x:c r="L121" s="118"/>
      <x:c r="M121" s="118"/>
      <x:c r="N121" s="118"/>
      <x:c r="O121" s="118"/>
      <x:c r="P121" s="118"/>
      <x:c r="Q121" s="118"/>
      <x:c r="R121" s="118"/>
      <x:c r="S121" s="118"/>
      <x:c r="T121" s="118"/>
      <x:c r="U121" s="118"/>
      <x:c r="V121" s="118"/>
      <x:c r="W121" s="118"/>
      <x:c r="X121" s="118"/>
      <x:c r="Y121" s="118"/>
      <x:c r="Z121" s="118"/>
      <x:c r="AA121" s="118"/>
      <x:c r="AB121" s="118"/>
      <x:c r="AC121" s="118"/>
      <x:c r="AD121" s="118"/>
      <x:c r="AE121" s="118"/>
      <x:c r="AF121" s="118"/>
      <x:c r="AG121" s="118"/>
      <x:c r="AH121" s="118"/>
    </x:row>
    <x:row r="122">
      <x:c r="A122" s="147" t="str">
        <x:v>Metric</x:v>
      </x:c>
      <x:c r="B122" s="147" t="str">
        <x:v>Units</x:v>
      </x:c>
      <x:c r="C122" s="147" t="str">
        <x:v>Classification</x:v>
      </x:c>
      <x:c r="D122" s="147" t="str">
        <x:v>FY24A</x:v>
      </x:c>
      <x:c r="E122" s="147" t="str">
        <x:v>FY25A</x:v>
      </x:c>
      <x:c r="F122" s="147" t="str">
        <x:v>FY26A</x:v>
      </x:c>
      <x:c r="G122" s="147" t="str">
        <x:v>FY27E</x:v>
      </x:c>
      <x:c r="H122" s="147" t="str">
        <x:v>FY28E</x:v>
      </x:c>
      <x:c r="I122" s="147" t="str">
        <x:v>FY29E</x:v>
      </x:c>
      <x:c r="J122" s="147" t="str">
        <x:v>FY30E</x:v>
      </x:c>
      <x:c r="K122" s="147" t="str">
        <x:v>FY31E</x:v>
      </x:c>
      <x:c r="L122" s="118"/>
      <x:c r="M122" s="118"/>
      <x:c r="N122" s="118"/>
      <x:c r="O122" s="118"/>
      <x:c r="P122" s="118"/>
      <x:c r="Q122" s="118"/>
      <x:c r="R122" s="118"/>
      <x:c r="S122" s="118"/>
      <x:c r="T122" s="118"/>
      <x:c r="U122" s="118"/>
      <x:c r="V122" s="118"/>
      <x:c r="W122" s="118"/>
      <x:c r="X122" s="118"/>
      <x:c r="Y122" s="118"/>
      <x:c r="Z122" s="118"/>
      <x:c r="AA122" s="118"/>
      <x:c r="AB122" s="118"/>
      <x:c r="AC122" s="118"/>
      <x:c r="AD122" s="118"/>
      <x:c r="AE122" s="118"/>
      <x:c r="AF122" s="118"/>
      <x:c r="AG122" s="118"/>
      <x:c r="AH122" s="118"/>
    </x:row>
    <x:row r="123">
      <x:c r="A123" s="118" t="str">
        <x:v>R&amp;D Revenue</x:v>
      </x:c>
      <x:c r="B123" s="118" t="str">
        <x:v>INR mn</x:v>
      </x:c>
      <x:c r="C123" s="118" t="str">
        <x:v>Reported FY24-25 / FY26 model-derived / forecast</x:v>
      </x:c>
      <x:c r="D123" s="192" t="n">
        <x:v>1855.72</x:v>
      </x:c>
      <x:c r="E123" s="192" t="n">
        <x:v>2005.78</x:v>
      </x:c>
      <x:c r="F123" s="192" t="n">
        <x:v>2300</x:v>
      </x:c>
      <x:c r="G123" s="192" t="n">
        <x:v>2640.009433962264</x:v>
      </x:c>
      <x:c r="H123" s="192" t="n">
        <x:v>3038.147936408106</x:v>
      </x:c>
      <x:c r="I123" s="192" t="n">
        <x:v>3470.449283927324</x:v>
      </x:c>
      <x:c r="J123" s="192" t="n">
        <x:v>3937.3843800789655</x:v>
      </x:c>
      <x:c r="K123" s="192" t="n">
        <x:v>4417.481862178326</x:v>
      </x:c>
      <x:c r="L123" s="118"/>
      <x:c r="M123" s="118"/>
      <x:c r="N123" s="118"/>
      <x:c r="O123" s="118"/>
      <x:c r="P123" s="118"/>
      <x:c r="Q123" s="118"/>
      <x:c r="R123" s="118"/>
      <x:c r="S123" s="118"/>
      <x:c r="T123" s="118"/>
      <x:c r="U123" s="118"/>
      <x:c r="V123" s="118"/>
      <x:c r="W123" s="118"/>
      <x:c r="X123" s="118"/>
      <x:c r="Y123" s="118"/>
      <x:c r="Z123" s="118"/>
      <x:c r="AA123" s="118"/>
      <x:c r="AB123" s="118"/>
      <x:c r="AC123" s="118"/>
      <x:c r="AD123" s="118"/>
      <x:c r="AE123" s="118"/>
      <x:c r="AF123" s="118"/>
      <x:c r="AG123" s="118"/>
      <x:c r="AH123" s="118"/>
    </x:row>
    <x:row r="124">
      <x:c r="A124" s="118" t="str">
        <x:v>Scientific Employees</x:v>
      </x:c>
      <x:c r="B124" s="118" t="str">
        <x:v>#</x:v>
      </x:c>
      <x:c r="C124" s="118" t="str">
        <x:v>Reported periodic / NA</x:v>
      </x:c>
      <x:c r="D124" s="200" t="n">
        <x:v>972</x:v>
      </x:c>
      <x:c r="E124" s="200" t="n">
        <x:v>1015</x:v>
      </x:c>
      <x:c r="F124" s="200" t="n">
        <x:v>1117</x:v>
      </x:c>
      <x:c r="G124" s="118" t="str">
        <x:v>NA</x:v>
      </x:c>
      <x:c r="H124" s="118" t="str">
        <x:v>NA</x:v>
      </x:c>
      <x:c r="I124" s="118" t="str">
        <x:v>NA</x:v>
      </x:c>
      <x:c r="J124" s="118" t="str">
        <x:v>NA</x:v>
      </x:c>
      <x:c r="K124" s="118" t="str">
        <x:v>NA</x:v>
      </x:c>
      <x:c r="L124" s="118"/>
      <x:c r="M124" s="118"/>
      <x:c r="N124" s="118"/>
      <x:c r="O124" s="118"/>
      <x:c r="P124" s="118"/>
      <x:c r="Q124" s="118"/>
      <x:c r="R124" s="118"/>
      <x:c r="S124" s="118"/>
      <x:c r="T124" s="118"/>
      <x:c r="U124" s="118"/>
      <x:c r="V124" s="118"/>
      <x:c r="W124" s="118"/>
      <x:c r="X124" s="118"/>
      <x:c r="Y124" s="118"/>
      <x:c r="Z124" s="118"/>
      <x:c r="AA124" s="118"/>
      <x:c r="AB124" s="118"/>
      <x:c r="AC124" s="118"/>
      <x:c r="AD124" s="118"/>
      <x:c r="AE124" s="118"/>
      <x:c r="AF124" s="118"/>
      <x:c r="AG124" s="118"/>
      <x:c r="AH124" s="118"/>
    </x:row>
    <x:row r="125">
      <x:c r="A125" s="118" t="str">
        <x:v>R&amp;D Revenue / Scientific Employee</x:v>
      </x:c>
      <x:c r="B125" s="118" t="str">
        <x:v>INR mn / scientist</x:v>
      </x:c>
      <x:c r="C125" s="118" t="str">
        <x:v>Derived</x:v>
      </x:c>
      <x:c r="D125" s="201" t="n">
        <x:f>D123/D124</x:f>
        <x:v>1.9091769547325104</x:v>
      </x:c>
      <x:c r="E125" s="201" t="n">
        <x:f>E123/E124</x:f>
        <x:v>1.9761379310344827</x:v>
      </x:c>
      <x:c r="F125" s="201" t="n">
        <x:f>F123/F124</x:f>
        <x:v>2.0590868397493285</x:v>
      </x:c>
      <x:c r="G125" s="193" t="str">
        <x:v>NA</x:v>
      </x:c>
      <x:c r="H125" s="193" t="str">
        <x:v>NA</x:v>
      </x:c>
      <x:c r="I125" s="193" t="str">
        <x:v>NA</x:v>
      </x:c>
      <x:c r="J125" s="193" t="str">
        <x:v>NA</x:v>
      </x:c>
      <x:c r="K125" s="193" t="str">
        <x:v>NA</x:v>
      </x:c>
      <x:c r="L125" s="118"/>
      <x:c r="M125" s="118"/>
      <x:c r="N125" s="118"/>
      <x:c r="O125" s="118"/>
      <x:c r="P125" s="118"/>
      <x:c r="Q125" s="118"/>
      <x:c r="R125" s="118"/>
      <x:c r="S125" s="118"/>
      <x:c r="T125" s="118"/>
      <x:c r="U125" s="118"/>
      <x:c r="V125" s="118"/>
      <x:c r="W125" s="118"/>
      <x:c r="X125" s="118"/>
      <x:c r="Y125" s="118"/>
      <x:c r="Z125" s="118"/>
      <x:c r="AA125" s="118"/>
      <x:c r="AB125" s="118"/>
      <x:c r="AC125" s="118"/>
      <x:c r="AD125" s="118"/>
      <x:c r="AE125" s="118"/>
      <x:c r="AF125" s="118"/>
      <x:c r="AG125" s="118"/>
      <x:c r="AH125" s="118"/>
    </x:row>
    <x:row r="126">
      <x:c r="A126" s="118" t="str">
        <x:v>Interpretation</x:v>
      </x:c>
      <x:c r="B126" s="118" t="str">
        <x:v>Text</x:v>
      </x:c>
      <x:c r="C126" s="118" t="str">
        <x:v>Analyst</x:v>
      </x:c>
      <x:c r="D126" s="118" t="str">
        <x:v>Scientist count is a supporting KPI only: Anthem's R&amp;D mix is heavily FFS-led, so revenue is not a one-for-one function of headcount.</x:v>
      </x:c>
      <x:c r="E126" s="118" t="str"/>
      <x:c r="F126" s="118" t="str"/>
      <x:c r="G126" s="118" t="str"/>
      <x:c r="H126" s="118" t="str"/>
      <x:c r="I126" s="118" t="str"/>
      <x:c r="J126" s="118" t="str"/>
      <x:c r="K126" s="118" t="str"/>
      <x:c r="L126" s="118"/>
      <x:c r="M126" s="118"/>
      <x:c r="N126" s="118"/>
      <x:c r="O126" s="118"/>
      <x:c r="P126" s="118"/>
      <x:c r="Q126" s="118"/>
      <x:c r="R126" s="118"/>
      <x:c r="S126" s="118"/>
      <x:c r="T126" s="118"/>
      <x:c r="U126" s="118"/>
      <x:c r="V126" s="118"/>
      <x:c r="W126" s="118"/>
      <x:c r="X126" s="118"/>
      <x:c r="Y126" s="118"/>
      <x:c r="Z126" s="118"/>
      <x:c r="AA126" s="118"/>
      <x:c r="AB126" s="118"/>
      <x:c r="AC126" s="118"/>
      <x:c r="AD126" s="118"/>
      <x:c r="AE126" s="118"/>
      <x:c r="AF126" s="118"/>
      <x:c r="AG126" s="118"/>
      <x:c r="AH126" s="118"/>
    </x:row>
    <x:row r="127">
      <x:c r="A127" s="118"/>
      <x:c r="B127" s="118"/>
      <x:c r="C127" s="118"/>
      <x:c r="D127" s="118"/>
      <x:c r="E127" s="118"/>
      <x:c r="F127" s="118"/>
      <x:c r="G127" s="118"/>
      <x:c r="H127" s="118"/>
      <x:c r="I127" s="118"/>
      <x:c r="J127" s="118"/>
      <x:c r="K127" s="118"/>
      <x:c r="L127" s="118"/>
      <x:c r="M127" s="118"/>
      <x:c r="N127" s="118"/>
      <x:c r="O127" s="118"/>
      <x:c r="P127" s="118"/>
      <x:c r="Q127" s="118"/>
      <x:c r="R127" s="118"/>
      <x:c r="S127" s="118"/>
      <x:c r="T127" s="118"/>
      <x:c r="U127" s="118"/>
      <x:c r="V127" s="118"/>
      <x:c r="W127" s="118"/>
      <x:c r="X127" s="118"/>
      <x:c r="Y127" s="118"/>
      <x:c r="Z127" s="118"/>
      <x:c r="AA127" s="118"/>
      <x:c r="AB127" s="118"/>
      <x:c r="AC127" s="118"/>
      <x:c r="AD127" s="118"/>
      <x:c r="AE127" s="118"/>
      <x:c r="AF127" s="118"/>
      <x:c r="AG127" s="118"/>
      <x:c r="AH127" s="118"/>
    </x:row>
    <x:row r="128">
      <x:c r="A128" s="118"/>
      <x:c r="B128" s="118"/>
      <x:c r="C128" s="118"/>
      <x:c r="D128" s="118"/>
      <x:c r="E128" s="118"/>
      <x:c r="F128" s="118"/>
      <x:c r="G128" s="118"/>
      <x:c r="H128" s="118"/>
      <x:c r="I128" s="118"/>
      <x:c r="J128" s="118"/>
      <x:c r="K128" s="118"/>
      <x:c r="L128" s="118"/>
      <x:c r="M128" s="118"/>
      <x:c r="N128" s="118"/>
      <x:c r="O128" s="118"/>
      <x:c r="P128" s="118"/>
      <x:c r="Q128" s="118"/>
      <x:c r="R128" s="118"/>
      <x:c r="S128" s="118"/>
      <x:c r="T128" s="118"/>
      <x:c r="U128" s="118"/>
      <x:c r="V128" s="118"/>
      <x:c r="W128" s="118"/>
      <x:c r="X128" s="118"/>
      <x:c r="Y128" s="118"/>
      <x:c r="Z128" s="118"/>
      <x:c r="AA128" s="118"/>
      <x:c r="AB128" s="118"/>
      <x:c r="AC128" s="118"/>
      <x:c r="AD128" s="118"/>
      <x:c r="AE128" s="118"/>
      <x:c r="AF128" s="118"/>
      <x:c r="AG128" s="118"/>
      <x:c r="AH128" s="118"/>
    </x:row>
    <x:row r="129" ht="20" customHeight="1">
      <x:c r="A129" s="146" t="str">
        <x:v>G. PROJECT FUNNEL → MANUFACTURING REVENUE</x:v>
      </x:c>
      <x:c r="B129" s="146"/>
      <x:c r="C129" s="146"/>
      <x:c r="D129" s="146"/>
      <x:c r="E129" s="146"/>
      <x:c r="F129" s="146"/>
      <x:c r="G129" s="146"/>
      <x:c r="H129" s="146"/>
      <x:c r="I129" s="118"/>
      <x:c r="J129" s="118"/>
      <x:c r="K129" s="118"/>
      <x:c r="L129" s="118"/>
      <x:c r="M129" s="118"/>
      <x:c r="N129" s="118"/>
      <x:c r="O129" s="118"/>
      <x:c r="P129" s="118"/>
      <x:c r="Q129" s="118"/>
      <x:c r="R129" s="118"/>
      <x:c r="S129" s="118"/>
      <x:c r="T129" s="118"/>
      <x:c r="U129" s="118"/>
      <x:c r="V129" s="118"/>
      <x:c r="W129" s="118"/>
      <x:c r="X129" s="118"/>
      <x:c r="Y129" s="118"/>
      <x:c r="Z129" s="118"/>
      <x:c r="AA129" s="118"/>
      <x:c r="AB129" s="118"/>
      <x:c r="AC129" s="118"/>
      <x:c r="AD129" s="118"/>
      <x:c r="AE129" s="118"/>
      <x:c r="AF129" s="118"/>
      <x:c r="AG129" s="118"/>
      <x:c r="AH129" s="118"/>
    </x:row>
    <x:row r="130">
      <x:c r="A130" s="147" t="str">
        <x:v>Period</x:v>
      </x:c>
      <x:c r="B130" s="147" t="str">
        <x:v>Early Stage</x:v>
      </x:c>
      <x:c r="C130" s="147" t="str">
        <x:v>Late Phase</x:v>
      </x:c>
      <x:c r="D130" s="147" t="str">
        <x:v>Commercial</x:v>
      </x:c>
      <x:c r="E130" s="147" t="str">
        <x:v>Commercialisations</x:v>
      </x:c>
      <x:c r="F130" s="147" t="str">
        <x:v>Net Late-Phase Additions less Discontinuations</x:v>
      </x:c>
      <x:c r="G130" s="147" t="str">
        <x:v>D&amp;M Revenue</x:v>
      </x:c>
      <x:c r="H130" s="147" t="str">
        <x:v>Analyst Read-through</x:v>
      </x:c>
      <x:c r="I130" s="118"/>
      <x:c r="J130" s="118"/>
      <x:c r="K130" s="118"/>
      <x:c r="L130" s="118"/>
      <x:c r="M130" s="118"/>
      <x:c r="N130" s="118"/>
      <x:c r="O130" s="118"/>
      <x:c r="P130" s="118"/>
      <x:c r="Q130" s="118"/>
      <x:c r="R130" s="118"/>
      <x:c r="S130" s="118"/>
      <x:c r="T130" s="118"/>
      <x:c r="U130" s="118"/>
      <x:c r="V130" s="118"/>
      <x:c r="W130" s="118"/>
      <x:c r="X130" s="118"/>
      <x:c r="Y130" s="118"/>
      <x:c r="Z130" s="118"/>
      <x:c r="AA130" s="118"/>
      <x:c r="AB130" s="118"/>
      <x:c r="AC130" s="118"/>
      <x:c r="AD130" s="118"/>
      <x:c r="AE130" s="118"/>
      <x:c r="AF130" s="118"/>
      <x:c r="AG130" s="118"/>
      <x:c r="AH130" s="118"/>
    </x:row>
    <x:row r="131">
      <x:c r="A131" s="118" t="str">
        <x:v>FY24A</x:v>
      </x:c>
      <x:c r="B131" s="202" t="str">
        <x:v>NA</x:v>
      </x:c>
      <x:c r="C131" s="202" t="n">
        <x:v>9</x:v>
      </x:c>
      <x:c r="D131" s="202" t="n">
        <x:v>10</x:v>
      </x:c>
      <x:c r="E131" s="202" t="str">
        <x:v>NA</x:v>
      </x:c>
      <x:c r="F131" s="202" t="str">
        <x:v>NA</x:v>
      </x:c>
      <x:c r="G131" s="192" t="n">
        <x:v>8975.97</x:v>
      </x:c>
      <x:c r="H131" s="118" t="str">
        <x:v>Historical baseline; stage counts from prospectus.</x:v>
      </x:c>
      <x:c r="I131" s="118"/>
      <x:c r="J131" s="118"/>
      <x:c r="K131" s="118"/>
      <x:c r="L131" s="118"/>
      <x:c r="M131" s="118"/>
      <x:c r="N131" s="118"/>
      <x:c r="O131" s="118"/>
      <x:c r="P131" s="118"/>
      <x:c r="Q131" s="118"/>
      <x:c r="R131" s="118"/>
      <x:c r="S131" s="118"/>
      <x:c r="T131" s="118"/>
      <x:c r="U131" s="118"/>
      <x:c r="V131" s="118"/>
      <x:c r="W131" s="118"/>
      <x:c r="X131" s="118"/>
      <x:c r="Y131" s="118"/>
      <x:c r="Z131" s="118"/>
      <x:c r="AA131" s="118"/>
      <x:c r="AB131" s="118"/>
      <x:c r="AC131" s="118"/>
      <x:c r="AD131" s="118"/>
      <x:c r="AE131" s="118"/>
      <x:c r="AF131" s="118"/>
      <x:c r="AG131" s="118"/>
      <x:c r="AH131" s="118"/>
    </x:row>
    <x:row r="132">
      <x:c r="A132" s="118" t="str">
        <x:v>FY25A</x:v>
      </x:c>
      <x:c r="B132" s="202" t="n">
        <x:v>145</x:v>
      </x:c>
      <x:c r="C132" s="202" t="n">
        <x:v>10</x:v>
      </x:c>
      <x:c r="D132" s="202" t="n">
        <x:v>10</x:v>
      </x:c>
      <x:c r="E132" s="202" t="n">
        <x:v>0</x:v>
      </x:c>
      <x:c r="F132" s="202" t="n">
        <x:v>1</x:v>
      </x:c>
      <x:c r="G132" s="192" t="n">
        <x:v>13055.14</x:v>
      </x:c>
      <x:c r="H132" s="118" t="str">
        <x:v>Large early-stage funnel; no commercial count increase during FY25.</x:v>
      </x:c>
      <x:c r="I132" s="118"/>
      <x:c r="J132" s="118"/>
      <x:c r="K132" s="118"/>
      <x:c r="L132" s="118"/>
      <x:c r="M132" s="118"/>
      <x:c r="N132" s="118"/>
      <x:c r="O132" s="118"/>
      <x:c r="P132" s="118"/>
      <x:c r="Q132" s="118"/>
      <x:c r="R132" s="118"/>
      <x:c r="S132" s="118"/>
      <x:c r="T132" s="118"/>
      <x:c r="U132" s="118"/>
      <x:c r="V132" s="118"/>
      <x:c r="W132" s="118"/>
      <x:c r="X132" s="118"/>
      <x:c r="Y132" s="118"/>
      <x:c r="Z132" s="118"/>
      <x:c r="AA132" s="118"/>
      <x:c r="AB132" s="118"/>
      <x:c r="AC132" s="118"/>
      <x:c r="AD132" s="118"/>
      <x:c r="AE132" s="118"/>
      <x:c r="AF132" s="118"/>
      <x:c r="AG132" s="118"/>
      <x:c r="AH132" s="118"/>
    </x:row>
    <x:row r="133">
      <x:c r="A133" s="118" t="str">
        <x:v>FY26A</x:v>
      </x:c>
      <x:c r="B133" s="202" t="str">
        <x:v>100+</x:v>
      </x:c>
      <x:c r="C133" s="202" t="n">
        <x:v>10</x:v>
      </x:c>
      <x:c r="D133" s="202" t="n">
        <x:v>14</x:v>
      </x:c>
      <x:c r="E133" s="202" t="n">
        <x:v>4</x:v>
      </x:c>
      <x:c r="F133" s="202" t="n">
        <x:v>4</x:v>
      </x:c>
      <x:c r="G133" s="192" t="n">
        <x:v>15427.68</x:v>
      </x:c>
      <x:c r="H133" s="118" t="str">
        <x:v>Four late-phase assets commercialised and late-phase pool replenished to ~10.</x:v>
      </x:c>
      <x:c r="I133" s="118"/>
      <x:c r="J133" s="118"/>
      <x:c r="K133" s="118"/>
      <x:c r="L133" s="118"/>
      <x:c r="M133" s="118"/>
      <x:c r="N133" s="118"/>
      <x:c r="O133" s="118"/>
      <x:c r="P133" s="118"/>
      <x:c r="Q133" s="118"/>
      <x:c r="R133" s="118"/>
      <x:c r="S133" s="118"/>
      <x:c r="T133" s="118"/>
      <x:c r="U133" s="118"/>
      <x:c r="V133" s="118"/>
      <x:c r="W133" s="118"/>
      <x:c r="X133" s="118"/>
      <x:c r="Y133" s="118"/>
      <x:c r="Z133" s="118"/>
      <x:c r="AA133" s="118"/>
      <x:c r="AB133" s="118"/>
      <x:c r="AC133" s="118"/>
      <x:c r="AD133" s="118"/>
      <x:c r="AE133" s="118"/>
      <x:c r="AF133" s="118"/>
      <x:c r="AG133" s="118"/>
      <x:c r="AH133" s="118"/>
    </x:row>
    <x:row r="134">
      <x:c r="A134" s="118" t="str">
        <x:v>Q1 FY27</x:v>
      </x:c>
      <x:c r="B134" s="202" t="str">
        <x:v>100+</x:v>
      </x:c>
      <x:c r="C134" s="202" t="n">
        <x:v>10</x:v>
      </x:c>
      <x:c r="D134" s="202" t="n">
        <x:v>14</x:v>
      </x:c>
      <x:c r="E134" s="202" t="n">
        <x:v>0</x:v>
      </x:c>
      <x:c r="F134" s="202" t="n">
        <x:v>0</x:v>
      </x:c>
      <x:c r="G134" s="202" t="str">
        <x:v>NA</x:v>
      </x:c>
      <x:c r="H134" s="118" t="str">
        <x:v>Counts stable; next evidence point is additional conversion / customer transfer.</x:v>
      </x:c>
      <x:c r="I134" s="118"/>
      <x:c r="J134" s="118"/>
      <x:c r="K134" s="118"/>
      <x:c r="L134" s="118"/>
      <x:c r="M134" s="118"/>
      <x:c r="N134" s="118"/>
      <x:c r="O134" s="118"/>
      <x:c r="P134" s="118"/>
      <x:c r="Q134" s="118"/>
      <x:c r="R134" s="118"/>
      <x:c r="S134" s="118"/>
      <x:c r="T134" s="118"/>
      <x:c r="U134" s="118"/>
      <x:c r="V134" s="118"/>
      <x:c r="W134" s="118"/>
      <x:c r="X134" s="118"/>
      <x:c r="Y134" s="118"/>
      <x:c r="Z134" s="118"/>
      <x:c r="AA134" s="118"/>
      <x:c r="AB134" s="118"/>
      <x:c r="AC134" s="118"/>
      <x:c r="AD134" s="118"/>
      <x:c r="AE134" s="118"/>
      <x:c r="AF134" s="118"/>
      <x:c r="AG134" s="118"/>
      <x:c r="AH134" s="118"/>
    </x:row>
    <x:row r="135">
      <x:c r="A135" s="118"/>
      <x:c r="B135" s="118"/>
      <x:c r="C135" s="118"/>
      <x:c r="D135" s="118"/>
      <x:c r="E135" s="118"/>
      <x:c r="F135" s="118"/>
      <x:c r="G135" s="118"/>
      <x:c r="H135" s="118"/>
      <x:c r="I135" s="118"/>
      <x:c r="J135" s="118"/>
      <x:c r="K135" s="118"/>
      <x:c r="L135" s="118"/>
      <x:c r="M135" s="118"/>
      <x:c r="N135" s="118"/>
      <x:c r="O135" s="118"/>
      <x:c r="P135" s="118"/>
      <x:c r="Q135" s="118"/>
      <x:c r="R135" s="118"/>
      <x:c r="S135" s="118"/>
      <x:c r="T135" s="118"/>
      <x:c r="U135" s="118"/>
      <x:c r="V135" s="118"/>
      <x:c r="W135" s="118"/>
      <x:c r="X135" s="118"/>
      <x:c r="Y135" s="118"/>
      <x:c r="Z135" s="118"/>
      <x:c r="AA135" s="118"/>
      <x:c r="AB135" s="118"/>
      <x:c r="AC135" s="118"/>
      <x:c r="AD135" s="118"/>
      <x:c r="AE135" s="118"/>
      <x:c r="AF135" s="118"/>
      <x:c r="AG135" s="118"/>
      <x:c r="AH135" s="118"/>
    </x:row>
    <x:row r="136" ht="20" customHeight="1">
      <x:c r="A136" s="146" t="str">
        <x:v>H. COMMERCIAL MOLECULE ECONOMICS – PORTFOLIO HEURISTIC ONLY</x:v>
      </x:c>
      <x:c r="B136" s="146"/>
      <x:c r="C136" s="146"/>
      <x:c r="D136" s="146"/>
      <x:c r="E136" s="146"/>
      <x:c r="F136" s="146"/>
      <x:c r="G136" s="146"/>
      <x:c r="H136" s="146"/>
      <x:c r="I136" s="118"/>
      <x:c r="J136" s="118"/>
      <x:c r="K136" s="118"/>
      <x:c r="L136" s="118"/>
      <x:c r="M136" s="118"/>
      <x:c r="N136" s="118"/>
      <x:c r="O136" s="118"/>
      <x:c r="P136" s="118"/>
      <x:c r="Q136" s="118"/>
      <x:c r="R136" s="118"/>
      <x:c r="S136" s="118"/>
      <x:c r="T136" s="118"/>
      <x:c r="U136" s="118"/>
      <x:c r="V136" s="118"/>
      <x:c r="W136" s="118"/>
      <x:c r="X136" s="118"/>
      <x:c r="Y136" s="118"/>
      <x:c r="Z136" s="118"/>
      <x:c r="AA136" s="118"/>
      <x:c r="AB136" s="118"/>
      <x:c r="AC136" s="118"/>
      <x:c r="AD136" s="118"/>
      <x:c r="AE136" s="118"/>
      <x:c r="AF136" s="118"/>
      <x:c r="AG136" s="118"/>
      <x:c r="AH136" s="118"/>
    </x:row>
    <x:row r="137">
      <x:c r="A137" s="147" t="str">
        <x:v>Period</x:v>
      </x:c>
      <x:c r="B137" s="147" t="str">
        <x:v>D&amp;M Revenue</x:v>
      </x:c>
      <x:c r="C137" s="147" t="str">
        <x:v>Commercial Molecules</x:v>
      </x:c>
      <x:c r="D137" s="147" t="str">
        <x:v>D&amp;M Revenue / Commercial Molecule</x:v>
      </x:c>
      <x:c r="E137" s="147" t="str">
        <x:v>Classification</x:v>
      </x:c>
      <x:c r="F137" s="147" t="str">
        <x:v>Interpretation</x:v>
      </x:c>
      <x:c r="G137" s="147" t="str">
        <x:v>Limitations</x:v>
      </x:c>
      <x:c r="H137" s="147" t="str">
        <x:v>Source</x:v>
      </x:c>
      <x:c r="I137" s="118"/>
      <x:c r="J137" s="118"/>
      <x:c r="K137" s="118"/>
      <x:c r="L137" s="118"/>
      <x:c r="M137" s="118"/>
      <x:c r="N137" s="118"/>
      <x:c r="O137" s="118"/>
      <x:c r="P137" s="118"/>
      <x:c r="Q137" s="118"/>
      <x:c r="R137" s="118"/>
      <x:c r="S137" s="118"/>
      <x:c r="T137" s="118"/>
      <x:c r="U137" s="118"/>
      <x:c r="V137" s="118"/>
      <x:c r="W137" s="118"/>
      <x:c r="X137" s="118"/>
      <x:c r="Y137" s="118"/>
      <x:c r="Z137" s="118"/>
      <x:c r="AA137" s="118"/>
      <x:c r="AB137" s="118"/>
      <x:c r="AC137" s="118"/>
      <x:c r="AD137" s="118"/>
      <x:c r="AE137" s="118"/>
      <x:c r="AF137" s="118"/>
      <x:c r="AG137" s="118"/>
      <x:c r="AH137" s="118"/>
    </x:row>
    <x:row r="138">
      <x:c r="A138" s="118" t="str">
        <x:v>FY25A</x:v>
      </x:c>
      <x:c r="B138" s="192" t="n">
        <x:v>13055.14</x:v>
      </x:c>
      <x:c r="C138" s="202" t="n">
        <x:v>10</x:v>
      </x:c>
      <x:c r="D138" s="198" t="n">
        <x:f>B138/C138</x:f>
        <x:v>1305.514</x:v>
      </x:c>
      <x:c r="E138" s="118" t="str">
        <x:v>Reported / derived</x:v>
      </x:c>
      <x:c r="F138" s="118" t="str">
        <x:v>Useful scale cross-check</x:v>
      </x:c>
      <x:c r="G138" s="118" t="str">
        <x:v>Molecule sizes differ; D&amp;M also includes development batches.</x:v>
      </x:c>
      <x:c r="H138" s="118" t="str">
        <x:v>Prospectus</x:v>
      </x:c>
      <x:c r="I138" s="118"/>
      <x:c r="J138" s="118"/>
      <x:c r="K138" s="118"/>
      <x:c r="L138" s="118"/>
      <x:c r="M138" s="118"/>
      <x:c r="N138" s="118"/>
      <x:c r="O138" s="118"/>
      <x:c r="P138" s="118"/>
      <x:c r="Q138" s="118"/>
      <x:c r="R138" s="118"/>
      <x:c r="S138" s="118"/>
      <x:c r="T138" s="118"/>
      <x:c r="U138" s="118"/>
      <x:c r="V138" s="118"/>
      <x:c r="W138" s="118"/>
      <x:c r="X138" s="118"/>
      <x:c r="Y138" s="118"/>
      <x:c r="Z138" s="118"/>
      <x:c r="AA138" s="118"/>
      <x:c r="AB138" s="118"/>
      <x:c r="AC138" s="118"/>
      <x:c r="AD138" s="118"/>
      <x:c r="AE138" s="118"/>
      <x:c r="AF138" s="118"/>
      <x:c r="AG138" s="118"/>
      <x:c r="AH138" s="118"/>
    </x:row>
    <x:row r="139">
      <x:c r="A139" s="118" t="str">
        <x:v>FY26A</x:v>
      </x:c>
      <x:c r="B139" s="192" t="n">
        <x:v>15427.68</x:v>
      </x:c>
      <x:c r="C139" s="202" t="n">
        <x:v>14</x:v>
      </x:c>
      <x:c r="D139" s="198" t="n">
        <x:f>B139/C139</x:f>
        <x:v>1101.9771428571428</x:v>
      </x:c>
      <x:c r="E139" s="118" t="str">
        <x:v>Model-derived / reported count</x:v>
      </x:c>
      <x:c r="F139" s="118" t="str">
        <x:v>Commercial portfolio expanded materially</x:v>
      </x:c>
      <x:c r="G139" s="118" t="str">
        <x:v>Do not use as precise per-molecule forecast.</x:v>
      </x:c>
      <x:c r="H139" s="118" t="str">
        <x:v>Model + calls</x:v>
      </x:c>
      <x:c r="I139" s="118"/>
      <x:c r="J139" s="118"/>
      <x:c r="K139" s="118"/>
      <x:c r="L139" s="118"/>
      <x:c r="M139" s="118"/>
      <x:c r="N139" s="118"/>
      <x:c r="O139" s="118"/>
      <x:c r="P139" s="118"/>
      <x:c r="Q139" s="118"/>
      <x:c r="R139" s="118"/>
      <x:c r="S139" s="118"/>
      <x:c r="T139" s="118"/>
      <x:c r="U139" s="118"/>
      <x:c r="V139" s="118"/>
      <x:c r="W139" s="118"/>
      <x:c r="X139" s="118"/>
      <x:c r="Y139" s="118"/>
      <x:c r="Z139" s="118"/>
      <x:c r="AA139" s="118"/>
      <x:c r="AB139" s="118"/>
      <x:c r="AC139" s="118"/>
      <x:c r="AD139" s="118"/>
      <x:c r="AE139" s="118"/>
      <x:c r="AF139" s="118"/>
      <x:c r="AG139" s="118"/>
      <x:c r="AH139" s="118"/>
    </x:row>
    <x:row r="140">
      <x:c r="A140" s="118"/>
      <x:c r="B140" s="118"/>
      <x:c r="C140" s="118"/>
      <x:c r="D140" s="118"/>
      <x:c r="E140" s="118"/>
      <x:c r="F140" s="118"/>
      <x:c r="G140" s="118"/>
      <x:c r="H140" s="118"/>
      <x:c r="I140" s="118"/>
      <x:c r="J140" s="118"/>
      <x:c r="K140" s="118"/>
      <x:c r="L140" s="118"/>
      <x:c r="M140" s="118"/>
      <x:c r="N140" s="118"/>
      <x:c r="O140" s="118"/>
      <x:c r="P140" s="118"/>
      <x:c r="Q140" s="118"/>
      <x:c r="R140" s="118"/>
      <x:c r="S140" s="118"/>
      <x:c r="T140" s="118"/>
      <x:c r="U140" s="118"/>
      <x:c r="V140" s="118"/>
      <x:c r="W140" s="118"/>
      <x:c r="X140" s="118"/>
      <x:c r="Y140" s="118"/>
      <x:c r="Z140" s="118"/>
      <x:c r="AA140" s="118"/>
      <x:c r="AB140" s="118"/>
      <x:c r="AC140" s="118"/>
      <x:c r="AD140" s="118"/>
      <x:c r="AE140" s="118"/>
      <x:c r="AF140" s="118"/>
      <x:c r="AG140" s="118"/>
      <x:c r="AH140" s="118"/>
    </x:row>
    <x:row r="141" ht="20" customHeight="1">
      <x:c r="A141" s="146" t="str">
        <x:v>I. LATE-PHASE CONVERSION ANALYSIS</x:v>
      </x:c>
      <x:c r="B141" s="146"/>
      <x:c r="C141" s="146"/>
      <x:c r="D141" s="146"/>
      <x:c r="E141" s="146"/>
      <x:c r="F141" s="146"/>
      <x:c r="G141" s="146"/>
      <x:c r="H141" s="146"/>
      <x:c r="I141" s="146"/>
      <x:c r="J141" s="146"/>
      <x:c r="K141" s="146"/>
      <x:c r="L141" s="118"/>
      <x:c r="M141" s="118"/>
      <x:c r="N141" s="118"/>
      <x:c r="O141" s="118"/>
      <x:c r="P141" s="118"/>
      <x:c r="Q141" s="118"/>
      <x:c r="R141" s="118"/>
      <x:c r="S141" s="118"/>
      <x:c r="T141" s="118"/>
      <x:c r="U141" s="118"/>
      <x:c r="V141" s="118"/>
      <x:c r="W141" s="118"/>
      <x:c r="X141" s="118"/>
      <x:c r="Y141" s="118"/>
      <x:c r="Z141" s="118"/>
      <x:c r="AA141" s="118"/>
      <x:c r="AB141" s="118"/>
      <x:c r="AC141" s="118"/>
      <x:c r="AD141" s="118"/>
      <x:c r="AE141" s="118"/>
      <x:c r="AF141" s="118"/>
      <x:c r="AG141" s="118"/>
      <x:c r="AH141" s="118"/>
    </x:row>
    <x:row r="142">
      <x:c r="A142" s="147" t="str">
        <x:v>Metric</x:v>
      </x:c>
      <x:c r="B142" s="147" t="str">
        <x:v>FY25A</x:v>
      </x:c>
      <x:c r="C142" s="147" t="str">
        <x:v>FY26A</x:v>
      </x:c>
      <x:c r="D142" s="147" t="str">
        <x:v>FY27E</x:v>
      </x:c>
      <x:c r="E142" s="147" t="str">
        <x:v>FY28E</x:v>
      </x:c>
      <x:c r="F142" s="147" t="str">
        <x:v>FY29E</x:v>
      </x:c>
      <x:c r="G142" s="147" t="str">
        <x:v>FY30E</x:v>
      </x:c>
      <x:c r="H142" s="147" t="str">
        <x:v>FY31E</x:v>
      </x:c>
      <x:c r="I142" s="147" t="str">
        <x:v>Classification</x:v>
      </x:c>
      <x:c r="J142" s="147" t="str">
        <x:v>Interpretation</x:v>
      </x:c>
      <x:c r="K142" s="147" t="str">
        <x:v>Flag</x:v>
      </x:c>
      <x:c r="L142" s="118"/>
      <x:c r="M142" s="118"/>
      <x:c r="N142" s="118"/>
      <x:c r="O142" s="118"/>
      <x:c r="P142" s="118"/>
      <x:c r="Q142" s="118"/>
      <x:c r="R142" s="118"/>
      <x:c r="S142" s="118"/>
      <x:c r="T142" s="118"/>
      <x:c r="U142" s="118"/>
      <x:c r="V142" s="118"/>
      <x:c r="W142" s="118"/>
      <x:c r="X142" s="118"/>
      <x:c r="Y142" s="118"/>
      <x:c r="Z142" s="118"/>
      <x:c r="AA142" s="118"/>
      <x:c r="AB142" s="118"/>
      <x:c r="AC142" s="118"/>
      <x:c r="AD142" s="118"/>
      <x:c r="AE142" s="118"/>
      <x:c r="AF142" s="118"/>
      <x:c r="AG142" s="118"/>
      <x:c r="AH142" s="118"/>
    </x:row>
    <x:row r="143">
      <x:c r="A143" s="118" t="str">
        <x:v>Opening Late-Phase Molecules</x:v>
      </x:c>
      <x:c r="B143" s="118" t="n">
        <x:v>9</x:v>
      </x:c>
      <x:c r="C143" s="118" t="n">
        <x:v>10</x:v>
      </x:c>
      <x:c r="D143" s="118" t="n">
        <x:v>10</x:v>
      </x:c>
      <x:c r="E143" s="118" t="str">
        <x:v>NA</x:v>
      </x:c>
      <x:c r="F143" s="118" t="str">
        <x:v>NA</x:v>
      </x:c>
      <x:c r="G143" s="118" t="str">
        <x:v>NA</x:v>
      </x:c>
      <x:c r="H143" s="118" t="str">
        <x:v>NA</x:v>
      </x:c>
      <x:c r="I143" s="118" t="str">
        <x:v>Reported / monitoring</x:v>
      </x:c>
      <x:c r="J143" s="118" t="str">
        <x:v>FY26 opened around 10 late-phase molecules.</x:v>
      </x:c>
      <x:c r="K143" s="118" t="str"/>
      <x:c r="L143" s="118"/>
      <x:c r="M143" s="118"/>
      <x:c r="N143" s="118"/>
      <x:c r="O143" s="118"/>
      <x:c r="P143" s="118"/>
      <x:c r="Q143" s="118"/>
      <x:c r="R143" s="118"/>
      <x:c r="S143" s="118"/>
      <x:c r="T143" s="118"/>
      <x:c r="U143" s="118"/>
      <x:c r="V143" s="118"/>
      <x:c r="W143" s="118"/>
      <x:c r="X143" s="118"/>
      <x:c r="Y143" s="118"/>
      <x:c r="Z143" s="118"/>
      <x:c r="AA143" s="118"/>
      <x:c r="AB143" s="118"/>
      <x:c r="AC143" s="118"/>
      <x:c r="AD143" s="118"/>
      <x:c r="AE143" s="118"/>
      <x:c r="AF143" s="118"/>
      <x:c r="AG143" s="118"/>
      <x:c r="AH143" s="118"/>
    </x:row>
    <x:row r="144">
      <x:c r="A144" s="118" t="str">
        <x:v>Commercialisations</x:v>
      </x:c>
      <x:c r="B144" s="118" t="n">
        <x:v>0</x:v>
      </x:c>
      <x:c r="C144" s="118" t="n">
        <x:v>4</x:v>
      </x:c>
      <x:c r="D144" s="118" t="str">
        <x:v>NA</x:v>
      </x:c>
      <x:c r="E144" s="118" t="str">
        <x:v>NA</x:v>
      </x:c>
      <x:c r="F144" s="118" t="str">
        <x:v>NA</x:v>
      </x:c>
      <x:c r="G144" s="118" t="str">
        <x:v>NA</x:v>
      </x:c>
      <x:c r="H144" s="118" t="str">
        <x:v>NA</x:v>
      </x:c>
      <x:c r="I144" s="118" t="str">
        <x:v>Reported</x:v>
      </x:c>
      <x:c r="J144" s="118" t="str">
        <x:v>Four converted in FY26.</x:v>
      </x:c>
      <x:c r="K144" s="118" t="str"/>
      <x:c r="L144" s="118"/>
      <x:c r="M144" s="118"/>
      <x:c r="N144" s="118"/>
      <x:c r="O144" s="118"/>
      <x:c r="P144" s="118"/>
      <x:c r="Q144" s="118"/>
      <x:c r="R144" s="118"/>
      <x:c r="S144" s="118"/>
      <x:c r="T144" s="118"/>
      <x:c r="U144" s="118"/>
      <x:c r="V144" s="118"/>
      <x:c r="W144" s="118"/>
      <x:c r="X144" s="118"/>
      <x:c r="Y144" s="118"/>
      <x:c r="Z144" s="118"/>
      <x:c r="AA144" s="118"/>
      <x:c r="AB144" s="118"/>
      <x:c r="AC144" s="118"/>
      <x:c r="AD144" s="118"/>
      <x:c r="AE144" s="118"/>
      <x:c r="AF144" s="118"/>
      <x:c r="AG144" s="118"/>
      <x:c r="AH144" s="118"/>
    </x:row>
    <x:row r="145">
      <x:c r="A145" s="118" t="str">
        <x:v>Net Additions less Discontinuations</x:v>
      </x:c>
      <x:c r="B145" s="118" t="n">
        <x:v>1</x:v>
      </x:c>
      <x:c r="C145" s="118" t="n">
        <x:v>4</x:v>
      </x:c>
      <x:c r="D145" s="118" t="str">
        <x:v>NA</x:v>
      </x:c>
      <x:c r="E145" s="118" t="str">
        <x:v>NA</x:v>
      </x:c>
      <x:c r="F145" s="118" t="str">
        <x:v>NA</x:v>
      </x:c>
      <x:c r="G145" s="118" t="str">
        <x:v>NA</x:v>
      </x:c>
      <x:c r="H145" s="118" t="str">
        <x:v>NA</x:v>
      </x:c>
      <x:c r="I145" s="118" t="str">
        <x:v>Derived FY26</x:v>
      </x:c>
      <x:c r="J145" s="118" t="str">
        <x:v>Derived to reconcile closing count; not gross additions.</x:v>
      </x:c>
      <x:c r="K145" s="118" t="str"/>
      <x:c r="L145" s="118"/>
      <x:c r="M145" s="118"/>
      <x:c r="N145" s="118"/>
      <x:c r="O145" s="118"/>
      <x:c r="P145" s="118"/>
      <x:c r="Q145" s="118"/>
      <x:c r="R145" s="118"/>
      <x:c r="S145" s="118"/>
      <x:c r="T145" s="118"/>
      <x:c r="U145" s="118"/>
      <x:c r="V145" s="118"/>
      <x:c r="W145" s="118"/>
      <x:c r="X145" s="118"/>
      <x:c r="Y145" s="118"/>
      <x:c r="Z145" s="118"/>
      <x:c r="AA145" s="118"/>
      <x:c r="AB145" s="118"/>
      <x:c r="AC145" s="118"/>
      <x:c r="AD145" s="118"/>
      <x:c r="AE145" s="118"/>
      <x:c r="AF145" s="118"/>
      <x:c r="AG145" s="118"/>
      <x:c r="AH145" s="118"/>
    </x:row>
    <x:row r="146">
      <x:c r="A146" s="118" t="str">
        <x:v>Closing Late-Phase Molecules</x:v>
      </x:c>
      <x:c r="B146" s="118" t="n">
        <x:v>10</x:v>
      </x:c>
      <x:c r="C146" s="118" t="n">
        <x:v>10</x:v>
      </x:c>
      <x:c r="D146" s="118" t="n">
        <x:v>10</x:v>
      </x:c>
      <x:c r="E146" s="118" t="str">
        <x:v>NA</x:v>
      </x:c>
      <x:c r="F146" s="118" t="str">
        <x:v>NA</x:v>
      </x:c>
      <x:c r="G146" s="118" t="str">
        <x:v>NA</x:v>
      </x:c>
      <x:c r="H146" s="118" t="str">
        <x:v>NA</x:v>
      </x:c>
      <x:c r="I146" s="118" t="str">
        <x:v>Reported / latest</x:v>
      </x:c>
      <x:c r="J146" s="118" t="str">
        <x:v>Pipeline replenishment is constructive.</x:v>
      </x:c>
      <x:c r="K146" s="118" t="str"/>
      <x:c r="L146" s="118"/>
      <x:c r="M146" s="118"/>
      <x:c r="N146" s="118"/>
      <x:c r="O146" s="118"/>
      <x:c r="P146" s="118"/>
      <x:c r="Q146" s="118"/>
      <x:c r="R146" s="118"/>
      <x:c r="S146" s="118"/>
      <x:c r="T146" s="118"/>
      <x:c r="U146" s="118"/>
      <x:c r="V146" s="118"/>
      <x:c r="W146" s="118"/>
      <x:c r="X146" s="118"/>
      <x:c r="Y146" s="118"/>
      <x:c r="Z146" s="118"/>
      <x:c r="AA146" s="118"/>
      <x:c r="AB146" s="118"/>
      <x:c r="AC146" s="118"/>
      <x:c r="AD146" s="118"/>
      <x:c r="AE146" s="118"/>
      <x:c r="AF146" s="118"/>
      <x:c r="AG146" s="118"/>
      <x:c r="AH146" s="118"/>
    </x:row>
    <x:row r="147">
      <x:c r="A147" s="118" t="str">
        <x:v>Implied Equivalent Commercial Molecules Required</x:v>
      </x:c>
      <x:c r="B147" s="118" t="str">
        <x:v>NA</x:v>
      </x:c>
      <x:c r="C147" s="118" t="str">
        <x:v>NA</x:v>
      </x:c>
      <x:c r="D147" s="199" t="n">
        <x:f>(18397.216-15427.68)/1101.9771428571428</x:f>
        <x:v>2.694734658743246</x:v>
      </x:c>
      <x:c r="E147" s="199" t="n">
        <x:f>(21795.24704-18397.216)/1101.9771428571428</x:f>
        <x:v>3.0835766985055417</x:v>
      </x:c>
      <x:c r="F147" s="199" t="n">
        <x:f>(25876.635507199997-21795.24704)/1101.9771428571428</x:f>
        <x:v>3.703696118975762</x:v>
      </x:c>
      <x:c r="G147" s="199" t="n">
        <x:f>(30043.949764351994-25876.635507199997)/1101.9771428571428</x:f>
        <x:v>3.7816703224417383</x:v>
      </x:c>
      <x:c r="H147" s="199" t="n">
        <x:f>(33974.42689520128-30043.949764351994)/1101.9771428571428</x:f>
        <x:v>3.5667501420751533</x:v>
      </x:c>
      <x:c r="I147" s="118" t="str">
        <x:v>Analyst heuristic</x:v>
      </x:c>
      <x:c r="J147" s="118" t="str">
        <x:v>Incremental D&amp;M / FY26 D&amp;M per commercial molecule; not a literal forecast.</x:v>
      </x:c>
      <x:c r="K147" s="118" t="str"/>
      <x:c r="L147" s="118"/>
      <x:c r="M147" s="118"/>
      <x:c r="N147" s="118"/>
      <x:c r="O147" s="118"/>
      <x:c r="P147" s="118"/>
      <x:c r="Q147" s="118"/>
      <x:c r="R147" s="118"/>
      <x:c r="S147" s="118"/>
      <x:c r="T147" s="118"/>
      <x:c r="U147" s="118"/>
      <x:c r="V147" s="118"/>
      <x:c r="W147" s="118"/>
      <x:c r="X147" s="118"/>
      <x:c r="Y147" s="118"/>
      <x:c r="Z147" s="118"/>
      <x:c r="AA147" s="118"/>
      <x:c r="AB147" s="118"/>
      <x:c r="AC147" s="118"/>
      <x:c r="AD147" s="118"/>
      <x:c r="AE147" s="118"/>
      <x:c r="AF147" s="118"/>
      <x:c r="AG147" s="118"/>
      <x:c r="AH147" s="118"/>
    </x:row>
    <x:row r="148">
      <x:c r="A148" s="118" t="str">
        <x:v>Analyst Flag</x:v>
      </x:c>
      <x:c r="B148" s="118" t="str"/>
      <x:c r="C148" s="118" t="str"/>
      <x:c r="D148" s="118" t="str">
        <x:v>Watch</x:v>
      </x:c>
      <x:c r="E148" s="118" t="str">
        <x:v>Watch</x:v>
      </x:c>
      <x:c r="F148" s="118" t="str">
        <x:v>High</x:v>
      </x:c>
      <x:c r="G148" s="118" t="str">
        <x:v>High</x:v>
      </x:c>
      <x:c r="H148" s="118" t="str">
        <x:v>High</x:v>
      </x:c>
      <x:c r="I148" s="118" t="str">
        <x:v>Analyst</x:v>
      </x:c>
      <x:c r="J148" s="118" t="str">
        <x:v>Model increasingly requires stronger pipeline / Unit IV monetisation from FY29.</x:v>
      </x:c>
      <x:c r="K148" s="118" t="str"/>
      <x:c r="L148" s="118"/>
      <x:c r="M148" s="118"/>
      <x:c r="N148" s="118"/>
      <x:c r="O148" s="118"/>
      <x:c r="P148" s="118"/>
      <x:c r="Q148" s="118"/>
      <x:c r="R148" s="118"/>
      <x:c r="S148" s="118"/>
      <x:c r="T148" s="118"/>
      <x:c r="U148" s="118"/>
      <x:c r="V148" s="118"/>
      <x:c r="W148" s="118"/>
      <x:c r="X148" s="118"/>
      <x:c r="Y148" s="118"/>
      <x:c r="Z148" s="118"/>
      <x:c r="AA148" s="118"/>
      <x:c r="AB148" s="118"/>
      <x:c r="AC148" s="118"/>
      <x:c r="AD148" s="118"/>
      <x:c r="AE148" s="118"/>
      <x:c r="AF148" s="118"/>
      <x:c r="AG148" s="118"/>
      <x:c r="AH148" s="118"/>
    </x:row>
    <x:row r="149">
      <x:c r="A149" s="118"/>
      <x:c r="B149" s="118"/>
      <x:c r="C149" s="118"/>
      <x:c r="D149" s="118"/>
      <x:c r="E149" s="118"/>
      <x:c r="F149" s="118"/>
      <x:c r="G149" s="118"/>
      <x:c r="H149" s="118"/>
      <x:c r="I149" s="118"/>
      <x:c r="J149" s="118"/>
      <x:c r="K149" s="118"/>
      <x:c r="L149" s="118"/>
      <x:c r="M149" s="118"/>
      <x:c r="N149" s="118"/>
      <x:c r="O149" s="118"/>
      <x:c r="P149" s="118"/>
      <x:c r="Q149" s="118"/>
      <x:c r="R149" s="118"/>
      <x:c r="S149" s="118"/>
      <x:c r="T149" s="118"/>
      <x:c r="U149" s="118"/>
      <x:c r="V149" s="118"/>
      <x:c r="W149" s="118"/>
      <x:c r="X149" s="118"/>
      <x:c r="Y149" s="118"/>
      <x:c r="Z149" s="118"/>
      <x:c r="AA149" s="118"/>
      <x:c r="AB149" s="118"/>
      <x:c r="AC149" s="118"/>
      <x:c r="AD149" s="118"/>
      <x:c r="AE149" s="118"/>
      <x:c r="AF149" s="118"/>
      <x:c r="AG149" s="118"/>
      <x:c r="AH149" s="118"/>
    </x:row>
    <x:row r="150">
      <x:c r="A150" s="118"/>
      <x:c r="B150" s="118"/>
      <x:c r="C150" s="118"/>
      <x:c r="D150" s="118"/>
      <x:c r="E150" s="118"/>
      <x:c r="F150" s="118"/>
      <x:c r="G150" s="118"/>
      <x:c r="H150" s="118"/>
      <x:c r="I150" s="118"/>
      <x:c r="J150" s="118"/>
      <x:c r="K150" s="118"/>
      <x:c r="L150" s="118"/>
      <x:c r="M150" s="118"/>
      <x:c r="N150" s="118"/>
      <x:c r="O150" s="118"/>
      <x:c r="P150" s="118"/>
      <x:c r="Q150" s="118"/>
      <x:c r="R150" s="118"/>
      <x:c r="S150" s="118"/>
      <x:c r="T150" s="118"/>
      <x:c r="U150" s="118"/>
      <x:c r="V150" s="118"/>
      <x:c r="W150" s="118"/>
      <x:c r="X150" s="118"/>
      <x:c r="Y150" s="118"/>
      <x:c r="Z150" s="118"/>
      <x:c r="AA150" s="118"/>
      <x:c r="AB150" s="118"/>
      <x:c r="AC150" s="118"/>
      <x:c r="AD150" s="118"/>
      <x:c r="AE150" s="118"/>
      <x:c r="AF150" s="118"/>
      <x:c r="AG150" s="118"/>
      <x:c r="AH150" s="118"/>
    </x:row>
    <x:row r="151" ht="20" customHeight="1">
      <x:c r="A151" s="146" t="str">
        <x:v>J. CAPEX-DRIVEN D&amp;M SALES CROSS-CHECK</x:v>
      </x:c>
      <x:c r="B151" s="146"/>
      <x:c r="C151" s="146"/>
      <x:c r="D151" s="146"/>
      <x:c r="E151" s="146"/>
      <x:c r="F151" s="146"/>
      <x:c r="G151" s="146"/>
      <x:c r="H151" s="146"/>
      <x:c r="I151" s="146"/>
      <x:c r="J151" s="146"/>
      <x:c r="K151" s="146"/>
      <x:c r="L151" s="118"/>
      <x:c r="M151" s="118"/>
      <x:c r="N151" s="118"/>
      <x:c r="O151" s="118"/>
      <x:c r="P151" s="118"/>
      <x:c r="Q151" s="118"/>
      <x:c r="R151" s="118"/>
      <x:c r="S151" s="118"/>
      <x:c r="T151" s="118"/>
      <x:c r="U151" s="118"/>
      <x:c r="V151" s="118"/>
      <x:c r="W151" s="118"/>
      <x:c r="X151" s="118"/>
      <x:c r="Y151" s="118"/>
      <x:c r="Z151" s="118"/>
      <x:c r="AA151" s="118"/>
      <x:c r="AB151" s="118"/>
      <x:c r="AC151" s="118"/>
      <x:c r="AD151" s="118"/>
      <x:c r="AE151" s="118"/>
      <x:c r="AF151" s="118"/>
      <x:c r="AG151" s="118"/>
      <x:c r="AH151" s="118"/>
    </x:row>
    <x:row r="152">
      <x:c r="A152" s="147" t="str">
        <x:v>Metric</x:v>
      </x:c>
      <x:c r="B152" s="147" t="str">
        <x:v>Units</x:v>
      </x:c>
      <x:c r="C152" s="147" t="str">
        <x:v>FY26A</x:v>
      </x:c>
      <x:c r="D152" s="147" t="str">
        <x:v>FY27E</x:v>
      </x:c>
      <x:c r="E152" s="147" t="str">
        <x:v>FY28E</x:v>
      </x:c>
      <x:c r="F152" s="147" t="str">
        <x:v>FY29E</x:v>
      </x:c>
      <x:c r="G152" s="147" t="str">
        <x:v>FY30E</x:v>
      </x:c>
      <x:c r="H152" s="147" t="str">
        <x:v>FY31E</x:v>
      </x:c>
      <x:c r="I152" s="147" t="str">
        <x:v>Classification</x:v>
      </x:c>
      <x:c r="J152" s="147" t="str">
        <x:v>Analyst Interpretation</x:v>
      </x:c>
      <x:c r="K152" s="147" t="str">
        <x:v>Flag</x:v>
      </x:c>
      <x:c r="L152" s="118"/>
      <x:c r="M152" s="118"/>
      <x:c r="N152" s="118"/>
      <x:c r="O152" s="118"/>
      <x:c r="P152" s="118"/>
      <x:c r="Q152" s="118"/>
      <x:c r="R152" s="118"/>
      <x:c r="S152" s="118"/>
      <x:c r="T152" s="118"/>
      <x:c r="U152" s="118"/>
      <x:c r="V152" s="118"/>
      <x:c r="W152" s="118"/>
      <x:c r="X152" s="118"/>
      <x:c r="Y152" s="118"/>
      <x:c r="Z152" s="118"/>
      <x:c r="AA152" s="118"/>
      <x:c r="AB152" s="118"/>
      <x:c r="AC152" s="118"/>
      <x:c r="AD152" s="118"/>
      <x:c r="AE152" s="118"/>
      <x:c r="AF152" s="118"/>
      <x:c r="AG152" s="118"/>
      <x:c r="AH152" s="118"/>
    </x:row>
    <x:row r="153">
      <x:c r="A153" s="118" t="str">
        <x:v>Existing-capacity D&amp;M growth assumption</x:v>
      </x:c>
      <x:c r="B153" s="118" t="str">
        <x:v>%</x:v>
      </x:c>
      <x:c r="C153" s="196" t="n">
        <x:v>0</x:v>
      </x:c>
      <x:c r="D153" s="196" t="n">
        <x:v>0.15</x:v>
      </x:c>
      <x:c r="E153" s="196" t="n">
        <x:v>0.15</x:v>
      </x:c>
      <x:c r="F153" s="196" t="n">
        <x:v>0.05</x:v>
      </x:c>
      <x:c r="G153" s="196" t="n">
        <x:v>0.05</x:v>
      </x:c>
      <x:c r="H153" s="196" t="n">
        <x:v>0.05</x:v>
      </x:c>
      <x:c r="I153" s="118" t="str">
        <x:v>Analyst cross-check</x:v>
      </x:c>
      <x:c r="J153" s="118" t="str">
        <x:v>Management says existing capacity can support next couple of years; post-FY28 mature growth assumed lower.</x:v>
      </x:c>
      <x:c r="K153" s="118" t="str"/>
      <x:c r="L153" s="118"/>
      <x:c r="M153" s="118"/>
      <x:c r="N153" s="118"/>
      <x:c r="O153" s="118"/>
      <x:c r="P153" s="118"/>
      <x:c r="Q153" s="118"/>
      <x:c r="R153" s="118"/>
      <x:c r="S153" s="118"/>
      <x:c r="T153" s="118"/>
      <x:c r="U153" s="118"/>
      <x:c r="V153" s="118"/>
      <x:c r="W153" s="118"/>
      <x:c r="X153" s="118"/>
      <x:c r="Y153" s="118"/>
      <x:c r="Z153" s="118"/>
      <x:c r="AA153" s="118"/>
      <x:c r="AB153" s="118"/>
      <x:c r="AC153" s="118"/>
      <x:c r="AD153" s="118"/>
      <x:c r="AE153" s="118"/>
      <x:c r="AF153" s="118"/>
      <x:c r="AG153" s="118"/>
      <x:c r="AH153" s="118"/>
    </x:row>
    <x:row r="154">
      <x:c r="A154" s="118" t="str">
        <x:v>Unit IV ramp as % of 15% ROCE required revenue</x:v>
      </x:c>
      <x:c r="B154" s="118" t="str">
        <x:v>%</x:v>
      </x:c>
      <x:c r="C154" s="196" t="n">
        <x:v>0</x:v>
      </x:c>
      <x:c r="D154" s="196" t="n">
        <x:v>0</x:v>
      </x:c>
      <x:c r="E154" s="196" t="n">
        <x:v>0</x:v>
      </x:c>
      <x:c r="F154" s="196" t="n">
        <x:v>0.15</x:v>
      </x:c>
      <x:c r="G154" s="196" t="n">
        <x:v>0.4</x:v>
      </x:c>
      <x:c r="H154" s="196" t="n">
        <x:v>0.7</x:v>
      </x:c>
      <x:c r="I154" s="118" t="str">
        <x:v>Analyst cross-check</x:v>
      </x:c>
      <x:c r="J154" s="118" t="str">
        <x:v>No material Unit IV revenue before end-FY28; gradual FY29–FY31 ramp.</x:v>
      </x:c>
      <x:c r="K154" s="118" t="str"/>
      <x:c r="L154" s="118"/>
      <x:c r="M154" s="118"/>
      <x:c r="N154" s="118"/>
      <x:c r="O154" s="118"/>
      <x:c r="P154" s="118"/>
      <x:c r="Q154" s="118"/>
      <x:c r="R154" s="118"/>
      <x:c r="S154" s="118"/>
      <x:c r="T154" s="118"/>
      <x:c r="U154" s="118"/>
      <x:c r="V154" s="118"/>
      <x:c r="W154" s="118"/>
      <x:c r="X154" s="118"/>
      <x:c r="Y154" s="118"/>
      <x:c r="Z154" s="118"/>
      <x:c r="AA154" s="118"/>
      <x:c r="AB154" s="118"/>
      <x:c r="AC154" s="118"/>
      <x:c r="AD154" s="118"/>
      <x:c r="AE154" s="118"/>
      <x:c r="AF154" s="118"/>
      <x:c r="AG154" s="118"/>
      <x:c r="AH154" s="118"/>
    </x:row>
    <x:row r="155">
      <x:c r="A155" s="118" t="str">
        <x:v>Existing Capacity Supported D&amp;M</x:v>
      </x:c>
      <x:c r="B155" s="118" t="str">
        <x:v>INR mn</x:v>
      </x:c>
      <x:c r="C155" s="192" t="n">
        <x:v>15427.68</x:v>
      </x:c>
      <x:c r="D155" s="198" t="n">
        <x:f>C155*(1+D153)</x:f>
        <x:v>17741.832</x:v>
      </x:c>
      <x:c r="E155" s="198" t="n">
        <x:f>D155*(1+E153)</x:f>
        <x:v>20403.106799999998</x:v>
      </x:c>
      <x:c r="F155" s="198" t="n">
        <x:f>E155*(1+F153)</x:f>
        <x:v>21423.26214</x:v>
      </x:c>
      <x:c r="G155" s="198" t="n">
        <x:f>F155*(1+G153)</x:f>
        <x:v>22494.425247</x:v>
      </x:c>
      <x:c r="H155" s="198" t="n">
        <x:f>G155*(1+H153)</x:f>
        <x:v>23619.14650935</x:v>
      </x:c>
      <x:c r="I155" s="118" t="str">
        <x:v>Analyst cross-check</x:v>
      </x:c>
      <x:c r="J155" s="118" t="str">
        <x:v>Independent from model D&amp;M forecast.</x:v>
      </x:c>
      <x:c r="K155" s="118" t="str"/>
      <x:c r="L155" s="118"/>
      <x:c r="M155" s="118"/>
      <x:c r="N155" s="118"/>
      <x:c r="O155" s="118"/>
      <x:c r="P155" s="118"/>
      <x:c r="Q155" s="118"/>
      <x:c r="R155" s="118"/>
      <x:c r="S155" s="118"/>
      <x:c r="T155" s="118"/>
      <x:c r="U155" s="118"/>
      <x:c r="V155" s="118"/>
      <x:c r="W155" s="118"/>
      <x:c r="X155" s="118"/>
      <x:c r="Y155" s="118"/>
      <x:c r="Z155" s="118"/>
      <x:c r="AA155" s="118"/>
      <x:c r="AB155" s="118"/>
      <x:c r="AC155" s="118"/>
      <x:c r="AD155" s="118"/>
      <x:c r="AE155" s="118"/>
      <x:c r="AF155" s="118"/>
      <x:c r="AG155" s="118"/>
      <x:c r="AH155" s="118"/>
    </x:row>
    <x:row r="156">
      <x:c r="A156" s="118" t="str">
        <x:v>Unit IV Supported D&amp;M</x:v>
      </x:c>
      <x:c r="B156" s="118" t="str">
        <x:v>INR mn</x:v>
      </x:c>
      <x:c r="C156" s="192" t="n">
        <x:v>0</x:v>
      </x:c>
      <x:c r="D156" s="198" t="n">
        <x:f>D154*$J$90</x:f>
        <x:v>0</x:v>
      </x:c>
      <x:c r="E156" s="198" t="n">
        <x:f>E154*$J$90</x:f>
        <x:v>0</x:v>
      </x:c>
      <x:c r="F156" s="198" t="n">
        <x:f>F154*$J$90</x:f>
        <x:v>771.4285714285714</x:v>
      </x:c>
      <x:c r="G156" s="198" t="n">
        <x:f>G154*$J$90</x:f>
        <x:v>2057.1428571428573</x:v>
      </x:c>
      <x:c r="H156" s="198" t="n">
        <x:f>H154*$J$90</x:f>
        <x:v>3600</x:v>
      </x:c>
      <x:c r="I156" s="118" t="str">
        <x:v>Analyst cross-check</x:v>
      </x:c>
      <x:c r="J156" s="118" t="str">
        <x:v>Return-backed contribution based on 15% ROCE / 35% EBIT margin required revenue.</x:v>
      </x:c>
      <x:c r="K156" s="118" t="str"/>
      <x:c r="L156" s="118"/>
      <x:c r="M156" s="118"/>
      <x:c r="N156" s="118"/>
      <x:c r="O156" s="118"/>
      <x:c r="P156" s="118"/>
      <x:c r="Q156" s="118"/>
      <x:c r="R156" s="118"/>
      <x:c r="S156" s="118"/>
      <x:c r="T156" s="118"/>
      <x:c r="U156" s="118"/>
      <x:c r="V156" s="118"/>
      <x:c r="W156" s="118"/>
      <x:c r="X156" s="118"/>
      <x:c r="Y156" s="118"/>
      <x:c r="Z156" s="118"/>
      <x:c r="AA156" s="118"/>
      <x:c r="AB156" s="118"/>
      <x:c r="AC156" s="118"/>
      <x:c r="AD156" s="118"/>
      <x:c r="AE156" s="118"/>
      <x:c r="AF156" s="118"/>
      <x:c r="AG156" s="118"/>
      <x:c r="AH156" s="118"/>
    </x:row>
    <x:row r="157">
      <x:c r="A157" s="118" t="str">
        <x:v>Capital / Pipeline Supported D&amp;M</x:v>
      </x:c>
      <x:c r="B157" s="118" t="str">
        <x:v>INR mn</x:v>
      </x:c>
      <x:c r="C157" s="198" t="n">
        <x:f>C155+C156</x:f>
        <x:v>15427.68</x:v>
      </x:c>
      <x:c r="D157" s="198" t="n">
        <x:f>D155+D156</x:f>
        <x:v>17741.832</x:v>
      </x:c>
      <x:c r="E157" s="198" t="n">
        <x:f>E155+E156</x:f>
        <x:v>20403.106799999998</x:v>
      </x:c>
      <x:c r="F157" s="198" t="n">
        <x:f>F155+F156</x:f>
        <x:v>22194.69071142857</x:v>
      </x:c>
      <x:c r="G157" s="198" t="n">
        <x:f>G155+G156</x:f>
        <x:v>24551.568104142858</x:v>
      </x:c>
      <x:c r="H157" s="198" t="n">
        <x:f>H155+H156</x:f>
        <x:v>27219.14650935</x:v>
      </x:c>
      <x:c r="I157" s="118" t="str">
        <x:v>Derived</x:v>
      </x:c>
      <x:c r="J157" s="118" t="str">
        <x:v>Existing capacity + Unit IV return-backed ramp.</x:v>
      </x:c>
      <x:c r="K157" s="118" t="str"/>
      <x:c r="L157" s="118"/>
      <x:c r="M157" s="118"/>
      <x:c r="N157" s="118"/>
      <x:c r="O157" s="118"/>
      <x:c r="P157" s="118"/>
      <x:c r="Q157" s="118"/>
      <x:c r="R157" s="118"/>
      <x:c r="S157" s="118"/>
      <x:c r="T157" s="118"/>
      <x:c r="U157" s="118"/>
      <x:c r="V157" s="118"/>
      <x:c r="W157" s="118"/>
      <x:c r="X157" s="118"/>
      <x:c r="Y157" s="118"/>
      <x:c r="Z157" s="118"/>
      <x:c r="AA157" s="118"/>
      <x:c r="AB157" s="118"/>
      <x:c r="AC157" s="118"/>
      <x:c r="AD157" s="118"/>
      <x:c r="AE157" s="118"/>
      <x:c r="AF157" s="118"/>
      <x:c r="AG157" s="118"/>
      <x:c r="AH157" s="118"/>
    </x:row>
    <x:row r="158">
      <x:c r="A158" s="118" t="str">
        <x:v>Current Model D&amp;M Revenue</x:v>
      </x:c>
      <x:c r="B158" s="118" t="str">
        <x:v>INR mn</x:v>
      </x:c>
      <x:c r="C158" s="192" t="n">
        <x:v>15427.68</x:v>
      </x:c>
      <x:c r="D158" s="192" t="n">
        <x:v>18397.216</x:v>
      </x:c>
      <x:c r="E158" s="192" t="n">
        <x:v>21795.24704</x:v>
      </x:c>
      <x:c r="F158" s="192" t="n">
        <x:v>25876.635507199997</x:v>
      </x:c>
      <x:c r="G158" s="192" t="n">
        <x:v>30043.949764351994</x:v>
      </x:c>
      <x:c r="H158" s="192" t="n">
        <x:v>33974.42689520128</x:v>
      </x:c>
      <x:c r="I158" s="118" t="str">
        <x:v>Current model</x:v>
      </x:c>
      <x:c r="J158" s="118" t="str">
        <x:v>Forecast anchor</x:v>
      </x:c>
      <x:c r="K158" s="118" t="str"/>
      <x:c r="L158" s="118"/>
      <x:c r="M158" s="118"/>
      <x:c r="N158" s="118"/>
      <x:c r="O158" s="118"/>
      <x:c r="P158" s="118"/>
      <x:c r="Q158" s="118"/>
      <x:c r="R158" s="118"/>
      <x:c r="S158" s="118"/>
      <x:c r="T158" s="118"/>
      <x:c r="U158" s="118"/>
      <x:c r="V158" s="118"/>
      <x:c r="W158" s="118"/>
      <x:c r="X158" s="118"/>
      <x:c r="Y158" s="118"/>
      <x:c r="Z158" s="118"/>
      <x:c r="AA158" s="118"/>
      <x:c r="AB158" s="118"/>
      <x:c r="AC158" s="118"/>
      <x:c r="AD158" s="118"/>
      <x:c r="AE158" s="118"/>
      <x:c r="AF158" s="118"/>
      <x:c r="AG158" s="118"/>
      <x:c r="AH158" s="118"/>
    </x:row>
    <x:row r="159">
      <x:c r="A159" s="118" t="str">
        <x:v>Difference</x:v>
      </x:c>
      <x:c r="B159" s="118" t="str">
        <x:v>INR mn</x:v>
      </x:c>
      <x:c r="C159" s="198" t="n">
        <x:f>C158-C157</x:f>
        <x:v>0</x:v>
      </x:c>
      <x:c r="D159" s="198" t="n">
        <x:f>D158-D157</x:f>
        <x:v>655.3840000000018</x:v>
      </x:c>
      <x:c r="E159" s="198" t="n">
        <x:f>E158-E157</x:f>
        <x:v>1392.1402400000006</x:v>
      </x:c>
      <x:c r="F159" s="198" t="n">
        <x:f>F158-F157</x:f>
        <x:v>3681.9447957714256</x:v>
      </x:c>
      <x:c r="G159" s="198" t="n">
        <x:f>G158-G157</x:f>
        <x:v>5492.381660209136</x:v>
      </x:c>
      <x:c r="H159" s="198" t="n">
        <x:f>H158-H157</x:f>
        <x:v>6755.280385851278</x:v>
      </x:c>
      <x:c r="I159" s="118" t="str">
        <x:v>Derived</x:v>
      </x:c>
      <x:c r="J159" s="118" t="str">
        <x:v>Positive means model above capital/pipeline cross-check.</x:v>
      </x:c>
      <x:c r="K159" s="118" t="str"/>
      <x:c r="L159" s="118"/>
      <x:c r="M159" s="118"/>
      <x:c r="N159" s="118"/>
      <x:c r="O159" s="118"/>
      <x:c r="P159" s="118"/>
      <x:c r="Q159" s="118"/>
      <x:c r="R159" s="118"/>
      <x:c r="S159" s="118"/>
      <x:c r="T159" s="118"/>
      <x:c r="U159" s="118"/>
      <x:c r="V159" s="118"/>
      <x:c r="W159" s="118"/>
      <x:c r="X159" s="118"/>
      <x:c r="Y159" s="118"/>
      <x:c r="Z159" s="118"/>
      <x:c r="AA159" s="118"/>
      <x:c r="AB159" s="118"/>
      <x:c r="AC159" s="118"/>
      <x:c r="AD159" s="118"/>
      <x:c r="AE159" s="118"/>
      <x:c r="AF159" s="118"/>
      <x:c r="AG159" s="118"/>
      <x:c r="AH159" s="118"/>
    </x:row>
    <x:row r="160">
      <x:c r="A160" s="118" t="str">
        <x:v>Difference %</x:v>
      </x:c>
      <x:c r="B160" s="118" t="str">
        <x:v>%</x:v>
      </x:c>
      <x:c r="C160" s="120" t="n">
        <x:f>IFERROR(C159/C158,"")</x:f>
        <x:v>0</x:v>
      </x:c>
      <x:c r="D160" s="120" t="n">
        <x:f>IFERROR(D159/D158,"")</x:f>
        <x:v>0.03562408573123248</x:v>
      </x:c>
      <x:c r="E160" s="120" t="n">
        <x:f>IFERROR(E159/E158,"")</x:f>
        <x:v>0.06387357011577148</x:v>
      </x:c>
      <x:c r="F160" s="120" t="n">
        <x:f>IFERROR(F159/F158,"")</x:f>
        <x:v>0.14228838964582352</x:v>
      </x:c>
      <x:c r="G160" s="120" t="n">
        <x:f>IFERROR(G159/G158,"")</x:f>
        <x:v>0.18281157115786434</x:v>
      </x:c>
      <x:c r="H160" s="120" t="n">
        <x:f>IFERROR(H159/H158,"")</x:f>
        <x:v>0.19883427045550628</x:v>
      </x:c>
      <x:c r="I160" s="118" t="str">
        <x:v>Derived</x:v>
      </x:c>
      <x:c r="J160" s="118" t="str">
        <x:v>Magnitude of forecast stretch vs cross-check.</x:v>
      </x:c>
      <x:c r="K160" s="118" t="str"/>
      <x:c r="L160" s="118"/>
      <x:c r="M160" s="118"/>
      <x:c r="N160" s="118"/>
      <x:c r="O160" s="118"/>
      <x:c r="P160" s="118"/>
      <x:c r="Q160" s="118"/>
      <x:c r="R160" s="118"/>
      <x:c r="S160" s="118"/>
      <x:c r="T160" s="118"/>
      <x:c r="U160" s="118"/>
      <x:c r="V160" s="118"/>
      <x:c r="W160" s="118"/>
      <x:c r="X160" s="118"/>
      <x:c r="Y160" s="118"/>
      <x:c r="Z160" s="118"/>
      <x:c r="AA160" s="118"/>
      <x:c r="AB160" s="118"/>
      <x:c r="AC160" s="118"/>
      <x:c r="AD160" s="118"/>
      <x:c r="AE160" s="118"/>
      <x:c r="AF160" s="118"/>
      <x:c r="AG160" s="118"/>
      <x:c r="AH160" s="118"/>
    </x:row>
    <x:row r="161">
      <x:c r="A161" s="118" t="str">
        <x:v>Analyst Assessment</x:v>
      </x:c>
      <x:c r="B161" s="118" t="str">
        <x:v>Text</x:v>
      </x:c>
      <x:c r="C161" s="118" t="str">
        <x:v>Base</x:v>
      </x:c>
      <x:c r="D161" s="118" t="str">
        <x:v>Manageable</x:v>
      </x:c>
      <x:c r="E161" s="118" t="str">
        <x:v>Manageable</x:v>
      </x:c>
      <x:c r="F161" s="118" t="str">
        <x:v>Stretch</x:v>
      </x:c>
      <x:c r="G161" s="118" t="str">
        <x:v>Stretch</x:v>
      </x:c>
      <x:c r="H161" s="118" t="str">
        <x:v>Stretch</x:v>
      </x:c>
      <x:c r="I161" s="118" t="str">
        <x:v>Analyst</x:v>
      </x:c>
      <x:c r="J161" s="118" t="str">
        <x:v>FY29–FY31 model requires stronger Unit IV ramp / pipeline conversion than conservative cross-check.</x:v>
      </x:c>
      <x:c r="K161" s="118" t="str"/>
      <x:c r="L161" s="118"/>
      <x:c r="M161" s="118"/>
      <x:c r="N161" s="118"/>
      <x:c r="O161" s="118"/>
      <x:c r="P161" s="118"/>
      <x:c r="Q161" s="118"/>
      <x:c r="R161" s="118"/>
      <x:c r="S161" s="118"/>
      <x:c r="T161" s="118"/>
      <x:c r="U161" s="118"/>
      <x:c r="V161" s="118"/>
      <x:c r="W161" s="118"/>
      <x:c r="X161" s="118"/>
      <x:c r="Y161" s="118"/>
      <x:c r="Z161" s="118"/>
      <x:c r="AA161" s="118"/>
      <x:c r="AB161" s="118"/>
      <x:c r="AC161" s="118"/>
      <x:c r="AD161" s="118"/>
      <x:c r="AE161" s="118"/>
      <x:c r="AF161" s="118"/>
      <x:c r="AG161" s="118"/>
      <x:c r="AH161" s="118"/>
    </x:row>
    <x:row r="162">
      <x:c r="A162" s="118"/>
      <x:c r="B162" s="118"/>
      <x:c r="C162" s="118"/>
      <x:c r="D162" s="118"/>
      <x:c r="E162" s="118"/>
      <x:c r="F162" s="118"/>
      <x:c r="G162" s="118"/>
      <x:c r="H162" s="118"/>
      <x:c r="I162" s="118"/>
      <x:c r="J162" s="118"/>
      <x:c r="K162" s="118"/>
      <x:c r="L162" s="118"/>
      <x:c r="M162" s="118"/>
      <x:c r="N162" s="118"/>
      <x:c r="O162" s="118"/>
      <x:c r="P162" s="118"/>
      <x:c r="Q162" s="118"/>
      <x:c r="R162" s="118"/>
      <x:c r="S162" s="118"/>
      <x:c r="T162" s="118"/>
      <x:c r="U162" s="118"/>
      <x:c r="V162" s="118"/>
      <x:c r="W162" s="118"/>
      <x:c r="X162" s="118"/>
      <x:c r="Y162" s="118"/>
      <x:c r="Z162" s="118"/>
      <x:c r="AA162" s="118"/>
      <x:c r="AB162" s="118"/>
      <x:c r="AC162" s="118"/>
      <x:c r="AD162" s="118"/>
      <x:c r="AE162" s="118"/>
      <x:c r="AF162" s="118"/>
      <x:c r="AG162" s="118"/>
      <x:c r="AH162" s="118"/>
    </x:row>
    <x:row r="163">
      <x:c r="A163" s="118"/>
      <x:c r="B163" s="118"/>
      <x:c r="C163" s="118"/>
      <x:c r="D163" s="118"/>
      <x:c r="E163" s="118"/>
      <x:c r="F163" s="118"/>
      <x:c r="G163" s="118"/>
      <x:c r="H163" s="118"/>
      <x:c r="I163" s="118"/>
      <x:c r="J163" s="118"/>
      <x:c r="K163" s="118"/>
      <x:c r="L163" s="118"/>
      <x:c r="M163" s="118"/>
      <x:c r="N163" s="118"/>
      <x:c r="O163" s="118"/>
      <x:c r="P163" s="118"/>
      <x:c r="Q163" s="118"/>
      <x:c r="R163" s="118"/>
      <x:c r="S163" s="118"/>
      <x:c r="T163" s="118"/>
      <x:c r="U163" s="118"/>
      <x:c r="V163" s="118"/>
      <x:c r="W163" s="118"/>
      <x:c r="X163" s="118"/>
      <x:c r="Y163" s="118"/>
      <x:c r="Z163" s="118"/>
      <x:c r="AA163" s="118"/>
      <x:c r="AB163" s="118"/>
      <x:c r="AC163" s="118"/>
      <x:c r="AD163" s="118"/>
      <x:c r="AE163" s="118"/>
      <x:c r="AF163" s="118"/>
      <x:c r="AG163" s="118"/>
      <x:c r="AH163" s="118"/>
    </x:row>
    <x:row r="164" ht="20" customHeight="1">
      <x:c r="A164" s="146" t="str">
        <x:v>K. EXISTING CAPACITY VS UNIT IV</x:v>
      </x:c>
      <x:c r="B164" s="146"/>
      <x:c r="C164" s="146"/>
      <x:c r="D164" s="146"/>
      <x:c r="E164" s="146"/>
      <x:c r="F164" s="146"/>
      <x:c r="G164" s="146"/>
      <x:c r="H164" s="146"/>
      <x:c r="I164" s="118"/>
      <x:c r="J164" s="118"/>
      <x:c r="K164" s="118"/>
      <x:c r="L164" s="118"/>
      <x:c r="M164" s="118"/>
      <x:c r="N164" s="118"/>
      <x:c r="O164" s="118"/>
      <x:c r="P164" s="118"/>
      <x:c r="Q164" s="118"/>
      <x:c r="R164" s="118"/>
      <x:c r="S164" s="118"/>
      <x:c r="T164" s="118"/>
      <x:c r="U164" s="118"/>
      <x:c r="V164" s="118"/>
      <x:c r="W164" s="118"/>
      <x:c r="X164" s="118"/>
      <x:c r="Y164" s="118"/>
      <x:c r="Z164" s="118"/>
      <x:c r="AA164" s="118"/>
      <x:c r="AB164" s="118"/>
      <x:c r="AC164" s="118"/>
      <x:c r="AD164" s="118"/>
      <x:c r="AE164" s="118"/>
      <x:c r="AF164" s="118"/>
      <x:c r="AG164" s="118"/>
      <x:c r="AH164" s="118"/>
    </x:row>
    <x:row r="165">
      <x:c r="A165" s="147" t="str">
        <x:v>Metric</x:v>
      </x:c>
      <x:c r="B165" s="147" t="str">
        <x:v>Custom Synthesis</x:v>
      </x:c>
      <x:c r="C165" s="147" t="str">
        <x:v>Fermentation</x:v>
      </x:c>
      <x:c r="D165" s="147" t="str">
        <x:v>Classification</x:v>
      </x:c>
      <x:c r="E165" s="147" t="str">
        <x:v>FY27 / FY28 Implication</x:v>
      </x:c>
      <x:c r="F165" s="147" t="str">
        <x:v>FY29+ Implication</x:v>
      </x:c>
      <x:c r="G165" s="147" t="str">
        <x:v>Analyst View</x:v>
      </x:c>
      <x:c r="H165" s="147" t="str">
        <x:v>Source</x:v>
      </x:c>
      <x:c r="I165" s="118"/>
      <x:c r="J165" s="118"/>
      <x:c r="K165" s="118"/>
      <x:c r="L165" s="118"/>
      <x:c r="M165" s="118"/>
      <x:c r="N165" s="118"/>
      <x:c r="O165" s="118"/>
      <x:c r="P165" s="118"/>
      <x:c r="Q165" s="118"/>
      <x:c r="R165" s="118"/>
      <x:c r="S165" s="118"/>
      <x:c r="T165" s="118"/>
      <x:c r="U165" s="118"/>
      <x:c r="V165" s="118"/>
      <x:c r="W165" s="118"/>
      <x:c r="X165" s="118"/>
      <x:c r="Y165" s="118"/>
      <x:c r="Z165" s="118"/>
      <x:c r="AA165" s="118"/>
      <x:c r="AB165" s="118"/>
      <x:c r="AC165" s="118"/>
      <x:c r="AD165" s="118"/>
      <x:c r="AE165" s="118"/>
      <x:c r="AF165" s="118"/>
      <x:c r="AG165" s="118"/>
      <x:c r="AH165" s="118"/>
    </x:row>
    <x:row r="166">
      <x:c r="A166" s="118" t="str">
        <x:v>Installed / management current capacity</x:v>
      </x:c>
      <x:c r="B166" s="192" t="n">
        <x:v>425</x:v>
      </x:c>
      <x:c r="C166" s="192" t="n">
        <x:v>180</x:v>
      </x:c>
      <x:c r="D166" s="118" t="str">
        <x:v>Reported</x:v>
      </x:c>
      <x:c r="E166" s="118" t="str">
        <x:v>Management says capacity is sufficient for next couple of years.</x:v>
      </x:c>
      <x:c r="F166" s="118" t="str">
        <x:v>Unit IV becomes the key incremental asset.</x:v>
      </x:c>
      <x:c r="G166" s="118" t="str">
        <x:v>Near-term growth should not require Unit IV.</x:v>
      </x:c>
      <x:c r="H166" s="118" t="str">
        <x:v>Calls</x:v>
      </x:c>
      <x:c r="I166" s="118"/>
      <x:c r="J166" s="118"/>
      <x:c r="K166" s="118"/>
      <x:c r="L166" s="118"/>
      <x:c r="M166" s="118"/>
      <x:c r="N166" s="118"/>
      <x:c r="O166" s="118"/>
      <x:c r="P166" s="118"/>
      <x:c r="Q166" s="118"/>
      <x:c r="R166" s="118"/>
      <x:c r="S166" s="118"/>
      <x:c r="T166" s="118"/>
      <x:c r="U166" s="118"/>
      <x:c r="V166" s="118"/>
      <x:c r="W166" s="118"/>
      <x:c r="X166" s="118"/>
      <x:c r="Y166" s="118"/>
      <x:c r="Z166" s="118"/>
      <x:c r="AA166" s="118"/>
      <x:c r="AB166" s="118"/>
      <x:c r="AC166" s="118"/>
      <x:c r="AD166" s="118"/>
      <x:c r="AE166" s="118"/>
      <x:c r="AF166" s="118"/>
      <x:c r="AG166" s="118"/>
      <x:c r="AH166" s="118"/>
    </x:row>
    <x:row r="167">
      <x:c r="A167" s="118" t="str">
        <x:v>Disclosed utilisation</x:v>
      </x:c>
      <x:c r="B167" s="118" t="str">
        <x:v>Unit1 ~75%; active Unit2 ~75%; Unit3 underutilised</x:v>
      </x:c>
      <x:c r="C167" s="118" t="str">
        <x:v>Legacy ~140kL block ~46–47%; Unit3 ramp</x:v>
      </x:c>
      <x:c r="D167" s="118" t="str">
        <x:v>Reported</x:v>
      </x:c>
      <x:c r="E167" s="118" t="str">
        <x:v>Meaningful headroom remains.</x:v>
      </x:c>
      <x:c r="F167" s="118" t="str">
        <x:v>Need utilisation evidence as campaigns transfer.</x:v>
      </x:c>
      <x:c r="G167" s="118" t="str">
        <x:v>No consolidated utilisation disclosed; avoid false precision.</x:v>
      </x:c>
      <x:c r="H167" s="118" t="str">
        <x:v>Q3 call</x:v>
      </x:c>
      <x:c r="I167" s="118"/>
      <x:c r="J167" s="118"/>
      <x:c r="K167" s="118"/>
      <x:c r="L167" s="118"/>
      <x:c r="M167" s="118"/>
      <x:c r="N167" s="118"/>
      <x:c r="O167" s="118"/>
      <x:c r="P167" s="118"/>
      <x:c r="Q167" s="118"/>
      <x:c r="R167" s="118"/>
      <x:c r="S167" s="118"/>
      <x:c r="T167" s="118"/>
      <x:c r="U167" s="118"/>
      <x:c r="V167" s="118"/>
      <x:c r="W167" s="118"/>
      <x:c r="X167" s="118"/>
      <x:c r="Y167" s="118"/>
      <x:c r="Z167" s="118"/>
      <x:c r="AA167" s="118"/>
      <x:c r="AB167" s="118"/>
      <x:c r="AC167" s="118"/>
      <x:c r="AD167" s="118"/>
      <x:c r="AE167" s="118"/>
      <x:c r="AF167" s="118"/>
      <x:c r="AG167" s="118"/>
      <x:c r="AH167" s="118"/>
    </x:row>
    <x:row r="168">
      <x:c r="A168" s="118" t="str">
        <x:v>Spare Capacity</x:v>
      </x:c>
      <x:c r="B168" s="118" t="str">
        <x:v>NA – exact consolidated utilisation not disclosed</x:v>
      </x:c>
      <x:c r="C168" s="118" t="str">
        <x:v>NA – exact consolidated utilisation not disclosed</x:v>
      </x:c>
      <x:c r="D168" s="118" t="str">
        <x:v>Not Disclosed</x:v>
      </x:c>
      <x:c r="E168" s="118" t="str">
        <x:v>Physical headroom exists, but revenue supported cannot be translated with one revenue/kL.</x:v>
      </x:c>
      <x:c r="F168" s="118" t="str">
        <x:v>Same</x:v>
      </x:c>
      <x:c r="G168" s="118" t="str">
        <x:v>Use operating commentary + pipeline, not arbitrary volume economics.</x:v>
      </x:c>
      <x:c r="H168" s="118" t="str">
        <x:v>Analyst</x:v>
      </x:c>
      <x:c r="I168" s="118"/>
      <x:c r="J168" s="118"/>
      <x:c r="K168" s="118"/>
      <x:c r="L168" s="118"/>
      <x:c r="M168" s="118"/>
      <x:c r="N168" s="118"/>
      <x:c r="O168" s="118"/>
      <x:c r="P168" s="118"/>
      <x:c r="Q168" s="118"/>
      <x:c r="R168" s="118"/>
      <x:c r="S168" s="118"/>
      <x:c r="T168" s="118"/>
      <x:c r="U168" s="118"/>
      <x:c r="V168" s="118"/>
      <x:c r="W168" s="118"/>
      <x:c r="X168" s="118"/>
      <x:c r="Y168" s="118"/>
      <x:c r="Z168" s="118"/>
      <x:c r="AA168" s="118"/>
      <x:c r="AB168" s="118"/>
      <x:c r="AC168" s="118"/>
      <x:c r="AD168" s="118"/>
      <x:c r="AE168" s="118"/>
      <x:c r="AF168" s="118"/>
      <x:c r="AG168" s="118"/>
      <x:c r="AH168" s="118"/>
    </x:row>
    <x:row r="169">
      <x:c r="A169" s="118" t="str">
        <x:v>Revenue Supported by Spare Capacity</x:v>
      </x:c>
      <x:c r="B169" s="118" t="str">
        <x:v>NA</x:v>
      </x:c>
      <x:c r="C169" s="118" t="str">
        <x:v>NA</x:v>
      </x:c>
      <x:c r="D169" s="118" t="str">
        <x:v>Insufficient disclosure</x:v>
      </x:c>
      <x:c r="E169" s="118" t="str">
        <x:v>No defensible revenue/kL.</x:v>
      </x:c>
      <x:c r="F169" s="118" t="str">
        <x:v>No defensible revenue/kL.</x:v>
      </x:c>
      <x:c r="G169" s="118" t="str">
        <x:v>Cross-check through model vs capacity timing instead.</x:v>
      </x:c>
      <x:c r="H169" s="118" t="str">
        <x:v>Analyst</x:v>
      </x:c>
      <x:c r="I169" s="118"/>
      <x:c r="J169" s="118"/>
      <x:c r="K169" s="118"/>
      <x:c r="L169" s="118"/>
      <x:c r="M169" s="118"/>
      <x:c r="N169" s="118"/>
      <x:c r="O169" s="118"/>
      <x:c r="P169" s="118"/>
      <x:c r="Q169" s="118"/>
      <x:c r="R169" s="118"/>
      <x:c r="S169" s="118"/>
      <x:c r="T169" s="118"/>
      <x:c r="U169" s="118"/>
      <x:c r="V169" s="118"/>
      <x:c r="W169" s="118"/>
      <x:c r="X169" s="118"/>
      <x:c r="Y169" s="118"/>
      <x:c r="Z169" s="118"/>
      <x:c r="AA169" s="118"/>
      <x:c r="AB169" s="118"/>
      <x:c r="AC169" s="118"/>
      <x:c r="AD169" s="118"/>
      <x:c r="AE169" s="118"/>
      <x:c r="AF169" s="118"/>
      <x:c r="AG169" s="118"/>
      <x:c r="AH169" s="118"/>
    </x:row>
    <x:row r="170">
      <x:c r="A170" s="118" t="str">
        <x:v>Revenue Requiring Unit IV</x:v>
      </x:c>
      <x:c r="B170" s="118" t="str">
        <x:v>0 in cross-check through FY28</x:v>
      </x:c>
      <x:c r="C170" s="118" t="str">
        <x:v>0 in cross-check through FY28</x:v>
      </x:c>
      <x:c r="D170" s="118" t="str">
        <x:v>Analyst</x:v>
      </x:c>
      <x:c r="E170" s="118" t="str">
        <x:v>Unit IV not required for FY27/FY28 in central cross-check.</x:v>
      </x:c>
      <x:c r="F170" s="118" t="str">
        <x:v>Rises from FY29.</x:v>
      </x:c>
      <x:c r="G170" s="118" t="str">
        <x:v>Critical model consistency test.</x:v>
      </x:c>
      <x:c r="H170" s="118" t="str">
        <x:v>Analyst</x:v>
      </x:c>
      <x:c r="I170" s="118"/>
      <x:c r="J170" s="118"/>
      <x:c r="K170" s="118"/>
      <x:c r="L170" s="118"/>
      <x:c r="M170" s="118"/>
      <x:c r="N170" s="118"/>
      <x:c r="O170" s="118"/>
      <x:c r="P170" s="118"/>
      <x:c r="Q170" s="118"/>
      <x:c r="R170" s="118"/>
      <x:c r="S170" s="118"/>
      <x:c r="T170" s="118"/>
      <x:c r="U170" s="118"/>
      <x:c r="V170" s="118"/>
      <x:c r="W170" s="118"/>
      <x:c r="X170" s="118"/>
      <x:c r="Y170" s="118"/>
      <x:c r="Z170" s="118"/>
      <x:c r="AA170" s="118"/>
      <x:c r="AB170" s="118"/>
      <x:c r="AC170" s="118"/>
      <x:c r="AD170" s="118"/>
      <x:c r="AE170" s="118"/>
      <x:c r="AF170" s="118"/>
      <x:c r="AG170" s="118"/>
      <x:c r="AH170" s="118"/>
    </x:row>
    <x:row r="171">
      <x:c r="A171" s="118"/>
      <x:c r="B171" s="118"/>
      <x:c r="C171" s="118"/>
      <x:c r="D171" s="118"/>
      <x:c r="E171" s="118"/>
      <x:c r="F171" s="118"/>
      <x:c r="G171" s="118"/>
      <x:c r="H171" s="118"/>
      <x:c r="I171" s="118"/>
      <x:c r="J171" s="118"/>
      <x:c r="K171" s="118"/>
      <x:c r="L171" s="118"/>
      <x:c r="M171" s="118"/>
      <x:c r="N171" s="118"/>
      <x:c r="O171" s="118"/>
      <x:c r="P171" s="118"/>
      <x:c r="Q171" s="118"/>
      <x:c r="R171" s="118"/>
      <x:c r="S171" s="118"/>
      <x:c r="T171" s="118"/>
      <x:c r="U171" s="118"/>
      <x:c r="V171" s="118"/>
      <x:c r="W171" s="118"/>
      <x:c r="X171" s="118"/>
      <x:c r="Y171" s="118"/>
      <x:c r="Z171" s="118"/>
      <x:c r="AA171" s="118"/>
      <x:c r="AB171" s="118"/>
      <x:c r="AC171" s="118"/>
      <x:c r="AD171" s="118"/>
      <x:c r="AE171" s="118"/>
      <x:c r="AF171" s="118"/>
      <x:c r="AG171" s="118"/>
      <x:c r="AH171" s="118"/>
    </x:row>
    <x:row r="172" ht="20" customHeight="1">
      <x:c r="A172" s="146" t="str">
        <x:v>L. UNIT IV CAPEX PAYBACK</x:v>
      </x:c>
      <x:c r="B172" s="146"/>
      <x:c r="C172" s="146"/>
      <x:c r="D172" s="146"/>
      <x:c r="E172" s="146"/>
      <x:c r="F172" s="146"/>
      <x:c r="G172" s="146"/>
      <x:c r="H172" s="146"/>
      <x:c r="I172" s="146"/>
      <x:c r="J172" s="118"/>
      <x:c r="K172" s="118"/>
      <x:c r="L172" s="118"/>
      <x:c r="M172" s="118"/>
      <x:c r="N172" s="118"/>
      <x:c r="O172" s="118"/>
      <x:c r="P172" s="118"/>
      <x:c r="Q172" s="118"/>
      <x:c r="R172" s="118"/>
      <x:c r="S172" s="118"/>
      <x:c r="T172" s="118"/>
      <x:c r="U172" s="118"/>
      <x:c r="V172" s="118"/>
      <x:c r="W172" s="118"/>
      <x:c r="X172" s="118"/>
      <x:c r="Y172" s="118"/>
      <x:c r="Z172" s="118"/>
      <x:c r="AA172" s="118"/>
      <x:c r="AB172" s="118"/>
      <x:c r="AC172" s="118"/>
      <x:c r="AD172" s="118"/>
      <x:c r="AE172" s="118"/>
      <x:c r="AF172" s="118"/>
      <x:c r="AG172" s="118"/>
      <x:c r="AH172" s="118"/>
    </x:row>
    <x:row r="173">
      <x:c r="A173" s="147" t="str">
        <x:v>FY</x:v>
      </x:c>
      <x:c r="B173" s="147" t="str">
        <x:v>Incremental Unit IV Revenue</x:v>
      </x:c>
      <x:c r="C173" s="147" t="str">
        <x:v>Incremental EBITDA</x:v>
      </x:c>
      <x:c r="D173" s="147" t="str">
        <x:v>Incremental EBIT</x:v>
      </x:c>
      <x:c r="E173" s="147" t="str">
        <x:v>Incremental Revenue / Capex</x:v>
      </x:c>
      <x:c r="F173" s="147" t="str">
        <x:v>Incremental EBITDA / Capex</x:v>
      </x:c>
      <x:c r="G173" s="147" t="str">
        <x:v>EBIT Return on Project Capital</x:v>
      </x:c>
      <x:c r="H173" s="147" t="str">
        <x:v>NOPAT Return</x:v>
      </x:c>
      <x:c r="I173" s="147" t="str">
        <x:v>Simple Payback</x:v>
      </x:c>
      <x:c r="J173" s="118"/>
      <x:c r="K173" s="118"/>
      <x:c r="L173" s="118"/>
      <x:c r="M173" s="118"/>
      <x:c r="N173" s="118"/>
      <x:c r="O173" s="118"/>
      <x:c r="P173" s="118"/>
      <x:c r="Q173" s="118"/>
      <x:c r="R173" s="118"/>
      <x:c r="S173" s="118"/>
      <x:c r="T173" s="118"/>
      <x:c r="U173" s="118"/>
      <x:c r="V173" s="118"/>
      <x:c r="W173" s="118"/>
      <x:c r="X173" s="118"/>
      <x:c r="Y173" s="118"/>
      <x:c r="Z173" s="118"/>
      <x:c r="AA173" s="118"/>
      <x:c r="AB173" s="118"/>
      <x:c r="AC173" s="118"/>
      <x:c r="AD173" s="118"/>
      <x:c r="AE173" s="118"/>
      <x:c r="AF173" s="118"/>
      <x:c r="AG173" s="118"/>
      <x:c r="AH173" s="118"/>
    </x:row>
    <x:row r="174">
      <x:c r="A174" s="118" t="str">
        <x:v>FY29E</x:v>
      </x:c>
      <x:c r="B174" s="198" t="n">
        <x:f>F156</x:f>
        <x:v>771.4285714285714</x:v>
      </x:c>
      <x:c r="C174" s="198" t="n">
        <x:f>B174*40%</x:f>
        <x:v>308.5714285714286</x:v>
      </x:c>
      <x:c r="D174" s="198" t="n">
        <x:f>B174*$D$95</x:f>
        <x:v>270</x:v>
      </x:c>
      <x:c r="E174" s="120" t="n">
        <x:f>B174/$D$89</x:f>
        <x:v>0.0642857142857143</x:v>
      </x:c>
      <x:c r="F174" s="120" t="n">
        <x:f>C174/$D$89</x:f>
        <x:v>0.025714285714285717</x:v>
      </x:c>
      <x:c r="G174" s="120" t="n">
        <x:f>D174/$D$89</x:f>
        <x:v>0.0225</x:v>
      </x:c>
      <x:c r="H174" s="120" t="n">
        <x:f>D174*(1-$D$94)/$D$89</x:f>
        <x:v>0.016875</x:v>
      </x:c>
      <x:c r="I174" s="199" t="n">
        <x:f>IF(C174&gt;0,$D$89/C174,"")</x:f>
        <x:v>38.888888888888886</x:v>
      </x:c>
      <x:c r="J174" s="118"/>
      <x:c r="K174" s="118"/>
      <x:c r="L174" s="118"/>
      <x:c r="M174" s="118"/>
      <x:c r="N174" s="118"/>
      <x:c r="O174" s="118"/>
      <x:c r="P174" s="118"/>
      <x:c r="Q174" s="118"/>
      <x:c r="R174" s="118"/>
      <x:c r="S174" s="118"/>
      <x:c r="T174" s="118"/>
      <x:c r="U174" s="118"/>
      <x:c r="V174" s="118"/>
      <x:c r="W174" s="118"/>
      <x:c r="X174" s="118"/>
      <x:c r="Y174" s="118"/>
      <x:c r="Z174" s="118"/>
      <x:c r="AA174" s="118"/>
      <x:c r="AB174" s="118"/>
      <x:c r="AC174" s="118"/>
      <x:c r="AD174" s="118"/>
      <x:c r="AE174" s="118"/>
      <x:c r="AF174" s="118"/>
      <x:c r="AG174" s="118"/>
      <x:c r="AH174" s="118"/>
    </x:row>
    <x:row r="175">
      <x:c r="A175" s="118" t="str">
        <x:v>FY30E</x:v>
      </x:c>
      <x:c r="B175" s="198" t="n">
        <x:f>G156</x:f>
        <x:v>2057.1428571428573</x:v>
      </x:c>
      <x:c r="C175" s="198" t="n">
        <x:f>B175*40%</x:f>
        <x:v>822.857142857143</x:v>
      </x:c>
      <x:c r="D175" s="198" t="n">
        <x:f>B175*$D$95</x:f>
        <x:v>720</x:v>
      </x:c>
      <x:c r="E175" s="120" t="n">
        <x:f>B175/$D$89</x:f>
        <x:v>0.17142857142857146</x:v>
      </x:c>
      <x:c r="F175" s="120" t="n">
        <x:f>C175/$D$89</x:f>
        <x:v>0.06857142857142859</x:v>
      </x:c>
      <x:c r="G175" s="120" t="n">
        <x:f>D175/$D$89</x:f>
        <x:v>0.06</x:v>
      </x:c>
      <x:c r="H175" s="120" t="n">
        <x:f>D175*(1-$D$94)/$D$89</x:f>
        <x:v>0.045</x:v>
      </x:c>
      <x:c r="I175" s="199" t="n">
        <x:f>IF(C175&gt;0,$D$89/C175,"")</x:f>
        <x:v>14.58333333333333</x:v>
      </x:c>
      <x:c r="J175" s="118"/>
      <x:c r="K175" s="118"/>
      <x:c r="L175" s="118"/>
      <x:c r="M175" s="118"/>
      <x:c r="N175" s="118"/>
      <x:c r="O175" s="118"/>
      <x:c r="P175" s="118"/>
      <x:c r="Q175" s="118"/>
      <x:c r="R175" s="118"/>
      <x:c r="S175" s="118"/>
      <x:c r="T175" s="118"/>
      <x:c r="U175" s="118"/>
      <x:c r="V175" s="118"/>
      <x:c r="W175" s="118"/>
      <x:c r="X175" s="118"/>
      <x:c r="Y175" s="118"/>
      <x:c r="Z175" s="118"/>
      <x:c r="AA175" s="118"/>
      <x:c r="AB175" s="118"/>
      <x:c r="AC175" s="118"/>
      <x:c r="AD175" s="118"/>
      <x:c r="AE175" s="118"/>
      <x:c r="AF175" s="118"/>
      <x:c r="AG175" s="118"/>
      <x:c r="AH175" s="118"/>
    </x:row>
    <x:row r="176">
      <x:c r="A176" s="118" t="str">
        <x:v>FY31E</x:v>
      </x:c>
      <x:c r="B176" s="198" t="n">
        <x:f>H156</x:f>
        <x:v>3600</x:v>
      </x:c>
      <x:c r="C176" s="198" t="n">
        <x:f>B176*40%</x:f>
        <x:v>1440</x:v>
      </x:c>
      <x:c r="D176" s="198" t="n">
        <x:f>B176*$D$95</x:f>
        <x:v>1260</x:v>
      </x:c>
      <x:c r="E176" s="120" t="n">
        <x:f>B176/$D$89</x:f>
        <x:v>0.3</x:v>
      </x:c>
      <x:c r="F176" s="120" t="n">
        <x:f>C176/$D$89</x:f>
        <x:v>0.12</x:v>
      </x:c>
      <x:c r="G176" s="120" t="n">
        <x:f>D176/$D$89</x:f>
        <x:v>0.105</x:v>
      </x:c>
      <x:c r="H176" s="120" t="n">
        <x:f>D176*(1-$D$94)/$D$89</x:f>
        <x:v>0.07875</x:v>
      </x:c>
      <x:c r="I176" s="199" t="n">
        <x:f>IF(C176&gt;0,$D$89/C176,"")</x:f>
        <x:v>8.333333333333334</x:v>
      </x:c>
      <x:c r="J176" s="118"/>
      <x:c r="K176" s="118"/>
      <x:c r="L176" s="118"/>
      <x:c r="M176" s="118"/>
      <x:c r="N176" s="118"/>
      <x:c r="O176" s="118"/>
      <x:c r="P176" s="118"/>
      <x:c r="Q176" s="118"/>
      <x:c r="R176" s="118"/>
      <x:c r="S176" s="118"/>
      <x:c r="T176" s="118"/>
      <x:c r="U176" s="118"/>
      <x:c r="V176" s="118"/>
      <x:c r="W176" s="118"/>
      <x:c r="X176" s="118"/>
      <x:c r="Y176" s="118"/>
      <x:c r="Z176" s="118"/>
      <x:c r="AA176" s="118"/>
      <x:c r="AB176" s="118"/>
      <x:c r="AC176" s="118"/>
      <x:c r="AD176" s="118"/>
      <x:c r="AE176" s="118"/>
      <x:c r="AF176" s="118"/>
      <x:c r="AG176" s="118"/>
      <x:c r="AH176" s="118"/>
    </x:row>
    <x:row r="177">
      <x:c r="A177" s="118"/>
      <x:c r="B177" s="118"/>
      <x:c r="C177" s="118"/>
      <x:c r="D177" s="118"/>
      <x:c r="E177" s="118"/>
      <x:c r="F177" s="118"/>
      <x:c r="G177" s="118"/>
      <x:c r="H177" s="118"/>
      <x:c r="I177" s="118"/>
      <x:c r="J177" s="118"/>
      <x:c r="K177" s="118"/>
      <x:c r="L177" s="118"/>
      <x:c r="M177" s="118"/>
      <x:c r="N177" s="118"/>
      <x:c r="O177" s="118"/>
      <x:c r="P177" s="118"/>
      <x:c r="Q177" s="118"/>
      <x:c r="R177" s="118"/>
      <x:c r="S177" s="118"/>
      <x:c r="T177" s="118"/>
      <x:c r="U177" s="118"/>
      <x:c r="V177" s="118"/>
      <x:c r="W177" s="118"/>
      <x:c r="X177" s="118"/>
      <x:c r="Y177" s="118"/>
      <x:c r="Z177" s="118"/>
      <x:c r="AA177" s="118"/>
      <x:c r="AB177" s="118"/>
      <x:c r="AC177" s="118"/>
      <x:c r="AD177" s="118"/>
      <x:c r="AE177" s="118"/>
      <x:c r="AF177" s="118"/>
      <x:c r="AG177" s="118"/>
      <x:c r="AH177" s="118"/>
    </x:row>
    <x:row r="178" ht="20" customHeight="1">
      <x:c r="A178" s="146" t="str">
        <x:v>M. BREAK-EVEN UTILISATION / RETURN THRESHOLDS</x:v>
      </x:c>
      <x:c r="B178" s="146"/>
      <x:c r="C178" s="146"/>
      <x:c r="D178" s="146"/>
      <x:c r="E178" s="146"/>
      <x:c r="F178" s="146"/>
      <x:c r="G178" s="146"/>
      <x:c r="H178" s="146"/>
      <x:c r="I178" s="118"/>
      <x:c r="J178" s="118"/>
      <x:c r="K178" s="118"/>
      <x:c r="L178" s="118"/>
      <x:c r="M178" s="118"/>
      <x:c r="N178" s="118"/>
      <x:c r="O178" s="118"/>
      <x:c r="P178" s="118"/>
      <x:c r="Q178" s="118"/>
      <x:c r="R178" s="118"/>
      <x:c r="S178" s="118"/>
      <x:c r="T178" s="118"/>
      <x:c r="U178" s="118"/>
      <x:c r="V178" s="118"/>
      <x:c r="W178" s="118"/>
      <x:c r="X178" s="118"/>
      <x:c r="Y178" s="118"/>
      <x:c r="Z178" s="118"/>
      <x:c r="AA178" s="118"/>
      <x:c r="AB178" s="118"/>
      <x:c r="AC178" s="118"/>
      <x:c r="AD178" s="118"/>
      <x:c r="AE178" s="118"/>
      <x:c r="AF178" s="118"/>
      <x:c r="AG178" s="118"/>
      <x:c r="AH178" s="118"/>
    </x:row>
    <x:row r="179">
      <x:c r="A179" s="147" t="str">
        <x:v>Metric</x:v>
      </x:c>
      <x:c r="B179" s="147" t="str">
        <x:v>Value</x:v>
      </x:c>
      <x:c r="C179" s="147" t="str">
        <x:v>Classification</x:v>
      </x:c>
      <x:c r="D179" s="147" t="str">
        <x:v>Interpretation</x:v>
      </x:c>
      <x:c r="E179" s="147" t="str">
        <x:v>Evidence Constraint</x:v>
      </x:c>
      <x:c r="F179" s="147" t="str">
        <x:v>Watchpoint</x:v>
      </x:c>
      <x:c r="G179" s="147" t="str"/>
      <x:c r="H179" s="147" t="str"/>
      <x:c r="I179" s="118"/>
      <x:c r="J179" s="118"/>
      <x:c r="K179" s="118"/>
      <x:c r="L179" s="118"/>
      <x:c r="M179" s="118"/>
      <x:c r="N179" s="118"/>
      <x:c r="O179" s="118"/>
      <x:c r="P179" s="118"/>
      <x:c r="Q179" s="118"/>
      <x:c r="R179" s="118"/>
      <x:c r="S179" s="118"/>
      <x:c r="T179" s="118"/>
      <x:c r="U179" s="118"/>
      <x:c r="V179" s="118"/>
      <x:c r="W179" s="118"/>
      <x:c r="X179" s="118"/>
      <x:c r="Y179" s="118"/>
      <x:c r="Z179" s="118"/>
      <x:c r="AA179" s="118"/>
      <x:c r="AB179" s="118"/>
      <x:c r="AC179" s="118"/>
      <x:c r="AD179" s="118"/>
      <x:c r="AE179" s="118"/>
      <x:c r="AF179" s="118"/>
      <x:c r="AG179" s="118"/>
      <x:c r="AH179" s="118"/>
    </x:row>
    <x:row r="180">
      <x:c r="A180" s="118" t="str">
        <x:v>EBITDA Break-even Utilisation</x:v>
      </x:c>
      <x:c r="B180" s="118" t="str">
        <x:v>NA</x:v>
      </x:c>
      <x:c r="C180" s="118" t="str">
        <x:v>Insufficient disclosure</x:v>
      </x:c>
      <x:c r="D180" s="118" t="str">
        <x:v>Requires fixed-cost base and revenue-per-utilised-capacity.</x:v>
      </x:c>
      <x:c r="E180" s="118" t="str">
        <x:v>No modality-specific fixed cost / value density disclosed.</x:v>
      </x:c>
      <x:c r="F180" s="118" t="str">
        <x:v>Use margin + revenue ramp instead.</x:v>
      </x:c>
      <x:c r="G180" s="118"/>
      <x:c r="H180" s="118"/>
      <x:c r="I180" s="118"/>
      <x:c r="J180" s="118"/>
      <x:c r="K180" s="118"/>
      <x:c r="L180" s="118"/>
      <x:c r="M180" s="118"/>
      <x:c r="N180" s="118"/>
      <x:c r="O180" s="118"/>
      <x:c r="P180" s="118"/>
      <x:c r="Q180" s="118"/>
      <x:c r="R180" s="118"/>
      <x:c r="S180" s="118"/>
      <x:c r="T180" s="118"/>
      <x:c r="U180" s="118"/>
      <x:c r="V180" s="118"/>
      <x:c r="W180" s="118"/>
      <x:c r="X180" s="118"/>
      <x:c r="Y180" s="118"/>
      <x:c r="Z180" s="118"/>
      <x:c r="AA180" s="118"/>
      <x:c r="AB180" s="118"/>
      <x:c r="AC180" s="118"/>
      <x:c r="AD180" s="118"/>
      <x:c r="AE180" s="118"/>
      <x:c r="AF180" s="118"/>
      <x:c r="AG180" s="118"/>
      <x:c r="AH180" s="118"/>
    </x:row>
    <x:row r="181">
      <x:c r="A181" s="118" t="str">
        <x:v>EBIT Break-even Utilisation</x:v>
      </x:c>
      <x:c r="B181" s="118" t="str">
        <x:v>NA</x:v>
      </x:c>
      <x:c r="C181" s="118" t="str">
        <x:v>Insufficient disclosure</x:v>
      </x:c>
      <x:c r="D181" s="118" t="str">
        <x:v>Requires depreciation allocation and project-level contribution margin.</x:v>
      </x:c>
      <x:c r="E181" s="118" t="str">
        <x:v>No project-level economics disclosed.</x:v>
      </x:c>
      <x:c r="F181" s="118" t="str">
        <x:v>Monitor depreciation step-up after commissioning.</x:v>
      </x:c>
      <x:c r="G181" s="118"/>
      <x:c r="H181" s="118"/>
      <x:c r="I181" s="118"/>
      <x:c r="J181" s="118"/>
      <x:c r="K181" s="118"/>
      <x:c r="L181" s="118"/>
      <x:c r="M181" s="118"/>
      <x:c r="N181" s="118"/>
      <x:c r="O181" s="118"/>
      <x:c r="P181" s="118"/>
      <x:c r="Q181" s="118"/>
      <x:c r="R181" s="118"/>
      <x:c r="S181" s="118"/>
      <x:c r="T181" s="118"/>
      <x:c r="U181" s="118"/>
      <x:c r="V181" s="118"/>
      <x:c r="W181" s="118"/>
      <x:c r="X181" s="118"/>
      <x:c r="Y181" s="118"/>
      <x:c r="Z181" s="118"/>
      <x:c r="AA181" s="118"/>
      <x:c r="AB181" s="118"/>
      <x:c r="AC181" s="118"/>
      <x:c r="AD181" s="118"/>
      <x:c r="AE181" s="118"/>
      <x:c r="AF181" s="118"/>
      <x:c r="AG181" s="118"/>
      <x:c r="AH181" s="118"/>
    </x:row>
    <x:row r="182">
      <x:c r="A182" s="118" t="str">
        <x:v>ROCE Break-even Utilisation</x:v>
      </x:c>
      <x:c r="B182" s="118" t="str">
        <x:v>NA</x:v>
      </x:c>
      <x:c r="C182" s="118" t="str">
        <x:v>Insufficient disclosure</x:v>
      </x:c>
      <x:c r="D182" s="118" t="str">
        <x:v>Exact utilisation hurdle cannot be estimated without sales density.</x:v>
      </x:c>
      <x:c r="E182" s="118" t="str">
        <x:v>Custom synthesis and fermentation economics differ.</x:v>
      </x:c>
      <x:c r="F182" s="118" t="str">
        <x:v>Use required-revenue threshold at 12%/15%/18%/20% ROCE.</x:v>
      </x:c>
      <x:c r="G182" s="118"/>
      <x:c r="H182" s="118"/>
      <x:c r="I182" s="118"/>
      <x:c r="J182" s="118"/>
      <x:c r="K182" s="118"/>
      <x:c r="L182" s="118"/>
      <x:c r="M182" s="118"/>
      <x:c r="N182" s="118"/>
      <x:c r="O182" s="118"/>
      <x:c r="P182" s="118"/>
      <x:c r="Q182" s="118"/>
      <x:c r="R182" s="118"/>
      <x:c r="S182" s="118"/>
      <x:c r="T182" s="118"/>
      <x:c r="U182" s="118"/>
      <x:c r="V182" s="118"/>
      <x:c r="W182" s="118"/>
      <x:c r="X182" s="118"/>
      <x:c r="Y182" s="118"/>
      <x:c r="Z182" s="118"/>
      <x:c r="AA182" s="118"/>
      <x:c r="AB182" s="118"/>
      <x:c r="AC182" s="118"/>
      <x:c r="AD182" s="118"/>
      <x:c r="AE182" s="118"/>
      <x:c r="AF182" s="118"/>
      <x:c r="AG182" s="118"/>
      <x:c r="AH182" s="118"/>
    </x:row>
    <x:row r="183">
      <x:c r="A183" s="118" t="str">
        <x:v>Illustrative Hurdle ROCE</x:v>
      </x:c>
      <x:c r="B183" s="196" t="n">
        <x:v>0.15</x:v>
      </x:c>
      <x:c r="C183" s="118" t="str">
        <x:v>Analyst assumption</x:v>
      </x:c>
      <x:c r="D183" s="118" t="str">
        <x:v>15% used as central return cross-check.</x:v>
      </x:c>
      <x:c r="E183" s="118" t="str">
        <x:v>Not company WACC.</x:v>
      </x:c>
      <x:c r="F183" s="118" t="str">
        <x:v>Change this if house WACC differs.</x:v>
      </x:c>
      <x:c r="G183" s="118"/>
      <x:c r="H183" s="118"/>
      <x:c r="I183" s="118"/>
      <x:c r="J183" s="118"/>
      <x:c r="K183" s="118"/>
      <x:c r="L183" s="118"/>
      <x:c r="M183" s="118"/>
      <x:c r="N183" s="118"/>
      <x:c r="O183" s="118"/>
      <x:c r="P183" s="118"/>
      <x:c r="Q183" s="118"/>
      <x:c r="R183" s="118"/>
      <x:c r="S183" s="118"/>
      <x:c r="T183" s="118"/>
      <x:c r="U183" s="118"/>
      <x:c r="V183" s="118"/>
      <x:c r="W183" s="118"/>
      <x:c r="X183" s="118"/>
      <x:c r="Y183" s="118"/>
      <x:c r="Z183" s="118"/>
      <x:c r="AA183" s="118"/>
      <x:c r="AB183" s="118"/>
      <x:c r="AC183" s="118"/>
      <x:c r="AD183" s="118"/>
      <x:c r="AE183" s="118"/>
      <x:c r="AF183" s="118"/>
      <x:c r="AG183" s="118"/>
      <x:c r="AH183" s="118"/>
    </x:row>
    <x:row r="184">
      <x:c r="A184" s="118" t="str">
        <x:v>Required Revenue at Hurdle</x:v>
      </x:c>
      <x:c r="B184" s="198" t="n">
        <x:f>$J$90</x:f>
        <x:v>5142.857142857143</x:v>
      </x:c>
      <x:c r="C184" s="118" t="str">
        <x:v>Derived</x:v>
      </x:c>
      <x:c r="D184" s="118" t="str">
        <x:v>Calculated from project capital and illustrative EBIT margin.</x:v>
      </x:c>
      <x:c r="E184" s="118" t="str">
        <x:v>Not a forecast.</x:v>
      </x:c>
      <x:c r="F184" s="118" t="str">
        <x:v>Direct capital discipline test.</x:v>
      </x:c>
      <x:c r="G184" s="118"/>
      <x:c r="H184" s="118"/>
      <x:c r="I184" s="118"/>
      <x:c r="J184" s="118"/>
      <x:c r="K184" s="118"/>
      <x:c r="L184" s="118"/>
      <x:c r="M184" s="118"/>
      <x:c r="N184" s="118"/>
      <x:c r="O184" s="118"/>
      <x:c r="P184" s="118"/>
      <x:c r="Q184" s="118"/>
      <x:c r="R184" s="118"/>
      <x:c r="S184" s="118"/>
      <x:c r="T184" s="118"/>
      <x:c r="U184" s="118"/>
      <x:c r="V184" s="118"/>
      <x:c r="W184" s="118"/>
      <x:c r="X184" s="118"/>
      <x:c r="Y184" s="118"/>
      <x:c r="Z184" s="118"/>
      <x:c r="AA184" s="118"/>
      <x:c r="AB184" s="118"/>
      <x:c r="AC184" s="118"/>
      <x:c r="AD184" s="118"/>
      <x:c r="AE184" s="118"/>
      <x:c r="AF184" s="118"/>
      <x:c r="AG184" s="118"/>
      <x:c r="AH184" s="118"/>
    </x:row>
    <x:row r="185">
      <x:c r="A185" s="118"/>
      <x:c r="B185" s="118"/>
      <x:c r="C185" s="118"/>
      <x:c r="D185" s="118"/>
      <x:c r="E185" s="118"/>
      <x:c r="F185" s="118"/>
      <x:c r="G185" s="118"/>
      <x:c r="H185" s="118"/>
      <x:c r="I185" s="118"/>
      <x:c r="J185" s="118"/>
      <x:c r="K185" s="118"/>
      <x:c r="L185" s="118"/>
      <x:c r="M185" s="118"/>
      <x:c r="N185" s="118"/>
      <x:c r="O185" s="118"/>
      <x:c r="P185" s="118"/>
      <x:c r="Q185" s="118"/>
      <x:c r="R185" s="118"/>
      <x:c r="S185" s="118"/>
      <x:c r="T185" s="118"/>
      <x:c r="U185" s="118"/>
      <x:c r="V185" s="118"/>
      <x:c r="W185" s="118"/>
      <x:c r="X185" s="118"/>
      <x:c r="Y185" s="118"/>
      <x:c r="Z185" s="118"/>
      <x:c r="AA185" s="118"/>
      <x:c r="AB185" s="118"/>
      <x:c r="AC185" s="118"/>
      <x:c r="AD185" s="118"/>
      <x:c r="AE185" s="118"/>
      <x:c r="AF185" s="118"/>
      <x:c r="AG185" s="118"/>
      <x:c r="AH185" s="118"/>
    </x:row>
    <x:row r="186">
      <x:c r="A186" s="118"/>
      <x:c r="B186" s="118"/>
      <x:c r="C186" s="118"/>
      <x:c r="D186" s="118"/>
      <x:c r="E186" s="118"/>
      <x:c r="F186" s="118"/>
      <x:c r="G186" s="118"/>
      <x:c r="H186" s="118"/>
      <x:c r="I186" s="118"/>
      <x:c r="J186" s="118"/>
      <x:c r="K186" s="118"/>
      <x:c r="L186" s="118"/>
      <x:c r="M186" s="118"/>
      <x:c r="N186" s="118"/>
      <x:c r="O186" s="118"/>
      <x:c r="P186" s="118"/>
      <x:c r="Q186" s="118"/>
      <x:c r="R186" s="118"/>
      <x:c r="S186" s="118"/>
      <x:c r="T186" s="118"/>
      <x:c r="U186" s="118"/>
      <x:c r="V186" s="118"/>
      <x:c r="W186" s="118"/>
      <x:c r="X186" s="118"/>
      <x:c r="Y186" s="118"/>
      <x:c r="Z186" s="118"/>
      <x:c r="AA186" s="118"/>
      <x:c r="AB186" s="118"/>
      <x:c r="AC186" s="118"/>
      <x:c r="AD186" s="118"/>
      <x:c r="AE186" s="118"/>
      <x:c r="AF186" s="118"/>
      <x:c r="AG186" s="118"/>
      <x:c r="AH186" s="118"/>
    </x:row>
    <x:row r="187" ht="20" customHeight="1">
      <x:c r="A187" s="146" t="str">
        <x:v>N. CAPABILITY CAPEX</x:v>
      </x:c>
      <x:c r="B187" s="146"/>
      <x:c r="C187" s="146"/>
      <x:c r="D187" s="146"/>
      <x:c r="E187" s="146"/>
      <x:c r="F187" s="146"/>
      <x:c r="G187" s="146"/>
      <x:c r="H187" s="146"/>
      <x:c r="I187" s="146"/>
      <x:c r="J187" s="146"/>
      <x:c r="K187" s="146"/>
      <x:c r="L187" s="118"/>
      <x:c r="M187" s="118"/>
      <x:c r="N187" s="118"/>
      <x:c r="O187" s="118"/>
      <x:c r="P187" s="118"/>
      <x:c r="Q187" s="118"/>
      <x:c r="R187" s="118"/>
      <x:c r="S187" s="118"/>
      <x:c r="T187" s="118"/>
      <x:c r="U187" s="118"/>
      <x:c r="V187" s="118"/>
      <x:c r="W187" s="118"/>
      <x:c r="X187" s="118"/>
      <x:c r="Y187" s="118"/>
      <x:c r="Z187" s="118"/>
      <x:c r="AA187" s="118"/>
      <x:c r="AB187" s="118"/>
      <x:c r="AC187" s="118"/>
      <x:c r="AD187" s="118"/>
      <x:c r="AE187" s="118"/>
      <x:c r="AF187" s="118"/>
      <x:c r="AG187" s="118"/>
      <x:c r="AH187" s="118"/>
    </x:row>
    <x:row r="188">
      <x:c r="A188" s="147" t="str">
        <x:v>Investment / Capability</x:v>
      </x:c>
      <x:c r="B188" s="147" t="str">
        <x:v>Classification</x:v>
      </x:c>
      <x:c r="C188" s="147" t="str">
        <x:v>Capacity vs Capability</x:v>
      </x:c>
      <x:c r="D188" s="147" t="str">
        <x:v>Evidence</x:v>
      </x:c>
      <x:c r="E188" s="147" t="str">
        <x:v>Potential Monetisation</x:v>
      </x:c>
      <x:c r="F188" s="147" t="str">
        <x:v>kL Relevant?</x:v>
      </x:c>
      <x:c r="G188" s="147" t="str">
        <x:v>Demand Visibility</x:v>
      </x:c>
      <x:c r="H188" s="147" t="str">
        <x:v>Margin Potential</x:v>
      </x:c>
      <x:c r="I188" s="147" t="str">
        <x:v>Main Risk</x:v>
      </x:c>
      <x:c r="J188" s="147" t="str">
        <x:v>Analyst View</x:v>
      </x:c>
      <x:c r="K188" s="147" t="str">
        <x:v>Source</x:v>
      </x:c>
      <x:c r="L188" s="118"/>
      <x:c r="M188" s="118"/>
      <x:c r="N188" s="118"/>
      <x:c r="O188" s="118"/>
      <x:c r="P188" s="118"/>
      <x:c r="Q188" s="118"/>
      <x:c r="R188" s="118"/>
      <x:c r="S188" s="118"/>
      <x:c r="T188" s="118"/>
      <x:c r="U188" s="118"/>
      <x:c r="V188" s="118"/>
      <x:c r="W188" s="118"/>
      <x:c r="X188" s="118"/>
      <x:c r="Y188" s="118"/>
      <x:c r="Z188" s="118"/>
      <x:c r="AA188" s="118"/>
      <x:c r="AB188" s="118"/>
      <x:c r="AC188" s="118"/>
      <x:c r="AD188" s="118"/>
      <x:c r="AE188" s="118"/>
      <x:c r="AF188" s="118"/>
      <x:c r="AG188" s="118"/>
      <x:c r="AH188" s="118"/>
    </x:row>
    <x:row r="189">
      <x:c r="A189" s="118" t="str">
        <x:v>Peptide synthesis / Unit III peptide block</x:v>
      </x:c>
      <x:c r="B189" s="118" t="str">
        <x:v>Capability + capacity</x:v>
      </x:c>
      <x:c r="C189" s="118" t="str">
        <x:v>Capability Capex</x:v>
      </x:c>
      <x:c r="D189" s="118" t="str">
        <x:v>Dedicated peptide manufacturing facility disclosed</x:v>
      </x:c>
      <x:c r="E189" s="118" t="str">
        <x:v>Projects → scale-up → commercial peptide supply</x:v>
      </x:c>
      <x:c r="F189" s="118" t="str">
        <x:v>Partly</x:v>
      </x:c>
      <x:c r="G189" s="118" t="str">
        <x:v>Medium</x:v>
      </x:c>
      <x:c r="H189" s="118" t="str">
        <x:v>High</x:v>
      </x:c>
      <x:c r="I189" s="118" t="str">
        <x:v>Project conversion / competition</x:v>
      </x:c>
      <x:c r="J189" s="118" t="str">
        <x:v>Strategic differentiator when paired with fermentation.</x:v>
      </x:c>
      <x:c r="K189" s="118" t="str">
        <x:v>Annual report / calls</x:v>
      </x:c>
      <x:c r="L189" s="118"/>
      <x:c r="M189" s="118"/>
      <x:c r="N189" s="118"/>
      <x:c r="O189" s="118"/>
      <x:c r="P189" s="118"/>
      <x:c r="Q189" s="118"/>
      <x:c r="R189" s="118"/>
      <x:c r="S189" s="118"/>
      <x:c r="T189" s="118"/>
      <x:c r="U189" s="118"/>
      <x:c r="V189" s="118"/>
      <x:c r="W189" s="118"/>
      <x:c r="X189" s="118"/>
      <x:c r="Y189" s="118"/>
      <x:c r="Z189" s="118"/>
      <x:c r="AA189" s="118"/>
      <x:c r="AB189" s="118"/>
      <x:c r="AC189" s="118"/>
      <x:c r="AD189" s="118"/>
      <x:c r="AE189" s="118"/>
      <x:c r="AF189" s="118"/>
      <x:c r="AG189" s="118"/>
      <x:c r="AH189" s="118"/>
    </x:row>
    <x:row r="190">
      <x:c r="A190" s="118" t="str">
        <x:v>Large-scale fermentation / Unit III + Unit IV</x:v>
      </x:c>
      <x:c r="B190" s="118" t="str">
        <x:v>Capacity + capability</x:v>
      </x:c>
      <x:c r="C190" s="118" t="str">
        <x:v>Mixed</x:v>
      </x:c>
      <x:c r="D190" s="118" t="str">
        <x:v>Existing and incremental fermentation disclosed</x:v>
      </x:c>
      <x:c r="E190" s="118" t="str">
        <x:v>Fermentation projects / P29 / specialty products</x:v>
      </x:c>
      <x:c r="F190" s="118" t="str">
        <x:v>Yes, but revenue/kL not comparable</x:v>
      </x:c>
      <x:c r="G190" s="118" t="str">
        <x:v>Medium</x:v>
      </x:c>
      <x:c r="H190" s="118" t="str">
        <x:v>Medium-High</x:v>
      </x:c>
      <x:c r="I190" s="118" t="str">
        <x:v>Utilisation ramp</x:v>
      </x:c>
      <x:c r="J190" s="118" t="str">
        <x:v>Important headroom; monitor customer-backed campaigns.</x:v>
      </x:c>
      <x:c r="K190" s="118" t="str">
        <x:v>Calls</x:v>
      </x:c>
      <x:c r="L190" s="118"/>
      <x:c r="M190" s="118"/>
      <x:c r="N190" s="118"/>
      <x:c r="O190" s="118"/>
      <x:c r="P190" s="118"/>
      <x:c r="Q190" s="118"/>
      <x:c r="R190" s="118"/>
      <x:c r="S190" s="118"/>
      <x:c r="T190" s="118"/>
      <x:c r="U190" s="118"/>
      <x:c r="V190" s="118"/>
      <x:c r="W190" s="118"/>
      <x:c r="X190" s="118"/>
      <x:c r="Y190" s="118"/>
      <x:c r="Z190" s="118"/>
      <x:c r="AA190" s="118"/>
      <x:c r="AB190" s="118"/>
      <x:c r="AC190" s="118"/>
      <x:c r="AD190" s="118"/>
      <x:c r="AE190" s="118"/>
      <x:c r="AF190" s="118"/>
      <x:c r="AG190" s="118"/>
      <x:c r="AH190" s="118"/>
    </x:row>
    <x:row r="191">
      <x:c r="A191" s="118" t="str">
        <x:v>ADC capabilities / high-potency chemistry</x:v>
      </x:c>
      <x:c r="B191" s="118" t="str">
        <x:v>Capability</x:v>
      </x:c>
      <x:c r="C191" s="118" t="str">
        <x:v>Capability Capex</x:v>
      </x:c>
      <x:c r="D191" s="118" t="str">
        <x:v>ADC linker + payload work and HPAPI facilities disclosed</x:v>
      </x:c>
      <x:c r="E191" s="118" t="str">
        <x:v>Development → late phase → commercial</x:v>
      </x:c>
      <x:c r="F191" s="118" t="str">
        <x:v>No</x:v>
      </x:c>
      <x:c r="G191" s="118" t="str">
        <x:v>Medium</x:v>
      </x:c>
      <x:c r="H191" s="118" t="str">
        <x:v>High</x:v>
      </x:c>
      <x:c r="I191" s="118" t="str">
        <x:v>Program attrition / qualification</x:v>
      </x:c>
      <x:c r="J191" s="118" t="str">
        <x:v>Optionality, not modelled as named molecule revenue.</x:v>
      </x:c>
      <x:c r="K191" s="118" t="str">
        <x:v>Annual report</x:v>
      </x:c>
      <x:c r="L191" s="118"/>
      <x:c r="M191" s="118"/>
      <x:c r="N191" s="118"/>
      <x:c r="O191" s="118"/>
      <x:c r="P191" s="118"/>
      <x:c r="Q191" s="118"/>
      <x:c r="R191" s="118"/>
      <x:c r="S191" s="118"/>
      <x:c r="T191" s="118"/>
      <x:c r="U191" s="118"/>
      <x:c r="V191" s="118"/>
      <x:c r="W191" s="118"/>
      <x:c r="X191" s="118"/>
      <x:c r="Y191" s="118"/>
      <x:c r="Z191" s="118"/>
      <x:c r="AA191" s="118"/>
      <x:c r="AB191" s="118"/>
      <x:c r="AC191" s="118"/>
      <x:c r="AD191" s="118"/>
      <x:c r="AE191" s="118"/>
      <x:c r="AF191" s="118"/>
      <x:c r="AG191" s="118"/>
      <x:c r="AH191" s="118"/>
    </x:row>
    <x:row r="192">
      <x:c r="A192" s="118" t="str">
        <x:v>RNAi glycolipid delivery chemistry</x:v>
      </x:c>
      <x:c r="B192" s="118" t="str">
        <x:v>Capability</x:v>
      </x:c>
      <x:c r="C192" s="118" t="str">
        <x:v>Capability Capex</x:v>
      </x:c>
      <x:c r="D192" s="118" t="str">
        <x:v>Platform disclosed since 2016</x:v>
      </x:c>
      <x:c r="E192" s="118" t="str">
        <x:v>Customer projects → development / commercial</x:v>
      </x:c>
      <x:c r="F192" s="118" t="str">
        <x:v>No</x:v>
      </x:c>
      <x:c r="G192" s="118" t="str">
        <x:v>Medium</x:v>
      </x:c>
      <x:c r="H192" s="118" t="str">
        <x:v>High</x:v>
      </x:c>
      <x:c r="I192" s="118" t="str">
        <x:v>Technical / customer concentration</x:v>
      </x:c>
      <x:c r="J192" s="118" t="str">
        <x:v>Track project progression, not arbitrary kL.</x:v>
      </x:c>
      <x:c r="K192" s="118" t="str">
        <x:v>Annual report</x:v>
      </x:c>
      <x:c r="L192" s="118"/>
      <x:c r="M192" s="118"/>
      <x:c r="N192" s="118"/>
      <x:c r="O192" s="118"/>
      <x:c r="P192" s="118"/>
      <x:c r="Q192" s="118"/>
      <x:c r="R192" s="118"/>
      <x:c r="S192" s="118"/>
      <x:c r="T192" s="118"/>
      <x:c r="U192" s="118"/>
      <x:c r="V192" s="118"/>
      <x:c r="W192" s="118"/>
      <x:c r="X192" s="118"/>
      <x:c r="Y192" s="118"/>
      <x:c r="Z192" s="118"/>
      <x:c r="AA192" s="118"/>
      <x:c r="AB192" s="118"/>
      <x:c r="AC192" s="118"/>
      <x:c r="AD192" s="118"/>
      <x:c r="AE192" s="118"/>
      <x:c r="AF192" s="118"/>
      <x:c r="AG192" s="118"/>
      <x:c r="AH192" s="118"/>
    </x:row>
    <x:row r="193">
      <x:c r="A193" s="118" t="str">
        <x:v>Flow chemistry / biotransformation</x:v>
      </x:c>
      <x:c r="B193" s="118" t="str">
        <x:v>Capability</x:v>
      </x:c>
      <x:c r="C193" s="118" t="str">
        <x:v>Capability Capex</x:v>
      </x:c>
      <x:c r="D193" s="118" t="str">
        <x:v>Existing capabilities disclosed</x:v>
      </x:c>
      <x:c r="E193" s="118" t="str">
        <x:v>Route efficiency / difficult chemistry / cost advantages</x:v>
      </x:c>
      <x:c r="F193" s="118" t="str">
        <x:v>No</x:v>
      </x:c>
      <x:c r="G193" s="118" t="str">
        <x:v>Medium</x:v>
      </x:c>
      <x:c r="H193" s="118" t="str">
        <x:v>Medium-High</x:v>
      </x:c>
      <x:c r="I193" s="118" t="str">
        <x:v>Monetisation difficult to isolate</x:v>
      </x:c>
      <x:c r="J193" s="118" t="str">
        <x:v>Supports differentiation and margin.</x:v>
      </x:c>
      <x:c r="K193" s="118" t="str">
        <x:v>Annual report</x:v>
      </x:c>
      <x:c r="L193" s="118"/>
      <x:c r="M193" s="118"/>
      <x:c r="N193" s="118"/>
      <x:c r="O193" s="118"/>
      <x:c r="P193" s="118"/>
      <x:c r="Q193" s="118"/>
      <x:c r="R193" s="118"/>
      <x:c r="S193" s="118"/>
      <x:c r="T193" s="118"/>
      <x:c r="U193" s="118"/>
      <x:c r="V193" s="118"/>
      <x:c r="W193" s="118"/>
      <x:c r="X193" s="118"/>
      <x:c r="Y193" s="118"/>
      <x:c r="Z193" s="118"/>
      <x:c r="AA193" s="118"/>
      <x:c r="AB193" s="118"/>
      <x:c r="AC193" s="118"/>
      <x:c r="AD193" s="118"/>
      <x:c r="AE193" s="118"/>
      <x:c r="AF193" s="118"/>
      <x:c r="AG193" s="118"/>
      <x:c r="AH193" s="118"/>
    </x:row>
    <x:row r="194">
      <x:c r="A194" s="118" t="str">
        <x:v>Dedicated Specialty Ingredients facility at Unit IV</x:v>
      </x:c>
      <x:c r="B194" s="118" t="str">
        <x:v>Capability + capacity</x:v>
      </x:c>
      <x:c r="C194" s="118" t="str">
        <x:v>Mixed</x:v>
      </x:c>
      <x:c r="D194" s="118" t="str">
        <x:v>Management says dedicated facility will reduce CRDMO cannibalisation</x:v>
      </x:c>
      <x:c r="E194" s="118" t="str">
        <x:v>New products + improved availability</x:v>
      </x:c>
      <x:c r="F194" s="118" t="str">
        <x:v>Partly</x:v>
      </x:c>
      <x:c r="G194" s="118" t="str">
        <x:v>Medium</x:v>
      </x:c>
      <x:c r="H194" s="118" t="str">
        <x:v>Medium</x:v>
      </x:c>
      <x:c r="I194" s="118" t="str">
        <x:v>Capex allocation not disclosed</x:v>
      </x:c>
      <x:c r="J194" s="118" t="str">
        <x:v>Keep Specialty capex analytically separate.</x:v>
      </x:c>
      <x:c r="K194" s="118" t="str">
        <x:v>FY26 call</x:v>
      </x:c>
      <x:c r="L194" s="118"/>
      <x:c r="M194" s="118"/>
      <x:c r="N194" s="118"/>
      <x:c r="O194" s="118"/>
      <x:c r="P194" s="118"/>
      <x:c r="Q194" s="118"/>
      <x:c r="R194" s="118"/>
      <x:c r="S194" s="118"/>
      <x:c r="T194" s="118"/>
      <x:c r="U194" s="118"/>
      <x:c r="V194" s="118"/>
      <x:c r="W194" s="118"/>
      <x:c r="X194" s="118"/>
      <x:c r="Y194" s="118"/>
      <x:c r="Z194" s="118"/>
      <x:c r="AA194" s="118"/>
      <x:c r="AB194" s="118"/>
      <x:c r="AC194" s="118"/>
      <x:c r="AD194" s="118"/>
      <x:c r="AE194" s="118"/>
      <x:c r="AF194" s="118"/>
      <x:c r="AG194" s="118"/>
      <x:c r="AH194" s="118"/>
    </x:row>
    <x:row r="195">
      <x:c r="A195" s="118"/>
      <x:c r="B195" s="118"/>
      <x:c r="C195" s="118"/>
      <x:c r="D195" s="118"/>
      <x:c r="E195" s="118"/>
      <x:c r="F195" s="118"/>
      <x:c r="G195" s="118"/>
      <x:c r="H195" s="118"/>
      <x:c r="I195" s="118"/>
      <x:c r="J195" s="118"/>
      <x:c r="K195" s="118"/>
      <x:c r="L195" s="118"/>
      <x:c r="M195" s="118"/>
      <x:c r="N195" s="118"/>
      <x:c r="O195" s="118"/>
      <x:c r="P195" s="118"/>
      <x:c r="Q195" s="118"/>
      <x:c r="R195" s="118"/>
      <x:c r="S195" s="118"/>
      <x:c r="T195" s="118"/>
      <x:c r="U195" s="118"/>
      <x:c r="V195" s="118"/>
      <x:c r="W195" s="118"/>
      <x:c r="X195" s="118"/>
      <x:c r="Y195" s="118"/>
      <x:c r="Z195" s="118"/>
      <x:c r="AA195" s="118"/>
      <x:c r="AB195" s="118"/>
      <x:c r="AC195" s="118"/>
      <x:c r="AD195" s="118"/>
      <x:c r="AE195" s="118"/>
      <x:c r="AF195" s="118"/>
      <x:c r="AG195" s="118"/>
      <x:c r="AH195" s="118"/>
    </x:row>
    <x:row r="196">
      <x:c r="A196" s="118"/>
      <x:c r="B196" s="118"/>
      <x:c r="C196" s="118"/>
      <x:c r="D196" s="118"/>
      <x:c r="E196" s="118"/>
      <x:c r="F196" s="118"/>
      <x:c r="G196" s="118"/>
      <x:c r="H196" s="118"/>
      <x:c r="I196" s="118"/>
      <x:c r="J196" s="118"/>
      <x:c r="K196" s="118"/>
      <x:c r="L196" s="118"/>
      <x:c r="M196" s="118"/>
      <x:c r="N196" s="118"/>
      <x:c r="O196" s="118"/>
      <x:c r="P196" s="118"/>
      <x:c r="Q196" s="118"/>
      <x:c r="R196" s="118"/>
      <x:c r="S196" s="118"/>
      <x:c r="T196" s="118"/>
      <x:c r="U196" s="118"/>
      <x:c r="V196" s="118"/>
      <x:c r="W196" s="118"/>
      <x:c r="X196" s="118"/>
      <x:c r="Y196" s="118"/>
      <x:c r="Z196" s="118"/>
      <x:c r="AA196" s="118"/>
      <x:c r="AB196" s="118"/>
      <x:c r="AC196" s="118"/>
      <x:c r="AD196" s="118"/>
      <x:c r="AE196" s="118"/>
      <x:c r="AF196" s="118"/>
      <x:c r="AG196" s="118"/>
      <x:c r="AH196" s="118"/>
    </x:row>
    <x:row r="197" ht="20" customHeight="1">
      <x:c r="A197" s="146" t="str">
        <x:v>O. CAPABILITY MONETISATION</x:v>
      </x:c>
      <x:c r="B197" s="146"/>
      <x:c r="C197" s="146"/>
      <x:c r="D197" s="146"/>
      <x:c r="E197" s="146"/>
      <x:c r="F197" s="146"/>
      <x:c r="G197" s="146"/>
      <x:c r="H197" s="146"/>
      <x:c r="I197" s="118"/>
      <x:c r="J197" s="118"/>
      <x:c r="K197" s="118"/>
      <x:c r="L197" s="118"/>
      <x:c r="M197" s="118"/>
      <x:c r="N197" s="118"/>
      <x:c r="O197" s="118"/>
      <x:c r="P197" s="118"/>
      <x:c r="Q197" s="118"/>
      <x:c r="R197" s="118"/>
      <x:c r="S197" s="118"/>
      <x:c r="T197" s="118"/>
      <x:c r="U197" s="118"/>
      <x:c r="V197" s="118"/>
      <x:c r="W197" s="118"/>
      <x:c r="X197" s="118"/>
      <x:c r="Y197" s="118"/>
      <x:c r="Z197" s="118"/>
      <x:c r="AA197" s="118"/>
      <x:c r="AB197" s="118"/>
      <x:c r="AC197" s="118"/>
      <x:c r="AD197" s="118"/>
      <x:c r="AE197" s="118"/>
      <x:c r="AF197" s="118"/>
      <x:c r="AG197" s="118"/>
      <x:c r="AH197" s="118"/>
    </x:row>
    <x:row r="198">
      <x:c r="A198" s="147" t="str">
        <x:v>Capability</x:v>
      </x:c>
      <x:c r="B198" s="147" t="str">
        <x:v>Customer Enquiries</x:v>
      </x:c>
      <x:c r="C198" s="147" t="str">
        <x:v>Projects</x:v>
      </x:c>
      <x:c r="D198" s="147" t="str">
        <x:v>Development / Late Phase</x:v>
      </x:c>
      <x:c r="E198" s="147" t="str">
        <x:v>Commercialisation</x:v>
      </x:c>
      <x:c r="F198" s="147" t="str">
        <x:v>Revenue</x:v>
      </x:c>
      <x:c r="G198" s="147" t="str">
        <x:v>Current Evidence</x:v>
      </x:c>
      <x:c r="H198" s="147" t="str">
        <x:v>Analyst Read-through</x:v>
      </x:c>
      <x:c r="I198" s="118"/>
      <x:c r="J198" s="118"/>
      <x:c r="K198" s="118"/>
      <x:c r="L198" s="118"/>
      <x:c r="M198" s="118"/>
      <x:c r="N198" s="118"/>
      <x:c r="O198" s="118"/>
      <x:c r="P198" s="118"/>
      <x:c r="Q198" s="118"/>
      <x:c r="R198" s="118"/>
      <x:c r="S198" s="118"/>
      <x:c r="T198" s="118"/>
      <x:c r="U198" s="118"/>
      <x:c r="V198" s="118"/>
      <x:c r="W198" s="118"/>
      <x:c r="X198" s="118"/>
      <x:c r="Y198" s="118"/>
      <x:c r="Z198" s="118"/>
      <x:c r="AA198" s="118"/>
      <x:c r="AB198" s="118"/>
      <x:c r="AC198" s="118"/>
      <x:c r="AD198" s="118"/>
      <x:c r="AE198" s="118"/>
      <x:c r="AF198" s="118"/>
      <x:c r="AG198" s="118"/>
      <x:c r="AH198" s="118"/>
    </x:row>
    <x:row r="199">
      <x:c r="A199" s="118" t="str">
        <x:v>ADC</x:v>
      </x:c>
      <x:c r="B199" s="118" t="str">
        <x:v>NA</x:v>
      </x:c>
      <x:c r="C199" s="118" t="str">
        <x:v>Existing linker / payload projects</x:v>
      </x:c>
      <x:c r="D199" s="118" t="str">
        <x:v>Linker late-stage as of Mar-25</x:v>
      </x:c>
      <x:c r="E199" s="118" t="str">
        <x:v>Not disclosed</x:v>
      </x:c>
      <x:c r="F199" s="118" t="str">
        <x:v>NA</x:v>
      </x:c>
      <x:c r="G199" s="118" t="str">
        <x:v>Company disclosed stage progression</x:v>
      </x:c>
      <x:c r="H199" s="118" t="str">
        <x:v>Track stage migration; no named customer assumption.</x:v>
      </x:c>
      <x:c r="I199" s="118"/>
      <x:c r="J199" s="118"/>
      <x:c r="K199" s="118"/>
      <x:c r="L199" s="118"/>
      <x:c r="M199" s="118"/>
      <x:c r="N199" s="118"/>
      <x:c r="O199" s="118"/>
      <x:c r="P199" s="118"/>
      <x:c r="Q199" s="118"/>
      <x:c r="R199" s="118"/>
      <x:c r="S199" s="118"/>
      <x:c r="T199" s="118"/>
      <x:c r="U199" s="118"/>
      <x:c r="V199" s="118"/>
      <x:c r="W199" s="118"/>
      <x:c r="X199" s="118"/>
      <x:c r="Y199" s="118"/>
      <x:c r="Z199" s="118"/>
      <x:c r="AA199" s="118"/>
      <x:c r="AB199" s="118"/>
      <x:c r="AC199" s="118"/>
      <x:c r="AD199" s="118"/>
      <x:c r="AE199" s="118"/>
      <x:c r="AF199" s="118"/>
      <x:c r="AG199" s="118"/>
      <x:c r="AH199" s="118"/>
    </x:row>
    <x:row r="200">
      <x:c r="A200" s="118" t="str">
        <x:v>RNAi glycolipid</x:v>
      </x:c>
      <x:c r="B200" s="118" t="str">
        <x:v>NA</x:v>
      </x:c>
      <x:c r="C200" s="118" t="str">
        <x:v>Platform work since 2016</x:v>
      </x:c>
      <x:c r="D200" s="118" t="str">
        <x:v>Development capability</x:v>
      </x:c>
      <x:c r="E200" s="118" t="str">
        <x:v>Not disclosed</x:v>
      </x:c>
      <x:c r="F200" s="118" t="str">
        <x:v>NA</x:v>
      </x:c>
      <x:c r="G200" s="118" t="str">
        <x:v>Company platform disclosure</x:v>
      </x:c>
      <x:c r="H200" s="118" t="str">
        <x:v>Capability optionality; quantify only when programmes disclosed.</x:v>
      </x:c>
      <x:c r="I200" s="118"/>
      <x:c r="J200" s="118"/>
      <x:c r="K200" s="118"/>
      <x:c r="L200" s="118"/>
      <x:c r="M200" s="118"/>
      <x:c r="N200" s="118"/>
      <x:c r="O200" s="118"/>
      <x:c r="P200" s="118"/>
      <x:c r="Q200" s="118"/>
      <x:c r="R200" s="118"/>
      <x:c r="S200" s="118"/>
      <x:c r="T200" s="118"/>
      <x:c r="U200" s="118"/>
      <x:c r="V200" s="118"/>
      <x:c r="W200" s="118"/>
      <x:c r="X200" s="118"/>
      <x:c r="Y200" s="118"/>
      <x:c r="Z200" s="118"/>
      <x:c r="AA200" s="118"/>
      <x:c r="AB200" s="118"/>
      <x:c r="AC200" s="118"/>
      <x:c r="AD200" s="118"/>
      <x:c r="AE200" s="118"/>
      <x:c r="AF200" s="118"/>
      <x:c r="AG200" s="118"/>
      <x:c r="AH200" s="118"/>
    </x:row>
    <x:row r="201">
      <x:c r="A201" s="118" t="str">
        <x:v>Peptides / P29</x:v>
      </x:c>
      <x:c r="B201" s="118" t="str">
        <x:v>Active global interest discussed</x:v>
      </x:c>
      <x:c r="C201" s="118" t="str">
        <x:v>Multiple peptide projects</x:v>
      </x:c>
      <x:c r="D201" s="118" t="str">
        <x:v>Process includes large-scale fermentation + synthesis</x:v>
      </x:c>
      <x:c r="E201" s="118" t="str">
        <x:v>Semaglutide / other opportunities subject to approvals / customer wins</x:v>
      </x:c>
      <x:c r="F201" s="118" t="str">
        <x:v>NA</x:v>
      </x:c>
      <x:c r="G201" s="118" t="str">
        <x:v>Management commentary</x:v>
      </x:c>
      <x:c r="H201" s="118" t="str">
        <x:v>Potentially high value, but avoid molecule revenue without evidence.</x:v>
      </x:c>
      <x:c r="I201" s="118"/>
      <x:c r="J201" s="118"/>
      <x:c r="K201" s="118"/>
      <x:c r="L201" s="118"/>
      <x:c r="M201" s="118"/>
      <x:c r="N201" s="118"/>
      <x:c r="O201" s="118"/>
      <x:c r="P201" s="118"/>
      <x:c r="Q201" s="118"/>
      <x:c r="R201" s="118"/>
      <x:c r="S201" s="118"/>
      <x:c r="T201" s="118"/>
      <x:c r="U201" s="118"/>
      <x:c r="V201" s="118"/>
      <x:c r="W201" s="118"/>
      <x:c r="X201" s="118"/>
      <x:c r="Y201" s="118"/>
      <x:c r="Z201" s="118"/>
      <x:c r="AA201" s="118"/>
      <x:c r="AB201" s="118"/>
      <x:c r="AC201" s="118"/>
      <x:c r="AD201" s="118"/>
      <x:c r="AE201" s="118"/>
      <x:c r="AF201" s="118"/>
      <x:c r="AG201" s="118"/>
      <x:c r="AH201" s="118"/>
    </x:row>
    <x:row r="202">
      <x:c r="A202" s="118" t="str">
        <x:v>Flow / biotransformation</x:v>
      </x:c>
      <x:c r="B202" s="118" t="str">
        <x:v>NA</x:v>
      </x:c>
      <x:c r="C202" s="118" t="str">
        <x:v>Embedded across projects</x:v>
      </x:c>
      <x:c r="D202" s="118" t="str">
        <x:v>Process optimisation</x:v>
      </x:c>
      <x:c r="E202" s="118" t="str">
        <x:v>Commercial manufacturing capability exists</x:v>
      </x:c>
      <x:c r="F202" s="118" t="str">
        <x:v>Embedded</x:v>
      </x:c>
      <x:c r="G202" s="118" t="str">
        <x:v>Company disclosure</x:v>
      </x:c>
      <x:c r="H202" s="118" t="str">
        <x:v>Likely monetises via higher win rate / yield / margin rather than standalone revenue.</x:v>
      </x:c>
      <x:c r="I202" s="118"/>
      <x:c r="J202" s="118"/>
      <x:c r="K202" s="118"/>
      <x:c r="L202" s="118"/>
      <x:c r="M202" s="118"/>
      <x:c r="N202" s="118"/>
      <x:c r="O202" s="118"/>
      <x:c r="P202" s="118"/>
      <x:c r="Q202" s="118"/>
      <x:c r="R202" s="118"/>
      <x:c r="S202" s="118"/>
      <x:c r="T202" s="118"/>
      <x:c r="U202" s="118"/>
      <x:c r="V202" s="118"/>
      <x:c r="W202" s="118"/>
      <x:c r="X202" s="118"/>
      <x:c r="Y202" s="118"/>
      <x:c r="Z202" s="118"/>
      <x:c r="AA202" s="118"/>
      <x:c r="AB202" s="118"/>
      <x:c r="AC202" s="118"/>
      <x:c r="AD202" s="118"/>
      <x:c r="AE202" s="118"/>
      <x:c r="AF202" s="118"/>
      <x:c r="AG202" s="118"/>
      <x:c r="AH202" s="118"/>
    </x:row>
    <x:row r="203">
      <x:c r="A203" s="118"/>
      <x:c r="B203" s="118"/>
      <x:c r="C203" s="118"/>
      <x:c r="D203" s="118"/>
      <x:c r="E203" s="118"/>
      <x:c r="F203" s="118"/>
      <x:c r="G203" s="118"/>
      <x:c r="H203" s="118"/>
      <x:c r="I203" s="118"/>
      <x:c r="J203" s="118"/>
      <x:c r="K203" s="118"/>
      <x:c r="L203" s="118"/>
      <x:c r="M203" s="118"/>
      <x:c r="N203" s="118"/>
      <x:c r="O203" s="118"/>
      <x:c r="P203" s="118"/>
      <x:c r="Q203" s="118"/>
      <x:c r="R203" s="118"/>
      <x:c r="S203" s="118"/>
      <x:c r="T203" s="118"/>
      <x:c r="U203" s="118"/>
      <x:c r="V203" s="118"/>
      <x:c r="W203" s="118"/>
      <x:c r="X203" s="118"/>
      <x:c r="Y203" s="118"/>
      <x:c r="Z203" s="118"/>
      <x:c r="AA203" s="118"/>
      <x:c r="AB203" s="118"/>
      <x:c r="AC203" s="118"/>
      <x:c r="AD203" s="118"/>
      <x:c r="AE203" s="118"/>
      <x:c r="AF203" s="118"/>
      <x:c r="AG203" s="118"/>
      <x:c r="AH203" s="118"/>
    </x:row>
    <x:row r="204" ht="20" customHeight="1">
      <x:c r="A204" s="146" t="str">
        <x:v>P. SPECIALTY INGREDIENTS CAPEX</x:v>
      </x:c>
      <x:c r="B204" s="146"/>
      <x:c r="C204" s="146"/>
      <x:c r="D204" s="146"/>
      <x:c r="E204" s="146"/>
      <x:c r="F204" s="146"/>
      <x:c r="G204" s="146"/>
      <x:c r="H204" s="146"/>
      <x:c r="I204" s="146"/>
      <x:c r="J204" s="118"/>
      <x:c r="K204" s="118"/>
      <x:c r="L204" s="118"/>
      <x:c r="M204" s="118"/>
      <x:c r="N204" s="118"/>
      <x:c r="O204" s="118"/>
      <x:c r="P204" s="118"/>
      <x:c r="Q204" s="118"/>
      <x:c r="R204" s="118"/>
      <x:c r="S204" s="118"/>
      <x:c r="T204" s="118"/>
      <x:c r="U204" s="118"/>
      <x:c r="V204" s="118"/>
      <x:c r="W204" s="118"/>
      <x:c r="X204" s="118"/>
      <x:c r="Y204" s="118"/>
      <x:c r="Z204" s="118"/>
      <x:c r="AA204" s="118"/>
      <x:c r="AB204" s="118"/>
      <x:c r="AC204" s="118"/>
      <x:c r="AD204" s="118"/>
      <x:c r="AE204" s="118"/>
      <x:c r="AF204" s="118"/>
      <x:c r="AG204" s="118"/>
      <x:c r="AH204" s="118"/>
    </x:row>
    <x:row r="205">
      <x:c r="A205" s="147" t="str">
        <x:v>Metric</x:v>
      </x:c>
      <x:c r="B205" s="147" t="str">
        <x:v>FY25A</x:v>
      </x:c>
      <x:c r="C205" s="147" t="str">
        <x:v>FY26A</x:v>
      </x:c>
      <x:c r="D205" s="147" t="str">
        <x:v>FY27E</x:v>
      </x:c>
      <x:c r="E205" s="147" t="str">
        <x:v>FY28E</x:v>
      </x:c>
      <x:c r="F205" s="147" t="str">
        <x:v>Capex / Capacity</x:v>
      </x:c>
      <x:c r="G205" s="147" t="str">
        <x:v>Margin / Utilisation</x:v>
      </x:c>
      <x:c r="H205" s="147" t="str">
        <x:v>Analyst View</x:v>
      </x:c>
      <x:c r="I205" s="147" t="str">
        <x:v>Source</x:v>
      </x:c>
      <x:c r="J205" s="118"/>
      <x:c r="K205" s="118"/>
      <x:c r="L205" s="118"/>
      <x:c r="M205" s="118"/>
      <x:c r="N205" s="118"/>
      <x:c r="O205" s="118"/>
      <x:c r="P205" s="118"/>
      <x:c r="Q205" s="118"/>
      <x:c r="R205" s="118"/>
      <x:c r="S205" s="118"/>
      <x:c r="T205" s="118"/>
      <x:c r="U205" s="118"/>
      <x:c r="V205" s="118"/>
      <x:c r="W205" s="118"/>
      <x:c r="X205" s="118"/>
      <x:c r="Y205" s="118"/>
      <x:c r="Z205" s="118"/>
      <x:c r="AA205" s="118"/>
      <x:c r="AB205" s="118"/>
      <x:c r="AC205" s="118"/>
      <x:c r="AD205" s="118"/>
      <x:c r="AE205" s="118"/>
      <x:c r="AF205" s="118"/>
      <x:c r="AG205" s="118"/>
      <x:c r="AH205" s="118"/>
    </x:row>
    <x:row r="206">
      <x:c r="A206" s="118" t="str">
        <x:v>Specialty Ingredients Revenue</x:v>
      </x:c>
      <x:c r="B206" s="192" t="n">
        <x:v>3384.6</x:v>
      </x:c>
      <x:c r="C206" s="192" t="n">
        <x:v>3515.65</x:v>
      </x:c>
      <x:c r="D206" s="192" t="n">
        <x:v>3796.902</x:v>
      </x:c>
      <x:c r="E206" s="192" t="n">
        <x:v>4138.623</x:v>
      </x:c>
      <x:c r="F206" s="118" t="str">
        <x:v>Shared / dedicated capex allocation not disclosed</x:v>
      </x:c>
      <x:c r="G206" s="118" t="str">
        <x:v>Gross margin ~50–51% in model</x:v>
      </x:c>
      <x:c r="H206" s="118" t="str">
        <x:v>Track separately from D&amp;M.</x:v>
      </x:c>
      <x:c r="I206" s="118" t="str">
        <x:v>Model / company</x:v>
      </x:c>
      <x:c r="J206" s="118"/>
      <x:c r="K206" s="118"/>
      <x:c r="L206" s="118"/>
      <x:c r="M206" s="118"/>
      <x:c r="N206" s="118"/>
      <x:c r="O206" s="118"/>
      <x:c r="P206" s="118"/>
      <x:c r="Q206" s="118"/>
      <x:c r="R206" s="118"/>
      <x:c r="S206" s="118"/>
      <x:c r="T206" s="118"/>
      <x:c r="U206" s="118"/>
      <x:c r="V206" s="118"/>
      <x:c r="W206" s="118"/>
      <x:c r="X206" s="118"/>
      <x:c r="Y206" s="118"/>
      <x:c r="Z206" s="118"/>
      <x:c r="AA206" s="118"/>
      <x:c r="AB206" s="118"/>
      <x:c r="AC206" s="118"/>
      <x:c r="AD206" s="118"/>
      <x:c r="AE206" s="118"/>
      <x:c r="AF206" s="118"/>
      <x:c r="AG206" s="118"/>
      <x:c r="AH206" s="118"/>
    </x:row>
    <x:row r="207">
      <x:c r="A207" s="118" t="str">
        <x:v>Dedicated Unit IV Facility</x:v>
      </x:c>
      <x:c r="B207" s="118" t="str">
        <x:v>NA</x:v>
      </x:c>
      <x:c r="C207" s="118" t="str">
        <x:v>Announced</x:v>
      </x:c>
      <x:c r="D207" s="118" t="str">
        <x:v>Under construction</x:v>
      </x:c>
      <x:c r="E207" s="118" t="str">
        <x:v>Under construction</x:v>
      </x:c>
      <x:c r="F207" s="118" t="str">
        <x:v>Capex allocation not disclosed</x:v>
      </x:c>
      <x:c r="G207" s="118" t="str">
        <x:v>Should reduce CRDMO capacity cannibalisation</x:v>
      </x:c>
      <x:c r="H207" s="118" t="str">
        <x:v>Potential consistency / growth benefit.</x:v>
      </x:c>
      <x:c r="I207" s="118" t="str">
        <x:v>FY26 call</x:v>
      </x:c>
      <x:c r="J207" s="118"/>
      <x:c r="K207" s="118"/>
      <x:c r="L207" s="118"/>
      <x:c r="M207" s="118"/>
      <x:c r="N207" s="118"/>
      <x:c r="O207" s="118"/>
      <x:c r="P207" s="118"/>
      <x:c r="Q207" s="118"/>
      <x:c r="R207" s="118"/>
      <x:c r="S207" s="118"/>
      <x:c r="T207" s="118"/>
      <x:c r="U207" s="118"/>
      <x:c r="V207" s="118"/>
      <x:c r="W207" s="118"/>
      <x:c r="X207" s="118"/>
      <x:c r="Y207" s="118"/>
      <x:c r="Z207" s="118"/>
      <x:c r="AA207" s="118"/>
      <x:c r="AB207" s="118"/>
      <x:c r="AC207" s="118"/>
      <x:c r="AD207" s="118"/>
      <x:c r="AE207" s="118"/>
      <x:c r="AF207" s="118"/>
      <x:c r="AG207" s="118"/>
      <x:c r="AH207" s="118"/>
    </x:row>
    <x:row r="208">
      <x:c r="A208" s="118" t="str">
        <x:v>Capex Allocation</x:v>
      </x:c>
      <x:c r="B208" s="118" t="str">
        <x:v>NA</x:v>
      </x:c>
      <x:c r="C208" s="118" t="str">
        <x:v>NA</x:v>
      </x:c>
      <x:c r="D208" s="118" t="str">
        <x:v>NA</x:v>
      </x:c>
      <x:c r="E208" s="118" t="str">
        <x:v>NA</x:v>
      </x:c>
      <x:c r="F208" s="118" t="str">
        <x:v>Capex allocation not publicly disclosed.</x:v>
      </x:c>
      <x:c r="G208" s="118" t="str">
        <x:v>NA</x:v>
      </x:c>
      <x:c r="H208" s="118" t="str">
        <x:v>Do not attribute all Unit IV capex to CRDMO.</x:v>
      </x:c>
      <x:c r="I208" s="118" t="str">
        <x:v>Analyst</x:v>
      </x:c>
      <x:c r="J208" s="118"/>
      <x:c r="K208" s="118"/>
      <x:c r="L208" s="118"/>
      <x:c r="M208" s="118"/>
      <x:c r="N208" s="118"/>
      <x:c r="O208" s="118"/>
      <x:c r="P208" s="118"/>
      <x:c r="Q208" s="118"/>
      <x:c r="R208" s="118"/>
      <x:c r="S208" s="118"/>
      <x:c r="T208" s="118"/>
      <x:c r="U208" s="118"/>
      <x:c r="V208" s="118"/>
      <x:c r="W208" s="118"/>
      <x:c r="X208" s="118"/>
      <x:c r="Y208" s="118"/>
      <x:c r="Z208" s="118"/>
      <x:c r="AA208" s="118"/>
      <x:c r="AB208" s="118"/>
      <x:c r="AC208" s="118"/>
      <x:c r="AD208" s="118"/>
      <x:c r="AE208" s="118"/>
      <x:c r="AF208" s="118"/>
      <x:c r="AG208" s="118"/>
      <x:c r="AH208" s="118"/>
    </x:row>
    <x:row r="209">
      <x:c r="A209" s="118"/>
      <x:c r="B209" s="118"/>
      <x:c r="C209" s="118"/>
      <x:c r="D209" s="118"/>
      <x:c r="E209" s="118"/>
      <x:c r="F209" s="118"/>
      <x:c r="G209" s="118"/>
      <x:c r="H209" s="118"/>
      <x:c r="I209" s="118"/>
      <x:c r="J209" s="118"/>
      <x:c r="K209" s="118"/>
      <x:c r="L209" s="118"/>
      <x:c r="M209" s="118"/>
      <x:c r="N209" s="118"/>
      <x:c r="O209" s="118"/>
      <x:c r="P209" s="118"/>
      <x:c r="Q209" s="118"/>
      <x:c r="R209" s="118"/>
      <x:c r="S209" s="118"/>
      <x:c r="T209" s="118"/>
      <x:c r="U209" s="118"/>
      <x:c r="V209" s="118"/>
      <x:c r="W209" s="118"/>
      <x:c r="X209" s="118"/>
      <x:c r="Y209" s="118"/>
      <x:c r="Z209" s="118"/>
      <x:c r="AA209" s="118"/>
      <x:c r="AB209" s="118"/>
      <x:c r="AC209" s="118"/>
      <x:c r="AD209" s="118"/>
      <x:c r="AE209" s="118"/>
      <x:c r="AF209" s="118"/>
      <x:c r="AG209" s="118"/>
      <x:c r="AH209" s="118"/>
    </x:row>
    <x:row r="210" ht="20" customHeight="1">
      <x:c r="A210" s="146" t="str">
        <x:v>Q. CUSTOMER CONCENTRATION &amp; CAPEX RISK</x:v>
      </x:c>
      <x:c r="B210" s="146"/>
      <x:c r="C210" s="146"/>
      <x:c r="D210" s="146"/>
      <x:c r="E210" s="146"/>
      <x:c r="F210" s="146"/>
      <x:c r="G210" s="146"/>
      <x:c r="H210" s="146"/>
      <x:c r="I210" s="146"/>
      <x:c r="J210" s="118"/>
      <x:c r="K210" s="118"/>
      <x:c r="L210" s="118"/>
      <x:c r="M210" s="118"/>
      <x:c r="N210" s="118"/>
      <x:c r="O210" s="118"/>
      <x:c r="P210" s="118"/>
      <x:c r="Q210" s="118"/>
      <x:c r="R210" s="118"/>
      <x:c r="S210" s="118"/>
      <x:c r="T210" s="118"/>
      <x:c r="U210" s="118"/>
      <x:c r="V210" s="118"/>
      <x:c r="W210" s="118"/>
      <x:c r="X210" s="118"/>
      <x:c r="Y210" s="118"/>
      <x:c r="Z210" s="118"/>
      <x:c r="AA210" s="118"/>
      <x:c r="AB210" s="118"/>
      <x:c r="AC210" s="118"/>
      <x:c r="AD210" s="118"/>
      <x:c r="AE210" s="118"/>
      <x:c r="AF210" s="118"/>
      <x:c r="AG210" s="118"/>
      <x:c r="AH210" s="118"/>
    </x:row>
    <x:row r="211">
      <x:c r="A211" s="147" t="str">
        <x:v>Metric</x:v>
      </x:c>
      <x:c r="B211" s="147" t="str">
        <x:v>FY23A</x:v>
      </x:c>
      <x:c r="C211" s="147" t="str">
        <x:v>FY24A</x:v>
      </x:c>
      <x:c r="D211" s="147" t="str">
        <x:v>FY25A</x:v>
      </x:c>
      <x:c r="E211" s="147" t="str">
        <x:v>Latest</x:v>
      </x:c>
      <x:c r="F211" s="147" t="str">
        <x:v>Demand Visibility</x:v>
      </x:c>
      <x:c r="G211" s="147" t="str">
        <x:v>Unit IV Relevance</x:v>
      </x:c>
      <x:c r="H211" s="147" t="str">
        <x:v>Analyst View</x:v>
      </x:c>
      <x:c r="I211" s="147" t="str">
        <x:v>Source</x:v>
      </x:c>
      <x:c r="J211" s="118"/>
      <x:c r="K211" s="118"/>
      <x:c r="L211" s="118"/>
      <x:c r="M211" s="118"/>
      <x:c r="N211" s="118"/>
      <x:c r="O211" s="118"/>
      <x:c r="P211" s="118"/>
      <x:c r="Q211" s="118"/>
      <x:c r="R211" s="118"/>
      <x:c r="S211" s="118"/>
      <x:c r="T211" s="118"/>
      <x:c r="U211" s="118"/>
      <x:c r="V211" s="118"/>
      <x:c r="W211" s="118"/>
      <x:c r="X211" s="118"/>
      <x:c r="Y211" s="118"/>
      <x:c r="Z211" s="118"/>
      <x:c r="AA211" s="118"/>
      <x:c r="AB211" s="118"/>
      <x:c r="AC211" s="118"/>
      <x:c r="AD211" s="118"/>
      <x:c r="AE211" s="118"/>
      <x:c r="AF211" s="118"/>
      <x:c r="AG211" s="118"/>
      <x:c r="AH211" s="118"/>
    </x:row>
    <x:row r="212">
      <x:c r="A212" s="118" t="str">
        <x:v>Largest Customer %</x:v>
      </x:c>
      <x:c r="B212" s="196" t="n">
        <x:v>0.3716</x:v>
      </x:c>
      <x:c r="C212" s="196" t="n">
        <x:v>0.2275</x:v>
      </x:c>
      <x:c r="D212" s="196" t="n">
        <x:v>0.2422</x:v>
      </x:c>
      <x:c r="E212" s="118" t="str">
        <x:v>NA</x:v>
      </x:c>
      <x:c r="F212" s="118" t="str">
        <x:v>Concentrated</x:v>
      </x:c>
      <x:c r="G212" s="118" t="str">
        <x:v>High</x:v>
      </x:c>
      <x:c r="H212" s="118" t="str">
        <x:v>Large customers can accelerate or delay campaign loading.</x:v>
      </x:c>
      <x:c r="I212" s="118" t="str">
        <x:v>Prospectus</x:v>
      </x:c>
      <x:c r="J212" s="118"/>
      <x:c r="K212" s="118"/>
      <x:c r="L212" s="118"/>
      <x:c r="M212" s="118"/>
      <x:c r="N212" s="118"/>
      <x:c r="O212" s="118"/>
      <x:c r="P212" s="118"/>
      <x:c r="Q212" s="118"/>
      <x:c r="R212" s="118"/>
      <x:c r="S212" s="118"/>
      <x:c r="T212" s="118"/>
      <x:c r="U212" s="118"/>
      <x:c r="V212" s="118"/>
      <x:c r="W212" s="118"/>
      <x:c r="X212" s="118"/>
      <x:c r="Y212" s="118"/>
      <x:c r="Z212" s="118"/>
      <x:c r="AA212" s="118"/>
      <x:c r="AB212" s="118"/>
      <x:c r="AC212" s="118"/>
      <x:c r="AD212" s="118"/>
      <x:c r="AE212" s="118"/>
      <x:c r="AF212" s="118"/>
      <x:c r="AG212" s="118"/>
      <x:c r="AH212" s="118"/>
    </x:row>
    <x:row r="213">
      <x:c r="A213" s="118" t="str">
        <x:v>Top 5 %</x:v>
      </x:c>
      <x:c r="B213" s="196" t="n">
        <x:v>0.658</x:v>
      </x:c>
      <x:c r="C213" s="196" t="n">
        <x:v>0.6507</x:v>
      </x:c>
      <x:c r="D213" s="196" t="n">
        <x:v>0.7092</x:v>
      </x:c>
      <x:c r="E213" s="118" t="str">
        <x:v>NA</x:v>
      </x:c>
      <x:c r="F213" s="118" t="str">
        <x:v>Concentrated</x:v>
      </x:c>
      <x:c r="G213" s="118" t="str">
        <x:v>High</x:v>
      </x:c>
      <x:c r="H213" s="118" t="str">
        <x:v>Concentration rose in FY25.</x:v>
      </x:c>
      <x:c r="I213" s="118" t="str">
        <x:v>Prospectus</x:v>
      </x:c>
      <x:c r="J213" s="118"/>
      <x:c r="K213" s="118"/>
      <x:c r="L213" s="118"/>
      <x:c r="M213" s="118"/>
      <x:c r="N213" s="118"/>
      <x:c r="O213" s="118"/>
      <x:c r="P213" s="118"/>
      <x:c r="Q213" s="118"/>
      <x:c r="R213" s="118"/>
      <x:c r="S213" s="118"/>
      <x:c r="T213" s="118"/>
      <x:c r="U213" s="118"/>
      <x:c r="V213" s="118"/>
      <x:c r="W213" s="118"/>
      <x:c r="X213" s="118"/>
      <x:c r="Y213" s="118"/>
      <x:c r="Z213" s="118"/>
      <x:c r="AA213" s="118"/>
      <x:c r="AB213" s="118"/>
      <x:c r="AC213" s="118"/>
      <x:c r="AD213" s="118"/>
      <x:c r="AE213" s="118"/>
      <x:c r="AF213" s="118"/>
      <x:c r="AG213" s="118"/>
      <x:c r="AH213" s="118"/>
    </x:row>
    <x:row r="214">
      <x:c r="A214" s="118" t="str">
        <x:v>Top 10 %</x:v>
      </x:c>
      <x:c r="B214" s="196" t="n">
        <x:v>0.7473</x:v>
      </x:c>
      <x:c r="C214" s="196" t="n">
        <x:v>0.7239</x:v>
      </x:c>
      <x:c r="D214" s="196" t="n">
        <x:v>0.7733</x:v>
      </x:c>
      <x:c r="E214" s="118" t="str">
        <x:v>NA</x:v>
      </x:c>
      <x:c r="F214" s="118" t="str">
        <x:v>Concentrated</x:v>
      </x:c>
      <x:c r="G214" s="118" t="str">
        <x:v>High</x:v>
      </x:c>
      <x:c r="H214" s="118" t="str">
        <x:v>Unit IV demand should be assessed against customer diversity.</x:v>
      </x:c>
      <x:c r="I214" s="118" t="str">
        <x:v>Prospectus</x:v>
      </x:c>
      <x:c r="J214" s="118"/>
      <x:c r="K214" s="118"/>
      <x:c r="L214" s="118"/>
      <x:c r="M214" s="118"/>
      <x:c r="N214" s="118"/>
      <x:c r="O214" s="118"/>
      <x:c r="P214" s="118"/>
      <x:c r="Q214" s="118"/>
      <x:c r="R214" s="118"/>
      <x:c r="S214" s="118"/>
      <x:c r="T214" s="118"/>
      <x:c r="U214" s="118"/>
      <x:c r="V214" s="118"/>
      <x:c r="W214" s="118"/>
      <x:c r="X214" s="118"/>
      <x:c r="Y214" s="118"/>
      <x:c r="Z214" s="118"/>
      <x:c r="AA214" s="118"/>
      <x:c r="AB214" s="118"/>
      <x:c r="AC214" s="118"/>
      <x:c r="AD214" s="118"/>
      <x:c r="AE214" s="118"/>
      <x:c r="AF214" s="118"/>
      <x:c r="AG214" s="118"/>
      <x:c r="AH214" s="118"/>
    </x:row>
    <x:row r="215">
      <x:c r="A215" s="118" t="str">
        <x:v>Customer Count</x:v>
      </x:c>
      <x:c r="B215" s="118" t="str">
        <x:v>NA</x:v>
      </x:c>
      <x:c r="C215" s="118" t="str">
        <x:v>NA</x:v>
      </x:c>
      <x:c r="D215" s="192" t="n">
        <x:v>550</x:v>
      </x:c>
      <x:c r="E215" s="118" t="str">
        <x:v>500+ model / &gt;550 prospectus FY25</x:v>
      </x:c>
      <x:c r="F215" s="118" t="str">
        <x:v>Broad count, concentrated revenue</x:v>
      </x:c>
      <x:c r="G215" s="118" t="str">
        <x:v>Medium</x:v>
      </x:c>
      <x:c r="H215" s="118" t="str">
        <x:v>Customer breadth does not remove revenue concentration.</x:v>
      </x:c>
      <x:c r="I215" s="118" t="str">
        <x:v>Prospectus / model</x:v>
      </x:c>
      <x:c r="J215" s="118"/>
      <x:c r="K215" s="118"/>
      <x:c r="L215" s="118"/>
      <x:c r="M215" s="118"/>
      <x:c r="N215" s="118"/>
      <x:c r="O215" s="118"/>
      <x:c r="P215" s="118"/>
      <x:c r="Q215" s="118"/>
      <x:c r="R215" s="118"/>
      <x:c r="S215" s="118"/>
      <x:c r="T215" s="118"/>
      <x:c r="U215" s="118"/>
      <x:c r="V215" s="118"/>
      <x:c r="W215" s="118"/>
      <x:c r="X215" s="118"/>
      <x:c r="Y215" s="118"/>
      <x:c r="Z215" s="118"/>
      <x:c r="AA215" s="118"/>
      <x:c r="AB215" s="118"/>
      <x:c r="AC215" s="118"/>
      <x:c r="AD215" s="118"/>
      <x:c r="AE215" s="118"/>
      <x:c r="AF215" s="118"/>
      <x:c r="AG215" s="118"/>
      <x:c r="AH215" s="118"/>
    </x:row>
    <x:row r="216">
      <x:c r="A216" s="118" t="str">
        <x:v>Unit IV Phase 1</x:v>
      </x:c>
      <x:c r="B216" s="118" t="str">
        <x:v>NA</x:v>
      </x:c>
      <x:c r="C216" s="118" t="str">
        <x:v>NA</x:v>
      </x:c>
      <x:c r="D216" s="118" t="str">
        <x:v>NA</x:v>
      </x:c>
      <x:c r="E216" s="118" t="str">
        <x:v>Under construction</x:v>
      </x:c>
      <x:c r="F216" s="118" t="str">
        <x:v>Partially Demand-backed / future-ready</x:v>
      </x:c>
      <x:c r="G216" s="118" t="str">
        <x:v>Direct</x:v>
      </x:c>
      <x:c r="H216" s="118" t="str">
        <x:v>Management cites future programmes and projects in discussion, while also saying current capacity is not constrained.</x:v>
      </x:c>
      <x:c r="I216" s="118" t="str">
        <x:v>Calls</x:v>
      </x:c>
      <x:c r="J216" s="118"/>
      <x:c r="K216" s="118"/>
      <x:c r="L216" s="118"/>
      <x:c r="M216" s="118"/>
      <x:c r="N216" s="118"/>
      <x:c r="O216" s="118"/>
      <x:c r="P216" s="118"/>
      <x:c r="Q216" s="118"/>
      <x:c r="R216" s="118"/>
      <x:c r="S216" s="118"/>
      <x:c r="T216" s="118"/>
      <x:c r="U216" s="118"/>
      <x:c r="V216" s="118"/>
      <x:c r="W216" s="118"/>
      <x:c r="X216" s="118"/>
      <x:c r="Y216" s="118"/>
      <x:c r="Z216" s="118"/>
      <x:c r="AA216" s="118"/>
      <x:c r="AB216" s="118"/>
      <x:c r="AC216" s="118"/>
      <x:c r="AD216" s="118"/>
      <x:c r="AE216" s="118"/>
      <x:c r="AF216" s="118"/>
      <x:c r="AG216" s="118"/>
      <x:c r="AH216" s="118"/>
    </x:row>
    <x:row r="217">
      <x:c r="A217" s="118"/>
      <x:c r="B217" s="118"/>
      <x:c r="C217" s="118"/>
      <x:c r="D217" s="118"/>
      <x:c r="E217" s="118"/>
      <x:c r="F217" s="118"/>
      <x:c r="G217" s="118"/>
      <x:c r="H217" s="118"/>
      <x:c r="I217" s="118"/>
      <x:c r="J217" s="118"/>
      <x:c r="K217" s="118"/>
      <x:c r="L217" s="118"/>
      <x:c r="M217" s="118"/>
      <x:c r="N217" s="118"/>
      <x:c r="O217" s="118"/>
      <x:c r="P217" s="118"/>
      <x:c r="Q217" s="118"/>
      <x:c r="R217" s="118"/>
      <x:c r="S217" s="118"/>
      <x:c r="T217" s="118"/>
      <x:c r="U217" s="118"/>
      <x:c r="V217" s="118"/>
      <x:c r="W217" s="118"/>
      <x:c r="X217" s="118"/>
      <x:c r="Y217" s="118"/>
      <x:c r="Z217" s="118"/>
      <x:c r="AA217" s="118"/>
      <x:c r="AB217" s="118"/>
      <x:c r="AC217" s="118"/>
      <x:c r="AD217" s="118"/>
      <x:c r="AE217" s="118"/>
      <x:c r="AF217" s="118"/>
      <x:c r="AG217" s="118"/>
      <x:c r="AH217" s="118"/>
    </x:row>
    <x:row r="218" ht="20" customHeight="1">
      <x:c r="A218" s="146" t="str">
        <x:v>R. CAPEX GUIDANCE TRACKER</x:v>
      </x:c>
      <x:c r="B218" s="146"/>
      <x:c r="C218" s="146"/>
      <x:c r="D218" s="146"/>
      <x:c r="E218" s="146"/>
      <x:c r="F218" s="146"/>
      <x:c r="G218" s="146"/>
      <x:c r="H218" s="146"/>
      <x:c r="I218" s="146"/>
      <x:c r="J218" s="118"/>
      <x:c r="K218" s="118"/>
      <x:c r="L218" s="118"/>
      <x:c r="M218" s="118"/>
      <x:c r="N218" s="118"/>
      <x:c r="O218" s="118"/>
      <x:c r="P218" s="118"/>
      <x:c r="Q218" s="118"/>
      <x:c r="R218" s="118"/>
      <x:c r="S218" s="118"/>
      <x:c r="T218" s="118"/>
      <x:c r="U218" s="118"/>
      <x:c r="V218" s="118"/>
      <x:c r="W218" s="118"/>
      <x:c r="X218" s="118"/>
      <x:c r="Y218" s="118"/>
      <x:c r="Z218" s="118"/>
      <x:c r="AA218" s="118"/>
      <x:c r="AB218" s="118"/>
      <x:c r="AC218" s="118"/>
      <x:c r="AD218" s="118"/>
      <x:c r="AE218" s="118"/>
      <x:c r="AF218" s="118"/>
      <x:c r="AG218" s="118"/>
      <x:c r="AH218" s="118"/>
    </x:row>
    <x:row r="219">
      <x:c r="A219" s="147" t="str">
        <x:v>Quarter</x:v>
      </x:c>
      <x:c r="B219" s="147" t="str">
        <x:v>Total Capex Guidance</x:v>
      </x:c>
      <x:c r="C219" s="147" t="str">
        <x:v>Previous Guidance</x:v>
      </x:c>
      <x:c r="D219" s="147" t="str">
        <x:v>YTD Spend</x:v>
      </x:c>
      <x:c r="E219" s="147" t="str">
        <x:v>Remaining Spend</x:v>
      </x:c>
      <x:c r="F219" s="147" t="str">
        <x:v>Unit IV Spend</x:v>
      </x:c>
      <x:c r="G219" s="147" t="str">
        <x:v>Other Capex</x:v>
      </x:c>
      <x:c r="H219" s="147" t="str">
        <x:v>Timeline Change</x:v>
      </x:c>
      <x:c r="I219" s="147" t="str">
        <x:v>Analyst Interpretation</x:v>
      </x:c>
      <x:c r="J219" s="118"/>
      <x:c r="K219" s="118"/>
      <x:c r="L219" s="118"/>
      <x:c r="M219" s="118"/>
      <x:c r="N219" s="118"/>
      <x:c r="O219" s="118"/>
      <x:c r="P219" s="118"/>
      <x:c r="Q219" s="118"/>
      <x:c r="R219" s="118"/>
      <x:c r="S219" s="118"/>
      <x:c r="T219" s="118"/>
      <x:c r="U219" s="118"/>
      <x:c r="V219" s="118"/>
      <x:c r="W219" s="118"/>
      <x:c r="X219" s="118"/>
      <x:c r="Y219" s="118"/>
      <x:c r="Z219" s="118"/>
      <x:c r="AA219" s="118"/>
      <x:c r="AB219" s="118"/>
      <x:c r="AC219" s="118"/>
      <x:c r="AD219" s="118"/>
      <x:c r="AE219" s="118"/>
      <x:c r="AF219" s="118"/>
      <x:c r="AG219" s="118"/>
      <x:c r="AH219" s="118"/>
    </x:row>
    <x:row r="220">
      <x:c r="A220" s="118" t="str">
        <x:v>Q4 FY26</x:v>
      </x:c>
      <x:c r="B220" s="192" t="n">
        <x:v>7000</x:v>
      </x:c>
      <x:c r="C220" s="118" t="str">
        <x:v>NA</x:v>
      </x:c>
      <x:c r="D220" s="118" t="str">
        <x:v>NA</x:v>
      </x:c>
      <x:c r="E220" s="118" t="str">
        <x:v>NA</x:v>
      </x:c>
      <x:c r="F220" s="118" t="str">
        <x:v>FY27 ~₹7bn / FY28 ~₹5bn; Unit IV major component</x:v>
      </x:c>
      <x:c r="G220" s="118" t="str">
        <x:v>Residual Unit II/III + maintenance included</x:v>
      </x:c>
      <x:c r="H220" s="118" t="str">
        <x:v>Target late Mar-28 / FY28</x:v>
      </x:c>
      <x:c r="I220" s="118" t="str">
        <x:v>Capex materially accelerates in FY27/FY28.</x:v>
      </x:c>
      <x:c r="J220" s="118"/>
      <x:c r="K220" s="118"/>
      <x:c r="L220" s="118"/>
      <x:c r="M220" s="118"/>
      <x:c r="N220" s="118"/>
      <x:c r="O220" s="118"/>
      <x:c r="P220" s="118"/>
      <x:c r="Q220" s="118"/>
      <x:c r="R220" s="118"/>
      <x:c r="S220" s="118"/>
      <x:c r="T220" s="118"/>
      <x:c r="U220" s="118"/>
      <x:c r="V220" s="118"/>
      <x:c r="W220" s="118"/>
      <x:c r="X220" s="118"/>
      <x:c r="Y220" s="118"/>
      <x:c r="Z220" s="118"/>
      <x:c r="AA220" s="118"/>
      <x:c r="AB220" s="118"/>
      <x:c r="AC220" s="118"/>
      <x:c r="AD220" s="118"/>
      <x:c r="AE220" s="118"/>
      <x:c r="AF220" s="118"/>
      <x:c r="AG220" s="118"/>
      <x:c r="AH220" s="118"/>
    </x:row>
    <x:row r="221">
      <x:c r="A221" s="118" t="str">
        <x:v>Q1 FY27</x:v>
      </x:c>
      <x:c r="B221" s="192" t="n">
        <x:v>7000</x:v>
      </x:c>
      <x:c r="C221" s="192" t="n">
        <x:v>7000</x:v>
      </x:c>
      <x:c r="D221" s="118" t="str">
        <x:v>NA</x:v>
      </x:c>
      <x:c r="E221" s="118" t="str">
        <x:v>NA</x:v>
      </x:c>
      <x:c r="F221" s="118" t="str">
        <x:v>~50/50 of ₹12bn Unit IV across FY27/FY28 described</x:v>
      </x:c>
      <x:c r="G221" s="118" t="str">
        <x:v>Other capex within total guidance</x:v>
      </x:c>
      <x:c r="H221" s="118" t="str">
        <x:v>End FY28; no material change</x:v>
      </x:c>
      <x:c r="I221" s="118" t="str">
        <x:v>Civil work nearly done; spend-to-date remains undisclosed.</x:v>
      </x:c>
      <x:c r="J221" s="118"/>
      <x:c r="K221" s="118"/>
      <x:c r="L221" s="118"/>
      <x:c r="M221" s="118"/>
      <x:c r="N221" s="118"/>
      <x:c r="O221" s="118"/>
      <x:c r="P221" s="118"/>
      <x:c r="Q221" s="118"/>
      <x:c r="R221" s="118"/>
      <x:c r="S221" s="118"/>
      <x:c r="T221" s="118"/>
      <x:c r="U221" s="118"/>
      <x:c r="V221" s="118"/>
      <x:c r="W221" s="118"/>
      <x:c r="X221" s="118"/>
      <x:c r="Y221" s="118"/>
      <x:c r="Z221" s="118"/>
      <x:c r="AA221" s="118"/>
      <x:c r="AB221" s="118"/>
      <x:c r="AC221" s="118"/>
      <x:c r="AD221" s="118"/>
      <x:c r="AE221" s="118"/>
      <x:c r="AF221" s="118"/>
      <x:c r="AG221" s="118"/>
      <x:c r="AH221" s="118"/>
    </x:row>
    <x:row r="222">
      <x:c r="A222" s="118"/>
      <x:c r="B222" s="118"/>
      <x:c r="C222" s="118"/>
      <x:c r="D222" s="118"/>
      <x:c r="E222" s="118"/>
      <x:c r="F222" s="118"/>
      <x:c r="G222" s="118"/>
      <x:c r="H222" s="118"/>
      <x:c r="I222" s="118"/>
      <x:c r="J222" s="118"/>
      <x:c r="K222" s="118"/>
      <x:c r="L222" s="118"/>
      <x:c r="M222" s="118"/>
      <x:c r="N222" s="118"/>
      <x:c r="O222" s="118"/>
      <x:c r="P222" s="118"/>
      <x:c r="Q222" s="118"/>
      <x:c r="R222" s="118"/>
      <x:c r="S222" s="118"/>
      <x:c r="T222" s="118"/>
      <x:c r="U222" s="118"/>
      <x:c r="V222" s="118"/>
      <x:c r="W222" s="118"/>
      <x:c r="X222" s="118"/>
      <x:c r="Y222" s="118"/>
      <x:c r="Z222" s="118"/>
      <x:c r="AA222" s="118"/>
      <x:c r="AB222" s="118"/>
      <x:c r="AC222" s="118"/>
      <x:c r="AD222" s="118"/>
      <x:c r="AE222" s="118"/>
      <x:c r="AF222" s="118"/>
      <x:c r="AG222" s="118"/>
      <x:c r="AH222" s="118"/>
    </x:row>
    <x:row r="223" ht="20" customHeight="1">
      <x:c r="A223" s="146" t="str">
        <x:v>S. CWIP MONITOR</x:v>
      </x:c>
      <x:c r="B223" s="146"/>
      <x:c r="C223" s="146"/>
      <x:c r="D223" s="146"/>
      <x:c r="E223" s="146"/>
      <x:c r="F223" s="146"/>
      <x:c r="G223" s="146"/>
      <x:c r="H223" s="146"/>
      <x:c r="I223" s="146"/>
      <x:c r="J223" s="146"/>
      <x:c r="K223" s="146"/>
      <x:c r="L223" s="118"/>
      <x:c r="M223" s="118"/>
      <x:c r="N223" s="118"/>
      <x:c r="O223" s="118"/>
      <x:c r="P223" s="118"/>
      <x:c r="Q223" s="118"/>
      <x:c r="R223" s="118"/>
      <x:c r="S223" s="118"/>
      <x:c r="T223" s="118"/>
      <x:c r="U223" s="118"/>
      <x:c r="V223" s="118"/>
      <x:c r="W223" s="118"/>
      <x:c r="X223" s="118"/>
      <x:c r="Y223" s="118"/>
      <x:c r="Z223" s="118"/>
      <x:c r="AA223" s="118"/>
      <x:c r="AB223" s="118"/>
      <x:c r="AC223" s="118"/>
      <x:c r="AD223" s="118"/>
      <x:c r="AE223" s="118"/>
      <x:c r="AF223" s="118"/>
      <x:c r="AG223" s="118"/>
      <x:c r="AH223" s="118"/>
    </x:row>
    <x:row r="224">
      <x:c r="A224" s="147" t="str">
        <x:v>Metric</x:v>
      </x:c>
      <x:c r="B224" s="147" t="str">
        <x:v>Units</x:v>
      </x:c>
      <x:c r="C224" s="147" t="str">
        <x:v>Classification</x:v>
      </x:c>
      <x:c r="D224" s="147" t="str">
        <x:v>FY24A</x:v>
      </x:c>
      <x:c r="E224" s="147" t="str">
        <x:v>FY25A</x:v>
      </x:c>
      <x:c r="F224" s="147" t="str">
        <x:v>FY26A</x:v>
      </x:c>
      <x:c r="G224" s="147" t="str">
        <x:v>FY27E</x:v>
      </x:c>
      <x:c r="H224" s="147" t="str">
        <x:v>FY28E</x:v>
      </x:c>
      <x:c r="I224" s="147" t="str">
        <x:v>FY29E</x:v>
      </x:c>
      <x:c r="J224" s="147" t="str">
        <x:v>FY30E</x:v>
      </x:c>
      <x:c r="K224" s="147" t="str">
        <x:v>FY31E</x:v>
      </x:c>
      <x:c r="L224" s="118"/>
      <x:c r="M224" s="118"/>
      <x:c r="N224" s="118"/>
      <x:c r="O224" s="118"/>
      <x:c r="P224" s="118"/>
      <x:c r="Q224" s="118"/>
      <x:c r="R224" s="118"/>
      <x:c r="S224" s="118"/>
      <x:c r="T224" s="118"/>
      <x:c r="U224" s="118"/>
      <x:c r="V224" s="118"/>
      <x:c r="W224" s="118"/>
      <x:c r="X224" s="118"/>
      <x:c r="Y224" s="118"/>
      <x:c r="Z224" s="118"/>
      <x:c r="AA224" s="118"/>
      <x:c r="AB224" s="118"/>
      <x:c r="AC224" s="118"/>
      <x:c r="AD224" s="118"/>
      <x:c r="AE224" s="118"/>
      <x:c r="AF224" s="118"/>
      <x:c r="AG224" s="118"/>
      <x:c r="AH224" s="118"/>
    </x:row>
    <x:row r="225">
      <x:c r="A225" s="118" t="str">
        <x:v>Opening CWIP</x:v>
      </x:c>
      <x:c r="B225" s="118" t="str">
        <x:v>INR mn</x:v>
      </x:c>
      <x:c r="C225" s="118" t="str">
        <x:v>Derived</x:v>
      </x:c>
      <x:c r="D225" s="118"/>
      <x:c r="E225" s="118"/>
      <x:c r="F225" s="118"/>
      <x:c r="G225" s="192" t="n">
        <x:v>2643.46</x:v>
      </x:c>
      <x:c r="H225" s="192" t="n">
        <x:v>7143.46</x:v>
      </x:c>
      <x:c r="I225" s="192" t="n">
        <x:v>3643.46</x:v>
      </x:c>
      <x:c r="J225" s="192" t="n">
        <x:v>1643.46</x:v>
      </x:c>
      <x:c r="K225" s="192" t="n">
        <x:v>643.46</x:v>
      </x:c>
      <x:c r="L225" s="118"/>
      <x:c r="M225" s="118"/>
      <x:c r="N225" s="118"/>
      <x:c r="O225" s="118"/>
      <x:c r="P225" s="118"/>
      <x:c r="Q225" s="118"/>
      <x:c r="R225" s="118"/>
      <x:c r="S225" s="118"/>
      <x:c r="T225" s="118"/>
      <x:c r="U225" s="118"/>
      <x:c r="V225" s="118"/>
      <x:c r="W225" s="118"/>
      <x:c r="X225" s="118"/>
      <x:c r="Y225" s="118"/>
      <x:c r="Z225" s="118"/>
      <x:c r="AA225" s="118"/>
      <x:c r="AB225" s="118"/>
      <x:c r="AC225" s="118"/>
      <x:c r="AD225" s="118"/>
      <x:c r="AE225" s="118"/>
      <x:c r="AF225" s="118"/>
      <x:c r="AG225" s="118"/>
      <x:c r="AH225" s="118"/>
    </x:row>
    <x:row r="226">
      <x:c r="A226" s="118" t="str">
        <x:v>Capex Added to CWIP</x:v>
      </x:c>
      <x:c r="B226" s="118" t="str">
        <x:v>INR mn</x:v>
      </x:c>
      <x:c r="C226" s="118" t="str">
        <x:v>Model allocation</x:v>
      </x:c>
      <x:c r="D226" s="118"/>
      <x:c r="E226" s="118"/>
      <x:c r="F226" s="118"/>
      <x:c r="G226" s="192" t="n">
        <x:v>5500</x:v>
      </x:c>
      <x:c r="H226" s="192" t="n">
        <x:v>4500</x:v>
      </x:c>
      <x:c r="I226" s="192" t="n">
        <x:v>1500</x:v>
      </x:c>
      <x:c r="J226" s="192" t="n">
        <x:v>500</x:v>
      </x:c>
      <x:c r="K226" s="192" t="n">
        <x:v>500</x:v>
      </x:c>
      <x:c r="L226" s="118"/>
      <x:c r="M226" s="118"/>
      <x:c r="N226" s="118"/>
      <x:c r="O226" s="118"/>
      <x:c r="P226" s="118"/>
      <x:c r="Q226" s="118"/>
      <x:c r="R226" s="118"/>
      <x:c r="S226" s="118"/>
      <x:c r="T226" s="118"/>
      <x:c r="U226" s="118"/>
      <x:c r="V226" s="118"/>
      <x:c r="W226" s="118"/>
      <x:c r="X226" s="118"/>
      <x:c r="Y226" s="118"/>
      <x:c r="Z226" s="118"/>
      <x:c r="AA226" s="118"/>
      <x:c r="AB226" s="118"/>
      <x:c r="AC226" s="118"/>
      <x:c r="AD226" s="118"/>
      <x:c r="AE226" s="118"/>
      <x:c r="AF226" s="118"/>
      <x:c r="AG226" s="118"/>
      <x:c r="AH226" s="118"/>
    </x:row>
    <x:row r="227">
      <x:c r="A227" s="118" t="str">
        <x:v>Capitalisation</x:v>
      </x:c>
      <x:c r="B227" s="118" t="str">
        <x:v>INR mn</x:v>
      </x:c>
      <x:c r="C227" s="118" t="str">
        <x:v>Model allocation</x:v>
      </x:c>
      <x:c r="D227" s="118"/>
      <x:c r="E227" s="118"/>
      <x:c r="F227" s="118"/>
      <x:c r="G227" s="192" t="n">
        <x:v>1000</x:v>
      </x:c>
      <x:c r="H227" s="192" t="n">
        <x:v>8000</x:v>
      </x:c>
      <x:c r="I227" s="192" t="n">
        <x:v>3500</x:v>
      </x:c>
      <x:c r="J227" s="192" t="n">
        <x:v>1500</x:v>
      </x:c>
      <x:c r="K227" s="192" t="n">
        <x:v>500</x:v>
      </x:c>
      <x:c r="L227" s="118"/>
      <x:c r="M227" s="118"/>
      <x:c r="N227" s="118"/>
      <x:c r="O227" s="118"/>
      <x:c r="P227" s="118"/>
      <x:c r="Q227" s="118"/>
      <x:c r="R227" s="118"/>
      <x:c r="S227" s="118"/>
      <x:c r="T227" s="118"/>
      <x:c r="U227" s="118"/>
      <x:c r="V227" s="118"/>
      <x:c r="W227" s="118"/>
      <x:c r="X227" s="118"/>
      <x:c r="Y227" s="118"/>
      <x:c r="Z227" s="118"/>
      <x:c r="AA227" s="118"/>
      <x:c r="AB227" s="118"/>
      <x:c r="AC227" s="118"/>
      <x:c r="AD227" s="118"/>
      <x:c r="AE227" s="118"/>
      <x:c r="AF227" s="118"/>
      <x:c r="AG227" s="118"/>
      <x:c r="AH227" s="118"/>
    </x:row>
    <x:row r="228">
      <x:c r="A228" s="118" t="str">
        <x:v>Closing CWIP</x:v>
      </x:c>
      <x:c r="B228" s="118" t="str">
        <x:v>INR mn</x:v>
      </x:c>
      <x:c r="C228" s="118" t="str">
        <x:v>Reported / forecast</x:v>
      </x:c>
      <x:c r="D228" s="192" t="n">
        <x:v>3446.939</x:v>
      </x:c>
      <x:c r="E228" s="192" t="n">
        <x:v>2968.811</x:v>
      </x:c>
      <x:c r="F228" s="192" t="n">
        <x:v>2643.46</x:v>
      </x:c>
      <x:c r="G228" s="192" t="n">
        <x:v>7143.46</x:v>
      </x:c>
      <x:c r="H228" s="192" t="n">
        <x:v>3643.46</x:v>
      </x:c>
      <x:c r="I228" s="192" t="n">
        <x:v>1643.46</x:v>
      </x:c>
      <x:c r="J228" s="192" t="n">
        <x:v>643.46</x:v>
      </x:c>
      <x:c r="K228" s="192" t="n">
        <x:v>643.46</x:v>
      </x:c>
      <x:c r="L228" s="118"/>
      <x:c r="M228" s="118"/>
      <x:c r="N228" s="118"/>
      <x:c r="O228" s="118"/>
      <x:c r="P228" s="118"/>
      <x:c r="Q228" s="118"/>
      <x:c r="R228" s="118"/>
      <x:c r="S228" s="118"/>
      <x:c r="T228" s="118"/>
      <x:c r="U228" s="118"/>
      <x:c r="V228" s="118"/>
      <x:c r="W228" s="118"/>
      <x:c r="X228" s="118"/>
      <x:c r="Y228" s="118"/>
      <x:c r="Z228" s="118"/>
      <x:c r="AA228" s="118"/>
      <x:c r="AB228" s="118"/>
      <x:c r="AC228" s="118"/>
      <x:c r="AD228" s="118"/>
      <x:c r="AE228" s="118"/>
      <x:c r="AF228" s="118"/>
      <x:c r="AG228" s="118"/>
      <x:c r="AH228" s="118"/>
    </x:row>
    <x:row r="229">
      <x:c r="A229" s="118" t="str">
        <x:v>CWIP / Net PP&amp;E</x:v>
      </x:c>
      <x:c r="B229" s="118" t="str">
        <x:v>%</x:v>
      </x:c>
      <x:c r="C229" s="118" t="str">
        <x:v>Derived</x:v>
      </x:c>
      <x:c r="D229" s="193" t="str">
        <x:v>NA</x:v>
      </x:c>
      <x:c r="E229" s="120" t="n">
        <x:f>IFERROR(E23/E22,"")</x:f>
        <x:v>0.4262824682364165</x:v>
      </x:c>
      <x:c r="F229" s="120" t="n">
        <x:f>IFERROR(F23/F22,"")</x:f>
        <x:v>0.3387908948649366</x:v>
      </x:c>
      <x:c r="G229" s="120" t="n">
        <x:f>IFERROR(G23/G22,"")</x:f>
        <x:v>0.8067869008561488</x:v>
      </x:c>
      <x:c r="H229" s="120" t="n">
        <x:f>IFERROR(H23/H22,"")</x:f>
        <x:v>0.2387974090280957</x:v>
      </x:c>
      <x:c r="I229" s="120" t="n">
        <x:f>IFERROR(I23/I22,"")</x:f>
        <x:v>0.096923095910698</x:v>
      </x:c>
      <x:c r="J229" s="120" t="n">
        <x:f>IFERROR(J23/J22,"")</x:f>
        <x:v>0.03743807088390222</x:v>
      </x:c>
      <x:c r="K229" s="120" t="n">
        <x:f>IFERROR(K23/K22,"")</x:f>
        <x:v>0.03861393717379365</x:v>
      </x:c>
      <x:c r="L229" s="118"/>
      <x:c r="M229" s="118"/>
      <x:c r="N229" s="118"/>
      <x:c r="O229" s="118"/>
      <x:c r="P229" s="118"/>
      <x:c r="Q229" s="118"/>
      <x:c r="R229" s="118"/>
      <x:c r="S229" s="118"/>
      <x:c r="T229" s="118"/>
      <x:c r="U229" s="118"/>
      <x:c r="V229" s="118"/>
      <x:c r="W229" s="118"/>
      <x:c r="X229" s="118"/>
      <x:c r="Y229" s="118"/>
      <x:c r="Z229" s="118"/>
      <x:c r="AA229" s="118"/>
      <x:c r="AB229" s="118"/>
      <x:c r="AC229" s="118"/>
      <x:c r="AD229" s="118"/>
      <x:c r="AE229" s="118"/>
      <x:c r="AF229" s="118"/>
      <x:c r="AG229" s="118"/>
      <x:c r="AH229" s="118"/>
    </x:row>
    <x:row r="230">
      <x:c r="A230" s="118" t="str">
        <x:v>CWIP / PP&amp;E + CWIP</x:v>
      </x:c>
      <x:c r="B230" s="118" t="str">
        <x:v>%</x:v>
      </x:c>
      <x:c r="C230" s="118" t="str">
        <x:v>Derived</x:v>
      </x:c>
      <x:c r="D230" s="193" t="str">
        <x:v>NA</x:v>
      </x:c>
      <x:c r="E230" s="120" t="n">
        <x:f>IFERROR(E23/E24,"")</x:f>
        <x:v>0.2988766094583707</x:v>
      </x:c>
      <x:c r="F230" s="120" t="n">
        <x:f>IFERROR(F23/F24,"")</x:f>
        <x:v>0.2530573640472177</x:v>
      </x:c>
      <x:c r="G230" s="120" t="n">
        <x:f>IFERROR(G23/G24,"")</x:f>
        <x:v>0.44653129844690126</x:v>
      </x:c>
      <x:c r="H230" s="120" t="n">
        <x:f>IFERROR(H23/H24,"")</x:f>
        <x:v>0.19276550571367865</x:v>
      </x:c>
      <x:c r="I230" s="120" t="n">
        <x:f>IFERROR(I23/I24,"")</x:f>
        <x:v>0.08835906206371705</x:v>
      </x:c>
      <x:c r="J230" s="120" t="n">
        <x:f>IFERROR(J23/J24,"")</x:f>
        <x:v>0.03608704166023598</x:v>
      </x:c>
      <x:c r="K230" s="120" t="n">
        <x:f>IFERROR(K23/K24,"")</x:f>
        <x:v>0.03717833527139766</x:v>
      </x:c>
      <x:c r="L230" s="118"/>
      <x:c r="M230" s="118"/>
      <x:c r="N230" s="118"/>
      <x:c r="O230" s="118"/>
      <x:c r="P230" s="118"/>
      <x:c r="Q230" s="118"/>
      <x:c r="R230" s="118"/>
      <x:c r="S230" s="118"/>
      <x:c r="T230" s="118"/>
      <x:c r="U230" s="118"/>
      <x:c r="V230" s="118"/>
      <x:c r="W230" s="118"/>
      <x:c r="X230" s="118"/>
      <x:c r="Y230" s="118"/>
      <x:c r="Z230" s="118"/>
      <x:c r="AA230" s="118"/>
      <x:c r="AB230" s="118"/>
      <x:c r="AC230" s="118"/>
      <x:c r="AD230" s="118"/>
      <x:c r="AE230" s="118"/>
      <x:c r="AF230" s="118"/>
      <x:c r="AG230" s="118"/>
      <x:c r="AH230" s="118"/>
    </x:row>
    <x:row r="231">
      <x:c r="A231" s="118" t="str">
        <x:v>CWIP / Revenue</x:v>
      </x:c>
      <x:c r="B231" s="118" t="str">
        <x:v>%</x:v>
      </x:c>
      <x:c r="C231" s="118" t="str">
        <x:v>Derived</x:v>
      </x:c>
      <x:c r="D231" s="193" t="str">
        <x:v>NA</x:v>
      </x:c>
      <x:c r="E231" s="120" t="n">
        <x:f>IFERROR(E23/E7,"")</x:f>
        <x:v>0.16095018591770247</x:v>
      </x:c>
      <x:c r="F231" s="120" t="n">
        <x:f>IFERROR(F23/F7,"")</x:f>
        <x:v>0.12443717628074318</x:v>
      </x:c>
      <x:c r="G231" s="120" t="n">
        <x:f>IFERROR(G23/G7,"")</x:f>
        <x:v>0.28764690923792474</x:v>
      </x:c>
      <x:c r="H231" s="120" t="n">
        <x:f>IFERROR(H23/H7,"")</x:f>
        <x:v>0.12575789440454047</x:v>
      </x:c>
      <x:c r="I231" s="120" t="n">
        <x:f>IFERROR(I23/I7,"")</x:f>
        <x:v>0.04839658084264911</x:v>
      </x:c>
      <x:c r="J231" s="120" t="n">
        <x:f>IFERROR(J23/J7,"")</x:f>
        <x:v>0.016455379690356944</x:v>
      </x:c>
      <x:c r="K231" s="120" t="n">
        <x:f>IFERROR(K23/K7,"")</x:f>
        <x:v>0.01462287623279929</x:v>
      </x:c>
      <x:c r="L231" s="118"/>
      <x:c r="M231" s="118"/>
      <x:c r="N231" s="118"/>
      <x:c r="O231" s="118"/>
      <x:c r="P231" s="118"/>
      <x:c r="Q231" s="118"/>
      <x:c r="R231" s="118"/>
      <x:c r="S231" s="118"/>
      <x:c r="T231" s="118"/>
      <x:c r="U231" s="118"/>
      <x:c r="V231" s="118"/>
      <x:c r="W231" s="118"/>
      <x:c r="X231" s="118"/>
      <x:c r="Y231" s="118"/>
      <x:c r="Z231" s="118"/>
      <x:c r="AA231" s="118"/>
      <x:c r="AB231" s="118"/>
      <x:c r="AC231" s="118"/>
      <x:c r="AD231" s="118"/>
      <x:c r="AE231" s="118"/>
      <x:c r="AF231" s="118"/>
      <x:c r="AG231" s="118"/>
      <x:c r="AH231" s="118"/>
    </x:row>
    <x:row r="232">
      <x:c r="A232" s="118" t="str">
        <x:v>Capitalisation %</x:v>
      </x:c>
      <x:c r="B232" s="118" t="str">
        <x:v>%</x:v>
      </x:c>
      <x:c r="C232" s="118" t="str">
        <x:v>Derived</x:v>
      </x:c>
      <x:c r="D232" s="193" t="str">
        <x:v>NA</x:v>
      </x:c>
      <x:c r="E232" s="193" t="str">
        <x:v>NA</x:v>
      </x:c>
      <x:c r="F232" s="193" t="str">
        <x:v>NA</x:v>
      </x:c>
      <x:c r="G232" s="120" t="n">
        <x:f>IFERROR(G227/(G225+G226),"")</x:f>
        <x:v>0.12279792618862252</x:v>
      </x:c>
      <x:c r="H232" s="120" t="n">
        <x:f>IFERROR(H227/(H225+H226),"")</x:f>
        <x:v>0.6870809879537526</x:v>
      </x:c>
      <x:c r="I232" s="120" t="n">
        <x:f>IFERROR(I227/(I225+I226),"")</x:f>
        <x:v>0.6804757886714391</x:v>
      </x:c>
      <x:c r="J232" s="120" t="n">
        <x:f>IFERROR(J227/(J225+J226),"")</x:f>
        <x:v>0.6998031220549952</x:v>
      </x:c>
      <x:c r="K232" s="120" t="n">
        <x:f>IFERROR(K227/(K225+K226),"")</x:f>
        <x:v>0.43726934042292687</x:v>
      </x:c>
      <x:c r="L232" s="118"/>
      <x:c r="M232" s="118"/>
      <x:c r="N232" s="118"/>
      <x:c r="O232" s="118"/>
      <x:c r="P232" s="118"/>
      <x:c r="Q232" s="118"/>
      <x:c r="R232" s="118"/>
      <x:c r="S232" s="118"/>
      <x:c r="T232" s="118"/>
      <x:c r="U232" s="118"/>
      <x:c r="V232" s="118"/>
      <x:c r="W232" s="118"/>
      <x:c r="X232" s="118"/>
      <x:c r="Y232" s="118"/>
      <x:c r="Z232" s="118"/>
      <x:c r="AA232" s="118"/>
      <x:c r="AB232" s="118"/>
      <x:c r="AC232" s="118"/>
      <x:c r="AD232" s="118"/>
      <x:c r="AE232" s="118"/>
      <x:c r="AF232" s="118"/>
      <x:c r="AG232" s="118"/>
      <x:c r="AH232" s="118"/>
    </x:row>
    <x:row r="233">
      <x:c r="A233" s="118"/>
      <x:c r="B233" s="118"/>
      <x:c r="C233" s="118"/>
      <x:c r="D233" s="118"/>
      <x:c r="E233" s="118"/>
      <x:c r="F233" s="118"/>
      <x:c r="G233" s="118"/>
      <x:c r="H233" s="118"/>
      <x:c r="I233" s="118"/>
      <x:c r="J233" s="118"/>
      <x:c r="K233" s="118"/>
      <x:c r="L233" s="118"/>
      <x:c r="M233" s="118"/>
      <x:c r="N233" s="118"/>
      <x:c r="O233" s="118"/>
      <x:c r="P233" s="118"/>
      <x:c r="Q233" s="118"/>
      <x:c r="R233" s="118"/>
      <x:c r="S233" s="118"/>
      <x:c r="T233" s="118"/>
      <x:c r="U233" s="118"/>
      <x:c r="V233" s="118"/>
      <x:c r="W233" s="118"/>
      <x:c r="X233" s="118"/>
      <x:c r="Y233" s="118"/>
      <x:c r="Z233" s="118"/>
      <x:c r="AA233" s="118"/>
      <x:c r="AB233" s="118"/>
      <x:c r="AC233" s="118"/>
      <x:c r="AD233" s="118"/>
      <x:c r="AE233" s="118"/>
      <x:c r="AF233" s="118"/>
      <x:c r="AG233" s="118"/>
      <x:c r="AH233" s="118"/>
    </x:row>
    <x:row r="234">
      <x:c r="A234" s="118"/>
      <x:c r="B234" s="118"/>
      <x:c r="C234" s="118"/>
      <x:c r="D234" s="118"/>
      <x:c r="E234" s="118"/>
      <x:c r="F234" s="118"/>
      <x:c r="G234" s="118"/>
      <x:c r="H234" s="118"/>
      <x:c r="I234" s="118"/>
      <x:c r="J234" s="118"/>
      <x:c r="K234" s="118"/>
      <x:c r="L234" s="118"/>
      <x:c r="M234" s="118"/>
      <x:c r="N234" s="118"/>
      <x:c r="O234" s="118"/>
      <x:c r="P234" s="118"/>
      <x:c r="Q234" s="118"/>
      <x:c r="R234" s="118"/>
      <x:c r="S234" s="118"/>
      <x:c r="T234" s="118"/>
      <x:c r="U234" s="118"/>
      <x:c r="V234" s="118"/>
      <x:c r="W234" s="118"/>
      <x:c r="X234" s="118"/>
      <x:c r="Y234" s="118"/>
      <x:c r="Z234" s="118"/>
      <x:c r="AA234" s="118"/>
      <x:c r="AB234" s="118"/>
      <x:c r="AC234" s="118"/>
      <x:c r="AD234" s="118"/>
      <x:c r="AE234" s="118"/>
      <x:c r="AF234" s="118"/>
      <x:c r="AG234" s="118"/>
      <x:c r="AH234" s="118"/>
    </x:row>
    <x:row r="235" ht="20" customHeight="1">
      <x:c r="A235" s="146" t="str">
        <x:v>T. DEPRECIATION STEP-UP</x:v>
      </x:c>
      <x:c r="B235" s="146"/>
      <x:c r="C235" s="146"/>
      <x:c r="D235" s="146"/>
      <x:c r="E235" s="146"/>
      <x:c r="F235" s="146"/>
      <x:c r="G235" s="146"/>
      <x:c r="H235" s="146"/>
      <x:c r="I235" s="146"/>
      <x:c r="J235" s="146"/>
      <x:c r="K235" s="146"/>
      <x:c r="L235" s="118"/>
      <x:c r="M235" s="118"/>
      <x:c r="N235" s="118"/>
      <x:c r="O235" s="118"/>
      <x:c r="P235" s="118"/>
      <x:c r="Q235" s="118"/>
      <x:c r="R235" s="118"/>
      <x:c r="S235" s="118"/>
      <x:c r="T235" s="118"/>
      <x:c r="U235" s="118"/>
      <x:c r="V235" s="118"/>
      <x:c r="W235" s="118"/>
      <x:c r="X235" s="118"/>
      <x:c r="Y235" s="118"/>
      <x:c r="Z235" s="118"/>
      <x:c r="AA235" s="118"/>
      <x:c r="AB235" s="118"/>
      <x:c r="AC235" s="118"/>
      <x:c r="AD235" s="118"/>
      <x:c r="AE235" s="118"/>
      <x:c r="AF235" s="118"/>
      <x:c r="AG235" s="118"/>
      <x:c r="AH235" s="118"/>
    </x:row>
    <x:row r="236">
      <x:c r="A236" s="147" t="str">
        <x:v>Metric</x:v>
      </x:c>
      <x:c r="B236" s="147" t="str">
        <x:v>Units</x:v>
      </x:c>
      <x:c r="C236" s="147" t="str">
        <x:v>Classification</x:v>
      </x:c>
      <x:c r="D236" s="147" t="str">
        <x:v>FY24A</x:v>
      </x:c>
      <x:c r="E236" s="147" t="str">
        <x:v>FY25A</x:v>
      </x:c>
      <x:c r="F236" s="147" t="str">
        <x:v>FY26A</x:v>
      </x:c>
      <x:c r="G236" s="147" t="str">
        <x:v>FY27E</x:v>
      </x:c>
      <x:c r="H236" s="147" t="str">
        <x:v>FY28E</x:v>
      </x:c>
      <x:c r="I236" s="147" t="str">
        <x:v>FY29E</x:v>
      </x:c>
      <x:c r="J236" s="147" t="str">
        <x:v>FY30E</x:v>
      </x:c>
      <x:c r="K236" s="147" t="str">
        <x:v>FY31E</x:v>
      </x:c>
      <x:c r="L236" s="118"/>
      <x:c r="M236" s="118"/>
      <x:c r="N236" s="118"/>
      <x:c r="O236" s="118"/>
      <x:c r="P236" s="118"/>
      <x:c r="Q236" s="118"/>
      <x:c r="R236" s="118"/>
      <x:c r="S236" s="118"/>
      <x:c r="T236" s="118"/>
      <x:c r="U236" s="118"/>
      <x:c r="V236" s="118"/>
      <x:c r="W236" s="118"/>
      <x:c r="X236" s="118"/>
      <x:c r="Y236" s="118"/>
      <x:c r="Z236" s="118"/>
      <x:c r="AA236" s="118"/>
      <x:c r="AB236" s="118"/>
      <x:c r="AC236" s="118"/>
      <x:c r="AD236" s="118"/>
      <x:c r="AE236" s="118"/>
      <x:c r="AF236" s="118"/>
      <x:c r="AG236" s="118"/>
      <x:c r="AH236" s="118"/>
    </x:row>
    <x:row r="237">
      <x:c r="A237" s="118" t="str">
        <x:v>Existing Depreciation – analyst proxy</x:v>
      </x:c>
      <x:c r="B237" s="118" t="str">
        <x:v>INR mn</x:v>
      </x:c>
      <x:c r="C237" s="118" t="str">
        <x:v>FY26 base grown 3% p.a. after FY26</x:v>
      </x:c>
      <x:c r="D237" s="192" t="n">
        <x:v>818.242</x:v>
      </x:c>
      <x:c r="E237" s="192" t="n">
        <x:v>893.713</x:v>
      </x:c>
      <x:c r="F237" s="192" t="n">
        <x:v>1340.7</x:v>
      </x:c>
      <x:c r="G237" s="198" t="n">
        <x:f>F237*1.03</x:f>
        <x:v>1380.921</x:v>
      </x:c>
      <x:c r="H237" s="198" t="n">
        <x:f>G237*1.03</x:f>
        <x:v>1422.3486300000002</x:v>
      </x:c>
      <x:c r="I237" s="198" t="n">
        <x:f>H237*1.03</x:f>
        <x:v>1465.0190889000003</x:v>
      </x:c>
      <x:c r="J237" s="198" t="n">
        <x:f>I237*1.03</x:f>
        <x:v>1508.9696615670002</x:v>
      </x:c>
      <x:c r="K237" s="198" t="n">
        <x:f>J237*1.03</x:f>
        <x:v>1554.2387514140103</x:v>
      </x:c>
      <x:c r="L237" s="118"/>
      <x:c r="M237" s="118"/>
      <x:c r="N237" s="118"/>
      <x:c r="O237" s="118"/>
      <x:c r="P237" s="118"/>
      <x:c r="Q237" s="118"/>
      <x:c r="R237" s="118"/>
      <x:c r="S237" s="118"/>
      <x:c r="T237" s="118"/>
      <x:c r="U237" s="118"/>
      <x:c r="V237" s="118"/>
      <x:c r="W237" s="118"/>
      <x:c r="X237" s="118"/>
      <x:c r="Y237" s="118"/>
      <x:c r="Z237" s="118"/>
      <x:c r="AA237" s="118"/>
      <x:c r="AB237" s="118"/>
      <x:c r="AC237" s="118"/>
      <x:c r="AD237" s="118"/>
      <x:c r="AE237" s="118"/>
      <x:c r="AF237" s="118"/>
      <x:c r="AG237" s="118"/>
      <x:c r="AH237" s="118"/>
    </x:row>
    <x:row r="238">
      <x:c r="A238" s="118" t="str">
        <x:v>Incremental Depreciation / New Capex Proxy</x:v>
      </x:c>
      <x:c r="B238" s="118" t="str">
        <x:v>INR mn</x:v>
      </x:c>
      <x:c r="C238" s="118" t="str">
        <x:v>Derived</x:v>
      </x:c>
      <x:c r="D238" s="198" t="n">
        <x:f>D239-D237</x:f>
        <x:v>0</x:v>
      </x:c>
      <x:c r="E238" s="198" t="n">
        <x:f>E239-E237</x:f>
        <x:v>0</x:v>
      </x:c>
      <x:c r="F238" s="198" t="n">
        <x:f>F239-F237</x:f>
        <x:v>0</x:v>
      </x:c>
      <x:c r="G238" s="198" t="n">
        <x:f>G239-G237</x:f>
        <x:v>73.43380000000002</x:v>
      </x:c>
      <x:c r="H238" s="198" t="n">
        <x:f>H239-H237</x:f>
        <x:v>679.072042</x:v>
      </x:c>
      <x:c r="I238" s="198" t="n">
        <x:f>I239-I237</x:f>
        <x:v>1339.9843875799995</x:v>
      </x:c>
      <x:c r="J238" s="198" t="n">
        <x:f>J239-J237</x:f>
        <x:v>1463.0813482759997</x:v>
      </x:c>
      <x:c r="K238" s="198" t="n">
        <x:f>K239-K237</x:f>
        <x:v>1391.7786502769898</x:v>
      </x:c>
      <x:c r="L238" s="118"/>
      <x:c r="M238" s="118"/>
      <x:c r="N238" s="118"/>
      <x:c r="O238" s="118"/>
      <x:c r="P238" s="118"/>
      <x:c r="Q238" s="118"/>
      <x:c r="R238" s="118"/>
      <x:c r="S238" s="118"/>
      <x:c r="T238" s="118"/>
      <x:c r="U238" s="118"/>
      <x:c r="V238" s="118"/>
      <x:c r="W238" s="118"/>
      <x:c r="X238" s="118"/>
      <x:c r="Y238" s="118"/>
      <x:c r="Z238" s="118"/>
      <x:c r="AA238" s="118"/>
      <x:c r="AB238" s="118"/>
      <x:c r="AC238" s="118"/>
      <x:c r="AD238" s="118"/>
      <x:c r="AE238" s="118"/>
      <x:c r="AF238" s="118"/>
      <x:c r="AG238" s="118"/>
      <x:c r="AH238" s="118"/>
    </x:row>
    <x:row r="239">
      <x:c r="A239" s="118" t="str">
        <x:v>Total Depreciation</x:v>
      </x:c>
      <x:c r="B239" s="118" t="str">
        <x:v>INR mn</x:v>
      </x:c>
      <x:c r="C239" s="118" t="str">
        <x:v>Current model</x:v>
      </x:c>
      <x:c r="D239" s="192" t="n">
        <x:v>818.242</x:v>
      </x:c>
      <x:c r="E239" s="192" t="n">
        <x:v>893.713</x:v>
      </x:c>
      <x:c r="F239" s="192" t="n">
        <x:v>1340.7</x:v>
      </x:c>
      <x:c r="G239" s="192" t="n">
        <x:v>1454.3548</x:v>
      </x:c>
      <x:c r="H239" s="192" t="n">
        <x:v>2101.420672</x:v>
      </x:c>
      <x:c r="I239" s="192" t="n">
        <x:v>2805.00347648</x:v>
      </x:c>
      <x:c r="J239" s="192" t="n">
        <x:v>2972.051009843</x:v>
      </x:c>
      <x:c r="K239" s="192" t="n">
        <x:v>2946.017401691</x:v>
      </x:c>
      <x:c r="L239" s="118"/>
      <x:c r="M239" s="118"/>
      <x:c r="N239" s="118"/>
      <x:c r="O239" s="118"/>
      <x:c r="P239" s="118"/>
      <x:c r="Q239" s="118"/>
      <x:c r="R239" s="118"/>
      <x:c r="S239" s="118"/>
      <x:c r="T239" s="118"/>
      <x:c r="U239" s="118"/>
      <x:c r="V239" s="118"/>
      <x:c r="W239" s="118"/>
      <x:c r="X239" s="118"/>
      <x:c r="Y239" s="118"/>
      <x:c r="Z239" s="118"/>
      <x:c r="AA239" s="118"/>
      <x:c r="AB239" s="118"/>
      <x:c r="AC239" s="118"/>
      <x:c r="AD239" s="118"/>
      <x:c r="AE239" s="118"/>
      <x:c r="AF239" s="118"/>
      <x:c r="AG239" s="118"/>
      <x:c r="AH239" s="118"/>
    </x:row>
    <x:row r="240">
      <x:c r="A240" s="118" t="str">
        <x:v>D&amp;A / Sales</x:v>
      </x:c>
      <x:c r="B240" s="118" t="str">
        <x:v>%</x:v>
      </x:c>
      <x:c r="C240" s="118" t="str">
        <x:v>Derived</x:v>
      </x:c>
      <x:c r="D240" s="120" t="n">
        <x:f>D239/D7</x:f>
        <x:v>0.05764826863982433</x:v>
      </x:c>
      <x:c r="E240" s="120" t="n">
        <x:f>E239/E7</x:f>
        <x:v>0.048451475525746704</x:v>
      </x:c>
      <x:c r="F240" s="120" t="n">
        <x:f>F239/F7</x:f>
        <x:v>0.06311157431532627</x:v>
      </x:c>
      <x:c r="G240" s="120" t="n">
        <x:f>G239/G7</x:f>
        <x:v>0.058562750145635334</x:v>
      </x:c>
      <x:c r="H240" s="120" t="n">
        <x:f>H239/H7</x:f>
        <x:v>0.07253276801965564</x:v>
      </x:c>
      <x:c r="I240" s="120" t="n">
        <x:f>I239/I7</x:f>
        <x:v>0.08260169247403412</x:v>
      </x:c>
      <x:c r="J240" s="120" t="n">
        <x:f>J239/J7</x:f>
        <x:v>0.07600507852248058</x:v>
      </x:c>
      <x:c r="K240" s="120" t="n">
        <x:f>K239/K7</x:f>
        <x:v>0.06694937967332926</x:v>
      </x:c>
      <x:c r="L240" s="118"/>
      <x:c r="M240" s="118"/>
      <x:c r="N240" s="118"/>
      <x:c r="O240" s="118"/>
      <x:c r="P240" s="118"/>
      <x:c r="Q240" s="118"/>
      <x:c r="R240" s="118"/>
      <x:c r="S240" s="118"/>
      <x:c r="T240" s="118"/>
      <x:c r="U240" s="118"/>
      <x:c r="V240" s="118"/>
      <x:c r="W240" s="118"/>
      <x:c r="X240" s="118"/>
      <x:c r="Y240" s="118"/>
      <x:c r="Z240" s="118"/>
      <x:c r="AA240" s="118"/>
      <x:c r="AB240" s="118"/>
      <x:c r="AC240" s="118"/>
      <x:c r="AD240" s="118"/>
      <x:c r="AE240" s="118"/>
      <x:c r="AF240" s="118"/>
      <x:c r="AG240" s="118"/>
      <x:c r="AH240" s="118"/>
    </x:row>
    <x:row r="241">
      <x:c r="A241" s="118" t="str">
        <x:v>EBITDA</x:v>
      </x:c>
      <x:c r="B241" s="118" t="str">
        <x:v>INR mn</x:v>
      </x:c>
      <x:c r="C241" s="118" t="str">
        <x:v>Current model</x:v>
      </x:c>
      <x:c r="D241" s="192" t="n">
        <x:v>5686.778</x:v>
      </x:c>
      <x:c r="E241" s="192" t="n">
        <x:v>7565.68</x:v>
      </x:c>
      <x:c r="F241" s="192" t="n">
        <x:v>9895.95</x:v>
      </x:c>
      <x:c r="G241" s="192" t="n">
        <x:v>11163.541038377356</x:v>
      </x:c>
      <x:c r="H241" s="192" t="n">
        <x:v>13047.064826174454</x:v>
      </x:c>
      <x:c r="I241" s="192" t="n">
        <x:v>15522.831313965758</x:v>
      </x:c>
      <x:c r="J241" s="192" t="n">
        <x:v>18301.97125417261</x:v>
      </x:c>
      <x:c r="K241" s="192" t="n">
        <x:v>21101.56779229392</x:v>
      </x:c>
      <x:c r="L241" s="118"/>
      <x:c r="M241" s="118"/>
      <x:c r="N241" s="118"/>
      <x:c r="O241" s="118"/>
      <x:c r="P241" s="118"/>
      <x:c r="Q241" s="118"/>
      <x:c r="R241" s="118"/>
      <x:c r="S241" s="118"/>
      <x:c r="T241" s="118"/>
      <x:c r="U241" s="118"/>
      <x:c r="V241" s="118"/>
      <x:c r="W241" s="118"/>
      <x:c r="X241" s="118"/>
      <x:c r="Y241" s="118"/>
      <x:c r="Z241" s="118"/>
      <x:c r="AA241" s="118"/>
      <x:c r="AB241" s="118"/>
      <x:c r="AC241" s="118"/>
      <x:c r="AD241" s="118"/>
      <x:c r="AE241" s="118"/>
      <x:c r="AF241" s="118"/>
      <x:c r="AG241" s="118"/>
      <x:c r="AH241" s="118"/>
    </x:row>
    <x:row r="242">
      <x:c r="A242" s="118" t="str">
        <x:v>EBIT</x:v>
      </x:c>
      <x:c r="B242" s="118" t="str">
        <x:v>INR mn</x:v>
      </x:c>
      <x:c r="C242" s="118" t="str">
        <x:v>Current model</x:v>
      </x:c>
      <x:c r="D242" s="192" t="n">
        <x:v>4868.536</x:v>
      </x:c>
      <x:c r="E242" s="192" t="n">
        <x:v>6671.967</x:v>
      </x:c>
      <x:c r="F242" s="192" t="n">
        <x:v>8555.25</x:v>
      </x:c>
      <x:c r="G242" s="192" t="n">
        <x:v>9709.186238377355</x:v>
      </x:c>
      <x:c r="H242" s="192" t="n">
        <x:v>10945.644154174453</x:v>
      </x:c>
      <x:c r="I242" s="192" t="n">
        <x:v>12717.827837485758</x:v>
      </x:c>
      <x:c r="J242" s="192" t="n">
        <x:v>15329.92024432941</x:v>
      </x:c>
      <x:c r="K242" s="192" t="n">
        <x:v>18155.55039060314</x:v>
      </x:c>
      <x:c r="L242" s="118"/>
      <x:c r="M242" s="118"/>
      <x:c r="N242" s="118"/>
      <x:c r="O242" s="118"/>
      <x:c r="P242" s="118"/>
      <x:c r="Q242" s="118"/>
      <x:c r="R242" s="118"/>
      <x:c r="S242" s="118"/>
      <x:c r="T242" s="118"/>
      <x:c r="U242" s="118"/>
      <x:c r="V242" s="118"/>
      <x:c r="W242" s="118"/>
      <x:c r="X242" s="118"/>
      <x:c r="Y242" s="118"/>
      <x:c r="Z242" s="118"/>
      <x:c r="AA242" s="118"/>
      <x:c r="AB242" s="118"/>
      <x:c r="AC242" s="118"/>
      <x:c r="AD242" s="118"/>
      <x:c r="AE242" s="118"/>
      <x:c r="AF242" s="118"/>
      <x:c r="AG242" s="118"/>
      <x:c r="AH242" s="118"/>
    </x:row>
    <x:row r="243">
      <x:c r="A243" s="118"/>
      <x:c r="B243" s="118"/>
      <x:c r="C243" s="118"/>
      <x:c r="D243" s="118"/>
      <x:c r="E243" s="118"/>
      <x:c r="F243" s="118"/>
      <x:c r="G243" s="118"/>
      <x:c r="H243" s="118"/>
      <x:c r="I243" s="118"/>
      <x:c r="J243" s="118"/>
      <x:c r="K243" s="118"/>
      <x:c r="L243" s="118"/>
      <x:c r="M243" s="118"/>
      <x:c r="N243" s="118"/>
      <x:c r="O243" s="118"/>
      <x:c r="P243" s="118"/>
      <x:c r="Q243" s="118"/>
      <x:c r="R243" s="118"/>
      <x:c r="S243" s="118"/>
      <x:c r="T243" s="118"/>
      <x:c r="U243" s="118"/>
      <x:c r="V243" s="118"/>
      <x:c r="W243" s="118"/>
      <x:c r="X243" s="118"/>
      <x:c r="Y243" s="118"/>
      <x:c r="Z243" s="118"/>
      <x:c r="AA243" s="118"/>
      <x:c r="AB243" s="118"/>
      <x:c r="AC243" s="118"/>
      <x:c r="AD243" s="118"/>
      <x:c r="AE243" s="118"/>
      <x:c r="AF243" s="118"/>
      <x:c r="AG243" s="118"/>
      <x:c r="AH243" s="118"/>
    </x:row>
    <x:row r="244">
      <x:c r="A244" s="118"/>
      <x:c r="B244" s="118"/>
      <x:c r="C244" s="118"/>
      <x:c r="D244" s="118"/>
      <x:c r="E244" s="118"/>
      <x:c r="F244" s="118"/>
      <x:c r="G244" s="118"/>
      <x:c r="H244" s="118"/>
      <x:c r="I244" s="118"/>
      <x:c r="J244" s="118"/>
      <x:c r="K244" s="118"/>
      <x:c r="L244" s="118"/>
      <x:c r="M244" s="118"/>
      <x:c r="N244" s="118"/>
      <x:c r="O244" s="118"/>
      <x:c r="P244" s="118"/>
      <x:c r="Q244" s="118"/>
      <x:c r="R244" s="118"/>
      <x:c r="S244" s="118"/>
      <x:c r="T244" s="118"/>
      <x:c r="U244" s="118"/>
      <x:c r="V244" s="118"/>
      <x:c r="W244" s="118"/>
      <x:c r="X244" s="118"/>
      <x:c r="Y244" s="118"/>
      <x:c r="Z244" s="118"/>
      <x:c r="AA244" s="118"/>
      <x:c r="AB244" s="118"/>
      <x:c r="AC244" s="118"/>
      <x:c r="AD244" s="118"/>
      <x:c r="AE244" s="118"/>
      <x:c r="AF244" s="118"/>
      <x:c r="AG244" s="118"/>
      <x:c r="AH244" s="118"/>
    </x:row>
    <x:row r="245" ht="20" customHeight="1">
      <x:c r="A245" s="146" t="str">
        <x:v>U. EBITDA VS ROCE – QUALITY OF GROWTH</x:v>
      </x:c>
      <x:c r="B245" s="146"/>
      <x:c r="C245" s="146"/>
      <x:c r="D245" s="146"/>
      <x:c r="E245" s="146"/>
      <x:c r="F245" s="146"/>
      <x:c r="G245" s="146"/>
      <x:c r="H245" s="146"/>
      <x:c r="I245" s="118"/>
      <x:c r="J245" s="118"/>
      <x:c r="K245" s="118"/>
      <x:c r="L245" s="118"/>
      <x:c r="M245" s="118"/>
      <x:c r="N245" s="118"/>
      <x:c r="O245" s="118"/>
      <x:c r="P245" s="118"/>
      <x:c r="Q245" s="118"/>
      <x:c r="R245" s="118"/>
      <x:c r="S245" s="118"/>
      <x:c r="T245" s="118"/>
      <x:c r="U245" s="118"/>
      <x:c r="V245" s="118"/>
      <x:c r="W245" s="118"/>
      <x:c r="X245" s="118"/>
      <x:c r="Y245" s="118"/>
      <x:c r="Z245" s="118"/>
      <x:c r="AA245" s="118"/>
      <x:c r="AB245" s="118"/>
      <x:c r="AC245" s="118"/>
      <x:c r="AD245" s="118"/>
      <x:c r="AE245" s="118"/>
      <x:c r="AF245" s="118"/>
      <x:c r="AG245" s="118"/>
      <x:c r="AH245" s="118"/>
    </x:row>
    <x:row r="246">
      <x:c r="A246" s="147" t="str">
        <x:v>FY</x:v>
      </x:c>
      <x:c r="B246" s="147" t="str">
        <x:v>EBITDA Growth</x:v>
      </x:c>
      <x:c r="C246" s="147" t="str">
        <x:v>Capex</x:v>
      </x:c>
      <x:c r="D246" s="147" t="str">
        <x:v>Net PP&amp;E + CWIP</x:v>
      </x:c>
      <x:c r="E246" s="147" t="str">
        <x:v>Fixed Asset Turnover</x:v>
      </x:c>
      <x:c r="F246" s="147" t="str">
        <x:v>Operating ROCE</x:v>
      </x:c>
      <x:c r="G246" s="147" t="str">
        <x:v>FCF</x:v>
      </x:c>
      <x:c r="H246" s="147" t="str">
        <x:v>Analyst Read</x:v>
      </x:c>
      <x:c r="I246" s="118"/>
      <x:c r="J246" s="118"/>
      <x:c r="K246" s="118"/>
      <x:c r="L246" s="118"/>
      <x:c r="M246" s="118"/>
      <x:c r="N246" s="118"/>
      <x:c r="O246" s="118"/>
      <x:c r="P246" s="118"/>
      <x:c r="Q246" s="118"/>
      <x:c r="R246" s="118"/>
      <x:c r="S246" s="118"/>
      <x:c r="T246" s="118"/>
      <x:c r="U246" s="118"/>
      <x:c r="V246" s="118"/>
      <x:c r="W246" s="118"/>
      <x:c r="X246" s="118"/>
      <x:c r="Y246" s="118"/>
      <x:c r="Z246" s="118"/>
      <x:c r="AA246" s="118"/>
      <x:c r="AB246" s="118"/>
      <x:c r="AC246" s="118"/>
      <x:c r="AD246" s="118"/>
      <x:c r="AE246" s="118"/>
      <x:c r="AF246" s="118"/>
      <x:c r="AG246" s="118"/>
      <x:c r="AH246" s="118"/>
    </x:row>
    <x:row r="247">
      <x:c r="A247" s="118" t="str">
        <x:v>FY25A</x:v>
      </x:c>
      <x:c r="B247" s="120" t="n">
        <x:f>IFERROR(E14/D14-1,"")</x:f>
        <x:v>0.33039833803957186</x:v>
      </x:c>
      <x:c r="C247" s="198" t="n">
        <x:f>E20</x:f>
        <x:v>2667.161</x:v>
      </x:c>
      <x:c r="D247" s="198" t="n">
        <x:f>E24</x:f>
        <x:v>9933.233</x:v>
      </x:c>
      <x:c r="E247" s="199" t="n">
        <x:f>E42</x:f>
        <x:v>3.1627354505251795</x:v>
      </x:c>
      <x:c r="F247" s="120" t="n">
        <x:f>E46</x:f>
        <x:v>0.31276933047780936</x:v>
      </x:c>
      <x:c r="G247" s="198" t="n">
        <x:f>E19</x:f>
        <x:v>1516.2039999999997</x:v>
      </x:c>
      <x:c r="H247" s="118" t="str">
        <x:v>FY25: growth + returns both strong.</x:v>
      </x:c>
      <x:c r="I247" s="118"/>
      <x:c r="J247" s="118"/>
      <x:c r="K247" s="118"/>
      <x:c r="L247" s="118"/>
      <x:c r="M247" s="118"/>
      <x:c r="N247" s="118"/>
      <x:c r="O247" s="118"/>
      <x:c r="P247" s="118"/>
      <x:c r="Q247" s="118"/>
      <x:c r="R247" s="118"/>
      <x:c r="S247" s="118"/>
      <x:c r="T247" s="118"/>
      <x:c r="U247" s="118"/>
      <x:c r="V247" s="118"/>
      <x:c r="W247" s="118"/>
      <x:c r="X247" s="118"/>
      <x:c r="Y247" s="118"/>
      <x:c r="Z247" s="118"/>
      <x:c r="AA247" s="118"/>
      <x:c r="AB247" s="118"/>
      <x:c r="AC247" s="118"/>
      <x:c r="AD247" s="118"/>
      <x:c r="AE247" s="118"/>
      <x:c r="AF247" s="118"/>
      <x:c r="AG247" s="118"/>
      <x:c r="AH247" s="118"/>
    </x:row>
    <x:row r="248">
      <x:c r="A248" s="118" t="str">
        <x:v>FY26A</x:v>
      </x:c>
      <x:c r="B248" s="120" t="n">
        <x:f>IFERROR(F14/E14-1,"")</x:f>
        <x:v>0.30800536105148524</x:v>
      </x:c>
      <x:c r="C248" s="198" t="n">
        <x:f>F20</x:f>
        <x:v>2111.69</x:v>
      </x:c>
      <x:c r="D248" s="198" t="n">
        <x:f>F24</x:f>
        <x:v>10446.09</x:v>
      </x:c>
      <x:c r="E248" s="199" t="n">
        <x:f>F42</x:f>
        <x:v>2.8771253734326936</x:v>
      </x:c>
      <x:c r="F248" s="120" t="n">
        <x:f>F46</x:f>
        <x:v>0.3656786408282398</x:v>
      </x:c>
      <x:c r="G248" s="198" t="n">
        <x:f>F19</x:f>
        <x:v>6332.859999999999</x:v>
      </x:c>
      <x:c r="H248" s="118" t="str">
        <x:v>FY26: strong growth / cash conversion; pre-Unit IV base.</x:v>
      </x:c>
      <x:c r="I248" s="118"/>
      <x:c r="J248" s="118"/>
      <x:c r="K248" s="118"/>
      <x:c r="L248" s="118"/>
      <x:c r="M248" s="118"/>
      <x:c r="N248" s="118"/>
      <x:c r="O248" s="118"/>
      <x:c r="P248" s="118"/>
      <x:c r="Q248" s="118"/>
      <x:c r="R248" s="118"/>
      <x:c r="S248" s="118"/>
      <x:c r="T248" s="118"/>
      <x:c r="U248" s="118"/>
      <x:c r="V248" s="118"/>
      <x:c r="W248" s="118"/>
      <x:c r="X248" s="118"/>
      <x:c r="Y248" s="118"/>
      <x:c r="Z248" s="118"/>
      <x:c r="AA248" s="118"/>
      <x:c r="AB248" s="118"/>
      <x:c r="AC248" s="118"/>
      <x:c r="AD248" s="118"/>
      <x:c r="AE248" s="118"/>
      <x:c r="AF248" s="118"/>
      <x:c r="AG248" s="118"/>
      <x:c r="AH248" s="118"/>
    </x:row>
    <x:row r="249">
      <x:c r="A249" s="118" t="str">
        <x:v>FY27E</x:v>
      </x:c>
      <x:c r="B249" s="120" t="n">
        <x:f>IFERROR(G14/F14-1,"")</x:f>
        <x:v>0.12809190005783733</x:v>
      </x:c>
      <x:c r="C249" s="198" t="n">
        <x:f>G20</x:f>
        <x:v>7000</x:v>
      </x:c>
      <x:c r="D249" s="198" t="n">
        <x:f>G24</x:f>
        <x:v>15997.6692</x:v>
      </x:c>
      <x:c r="E249" s="199" t="n">
        <x:f>G42</x:f>
        <x:v>2.9818535360492966</x:v>
      </x:c>
      <x:c r="F249" s="120" t="n">
        <x:f>G46</x:f>
        <x:v>0.3518818395427073</x:v>
      </x:c>
      <x:c r="G249" s="198" t="n">
        <x:f>G19</x:f>
        <x:v>439.12266883032044</x:v>
      </x:c>
      <x:c r="H249" s="118" t="str">
        <x:v>FY27: capex spike compresses FCF and asset efficiency.</x:v>
      </x:c>
      <x:c r="I249" s="118"/>
      <x:c r="J249" s="118"/>
      <x:c r="K249" s="118"/>
      <x:c r="L249" s="118"/>
      <x:c r="M249" s="118"/>
      <x:c r="N249" s="118"/>
      <x:c r="O249" s="118"/>
      <x:c r="P249" s="118"/>
      <x:c r="Q249" s="118"/>
      <x:c r="R249" s="118"/>
      <x:c r="S249" s="118"/>
      <x:c r="T249" s="118"/>
      <x:c r="U249" s="118"/>
      <x:c r="V249" s="118"/>
      <x:c r="W249" s="118"/>
      <x:c r="X249" s="118"/>
      <x:c r="Y249" s="118"/>
      <x:c r="Z249" s="118"/>
      <x:c r="AA249" s="118"/>
      <x:c r="AB249" s="118"/>
      <x:c r="AC249" s="118"/>
      <x:c r="AD249" s="118"/>
      <x:c r="AE249" s="118"/>
      <x:c r="AF249" s="118"/>
      <x:c r="AG249" s="118"/>
      <x:c r="AH249" s="118"/>
    </x:row>
    <x:row r="250">
      <x:c r="A250" s="118" t="str">
        <x:v>FY28E</x:v>
      </x:c>
      <x:c r="B250" s="120" t="n">
        <x:f>IFERROR(H14/G14-1,"")</x:f>
        <x:v>0.16872099823183628</x:v>
      </x:c>
      <x:c r="C250" s="198" t="n">
        <x:f>H20</x:f>
        <x:v>5000</x:v>
      </x:c>
      <x:c r="D250" s="198" t="n">
        <x:f>H24</x:f>
        <x:v>18900.995728</x:v>
      </x:c>
      <x:c r="E250" s="199" t="n">
        <x:f>H42</x:f>
        <x:v>2.403145707033759</x:v>
      </x:c>
      <x:c r="F250" s="120" t="n">
        <x:f>H46</x:f>
        <x:v>0.3195355601429512</x:v>
      </x:c>
      <x:c r="G250" s="198" t="n">
        <x:f>H19</x:f>
        <x:v>3569.2076649556384</x:v>
      </x:c>
      <x:c r="H250" s="118" t="str">
        <x:v>FY28: PP&amp;E capitalises; depreciation rises before full monetisation.</x:v>
      </x:c>
      <x:c r="I250" s="118"/>
      <x:c r="J250" s="118"/>
      <x:c r="K250" s="118"/>
      <x:c r="L250" s="118"/>
      <x:c r="M250" s="118"/>
      <x:c r="N250" s="118"/>
      <x:c r="O250" s="118"/>
      <x:c r="P250" s="118"/>
      <x:c r="Q250" s="118"/>
      <x:c r="R250" s="118"/>
      <x:c r="S250" s="118"/>
      <x:c r="T250" s="118"/>
      <x:c r="U250" s="118"/>
      <x:c r="V250" s="118"/>
      <x:c r="W250" s="118"/>
      <x:c r="X250" s="118"/>
      <x:c r="Y250" s="118"/>
      <x:c r="Z250" s="118"/>
      <x:c r="AA250" s="118"/>
      <x:c r="AB250" s="118"/>
      <x:c r="AC250" s="118"/>
      <x:c r="AD250" s="118"/>
      <x:c r="AE250" s="118"/>
      <x:c r="AF250" s="118"/>
      <x:c r="AG250" s="118"/>
      <x:c r="AH250" s="118"/>
    </x:row>
    <x:row r="251">
      <x:c r="A251" s="118" t="str">
        <x:v>FY29E</x:v>
      </x:c>
      <x:c r="B251" s="120" t="n">
        <x:f>IFERROR(I14/H14-1,"")</x:f>
        <x:v>0.1897565866940838</x:v>
      </x:c>
      <x:c r="C251" s="198" t="n">
        <x:f>I20</x:f>
        <x:v>2500</x:v>
      </x:c>
      <x:c r="D251" s="198" t="n">
        <x:f>I24</x:f>
        <x:v>18599.79001152</x:v>
      </x:c>
      <x:c r="E251" s="199" t="n">
        <x:f>I42</x:f>
        <x:v>2.108296118939081</x:v>
      </x:c>
      <x:c r="F251" s="120" t="n">
        <x:f>I46</x:f>
        <x:v>0.3409500618971484</x:v>
      </x:c>
      <x:c r="G251" s="198" t="n">
        <x:f>I19</x:f>
        <x:v>7894.916505516756</x:v>
      </x:c>
      <x:c r="H251" s="118" t="str">
        <x:v>FY29: first material ramp year in analyst framework.</x:v>
      </x:c>
      <x:c r="I251" s="118"/>
      <x:c r="J251" s="118"/>
      <x:c r="K251" s="118"/>
      <x:c r="L251" s="118"/>
      <x:c r="M251" s="118"/>
      <x:c r="N251" s="118"/>
      <x:c r="O251" s="118"/>
      <x:c r="P251" s="118"/>
      <x:c r="Q251" s="118"/>
      <x:c r="R251" s="118"/>
      <x:c r="S251" s="118"/>
      <x:c r="T251" s="118"/>
      <x:c r="U251" s="118"/>
      <x:c r="V251" s="118"/>
      <x:c r="W251" s="118"/>
      <x:c r="X251" s="118"/>
      <x:c r="Y251" s="118"/>
      <x:c r="Z251" s="118"/>
      <x:c r="AA251" s="118"/>
      <x:c r="AB251" s="118"/>
      <x:c r="AC251" s="118"/>
      <x:c r="AD251" s="118"/>
      <x:c r="AE251" s="118"/>
      <x:c r="AF251" s="118"/>
      <x:c r="AG251" s="118"/>
      <x:c r="AH251" s="118"/>
    </x:row>
    <x:row r="252">
      <x:c r="A252" s="118" t="str">
        <x:v>FY30E</x:v>
      </x:c>
      <x:c r="B252" s="120" t="n">
        <x:f>IFERROR(J14/I14-1,"")</x:f>
        <x:v>0.1790356336415564</x:v>
      </x:c>
      <x:c r="C252" s="198" t="n">
        <x:f>J20</x:f>
        <x:v>2200</x:v>
      </x:c>
      <x:c r="D252" s="198" t="n">
        <x:f>J24</x:f>
        <x:v>17830.777209677</x:v>
      </x:c>
      <x:c r="E252" s="199" t="n">
        <x:f>J42</x:f>
        <x:v>2.290518121781138</x:v>
      </x:c>
      <x:c r="F252" s="120" t="n">
        <x:f>J46</x:f>
        <x:v>0.403782139679983</x:v>
      </x:c>
      <x:c r="G252" s="198" t="n">
        <x:f>J19</x:f>
        <x:v>9790.001238773428</x:v>
      </x:c>
      <x:c r="H252" s="118" t="str">
        <x:v>FY30: returns should inflect if campaigns fill new capacity.</x:v>
      </x:c>
      <x:c r="I252" s="118"/>
      <x:c r="J252" s="118"/>
      <x:c r="K252" s="118"/>
      <x:c r="L252" s="118"/>
      <x:c r="M252" s="118"/>
      <x:c r="N252" s="118"/>
      <x:c r="O252" s="118"/>
      <x:c r="P252" s="118"/>
      <x:c r="Q252" s="118"/>
      <x:c r="R252" s="118"/>
      <x:c r="S252" s="118"/>
      <x:c r="T252" s="118"/>
      <x:c r="U252" s="118"/>
      <x:c r="V252" s="118"/>
      <x:c r="W252" s="118"/>
      <x:c r="X252" s="118"/>
      <x:c r="Y252" s="118"/>
      <x:c r="Z252" s="118"/>
      <x:c r="AA252" s="118"/>
      <x:c r="AB252" s="118"/>
      <x:c r="AC252" s="118"/>
      <x:c r="AD252" s="118"/>
      <x:c r="AE252" s="118"/>
      <x:c r="AF252" s="118"/>
      <x:c r="AG252" s="118"/>
      <x:c r="AH252" s="118"/>
    </x:row>
    <x:row r="253">
      <x:c r="A253" s="118" t="str">
        <x:v>FY31E</x:v>
      </x:c>
      <x:c r="B253" s="120" t="n">
        <x:f>IFERROR(K14/J14-1,"")</x:f>
        <x:v>0.15296693996735677</x:v>
      </x:c>
      <x:c r="C253" s="198" t="n">
        <x:f>K20</x:f>
        <x:v>2420.2010217811408</x:v>
      </x:c>
      <x:c r="D253" s="198" t="n">
        <x:f>K24</x:f>
        <x:v>17307.391396167</x:v>
      </x:c>
      <x:c r="E253" s="199" t="n">
        <x:f>K42</x:f>
        <x:v>2.5998246300361636</x:v>
      </x:c>
      <x:c r="F253" s="120" t="n">
        <x:f>K46</x:f>
        <x:v>0.47284080122286</x:v>
      </x:c>
      <x:c r="G253" s="198" t="n">
        <x:f>K19</x:f>
        <x:v>11276.279012610416</x:v>
      </x:c>
      <x:c r="H253" s="118" t="str">
        <x:v>FY31: model requires clear asset-turn / ROCE recovery.</x:v>
      </x:c>
      <x:c r="I253" s="118"/>
      <x:c r="J253" s="118"/>
      <x:c r="K253" s="118"/>
      <x:c r="L253" s="118"/>
      <x:c r="M253" s="118"/>
      <x:c r="N253" s="118"/>
      <x:c r="O253" s="118"/>
      <x:c r="P253" s="118"/>
      <x:c r="Q253" s="118"/>
      <x:c r="R253" s="118"/>
      <x:c r="S253" s="118"/>
      <x:c r="T253" s="118"/>
      <x:c r="U253" s="118"/>
      <x:c r="V253" s="118"/>
      <x:c r="W253" s="118"/>
      <x:c r="X253" s="118"/>
      <x:c r="Y253" s="118"/>
      <x:c r="Z253" s="118"/>
      <x:c r="AA253" s="118"/>
      <x:c r="AB253" s="118"/>
      <x:c r="AC253" s="118"/>
      <x:c r="AD253" s="118"/>
      <x:c r="AE253" s="118"/>
      <x:c r="AF253" s="118"/>
      <x:c r="AG253" s="118"/>
      <x:c r="AH253" s="118"/>
    </x:row>
    <x:row r="254">
      <x:c r="A254" s="118"/>
      <x:c r="B254" s="118"/>
      <x:c r="C254" s="118"/>
      <x:c r="D254" s="118"/>
      <x:c r="E254" s="118"/>
      <x:c r="F254" s="118"/>
      <x:c r="G254" s="118"/>
      <x:c r="H254" s="118"/>
      <x:c r="I254" s="118"/>
      <x:c r="J254" s="118"/>
      <x:c r="K254" s="118"/>
      <x:c r="L254" s="118"/>
      <x:c r="M254" s="118"/>
      <x:c r="N254" s="118"/>
      <x:c r="O254" s="118"/>
      <x:c r="P254" s="118"/>
      <x:c r="Q254" s="118"/>
      <x:c r="R254" s="118"/>
      <x:c r="S254" s="118"/>
      <x:c r="T254" s="118"/>
      <x:c r="U254" s="118"/>
      <x:c r="V254" s="118"/>
      <x:c r="W254" s="118"/>
      <x:c r="X254" s="118"/>
      <x:c r="Y254" s="118"/>
      <x:c r="Z254" s="118"/>
      <x:c r="AA254" s="118"/>
      <x:c r="AB254" s="118"/>
      <x:c r="AC254" s="118"/>
      <x:c r="AD254" s="118"/>
      <x:c r="AE254" s="118"/>
      <x:c r="AF254" s="118"/>
      <x:c r="AG254" s="118"/>
      <x:c r="AH254" s="118"/>
    </x:row>
    <x:row r="255">
      <x:c r="A255" s="118"/>
      <x:c r="B255" s="118"/>
      <x:c r="C255" s="118"/>
      <x:c r="D255" s="118"/>
      <x:c r="E255" s="118"/>
      <x:c r="F255" s="118"/>
      <x:c r="G255" s="118"/>
      <x:c r="H255" s="118"/>
      <x:c r="I255" s="118"/>
      <x:c r="J255" s="118"/>
      <x:c r="K255" s="118"/>
      <x:c r="L255" s="118"/>
      <x:c r="M255" s="118"/>
      <x:c r="N255" s="118"/>
      <x:c r="O255" s="118"/>
      <x:c r="P255" s="118"/>
      <x:c r="Q255" s="118"/>
      <x:c r="R255" s="118"/>
      <x:c r="S255" s="118"/>
      <x:c r="T255" s="118"/>
      <x:c r="U255" s="118"/>
      <x:c r="V255" s="118"/>
      <x:c r="W255" s="118"/>
      <x:c r="X255" s="118"/>
      <x:c r="Y255" s="118"/>
      <x:c r="Z255" s="118"/>
      <x:c r="AA255" s="118"/>
      <x:c r="AB255" s="118"/>
      <x:c r="AC255" s="118"/>
      <x:c r="AD255" s="118"/>
      <x:c r="AE255" s="118"/>
      <x:c r="AF255" s="118"/>
      <x:c r="AG255" s="118"/>
      <x:c r="AH255" s="118"/>
    </x:row>
    <x:row r="256">
      <x:c r="A256" s="118"/>
      <x:c r="B256" s="118"/>
      <x:c r="C256" s="118"/>
      <x:c r="D256" s="118"/>
      <x:c r="E256" s="118"/>
      <x:c r="F256" s="118"/>
      <x:c r="G256" s="118"/>
      <x:c r="H256" s="118"/>
      <x:c r="I256" s="118"/>
      <x:c r="J256" s="118"/>
      <x:c r="K256" s="118"/>
      <x:c r="L256" s="118"/>
      <x:c r="M256" s="118"/>
      <x:c r="N256" s="118"/>
      <x:c r="O256" s="118"/>
      <x:c r="P256" s="118"/>
      <x:c r="Q256" s="118"/>
      <x:c r="R256" s="118"/>
      <x:c r="S256" s="118"/>
      <x:c r="T256" s="118"/>
      <x:c r="U256" s="118"/>
      <x:c r="V256" s="118"/>
      <x:c r="W256" s="118"/>
      <x:c r="X256" s="118"/>
      <x:c r="Y256" s="118"/>
      <x:c r="Z256" s="118"/>
      <x:c r="AA256" s="118"/>
      <x:c r="AB256" s="118"/>
      <x:c r="AC256" s="118"/>
      <x:c r="AD256" s="118"/>
      <x:c r="AE256" s="118"/>
      <x:c r="AF256" s="118"/>
      <x:c r="AG256" s="118"/>
      <x:c r="AH256" s="118"/>
    </x:row>
    <x:row r="257" ht="20" customHeight="1">
      <x:c r="A257" s="146" t="str">
        <x:v>V. UNIT IV FORECAST CHECK</x:v>
      </x:c>
      <x:c r="B257" s="146"/>
      <x:c r="C257" s="146"/>
      <x:c r="D257" s="146"/>
      <x:c r="E257" s="146"/>
      <x:c r="F257" s="146"/>
      <x:c r="G257" s="146"/>
      <x:c r="H257" s="146"/>
      <x:c r="I257" s="118"/>
      <x:c r="J257" s="118"/>
      <x:c r="K257" s="118"/>
      <x:c r="L257" s="118"/>
      <x:c r="M257" s="118"/>
      <x:c r="N257" s="118"/>
      <x:c r="O257" s="118"/>
      <x:c r="P257" s="118"/>
      <x:c r="Q257" s="118"/>
      <x:c r="R257" s="118"/>
      <x:c r="S257" s="118"/>
      <x:c r="T257" s="118"/>
      <x:c r="U257" s="118"/>
      <x:c r="V257" s="118"/>
      <x:c r="W257" s="118"/>
      <x:c r="X257" s="118"/>
      <x:c r="Y257" s="118"/>
      <x:c r="Z257" s="118"/>
      <x:c r="AA257" s="118"/>
      <x:c r="AB257" s="118"/>
      <x:c r="AC257" s="118"/>
      <x:c r="AD257" s="118"/>
      <x:c r="AE257" s="118"/>
      <x:c r="AF257" s="118"/>
      <x:c r="AG257" s="118"/>
      <x:c r="AH257" s="118"/>
    </x:row>
    <x:row r="258">
      <x:c r="A258" s="147" t="str">
        <x:v>FY</x:v>
      </x:c>
      <x:c r="B258" s="147" t="str">
        <x:v>Model D&amp;M Revenue</x:v>
      </x:c>
      <x:c r="C258" s="147" t="str">
        <x:v>Existing Capacity Supported</x:v>
      </x:c>
      <x:c r="D258" s="147" t="str">
        <x:v>Unit IV Supported</x:v>
      </x:c>
      <x:c r="E258" s="147" t="str">
        <x:v>Pipeline / Other Required</x:v>
      </x:c>
      <x:c r="F258" s="147" t="str">
        <x:v>Difference % vs Cross-check</x:v>
      </x:c>
      <x:c r="G258" s="147" t="str">
        <x:v>Analyst Assessment</x:v>
      </x:c>
      <x:c r="H258" s="147" t="str">
        <x:v>Key Timing Check</x:v>
      </x:c>
      <x:c r="I258" s="118"/>
      <x:c r="J258" s="118"/>
      <x:c r="K258" s="118"/>
      <x:c r="L258" s="118"/>
      <x:c r="M258" s="118"/>
      <x:c r="N258" s="118"/>
      <x:c r="O258" s="118"/>
      <x:c r="P258" s="118"/>
      <x:c r="Q258" s="118"/>
      <x:c r="R258" s="118"/>
      <x:c r="S258" s="118"/>
      <x:c r="T258" s="118"/>
      <x:c r="U258" s="118"/>
      <x:c r="V258" s="118"/>
      <x:c r="W258" s="118"/>
      <x:c r="X258" s="118"/>
      <x:c r="Y258" s="118"/>
      <x:c r="Z258" s="118"/>
      <x:c r="AA258" s="118"/>
      <x:c r="AB258" s="118"/>
      <x:c r="AC258" s="118"/>
      <x:c r="AD258" s="118"/>
      <x:c r="AE258" s="118"/>
      <x:c r="AF258" s="118"/>
      <x:c r="AG258" s="118"/>
      <x:c r="AH258" s="118"/>
    </x:row>
    <x:row r="259">
      <x:c r="A259" s="118" t="str">
        <x:v>FY27E</x:v>
      </x:c>
      <x:c r="B259" s="192" t="n">
        <x:v>18397.216</x:v>
      </x:c>
      <x:c r="C259" s="198" t="n">
        <x:f>D155</x:f>
        <x:v>17741.832</x:v>
      </x:c>
      <x:c r="D259" s="198" t="n">
        <x:f>D156</x:f>
        <x:v>0</x:v>
      </x:c>
      <x:c r="E259" s="198" t="n">
        <x:f>B259-C259-D259</x:f>
        <x:v>655.3840000000018</x:v>
      </x:c>
      <x:c r="F259" s="120" t="n">
        <x:f>IFERROR(E259/B259,"")</x:f>
        <x:v>0.03562408573123248</x:v>
      </x:c>
      <x:c r="G259" s="118" t="str">
        <x:v>Existing capacity can support near-term growth; no Unit IV contribution assumed.</x:v>
      </x:c>
      <x:c r="H259" s="118" t="str">
        <x:v>Shipment timing / existing capacity</x:v>
      </x:c>
      <x:c r="I259" s="118"/>
      <x:c r="J259" s="118"/>
      <x:c r="K259" s="118"/>
      <x:c r="L259" s="118"/>
      <x:c r="M259" s="118"/>
      <x:c r="N259" s="118"/>
      <x:c r="O259" s="118"/>
      <x:c r="P259" s="118"/>
      <x:c r="Q259" s="118"/>
      <x:c r="R259" s="118"/>
      <x:c r="S259" s="118"/>
      <x:c r="T259" s="118"/>
      <x:c r="U259" s="118"/>
      <x:c r="V259" s="118"/>
      <x:c r="W259" s="118"/>
      <x:c r="X259" s="118"/>
      <x:c r="Y259" s="118"/>
      <x:c r="Z259" s="118"/>
      <x:c r="AA259" s="118"/>
      <x:c r="AB259" s="118"/>
      <x:c r="AC259" s="118"/>
      <x:c r="AD259" s="118"/>
      <x:c r="AE259" s="118"/>
      <x:c r="AF259" s="118"/>
      <x:c r="AG259" s="118"/>
      <x:c r="AH259" s="118"/>
    </x:row>
    <x:row r="260">
      <x:c r="A260" s="118" t="str">
        <x:v>FY28E</x:v>
      </x:c>
      <x:c r="B260" s="192" t="n">
        <x:v>21795.24704</x:v>
      </x:c>
      <x:c r="C260" s="198" t="n">
        <x:f>E155</x:f>
        <x:v>20403.106799999998</x:v>
      </x:c>
      <x:c r="D260" s="198" t="n">
        <x:f>E156</x:f>
        <x:v>0</x:v>
      </x:c>
      <x:c r="E260" s="198" t="n">
        <x:f>B260-C260-D260</x:f>
        <x:v>1392.1402400000006</x:v>
      </x:c>
      <x:c r="F260" s="120" t="n">
        <x:f>IFERROR(E260/B260,"")</x:f>
        <x:v>0.06387357011577148</x:v>
      </x:c>
      <x:c r="G260" s="118" t="str">
        <x:v>Same: Unit IV only ready end-FY28, so model should not rely on it.</x:v>
      </x:c>
      <x:c r="H260" s="118" t="str">
        <x:v>Commissioning / qualification should not be pulled forward</x:v>
      </x:c>
      <x:c r="I260" s="118"/>
      <x:c r="J260" s="118"/>
      <x:c r="K260" s="118"/>
      <x:c r="L260" s="118"/>
      <x:c r="M260" s="118"/>
      <x:c r="N260" s="118"/>
      <x:c r="O260" s="118"/>
      <x:c r="P260" s="118"/>
      <x:c r="Q260" s="118"/>
      <x:c r="R260" s="118"/>
      <x:c r="S260" s="118"/>
      <x:c r="T260" s="118"/>
      <x:c r="U260" s="118"/>
      <x:c r="V260" s="118"/>
      <x:c r="W260" s="118"/>
      <x:c r="X260" s="118"/>
      <x:c r="Y260" s="118"/>
      <x:c r="Z260" s="118"/>
      <x:c r="AA260" s="118"/>
      <x:c r="AB260" s="118"/>
      <x:c r="AC260" s="118"/>
      <x:c r="AD260" s="118"/>
      <x:c r="AE260" s="118"/>
      <x:c r="AF260" s="118"/>
      <x:c r="AG260" s="118"/>
      <x:c r="AH260" s="118"/>
    </x:row>
    <x:row r="261">
      <x:c r="A261" s="118" t="str">
        <x:v>FY29E</x:v>
      </x:c>
      <x:c r="B261" s="192" t="n">
        <x:v>25876.635507199997</x:v>
      </x:c>
      <x:c r="C261" s="198" t="n">
        <x:f>F155</x:f>
        <x:v>21423.26214</x:v>
      </x:c>
      <x:c r="D261" s="198" t="n">
        <x:f>F156</x:f>
        <x:v>771.4285714285714</x:v>
      </x:c>
      <x:c r="E261" s="198" t="n">
        <x:f>B261-C261-D261</x:f>
        <x:v>3681.9447957714265</x:v>
      </x:c>
      <x:c r="F261" s="120" t="n">
        <x:f>IFERROR(E261/B261,"")</x:f>
        <x:v>0.14228838964582358</x:v>
      </x:c>
      <x:c r="G261" s="118" t="str">
        <x:v>Model begins to require Unit IV + strong pipeline conversion.</x:v>
      </x:c>
      <x:c r="H261" s="118" t="str">
        <x:v>First customer transfers / audits</x:v>
      </x:c>
      <x:c r="I261" s="118"/>
      <x:c r="J261" s="118"/>
      <x:c r="K261" s="118"/>
      <x:c r="L261" s="118"/>
      <x:c r="M261" s="118"/>
      <x:c r="N261" s="118"/>
      <x:c r="O261" s="118"/>
      <x:c r="P261" s="118"/>
      <x:c r="Q261" s="118"/>
      <x:c r="R261" s="118"/>
      <x:c r="S261" s="118"/>
      <x:c r="T261" s="118"/>
      <x:c r="U261" s="118"/>
      <x:c r="V261" s="118"/>
      <x:c r="W261" s="118"/>
      <x:c r="X261" s="118"/>
      <x:c r="Y261" s="118"/>
      <x:c r="Z261" s="118"/>
      <x:c r="AA261" s="118"/>
      <x:c r="AB261" s="118"/>
      <x:c r="AC261" s="118"/>
      <x:c r="AD261" s="118"/>
      <x:c r="AE261" s="118"/>
      <x:c r="AF261" s="118"/>
      <x:c r="AG261" s="118"/>
      <x:c r="AH261" s="118"/>
    </x:row>
    <x:row r="262">
      <x:c r="A262" s="118" t="str">
        <x:v>FY30E</x:v>
      </x:c>
      <x:c r="B262" s="192" t="n">
        <x:v>30043.949764351994</x:v>
      </x:c>
      <x:c r="C262" s="198" t="n">
        <x:f>G155</x:f>
        <x:v>22494.425247</x:v>
      </x:c>
      <x:c r="D262" s="198" t="n">
        <x:f>G156</x:f>
        <x:v>2057.1428571428573</x:v>
      </x:c>
      <x:c r="E262" s="198" t="n">
        <x:f>B262-C262-D262</x:f>
        <x:v>5492.381660209137</x:v>
      </x:c>
      <x:c r="F262" s="120" t="n">
        <x:f>IFERROR(E262/B262,"")</x:f>
        <x:v>0.1828115711578644</x:v>
      </x:c>
      <x:c r="G262" s="118" t="str">
        <x:v>Higher reliance on utilisation / commercialisation.</x:v>
      </x:c>
      <x:c r="H262" s="118" t="str">
        <x:v>Utilisation ramp</x:v>
      </x:c>
      <x:c r="I262" s="118"/>
      <x:c r="J262" s="118"/>
      <x:c r="K262" s="118"/>
      <x:c r="L262" s="118"/>
      <x:c r="M262" s="118"/>
      <x:c r="N262" s="118"/>
      <x:c r="O262" s="118"/>
      <x:c r="P262" s="118"/>
      <x:c r="Q262" s="118"/>
      <x:c r="R262" s="118"/>
      <x:c r="S262" s="118"/>
      <x:c r="T262" s="118"/>
      <x:c r="U262" s="118"/>
      <x:c r="V262" s="118"/>
      <x:c r="W262" s="118"/>
      <x:c r="X262" s="118"/>
      <x:c r="Y262" s="118"/>
      <x:c r="Z262" s="118"/>
      <x:c r="AA262" s="118"/>
      <x:c r="AB262" s="118"/>
      <x:c r="AC262" s="118"/>
      <x:c r="AD262" s="118"/>
      <x:c r="AE262" s="118"/>
      <x:c r="AF262" s="118"/>
      <x:c r="AG262" s="118"/>
      <x:c r="AH262" s="118"/>
    </x:row>
    <x:row r="263">
      <x:c r="A263" s="118" t="str">
        <x:v>FY31E</x:v>
      </x:c>
      <x:c r="B263" s="192" t="n">
        <x:v>33974.42689520128</x:v>
      </x:c>
      <x:c r="C263" s="198" t="n">
        <x:f>H155</x:f>
        <x:v>23619.14650935</x:v>
      </x:c>
      <x:c r="D263" s="198" t="n">
        <x:f>H156</x:f>
        <x:v>3600</x:v>
      </x:c>
      <x:c r="E263" s="198" t="n">
        <x:f>B263-C263-D263</x:f>
        <x:v>6755.280385851278</x:v>
      </x:c>
      <x:c r="F263" s="120" t="n">
        <x:f>IFERROR(E263/B263,"")</x:f>
        <x:v>0.19883427045550628</x:v>
      </x:c>
      <x:c r="G263" s="118" t="str">
        <x:v>Full return thesis requires meaningful Unit IV monetisation.</x:v>
      </x:c>
      <x:c r="H263" s="118" t="str">
        <x:v>Asset-turn / ROCE recovery</x:v>
      </x:c>
      <x:c r="I263" s="118"/>
      <x:c r="J263" s="118"/>
      <x:c r="K263" s="118"/>
      <x:c r="L263" s="118"/>
      <x:c r="M263" s="118"/>
      <x:c r="N263" s="118"/>
      <x:c r="O263" s="118"/>
      <x:c r="P263" s="118"/>
      <x:c r="Q263" s="118"/>
      <x:c r="R263" s="118"/>
      <x:c r="S263" s="118"/>
      <x:c r="T263" s="118"/>
      <x:c r="U263" s="118"/>
      <x:c r="V263" s="118"/>
      <x:c r="W263" s="118"/>
      <x:c r="X263" s="118"/>
      <x:c r="Y263" s="118"/>
      <x:c r="Z263" s="118"/>
      <x:c r="AA263" s="118"/>
      <x:c r="AB263" s="118"/>
      <x:c r="AC263" s="118"/>
      <x:c r="AD263" s="118"/>
      <x:c r="AE263" s="118"/>
      <x:c r="AF263" s="118"/>
      <x:c r="AG263" s="118"/>
      <x:c r="AH263" s="118"/>
    </x:row>
    <x:row r="264">
      <x:c r="A264" s="118"/>
      <x:c r="B264" s="118"/>
      <x:c r="C264" s="118"/>
      <x:c r="D264" s="118"/>
      <x:c r="E264" s="118"/>
      <x:c r="F264" s="118"/>
      <x:c r="G264" s="118"/>
      <x:c r="H264" s="118"/>
      <x:c r="I264" s="118"/>
      <x:c r="J264" s="118"/>
      <x:c r="K264" s="118"/>
      <x:c r="L264" s="118"/>
      <x:c r="M264" s="118"/>
      <x:c r="N264" s="118"/>
      <x:c r="O264" s="118"/>
      <x:c r="P264" s="118"/>
      <x:c r="Q264" s="118"/>
      <x:c r="R264" s="118"/>
      <x:c r="S264" s="118"/>
      <x:c r="T264" s="118"/>
      <x:c r="U264" s="118"/>
      <x:c r="V264" s="118"/>
      <x:c r="W264" s="118"/>
      <x:c r="X264" s="118"/>
      <x:c r="Y264" s="118"/>
      <x:c r="Z264" s="118"/>
      <x:c r="AA264" s="118"/>
      <x:c r="AB264" s="118"/>
      <x:c r="AC264" s="118"/>
      <x:c r="AD264" s="118"/>
      <x:c r="AE264" s="118"/>
      <x:c r="AF264" s="118"/>
      <x:c r="AG264" s="118"/>
      <x:c r="AH264" s="118"/>
    </x:row>
    <x:row r="265">
      <x:c r="A265" s="118"/>
      <x:c r="B265" s="118"/>
      <x:c r="C265" s="118"/>
      <x:c r="D265" s="118"/>
      <x:c r="E265" s="118"/>
      <x:c r="F265" s="118"/>
      <x:c r="G265" s="118"/>
      <x:c r="H265" s="118"/>
      <x:c r="I265" s="118"/>
      <x:c r="J265" s="118"/>
      <x:c r="K265" s="118"/>
      <x:c r="L265" s="118"/>
      <x:c r="M265" s="118"/>
      <x:c r="N265" s="118"/>
      <x:c r="O265" s="118"/>
      <x:c r="P265" s="118"/>
      <x:c r="Q265" s="118"/>
      <x:c r="R265" s="118"/>
      <x:c r="S265" s="118"/>
      <x:c r="T265" s="118"/>
      <x:c r="U265" s="118"/>
      <x:c r="V265" s="118"/>
      <x:c r="W265" s="118"/>
      <x:c r="X265" s="118"/>
      <x:c r="Y265" s="118"/>
      <x:c r="Z265" s="118"/>
      <x:c r="AA265" s="118"/>
      <x:c r="AB265" s="118"/>
      <x:c r="AC265" s="118"/>
      <x:c r="AD265" s="118"/>
      <x:c r="AE265" s="118"/>
      <x:c r="AF265" s="118"/>
      <x:c r="AG265" s="118"/>
      <x:c r="AH265" s="118"/>
    </x:row>
    <x:row r="266" ht="20" customHeight="1">
      <x:c r="A266" s="146" t="str">
        <x:v>W. R&amp;D VS D&amp;M CAPITAL INTENSITY</x:v>
      </x:c>
      <x:c r="B266" s="146"/>
      <x:c r="C266" s="146"/>
      <x:c r="D266" s="146"/>
      <x:c r="E266" s="146"/>
      <x:c r="F266" s="146"/>
      <x:c r="G266" s="146"/>
      <x:c r="H266" s="146"/>
      <x:c r="I266" s="118"/>
      <x:c r="J266" s="118"/>
      <x:c r="K266" s="118"/>
      <x:c r="L266" s="118"/>
      <x:c r="M266" s="118"/>
      <x:c r="N266" s="118"/>
      <x:c r="O266" s="118"/>
      <x:c r="P266" s="118"/>
      <x:c r="Q266" s="118"/>
      <x:c r="R266" s="118"/>
      <x:c r="S266" s="118"/>
      <x:c r="T266" s="118"/>
      <x:c r="U266" s="118"/>
      <x:c r="V266" s="118"/>
      <x:c r="W266" s="118"/>
      <x:c r="X266" s="118"/>
      <x:c r="Y266" s="118"/>
      <x:c r="Z266" s="118"/>
      <x:c r="AA266" s="118"/>
      <x:c r="AB266" s="118"/>
      <x:c r="AC266" s="118"/>
      <x:c r="AD266" s="118"/>
      <x:c r="AE266" s="118"/>
      <x:c r="AF266" s="118"/>
      <x:c r="AG266" s="118"/>
      <x:c r="AH266" s="118"/>
    </x:row>
    <x:row r="267">
      <x:c r="A267" s="147" t="str">
        <x:v>Metric</x:v>
      </x:c>
      <x:c r="B267" s="147" t="str">
        <x:v>R&amp;D</x:v>
      </x:c>
      <x:c r="C267" s="147" t="str">
        <x:v>D&amp;M</x:v>
      </x:c>
      <x:c r="D267" s="147" t="str">
        <x:v>FY25A</x:v>
      </x:c>
      <x:c r="E267" s="147" t="str">
        <x:v>FY26A</x:v>
      </x:c>
      <x:c r="F267" s="147" t="str">
        <x:v>FY28E</x:v>
      </x:c>
      <x:c r="G267" s="147" t="str">
        <x:v>FY31E</x:v>
      </x:c>
      <x:c r="H267" s="147" t="str">
        <x:v>Analyst Interpretation</x:v>
      </x:c>
      <x:c r="I267" s="118"/>
      <x:c r="J267" s="118"/>
      <x:c r="K267" s="118"/>
      <x:c r="L267" s="118"/>
      <x:c r="M267" s="118"/>
      <x:c r="N267" s="118"/>
      <x:c r="O267" s="118"/>
      <x:c r="P267" s="118"/>
      <x:c r="Q267" s="118"/>
      <x:c r="R267" s="118"/>
      <x:c r="S267" s="118"/>
      <x:c r="T267" s="118"/>
      <x:c r="U267" s="118"/>
      <x:c r="V267" s="118"/>
      <x:c r="W267" s="118"/>
      <x:c r="X267" s="118"/>
      <x:c r="Y267" s="118"/>
      <x:c r="Z267" s="118"/>
      <x:c r="AA267" s="118"/>
      <x:c r="AB267" s="118"/>
      <x:c r="AC267" s="118"/>
      <x:c r="AD267" s="118"/>
      <x:c r="AE267" s="118"/>
      <x:c r="AF267" s="118"/>
      <x:c r="AG267" s="118"/>
      <x:c r="AH267" s="118"/>
    </x:row>
    <x:row r="268">
      <x:c r="A268" s="118" t="str">
        <x:v>Capital Intensity</x:v>
      </x:c>
      <x:c r="B268" s="118" t="str">
        <x:v>Lower physical; higher human capital</x:v>
      </x:c>
      <x:c r="C268" s="118" t="str">
        <x:v>Higher physical PP&amp;E / CWIP</x:v>
      </x:c>
      <x:c r="D268" s="118" t="str">
        <x:v>NA</x:v>
      </x:c>
      <x:c r="E268" s="118" t="str">
        <x:v>NA</x:v>
      </x:c>
      <x:c r="F268" s="118" t="str">
        <x:v>NA</x:v>
      </x:c>
      <x:c r="G268" s="118" t="str">
        <x:v>NA</x:v>
      </x:c>
      <x:c r="H268" s="118" t="str">
        <x:v>Mix shift to manufacturing raises capital intensity.</x:v>
      </x:c>
      <x:c r="I268" s="118"/>
      <x:c r="J268" s="118"/>
      <x:c r="K268" s="118"/>
      <x:c r="L268" s="118"/>
      <x:c r="M268" s="118"/>
      <x:c r="N268" s="118"/>
      <x:c r="O268" s="118"/>
      <x:c r="P268" s="118"/>
      <x:c r="Q268" s="118"/>
      <x:c r="R268" s="118"/>
      <x:c r="S268" s="118"/>
      <x:c r="T268" s="118"/>
      <x:c r="U268" s="118"/>
      <x:c r="V268" s="118"/>
      <x:c r="W268" s="118"/>
      <x:c r="X268" s="118"/>
      <x:c r="Y268" s="118"/>
      <x:c r="Z268" s="118"/>
      <x:c r="AA268" s="118"/>
      <x:c r="AB268" s="118"/>
      <x:c r="AC268" s="118"/>
      <x:c r="AD268" s="118"/>
      <x:c r="AE268" s="118"/>
      <x:c r="AF268" s="118"/>
      <x:c r="AG268" s="118"/>
      <x:c r="AH268" s="118"/>
    </x:row>
    <x:row r="269">
      <x:c r="A269" s="118" t="str">
        <x:v>R&amp;D Mix</x:v>
      </x:c>
      <x:c r="B269" s="118" t="str">
        <x:v>FFS-led</x:v>
      </x:c>
      <x:c r="C269" s="118" t="str">
        <x:v>NA</x:v>
      </x:c>
      <x:c r="D269" s="196" t="n">
        <x:v>0.10874072613918812</x:v>
      </x:c>
      <x:c r="E269" s="196" t="n">
        <x:v>0.10826927793335601</x:v>
      </x:c>
      <x:c r="F269" s="196" t="n">
        <x:v>0.10486490571695764</x:v>
      </x:c>
      <x:c r="G269" s="196" t="n">
        <x:v>0.10038897591575063</x:v>
      </x:c>
      <x:c r="H269" s="118" t="str">
        <x:v>R&amp;D remains a minority of revenue.</x:v>
      </x:c>
      <x:c r="I269" s="118"/>
      <x:c r="J269" s="118"/>
      <x:c r="K269" s="118"/>
      <x:c r="L269" s="118"/>
      <x:c r="M269" s="118"/>
      <x:c r="N269" s="118"/>
      <x:c r="O269" s="118"/>
      <x:c r="P269" s="118"/>
      <x:c r="Q269" s="118"/>
      <x:c r="R269" s="118"/>
      <x:c r="S269" s="118"/>
      <x:c r="T269" s="118"/>
      <x:c r="U269" s="118"/>
      <x:c r="V269" s="118"/>
      <x:c r="W269" s="118"/>
      <x:c r="X269" s="118"/>
      <x:c r="Y269" s="118"/>
      <x:c r="Z269" s="118"/>
      <x:c r="AA269" s="118"/>
      <x:c r="AB269" s="118"/>
      <x:c r="AC269" s="118"/>
      <x:c r="AD269" s="118"/>
      <x:c r="AE269" s="118"/>
      <x:c r="AF269" s="118"/>
      <x:c r="AG269" s="118"/>
      <x:c r="AH269" s="118"/>
    </x:row>
    <x:row r="270">
      <x:c r="A270" s="118" t="str">
        <x:v>D&amp;M Mix</x:v>
      </x:c>
      <x:c r="B270" s="118" t="str">
        <x:v>NA</x:v>
      </x:c>
      <x:c r="C270" s="118" t="str">
        <x:v>Manufacturing-led</x:v>
      </x:c>
      <x:c r="D270" s="196" t="n">
        <x:v>0.7077672543592818</x:v>
      </x:c>
      <x:c r="E270" s="196" t="n">
        <x:v>0.7262364233855991</x:v>
      </x:c>
      <x:c r="F270" s="196" t="n">
        <x:v>0.7522861210427246</x:v>
      </x:c>
      <x:c r="G270" s="196" t="n">
        <x:v>0.7720819303532854</x:v>
      </x:c>
      <x:c r="H270" s="118" t="str">
        <x:v>D&amp;M dominates growth and capital requirements.</x:v>
      </x:c>
      <x:c r="I270" s="118"/>
      <x:c r="J270" s="118"/>
      <x:c r="K270" s="118"/>
      <x:c r="L270" s="118"/>
      <x:c r="M270" s="118"/>
      <x:c r="N270" s="118"/>
      <x:c r="O270" s="118"/>
      <x:c r="P270" s="118"/>
      <x:c r="Q270" s="118"/>
      <x:c r="R270" s="118"/>
      <x:c r="S270" s="118"/>
      <x:c r="T270" s="118"/>
      <x:c r="U270" s="118"/>
      <x:c r="V270" s="118"/>
      <x:c r="W270" s="118"/>
      <x:c r="X270" s="118"/>
      <x:c r="Y270" s="118"/>
      <x:c r="Z270" s="118"/>
      <x:c r="AA270" s="118"/>
      <x:c r="AB270" s="118"/>
      <x:c r="AC270" s="118"/>
      <x:c r="AD270" s="118"/>
      <x:c r="AE270" s="118"/>
      <x:c r="AF270" s="118"/>
      <x:c r="AG270" s="118"/>
      <x:c r="AH270" s="118"/>
    </x:row>
    <x:row r="271">
      <x:c r="A271" s="118" t="str">
        <x:v>Capex / Sales</x:v>
      </x:c>
      <x:c r="B271" s="118" t="str">
        <x:v>NA</x:v>
      </x:c>
      <x:c r="C271" s="118" t="str">
        <x:v>Key KPI</x:v>
      </x:c>
      <x:c r="D271" s="196" t="n">
        <x:v>0.1445966276810633</x:v>
      </x:c>
      <x:c r="E271" s="196" t="n">
        <x:v>0.09940484848656024</x:v>
      </x:c>
      <x:c r="F271" s="196" t="n">
        <x:v>0.17258031525453285</x:v>
      </x:c>
      <x:c r="G271" s="196" t="n">
        <x:v>0.05499999943186538</x:v>
      </x:c>
      <x:c r="H271" s="118" t="str">
        <x:v>Unit IV creates FY27/FY28 capex intensity peak.</x:v>
      </x:c>
      <x:c r="I271" s="118"/>
      <x:c r="J271" s="118"/>
      <x:c r="K271" s="118"/>
      <x:c r="L271" s="118"/>
      <x:c r="M271" s="118"/>
      <x:c r="N271" s="118"/>
      <x:c r="O271" s="118"/>
      <x:c r="P271" s="118"/>
      <x:c r="Q271" s="118"/>
      <x:c r="R271" s="118"/>
      <x:c r="S271" s="118"/>
      <x:c r="T271" s="118"/>
      <x:c r="U271" s="118"/>
      <x:c r="V271" s="118"/>
      <x:c r="W271" s="118"/>
      <x:c r="X271" s="118"/>
      <x:c r="Y271" s="118"/>
      <x:c r="Z271" s="118"/>
      <x:c r="AA271" s="118"/>
      <x:c r="AB271" s="118"/>
      <x:c r="AC271" s="118"/>
      <x:c r="AD271" s="118"/>
      <x:c r="AE271" s="118"/>
      <x:c r="AF271" s="118"/>
      <x:c r="AG271" s="118"/>
      <x:c r="AH271" s="118"/>
    </x:row>
    <x:row r="272">
      <x:c r="A272" s="118" t="str">
        <x:v>Fixed Asset Turnover</x:v>
      </x:c>
      <x:c r="B272" s="118" t="str">
        <x:v>NA</x:v>
      </x:c>
      <x:c r="C272" s="118" t="str">
        <x:v>Key KPI</x:v>
      </x:c>
      <x:c r="D272" s="199" t="n">
        <x:f>E42</x:f>
        <x:v>3.1627354505251795</x:v>
      </x:c>
      <x:c r="E272" s="199" t="n">
        <x:f>F42</x:f>
        <x:v>2.8771253734326936</x:v>
      </x:c>
      <x:c r="F272" s="199" t="n">
        <x:f>H42</x:f>
        <x:v>2.403145707033759</x:v>
      </x:c>
      <x:c r="G272" s="199" t="n">
        <x:f>K42</x:f>
        <x:v>2.5998246300361636</x:v>
      </x:c>
      <x:c r="H272" s="118" t="str">
        <x:v>Returns must recover as D&amp;M mix rises.</x:v>
      </x:c>
      <x:c r="I272" s="118"/>
      <x:c r="J272" s="118"/>
      <x:c r="K272" s="118"/>
      <x:c r="L272" s="118"/>
      <x:c r="M272" s="118"/>
      <x:c r="N272" s="118"/>
      <x:c r="O272" s="118"/>
      <x:c r="P272" s="118"/>
      <x:c r="Q272" s="118"/>
      <x:c r="R272" s="118"/>
      <x:c r="S272" s="118"/>
      <x:c r="T272" s="118"/>
      <x:c r="U272" s="118"/>
      <x:c r="V272" s="118"/>
      <x:c r="W272" s="118"/>
      <x:c r="X272" s="118"/>
      <x:c r="Y272" s="118"/>
      <x:c r="Z272" s="118"/>
      <x:c r="AA272" s="118"/>
      <x:c r="AB272" s="118"/>
      <x:c r="AC272" s="118"/>
      <x:c r="AD272" s="118"/>
      <x:c r="AE272" s="118"/>
      <x:c r="AF272" s="118"/>
      <x:c r="AG272" s="118"/>
      <x:c r="AH272" s="118"/>
    </x:row>
    <x:row r="273">
      <x:c r="A273" s="118" t="str">
        <x:v>Operating ROCE</x:v>
      </x:c>
      <x:c r="B273" s="118" t="str">
        <x:v>NA</x:v>
      </x:c>
      <x:c r="C273" s="118" t="str">
        <x:v>Key KPI</x:v>
      </x:c>
      <x:c r="D273" s="120" t="n">
        <x:f>E46</x:f>
        <x:v>0.31276933047780936</x:v>
      </x:c>
      <x:c r="E273" s="120" t="n">
        <x:f>F46</x:f>
        <x:v>0.3656786408282398</x:v>
      </x:c>
      <x:c r="F273" s="120" t="n">
        <x:f>H46</x:f>
        <x:v>0.3195355601429512</x:v>
      </x:c>
      <x:c r="G273" s="120" t="n">
        <x:f>K46</x:f>
        <x:v>0.47284080122286</x:v>
      </x:c>
      <x:c r="H273" s="118" t="str">
        <x:v>Capital quality test independent of excess cash.</x:v>
      </x:c>
      <x:c r="I273" s="118"/>
      <x:c r="J273" s="118"/>
      <x:c r="K273" s="118"/>
      <x:c r="L273" s="118"/>
      <x:c r="M273" s="118"/>
      <x:c r="N273" s="118"/>
      <x:c r="O273" s="118"/>
      <x:c r="P273" s="118"/>
      <x:c r="Q273" s="118"/>
      <x:c r="R273" s="118"/>
      <x:c r="S273" s="118"/>
      <x:c r="T273" s="118"/>
      <x:c r="U273" s="118"/>
      <x:c r="V273" s="118"/>
      <x:c r="W273" s="118"/>
      <x:c r="X273" s="118"/>
      <x:c r="Y273" s="118"/>
      <x:c r="Z273" s="118"/>
      <x:c r="AA273" s="118"/>
      <x:c r="AB273" s="118"/>
      <x:c r="AC273" s="118"/>
      <x:c r="AD273" s="118"/>
      <x:c r="AE273" s="118"/>
      <x:c r="AF273" s="118"/>
      <x:c r="AG273" s="118"/>
      <x:c r="AH273" s="118"/>
    </x:row>
    <x:row r="274">
      <x:c r="A274" s="118"/>
      <x:c r="B274" s="118"/>
      <x:c r="C274" s="118"/>
      <x:c r="D274" s="118"/>
      <x:c r="E274" s="118"/>
      <x:c r="F274" s="118"/>
      <x:c r="G274" s="118"/>
      <x:c r="H274" s="118"/>
      <x:c r="I274" s="118"/>
      <x:c r="J274" s="118"/>
      <x:c r="K274" s="118"/>
      <x:c r="L274" s="118"/>
      <x:c r="M274" s="118"/>
      <x:c r="N274" s="118"/>
      <x:c r="O274" s="118"/>
      <x:c r="P274" s="118"/>
      <x:c r="Q274" s="118"/>
      <x:c r="R274" s="118"/>
      <x:c r="S274" s="118"/>
      <x:c r="T274" s="118"/>
      <x:c r="U274" s="118"/>
      <x:c r="V274" s="118"/>
      <x:c r="W274" s="118"/>
      <x:c r="X274" s="118"/>
      <x:c r="Y274" s="118"/>
      <x:c r="Z274" s="118"/>
      <x:c r="AA274" s="118"/>
      <x:c r="AB274" s="118"/>
      <x:c r="AC274" s="118"/>
      <x:c r="AD274" s="118"/>
      <x:c r="AE274" s="118"/>
      <x:c r="AF274" s="118"/>
      <x:c r="AG274" s="118"/>
      <x:c r="AH274" s="118"/>
    </x:row>
    <x:row r="275">
      <x:c r="A275" s="118"/>
      <x:c r="B275" s="118"/>
      <x:c r="C275" s="118"/>
      <x:c r="D275" s="118"/>
      <x:c r="E275" s="118"/>
      <x:c r="F275" s="118"/>
      <x:c r="G275" s="118"/>
      <x:c r="H275" s="118"/>
      <x:c r="I275" s="118"/>
      <x:c r="J275" s="118"/>
      <x:c r="K275" s="118"/>
      <x:c r="L275" s="118"/>
      <x:c r="M275" s="118"/>
      <x:c r="N275" s="118"/>
      <x:c r="O275" s="118"/>
      <x:c r="P275" s="118"/>
      <x:c r="Q275" s="118"/>
      <x:c r="R275" s="118"/>
      <x:c r="S275" s="118"/>
      <x:c r="T275" s="118"/>
      <x:c r="U275" s="118"/>
      <x:c r="V275" s="118"/>
      <x:c r="W275" s="118"/>
      <x:c r="X275" s="118"/>
      <x:c r="Y275" s="118"/>
      <x:c r="Z275" s="118"/>
      <x:c r="AA275" s="118"/>
      <x:c r="AB275" s="118"/>
      <x:c r="AC275" s="118"/>
      <x:c r="AD275" s="118"/>
      <x:c r="AE275" s="118"/>
      <x:c r="AF275" s="118"/>
      <x:c r="AG275" s="118"/>
      <x:c r="AH275" s="118"/>
    </x:row>
    <x:row r="276" ht="20" customHeight="1">
      <x:c r="A276" s="146" t="str">
        <x:v>X. CAPEX EFFICIENCY TABLE</x:v>
      </x:c>
      <x:c r="B276" s="146"/>
      <x:c r="C276" s="146"/>
      <x:c r="D276" s="146"/>
      <x:c r="E276" s="146"/>
      <x:c r="F276" s="146"/>
      <x:c r="G276" s="146"/>
      <x:c r="H276" s="146"/>
      <x:c r="I276" s="146"/>
      <x:c r="J276" s="146"/>
      <x:c r="K276" s="146"/>
      <x:c r="L276" s="118"/>
      <x:c r="M276" s="118"/>
      <x:c r="N276" s="118"/>
      <x:c r="O276" s="118"/>
      <x:c r="P276" s="118"/>
      <x:c r="Q276" s="118"/>
      <x:c r="R276" s="118"/>
      <x:c r="S276" s="118"/>
      <x:c r="T276" s="118"/>
      <x:c r="U276" s="118"/>
      <x:c r="V276" s="118"/>
      <x:c r="W276" s="118"/>
      <x:c r="X276" s="118"/>
      <x:c r="Y276" s="118"/>
      <x:c r="Z276" s="118"/>
      <x:c r="AA276" s="118"/>
      <x:c r="AB276" s="118"/>
      <x:c r="AC276" s="118"/>
      <x:c r="AD276" s="118"/>
      <x:c r="AE276" s="118"/>
      <x:c r="AF276" s="118"/>
      <x:c r="AG276" s="118"/>
      <x:c r="AH276" s="118"/>
    </x:row>
    <x:row r="277">
      <x:c r="A277" s="147" t="str">
        <x:v>Capex Block</x:v>
      </x:c>
      <x:c r="B277" s="147" t="str">
        <x:v>Capital</x:v>
      </x:c>
      <x:c r="C277" s="147" t="str">
        <x:v>Capacity / Capability</x:v>
      </x:c>
      <x:c r="D277" s="147" t="str">
        <x:v>Demand Visibility</x:v>
      </x:c>
      <x:c r="E277" s="147" t="str">
        <x:v>Revenue Timing</x:v>
      </x:c>
      <x:c r="F277" s="147" t="str">
        <x:v>Sales Potential</x:v>
      </x:c>
      <x:c r="G277" s="147" t="str">
        <x:v>Margin Potential</x:v>
      </x:c>
      <x:c r="H277" s="147" t="str">
        <x:v>Asset Turn Potential</x:v>
      </x:c>
      <x:c r="I277" s="147" t="str">
        <x:v>ROCE Potential</x:v>
      </x:c>
      <x:c r="J277" s="147" t="str">
        <x:v>Main Risk</x:v>
      </x:c>
      <x:c r="K277" s="147" t="str">
        <x:v>Analyst View</x:v>
      </x:c>
      <x:c r="L277" s="118"/>
      <x:c r="M277" s="118"/>
      <x:c r="N277" s="118"/>
      <x:c r="O277" s="118"/>
      <x:c r="P277" s="118"/>
      <x:c r="Q277" s="118"/>
      <x:c r="R277" s="118"/>
      <x:c r="S277" s="118"/>
      <x:c r="T277" s="118"/>
      <x:c r="U277" s="118"/>
      <x:c r="V277" s="118"/>
      <x:c r="W277" s="118"/>
      <x:c r="X277" s="118"/>
      <x:c r="Y277" s="118"/>
      <x:c r="Z277" s="118"/>
      <x:c r="AA277" s="118"/>
      <x:c r="AB277" s="118"/>
      <x:c r="AC277" s="118"/>
      <x:c r="AD277" s="118"/>
      <x:c r="AE277" s="118"/>
      <x:c r="AF277" s="118"/>
      <x:c r="AG277" s="118"/>
      <x:c r="AH277" s="118"/>
    </x:row>
    <x:row r="278">
      <x:c r="A278" s="118" t="str">
        <x:v>Unit II expansion</x:v>
      </x:c>
      <x:c r="B278" s="118" t="str">
        <x:v>NA</x:v>
      </x:c>
      <x:c r="C278" s="118" t="str">
        <x:v>+130kL custom synthesis</x:v>
      </x:c>
      <x:c r="D278" s="118" t="str">
        <x:v>High / Strongly demand-led</x:v>
      </x:c>
      <x:c r="E278" s="118" t="str">
        <x:v>Already operational</x:v>
      </x:c>
      <x:c r="F278" s="118" t="str">
        <x:v>High</x:v>
      </x:c>
      <x:c r="G278" s="118" t="str">
        <x:v>High</x:v>
      </x:c>
      <x:c r="H278" s="118" t="str">
        <x:v>Positive</x:v>
      </x:c>
      <x:c r="I278" s="118" t="str">
        <x:v>Positive</x:v>
      </x:c>
      <x:c r="J278" s="118" t="str">
        <x:v>Campaign volatility</x:v>
      </x:c>
      <x:c r="K278" s="118" t="str">
        <x:v>Positive – existing capacity supports near-term growth.</x:v>
      </x:c>
      <x:c r="L278" s="118"/>
      <x:c r="M278" s="118"/>
      <x:c r="N278" s="118"/>
      <x:c r="O278" s="118"/>
      <x:c r="P278" s="118"/>
      <x:c r="Q278" s="118"/>
      <x:c r="R278" s="118"/>
      <x:c r="S278" s="118"/>
      <x:c r="T278" s="118"/>
      <x:c r="U278" s="118"/>
      <x:c r="V278" s="118"/>
      <x:c r="W278" s="118"/>
      <x:c r="X278" s="118"/>
      <x:c r="Y278" s="118"/>
      <x:c r="Z278" s="118"/>
      <x:c r="AA278" s="118"/>
      <x:c r="AB278" s="118"/>
      <x:c r="AC278" s="118"/>
      <x:c r="AD278" s="118"/>
      <x:c r="AE278" s="118"/>
      <x:c r="AF278" s="118"/>
      <x:c r="AG278" s="118"/>
      <x:c r="AH278" s="118"/>
    </x:row>
    <x:row r="279">
      <x:c r="A279" s="118" t="str">
        <x:v>Unit III / NeoAnthem</x:v>
      </x:c>
      <x:c r="B279" s="118" t="str">
        <x:v>NA</x:v>
      </x:c>
      <x:c r="C279" s="118" t="str">
        <x:v>Peptides / HPAPI / fermentation / multimodal</x:v>
      </x:c>
      <x:c r="D279" s="118" t="str">
        <x:v>Medium</x:v>
      </x:c>
      <x:c r="E279" s="118" t="str">
        <x:v>Ramping FY26–FY27</x:v>
      </x:c>
      <x:c r="F279" s="118" t="str">
        <x:v>Medium-High</x:v>
      </x:c>
      <x:c r="G279" s="118" t="str">
        <x:v>High</x:v>
      </x:c>
      <x:c r="H279" s="118" t="str">
        <x:v>Watch → Positive</x:v>
      </x:c>
      <x:c r="I279" s="118" t="str">
        <x:v>Watch → Positive</x:v>
      </x:c>
      <x:c r="J279" s="118" t="str">
        <x:v>Underutilisation</x:v>
      </x:c>
      <x:c r="K279" s="118" t="str">
        <x:v>Watch – monetisation evidence still building.</x:v>
      </x:c>
      <x:c r="L279" s="118"/>
      <x:c r="M279" s="118"/>
      <x:c r="N279" s="118"/>
      <x:c r="O279" s="118"/>
      <x:c r="P279" s="118"/>
      <x:c r="Q279" s="118"/>
      <x:c r="R279" s="118"/>
      <x:c r="S279" s="118"/>
      <x:c r="T279" s="118"/>
      <x:c r="U279" s="118"/>
      <x:c r="V279" s="118"/>
      <x:c r="W279" s="118"/>
      <x:c r="X279" s="118"/>
      <x:c r="Y279" s="118"/>
      <x:c r="Z279" s="118"/>
      <x:c r="AA279" s="118"/>
      <x:c r="AB279" s="118"/>
      <x:c r="AC279" s="118"/>
      <x:c r="AD279" s="118"/>
      <x:c r="AE279" s="118"/>
      <x:c r="AF279" s="118"/>
      <x:c r="AG279" s="118"/>
      <x:c r="AH279" s="118"/>
    </x:row>
    <x:row r="280">
      <x:c r="A280" s="118" t="str">
        <x:v>Unit IV Phase 1</x:v>
      </x:c>
      <x:c r="B280" s="192" t="n">
        <x:v>12000</x:v>
      </x:c>
      <x:c r="C280" s="118" t="str">
        <x:v>+365kL custom +100kL fermentation + food/nutra</x:v>
      </x:c>
      <x:c r="D280" s="118" t="str">
        <x:v>Medium / Partially demand-backed</x:v>
      </x:c>
      <x:c r="E280" s="118" t="str">
        <x:v>FY29 initial; FY30–31 material in analyst framework</x:v>
      </x:c>
      <x:c r="F280" s="118" t="str">
        <x:v>High</x:v>
      </x:c>
      <x:c r="G280" s="118" t="str">
        <x:v>High</x:v>
      </x:c>
      <x:c r="H280" s="118" t="str">
        <x:v>Low initially → improves</x:v>
      </x:c>
      <x:c r="I280" s="118" t="str">
        <x:v>Watch → High if filled</x:v>
      </x:c>
      <x:c r="J280" s="118" t="str">
        <x:v>Ahead-of-demand / qualification</x:v>
      </x:c>
      <x:c r="K280" s="118" t="str">
        <x:v>Central debate – capex quality depends on FY29+ campaign conversion.</x:v>
      </x:c>
      <x:c r="L280" s="118"/>
      <x:c r="M280" s="118"/>
      <x:c r="N280" s="118"/>
      <x:c r="O280" s="118"/>
      <x:c r="P280" s="118"/>
      <x:c r="Q280" s="118"/>
      <x:c r="R280" s="118"/>
      <x:c r="S280" s="118"/>
      <x:c r="T280" s="118"/>
      <x:c r="U280" s="118"/>
      <x:c r="V280" s="118"/>
      <x:c r="W280" s="118"/>
      <x:c r="X280" s="118"/>
      <x:c r="Y280" s="118"/>
      <x:c r="Z280" s="118"/>
      <x:c r="AA280" s="118"/>
      <x:c r="AB280" s="118"/>
      <x:c r="AC280" s="118"/>
      <x:c r="AD280" s="118"/>
      <x:c r="AE280" s="118"/>
      <x:c r="AF280" s="118"/>
      <x:c r="AG280" s="118"/>
      <x:c r="AH280" s="118"/>
    </x:row>
    <x:row r="281">
      <x:c r="A281" s="118" t="str">
        <x:v>Capability investments</x:v>
      </x:c>
      <x:c r="B281" s="118" t="str">
        <x:v>NA</x:v>
      </x:c>
      <x:c r="C281" s="118" t="str">
        <x:v>ADC / RNAi / peptides / flow / biotransformation</x:v>
      </x:c>
      <x:c r="D281" s="118" t="str">
        <x:v>Medium</x:v>
      </x:c>
      <x:c r="E281" s="118" t="str">
        <x:v>Project-dependent</x:v>
      </x:c>
      <x:c r="F281" s="118" t="str">
        <x:v>Medium-High</x:v>
      </x:c>
      <x:c r="G281" s="118" t="str">
        <x:v>High</x:v>
      </x:c>
      <x:c r="H281" s="118" t="str">
        <x:v>NA</x:v>
      </x:c>
      <x:c r="I281" s="118" t="str">
        <x:v>Potentially high</x:v>
      </x:c>
      <x:c r="J281" s="118" t="str">
        <x:v>Programme attrition</x:v>
      </x:c>
      <x:c r="K281" s="118" t="str">
        <x:v>Positive strategic optionality; do not over-model.</x:v>
      </x:c>
      <x:c r="L281" s="118"/>
      <x:c r="M281" s="118"/>
      <x:c r="N281" s="118"/>
      <x:c r="O281" s="118"/>
      <x:c r="P281" s="118"/>
      <x:c r="Q281" s="118"/>
      <x:c r="R281" s="118"/>
      <x:c r="S281" s="118"/>
      <x:c r="T281" s="118"/>
      <x:c r="U281" s="118"/>
      <x:c r="V281" s="118"/>
      <x:c r="W281" s="118"/>
      <x:c r="X281" s="118"/>
      <x:c r="Y281" s="118"/>
      <x:c r="Z281" s="118"/>
      <x:c r="AA281" s="118"/>
      <x:c r="AB281" s="118"/>
      <x:c r="AC281" s="118"/>
      <x:c r="AD281" s="118"/>
      <x:c r="AE281" s="118"/>
      <x:c r="AF281" s="118"/>
      <x:c r="AG281" s="118"/>
      <x:c r="AH281" s="118"/>
    </x:row>
    <x:row r="282">
      <x:c r="A282" s="118"/>
      <x:c r="B282" s="118"/>
      <x:c r="C282" s="118"/>
      <x:c r="D282" s="118"/>
      <x:c r="E282" s="118"/>
      <x:c r="F282" s="118"/>
      <x:c r="G282" s="118"/>
      <x:c r="H282" s="118"/>
      <x:c r="I282" s="118"/>
      <x:c r="J282" s="118"/>
      <x:c r="K282" s="118"/>
      <x:c r="L282" s="118"/>
      <x:c r="M282" s="118"/>
      <x:c r="N282" s="118"/>
      <x:c r="O282" s="118"/>
      <x:c r="P282" s="118"/>
      <x:c r="Q282" s="118"/>
      <x:c r="R282" s="118"/>
      <x:c r="S282" s="118"/>
      <x:c r="T282" s="118"/>
      <x:c r="U282" s="118"/>
      <x:c r="V282" s="118"/>
      <x:c r="W282" s="118"/>
      <x:c r="X282" s="118"/>
      <x:c r="Y282" s="118"/>
      <x:c r="Z282" s="118"/>
      <x:c r="AA282" s="118"/>
      <x:c r="AB282" s="118"/>
      <x:c r="AC282" s="118"/>
      <x:c r="AD282" s="118"/>
      <x:c r="AE282" s="118"/>
      <x:c r="AF282" s="118"/>
      <x:c r="AG282" s="118"/>
      <x:c r="AH282" s="118"/>
    </x:row>
    <x:row r="283" ht="20" customHeight="1">
      <x:c r="A283" s="146" t="str">
        <x:v>Y. WHAT SHOULD WE WATCH EACH QUARTER?</x:v>
      </x:c>
      <x:c r="B283" s="146"/>
      <x:c r="C283" s="146"/>
      <x:c r="D283" s="146"/>
      <x:c r="E283" s="146"/>
      <x:c r="F283" s="146"/>
      <x:c r="G283" s="146"/>
      <x:c r="H283" s="146"/>
      <x:c r="I283" s="118"/>
      <x:c r="J283" s="118"/>
      <x:c r="K283" s="118"/>
      <x:c r="L283" s="118"/>
      <x:c r="M283" s="118"/>
      <x:c r="N283" s="118"/>
      <x:c r="O283" s="118"/>
      <x:c r="P283" s="118"/>
      <x:c r="Q283" s="118"/>
      <x:c r="R283" s="118"/>
      <x:c r="S283" s="118"/>
      <x:c r="T283" s="118"/>
      <x:c r="U283" s="118"/>
      <x:c r="V283" s="118"/>
      <x:c r="W283" s="118"/>
      <x:c r="X283" s="118"/>
      <x:c r="Y283" s="118"/>
      <x:c r="Z283" s="118"/>
      <x:c r="AA283" s="118"/>
      <x:c r="AB283" s="118"/>
      <x:c r="AC283" s="118"/>
      <x:c r="AD283" s="118"/>
      <x:c r="AE283" s="118"/>
      <x:c r="AF283" s="118"/>
      <x:c r="AG283" s="118"/>
      <x:c r="AH283" s="118"/>
    </x:row>
    <x:row r="284" ht="32" customHeight="1">
      <x:c r="A284" s="147" t="str">
        <x:v>Area</x:v>
      </x:c>
      <x:c r="B284" s="147" t="str">
        <x:v>KPI / Gating Item</x:v>
      </x:c>
      <x:c r="C284" s="147" t="str">
        <x:v>Current Status</x:v>
      </x:c>
      <x:c r="D284" s="147" t="str">
        <x:v>Next Evidence</x:v>
      </x:c>
      <x:c r="E284" s="147" t="str">
        <x:v>Why It Matters</x:v>
      </x:c>
      <x:c r="F284" s="147" t="str">
        <x:v>Risk if Missed</x:v>
      </x:c>
      <x:c r="G284" s="147" t="str">
        <x:v>Update Frequency</x:v>
      </x:c>
      <x:c r="H284" s="147" t="str">
        <x:v>Analyst Action</x:v>
      </x:c>
      <x:c r="I284" s="118"/>
      <x:c r="J284" s="118"/>
      <x:c r="K284" s="118"/>
      <x:c r="L284" s="118"/>
      <x:c r="M284" s="118"/>
      <x:c r="N284" s="118"/>
      <x:c r="O284" s="118"/>
      <x:c r="P284" s="118"/>
      <x:c r="Q284" s="118"/>
      <x:c r="R284" s="118"/>
      <x:c r="S284" s="118"/>
      <x:c r="T284" s="118"/>
      <x:c r="U284" s="118"/>
      <x:c r="V284" s="118"/>
      <x:c r="W284" s="118"/>
      <x:c r="X284" s="118"/>
      <x:c r="Y284" s="118"/>
      <x:c r="Z284" s="118"/>
      <x:c r="AA284" s="118"/>
      <x:c r="AB284" s="118"/>
      <x:c r="AC284" s="118"/>
      <x:c r="AD284" s="118"/>
      <x:c r="AE284" s="118"/>
      <x:c r="AF284" s="118"/>
      <x:c r="AG284" s="118"/>
      <x:c r="AH284" s="118"/>
    </x:row>
    <x:row r="285" ht="32" customHeight="1">
      <x:c r="A285" s="118" t="str">
        <x:v>Unit IV</x:v>
      </x:c>
      <x:c r="B285" s="118" t="str">
        <x:v>Construction progress / spend vs budget</x:v>
      </x:c>
      <x:c r="C285" s="118" t="str">
        <x:v>Civil work nearly done; spend-to-date undisclosed</x:v>
      </x:c>
      <x:c r="D285" s="118" t="str">
        <x:v>Equipment installation / spend disclosed</x:v>
      </x:c>
      <x:c r="E285" s="118" t="str">
        <x:v>Schedule + cost control</x:v>
      </x:c>
      <x:c r="F285" s="118" t="str">
        <x:v>Delay / cost overrun</x:v>
      </x:c>
      <x:c r="G285" s="118" t="str">
        <x:v>Quarterly</x:v>
      </x:c>
      <x:c r="H285" s="118" t="str">
        <x:v>Update capex register</x:v>
      </x:c>
      <x:c r="I285" s="118"/>
      <x:c r="J285" s="118"/>
      <x:c r="K285" s="118"/>
      <x:c r="L285" s="118"/>
      <x:c r="M285" s="118"/>
      <x:c r="N285" s="118"/>
      <x:c r="O285" s="118"/>
      <x:c r="P285" s="118"/>
      <x:c r="Q285" s="118"/>
      <x:c r="R285" s="118"/>
      <x:c r="S285" s="118"/>
      <x:c r="T285" s="118"/>
      <x:c r="U285" s="118"/>
      <x:c r="V285" s="118"/>
      <x:c r="W285" s="118"/>
      <x:c r="X285" s="118"/>
      <x:c r="Y285" s="118"/>
      <x:c r="Z285" s="118"/>
      <x:c r="AA285" s="118"/>
      <x:c r="AB285" s="118"/>
      <x:c r="AC285" s="118"/>
      <x:c r="AD285" s="118"/>
      <x:c r="AE285" s="118"/>
      <x:c r="AF285" s="118"/>
      <x:c r="AG285" s="118"/>
      <x:c r="AH285" s="118"/>
    </x:row>
    <x:row r="286" ht="32" customHeight="1">
      <x:c r="A286" s="118" t="str">
        <x:v>Unit IV</x:v>
      </x:c>
      <x:c r="B286" s="118" t="str">
        <x:v>Commissioning / qualification / customer audits</x:v>
      </x:c>
      <x:c r="C286" s="118" t="str">
        <x:v>Target end FY28; qualification not disclosed</x:v>
      </x:c>
      <x:c r="D286" s="118" t="str">
        <x:v>Mechanical completion + audits</x:v>
      </x:c>
      <x:c r="E286" s="118" t="str">
        <x:v>Revenue lag vs physical completion</x:v>
      </x:c>
      <x:c r="F286" s="118" t="str">
        <x:v>Forecast pulls revenue too early</x:v>
      </x:c>
      <x:c r="G286" s="118" t="str">
        <x:v>Quarterly</x:v>
      </x:c>
      <x:c r="H286" s="118" t="str">
        <x:v>No revenue before gates</x:v>
      </x:c>
      <x:c r="I286" s="118"/>
      <x:c r="J286" s="118"/>
      <x:c r="K286" s="118"/>
      <x:c r="L286" s="118"/>
      <x:c r="M286" s="118"/>
      <x:c r="N286" s="118"/>
      <x:c r="O286" s="118"/>
      <x:c r="P286" s="118"/>
      <x:c r="Q286" s="118"/>
      <x:c r="R286" s="118"/>
      <x:c r="S286" s="118"/>
      <x:c r="T286" s="118"/>
      <x:c r="U286" s="118"/>
      <x:c r="V286" s="118"/>
      <x:c r="W286" s="118"/>
      <x:c r="X286" s="118"/>
      <x:c r="Y286" s="118"/>
      <x:c r="Z286" s="118"/>
      <x:c r="AA286" s="118"/>
      <x:c r="AB286" s="118"/>
      <x:c r="AC286" s="118"/>
      <x:c r="AD286" s="118"/>
      <x:c r="AE286" s="118"/>
      <x:c r="AF286" s="118"/>
      <x:c r="AG286" s="118"/>
      <x:c r="AH286" s="118"/>
    </x:row>
    <x:row r="287" ht="32" customHeight="1">
      <x:c r="A287" s="118" t="str">
        <x:v>Pipeline</x:v>
      </x:c>
      <x:c r="B287" s="118" t="str">
        <x:v>Commercial molecule additions</x:v>
      </x:c>
      <x:c r="C287" s="118" t="str">
        <x:v>14</x:v>
      </x:c>
      <x:c r="D287" s="118" t="str">
        <x:v>New commercialisations</x:v>
      </x:c>
      <x:c r="E287" s="118" t="str">
        <x:v>Direct D&amp;M revenue driver</x:v>
      </x:c>
      <x:c r="F287" s="118" t="str">
        <x:v>Unit IV demand gap</x:v>
      </x:c>
      <x:c r="G287" s="118" t="str">
        <x:v>Quarterly</x:v>
      </x:c>
      <x:c r="H287" s="118" t="str">
        <x:v>Update funnel</x:v>
      </x:c>
      <x:c r="I287" s="118"/>
      <x:c r="J287" s="118"/>
      <x:c r="K287" s="118"/>
      <x:c r="L287" s="118"/>
      <x:c r="M287" s="118"/>
      <x:c r="N287" s="118"/>
      <x:c r="O287" s="118"/>
      <x:c r="P287" s="118"/>
      <x:c r="Q287" s="118"/>
      <x:c r="R287" s="118"/>
      <x:c r="S287" s="118"/>
      <x:c r="T287" s="118"/>
      <x:c r="U287" s="118"/>
      <x:c r="V287" s="118"/>
      <x:c r="W287" s="118"/>
      <x:c r="X287" s="118"/>
      <x:c r="Y287" s="118"/>
      <x:c r="Z287" s="118"/>
      <x:c r="AA287" s="118"/>
      <x:c r="AB287" s="118"/>
      <x:c r="AC287" s="118"/>
      <x:c r="AD287" s="118"/>
      <x:c r="AE287" s="118"/>
      <x:c r="AF287" s="118"/>
      <x:c r="AG287" s="118"/>
      <x:c r="AH287" s="118"/>
    </x:row>
    <x:row r="288" ht="32" customHeight="1">
      <x:c r="A288" s="118" t="str">
        <x:v>Pipeline</x:v>
      </x:c>
      <x:c r="B288" s="118" t="str">
        <x:v>Late-phase conversions</x:v>
      </x:c>
      <x:c r="C288" s="118" t="str">
        <x:v>10 late phase at FY26/Q1FY27</x:v>
      </x:c>
      <x:c r="D288" s="118" t="str">
        <x:v>Phase III approvals / transfers</x:v>
      </x:c>
      <x:c r="E288" s="118" t="str">
        <x:v>Future campaign loading</x:v>
      </x:c>
      <x:c r="F288" s="118" t="str">
        <x:v>Conversion slower than model</x:v>
      </x:c>
      <x:c r="G288" s="118" t="str">
        <x:v>Quarterly</x:v>
      </x:c>
      <x:c r="H288" s="118" t="str">
        <x:v>Stress-test D&amp;M</x:v>
      </x:c>
      <x:c r="I288" s="118"/>
      <x:c r="J288" s="118"/>
      <x:c r="K288" s="118"/>
      <x:c r="L288" s="118"/>
      <x:c r="M288" s="118"/>
      <x:c r="N288" s="118"/>
      <x:c r="O288" s="118"/>
      <x:c r="P288" s="118"/>
      <x:c r="Q288" s="118"/>
      <x:c r="R288" s="118"/>
      <x:c r="S288" s="118"/>
      <x:c r="T288" s="118"/>
      <x:c r="U288" s="118"/>
      <x:c r="V288" s="118"/>
      <x:c r="W288" s="118"/>
      <x:c r="X288" s="118"/>
      <x:c r="Y288" s="118"/>
      <x:c r="Z288" s="118"/>
      <x:c r="AA288" s="118"/>
      <x:c r="AB288" s="118"/>
      <x:c r="AC288" s="118"/>
      <x:c r="AD288" s="118"/>
      <x:c r="AE288" s="118"/>
      <x:c r="AF288" s="118"/>
      <x:c r="AG288" s="118"/>
      <x:c r="AH288" s="118"/>
    </x:row>
    <x:row r="289" ht="32" customHeight="1">
      <x:c r="A289" s="118" t="str">
        <x:v>Existing assets</x:v>
      </x:c>
      <x:c r="B289" s="118" t="str">
        <x:v>Custom synthesis / fermentation utilisation</x:v>
      </x:c>
      <x:c r="C289" s="118" t="str">
        <x:v>Block-level headroom disclosed</x:v>
      </x:c>
      <x:c r="D289" s="118" t="str">
        <x:v>Consolidated utilisation / campaign comments</x:v>
      </x:c>
      <x:c r="E289" s="118" t="str">
        <x:v>Near-term growth capacity</x:v>
      </x:c>
      <x:c r="F289" s="118" t="str">
        <x:v>Overbuild risk</x:v>
      </x:c>
      <x:c r="G289" s="118" t="str">
        <x:v>Quarterly</x:v>
      </x:c>
      <x:c r="H289" s="118" t="str">
        <x:v>Track headroom</x:v>
      </x:c>
      <x:c r="I289" s="118"/>
      <x:c r="J289" s="118"/>
      <x:c r="K289" s="118"/>
      <x:c r="L289" s="118"/>
      <x:c r="M289" s="118"/>
      <x:c r="N289" s="118"/>
      <x:c r="O289" s="118"/>
      <x:c r="P289" s="118"/>
      <x:c r="Q289" s="118"/>
      <x:c r="R289" s="118"/>
      <x:c r="S289" s="118"/>
      <x:c r="T289" s="118"/>
      <x:c r="U289" s="118"/>
      <x:c r="V289" s="118"/>
      <x:c r="W289" s="118"/>
      <x:c r="X289" s="118"/>
      <x:c r="Y289" s="118"/>
      <x:c r="Z289" s="118"/>
      <x:c r="AA289" s="118"/>
      <x:c r="AB289" s="118"/>
      <x:c r="AC289" s="118"/>
      <x:c r="AD289" s="118"/>
      <x:c r="AE289" s="118"/>
      <x:c r="AF289" s="118"/>
      <x:c r="AG289" s="118"/>
      <x:c r="AH289" s="118"/>
    </x:row>
    <x:row r="290" ht="32" customHeight="1">
      <x:c r="A290" s="118" t="str">
        <x:v>Returns</x:v>
      </x:c>
      <x:c r="B290" s="118" t="str">
        <x:v>PP&amp;E / CWIP / asset turnover / ROCE</x:v>
      </x:c>
      <x:c r="C290" s="118" t="str">
        <x:v>Investment phase</x:v>
      </x:c>
      <x:c r="D290" s="118" t="str">
        <x:v>Capitalisation then utilisation</x:v>
      </x:c>
      <x:c r="E290" s="118" t="str">
        <x:v>Quality of growth</x:v>
      </x:c>
      <x:c r="F290" s="118" t="str">
        <x:v>EBITDA growth without capital returns</x:v>
      </x:c>
      <x:c r="G290" s="118" t="str">
        <x:v>Quarterly / annual</x:v>
      </x:c>
      <x:c r="H290" s="118" t="str">
        <x:v>Update return bridge</x:v>
      </x:c>
      <x:c r="I290" s="118"/>
      <x:c r="J290" s="118"/>
      <x:c r="K290" s="118"/>
      <x:c r="L290" s="118"/>
      <x:c r="M290" s="118"/>
      <x:c r="N290" s="118"/>
      <x:c r="O290" s="118"/>
      <x:c r="P290" s="118"/>
      <x:c r="Q290" s="118"/>
      <x:c r="R290" s="118"/>
      <x:c r="S290" s="118"/>
      <x:c r="T290" s="118"/>
      <x:c r="U290" s="118"/>
      <x:c r="V290" s="118"/>
      <x:c r="W290" s="118"/>
      <x:c r="X290" s="118"/>
      <x:c r="Y290" s="118"/>
      <x:c r="Z290" s="118"/>
      <x:c r="AA290" s="118"/>
      <x:c r="AB290" s="118"/>
      <x:c r="AC290" s="118"/>
      <x:c r="AD290" s="118"/>
      <x:c r="AE290" s="118"/>
      <x:c r="AF290" s="118"/>
      <x:c r="AG290" s="118"/>
      <x:c r="AH290" s="118"/>
    </x:row>
    <x:row r="291" ht="32" customHeight="1">
      <x:c r="A291" s="118" t="str">
        <x:v>Cash</x:v>
      </x:c>
      <x:c r="B291" s="118" t="str">
        <x:v>CFO / capex / FCF / net cash</x:v>
      </x:c>
      <x:c r="C291" s="118" t="str">
        <x:v>Strong liquidity; FY27 capex elevated</x:v>
      </x:c>
      <x:c r="D291" s="118" t="str">
        <x:v>YTD capex / WC movement</x:v>
      </x:c>
      <x:c r="E291" s="118" t="str">
        <x:v>Funding + capital allocation</x:v>
      </x:c>
      <x:c r="F291" s="118" t="str">
        <x:v>Cash burn / inefficient capital</x:v>
      </x:c>
      <x:c r="G291" s="118" t="str">
        <x:v>Quarterly</x:v>
      </x:c>
      <x:c r="H291" s="118" t="str">
        <x:v>Update FCF</x:v>
      </x:c>
      <x:c r="I291" s="118"/>
      <x:c r="J291" s="118"/>
      <x:c r="K291" s="118"/>
      <x:c r="L291" s="118"/>
      <x:c r="M291" s="118"/>
      <x:c r="N291" s="118"/>
      <x:c r="O291" s="118"/>
      <x:c r="P291" s="118"/>
      <x:c r="Q291" s="118"/>
      <x:c r="R291" s="118"/>
      <x:c r="S291" s="118"/>
      <x:c r="T291" s="118"/>
      <x:c r="U291" s="118"/>
      <x:c r="V291" s="118"/>
      <x:c r="W291" s="118"/>
      <x:c r="X291" s="118"/>
      <x:c r="Y291" s="118"/>
      <x:c r="Z291" s="118"/>
      <x:c r="AA291" s="118"/>
      <x:c r="AB291" s="118"/>
      <x:c r="AC291" s="118"/>
      <x:c r="AD291" s="118"/>
      <x:c r="AE291" s="118"/>
      <x:c r="AF291" s="118"/>
      <x:c r="AG291" s="118"/>
      <x:c r="AH291" s="118"/>
    </x:row>
    <x:row r="292">
      <x:c r="A292" s="118"/>
      <x:c r="B292" s="118"/>
      <x:c r="C292" s="118"/>
      <x:c r="D292" s="118"/>
      <x:c r="E292" s="118"/>
      <x:c r="F292" s="118"/>
      <x:c r="G292" s="118"/>
      <x:c r="H292" s="118"/>
      <x:c r="I292" s="118"/>
      <x:c r="J292" s="118"/>
      <x:c r="K292" s="118"/>
      <x:c r="L292" s="118"/>
      <x:c r="M292" s="118"/>
      <x:c r="N292" s="118"/>
      <x:c r="O292" s="118"/>
      <x:c r="P292" s="118"/>
      <x:c r="Q292" s="118"/>
      <x:c r="R292" s="118"/>
      <x:c r="S292" s="118"/>
      <x:c r="T292" s="118"/>
      <x:c r="U292" s="118"/>
      <x:c r="V292" s="118"/>
      <x:c r="W292" s="118"/>
      <x:c r="X292" s="118"/>
      <x:c r="Y292" s="118"/>
      <x:c r="Z292" s="118"/>
      <x:c r="AA292" s="118"/>
      <x:c r="AB292" s="118"/>
      <x:c r="AC292" s="118"/>
      <x:c r="AD292" s="118"/>
      <x:c r="AE292" s="118"/>
      <x:c r="AF292" s="118"/>
      <x:c r="AG292" s="118"/>
      <x:c r="AH292" s="118"/>
    </x:row>
    <x:row r="293" ht="20" customHeight="1">
      <x:c r="A293" s="146" t="str">
        <x:v>Z. ANALYST SUMMARY</x:v>
      </x:c>
      <x:c r="B293" s="146"/>
      <x:c r="C293" s="146"/>
      <x:c r="D293" s="146"/>
      <x:c r="E293" s="146"/>
      <x:c r="F293" s="146"/>
      <x:c r="G293" s="146"/>
      <x:c r="H293" s="146"/>
      <x:c r="I293" s="118"/>
      <x:c r="J293" s="118"/>
      <x:c r="K293" s="118"/>
      <x:c r="L293" s="118"/>
      <x:c r="M293" s="118"/>
      <x:c r="N293" s="118"/>
      <x:c r="O293" s="118"/>
      <x:c r="P293" s="118"/>
      <x:c r="Q293" s="118"/>
      <x:c r="R293" s="118"/>
      <x:c r="S293" s="118"/>
      <x:c r="T293" s="118"/>
      <x:c r="U293" s="118"/>
      <x:c r="V293" s="118"/>
      <x:c r="W293" s="118"/>
      <x:c r="X293" s="118"/>
      <x:c r="Y293" s="118"/>
      <x:c r="Z293" s="118"/>
      <x:c r="AA293" s="118"/>
      <x:c r="AB293" s="118"/>
      <x:c r="AC293" s="118"/>
      <x:c r="AD293" s="118"/>
      <x:c r="AE293" s="118"/>
      <x:c r="AF293" s="118"/>
      <x:c r="AG293" s="118"/>
      <x:c r="AH293" s="118"/>
    </x:row>
    <x:row r="294" ht="42" customHeight="1">
      <x:c r="A294" s="147" t="str">
        <x:v>Signal</x:v>
      </x:c>
      <x:c r="B294" s="147" t="str">
        <x:v>Current Assessment</x:v>
      </x:c>
      <x:c r="C294" s="147" t="str">
        <x:v>Direction / Status</x:v>
      </x:c>
      <x:c r="D294" s="147" t="str">
        <x:v>Evidence</x:v>
      </x:c>
      <x:c r="E294" s="147" t="str">
        <x:v>Implication</x:v>
      </x:c>
      <x:c r="F294" s="147" t="str">
        <x:v>Quarterly Trigger</x:v>
      </x:c>
      <x:c r="G294" s="147" t="str">
        <x:v>Forecast Action</x:v>
      </x:c>
      <x:c r="H294" s="147" t="str">
        <x:v>Confidence</x:v>
      </x:c>
      <x:c r="I294" s="118"/>
      <x:c r="J294" s="118"/>
      <x:c r="K294" s="118"/>
      <x:c r="L294" s="118"/>
      <x:c r="M294" s="118"/>
      <x:c r="N294" s="118"/>
      <x:c r="O294" s="118"/>
      <x:c r="P294" s="118"/>
      <x:c r="Q294" s="118"/>
      <x:c r="R294" s="118"/>
      <x:c r="S294" s="118"/>
      <x:c r="T294" s="118"/>
      <x:c r="U294" s="118"/>
      <x:c r="V294" s="118"/>
      <x:c r="W294" s="118"/>
      <x:c r="X294" s="118"/>
      <x:c r="Y294" s="118"/>
      <x:c r="Z294" s="118"/>
      <x:c r="AA294" s="118"/>
      <x:c r="AB294" s="118"/>
      <x:c r="AC294" s="118"/>
      <x:c r="AD294" s="118"/>
      <x:c r="AE294" s="118"/>
      <x:c r="AF294" s="118"/>
      <x:c r="AG294" s="118"/>
      <x:c r="AH294" s="118"/>
    </x:row>
    <x:row r="295" ht="42" customHeight="1">
      <x:c r="A295" s="118" t="str">
        <x:v>Capex Cycle Stage</x:v>
      </x:c>
      <x:c r="B295" s="118" t="str">
        <x:v>Construction</x:v>
      </x:c>
      <x:c r="C295" s="118" t="str">
        <x:v>Phase 2</x:v>
      </x:c>
      <x:c r="D295" s="118" t="str">
        <x:v>Unit IV civil work nearly done; equipment ordering begins</x:v>
      </x:c>
      <x:c r="E295" s="118" t="str">
        <x:v>ROCE / FCF likely dilute before revenue catches up</x:v>
      </x:c>
      <x:c r="F295" s="118" t="str">
        <x:v>Commissioning progress</x:v>
      </x:c>
      <x:c r="G295" s="118" t="str">
        <x:v>Maintain capex build</x:v>
      </x:c>
      <x:c r="H295" s="118" t="str">
        <x:v>High</x:v>
      </x:c>
      <x:c r="I295" s="118"/>
      <x:c r="J295" s="118"/>
      <x:c r="K295" s="118"/>
      <x:c r="L295" s="118"/>
      <x:c r="M295" s="118"/>
      <x:c r="N295" s="118"/>
      <x:c r="O295" s="118"/>
      <x:c r="P295" s="118"/>
      <x:c r="Q295" s="118"/>
      <x:c r="R295" s="118"/>
      <x:c r="S295" s="118"/>
      <x:c r="T295" s="118"/>
      <x:c r="U295" s="118"/>
      <x:c r="V295" s="118"/>
      <x:c r="W295" s="118"/>
      <x:c r="X295" s="118"/>
      <x:c r="Y295" s="118"/>
      <x:c r="Z295" s="118"/>
      <x:c r="AA295" s="118"/>
      <x:c r="AB295" s="118"/>
      <x:c r="AC295" s="118"/>
      <x:c r="AD295" s="118"/>
      <x:c r="AE295" s="118"/>
      <x:c r="AF295" s="118"/>
      <x:c r="AG295" s="118"/>
      <x:c r="AH295" s="118"/>
    </x:row>
    <x:row r="296" ht="42" customHeight="1">
      <x:c r="A296" s="118" t="str">
        <x:v>Unit IV Timeline</x:v>
      </x:c>
      <x:c r="B296" s="118" t="str">
        <x:v>On Track</x:v>
      </x:c>
      <x:c r="C296" s="118" t="str">
        <x:v>Watch</x:v>
      </x:c>
      <x:c r="D296" s="118" t="str">
        <x:v>End-FY28 target unchanged</x:v>
      </x:c>
      <x:c r="E296" s="118" t="str">
        <x:v>No material FY27/FY28 Unit IV revenue should be assumed</x:v>
      </x:c>
      <x:c r="F296" s="118" t="str">
        <x:v>Timeline change</x:v>
      </x:c>
      <x:c r="G296" s="118" t="str">
        <x:v>Review only on slippage</x:v>
      </x:c>
      <x:c r="H296" s="118" t="str">
        <x:v>High</x:v>
      </x:c>
      <x:c r="I296" s="118"/>
      <x:c r="J296" s="118"/>
      <x:c r="K296" s="118"/>
      <x:c r="L296" s="118"/>
      <x:c r="M296" s="118"/>
      <x:c r="N296" s="118"/>
      <x:c r="O296" s="118"/>
      <x:c r="P296" s="118"/>
      <x:c r="Q296" s="118"/>
      <x:c r="R296" s="118"/>
      <x:c r="S296" s="118"/>
      <x:c r="T296" s="118"/>
      <x:c r="U296" s="118"/>
      <x:c r="V296" s="118"/>
      <x:c r="W296" s="118"/>
      <x:c r="X296" s="118"/>
      <x:c r="Y296" s="118"/>
      <x:c r="Z296" s="118"/>
      <x:c r="AA296" s="118"/>
      <x:c r="AB296" s="118"/>
      <x:c r="AC296" s="118"/>
      <x:c r="AD296" s="118"/>
      <x:c r="AE296" s="118"/>
      <x:c r="AF296" s="118"/>
      <x:c r="AG296" s="118"/>
      <x:c r="AH296" s="118"/>
    </x:row>
    <x:row r="297" ht="42" customHeight="1">
      <x:c r="A297" s="118" t="str">
        <x:v>Unit IV Demand Visibility</x:v>
      </x:c>
      <x:c r="B297" s="118" t="str">
        <x:v>Medium</x:v>
      </x:c>
      <x:c r="C297" s="118" t="str">
        <x:v>Watch</x:v>
      </x:c>
      <x:c r="D297" s="118" t="str">
        <x:v>Projects discussed; future-ready rationale; existing capacity not constrained</x:v>
      </x:c>
      <x:c r="E297" s="118" t="str">
        <x:v>Risk of capacity ahead of demand remains real</x:v>
      </x:c>
      <x:c r="F297" s="118" t="str">
        <x:v>Customer-backed transfers / audits</x:v>
      </x:c>
      <x:c r="G297" s="118" t="str">
        <x:v>Stress-test FY29+</x:v>
      </x:c>
      <x:c r="H297" s="118" t="str">
        <x:v>Medium</x:v>
      </x:c>
      <x:c r="I297" s="118"/>
      <x:c r="J297" s="118"/>
      <x:c r="K297" s="118"/>
      <x:c r="L297" s="118"/>
      <x:c r="M297" s="118"/>
      <x:c r="N297" s="118"/>
      <x:c r="O297" s="118"/>
      <x:c r="P297" s="118"/>
      <x:c r="Q297" s="118"/>
      <x:c r="R297" s="118"/>
      <x:c r="S297" s="118"/>
      <x:c r="T297" s="118"/>
      <x:c r="U297" s="118"/>
      <x:c r="V297" s="118"/>
      <x:c r="W297" s="118"/>
      <x:c r="X297" s="118"/>
      <x:c r="Y297" s="118"/>
      <x:c r="Z297" s="118"/>
      <x:c r="AA297" s="118"/>
      <x:c r="AB297" s="118"/>
      <x:c r="AC297" s="118"/>
      <x:c r="AD297" s="118"/>
      <x:c r="AE297" s="118"/>
      <x:c r="AF297" s="118"/>
      <x:c r="AG297" s="118"/>
      <x:c r="AH297" s="118"/>
    </x:row>
    <x:row r="298" ht="42" customHeight="1">
      <x:c r="A298" s="118" t="str">
        <x:v>Existing Capacity Utilisation</x:v>
      </x:c>
      <x:c r="B298" s="118" t="str">
        <x:v>Medium / headroom</x:v>
      </x:c>
      <x:c r="C298" s="118" t="str">
        <x:v>Stable</x:v>
      </x:c>
      <x:c r="D298" s="118" t="str">
        <x:v>Unit1 / active Unit2 ~75%; fermentation ~46–47%; Unit3 underutilised</x:v>
      </x:c>
      <x:c r="E298" s="118" t="str">
        <x:v>Existing assets can support near-term growth</x:v>
      </x:c>
      <x:c r="F298" s="118" t="str">
        <x:v>Utilisation / campaigns</x:v>
      </x:c>
      <x:c r="G298" s="118" t="str">
        <x:v>No Unit IV revenue pre-FY29 in cross-check</x:v>
      </x:c>
      <x:c r="H298" s="118" t="str">
        <x:v>High</x:v>
      </x:c>
      <x:c r="I298" s="118"/>
      <x:c r="J298" s="118"/>
      <x:c r="K298" s="118"/>
      <x:c r="L298" s="118"/>
      <x:c r="M298" s="118"/>
      <x:c r="N298" s="118"/>
      <x:c r="O298" s="118"/>
      <x:c r="P298" s="118"/>
      <x:c r="Q298" s="118"/>
      <x:c r="R298" s="118"/>
      <x:c r="S298" s="118"/>
      <x:c r="T298" s="118"/>
      <x:c r="U298" s="118"/>
      <x:c r="V298" s="118"/>
      <x:c r="W298" s="118"/>
      <x:c r="X298" s="118"/>
      <x:c r="Y298" s="118"/>
      <x:c r="Z298" s="118"/>
      <x:c r="AA298" s="118"/>
      <x:c r="AB298" s="118"/>
      <x:c r="AC298" s="118"/>
      <x:c r="AD298" s="118"/>
      <x:c r="AE298" s="118"/>
      <x:c r="AF298" s="118"/>
      <x:c r="AG298" s="118"/>
      <x:c r="AH298" s="118"/>
    </x:row>
    <x:row r="299" ht="42" customHeight="1">
      <x:c r="A299" s="118" t="str">
        <x:v>Pipeline Conversion</x:v>
      </x:c>
      <x:c r="B299" s="118" t="str">
        <x:v>Improving</x:v>
      </x:c>
      <x:c r="C299" s="118" t="str">
        <x:v>Positive</x:v>
      </x:c>
      <x:c r="D299" s="118" t="str">
        <x:v>4 FY26 commercialisations; late-stage pool replenished to ~10</x:v>
      </x:c>
      <x:c r="E299" s="118" t="str">
        <x:v>Constructive leading indicator for D&amp;M</x:v>
      </x:c>
      <x:c r="F299" s="118" t="str">
        <x:v>New approvals / commercial additions</x:v>
      </x:c>
      <x:c r="G299" s="118" t="str">
        <x:v>Maintain with watch</x:v>
      </x:c>
      <x:c r="H299" s="118" t="str">
        <x:v>High</x:v>
      </x:c>
      <x:c r="I299" s="118"/>
      <x:c r="J299" s="118"/>
      <x:c r="K299" s="118"/>
      <x:c r="L299" s="118"/>
      <x:c r="M299" s="118"/>
      <x:c r="N299" s="118"/>
      <x:c r="O299" s="118"/>
      <x:c r="P299" s="118"/>
      <x:c r="Q299" s="118"/>
      <x:c r="R299" s="118"/>
      <x:c r="S299" s="118"/>
      <x:c r="T299" s="118"/>
      <x:c r="U299" s="118"/>
      <x:c r="V299" s="118"/>
      <x:c r="W299" s="118"/>
      <x:c r="X299" s="118"/>
      <x:c r="Y299" s="118"/>
      <x:c r="Z299" s="118"/>
      <x:c r="AA299" s="118"/>
      <x:c r="AB299" s="118"/>
      <x:c r="AC299" s="118"/>
      <x:c r="AD299" s="118"/>
      <x:c r="AE299" s="118"/>
      <x:c r="AF299" s="118"/>
      <x:c r="AG299" s="118"/>
      <x:c r="AH299" s="118"/>
    </x:row>
    <x:row r="300" ht="42" customHeight="1">
      <x:c r="A300" s="118" t="str">
        <x:v>Fixed Asset Turnover</x:v>
      </x:c>
      <x:c r="B300" s="118" t="str">
        <x:v>Falling near-term</x:v>
      </x:c>
      <x:c r="C300" s="118" t="str">
        <x:v>Investment phase</x:v>
      </x:c>
      <x:c r="D300" s="118" t="str">
        <x:v>Large FY27/FY28 capex + CWIP / PP&amp;E step-up</x:v>
      </x:c>
      <x:c r="E300" s="118" t="str">
        <x:v>Must recover from FY29 onward</x:v>
      </x:c>
      <x:c r="F300" s="118" t="str">
        <x:v>Revenue vs PP&amp;E</x:v>
      </x:c>
      <x:c r="G300" s="118" t="str">
        <x:v>Review if recovery delays</x:v>
      </x:c>
      <x:c r="H300" s="118" t="str">
        <x:v>High</x:v>
      </x:c>
      <x:c r="I300" s="118"/>
      <x:c r="J300" s="118"/>
      <x:c r="K300" s="118"/>
      <x:c r="L300" s="118"/>
      <x:c r="M300" s="118"/>
      <x:c r="N300" s="118"/>
      <x:c r="O300" s="118"/>
      <x:c r="P300" s="118"/>
      <x:c r="Q300" s="118"/>
      <x:c r="R300" s="118"/>
      <x:c r="S300" s="118"/>
      <x:c r="T300" s="118"/>
      <x:c r="U300" s="118"/>
      <x:c r="V300" s="118"/>
      <x:c r="W300" s="118"/>
      <x:c r="X300" s="118"/>
      <x:c r="Y300" s="118"/>
      <x:c r="Z300" s="118"/>
      <x:c r="AA300" s="118"/>
      <x:c r="AB300" s="118"/>
      <x:c r="AC300" s="118"/>
      <x:c r="AD300" s="118"/>
      <x:c r="AE300" s="118"/>
      <x:c r="AF300" s="118"/>
      <x:c r="AG300" s="118"/>
      <x:c r="AH300" s="118"/>
    </x:row>
    <x:row r="301" ht="42" customHeight="1">
      <x:c r="A301" s="118" t="str">
        <x:v>ROCE</x:v>
      </x:c>
      <x:c r="B301" s="118" t="str">
        <x:v>Dilutes near-term; should recover</x:v>
      </x:c>
      <x:c r="C301" s="118" t="str">
        <x:v>Investment phase</x:v>
      </x:c>
      <x:c r="D301" s="118" t="str">
        <x:v>Capital ahead of revenue</x:v>
      </x:c>
      <x:c r="E301" s="118" t="str">
        <x:v>15%+ project return requires meaningful incremental revenue</x:v>
      </x:c>
      <x:c r="F301" s="118" t="str">
        <x:v>Unit IV utilisation</x:v>
      </x:c>
      <x:c r="G301" s="118" t="str">
        <x:v>Review FY29–31 ramp</x:v>
      </x:c>
      <x:c r="H301" s="118" t="str">
        <x:v>Medium</x:v>
      </x:c>
      <x:c r="I301" s="118"/>
      <x:c r="J301" s="118"/>
      <x:c r="K301" s="118"/>
      <x:c r="L301" s="118"/>
      <x:c r="M301" s="118"/>
      <x:c r="N301" s="118"/>
      <x:c r="O301" s="118"/>
      <x:c r="P301" s="118"/>
      <x:c r="Q301" s="118"/>
      <x:c r="R301" s="118"/>
      <x:c r="S301" s="118"/>
      <x:c r="T301" s="118"/>
      <x:c r="U301" s="118"/>
      <x:c r="V301" s="118"/>
      <x:c r="W301" s="118"/>
      <x:c r="X301" s="118"/>
      <x:c r="Y301" s="118"/>
      <x:c r="Z301" s="118"/>
      <x:c r="AA301" s="118"/>
      <x:c r="AB301" s="118"/>
      <x:c r="AC301" s="118"/>
      <x:c r="AD301" s="118"/>
      <x:c r="AE301" s="118"/>
      <x:c r="AF301" s="118"/>
      <x:c r="AG301" s="118"/>
      <x:c r="AH301" s="118"/>
    </x:row>
    <x:row r="302" ht="42" customHeight="1">
      <x:c r="A302" s="118" t="str">
        <x:v>FCF</x:v>
      </x:c>
      <x:c r="B302" s="118" t="str">
        <x:v>Under Pressure FY27</x:v>
      </x:c>
      <x:c r="C302" s="118" t="str">
        <x:v>Negative direction near-term</x:v>
      </x:c>
      <x:c r="D302" s="118" t="str">
        <x:v>₹7bn FY27 capex guidance</x:v>
      </x:c>
      <x:c r="E302" s="118" t="str">
        <x:v>Cash still ample, but free cash conversion falls</x:v>
      </x:c>
      <x:c r="F302" s="118" t="str">
        <x:v>Capex / WC</x:v>
      </x:c>
      <x:c r="G302" s="118" t="str">
        <x:v>Maintain</x:v>
      </x:c>
      <x:c r="H302" s="118" t="str">
        <x:v>High</x:v>
      </x:c>
      <x:c r="I302" s="118"/>
      <x:c r="J302" s="118"/>
      <x:c r="K302" s="118"/>
      <x:c r="L302" s="118"/>
      <x:c r="M302" s="118"/>
      <x:c r="N302" s="118"/>
      <x:c r="O302" s="118"/>
      <x:c r="P302" s="118"/>
      <x:c r="Q302" s="118"/>
      <x:c r="R302" s="118"/>
      <x:c r="S302" s="118"/>
      <x:c r="T302" s="118"/>
      <x:c r="U302" s="118"/>
      <x:c r="V302" s="118"/>
      <x:c r="W302" s="118"/>
      <x:c r="X302" s="118"/>
      <x:c r="Y302" s="118"/>
      <x:c r="Z302" s="118"/>
      <x:c r="AA302" s="118"/>
      <x:c r="AB302" s="118"/>
      <x:c r="AC302" s="118"/>
      <x:c r="AD302" s="118"/>
      <x:c r="AE302" s="118"/>
      <x:c r="AF302" s="118"/>
      <x:c r="AG302" s="118"/>
      <x:c r="AH302" s="118"/>
    </x:row>
    <x:row r="303" ht="42" customHeight="1">
      <x:c r="A303" s="118" t="str">
        <x:v>Key Upside</x:v>
      </x:c>
      <x:c r="B303" s="118" t="str">
        <x:v>Late-stage / commercial conversion fills Unit IV faster than conservative cross-check</x:v>
      </x:c>
      <x:c r="C303" s="118" t="str">
        <x:v>Positive</x:v>
      </x:c>
      <x:c r="D303" s="118" t="str">
        <x:v>14 commercial + ~10 late-stage + 100+ early programmes</x:v>
      </x:c>
      <x:c r="E303" s="118" t="str">
        <x:v>Faster D&amp;M growth + asset-turn recovery</x:v>
      </x:c>
      <x:c r="F303" s="118" t="str">
        <x:v>Commercialisations / customer transfers</x:v>
      </x:c>
      <x:c r="G303" s="118" t="str">
        <x:v>Raise D&amp;M only with evidence</x:v>
      </x:c>
      <x:c r="H303" s="118" t="str">
        <x:v>Medium</x:v>
      </x:c>
      <x:c r="I303" s="118"/>
      <x:c r="J303" s="118"/>
      <x:c r="K303" s="118"/>
      <x:c r="L303" s="118"/>
      <x:c r="M303" s="118"/>
      <x:c r="N303" s="118"/>
      <x:c r="O303" s="118"/>
      <x:c r="P303" s="118"/>
      <x:c r="Q303" s="118"/>
      <x:c r="R303" s="118"/>
      <x:c r="S303" s="118"/>
      <x:c r="T303" s="118"/>
      <x:c r="U303" s="118"/>
      <x:c r="V303" s="118"/>
      <x:c r="W303" s="118"/>
      <x:c r="X303" s="118"/>
      <x:c r="Y303" s="118"/>
      <x:c r="Z303" s="118"/>
      <x:c r="AA303" s="118"/>
      <x:c r="AB303" s="118"/>
      <x:c r="AC303" s="118"/>
      <x:c r="AD303" s="118"/>
      <x:c r="AE303" s="118"/>
      <x:c r="AF303" s="118"/>
      <x:c r="AG303" s="118"/>
      <x:c r="AH303" s="118"/>
    </x:row>
    <x:row r="304" ht="42" customHeight="1">
      <x:c r="A304" s="118" t="str">
        <x:v>Key Risk</x:v>
      </x:c>
      <x:c r="B304" s="118" t="str">
        <x:v>Unit IV arrives before sufficient campaign demand</x:v>
      </x:c>
      <x:c r="C304" s="118" t="str">
        <x:v>Watch</x:v>
      </x:c>
      <x:c r="D304" s="118" t="str">
        <x:v>Current capacity not constrained; Unit IV is explicitly future-ready</x:v>
      </x:c>
      <x:c r="E304" s="118" t="str">
        <x:v>Lower utilisation, weaker fixed-asset turns / ROCE</x:v>
      </x:c>
      <x:c r="F304" s="118" t="str">
        <x:v>Audits / transfers lag</x:v>
      </x:c>
      <x:c r="G304" s="118" t="str">
        <x:v>Cut / defer Unit IV-supported revenue</x:v>
      </x:c>
      <x:c r="H304" s="118" t="str">
        <x:v>Medium</x:v>
      </x:c>
      <x:c r="I304" s="118"/>
      <x:c r="J304" s="118"/>
      <x:c r="K304" s="118"/>
      <x:c r="L304" s="118"/>
      <x:c r="M304" s="118"/>
      <x:c r="N304" s="118"/>
      <x:c r="O304" s="118"/>
      <x:c r="P304" s="118"/>
      <x:c r="Q304" s="118"/>
      <x:c r="R304" s="118"/>
      <x:c r="S304" s="118"/>
      <x:c r="T304" s="118"/>
      <x:c r="U304" s="118"/>
      <x:c r="V304" s="118"/>
      <x:c r="W304" s="118"/>
      <x:c r="X304" s="118"/>
      <x:c r="Y304" s="118"/>
      <x:c r="Z304" s="118"/>
      <x:c r="AA304" s="118"/>
      <x:c r="AB304" s="118"/>
      <x:c r="AC304" s="118"/>
      <x:c r="AD304" s="118"/>
      <x:c r="AE304" s="118"/>
      <x:c r="AF304" s="118"/>
      <x:c r="AG304" s="118"/>
      <x:c r="AH304" s="118"/>
    </x:row>
    <x:row r="305" ht="42" customHeight="1">
      <x:c r="A305" s="118" t="str">
        <x:v>Forecast Implication</x:v>
      </x:c>
      <x:c r="B305" s="118" t="str">
        <x:v>Maintain near-term; REVIEW FY29–FY31 D&amp;M ramp</x:v>
      </x:c>
      <x:c r="C305" s="118" t="str">
        <x:v>Review</x:v>
      </x:c>
      <x:c r="D305" s="118" t="str">
        <x:v>Current model increasingly exceeds conservative capital/pipeline cross-check from FY29</x:v>
      </x:c>
      <x:c r="E305" s="118" t="str">
        <x:v>Key debate is not FY27 capacity but FY29+ monetisation</x:v>
      </x:c>
      <x:c r="F305" s="118" t="str">
        <x:v>Q2–Q4 FY27 pipeline + Unit IV progress</x:v>
      </x:c>
      <x:c r="G305" s="118" t="str">
        <x:v>Maintain / Review</x:v>
      </x:c>
      <x:c r="H305" s="118" t="str">
        <x:v>Medium</x:v>
      </x:c>
      <x:c r="I305" s="118"/>
      <x:c r="J305" s="118"/>
      <x:c r="K305" s="118"/>
      <x:c r="L305" s="118"/>
      <x:c r="M305" s="118"/>
      <x:c r="N305" s="118"/>
      <x:c r="O305" s="118"/>
      <x:c r="P305" s="118"/>
      <x:c r="Q305" s="118"/>
      <x:c r="R305" s="118"/>
      <x:c r="S305" s="118"/>
      <x:c r="T305" s="118"/>
      <x:c r="U305" s="118"/>
      <x:c r="V305" s="118"/>
      <x:c r="W305" s="118"/>
      <x:c r="X305" s="118"/>
      <x:c r="Y305" s="118"/>
      <x:c r="Z305" s="118"/>
      <x:c r="AA305" s="118"/>
      <x:c r="AB305" s="118"/>
      <x:c r="AC305" s="118"/>
      <x:c r="AD305" s="118"/>
      <x:c r="AE305" s="118"/>
      <x:c r="AF305" s="118"/>
      <x:c r="AG305" s="118"/>
      <x:c r="AH305" s="118"/>
    </x:row>
    <x:row r="306">
      <x:c r="A306" s="118"/>
      <x:c r="B306" s="118"/>
      <x:c r="C306" s="118"/>
      <x:c r="D306" s="118"/>
      <x:c r="E306" s="118"/>
      <x:c r="F306" s="118"/>
      <x:c r="G306" s="118"/>
      <x:c r="H306" s="118"/>
      <x:c r="I306" s="118"/>
      <x:c r="J306" s="118"/>
      <x:c r="K306" s="118"/>
      <x:c r="L306" s="118"/>
      <x:c r="M306" s="118"/>
      <x:c r="N306" s="118"/>
      <x:c r="O306" s="118"/>
      <x:c r="P306" s="118"/>
      <x:c r="Q306" s="118"/>
      <x:c r="R306" s="118"/>
      <x:c r="S306" s="118"/>
      <x:c r="T306" s="118"/>
      <x:c r="U306" s="118"/>
      <x:c r="V306" s="118"/>
      <x:c r="W306" s="118"/>
      <x:c r="X306" s="118"/>
      <x:c r="Y306" s="118"/>
      <x:c r="Z306" s="118"/>
      <x:c r="AA306" s="118"/>
      <x:c r="AB306" s="118"/>
      <x:c r="AC306" s="118"/>
      <x:c r="AD306" s="118"/>
      <x:c r="AE306" s="118"/>
      <x:c r="AF306" s="118"/>
      <x:c r="AG306" s="118"/>
      <x:c r="AH306" s="118"/>
    </x:row>
    <x:row r="307">
      <x:c r="A307" s="118"/>
      <x:c r="B307" s="118"/>
      <x:c r="C307" s="118"/>
      <x:c r="D307" s="118"/>
      <x:c r="E307" s="118"/>
      <x:c r="F307" s="118"/>
      <x:c r="G307" s="118"/>
      <x:c r="H307" s="118"/>
      <x:c r="I307" s="118"/>
      <x:c r="J307" s="118"/>
      <x:c r="K307" s="118"/>
      <x:c r="L307" s="118"/>
      <x:c r="M307" s="118"/>
      <x:c r="N307" s="118"/>
      <x:c r="O307" s="118"/>
      <x:c r="P307" s="118"/>
      <x:c r="Q307" s="118"/>
      <x:c r="R307" s="118"/>
      <x:c r="S307" s="118"/>
      <x:c r="T307" s="118"/>
      <x:c r="U307" s="118"/>
      <x:c r="V307" s="118"/>
      <x:c r="W307" s="118"/>
      <x:c r="X307" s="118"/>
      <x:c r="Y307" s="118"/>
      <x:c r="Z307" s="118"/>
      <x:c r="AA307" s="118"/>
      <x:c r="AB307" s="118"/>
      <x:c r="AC307" s="118"/>
      <x:c r="AD307" s="118"/>
      <x:c r="AE307" s="118"/>
      <x:c r="AF307" s="118"/>
      <x:c r="AG307" s="118"/>
      <x:c r="AH307" s="118"/>
    </x:row>
    <x:row r="308">
      <x:c r="A308" s="118"/>
      <x:c r="B308" s="118"/>
      <x:c r="C308" s="118"/>
      <x:c r="D308" s="118"/>
      <x:c r="E308" s="118"/>
      <x:c r="F308" s="118"/>
      <x:c r="G308" s="118"/>
      <x:c r="H308" s="118"/>
      <x:c r="I308" s="118"/>
      <x:c r="J308" s="118"/>
      <x:c r="K308" s="118"/>
      <x:c r="L308" s="118"/>
      <x:c r="M308" s="118"/>
      <x:c r="N308" s="118"/>
      <x:c r="O308" s="118"/>
      <x:c r="P308" s="118"/>
      <x:c r="Q308" s="118"/>
      <x:c r="R308" s="118"/>
      <x:c r="S308" s="118"/>
      <x:c r="T308" s="118"/>
      <x:c r="U308" s="118"/>
      <x:c r="V308" s="118"/>
      <x:c r="W308" s="118"/>
      <x:c r="X308" s="118"/>
      <x:c r="Y308" s="118"/>
      <x:c r="Z308" s="118"/>
      <x:c r="AA308" s="118"/>
      <x:c r="AB308" s="118"/>
      <x:c r="AC308" s="118"/>
      <x:c r="AD308" s="118"/>
      <x:c r="AE308" s="118"/>
      <x:c r="AF308" s="118"/>
      <x:c r="AG308" s="118"/>
      <x:c r="AH308" s="118"/>
    </x:row>
    <x:row r="309">
      <x:c r="A309" s="118"/>
      <x:c r="B309" s="118"/>
      <x:c r="C309" s="118"/>
      <x:c r="D309" s="118"/>
      <x:c r="E309" s="118"/>
      <x:c r="F309" s="118"/>
      <x:c r="G309" s="118"/>
      <x:c r="H309" s="118"/>
      <x:c r="I309" s="118"/>
      <x:c r="J309" s="118"/>
      <x:c r="K309" s="118"/>
      <x:c r="L309" s="118"/>
      <x:c r="M309" s="118"/>
      <x:c r="N309" s="118"/>
      <x:c r="O309" s="118"/>
      <x:c r="P309" s="118"/>
      <x:c r="Q309" s="118"/>
      <x:c r="R309" s="118"/>
      <x:c r="S309" s="118"/>
      <x:c r="T309" s="118"/>
      <x:c r="U309" s="118"/>
      <x:c r="V309" s="118"/>
      <x:c r="W309" s="118"/>
      <x:c r="X309" s="118"/>
      <x:c r="Y309" s="118"/>
      <x:c r="Z309" s="118"/>
      <x:c r="AA309" s="118"/>
      <x:c r="AB309" s="118"/>
      <x:c r="AC309" s="118"/>
      <x:c r="AD309" s="118"/>
      <x:c r="AE309" s="118"/>
      <x:c r="AF309" s="118"/>
      <x:c r="AG309" s="118"/>
      <x:c r="AH309" s="118"/>
    </x:row>
    <x:row r="310">
      <x:c r="A310" s="118"/>
      <x:c r="B310" s="118"/>
      <x:c r="C310" s="118"/>
      <x:c r="D310" s="118"/>
      <x:c r="E310" s="118"/>
      <x:c r="F310" s="118"/>
      <x:c r="G310" s="118"/>
      <x:c r="H310" s="118"/>
      <x:c r="I310" s="118"/>
      <x:c r="J310" s="118"/>
      <x:c r="K310" s="118"/>
      <x:c r="L310" s="118"/>
      <x:c r="M310" s="118"/>
      <x:c r="N310" s="118"/>
      <x:c r="O310" s="118"/>
      <x:c r="P310" s="118"/>
      <x:c r="Q310" s="118"/>
      <x:c r="R310" s="118"/>
      <x:c r="S310" s="118"/>
      <x:c r="T310" s="118"/>
      <x:c r="U310" s="118"/>
      <x:c r="V310" s="118"/>
      <x:c r="W310" s="118"/>
      <x:c r="X310" s="118"/>
      <x:c r="Y310" s="118"/>
      <x:c r="Z310" s="118"/>
      <x:c r="AA310" s="118"/>
      <x:c r="AB310" s="118"/>
      <x:c r="AC310" s="118"/>
      <x:c r="AD310" s="118"/>
      <x:c r="AE310" s="118"/>
      <x:c r="AF310" s="118"/>
      <x:c r="AG310" s="118"/>
      <x:c r="AH310" s="118"/>
    </x:row>
    <x:row r="311">
      <x:c r="A311" s="118"/>
      <x:c r="B311" s="118"/>
      <x:c r="C311" s="118"/>
      <x:c r="D311" s="118"/>
      <x:c r="E311" s="118"/>
      <x:c r="F311" s="118"/>
      <x:c r="G311" s="118"/>
      <x:c r="H311" s="118"/>
      <x:c r="I311" s="118"/>
      <x:c r="J311" s="118"/>
      <x:c r="K311" s="118"/>
      <x:c r="L311" s="118"/>
      <x:c r="M311" s="118"/>
      <x:c r="N311" s="118"/>
      <x:c r="O311" s="118"/>
      <x:c r="P311" s="118"/>
      <x:c r="Q311" s="118"/>
      <x:c r="R311" s="118"/>
      <x:c r="S311" s="118"/>
      <x:c r="T311" s="118"/>
      <x:c r="U311" s="118"/>
      <x:c r="V311" s="118"/>
      <x:c r="W311" s="118"/>
      <x:c r="X311" s="118"/>
      <x:c r="Y311" s="118"/>
      <x:c r="Z311" s="118"/>
      <x:c r="AA311" s="118"/>
      <x:c r="AB311" s="118"/>
      <x:c r="AC311" s="118"/>
      <x:c r="AD311" s="118"/>
      <x:c r="AE311" s="118"/>
      <x:c r="AF311" s="118"/>
      <x:c r="AG311" s="118"/>
      <x:c r="AH311" s="118"/>
    </x:row>
    <x:row r="312">
      <x:c r="A312" s="118"/>
      <x:c r="B312" s="118"/>
      <x:c r="C312" s="118"/>
      <x:c r="D312" s="118"/>
      <x:c r="E312" s="118"/>
      <x:c r="F312" s="118"/>
      <x:c r="G312" s="118"/>
      <x:c r="H312" s="118"/>
      <x:c r="I312" s="118"/>
      <x:c r="J312" s="118"/>
      <x:c r="K312" s="118"/>
      <x:c r="L312" s="118"/>
      <x:c r="M312" s="118"/>
      <x:c r="N312" s="118"/>
      <x:c r="O312" s="118"/>
      <x:c r="P312" s="118"/>
      <x:c r="Q312" s="118"/>
      <x:c r="R312" s="118"/>
      <x:c r="S312" s="118"/>
      <x:c r="T312" s="118"/>
      <x:c r="U312" s="118"/>
      <x:c r="V312" s="118"/>
      <x:c r="W312" s="118"/>
      <x:c r="X312" s="118"/>
      <x:c r="Y312" s="118"/>
      <x:c r="Z312" s="118"/>
      <x:c r="AA312" s="118"/>
      <x:c r="AB312" s="118"/>
      <x:c r="AC312" s="118"/>
      <x:c r="AD312" s="118"/>
      <x:c r="AE312" s="118"/>
      <x:c r="AF312" s="118"/>
      <x:c r="AG312" s="118"/>
      <x:c r="AH312" s="118"/>
    </x:row>
    <x:row r="313">
      <x:c r="A313" s="118"/>
      <x:c r="B313" s="118"/>
      <x:c r="C313" s="118"/>
      <x:c r="D313" s="118"/>
      <x:c r="E313" s="118"/>
      <x:c r="F313" s="118"/>
      <x:c r="G313" s="118"/>
      <x:c r="H313" s="118"/>
      <x:c r="I313" s="118"/>
      <x:c r="J313" s="118"/>
      <x:c r="K313" s="118"/>
      <x:c r="L313" s="118"/>
      <x:c r="M313" s="118"/>
      <x:c r="N313" s="118"/>
      <x:c r="O313" s="118"/>
      <x:c r="P313" s="118"/>
      <x:c r="Q313" s="118"/>
      <x:c r="R313" s="118"/>
      <x:c r="S313" s="118"/>
      <x:c r="T313" s="118"/>
      <x:c r="U313" s="118"/>
      <x:c r="V313" s="118"/>
      <x:c r="W313" s="118"/>
      <x:c r="X313" s="118"/>
      <x:c r="Y313" s="118"/>
      <x:c r="Z313" s="118"/>
      <x:c r="AA313" s="118"/>
      <x:c r="AB313" s="118"/>
      <x:c r="AC313" s="118"/>
      <x:c r="AD313" s="118"/>
      <x:c r="AE313" s="118"/>
      <x:c r="AF313" s="118"/>
      <x:c r="AG313" s="118"/>
      <x:c r="AH313" s="118"/>
    </x:row>
    <x:row r="314">
      <x:c r="A314" s="118"/>
      <x:c r="B314" s="118"/>
      <x:c r="C314" s="118"/>
      <x:c r="D314" s="118"/>
      <x:c r="E314" s="118"/>
      <x:c r="F314" s="118"/>
      <x:c r="G314" s="118"/>
      <x:c r="H314" s="118"/>
      <x:c r="I314" s="118"/>
      <x:c r="J314" s="118"/>
      <x:c r="K314" s="118"/>
      <x:c r="L314" s="118"/>
      <x:c r="M314" s="118"/>
      <x:c r="N314" s="118"/>
      <x:c r="O314" s="118"/>
      <x:c r="P314" s="118"/>
      <x:c r="Q314" s="118"/>
      <x:c r="R314" s="118"/>
      <x:c r="S314" s="118"/>
      <x:c r="T314" s="118"/>
      <x:c r="U314" s="118"/>
      <x:c r="V314" s="118"/>
      <x:c r="W314" s="118"/>
      <x:c r="X314" s="118"/>
      <x:c r="Y314" s="118"/>
      <x:c r="Z314" s="118"/>
      <x:c r="AA314" s="118"/>
      <x:c r="AB314" s="118"/>
      <x:c r="AC314" s="118"/>
      <x:c r="AD314" s="118"/>
      <x:c r="AE314" s="118"/>
      <x:c r="AF314" s="118"/>
      <x:c r="AG314" s="118"/>
      <x:c r="AH314" s="118"/>
    </x:row>
    <x:row r="315">
      <x:c r="A315" s="118"/>
      <x:c r="B315" s="118"/>
      <x:c r="C315" s="118"/>
      <x:c r="D315" s="118"/>
      <x:c r="E315" s="118"/>
      <x:c r="F315" s="118"/>
      <x:c r="G315" s="118"/>
      <x:c r="H315" s="118"/>
      <x:c r="I315" s="118"/>
      <x:c r="J315" s="118"/>
      <x:c r="K315" s="118"/>
      <x:c r="L315" s="118"/>
      <x:c r="M315" s="118"/>
      <x:c r="N315" s="118"/>
      <x:c r="O315" s="118"/>
      <x:c r="P315" s="118"/>
      <x:c r="Q315" s="118"/>
      <x:c r="R315" s="118"/>
      <x:c r="S315" s="118"/>
      <x:c r="T315" s="118"/>
      <x:c r="U315" s="118"/>
      <x:c r="V315" s="118"/>
      <x:c r="W315" s="118"/>
      <x:c r="X315" s="118"/>
      <x:c r="Y315" s="118"/>
      <x:c r="Z315" s="118"/>
      <x:c r="AA315" s="118"/>
      <x:c r="AB315" s="118"/>
      <x:c r="AC315" s="118"/>
      <x:c r="AD315" s="118"/>
      <x:c r="AE315" s="118"/>
      <x:c r="AF315" s="118"/>
      <x:c r="AG315" s="118"/>
      <x:c r="AH315" s="118"/>
    </x:row>
    <x:row r="316">
      <x:c r="A316" s="118"/>
      <x:c r="B316" s="118"/>
      <x:c r="C316" s="118"/>
      <x:c r="D316" s="118"/>
      <x:c r="E316" s="118"/>
      <x:c r="F316" s="118"/>
      <x:c r="G316" s="118"/>
      <x:c r="H316" s="118"/>
      <x:c r="I316" s="118"/>
      <x:c r="J316" s="118"/>
      <x:c r="K316" s="118"/>
      <x:c r="L316" s="118"/>
      <x:c r="M316" s="118"/>
      <x:c r="N316" s="118"/>
      <x:c r="O316" s="118"/>
      <x:c r="P316" s="118"/>
      <x:c r="Q316" s="118"/>
      <x:c r="R316" s="118"/>
      <x:c r="S316" s="118"/>
      <x:c r="T316" s="118"/>
      <x:c r="U316" s="118"/>
      <x:c r="V316" s="118"/>
      <x:c r="W316" s="118"/>
      <x:c r="X316" s="118"/>
      <x:c r="Y316" s="118"/>
      <x:c r="Z316" s="118"/>
      <x:c r="AA316" s="118"/>
      <x:c r="AB316" s="118"/>
      <x:c r="AC316" s="118"/>
      <x:c r="AD316" s="118"/>
      <x:c r="AE316" s="118"/>
      <x:c r="AF316" s="118"/>
      <x:c r="AG316" s="118"/>
      <x:c r="AH316" s="118"/>
    </x:row>
    <x:row r="317">
      <x:c r="A317" s="118"/>
      <x:c r="B317" s="118"/>
      <x:c r="C317" s="118"/>
      <x:c r="D317" s="118"/>
      <x:c r="E317" s="118"/>
      <x:c r="F317" s="118"/>
      <x:c r="G317" s="118"/>
      <x:c r="H317" s="118"/>
      <x:c r="I317" s="118"/>
      <x:c r="J317" s="118"/>
      <x:c r="K317" s="118"/>
      <x:c r="L317" s="118"/>
      <x:c r="M317" s="118"/>
      <x:c r="N317" s="118"/>
      <x:c r="O317" s="118"/>
      <x:c r="P317" s="118"/>
      <x:c r="Q317" s="118"/>
      <x:c r="R317" s="118"/>
      <x:c r="S317" s="118"/>
      <x:c r="T317" s="118"/>
      <x:c r="U317" s="118"/>
      <x:c r="V317" s="118"/>
      <x:c r="W317" s="118"/>
      <x:c r="X317" s="118"/>
      <x:c r="Y317" s="118"/>
      <x:c r="Z317" s="118"/>
      <x:c r="AA317" s="118"/>
      <x:c r="AB317" s="118"/>
      <x:c r="AC317" s="118"/>
      <x:c r="AD317" s="118"/>
      <x:c r="AE317" s="118"/>
      <x:c r="AF317" s="118"/>
      <x:c r="AG317" s="118"/>
      <x:c r="AH317" s="118"/>
    </x:row>
    <x:row r="318">
      <x:c r="A318" s="118"/>
      <x:c r="B318" s="118"/>
      <x:c r="C318" s="118"/>
      <x:c r="D318" s="118"/>
      <x:c r="E318" s="118"/>
      <x:c r="F318" s="118"/>
      <x:c r="G318" s="118"/>
      <x:c r="H318" s="118"/>
      <x:c r="I318" s="118"/>
      <x:c r="J318" s="118"/>
      <x:c r="K318" s="118"/>
      <x:c r="L318" s="118"/>
      <x:c r="M318" s="118"/>
      <x:c r="N318" s="118"/>
      <x:c r="O318" s="118"/>
      <x:c r="P318" s="118"/>
      <x:c r="Q318" s="118"/>
      <x:c r="R318" s="118"/>
      <x:c r="S318" s="118"/>
      <x:c r="T318" s="118"/>
      <x:c r="U318" s="118"/>
      <x:c r="V318" s="118"/>
      <x:c r="W318" s="118"/>
      <x:c r="X318" s="118"/>
      <x:c r="Y318" s="118"/>
      <x:c r="Z318" s="118"/>
      <x:c r="AA318" s="118"/>
      <x:c r="AB318" s="118"/>
      <x:c r="AC318" s="118"/>
      <x:c r="AD318" s="118"/>
      <x:c r="AE318" s="118"/>
      <x:c r="AF318" s="118"/>
      <x:c r="AG318" s="118"/>
      <x:c r="AH318" s="118"/>
    </x:row>
    <x:row r="319">
      <x:c r="A319" s="118"/>
      <x:c r="B319" s="118"/>
      <x:c r="C319" s="118"/>
      <x:c r="D319" s="118"/>
      <x:c r="E319" s="118"/>
      <x:c r="F319" s="118"/>
      <x:c r="G319" s="118"/>
      <x:c r="H319" s="118"/>
      <x:c r="I319" s="118"/>
      <x:c r="J319" s="118"/>
      <x:c r="K319" s="118"/>
      <x:c r="L319" s="118"/>
      <x:c r="M319" s="118"/>
      <x:c r="N319" s="118"/>
      <x:c r="O319" s="118"/>
      <x:c r="P319" s="118"/>
      <x:c r="Q319" s="118"/>
      <x:c r="R319" s="118"/>
      <x:c r="S319" s="118"/>
      <x:c r="T319" s="118"/>
      <x:c r="U319" s="118"/>
      <x:c r="V319" s="118"/>
      <x:c r="W319" s="118"/>
      <x:c r="X319" s="118"/>
      <x:c r="Y319" s="118"/>
      <x:c r="Z319" s="118"/>
      <x:c r="AA319" s="118"/>
      <x:c r="AB319" s="118"/>
      <x:c r="AC319" s="118"/>
      <x:c r="AD319" s="118"/>
      <x:c r="AE319" s="118"/>
      <x:c r="AF319" s="118"/>
      <x:c r="AG319" s="118"/>
      <x:c r="AH319" s="118"/>
    </x:row>
    <x:row r="320">
      <x:c r="A320" s="118"/>
      <x:c r="B320" s="118"/>
      <x:c r="C320" s="118"/>
      <x:c r="D320" s="118"/>
      <x:c r="E320" s="118"/>
      <x:c r="F320" s="118"/>
      <x:c r="G320" s="118"/>
      <x:c r="H320" s="118"/>
      <x:c r="I320" s="118"/>
      <x:c r="J320" s="118"/>
      <x:c r="K320" s="118"/>
      <x:c r="L320" s="118"/>
      <x:c r="M320" s="118"/>
      <x:c r="N320" s="118"/>
      <x:c r="O320" s="118"/>
      <x:c r="P320" s="118"/>
      <x:c r="Q320" s="118"/>
      <x:c r="R320" s="118"/>
      <x:c r="S320" s="118"/>
      <x:c r="T320" s="118"/>
      <x:c r="U320" s="118"/>
      <x:c r="V320" s="118"/>
      <x:c r="W320" s="118"/>
      <x:c r="X320" s="118"/>
      <x:c r="Y320" s="118"/>
      <x:c r="Z320" s="118"/>
      <x:c r="AA320" s="118"/>
      <x:c r="AB320" s="118"/>
      <x:c r="AC320" s="118"/>
      <x:c r="AD320" s="118"/>
      <x:c r="AE320" s="118"/>
      <x:c r="AF320" s="118"/>
      <x:c r="AG320" s="118"/>
      <x:c r="AH320" s="118"/>
    </x:row>
    <x:row r="321">
      <x:c r="A321" s="118"/>
      <x:c r="B321" s="118"/>
      <x:c r="C321" s="118"/>
      <x:c r="D321" s="118"/>
      <x:c r="E321" s="118"/>
      <x:c r="F321" s="118"/>
      <x:c r="G321" s="118"/>
      <x:c r="H321" s="118"/>
      <x:c r="I321" s="118"/>
      <x:c r="J321" s="118"/>
      <x:c r="K321" s="118"/>
      <x:c r="L321" s="118"/>
      <x:c r="M321" s="118"/>
      <x:c r="N321" s="118"/>
      <x:c r="O321" s="118"/>
      <x:c r="P321" s="118"/>
      <x:c r="Q321" s="118"/>
      <x:c r="R321" s="118"/>
      <x:c r="S321" s="118"/>
      <x:c r="T321" s="118"/>
      <x:c r="U321" s="118"/>
      <x:c r="V321" s="118"/>
      <x:c r="W321" s="118"/>
      <x:c r="X321" s="118"/>
      <x:c r="Y321" s="118"/>
      <x:c r="Z321" s="118"/>
      <x:c r="AA321" s="118"/>
      <x:c r="AB321" s="118"/>
      <x:c r="AC321" s="118"/>
      <x:c r="AD321" s="118"/>
      <x:c r="AE321" s="118"/>
      <x:c r="AF321" s="118"/>
      <x:c r="AG321" s="118"/>
      <x:c r="AH321" s="118"/>
    </x:row>
    <x:row r="322">
      <x:c r="A322" s="118"/>
      <x:c r="B322" s="118"/>
      <x:c r="C322" s="118"/>
      <x:c r="D322" s="118"/>
      <x:c r="E322" s="118"/>
      <x:c r="F322" s="118"/>
      <x:c r="G322" s="118"/>
      <x:c r="H322" s="118"/>
      <x:c r="I322" s="118"/>
      <x:c r="J322" s="118"/>
      <x:c r="K322" s="118"/>
      <x:c r="L322" s="118"/>
      <x:c r="M322" s="118"/>
      <x:c r="N322" s="118"/>
      <x:c r="O322" s="118"/>
      <x:c r="P322" s="118"/>
      <x:c r="Q322" s="118"/>
      <x:c r="R322" s="118"/>
      <x:c r="S322" s="118"/>
      <x:c r="T322" s="118"/>
      <x:c r="U322" s="118"/>
      <x:c r="V322" s="118"/>
      <x:c r="W322" s="118"/>
      <x:c r="X322" s="118"/>
      <x:c r="Y322" s="118"/>
      <x:c r="Z322" s="118"/>
      <x:c r="AA322" s="118"/>
      <x:c r="AB322" s="118"/>
      <x:c r="AC322" s="118"/>
      <x:c r="AD322" s="118"/>
      <x:c r="AE322" s="118"/>
      <x:c r="AF322" s="118"/>
      <x:c r="AG322" s="118"/>
      <x:c r="AH322" s="118"/>
    </x:row>
    <x:row r="323">
      <x:c r="A323" s="118"/>
      <x:c r="B323" s="118"/>
      <x:c r="C323" s="118"/>
      <x:c r="D323" s="118"/>
      <x:c r="E323" s="118"/>
      <x:c r="F323" s="118"/>
      <x:c r="G323" s="118"/>
      <x:c r="H323" s="118"/>
      <x:c r="I323" s="118"/>
      <x:c r="J323" s="118"/>
      <x:c r="K323" s="118"/>
      <x:c r="L323" s="118"/>
      <x:c r="M323" s="118"/>
      <x:c r="N323" s="118"/>
      <x:c r="O323" s="118"/>
      <x:c r="P323" s="118"/>
      <x:c r="Q323" s="118"/>
      <x:c r="R323" s="118"/>
      <x:c r="S323" s="118"/>
      <x:c r="T323" s="118"/>
      <x:c r="U323" s="118"/>
      <x:c r="V323" s="118"/>
      <x:c r="W323" s="118"/>
      <x:c r="X323" s="118"/>
      <x:c r="Y323" s="118"/>
      <x:c r="Z323" s="118"/>
      <x:c r="AA323" s="118"/>
      <x:c r="AB323" s="118"/>
      <x:c r="AC323" s="118"/>
      <x:c r="AD323" s="118"/>
      <x:c r="AE323" s="118"/>
      <x:c r="AF323" s="118"/>
      <x:c r="AG323" s="118"/>
      <x:c r="AH323" s="118"/>
    </x:row>
    <x:row r="324">
      <x:c r="A324" s="118"/>
      <x:c r="B324" s="118"/>
      <x:c r="C324" s="118"/>
      <x:c r="D324" s="118"/>
      <x:c r="E324" s="118"/>
      <x:c r="F324" s="118"/>
      <x:c r="G324" s="118"/>
      <x:c r="H324" s="118"/>
      <x:c r="I324" s="118"/>
      <x:c r="J324" s="118"/>
      <x:c r="K324" s="118"/>
      <x:c r="L324" s="118"/>
      <x:c r="M324" s="118"/>
      <x:c r="N324" s="118"/>
      <x:c r="O324" s="118"/>
      <x:c r="P324" s="118"/>
      <x:c r="Q324" s="118"/>
      <x:c r="R324" s="118"/>
      <x:c r="S324" s="118"/>
      <x:c r="T324" s="118"/>
      <x:c r="U324" s="118"/>
      <x:c r="V324" s="118"/>
      <x:c r="W324" s="118"/>
      <x:c r="X324" s="118"/>
      <x:c r="Y324" s="118"/>
      <x:c r="Z324" s="118"/>
      <x:c r="AA324" s="118"/>
      <x:c r="AB324" s="118"/>
      <x:c r="AC324" s="118"/>
      <x:c r="AD324" s="118"/>
      <x:c r="AE324" s="118"/>
      <x:c r="AF324" s="118"/>
      <x:c r="AG324" s="118"/>
      <x:c r="AH324" s="118"/>
    </x:row>
    <x:row r="325">
      <x:c r="A325" s="118"/>
      <x:c r="B325" s="118"/>
      <x:c r="C325" s="118"/>
      <x:c r="D325" s="118"/>
      <x:c r="E325" s="118"/>
      <x:c r="F325" s="118"/>
      <x:c r="G325" s="118"/>
      <x:c r="H325" s="118"/>
      <x:c r="I325" s="118"/>
      <x:c r="J325" s="118"/>
      <x:c r="K325" s="118"/>
      <x:c r="L325" s="118"/>
      <x:c r="M325" s="118"/>
      <x:c r="N325" s="118"/>
      <x:c r="O325" s="118"/>
      <x:c r="P325" s="118"/>
      <x:c r="Q325" s="118"/>
      <x:c r="R325" s="118"/>
      <x:c r="S325" s="118"/>
      <x:c r="T325" s="118"/>
      <x:c r="U325" s="118"/>
      <x:c r="V325" s="118"/>
      <x:c r="W325" s="118"/>
      <x:c r="X325" s="118"/>
      <x:c r="Y325" s="118"/>
      <x:c r="Z325" s="118"/>
      <x:c r="AA325" s="118"/>
      <x:c r="AB325" s="118"/>
      <x:c r="AC325" s="118"/>
      <x:c r="AD325" s="118"/>
      <x:c r="AE325" s="118"/>
      <x:c r="AF325" s="118"/>
      <x:c r="AG325" s="118"/>
      <x:c r="AH325" s="118"/>
    </x:row>
    <x:row r="326" ht="10" customHeight="1">
      <x:c r="A326" s="178" t="str">
        <x:v>Year</x:v>
      </x:c>
      <x:c r="B326" s="178" t="str">
        <x:v>Revenue</x:v>
      </x:c>
      <x:c r="C326" s="178" t="str">
        <x:v>Capex</x:v>
      </x:c>
      <x:c r="D326" s="179"/>
      <x:c r="E326" s="178" t="str">
        <x:v>Year</x:v>
      </x:c>
      <x:c r="F326" s="178" t="str">
        <x:v>Fixed Asset Turnover Index</x:v>
      </x:c>
      <x:c r="G326" s="178" t="str">
        <x:v>Operating ROCE Index</x:v>
      </x:c>
      <x:c r="H326" s="118"/>
      <x:c r="I326" s="178" t="str">
        <x:v>Year</x:v>
      </x:c>
      <x:c r="J326" s="178" t="str">
        <x:v>Custom Capacity Index</x:v>
      </x:c>
      <x:c r="K326" s="178" t="str">
        <x:v>Fermentation Capacity Index</x:v>
      </x:c>
      <x:c r="L326" s="178" t="str">
        <x:v>D&amp;M Revenue Index</x:v>
      </x:c>
      <x:c r="M326" s="118"/>
      <x:c r="N326" s="118"/>
      <x:c r="O326" s="118"/>
      <x:c r="P326" s="118"/>
      <x:c r="Q326" s="118"/>
      <x:c r="R326" s="118"/>
      <x:c r="S326" s="118"/>
      <x:c r="T326" s="118"/>
      <x:c r="U326" s="118"/>
      <x:c r="V326" s="118"/>
      <x:c r="W326" s="118"/>
      <x:c r="X326" s="118"/>
      <x:c r="Y326" s="118"/>
      <x:c r="Z326" s="118"/>
      <x:c r="AA326" s="118"/>
      <x:c r="AB326" s="118"/>
      <x:c r="AC326" s="118"/>
      <x:c r="AD326" s="118"/>
      <x:c r="AE326" s="118"/>
      <x:c r="AF326" s="118"/>
      <x:c r="AG326" s="118"/>
      <x:c r="AH326" s="118"/>
    </x:row>
    <x:row r="327" ht="10" customHeight="1">
      <x:c r="A327" s="203" t="str">
        <x:v>FY24A</x:v>
      </x:c>
      <x:c r="B327" s="203" t="n">
        <x:f>D7</x:f>
        <x:v>14193.696</x:v>
      </x:c>
      <x:c r="C327" s="203" t="n">
        <x:f>D20</x:f>
        <x:v>2900.406</x:v>
      </x:c>
      <x:c r="D327" s="204"/>
      <x:c r="E327" s="203" t="str">
        <x:v>FY24A</x:v>
      </x:c>
      <x:c r="F327" s="203" t="str">
        <x:v>NA</x:v>
      </x:c>
      <x:c r="G327" s="203" t="str">
        <x:v>NA</x:v>
      </x:c>
      <x:c r="H327" s="118"/>
      <x:c r="I327" s="203" t="str">
        <x:v>FY24A</x:v>
      </x:c>
      <x:c r="J327" s="203" t="n">
        <x:v>63.52941176470588</x:v>
      </x:c>
      <x:c r="K327" s="203" t="n">
        <x:v>45.55555555555556</x:v>
      </x:c>
      <x:c r="L327" s="203" t="n">
        <x:f>IFERROR(D12/$F$12*100,"")</x:f>
        <x:v>58.180944899038614</x:v>
      </x:c>
      <x:c r="M327" s="118"/>
      <x:c r="N327" s="118"/>
      <x:c r="O327" s="118"/>
      <x:c r="P327" s="118"/>
      <x:c r="Q327" s="118"/>
      <x:c r="R327" s="118"/>
      <x:c r="S327" s="118"/>
      <x:c r="T327" s="118"/>
      <x:c r="U327" s="118"/>
      <x:c r="V327" s="118"/>
      <x:c r="W327" s="118"/>
      <x:c r="X327" s="118"/>
      <x:c r="Y327" s="118"/>
      <x:c r="Z327" s="118"/>
      <x:c r="AA327" s="118"/>
      <x:c r="AB327" s="118"/>
      <x:c r="AC327" s="118"/>
      <x:c r="AD327" s="118"/>
      <x:c r="AE327" s="118"/>
      <x:c r="AF327" s="118"/>
      <x:c r="AG327" s="118"/>
      <x:c r="AH327" s="118"/>
    </x:row>
    <x:row r="328" ht="10" customHeight="1">
      <x:c r="A328" s="203" t="str">
        <x:v>FY25A</x:v>
      </x:c>
      <x:c r="B328" s="203" t="n">
        <x:f>E7</x:f>
        <x:v>18445.527</x:v>
      </x:c>
      <x:c r="C328" s="203" t="n">
        <x:f>E20</x:f>
        <x:v>2667.161</x:v>
      </x:c>
      <x:c r="D328" s="204"/>
      <x:c r="E328" s="203" t="str">
        <x:v>FY25A</x:v>
      </x:c>
      <x:c r="F328" s="203" t="n">
        <x:f>IFERROR(E42/$E$42*100,"")</x:f>
        <x:v>100</x:v>
      </x:c>
      <x:c r="G328" s="203" t="n">
        <x:f>IFERROR(E46/$E$46*100,"")</x:f>
        <x:v>100</x:v>
      </x:c>
      <x:c r="H328" s="118"/>
      <x:c r="I328" s="203" t="str">
        <x:v>FY25A</x:v>
      </x:c>
      <x:c r="J328" s="203" t="n">
        <x:v>63.52941176470588</x:v>
      </x:c>
      <x:c r="K328" s="203" t="n">
        <x:v>78.88888888888889</x:v>
      </x:c>
      <x:c r="L328" s="203" t="n">
        <x:f>IFERROR(E12/$F$12*100,"")</x:f>
        <x:v>84.62153739253083</x:v>
      </x:c>
      <x:c r="M328" s="118"/>
      <x:c r="N328" s="118"/>
      <x:c r="O328" s="118"/>
      <x:c r="P328" s="118"/>
      <x:c r="Q328" s="118"/>
      <x:c r="R328" s="118"/>
      <x:c r="S328" s="118"/>
      <x:c r="T328" s="118"/>
      <x:c r="U328" s="118"/>
      <x:c r="V328" s="118"/>
      <x:c r="W328" s="118"/>
      <x:c r="X328" s="118"/>
      <x:c r="Y328" s="118"/>
      <x:c r="Z328" s="118"/>
      <x:c r="AA328" s="118"/>
      <x:c r="AB328" s="118"/>
      <x:c r="AC328" s="118"/>
      <x:c r="AD328" s="118"/>
      <x:c r="AE328" s="118"/>
      <x:c r="AF328" s="118"/>
      <x:c r="AG328" s="118"/>
      <x:c r="AH328" s="118"/>
    </x:row>
    <x:row r="329" ht="10" customHeight="1">
      <x:c r="A329" s="203" t="str">
        <x:v>FY26A</x:v>
      </x:c>
      <x:c r="B329" s="203" t="n">
        <x:f>F7</x:f>
        <x:v>21243.33</x:v>
      </x:c>
      <x:c r="C329" s="203" t="n">
        <x:f>F20</x:f>
        <x:v>2111.69</x:v>
      </x:c>
      <x:c r="D329" s="204"/>
      <x:c r="E329" s="203" t="str">
        <x:v>FY26A</x:v>
      </x:c>
      <x:c r="F329" s="203" t="n">
        <x:f>IFERROR(F42/$E$42*100,"")</x:f>
        <x:v>90.96952364305211</x:v>
      </x:c>
      <x:c r="G329" s="203" t="n">
        <x:f>IFERROR(F46/$E$46*100,"")</x:f>
        <x:v>116.91639978561909</x:v>
      </x:c>
      <x:c r="H329" s="118"/>
      <x:c r="I329" s="203" t="str">
        <x:v>FY26A</x:v>
      </x:c>
      <x:c r="J329" s="203" t="n">
        <x:v>100</x:v>
      </x:c>
      <x:c r="K329" s="203" t="n">
        <x:v>100</x:v>
      </x:c>
      <x:c r="L329" s="203" t="n">
        <x:f>IFERROR(F12/$F$12*100,"")</x:f>
        <x:v>100</x:v>
      </x:c>
      <x:c r="M329" s="118"/>
      <x:c r="N329" s="118"/>
      <x:c r="O329" s="118"/>
      <x:c r="P329" s="118"/>
      <x:c r="Q329" s="118"/>
      <x:c r="R329" s="118"/>
      <x:c r="S329" s="118"/>
      <x:c r="T329" s="118"/>
      <x:c r="U329" s="118"/>
      <x:c r="V329" s="118"/>
      <x:c r="W329" s="118"/>
      <x:c r="X329" s="118"/>
      <x:c r="Y329" s="118"/>
      <x:c r="Z329" s="118"/>
      <x:c r="AA329" s="118"/>
      <x:c r="AB329" s="118"/>
      <x:c r="AC329" s="118"/>
      <x:c r="AD329" s="118"/>
      <x:c r="AE329" s="118"/>
      <x:c r="AF329" s="118"/>
      <x:c r="AG329" s="118"/>
      <x:c r="AH329" s="118"/>
    </x:row>
    <x:row r="330" ht="10" customHeight="1">
      <x:c r="A330" s="203" t="str">
        <x:v>FY27E</x:v>
      </x:c>
      <x:c r="B330" s="203" t="n">
        <x:f>G7</x:f>
        <x:v>24834.127433962265</x:v>
      </x:c>
      <x:c r="C330" s="203" t="n">
        <x:f>G20</x:f>
        <x:v>7000</x:v>
      </x:c>
      <x:c r="D330" s="204"/>
      <x:c r="E330" s="203" t="str">
        <x:v>FY27E</x:v>
      </x:c>
      <x:c r="F330" s="203" t="n">
        <x:f>IFERROR(G42/$E$42*100,"")</x:f>
        <x:v>94.28083956734835</x:v>
      </x:c>
      <x:c r="G330" s="203" t="n">
        <x:f>IFERROR(G46/$E$46*100,"")</x:f>
        <x:v>112.5052251782957</x:v>
      </x:c>
      <x:c r="H330" s="118"/>
      <x:c r="I330" s="203" t="str">
        <x:v>FY27E</x:v>
      </x:c>
      <x:c r="J330" s="203" t="n">
        <x:v>100</x:v>
      </x:c>
      <x:c r="K330" s="203" t="n">
        <x:v>100</x:v>
      </x:c>
      <x:c r="L330" s="203" t="n">
        <x:f>IFERROR(G12/$F$12*100,"")</x:f>
        <x:v>119.24810470530889</x:v>
      </x:c>
      <x:c r="M330" s="118"/>
      <x:c r="N330" s="118"/>
      <x:c r="O330" s="118"/>
      <x:c r="P330" s="118"/>
      <x:c r="Q330" s="118"/>
      <x:c r="R330" s="118"/>
      <x:c r="S330" s="118"/>
      <x:c r="T330" s="118"/>
      <x:c r="U330" s="118"/>
      <x:c r="V330" s="118"/>
      <x:c r="W330" s="118"/>
      <x:c r="X330" s="118"/>
      <x:c r="Y330" s="118"/>
      <x:c r="Z330" s="118"/>
      <x:c r="AA330" s="118"/>
      <x:c r="AB330" s="118"/>
      <x:c r="AC330" s="118"/>
      <x:c r="AD330" s="118"/>
      <x:c r="AE330" s="118"/>
      <x:c r="AF330" s="118"/>
      <x:c r="AG330" s="118"/>
      <x:c r="AH330" s="118"/>
    </x:row>
    <x:row r="331" ht="10" customHeight="1">
      <x:c r="A331" s="203" t="str">
        <x:v>FY28E</x:v>
      </x:c>
      <x:c r="B331" s="203" t="n">
        <x:f>H7</x:f>
        <x:v>28972.018156408107</x:v>
      </x:c>
      <x:c r="C331" s="203" t="n">
        <x:f>H20</x:f>
        <x:v>5000</x:v>
      </x:c>
      <x:c r="D331" s="204"/>
      <x:c r="E331" s="203" t="str">
        <x:v>FY28E</x:v>
      </x:c>
      <x:c r="F331" s="203" t="n">
        <x:f>IFERROR(H42/$E$42*100,"")</x:f>
        <x:v>75.98314005791129</x:v>
      </x:c>
      <x:c r="G331" s="203" t="n">
        <x:f>IFERROR(H46/$E$46*100,"")</x:f>
        <x:v>102.1633290114492</x:v>
      </x:c>
      <x:c r="H331" s="118"/>
      <x:c r="I331" s="203" t="str">
        <x:v>FY28E</x:v>
      </x:c>
      <x:c r="J331" s="203" t="n">
        <x:v>100</x:v>
      </x:c>
      <x:c r="K331" s="203" t="n">
        <x:v>100</x:v>
      </x:c>
      <x:c r="L331" s="203" t="n">
        <x:f>IFERROR(H12/$F$12*100,"")</x:f>
        <x:v>141.27365255177708</x:v>
      </x:c>
      <x:c r="M331" s="118"/>
      <x:c r="N331" s="118"/>
      <x:c r="O331" s="118"/>
      <x:c r="P331" s="118"/>
      <x:c r="Q331" s="118"/>
      <x:c r="R331" s="118"/>
      <x:c r="S331" s="118"/>
      <x:c r="T331" s="118"/>
      <x:c r="U331" s="118"/>
      <x:c r="V331" s="118"/>
      <x:c r="W331" s="118"/>
      <x:c r="X331" s="118"/>
      <x:c r="Y331" s="118"/>
      <x:c r="Z331" s="118"/>
      <x:c r="AA331" s="118"/>
      <x:c r="AB331" s="118"/>
      <x:c r="AC331" s="118"/>
      <x:c r="AD331" s="118"/>
      <x:c r="AE331" s="118"/>
      <x:c r="AF331" s="118"/>
      <x:c r="AG331" s="118"/>
      <x:c r="AH331" s="118"/>
    </x:row>
    <x:row r="332" ht="10" customHeight="1">
      <x:c r="A332" s="203" t="str">
        <x:v>FY29E</x:v>
      </x:c>
      <x:c r="B332" s="203" t="n">
        <x:f>I7</x:f>
        <x:v>33958.18405732732</x:v>
      </x:c>
      <x:c r="C332" s="203" t="n">
        <x:f>I20</x:f>
        <x:v>2500</x:v>
      </x:c>
      <x:c r="D332" s="204"/>
      <x:c r="E332" s="203" t="str">
        <x:v>FY29E</x:v>
      </x:c>
      <x:c r="F332" s="203" t="n">
        <x:f>IFERROR(I42/$E$42*100,"")</x:f>
        <x:v>66.6605270001003</x:v>
      </x:c>
      <x:c r="G332" s="203" t="n">
        <x:f>IFERROR(I46/$E$46*100,"")</x:f>
        <x:v>109.01006865867828</x:v>
      </x:c>
      <x:c r="H332" s="118"/>
      <x:c r="I332" s="203" t="str">
        <x:v>FY29E</x:v>
      </x:c>
      <x:c r="J332" s="203" t="n">
        <x:v>185.88235294117646</x:v>
      </x:c>
      <x:c r="K332" s="203" t="n">
        <x:v>155.55555555555557</x:v>
      </x:c>
      <x:c r="L332" s="203" t="n">
        <x:f>IFERROR(I12/$F$12*100,"")</x:f>
        <x:v>167.72862483017533</x:v>
      </x:c>
      <x:c r="M332" s="118"/>
      <x:c r="N332" s="118"/>
      <x:c r="O332" s="118"/>
      <x:c r="P332" s="118"/>
      <x:c r="Q332" s="118"/>
      <x:c r="R332" s="118"/>
      <x:c r="S332" s="118"/>
      <x:c r="T332" s="118"/>
      <x:c r="U332" s="118"/>
      <x:c r="V332" s="118"/>
      <x:c r="W332" s="118"/>
      <x:c r="X332" s="118"/>
      <x:c r="Y332" s="118"/>
      <x:c r="Z332" s="118"/>
      <x:c r="AA332" s="118"/>
      <x:c r="AB332" s="118"/>
      <x:c r="AC332" s="118"/>
      <x:c r="AD332" s="118"/>
      <x:c r="AE332" s="118"/>
      <x:c r="AF332" s="118"/>
      <x:c r="AG332" s="118"/>
      <x:c r="AH332" s="118"/>
    </x:row>
    <x:row r="333" ht="10" customHeight="1">
      <x:c r="A333" s="203" t="str">
        <x:v>FY30E</x:v>
      </x:c>
      <x:c r="B333" s="203" t="n">
        <x:f>J7</x:f>
        <x:v>39103.32135192696</x:v>
      </x:c>
      <x:c r="C333" s="203" t="n">
        <x:f>J20</x:f>
        <x:v>2200</x:v>
      </x:c>
      <x:c r="D333" s="204"/>
      <x:c r="E333" s="203" t="str">
        <x:v>FY30E</x:v>
      </x:c>
      <x:c r="F333" s="203" t="n">
        <x:f>IFERROR(J42/$E$42*100,"")</x:f>
        <x:v>72.42205861387465</x:v>
      </x:c>
      <x:c r="G333" s="203" t="n">
        <x:f>IFERROR(J46/$E$46*100,"")</x:f>
        <x:v>129.09901973545036</x:v>
      </x:c>
      <x:c r="H333" s="118"/>
      <x:c r="I333" s="203" t="str">
        <x:v>FY30E</x:v>
      </x:c>
      <x:c r="J333" s="203" t="n">
        <x:v>185.88235294117646</x:v>
      </x:c>
      <x:c r="K333" s="203" t="n">
        <x:v>155.55555555555557</x:v>
      </x:c>
      <x:c r="L333" s="203" t="n">
        <x:f>IFERROR(J12/$F$12*100,"")</x:f>
        <x:v>194.74055570475917</x:v>
      </x:c>
      <x:c r="M333" s="118"/>
      <x:c r="N333" s="118"/>
      <x:c r="O333" s="118"/>
      <x:c r="P333" s="118"/>
      <x:c r="Q333" s="118"/>
      <x:c r="R333" s="118"/>
      <x:c r="S333" s="118"/>
      <x:c r="T333" s="118"/>
      <x:c r="U333" s="118"/>
      <x:c r="V333" s="118"/>
      <x:c r="W333" s="118"/>
      <x:c r="X333" s="118"/>
      <x:c r="Y333" s="118"/>
      <x:c r="Z333" s="118"/>
      <x:c r="AA333" s="118"/>
      <x:c r="AB333" s="118"/>
      <x:c r="AC333" s="118"/>
      <x:c r="AD333" s="118"/>
      <x:c r="AE333" s="118"/>
      <x:c r="AF333" s="118"/>
      <x:c r="AG333" s="118"/>
      <x:c r="AH333" s="118"/>
    </x:row>
    <x:row r="334" ht="10" customHeight="1">
      <x:c r="A334" s="203" t="str">
        <x:v>FY31E</x:v>
      </x:c>
      <x:c r="B334" s="203" t="n">
        <x:f>K7</x:f>
        <x:v>44003.65494147529</x:v>
      </x:c>
      <x:c r="C334" s="203" t="n">
        <x:f>K20</x:f>
        <x:v>2420.2010217811408</x:v>
      </x:c>
      <x:c r="D334" s="204"/>
      <x:c r="E334" s="203" t="str">
        <x:v>FY31E</x:v>
      </x:c>
      <x:c r="F334" s="203" t="n">
        <x:f>IFERROR(K42/$E$42*100,"")</x:f>
        <x:v>82.2017734554579</x:v>
      </x:c>
      <x:c r="G334" s="203" t="n">
        <x:f>IFERROR(K46/$E$46*100,"")</x:f>
        <x:v>151.17876183720242</x:v>
      </x:c>
      <x:c r="H334" s="118"/>
      <x:c r="I334" s="203" t="str">
        <x:v>FY31E</x:v>
      </x:c>
      <x:c r="J334" s="203" t="n">
        <x:v>185.88235294117646</x:v>
      </x:c>
      <x:c r="K334" s="203" t="n">
        <x:v>155.55555555555557</x:v>
      </x:c>
      <x:c r="L334" s="203" t="n">
        <x:f>IFERROR(K12/$F$12*100,"")</x:f>
        <x:v>220.2173424338674</x:v>
      </x:c>
      <x:c r="M334" s="118"/>
      <x:c r="N334" s="118"/>
      <x:c r="O334" s="118"/>
      <x:c r="P334" s="118"/>
      <x:c r="Q334" s="118"/>
      <x:c r="R334" s="118"/>
      <x:c r="S334" s="118"/>
      <x:c r="T334" s="118"/>
      <x:c r="U334" s="118"/>
      <x:c r="V334" s="118"/>
      <x:c r="W334" s="118"/>
      <x:c r="X334" s="118"/>
      <x:c r="Y334" s="118"/>
      <x:c r="Z334" s="118"/>
      <x:c r="AA334" s="118"/>
      <x:c r="AB334" s="118"/>
      <x:c r="AC334" s="118"/>
      <x:c r="AD334" s="118"/>
      <x:c r="AE334" s="118"/>
      <x:c r="AF334" s="118"/>
      <x:c r="AG334" s="118"/>
      <x:c r="AH334" s="118"/>
    </x:row>
  </x:sheetData>
  <x:mergeCells>
    <x:mergeCell ref="A1:K1"/>
    <x:mergeCell ref="A2:K2"/>
    <x:mergeCell ref="A4:K4"/>
    <x:mergeCell ref="A57:K57"/>
    <x:mergeCell ref="A68:H68"/>
    <x:mergeCell ref="A78:AE78"/>
    <x:mergeCell ref="A87:K87"/>
    <x:mergeCell ref="A98:K98"/>
    <x:mergeCell ref="A105:K105"/>
    <x:mergeCell ref="A115:I115"/>
    <x:mergeCell ref="A121:K121"/>
    <x:mergeCell ref="D126:K126"/>
    <x:mergeCell ref="A129:H129"/>
    <x:mergeCell ref="A136:H136"/>
    <x:mergeCell ref="A141:K141"/>
    <x:mergeCell ref="A151:K151"/>
    <x:mergeCell ref="A164:H164"/>
    <x:mergeCell ref="A172:I172"/>
    <x:mergeCell ref="A178:H178"/>
    <x:mergeCell ref="A187:K187"/>
    <x:mergeCell ref="A197:H197"/>
    <x:mergeCell ref="A204:I204"/>
    <x:mergeCell ref="A210:I210"/>
    <x:mergeCell ref="A218:I218"/>
    <x:mergeCell ref="A223:K223"/>
    <x:mergeCell ref="A235:K235"/>
    <x:mergeCell ref="A245:H245"/>
    <x:mergeCell ref="A257:H257"/>
    <x:mergeCell ref="A266:H266"/>
    <x:mergeCell ref="A276:K276"/>
    <x:mergeCell ref="A283:H283"/>
    <x:mergeCell ref="A293:H293"/>
  </x:mergeCells>
  <x:pageMargins left="0.7" right="0.7" top="0.75" bottom="0.75" header="0.3" footer="0.3"/>
  <x:drawing xmlns:r="http://schemas.openxmlformats.org/officeDocument/2006/relationships" r:id="Rf14022a1d4834cf3"/>
  <x:legacyDrawing xmlns:r="http://schemas.openxmlformats.org/officeDocument/2006/relationships" r:id="R7eb4488761ba466b"/>
</x:worksheet>
</file>