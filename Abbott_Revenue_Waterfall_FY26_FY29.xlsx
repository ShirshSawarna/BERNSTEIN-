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e8a9db53a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terfall" sheetId="1" r:id="Rfe93796e9a714d7e"/>
    <x:sheet xmlns:r="http://schemas.openxmlformats.org/officeDocument/2006/relationships" name="Brand build" sheetId="2" r:id="Rc44515bb3cd249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(#,##0.0);–"/>
    <x:numFmt numFmtId="201" formatCode="0.0%"/>
    <x:numFmt numFmtId="202" formatCode="0.00"/>
  </x:numFmts>
  <x:fonts count="4">
    <x:font>
      <x:sz val="11"/>
      <x:name val="Carlito"/>
    </x:font>
    <x:font>
      <x:sz val="11"/>
      <x:color rgb="FF000000"/>
      <x:name val="Arial"/>
    </x:font>
    <x:font>
      <x:b/>
      <x:sz val="14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bbaf5fba04542" /><Relationship Type="http://schemas.openxmlformats.org/officeDocument/2006/relationships/theme" Target="/xl/theme/theme1.xml" Id="R7375db8fd6bb4d10" /><Relationship Type="http://schemas.openxmlformats.org/officeDocument/2006/relationships/sharedStrings" Target="/xl/sharedStrings.xml" Id="Rd0aebd2834c74cfc" /><Relationship Type="http://schemas.openxmlformats.org/officeDocument/2006/relationships/worksheet" Target="/xl/worksheets/sheet1.xml" Id="Rfe93796e9a714d7e" /><Relationship Type="http://schemas.openxmlformats.org/officeDocument/2006/relationships/worksheet" Target="/xl/worksheets/sheet2.xml" Id="Rc44515bb3cd249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560001373291016" hidden="0" customWidth="1"/>
    <x:col min="2" max="2" width="16.670000076293945" hidden="0" customWidth="1"/>
    <x:col min="3" max="3" width="12.220000267028809" hidden="0" customWidth="1"/>
    <x:col min="4" max="4" width="17.219999313354492" hidden="0" customWidth="1"/>
    <x:col min="5" max="5" width="3.109999895095825" hidden="0" customWidth="1"/>
    <x:col min="6" max="6" width="65.559997558593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Abbott India revenue waterfall, FY26–FY29E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INR million. Forecasts from the saved Abbott model dated 27 September 2026.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40" customHeight="1">
      <x:c r="A5" s="6" t="str">
        <x:v>Chart category</x:v>
      </x:c>
      <x:c r="B5" s="6" t="str">
        <x:v>INR million</x:v>
      </x:c>
      <x:c r="C5" s="6" t="str">
        <x:v>Bar type</x:v>
      </x:c>
      <x:c r="D5" s="6" t="str">
        <x:v>Share of incremental revenue</x:v>
      </x:c>
      <x:c r="E5" s="2"/>
      <x:c r="F5" s="4" t="str">
        <x:v>Chart setup</x:v>
      </x:c>
      <x:c r="G5" s="2"/>
      <x:c r="H5" s="2"/>
    </x:row>
    <x:row r="6" ht="24" customHeight="1">
      <x:c r="A6" s="4" t="str">
        <x:v>FY26 revenue</x:v>
      </x:c>
      <x:c r="B6" s="9" t="n">
        <x:f>'Brand build'!C31</x:f>
        <x:v>69290.5</x:v>
      </x:c>
      <x:c r="C6" s="4" t="str">
        <x:v>Total</x:v>
      </x:c>
      <x:c r="D6" s="4"/>
      <x:c r="E6" s="2"/>
      <x:c r="F6" s="2" t="str">
        <x:v>Select A5:B12, then Insert &gt; Waterfall.</x:v>
      </x:c>
      <x:c r="G6" s="2"/>
      <x:c r="H6" s="2"/>
    </x:row>
    <x:row r="7" ht="24" customHeight="1">
      <x:c r="A7" s="2" t="str">
        <x:v>Large established brands</x:v>
      </x:c>
      <x:c r="B7" s="7" t="n">
        <x:f>SUMIFS('Brand build'!$E$6:$E$27,'Brand build'!$F$6:$F$27,A7)</x:f>
        <x:v>13870.19447482319</x:v>
      </x:c>
      <x:c r="C7" s="2" t="str">
        <x:v>Increase</x:v>
      </x:c>
      <x:c r="D7" s="8" t="n">
        <x:f>B7/$B$14</x:f>
        <x:v>0.6506468880875473</x:v>
      </x:c>
      <x:c r="E7" s="2"/>
      <x:c r="F7" s="2" t="str">
        <x:v>Set the FY26 and FY29E columns as totals.</x:v>
      </x:c>
      <x:c r="G7" s="2"/>
      <x:c r="H7" s="2"/>
    </x:row>
    <x:row r="8" ht="24" customHeight="1">
      <x:c r="A8" s="2" t="str">
        <x:v>Other portfolio</x:v>
      </x:c>
      <x:c r="B8" s="7" t="n">
        <x:f>SUMIFS('Brand build'!$E$6:$E$27,'Brand build'!$F$6:$F$27,A8)</x:f>
        <x:v>3739.4256567960183</x:v>
      </x:c>
      <x:c r="C8" s="2" t="str">
        <x:v>Increase</x:v>
      </x:c>
      <x:c r="D8" s="8" t="n">
        <x:f>B8/$B$14</x:f>
        <x:v>0.17541539675203993</x:v>
      </x:c>
      <x:c r="E8" s="2"/>
      <x:c r="F8" s="2"/>
      <x:c r="G8" s="2"/>
      <x:c r="H8" s="2"/>
    </x:row>
    <x:row r="9" ht="24" customHeight="1">
      <x:c r="A9" s="2" t="str">
        <x:v>Recent GI launches</x:v>
      </x:c>
      <x:c r="B9" s="7" t="n">
        <x:f>SUMIFS('Brand build'!$E$6:$E$27,'Brand build'!$F$6:$F$27,A9)</x:f>
        <x:v>324.3428728000001</x:v>
      </x:c>
      <x:c r="C9" s="2" t="str">
        <x:v>Increase</x:v>
      </x:c>
      <x:c r="D9" s="8" t="n">
        <x:f>B9/$B$14</x:f>
        <x:v>0.015214832152768745</x:v>
      </x:c>
      <x:c r="E9" s="2"/>
      <x:c r="F9" s="4" t="str">
        <x:v>Suggested exhibit title</x:v>
      </x:c>
      <x:c r="G9" s="2"/>
      <x:c r="H9" s="2"/>
    </x:row>
    <x:row r="10" ht="44" customHeight="1">
      <x:c r="A10" s="2" t="str">
        <x:v>Extensior</x:v>
      </x:c>
      <x:c r="B10" s="7" t="n">
        <x:f>SUMIFS('Brand build'!$E$6:$E$27,'Brand build'!$F$6:$F$27,A10)</x:f>
        <x:v>3200</x:v>
      </x:c>
      <x:c r="C10" s="2" t="str">
        <x:v>Increase</x:v>
      </x:c>
      <x:c r="D10" s="8" t="n">
        <x:f>B10/$B$14</x:f>
        <x:v>0.15011109221716176</x:v>
      </x:c>
      <x:c r="E10" s="2"/>
      <x:c r="F10" s="14" t="str">
        <x:v>Large established franchises account for 65% of Abbott India’s FY26–FY29 revenue growth</x:v>
      </x:c>
      <x:c r="G10" s="2"/>
      <x:c r="H10" s="2"/>
    </x:row>
    <x:row r="11" ht="24" customHeight="1">
      <x:c r="A11" s="2" t="str">
        <x:v>Other operating revenue</x:v>
      </x:c>
      <x:c r="B11" s="7" t="n">
        <x:f>SUMIFS('Brand build'!$E$6:$E$27,'Brand build'!$F$6:$F$27,A11)</x:f>
        <x:v>183.58223980994103</x:v>
      </x:c>
      <x:c r="C11" s="2" t="str">
        <x:v>Increase</x:v>
      </x:c>
      <x:c r="D11" s="8" t="n">
        <x:f>B11/$B$14</x:f>
        <x:v>0.008611790790482238</x:v>
      </x:c>
      <x:c r="E11" s="2"/>
      <x:c r="F11" s="2"/>
      <x:c r="G11" s="2"/>
      <x:c r="H11" s="2"/>
    </x:row>
    <x:row r="12" ht="24" customHeight="1">
      <x:c r="A12" s="10" t="str">
        <x:v>FY29E revenue</x:v>
      </x:c>
      <x:c r="B12" s="11" t="n">
        <x:f>'Brand build'!D31</x:f>
        <x:v>90608.04524422914</x:v>
      </x:c>
      <x:c r="C12" s="10" t="str">
        <x:v>Total</x:v>
      </x:c>
      <x:c r="D12" s="10"/>
      <x:c r="E12" s="2"/>
      <x:c r="F12" s="4" t="str">
        <x:v>Definitions</x:v>
      </x:c>
      <x:c r="G12" s="2"/>
      <x:c r="H12" s="2"/>
    </x:row>
    <x:row r="13" ht="44" customHeight="1">
      <x:c r="A13" s="2"/>
      <x:c r="B13" s="7"/>
      <x:c r="C13" s="2"/>
      <x:c r="D13" s="2"/>
      <x:c r="E13" s="2"/>
      <x:c r="F13" s="14" t="str">
        <x:v>Large brands: named established franchises with FY26 model sales of at least INR1,000mn, measured at the grouped franchise level.</x:v>
      </x:c>
      <x:c r="G13" s="2"/>
      <x:c r="H13" s="2"/>
    </x:row>
    <x:row r="14" ht="24" customHeight="1">
      <x:c r="A14" s="2" t="str">
        <x:v>Total incremental revenue</x:v>
      </x:c>
      <x:c r="B14" s="7" t="n">
        <x:f>SUM(B7:B11)</x:f>
        <x:v>21317.54524422915</x:v>
      </x:c>
      <x:c r="C14" s="2"/>
      <x:c r="D14" s="2"/>
      <x:c r="E14" s="2"/>
      <x:c r="F14" s="2"/>
      <x:c r="G14" s="2"/>
      <x:c r="H14" s="2"/>
    </x:row>
    <x:row r="15" ht="44" customHeight="1">
      <x:c r="A15" s="2"/>
      <x:c r="B15" s="2"/>
      <x:c r="C15" s="2"/>
      <x:c r="D15" s="2"/>
      <x:c r="E15" s="2"/>
      <x:c r="F15" s="14" t="str">
        <x:v>The bridge measures revenue by franchise maturity. It does not measure acute/chronic mix or a formal price-volume-new-introduction split.</x:v>
      </x:c>
      <x:c r="G15" s="2"/>
      <x:c r="H15" s="2"/>
    </x:row>
    <x:row r="16" ht="24" customHeight="1">
      <x:c r="A16" s="4" t="str">
        <x:v>Large brands + other portfolio share</x:v>
      </x:c>
      <x:c r="B16" s="12" t="n">
        <x:f>SUM(B7:B8)/B14</x:f>
        <x:v>0.8260622848395873</x:v>
      </x:c>
      <x:c r="C16" s="2"/>
      <x:c r="D16" s="2"/>
      <x:c r="E16" s="2"/>
      <x:c r="F16" s="2"/>
      <x:c r="G16" s="2"/>
      <x:c r="H16" s="2"/>
    </x:row>
    <x:row r="17" ht="44" customHeight="1">
      <x:c r="A17" s="2" t="str">
        <x:v>Extensior plus recent GI launches</x:v>
      </x:c>
      <x:c r="B17" s="8" t="n">
        <x:f>SUM(B9:B10)/B14</x:f>
        <x:v>0.1653259243699305</x:v>
      </x:c>
      <x:c r="C17" s="2"/>
      <x:c r="D17" s="2"/>
      <x:c r="E17" s="2"/>
      <x:c r="F17" s="14" t="str">
        <x:v>Extensior remains visible. The existing model assumes gross revenue recognition and 100% revenue capture.</x:v>
      </x:c>
      <x:c r="G17" s="2"/>
      <x:c r="H17" s="2"/>
    </x:row>
    <x:row r="18" ht="24" customHeight="1">
      <x:c r="A18" s="2" t="str">
        <x:v>Revenue CAGR, FY26–FY29E</x:v>
      </x:c>
      <x:c r="B18" s="8" t="n">
        <x:f>(B12/B6)^(1/3)-1</x:f>
        <x:v>0.09353080565782945</x:v>
      </x:c>
      <x:c r="C18" s="2"/>
      <x:c r="D18" s="2"/>
      <x:c r="E18" s="2"/>
      <x:c r="F18" s="2"/>
      <x:c r="G18" s="2"/>
      <x:c r="H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 t="str">
        <x:v>Bridge reconciliation difference</x:v>
      </x:c>
      <x:c r="B20" s="13" t="n">
        <x:f>B6+B14-B12</x:f>
        <x:v>0</x:v>
      </x:c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219999313354492" hidden="0" customWidth="1"/>
    <x:col min="2" max="2" width="29.440000534057617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25.559999465942383" hidden="0" customWidth="1"/>
    <x:col min="7" max="7" width="15" hidden="0" customWidth="1"/>
    <x:col min="8" max="8" width="47.2200012207031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Brand-level revenue bridge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INR million. Source: Abbott_Revenue_Model.xlsx, version 2, saved 27 September 2026, Revenue Model tab.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40" customHeight="1">
      <x:c r="A5" s="6" t="str">
        <x:v>Therapy</x:v>
      </x:c>
      <x:c r="B5" s="6" t="str">
        <x:v>Brand / franchise</x:v>
      </x:c>
      <x:c r="C5" s="6" t="str">
        <x:v>FY26 model base</x:v>
      </x:c>
      <x:c r="D5" s="6" t="str">
        <x:v>FY29E</x:v>
      </x:c>
      <x:c r="E5" s="6" t="str">
        <x:v>Increment</x:v>
      </x:c>
      <x:c r="F5" s="6" t="str">
        <x:v>Waterfall category</x:v>
      </x:c>
      <x:c r="G5" s="6" t="str">
        <x:v>Share of growth</x:v>
      </x:c>
      <x:c r="H5" s="6" t="str">
        <x:v>Source cells: FY26 / FY29E</x:v>
      </x:c>
    </x:row>
    <x:row r="6" ht="35" customHeight="1">
      <x:c r="A6" s="14" t="str">
        <x:v>GI and hepatology</x:v>
      </x:c>
      <x:c r="B6" s="14" t="str">
        <x:v>Udiliv</x:v>
      </x:c>
      <x:c r="C6" s="7" t="n">
        <x:v>7100</x:v>
      </x:c>
      <x:c r="D6" s="7" t="n">
        <x:v>9240.12732190215</x:v>
      </x:c>
      <x:c r="E6" s="7" t="n">
        <x:f>D6-C6</x:f>
        <x:v>2140.1273219021496</x:v>
      </x:c>
      <x:c r="F6" s="14" t="str">
        <x:v>Large established brands</x:v>
      </x:c>
      <x:c r="G6" s="8" t="n">
        <x:f>E6/$E$29</x:f>
        <x:v>0.10039276555453781</x:v>
      </x:c>
      <x:c r="H6" s="2" t="str">
        <x:v>'Revenue Model'!H6 / 'Revenue Model'!S6</x:v>
      </x:c>
    </x:row>
    <x:row r="7" ht="35" customHeight="1">
      <x:c r="A7" s="14" t="str">
        <x:v>GI and hepatology</x:v>
      </x:c>
      <x:c r="B7" s="14" t="str">
        <x:v>Cremaffin franchise</x:v>
      </x:c>
      <x:c r="C7" s="7" t="n">
        <x:v>6273</x:v>
      </x:c>
      <x:c r="D7" s="7" t="n">
        <x:v>8634.177901577485</x:v>
      </x:c>
      <x:c r="E7" s="7" t="n">
        <x:f>D7-C7</x:f>
        <x:v>2361.1779015774846</x:v>
      </x:c>
      <x:c r="F7" s="14" t="str">
        <x:v>Large established brands</x:v>
      </x:c>
      <x:c r="G7" s="8" t="n">
        <x:f>E7/$E$29</x:f>
        <x:v>0.11076218553900696</x:v>
      </x:c>
      <x:c r="H7" s="2" t="str">
        <x:v>'Revenue Model'!H7 / 'Revenue Model'!S7</x:v>
      </x:c>
    </x:row>
    <x:row r="8" ht="35" customHeight="1">
      <x:c r="A8" s="14" t="str">
        <x:v>GI and hepatology</x:v>
      </x:c>
      <x:c r="B8" s="14" t="str">
        <x:v>Duphalac</x:v>
      </x:c>
      <x:c r="C8" s="7" t="n">
        <x:v>3200</x:v>
      </x:c>
      <x:c r="D8" s="7" t="n">
        <x:v>4086.541096428</x:v>
      </x:c>
      <x:c r="E8" s="7" t="n">
        <x:f>D8-C8</x:f>
        <x:v>886.541096428</x:v>
      </x:c>
      <x:c r="F8" s="14" t="str">
        <x:v>Large established brands</x:v>
      </x:c>
      <x:c r="G8" s="8" t="n">
        <x:f>E8/$E$29</x:f>
        <x:v>0.04158739133756475</x:v>
      </x:c>
      <x:c r="H8" s="2" t="str">
        <x:v>'Revenue Model'!H8 / 'Revenue Model'!S8</x:v>
      </x:c>
    </x:row>
    <x:row r="9" ht="35" customHeight="1">
      <x:c r="A9" s="14" t="str">
        <x:v>GI and hepatology</x:v>
      </x:c>
      <x:c r="B9" s="14" t="str">
        <x:v>Digene</x:v>
      </x:c>
      <x:c r="C9" s="7" t="n">
        <x:v>2706.1</x:v>
      </x:c>
      <x:c r="D9" s="7" t="n">
        <x:v>3571.8627787204287</x:v>
      </x:c>
      <x:c r="E9" s="7" t="n">
        <x:f>D9-C9</x:f>
        <x:v>865.7627787204287</x:v>
      </x:c>
      <x:c r="F9" s="14" t="str">
        <x:v>Large established brands</x:v>
      </x:c>
      <x:c r="G9" s="8" t="n">
        <x:f>E9/$E$29</x:f>
        <x:v>0.04061268634834015</x:v>
      </x:c>
      <x:c r="H9" s="2" t="str">
        <x:v>'Revenue Model'!H9 / 'Revenue Model'!S9</x:v>
      </x:c>
    </x:row>
    <x:row r="10" ht="35" customHeight="1">
      <x:c r="A10" s="14" t="str">
        <x:v>GI and hepatology</x:v>
      </x:c>
      <x:c r="B10" s="14" t="str">
        <x:v>Creon</x:v>
      </x:c>
      <x:c r="C10" s="7" t="n">
        <x:v>2000</x:v>
      </x:c>
      <x:c r="D10" s="7" t="n">
        <x:v>2529.8788185824997</x:v>
      </x:c>
      <x:c r="E10" s="7" t="n">
        <x:f>D10-C10</x:f>
        <x:v>529.8788185824997</x:v>
      </x:c>
      <x:c r="F10" s="14" t="str">
        <x:v>Large established brands</x:v>
      </x:c>
      <x:c r="G10" s="8" t="n">
        <x:f>E10/$E$29</x:f>
        <x:v>0.024856465062549477</x:v>
      </x:c>
      <x:c r="H10" s="2" t="str">
        <x:v>'Revenue Model'!H10 / 'Revenue Model'!S10</x:v>
      </x:c>
    </x:row>
    <x:row r="11" ht="35" customHeight="1">
      <x:c r="A11" s="14" t="str">
        <x:v>GI and hepatology</x:v>
      </x:c>
      <x:c r="B11" s="14" t="str">
        <x:v>Ganaton</x:v>
      </x:c>
      <x:c r="C11" s="7" t="n">
        <x:v>1050</x:v>
      </x:c>
      <x:c r="D11" s="7" t="n">
        <x:v>1418.6746245577501</x:v>
      </x:c>
      <x:c r="E11" s="7" t="n">
        <x:f>D11-C11</x:f>
        <x:v>368.6746245577501</x:v>
      </x:c>
      <x:c r="F11" s="14" t="str">
        <x:v>Large established brands</x:v>
      </x:c>
      <x:c r="G11" s="8" t="n">
        <x:f>E11/$E$29</x:f>
        <x:v>0.017294422051598726</x:v>
      </x:c>
      <x:c r="H11" s="2" t="str">
        <x:v>'Revenue Model'!H11 / 'Revenue Model'!S11</x:v>
      </x:c>
    </x:row>
    <x:row r="12" ht="35" customHeight="1">
      <x:c r="A12" s="14" t="str">
        <x:v>GI and hepatology</x:v>
      </x:c>
      <x:c r="B12" s="14" t="str">
        <x:v>Recent GI launches</x:v>
      </x:c>
      <x:c r="C12" s="7" t="n">
        <x:v>200</x:v>
      </x:c>
      <x:c r="D12" s="7" t="n">
        <x:v>524.3428728000001</x:v>
      </x:c>
      <x:c r="E12" s="7" t="n">
        <x:f>D12-C12</x:f>
        <x:v>324.3428728000001</x:v>
      </x:c>
      <x:c r="F12" s="14" t="str">
        <x:v>Recent GI launches</x:v>
      </x:c>
      <x:c r="G12" s="8" t="n">
        <x:f>E12/$E$29</x:f>
        <x:v>0.015214832152768745</x:v>
      </x:c>
      <x:c r="H12" s="2" t="str">
        <x:v>'Revenue Model'!H12 / 'Revenue Model'!S12</x:v>
      </x:c>
    </x:row>
    <x:row r="13" ht="35" customHeight="1">
      <x:c r="A13" s="14" t="str">
        <x:v>GI and hepatology</x:v>
      </x:c>
      <x:c r="B13" s="14" t="str">
        <x:v>Other GI products</x:v>
      </x:c>
      <x:c r="C13" s="7" t="n">
        <x:v>3800</x:v>
      </x:c>
      <x:c r="D13" s="7" t="n">
        <x:v>4581.020351699998</x:v>
      </x:c>
      <x:c r="E13" s="7" t="n">
        <x:f>D13-C13</x:f>
        <x:v>781.0203516999982</x:v>
      </x:c>
      <x:c r="F13" s="14" t="str">
        <x:v>Other portfolio</x:v>
      </x:c>
      <x:c r="G13" s="8" t="n">
        <x:f>E13/$E$29</x:f>
        <x:v>0.03663744313672454</x:v>
      </x:c>
      <x:c r="H13" s="2" t="str">
        <x:v>'Revenue Model'!H13 / 'Revenue Model'!S13</x:v>
      </x:c>
    </x:row>
    <x:row r="14" ht="35" customHeight="1">
      <x:c r="A14" s="14" t="str">
        <x:v>Metabolics</x:v>
      </x:c>
      <x:c r="B14" s="14" t="str">
        <x:v>Thyronorm</x:v>
      </x:c>
      <x:c r="C14" s="7" t="n">
        <x:v>7952.8</x:v>
      </x:c>
      <x:c r="D14" s="7" t="n">
        <x:v>10497.13990857981</x:v>
      </x:c>
      <x:c r="E14" s="7" t="n">
        <x:f>D14-C14</x:f>
        <x:v>2544.339908579809</x:v>
      </x:c>
      <x:c r="F14" s="14" t="str">
        <x:v>Large established brands</x:v>
      </x:c>
      <x:c r="G14" s="8" t="n">
        <x:f>E14/$E$29</x:f>
        <x:v>0.11935426332769646</x:v>
      </x:c>
      <x:c r="H14" s="2" t="str">
        <x:v>'Revenue Model'!H16 / 'Revenue Model'!S16</x:v>
      </x:c>
    </x:row>
    <x:row r="15" ht="35" customHeight="1">
      <x:c r="A15" s="14" t="str">
        <x:v>Metabolics</x:v>
      </x:c>
      <x:c r="B15" s="14" t="str">
        <x:v>Extensior</x:v>
      </x:c>
      <x:c r="C15" s="7" t="n">
        <x:v>50</x:v>
      </x:c>
      <x:c r="D15" s="7" t="n">
        <x:v>3250</x:v>
      </x:c>
      <x:c r="E15" s="7" t="n">
        <x:f>D15-C15</x:f>
        <x:v>3200</x:v>
      </x:c>
      <x:c r="F15" s="14" t="str">
        <x:v>Extensior</x:v>
      </x:c>
      <x:c r="G15" s="8" t="n">
        <x:f>E15/$E$29</x:f>
        <x:v>0.15011109221716176</x:v>
      </x:c>
      <x:c r="H15" s="2" t="str">
        <x:v>'Revenue Model'!H17 / 'Revenue Model'!S17</x:v>
      </x:c>
    </x:row>
    <x:row r="16" ht="35" customHeight="1">
      <x:c r="A16" s="14" t="str">
        <x:v>Metabolics</x:v>
      </x:c>
      <x:c r="B16" s="14" t="str">
        <x:v>Other metabolic products</x:v>
      </x:c>
      <x:c r="C16" s="7" t="n">
        <x:v>1500</x:v>
      </x:c>
      <x:c r="D16" s="7" t="n">
        <x:v>1834.5467162343741</x:v>
      </x:c>
      <x:c r="E16" s="7" t="n">
        <x:f>D16-C16</x:f>
        <x:v>334.5467162343741</x:v>
      </x:c>
      <x:c r="F16" s="14" t="str">
        <x:v>Other portfolio</x:v>
      </x:c>
      <x:c r="G16" s="8" t="n">
        <x:f>E16/$E$29</x:f>
        <x:v>0.01569349155362712</x:v>
      </x:c>
      <x:c r="H16" s="2" t="str">
        <x:v>'Revenue Model'!H18 / 'Revenue Model'!S18</x:v>
      </x:c>
    </x:row>
    <x:row r="17" ht="35" customHeight="1">
      <x:c r="A17" s="14" t="str">
        <x:v>Women’s health</x:v>
      </x:c>
      <x:c r="B17" s="14" t="str">
        <x:v>Duphaston and Femoston</x:v>
      </x:c>
      <x:c r="C17" s="7" t="n">
        <x:v>7000</x:v>
      </x:c>
      <x:c r="D17" s="7" t="n">
        <x:v>8117.083156769998</x:v>
      </x:c>
      <x:c r="E17" s="7" t="n">
        <x:f>D17-C17</x:f>
        <x:v>1117.083156769998</x:v>
      </x:c>
      <x:c r="F17" s="14" t="str">
        <x:v>Large established brands</x:v>
      </x:c>
      <x:c r="G17" s="8" t="n">
        <x:f>E17/$E$29</x:f>
        <x:v>0.05240205398754354</x:v>
      </x:c>
      <x:c r="H17" s="2" t="str">
        <x:v>'Revenue Model'!H21 / 'Revenue Model'!S21</x:v>
      </x:c>
    </x:row>
    <x:row r="18" ht="35" customHeight="1">
      <x:c r="A18" s="14" t="str">
        <x:v>Women’s health</x:v>
      </x:c>
      <x:c r="B18" s="14" t="str">
        <x:v>Other Women's Health</x:v>
      </x:c>
      <x:c r="C18" s="7" t="n">
        <x:v>2000</x:v>
      </x:c>
      <x:c r="D18" s="7" t="n">
        <x:v>2493.2710195312497</x:v>
      </x:c>
      <x:c r="E18" s="7" t="n">
        <x:f>D18-C18</x:f>
        <x:v>493.27101953124975</x:v>
      </x:c>
      <x:c r="F18" s="14" t="str">
        <x:v>Other portfolio</x:v>
      </x:c>
      <x:c r="G18" s="8" t="n">
        <x:f>E18/$E$29</x:f>
        <x:v>0.02313920359403401</x:v>
      </x:c>
      <x:c r="H18" s="2" t="str">
        <x:v>'Revenue Model'!H22 / 'Revenue Model'!S22</x:v>
      </x:c>
    </x:row>
    <x:row r="19" ht="35" customHeight="1">
      <x:c r="A19" s="14" t="str">
        <x:v>CNS</x:v>
      </x:c>
      <x:c r="B19" s="14" t="str">
        <x:v>Vertin</x:v>
      </x:c>
      <x:c r="C19" s="7" t="n">
        <x:v>3500</x:v>
      </x:c>
      <x:c r="D19" s="7" t="n">
        <x:v>4342.447025683592</x:v>
      </x:c>
      <x:c r="E19" s="7" t="n">
        <x:f>D19-C19</x:f>
        <x:v>842.4470256835921</x:v>
      </x:c>
      <x:c r="F19" s="14" t="str">
        <x:v>Large established brands</x:v>
      </x:c>
      <x:c r="G19" s="8" t="n">
        <x:f>E19/$E$29</x:f>
        <x:v>0.03951895098764479</x:v>
      </x:c>
      <x:c r="H19" s="2" t="str">
        <x:v>'Revenue Model'!H25 / 'Revenue Model'!S25</x:v>
      </x:c>
    </x:row>
    <x:row r="20" ht="35" customHeight="1">
      <x:c r="A20" s="14" t="str">
        <x:v>CNS</x:v>
      </x:c>
      <x:c r="B20" s="14" t="str">
        <x:v>Other CNS</x:v>
      </x:c>
      <x:c r="C20" s="7" t="n">
        <x:v>2800</x:v>
      </x:c>
      <x:c r="D20" s="7" t="n">
        <x:v>3326.9597887640607</x:v>
      </x:c>
      <x:c r="E20" s="7" t="n">
        <x:f>D20-C20</x:f>
        <x:v>526.9597887640607</x:v>
      </x:c>
      <x:c r="F20" s="14" t="str">
        <x:v>Other portfolio</x:v>
      </x:c>
      <x:c r="G20" s="8" t="n">
        <x:f>E20/$E$29</x:f>
        <x:v>0.024719534201843123</x:v>
      </x:c>
      <x:c r="H20" s="2" t="str">
        <x:v>'Revenue Model'!H26 / 'Revenue Model'!S26</x:v>
      </x:c>
    </x:row>
    <x:row r="21" ht="35" customHeight="1">
      <x:c r="A21" s="14" t="str">
        <x:v>Multi-specialty</x:v>
      </x:c>
      <x:c r="B21" s="14" t="str">
        <x:v>Arachitol franchise</x:v>
      </x:c>
      <x:c r="C21" s="7" t="n">
        <x:v>3500</x:v>
      </x:c>
      <x:c r="D21" s="7" t="n">
        <x:v>4552.803340476561</x:v>
      </x:c>
      <x:c r="E21" s="7" t="n">
        <x:f>D21-C21</x:f>
        <x:v>1052.803340476561</x:v>
      </x:c>
      <x:c r="F21" s="14" t="str">
        <x:v>Large established brands</x:v>
      </x:c>
      <x:c r="G21" s="8" t="n">
        <x:f>E21/$E$29</x:f>
        <x:v>0.049386706040254066</x:v>
      </x:c>
      <x:c r="H21" s="2" t="str">
        <x:v>'Revenue Model'!H29 / 'Revenue Model'!S29</x:v>
      </x:c>
    </x:row>
    <x:row r="22" ht="35" customHeight="1">
      <x:c r="A22" s="14" t="str">
        <x:v>Multi-specialty</x:v>
      </x:c>
      <x:c r="B22" s="14" t="str">
        <x:v>Other Multi-specialty</x:v>
      </x:c>
      <x:c r="C22" s="7" t="n">
        <x:v>2000</x:v>
      </x:c>
      <x:c r="D22" s="7" t="n">
        <x:v>2411.0633429999984</x:v>
      </x:c>
      <x:c r="E22" s="7" t="n">
        <x:f>D22-C22</x:f>
        <x:v>411.06334299999844</x:v>
      </x:c>
      <x:c r="F22" s="14" t="str">
        <x:v>Other portfolio</x:v>
      </x:c>
      <x:c r="G22" s="8" t="n">
        <x:f>E22/$E$29</x:f>
        <x:v>0.019282864808802362</x:v>
      </x:c>
      <x:c r="H22" s="2" t="str">
        <x:v>'Revenue Model'!H30 / 'Revenue Model'!S30</x:v>
      </x:c>
    </x:row>
    <x:row r="23" ht="35" customHeight="1">
      <x:c r="A23" s="14" t="str">
        <x:v>Vaccines</x:v>
      </x:c>
      <x:c r="B23" s="14" t="str">
        <x:v>Influvac</x:v>
      </x:c>
      <x:c r="C23" s="7" t="n">
        <x:v>3500</x:v>
      </x:c>
      <x:c r="D23" s="7" t="n">
        <x:v>4219.360850249997</x:v>
      </x:c>
      <x:c r="E23" s="7" t="n">
        <x:f>D23-C23</x:f>
        <x:v>719.3608502499974</x:v>
      </x:c>
      <x:c r="F23" s="14" t="str">
        <x:v>Large established brands</x:v>
      </x:c>
      <x:c r="G23" s="8" t="n">
        <x:f>E23/$E$29</x:f>
        <x:v>0.03374501341540414</x:v>
      </x:c>
      <x:c r="H23" s="2" t="str">
        <x:v>'Revenue Model'!H33 / 'Revenue Model'!S33</x:v>
      </x:c>
    </x:row>
    <x:row r="24" ht="35" customHeight="1">
      <x:c r="A24" s="14" t="str">
        <x:v>Vaccines</x:v>
      </x:c>
      <x:c r="B24" s="14" t="str">
        <x:v>Pneumoshield 14 and Havshield</x:v>
      </x:c>
      <x:c r="C24" s="7" t="n">
        <x:v>1500</x:v>
      </x:c>
      <x:c r="D24" s="7" t="n">
        <x:v>1941.9976512949208</x:v>
      </x:c>
      <x:c r="E24" s="7" t="n">
        <x:f>D24-C24</x:f>
        <x:v>441.99765129492084</x:v>
      </x:c>
      <x:c r="F24" s="14" t="str">
        <x:v>Large established brands</x:v>
      </x:c>
      <x:c r="G24" s="8" t="n">
        <x:f>E24/$E$29</x:f>
        <x:v>0.02073398443540649</x:v>
      </x:c>
      <x:c r="H24" s="2" t="str">
        <x:v>'Revenue Model'!H34 / 'Revenue Model'!S34</x:v>
      </x:c>
    </x:row>
    <x:row r="25" ht="35" customHeight="1">
      <x:c r="A25" s="14" t="str">
        <x:v>Vaccines</x:v>
      </x:c>
      <x:c r="B25" s="14" t="str">
        <x:v>Other vaccines</x:v>
      </x:c>
      <x:c r="C25" s="7" t="n">
        <x:v>500</x:v>
      </x:c>
      <x:c r="D25" s="7" t="n">
        <x:v>588.3737309921875</x:v>
      </x:c>
      <x:c r="E25" s="7" t="n">
        <x:f>D25-C25</x:f>
        <x:v>88.37373099218746</x:v>
      </x:c>
      <x:c r="F25" s="14" t="str">
        <x:v>Other portfolio</x:v>
      </x:c>
      <x:c r="G25" s="8" t="n">
        <x:f>E25/$E$29</x:f>
        <x:v>0.004145586650794656</x:v>
      </x:c>
      <x:c r="H25" s="2" t="str">
        <x:v>'Revenue Model'!H35 / 'Revenue Model'!S35</x:v>
      </x:c>
    </x:row>
    <x:row r="26" ht="35" customHeight="1">
      <x:c r="A26" s="14" t="str">
        <x:v>Other pharma</x:v>
      </x:c>
      <x:c r="B26" s="14" t="str">
        <x:v>Other products</x:v>
      </x:c>
      <x:c r="C26" s="7" t="n">
        <x:v>6329.0999999999985</x:v>
      </x:c>
      <x:c r="D26" s="7" t="n">
        <x:v>7433.290706574148</x:v>
      </x:c>
      <x:c r="E26" s="7" t="n">
        <x:f>D26-C26</x:f>
        <x:v>1104.1907065741498</x:v>
      </x:c>
      <x:c r="F26" s="14" t="str">
        <x:v>Other portfolio</x:v>
      </x:c>
      <x:c r="G26" s="8" t="n">
        <x:f>E26/$E$29</x:f>
        <x:v>0.05179727280621412</x:v>
      </x:c>
      <x:c r="H26" s="2" t="str">
        <x:v>'Revenue Model'!H37 / 'Revenue Model'!S37</x:v>
      </x:c>
    </x:row>
    <x:row r="27" ht="35" customHeight="1">
      <x:c r="A27" s="14" t="str">
        <x:v>Other operating revenue</x:v>
      </x:c>
      <x:c r="B27" s="14" t="str">
        <x:v>Services and other operating revenue</x:v>
      </x:c>
      <x:c r="C27" s="7" t="n">
        <x:v>829.5</x:v>
      </x:c>
      <x:c r="D27" s="7" t="n">
        <x:v>1013.082239809941</x:v>
      </x:c>
      <x:c r="E27" s="7" t="n">
        <x:f>D27-C27</x:f>
        <x:v>183.58223980994103</x:v>
      </x:c>
      <x:c r="F27" s="14" t="str">
        <x:v>Other operating revenue</x:v>
      </x:c>
      <x:c r="G27" s="8" t="n">
        <x:f>E27/$E$29</x:f>
        <x:v>0.008611790790482238</x:v>
      </x:c>
      <x:c r="H27" s="2" t="str">
        <x:v>'Revenue Model'!H39 / 'Revenue Model'!S39</x:v>
      </x:c>
    </x:row>
    <x:row r="28" ht="24" customHeight="1">
      <x:c r="A28" s="2"/>
      <x:c r="B28" s="2"/>
      <x:c r="C28" s="7"/>
      <x:c r="D28" s="7"/>
      <x:c r="E28" s="7"/>
      <x:c r="F28" s="2"/>
      <x:c r="G28" s="8"/>
      <x:c r="H28" s="2"/>
    </x:row>
    <x:row r="29" ht="24" customHeight="1">
      <x:c r="A29" s="4"/>
      <x:c r="B29" s="4" t="str">
        <x:v>Sum of modelled rows</x:v>
      </x:c>
      <x:c r="C29" s="9" t="n">
        <x:f>SUM(C6:C27)</x:f>
        <x:v>69290.5</x:v>
      </x:c>
      <x:c r="D29" s="9" t="n">
        <x:f>SUM(D6:D27)</x:f>
        <x:v>90608.04524422916</x:v>
      </x:c>
      <x:c r="E29" s="9" t="n">
        <x:f>SUM(E6:E27)</x:f>
        <x:v>21317.54524422915</x:v>
      </x:c>
      <x:c r="F29" s="4"/>
      <x:c r="G29" s="12" t="n">
        <x:f>SUM(G6:G27)</x:f>
        <x:v>1</x:v>
      </x:c>
      <x:c r="H29" s="4"/>
    </x:row>
    <x:row r="30" ht="24" customHeight="1">
      <x:c r="A30" s="2"/>
      <x:c r="B30" s="2"/>
      <x:c r="C30" s="7"/>
      <x:c r="D30" s="7"/>
      <x:c r="E30" s="7"/>
      <x:c r="F30" s="2"/>
      <x:c r="G30" s="2"/>
      <x:c r="H30" s="2"/>
    </x:row>
    <x:row r="31" ht="24" customHeight="1">
      <x:c r="A31" s="2"/>
      <x:c r="B31" s="2" t="str">
        <x:v>Source model total revenue</x:v>
      </x:c>
      <x:c r="C31" s="7" t="n">
        <x:v>69290.5</x:v>
      </x:c>
      <x:c r="D31" s="7" t="n">
        <x:v>90608.04524422914</x:v>
      </x:c>
      <x:c r="E31" s="7"/>
      <x:c r="F31" s="2"/>
      <x:c r="G31" s="2"/>
      <x:c r="H31" s="2" t="str">
        <x:v>'Revenue Model'!H40 / 'Revenue Model'!S40</x:v>
      </x:c>
    </x:row>
    <x:row r="32" ht="24" customHeight="1">
      <x:c r="A32" s="2"/>
      <x:c r="B32" s="2" t="str">
        <x:v>Difference versus source</x:v>
      </x:c>
      <x:c r="C32" s="13" t="n">
        <x:f>C29-C31</x:f>
        <x:v>0</x:v>
      </x:c>
      <x:c r="D32" s="13" t="n">
        <x:f>D29-D31</x:f>
        <x:v>1.4551915228366852e-11</x:v>
      </x:c>
      <x:c r="E32" s="13" t="n">
        <x:f>E29-(D31-C31)</x:f>
        <x:v>7.275957614183426e-12</x:v>
      </x:c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43" customHeight="1">
      <x:c r="A35" s="2" t="str">
        <x:v>Large established franchises</x:v>
      </x:c>
      <x:c r="B35" s="14" t="str">
        <x:v>Udiliv, Cremaffin, Duphalac, Digene, Creon, Ganaton, Thyronorm, Duphaston/Femoston, Vertin, Arachitol, Influvac and Pneumoshield14/Havshield. Grouped rows remain grouped.</x:v>
      </x:c>
      <x:c r="C35" s="14"/>
      <x:c r="D35" s="14"/>
      <x:c r="E35" s="14"/>
      <x:c r="F35" s="14"/>
      <x:c r="G35" s="14"/>
      <x:c r="H35" s="14"/>
    </x:row>
    <x:row r="36" ht="43" customHeight="1">
      <x:c r="A36" s="2" t="str">
        <x:v>Other portfolio</x:v>
      </x:c>
      <x:c r="B36" s="14" t="str">
        <x:v>Other GI, metabolic, women’s health, CNS and multi-specialty products, other vaccines and Other products. These are saved-model residual buckets and are not claimed to contain only old molecules.</x:v>
      </x:c>
      <x:c r="C36" s="14"/>
      <x:c r="D36" s="14"/>
      <x:c r="E36" s="14"/>
      <x:c r="F36" s="14"/>
      <x:c r="G36" s="14"/>
      <x:c r="H36" s="14"/>
    </x:row>
    <x:row r="37" ht="43" customHeight="1">
      <x:c r="A37" s="2" t="str">
        <x:v>Recent GI launches</x:v>
      </x:c>
      <x:c r="B37" s="14" t="str">
        <x:v>Saved-model cohort covering Vonefi, Digeraft, Digene Insta On The Go, Duphalac Rapid and Ezybixy. Cohort growth is not equivalent to a formal NI market contribution.</x:v>
      </x:c>
      <x:c r="C37" s="14"/>
      <x:c r="D37" s="14"/>
      <x:c r="E37" s="14"/>
      <x:c r="F37" s="14"/>
      <x:c r="G37" s="14"/>
      <x:c r="H37" s="14"/>
    </x:row>
    <x:row r="38" ht="43" customHeight="1">
      <x:c r="A38" s="2" t="str">
        <x:v>Estimation basis</x:v>
      </x:c>
      <x:c r="B38" s="14" t="str">
        <x:v>Brand sales, historical allocations and forecasts are model estimates. The bridge reconciles to the saved revenue-model totals. It does not independently revalidate company-reported sales or update forecasts.</x:v>
      </x:c>
      <x:c r="C38" s="14"/>
      <x:c r="D38" s="14"/>
      <x:c r="E38" s="14"/>
      <x:c r="F38" s="14"/>
      <x:c r="G38" s="14"/>
      <x:c r="H38" s="14"/>
    </x:row>
    <x:row r="39" ht="43" customHeight="1">
      <x:c r="A39" s="2" t="str">
        <x:v>Extensior assumption</x:v>
      </x:c>
      <x:c r="B39" s="14" t="str">
        <x:v>The original model assumes gross revenue recognition with 100% revenue capture. This assumption is carried through without alteration.</x:v>
      </x:c>
      <x:c r="C39" s="14"/>
      <x:c r="D39" s="14"/>
      <x:c r="E39" s="14"/>
      <x:c r="F39" s="14"/>
      <x:c r="G39" s="14"/>
      <x:c r="H39" s="14"/>
    </x:row>
    <x:row r="40" ht="43" customHeight="1">
      <x:c r="A40" s="2" t="str">
        <x:v>Forecast interpretation</x:v>
      </x:c>
      <x:c r="B40" s="14" t="str">
        <x:v>The combined portfolio share adds named established franchises and residual portfolio buckets. Residual buckets may include launches not separately identified in the source model. Acute/chronic mix cannot be established from these aggregate rows.</x:v>
      </x:c>
      <x:c r="C40" s="14"/>
      <x:c r="D40" s="14"/>
      <x:c r="E40" s="14"/>
      <x:c r="F40" s="14"/>
      <x:c r="G40" s="14"/>
      <x:c r="H40" s="14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</x:sheetData>
  <x:mergeCells>
    <x:mergeCell ref="B35:H35"/>
    <x:mergeCell ref="B36:H36"/>
    <x:mergeCell ref="B37:H37"/>
    <x:mergeCell ref="B38:H38"/>
    <x:mergeCell ref="B39:H39"/>
    <x:mergeCell ref="B40:H40"/>
  </x:mergeCells>
  <x:pageMargins left="0.7" right="0.7" top="0.75" bottom="0.75" header="0.3" footer="0.3"/>
</x:worksheet>
</file>