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Revenue_Model" sheetId="1" state="visible" r:id="rId3"/>
    <sheet name="Assumptions_Sources" sheetId="2" state="visible" r:id="rId4"/>
    <sheet name="Financial_Assumptions" sheetId="3" state="visible" r:id="rId5"/>
    <sheet name="Profit_Loss" sheetId="4" state="visible" r:id="rId6"/>
    <sheet name="Balance_Sheet" sheetId="5" state="visible" r:id="rId7"/>
    <sheet name="Cash_Flow" sheetId="6" state="visible" r:id="rId8"/>
    <sheet name="Schedules_Checks" sheetId="7" state="visible" r:id="rId9"/>
  </sheets>
  <definedNames>
    <definedName function="false" hidden="false" localSheetId="4" name="_xlnm.Print_Area" vbProcedure="false">Balance_Sheet!$A$1:$O$29</definedName>
    <definedName function="false" hidden="false" localSheetId="5" name="_xlnm.Print_Area" vbProcedure="false">Cash_Flow!$A$1:$O$31</definedName>
    <definedName function="false" hidden="false" localSheetId="2" name="_xlnm.Print_Area" vbProcedure="false">Financial_Assumptions!$A$1:$K$51</definedName>
    <definedName function="false" hidden="false" localSheetId="3" name="_xlnm.Print_Area" vbProcedure="false">Profit_Loss!$A$1:$W$40</definedName>
    <definedName function="false" hidden="false" localSheetId="6" name="_xlnm.Print_Area" vbProcedure="false">Schedules_Checks!$A$1:$O$44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A55" authorId="0">
      <text>
        <r>
          <rPr>
            <sz val="10"/>
            <rFont val="Arial"/>
            <family val="2"/>
          </rPr>
          <t xml:space="preserve">Reported consolidated revenue is the control total. Product/franchise history above is an analyst reconstruction, not company-reported brand sales.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Reported consolidated revenue from GSK India primary source: https://india-pharma.gsk.com/media/7478/cfr-31st-march-2023.pdf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Reported consolidated revenue from GSK India primary source: https://india-pharma.gsk.com/media/7680/standalone-and-consolidated-results-q4-23-24.pdf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Reported consolidated revenue from GSK India primary source: https://india-pharma.gsk.com/media/7913/annual-report-2024-25.pdf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Analyst-estimated product/franchise revenue, calibrated to reported consolidated revenue. Replace with IQVIA / company product sales if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Reported consolidated revenue from GSK India primary source: https://india-pharma.gsk.com/media/scfg3eux/annual-report-2025-26.pdf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</xdr:colOff>
                <xdr:row>2</xdr:row>
                <xdr:rowOff>24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C44" authorId="0">
      <text>
        <r>
          <rPr>
            <sz val="10"/>
            <rFont val="Arial"/>
            <family val="2"/>
          </rPr>
          <t xml:space="preserve">Sources: GSK phase III B-Well results (Jan/May 2026); FDA priority review (Apr 2026); CDSCO CT/106/22. Peak India sales and India launch year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Sources: CDSCO SEC 09-Jun-2026 (protocol 306293); GSK 2026 oncology pipeline. Peak sales / launch timing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Sources: GSK 12-Apr-2026 Mo-Rez data and 2026 pivotal-program disclosure. Peak sales / India launch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Sources: GSK efimosfermin acquisition / Phase III disclosures; GSK cited potential first global launch 2029. India launch/peak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Sources: ClinicalTrials.gov NCT06748053; GSK India May-2026 trial disclosure. Launch/peak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Sources: CDSCO CT/132/22; ClinicalTrials.gov NCT05583344; GSK India May-2026 disclosure. Launch/peak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Source: GSK 17-Jul-2026 - no further development in refractory chronic cough; revenue set to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Sources: GSK phase III B-Well results (Jan/May 2026); FDA priority review (Apr 2026); CDSCO CT/106/22. Peak India sales and India launch year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Sources: CDSCO SEC 09-Jun-2026 (protocol 306293); GSK 2026 oncology pipeline. Peak sales / launch timing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Sources: GSK 12-Apr-2026 Mo-Rez data and 2026 pivotal-program disclosure. Peak sales / India launch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Sources: GSK efimosfermin acquisition / Phase III disclosures; GSK cited potential first global launch 2029. India launch/peak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Sources: ClinicalTrials.gov NCT06748053; GSK India May-2026 trial disclosure. Launch/peak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Sources: CDSCO CT/132/22; ClinicalTrials.gov NCT05583344; GSK India May-2026 disclosure. Launch/peak are analyst estimates.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Source: GSK 17-Jul-2026 - no further development in refractory chronic cough; revenue set to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Base peak is an analyst India sales assumption in INR mn; update as initial Blenrep patient volumes/pricing become available.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Base peak is an analyst India sales assumption in INR mn; update after Arexvy commercial launch, dose pricing and uptake data.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6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Model input based on recent GSK India consolidated historical ratios and the business-mix logic described in column F. Historical sources are listed below on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-95</xdr:colOff>
                <xdr:row>3</xdr:row>
                <xdr:rowOff>15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F11" authorId="0">
      <text>
        <r>
          <rPr>
            <sz val="10"/>
            <rFont val="Arial"/>
            <family val="2"/>
          </rPr>
          <t xml:space="preserve">Source: GSK India, consolidated unaudited financial results for the quarter ended 30 June 2026. Values originally reported in INR lakh and converted to INR million by dividing by 10.
https://india-pharma.gsk.com/en-in/investors/quarterly-results/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-66</xdr:colOff>
                <xdr:row>3</xdr:row>
                <xdr:rowOff>17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Source: GSK India, consolidated unaudited financial results for the quarter ended 30 June 2026. Values originally reported in INR lakh and converted to INR million by dividing by 10.
https://india-pharma.gsk.com/en-in/investors/quarterly-results/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-66</xdr:colOff>
                <xdr:row>3</xdr:row>
                <xdr:rowOff>17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Source: GSK India, consolidated unaudited financial results for the quarter ended 30 June 2026. Values originally reported in INR lakh and converted to INR million by dividing by 10.
https://india-pharma.gsk.com/en-in/investors/quarterly-results/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-66</xdr:colOff>
                <xdr:row>3</xdr:row>
                <xdr:rowOff>17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Source: GSK India, consolidated unaudited financial results for the quarter ended 30 June 2026. Values originally reported in INR lakh and converted to INR million by dividing by 10.
https://india-pharma.gsk.com/en-in/investors/quarterly-results/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-66</xdr:colOff>
                <xdr:row>3</xdr:row>
                <xdr:rowOff>17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Source: GSK India, consolidated unaudited financial results for the quarter ended 30 June 2026. Values originally reported in INR lakh and converted to INR million by dividing by 10.
https://india-pharma.gsk.com/en-in/investors/quarterly-results/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-66</xdr:colOff>
                <xdr:row>3</xdr:row>
                <xdr:rowOff>17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Source: GSK India, consolidated unaudited financial results for the quarter ended 30 June 2026. Values originally reported in INR lakh and converted to INR million by dividing by 10.
https://india-pharma.gsk.com/en-in/investors/quarterly-results/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-66</xdr:colOff>
                <xdr:row>3</xdr:row>
                <xdr:rowOff>17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Source: GSK India, consolidated unaudited financial results for the quarter ended 30 June 2026. Values originally reported in INR lakh and converted to INR million by dividing by 10.
https://india-pharma.gsk.com/en-in/investors/quarterly-results/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-66</xdr:colOff>
                <xdr:row>3</xdr:row>
                <xdr:rowOff>17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Source: GSK India, consolidated unaudited financial results for the quarter ended 30 June 2026. Values originally reported in INR lakh and converted to INR million by dividing by 10.
https://india-pharma.gsk.com/en-in/investors/quarterly-results/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-66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<sst xmlns="http://schemas.openxmlformats.org/spreadsheetml/2006/main" count="804" uniqueCount="509">
  <si>
    <t xml:space="preserve">GSK India - Product-Level Revenue Model</t>
  </si>
  <si>
    <t xml:space="preserve">Underwriting case</t>
  </si>
  <si>
    <t xml:space="preserve">Single case</t>
  </si>
  <si>
    <t xml:space="preserve">FY26A Revenue</t>
  </si>
  <si>
    <t xml:space="preserve">FY27E Revenue</t>
  </si>
  <si>
    <t xml:space="preserve">FY28E Revenue</t>
  </si>
  <si>
    <t xml:space="preserve">FY31E Revenue</t>
  </si>
  <si>
    <t xml:space="preserve">FY36E Revenue</t>
  </si>
  <si>
    <t xml:space="preserve">10Y CAGR</t>
  </si>
  <si>
    <t xml:space="preserve">FY27 Q1A consolidated</t>
  </si>
  <si>
    <t xml:space="preserve">FY31 new launches + pipeline</t>
  </si>
  <si>
    <t xml:space="preserve">FY36 new launches + pipeline</t>
  </si>
  <si>
    <t xml:space="preserve">Model basis</t>
  </si>
  <si>
    <t xml:space="preserve">Consolidated GSK India; product history estimated within reported totals</t>
  </si>
  <si>
    <t xml:space="preserve">INR mn. Annual and quarterly consolidated totals are reported. Product-level history and Q1 FY27 allocations are analyst estimates calibrated to company disclosures and public market data. Forecasts use one underwriting case.</t>
  </si>
  <si>
    <t xml:space="preserve">Revenue line</t>
  </si>
  <si>
    <t xml:space="preserve">FY2023A</t>
  </si>
  <si>
    <t xml:space="preserve">FY2024A</t>
  </si>
  <si>
    <t xml:space="preserve">FY2025A</t>
  </si>
  <si>
    <t xml:space="preserve">FY2026A</t>
  </si>
  <si>
    <t xml:space="preserve">Q1 FY27A*</t>
  </si>
  <si>
    <t xml:space="preserve">Q2 FY27E</t>
  </si>
  <si>
    <t xml:space="preserve">Q3 FY27E</t>
  </si>
  <si>
    <t xml:space="preserve">Q4 FY27E</t>
  </si>
  <si>
    <t xml:space="preserve">FY2027E</t>
  </si>
  <si>
    <t xml:space="preserve">Q1 FY28E</t>
  </si>
  <si>
    <t xml:space="preserve">Q2 FY28E</t>
  </si>
  <si>
    <t xml:space="preserve">Q3 FY28E</t>
  </si>
  <si>
    <t xml:space="preserve">Q4 FY28E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</si>
  <si>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</si>
  <si>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</si>
  <si>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</si>
  <si>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</si>
  <si>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</si>
  <si>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</si>
  <si>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</si>
  <si>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</si>
  <si>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FY2036E</t>
  </si>
  <si>
    <t xml:space="preserve">5Y CAGR</t>
  </si>
  <si>
    <t xml:space="preserve">GENERAL MEDICINES</t>
  </si>
  <si>
    <t xml:space="preserve">Augmentin</t>
  </si>
  <si>
    <t xml:space="preserve">Ceftum</t>
  </si>
  <si>
    <t xml:space="preserve">Calpol</t>
  </si>
  <si>
    <t xml:space="preserve">Eltroxin</t>
  </si>
  <si>
    <t xml:space="preserve">Dermatology franchise</t>
  </si>
  <si>
    <t xml:space="preserve">Vitamins &amp; other general medicines</t>
  </si>
  <si>
    <t xml:space="preserve">General Medicines</t>
  </si>
  <si>
    <t xml:space="preserve">VACCINES</t>
  </si>
  <si>
    <t xml:space="preserve">Core paediatric vaccines</t>
  </si>
  <si>
    <t xml:space="preserve">Seasonal &amp; travel vaccines</t>
  </si>
  <si>
    <t xml:space="preserve">Shingrix</t>
  </si>
  <si>
    <t xml:space="preserve">Other adult vaccines</t>
  </si>
  <si>
    <t xml:space="preserve">Arexvy</t>
  </si>
  <si>
    <t xml:space="preserve">Vaccines</t>
  </si>
  <si>
    <t xml:space="preserve">SPECIALTY RESPIRATORY</t>
  </si>
  <si>
    <t xml:space="preserve">Trelegy Ellipta</t>
  </si>
  <si>
    <t xml:space="preserve">Nucala</t>
  </si>
  <si>
    <t xml:space="preserve">Other respiratory</t>
  </si>
  <si>
    <t xml:space="preserve">Specialty Respiratory</t>
  </si>
  <si>
    <t xml:space="preserve">ONCOLOGY</t>
  </si>
  <si>
    <t xml:space="preserve">Jemperli</t>
  </si>
  <si>
    <t xml:space="preserve">Zejula</t>
  </si>
  <si>
    <t xml:space="preserve">Blenrep</t>
  </si>
  <si>
    <t xml:space="preserve">Ojjaara</t>
  </si>
  <si>
    <t xml:space="preserve">Oncology</t>
  </si>
  <si>
    <t xml:space="preserve">INFECTIOUS DISEASE</t>
  </si>
  <si>
    <t xml:space="preserve">Hibsago / Bepirovirsen</t>
  </si>
  <si>
    <t xml:space="preserve">Infectious Disease</t>
  </si>
  <si>
    <t xml:space="preserve">FUTURE PIPELINE (RISK-ADJUSTED)</t>
  </si>
  <si>
    <t xml:space="preserve">Velzatinib</t>
  </si>
  <si>
    <t xml:space="preserve">Mocertatug rezetecan (B7-H4)</t>
  </si>
  <si>
    <t xml:space="preserve">Efimosfermin</t>
  </si>
  <si>
    <t xml:space="preserve">TSLP (GSK5784283)</t>
  </si>
  <si>
    <t xml:space="preserve">Gatuzosiran / GSK4532990</t>
  </si>
  <si>
    <t xml:space="preserve">Camlipixant - RCC</t>
  </si>
  <si>
    <t xml:space="preserve">Future Pipeline</t>
  </si>
  <si>
    <t xml:space="preserve">CONSOLIDATION</t>
  </si>
  <si>
    <t xml:space="preserve">Biddle / consolidation revenue</t>
  </si>
  <si>
    <t xml:space="preserve">Consolidation revenue</t>
  </si>
  <si>
    <t xml:space="preserve">Consolidated revenue</t>
  </si>
  <si>
    <t xml:space="preserve">YoY growth</t>
  </si>
  <si>
    <t xml:space="preserve">Post-FY26 launches + future pipeline</t>
  </si>
  <si>
    <t xml:space="preserve">Innovation + launches as % of revenue</t>
  </si>
  <si>
    <t xml:space="preserve">Reported consolidated revenue</t>
  </si>
  <si>
    <t xml:space="preserve">Historical reconciliation difference</t>
  </si>
  <si>
    <t xml:space="preserve">RECENT QUARTERLY CONSOLIDATED REVENUE</t>
  </si>
  <si>
    <t xml:space="preserve">INR mn</t>
  </si>
  <si>
    <t xml:space="preserve">Q1 FY25</t>
  </si>
  <si>
    <t xml:space="preserve">Q2 FY25</t>
  </si>
  <si>
    <t xml:space="preserve">Q3 FY25</t>
  </si>
  <si>
    <t xml:space="preserve">Q4 FY25</t>
  </si>
  <si>
    <t xml:space="preserve">Q1 FY26</t>
  </si>
  <si>
    <t xml:space="preserve">Q2 FY26</t>
  </si>
  <si>
    <t xml:space="preserve">Q3 FY26</t>
  </si>
  <si>
    <t xml:space="preserve">Q4 FY26</t>
  </si>
  <si>
    <t xml:space="preserve">Q1 FY27</t>
  </si>
  <si>
    <t xml:space="preserve">Revenue</t>
  </si>
  <si>
    <t xml:space="preserve">FY25 quarters difference</t>
  </si>
  <si>
    <t xml:space="preserve">FY26 quarters difference</t>
  </si>
  <si>
    <t xml:space="preserve">FY27 Q1 link difference</t>
  </si>
  <si>
    <t xml:space="preserve">GSK India - Single-Case Assumptions, Historical Calibration &amp; Pipeline</t>
  </si>
  <si>
    <t xml:space="preserve">As of 14 September 2026. Blue cells are editable analyst assumptions. No bull/base/bear cases are used.</t>
  </si>
  <si>
    <t xml:space="preserve">EXISTING PORTFOLIO GROWTH ASSUMPTIONS</t>
  </si>
  <si>
    <t xml:space="preserve">FY27E</t>
  </si>
  <si>
    <t xml:space="preserve">FY28E</t>
  </si>
  <si>
    <t xml:space="preserve">FY29E</t>
  </si>
  <si>
    <t xml:space="preserve">FY30-31E</t>
  </si>
  <si>
    <t xml:space="preserve">FY32-36E</t>
  </si>
  <si>
    <t xml:space="preserve">FY26A basis</t>
  </si>
  <si>
    <t xml:space="preserve">Key driver / rationale</t>
  </si>
  <si>
    <t xml:space="preserve">Estimated at ₹900cr in FY26</t>
  </si>
  <si>
    <t xml:space="preserve">₹75-80cr monthly secondary sales reference; price controls and mature volumes cap long-term growth</t>
  </si>
  <si>
    <t xml:space="preserve">Estimated within General Medicines</t>
  </si>
  <si>
    <t xml:space="preserve">32.7% represented-market share in Q1 FY27; mature anti-infective</t>
  </si>
  <si>
    <t xml:space="preserve">Estimated at ₹310cr in FY26</t>
  </si>
  <si>
    <t xml:space="preserve">Q1 FY27 market growth 8.1%; FY27 allows for supply normalisation</t>
  </si>
  <si>
    <t xml:space="preserve">Chronic replacement therapy with recurring demand</t>
  </si>
  <si>
    <t xml:space="preserve">Includes T-Bact, Betnovate, Tenovate, Neosporin</t>
  </si>
  <si>
    <t xml:space="preserve">T-Bact 57.5% represented-market share; category growth and pricing</t>
  </si>
  <si>
    <t xml:space="preserve">Residual within reported pharmaceuticals total</t>
  </si>
  <si>
    <t xml:space="preserve">Large mature tail; growth below promoted brands</t>
  </si>
  <si>
    <t xml:space="preserve">Estimated within reported vaccine mix</t>
  </si>
  <si>
    <t xml:space="preserve">Private-market leadership; volume-led growth and supply phasing</t>
  </si>
  <si>
    <t xml:space="preserve">Influenza/travel seasonality and private immunisation</t>
  </si>
  <si>
    <t xml:space="preserve">FY26 estimated at ₹110cr; crossed ₹100cr MAT by Q1 FY27</t>
  </si>
  <si>
    <t xml:space="preserve">Q1 FY27 growth 65%; adult-vaccination category creation fades over time</t>
  </si>
  <si>
    <t xml:space="preserve">Residual within reported vaccine mix</t>
  </si>
  <si>
    <t xml:space="preserve">Low base; adult immunisation adoption</t>
  </si>
  <si>
    <t xml:space="preserve">FY26 estimated at ₹62cr</t>
  </si>
  <si>
    <t xml:space="preserve">12% FUV share applied to disclosed ₹513cr SITT market; share and market growth</t>
  </si>
  <si>
    <t xml:space="preserve">FY26 estimated at ₹25cr</t>
  </si>
  <si>
    <t xml:space="preserve">100-120 new patients per month; severe-asthma diagnosis and affordability</t>
  </si>
  <si>
    <t xml:space="preserve">Residual respiratory portfolio</t>
  </si>
  <si>
    <t xml:space="preserve">Mature Seretide/other inhaled portfolio</t>
  </si>
  <si>
    <t xml:space="preserve">MARKETED ONCOLOGY AND CONSOLIDATION</t>
  </si>
  <si>
    <t xml:space="preserve">FY27E revenue</t>
  </si>
  <si>
    <t xml:space="preserve">FY28E growth</t>
  </si>
  <si>
    <t xml:space="preserve">FY29E growth</t>
  </si>
  <si>
    <t xml:space="preserve">Basis</t>
  </si>
  <si>
    <t xml:space="preserve">Rationale</t>
  </si>
  <si>
    <t xml:space="preserve">Q1 FY27 oncology run-rate and patient uptake</t>
  </si>
  <si>
    <t xml:space="preserve">First-line endometrial cancer; expansion not separately double-counted</t>
  </si>
  <si>
    <t xml:space="preserve">Ovarian maintenance; PARP competition limits long-term growth</t>
  </si>
  <si>
    <t xml:space="preserve">FY27E annualised from Q1 consolidated less standalone revenue</t>
  </si>
  <si>
    <t xml:space="preserve">Keeps subsidiary/consolidation bridge separate from product sales</t>
  </si>
  <si>
    <t xml:space="preserve">APPROVED / MANAGEMENT-IDENTIFIED LAUNCHES</t>
  </si>
  <si>
    <t xml:space="preserve">Asset</t>
  </si>
  <si>
    <t xml:space="preserve">Therapy</t>
  </si>
  <si>
    <t xml:space="preserve">Launch FY</t>
  </si>
  <si>
    <t xml:space="preserve">Peak India revenue (INR mn)</t>
  </si>
  <si>
    <t xml:space="preserve">Ramp years</t>
  </si>
  <si>
    <t xml:space="preserve">Post-ramp growth</t>
  </si>
  <si>
    <t xml:space="preserve">Launch-year fraction</t>
  </si>
  <si>
    <t xml:space="preserve">Q2 share</t>
  </si>
  <si>
    <t xml:space="preserve">Q3 share</t>
  </si>
  <si>
    <t xml:space="preserve">Basis / status</t>
  </si>
  <si>
    <t xml:space="preserve">Adult vaccines</t>
  </si>
  <si>
    <t xml:space="preserve">Marketing authorisation received; management indicated launch in coming months</t>
  </si>
  <si>
    <t xml:space="preserve">CDSCO approved; management guided Q2/Q3 FY27 launch; 7-8k second-line patients</t>
  </si>
  <si>
    <t xml:space="preserve">Infectious disease</t>
  </si>
  <si>
    <t xml:space="preserve">Positive Phase III; India launch targeted within three quarters, subject to approvals</t>
  </si>
  <si>
    <t xml:space="preserve">Management-identified upcoming launch over the next 18-24 months</t>
  </si>
  <si>
    <t xml:space="preserve">FUTURE PIPELINE - RISK-ADJUSTED REVENUE</t>
  </si>
  <si>
    <t xml:space="preserve">Unrisked peak (INR mn)</t>
  </si>
  <si>
    <t xml:space="preserve">PoS incl. India rights</t>
  </si>
  <si>
    <t xml:space="preserve">Risk-adjusted peak</t>
  </si>
  <si>
    <t xml:space="preserve">GIST</t>
  </si>
  <si>
    <t xml:space="preserve">Phase III; India trial permission supports local development</t>
  </si>
  <si>
    <t xml:space="preserve">Mocertatug rezetecan</t>
  </si>
  <si>
    <t xml:space="preserve">Ovarian/endometrial cancer</t>
  </si>
  <si>
    <t xml:space="preserve">Pivotal program initiated; no India approval</t>
  </si>
  <si>
    <t xml:space="preserve">MASH / liver disease</t>
  </si>
  <si>
    <t xml:space="preserve">Phase III; potential global launch from 2029, India lag assumed</t>
  </si>
  <si>
    <t xml:space="preserve">Uncontrolled asthma</t>
  </si>
  <si>
    <t xml:space="preserve">Phase II; substantial clinical and timing risk</t>
  </si>
  <si>
    <t xml:space="preserve">Liver disease</t>
  </si>
  <si>
    <t xml:space="preserve">Phase II; indication strategy evolving</t>
  </si>
  <si>
    <t xml:space="preserve">Camlipixant</t>
  </si>
  <si>
    <t xml:space="preserve">Refractory chronic cough</t>
  </si>
  <si>
    <t xml:space="preserve">Development discontinued after Phase III miss; zero revenue</t>
  </si>
  <si>
    <t xml:space="preserve">QUARTERLY PHASING</t>
  </si>
  <si>
    <t xml:space="preserve">Mature portfolio seasonality (Q1 / Q2 / Q3 / Q4)</t>
  </si>
  <si>
    <t xml:space="preserve">Average FY25/FY26 quarterly mix; FY27 Q1 product allocations are estimates constrained to reported totals</t>
  </si>
  <si>
    <t xml:space="preserve">FY26 HISTORICAL PRODUCT CALIBRATION</t>
  </si>
  <si>
    <t xml:space="preserve">FY26A estimate (INR mn)</t>
  </si>
  <si>
    <t xml:space="preserve">Status</t>
  </si>
  <si>
    <t xml:space="preserve">Calibration evidence</t>
  </si>
  <si>
    <t xml:space="preserve">Reported control</t>
  </si>
  <si>
    <t xml:space="preserve">Comment</t>
  </si>
  <si>
    <t xml:space="preserve">Estimated</t>
  </si>
  <si>
    <t xml:space="preserve">Public secondary-sales commentary of ₹75-80cr per month</t>
  </si>
  <si>
    <t xml:space="preserve">Reported company total</t>
  </si>
  <si>
    <t xml:space="preserve">Secondary sales and company revenue are not identical; estimate normalised</t>
  </si>
  <si>
    <t xml:space="preserve">Q1 FY27 represented-market value share 32.7%</t>
  </si>
  <si>
    <t xml:space="preserve">General Medicines total</t>
  </si>
  <si>
    <t xml:space="preserve">No audited brand sales disclosed</t>
  </si>
  <si>
    <t xml:space="preserve">Public monthly market-sales reference and Q1 FY27 market growth</t>
  </si>
  <si>
    <t xml:space="preserve">Chronic brand within promoted portfolio</t>
  </si>
  <si>
    <t xml:space="preserve">T-Bact 57.5% represented-market value share plus other dermatology brands</t>
  </si>
  <si>
    <t xml:space="preserve">Includes T-Bact, Betnovate, Tenovate, Neosporin and related brands</t>
  </si>
  <si>
    <t xml:space="preserve">Residual estimate</t>
  </si>
  <si>
    <t xml:space="preserve">Balances the reported pharmaceutical mix after named products</t>
  </si>
  <si>
    <t xml:space="preserve">Transparent residual, not described as reported brand sales</t>
  </si>
  <si>
    <t xml:space="preserve">Private paediatric leadership and portfolio growth disclosures</t>
  </si>
  <si>
    <t xml:space="preserve">FY26 vaccines ₹731.5cr</t>
  </si>
  <si>
    <t xml:space="preserve">No audited antigen sales disclosed</t>
  </si>
  <si>
    <t xml:space="preserve">Fluarix / Havrix / Menveo portfolio</t>
  </si>
  <si>
    <t xml:space="preserve">Management confirmed &gt;₹100cr MAT by Q1 FY27</t>
  </si>
  <si>
    <t xml:space="preserve">Conservative estimate within management floor</t>
  </si>
  <si>
    <t xml:space="preserve">Balances reported vaccine mix</t>
  </si>
  <si>
    <t xml:space="preserve">Market-based estimate</t>
  </si>
  <si>
    <t xml:space="preserve">12% FUV share × disclosed ₹513cr SITT market</t>
  </si>
  <si>
    <t xml:space="preserve">FY26 pharmaceuticals</t>
  </si>
  <si>
    <t xml:space="preserve">Replaces prior ₹170cr overstatement</t>
  </si>
  <si>
    <t xml:space="preserve">Patient-based estimate</t>
  </si>
  <si>
    <t xml:space="preserve">100-120 monthly patient additions and 3.5k+ cumulative patients</t>
  </si>
  <si>
    <t xml:space="preserve">Treatment persistence and net pricing remain estimated</t>
  </si>
  <si>
    <t xml:space="preserve">Balances specialty respiratory after Trelegy and Nucala</t>
  </si>
  <si>
    <t xml:space="preserve">Primarily mature respiratory portfolio</t>
  </si>
  <si>
    <t xml:space="preserve">Estimated allocation</t>
  </si>
  <si>
    <t xml:space="preserve">Launched Sep-2025; oncology was 0.3% of FY26 standalone sales</t>
  </si>
  <si>
    <t xml:space="preserve">FY26 oncology ₹11.4cr</t>
  </si>
  <si>
    <t xml:space="preserve">Allocation between Jemperli and Zejula is estimated</t>
  </si>
  <si>
    <t xml:space="preserve">Calculated bridge</t>
  </si>
  <si>
    <t xml:space="preserve">Consolidated revenue less standalone revenue</t>
  </si>
  <si>
    <t xml:space="preserve">FY26 consolidated ₹3,821.7cr</t>
  </si>
  <si>
    <t xml:space="preserve">Not other operating revenue and not a balancing product</t>
  </si>
  <si>
    <t xml:space="preserve">CLINICAL PIPELINE / CTRI CROSS-CHECK</t>
  </si>
  <si>
    <t xml:space="preserve">Brand / code</t>
  </si>
  <si>
    <t xml:space="preserve">India indication</t>
  </si>
  <si>
    <t xml:space="preserve">Stage / status</t>
  </si>
  <si>
    <t xml:space="preserve">India evidence</t>
  </si>
  <si>
    <t xml:space="preserve">Expected model launch</t>
  </si>
  <si>
    <t xml:space="preserve">Revenue treatment</t>
  </si>
  <si>
    <t xml:space="preserve">Key issue</t>
  </si>
  <si>
    <t xml:space="preserve">Primary source</t>
  </si>
  <si>
    <t xml:space="preserve">Belantamab mafodotin</t>
  </si>
  <si>
    <t xml:space="preserve">Multiple myeloma</t>
  </si>
  <si>
    <t xml:space="preserve">Approved in India</t>
  </si>
  <si>
    <t xml:space="preserve">CDSCO approval; company launch preparation</t>
  </si>
  <si>
    <t xml:space="preserve">Approved launch build</t>
  </si>
  <si>
    <t xml:space="preserve">Ocular monitoring and affordability</t>
  </si>
  <si>
    <t xml:space="preserve">GSK India Q1 FY27 transcript</t>
  </si>
  <si>
    <t xml:space="preserve">Dostarlimab</t>
  </si>
  <si>
    <t xml:space="preserve">Endometrial cancer</t>
  </si>
  <si>
    <t xml:space="preserve">Marketed; expansion trials</t>
  </si>
  <si>
    <t xml:space="preserve">India launch and trial permissions</t>
  </si>
  <si>
    <t xml:space="preserve">Marketed product</t>
  </si>
  <si>
    <t xml:space="preserve">Biomarker testing and access</t>
  </si>
  <si>
    <t xml:space="preserve">GSK India</t>
  </si>
  <si>
    <t xml:space="preserve">Niraparib</t>
  </si>
  <si>
    <t xml:space="preserve">Ovarian maintenance</t>
  </si>
  <si>
    <t xml:space="preserve">Marketed</t>
  </si>
  <si>
    <t xml:space="preserve">India launch / post-marketing evidence</t>
  </si>
  <si>
    <t xml:space="preserve">PARP competition</t>
  </si>
  <si>
    <t xml:space="preserve">Momelotinib</t>
  </si>
  <si>
    <t xml:space="preserve">Myelofibrosis</t>
  </si>
  <si>
    <t xml:space="preserve">Management-identified launch</t>
  </si>
  <si>
    <t xml:space="preserve">Upcoming India launch program</t>
  </si>
  <si>
    <t xml:space="preserve">Approved/late-stage launch build</t>
  </si>
  <si>
    <t xml:space="preserve">India timing and pricing</t>
  </si>
  <si>
    <t xml:space="preserve">Bepirovirsen</t>
  </si>
  <si>
    <t xml:space="preserve">Hibsago / GSK3228836</t>
  </si>
  <si>
    <t xml:space="preserve">Chronic hepatitis B</t>
  </si>
  <si>
    <t xml:space="preserve">Phase III positive; filings</t>
  </si>
  <si>
    <t xml:space="preserve">Four India trials and company launch roadmap</t>
  </si>
  <si>
    <t xml:space="preserve">Late-stage launch build</t>
  </si>
  <si>
    <t xml:space="preserve">Approval and functional-cure uptake</t>
  </si>
  <si>
    <t xml:space="preserve">GSK / CDSCO</t>
  </si>
  <si>
    <t xml:space="preserve">IDRX-42</t>
  </si>
  <si>
    <t xml:space="preserve">Phase III</t>
  </si>
  <si>
    <t xml:space="preserve">CDSCO India trial recommendation</t>
  </si>
  <si>
    <t xml:space="preserve">Risk-adjusted</t>
  </si>
  <si>
    <t xml:space="preserve">Clinical success and India rights</t>
  </si>
  <si>
    <t xml:space="preserve">CDSCO / GSK</t>
  </si>
  <si>
    <t xml:space="preserve">B7-H4 ADC</t>
  </si>
  <si>
    <t xml:space="preserve">Pivotal program</t>
  </si>
  <si>
    <t xml:space="preserve">India relevance in disclosed oncology trial bucket</t>
  </si>
  <si>
    <t xml:space="preserve">Early efficacy must confirm</t>
  </si>
  <si>
    <t xml:space="preserve">GSK</t>
  </si>
  <si>
    <t xml:space="preserve">GSK6519754</t>
  </si>
  <si>
    <t xml:space="preserve">MASH</t>
  </si>
  <si>
    <t xml:space="preserve">India-relevant global development</t>
  </si>
  <si>
    <t xml:space="preserve">Large market but affordability</t>
  </si>
  <si>
    <t xml:space="preserve">GSK5784283</t>
  </si>
  <si>
    <t xml:space="preserve">Anti-TSLP</t>
  </si>
  <si>
    <t xml:space="preserve">Respiratory</t>
  </si>
  <si>
    <t xml:space="preserve">Phase II</t>
  </si>
  <si>
    <t xml:space="preserve">Global trial / India pipeline disclosure</t>
  </si>
  <si>
    <t xml:space="preserve">Early stage and competition</t>
  </si>
  <si>
    <t xml:space="preserve">GSK / ClinicalTrials.gov</t>
  </si>
  <si>
    <t xml:space="preserve">Gatuzosiran</t>
  </si>
  <si>
    <t xml:space="preserve">GSK4532990</t>
  </si>
  <si>
    <t xml:space="preserve">MASH / ALD</t>
  </si>
  <si>
    <t xml:space="preserve">India NASH trial permission</t>
  </si>
  <si>
    <t xml:space="preserve">Indication strategy evolving</t>
  </si>
  <si>
    <t xml:space="preserve">KEY SOURCES</t>
  </si>
  <si>
    <t xml:space="preserve">Data item</t>
  </si>
  <si>
    <t xml:space="preserve">Value / conclusion</t>
  </si>
  <si>
    <t xml:space="preserve">Source</t>
  </si>
  <si>
    <t xml:space="preserve">URL</t>
  </si>
  <si>
    <t xml:space="preserve">Class</t>
  </si>
  <si>
    <t xml:space="preserve">FY23-FY26 consolidated revenue</t>
  </si>
  <si>
    <t xml:space="preserve">Reported annual totals</t>
  </si>
  <si>
    <t xml:space="preserve">GSK India annual reports</t>
  </si>
  <si>
    <t xml:space="preserve">https://india-pharma.gsk.com/en-in/investors/annual-reports/</t>
  </si>
  <si>
    <t xml:space="preserve">Reported</t>
  </si>
  <si>
    <t xml:space="preserve">Q1 FY27 consolidated revenue</t>
  </si>
  <si>
    <t xml:space="preserve">₹938.44cr</t>
  </si>
  <si>
    <t xml:space="preserve">GSK India consolidated filing / public release</t>
  </si>
  <si>
    <t xml:space="preserve">https://india-pharma.gsk.com/en-in/investors/quarterly-results/</t>
  </si>
  <si>
    <t xml:space="preserve">Q1 FY27 standalone revenue and innovation mix</t>
  </si>
  <si>
    <t xml:space="preserve">₹924cr; innovation 7%</t>
  </si>
  <si>
    <t xml:space="preserve">GSK India Q1 FY27 analyst presentation</t>
  </si>
  <si>
    <t xml:space="preserve">https://india-pharma.gsk.com/media/kdghfyzr/analyst-meet-q1-2026-27.pdf</t>
  </si>
  <si>
    <t xml:space="preserve">Launch timing and product commentary</t>
  </si>
  <si>
    <t xml:space="preserve">Blenrep, Arexvy, Hibsago, Ojjaara</t>
  </si>
  <si>
    <t xml:space="preserve">GSK India Q1 FY27 analyst transcript</t>
  </si>
  <si>
    <t xml:space="preserve">https://india-pharma.gsk.com/media/asmha1vh/gsk-q1-fy27-analyst-meet-transcript.pdf</t>
  </si>
  <si>
    <t xml:space="preserve">FY26 mix and 26-trial disclosure</t>
  </si>
  <si>
    <t xml:space="preserve">Pharma / vaccines / oncology; trial buckets</t>
  </si>
  <si>
    <t xml:space="preserve">GSK India FY26 annual report and May analyst meet</t>
  </si>
  <si>
    <t xml:space="preserve">https://india-pharma.gsk.com/media/inhdnswz/analyst-meet-may-2026.pdf</t>
  </si>
  <si>
    <t xml:space="preserve">Augmentin market sales</t>
  </si>
  <si>
    <t xml:space="preserve">₹75-80cr monthly public market-data reference</t>
  </si>
  <si>
    <t xml:space="preserve">Economic Times reporting citing market data</t>
  </si>
  <si>
    <t xml:space="preserve">https://m.economictimes.com/industry/healthcare/biotech/pharmaceuticals/gsks-antibiotic-drug-augmentin-is-indias-highest-selling-drug/articleshow/118333583.cms</t>
  </si>
  <si>
    <t xml:space="preserve">Market data / estimate basis</t>
  </si>
  <si>
    <t xml:space="preserve">CTRI access</t>
  </si>
  <si>
    <t xml:space="preserve">Registry requires search validation</t>
  </si>
  <si>
    <t xml:space="preserve">Clinical Trials Registry - India</t>
  </si>
  <si>
    <t xml:space="preserve">https://ctri.nic.in/Clinicaltrials/advancesearchmain.php</t>
  </si>
  <si>
    <t xml:space="preserve">Reported limitation</t>
  </si>
  <si>
    <t xml:space="preserve">Pipeline revenue</t>
  </si>
  <si>
    <t xml:space="preserve">Launch, peak and PoS assumptions</t>
  </si>
  <si>
    <t xml:space="preserve">Analyst estimates constrained by company pipeline disclosures</t>
  </si>
  <si>
    <t xml:space="preserve">N/A</t>
  </si>
  <si>
    <t xml:space="preserve">MODEL LIMITATIONS AND UPDATE ITEMS</t>
  </si>
  <si>
    <t xml:space="preserve">• Historical brand revenue remains estimated because GSK India does not disclose audited brand sales. Reported consolidated totals and disclosed business mix are the hard controls.</t>
  </si>
  <si>
    <t xml:space="preserve">• Q1 FY27 product values are estimates constrained to reported standalone revenue, 7% innovation mix and disclosed market/patient indicators; the consolidated total is reported.</t>
  </si>
  <si>
    <t xml:space="preserve">• Secondary-market sales do not equal company-recognised revenue. Replace estimates with IQVIA/PharmaTrac brand sales and channel adjustments when available.</t>
  </si>
  <si>
    <t xml:space="preserve">• Approved and management-identified launches are modeled separately from early pipeline. Early pipeline uses probability-adjusted India revenue and should be refreshed after pivotal data, filing, approval, pricing or rights changes.</t>
  </si>
  <si>
    <t xml:space="preserve">• The 26-company-disclosed figure is a trial count, not a molecule count. CTRI validation is cross-checked with GSK, CDSCO and global registries where direct record extraction is restricted.</t>
  </si>
  <si>
    <t xml:space="preserve">GSK India - Financial Assumptions</t>
  </si>
  <si>
    <t xml:space="preserve">INR million unless stated otherwise | Single forecast case | Blue cells are editable forecast inputs</t>
  </si>
  <si>
    <t xml:space="preserve">Forecast assumption anchors</t>
  </si>
  <si>
    <t xml:space="preserve">Driver</t>
  </si>
  <si>
    <t xml:space="preserve">FY2028E-FY2030E</t>
  </si>
  <si>
    <t xml:space="preserve">FY2031E-FY2036E</t>
  </si>
  <si>
    <t xml:space="preserve">Rationale / reference</t>
  </si>
  <si>
    <t xml:space="preserve">Gross margin</t>
  </si>
  <si>
    <t xml:space="preserve">FY23-FY26 gross margin improved materially; only modest additional mix benefit is assumed from specialty, oncology and vaccines.</t>
  </si>
  <si>
    <t xml:space="preserve">Employee expenses / revenue</t>
  </si>
  <si>
    <t xml:space="preserve">Near-term commercial investment is retained, followed by gradual operating leverage.</t>
  </si>
  <si>
    <t xml:space="preserve">Other operating expenses / revenue</t>
  </si>
  <si>
    <t xml:space="preserve">Allows launch/royalty/commercial investment near term, then modest operating leverage.</t>
  </si>
  <si>
    <t xml:space="preserve">Effective tax rate</t>
  </si>
  <si>
    <t xml:space="preserve">Normalized near recent reported effective tax rates; no one-off tax benefit assumed.</t>
  </si>
  <si>
    <t xml:space="preserve">Interest rate on borrowings / lease liabilities</t>
  </si>
  <si>
    <t xml:space="preserve">Simple effective rate on opening borrowings and lease liabilities.</t>
  </si>
  <si>
    <t xml:space="preserve">Yield on opening cash + investments</t>
  </si>
  <si>
    <t xml:space="preserve">Conservative yield on opening cash plus financial investments.</t>
  </si>
  <si>
    <t xml:space="preserve">Dividend payout ratio</t>
  </si>
  <si>
    <t xml:space="preserve">Starts near recent ordinary payout and moderates modestly as growth investment increases.</t>
  </si>
  <si>
    <t xml:space="preserve">Capex / revenue</t>
  </si>
  <si>
    <t xml:space="preserve">Simple maintenance / reinvestment assumption based on recent low capex intensity.</t>
  </si>
  <si>
    <t xml:space="preserve">Inventory days</t>
  </si>
  <si>
    <t xml:space="preserve">Normalizes around the recent historical range with modest efficiency.</t>
  </si>
  <si>
    <t xml:space="preserve">Receivable days</t>
  </si>
  <si>
    <t xml:space="preserve">Stable collections with modest normalization.</t>
  </si>
  <si>
    <t xml:space="preserve">Payable days</t>
  </si>
  <si>
    <t xml:space="preserve">Modest normalization around recent levels.</t>
  </si>
  <si>
    <t xml:space="preserve">Other assets / revenue</t>
  </si>
  <si>
    <t xml:space="preserve">Gradual normalization versus recent historical levels.</t>
  </si>
  <si>
    <t xml:space="preserve">Other liabilities + provisions / revenue</t>
  </si>
  <si>
    <t xml:space="preserve">Borrowings + lease liabilities (INR mn)</t>
  </si>
  <si>
    <t xml:space="preserve">Held constant at FY2026 closing level; debt is not used as a balancing item.</t>
  </si>
  <si>
    <t xml:space="preserve">Depreciation / opening net fixed assets</t>
  </si>
  <si>
    <t xml:space="preserve">Links D&amp;A to the opening fixed-asset base and trends modestly lower over time.</t>
  </si>
  <si>
    <t xml:space="preserve">Applied annual assumptions (formula-driven interpolation)</t>
  </si>
  <si>
    <t xml:space="preserve">Quarterly P&amp;L phasing</t>
  </si>
  <si>
    <t xml:space="preserve">FY27 Q1 uses reported consolidated actual P&amp;L line items; Q2-Q4 forecasts allocate the residual FY27 annual target by quarterly revenue / PBT share. FY28 quarterly forecasts phase the existing annual target by quarterly revenue / PBT share. FY27/FY28 annual forecast totals are unchanged.</t>
  </si>
  <si>
    <t xml:space="preserve">Historical sources</t>
  </si>
  <si>
    <t xml:space="preserve">Document</t>
  </si>
  <si>
    <t xml:space="preserve">Reporting period</t>
  </si>
  <si>
    <t xml:space="preserve">Relevant page / note</t>
  </si>
  <si>
    <t xml:space="preserve">FY2025-26 audited consolidated financial results</t>
  </si>
  <si>
    <t xml:space="preserve">Year ended 31 Mar 2026</t>
  </si>
  <si>
    <t xml:space="preserve">Consolidated P&amp;L pp.2-3; balance sheet p.5; cash flow p.6</t>
  </si>
  <si>
    <t xml:space="preserve">https://india-pharma.gsk.com/media/vavjd3ru/outcome-of-board-meeting-13-may-26.pdf</t>
  </si>
  <si>
    <t xml:space="preserve">GSK India Annual Report 2024-25</t>
  </si>
  <si>
    <t xml:space="preserve">Year ended 31 Mar 2025</t>
  </si>
  <si>
    <t xml:space="preserve">Consolidated balance sheet p.194; P&amp;L p.195; cash flow p.196</t>
  </si>
  <si>
    <t xml:space="preserve">https://india-pharma.gsk.com/media/a4jaso1n/annual-report-2024-25.pdf</t>
  </si>
  <si>
    <t xml:space="preserve">GSK India Annual Report 2023-24</t>
  </si>
  <si>
    <t xml:space="preserve">Year ended 31 Mar 2024</t>
  </si>
  <si>
    <t xml:space="preserve">Consolidated balance sheet p.189; P&amp;L p.190; cash flow pp.191-192</t>
  </si>
  <si>
    <t xml:space="preserve">https://india-pharma.gsk.com/media/4ysjvjwl/annual-report-2023-24.pdf</t>
  </si>
  <si>
    <t xml:space="preserve">Existing revenue model</t>
  </si>
  <si>
    <t xml:space="preserve">FY2023A-FY2036E</t>
  </si>
  <si>
    <t xml:space="preserve">Reported consolidated revenue row 59 (FY23-FY26); Consolidated revenue row 54 (FY27-FY36)</t>
  </si>
  <si>
    <t xml:space="preserve">Revenue_Model sheet in this workbook</t>
  </si>
  <si>
    <t xml:space="preserve">Q1 FY2026-27 consolidated financial results</t>
  </si>
  <si>
    <t xml:space="preserve">Quarter ended 30 Jun 2026</t>
  </si>
  <si>
    <t xml:space="preserve">Consolidated unaudited financial results; INR lakh converted to INR million (divide by 10)</t>
  </si>
  <si>
    <t xml:space="preserve">Model note: forecast cash is calculated only through the cash-flow statement; debt and investments are explicit assumptions and are never used as balance-sheet plugs.</t>
  </si>
  <si>
    <t xml:space="preserve">GSK India - Consolidated Profit &amp; Loss</t>
  </si>
  <si>
    <t xml:space="preserve">INR million except per-share data | FY2023A-FY2026A annual actuals | FY27/FY28 quarterly build | FY29E-FY36E annual estimates</t>
  </si>
  <si>
    <t xml:space="preserve">Consolidated Profit &amp; Loss</t>
  </si>
  <si>
    <t xml:space="preserve">Fiscal period</t>
  </si>
  <si>
    <t xml:space="preserve">Period</t>
  </si>
  <si>
    <t xml:space="preserve">Actual</t>
  </si>
  <si>
    <t xml:space="preserve">Actual*</t>
  </si>
  <si>
    <t xml:space="preserve">Estimate</t>
  </si>
  <si>
    <t xml:space="preserve">Cumulative E</t>
  </si>
  <si>
    <t xml:space="preserve">Revenue from operations</t>
  </si>
  <si>
    <t xml:space="preserve">-</t>
  </si>
  <si>
    <t xml:space="preserve">Cost of goods sold</t>
  </si>
  <si>
    <t xml:space="preserve">Gross profit</t>
  </si>
  <si>
    <t xml:space="preserve">Employee expenses</t>
  </si>
  <si>
    <t xml:space="preserve">Other operating expenses</t>
  </si>
  <si>
    <t xml:space="preserve">EBITDA</t>
  </si>
  <si>
    <t xml:space="preserve">EBITDA margin</t>
  </si>
  <si>
    <t xml:space="preserve">Depreciation and amortization</t>
  </si>
  <si>
    <t xml:space="preserve">EBIT</t>
  </si>
  <si>
    <t xml:space="preserve">EBIT margin</t>
  </si>
  <si>
    <t xml:space="preserve">Finance costs</t>
  </si>
  <si>
    <t xml:space="preserve">Other income</t>
  </si>
  <si>
    <t xml:space="preserve">Profit before exceptional items</t>
  </si>
  <si>
    <t xml:space="preserve">Exceptional items</t>
  </si>
  <si>
    <t xml:space="preserve">Profit before tax</t>
  </si>
  <si>
    <t xml:space="preserve">Tax expense</t>
  </si>
  <si>
    <t xml:space="preserve">Profit after tax</t>
  </si>
  <si>
    <t xml:space="preserve">PAT margin</t>
  </si>
  <si>
    <t xml:space="preserve">Non-controlling interest</t>
  </si>
  <si>
    <t xml:space="preserve">PAT attributable to shareholders</t>
  </si>
  <si>
    <t xml:space="preserve">Diluted shares outstanding (mn)</t>
  </si>
  <si>
    <t xml:space="preserve">Diluted EPS (INR)</t>
  </si>
  <si>
    <t xml:space="preserve">* Q1 FY27 revenue and P&amp;L line items are reported consolidated actuals. Q2-Q4 FY27 forecasts bridge to the unchanged FY27 annual model; FY28 quarterly forecasts phase the unchanged FY28 annual model.</t>
  </si>
  <si>
    <t xml:space="preserve">GSK India - Consolidated Balance Sheet</t>
  </si>
  <si>
    <t xml:space="preserve">INR million | Annual FY2023A-FY2036E | Forecast cash is linked from the cash-flow statement</t>
  </si>
  <si>
    <t xml:space="preserve">Simplified Consolidated Balance Sheet</t>
  </si>
  <si>
    <t xml:space="preserve">Fiscal year</t>
  </si>
  <si>
    <t xml:space="preserve">Assets</t>
  </si>
  <si>
    <t xml:space="preserve">Net property, plant &amp; equipment / ROU / intangibles</t>
  </si>
  <si>
    <t xml:space="preserve">Financial investments</t>
  </si>
  <si>
    <t xml:space="preserve">Inventories</t>
  </si>
  <si>
    <t xml:space="preserve">Trade receivables</t>
  </si>
  <si>
    <t xml:space="preserve">Cash and cash equivalents</t>
  </si>
  <si>
    <t xml:space="preserve">Other assets</t>
  </si>
  <si>
    <t xml:space="preserve">Total assets</t>
  </si>
  <si>
    <t xml:space="preserve">Equity and liabilities</t>
  </si>
  <si>
    <t xml:space="preserve">Share capital</t>
  </si>
  <si>
    <t xml:space="preserve">Other equity and retained earnings</t>
  </si>
  <si>
    <t xml:space="preserve">Total shareholders' equity</t>
  </si>
  <si>
    <t xml:space="preserve">Borrowings and lease liabilities</t>
  </si>
  <si>
    <t xml:space="preserve">Trade payables</t>
  </si>
  <si>
    <t xml:space="preserve">Other liabilities and provisions</t>
  </si>
  <si>
    <t xml:space="preserve">Total liabilities</t>
  </si>
  <si>
    <t xml:space="preserve">Total equity and liabilities</t>
  </si>
  <si>
    <t xml:space="preserve">Balance-sheet check</t>
  </si>
  <si>
    <t xml:space="preserve">Historical balances are consolidated reported figures; forecast balances are driven by the centralized assumptions and linked annual P&amp;L / cash-flow statements.</t>
  </si>
  <si>
    <t xml:space="preserve">GSK India - Consolidated Cash Flow Statement</t>
  </si>
  <si>
    <t xml:space="preserve">INR million | Simplified indirect method | Annual FY2023A-FY2036E</t>
  </si>
  <si>
    <t xml:space="preserve">Simplified Consolidated Cash Flow Statement</t>
  </si>
  <si>
    <t xml:space="preserve">Add: depreciation and amortization</t>
  </si>
  <si>
    <t xml:space="preserve">Inventory change (cash impact)</t>
  </si>
  <si>
    <t xml:space="preserve">Receivables change (cash impact)</t>
  </si>
  <si>
    <t xml:space="preserve">Other assets change (cash impact)</t>
  </si>
  <si>
    <t xml:space="preserve">Trade payables change (cash impact)</t>
  </si>
  <si>
    <t xml:space="preserve">Other liabilities and provisions change (cash impact)</t>
  </si>
  <si>
    <t xml:space="preserve">Cash flow from operations</t>
  </si>
  <si>
    <t xml:space="preserve">Capital expenditure</t>
  </si>
  <si>
    <t xml:space="preserve">Change in financial investments</t>
  </si>
  <si>
    <t xml:space="preserve">Cash flow from investing</t>
  </si>
  <si>
    <t xml:space="preserve">Dividends paid</t>
  </si>
  <si>
    <t xml:space="preserve">Change in borrowings and lease liabilities</t>
  </si>
  <si>
    <t xml:space="preserve">Other financing / historical cash-flow reconciliation</t>
  </si>
  <si>
    <t xml:space="preserve">Cash flow from financing</t>
  </si>
  <si>
    <t xml:space="preserve">Net change in cash</t>
  </si>
  <si>
    <t xml:space="preserve">Opening cash</t>
  </si>
  <si>
    <t xml:space="preserve">Closing cash</t>
  </si>
  <si>
    <t xml:space="preserve">Closing cash BS less CFS</t>
  </si>
  <si>
    <t xml:space="preserve">Historical cash flow retains the transparent reconciliation line from the prior QC model; all forecast reconciliation items are zero.</t>
  </si>
  <si>
    <t xml:space="preserve">GSK India - Supporting Schedules &amp; Model Checks</t>
  </si>
  <si>
    <t xml:space="preserve">INR million unless stated otherwise | Annual FY2023A-FY2036E</t>
  </si>
  <si>
    <t xml:space="preserve">Net fixed-asset roll-forward</t>
  </si>
  <si>
    <t xml:space="preserve">Opening net fixed assets</t>
  </si>
  <si>
    <t xml:space="preserve">Other historical asset movements</t>
  </si>
  <si>
    <t xml:space="preserve">Closing net fixed assets</t>
  </si>
  <si>
    <t xml:space="preserve">Net working-capital schedule</t>
  </si>
  <si>
    <t xml:space="preserve">Retained-earnings roll-forward</t>
  </si>
  <si>
    <t xml:space="preserve">Opening other equity / retained earnings</t>
  </si>
  <si>
    <t xml:space="preserve">Dividends</t>
  </si>
  <si>
    <t xml:space="preserve">Other historical equity movements</t>
  </si>
  <si>
    <t xml:space="preserve">Closing other equity / retained earnings</t>
  </si>
  <si>
    <t xml:space="preserve">Cash roll-forward</t>
  </si>
  <si>
    <t xml:space="preserve">Model checks (all numerical differences should equal 0.0)</t>
  </si>
  <si>
    <t xml:space="preserve">Historical revenue vs Revenue_Model</t>
  </si>
  <si>
    <t xml:space="preserve">Forecast revenue vs Revenue_Model</t>
  </si>
  <si>
    <t xml:space="preserve">Net fixed-asset roll-forward check</t>
  </si>
  <si>
    <t xml:space="preserve">Retained-earnings roll-forward check</t>
  </si>
  <si>
    <t xml:space="preserve">FY27 quarterly revenue aggregation</t>
  </si>
  <si>
    <t xml:space="preserve">FY27 quarterly EBITDA aggregation</t>
  </si>
  <si>
    <t xml:space="preserve">FY27 quarterly PAT aggregation</t>
  </si>
  <si>
    <t xml:space="preserve">FY28 quarterly revenue aggregation</t>
  </si>
  <si>
    <t xml:space="preserve">FY28 quarterly EBITDA aggregation</t>
  </si>
  <si>
    <t xml:space="preserve">FY28 quarterly PAT aggregation</t>
  </si>
  <si>
    <t xml:space="preserve">Formula-error scan (workbook count)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</si>
</sst>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[RED]\(#,##0.0\);\-"/>
    <numFmt numFmtId="166" formatCode="0.0%"/>
    <numFmt numFmtId="167" formatCode="0.0%;[RED]\(0.0%\);\-"/>
    <numFmt numFmtId="168" formatCode="0.0;[RED]\(0.0\);\-"/>
    <numFmt numFmtId="169" formatCode="0.0"/>
    <numFmt numFmtId="170" formatCode="0.00;[RED]\(0.00\);\-"/>
    <numFmt numFmtId="171" formatCode="0.0;[RED]\(0.0\);0.0"/>
  </numFmts>
  <fonts count="2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83A6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183A61"/>
      <name val="Arial"/>
      <family val="2"/>
      <charset val="1"/>
    </font>
    <font>
      <i val="true"/>
      <sz val="9"/>
      <color rgb="FF666666"/>
      <name val="Arial"/>
      <family val="2"/>
      <charset val="1"/>
    </font>
    <font>
      <b val="true"/>
      <sz val="9"/>
      <color rgb="FF183A6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0"/>
      <color rgb="FF666666"/>
      <name val="Arial"/>
      <family val="2"/>
      <charset val="1"/>
    </font>
    <font>
      <sz val="10"/>
      <name val="Arial"/>
      <family val="2"/>
    </font>
    <font>
      <sz val="9"/>
      <color rgb="FF666666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666666"/>
      <name val="Arial"/>
      <family val="0"/>
      <charset val="1"/>
    </font>
    <font>
      <sz val="8"/>
      <color rgb="FF008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8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83A61"/>
        <bgColor rgb="FF17365D"/>
      </patternFill>
    </fill>
    <fill>
      <patternFill patternType="solid">
        <fgColor rgb="FFF2F2F2"/>
        <bgColor rgb="FFEAF2F8"/>
      </patternFill>
    </fill>
    <fill>
      <patternFill patternType="solid">
        <fgColor rgb="FFD9E2F3"/>
        <bgColor rgb="FFD9EAF7"/>
      </patternFill>
    </fill>
    <fill>
      <patternFill patternType="solid">
        <fgColor rgb="FFBDD7EE"/>
        <bgColor rgb="FFD9E2F3"/>
      </patternFill>
    </fill>
    <fill>
      <patternFill patternType="solid">
        <fgColor rgb="FFEAF3F8"/>
        <bgColor rgb="FFEAF2F8"/>
      </patternFill>
    </fill>
    <fill>
      <patternFill patternType="solid">
        <fgColor rgb="FFDCEAF5"/>
        <bgColor rgb="FFDDEBF7"/>
      </patternFill>
    </fill>
    <fill>
      <patternFill patternType="solid">
        <fgColor rgb="FFE2F0D9"/>
        <bgColor rgb="FFE7E6E6"/>
      </patternFill>
    </fill>
    <fill>
      <patternFill patternType="solid">
        <fgColor rgb="FF17365D"/>
        <bgColor rgb="FF183A61"/>
      </patternFill>
    </fill>
    <fill>
      <patternFill patternType="solid">
        <fgColor rgb="FFE7E6E6"/>
        <bgColor rgb="FFDCEAF5"/>
      </patternFill>
    </fill>
    <fill>
      <patternFill patternType="solid">
        <fgColor rgb="FFEAF2F8"/>
        <bgColor rgb="FFEAF3F8"/>
      </patternFill>
    </fill>
    <fill>
      <patternFill patternType="solid">
        <fgColor rgb="FFDDEBF7"/>
        <bgColor rgb="FFDCEAF5"/>
      </patternFill>
    </fill>
    <fill>
      <patternFill patternType="solid">
        <fgColor rgb="FF1F4E78"/>
        <bgColor rgb="FF183A61"/>
      </patternFill>
    </fill>
    <fill>
      <patternFill patternType="solid">
        <fgColor rgb="FFD9EAF7"/>
        <bgColor rgb="FFDCEAF5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83A61"/>
      </bottom>
      <diagonal/>
    </border>
    <border diagonalUp="false" diagonalDown="false">
      <left/>
      <right/>
      <top style="medium">
        <color rgb="FF183A61"/>
      </top>
      <bottom style="double">
        <color rgb="FF183A61"/>
      </bottom>
      <diagonal/>
    </border>
    <border diagonalUp="false" diagonalDown="false">
      <left/>
      <right style="medium">
        <color rgb="FF17365D"/>
      </right>
      <top/>
      <bottom/>
      <diagonal/>
    </border>
    <border diagonalUp="false" diagonalDown="false">
      <left/>
      <right/>
      <top style="thin">
        <color rgb="FF17365D"/>
      </top>
      <bottom/>
      <diagonal/>
    </border>
    <border diagonalUp="false" diagonalDown="false">
      <left/>
      <right style="medium">
        <color rgb="FF17365D"/>
      </right>
      <top style="thin">
        <color rgb="FF17365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11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11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9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5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5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6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</font>
      <fill>
        <patternFill>
          <bgColor rgb="FFFCE4D6"/>
        </patternFill>
      </fill>
    </dxf>
    <dxf>
      <font>
        <color rgb="FFFF0000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9E2F3"/>
      <rgbColor rgb="FF808080"/>
      <rgbColor rgb="FFEAF3F8"/>
      <rgbColor rgb="FF993366"/>
      <rgbColor rgb="FFFFF2CC"/>
      <rgbColor rgb="FFD9EA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4D6"/>
      <rgbColor rgb="FFDCEAF5"/>
      <rgbColor rgb="FFE7E6E6"/>
      <rgbColor rgb="FFEAF2F8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183A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I18" activePane="bottomRight" state="frozen"/>
      <selection pane="topLeft" activeCell="A1" activeCellId="0" sqref="A1"/>
      <selection pane="topRight" activeCell="I1" activeCellId="0" sqref="I1"/>
      <selection pane="bottomLeft" activeCell="A18" activeCellId="0" sqref="A18"/>
      <selection pane="bottomRight" activeCell="Z54" activeCellId="0" sqref="Z54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" width="31"/>
    <col collapsed="false" customWidth="true" hidden="false" outlineLevel="0" max="23" min="2" style="1" width="12"/>
    <col collapsed="false" customWidth="true" hidden="false" outlineLevel="0" max="25" min="24" style="1" width="11"/>
  </cols>
  <sheetData>
    <row r="1" customFormat="false" ht="24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8" hidden="false" customHeight="true" outlineLevel="0" collapsed="false">
      <c r="A2" s="3" t="s">
        <v>1</v>
      </c>
      <c r="B2" s="4" t="s">
        <v>2</v>
      </c>
      <c r="C2" s="3"/>
      <c r="D2" s="3" t="s">
        <v>3</v>
      </c>
      <c r="E2" s="5" t="n">
        <f aca="false">E54</f>
        <v>38330.7</v>
      </c>
      <c r="F2" s="6"/>
      <c r="G2" s="6" t="s">
        <v>4</v>
      </c>
      <c r="H2" s="5" t="n">
        <f aca="false">J54</f>
        <v>43354.735</v>
      </c>
      <c r="I2" s="6"/>
      <c r="J2" s="6" t="s">
        <v>5</v>
      </c>
      <c r="K2" s="5" t="n">
        <f aca="false">O54</f>
        <v>48158.31475</v>
      </c>
      <c r="L2" s="6"/>
      <c r="M2" s="6" t="s">
        <v>6</v>
      </c>
      <c r="N2" s="5" t="n">
        <f aca="false">R54</f>
        <v>62428.9666642164</v>
      </c>
      <c r="O2" s="6"/>
      <c r="P2" s="6"/>
      <c r="Q2" s="6" t="s">
        <v>7</v>
      </c>
      <c r="R2" s="5" t="n">
        <f aca="false">W54</f>
        <v>83397.5322546104</v>
      </c>
      <c r="S2" s="3"/>
      <c r="T2" s="3"/>
      <c r="U2" s="3" t="s">
        <v>8</v>
      </c>
      <c r="V2" s="7" t="n">
        <f aca="false">Y54</f>
        <v>0.0808380990154392</v>
      </c>
      <c r="W2" s="3"/>
      <c r="X2" s="3"/>
      <c r="Y2" s="3"/>
    </row>
    <row r="3" customFormat="false" ht="18" hidden="false" customHeight="true" outlineLevel="0" collapsed="false">
      <c r="A3" s="3"/>
      <c r="B3" s="3"/>
      <c r="C3" s="3"/>
      <c r="D3" s="3" t="s">
        <v>9</v>
      </c>
      <c r="E3" s="6" t="n">
        <f aca="false">F54</f>
        <v>9384.4</v>
      </c>
      <c r="F3" s="6"/>
      <c r="G3" s="6" t="s">
        <v>10</v>
      </c>
      <c r="H3" s="6" t="n">
        <f aca="false">R56</f>
        <v>6341.66666666667</v>
      </c>
      <c r="I3" s="6"/>
      <c r="J3" s="6" t="s">
        <v>11</v>
      </c>
      <c r="K3" s="6" t="n">
        <f aca="false">W56</f>
        <v>12131.7168333333</v>
      </c>
      <c r="L3" s="6"/>
      <c r="M3" s="6" t="s">
        <v>12</v>
      </c>
      <c r="N3" s="8" t="s">
        <v>13</v>
      </c>
      <c r="O3" s="8"/>
      <c r="P3" s="8"/>
      <c r="Q3" s="8"/>
      <c r="R3" s="8"/>
      <c r="S3" s="9"/>
      <c r="T3" s="9"/>
      <c r="U3" s="9"/>
      <c r="V3" s="9"/>
      <c r="W3" s="9"/>
      <c r="X3" s="9"/>
      <c r="Y3" s="9"/>
    </row>
    <row r="4" customFormat="false" ht="27.75" hidden="false" customHeight="true" outlineLevel="0" collapsed="false">
      <c r="A4" s="10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customFormat="false" ht="18" hidden="true" customHeight="true" outlineLevel="0" collapsed="false">
      <c r="A5" s="11"/>
      <c r="B5" s="11" t="n">
        <v>2023</v>
      </c>
      <c r="C5" s="11" t="n">
        <v>2024</v>
      </c>
      <c r="D5" s="11" t="n">
        <v>2025</v>
      </c>
      <c r="E5" s="11" t="n">
        <v>2026</v>
      </c>
      <c r="F5" s="11" t="n">
        <v>2027</v>
      </c>
      <c r="G5" s="11" t="n">
        <v>2027</v>
      </c>
      <c r="H5" s="11" t="n">
        <v>2027</v>
      </c>
      <c r="I5" s="11" t="n">
        <v>2027</v>
      </c>
      <c r="J5" s="11" t="n">
        <v>2027</v>
      </c>
      <c r="K5" s="11" t="n">
        <v>2028</v>
      </c>
      <c r="L5" s="11" t="n">
        <v>2028</v>
      </c>
      <c r="M5" s="11" t="n">
        <v>2028</v>
      </c>
      <c r="N5" s="11" t="n">
        <v>2028</v>
      </c>
      <c r="O5" s="11" t="n">
        <v>2028</v>
      </c>
      <c r="P5" s="11" t="n">
        <v>2029</v>
      </c>
      <c r="Q5" s="11" t="n">
        <v>2030</v>
      </c>
      <c r="R5" s="11" t="n">
        <v>2031</v>
      </c>
      <c r="S5" s="11" t="n">
        <v>2032</v>
      </c>
      <c r="T5" s="11" t="n">
        <v>2033</v>
      </c>
      <c r="U5" s="11" t="n">
        <v>2034</v>
      </c>
      <c r="V5" s="11" t="n">
        <v>2035</v>
      </c>
      <c r="W5" s="11" t="n">
        <v>2036</v>
      </c>
      <c r="X5" s="11"/>
      <c r="Y5" s="11"/>
    </row>
    <row r="6" customFormat="false" ht="27.75" hidden="false" customHeight="true" outlineLevel="0" collapsed="false">
      <c r="A6" s="12" t="s">
        <v>15</v>
      </c>
      <c r="B6" s="13" t="s">
        <v>16</v>
      </c>
      <c r="C6" s="13" t="s">
        <v>17</v>
      </c>
      <c r="D6" s="13" t="s">
        <v>18</v>
      </c>
      <c r="E6" s="13" t="s">
        <v>19</v>
      </c>
      <c r="F6" s="13" t="s">
        <v>20</v>
      </c>
      <c r="G6" s="13" t="s">
        <v>21</v>
      </c>
      <c r="H6" s="13" t="s">
        <v>22</v>
      </c>
      <c r="I6" s="13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3" t="s">
        <v>28</v>
      </c>
      <c r="O6" s="13" t="s">
        <v>29</v>
      </c>
      <c r="P6" s="13" t="s">
        <v>30</v>
      </c>
      <c r="Q6" s="13" t="s">
        <v>31</v>
      </c>
      <c r="R6" s="13" t="s">
        <v>32</v>
      </c>
      <c r="S6" s="13" t="s">
        <v>33</v>
      </c>
      <c r="T6" s="13" t="s">
        <v>34</v>
      </c>
      <c r="U6" s="13" t="s">
        <v>35</v>
      </c>
      <c r="V6" s="13" t="s">
        <v>36</v>
      </c>
      <c r="W6" s="13" t="s">
        <v>37</v>
      </c>
      <c r="X6" s="13" t="s">
        <v>38</v>
      </c>
      <c r="Y6" s="13" t="s">
        <v>8</v>
      </c>
    </row>
    <row r="7" customFormat="false" ht="18" hidden="false" customHeight="true" outlineLevel="0" collapsed="false">
      <c r="A7" s="14" t="s">
        <v>39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customFormat="false" ht="18" hidden="false" customHeight="true" outlineLevel="0" collapsed="false">
      <c r="A8" s="3" t="s">
        <v>40</v>
      </c>
      <c r="B8" s="15" t="n">
        <v>7200</v>
      </c>
      <c r="C8" s="15" t="n">
        <v>7800</v>
      </c>
      <c r="D8" s="15" t="n">
        <v>8500</v>
      </c>
      <c r="E8" s="15" t="n">
        <v>9000</v>
      </c>
      <c r="F8" s="16" t="n">
        <v>2200</v>
      </c>
      <c r="G8" s="17" t="n">
        <f aca="false">(J8-F8)*Assumptions_Sources!$C$45/SUM(Assumptions_Sources!$C$45:$E$45)</f>
        <v>2516.23409669211</v>
      </c>
      <c r="H8" s="17" t="n">
        <f aca="false">(J8-F8)*Assumptions_Sources!$D$45/SUM(Assumptions_Sources!$C$45:$E$45)</f>
        <v>2516.23409669211</v>
      </c>
      <c r="I8" s="17" t="n">
        <f aca="false">J8-F8-G8-H8</f>
        <v>2487.53180661578</v>
      </c>
      <c r="J8" s="17" t="n">
        <v>9720</v>
      </c>
      <c r="K8" s="18" t="n">
        <f aca="false">O8*Assumptions_Sources!$B$45</f>
        <v>2225.6856</v>
      </c>
      <c r="L8" s="18" t="n">
        <f aca="false">O8*Assumptions_Sources!$C$45</f>
        <v>2735.3052</v>
      </c>
      <c r="M8" s="18" t="n">
        <f aca="false">O8*Assumptions_Sources!$D$45</f>
        <v>2735.3052</v>
      </c>
      <c r="N8" s="18" t="n">
        <f aca="false">O8-K8-L8-M8</f>
        <v>2704.104</v>
      </c>
      <c r="O8" s="18" t="n">
        <v>10400.4</v>
      </c>
      <c r="P8" s="19" t="n">
        <f aca="false">O8*(1+Assumptions_Sources!$D$6)</f>
        <v>11024.424</v>
      </c>
      <c r="Q8" s="19" t="n">
        <f aca="false">P8*(1+Assumptions_Sources!$E$6)</f>
        <v>11630.76732</v>
      </c>
      <c r="R8" s="19" t="n">
        <f aca="false">Q8*(1+Assumptions_Sources!$E$6)</f>
        <v>12270.4595226</v>
      </c>
      <c r="S8" s="19" t="n">
        <f aca="false">R8*(1+Assumptions_Sources!$F$6)</f>
        <v>12822.630201117</v>
      </c>
      <c r="T8" s="19" t="n">
        <f aca="false">S8*(1+Assumptions_Sources!$F$6)</f>
        <v>13399.6485601673</v>
      </c>
      <c r="U8" s="19" t="n">
        <f aca="false">T8*(1+Assumptions_Sources!$F$6)</f>
        <v>14002.6327453748</v>
      </c>
      <c r="V8" s="19" t="n">
        <f aca="false">U8*(1+Assumptions_Sources!$F$6)</f>
        <v>14632.7512189167</v>
      </c>
      <c r="W8" s="19" t="n">
        <f aca="false">V8*(1+Assumptions_Sources!$F$6)</f>
        <v>15291.2250237679</v>
      </c>
      <c r="X8" s="20" t="n">
        <f aca="false">IF(E8&gt;0,(R8/E8)^(1/5)-1,0)</f>
        <v>0.0639559889743053</v>
      </c>
      <c r="Y8" s="20" t="n">
        <f aca="false">IF(E8&gt;0,(W8/E8)^(1/10)-1,0)</f>
        <v>0.0544353979633598</v>
      </c>
    </row>
    <row r="9" customFormat="false" ht="18" hidden="false" customHeight="true" outlineLevel="0" collapsed="false">
      <c r="A9" s="3" t="s">
        <v>41</v>
      </c>
      <c r="B9" s="15" t="n">
        <v>2150</v>
      </c>
      <c r="C9" s="15" t="n">
        <v>2200</v>
      </c>
      <c r="D9" s="15" t="n">
        <v>2250</v>
      </c>
      <c r="E9" s="15" t="n">
        <v>2300</v>
      </c>
      <c r="F9" s="16" t="n">
        <v>600</v>
      </c>
      <c r="G9" s="17" t="n">
        <f aca="false">(J9-F9)*Assumptions_Sources!$C$45/SUM(Assumptions_Sources!$C$45:$E$45)</f>
        <v>615.005089058524</v>
      </c>
      <c r="H9" s="17" t="n">
        <f aca="false">(J9-F9)*Assumptions_Sources!$D$45/SUM(Assumptions_Sources!$C$45:$E$45)</f>
        <v>615.005089058524</v>
      </c>
      <c r="I9" s="17" t="n">
        <f aca="false">J9-F9-G9-H9</f>
        <v>607.989821882952</v>
      </c>
      <c r="J9" s="17" t="n">
        <v>2438</v>
      </c>
      <c r="K9" s="18" t="n">
        <f aca="false">O9*Assumptions_Sources!$B$45</f>
        <v>553.03592</v>
      </c>
      <c r="L9" s="18" t="n">
        <f aca="false">O9*Assumptions_Sources!$C$45</f>
        <v>679.66564</v>
      </c>
      <c r="M9" s="18" t="n">
        <f aca="false">O9*Assumptions_Sources!$D$45</f>
        <v>679.66564</v>
      </c>
      <c r="N9" s="18" t="n">
        <f aca="false">O9-K9-L9-M9</f>
        <v>671.9128</v>
      </c>
      <c r="O9" s="18" t="n">
        <v>2584.28</v>
      </c>
      <c r="P9" s="19" t="n">
        <f aca="false">O9*(1+Assumptions_Sources!$D$7)</f>
        <v>2713.494</v>
      </c>
      <c r="Q9" s="19" t="n">
        <f aca="false">P9*(1+Assumptions_Sources!$E$7)</f>
        <v>2835.60123</v>
      </c>
      <c r="R9" s="19" t="n">
        <f aca="false">Q9*(1+Assumptions_Sources!$E$7)</f>
        <v>2963.20328535</v>
      </c>
      <c r="S9" s="19" t="n">
        <f aca="false">R9*(1+Assumptions_Sources!$F$7)</f>
        <v>3066.91540033725</v>
      </c>
      <c r="T9" s="19" t="n">
        <f aca="false">S9*(1+Assumptions_Sources!$F$7)</f>
        <v>3174.25743934905</v>
      </c>
      <c r="U9" s="19" t="n">
        <f aca="false">T9*(1+Assumptions_Sources!$F$7)</f>
        <v>3285.35644972627</v>
      </c>
      <c r="V9" s="19" t="n">
        <f aca="false">U9*(1+Assumptions_Sources!$F$7)</f>
        <v>3400.34392546669</v>
      </c>
      <c r="W9" s="19" t="n">
        <f aca="false">V9*(1+Assumptions_Sources!$F$7)</f>
        <v>3519.35596285802</v>
      </c>
      <c r="X9" s="20" t="n">
        <f aca="false">IF(E9&gt;0,(R9/E9)^(1/5)-1,0)</f>
        <v>0.0519781564300526</v>
      </c>
      <c r="Y9" s="20" t="n">
        <f aca="false">IF(E9&gt;0,(W9/E9)^(1/10)-1,0)</f>
        <v>0.0434545471198562</v>
      </c>
    </row>
    <row r="10" customFormat="false" ht="18" hidden="false" customHeight="true" outlineLevel="0" collapsed="false">
      <c r="A10" s="3" t="s">
        <v>42</v>
      </c>
      <c r="B10" s="15" t="n">
        <v>2800</v>
      </c>
      <c r="C10" s="15" t="n">
        <v>2900</v>
      </c>
      <c r="D10" s="15" t="n">
        <v>3000</v>
      </c>
      <c r="E10" s="15" t="n">
        <v>3100</v>
      </c>
      <c r="F10" s="16" t="n">
        <v>750</v>
      </c>
      <c r="G10" s="17" t="n">
        <f aca="false">(J10-F10)*Assumptions_Sources!$C$45/SUM(Assumptions_Sources!$C$45:$E$45)</f>
        <v>838.187022900763</v>
      </c>
      <c r="H10" s="17" t="n">
        <f aca="false">(J10-F10)*Assumptions_Sources!$D$45/SUM(Assumptions_Sources!$C$45:$E$45)</f>
        <v>838.187022900763</v>
      </c>
      <c r="I10" s="17" t="n">
        <f aca="false">J10-F10-G10-H10</f>
        <v>828.625954198473</v>
      </c>
      <c r="J10" s="17" t="n">
        <v>3255</v>
      </c>
      <c r="K10" s="18" t="n">
        <f aca="false">O10*Assumptions_Sources!$B$45</f>
        <v>745.3299</v>
      </c>
      <c r="L10" s="18" t="n">
        <f aca="false">O10*Assumptions_Sources!$C$45</f>
        <v>915.98955</v>
      </c>
      <c r="M10" s="18" t="n">
        <f aca="false">O10*Assumptions_Sources!$D$45</f>
        <v>915.98955</v>
      </c>
      <c r="N10" s="18" t="n">
        <f aca="false">O10-K10-L10-M10</f>
        <v>905.541</v>
      </c>
      <c r="O10" s="18" t="n">
        <v>3482.85</v>
      </c>
      <c r="P10" s="19" t="n">
        <f aca="false">O10*(1+Assumptions_Sources!$D$8)</f>
        <v>3691.821</v>
      </c>
      <c r="Q10" s="19" t="n">
        <f aca="false">P10*(1+Assumptions_Sources!$E$8)</f>
        <v>3876.41205</v>
      </c>
      <c r="R10" s="19" t="n">
        <f aca="false">Q10*(1+Assumptions_Sources!$E$8)</f>
        <v>4070.2326525</v>
      </c>
      <c r="S10" s="19" t="n">
        <f aca="false">R10*(1+Assumptions_Sources!$F$8)</f>
        <v>4233.0419586</v>
      </c>
      <c r="T10" s="19" t="n">
        <f aca="false">S10*(1+Assumptions_Sources!$F$8)</f>
        <v>4402.363636944</v>
      </c>
      <c r="U10" s="19" t="n">
        <f aca="false">T10*(1+Assumptions_Sources!$F$8)</f>
        <v>4578.45818242176</v>
      </c>
      <c r="V10" s="19" t="n">
        <f aca="false">U10*(1+Assumptions_Sources!$F$8)</f>
        <v>4761.59650971863</v>
      </c>
      <c r="W10" s="19" t="n">
        <f aca="false">V10*(1+Assumptions_Sources!$F$8)</f>
        <v>4952.06037010738</v>
      </c>
      <c r="X10" s="20" t="n">
        <f aca="false">IF(E10&gt;0,(R10/E10)^(1/5)-1,0)</f>
        <v>0.0559698247423659</v>
      </c>
      <c r="Y10" s="20" t="n">
        <f aca="false">IF(E10&gt;0,(W10/E10)^(1/10)-1,0)</f>
        <v>0.0479544922047239</v>
      </c>
    </row>
    <row r="11" customFormat="false" ht="18" hidden="false" customHeight="true" outlineLevel="0" collapsed="false">
      <c r="A11" s="3" t="s">
        <v>43</v>
      </c>
      <c r="B11" s="15" t="n">
        <v>1550</v>
      </c>
      <c r="C11" s="15" t="n">
        <v>1600</v>
      </c>
      <c r="D11" s="15" t="n">
        <v>1650</v>
      </c>
      <c r="E11" s="15" t="n">
        <v>1700</v>
      </c>
      <c r="F11" s="16" t="n">
        <v>430</v>
      </c>
      <c r="G11" s="17" t="n">
        <f aca="false">(J11-F11)*Assumptions_Sources!$C$45/SUM(Assumptions_Sources!$C$45:$E$45)</f>
        <v>453.39058524173</v>
      </c>
      <c r="H11" s="17" t="n">
        <f aca="false">(J11-F11)*Assumptions_Sources!$D$45/SUM(Assumptions_Sources!$C$45:$E$45)</f>
        <v>453.39058524173</v>
      </c>
      <c r="I11" s="17" t="n">
        <f aca="false">J11-F11-G11-H11</f>
        <v>448.21882951654</v>
      </c>
      <c r="J11" s="17" t="n">
        <v>1785</v>
      </c>
      <c r="K11" s="18" t="n">
        <f aca="false">O11*Assumptions_Sources!$B$45</f>
        <v>402.99945</v>
      </c>
      <c r="L11" s="18" t="n">
        <f aca="false">O11*Assumptions_Sources!$C$45</f>
        <v>495.275025</v>
      </c>
      <c r="M11" s="18" t="n">
        <f aca="false">O11*Assumptions_Sources!$D$45</f>
        <v>495.275025</v>
      </c>
      <c r="N11" s="18" t="n">
        <f aca="false">O11-K11-L11-M11</f>
        <v>489.6255</v>
      </c>
      <c r="O11" s="18" t="n">
        <v>1883.175</v>
      </c>
      <c r="P11" s="19" t="n">
        <f aca="false">O11*(1+Assumptions_Sources!$D$9)</f>
        <v>1977.33375</v>
      </c>
      <c r="Q11" s="19" t="n">
        <f aca="false">P11*(1+Assumptions_Sources!$E$9)</f>
        <v>2066.31376875</v>
      </c>
      <c r="R11" s="19" t="n">
        <f aca="false">Q11*(1+Assumptions_Sources!$E$9)</f>
        <v>2159.29788834375</v>
      </c>
      <c r="S11" s="19" t="n">
        <f aca="false">R11*(1+Assumptions_Sources!$F$9)</f>
        <v>2245.6698038775</v>
      </c>
      <c r="T11" s="19" t="n">
        <f aca="false">S11*(1+Assumptions_Sources!$F$9)</f>
        <v>2335.4965960326</v>
      </c>
      <c r="U11" s="19" t="n">
        <f aca="false">T11*(1+Assumptions_Sources!$F$9)</f>
        <v>2428.9164598739</v>
      </c>
      <c r="V11" s="19" t="n">
        <f aca="false">U11*(1+Assumptions_Sources!$F$9)</f>
        <v>2526.07311826886</v>
      </c>
      <c r="W11" s="19" t="n">
        <f aca="false">V11*(1+Assumptions_Sources!$F$9)</f>
        <v>2627.11604299961</v>
      </c>
      <c r="X11" s="20" t="n">
        <f aca="false">IF(E11&gt;0,(R11/E11)^(1/5)-1,0)</f>
        <v>0.0489933323736091</v>
      </c>
      <c r="Y11" s="20" t="n">
        <f aca="false">IF(E11&gt;0,(W11/E11)^(1/10)-1,0)</f>
        <v>0.044486986835429</v>
      </c>
    </row>
    <row r="12" customFormat="false" ht="18" hidden="false" customHeight="true" outlineLevel="0" collapsed="false">
      <c r="A12" s="3" t="s">
        <v>44</v>
      </c>
      <c r="B12" s="15" t="n">
        <v>3600</v>
      </c>
      <c r="C12" s="15" t="n">
        <v>3900</v>
      </c>
      <c r="D12" s="15" t="n">
        <v>4200</v>
      </c>
      <c r="E12" s="15" t="n">
        <v>4500</v>
      </c>
      <c r="F12" s="16" t="n">
        <v>1100</v>
      </c>
      <c r="G12" s="17" t="n">
        <f aca="false">(J12-F12)*Assumptions_Sources!$C$45/SUM(Assumptions_Sources!$C$45:$E$45)</f>
        <v>1258.11704834606</v>
      </c>
      <c r="H12" s="17" t="n">
        <f aca="false">(J12-F12)*Assumptions_Sources!$D$45/SUM(Assumptions_Sources!$C$45:$E$45)</f>
        <v>1258.11704834606</v>
      </c>
      <c r="I12" s="17" t="n">
        <f aca="false">J12-F12-G12-H12</f>
        <v>1243.76590330789</v>
      </c>
      <c r="J12" s="17" t="n">
        <v>4860</v>
      </c>
      <c r="K12" s="18" t="n">
        <f aca="false">O12*Assumptions_Sources!$B$45</f>
        <v>1112.8428</v>
      </c>
      <c r="L12" s="18" t="n">
        <f aca="false">O12*Assumptions_Sources!$C$45</f>
        <v>1367.6526</v>
      </c>
      <c r="M12" s="18" t="n">
        <f aca="false">O12*Assumptions_Sources!$D$45</f>
        <v>1367.6526</v>
      </c>
      <c r="N12" s="18" t="n">
        <f aca="false">O12-K12-L12-M12</f>
        <v>1352.052</v>
      </c>
      <c r="O12" s="18" t="n">
        <v>5200.2</v>
      </c>
      <c r="P12" s="19" t="n">
        <f aca="false">O12*(1+Assumptions_Sources!$D$10)</f>
        <v>5512.212</v>
      </c>
      <c r="Q12" s="19" t="n">
        <f aca="false">P12*(1+Assumptions_Sources!$E$10)</f>
        <v>5815.38366</v>
      </c>
      <c r="R12" s="19" t="n">
        <f aca="false">Q12*(1+Assumptions_Sources!$E$10)</f>
        <v>6135.2297613</v>
      </c>
      <c r="S12" s="19" t="n">
        <f aca="false">R12*(1+Assumptions_Sources!$F$10)</f>
        <v>6411.3151005585</v>
      </c>
      <c r="T12" s="19" t="n">
        <f aca="false">S12*(1+Assumptions_Sources!$F$10)</f>
        <v>6699.82428008363</v>
      </c>
      <c r="U12" s="19" t="n">
        <f aca="false">T12*(1+Assumptions_Sources!$F$10)</f>
        <v>7001.31637268739</v>
      </c>
      <c r="V12" s="19" t="n">
        <f aca="false">U12*(1+Assumptions_Sources!$F$10)</f>
        <v>7316.37560945833</v>
      </c>
      <c r="W12" s="19" t="n">
        <f aca="false">V12*(1+Assumptions_Sources!$F$10)</f>
        <v>7645.61251188395</v>
      </c>
      <c r="X12" s="20" t="n">
        <f aca="false">IF(E12&gt;0,(R12/E12)^(1/5)-1,0)</f>
        <v>0.0639559889743053</v>
      </c>
      <c r="Y12" s="20" t="n">
        <f aca="false">IF(E12&gt;0,(W12/E12)^(1/10)-1,0)</f>
        <v>0.0544353979633598</v>
      </c>
    </row>
    <row r="13" customFormat="false" ht="18" hidden="false" customHeight="true" outlineLevel="0" collapsed="false">
      <c r="A13" s="3" t="s">
        <v>45</v>
      </c>
      <c r="B13" s="15" t="n">
        <v>9017.2</v>
      </c>
      <c r="C13" s="15" t="n">
        <v>8787.1</v>
      </c>
      <c r="D13" s="15" t="n">
        <v>9430</v>
      </c>
      <c r="E13" s="15" t="n">
        <v>8072.7</v>
      </c>
      <c r="F13" s="16" t="n">
        <v>1553</v>
      </c>
      <c r="G13" s="17" t="n">
        <f aca="false">(J13-F13)*Assumptions_Sources!$C$45/SUM(Assumptions_Sources!$C$45:$E$45)</f>
        <v>2316.5866475827</v>
      </c>
      <c r="H13" s="17" t="n">
        <f aca="false">(J13-F13)*Assumptions_Sources!$D$45/SUM(Assumptions_Sources!$C$45:$E$45)</f>
        <v>2316.5866475827</v>
      </c>
      <c r="I13" s="17" t="n">
        <f aca="false">J13-F13-G13-H13</f>
        <v>2290.16170483461</v>
      </c>
      <c r="J13" s="17" t="n">
        <v>8476.335</v>
      </c>
      <c r="K13" s="18" t="n">
        <f aca="false">O13*Assumptions_Sources!$B$45</f>
        <v>1904.6324745</v>
      </c>
      <c r="L13" s="18" t="n">
        <f aca="false">O13*Assumptions_Sources!$C$45</f>
        <v>2340.73991025</v>
      </c>
      <c r="M13" s="18" t="n">
        <f aca="false">O13*Assumptions_Sources!$D$45</f>
        <v>2340.73991025</v>
      </c>
      <c r="N13" s="18" t="n">
        <f aca="false">O13-K13-L13-M13</f>
        <v>2314.039455</v>
      </c>
      <c r="O13" s="18" t="n">
        <v>8900.15175</v>
      </c>
      <c r="P13" s="19" t="n">
        <f aca="false">O13*(1+Assumptions_Sources!$D$11)</f>
        <v>9300.65857875</v>
      </c>
      <c r="Q13" s="19" t="n">
        <f aca="false">P13*(1+Assumptions_Sources!$E$11)</f>
        <v>9672.6849219</v>
      </c>
      <c r="R13" s="19" t="n">
        <f aca="false">Q13*(1+Assumptions_Sources!$E$11)</f>
        <v>10059.592318776</v>
      </c>
      <c r="S13" s="19" t="n">
        <f aca="false">R13*(1+Assumptions_Sources!$F$11)</f>
        <v>10411.6780499332</v>
      </c>
      <c r="T13" s="19" t="n">
        <f aca="false">S13*(1+Assumptions_Sources!$F$11)</f>
        <v>10776.0867816808</v>
      </c>
      <c r="U13" s="19" t="n">
        <f aca="false">T13*(1+Assumptions_Sources!$F$11)</f>
        <v>11153.2498190397</v>
      </c>
      <c r="V13" s="19" t="n">
        <f aca="false">U13*(1+Assumptions_Sources!$F$11)</f>
        <v>11543.613562706</v>
      </c>
      <c r="W13" s="19" t="n">
        <f aca="false">V13*(1+Assumptions_Sources!$F$11)</f>
        <v>11947.6400374007</v>
      </c>
      <c r="X13" s="20" t="n">
        <f aca="false">IF(E13&gt;0,(R13/E13)^(1/5)-1,0)</f>
        <v>0.0449904305562865</v>
      </c>
      <c r="Y13" s="20" t="n">
        <f aca="false">IF(E13&gt;0,(W13/E13)^(1/10)-1,0)</f>
        <v>0.0399832189154576</v>
      </c>
    </row>
    <row r="14" customFormat="false" ht="18" hidden="false" customHeight="true" outlineLevel="0" collapsed="false">
      <c r="A14" s="21" t="s">
        <v>46</v>
      </c>
      <c r="B14" s="22" t="n">
        <f aca="false">SUM(B8:B13)</f>
        <v>26317.2</v>
      </c>
      <c r="C14" s="22" t="n">
        <f aca="false">SUM(C8:C13)</f>
        <v>27187.1</v>
      </c>
      <c r="D14" s="22" t="n">
        <f aca="false">SUM(D8:D13)</f>
        <v>29030</v>
      </c>
      <c r="E14" s="22" t="n">
        <f aca="false">SUM(E8:E13)</f>
        <v>28672.7</v>
      </c>
      <c r="F14" s="22" t="n">
        <f aca="false">SUM(F8:F13)</f>
        <v>6633</v>
      </c>
      <c r="G14" s="22" t="n">
        <f aca="false">SUM(G8:G13)</f>
        <v>7997.52048982188</v>
      </c>
      <c r="H14" s="22" t="n">
        <f aca="false">SUM(H8:H13)</f>
        <v>7997.52048982188</v>
      </c>
      <c r="I14" s="22" t="n">
        <f aca="false">SUM(I8:I13)</f>
        <v>7906.29402035623</v>
      </c>
      <c r="J14" s="22" t="n">
        <v>30534.335</v>
      </c>
      <c r="K14" s="22" t="n">
        <f aca="false">SUM(K8:K13)</f>
        <v>6944.5261445</v>
      </c>
      <c r="L14" s="22" t="n">
        <f aca="false">SUM(L8:L13)</f>
        <v>8534.62792525</v>
      </c>
      <c r="M14" s="22" t="n">
        <f aca="false">SUM(M8:M13)</f>
        <v>8534.62792525</v>
      </c>
      <c r="N14" s="22" t="n">
        <f aca="false">SUM(N8:N13)</f>
        <v>8437.274755</v>
      </c>
      <c r="O14" s="22" t="n">
        <v>32451.05675</v>
      </c>
      <c r="P14" s="22" t="n">
        <f aca="false">SUM(P8:P13)</f>
        <v>34219.94332875</v>
      </c>
      <c r="Q14" s="22" t="n">
        <f aca="false">SUM(Q8:Q13)</f>
        <v>35897.16295065</v>
      </c>
      <c r="R14" s="22" t="n">
        <f aca="false">SUM(R8:R13)</f>
        <v>37658.0154288698</v>
      </c>
      <c r="S14" s="22" t="n">
        <f aca="false">SUM(S8:S13)</f>
        <v>39191.2505144234</v>
      </c>
      <c r="T14" s="22" t="n">
        <f aca="false">SUM(T8:T13)</f>
        <v>40787.6772942574</v>
      </c>
      <c r="U14" s="22" t="n">
        <f aca="false">SUM(U8:U13)</f>
        <v>42449.9300291238</v>
      </c>
      <c r="V14" s="22" t="n">
        <f aca="false">SUM(V8:V13)</f>
        <v>44180.7539445352</v>
      </c>
      <c r="W14" s="22" t="n">
        <f aca="false">SUM(W8:W13)</f>
        <v>45983.0099490176</v>
      </c>
      <c r="X14" s="20" t="n">
        <f aca="false">IF(E14&gt;0,(R14/E14)^(1/5)-1,0)</f>
        <v>0.0560336759138083</v>
      </c>
      <c r="Y14" s="20" t="n">
        <f aca="false">IF(E14&gt;0,(W14/E14)^(1/10)-1,0)</f>
        <v>0.0483658860489196</v>
      </c>
    </row>
    <row r="15" customFormat="false" ht="18" hidden="false" customHeight="true" outlineLevel="0" collapsed="false">
      <c r="A15" s="3"/>
      <c r="B15" s="23"/>
      <c r="C15" s="23"/>
      <c r="D15" s="23"/>
      <c r="E15" s="23"/>
      <c r="F15" s="17"/>
      <c r="G15" s="17"/>
      <c r="H15" s="17"/>
      <c r="I15" s="17"/>
      <c r="J15" s="17"/>
      <c r="K15" s="18"/>
      <c r="L15" s="18"/>
      <c r="M15" s="18"/>
      <c r="N15" s="18"/>
      <c r="O15" s="18"/>
      <c r="P15" s="19"/>
      <c r="Q15" s="19"/>
      <c r="R15" s="19"/>
      <c r="S15" s="19"/>
      <c r="T15" s="19"/>
      <c r="U15" s="19"/>
      <c r="V15" s="19"/>
      <c r="W15" s="19"/>
      <c r="X15" s="20"/>
      <c r="Y15" s="20"/>
    </row>
    <row r="16" customFormat="false" ht="18" hidden="false" customHeight="true" outlineLevel="0" collapsed="false">
      <c r="A16" s="14" t="s">
        <v>47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5"/>
      <c r="Y16" s="25"/>
    </row>
    <row r="17" customFormat="false" ht="18" hidden="false" customHeight="true" outlineLevel="0" collapsed="false">
      <c r="A17" s="3" t="s">
        <v>48</v>
      </c>
      <c r="B17" s="15" t="n">
        <v>3900</v>
      </c>
      <c r="C17" s="15" t="n">
        <v>4300</v>
      </c>
      <c r="D17" s="15" t="n">
        <v>5000</v>
      </c>
      <c r="E17" s="15" t="n">
        <v>5200</v>
      </c>
      <c r="F17" s="16" t="n">
        <v>1500</v>
      </c>
      <c r="G17" s="17" t="n">
        <f aca="false">(J17-F17)*Assumptions_Sources!$C$45/SUM(Assumptions_Sources!$C$45:$E$45)</f>
        <v>1412.03562340967</v>
      </c>
      <c r="H17" s="17" t="n">
        <f aca="false">(J17-F17)*Assumptions_Sources!$D$45/SUM(Assumptions_Sources!$C$45:$E$45)</f>
        <v>1412.03562340967</v>
      </c>
      <c r="I17" s="17" t="n">
        <f aca="false">J17-F17-G17-H17</f>
        <v>1395.92875318066</v>
      </c>
      <c r="J17" s="17" t="n">
        <v>5720</v>
      </c>
      <c r="K17" s="18" t="n">
        <f aca="false">O17*Assumptions_Sources!$B$45</f>
        <v>1334.2472</v>
      </c>
      <c r="L17" s="18" t="n">
        <f aca="false">O17*Assumptions_Sources!$C$45</f>
        <v>1639.7524</v>
      </c>
      <c r="M17" s="18" t="n">
        <f aca="false">O17*Assumptions_Sources!$D$45</f>
        <v>1639.7524</v>
      </c>
      <c r="N17" s="18" t="n">
        <f aca="false">O17-K17-L17-M17</f>
        <v>1621.048</v>
      </c>
      <c r="O17" s="18" t="n">
        <v>6234.8</v>
      </c>
      <c r="P17" s="19" t="n">
        <f aca="false">O17*(1+Assumptions_Sources!$D$12)</f>
        <v>6733.584</v>
      </c>
      <c r="Q17" s="19" t="n">
        <f aca="false">P17*(1+Assumptions_Sources!$E$12)</f>
        <v>7204.93488</v>
      </c>
      <c r="R17" s="19" t="n">
        <f aca="false">Q17*(1+Assumptions_Sources!$E$12)</f>
        <v>7709.2803216</v>
      </c>
      <c r="S17" s="19" t="n">
        <f aca="false">R17*(1+Assumptions_Sources!$F$12)</f>
        <v>8133.290739288</v>
      </c>
      <c r="T17" s="19" t="n">
        <f aca="false">S17*(1+Assumptions_Sources!$F$12)</f>
        <v>8580.62172994884</v>
      </c>
      <c r="U17" s="19" t="n">
        <f aca="false">T17*(1+Assumptions_Sources!$F$12)</f>
        <v>9052.55592509603</v>
      </c>
      <c r="V17" s="19" t="n">
        <f aca="false">U17*(1+Assumptions_Sources!$F$12)</f>
        <v>9550.44650097631</v>
      </c>
      <c r="W17" s="19" t="n">
        <f aca="false">V17*(1+Assumptions_Sources!$F$12)</f>
        <v>10075.72105853</v>
      </c>
      <c r="X17" s="20" t="n">
        <f aca="false">IF(E17&gt;0,(R17/E17)^(1/5)-1,0)</f>
        <v>0.0819373133344383</v>
      </c>
      <c r="Y17" s="20" t="n">
        <f aca="false">IF(E17&gt;0,(W17/E17)^(1/10)-1,0)</f>
        <v>0.0683837632460689</v>
      </c>
    </row>
    <row r="18" customFormat="false" ht="18" hidden="false" customHeight="true" outlineLevel="0" collapsed="false">
      <c r="A18" s="3" t="s">
        <v>49</v>
      </c>
      <c r="B18" s="15" t="n">
        <v>700</v>
      </c>
      <c r="C18" s="15" t="n">
        <v>750</v>
      </c>
      <c r="D18" s="15" t="n">
        <v>800</v>
      </c>
      <c r="E18" s="15" t="n">
        <v>800</v>
      </c>
      <c r="F18" s="16" t="n">
        <v>300</v>
      </c>
      <c r="G18" s="17" t="n">
        <f aca="false">(J18-F18)*Assumptions_Sources!$C$45/SUM(Assumptions_Sources!$C$45:$E$45)</f>
        <v>188.717557251908</v>
      </c>
      <c r="H18" s="17" t="n">
        <f aca="false">(J18-F18)*Assumptions_Sources!$D$45/SUM(Assumptions_Sources!$C$45:$E$45)</f>
        <v>188.717557251908</v>
      </c>
      <c r="I18" s="17" t="n">
        <f aca="false">J18-F18-G18-H18</f>
        <v>186.564885496183</v>
      </c>
      <c r="J18" s="17" t="n">
        <v>864</v>
      </c>
      <c r="K18" s="18" t="n">
        <f aca="false">O18*Assumptions_Sources!$B$45</f>
        <v>199.68768</v>
      </c>
      <c r="L18" s="18" t="n">
        <f aca="false">O18*Assumptions_Sources!$C$45</f>
        <v>245.41056</v>
      </c>
      <c r="M18" s="18" t="n">
        <f aca="false">O18*Assumptions_Sources!$D$45</f>
        <v>245.41056</v>
      </c>
      <c r="N18" s="18" t="n">
        <f aca="false">O18-K18-L18-M18</f>
        <v>242.6112</v>
      </c>
      <c r="O18" s="18" t="n">
        <v>933.12</v>
      </c>
      <c r="P18" s="19" t="n">
        <f aca="false">O18*(1+Assumptions_Sources!$D$13)</f>
        <v>998.4384</v>
      </c>
      <c r="Q18" s="19" t="n">
        <f aca="false">P18*(1+Assumptions_Sources!$E$13)</f>
        <v>1058.344704</v>
      </c>
      <c r="R18" s="19" t="n">
        <f aca="false">Q18*(1+Assumptions_Sources!$E$13)</f>
        <v>1121.84538624</v>
      </c>
      <c r="S18" s="19" t="n">
        <f aca="false">R18*(1+Assumptions_Sources!$F$13)</f>
        <v>1177.937655552</v>
      </c>
      <c r="T18" s="19" t="n">
        <f aca="false">S18*(1+Assumptions_Sources!$F$13)</f>
        <v>1236.8345383296</v>
      </c>
      <c r="U18" s="19" t="n">
        <f aca="false">T18*(1+Assumptions_Sources!$F$13)</f>
        <v>1298.67626524608</v>
      </c>
      <c r="V18" s="19" t="n">
        <f aca="false">U18*(1+Assumptions_Sources!$F$13)</f>
        <v>1363.61007850838</v>
      </c>
      <c r="W18" s="19" t="n">
        <f aca="false">V18*(1+Assumptions_Sources!$F$13)</f>
        <v>1431.7905824338</v>
      </c>
      <c r="X18" s="20" t="n">
        <f aca="false">IF(E18&gt;0,(R18/E18)^(1/5)-1,0)</f>
        <v>0.0699626158428268</v>
      </c>
      <c r="Y18" s="20" t="n">
        <f aca="false">IF(E18&gt;0,(W18/E18)^(1/10)-1,0)</f>
        <v>0.0599343124151459</v>
      </c>
    </row>
    <row r="19" customFormat="false" ht="18" hidden="false" customHeight="true" outlineLevel="0" collapsed="false">
      <c r="A19" s="3" t="s">
        <v>50</v>
      </c>
      <c r="B19" s="15" t="n">
        <v>0</v>
      </c>
      <c r="C19" s="15" t="n">
        <v>450</v>
      </c>
      <c r="D19" s="15" t="n">
        <v>650</v>
      </c>
      <c r="E19" s="15" t="n">
        <v>1100</v>
      </c>
      <c r="F19" s="16" t="n">
        <v>280</v>
      </c>
      <c r="G19" s="17" t="n">
        <f aca="false">(J19-F19)*Assumptions_Sources!$C$45/SUM(Assumptions_Sources!$C$45:$E$45)</f>
        <v>440.006361323155</v>
      </c>
      <c r="H19" s="17" t="n">
        <f aca="false">(J19-F19)*Assumptions_Sources!$D$45/SUM(Assumptions_Sources!$C$45:$E$45)</f>
        <v>440.006361323155</v>
      </c>
      <c r="I19" s="17" t="n">
        <f aca="false">J19-F19-G19-H19</f>
        <v>434.98727735369</v>
      </c>
      <c r="J19" s="17" t="n">
        <v>1595</v>
      </c>
      <c r="K19" s="18" t="n">
        <f aca="false">O19*Assumptions_Sources!$B$45</f>
        <v>450.5556</v>
      </c>
      <c r="L19" s="18" t="n">
        <f aca="false">O19*Assumptions_Sources!$C$45</f>
        <v>553.7202</v>
      </c>
      <c r="M19" s="18" t="n">
        <f aca="false">O19*Assumptions_Sources!$D$45</f>
        <v>553.7202</v>
      </c>
      <c r="N19" s="18" t="n">
        <f aca="false">O19-K19-L19-M19</f>
        <v>547.404</v>
      </c>
      <c r="O19" s="18" t="n">
        <v>2105.4</v>
      </c>
      <c r="P19" s="19" t="n">
        <f aca="false">O19*(1+Assumptions_Sources!$D$14)</f>
        <v>2610.696</v>
      </c>
      <c r="Q19" s="19" t="n">
        <f aca="false">P19*(1+Assumptions_Sources!$E$14)</f>
        <v>3054.51432</v>
      </c>
      <c r="R19" s="19" t="n">
        <f aca="false">Q19*(1+Assumptions_Sources!$E$14)</f>
        <v>3573.7817544</v>
      </c>
      <c r="S19" s="19" t="n">
        <f aca="false">R19*(1+Assumptions_Sources!$F$14)</f>
        <v>3931.15992984</v>
      </c>
      <c r="T19" s="19" t="n">
        <f aca="false">S19*(1+Assumptions_Sources!$F$14)</f>
        <v>4324.275922824</v>
      </c>
      <c r="U19" s="19" t="n">
        <f aca="false">T19*(1+Assumptions_Sources!$F$14)</f>
        <v>4756.7035151064</v>
      </c>
      <c r="V19" s="19" t="n">
        <f aca="false">U19*(1+Assumptions_Sources!$F$14)</f>
        <v>5232.37386661704</v>
      </c>
      <c r="W19" s="19" t="n">
        <f aca="false">V19*(1+Assumptions_Sources!$F$14)</f>
        <v>5755.61125327875</v>
      </c>
      <c r="X19" s="20" t="n">
        <f aca="false">IF(E19&gt;0,(R19/E19)^(1/5)-1,0)</f>
        <v>0.265747471268855</v>
      </c>
      <c r="Y19" s="20" t="n">
        <f aca="false">IF(E19&gt;0,(W19/E19)^(1/10)-1,0)</f>
        <v>0.179967041232822</v>
      </c>
    </row>
    <row r="20" customFormat="false" ht="18" hidden="false" customHeight="true" outlineLevel="0" collapsed="false">
      <c r="A20" s="3" t="s">
        <v>51</v>
      </c>
      <c r="B20" s="15" t="n">
        <v>200</v>
      </c>
      <c r="C20" s="15" t="n">
        <v>200</v>
      </c>
      <c r="D20" s="15" t="n">
        <v>140</v>
      </c>
      <c r="E20" s="15" t="n">
        <v>215</v>
      </c>
      <c r="F20" s="16" t="n">
        <v>50</v>
      </c>
      <c r="G20" s="17" t="n">
        <f aca="false">(J20-F20)*Assumptions_Sources!$C$45/SUM(Assumptions_Sources!$C$45:$E$45)</f>
        <v>62.4039440203562</v>
      </c>
      <c r="H20" s="17" t="n">
        <f aca="false">(J20-F20)*Assumptions_Sources!$D$45/SUM(Assumptions_Sources!$C$45:$E$45)</f>
        <v>62.4039440203562</v>
      </c>
      <c r="I20" s="17" t="n">
        <f aca="false">J20-F20-G20-H20</f>
        <v>61.6921119592875</v>
      </c>
      <c r="J20" s="17" t="n">
        <v>236.5</v>
      </c>
      <c r="K20" s="18" t="n">
        <f aca="false">O20*Assumptions_Sources!$B$45</f>
        <v>55.6721</v>
      </c>
      <c r="L20" s="18" t="n">
        <f aca="false">O20*Assumptions_Sources!$C$45</f>
        <v>68.41945</v>
      </c>
      <c r="M20" s="18" t="n">
        <f aca="false">O20*Assumptions_Sources!$D$45</f>
        <v>68.41945</v>
      </c>
      <c r="N20" s="18" t="n">
        <f aca="false">O20-K20-L20-M20</f>
        <v>67.639</v>
      </c>
      <c r="O20" s="18" t="n">
        <v>260.15</v>
      </c>
      <c r="P20" s="19" t="n">
        <f aca="false">O20*(1+Assumptions_Sources!$D$15)</f>
        <v>280.962</v>
      </c>
      <c r="Q20" s="19" t="n">
        <f aca="false">P20*(1+Assumptions_Sources!$E$15)</f>
        <v>300.62934</v>
      </c>
      <c r="R20" s="19" t="n">
        <f aca="false">Q20*(1+Assumptions_Sources!$E$15)</f>
        <v>321.6733938</v>
      </c>
      <c r="S20" s="19" t="n">
        <f aca="false">R20*(1+Assumptions_Sources!$F$15)</f>
        <v>337.75706349</v>
      </c>
      <c r="T20" s="19" t="n">
        <f aca="false">S20*(1+Assumptions_Sources!$F$15)</f>
        <v>354.6449166645</v>
      </c>
      <c r="U20" s="19" t="n">
        <f aca="false">T20*(1+Assumptions_Sources!$F$15)</f>
        <v>372.377162497725</v>
      </c>
      <c r="V20" s="19" t="n">
        <f aca="false">U20*(1+Assumptions_Sources!$F$15)</f>
        <v>390.996020622611</v>
      </c>
      <c r="W20" s="19" t="n">
        <f aca="false">V20*(1+Assumptions_Sources!$F$15)</f>
        <v>410.545821653742</v>
      </c>
      <c r="X20" s="20" t="n">
        <f aca="false">IF(E20&gt;0,(R20/E20)^(1/5)-1,0)</f>
        <v>0.0839152741000722</v>
      </c>
      <c r="Y20" s="20" t="n">
        <f aca="false">IF(E20&gt;0,(W20/E20)^(1/10)-1,0)</f>
        <v>0.0668228708670788</v>
      </c>
    </row>
    <row r="21" customFormat="false" ht="18" hidden="false" customHeight="true" outlineLevel="0" collapsed="false">
      <c r="A21" s="3" t="s">
        <v>52</v>
      </c>
      <c r="B21" s="15" t="n">
        <v>0</v>
      </c>
      <c r="C21" s="15" t="n">
        <v>0</v>
      </c>
      <c r="D21" s="15" t="n">
        <v>0</v>
      </c>
      <c r="E21" s="15" t="n">
        <v>0</v>
      </c>
      <c r="F21" s="16" t="n">
        <v>0</v>
      </c>
      <c r="G21" s="17" t="n">
        <f aca="false">IF(Assumptions_Sources!$C$30=2027,J21*Assumptions_Sources!$H$30,(J21-F21)*Assumptions_Sources!$C$45/SUM(Assumptions_Sources!$C$45:$E$45))</f>
        <v>0</v>
      </c>
      <c r="H21" s="17" t="n">
        <f aca="false">IF(Assumptions_Sources!$C$30=2027,J21*Assumptions_Sources!$I$30,(J21-F21)*Assumptions_Sources!$D$45/SUM(Assumptions_Sources!$C$45:$E$45))</f>
        <v>83.3333333333332</v>
      </c>
      <c r="I21" s="17" t="n">
        <f aca="false">J21-F21-G21-H21</f>
        <v>125</v>
      </c>
      <c r="J21" s="17" t="n">
        <v>208.333333333333</v>
      </c>
      <c r="K21" s="18" t="n">
        <f aca="false">O21*Assumptions_Sources!$B$45</f>
        <v>133.75</v>
      </c>
      <c r="L21" s="18" t="n">
        <f aca="false">O21*Assumptions_Sources!$C$45</f>
        <v>164.375</v>
      </c>
      <c r="M21" s="18" t="n">
        <f aca="false">O21*Assumptions_Sources!$D$45</f>
        <v>164.375</v>
      </c>
      <c r="N21" s="18" t="n">
        <f aca="false">O21-K21-L21-M21</f>
        <v>162.5</v>
      </c>
      <c r="O21" s="18" t="n">
        <v>625</v>
      </c>
      <c r="P21" s="19" t="n">
        <f aca="false">IF(2029&lt;Assumptions_Sources!$C$30,0,IF(2029=Assumptions_Sources!$C$30,Assumptions_Sources!$D$30/Assumptions_Sources!$E$30*Assumptions_Sources!$G$30,IF(2029&lt;Assumptions_Sources!$C$30+Assumptions_Sources!$E$30,MIN(Assumptions_Sources!$D$30,Assumptions_Sources!$D$30/Assumptions_Sources!$E$30*(2029-Assumptions_Sources!$C$30+Assumptions_Sources!$G$30)),Assumptions_Sources!$D$30*(1+Assumptions_Sources!$F$30)^(2029-(Assumptions_Sources!$C$30+Assumptions_Sources!$E$30)))))</f>
        <v>1041.66666666667</v>
      </c>
      <c r="Q21" s="19" t="n">
        <f aca="false">IF(2030&lt;Assumptions_Sources!$C$30,0,IF(2030=Assumptions_Sources!$C$30,Assumptions_Sources!$D$30/Assumptions_Sources!$E$30*Assumptions_Sources!$G$30,IF(2030&lt;Assumptions_Sources!$C$30+Assumptions_Sources!$E$30,MIN(Assumptions_Sources!$D$30,Assumptions_Sources!$D$30/Assumptions_Sources!$E$30*(2030-Assumptions_Sources!$C$30+Assumptions_Sources!$G$30)),Assumptions_Sources!$D$30*(1+Assumptions_Sources!$F$30)^(2030-(Assumptions_Sources!$C$30+Assumptions_Sources!$E$30)))))</f>
        <v>1458.33333333333</v>
      </c>
      <c r="R21" s="19" t="n">
        <f aca="false">IF(2031&lt;Assumptions_Sources!$C$30,0,IF(2031=Assumptions_Sources!$C$30,Assumptions_Sources!$D$30/Assumptions_Sources!$E$30*Assumptions_Sources!$G$30,IF(2031&lt;Assumptions_Sources!$C$30+Assumptions_Sources!$E$30,MIN(Assumptions_Sources!$D$30,Assumptions_Sources!$D$30/Assumptions_Sources!$E$30*(2031-Assumptions_Sources!$C$30+Assumptions_Sources!$G$30)),Assumptions_Sources!$D$30*(1+Assumptions_Sources!$F$30)^(2031-(Assumptions_Sources!$C$30+Assumptions_Sources!$E$30)))))</f>
        <v>1875</v>
      </c>
      <c r="S21" s="19" t="n">
        <f aca="false">IF(2032&lt;Assumptions_Sources!$C$30,0,IF(2032=Assumptions_Sources!$C$30,Assumptions_Sources!$D$30/Assumptions_Sources!$E$30*Assumptions_Sources!$G$30,IF(2032&lt;Assumptions_Sources!$C$30+Assumptions_Sources!$E$30,MIN(Assumptions_Sources!$D$30,Assumptions_Sources!$D$30/Assumptions_Sources!$E$30*(2032-Assumptions_Sources!$C$30+Assumptions_Sources!$G$30)),Assumptions_Sources!$D$30*(1+Assumptions_Sources!$F$30)^(2032-(Assumptions_Sources!$C$30+Assumptions_Sources!$E$30)))))</f>
        <v>2291.66666666667</v>
      </c>
      <c r="T21" s="19" t="n">
        <f aca="false">IF(2033&lt;Assumptions_Sources!$C$30,0,IF(2033=Assumptions_Sources!$C$30,Assumptions_Sources!$D$30/Assumptions_Sources!$E$30*Assumptions_Sources!$G$30,IF(2033&lt;Assumptions_Sources!$C$30+Assumptions_Sources!$E$30,MIN(Assumptions_Sources!$D$30,Assumptions_Sources!$D$30/Assumptions_Sources!$E$30*(2033-Assumptions_Sources!$C$30+Assumptions_Sources!$G$30)),Assumptions_Sources!$D$30*(1+Assumptions_Sources!$F$30)^(2033-(Assumptions_Sources!$C$30+Assumptions_Sources!$E$30)))))</f>
        <v>2500</v>
      </c>
      <c r="U21" s="19" t="n">
        <f aca="false">IF(2034&lt;Assumptions_Sources!$C$30,0,IF(2034=Assumptions_Sources!$C$30,Assumptions_Sources!$D$30/Assumptions_Sources!$E$30*Assumptions_Sources!$G$30,IF(2034&lt;Assumptions_Sources!$C$30+Assumptions_Sources!$E$30,MIN(Assumptions_Sources!$D$30,Assumptions_Sources!$D$30/Assumptions_Sources!$E$30*(2034-Assumptions_Sources!$C$30+Assumptions_Sources!$G$30)),Assumptions_Sources!$D$30*(1+Assumptions_Sources!$F$30)^(2034-(Assumptions_Sources!$C$30+Assumptions_Sources!$E$30)))))</f>
        <v>2575</v>
      </c>
      <c r="V21" s="19" t="n">
        <f aca="false">IF(2035&lt;Assumptions_Sources!$C$30,0,IF(2035=Assumptions_Sources!$C$30,Assumptions_Sources!$D$30/Assumptions_Sources!$E$30*Assumptions_Sources!$G$30,IF(2035&lt;Assumptions_Sources!$C$30+Assumptions_Sources!$E$30,MIN(Assumptions_Sources!$D$30,Assumptions_Sources!$D$30/Assumptions_Sources!$E$30*(2035-Assumptions_Sources!$C$30+Assumptions_Sources!$G$30)),Assumptions_Sources!$D$30*(1+Assumptions_Sources!$F$30)^(2035-(Assumptions_Sources!$C$30+Assumptions_Sources!$E$30)))))</f>
        <v>2652.25</v>
      </c>
      <c r="W21" s="19" t="n">
        <f aca="false">IF(2036&lt;Assumptions_Sources!$C$30,0,IF(2036=Assumptions_Sources!$C$30,Assumptions_Sources!$D$30/Assumptions_Sources!$E$30*Assumptions_Sources!$G$30,IF(2036&lt;Assumptions_Sources!$C$30+Assumptions_Sources!$E$30,MIN(Assumptions_Sources!$D$30,Assumptions_Sources!$D$30/Assumptions_Sources!$E$30*(2036-Assumptions_Sources!$C$30+Assumptions_Sources!$G$30)),Assumptions_Sources!$D$30*(1+Assumptions_Sources!$F$30)^(2036-(Assumptions_Sources!$C$30+Assumptions_Sources!$E$30)))))</f>
        <v>2731.8175</v>
      </c>
      <c r="X21" s="20" t="n">
        <f aca="false">IF(E21&gt;0,(R21/E21)^(1/5)-1,0)</f>
        <v>0</v>
      </c>
      <c r="Y21" s="20" t="n">
        <f aca="false">IF(E21&gt;0,(W21/E21)^(1/10)-1,0)</f>
        <v>0</v>
      </c>
    </row>
    <row r="22" customFormat="false" ht="18" hidden="false" customHeight="true" outlineLevel="0" collapsed="false">
      <c r="A22" s="21" t="s">
        <v>53</v>
      </c>
      <c r="B22" s="22" t="n">
        <f aca="false">SUM(B17:B21)</f>
        <v>4800</v>
      </c>
      <c r="C22" s="22" t="n">
        <f aca="false">SUM(C17:C21)</f>
        <v>5700</v>
      </c>
      <c r="D22" s="22" t="n">
        <f aca="false">SUM(D17:D21)</f>
        <v>6590</v>
      </c>
      <c r="E22" s="22" t="n">
        <f aca="false">SUM(E17:E21)</f>
        <v>7315</v>
      </c>
      <c r="F22" s="22" t="n">
        <f aca="false">SUM(F17:F21)</f>
        <v>2130</v>
      </c>
      <c r="G22" s="22" t="n">
        <f aca="false">SUM(G17:G21)</f>
        <v>2103.16348600509</v>
      </c>
      <c r="H22" s="22" t="n">
        <f aca="false">SUM(H17:H21)</f>
        <v>2186.49681933842</v>
      </c>
      <c r="I22" s="22" t="n">
        <f aca="false">SUM(I17:I21)</f>
        <v>2204.17302798982</v>
      </c>
      <c r="J22" s="22" t="n">
        <v>8623.83333333334</v>
      </c>
      <c r="K22" s="22" t="n">
        <f aca="false">SUM(K17:K21)</f>
        <v>2173.91258</v>
      </c>
      <c r="L22" s="22" t="n">
        <f aca="false">SUM(L17:L21)</f>
        <v>2671.67761</v>
      </c>
      <c r="M22" s="22" t="n">
        <f aca="false">SUM(M17:M21)</f>
        <v>2671.67761</v>
      </c>
      <c r="N22" s="22" t="n">
        <f aca="false">SUM(N17:N21)</f>
        <v>2641.2022</v>
      </c>
      <c r="O22" s="22" t="n">
        <v>10158.47</v>
      </c>
      <c r="P22" s="22" t="n">
        <f aca="false">SUM(P17:P21)</f>
        <v>11665.3470666667</v>
      </c>
      <c r="Q22" s="22" t="n">
        <f aca="false">SUM(Q17:Q21)</f>
        <v>13076.7565773333</v>
      </c>
      <c r="R22" s="22" t="n">
        <f aca="false">SUM(R17:R21)</f>
        <v>14601.58085604</v>
      </c>
      <c r="S22" s="22" t="n">
        <f aca="false">SUM(S17:S21)</f>
        <v>15871.8120548367</v>
      </c>
      <c r="T22" s="22" t="n">
        <f aca="false">SUM(T17:T21)</f>
        <v>16996.3771077669</v>
      </c>
      <c r="U22" s="22" t="n">
        <f aca="false">SUM(U17:U21)</f>
        <v>18055.3128679462</v>
      </c>
      <c r="V22" s="22" t="n">
        <f aca="false">SUM(V17:V21)</f>
        <v>19189.6764667243</v>
      </c>
      <c r="W22" s="22" t="n">
        <f aca="false">SUM(W17:W21)</f>
        <v>20405.4862158963</v>
      </c>
      <c r="X22" s="20" t="n">
        <f aca="false">IF(E22&gt;0,(R22/E22)^(1/5)-1,0)</f>
        <v>0.148251732727256</v>
      </c>
      <c r="Y22" s="20" t="n">
        <f aca="false">IF(E22&gt;0,(W22/E22)^(1/10)-1,0)</f>
        <v>0.108034445942271</v>
      </c>
    </row>
    <row r="23" customFormat="false" ht="18" hidden="false" customHeight="true" outlineLevel="0" collapsed="false">
      <c r="A23" s="3"/>
      <c r="B23" s="23"/>
      <c r="C23" s="23"/>
      <c r="D23" s="23"/>
      <c r="E23" s="23"/>
      <c r="F23" s="17"/>
      <c r="G23" s="17"/>
      <c r="H23" s="17"/>
      <c r="I23" s="17"/>
      <c r="J23" s="17"/>
      <c r="K23" s="18"/>
      <c r="L23" s="18"/>
      <c r="M23" s="18"/>
      <c r="N23" s="18"/>
      <c r="O23" s="18"/>
      <c r="P23" s="19"/>
      <c r="Q23" s="19"/>
      <c r="R23" s="19"/>
      <c r="S23" s="19"/>
      <c r="T23" s="19"/>
      <c r="U23" s="19"/>
      <c r="V23" s="19"/>
      <c r="W23" s="19"/>
      <c r="X23" s="20"/>
      <c r="Y23" s="20"/>
    </row>
    <row r="24" customFormat="false" ht="18" hidden="false" customHeight="true" outlineLevel="0" collapsed="false">
      <c r="A24" s="14" t="s">
        <v>54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5"/>
      <c r="Y24" s="25"/>
    </row>
    <row r="25" customFormat="false" ht="18" hidden="false" customHeight="true" outlineLevel="0" collapsed="false">
      <c r="A25" s="3" t="s">
        <v>55</v>
      </c>
      <c r="B25" s="15" t="n">
        <v>250</v>
      </c>
      <c r="C25" s="15" t="n">
        <v>400</v>
      </c>
      <c r="D25" s="15" t="n">
        <v>560</v>
      </c>
      <c r="E25" s="15" t="n">
        <v>620</v>
      </c>
      <c r="F25" s="16" t="n">
        <v>75</v>
      </c>
      <c r="G25" s="17" t="n">
        <f aca="false">(J25-F25)*Assumptions_Sources!$C$45/SUM(Assumptions_Sources!$C$45:$E$45)</f>
        <v>219.70203562341</v>
      </c>
      <c r="H25" s="17" t="n">
        <f aca="false">(J25-F25)*Assumptions_Sources!$D$45/SUM(Assumptions_Sources!$C$45:$E$45)</f>
        <v>219.70203562341</v>
      </c>
      <c r="I25" s="17" t="n">
        <f aca="false">J25-F25-G25-H25</f>
        <v>217.195928753181</v>
      </c>
      <c r="J25" s="17" t="n">
        <f aca="false">E25*(1+Assumptions_Sources!$B$16)</f>
        <v>731.6</v>
      </c>
      <c r="K25" s="18" t="n">
        <f aca="false">O25*Assumptions_Sources!$B$45</f>
        <v>180.04676</v>
      </c>
      <c r="L25" s="18" t="n">
        <f aca="false">O25*Assumptions_Sources!$C$45</f>
        <v>221.27242</v>
      </c>
      <c r="M25" s="18" t="n">
        <f aca="false">O25*Assumptions_Sources!$D$45</f>
        <v>221.27242</v>
      </c>
      <c r="N25" s="18" t="n">
        <f aca="false">O25-K25-L25-M25</f>
        <v>218.7484</v>
      </c>
      <c r="O25" s="18" t="n">
        <f aca="false">J25*(1+Assumptions_Sources!$C$16)</f>
        <v>841.34</v>
      </c>
      <c r="P25" s="19" t="n">
        <f aca="false">O25*(1+Assumptions_Sources!$D$16)</f>
        <v>942.3008</v>
      </c>
      <c r="Q25" s="19" t="n">
        <f aca="false">P25*(1+Assumptions_Sources!$E$16)</f>
        <v>1036.53088</v>
      </c>
      <c r="R25" s="19" t="n">
        <f aca="false">Q25*(1+Assumptions_Sources!$E$16)</f>
        <v>1140.183968</v>
      </c>
      <c r="S25" s="19" t="n">
        <f aca="false">R25*(1+Assumptions_Sources!$F$16)</f>
        <v>1219.99684576</v>
      </c>
      <c r="T25" s="19" t="n">
        <f aca="false">S25*(1+Assumptions_Sources!$F$16)</f>
        <v>1305.3966249632</v>
      </c>
      <c r="U25" s="19" t="n">
        <f aca="false">T25*(1+Assumptions_Sources!$F$16)</f>
        <v>1396.77438871062</v>
      </c>
      <c r="V25" s="19" t="n">
        <f aca="false">U25*(1+Assumptions_Sources!$F$16)</f>
        <v>1494.54859592037</v>
      </c>
      <c r="W25" s="19" t="n">
        <f aca="false">V25*(1+Assumptions_Sources!$F$16)</f>
        <v>1599.16699763479</v>
      </c>
      <c r="X25" s="20" t="n">
        <f aca="false">IF(E25&gt;0,(R25/E25)^(1/5)-1,0)</f>
        <v>0.129579099652823</v>
      </c>
      <c r="Y25" s="20" t="n">
        <f aca="false">IF(E25&gt;0,(W25/E25)^(1/10)-1,0)</f>
        <v>0.0993860271208289</v>
      </c>
    </row>
    <row r="26" customFormat="false" ht="18" hidden="false" customHeight="true" outlineLevel="0" collapsed="false">
      <c r="A26" s="3" t="s">
        <v>56</v>
      </c>
      <c r="B26" s="15" t="n">
        <v>100</v>
      </c>
      <c r="C26" s="15" t="n">
        <v>150</v>
      </c>
      <c r="D26" s="15" t="n">
        <v>200</v>
      </c>
      <c r="E26" s="15" t="n">
        <v>250</v>
      </c>
      <c r="F26" s="16" t="n">
        <v>32</v>
      </c>
      <c r="G26" s="17" t="n">
        <f aca="false">(J26-F26)*Assumptions_Sources!$C$45/SUM(Assumptions_Sources!$C$45:$E$45)</f>
        <v>93.8568702290076</v>
      </c>
      <c r="H26" s="17" t="n">
        <f aca="false">(J26-F26)*Assumptions_Sources!$D$45/SUM(Assumptions_Sources!$C$45:$E$45)</f>
        <v>93.8568702290076</v>
      </c>
      <c r="I26" s="17" t="n">
        <f aca="false">J26-F26-G26-H26</f>
        <v>92.7862595419847</v>
      </c>
      <c r="J26" s="17" t="n">
        <f aca="false">E26*(1+Assumptions_Sources!$B$17)</f>
        <v>312.5</v>
      </c>
      <c r="K26" s="18" t="n">
        <f aca="false">O26*Assumptions_Sources!$B$45</f>
        <v>80.25</v>
      </c>
      <c r="L26" s="18" t="n">
        <f aca="false">O26*Assumptions_Sources!$C$45</f>
        <v>98.625</v>
      </c>
      <c r="M26" s="18" t="n">
        <f aca="false">O26*Assumptions_Sources!$D$45</f>
        <v>98.625</v>
      </c>
      <c r="N26" s="18" t="n">
        <f aca="false">O26-K26-L26-M26</f>
        <v>97.5</v>
      </c>
      <c r="O26" s="18" t="n">
        <f aca="false">J26*(1+Assumptions_Sources!$C$17)</f>
        <v>375</v>
      </c>
      <c r="P26" s="19" t="n">
        <f aca="false">O26*(1+Assumptions_Sources!$D$17)</f>
        <v>442.5</v>
      </c>
      <c r="Q26" s="19" t="n">
        <f aca="false">P26*(1+Assumptions_Sources!$E$17)</f>
        <v>504.45</v>
      </c>
      <c r="R26" s="19" t="n">
        <f aca="false">Q26*(1+Assumptions_Sources!$E$17)</f>
        <v>575.073</v>
      </c>
      <c r="S26" s="19" t="n">
        <f aca="false">R26*(1+Assumptions_Sources!$F$17)</f>
        <v>632.5803</v>
      </c>
      <c r="T26" s="19" t="n">
        <f aca="false">S26*(1+Assumptions_Sources!$F$17)</f>
        <v>695.83833</v>
      </c>
      <c r="U26" s="19" t="n">
        <f aca="false">T26*(1+Assumptions_Sources!$F$17)</f>
        <v>765.422163</v>
      </c>
      <c r="V26" s="19" t="n">
        <f aca="false">U26*(1+Assumptions_Sources!$F$17)</f>
        <v>841.964379300001</v>
      </c>
      <c r="W26" s="19" t="n">
        <f aca="false">V26*(1+Assumptions_Sources!$F$17)</f>
        <v>926.160817230001</v>
      </c>
      <c r="X26" s="20" t="n">
        <f aca="false">IF(E26&gt;0,(R26/E26)^(1/5)-1,0)</f>
        <v>0.181290180257013</v>
      </c>
      <c r="Y26" s="20" t="n">
        <f aca="false">IF(E26&gt;0,(W26/E26)^(1/10)-1,0)</f>
        <v>0.139920698242959</v>
      </c>
    </row>
    <row r="27" customFormat="false" ht="18" hidden="false" customHeight="true" outlineLevel="0" collapsed="false">
      <c r="A27" s="3" t="s">
        <v>57</v>
      </c>
      <c r="B27" s="15" t="n">
        <v>750</v>
      </c>
      <c r="C27" s="15" t="n">
        <v>800</v>
      </c>
      <c r="D27" s="15" t="n">
        <v>850</v>
      </c>
      <c r="E27" s="15" t="n">
        <v>930</v>
      </c>
      <c r="F27" s="16" t="n">
        <v>120</v>
      </c>
      <c r="G27" s="17" t="n">
        <f aca="false">(J27-F27)*Assumptions_Sources!$C$45/SUM(Assumptions_Sources!$C$45:$E$45)</f>
        <v>289.701526717557</v>
      </c>
      <c r="H27" s="17" t="n">
        <f aca="false">(J27-F27)*Assumptions_Sources!$D$45/SUM(Assumptions_Sources!$C$45:$E$45)</f>
        <v>289.701526717557</v>
      </c>
      <c r="I27" s="17" t="n">
        <f aca="false">J27-F27-G27-H27</f>
        <v>286.396946564886</v>
      </c>
      <c r="J27" s="17" t="n">
        <f aca="false">E27*(1+Assumptions_Sources!$B$18)</f>
        <v>985.8</v>
      </c>
      <c r="K27" s="18" t="n">
        <f aca="false">O27*Assumptions_Sources!$B$45</f>
        <v>223.618872</v>
      </c>
      <c r="L27" s="18" t="n">
        <f aca="false">O27*Assumptions_Sources!$C$45</f>
        <v>274.821324</v>
      </c>
      <c r="M27" s="18" t="n">
        <f aca="false">O27*Assumptions_Sources!$D$45</f>
        <v>274.821324</v>
      </c>
      <c r="N27" s="18" t="n">
        <f aca="false">O27-K27-L27-M27</f>
        <v>271.68648</v>
      </c>
      <c r="O27" s="18" t="n">
        <f aca="false">J27*(1+Assumptions_Sources!$C$18)</f>
        <v>1044.948</v>
      </c>
      <c r="P27" s="19" t="n">
        <f aca="false">O27*(1+Assumptions_Sources!$D$18)</f>
        <v>1097.1954</v>
      </c>
      <c r="Q27" s="19" t="n">
        <f aca="false">P27*(1+Assumptions_Sources!$E$18)</f>
        <v>1141.083216</v>
      </c>
      <c r="R27" s="19" t="n">
        <f aca="false">Q27*(1+Assumptions_Sources!$E$18)</f>
        <v>1186.72654464</v>
      </c>
      <c r="S27" s="19" t="n">
        <f aca="false">R27*(1+Assumptions_Sources!$F$18)</f>
        <v>1222.3283409792</v>
      </c>
      <c r="T27" s="19" t="n">
        <f aca="false">S27*(1+Assumptions_Sources!$F$18)</f>
        <v>1258.99819120858</v>
      </c>
      <c r="U27" s="19" t="n">
        <f aca="false">T27*(1+Assumptions_Sources!$F$18)</f>
        <v>1296.76813694483</v>
      </c>
      <c r="V27" s="19" t="n">
        <f aca="false">U27*(1+Assumptions_Sources!$F$18)</f>
        <v>1335.67118105318</v>
      </c>
      <c r="W27" s="19" t="n">
        <f aca="false">V27*(1+Assumptions_Sources!$F$18)</f>
        <v>1375.74131648477</v>
      </c>
      <c r="X27" s="20" t="n">
        <f aca="false">IF(E27&gt;0,(R27/E27)^(1/5)-1,0)</f>
        <v>0.0499619037252494</v>
      </c>
      <c r="Y27" s="20" t="n">
        <f aca="false">IF(E27&gt;0,(W27/E27)^(1/10)-1,0)</f>
        <v>0.0399330559401441</v>
      </c>
    </row>
    <row r="28" customFormat="false" ht="18" hidden="false" customHeight="true" outlineLevel="0" collapsed="false">
      <c r="A28" s="21" t="s">
        <v>58</v>
      </c>
      <c r="B28" s="22" t="n">
        <f aca="false">SUM(B25:B27)</f>
        <v>1100</v>
      </c>
      <c r="C28" s="22" t="n">
        <f aca="false">SUM(C25:C27)</f>
        <v>1350</v>
      </c>
      <c r="D28" s="22" t="n">
        <f aca="false">SUM(D25:D27)</f>
        <v>1610</v>
      </c>
      <c r="E28" s="22" t="n">
        <f aca="false">SUM(E25:E27)</f>
        <v>1800</v>
      </c>
      <c r="F28" s="22" t="n">
        <f aca="false">SUM(F25:F27)</f>
        <v>227</v>
      </c>
      <c r="G28" s="22" t="n">
        <f aca="false">SUM(G25:G27)</f>
        <v>603.260432569975</v>
      </c>
      <c r="H28" s="22" t="n">
        <f aca="false">SUM(H25:H27)</f>
        <v>603.260432569975</v>
      </c>
      <c r="I28" s="22" t="n">
        <f aca="false">SUM(I25:I27)</f>
        <v>596.379134860051</v>
      </c>
      <c r="J28" s="22" t="n">
        <f aca="false">SUM(J25:J27)</f>
        <v>2029.9</v>
      </c>
      <c r="K28" s="22" t="n">
        <f aca="false">SUM(K25:K27)</f>
        <v>483.915632</v>
      </c>
      <c r="L28" s="22" t="n">
        <f aca="false">SUM(L25:L27)</f>
        <v>594.718744</v>
      </c>
      <c r="M28" s="22" t="n">
        <f aca="false">SUM(M25:M27)</f>
        <v>594.718744</v>
      </c>
      <c r="N28" s="22" t="n">
        <f aca="false">SUM(N25:N27)</f>
        <v>587.93488</v>
      </c>
      <c r="O28" s="22" t="n">
        <f aca="false">SUM(O25:O27)</f>
        <v>2261.288</v>
      </c>
      <c r="P28" s="22" t="n">
        <f aca="false">SUM(P25:P27)</f>
        <v>2481.9962</v>
      </c>
      <c r="Q28" s="22" t="n">
        <f aca="false">SUM(Q25:Q27)</f>
        <v>2682.064096</v>
      </c>
      <c r="R28" s="22" t="n">
        <f aca="false">SUM(R25:R27)</f>
        <v>2901.98351264</v>
      </c>
      <c r="S28" s="22" t="n">
        <f aca="false">SUM(S25:S27)</f>
        <v>3074.9054867392</v>
      </c>
      <c r="T28" s="22" t="n">
        <f aca="false">SUM(T25:T27)</f>
        <v>3260.23314617178</v>
      </c>
      <c r="U28" s="22" t="n">
        <f aca="false">SUM(U25:U27)</f>
        <v>3458.96468865546</v>
      </c>
      <c r="V28" s="22" t="n">
        <f aca="false">SUM(V25:V27)</f>
        <v>3672.18415627355</v>
      </c>
      <c r="W28" s="22" t="n">
        <f aca="false">SUM(W25:W27)</f>
        <v>3901.06913134957</v>
      </c>
      <c r="X28" s="20"/>
      <c r="Y28" s="20"/>
    </row>
    <row r="29" customFormat="false" ht="18" hidden="false" customHeight="true" outlineLevel="0" collapsed="false">
      <c r="A29" s="3"/>
      <c r="B29" s="23"/>
      <c r="C29" s="23"/>
      <c r="D29" s="23"/>
      <c r="E29" s="23"/>
      <c r="F29" s="17"/>
      <c r="G29" s="17"/>
      <c r="H29" s="17"/>
      <c r="I29" s="17"/>
      <c r="J29" s="17"/>
      <c r="K29" s="18"/>
      <c r="L29" s="18"/>
      <c r="M29" s="18"/>
      <c r="N29" s="18"/>
      <c r="O29" s="18"/>
      <c r="P29" s="19"/>
      <c r="Q29" s="19"/>
      <c r="R29" s="19"/>
      <c r="S29" s="19"/>
      <c r="T29" s="19"/>
      <c r="U29" s="19"/>
      <c r="V29" s="19"/>
      <c r="W29" s="19"/>
      <c r="X29" s="20"/>
      <c r="Y29" s="20"/>
    </row>
    <row r="30" customFormat="false" ht="18" hidden="false" customHeight="true" outlineLevel="0" collapsed="false">
      <c r="A30" s="14" t="s">
        <v>59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5"/>
      <c r="Y30" s="25"/>
    </row>
    <row r="31" customFormat="false" ht="18" hidden="false" customHeight="true" outlineLevel="0" collapsed="false">
      <c r="A31" s="3" t="s">
        <v>60</v>
      </c>
      <c r="B31" s="15" t="n">
        <v>0</v>
      </c>
      <c r="C31" s="15" t="n">
        <v>0</v>
      </c>
      <c r="D31" s="15" t="n">
        <v>0</v>
      </c>
      <c r="E31" s="15" t="n">
        <v>70</v>
      </c>
      <c r="F31" s="16" t="n">
        <v>180</v>
      </c>
      <c r="G31" s="17" t="n">
        <f aca="false">(J31-F31)*Assumptions_Sources!$C$45/SUM(Assumptions_Sources!$C$45:$E$45)</f>
        <v>207.455470737914</v>
      </c>
      <c r="H31" s="17" t="n">
        <f aca="false">(J31-F31)*Assumptions_Sources!$D$45/SUM(Assumptions_Sources!$C$45:$E$45)</f>
        <v>207.455470737914</v>
      </c>
      <c r="I31" s="17" t="n">
        <f aca="false">J31-F31-G31-H31</f>
        <v>205.089058524173</v>
      </c>
      <c r="J31" s="17" t="n">
        <f aca="false">Assumptions_Sources!$B$22</f>
        <v>800</v>
      </c>
      <c r="K31" s="18" t="n">
        <f aca="false">O31*Assumptions_Sources!$B$45</f>
        <v>214</v>
      </c>
      <c r="L31" s="18" t="n">
        <f aca="false">O31*Assumptions_Sources!$C$45</f>
        <v>263</v>
      </c>
      <c r="M31" s="18" t="n">
        <f aca="false">O31*Assumptions_Sources!$D$45</f>
        <v>263</v>
      </c>
      <c r="N31" s="18" t="n">
        <f aca="false">O31-K31-L31-M31</f>
        <v>260</v>
      </c>
      <c r="O31" s="18" t="n">
        <f aca="false">J31*(1+Assumptions_Sources!$C$22)</f>
        <v>1000</v>
      </c>
      <c r="P31" s="19" t="n">
        <f aca="false">O31*(1+Assumptions_Sources!$D$22)</f>
        <v>1200</v>
      </c>
      <c r="Q31" s="19" t="n">
        <f aca="false">P31*(1+Assumptions_Sources!$E$22)</f>
        <v>1380</v>
      </c>
      <c r="R31" s="19" t="n">
        <f aca="false">Q31*(1+Assumptions_Sources!$E$22)</f>
        <v>1587</v>
      </c>
      <c r="S31" s="19" t="n">
        <f aca="false">R31*(1+Assumptions_Sources!$F$22)</f>
        <v>1713.96</v>
      </c>
      <c r="T31" s="19" t="n">
        <f aca="false">S31*(1+Assumptions_Sources!$F$22)</f>
        <v>1851.0768</v>
      </c>
      <c r="U31" s="19" t="n">
        <f aca="false">T31*(1+Assumptions_Sources!$F$22)</f>
        <v>1999.162944</v>
      </c>
      <c r="V31" s="19" t="n">
        <f aca="false">U31*(1+Assumptions_Sources!$F$22)</f>
        <v>2159.09597952</v>
      </c>
      <c r="W31" s="19" t="n">
        <f aca="false">V31*(1+Assumptions_Sources!$F$22)</f>
        <v>2331.8236578816</v>
      </c>
      <c r="X31" s="20" t="n">
        <f aca="false">IF(E31&gt;0,(R31/E31)^(1/5)-1,0)</f>
        <v>0.866791339191692</v>
      </c>
      <c r="Y31" s="20" t="n">
        <f aca="false">IF(E31&gt;0,(W31/E31)^(1/10)-1,0)</f>
        <v>0.419906562533968</v>
      </c>
    </row>
    <row r="32" customFormat="false" ht="18" hidden="false" customHeight="true" outlineLevel="0" collapsed="false">
      <c r="A32" s="3" t="s">
        <v>61</v>
      </c>
      <c r="B32" s="15" t="n">
        <v>0</v>
      </c>
      <c r="C32" s="15" t="n">
        <v>0</v>
      </c>
      <c r="D32" s="15" t="n">
        <v>0</v>
      </c>
      <c r="E32" s="15" t="n">
        <v>44</v>
      </c>
      <c r="F32" s="16" t="n">
        <v>70</v>
      </c>
      <c r="G32" s="17" t="n">
        <f aca="false">(J32-F32)*Assumptions_Sources!$C$45/SUM(Assumptions_Sources!$C$45:$E$45)</f>
        <v>110.419847328244</v>
      </c>
      <c r="H32" s="17" t="n">
        <f aca="false">(J32-F32)*Assumptions_Sources!$D$45/SUM(Assumptions_Sources!$C$45:$E$45)</f>
        <v>110.419847328244</v>
      </c>
      <c r="I32" s="17" t="n">
        <f aca="false">J32-F32-G32-H32</f>
        <v>109.160305343511</v>
      </c>
      <c r="J32" s="17" t="n">
        <f aca="false">Assumptions_Sources!$B$23</f>
        <v>400</v>
      </c>
      <c r="K32" s="18" t="n">
        <f aca="false">O32*Assumptions_Sources!$B$45</f>
        <v>98.44</v>
      </c>
      <c r="L32" s="18" t="n">
        <f aca="false">O32*Assumptions_Sources!$C$45</f>
        <v>120.98</v>
      </c>
      <c r="M32" s="18" t="n">
        <f aca="false">O32*Assumptions_Sources!$D$45</f>
        <v>120.98</v>
      </c>
      <c r="N32" s="18" t="n">
        <f aca="false">O32-K32-L32-M32</f>
        <v>119.6</v>
      </c>
      <c r="O32" s="18" t="n">
        <f aca="false">J32*(1+Assumptions_Sources!$C$23)</f>
        <v>460</v>
      </c>
      <c r="P32" s="19" t="n">
        <f aca="false">O32*(1+Assumptions_Sources!$D$23)</f>
        <v>506</v>
      </c>
      <c r="Q32" s="19" t="n">
        <f aca="false">P32*(1+Assumptions_Sources!$E$23)</f>
        <v>531.3</v>
      </c>
      <c r="R32" s="19" t="n">
        <f aca="false">Q32*(1+Assumptions_Sources!$E$23)</f>
        <v>557.865</v>
      </c>
      <c r="S32" s="19" t="n">
        <f aca="false">R32*(1+Assumptions_Sources!$F$23)</f>
        <v>569.0223</v>
      </c>
      <c r="T32" s="19" t="n">
        <f aca="false">S32*(1+Assumptions_Sources!$F$23)</f>
        <v>580.402746</v>
      </c>
      <c r="U32" s="19" t="n">
        <f aca="false">T32*(1+Assumptions_Sources!$F$23)</f>
        <v>592.01080092</v>
      </c>
      <c r="V32" s="19" t="n">
        <f aca="false">U32*(1+Assumptions_Sources!$F$23)</f>
        <v>603.8510169384</v>
      </c>
      <c r="W32" s="19" t="n">
        <f aca="false">V32*(1+Assumptions_Sources!$F$23)</f>
        <v>615.928037277168</v>
      </c>
      <c r="X32" s="20" t="n">
        <f aca="false">IF(E32&gt;0,(R32/E32)^(1/5)-1,0)</f>
        <v>0.661939797314878</v>
      </c>
      <c r="Y32" s="20" t="n">
        <f aca="false">IF(E32&gt;0,(W32/E32)^(1/10)-1,0)</f>
        <v>0.301990243151298</v>
      </c>
    </row>
    <row r="33" customFormat="false" ht="18" hidden="false" customHeight="true" outlineLevel="0" collapsed="false">
      <c r="A33" s="3" t="s">
        <v>62</v>
      </c>
      <c r="B33" s="15" t="n">
        <v>0</v>
      </c>
      <c r="C33" s="15" t="n">
        <v>0</v>
      </c>
      <c r="D33" s="15" t="n">
        <v>0</v>
      </c>
      <c r="E33" s="15" t="n">
        <v>0</v>
      </c>
      <c r="F33" s="16" t="n">
        <v>0</v>
      </c>
      <c r="G33" s="17" t="n">
        <f aca="false">IF(Assumptions_Sources!$C$31=2027,J33*Assumptions_Sources!$H$31,(J33-F33)*Assumptions_Sources!$C$45/SUM(Assumptions_Sources!$C$45:$E$45))</f>
        <v>0</v>
      </c>
      <c r="H33" s="17" t="n">
        <f aca="false">IF(Assumptions_Sources!$C$31=2027,J33*Assumptions_Sources!$I$31,(J33-F33)*Assumptions_Sources!$D$45/SUM(Assumptions_Sources!$C$45:$E$45))</f>
        <v>66.6666666666667</v>
      </c>
      <c r="I33" s="17" t="n">
        <f aca="false">J33-F33-G33-H33</f>
        <v>100</v>
      </c>
      <c r="J33" s="17" t="n">
        <f aca="false">IF(2027&lt;Assumptions_Sources!$C$31,0,IF(2027=Assumptions_Sources!$C$31,Assumptions_Sources!$D$31/Assumptions_Sources!$E$31*Assumptions_Sources!$G$31,IF(2027&lt;Assumptions_Sources!$C$31+Assumptions_Sources!$E$31,MIN(Assumptions_Sources!$D$31,Assumptions_Sources!$D$31/Assumptions_Sources!$E$31*(2027-Assumptions_Sources!$C$31+Assumptions_Sources!$G$31)),Assumptions_Sources!$D$31*(1+Assumptions_Sources!$F$31)^(2027-(Assumptions_Sources!$C$31+Assumptions_Sources!$E$31)))))</f>
        <v>166.666666666667</v>
      </c>
      <c r="K33" s="18" t="n">
        <f aca="false">O33*Assumptions_Sources!$B$45</f>
        <v>107</v>
      </c>
      <c r="L33" s="18" t="n">
        <f aca="false">O33*Assumptions_Sources!$C$45</f>
        <v>131.5</v>
      </c>
      <c r="M33" s="18" t="n">
        <f aca="false">O33*Assumptions_Sources!$D$45</f>
        <v>131.5</v>
      </c>
      <c r="N33" s="18" t="n">
        <f aca="false">O33-K33-L33-M33</f>
        <v>130</v>
      </c>
      <c r="O33" s="18" t="n">
        <f aca="false">IF(2028&lt;Assumptions_Sources!$C$31,0,IF(2028=Assumptions_Sources!$C$31,Assumptions_Sources!$D$31/Assumptions_Sources!$E$31*Assumptions_Sources!$G$31,IF(2028&lt;Assumptions_Sources!$C$31+Assumptions_Sources!$E$31,MIN(Assumptions_Sources!$D$31,Assumptions_Sources!$D$31/Assumptions_Sources!$E$31*(2028-Assumptions_Sources!$C$31+Assumptions_Sources!$G$31)),Assumptions_Sources!$D$31*(1+Assumptions_Sources!$F$31)^(2028-(Assumptions_Sources!$C$31+Assumptions_Sources!$E$31)))))</f>
        <v>500</v>
      </c>
      <c r="P33" s="19" t="n">
        <f aca="false">IF(2029&lt;Assumptions_Sources!$C$31,0,IF(2029=Assumptions_Sources!$C$31,Assumptions_Sources!$D$31/Assumptions_Sources!$E$31*Assumptions_Sources!$G$31,IF(2029&lt;Assumptions_Sources!$C$31+Assumptions_Sources!$E$31,MIN(Assumptions_Sources!$D$31,Assumptions_Sources!$D$31/Assumptions_Sources!$E$31*(2029-Assumptions_Sources!$C$31+Assumptions_Sources!$G$31)),Assumptions_Sources!$D$31*(1+Assumptions_Sources!$F$31)^(2029-(Assumptions_Sources!$C$31+Assumptions_Sources!$E$31)))))</f>
        <v>833.333333333333</v>
      </c>
      <c r="Q33" s="19" t="n">
        <f aca="false">IF(2030&lt;Assumptions_Sources!$C$31,0,IF(2030=Assumptions_Sources!$C$31,Assumptions_Sources!$D$31/Assumptions_Sources!$E$31*Assumptions_Sources!$G$31,IF(2030&lt;Assumptions_Sources!$C$31+Assumptions_Sources!$E$31,MIN(Assumptions_Sources!$D$31,Assumptions_Sources!$D$31/Assumptions_Sources!$E$31*(2030-Assumptions_Sources!$C$31+Assumptions_Sources!$G$31)),Assumptions_Sources!$D$31*(1+Assumptions_Sources!$F$31)^(2030-(Assumptions_Sources!$C$31+Assumptions_Sources!$E$31)))))</f>
        <v>1166.66666666667</v>
      </c>
      <c r="R33" s="19" t="n">
        <f aca="false">IF(2031&lt;Assumptions_Sources!$C$31,0,IF(2031=Assumptions_Sources!$C$31,Assumptions_Sources!$D$31/Assumptions_Sources!$E$31*Assumptions_Sources!$G$31,IF(2031&lt;Assumptions_Sources!$C$31+Assumptions_Sources!$E$31,MIN(Assumptions_Sources!$D$31,Assumptions_Sources!$D$31/Assumptions_Sources!$E$31*(2031-Assumptions_Sources!$C$31+Assumptions_Sources!$G$31)),Assumptions_Sources!$D$31*(1+Assumptions_Sources!$F$31)^(2031-(Assumptions_Sources!$C$31+Assumptions_Sources!$E$31)))))</f>
        <v>1500</v>
      </c>
      <c r="S33" s="19" t="n">
        <f aca="false">IF(2032&lt;Assumptions_Sources!$C$31,0,IF(2032=Assumptions_Sources!$C$31,Assumptions_Sources!$D$31/Assumptions_Sources!$E$31*Assumptions_Sources!$G$31,IF(2032&lt;Assumptions_Sources!$C$31+Assumptions_Sources!$E$31,MIN(Assumptions_Sources!$D$31,Assumptions_Sources!$D$31/Assumptions_Sources!$E$31*(2032-Assumptions_Sources!$C$31+Assumptions_Sources!$G$31)),Assumptions_Sources!$D$31*(1+Assumptions_Sources!$F$31)^(2032-(Assumptions_Sources!$C$31+Assumptions_Sources!$E$31)))))</f>
        <v>1833.33333333333</v>
      </c>
      <c r="T33" s="19" t="n">
        <f aca="false">IF(2033&lt;Assumptions_Sources!$C$31,0,IF(2033=Assumptions_Sources!$C$31,Assumptions_Sources!$D$31/Assumptions_Sources!$E$31*Assumptions_Sources!$G$31,IF(2033&lt;Assumptions_Sources!$C$31+Assumptions_Sources!$E$31,MIN(Assumptions_Sources!$D$31,Assumptions_Sources!$D$31/Assumptions_Sources!$E$31*(2033-Assumptions_Sources!$C$31+Assumptions_Sources!$G$31)),Assumptions_Sources!$D$31*(1+Assumptions_Sources!$F$31)^(2033-(Assumptions_Sources!$C$31+Assumptions_Sources!$E$31)))))</f>
        <v>2000</v>
      </c>
      <c r="U33" s="19" t="n">
        <f aca="false">IF(2034&lt;Assumptions_Sources!$C$31,0,IF(2034=Assumptions_Sources!$C$31,Assumptions_Sources!$D$31/Assumptions_Sources!$E$31*Assumptions_Sources!$G$31,IF(2034&lt;Assumptions_Sources!$C$31+Assumptions_Sources!$E$31,MIN(Assumptions_Sources!$D$31,Assumptions_Sources!$D$31/Assumptions_Sources!$E$31*(2034-Assumptions_Sources!$C$31+Assumptions_Sources!$G$31)),Assumptions_Sources!$D$31*(1+Assumptions_Sources!$F$31)^(2034-(Assumptions_Sources!$C$31+Assumptions_Sources!$E$31)))))</f>
        <v>2040</v>
      </c>
      <c r="V33" s="19" t="n">
        <f aca="false">IF(2035&lt;Assumptions_Sources!$C$31,0,IF(2035=Assumptions_Sources!$C$31,Assumptions_Sources!$D$31/Assumptions_Sources!$E$31*Assumptions_Sources!$G$31,IF(2035&lt;Assumptions_Sources!$C$31+Assumptions_Sources!$E$31,MIN(Assumptions_Sources!$D$31,Assumptions_Sources!$D$31/Assumptions_Sources!$E$31*(2035-Assumptions_Sources!$C$31+Assumptions_Sources!$G$31)),Assumptions_Sources!$D$31*(1+Assumptions_Sources!$F$31)^(2035-(Assumptions_Sources!$C$31+Assumptions_Sources!$E$31)))))</f>
        <v>2080.8</v>
      </c>
      <c r="W33" s="19" t="n">
        <f aca="false">IF(2036&lt;Assumptions_Sources!$C$31,0,IF(2036=Assumptions_Sources!$C$31,Assumptions_Sources!$D$31/Assumptions_Sources!$E$31*Assumptions_Sources!$G$31,IF(2036&lt;Assumptions_Sources!$C$31+Assumptions_Sources!$E$31,MIN(Assumptions_Sources!$D$31,Assumptions_Sources!$D$31/Assumptions_Sources!$E$31*(2036-Assumptions_Sources!$C$31+Assumptions_Sources!$G$31)),Assumptions_Sources!$D$31*(1+Assumptions_Sources!$F$31)^(2036-(Assumptions_Sources!$C$31+Assumptions_Sources!$E$31)))))</f>
        <v>2122.416</v>
      </c>
      <c r="X33" s="20" t="n">
        <f aca="false">IF(E33&gt;0,(R33/E33)^(1/5)-1,0)</f>
        <v>0</v>
      </c>
      <c r="Y33" s="20" t="n">
        <f aca="false">IF(E33&gt;0,(W33/E33)^(1/10)-1,0)</f>
        <v>0</v>
      </c>
    </row>
    <row r="34" customFormat="false" ht="18" hidden="false" customHeight="true" outlineLevel="0" collapsed="false">
      <c r="A34" s="3" t="s">
        <v>63</v>
      </c>
      <c r="B34" s="15" t="n">
        <f aca="false">SUM(B31:B33)</f>
        <v>0</v>
      </c>
      <c r="C34" s="15" t="n">
        <f aca="false">SUM(C31:C33)</f>
        <v>0</v>
      </c>
      <c r="D34" s="15" t="n">
        <f aca="false">SUM(D31:D33)</f>
        <v>0</v>
      </c>
      <c r="E34" s="15" t="n">
        <f aca="false">SUM(E31:E33)</f>
        <v>114</v>
      </c>
      <c r="F34" s="16" t="n">
        <f aca="false">0</f>
        <v>0</v>
      </c>
      <c r="G34" s="17" t="n">
        <f aca="false">IF(Assumptions_Sources!$C$33=2027,J34*Assumptions_Sources!$H$33,(J34-F34)*Assumptions_Sources!$C$45/SUM(Assumptions_Sources!$C$45:$E$45))</f>
        <v>0</v>
      </c>
      <c r="H34" s="17" t="n">
        <f aca="false">IF(Assumptions_Sources!$C$33=2027,J34*Assumptions_Sources!$I$33,(J34-F34)*Assumptions_Sources!$D$45/SUM(Assumptions_Sources!$C$45:$E$45))</f>
        <v>0</v>
      </c>
      <c r="I34" s="17" t="n">
        <f aca="false">J34-F34-G34-H34</f>
        <v>0</v>
      </c>
      <c r="J34" s="17" t="n">
        <f aca="false">IF(2027&lt;Assumptions_Sources!$C$33,0,IF(2027=Assumptions_Sources!$C$33,Assumptions_Sources!$D$33/Assumptions_Sources!$E$33*Assumptions_Sources!$G$33,IF(2027&lt;Assumptions_Sources!$C$33+Assumptions_Sources!$E$33,MIN(Assumptions_Sources!$D$33,Assumptions_Sources!$D$33/Assumptions_Sources!$E$33*(2027-Assumptions_Sources!$C$33+Assumptions_Sources!$G$33)),Assumptions_Sources!$D$33*(1+Assumptions_Sources!$F$33)^(2027-(Assumptions_Sources!$C$33+Assumptions_Sources!$E$33)))))</f>
        <v>0</v>
      </c>
      <c r="K34" s="18" t="n">
        <f aca="false">O34*Assumptions_Sources!$B$45</f>
        <v>0</v>
      </c>
      <c r="L34" s="18" t="n">
        <f aca="false">O34*Assumptions_Sources!$C$45</f>
        <v>0</v>
      </c>
      <c r="M34" s="18" t="n">
        <f aca="false">O34*Assumptions_Sources!$D$45</f>
        <v>0</v>
      </c>
      <c r="N34" s="18" t="n">
        <f aca="false">O34-K34-L34-M34</f>
        <v>0</v>
      </c>
      <c r="O34" s="18" t="n">
        <f aca="false">IF(2028&lt;Assumptions_Sources!$C$33,0,IF(2028=Assumptions_Sources!$C$33,Assumptions_Sources!$D$33/Assumptions_Sources!$E$33*Assumptions_Sources!$G$33,IF(2028&lt;Assumptions_Sources!$C$33+Assumptions_Sources!$E$33,MIN(Assumptions_Sources!$D$33,Assumptions_Sources!$D$33/Assumptions_Sources!$E$33*(2028-Assumptions_Sources!$C$33+Assumptions_Sources!$G$33)),Assumptions_Sources!$D$33*(1+Assumptions_Sources!$F$33)^(2028-(Assumptions_Sources!$C$33+Assumptions_Sources!$E$33)))))</f>
        <v>0</v>
      </c>
      <c r="P34" s="19" t="n">
        <v>125</v>
      </c>
      <c r="Q34" s="19" t="n">
        <v>375</v>
      </c>
      <c r="R34" s="19" t="n">
        <v>625</v>
      </c>
      <c r="S34" s="19" t="n">
        <v>875</v>
      </c>
      <c r="T34" s="19" t="n">
        <v>1125</v>
      </c>
      <c r="U34" s="19" t="n">
        <v>1375</v>
      </c>
      <c r="V34" s="19" t="n">
        <v>1500</v>
      </c>
      <c r="W34" s="19" t="n">
        <v>1530</v>
      </c>
      <c r="X34" s="20" t="n">
        <f aca="false">IF(E34&gt;0,(R34/E34)^(1/5)-1,0)</f>
        <v>0.405384091654086</v>
      </c>
      <c r="Y34" s="20" t="n">
        <f aca="false">IF(E34&gt;0,(W34/E34)^(1/10)-1,0)</f>
        <v>0.296518320455732</v>
      </c>
    </row>
    <row r="35" customFormat="false" ht="18" hidden="false" customHeight="true" outlineLevel="0" collapsed="false">
      <c r="A35" s="21" t="s">
        <v>64</v>
      </c>
      <c r="B35" s="22" t="n">
        <f aca="false">SUM(B31:B34)</f>
        <v>0</v>
      </c>
      <c r="C35" s="22" t="n">
        <f aca="false">SUM(C31:C34)</f>
        <v>0</v>
      </c>
      <c r="D35" s="22" t="n">
        <f aca="false">SUM(D31:D34)</f>
        <v>0</v>
      </c>
      <c r="E35" s="22" t="n">
        <f aca="false">SUM(E31:E34)</f>
        <v>228</v>
      </c>
      <c r="F35" s="22" t="n">
        <f aca="false">SUM(F31:F34)</f>
        <v>250</v>
      </c>
      <c r="G35" s="22" t="n">
        <f aca="false">SUM(G31:G34)</f>
        <v>317.875318066158</v>
      </c>
      <c r="H35" s="22" t="n">
        <f aca="false">SUM(H31:H34)</f>
        <v>384.541984732824</v>
      </c>
      <c r="I35" s="22" t="n">
        <f aca="false">SUM(I31:I34)</f>
        <v>414.249363867684</v>
      </c>
      <c r="J35" s="22" t="n">
        <f aca="false">SUM(J31:J34)</f>
        <v>1366.66666666667</v>
      </c>
      <c r="K35" s="22" t="n">
        <f aca="false">SUM(K31:K34)</f>
        <v>419.44</v>
      </c>
      <c r="L35" s="22" t="n">
        <f aca="false">SUM(L31:L34)</f>
        <v>515.48</v>
      </c>
      <c r="M35" s="22" t="n">
        <f aca="false">SUM(M31:M34)</f>
        <v>515.48</v>
      </c>
      <c r="N35" s="22" t="n">
        <f aca="false">SUM(N31:N34)</f>
        <v>509.6</v>
      </c>
      <c r="O35" s="22" t="n">
        <f aca="false">SUM(O31:O34)</f>
        <v>1960</v>
      </c>
      <c r="P35" s="22" t="n">
        <f aca="false">SUM(P31:P34)</f>
        <v>2664.33333333333</v>
      </c>
      <c r="Q35" s="22" t="n">
        <f aca="false">SUM(Q31:Q34)</f>
        <v>3452.96666666667</v>
      </c>
      <c r="R35" s="22" t="n">
        <f aca="false">SUM(R31:R34)</f>
        <v>4269.865</v>
      </c>
      <c r="S35" s="22" t="n">
        <f aca="false">SUM(S31:S34)</f>
        <v>4991.31563333333</v>
      </c>
      <c r="T35" s="22" t="n">
        <f aca="false">SUM(T31:T34)</f>
        <v>5556.479546</v>
      </c>
      <c r="U35" s="22" t="n">
        <f aca="false">SUM(U31:U34)</f>
        <v>6006.17374492</v>
      </c>
      <c r="V35" s="22" t="n">
        <f aca="false">SUM(V31:V34)</f>
        <v>6343.7469964584</v>
      </c>
      <c r="W35" s="22" t="n">
        <f aca="false">SUM(W31:W34)</f>
        <v>6600.16769515877</v>
      </c>
      <c r="X35" s="20"/>
      <c r="Y35" s="20"/>
    </row>
    <row r="36" customFormat="false" ht="18" hidden="false" customHeight="true" outlineLevel="0" collapsed="false">
      <c r="A36" s="3"/>
      <c r="B36" s="23"/>
      <c r="C36" s="23"/>
      <c r="D36" s="23"/>
      <c r="E36" s="23"/>
      <c r="F36" s="17"/>
      <c r="G36" s="17"/>
      <c r="H36" s="17"/>
      <c r="I36" s="17"/>
      <c r="J36" s="17"/>
      <c r="K36" s="18"/>
      <c r="L36" s="18"/>
      <c r="M36" s="18"/>
      <c r="N36" s="18"/>
      <c r="O36" s="18"/>
      <c r="P36" s="19"/>
      <c r="Q36" s="19"/>
      <c r="R36" s="19"/>
      <c r="S36" s="19"/>
      <c r="T36" s="19"/>
      <c r="U36" s="19"/>
      <c r="V36" s="19"/>
      <c r="W36" s="19"/>
      <c r="X36" s="20"/>
      <c r="Y36" s="20"/>
    </row>
    <row r="37" customFormat="false" ht="18" hidden="false" customHeight="true" outlineLevel="0" collapsed="false">
      <c r="A37" s="14" t="s">
        <v>65</v>
      </c>
      <c r="B37" s="24"/>
      <c r="C37" s="24"/>
      <c r="D37" s="24"/>
      <c r="E37" s="24"/>
      <c r="F37" s="24"/>
      <c r="G37" s="24"/>
      <c r="H37" s="24"/>
      <c r="I37" s="24"/>
      <c r="J37" s="24" t="n">
        <f aca="false">SUM(F37:I37)</f>
        <v>0</v>
      </c>
      <c r="K37" s="24"/>
      <c r="L37" s="24"/>
      <c r="M37" s="24"/>
      <c r="N37" s="24"/>
      <c r="O37" s="24" t="n">
        <f aca="false">SUM(K37:N37)</f>
        <v>0</v>
      </c>
      <c r="P37" s="24"/>
      <c r="Q37" s="24"/>
      <c r="R37" s="24"/>
      <c r="S37" s="24"/>
      <c r="T37" s="24"/>
      <c r="U37" s="24"/>
      <c r="V37" s="24"/>
      <c r="W37" s="24"/>
      <c r="X37" s="25" t="n">
        <f aca="false">IF(E37&gt;0,(R37/E37)^(1/5)-1,0)</f>
        <v>0</v>
      </c>
      <c r="Y37" s="25" t="n">
        <f aca="false">IF(E37&gt;0,(W37/E37)^(1/10)-1,0)</f>
        <v>0</v>
      </c>
    </row>
    <row r="38" customFormat="false" ht="18" hidden="false" customHeight="true" outlineLevel="0" collapsed="false">
      <c r="A38" s="3" t="s">
        <v>66</v>
      </c>
      <c r="B38" s="15" t="n">
        <v>0</v>
      </c>
      <c r="C38" s="15" t="n">
        <v>0</v>
      </c>
      <c r="D38" s="15" t="n">
        <v>0</v>
      </c>
      <c r="E38" s="15" t="n">
        <v>0</v>
      </c>
      <c r="F38" s="16" t="n">
        <v>0</v>
      </c>
      <c r="G38" s="17" t="n">
        <f aca="false">IF(Assumptions_Sources!$C$32=2027,J38*Assumptions_Sources!$H$32,(J38-F38)*Assumptions_Sources!$C$45/SUM(Assumptions_Sources!$C$45:$E$45))</f>
        <v>0</v>
      </c>
      <c r="H38" s="17" t="n">
        <f aca="false">IF(Assumptions_Sources!$C$32=2027,J38*Assumptions_Sources!$I$32,(J38-F38)*Assumptions_Sources!$D$45/SUM(Assumptions_Sources!$C$45:$E$45))</f>
        <v>0</v>
      </c>
      <c r="I38" s="17" t="n">
        <f aca="false">J38-F38-G38-H38</f>
        <v>250</v>
      </c>
      <c r="J38" s="17" t="n">
        <f aca="false">IF(2027&lt;Assumptions_Sources!$C$32,0,IF(2027=Assumptions_Sources!$C$32,Assumptions_Sources!$D$32/Assumptions_Sources!$E$32*Assumptions_Sources!$G$32,IF(2027&lt;Assumptions_Sources!$C$32+Assumptions_Sources!$E$32,MIN(Assumptions_Sources!$D$32,Assumptions_Sources!$D$32/Assumptions_Sources!$E$32*(2027-Assumptions_Sources!$C$32+Assumptions_Sources!$G$32)),Assumptions_Sources!$D$32*(1+Assumptions_Sources!$F$32)^(2027-(Assumptions_Sources!$C$32+Assumptions_Sources!$E$32)))))</f>
        <v>250</v>
      </c>
      <c r="K38" s="18" t="n">
        <f aca="false">O38*Assumptions_Sources!$B$45</f>
        <v>160.5</v>
      </c>
      <c r="L38" s="18" t="n">
        <f aca="false">O38*Assumptions_Sources!$C$45</f>
        <v>197.25</v>
      </c>
      <c r="M38" s="18" t="n">
        <f aca="false">O38*Assumptions_Sources!$D$45</f>
        <v>197.25</v>
      </c>
      <c r="N38" s="18" t="n">
        <f aca="false">O38-K38-L38-M38</f>
        <v>195</v>
      </c>
      <c r="O38" s="18" t="n">
        <f aca="false">IF(2028&lt;Assumptions_Sources!$C$32,0,IF(2028=Assumptions_Sources!$C$32,Assumptions_Sources!$D$32/Assumptions_Sources!$E$32*Assumptions_Sources!$G$32,IF(2028&lt;Assumptions_Sources!$C$32+Assumptions_Sources!$E$32,MIN(Assumptions_Sources!$D$32,Assumptions_Sources!$D$32/Assumptions_Sources!$E$32*(2028-Assumptions_Sources!$C$32+Assumptions_Sources!$G$32)),Assumptions_Sources!$D$32*(1+Assumptions_Sources!$F$32)^(2028-(Assumptions_Sources!$C$32+Assumptions_Sources!$E$32)))))</f>
        <v>750</v>
      </c>
      <c r="P38" s="19" t="n">
        <f aca="false">IF(2029&lt;Assumptions_Sources!$C$32,0,IF(2029=Assumptions_Sources!$C$32,Assumptions_Sources!$D$32/Assumptions_Sources!$E$32*Assumptions_Sources!$G$32,IF(2029&lt;Assumptions_Sources!$C$32+Assumptions_Sources!$E$32,MIN(Assumptions_Sources!$D$32,Assumptions_Sources!$D$32/Assumptions_Sources!$E$32*(2029-Assumptions_Sources!$C$32+Assumptions_Sources!$G$32)),Assumptions_Sources!$D$32*(1+Assumptions_Sources!$F$32)^(2029-(Assumptions_Sources!$C$32+Assumptions_Sources!$E$32)))))</f>
        <v>1250</v>
      </c>
      <c r="Q38" s="19" t="n">
        <f aca="false">IF(2030&lt;Assumptions_Sources!$C$32,0,IF(2030=Assumptions_Sources!$C$32,Assumptions_Sources!$D$32/Assumptions_Sources!$E$32*Assumptions_Sources!$G$32,IF(2030&lt;Assumptions_Sources!$C$32+Assumptions_Sources!$E$32,MIN(Assumptions_Sources!$D$32,Assumptions_Sources!$D$32/Assumptions_Sources!$E$32*(2030-Assumptions_Sources!$C$32+Assumptions_Sources!$G$32)),Assumptions_Sources!$D$32*(1+Assumptions_Sources!$F$32)^(2030-(Assumptions_Sources!$C$32+Assumptions_Sources!$E$32)))))</f>
        <v>1750</v>
      </c>
      <c r="R38" s="19" t="n">
        <f aca="false">IF(2031&lt;Assumptions_Sources!$C$32,0,IF(2031=Assumptions_Sources!$C$32,Assumptions_Sources!$D$32/Assumptions_Sources!$E$32*Assumptions_Sources!$G$32,IF(2031&lt;Assumptions_Sources!$C$32+Assumptions_Sources!$E$32,MIN(Assumptions_Sources!$D$32,Assumptions_Sources!$D$32/Assumptions_Sources!$E$32*(2031-Assumptions_Sources!$C$32+Assumptions_Sources!$G$32)),Assumptions_Sources!$D$32*(1+Assumptions_Sources!$F$32)^(2031-(Assumptions_Sources!$C$32+Assumptions_Sources!$E$32)))))</f>
        <v>2250</v>
      </c>
      <c r="S38" s="19" t="n">
        <f aca="false">IF(2032&lt;Assumptions_Sources!$C$32,0,IF(2032=Assumptions_Sources!$C$32,Assumptions_Sources!$D$32/Assumptions_Sources!$E$32*Assumptions_Sources!$G$32,IF(2032&lt;Assumptions_Sources!$C$32+Assumptions_Sources!$E$32,MIN(Assumptions_Sources!$D$32,Assumptions_Sources!$D$32/Assumptions_Sources!$E$32*(2032-Assumptions_Sources!$C$32+Assumptions_Sources!$G$32)),Assumptions_Sources!$D$32*(1+Assumptions_Sources!$F$32)^(2032-(Assumptions_Sources!$C$32+Assumptions_Sources!$E$32)))))</f>
        <v>2750</v>
      </c>
      <c r="T38" s="19" t="n">
        <f aca="false">IF(2033&lt;Assumptions_Sources!$C$32,0,IF(2033=Assumptions_Sources!$C$32,Assumptions_Sources!$D$32/Assumptions_Sources!$E$32*Assumptions_Sources!$G$32,IF(2033&lt;Assumptions_Sources!$C$32+Assumptions_Sources!$E$32,MIN(Assumptions_Sources!$D$32,Assumptions_Sources!$D$32/Assumptions_Sources!$E$32*(2033-Assumptions_Sources!$C$32+Assumptions_Sources!$G$32)),Assumptions_Sources!$D$32*(1+Assumptions_Sources!$F$32)^(2033-(Assumptions_Sources!$C$32+Assumptions_Sources!$E$32)))))</f>
        <v>3250</v>
      </c>
      <c r="U38" s="19" t="n">
        <f aca="false">IF(2034&lt;Assumptions_Sources!$C$32,0,IF(2034=Assumptions_Sources!$C$32,Assumptions_Sources!$D$32/Assumptions_Sources!$E$32*Assumptions_Sources!$G$32,IF(2034&lt;Assumptions_Sources!$C$32+Assumptions_Sources!$E$32,MIN(Assumptions_Sources!$D$32,Assumptions_Sources!$D$32/Assumptions_Sources!$E$32*(2034-Assumptions_Sources!$C$32+Assumptions_Sources!$G$32)),Assumptions_Sources!$D$32*(1+Assumptions_Sources!$F$32)^(2034-(Assumptions_Sources!$C$32+Assumptions_Sources!$E$32)))))</f>
        <v>3500</v>
      </c>
      <c r="V38" s="19" t="n">
        <f aca="false">IF(2035&lt;Assumptions_Sources!$C$32,0,IF(2035=Assumptions_Sources!$C$32,Assumptions_Sources!$D$32/Assumptions_Sources!$E$32*Assumptions_Sources!$G$32,IF(2035&lt;Assumptions_Sources!$C$32+Assumptions_Sources!$E$32,MIN(Assumptions_Sources!$D$32,Assumptions_Sources!$D$32/Assumptions_Sources!$E$32*(2035-Assumptions_Sources!$C$32+Assumptions_Sources!$G$32)),Assumptions_Sources!$D$32*(1+Assumptions_Sources!$F$32)^(2035-(Assumptions_Sources!$C$32+Assumptions_Sources!$E$32)))))</f>
        <v>3605</v>
      </c>
      <c r="W38" s="19" t="n">
        <f aca="false">IF(2036&lt;Assumptions_Sources!$C$32,0,IF(2036=Assumptions_Sources!$C$32,Assumptions_Sources!$D$32/Assumptions_Sources!$E$32*Assumptions_Sources!$G$32,IF(2036&lt;Assumptions_Sources!$C$32+Assumptions_Sources!$E$32,MIN(Assumptions_Sources!$D$32,Assumptions_Sources!$D$32/Assumptions_Sources!$E$32*(2036-Assumptions_Sources!$C$32+Assumptions_Sources!$G$32)),Assumptions_Sources!$D$32*(1+Assumptions_Sources!$F$32)^(2036-(Assumptions_Sources!$C$32+Assumptions_Sources!$E$32)))))</f>
        <v>3713.15</v>
      </c>
      <c r="X38" s="20" t="n">
        <f aca="false">IF(E38&gt;0,(R38/E38)^(1/5)-1,0)</f>
        <v>0</v>
      </c>
      <c r="Y38" s="20" t="n">
        <f aca="false">IF(E38&gt;0,(W38/E38)^(1/10)-1,0)</f>
        <v>0</v>
      </c>
    </row>
    <row r="39" customFormat="false" ht="18" hidden="false" customHeight="true" outlineLevel="0" collapsed="false">
      <c r="A39" s="21" t="s">
        <v>67</v>
      </c>
      <c r="B39" s="22" t="n">
        <f aca="false">SUM(B38)</f>
        <v>0</v>
      </c>
      <c r="C39" s="22" t="n">
        <f aca="false">SUM(C38)</f>
        <v>0</v>
      </c>
      <c r="D39" s="22" t="n">
        <f aca="false">SUM(D38)</f>
        <v>0</v>
      </c>
      <c r="E39" s="22" t="n">
        <f aca="false">SUM(E38)</f>
        <v>0</v>
      </c>
      <c r="F39" s="22" t="n">
        <f aca="false">SUM(F38)</f>
        <v>0</v>
      </c>
      <c r="G39" s="22" t="n">
        <f aca="false">SUM(G38)</f>
        <v>0</v>
      </c>
      <c r="H39" s="22" t="n">
        <f aca="false">SUM(H38)</f>
        <v>0</v>
      </c>
      <c r="I39" s="22" t="n">
        <f aca="false">SUM(I38)</f>
        <v>250</v>
      </c>
      <c r="J39" s="22" t="n">
        <f aca="false">SUM(F39:I39)</f>
        <v>250</v>
      </c>
      <c r="K39" s="22" t="n">
        <f aca="false">SUM(K38)</f>
        <v>160.5</v>
      </c>
      <c r="L39" s="22" t="n">
        <f aca="false">SUM(L38)</f>
        <v>197.25</v>
      </c>
      <c r="M39" s="22" t="n">
        <f aca="false">SUM(M38)</f>
        <v>197.25</v>
      </c>
      <c r="N39" s="22" t="n">
        <f aca="false">SUM(N38)</f>
        <v>195</v>
      </c>
      <c r="O39" s="22" t="n">
        <f aca="false">SUM(K39:N39)</f>
        <v>750</v>
      </c>
      <c r="P39" s="22" t="n">
        <f aca="false">SUM(P38)</f>
        <v>1250</v>
      </c>
      <c r="Q39" s="22" t="n">
        <f aca="false">SUM(Q38)</f>
        <v>1750</v>
      </c>
      <c r="R39" s="22" t="n">
        <f aca="false">SUM(R38)</f>
        <v>2250</v>
      </c>
      <c r="S39" s="22" t="n">
        <f aca="false">SUM(S38)</f>
        <v>2750</v>
      </c>
      <c r="T39" s="22" t="n">
        <f aca="false">SUM(T38)</f>
        <v>3250</v>
      </c>
      <c r="U39" s="22" t="n">
        <f aca="false">SUM(U38)</f>
        <v>3500</v>
      </c>
      <c r="V39" s="22" t="n">
        <f aca="false">SUM(V38)</f>
        <v>3605</v>
      </c>
      <c r="W39" s="22" t="n">
        <f aca="false">SUM(W38)</f>
        <v>3713.15</v>
      </c>
      <c r="X39" s="20" t="n">
        <f aca="false">IF(E39&gt;0,(R39/E39)^(1/5)-1,0)</f>
        <v>0</v>
      </c>
      <c r="Y39" s="20" t="n">
        <f aca="false">IF(E39&gt;0,(W39/E39)^(1/10)-1,0)</f>
        <v>0</v>
      </c>
    </row>
    <row r="40" customFormat="false" ht="18" hidden="false" customHeight="true" outlineLevel="0" collapsed="false">
      <c r="A40" s="3"/>
      <c r="B40" s="23"/>
      <c r="C40" s="23"/>
      <c r="D40" s="23"/>
      <c r="E40" s="23"/>
      <c r="F40" s="17"/>
      <c r="G40" s="17"/>
      <c r="H40" s="17"/>
      <c r="I40" s="17"/>
      <c r="J40" s="17" t="n">
        <f aca="false">SUM(F40:I40)</f>
        <v>0</v>
      </c>
      <c r="K40" s="18"/>
      <c r="L40" s="18"/>
      <c r="M40" s="18"/>
      <c r="N40" s="18"/>
      <c r="O40" s="18" t="n">
        <f aca="false">SUM(K40:N40)</f>
        <v>0</v>
      </c>
      <c r="P40" s="19"/>
      <c r="Q40" s="19"/>
      <c r="R40" s="19"/>
      <c r="S40" s="19"/>
      <c r="T40" s="19"/>
      <c r="U40" s="19"/>
      <c r="V40" s="19"/>
      <c r="W40" s="19"/>
      <c r="X40" s="20" t="n">
        <f aca="false">IF(E40&gt;0,(R40/E40)^(1/5)-1,0)</f>
        <v>0</v>
      </c>
      <c r="Y40" s="20" t="n">
        <f aca="false">IF(E40&gt;0,(W40/E40)^(1/10)-1,0)</f>
        <v>0</v>
      </c>
    </row>
    <row r="41" customFormat="false" ht="18" hidden="false" customHeight="true" outlineLevel="0" collapsed="false">
      <c r="A41" s="14" t="s">
        <v>68</v>
      </c>
      <c r="B41" s="24"/>
      <c r="C41" s="24"/>
      <c r="D41" s="24"/>
      <c r="E41" s="24"/>
      <c r="F41" s="24"/>
      <c r="G41" s="24"/>
      <c r="H41" s="24"/>
      <c r="I41" s="24"/>
      <c r="J41" s="24" t="n">
        <f aca="false">SUM(F41:I41)</f>
        <v>0</v>
      </c>
      <c r="K41" s="24"/>
      <c r="L41" s="24"/>
      <c r="M41" s="24"/>
      <c r="N41" s="24"/>
      <c r="O41" s="24" t="n">
        <f aca="false">SUM(K41:N41)</f>
        <v>0</v>
      </c>
      <c r="P41" s="24"/>
      <c r="Q41" s="24"/>
      <c r="R41" s="24"/>
      <c r="S41" s="24"/>
      <c r="T41" s="24"/>
      <c r="U41" s="24"/>
      <c r="V41" s="24"/>
      <c r="W41" s="24"/>
      <c r="X41" s="25" t="n">
        <f aca="false">IF(E41&gt;0,(R41/E41)^(1/5)-1,0)</f>
        <v>0</v>
      </c>
      <c r="Y41" s="25" t="n">
        <f aca="false">IF(E41&gt;0,(W41/E41)^(1/10)-1,0)</f>
        <v>0</v>
      </c>
    </row>
    <row r="42" customFormat="false" ht="18" hidden="false" customHeight="true" outlineLevel="0" collapsed="false">
      <c r="A42" s="3" t="s">
        <v>69</v>
      </c>
      <c r="B42" s="15" t="n">
        <v>0</v>
      </c>
      <c r="C42" s="15" t="n">
        <v>0</v>
      </c>
      <c r="D42" s="15" t="n">
        <v>0</v>
      </c>
      <c r="E42" s="15" t="n">
        <v>0</v>
      </c>
      <c r="F42" s="16" t="n">
        <v>0</v>
      </c>
      <c r="G42" s="17" t="n">
        <f aca="false">IF(Assumptions_Sources!$C$37=2027,J42*Assumptions_Sources!$H$37,(J42-F42)*Assumptions_Sources!$C$45/SUM(Assumptions_Sources!$C$45:$E$45))</f>
        <v>0</v>
      </c>
      <c r="H42" s="17" t="n">
        <f aca="false">IF(Assumptions_Sources!$C$37=2027,J42*Assumptions_Sources!$I$37,(J42-F42)*Assumptions_Sources!$D$45/SUM(Assumptions_Sources!$C$45:$E$45))</f>
        <v>0</v>
      </c>
      <c r="I42" s="17" t="n">
        <f aca="false">J42-F42-G42-H42</f>
        <v>0</v>
      </c>
      <c r="J42" s="17" t="n">
        <f aca="false">IF(2027&lt;Assumptions_Sources!$C$37,0,IF(2027=Assumptions_Sources!$C$37,Assumptions_Sources!$D$37*Assumptions_Sources!$E$37/Assumptions_Sources!$G$37*Assumptions_Sources!$I$37,IF(2027&lt;Assumptions_Sources!$C$37+Assumptions_Sources!$G$37,MIN(Assumptions_Sources!$D$37*Assumptions_Sources!$E$37,Assumptions_Sources!$D$37*Assumptions_Sources!$E$37/Assumptions_Sources!$G$37*(2027-Assumptions_Sources!$C$37+Assumptions_Sources!$I$37)),Assumptions_Sources!$D$37*Assumptions_Sources!$E$37*(1+Assumptions_Sources!$H$37)^(2027-(Assumptions_Sources!$C$37+Assumptions_Sources!$G$37)))))</f>
        <v>0</v>
      </c>
      <c r="K42" s="18" t="n">
        <f aca="false">O42*Assumptions_Sources!$B$45</f>
        <v>0</v>
      </c>
      <c r="L42" s="18" t="n">
        <f aca="false">O42*Assumptions_Sources!$C$45</f>
        <v>0</v>
      </c>
      <c r="M42" s="18" t="n">
        <f aca="false">O42*Assumptions_Sources!$D$45</f>
        <v>0</v>
      </c>
      <c r="N42" s="18" t="n">
        <f aca="false">O42-K42-L42-M42</f>
        <v>0</v>
      </c>
      <c r="O42" s="18" t="n">
        <f aca="false">IF(2028&lt;Assumptions_Sources!$C$37,0,IF(2028=Assumptions_Sources!$C$37,Assumptions_Sources!$D$37*Assumptions_Sources!$E$37/Assumptions_Sources!$G$37*Assumptions_Sources!$I$37,IF(2028&lt;Assumptions_Sources!$C$37+Assumptions_Sources!$G$37,MIN(Assumptions_Sources!$D$37*Assumptions_Sources!$E$37,Assumptions_Sources!$D$37*Assumptions_Sources!$E$37/Assumptions_Sources!$G$37*(2028-Assumptions_Sources!$C$37+Assumptions_Sources!$I$37)),Assumptions_Sources!$D$37*Assumptions_Sources!$E$37*(1+Assumptions_Sources!$H$37)^(2028-(Assumptions_Sources!$C$37+Assumptions_Sources!$G$37)))))</f>
        <v>0</v>
      </c>
      <c r="P42" s="19" t="n">
        <f aca="false">IF(2029&lt;Assumptions_Sources!$C$37,0,IF(2029=Assumptions_Sources!$C$37,Assumptions_Sources!$D$37*Assumptions_Sources!$E$37/Assumptions_Sources!$G$37*Assumptions_Sources!$I$37,IF(2029&lt;Assumptions_Sources!$C$37+Assumptions_Sources!$G$37,MIN(Assumptions_Sources!$D$37*Assumptions_Sources!$E$37,Assumptions_Sources!$D$37*Assumptions_Sources!$E$37/Assumptions_Sources!$G$37*(2029-Assumptions_Sources!$C$37+Assumptions_Sources!$I$37)),Assumptions_Sources!$D$37*Assumptions_Sources!$E$37*(1+Assumptions_Sources!$H$37)^(2029-(Assumptions_Sources!$C$37+Assumptions_Sources!$G$37)))))</f>
        <v>0</v>
      </c>
      <c r="Q42" s="19" t="n">
        <f aca="false">IF(2030&lt;Assumptions_Sources!$C$37,0,IF(2030=Assumptions_Sources!$C$37,Assumptions_Sources!$D$37*Assumptions_Sources!$E$37/Assumptions_Sources!$G$37*Assumptions_Sources!$I$37,IF(2030&lt;Assumptions_Sources!$C$37+Assumptions_Sources!$G$37,MIN(Assumptions_Sources!$D$37*Assumptions_Sources!$E$37,Assumptions_Sources!$D$37*Assumptions_Sources!$E$37/Assumptions_Sources!$G$37*(2030-Assumptions_Sources!$C$37+Assumptions_Sources!$I$37)),Assumptions_Sources!$D$37*Assumptions_Sources!$E$37*(1+Assumptions_Sources!$H$37)^(2030-(Assumptions_Sources!$C$37+Assumptions_Sources!$G$37)))))</f>
        <v>0</v>
      </c>
      <c r="R42" s="19" t="n">
        <f aca="false">IF(2031&lt;Assumptions_Sources!$C$37,0,IF(2031=Assumptions_Sources!$C$37,Assumptions_Sources!$D$37*Assumptions_Sources!$E$37/Assumptions_Sources!$G$37*Assumptions_Sources!$I$37,IF(2031&lt;Assumptions_Sources!$C$37+Assumptions_Sources!$G$37,MIN(Assumptions_Sources!$D$37*Assumptions_Sources!$E$37,Assumptions_Sources!$D$37*Assumptions_Sources!$E$37/Assumptions_Sources!$G$37*(2031-Assumptions_Sources!$C$37+Assumptions_Sources!$I$37)),Assumptions_Sources!$D$37*Assumptions_Sources!$E$37*(1+Assumptions_Sources!$H$37)^(2031-(Assumptions_Sources!$C$37+Assumptions_Sources!$G$37)))))</f>
        <v>0</v>
      </c>
      <c r="S42" s="19" t="n">
        <f aca="false">IF(2032&lt;Assumptions_Sources!$C$37,0,IF(2032=Assumptions_Sources!$C$37,Assumptions_Sources!$D$37*Assumptions_Sources!$E$37/Assumptions_Sources!$G$37*Assumptions_Sources!$I$37,IF(2032&lt;Assumptions_Sources!$C$37+Assumptions_Sources!$G$37,MIN(Assumptions_Sources!$D$37*Assumptions_Sources!$E$37,Assumptions_Sources!$D$37*Assumptions_Sources!$E$37/Assumptions_Sources!$G$37*(2032-Assumptions_Sources!$C$37+Assumptions_Sources!$I$37)),Assumptions_Sources!$D$37*Assumptions_Sources!$E$37*(1+Assumptions_Sources!$H$37)^(2032-(Assumptions_Sources!$C$37+Assumptions_Sources!$G$37)))))</f>
        <v>44</v>
      </c>
      <c r="T42" s="19" t="n">
        <f aca="false">IF(2033&lt;Assumptions_Sources!$C$37,0,IF(2033=Assumptions_Sources!$C$37,Assumptions_Sources!$D$37*Assumptions_Sources!$E$37/Assumptions_Sources!$G$37*Assumptions_Sources!$I$37,IF(2033&lt;Assumptions_Sources!$C$37+Assumptions_Sources!$G$37,MIN(Assumptions_Sources!$D$37*Assumptions_Sources!$E$37,Assumptions_Sources!$D$37*Assumptions_Sources!$E$37/Assumptions_Sources!$G$37*(2033-Assumptions_Sources!$C$37+Assumptions_Sources!$I$37)),Assumptions_Sources!$D$37*Assumptions_Sources!$E$37*(1+Assumptions_Sources!$H$37)^(2033-(Assumptions_Sources!$C$37+Assumptions_Sources!$G$37)))))</f>
        <v>132</v>
      </c>
      <c r="U42" s="19" t="n">
        <f aca="false">IF(2034&lt;Assumptions_Sources!$C$37,0,IF(2034=Assumptions_Sources!$C$37,Assumptions_Sources!$D$37*Assumptions_Sources!$E$37/Assumptions_Sources!$G$37*Assumptions_Sources!$I$37,IF(2034&lt;Assumptions_Sources!$C$37+Assumptions_Sources!$G$37,MIN(Assumptions_Sources!$D$37*Assumptions_Sources!$E$37,Assumptions_Sources!$D$37*Assumptions_Sources!$E$37/Assumptions_Sources!$G$37*(2034-Assumptions_Sources!$C$37+Assumptions_Sources!$I$37)),Assumptions_Sources!$D$37*Assumptions_Sources!$E$37*(1+Assumptions_Sources!$H$37)^(2034-(Assumptions_Sources!$C$37+Assumptions_Sources!$G$37)))))</f>
        <v>220</v>
      </c>
      <c r="V42" s="19" t="n">
        <f aca="false">IF(2035&lt;Assumptions_Sources!$C$37,0,IF(2035=Assumptions_Sources!$C$37,Assumptions_Sources!$D$37*Assumptions_Sources!$E$37/Assumptions_Sources!$G$37*Assumptions_Sources!$I$37,IF(2035&lt;Assumptions_Sources!$C$37+Assumptions_Sources!$G$37,MIN(Assumptions_Sources!$D$37*Assumptions_Sources!$E$37,Assumptions_Sources!$D$37*Assumptions_Sources!$E$37/Assumptions_Sources!$G$37*(2035-Assumptions_Sources!$C$37+Assumptions_Sources!$I$37)),Assumptions_Sources!$D$37*Assumptions_Sources!$E$37*(1+Assumptions_Sources!$H$37)^(2035-(Assumptions_Sources!$C$37+Assumptions_Sources!$G$37)))))</f>
        <v>308</v>
      </c>
      <c r="W42" s="19" t="n">
        <f aca="false">IF(2036&lt;Assumptions_Sources!$C$37,0,IF(2036=Assumptions_Sources!$C$37,Assumptions_Sources!$D$37*Assumptions_Sources!$E$37/Assumptions_Sources!$G$37*Assumptions_Sources!$I$37,IF(2036&lt;Assumptions_Sources!$C$37+Assumptions_Sources!$G$37,MIN(Assumptions_Sources!$D$37*Assumptions_Sources!$E$37,Assumptions_Sources!$D$37*Assumptions_Sources!$E$37/Assumptions_Sources!$G$37*(2036-Assumptions_Sources!$C$37+Assumptions_Sources!$I$37)),Assumptions_Sources!$D$37*Assumptions_Sources!$E$37*(1+Assumptions_Sources!$H$37)^(2036-(Assumptions_Sources!$C$37+Assumptions_Sources!$G$37)))))</f>
        <v>396</v>
      </c>
      <c r="X42" s="20" t="n">
        <f aca="false">IF(E42&gt;0,(R42/E42)^(1/5)-1,0)</f>
        <v>0</v>
      </c>
      <c r="Y42" s="20" t="n">
        <f aca="false">IF(E42&gt;0,(W42/E42)^(1/10)-1,0)</f>
        <v>0</v>
      </c>
    </row>
    <row r="43" customFormat="false" ht="18" hidden="false" customHeight="true" outlineLevel="0" collapsed="false">
      <c r="A43" s="3" t="s">
        <v>70</v>
      </c>
      <c r="B43" s="15" t="n">
        <v>0</v>
      </c>
      <c r="C43" s="15" t="n">
        <v>0</v>
      </c>
      <c r="D43" s="15" t="n">
        <v>0</v>
      </c>
      <c r="E43" s="15" t="n">
        <v>0</v>
      </c>
      <c r="F43" s="16" t="n">
        <v>0</v>
      </c>
      <c r="G43" s="17" t="n">
        <f aca="false">IF(Assumptions_Sources!$C$38=2027,J43*Assumptions_Sources!$H$38,(J43-F43)*Assumptions_Sources!$C$45/SUM(Assumptions_Sources!$C$45:$E$45))</f>
        <v>0</v>
      </c>
      <c r="H43" s="17" t="n">
        <f aca="false">IF(Assumptions_Sources!$C$38=2027,J43*Assumptions_Sources!$I$38,(J43-F43)*Assumptions_Sources!$D$45/SUM(Assumptions_Sources!$C$45:$E$45))</f>
        <v>0</v>
      </c>
      <c r="I43" s="17" t="n">
        <f aca="false">J43-F43-G43-H43</f>
        <v>0</v>
      </c>
      <c r="J43" s="17" t="n">
        <f aca="false">IF(2027&lt;Assumptions_Sources!$C$38,0,IF(2027=Assumptions_Sources!$C$38,Assumptions_Sources!$D$38*Assumptions_Sources!$E$38/Assumptions_Sources!$G$38*Assumptions_Sources!$I$38,IF(2027&lt;Assumptions_Sources!$C$38+Assumptions_Sources!$G$38,MIN(Assumptions_Sources!$D$38*Assumptions_Sources!$E$38,Assumptions_Sources!$D$38*Assumptions_Sources!$E$38/Assumptions_Sources!$G$38*(2027-Assumptions_Sources!$C$38+Assumptions_Sources!$I$38)),Assumptions_Sources!$D$38*Assumptions_Sources!$E$38*(1+Assumptions_Sources!$H$38)^(2027-(Assumptions_Sources!$C$38+Assumptions_Sources!$G$38)))))</f>
        <v>0</v>
      </c>
      <c r="K43" s="18" t="n">
        <f aca="false">O43*Assumptions_Sources!$B$45</f>
        <v>0</v>
      </c>
      <c r="L43" s="18" t="n">
        <f aca="false">O43*Assumptions_Sources!$C$45</f>
        <v>0</v>
      </c>
      <c r="M43" s="18" t="n">
        <f aca="false">O43*Assumptions_Sources!$D$45</f>
        <v>0</v>
      </c>
      <c r="N43" s="18" t="n">
        <f aca="false">O43-K43-L43-M43</f>
        <v>0</v>
      </c>
      <c r="O43" s="18" t="n">
        <f aca="false">IF(2028&lt;Assumptions_Sources!$C$38,0,IF(2028=Assumptions_Sources!$C$38,Assumptions_Sources!$D$38*Assumptions_Sources!$E$38/Assumptions_Sources!$G$38*Assumptions_Sources!$I$38,IF(2028&lt;Assumptions_Sources!$C$38+Assumptions_Sources!$G$38,MIN(Assumptions_Sources!$D$38*Assumptions_Sources!$E$38,Assumptions_Sources!$D$38*Assumptions_Sources!$E$38/Assumptions_Sources!$G$38*(2028-Assumptions_Sources!$C$38+Assumptions_Sources!$I$38)),Assumptions_Sources!$D$38*Assumptions_Sources!$E$38*(1+Assumptions_Sources!$H$38)^(2028-(Assumptions_Sources!$C$38+Assumptions_Sources!$G$38)))))</f>
        <v>0</v>
      </c>
      <c r="P43" s="19" t="n">
        <f aca="false">IF(2029&lt;Assumptions_Sources!$C$38,0,IF(2029=Assumptions_Sources!$C$38,Assumptions_Sources!$D$38*Assumptions_Sources!$E$38/Assumptions_Sources!$G$38*Assumptions_Sources!$I$38,IF(2029&lt;Assumptions_Sources!$C$38+Assumptions_Sources!$G$38,MIN(Assumptions_Sources!$D$38*Assumptions_Sources!$E$38,Assumptions_Sources!$D$38*Assumptions_Sources!$E$38/Assumptions_Sources!$G$38*(2029-Assumptions_Sources!$C$38+Assumptions_Sources!$I$38)),Assumptions_Sources!$D$38*Assumptions_Sources!$E$38*(1+Assumptions_Sources!$H$38)^(2029-(Assumptions_Sources!$C$38+Assumptions_Sources!$G$38)))))</f>
        <v>0</v>
      </c>
      <c r="Q43" s="19" t="n">
        <f aca="false">IF(2030&lt;Assumptions_Sources!$C$38,0,IF(2030=Assumptions_Sources!$C$38,Assumptions_Sources!$D$38*Assumptions_Sources!$E$38/Assumptions_Sources!$G$38*Assumptions_Sources!$I$38,IF(2030&lt;Assumptions_Sources!$C$38+Assumptions_Sources!$G$38,MIN(Assumptions_Sources!$D$38*Assumptions_Sources!$E$38,Assumptions_Sources!$D$38*Assumptions_Sources!$E$38/Assumptions_Sources!$G$38*(2030-Assumptions_Sources!$C$38+Assumptions_Sources!$I$38)),Assumptions_Sources!$D$38*Assumptions_Sources!$E$38*(1+Assumptions_Sources!$H$38)^(2030-(Assumptions_Sources!$C$38+Assumptions_Sources!$G$38)))))</f>
        <v>0</v>
      </c>
      <c r="R43" s="19" t="n">
        <f aca="false">IF(2031&lt;Assumptions_Sources!$C$38,0,IF(2031=Assumptions_Sources!$C$38,Assumptions_Sources!$D$38*Assumptions_Sources!$E$38/Assumptions_Sources!$G$38*Assumptions_Sources!$I$38,IF(2031&lt;Assumptions_Sources!$C$38+Assumptions_Sources!$G$38,MIN(Assumptions_Sources!$D$38*Assumptions_Sources!$E$38,Assumptions_Sources!$D$38*Assumptions_Sources!$E$38/Assumptions_Sources!$G$38*(2031-Assumptions_Sources!$C$38+Assumptions_Sources!$I$38)),Assumptions_Sources!$D$38*Assumptions_Sources!$E$38*(1+Assumptions_Sources!$H$38)^(2031-(Assumptions_Sources!$C$38+Assumptions_Sources!$G$38)))))</f>
        <v>0</v>
      </c>
      <c r="S43" s="19" t="n">
        <f aca="false">IF(2032&lt;Assumptions_Sources!$C$38,0,IF(2032=Assumptions_Sources!$C$38,Assumptions_Sources!$D$38*Assumptions_Sources!$E$38/Assumptions_Sources!$G$38*Assumptions_Sources!$I$38,IF(2032&lt;Assumptions_Sources!$C$38+Assumptions_Sources!$G$38,MIN(Assumptions_Sources!$D$38*Assumptions_Sources!$E$38,Assumptions_Sources!$D$38*Assumptions_Sources!$E$38/Assumptions_Sources!$G$38*(2032-Assumptions_Sources!$C$38+Assumptions_Sources!$I$38)),Assumptions_Sources!$D$38*Assumptions_Sources!$E$38*(1+Assumptions_Sources!$H$38)^(2032-(Assumptions_Sources!$C$38+Assumptions_Sources!$G$38)))))</f>
        <v>0</v>
      </c>
      <c r="T43" s="19" t="n">
        <f aca="false">IF(2033&lt;Assumptions_Sources!$C$38,0,IF(2033=Assumptions_Sources!$C$38,Assumptions_Sources!$D$38*Assumptions_Sources!$E$38/Assumptions_Sources!$G$38*Assumptions_Sources!$I$38,IF(2033&lt;Assumptions_Sources!$C$38+Assumptions_Sources!$G$38,MIN(Assumptions_Sources!$D$38*Assumptions_Sources!$E$38,Assumptions_Sources!$D$38*Assumptions_Sources!$E$38/Assumptions_Sources!$G$38*(2033-Assumptions_Sources!$C$38+Assumptions_Sources!$I$38)),Assumptions_Sources!$D$38*Assumptions_Sources!$E$38*(1+Assumptions_Sources!$H$38)^(2033-(Assumptions_Sources!$C$38+Assumptions_Sources!$G$38)))))</f>
        <v>60</v>
      </c>
      <c r="U43" s="19" t="n">
        <f aca="false">IF(2034&lt;Assumptions_Sources!$C$38,0,IF(2034=Assumptions_Sources!$C$38,Assumptions_Sources!$D$38*Assumptions_Sources!$E$38/Assumptions_Sources!$G$38*Assumptions_Sources!$I$38,IF(2034&lt;Assumptions_Sources!$C$38+Assumptions_Sources!$G$38,MIN(Assumptions_Sources!$D$38*Assumptions_Sources!$E$38,Assumptions_Sources!$D$38*Assumptions_Sources!$E$38/Assumptions_Sources!$G$38*(2034-Assumptions_Sources!$C$38+Assumptions_Sources!$I$38)),Assumptions_Sources!$D$38*Assumptions_Sources!$E$38*(1+Assumptions_Sources!$H$38)^(2034-(Assumptions_Sources!$C$38+Assumptions_Sources!$G$38)))))</f>
        <v>180</v>
      </c>
      <c r="V43" s="19" t="n">
        <f aca="false">IF(2035&lt;Assumptions_Sources!$C$38,0,IF(2035=Assumptions_Sources!$C$38,Assumptions_Sources!$D$38*Assumptions_Sources!$E$38/Assumptions_Sources!$G$38*Assumptions_Sources!$I$38,IF(2035&lt;Assumptions_Sources!$C$38+Assumptions_Sources!$G$38,MIN(Assumptions_Sources!$D$38*Assumptions_Sources!$E$38,Assumptions_Sources!$D$38*Assumptions_Sources!$E$38/Assumptions_Sources!$G$38*(2035-Assumptions_Sources!$C$38+Assumptions_Sources!$I$38)),Assumptions_Sources!$D$38*Assumptions_Sources!$E$38*(1+Assumptions_Sources!$H$38)^(2035-(Assumptions_Sources!$C$38+Assumptions_Sources!$G$38)))))</f>
        <v>300</v>
      </c>
      <c r="W43" s="19" t="n">
        <f aca="false">IF(2036&lt;Assumptions_Sources!$C$38,0,IF(2036=Assumptions_Sources!$C$38,Assumptions_Sources!$D$38*Assumptions_Sources!$E$38/Assumptions_Sources!$G$38*Assumptions_Sources!$I$38,IF(2036&lt;Assumptions_Sources!$C$38+Assumptions_Sources!$G$38,MIN(Assumptions_Sources!$D$38*Assumptions_Sources!$E$38,Assumptions_Sources!$D$38*Assumptions_Sources!$E$38/Assumptions_Sources!$G$38*(2036-Assumptions_Sources!$C$38+Assumptions_Sources!$I$38)),Assumptions_Sources!$D$38*Assumptions_Sources!$E$38*(1+Assumptions_Sources!$H$38)^(2036-(Assumptions_Sources!$C$38+Assumptions_Sources!$G$38)))))</f>
        <v>420</v>
      </c>
      <c r="X43" s="20" t="n">
        <f aca="false">IF(E43&gt;0,(R43/E43)^(1/5)-1,0)</f>
        <v>0</v>
      </c>
      <c r="Y43" s="20" t="n">
        <f aca="false">IF(E43&gt;0,(W43/E43)^(1/10)-1,0)</f>
        <v>0</v>
      </c>
    </row>
    <row r="44" customFormat="false" ht="18" hidden="false" customHeight="true" outlineLevel="0" collapsed="false">
      <c r="A44" s="3" t="s">
        <v>71</v>
      </c>
      <c r="B44" s="15" t="n">
        <f aca="false">SUM(B37:B43)</f>
        <v>0</v>
      </c>
      <c r="C44" s="15" t="n">
        <f aca="false">SUM(C37:C43)</f>
        <v>0</v>
      </c>
      <c r="D44" s="15" t="n">
        <f aca="false">SUM(D37:D43)</f>
        <v>0</v>
      </c>
      <c r="E44" s="15" t="n">
        <f aca="false">SUM(E37:E43)</f>
        <v>0</v>
      </c>
      <c r="F44" s="16" t="n">
        <f aca="false">0</f>
        <v>0</v>
      </c>
      <c r="G44" s="17" t="n">
        <f aca="false">(J44-F44)*Assumptions_Sources!$C$45/SUM(Assumptions_Sources!$C$45:$E$45)</f>
        <v>0</v>
      </c>
      <c r="H44" s="17" t="n">
        <f aca="false">(J44-F44)*Assumptions_Sources!$D$45/SUM(Assumptions_Sources!$C$45:$E$45)</f>
        <v>0</v>
      </c>
      <c r="I44" s="17" t="n">
        <f aca="false">J44-F44-G44-H44</f>
        <v>0</v>
      </c>
      <c r="J44" s="17" t="n">
        <f aca="false">IF(2027&lt;Assumptions_Sources!$C$39,0,IF(2027=Assumptions_Sources!$C$39,Assumptions_Sources!$D$39*Assumptions_Sources!$E$39/Assumptions_Sources!$G$39*Assumptions_Sources!$I$39,IF(2027&lt;Assumptions_Sources!$C$39+Assumptions_Sources!$G$39,MIN(Assumptions_Sources!$D$39*Assumptions_Sources!$E$39,Assumptions_Sources!$D$39*Assumptions_Sources!$E$39/Assumptions_Sources!$G$39*(2027-Assumptions_Sources!$C$39+Assumptions_Sources!$I$39)),Assumptions_Sources!$D$39*Assumptions_Sources!$E$39*(1+Assumptions_Sources!$H$39)^(2027-(Assumptions_Sources!$C$39+Assumptions_Sources!$G$39)))))</f>
        <v>0</v>
      </c>
      <c r="K44" s="18" t="n">
        <f aca="false">O44*Assumptions_Sources!$B$45</f>
        <v>0</v>
      </c>
      <c r="L44" s="18" t="n">
        <f aca="false">O44*Assumptions_Sources!$C$45</f>
        <v>0</v>
      </c>
      <c r="M44" s="18" t="n">
        <f aca="false">O44*Assumptions_Sources!$D$45</f>
        <v>0</v>
      </c>
      <c r="N44" s="18" t="n">
        <f aca="false">O44-K44-L44-M44</f>
        <v>0</v>
      </c>
      <c r="O44" s="18" t="n">
        <f aca="false">IF(2028&lt;Assumptions_Sources!$C$39,0,IF(2028=Assumptions_Sources!$C$39,Assumptions_Sources!$D$39*Assumptions_Sources!$E$39/Assumptions_Sources!$G$39*Assumptions_Sources!$I$39,IF(2028&lt;Assumptions_Sources!$C$39+Assumptions_Sources!$G$39,MIN(Assumptions_Sources!$D$39*Assumptions_Sources!$E$39,Assumptions_Sources!$D$39*Assumptions_Sources!$E$39/Assumptions_Sources!$G$39*(2028-Assumptions_Sources!$C$39+Assumptions_Sources!$I$39)),Assumptions_Sources!$D$39*Assumptions_Sources!$E$39*(1+Assumptions_Sources!$H$39)^(2028-(Assumptions_Sources!$C$39+Assumptions_Sources!$G$39)))))</f>
        <v>0</v>
      </c>
      <c r="P44" s="19" t="n">
        <v>0</v>
      </c>
      <c r="Q44" s="19" t="n">
        <v>0</v>
      </c>
      <c r="R44" s="19" t="n">
        <v>91.6666666666667</v>
      </c>
      <c r="S44" s="19" t="n">
        <v>275</v>
      </c>
      <c r="T44" s="19" t="n">
        <v>458.333333333333</v>
      </c>
      <c r="U44" s="19" t="n">
        <v>641.666666666667</v>
      </c>
      <c r="V44" s="19" t="n">
        <v>825</v>
      </c>
      <c r="W44" s="19" t="n">
        <v>1008.33333333333</v>
      </c>
      <c r="X44" s="20" t="n">
        <f aca="false">IF(E44&gt;0,(R44/E44)^(1/5)-1,0)</f>
        <v>0</v>
      </c>
      <c r="Y44" s="20" t="n">
        <f aca="false">IF(E44&gt;0,(W44/E44)^(1/10)-1,0)</f>
        <v>0</v>
      </c>
    </row>
    <row r="45" customFormat="false" ht="18" hidden="false" customHeight="true" outlineLevel="0" collapsed="false">
      <c r="A45" s="3" t="s">
        <v>72</v>
      </c>
      <c r="B45" s="15" t="n">
        <v>0</v>
      </c>
      <c r="C45" s="15" t="n">
        <v>0</v>
      </c>
      <c r="D45" s="15" t="n">
        <v>0</v>
      </c>
      <c r="E45" s="15" t="n">
        <v>0</v>
      </c>
      <c r="F45" s="16" t="n">
        <v>0</v>
      </c>
      <c r="G45" s="17" t="n">
        <f aca="false">IF(Assumptions_Sources!$C$40=2027,J45*Assumptions_Sources!$H$40,(J45-F45)*Assumptions_Sources!$C$45/SUM(Assumptions_Sources!$C$45:$E$45))</f>
        <v>0</v>
      </c>
      <c r="H45" s="17" t="n">
        <f aca="false">IF(Assumptions_Sources!$C$40=2027,J45*Assumptions_Sources!$I$40,(J45-F45)*Assumptions_Sources!$D$45/SUM(Assumptions_Sources!$C$45:$E$45))</f>
        <v>0</v>
      </c>
      <c r="I45" s="17" t="n">
        <f aca="false">J45-F45-G45-H45</f>
        <v>0</v>
      </c>
      <c r="J45" s="17" t="n">
        <f aca="false">IF(2027&lt;Assumptions_Sources!$C$40,0,IF(2027=Assumptions_Sources!$C$40,Assumptions_Sources!$D$40*Assumptions_Sources!$E$40/Assumptions_Sources!$G$40*Assumptions_Sources!$I$40,IF(2027&lt;Assumptions_Sources!$C$40+Assumptions_Sources!$G$40,MIN(Assumptions_Sources!$D$40*Assumptions_Sources!$E$40,Assumptions_Sources!$D$40*Assumptions_Sources!$E$40/Assumptions_Sources!$G$40*(2027-Assumptions_Sources!$C$40+Assumptions_Sources!$I$40)),Assumptions_Sources!$D$40*Assumptions_Sources!$E$40*(1+Assumptions_Sources!$H$40)^(2027-(Assumptions_Sources!$C$40+Assumptions_Sources!$G$40)))))</f>
        <v>0</v>
      </c>
      <c r="K45" s="18" t="n">
        <f aca="false">O45*Assumptions_Sources!$B$45</f>
        <v>0</v>
      </c>
      <c r="L45" s="18" t="n">
        <f aca="false">O45*Assumptions_Sources!$C$45</f>
        <v>0</v>
      </c>
      <c r="M45" s="18" t="n">
        <f aca="false">O45*Assumptions_Sources!$D$45</f>
        <v>0</v>
      </c>
      <c r="N45" s="18" t="n">
        <f aca="false">O45-K45-L45-M45</f>
        <v>0</v>
      </c>
      <c r="O45" s="18" t="n">
        <f aca="false">IF(2028&lt;Assumptions_Sources!$C$40,0,IF(2028=Assumptions_Sources!$C$40,Assumptions_Sources!$D$40*Assumptions_Sources!$E$40/Assumptions_Sources!$G$40*Assumptions_Sources!$I$40,IF(2028&lt;Assumptions_Sources!$C$40+Assumptions_Sources!$G$40,MIN(Assumptions_Sources!$D$40*Assumptions_Sources!$E$40,Assumptions_Sources!$D$40*Assumptions_Sources!$E$40/Assumptions_Sources!$G$40*(2028-Assumptions_Sources!$C$40+Assumptions_Sources!$I$40)),Assumptions_Sources!$D$40*Assumptions_Sources!$E$40*(1+Assumptions_Sources!$H$40)^(2028-(Assumptions_Sources!$C$40+Assumptions_Sources!$G$40)))))</f>
        <v>0</v>
      </c>
      <c r="P45" s="19" t="n">
        <f aca="false">IF(2029&lt;Assumptions_Sources!$C$40,0,IF(2029=Assumptions_Sources!$C$40,Assumptions_Sources!$D$40*Assumptions_Sources!$E$40/Assumptions_Sources!$G$40*Assumptions_Sources!$I$40,IF(2029&lt;Assumptions_Sources!$C$40+Assumptions_Sources!$G$40,MIN(Assumptions_Sources!$D$40*Assumptions_Sources!$E$40,Assumptions_Sources!$D$40*Assumptions_Sources!$E$40/Assumptions_Sources!$G$40*(2029-Assumptions_Sources!$C$40+Assumptions_Sources!$I$40)),Assumptions_Sources!$D$40*Assumptions_Sources!$E$40*(1+Assumptions_Sources!$H$40)^(2029-(Assumptions_Sources!$C$40+Assumptions_Sources!$G$40)))))</f>
        <v>0</v>
      </c>
      <c r="Q45" s="19" t="n">
        <f aca="false">IF(2030&lt;Assumptions_Sources!$C$40,0,IF(2030=Assumptions_Sources!$C$40,Assumptions_Sources!$D$40*Assumptions_Sources!$E$40/Assumptions_Sources!$G$40*Assumptions_Sources!$I$40,IF(2030&lt;Assumptions_Sources!$C$40+Assumptions_Sources!$G$40,MIN(Assumptions_Sources!$D$40*Assumptions_Sources!$E$40,Assumptions_Sources!$D$40*Assumptions_Sources!$E$40/Assumptions_Sources!$G$40*(2030-Assumptions_Sources!$C$40+Assumptions_Sources!$I$40)),Assumptions_Sources!$D$40*Assumptions_Sources!$E$40*(1+Assumptions_Sources!$H$40)^(2030-(Assumptions_Sources!$C$40+Assumptions_Sources!$G$40)))))</f>
        <v>0</v>
      </c>
      <c r="R45" s="19" t="n">
        <f aca="false">IF(2031&lt;Assumptions_Sources!$C$40,0,IF(2031=Assumptions_Sources!$C$40,Assumptions_Sources!$D$40*Assumptions_Sources!$E$40/Assumptions_Sources!$G$40*Assumptions_Sources!$I$40,IF(2031&lt;Assumptions_Sources!$C$40+Assumptions_Sources!$G$40,MIN(Assumptions_Sources!$D$40*Assumptions_Sources!$E$40,Assumptions_Sources!$D$40*Assumptions_Sources!$E$40/Assumptions_Sources!$G$40*(2031-Assumptions_Sources!$C$40+Assumptions_Sources!$I$40)),Assumptions_Sources!$D$40*Assumptions_Sources!$E$40*(1+Assumptions_Sources!$H$40)^(2031-(Assumptions_Sources!$C$40+Assumptions_Sources!$G$40)))))</f>
        <v>0</v>
      </c>
      <c r="S45" s="19" t="n">
        <f aca="false">IF(2032&lt;Assumptions_Sources!$C$40,0,IF(2032=Assumptions_Sources!$C$40,Assumptions_Sources!$D$40*Assumptions_Sources!$E$40/Assumptions_Sources!$G$40*Assumptions_Sources!$I$40,IF(2032&lt;Assumptions_Sources!$C$40+Assumptions_Sources!$G$40,MIN(Assumptions_Sources!$D$40*Assumptions_Sources!$E$40,Assumptions_Sources!$D$40*Assumptions_Sources!$E$40/Assumptions_Sources!$G$40*(2032-Assumptions_Sources!$C$40+Assumptions_Sources!$I$40)),Assumptions_Sources!$D$40*Assumptions_Sources!$E$40*(1+Assumptions_Sources!$H$40)^(2032-(Assumptions_Sources!$C$40+Assumptions_Sources!$G$40)))))</f>
        <v>0</v>
      </c>
      <c r="T45" s="19" t="n">
        <f aca="false">IF(2033&lt;Assumptions_Sources!$C$40,0,IF(2033=Assumptions_Sources!$C$40,Assumptions_Sources!$D$40*Assumptions_Sources!$E$40/Assumptions_Sources!$G$40*Assumptions_Sources!$I$40,IF(2033&lt;Assumptions_Sources!$C$40+Assumptions_Sources!$G$40,MIN(Assumptions_Sources!$D$40*Assumptions_Sources!$E$40,Assumptions_Sources!$D$40*Assumptions_Sources!$E$40/Assumptions_Sources!$G$40*(2033-Assumptions_Sources!$C$40+Assumptions_Sources!$I$40)),Assumptions_Sources!$D$40*Assumptions_Sources!$E$40*(1+Assumptions_Sources!$H$40)^(2033-(Assumptions_Sources!$C$40+Assumptions_Sources!$G$40)))))</f>
        <v>0</v>
      </c>
      <c r="U45" s="19" t="n">
        <f aca="false">IF(2034&lt;Assumptions_Sources!$C$40,0,IF(2034=Assumptions_Sources!$C$40,Assumptions_Sources!$D$40*Assumptions_Sources!$E$40/Assumptions_Sources!$G$40*Assumptions_Sources!$I$40,IF(2034&lt;Assumptions_Sources!$C$40+Assumptions_Sources!$G$40,MIN(Assumptions_Sources!$D$40*Assumptions_Sources!$E$40,Assumptions_Sources!$D$40*Assumptions_Sources!$E$40/Assumptions_Sources!$G$40*(2034-Assumptions_Sources!$C$40+Assumptions_Sources!$I$40)),Assumptions_Sources!$D$40*Assumptions_Sources!$E$40*(1+Assumptions_Sources!$H$40)^(2034-(Assumptions_Sources!$C$40+Assumptions_Sources!$G$40)))))</f>
        <v>30</v>
      </c>
      <c r="V45" s="19" t="n">
        <f aca="false">IF(2035&lt;Assumptions_Sources!$C$40,0,IF(2035=Assumptions_Sources!$C$40,Assumptions_Sources!$D$40*Assumptions_Sources!$E$40/Assumptions_Sources!$G$40*Assumptions_Sources!$I$40,IF(2035&lt;Assumptions_Sources!$C$40+Assumptions_Sources!$G$40,MIN(Assumptions_Sources!$D$40*Assumptions_Sources!$E$40,Assumptions_Sources!$D$40*Assumptions_Sources!$E$40/Assumptions_Sources!$G$40*(2035-Assumptions_Sources!$C$40+Assumptions_Sources!$I$40)),Assumptions_Sources!$D$40*Assumptions_Sources!$E$40*(1+Assumptions_Sources!$H$40)^(2035-(Assumptions_Sources!$C$40+Assumptions_Sources!$G$40)))))</f>
        <v>90</v>
      </c>
      <c r="W45" s="19" t="n">
        <f aca="false">IF(2036&lt;Assumptions_Sources!$C$40,0,IF(2036=Assumptions_Sources!$C$40,Assumptions_Sources!$D$40*Assumptions_Sources!$E$40/Assumptions_Sources!$G$40*Assumptions_Sources!$I$40,IF(2036&lt;Assumptions_Sources!$C$40+Assumptions_Sources!$G$40,MIN(Assumptions_Sources!$D$40*Assumptions_Sources!$E$40,Assumptions_Sources!$D$40*Assumptions_Sources!$E$40/Assumptions_Sources!$G$40*(2036-Assumptions_Sources!$C$40+Assumptions_Sources!$I$40)),Assumptions_Sources!$D$40*Assumptions_Sources!$E$40*(1+Assumptions_Sources!$H$40)^(2036-(Assumptions_Sources!$C$40+Assumptions_Sources!$G$40)))))</f>
        <v>150</v>
      </c>
      <c r="X45" s="20" t="n">
        <f aca="false">IF(E45&gt;0,(R45/E45)^(1/5)-1,0)</f>
        <v>0</v>
      </c>
      <c r="Y45" s="20" t="n">
        <f aca="false">IF(E45&gt;0,(W45/E45)^(1/10)-1,0)</f>
        <v>0</v>
      </c>
    </row>
    <row r="46" customFormat="false" ht="18" hidden="false" customHeight="true" outlineLevel="0" collapsed="false">
      <c r="A46" s="3" t="s">
        <v>73</v>
      </c>
      <c r="B46" s="15" t="n">
        <v>0</v>
      </c>
      <c r="C46" s="15" t="n">
        <v>0</v>
      </c>
      <c r="D46" s="15" t="n">
        <v>0</v>
      </c>
      <c r="E46" s="15" t="n">
        <v>0</v>
      </c>
      <c r="F46" s="16" t="n">
        <v>0</v>
      </c>
      <c r="G46" s="17" t="n">
        <f aca="false">IF(Assumptions_Sources!$C$41=2027,J46*Assumptions_Sources!$H$41,(J46-F46)*Assumptions_Sources!$C$45/SUM(Assumptions_Sources!$C$45:$E$45))</f>
        <v>0</v>
      </c>
      <c r="H46" s="17" t="n">
        <f aca="false">IF(Assumptions_Sources!$C$41=2027,J46*Assumptions_Sources!$I$41,(J46-F46)*Assumptions_Sources!$D$45/SUM(Assumptions_Sources!$C$45:$E$45))</f>
        <v>0</v>
      </c>
      <c r="I46" s="17" t="n">
        <f aca="false">J46-F46-G46-H46</f>
        <v>0</v>
      </c>
      <c r="J46" s="17" t="n">
        <f aca="false">IF(2027&lt;Assumptions_Sources!$C$41,0,IF(2027=Assumptions_Sources!$C$41,Assumptions_Sources!$D$41*Assumptions_Sources!$E$41/Assumptions_Sources!$G$41*Assumptions_Sources!$I$41,IF(2027&lt;Assumptions_Sources!$C$41+Assumptions_Sources!$G$41,MIN(Assumptions_Sources!$D$41*Assumptions_Sources!$E$41,Assumptions_Sources!$D$41*Assumptions_Sources!$E$41/Assumptions_Sources!$G$41*(2027-Assumptions_Sources!$C$41+Assumptions_Sources!$I$41)),Assumptions_Sources!$D$41*Assumptions_Sources!$E$41*(1+Assumptions_Sources!$H$41)^(2027-(Assumptions_Sources!$C$41+Assumptions_Sources!$G$41)))))</f>
        <v>0</v>
      </c>
      <c r="K46" s="18" t="n">
        <f aca="false">O46*Assumptions_Sources!$B$45</f>
        <v>0</v>
      </c>
      <c r="L46" s="18" t="n">
        <f aca="false">O46*Assumptions_Sources!$C$45</f>
        <v>0</v>
      </c>
      <c r="M46" s="18" t="n">
        <f aca="false">O46*Assumptions_Sources!$D$45</f>
        <v>0</v>
      </c>
      <c r="N46" s="18" t="n">
        <f aca="false">O46-K46-L46-M46</f>
        <v>0</v>
      </c>
      <c r="O46" s="18" t="n">
        <f aca="false">IF(2028&lt;Assumptions_Sources!$C$41,0,IF(2028=Assumptions_Sources!$C$41,Assumptions_Sources!$D$41*Assumptions_Sources!$E$41/Assumptions_Sources!$G$41*Assumptions_Sources!$I$41,IF(2028&lt;Assumptions_Sources!$C$41+Assumptions_Sources!$G$41,MIN(Assumptions_Sources!$D$41*Assumptions_Sources!$E$41,Assumptions_Sources!$D$41*Assumptions_Sources!$E$41/Assumptions_Sources!$G$41*(2028-Assumptions_Sources!$C$41+Assumptions_Sources!$I$41)),Assumptions_Sources!$D$41*Assumptions_Sources!$E$41*(1+Assumptions_Sources!$H$41)^(2028-(Assumptions_Sources!$C$41+Assumptions_Sources!$G$41)))))</f>
        <v>0</v>
      </c>
      <c r="P46" s="19" t="n">
        <f aca="false">IF(2029&lt;Assumptions_Sources!$C$41,0,IF(2029=Assumptions_Sources!$C$41,Assumptions_Sources!$D$41*Assumptions_Sources!$E$41/Assumptions_Sources!$G$41*Assumptions_Sources!$I$41,IF(2029&lt;Assumptions_Sources!$C$41+Assumptions_Sources!$G$41,MIN(Assumptions_Sources!$D$41*Assumptions_Sources!$E$41,Assumptions_Sources!$D$41*Assumptions_Sources!$E$41/Assumptions_Sources!$G$41*(2029-Assumptions_Sources!$C$41+Assumptions_Sources!$I$41)),Assumptions_Sources!$D$41*Assumptions_Sources!$E$41*(1+Assumptions_Sources!$H$41)^(2029-(Assumptions_Sources!$C$41+Assumptions_Sources!$G$41)))))</f>
        <v>0</v>
      </c>
      <c r="Q46" s="19" t="n">
        <f aca="false">IF(2030&lt;Assumptions_Sources!$C$41,0,IF(2030=Assumptions_Sources!$C$41,Assumptions_Sources!$D$41*Assumptions_Sources!$E$41/Assumptions_Sources!$G$41*Assumptions_Sources!$I$41,IF(2030&lt;Assumptions_Sources!$C$41+Assumptions_Sources!$G$41,MIN(Assumptions_Sources!$D$41*Assumptions_Sources!$E$41,Assumptions_Sources!$D$41*Assumptions_Sources!$E$41/Assumptions_Sources!$G$41*(2030-Assumptions_Sources!$C$41+Assumptions_Sources!$I$41)),Assumptions_Sources!$D$41*Assumptions_Sources!$E$41*(1+Assumptions_Sources!$H$41)^(2030-(Assumptions_Sources!$C$41+Assumptions_Sources!$G$41)))))</f>
        <v>0</v>
      </c>
      <c r="R46" s="19" t="n">
        <f aca="false">IF(2031&lt;Assumptions_Sources!$C$41,0,IF(2031=Assumptions_Sources!$C$41,Assumptions_Sources!$D$41*Assumptions_Sources!$E$41/Assumptions_Sources!$G$41*Assumptions_Sources!$I$41,IF(2031&lt;Assumptions_Sources!$C$41+Assumptions_Sources!$G$41,MIN(Assumptions_Sources!$D$41*Assumptions_Sources!$E$41,Assumptions_Sources!$D$41*Assumptions_Sources!$E$41/Assumptions_Sources!$G$41*(2031-Assumptions_Sources!$C$41+Assumptions_Sources!$I$41)),Assumptions_Sources!$D$41*Assumptions_Sources!$E$41*(1+Assumptions_Sources!$H$41)^(2031-(Assumptions_Sources!$C$41+Assumptions_Sources!$G$41)))))</f>
        <v>0</v>
      </c>
      <c r="S46" s="19" t="n">
        <f aca="false">IF(2032&lt;Assumptions_Sources!$C$41,0,IF(2032=Assumptions_Sources!$C$41,Assumptions_Sources!$D$41*Assumptions_Sources!$E$41/Assumptions_Sources!$G$41*Assumptions_Sources!$I$41,IF(2032&lt;Assumptions_Sources!$C$41+Assumptions_Sources!$G$41,MIN(Assumptions_Sources!$D$41*Assumptions_Sources!$E$41,Assumptions_Sources!$D$41*Assumptions_Sources!$E$41/Assumptions_Sources!$G$41*(2032-Assumptions_Sources!$C$41+Assumptions_Sources!$I$41)),Assumptions_Sources!$D$41*Assumptions_Sources!$E$41*(1+Assumptions_Sources!$H$41)^(2032-(Assumptions_Sources!$C$41+Assumptions_Sources!$G$41)))))</f>
        <v>0</v>
      </c>
      <c r="T46" s="19" t="n">
        <f aca="false">IF(2033&lt;Assumptions_Sources!$C$41,0,IF(2033=Assumptions_Sources!$C$41,Assumptions_Sources!$D$41*Assumptions_Sources!$E$41/Assumptions_Sources!$G$41*Assumptions_Sources!$I$41,IF(2033&lt;Assumptions_Sources!$C$41+Assumptions_Sources!$G$41,MIN(Assumptions_Sources!$D$41*Assumptions_Sources!$E$41,Assumptions_Sources!$D$41*Assumptions_Sources!$E$41/Assumptions_Sources!$G$41*(2033-Assumptions_Sources!$C$41+Assumptions_Sources!$I$41)),Assumptions_Sources!$D$41*Assumptions_Sources!$E$41*(1+Assumptions_Sources!$H$41)^(2033-(Assumptions_Sources!$C$41+Assumptions_Sources!$G$41)))))</f>
        <v>0</v>
      </c>
      <c r="U46" s="19" t="n">
        <f aca="false">IF(2034&lt;Assumptions_Sources!$C$41,0,IF(2034=Assumptions_Sources!$C$41,Assumptions_Sources!$D$41*Assumptions_Sources!$E$41/Assumptions_Sources!$G$41*Assumptions_Sources!$I$41,IF(2034&lt;Assumptions_Sources!$C$41+Assumptions_Sources!$G$41,MIN(Assumptions_Sources!$D$41*Assumptions_Sources!$E$41,Assumptions_Sources!$D$41*Assumptions_Sources!$E$41/Assumptions_Sources!$G$41*(2034-Assumptions_Sources!$C$41+Assumptions_Sources!$I$41)),Assumptions_Sources!$D$41*Assumptions_Sources!$E$41*(1+Assumptions_Sources!$H$41)^(2034-(Assumptions_Sources!$C$41+Assumptions_Sources!$G$41)))))</f>
        <v>0</v>
      </c>
      <c r="V46" s="19" t="n">
        <f aca="false">IF(2035&lt;Assumptions_Sources!$C$41,0,IF(2035=Assumptions_Sources!$C$41,Assumptions_Sources!$D$41*Assumptions_Sources!$E$41/Assumptions_Sources!$G$41*Assumptions_Sources!$I$41,IF(2035&lt;Assumptions_Sources!$C$41+Assumptions_Sources!$G$41,MIN(Assumptions_Sources!$D$41*Assumptions_Sources!$E$41,Assumptions_Sources!$D$41*Assumptions_Sources!$E$41/Assumptions_Sources!$G$41*(2035-Assumptions_Sources!$C$41+Assumptions_Sources!$I$41)),Assumptions_Sources!$D$41*Assumptions_Sources!$E$41*(1+Assumptions_Sources!$H$41)^(2035-(Assumptions_Sources!$C$41+Assumptions_Sources!$G$41)))))</f>
        <v>20</v>
      </c>
      <c r="W46" s="19" t="n">
        <f aca="false">IF(2036&lt;Assumptions_Sources!$C$41,0,IF(2036=Assumptions_Sources!$C$41,Assumptions_Sources!$D$41*Assumptions_Sources!$E$41/Assumptions_Sources!$G$41*Assumptions_Sources!$I$41,IF(2036&lt;Assumptions_Sources!$C$41+Assumptions_Sources!$G$41,MIN(Assumptions_Sources!$D$41*Assumptions_Sources!$E$41,Assumptions_Sources!$D$41*Assumptions_Sources!$E$41/Assumptions_Sources!$G$41*(2036-Assumptions_Sources!$C$41+Assumptions_Sources!$I$41)),Assumptions_Sources!$D$41*Assumptions_Sources!$E$41*(1+Assumptions_Sources!$H$41)^(2036-(Assumptions_Sources!$C$41+Assumptions_Sources!$G$41)))))</f>
        <v>60</v>
      </c>
      <c r="X46" s="20" t="n">
        <f aca="false">IF(E46&gt;0,(R46/E46)^(1/5)-1,0)</f>
        <v>0</v>
      </c>
      <c r="Y46" s="20" t="n">
        <f aca="false">IF(E46&gt;0,(W46/E46)^(1/10)-1,0)</f>
        <v>0</v>
      </c>
    </row>
    <row r="47" customFormat="false" ht="18" hidden="false" customHeight="true" outlineLevel="0" collapsed="false">
      <c r="A47" s="3" t="s">
        <v>74</v>
      </c>
      <c r="B47" s="15" t="n">
        <v>0</v>
      </c>
      <c r="C47" s="15" t="n">
        <v>0</v>
      </c>
      <c r="D47" s="15" t="n">
        <v>0</v>
      </c>
      <c r="E47" s="15" t="n">
        <v>0</v>
      </c>
      <c r="F47" s="16" t="n">
        <v>0</v>
      </c>
      <c r="G47" s="17" t="n">
        <f aca="false">IF(Assumptions_Sources!$C$42=2027,J47*Assumptions_Sources!$H$42,(J47-F47)*Assumptions_Sources!$C$45/SUM(Assumptions_Sources!$C$45:$E$45))</f>
        <v>0</v>
      </c>
      <c r="H47" s="17" t="n">
        <f aca="false">IF(Assumptions_Sources!$C$42=2027,J47*Assumptions_Sources!$I$42,(J47-F47)*Assumptions_Sources!$D$45/SUM(Assumptions_Sources!$C$45:$E$45))</f>
        <v>0</v>
      </c>
      <c r="I47" s="17" t="n">
        <f aca="false">J47-F47-G47-H47</f>
        <v>0</v>
      </c>
      <c r="J47" s="17" t="n">
        <f aca="false">IF(2027&lt;Assumptions_Sources!$C$42,0,IF(2027=Assumptions_Sources!$C$42,Assumptions_Sources!$D$42*Assumptions_Sources!$E$42/Assumptions_Sources!$G$42*Assumptions_Sources!$I$42,IF(2027&lt;Assumptions_Sources!$C$42+Assumptions_Sources!$G$42,MIN(Assumptions_Sources!$D$42*Assumptions_Sources!$E$42,Assumptions_Sources!$D$42*Assumptions_Sources!$E$42/Assumptions_Sources!$G$42*(2027-Assumptions_Sources!$C$42+Assumptions_Sources!$I$42)),Assumptions_Sources!$D$42*Assumptions_Sources!$E$42*(1+Assumptions_Sources!$H$42)^(2027-(Assumptions_Sources!$C$42+Assumptions_Sources!$G$42)))))</f>
        <v>0</v>
      </c>
      <c r="K47" s="18" t="n">
        <f aca="false">O47*Assumptions_Sources!$B$45</f>
        <v>0</v>
      </c>
      <c r="L47" s="18" t="n">
        <f aca="false">O47*Assumptions_Sources!$C$45</f>
        <v>0</v>
      </c>
      <c r="M47" s="18" t="n">
        <f aca="false">O47*Assumptions_Sources!$D$45</f>
        <v>0</v>
      </c>
      <c r="N47" s="18" t="n">
        <f aca="false">O47-K47-L47-M47</f>
        <v>0</v>
      </c>
      <c r="O47" s="18" t="n">
        <f aca="false">IF(2028&lt;Assumptions_Sources!$C$42,0,IF(2028=Assumptions_Sources!$C$42,Assumptions_Sources!$D$42*Assumptions_Sources!$E$42/Assumptions_Sources!$G$42*Assumptions_Sources!$I$42,IF(2028&lt;Assumptions_Sources!$C$42+Assumptions_Sources!$G$42,MIN(Assumptions_Sources!$D$42*Assumptions_Sources!$E$42,Assumptions_Sources!$D$42*Assumptions_Sources!$E$42/Assumptions_Sources!$G$42*(2028-Assumptions_Sources!$C$42+Assumptions_Sources!$I$42)),Assumptions_Sources!$D$42*Assumptions_Sources!$E$42*(1+Assumptions_Sources!$H$42)^(2028-(Assumptions_Sources!$C$42+Assumptions_Sources!$G$42)))))</f>
        <v>0</v>
      </c>
      <c r="P47" s="19" t="n">
        <f aca="false">IF(2029&lt;Assumptions_Sources!$C$42,0,IF(2029=Assumptions_Sources!$C$42,Assumptions_Sources!$D$42*Assumptions_Sources!$E$42/Assumptions_Sources!$G$42*Assumptions_Sources!$I$42,IF(2029&lt;Assumptions_Sources!$C$42+Assumptions_Sources!$G$42,MIN(Assumptions_Sources!$D$42*Assumptions_Sources!$E$42,Assumptions_Sources!$D$42*Assumptions_Sources!$E$42/Assumptions_Sources!$G$42*(2029-Assumptions_Sources!$C$42+Assumptions_Sources!$I$42)),Assumptions_Sources!$D$42*Assumptions_Sources!$E$42*(1+Assumptions_Sources!$H$42)^(2029-(Assumptions_Sources!$C$42+Assumptions_Sources!$G$42)))))</f>
        <v>0</v>
      </c>
      <c r="Q47" s="19" t="n">
        <f aca="false">IF(2030&lt;Assumptions_Sources!$C$42,0,IF(2030=Assumptions_Sources!$C$42,Assumptions_Sources!$D$42*Assumptions_Sources!$E$42/Assumptions_Sources!$G$42*Assumptions_Sources!$I$42,IF(2030&lt;Assumptions_Sources!$C$42+Assumptions_Sources!$G$42,MIN(Assumptions_Sources!$D$42*Assumptions_Sources!$E$42,Assumptions_Sources!$D$42*Assumptions_Sources!$E$42/Assumptions_Sources!$G$42*(2030-Assumptions_Sources!$C$42+Assumptions_Sources!$I$42)),Assumptions_Sources!$D$42*Assumptions_Sources!$E$42*(1+Assumptions_Sources!$H$42)^(2030-(Assumptions_Sources!$C$42+Assumptions_Sources!$G$42)))))</f>
        <v>0</v>
      </c>
      <c r="R47" s="19" t="n">
        <f aca="false">IF(2031&lt;Assumptions_Sources!$C$42,0,IF(2031=Assumptions_Sources!$C$42,Assumptions_Sources!$D$42*Assumptions_Sources!$E$42/Assumptions_Sources!$G$42*Assumptions_Sources!$I$42,IF(2031&lt;Assumptions_Sources!$C$42+Assumptions_Sources!$G$42,MIN(Assumptions_Sources!$D$42*Assumptions_Sources!$E$42,Assumptions_Sources!$D$42*Assumptions_Sources!$E$42/Assumptions_Sources!$G$42*(2031-Assumptions_Sources!$C$42+Assumptions_Sources!$I$42)),Assumptions_Sources!$D$42*Assumptions_Sources!$E$42*(1+Assumptions_Sources!$H$42)^(2031-(Assumptions_Sources!$C$42+Assumptions_Sources!$G$42)))))</f>
        <v>0</v>
      </c>
      <c r="S47" s="19" t="n">
        <f aca="false">IF(2032&lt;Assumptions_Sources!$C$42,0,IF(2032=Assumptions_Sources!$C$42,Assumptions_Sources!$D$42*Assumptions_Sources!$E$42/Assumptions_Sources!$G$42*Assumptions_Sources!$I$42,IF(2032&lt;Assumptions_Sources!$C$42+Assumptions_Sources!$G$42,MIN(Assumptions_Sources!$D$42*Assumptions_Sources!$E$42,Assumptions_Sources!$D$42*Assumptions_Sources!$E$42/Assumptions_Sources!$G$42*(2032-Assumptions_Sources!$C$42+Assumptions_Sources!$I$42)),Assumptions_Sources!$D$42*Assumptions_Sources!$E$42*(1+Assumptions_Sources!$H$42)^(2032-(Assumptions_Sources!$C$42+Assumptions_Sources!$G$42)))))</f>
        <v>0</v>
      </c>
      <c r="T47" s="19" t="n">
        <f aca="false">IF(2033&lt;Assumptions_Sources!$C$42,0,IF(2033=Assumptions_Sources!$C$42,Assumptions_Sources!$D$42*Assumptions_Sources!$E$42/Assumptions_Sources!$G$42*Assumptions_Sources!$I$42,IF(2033&lt;Assumptions_Sources!$C$42+Assumptions_Sources!$G$42,MIN(Assumptions_Sources!$D$42*Assumptions_Sources!$E$42,Assumptions_Sources!$D$42*Assumptions_Sources!$E$42/Assumptions_Sources!$G$42*(2033-Assumptions_Sources!$C$42+Assumptions_Sources!$I$42)),Assumptions_Sources!$D$42*Assumptions_Sources!$E$42*(1+Assumptions_Sources!$H$42)^(2033-(Assumptions_Sources!$C$42+Assumptions_Sources!$G$42)))))</f>
        <v>0</v>
      </c>
      <c r="U47" s="19" t="n">
        <f aca="false">IF(2034&lt;Assumptions_Sources!$C$42,0,IF(2034=Assumptions_Sources!$C$42,Assumptions_Sources!$D$42*Assumptions_Sources!$E$42/Assumptions_Sources!$G$42*Assumptions_Sources!$I$42,IF(2034&lt;Assumptions_Sources!$C$42+Assumptions_Sources!$G$42,MIN(Assumptions_Sources!$D$42*Assumptions_Sources!$E$42,Assumptions_Sources!$D$42*Assumptions_Sources!$E$42/Assumptions_Sources!$G$42*(2034-Assumptions_Sources!$C$42+Assumptions_Sources!$I$42)),Assumptions_Sources!$D$42*Assumptions_Sources!$E$42*(1+Assumptions_Sources!$H$42)^(2034-(Assumptions_Sources!$C$42+Assumptions_Sources!$G$42)))))</f>
        <v>0</v>
      </c>
      <c r="V47" s="19" t="n">
        <f aca="false">IF(2035&lt;Assumptions_Sources!$C$42,0,IF(2035=Assumptions_Sources!$C$42,Assumptions_Sources!$D$42*Assumptions_Sources!$E$42/Assumptions_Sources!$G$42*Assumptions_Sources!$I$42,IF(2035&lt;Assumptions_Sources!$C$42+Assumptions_Sources!$G$42,MIN(Assumptions_Sources!$D$42*Assumptions_Sources!$E$42,Assumptions_Sources!$D$42*Assumptions_Sources!$E$42/Assumptions_Sources!$G$42*(2035-Assumptions_Sources!$C$42+Assumptions_Sources!$I$42)),Assumptions_Sources!$D$42*Assumptions_Sources!$E$42*(1+Assumptions_Sources!$H$42)^(2035-(Assumptions_Sources!$C$42+Assumptions_Sources!$G$42)))))</f>
        <v>0</v>
      </c>
      <c r="W47" s="19" t="n">
        <f aca="false">IF(2036&lt;Assumptions_Sources!$C$42,0,IF(2036=Assumptions_Sources!$C$42,Assumptions_Sources!$D$42*Assumptions_Sources!$E$42/Assumptions_Sources!$G$42*Assumptions_Sources!$I$42,IF(2036&lt;Assumptions_Sources!$C$42+Assumptions_Sources!$G$42,MIN(Assumptions_Sources!$D$42*Assumptions_Sources!$E$42,Assumptions_Sources!$D$42*Assumptions_Sources!$E$42/Assumptions_Sources!$G$42*(2036-Assumptions_Sources!$C$42+Assumptions_Sources!$I$42)),Assumptions_Sources!$D$42*Assumptions_Sources!$E$42*(1+Assumptions_Sources!$H$42)^(2036-(Assumptions_Sources!$C$42+Assumptions_Sources!$G$42)))))</f>
        <v>0</v>
      </c>
      <c r="X47" s="20" t="n">
        <f aca="false">IF(E47&gt;0,(R47/E47)^(1/5)-1,0)</f>
        <v>0</v>
      </c>
      <c r="Y47" s="20" t="n">
        <f aca="false">IF(E47&gt;0,(W47/E47)^(1/10)-1,0)</f>
        <v>0</v>
      </c>
    </row>
    <row r="48" customFormat="false" ht="18" hidden="false" customHeight="true" outlineLevel="0" collapsed="false">
      <c r="A48" s="21" t="s">
        <v>75</v>
      </c>
      <c r="B48" s="22" t="n">
        <f aca="false">SUM(B42:B47)</f>
        <v>0</v>
      </c>
      <c r="C48" s="22" t="n">
        <f aca="false">SUM(C42:C47)</f>
        <v>0</v>
      </c>
      <c r="D48" s="22" t="n">
        <f aca="false">SUM(D42:D47)</f>
        <v>0</v>
      </c>
      <c r="E48" s="22" t="n">
        <f aca="false">SUM(E42:E47)</f>
        <v>0</v>
      </c>
      <c r="F48" s="22" t="n">
        <f aca="false">SUM(F42:F47)</f>
        <v>0</v>
      </c>
      <c r="G48" s="22" t="n">
        <f aca="false">SUM(G42:G47)</f>
        <v>0</v>
      </c>
      <c r="H48" s="22" t="n">
        <f aca="false">SUM(H42:H47)</f>
        <v>0</v>
      </c>
      <c r="I48" s="22" t="n">
        <f aca="false">SUM(I42:I47)</f>
        <v>0</v>
      </c>
      <c r="J48" s="22" t="n">
        <f aca="false">SUM(J42:J47)</f>
        <v>0</v>
      </c>
      <c r="K48" s="22" t="n">
        <f aca="false">SUM(K42:K47)</f>
        <v>0</v>
      </c>
      <c r="L48" s="22" t="n">
        <f aca="false">SUM(L42:L47)</f>
        <v>0</v>
      </c>
      <c r="M48" s="22" t="n">
        <f aca="false">SUM(M42:M47)</f>
        <v>0</v>
      </c>
      <c r="N48" s="22" t="n">
        <f aca="false">SUM(N42:N47)</f>
        <v>0</v>
      </c>
      <c r="O48" s="22" t="n">
        <f aca="false">SUM(O42:O47)</f>
        <v>0</v>
      </c>
      <c r="P48" s="22" t="n">
        <f aca="false">SUM(P42:P47)</f>
        <v>0</v>
      </c>
      <c r="Q48" s="22" t="n">
        <f aca="false">SUM(Q42:Q47)</f>
        <v>0</v>
      </c>
      <c r="R48" s="22" t="n">
        <f aca="false">SUM(R42:R47)</f>
        <v>91.6666666666667</v>
      </c>
      <c r="S48" s="22" t="n">
        <f aca="false">SUM(S42:S47)</f>
        <v>319</v>
      </c>
      <c r="T48" s="22" t="n">
        <f aca="false">SUM(T42:T47)</f>
        <v>650.333333333333</v>
      </c>
      <c r="U48" s="22" t="n">
        <f aca="false">SUM(U42:U47)</f>
        <v>1071.66666666667</v>
      </c>
      <c r="V48" s="22" t="n">
        <f aca="false">SUM(V42:V47)</f>
        <v>1543</v>
      </c>
      <c r="W48" s="22" t="n">
        <f aca="false">SUM(W42:W47)</f>
        <v>2034.33333333333</v>
      </c>
      <c r="X48" s="20"/>
      <c r="Y48" s="20"/>
    </row>
    <row r="49" customFormat="false" ht="18" hidden="false" customHeight="true" outlineLevel="0" collapsed="false">
      <c r="A49" s="3"/>
      <c r="B49" s="23"/>
      <c r="C49" s="23"/>
      <c r="D49" s="23"/>
      <c r="E49" s="23"/>
      <c r="F49" s="17"/>
      <c r="G49" s="17"/>
      <c r="H49" s="17"/>
      <c r="I49" s="17"/>
      <c r="J49" s="17"/>
      <c r="K49" s="18"/>
      <c r="L49" s="18"/>
      <c r="M49" s="18"/>
      <c r="N49" s="18"/>
      <c r="O49" s="18"/>
      <c r="P49" s="19"/>
      <c r="Q49" s="19"/>
      <c r="R49" s="19"/>
      <c r="S49" s="19"/>
      <c r="T49" s="19"/>
      <c r="U49" s="19"/>
      <c r="V49" s="19"/>
      <c r="W49" s="19"/>
      <c r="X49" s="20"/>
      <c r="Y49" s="20"/>
    </row>
    <row r="50" customFormat="false" ht="18" hidden="false" customHeight="true" outlineLevel="0" collapsed="false">
      <c r="A50" s="14" t="s">
        <v>76</v>
      </c>
      <c r="B50" s="24" t="n">
        <f aca="false">SUM(B14,B22,B28,B34,B44,B48)</f>
        <v>32217.2</v>
      </c>
      <c r="C50" s="24" t="n">
        <f aca="false">SUM(C14,C22,C28,C34,C44,C48)</f>
        <v>34237.1</v>
      </c>
      <c r="D50" s="24" t="n">
        <f aca="false">SUM(D14,D22,D28,D34,D44,D48)</f>
        <v>37230</v>
      </c>
      <c r="E50" s="24" t="n">
        <f aca="false">SUM(E14,E22,E28,E34,E44,E48)</f>
        <v>37901.7</v>
      </c>
      <c r="F50" s="24" t="n">
        <f aca="false">SUM(F14,F22,F28,F34,F44,F48)</f>
        <v>8990</v>
      </c>
      <c r="G50" s="24" t="n">
        <f aca="false">SUM(G14,G22,G28,G34,G44,G48)</f>
        <v>10703.9444083969</v>
      </c>
      <c r="H50" s="24" t="n">
        <f aca="false">SUM(H14,H22,H28,H34,H44,H48)</f>
        <v>10787.2777417303</v>
      </c>
      <c r="I50" s="24" t="n">
        <f aca="false">SUM(I14,I22,I28,I34,I44,I48)</f>
        <v>10706.8461832061</v>
      </c>
      <c r="J50" s="24"/>
      <c r="K50" s="24"/>
      <c r="L50" s="24"/>
      <c r="M50" s="24"/>
      <c r="N50" s="24"/>
      <c r="O50" s="24"/>
      <c r="P50" s="24" t="n">
        <f aca="false">SUM(P14,P22,P28,P34,P44,P48)</f>
        <v>48492.2865954167</v>
      </c>
      <c r="Q50" s="24" t="n">
        <f aca="false">SUM(Q14,Q22,Q28,Q34,Q44,Q48)</f>
        <v>52030.9836239833</v>
      </c>
      <c r="R50" s="24" t="n">
        <f aca="false">SUM(R14,R22,R28,R34,R44,R48)</f>
        <v>55969.9131308831</v>
      </c>
      <c r="S50" s="24" t="n">
        <f aca="false">SUM(S14,S22,S28,S34,S44,S48)</f>
        <v>59606.9680559993</v>
      </c>
      <c r="T50" s="24" t="n">
        <f aca="false">SUM(T14,T22,T28,T34,T44,T48)</f>
        <v>63277.9542148628</v>
      </c>
      <c r="U50" s="24" t="n">
        <f aca="false">SUM(U14,U22,U28,U34,U44,U48)</f>
        <v>67052.5409190588</v>
      </c>
      <c r="V50" s="24" t="n">
        <f aca="false">SUM(V14,V22,V28,V34,V44,V48)</f>
        <v>70910.6145675331</v>
      </c>
      <c r="W50" s="24" t="n">
        <f aca="false">SUM(W14,W22,W28,W34,W44,W48)</f>
        <v>74862.2319629301</v>
      </c>
      <c r="X50" s="25"/>
      <c r="Y50" s="25"/>
    </row>
    <row r="51" customFormat="false" ht="18" hidden="false" customHeight="true" outlineLevel="0" collapsed="false">
      <c r="A51" s="3" t="s">
        <v>77</v>
      </c>
      <c r="B51" s="15" t="n">
        <v>300</v>
      </c>
      <c r="C51" s="15" t="n">
        <v>300</v>
      </c>
      <c r="D51" s="15" t="n">
        <v>262.1</v>
      </c>
      <c r="E51" s="15" t="n">
        <v>315</v>
      </c>
      <c r="F51" s="16" t="n">
        <v>144.4</v>
      </c>
      <c r="G51" s="17" t="n">
        <f aca="false">(J51-F51)*Assumptions_Sources!$C$45/SUM(Assumptions_Sources!$C$45:$E$45)</f>
        <v>135.716030534351</v>
      </c>
      <c r="H51" s="17" t="n">
        <f aca="false">(J51-F51)*Assumptions_Sources!$D$45/SUM(Assumptions_Sources!$C$45:$E$45)</f>
        <v>135.716030534351</v>
      </c>
      <c r="I51" s="17" t="n">
        <f aca="false">J51-F51-G51-H51</f>
        <v>134.167938931298</v>
      </c>
      <c r="J51" s="17" t="n">
        <v>550</v>
      </c>
      <c r="K51" s="18" t="n">
        <v>123.585</v>
      </c>
      <c r="L51" s="18" t="n">
        <v>151.8825</v>
      </c>
      <c r="M51" s="18" t="n">
        <v>151.8825</v>
      </c>
      <c r="N51" s="18" t="n">
        <v>150.15</v>
      </c>
      <c r="O51" s="18" t="n">
        <v>577.5</v>
      </c>
      <c r="P51" s="19" t="n">
        <v>606.375</v>
      </c>
      <c r="Q51" s="19" t="n">
        <v>630.63</v>
      </c>
      <c r="R51" s="19" t="n">
        <v>655.8552</v>
      </c>
      <c r="S51" s="19" t="n">
        <v>675.530856</v>
      </c>
      <c r="T51" s="19" t="n">
        <v>695.79678168</v>
      </c>
      <c r="U51" s="19" t="n">
        <v>716.6706851304</v>
      </c>
      <c r="V51" s="19" t="n">
        <v>738.170805684312</v>
      </c>
      <c r="W51" s="19" t="n">
        <v>760.315929854841</v>
      </c>
      <c r="X51" s="20" t="n">
        <f aca="false">IF(E51&gt;0,(R51/E51)^(1/5)-1,0)</f>
        <v>0.157975797657415</v>
      </c>
      <c r="Y51" s="20" t="n">
        <f aca="false">IF(E51&gt;0,(W51/E51)^(1/10)-1,0)</f>
        <v>0.0921149534674164</v>
      </c>
    </row>
    <row r="52" customFormat="false" ht="18" hidden="false" customHeight="true" outlineLevel="0" collapsed="false">
      <c r="A52" s="21" t="s">
        <v>78</v>
      </c>
      <c r="B52" s="22" t="n">
        <f aca="false">SUM(B51)</f>
        <v>300</v>
      </c>
      <c r="C52" s="22" t="n">
        <f aca="false">SUM(C51)</f>
        <v>300</v>
      </c>
      <c r="D52" s="22" t="n">
        <f aca="false">SUM(D51)</f>
        <v>262.1</v>
      </c>
      <c r="E52" s="22" t="n">
        <f aca="false">SUM(E51)</f>
        <v>315</v>
      </c>
      <c r="F52" s="22" t="n">
        <f aca="false">SUM(F51)</f>
        <v>144.4</v>
      </c>
      <c r="G52" s="22" t="n">
        <f aca="false">SUM(G51)</f>
        <v>135.716030534351</v>
      </c>
      <c r="H52" s="22" t="n">
        <f aca="false">SUM(H51)</f>
        <v>135.716030534351</v>
      </c>
      <c r="I52" s="22" t="n">
        <f aca="false">SUM(I51)</f>
        <v>134.167938931298</v>
      </c>
      <c r="J52" s="22" t="n">
        <f aca="false">SUM(J51)</f>
        <v>550</v>
      </c>
      <c r="K52" s="22" t="n">
        <f aca="false">SUM(K51)</f>
        <v>123.585</v>
      </c>
      <c r="L52" s="22" t="n">
        <f aca="false">SUM(L51)</f>
        <v>151.8825</v>
      </c>
      <c r="M52" s="22" t="n">
        <f aca="false">SUM(M51)</f>
        <v>151.8825</v>
      </c>
      <c r="N52" s="22" t="n">
        <f aca="false">SUM(N51)</f>
        <v>150.15</v>
      </c>
      <c r="O52" s="22" t="n">
        <f aca="false">SUM(O51)</f>
        <v>577.5</v>
      </c>
      <c r="P52" s="22" t="n">
        <f aca="false">SUM(P51)</f>
        <v>606.375</v>
      </c>
      <c r="Q52" s="22" t="n">
        <f aca="false">SUM(Q51)</f>
        <v>630.63</v>
      </c>
      <c r="R52" s="22" t="n">
        <f aca="false">SUM(R51)</f>
        <v>655.8552</v>
      </c>
      <c r="S52" s="22" t="n">
        <f aca="false">SUM(S51)</f>
        <v>675.530856</v>
      </c>
      <c r="T52" s="22" t="n">
        <f aca="false">SUM(T51)</f>
        <v>695.79678168</v>
      </c>
      <c r="U52" s="22" t="n">
        <f aca="false">SUM(U51)</f>
        <v>716.6706851304</v>
      </c>
      <c r="V52" s="22" t="n">
        <f aca="false">SUM(V51)</f>
        <v>738.170805684312</v>
      </c>
      <c r="W52" s="22" t="n">
        <f aca="false">SUM(W51)</f>
        <v>760.315929854841</v>
      </c>
      <c r="X52" s="20"/>
      <c r="Y52" s="20"/>
    </row>
    <row r="53" customFormat="false" ht="18" hidden="false" customHeight="true" outlineLevel="0" collapsed="false">
      <c r="A53" s="3"/>
      <c r="B53" s="23" t="n">
        <f aca="false">IF(B50=0,0,B52/B50)</f>
        <v>0.00931179618340514</v>
      </c>
      <c r="C53" s="23" t="n">
        <f aca="false">IF(C50=0,0,C52/C50)</f>
        <v>0.00876242438757956</v>
      </c>
      <c r="D53" s="23" t="n">
        <f aca="false">IF(D50=0,0,D52/D50)</f>
        <v>0.00704002148804727</v>
      </c>
      <c r="E53" s="23" t="n">
        <f aca="false">IF(E50=0,0,E52/E50)</f>
        <v>0.00831097285873721</v>
      </c>
      <c r="F53" s="17" t="n">
        <f aca="false">IF(F50=0,0,F52/F50)</f>
        <v>0.0160622914349277</v>
      </c>
      <c r="G53" s="17" t="n">
        <f aca="false">IF(G50=0,0,G52/G50)</f>
        <v>0.0126790672070275</v>
      </c>
      <c r="H53" s="17" t="n">
        <f aca="false">IF(H50=0,0,H52/H50)</f>
        <v>0.0125811195172381</v>
      </c>
      <c r="I53" s="17" t="n">
        <f aca="false">IF(I50=0,0,I52/I50)</f>
        <v>0.0125310419740355</v>
      </c>
      <c r="J53" s="17" t="n">
        <f aca="false">IF(J50=0,0,J52/J50)</f>
        <v>0</v>
      </c>
      <c r="K53" s="18" t="n">
        <f aca="false">IF(K50=0,0,K52/K50)</f>
        <v>0</v>
      </c>
      <c r="L53" s="18" t="n">
        <f aca="false">IF(L50=0,0,L52/L50)</f>
        <v>0</v>
      </c>
      <c r="M53" s="18" t="n">
        <f aca="false">IF(M50=0,0,M52/M50)</f>
        <v>0</v>
      </c>
      <c r="N53" s="18" t="n">
        <f aca="false">IF(N50=0,0,N52/N50)</f>
        <v>0</v>
      </c>
      <c r="O53" s="18" t="n">
        <f aca="false">IF(O50=0,0,O52/O50)</f>
        <v>0</v>
      </c>
      <c r="P53" s="19" t="n">
        <f aca="false">IF(P50=0,0,P52/P50)</f>
        <v>0.0125045660366388</v>
      </c>
      <c r="Q53" s="19" t="n">
        <f aca="false">IF(Q50=0,0,Q52/Q50)</f>
        <v>0.0121202782664542</v>
      </c>
      <c r="R53" s="19" t="n">
        <f aca="false">IF(R50=0,0,R52/R50)</f>
        <v>0.0117179956750391</v>
      </c>
      <c r="S53" s="19" t="n">
        <f aca="false">IF(S50=0,0,S52/S50)</f>
        <v>0.0113330853427297</v>
      </c>
      <c r="T53" s="19" t="n">
        <f aca="false">IF(T50=0,0,T52/T50)</f>
        <v>0.0109958798496771</v>
      </c>
      <c r="U53" s="19" t="n">
        <f aca="false">IF(U50=0,0,U52/U50)</f>
        <v>0.0106881957835948</v>
      </c>
      <c r="V53" s="19" t="n">
        <f aca="false">IF(V50=0,0,V52/V50)</f>
        <v>0.0104098774236585</v>
      </c>
      <c r="W53" s="19" t="n">
        <f aca="false">IF(W50=0,0,W52/W50)</f>
        <v>0.0101562017310856</v>
      </c>
      <c r="X53" s="20"/>
      <c r="Y53" s="20"/>
    </row>
    <row r="54" customFormat="false" ht="15" hidden="false" customHeight="true" outlineLevel="0" collapsed="false">
      <c r="A54" s="26" t="s">
        <v>79</v>
      </c>
      <c r="B54" s="27" t="n">
        <f aca="false">B14+B22+B28+B35+B39+B48+B52</f>
        <v>32517.2</v>
      </c>
      <c r="C54" s="27" t="n">
        <f aca="false">C14+C22+C28+C35+C39+C48+C52</f>
        <v>34537.1</v>
      </c>
      <c r="D54" s="27" t="n">
        <f aca="false">D14+D22+D28+D35+D39+D48+D52</f>
        <v>37492.1</v>
      </c>
      <c r="E54" s="27" t="n">
        <f aca="false">E14+E22+E28+E35+E39+E48+E52</f>
        <v>38330.7</v>
      </c>
      <c r="F54" s="28" t="n">
        <f aca="false">F14+F22+F28+F35+F39+F48+F52</f>
        <v>9384.4</v>
      </c>
      <c r="G54" s="28" t="n">
        <f aca="false">G14+G22+G28+G35+G39+G48+G52</f>
        <v>11157.5357569975</v>
      </c>
      <c r="H54" s="28" t="n">
        <f aca="false">H14+H22+H28+H35+H39+H48+H52</f>
        <v>11307.5357569975</v>
      </c>
      <c r="I54" s="28" t="n">
        <f aca="false">I14+I22+I28+I35+I39+I48+I52</f>
        <v>11505.2634860051</v>
      </c>
      <c r="J54" s="28" t="n">
        <f aca="false">J14+J22+J28+J35+J39+J48+J52</f>
        <v>43354.735</v>
      </c>
      <c r="K54" s="29" t="n">
        <f aca="false">K14+K22+K28+K35+K39+K48+K52</f>
        <v>10305.8793565</v>
      </c>
      <c r="L54" s="29" t="n">
        <f aca="false">L14+L22+L28+L35+L39+L48+L52</f>
        <v>12665.63677925</v>
      </c>
      <c r="M54" s="29" t="n">
        <f aca="false">M14+M22+M28+M35+M39+M48+M52</f>
        <v>12665.63677925</v>
      </c>
      <c r="N54" s="29" t="n">
        <f aca="false">N14+N22+N28+N35+N39+N48+N52</f>
        <v>12521.161835</v>
      </c>
      <c r="O54" s="29" t="n">
        <f aca="false">O14+O22+O28+O35+O39+O48+O52</f>
        <v>48158.31475</v>
      </c>
      <c r="P54" s="30" t="n">
        <f aca="false">P14+P22+P28+P35+P39+P48+P52</f>
        <v>52887.99492875</v>
      </c>
      <c r="Q54" s="30" t="n">
        <f aca="false">Q14+Q22+Q28+Q35+Q39+Q48+Q52</f>
        <v>57489.58029065</v>
      </c>
      <c r="R54" s="30" t="n">
        <f aca="false">R14+R22+R28+R35+R39+R48+R52</f>
        <v>62428.9666642164</v>
      </c>
      <c r="S54" s="30" t="n">
        <f aca="false">S14+S22+S28+S35+S39+S48+S52</f>
        <v>66873.8145453326</v>
      </c>
      <c r="T54" s="30" t="n">
        <f aca="false">T14+T22+T28+T35+T39+T48+T52</f>
        <v>71196.8972092094</v>
      </c>
      <c r="U54" s="30" t="n">
        <f aca="false">U14+U22+U28+U35+U39+U48+U52</f>
        <v>75258.7186824425</v>
      </c>
      <c r="V54" s="30" t="n">
        <f aca="false">V14+V22+V28+V35+V39+V48+V52</f>
        <v>79272.5323696758</v>
      </c>
      <c r="W54" s="30" t="n">
        <f aca="false">W14+W22+W28+W35+W39+W48+W52</f>
        <v>83397.5322546104</v>
      </c>
      <c r="X54" s="31" t="n">
        <f aca="false">(R54/E54)^(1/5)-1</f>
        <v>0.102472789235263</v>
      </c>
      <c r="Y54" s="31" t="n">
        <f aca="false">(W54/E54)^(1/10)-1</f>
        <v>0.0808380990154392</v>
      </c>
    </row>
    <row r="55" customFormat="false" ht="15" hidden="false" customHeight="true" outlineLevel="0" collapsed="false">
      <c r="A55" s="32" t="s">
        <v>80</v>
      </c>
      <c r="B55" s="33"/>
      <c r="C55" s="34" t="n">
        <f aca="false">C54/B54-1</f>
        <v>0.0621178945296643</v>
      </c>
      <c r="D55" s="34" t="n">
        <f aca="false">D54/C54-1</f>
        <v>0.0855601657348184</v>
      </c>
      <c r="E55" s="34" t="n">
        <f aca="false">E54/D54-1</f>
        <v>0.0223673787277854</v>
      </c>
      <c r="F55" s="35" t="n">
        <f aca="false">$J$64/$F$64-1</f>
        <v>0.165517840952842</v>
      </c>
      <c r="G55" s="35" t="n">
        <f aca="false">G54/$G$64-1</f>
        <v>0.138593766658924</v>
      </c>
      <c r="H55" s="35" t="n">
        <f aca="false">H54/$H$64-1</f>
        <v>0.0859473865314575</v>
      </c>
      <c r="I55" s="35" t="n">
        <f aca="false">I54/$I$64-1</f>
        <v>0.15595935758114</v>
      </c>
      <c r="J55" s="35" t="n">
        <f aca="false">J54/E54-1</f>
        <v>0.131070786601862</v>
      </c>
      <c r="K55" s="36" t="n">
        <f aca="false">K54/F54-1</f>
        <v>0.0981926768360257</v>
      </c>
      <c r="L55" s="36" t="n">
        <f aca="false">L54/G54-1</f>
        <v>0.135164345882265</v>
      </c>
      <c r="M55" s="36" t="n">
        <f aca="false">M54/H54-1</f>
        <v>0.120105834855495</v>
      </c>
      <c r="N55" s="36" t="n">
        <f aca="false">N54/I54-1</f>
        <v>0.0882985731035748</v>
      </c>
      <c r="O55" s="36" t="n">
        <f aca="false">O54/J54-1</f>
        <v>0.110797119391919</v>
      </c>
      <c r="P55" s="37" t="n">
        <f aca="false">P54/O54-1</f>
        <v>0.0982110815817119</v>
      </c>
      <c r="Q55" s="37" t="n">
        <f aca="false">Q54/P54-1</f>
        <v>0.0870062358782782</v>
      </c>
      <c r="R55" s="37" t="n">
        <f aca="false">R54/Q54-1</f>
        <v>0.0859179411050552</v>
      </c>
      <c r="S55" s="37" t="n">
        <f aca="false">S54/R54-1</f>
        <v>0.0711984855527639</v>
      </c>
      <c r="T55" s="37" t="n">
        <f aca="false">T54/S54-1</f>
        <v>0.0646453726809058</v>
      </c>
      <c r="U55" s="37" t="n">
        <f aca="false">U54/T54-1</f>
        <v>0.0570505405775987</v>
      </c>
      <c r="V55" s="37" t="n">
        <f aca="false">V54/U54-1</f>
        <v>0.0533335373961086</v>
      </c>
      <c r="W55" s="37" t="n">
        <f aca="false">W54/V54-1</f>
        <v>0.0520356769441688</v>
      </c>
      <c r="X55" s="20"/>
      <c r="Y55" s="20"/>
    </row>
    <row r="56" customFormat="false" ht="15" hidden="false" customHeight="true" outlineLevel="0" collapsed="false">
      <c r="A56" s="32" t="s">
        <v>81</v>
      </c>
      <c r="B56" s="33" t="n">
        <f aca="false">B21+B33+B34+B38+B48</f>
        <v>0</v>
      </c>
      <c r="C56" s="33" t="n">
        <f aca="false">C21+C33+C34+C38+C48</f>
        <v>0</v>
      </c>
      <c r="D56" s="33" t="n">
        <f aca="false">D21+D33+D34+D38+D48</f>
        <v>0</v>
      </c>
      <c r="E56" s="33" t="n">
        <f aca="false">E21+E33+E34+E38+E48</f>
        <v>114</v>
      </c>
      <c r="F56" s="38" t="n">
        <f aca="false">F21+F33+F34+F38+F48</f>
        <v>0</v>
      </c>
      <c r="G56" s="38" t="n">
        <f aca="false">G21+G33+G34+G38+G48</f>
        <v>0</v>
      </c>
      <c r="H56" s="38" t="n">
        <f aca="false">H21+H33+H34+H38+H48</f>
        <v>150</v>
      </c>
      <c r="I56" s="38" t="n">
        <f aca="false">I21+I33+I34+I38+I48</f>
        <v>475</v>
      </c>
      <c r="J56" s="38" t="n">
        <f aca="false">J21+J33+J34+J38+J48</f>
        <v>625</v>
      </c>
      <c r="K56" s="39" t="n">
        <f aca="false">K21+K33+K34+K38+K48</f>
        <v>401.25</v>
      </c>
      <c r="L56" s="39" t="n">
        <f aca="false">L21+L33+L34+L38+L48</f>
        <v>493.125</v>
      </c>
      <c r="M56" s="39" t="n">
        <f aca="false">M21+M33+M34+M38+M48</f>
        <v>493.125</v>
      </c>
      <c r="N56" s="39" t="n">
        <f aca="false">N21+N33+N34+N38+N48</f>
        <v>487.5</v>
      </c>
      <c r="O56" s="39" t="n">
        <f aca="false">O21+O33+O34+O38+O48</f>
        <v>1875</v>
      </c>
      <c r="P56" s="40" t="n">
        <f aca="false">P21+P33+P34+P38+P48</f>
        <v>3250</v>
      </c>
      <c r="Q56" s="40" t="n">
        <f aca="false">Q21+Q33+Q34+Q38+Q48</f>
        <v>4750</v>
      </c>
      <c r="R56" s="40" t="n">
        <f aca="false">R21+R33+R34+R38+R48</f>
        <v>6341.66666666667</v>
      </c>
      <c r="S56" s="40" t="n">
        <f aca="false">S21+S33+S34+S38+S48</f>
        <v>8069</v>
      </c>
      <c r="T56" s="40" t="n">
        <f aca="false">T21+T33+T34+T38+T48</f>
        <v>9525.33333333333</v>
      </c>
      <c r="U56" s="40" t="n">
        <f aca="false">U21+U33+U34+U38+U48</f>
        <v>10561.6666666667</v>
      </c>
      <c r="V56" s="40" t="n">
        <f aca="false">V21+V33+V34+V38+V48</f>
        <v>11381.05</v>
      </c>
      <c r="W56" s="40" t="n">
        <f aca="false">W21+W33+W34+W38+W48</f>
        <v>12131.7168333333</v>
      </c>
      <c r="X56" s="20"/>
      <c r="Y56" s="20"/>
    </row>
    <row r="57" customFormat="false" ht="15" hidden="false" customHeight="true" outlineLevel="0" collapsed="false">
      <c r="A57" s="32" t="s">
        <v>82</v>
      </c>
      <c r="B57" s="34" t="n">
        <f aca="false">IF(B54=0,0,(B19+B25+B26+B35+B21+B39+B48)/B54)</f>
        <v>0.0107635343756535</v>
      </c>
      <c r="C57" s="34" t="n">
        <f aca="false">IF(C54=0,0,(C19+C25+C26+C35+C21+C39+C48)/C54)</f>
        <v>0.0289543708070452</v>
      </c>
      <c r="D57" s="34" t="n">
        <f aca="false">IF(D54=0,0,(D19+D25+D26+D35+D21+D39+D48)/D54)</f>
        <v>0.037607922735723</v>
      </c>
      <c r="E57" s="34" t="n">
        <f aca="false">IF(E54=0,0,(E19+E25+E26+E35+E21+E39+E48)/E54)</f>
        <v>0.0573430696543502</v>
      </c>
      <c r="F57" s="35" t="n">
        <f aca="false">IF(F54=0,0,(F19+F25+F26+F35+F21+F39+F48)/F54)</f>
        <v>0.0678786070499979</v>
      </c>
      <c r="G57" s="35" t="n">
        <f aca="false">IF(G54=0,0,(G19+G25+G26+G35+G21+G39+G48)/G54)</f>
        <v>0.0960284249655912</v>
      </c>
      <c r="H57" s="35" t="n">
        <f aca="false">IF(H54=0,0,(H19+H25+H26+H35+H21+H39+H48)/H54)</f>
        <v>0.108020050653907</v>
      </c>
      <c r="I57" s="35" t="n">
        <f aca="false">IF(I54=0,0,(I19+I25+I26+I35+I21+I39+I48)/I54)</f>
        <v>0.133349299768993</v>
      </c>
      <c r="J57" s="35" t="n">
        <f aca="false">IF(J54=0,0,(J19+J25+J26+J35+J21+J39+J48)/J54)</f>
        <v>0.102966838570228</v>
      </c>
      <c r="K57" s="36" t="n">
        <f aca="false">IF(K54=0,0,(K19+K25+K26+K35+K21+K39+K48)/K54)</f>
        <v>0.138226182426784</v>
      </c>
      <c r="L57" s="36" t="n">
        <f aca="false">IF(L54=0,0,(L19+L25+L26+L35+L21+L39+L48)/L54)</f>
        <v>0.138226182426784</v>
      </c>
      <c r="M57" s="36" t="n">
        <f aca="false">IF(M54=0,0,(M19+M25+M26+M35+M21+M39+M48)/M54)</f>
        <v>0.138226182426784</v>
      </c>
      <c r="N57" s="36" t="n">
        <f aca="false">IF(N54=0,0,(N19+N25+N26+N35+N21+N39+N48)/N54)</f>
        <v>0.138226182426784</v>
      </c>
      <c r="O57" s="36" t="n">
        <f aca="false">IF(O54=0,0,(O19+O25+O26+O35+O21+O39+O48)/O54)</f>
        <v>0.138226182426784</v>
      </c>
      <c r="P57" s="37" t="n">
        <f aca="false">IF(P54=0,0,(P19+P25+P26+P35+P21+P39+P48)/P54)</f>
        <v>0.169253850747402</v>
      </c>
      <c r="Q57" s="37" t="n">
        <f aca="false">IF(Q54=0,0,(Q19+Q25+Q26+Q35+Q21+Q39+Q48)/Q54)</f>
        <v>0.195805833736984</v>
      </c>
      <c r="R57" s="37" t="n">
        <f aca="false">IF(R54=0,0,(R19+R25+R26+R35+R21+R39+R48)/R54)</f>
        <v>0.220659913580832</v>
      </c>
      <c r="S57" s="37" t="n">
        <f aca="false">IF(S54=0,0,(S19+S25+S26+S35+S21+S39+S48)/S54)</f>
        <v>0.24128606219497</v>
      </c>
      <c r="T57" s="37" t="n">
        <f aca="false">IF(T54=0,0,(T19+T25+T26+T35+T21+T39+T48)/T54)</f>
        <v>0.256785400400225</v>
      </c>
      <c r="U57" s="37" t="n">
        <f aca="false">IF(U54=0,0,(U19+U25+U26+U35+U21+U39+U48)/U54)</f>
        <v>0.266703191733801</v>
      </c>
      <c r="V57" s="37" t="n">
        <f aca="false">IF(V54=0,0,(V19+V25+V26+V35+V21+V39+V48)/V54)</f>
        <v>0.273901731018772</v>
      </c>
      <c r="W57" s="37" t="n">
        <f aca="false">IF(W54=0,0,(W19+W25+W26+W35+W21+W39+W48)/W54)</f>
        <v>0.280109098735883</v>
      </c>
      <c r="X57" s="20"/>
      <c r="Y57" s="20"/>
    </row>
    <row r="58" customFormat="false" ht="15" hidden="false" customHeight="true" outlineLevel="0" collapsed="false">
      <c r="A58" s="3"/>
      <c r="B58" s="23"/>
      <c r="C58" s="23"/>
      <c r="D58" s="23"/>
      <c r="E58" s="23"/>
      <c r="F58" s="17"/>
      <c r="G58" s="17"/>
      <c r="H58" s="17"/>
      <c r="I58" s="17"/>
      <c r="J58" s="17"/>
      <c r="K58" s="18"/>
      <c r="L58" s="18"/>
      <c r="M58" s="18"/>
      <c r="N58" s="18"/>
      <c r="O58" s="18"/>
      <c r="P58" s="19"/>
      <c r="Q58" s="19"/>
      <c r="R58" s="19"/>
      <c r="S58" s="19"/>
      <c r="T58" s="19"/>
      <c r="U58" s="19"/>
      <c r="V58" s="19"/>
      <c r="W58" s="19"/>
      <c r="X58" s="3"/>
      <c r="Y58" s="3"/>
    </row>
    <row r="59" customFormat="false" ht="15" hidden="false" customHeight="true" outlineLevel="0" collapsed="false">
      <c r="A59" s="41" t="s">
        <v>83</v>
      </c>
      <c r="B59" s="15" t="n">
        <v>32517.2</v>
      </c>
      <c r="C59" s="15" t="n">
        <v>34537.1</v>
      </c>
      <c r="D59" s="15" t="n">
        <v>37492.1</v>
      </c>
      <c r="E59" s="15" t="n">
        <v>38216.7</v>
      </c>
      <c r="F59" s="17"/>
      <c r="G59" s="17"/>
      <c r="H59" s="17"/>
      <c r="I59" s="17"/>
      <c r="J59" s="17"/>
      <c r="K59" s="18"/>
      <c r="L59" s="18"/>
      <c r="M59" s="18"/>
      <c r="N59" s="18"/>
      <c r="O59" s="18"/>
      <c r="P59" s="19"/>
      <c r="Q59" s="19"/>
      <c r="R59" s="19"/>
      <c r="S59" s="19"/>
      <c r="T59" s="19"/>
      <c r="U59" s="19"/>
      <c r="V59" s="19"/>
      <c r="W59" s="19"/>
      <c r="X59" s="3"/>
      <c r="Y59" s="3"/>
    </row>
    <row r="60" customFormat="false" ht="15" hidden="false" customHeight="true" outlineLevel="0" collapsed="false">
      <c r="A60" s="41" t="s">
        <v>84</v>
      </c>
      <c r="B60" s="42" t="n">
        <f aca="false">B54-B59</f>
        <v>0</v>
      </c>
      <c r="C60" s="42" t="n">
        <f aca="false">C54-C59</f>
        <v>0</v>
      </c>
      <c r="D60" s="42" t="n">
        <f aca="false">D54-D59</f>
        <v>0</v>
      </c>
      <c r="E60" s="42" t="n">
        <f aca="false">E54-E59</f>
        <v>114</v>
      </c>
      <c r="F60" s="43"/>
      <c r="G60" s="17"/>
      <c r="H60" s="17"/>
      <c r="I60" s="17"/>
      <c r="J60" s="17"/>
      <c r="K60" s="18"/>
      <c r="L60" s="18"/>
      <c r="M60" s="18"/>
      <c r="N60" s="18"/>
      <c r="O60" s="18"/>
      <c r="P60" s="19"/>
      <c r="Q60" s="19"/>
      <c r="R60" s="19"/>
      <c r="S60" s="19"/>
      <c r="T60" s="19"/>
      <c r="U60" s="19"/>
      <c r="V60" s="19"/>
      <c r="W60" s="19"/>
      <c r="X60" s="3"/>
      <c r="Y60" s="3"/>
    </row>
    <row r="61" customFormat="false" ht="15" hidden="false" customHeight="true" outlineLevel="0" collapsed="false">
      <c r="A61" s="3"/>
      <c r="B61" s="44"/>
      <c r="C61" s="44"/>
      <c r="D61" s="44"/>
      <c r="E61" s="44"/>
      <c r="F61" s="4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8" hidden="false" customHeight="true" outlineLevel="0" collapsed="false">
      <c r="A62" s="14" t="s">
        <v>85</v>
      </c>
      <c r="B62" s="45"/>
      <c r="C62" s="45"/>
      <c r="D62" s="45"/>
      <c r="E62" s="45"/>
      <c r="F62" s="45"/>
      <c r="G62" s="14"/>
      <c r="H62" s="14"/>
      <c r="I62" s="14"/>
      <c r="J62" s="1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" hidden="false" customHeight="true" outlineLevel="0" collapsed="false">
      <c r="A63" s="46" t="s">
        <v>86</v>
      </c>
      <c r="B63" s="47" t="s">
        <v>87</v>
      </c>
      <c r="C63" s="47" t="s">
        <v>88</v>
      </c>
      <c r="D63" s="47" t="s">
        <v>89</v>
      </c>
      <c r="E63" s="47" t="s">
        <v>90</v>
      </c>
      <c r="F63" s="47" t="s">
        <v>91</v>
      </c>
      <c r="G63" s="46" t="s">
        <v>92</v>
      </c>
      <c r="H63" s="46" t="s">
        <v>93</v>
      </c>
      <c r="I63" s="46" t="s">
        <v>94</v>
      </c>
      <c r="J63" s="46" t="s">
        <v>95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" hidden="false" customHeight="true" outlineLevel="0" collapsed="false">
      <c r="A64" s="3" t="s">
        <v>96</v>
      </c>
      <c r="B64" s="48" t="n">
        <v>8146.5</v>
      </c>
      <c r="C64" s="48" t="n">
        <v>10107.7</v>
      </c>
      <c r="D64" s="48" t="n">
        <v>9494.2</v>
      </c>
      <c r="E64" s="48" t="n">
        <v>9743.7</v>
      </c>
      <c r="F64" s="48" t="n">
        <v>8051.7</v>
      </c>
      <c r="G64" s="49" t="n">
        <v>9799.4</v>
      </c>
      <c r="H64" s="49" t="n">
        <v>10412.6</v>
      </c>
      <c r="I64" s="49" t="n">
        <v>9953</v>
      </c>
      <c r="J64" s="49" t="n">
        <v>9384.4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" hidden="false" customHeight="true" outlineLevel="0" collapsed="false">
      <c r="A65" s="3"/>
      <c r="B65" s="44"/>
      <c r="C65" s="44"/>
      <c r="D65" s="44"/>
      <c r="E65" s="44"/>
      <c r="F65" s="4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" hidden="false" customHeight="true" outlineLevel="0" collapsed="false">
      <c r="A66" s="3" t="s">
        <v>97</v>
      </c>
      <c r="B66" s="50" t="n">
        <f aca="false">ROUND(SUM(B64:E64)-D54,1)</f>
        <v>0</v>
      </c>
      <c r="C66" s="50" t="s">
        <v>98</v>
      </c>
      <c r="D66" s="50" t="n">
        <f aca="false">ROUND(SUM(F64:I64)-E54,1)</f>
        <v>-114</v>
      </c>
      <c r="E66" s="50" t="s">
        <v>99</v>
      </c>
      <c r="F66" s="50" t="n">
        <f aca="false">ROUND(J64-F54,1)</f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</sheetData>
  <mergeCells count="1">
    <mergeCell ref="A4:Y4"/>
  </mergeCells>
  <conditionalFormatting sqref="B60:E60">
    <cfRule type="cellIs" priority="2" operator="notEqual" aboveAverage="0" equalAverage="0" bottom="0" percent="0" rank="0" text="" dxfId="0">
      <formula>0</formula>
    </cfRule>
  </conditionalFormatting>
  <conditionalFormatting sqref="B66">
    <cfRule type="cellIs" priority="3" operator="notEqual" aboveAverage="0" equalAverage="0" bottom="0" percent="0" rank="0" text="" dxfId="0">
      <formula>0</formula>
    </cfRule>
  </conditionalFormatting>
  <conditionalFormatting sqref="D66">
    <cfRule type="cellIs" priority="4" operator="notEqual" aboveAverage="0" equalAverage="0" bottom="0" percent="0" rank="0" text="" dxfId="0">
      <formula>0</formula>
    </cfRule>
  </conditionalFormatting>
  <conditionalFormatting sqref="F66">
    <cfRule type="cellIs" priority="5" operator="notEqual" aboveAverage="0" equalAverage="0" bottom="0" percent="0" rank="0" text="" dxfId="0">
      <formula>0</formula>
    </cfRule>
  </conditionalFormatting>
  <dataValidations count="1">
    <dataValidation allowBlank="false" errorStyle="stop" operator="between" showDropDown="false" showErrorMessage="false" showInputMessage="false" sqref="B2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78" activePane="bottomLeft" state="frozen"/>
      <selection pane="topLeft" activeCell="A1" activeCellId="0" sqref="A1"/>
      <selection pane="bottomLeft" activeCell="B9" activeCellId="0" sqref="B9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7" min="6" style="1" width="24"/>
    <col collapsed="false" customWidth="true" hidden="false" outlineLevel="0" max="8" min="8" style="1" width="34"/>
    <col collapsed="false" customWidth="true" hidden="false" outlineLevel="0" max="9" min="9" style="1" width="20"/>
    <col collapsed="false" customWidth="true" hidden="false" outlineLevel="0" max="10" min="10" style="1" width="36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23"/>
    <col collapsed="false" customWidth="true" hidden="false" outlineLevel="0" max="15" min="15" style="1" width="44"/>
  </cols>
  <sheetData>
    <row r="1" customFormat="false" ht="24" hidden="false" customHeight="true" outlineLevel="0" collapsed="false">
      <c r="A1" s="51" t="s">
        <v>100</v>
      </c>
      <c r="B1" s="52"/>
      <c r="C1" s="52"/>
      <c r="D1" s="52"/>
      <c r="E1" s="52"/>
      <c r="F1" s="52"/>
      <c r="G1" s="52"/>
      <c r="H1" s="52"/>
      <c r="I1" s="52"/>
      <c r="J1" s="52"/>
    </row>
    <row r="2" customFormat="false" ht="18" hidden="false" customHeight="true" outlineLevel="0" collapsed="false">
      <c r="A2" s="53" t="s">
        <v>101</v>
      </c>
      <c r="B2" s="53"/>
      <c r="C2" s="53"/>
      <c r="D2" s="53"/>
      <c r="E2" s="53"/>
      <c r="F2" s="53"/>
      <c r="G2" s="53"/>
      <c r="H2" s="53"/>
      <c r="I2" s="53"/>
      <c r="J2" s="53"/>
    </row>
    <row r="3" customFormat="false" ht="18" hidden="false" customHeight="true" outlineLevel="0" collapsed="false">
      <c r="A3" s="52"/>
      <c r="B3" s="52"/>
      <c r="C3" s="52"/>
      <c r="D3" s="52"/>
      <c r="E3" s="52"/>
      <c r="F3" s="52"/>
      <c r="G3" s="52"/>
      <c r="H3" s="52"/>
      <c r="I3" s="52"/>
      <c r="J3" s="52"/>
    </row>
    <row r="4" customFormat="false" ht="18" hidden="false" customHeight="true" outlineLevel="0" collapsed="false">
      <c r="A4" s="54" t="s">
        <v>102</v>
      </c>
      <c r="B4" s="54"/>
      <c r="C4" s="54"/>
      <c r="D4" s="54"/>
      <c r="E4" s="54"/>
      <c r="F4" s="54"/>
      <c r="G4" s="54"/>
      <c r="H4" s="54"/>
      <c r="I4" s="54"/>
      <c r="J4" s="54"/>
    </row>
    <row r="5" customFormat="false" ht="18" hidden="false" customHeight="true" outlineLevel="0" collapsed="false">
      <c r="A5" s="55" t="s">
        <v>15</v>
      </c>
      <c r="B5" s="55" t="s">
        <v>103</v>
      </c>
      <c r="C5" s="55" t="s">
        <v>104</v>
      </c>
      <c r="D5" s="55" t="s">
        <v>105</v>
      </c>
      <c r="E5" s="55" t="s">
        <v>106</v>
      </c>
      <c r="F5" s="55" t="s">
        <v>107</v>
      </c>
      <c r="G5" s="55" t="s">
        <v>108</v>
      </c>
      <c r="H5" s="55" t="s">
        <v>109</v>
      </c>
      <c r="I5" s="55"/>
      <c r="J5" s="55"/>
    </row>
    <row r="6" customFormat="false" ht="18" hidden="false" customHeight="true" outlineLevel="0" collapsed="false">
      <c r="A6" s="52" t="s">
        <v>40</v>
      </c>
      <c r="B6" s="56" t="n">
        <v>0.08</v>
      </c>
      <c r="C6" s="56" t="n">
        <v>0.07</v>
      </c>
      <c r="D6" s="56" t="n">
        <v>0.06</v>
      </c>
      <c r="E6" s="56" t="n">
        <v>0.055</v>
      </c>
      <c r="F6" s="56" t="n">
        <v>0.045</v>
      </c>
      <c r="G6" s="57" t="s">
        <v>110</v>
      </c>
      <c r="H6" s="57" t="s">
        <v>111</v>
      </c>
      <c r="I6" s="52"/>
      <c r="J6" s="52"/>
    </row>
    <row r="7" customFormat="false" ht="18" hidden="false" customHeight="true" outlineLevel="0" collapsed="false">
      <c r="A7" s="52" t="s">
        <v>41</v>
      </c>
      <c r="B7" s="56" t="n">
        <v>0.06</v>
      </c>
      <c r="C7" s="56" t="n">
        <v>0.06</v>
      </c>
      <c r="D7" s="56" t="n">
        <v>0.05</v>
      </c>
      <c r="E7" s="56" t="n">
        <v>0.045</v>
      </c>
      <c r="F7" s="56" t="n">
        <v>0.035</v>
      </c>
      <c r="G7" s="57" t="s">
        <v>112</v>
      </c>
      <c r="H7" s="57" t="s">
        <v>113</v>
      </c>
      <c r="I7" s="52"/>
      <c r="J7" s="52"/>
    </row>
    <row r="8" customFormat="false" ht="18" hidden="false" customHeight="true" outlineLevel="0" collapsed="false">
      <c r="A8" s="52" t="s">
        <v>42</v>
      </c>
      <c r="B8" s="56" t="n">
        <v>0.05</v>
      </c>
      <c r="C8" s="56" t="n">
        <v>0.07</v>
      </c>
      <c r="D8" s="56" t="n">
        <v>0.06</v>
      </c>
      <c r="E8" s="56" t="n">
        <v>0.05</v>
      </c>
      <c r="F8" s="56" t="n">
        <v>0.04</v>
      </c>
      <c r="G8" s="57" t="s">
        <v>114</v>
      </c>
      <c r="H8" s="57" t="s">
        <v>115</v>
      </c>
      <c r="I8" s="52"/>
      <c r="J8" s="52"/>
    </row>
    <row r="9" customFormat="false" ht="18" hidden="false" customHeight="true" outlineLevel="0" collapsed="false">
      <c r="A9" s="52" t="s">
        <v>43</v>
      </c>
      <c r="B9" s="56" t="n">
        <v>0.05</v>
      </c>
      <c r="C9" s="56" t="n">
        <v>0.055</v>
      </c>
      <c r="D9" s="56" t="n">
        <v>0.05</v>
      </c>
      <c r="E9" s="56" t="n">
        <v>0.045</v>
      </c>
      <c r="F9" s="56" t="n">
        <v>0.04</v>
      </c>
      <c r="G9" s="57" t="s">
        <v>112</v>
      </c>
      <c r="H9" s="57" t="s">
        <v>116</v>
      </c>
      <c r="I9" s="52"/>
      <c r="J9" s="52"/>
    </row>
    <row r="10" customFormat="false" ht="18" hidden="false" customHeight="true" outlineLevel="0" collapsed="false">
      <c r="A10" s="52" t="s">
        <v>44</v>
      </c>
      <c r="B10" s="56" t="n">
        <v>0.08</v>
      </c>
      <c r="C10" s="56" t="n">
        <v>0.07</v>
      </c>
      <c r="D10" s="56" t="n">
        <v>0.06</v>
      </c>
      <c r="E10" s="56" t="n">
        <v>0.055</v>
      </c>
      <c r="F10" s="56" t="n">
        <v>0.045</v>
      </c>
      <c r="G10" s="57" t="s">
        <v>117</v>
      </c>
      <c r="H10" s="57" t="s">
        <v>118</v>
      </c>
      <c r="I10" s="52"/>
      <c r="J10" s="52"/>
    </row>
    <row r="11" customFormat="false" ht="18" hidden="false" customHeight="true" outlineLevel="0" collapsed="false">
      <c r="A11" s="52" t="s">
        <v>45</v>
      </c>
      <c r="B11" s="56" t="n">
        <v>0.05</v>
      </c>
      <c r="C11" s="56" t="n">
        <v>0.05</v>
      </c>
      <c r="D11" s="56" t="n">
        <v>0.045</v>
      </c>
      <c r="E11" s="56" t="n">
        <v>0.04</v>
      </c>
      <c r="F11" s="56" t="n">
        <v>0.035</v>
      </c>
      <c r="G11" s="57" t="s">
        <v>119</v>
      </c>
      <c r="H11" s="57" t="s">
        <v>120</v>
      </c>
      <c r="I11" s="52"/>
      <c r="J11" s="52"/>
    </row>
    <row r="12" customFormat="false" ht="18" hidden="false" customHeight="true" outlineLevel="0" collapsed="false">
      <c r="A12" s="52" t="s">
        <v>48</v>
      </c>
      <c r="B12" s="56" t="n">
        <v>0.1</v>
      </c>
      <c r="C12" s="56" t="n">
        <v>0.09</v>
      </c>
      <c r="D12" s="56" t="n">
        <v>0.08</v>
      </c>
      <c r="E12" s="56" t="n">
        <v>0.07</v>
      </c>
      <c r="F12" s="56" t="n">
        <v>0.055</v>
      </c>
      <c r="G12" s="57" t="s">
        <v>121</v>
      </c>
      <c r="H12" s="57" t="s">
        <v>122</v>
      </c>
      <c r="I12" s="52"/>
      <c r="J12" s="52"/>
    </row>
    <row r="13" customFormat="false" ht="18" hidden="false" customHeight="true" outlineLevel="0" collapsed="false">
      <c r="A13" s="52" t="s">
        <v>49</v>
      </c>
      <c r="B13" s="56" t="n">
        <v>0.08</v>
      </c>
      <c r="C13" s="56" t="n">
        <v>0.08</v>
      </c>
      <c r="D13" s="56" t="n">
        <v>0.07</v>
      </c>
      <c r="E13" s="56" t="n">
        <v>0.06</v>
      </c>
      <c r="F13" s="56" t="n">
        <v>0.05</v>
      </c>
      <c r="G13" s="57" t="s">
        <v>121</v>
      </c>
      <c r="H13" s="57" t="s">
        <v>123</v>
      </c>
      <c r="I13" s="52"/>
      <c r="J13" s="52"/>
    </row>
    <row r="14" customFormat="false" ht="18" hidden="false" customHeight="true" outlineLevel="0" collapsed="false">
      <c r="A14" s="52" t="s">
        <v>50</v>
      </c>
      <c r="B14" s="56" t="n">
        <v>0.45</v>
      </c>
      <c r="C14" s="56" t="n">
        <v>0.32</v>
      </c>
      <c r="D14" s="56" t="n">
        <v>0.24</v>
      </c>
      <c r="E14" s="56" t="n">
        <v>0.17</v>
      </c>
      <c r="F14" s="56" t="n">
        <v>0.1</v>
      </c>
      <c r="G14" s="57" t="s">
        <v>124</v>
      </c>
      <c r="H14" s="57" t="s">
        <v>125</v>
      </c>
      <c r="I14" s="52"/>
      <c r="J14" s="52"/>
    </row>
    <row r="15" customFormat="false" ht="18" hidden="false" customHeight="true" outlineLevel="0" collapsed="false">
      <c r="A15" s="52" t="s">
        <v>51</v>
      </c>
      <c r="B15" s="56" t="n">
        <v>0.1</v>
      </c>
      <c r="C15" s="56" t="n">
        <v>0.1</v>
      </c>
      <c r="D15" s="56" t="n">
        <v>0.08</v>
      </c>
      <c r="E15" s="56" t="n">
        <v>0.07</v>
      </c>
      <c r="F15" s="56" t="n">
        <v>0.05</v>
      </c>
      <c r="G15" s="57" t="s">
        <v>126</v>
      </c>
      <c r="H15" s="57" t="s">
        <v>127</v>
      </c>
      <c r="I15" s="52"/>
      <c r="J15" s="52"/>
    </row>
    <row r="16" customFormat="false" ht="18" hidden="false" customHeight="true" outlineLevel="0" collapsed="false">
      <c r="A16" s="52" t="s">
        <v>55</v>
      </c>
      <c r="B16" s="56" t="n">
        <v>0.18</v>
      </c>
      <c r="C16" s="56" t="n">
        <v>0.15</v>
      </c>
      <c r="D16" s="56" t="n">
        <v>0.12</v>
      </c>
      <c r="E16" s="56" t="n">
        <v>0.1</v>
      </c>
      <c r="F16" s="56" t="n">
        <v>0.07</v>
      </c>
      <c r="G16" s="57" t="s">
        <v>128</v>
      </c>
      <c r="H16" s="57" t="s">
        <v>129</v>
      </c>
      <c r="I16" s="52"/>
      <c r="J16" s="52"/>
    </row>
    <row r="17" customFormat="false" ht="18" hidden="false" customHeight="true" outlineLevel="0" collapsed="false">
      <c r="A17" s="52" t="s">
        <v>56</v>
      </c>
      <c r="B17" s="56" t="n">
        <v>0.25</v>
      </c>
      <c r="C17" s="56" t="n">
        <v>0.2</v>
      </c>
      <c r="D17" s="56" t="n">
        <v>0.18</v>
      </c>
      <c r="E17" s="56" t="n">
        <v>0.14</v>
      </c>
      <c r="F17" s="56" t="n">
        <v>0.1</v>
      </c>
      <c r="G17" s="57" t="s">
        <v>130</v>
      </c>
      <c r="H17" s="57" t="s">
        <v>131</v>
      </c>
      <c r="I17" s="52"/>
      <c r="J17" s="52"/>
    </row>
    <row r="18" customFormat="false" ht="18" hidden="false" customHeight="true" outlineLevel="0" collapsed="false">
      <c r="A18" s="52" t="s">
        <v>57</v>
      </c>
      <c r="B18" s="56" t="n">
        <v>0.06</v>
      </c>
      <c r="C18" s="56" t="n">
        <v>0.06</v>
      </c>
      <c r="D18" s="56" t="n">
        <v>0.05</v>
      </c>
      <c r="E18" s="56" t="n">
        <v>0.04</v>
      </c>
      <c r="F18" s="56" t="n">
        <v>0.03</v>
      </c>
      <c r="G18" s="57" t="s">
        <v>132</v>
      </c>
      <c r="H18" s="57" t="s">
        <v>133</v>
      </c>
      <c r="I18" s="52"/>
      <c r="J18" s="52"/>
    </row>
    <row r="19" customFormat="false" ht="18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2"/>
      <c r="J19" s="52"/>
    </row>
    <row r="20" customFormat="false" ht="18" hidden="false" customHeight="true" outlineLevel="0" collapsed="false">
      <c r="A20" s="54" t="s">
        <v>134</v>
      </c>
      <c r="B20" s="54"/>
      <c r="C20" s="54"/>
      <c r="D20" s="54"/>
      <c r="E20" s="54"/>
      <c r="F20" s="54"/>
      <c r="G20" s="54"/>
      <c r="H20" s="54"/>
      <c r="I20" s="54"/>
      <c r="J20" s="54"/>
    </row>
    <row r="21" customFormat="false" ht="18" hidden="false" customHeight="true" outlineLevel="0" collapsed="false">
      <c r="A21" s="55" t="s">
        <v>15</v>
      </c>
      <c r="B21" s="55" t="s">
        <v>135</v>
      </c>
      <c r="C21" s="55" t="s">
        <v>136</v>
      </c>
      <c r="D21" s="55" t="s">
        <v>137</v>
      </c>
      <c r="E21" s="55" t="s">
        <v>106</v>
      </c>
      <c r="F21" s="55" t="s">
        <v>107</v>
      </c>
      <c r="G21" s="55" t="s">
        <v>138</v>
      </c>
      <c r="H21" s="55" t="s">
        <v>139</v>
      </c>
      <c r="I21" s="52"/>
      <c r="J21" s="52"/>
    </row>
    <row r="22" customFormat="false" ht="18" hidden="false" customHeight="true" outlineLevel="0" collapsed="false">
      <c r="A22" s="52" t="s">
        <v>60</v>
      </c>
      <c r="B22" s="58" t="n">
        <v>800</v>
      </c>
      <c r="C22" s="56" t="n">
        <v>0.25</v>
      </c>
      <c r="D22" s="56" t="n">
        <v>0.2</v>
      </c>
      <c r="E22" s="56" t="n">
        <v>0.15</v>
      </c>
      <c r="F22" s="56" t="n">
        <v>0.08</v>
      </c>
      <c r="G22" s="52" t="s">
        <v>140</v>
      </c>
      <c r="H22" s="52" t="s">
        <v>141</v>
      </c>
      <c r="I22" s="52"/>
      <c r="J22" s="52"/>
    </row>
    <row r="23" customFormat="false" ht="18" hidden="false" customHeight="true" outlineLevel="0" collapsed="false">
      <c r="A23" s="52" t="s">
        <v>61</v>
      </c>
      <c r="B23" s="58" t="n">
        <v>400</v>
      </c>
      <c r="C23" s="56" t="n">
        <v>0.15</v>
      </c>
      <c r="D23" s="56" t="n">
        <v>0.1</v>
      </c>
      <c r="E23" s="56" t="n">
        <v>0.05</v>
      </c>
      <c r="F23" s="56" t="n">
        <v>0.02</v>
      </c>
      <c r="G23" s="52" t="s">
        <v>140</v>
      </c>
      <c r="H23" s="52" t="s">
        <v>142</v>
      </c>
      <c r="I23" s="52"/>
      <c r="J23" s="52"/>
    </row>
    <row r="24" customFormat="false" ht="18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</row>
    <row r="25" customFormat="false" ht="18" hidden="false" customHeight="true" outlineLevel="0" collapsed="false">
      <c r="A25" s="52" t="s">
        <v>77</v>
      </c>
      <c r="B25" s="58" t="n">
        <v>550</v>
      </c>
      <c r="C25" s="56" t="n">
        <v>0.05</v>
      </c>
      <c r="D25" s="56" t="n">
        <v>0.05</v>
      </c>
      <c r="E25" s="56" t="n">
        <v>0.04</v>
      </c>
      <c r="F25" s="56" t="n">
        <v>0.03</v>
      </c>
      <c r="G25" s="52" t="s">
        <v>143</v>
      </c>
      <c r="H25" s="52" t="s">
        <v>144</v>
      </c>
      <c r="I25" s="52"/>
      <c r="J25" s="52"/>
    </row>
    <row r="26" customFormat="false" ht="18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</row>
    <row r="27" customFormat="false" ht="18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</row>
    <row r="28" customFormat="false" ht="18" hidden="false" customHeight="true" outlineLevel="0" collapsed="false">
      <c r="A28" s="54" t="s">
        <v>145</v>
      </c>
      <c r="B28" s="54"/>
      <c r="C28" s="54"/>
      <c r="D28" s="54"/>
      <c r="E28" s="54"/>
      <c r="F28" s="54"/>
      <c r="G28" s="54"/>
      <c r="H28" s="54"/>
      <c r="I28" s="54"/>
      <c r="J28" s="54"/>
    </row>
    <row r="29" customFormat="false" ht="43.5" hidden="false" customHeight="true" outlineLevel="0" collapsed="false">
      <c r="A29" s="55" t="s">
        <v>146</v>
      </c>
      <c r="B29" s="55" t="s">
        <v>147</v>
      </c>
      <c r="C29" s="55" t="s">
        <v>148</v>
      </c>
      <c r="D29" s="55" t="s">
        <v>149</v>
      </c>
      <c r="E29" s="55" t="s">
        <v>150</v>
      </c>
      <c r="F29" s="55" t="s">
        <v>151</v>
      </c>
      <c r="G29" s="55" t="s">
        <v>152</v>
      </c>
      <c r="H29" s="55" t="s">
        <v>153</v>
      </c>
      <c r="I29" s="55" t="s">
        <v>154</v>
      </c>
      <c r="J29" s="55" t="s">
        <v>155</v>
      </c>
    </row>
    <row r="30" customFormat="false" ht="31.5" hidden="false" customHeight="true" outlineLevel="0" collapsed="false">
      <c r="A30" s="52" t="s">
        <v>52</v>
      </c>
      <c r="B30" s="52" t="s">
        <v>156</v>
      </c>
      <c r="C30" s="58" t="n">
        <v>2027</v>
      </c>
      <c r="D30" s="58" t="n">
        <v>2500</v>
      </c>
      <c r="E30" s="58" t="n">
        <v>6</v>
      </c>
      <c r="F30" s="56" t="n">
        <v>0.03</v>
      </c>
      <c r="G30" s="56" t="n">
        <v>0.5</v>
      </c>
      <c r="H30" s="56" t="n">
        <v>0</v>
      </c>
      <c r="I30" s="56" t="n">
        <v>0.4</v>
      </c>
      <c r="J30" s="57" t="s">
        <v>157</v>
      </c>
    </row>
    <row r="31" customFormat="false" ht="57.75" hidden="false" customHeight="true" outlineLevel="0" collapsed="false">
      <c r="A31" s="52" t="s">
        <v>62</v>
      </c>
      <c r="B31" s="52" t="s">
        <v>64</v>
      </c>
      <c r="C31" s="58" t="n">
        <v>2027</v>
      </c>
      <c r="D31" s="58" t="n">
        <v>2000</v>
      </c>
      <c r="E31" s="58" t="n">
        <v>6</v>
      </c>
      <c r="F31" s="56" t="n">
        <v>0.02</v>
      </c>
      <c r="G31" s="56" t="n">
        <v>0.5</v>
      </c>
      <c r="H31" s="56" t="n">
        <v>0</v>
      </c>
      <c r="I31" s="56" t="n">
        <v>0.4</v>
      </c>
      <c r="J31" s="57" t="s">
        <v>158</v>
      </c>
    </row>
    <row r="32" customFormat="false" ht="57.75" hidden="false" customHeight="true" outlineLevel="0" collapsed="false">
      <c r="A32" s="52" t="s">
        <v>66</v>
      </c>
      <c r="B32" s="52" t="s">
        <v>159</v>
      </c>
      <c r="C32" s="58" t="n">
        <v>2027</v>
      </c>
      <c r="D32" s="58" t="n">
        <v>3500</v>
      </c>
      <c r="E32" s="58" t="n">
        <v>7</v>
      </c>
      <c r="F32" s="56" t="n">
        <v>0.03</v>
      </c>
      <c r="G32" s="56" t="n">
        <v>0.5</v>
      </c>
      <c r="H32" s="56" t="n">
        <v>0</v>
      </c>
      <c r="I32" s="56" t="n">
        <v>0</v>
      </c>
      <c r="J32" s="57" t="s">
        <v>160</v>
      </c>
    </row>
    <row r="33" customFormat="false" ht="57.75" hidden="false" customHeight="true" outlineLevel="0" collapsed="false">
      <c r="A33" s="52" t="s">
        <v>63</v>
      </c>
      <c r="B33" s="52" t="s">
        <v>64</v>
      </c>
      <c r="C33" s="58" t="n">
        <v>2029</v>
      </c>
      <c r="D33" s="58" t="n">
        <v>1500</v>
      </c>
      <c r="E33" s="58" t="n">
        <v>6</v>
      </c>
      <c r="F33" s="56" t="n">
        <v>0.02</v>
      </c>
      <c r="G33" s="56" t="n">
        <v>0.5</v>
      </c>
      <c r="H33" s="56" t="n">
        <v>0</v>
      </c>
      <c r="I33" s="56" t="n">
        <v>0</v>
      </c>
      <c r="J33" s="57" t="s">
        <v>161</v>
      </c>
    </row>
    <row r="34" customFormat="false" ht="57.7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</row>
    <row r="35" customFormat="false" ht="18" hidden="false" customHeight="true" outlineLevel="0" collapsed="false">
      <c r="A35" s="54" t="s">
        <v>162</v>
      </c>
      <c r="B35" s="54"/>
      <c r="C35" s="54"/>
      <c r="D35" s="54"/>
      <c r="E35" s="54"/>
      <c r="F35" s="54"/>
      <c r="G35" s="54"/>
      <c r="H35" s="54"/>
      <c r="I35" s="54"/>
      <c r="J35" s="54"/>
    </row>
    <row r="36" customFormat="false" ht="57.75" hidden="false" customHeight="true" outlineLevel="0" collapsed="false">
      <c r="A36" s="55" t="s">
        <v>146</v>
      </c>
      <c r="B36" s="55" t="s">
        <v>147</v>
      </c>
      <c r="C36" s="55" t="s">
        <v>148</v>
      </c>
      <c r="D36" s="55" t="s">
        <v>163</v>
      </c>
      <c r="E36" s="55" t="s">
        <v>164</v>
      </c>
      <c r="F36" s="55" t="s">
        <v>165</v>
      </c>
      <c r="G36" s="55" t="s">
        <v>150</v>
      </c>
      <c r="H36" s="55" t="s">
        <v>151</v>
      </c>
      <c r="I36" s="55" t="s">
        <v>152</v>
      </c>
      <c r="J36" s="55" t="s">
        <v>139</v>
      </c>
    </row>
    <row r="37" customFormat="false" ht="57.75" hidden="false" customHeight="true" outlineLevel="0" collapsed="false">
      <c r="A37" s="52" t="s">
        <v>69</v>
      </c>
      <c r="B37" s="52" t="s">
        <v>166</v>
      </c>
      <c r="C37" s="58" t="n">
        <v>2032</v>
      </c>
      <c r="D37" s="58" t="n">
        <v>800</v>
      </c>
      <c r="E37" s="56" t="n">
        <v>0.55</v>
      </c>
      <c r="F37" s="52" t="n">
        <f aca="false">D37*E37</f>
        <v>440</v>
      </c>
      <c r="G37" s="58" t="n">
        <v>5</v>
      </c>
      <c r="H37" s="56" t="n">
        <v>0.02</v>
      </c>
      <c r="I37" s="56" t="n">
        <v>0.5</v>
      </c>
      <c r="J37" s="57" t="s">
        <v>167</v>
      </c>
    </row>
    <row r="38" customFormat="false" ht="57.75" hidden="false" customHeight="true" outlineLevel="0" collapsed="false">
      <c r="A38" s="52" t="s">
        <v>168</v>
      </c>
      <c r="B38" s="52" t="s">
        <v>169</v>
      </c>
      <c r="C38" s="58" t="n">
        <v>2033</v>
      </c>
      <c r="D38" s="58" t="n">
        <v>1500</v>
      </c>
      <c r="E38" s="56" t="n">
        <v>0.4</v>
      </c>
      <c r="F38" s="52" t="n">
        <f aca="false">D38*E38</f>
        <v>600</v>
      </c>
      <c r="G38" s="58" t="n">
        <v>5</v>
      </c>
      <c r="H38" s="56" t="n">
        <v>0.03</v>
      </c>
      <c r="I38" s="56" t="n">
        <v>0.5</v>
      </c>
      <c r="J38" s="57" t="s">
        <v>170</v>
      </c>
    </row>
    <row r="39" customFormat="false" ht="57.75" hidden="false" customHeight="true" outlineLevel="0" collapsed="false">
      <c r="A39" s="52" t="s">
        <v>71</v>
      </c>
      <c r="B39" s="52" t="s">
        <v>171</v>
      </c>
      <c r="C39" s="58" t="n">
        <v>2031</v>
      </c>
      <c r="D39" s="58" t="n">
        <v>2200</v>
      </c>
      <c r="E39" s="56" t="n">
        <v>0.5</v>
      </c>
      <c r="F39" s="52" t="n">
        <f aca="false">D39*E39</f>
        <v>1100</v>
      </c>
      <c r="G39" s="58" t="n">
        <v>6</v>
      </c>
      <c r="H39" s="56" t="n">
        <v>0.03</v>
      </c>
      <c r="I39" s="56" t="n">
        <v>0.5</v>
      </c>
      <c r="J39" s="57" t="s">
        <v>172</v>
      </c>
    </row>
    <row r="40" customFormat="false" ht="57.75" hidden="false" customHeight="true" outlineLevel="0" collapsed="false">
      <c r="A40" s="52" t="s">
        <v>72</v>
      </c>
      <c r="B40" s="52" t="s">
        <v>173</v>
      </c>
      <c r="C40" s="58" t="n">
        <v>2034</v>
      </c>
      <c r="D40" s="58" t="n">
        <v>1000</v>
      </c>
      <c r="E40" s="56" t="n">
        <v>0.3</v>
      </c>
      <c r="F40" s="52" t="n">
        <f aca="false">D40*E40</f>
        <v>300</v>
      </c>
      <c r="G40" s="58" t="n">
        <v>5</v>
      </c>
      <c r="H40" s="56" t="n">
        <v>0.03</v>
      </c>
      <c r="I40" s="56" t="n">
        <v>0.5</v>
      </c>
      <c r="J40" s="57" t="s">
        <v>174</v>
      </c>
    </row>
    <row r="41" customFormat="false" ht="18" hidden="false" customHeight="true" outlineLevel="0" collapsed="false">
      <c r="A41" s="52" t="s">
        <v>73</v>
      </c>
      <c r="B41" s="52" t="s">
        <v>175</v>
      </c>
      <c r="C41" s="58" t="n">
        <v>2035</v>
      </c>
      <c r="D41" s="58" t="n">
        <v>1000</v>
      </c>
      <c r="E41" s="56" t="n">
        <v>0.2</v>
      </c>
      <c r="F41" s="52" t="n">
        <f aca="false">D41*E41</f>
        <v>200</v>
      </c>
      <c r="G41" s="58" t="n">
        <v>5</v>
      </c>
      <c r="H41" s="56" t="n">
        <v>0.03</v>
      </c>
      <c r="I41" s="56" t="n">
        <v>0.5</v>
      </c>
      <c r="J41" s="57" t="s">
        <v>176</v>
      </c>
    </row>
    <row r="42" customFormat="false" ht="19.5" hidden="false" customHeight="true" outlineLevel="0" collapsed="false">
      <c r="A42" s="52" t="s">
        <v>177</v>
      </c>
      <c r="B42" s="52" t="s">
        <v>178</v>
      </c>
      <c r="C42" s="58" t="n">
        <v>9999</v>
      </c>
      <c r="D42" s="58" t="n">
        <v>0</v>
      </c>
      <c r="E42" s="56" t="n">
        <v>0</v>
      </c>
      <c r="F42" s="52" t="n">
        <f aca="false">D42*E42</f>
        <v>0</v>
      </c>
      <c r="G42" s="58" t="n">
        <v>5</v>
      </c>
      <c r="H42" s="56" t="n">
        <v>0</v>
      </c>
      <c r="I42" s="56" t="n">
        <v>0.5</v>
      </c>
      <c r="J42" s="57" t="s">
        <v>179</v>
      </c>
    </row>
    <row r="43" customFormat="false" ht="31.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</row>
    <row r="44" customFormat="false" ht="18" hidden="false" customHeight="true" outlineLevel="0" collapsed="false">
      <c r="A44" s="54" t="s">
        <v>180</v>
      </c>
      <c r="B44" s="54"/>
      <c r="C44" s="54"/>
      <c r="D44" s="54"/>
      <c r="E44" s="54"/>
      <c r="F44" s="54"/>
      <c r="G44" s="54"/>
      <c r="H44" s="54"/>
      <c r="I44" s="54"/>
      <c r="J44" s="54"/>
    </row>
    <row r="45" customFormat="false" ht="39.75" hidden="false" customHeight="true" outlineLevel="0" collapsed="false">
      <c r="A45" s="52" t="s">
        <v>181</v>
      </c>
      <c r="B45" s="56" t="n">
        <v>0.214</v>
      </c>
      <c r="C45" s="56" t="n">
        <v>0.263</v>
      </c>
      <c r="D45" s="56" t="n">
        <v>0.263</v>
      </c>
      <c r="E45" s="56" t="n">
        <v>0.26</v>
      </c>
      <c r="F45" s="52" t="s">
        <v>182</v>
      </c>
      <c r="G45" s="52"/>
      <c r="H45" s="52"/>
      <c r="I45" s="52"/>
      <c r="J45" s="52"/>
    </row>
    <row r="46" customFormat="false" ht="39.7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</row>
    <row r="47" customFormat="false" ht="18" hidden="false" customHeight="true" outlineLevel="0" collapsed="false">
      <c r="A47" s="54" t="s">
        <v>183</v>
      </c>
      <c r="B47" s="54"/>
      <c r="C47" s="54"/>
      <c r="D47" s="54"/>
      <c r="E47" s="54"/>
      <c r="F47" s="54"/>
      <c r="G47" s="54"/>
      <c r="H47" s="54"/>
      <c r="I47" s="54"/>
      <c r="J47" s="54"/>
    </row>
    <row r="48" customFormat="false" ht="39.75" hidden="false" customHeight="true" outlineLevel="0" collapsed="false">
      <c r="A48" s="55" t="s">
        <v>15</v>
      </c>
      <c r="B48" s="55" t="s">
        <v>184</v>
      </c>
      <c r="C48" s="55" t="s">
        <v>185</v>
      </c>
      <c r="D48" s="55" t="s">
        <v>186</v>
      </c>
      <c r="E48" s="55" t="s">
        <v>187</v>
      </c>
      <c r="F48" s="55" t="s">
        <v>188</v>
      </c>
      <c r="G48" s="52"/>
      <c r="H48" s="52"/>
      <c r="I48" s="52"/>
      <c r="J48" s="52"/>
    </row>
    <row r="49" customFormat="false" ht="33.75" hidden="false" customHeight="true" outlineLevel="0" collapsed="false">
      <c r="A49" s="52" t="s">
        <v>40</v>
      </c>
      <c r="B49" s="58" t="n">
        <v>9000</v>
      </c>
      <c r="C49" s="52" t="s">
        <v>189</v>
      </c>
      <c r="D49" s="57" t="s">
        <v>190</v>
      </c>
      <c r="E49" s="57" t="s">
        <v>191</v>
      </c>
      <c r="F49" s="57" t="s">
        <v>192</v>
      </c>
      <c r="G49" s="52"/>
      <c r="H49" s="52"/>
      <c r="I49" s="52"/>
      <c r="J49" s="52"/>
    </row>
    <row r="50" customFormat="false" ht="33.75" hidden="false" customHeight="true" outlineLevel="0" collapsed="false">
      <c r="A50" s="52" t="s">
        <v>41</v>
      </c>
      <c r="B50" s="58" t="n">
        <v>2300</v>
      </c>
      <c r="C50" s="52" t="s">
        <v>189</v>
      </c>
      <c r="D50" s="57" t="s">
        <v>193</v>
      </c>
      <c r="E50" s="57" t="s">
        <v>194</v>
      </c>
      <c r="F50" s="57" t="s">
        <v>195</v>
      </c>
      <c r="G50" s="52"/>
      <c r="H50" s="52"/>
      <c r="I50" s="52"/>
      <c r="J50" s="52"/>
    </row>
    <row r="51" customFormat="false" ht="33.75" hidden="false" customHeight="true" outlineLevel="0" collapsed="false">
      <c r="A51" s="52" t="s">
        <v>42</v>
      </c>
      <c r="B51" s="58" t="n">
        <v>3100</v>
      </c>
      <c r="C51" s="52" t="s">
        <v>189</v>
      </c>
      <c r="D51" s="57" t="s">
        <v>196</v>
      </c>
      <c r="E51" s="57" t="s">
        <v>194</v>
      </c>
      <c r="F51" s="57" t="s">
        <v>195</v>
      </c>
      <c r="G51" s="52"/>
      <c r="H51" s="52"/>
      <c r="I51" s="52"/>
      <c r="J51" s="52"/>
    </row>
    <row r="52" customFormat="false" ht="33.75" hidden="false" customHeight="true" outlineLevel="0" collapsed="false">
      <c r="A52" s="52" t="s">
        <v>43</v>
      </c>
      <c r="B52" s="58" t="n">
        <v>1700</v>
      </c>
      <c r="C52" s="52" t="s">
        <v>189</v>
      </c>
      <c r="D52" s="57" t="s">
        <v>197</v>
      </c>
      <c r="E52" s="57" t="s">
        <v>194</v>
      </c>
      <c r="F52" s="57" t="s">
        <v>195</v>
      </c>
      <c r="G52" s="52"/>
      <c r="H52" s="52"/>
      <c r="I52" s="52"/>
      <c r="J52" s="52"/>
    </row>
    <row r="53" customFormat="false" ht="33.75" hidden="false" customHeight="true" outlineLevel="0" collapsed="false">
      <c r="A53" s="52" t="s">
        <v>44</v>
      </c>
      <c r="B53" s="58" t="n">
        <v>4500</v>
      </c>
      <c r="C53" s="52" t="s">
        <v>189</v>
      </c>
      <c r="D53" s="57" t="s">
        <v>198</v>
      </c>
      <c r="E53" s="57" t="s">
        <v>194</v>
      </c>
      <c r="F53" s="57" t="s">
        <v>199</v>
      </c>
      <c r="G53" s="52"/>
      <c r="H53" s="52"/>
      <c r="I53" s="52"/>
      <c r="J53" s="52"/>
    </row>
    <row r="54" customFormat="false" ht="33.75" hidden="false" customHeight="true" outlineLevel="0" collapsed="false">
      <c r="A54" s="52" t="s">
        <v>45</v>
      </c>
      <c r="B54" s="58" t="n">
        <v>8072.7</v>
      </c>
      <c r="C54" s="52" t="s">
        <v>200</v>
      </c>
      <c r="D54" s="57" t="s">
        <v>201</v>
      </c>
      <c r="E54" s="57" t="s">
        <v>194</v>
      </c>
      <c r="F54" s="57" t="s">
        <v>202</v>
      </c>
      <c r="G54" s="52"/>
      <c r="H54" s="52"/>
      <c r="I54" s="52"/>
      <c r="J54" s="52"/>
    </row>
    <row r="55" customFormat="false" ht="33.75" hidden="false" customHeight="true" outlineLevel="0" collapsed="false">
      <c r="A55" s="52" t="s">
        <v>48</v>
      </c>
      <c r="B55" s="58" t="n">
        <v>5200</v>
      </c>
      <c r="C55" s="52" t="s">
        <v>189</v>
      </c>
      <c r="D55" s="57" t="s">
        <v>203</v>
      </c>
      <c r="E55" s="57" t="s">
        <v>204</v>
      </c>
      <c r="F55" s="57" t="s">
        <v>205</v>
      </c>
      <c r="G55" s="52"/>
      <c r="H55" s="52"/>
      <c r="I55" s="52"/>
      <c r="J55" s="52"/>
    </row>
    <row r="56" customFormat="false" ht="33.75" hidden="false" customHeight="true" outlineLevel="0" collapsed="false">
      <c r="A56" s="52" t="s">
        <v>49</v>
      </c>
      <c r="B56" s="58" t="n">
        <v>800</v>
      </c>
      <c r="C56" s="52" t="s">
        <v>189</v>
      </c>
      <c r="D56" s="57" t="s">
        <v>206</v>
      </c>
      <c r="E56" s="57" t="s">
        <v>204</v>
      </c>
      <c r="F56" s="57" t="s">
        <v>205</v>
      </c>
      <c r="G56" s="52"/>
      <c r="H56" s="52"/>
      <c r="I56" s="52"/>
      <c r="J56" s="52"/>
    </row>
    <row r="57" customFormat="false" ht="33.75" hidden="false" customHeight="true" outlineLevel="0" collapsed="false">
      <c r="A57" s="52" t="s">
        <v>50</v>
      </c>
      <c r="B57" s="58" t="n">
        <v>1100</v>
      </c>
      <c r="C57" s="52" t="s">
        <v>189</v>
      </c>
      <c r="D57" s="57" t="s">
        <v>207</v>
      </c>
      <c r="E57" s="57" t="s">
        <v>204</v>
      </c>
      <c r="F57" s="57" t="s">
        <v>208</v>
      </c>
      <c r="G57" s="52"/>
      <c r="H57" s="52"/>
      <c r="I57" s="52"/>
      <c r="J57" s="52"/>
    </row>
    <row r="58" customFormat="false" ht="33.75" hidden="false" customHeight="true" outlineLevel="0" collapsed="false">
      <c r="A58" s="52" t="s">
        <v>51</v>
      </c>
      <c r="B58" s="58" t="n">
        <v>215</v>
      </c>
      <c r="C58" s="52" t="s">
        <v>200</v>
      </c>
      <c r="D58" s="57" t="s">
        <v>209</v>
      </c>
      <c r="E58" s="57" t="s">
        <v>204</v>
      </c>
      <c r="F58" s="57" t="s">
        <v>195</v>
      </c>
      <c r="G58" s="52"/>
      <c r="H58" s="52"/>
      <c r="I58" s="52"/>
      <c r="J58" s="52"/>
    </row>
    <row r="59" customFormat="false" ht="33.75" hidden="false" customHeight="true" outlineLevel="0" collapsed="false">
      <c r="A59" s="52" t="s">
        <v>55</v>
      </c>
      <c r="B59" s="58" t="n">
        <v>620</v>
      </c>
      <c r="C59" s="52" t="s">
        <v>210</v>
      </c>
      <c r="D59" s="57" t="s">
        <v>211</v>
      </c>
      <c r="E59" s="57" t="s">
        <v>212</v>
      </c>
      <c r="F59" s="57" t="s">
        <v>213</v>
      </c>
      <c r="G59" s="52"/>
      <c r="H59" s="52"/>
      <c r="I59" s="52"/>
      <c r="J59" s="52"/>
    </row>
    <row r="60" customFormat="false" ht="33.75" hidden="false" customHeight="true" outlineLevel="0" collapsed="false">
      <c r="A60" s="52" t="s">
        <v>56</v>
      </c>
      <c r="B60" s="58" t="n">
        <v>250</v>
      </c>
      <c r="C60" s="52" t="s">
        <v>214</v>
      </c>
      <c r="D60" s="57" t="s">
        <v>215</v>
      </c>
      <c r="E60" s="57" t="s">
        <v>212</v>
      </c>
      <c r="F60" s="57" t="s">
        <v>216</v>
      </c>
      <c r="G60" s="52"/>
      <c r="H60" s="52"/>
      <c r="I60" s="52"/>
      <c r="J60" s="52"/>
    </row>
    <row r="61" customFormat="false" ht="33.75" hidden="false" customHeight="true" outlineLevel="0" collapsed="false">
      <c r="A61" s="52" t="s">
        <v>57</v>
      </c>
      <c r="B61" s="58" t="n">
        <v>930</v>
      </c>
      <c r="C61" s="52" t="s">
        <v>200</v>
      </c>
      <c r="D61" s="57" t="s">
        <v>217</v>
      </c>
      <c r="E61" s="57" t="s">
        <v>212</v>
      </c>
      <c r="F61" s="57" t="s">
        <v>218</v>
      </c>
      <c r="G61" s="52"/>
      <c r="H61" s="52"/>
      <c r="I61" s="52"/>
      <c r="J61" s="52"/>
    </row>
    <row r="62" customFormat="false" ht="33.75" hidden="false" customHeight="true" outlineLevel="0" collapsed="false">
      <c r="A62" s="52" t="s">
        <v>60</v>
      </c>
      <c r="B62" s="58" t="n">
        <v>70</v>
      </c>
      <c r="C62" s="52" t="s">
        <v>219</v>
      </c>
      <c r="D62" s="57" t="s">
        <v>220</v>
      </c>
      <c r="E62" s="57" t="s">
        <v>221</v>
      </c>
      <c r="F62" s="57" t="s">
        <v>222</v>
      </c>
      <c r="G62" s="52"/>
      <c r="H62" s="52"/>
      <c r="I62" s="52"/>
      <c r="J62" s="52"/>
    </row>
    <row r="63" customFormat="false" ht="33.75" hidden="false" customHeight="true" outlineLevel="0" collapsed="false">
      <c r="A63" s="52" t="s">
        <v>61</v>
      </c>
      <c r="B63" s="58" t="n">
        <v>44</v>
      </c>
      <c r="C63" s="52" t="s">
        <v>219</v>
      </c>
      <c r="D63" s="57" t="s">
        <v>220</v>
      </c>
      <c r="E63" s="57" t="s">
        <v>221</v>
      </c>
      <c r="F63" s="57" t="s">
        <v>222</v>
      </c>
      <c r="G63" s="52"/>
      <c r="H63" s="52"/>
      <c r="I63" s="52"/>
      <c r="J63" s="52"/>
    </row>
    <row r="64" customFormat="false" ht="33.75" hidden="false" customHeight="true" outlineLevel="0" collapsed="false">
      <c r="A64" s="52" t="s">
        <v>77</v>
      </c>
      <c r="B64" s="58" t="n">
        <v>315</v>
      </c>
      <c r="C64" s="52" t="s">
        <v>223</v>
      </c>
      <c r="D64" s="57" t="s">
        <v>224</v>
      </c>
      <c r="E64" s="57" t="s">
        <v>225</v>
      </c>
      <c r="F64" s="57" t="s">
        <v>226</v>
      </c>
      <c r="G64" s="52"/>
      <c r="H64" s="52"/>
      <c r="I64" s="52"/>
      <c r="J64" s="52"/>
    </row>
    <row r="65" customFormat="false" ht="36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</row>
    <row r="66" customFormat="false" ht="36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</row>
    <row r="67" customFormat="false" ht="18" hidden="false" customHeight="true" outlineLevel="0" collapsed="false">
      <c r="A67" s="54" t="s">
        <v>227</v>
      </c>
      <c r="B67" s="54"/>
      <c r="C67" s="54"/>
      <c r="D67" s="54"/>
      <c r="E67" s="54"/>
      <c r="F67" s="54"/>
      <c r="G67" s="54"/>
      <c r="H67" s="54"/>
      <c r="I67" s="54"/>
      <c r="J67" s="54"/>
    </row>
    <row r="68" customFormat="false" ht="36" hidden="false" customHeight="true" outlineLevel="0" collapsed="false">
      <c r="A68" s="55" t="s">
        <v>146</v>
      </c>
      <c r="B68" s="55" t="s">
        <v>228</v>
      </c>
      <c r="C68" s="55" t="s">
        <v>147</v>
      </c>
      <c r="D68" s="55" t="s">
        <v>229</v>
      </c>
      <c r="E68" s="55" t="s">
        <v>230</v>
      </c>
      <c r="F68" s="55" t="s">
        <v>231</v>
      </c>
      <c r="G68" s="55" t="s">
        <v>232</v>
      </c>
      <c r="H68" s="55" t="s">
        <v>233</v>
      </c>
      <c r="I68" s="55" t="s">
        <v>234</v>
      </c>
      <c r="J68" s="55" t="s">
        <v>235</v>
      </c>
    </row>
    <row r="69" customFormat="false" ht="39.75" hidden="false" customHeight="true" outlineLevel="0" collapsed="false">
      <c r="A69" s="52" t="s">
        <v>236</v>
      </c>
      <c r="B69" s="52" t="s">
        <v>62</v>
      </c>
      <c r="C69" s="52" t="s">
        <v>64</v>
      </c>
      <c r="D69" s="57" t="s">
        <v>237</v>
      </c>
      <c r="E69" s="57" t="s">
        <v>238</v>
      </c>
      <c r="F69" s="57" t="s">
        <v>239</v>
      </c>
      <c r="G69" s="57" t="n">
        <v>2027</v>
      </c>
      <c r="H69" s="57" t="s">
        <v>240</v>
      </c>
      <c r="I69" s="57" t="s">
        <v>241</v>
      </c>
      <c r="J69" s="57" t="s">
        <v>242</v>
      </c>
    </row>
    <row r="70" customFormat="false" ht="39.75" hidden="false" customHeight="true" outlineLevel="0" collapsed="false">
      <c r="A70" s="52" t="s">
        <v>243</v>
      </c>
      <c r="B70" s="52" t="s">
        <v>60</v>
      </c>
      <c r="C70" s="52" t="s">
        <v>64</v>
      </c>
      <c r="D70" s="57" t="s">
        <v>244</v>
      </c>
      <c r="E70" s="57" t="s">
        <v>245</v>
      </c>
      <c r="F70" s="57" t="s">
        <v>246</v>
      </c>
      <c r="G70" s="57" t="n">
        <v>2026</v>
      </c>
      <c r="H70" s="57" t="s">
        <v>247</v>
      </c>
      <c r="I70" s="57" t="s">
        <v>248</v>
      </c>
      <c r="J70" s="57" t="s">
        <v>249</v>
      </c>
    </row>
    <row r="71" customFormat="false" ht="39.75" hidden="false" customHeight="true" outlineLevel="0" collapsed="false">
      <c r="A71" s="52" t="s">
        <v>250</v>
      </c>
      <c r="B71" s="52" t="s">
        <v>61</v>
      </c>
      <c r="C71" s="52" t="s">
        <v>64</v>
      </c>
      <c r="D71" s="57" t="s">
        <v>251</v>
      </c>
      <c r="E71" s="57" t="s">
        <v>252</v>
      </c>
      <c r="F71" s="57" t="s">
        <v>253</v>
      </c>
      <c r="G71" s="57" t="n">
        <v>2026</v>
      </c>
      <c r="H71" s="57" t="s">
        <v>247</v>
      </c>
      <c r="I71" s="57" t="s">
        <v>254</v>
      </c>
      <c r="J71" s="57" t="s">
        <v>249</v>
      </c>
    </row>
    <row r="72" customFormat="false" ht="39.75" hidden="false" customHeight="true" outlineLevel="0" collapsed="false">
      <c r="A72" s="52" t="s">
        <v>255</v>
      </c>
      <c r="B72" s="52" t="s">
        <v>63</v>
      </c>
      <c r="C72" s="52" t="s">
        <v>64</v>
      </c>
      <c r="D72" s="57" t="s">
        <v>256</v>
      </c>
      <c r="E72" s="57" t="s">
        <v>257</v>
      </c>
      <c r="F72" s="57" t="s">
        <v>258</v>
      </c>
      <c r="G72" s="57" t="n">
        <v>2029</v>
      </c>
      <c r="H72" s="57" t="s">
        <v>259</v>
      </c>
      <c r="I72" s="57" t="s">
        <v>260</v>
      </c>
      <c r="J72" s="57" t="s">
        <v>242</v>
      </c>
    </row>
    <row r="73" customFormat="false" ht="39.75" hidden="false" customHeight="true" outlineLevel="0" collapsed="false">
      <c r="A73" s="52" t="s">
        <v>261</v>
      </c>
      <c r="B73" s="52" t="s">
        <v>262</v>
      </c>
      <c r="C73" s="52" t="s">
        <v>159</v>
      </c>
      <c r="D73" s="57" t="s">
        <v>263</v>
      </c>
      <c r="E73" s="57" t="s">
        <v>264</v>
      </c>
      <c r="F73" s="57" t="s">
        <v>265</v>
      </c>
      <c r="G73" s="57" t="n">
        <v>2027</v>
      </c>
      <c r="H73" s="57" t="s">
        <v>266</v>
      </c>
      <c r="I73" s="57" t="s">
        <v>267</v>
      </c>
      <c r="J73" s="57" t="s">
        <v>268</v>
      </c>
    </row>
    <row r="74" customFormat="false" ht="39.75" hidden="false" customHeight="true" outlineLevel="0" collapsed="false">
      <c r="A74" s="52" t="s">
        <v>69</v>
      </c>
      <c r="B74" s="52" t="s">
        <v>269</v>
      </c>
      <c r="C74" s="52" t="s">
        <v>64</v>
      </c>
      <c r="D74" s="57" t="s">
        <v>166</v>
      </c>
      <c r="E74" s="57" t="s">
        <v>270</v>
      </c>
      <c r="F74" s="57" t="s">
        <v>271</v>
      </c>
      <c r="G74" s="57" t="n">
        <v>2032</v>
      </c>
      <c r="H74" s="57" t="s">
        <v>272</v>
      </c>
      <c r="I74" s="57" t="s">
        <v>273</v>
      </c>
      <c r="J74" s="57" t="s">
        <v>274</v>
      </c>
    </row>
    <row r="75" customFormat="false" ht="39.75" hidden="false" customHeight="true" outlineLevel="0" collapsed="false">
      <c r="A75" s="52" t="s">
        <v>168</v>
      </c>
      <c r="B75" s="52" t="s">
        <v>275</v>
      </c>
      <c r="C75" s="52" t="s">
        <v>64</v>
      </c>
      <c r="D75" s="57" t="s">
        <v>169</v>
      </c>
      <c r="E75" s="57" t="s">
        <v>276</v>
      </c>
      <c r="F75" s="57" t="s">
        <v>277</v>
      </c>
      <c r="G75" s="57" t="n">
        <v>2033</v>
      </c>
      <c r="H75" s="57" t="s">
        <v>272</v>
      </c>
      <c r="I75" s="57" t="s">
        <v>278</v>
      </c>
      <c r="J75" s="57" t="s">
        <v>279</v>
      </c>
    </row>
    <row r="76" customFormat="false" ht="39.75" hidden="false" customHeight="true" outlineLevel="0" collapsed="false">
      <c r="A76" s="52" t="s">
        <v>71</v>
      </c>
      <c r="B76" s="52" t="s">
        <v>280</v>
      </c>
      <c r="C76" s="52" t="s">
        <v>175</v>
      </c>
      <c r="D76" s="57" t="s">
        <v>281</v>
      </c>
      <c r="E76" s="57" t="s">
        <v>270</v>
      </c>
      <c r="F76" s="57" t="s">
        <v>282</v>
      </c>
      <c r="G76" s="57" t="n">
        <v>2031</v>
      </c>
      <c r="H76" s="57" t="s">
        <v>272</v>
      </c>
      <c r="I76" s="57" t="s">
        <v>283</v>
      </c>
      <c r="J76" s="57" t="s">
        <v>279</v>
      </c>
    </row>
    <row r="77" customFormat="false" ht="39.75" hidden="false" customHeight="true" outlineLevel="0" collapsed="false">
      <c r="A77" s="52" t="s">
        <v>284</v>
      </c>
      <c r="B77" s="52" t="s">
        <v>285</v>
      </c>
      <c r="C77" s="52" t="s">
        <v>286</v>
      </c>
      <c r="D77" s="57" t="s">
        <v>173</v>
      </c>
      <c r="E77" s="57" t="s">
        <v>287</v>
      </c>
      <c r="F77" s="57" t="s">
        <v>288</v>
      </c>
      <c r="G77" s="57" t="n">
        <v>2034</v>
      </c>
      <c r="H77" s="57" t="s">
        <v>272</v>
      </c>
      <c r="I77" s="57" t="s">
        <v>289</v>
      </c>
      <c r="J77" s="57" t="s">
        <v>290</v>
      </c>
    </row>
    <row r="78" customFormat="false" ht="39.75" hidden="false" customHeight="true" outlineLevel="0" collapsed="false">
      <c r="A78" s="52" t="s">
        <v>291</v>
      </c>
      <c r="B78" s="52" t="s">
        <v>292</v>
      </c>
      <c r="C78" s="52" t="s">
        <v>175</v>
      </c>
      <c r="D78" s="57" t="s">
        <v>293</v>
      </c>
      <c r="E78" s="57" t="s">
        <v>287</v>
      </c>
      <c r="F78" s="57" t="s">
        <v>294</v>
      </c>
      <c r="G78" s="57" t="n">
        <v>2035</v>
      </c>
      <c r="H78" s="57" t="s">
        <v>272</v>
      </c>
      <c r="I78" s="57" t="s">
        <v>295</v>
      </c>
      <c r="J78" s="57" t="s">
        <v>268</v>
      </c>
    </row>
    <row r="79" customFormat="false" ht="33.7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</row>
    <row r="80" customFormat="false" ht="18" hidden="false" customHeight="true" outlineLevel="0" collapsed="false">
      <c r="A80" s="54" t="s">
        <v>296</v>
      </c>
      <c r="B80" s="54"/>
      <c r="C80" s="54"/>
      <c r="D80" s="54"/>
      <c r="E80" s="54"/>
      <c r="F80" s="54"/>
      <c r="G80" s="54"/>
      <c r="H80" s="54"/>
      <c r="I80" s="54"/>
      <c r="J80" s="54"/>
    </row>
    <row r="81" customFormat="false" ht="33.75" hidden="false" customHeight="true" outlineLevel="0" collapsed="false">
      <c r="A81" s="59" t="s">
        <v>297</v>
      </c>
      <c r="B81" s="59" t="s">
        <v>298</v>
      </c>
      <c r="C81" s="59" t="s">
        <v>299</v>
      </c>
      <c r="D81" s="59" t="s">
        <v>300</v>
      </c>
      <c r="E81" s="59" t="s">
        <v>301</v>
      </c>
      <c r="F81" s="52"/>
      <c r="G81" s="52"/>
      <c r="H81" s="52"/>
      <c r="I81" s="52"/>
      <c r="J81" s="52"/>
    </row>
    <row r="82" customFormat="false" ht="33.75" hidden="false" customHeight="true" outlineLevel="0" collapsed="false">
      <c r="A82" s="52" t="s">
        <v>302</v>
      </c>
      <c r="B82" s="57" t="s">
        <v>303</v>
      </c>
      <c r="C82" s="57" t="s">
        <v>304</v>
      </c>
      <c r="D82" s="57" t="s">
        <v>305</v>
      </c>
      <c r="E82" s="57" t="s">
        <v>306</v>
      </c>
      <c r="F82" s="52"/>
      <c r="G82" s="52"/>
      <c r="H82" s="52"/>
      <c r="I82" s="52"/>
      <c r="J82" s="52"/>
    </row>
    <row r="83" customFormat="false" ht="33.75" hidden="false" customHeight="true" outlineLevel="0" collapsed="false">
      <c r="A83" s="52" t="s">
        <v>307</v>
      </c>
      <c r="B83" s="57" t="s">
        <v>308</v>
      </c>
      <c r="C83" s="57" t="s">
        <v>309</v>
      </c>
      <c r="D83" s="57" t="s">
        <v>310</v>
      </c>
      <c r="E83" s="57" t="s">
        <v>306</v>
      </c>
      <c r="F83" s="52"/>
      <c r="G83" s="52"/>
      <c r="H83" s="52"/>
      <c r="I83" s="52"/>
      <c r="J83" s="52"/>
    </row>
    <row r="84" customFormat="false" ht="33.75" hidden="false" customHeight="true" outlineLevel="0" collapsed="false">
      <c r="A84" s="52" t="s">
        <v>311</v>
      </c>
      <c r="B84" s="57" t="s">
        <v>312</v>
      </c>
      <c r="C84" s="57" t="s">
        <v>313</v>
      </c>
      <c r="D84" s="57" t="s">
        <v>314</v>
      </c>
      <c r="E84" s="57" t="s">
        <v>306</v>
      </c>
      <c r="F84" s="52"/>
      <c r="G84" s="52"/>
      <c r="H84" s="52"/>
      <c r="I84" s="52"/>
      <c r="J84" s="52"/>
    </row>
    <row r="85" customFormat="false" ht="33.75" hidden="false" customHeight="true" outlineLevel="0" collapsed="false">
      <c r="A85" s="52" t="s">
        <v>315</v>
      </c>
      <c r="B85" s="57" t="s">
        <v>316</v>
      </c>
      <c r="C85" s="57" t="s">
        <v>317</v>
      </c>
      <c r="D85" s="57" t="s">
        <v>318</v>
      </c>
      <c r="E85" s="57" t="s">
        <v>306</v>
      </c>
      <c r="F85" s="52"/>
      <c r="G85" s="52"/>
      <c r="H85" s="52"/>
      <c r="I85" s="52"/>
      <c r="J85" s="52"/>
    </row>
    <row r="86" customFormat="false" ht="33.75" hidden="false" customHeight="true" outlineLevel="0" collapsed="false">
      <c r="A86" s="52" t="s">
        <v>319</v>
      </c>
      <c r="B86" s="57" t="s">
        <v>320</v>
      </c>
      <c r="C86" s="57" t="s">
        <v>321</v>
      </c>
      <c r="D86" s="57" t="s">
        <v>322</v>
      </c>
      <c r="E86" s="57" t="s">
        <v>306</v>
      </c>
      <c r="F86" s="52"/>
      <c r="G86" s="52"/>
      <c r="H86" s="52"/>
      <c r="I86" s="52"/>
      <c r="J86" s="52"/>
    </row>
    <row r="87" customFormat="false" ht="33.75" hidden="false" customHeight="true" outlineLevel="0" collapsed="false">
      <c r="A87" s="52" t="s">
        <v>323</v>
      </c>
      <c r="B87" s="57" t="s">
        <v>324</v>
      </c>
      <c r="C87" s="57" t="s">
        <v>325</v>
      </c>
      <c r="D87" s="57" t="s">
        <v>326</v>
      </c>
      <c r="E87" s="57" t="s">
        <v>327</v>
      </c>
      <c r="F87" s="52"/>
      <c r="G87" s="52"/>
      <c r="H87" s="52"/>
      <c r="I87" s="52"/>
      <c r="J87" s="52"/>
    </row>
    <row r="88" customFormat="false" ht="33.75" hidden="false" customHeight="true" outlineLevel="0" collapsed="false">
      <c r="A88" s="52" t="s">
        <v>328</v>
      </c>
      <c r="B88" s="57" t="s">
        <v>329</v>
      </c>
      <c r="C88" s="57" t="s">
        <v>330</v>
      </c>
      <c r="D88" s="57" t="s">
        <v>331</v>
      </c>
      <c r="E88" s="57" t="s">
        <v>332</v>
      </c>
      <c r="F88" s="52"/>
      <c r="G88" s="52"/>
      <c r="H88" s="52"/>
      <c r="I88" s="52"/>
      <c r="J88" s="52"/>
    </row>
    <row r="89" customFormat="false" ht="33.75" hidden="false" customHeight="true" outlineLevel="0" collapsed="false">
      <c r="A89" s="52" t="s">
        <v>333</v>
      </c>
      <c r="B89" s="57" t="s">
        <v>334</v>
      </c>
      <c r="C89" s="57" t="s">
        <v>335</v>
      </c>
      <c r="D89" s="57" t="s">
        <v>336</v>
      </c>
      <c r="E89" s="57" t="s">
        <v>189</v>
      </c>
      <c r="F89" s="52"/>
      <c r="G89" s="52"/>
      <c r="H89" s="52"/>
      <c r="I89" s="52"/>
      <c r="J89" s="52"/>
    </row>
    <row r="90" customFormat="false" ht="1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</row>
    <row r="91" customFormat="false" ht="1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</row>
    <row r="92" customFormat="false" ht="18" hidden="false" customHeight="true" outlineLevel="0" collapsed="false">
      <c r="A92" s="54" t="s">
        <v>337</v>
      </c>
      <c r="B92" s="54"/>
      <c r="C92" s="54"/>
      <c r="D92" s="54"/>
      <c r="E92" s="54"/>
      <c r="F92" s="54"/>
      <c r="G92" s="54"/>
      <c r="H92" s="54"/>
      <c r="I92" s="54"/>
      <c r="J92" s="54"/>
    </row>
    <row r="93" customFormat="false" ht="30" hidden="false" customHeight="true" outlineLevel="0" collapsed="false">
      <c r="A93" s="60" t="s">
        <v>338</v>
      </c>
      <c r="B93" s="60"/>
      <c r="C93" s="60"/>
      <c r="D93" s="60"/>
      <c r="E93" s="60"/>
      <c r="F93" s="60"/>
      <c r="G93" s="60"/>
      <c r="H93" s="60"/>
      <c r="I93" s="60"/>
      <c r="J93" s="60"/>
    </row>
    <row r="94" customFormat="false" ht="30" hidden="false" customHeight="true" outlineLevel="0" collapsed="false">
      <c r="A94" s="60" t="s">
        <v>339</v>
      </c>
      <c r="B94" s="60"/>
      <c r="C94" s="60"/>
      <c r="D94" s="60"/>
      <c r="E94" s="60"/>
      <c r="F94" s="60"/>
      <c r="G94" s="60"/>
      <c r="H94" s="60"/>
      <c r="I94" s="60"/>
      <c r="J94" s="60"/>
    </row>
    <row r="95" customFormat="false" ht="30" hidden="false" customHeight="true" outlineLevel="0" collapsed="false">
      <c r="A95" s="60" t="s">
        <v>340</v>
      </c>
      <c r="B95" s="60"/>
      <c r="C95" s="60"/>
      <c r="D95" s="60"/>
      <c r="E95" s="60"/>
      <c r="F95" s="60"/>
      <c r="G95" s="60"/>
      <c r="H95" s="60"/>
      <c r="I95" s="60"/>
      <c r="J95" s="60"/>
    </row>
    <row r="96" customFormat="false" ht="30" hidden="false" customHeight="true" outlineLevel="0" collapsed="false">
      <c r="A96" s="60" t="s">
        <v>341</v>
      </c>
      <c r="B96" s="60"/>
      <c r="C96" s="60"/>
      <c r="D96" s="60"/>
      <c r="E96" s="60"/>
      <c r="F96" s="60"/>
      <c r="G96" s="60"/>
      <c r="H96" s="60"/>
      <c r="I96" s="60"/>
      <c r="J96" s="60"/>
    </row>
    <row r="97" customFormat="false" ht="30" hidden="false" customHeight="true" outlineLevel="0" collapsed="false">
      <c r="A97" s="60" t="s">
        <v>342</v>
      </c>
      <c r="B97" s="60"/>
      <c r="C97" s="60"/>
      <c r="D97" s="60"/>
      <c r="E97" s="60"/>
      <c r="F97" s="60"/>
      <c r="G97" s="60"/>
      <c r="H97" s="60"/>
      <c r="I97" s="60"/>
      <c r="J97" s="60"/>
    </row>
    <row r="98" customFormat="false" ht="1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</row>
    <row r="99" customFormat="false" ht="1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</row>
    <row r="100" customFormat="false" ht="1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</row>
  </sheetData>
  <mergeCells count="1"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3"/>
    <col collapsed="false" customWidth="true" hidden="false" outlineLevel="0" max="4" min="2" style="1" width="18"/>
    <col collapsed="false" customWidth="true" hidden="false" outlineLevel="0" max="5" min="5" style="1" width="3"/>
    <col collapsed="false" customWidth="true" hidden="false" outlineLevel="0" max="6" min="6" style="1" width="76"/>
    <col collapsed="false" customWidth="true" hidden="false" outlineLevel="0" max="11" min="7" style="1" width="13"/>
  </cols>
  <sheetData>
    <row r="1" customFormat="false" ht="19.5" hidden="false" customHeight="true" outlineLevel="0" collapsed="false">
      <c r="A1" s="61" t="s">
        <v>343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customFormat="false" ht="15" hidden="false" customHeight="true" outlineLevel="0" collapsed="false">
      <c r="A2" s="62" t="s">
        <v>344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4" customFormat="false" ht="18" hidden="false" customHeight="true" outlineLevel="0" collapsed="false">
      <c r="A4" s="63" t="s">
        <v>345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5" customFormat="false" ht="15" hidden="false" customHeight="true" outlineLevel="0" collapsed="false">
      <c r="A5" s="64" t="s">
        <v>346</v>
      </c>
      <c r="B5" s="64" t="s">
        <v>24</v>
      </c>
      <c r="C5" s="64" t="s">
        <v>347</v>
      </c>
      <c r="D5" s="64" t="s">
        <v>348</v>
      </c>
      <c r="E5" s="64"/>
      <c r="F5" s="64" t="s">
        <v>349</v>
      </c>
    </row>
    <row r="6" customFormat="false" ht="27.75" hidden="false" customHeight="true" outlineLevel="0" collapsed="false">
      <c r="A6" s="65" t="s">
        <v>350</v>
      </c>
      <c r="B6" s="66" t="n">
        <v>0.65</v>
      </c>
      <c r="C6" s="66" t="n">
        <v>0.658</v>
      </c>
      <c r="D6" s="66" t="n">
        <v>0.662</v>
      </c>
      <c r="F6" s="67" t="s">
        <v>351</v>
      </c>
    </row>
    <row r="7" customFormat="false" ht="27.75" hidden="false" customHeight="true" outlineLevel="0" collapsed="false">
      <c r="A7" s="65" t="s">
        <v>352</v>
      </c>
      <c r="B7" s="66" t="n">
        <v>0.16</v>
      </c>
      <c r="C7" s="66" t="n">
        <v>0.158</v>
      </c>
      <c r="D7" s="66" t="n">
        <v>0.153</v>
      </c>
      <c r="F7" s="67" t="s">
        <v>353</v>
      </c>
    </row>
    <row r="8" customFormat="false" ht="27.75" hidden="false" customHeight="true" outlineLevel="0" collapsed="false">
      <c r="A8" s="65" t="s">
        <v>354</v>
      </c>
      <c r="B8" s="66" t="n">
        <v>0.147</v>
      </c>
      <c r="C8" s="66" t="n">
        <v>0.144</v>
      </c>
      <c r="D8" s="66" t="n">
        <v>0.14</v>
      </c>
      <c r="F8" s="67" t="s">
        <v>355</v>
      </c>
    </row>
    <row r="9" customFormat="false" ht="27.75" hidden="false" customHeight="true" outlineLevel="0" collapsed="false">
      <c r="A9" s="65" t="s">
        <v>356</v>
      </c>
      <c r="B9" s="66" t="n">
        <v>0.263</v>
      </c>
      <c r="C9" s="66" t="n">
        <v>0.263</v>
      </c>
      <c r="D9" s="66" t="n">
        <v>0.263</v>
      </c>
      <c r="F9" s="67" t="s">
        <v>357</v>
      </c>
    </row>
    <row r="10" customFormat="false" ht="27.75" hidden="false" customHeight="true" outlineLevel="0" collapsed="false">
      <c r="A10" s="65" t="s">
        <v>358</v>
      </c>
      <c r="B10" s="66" t="n">
        <v>0.08</v>
      </c>
      <c r="C10" s="66" t="n">
        <v>0.08</v>
      </c>
      <c r="D10" s="66" t="n">
        <v>0.08</v>
      </c>
      <c r="F10" s="67" t="s">
        <v>359</v>
      </c>
    </row>
    <row r="11" customFormat="false" ht="27.75" hidden="false" customHeight="true" outlineLevel="0" collapsed="false">
      <c r="A11" s="65" t="s">
        <v>360</v>
      </c>
      <c r="B11" s="66" t="n">
        <v>0.06</v>
      </c>
      <c r="C11" s="66" t="n">
        <v>0.06</v>
      </c>
      <c r="D11" s="66" t="n">
        <v>0.06</v>
      </c>
      <c r="F11" s="67" t="s">
        <v>361</v>
      </c>
    </row>
    <row r="12" customFormat="false" ht="27.75" hidden="false" customHeight="true" outlineLevel="0" collapsed="false">
      <c r="A12" s="65" t="s">
        <v>362</v>
      </c>
      <c r="B12" s="66" t="n">
        <v>0.92</v>
      </c>
      <c r="C12" s="66" t="n">
        <v>0.9</v>
      </c>
      <c r="D12" s="66" t="n">
        <v>0.88</v>
      </c>
      <c r="F12" s="67" t="s">
        <v>363</v>
      </c>
    </row>
    <row r="13" customFormat="false" ht="27.75" hidden="false" customHeight="true" outlineLevel="0" collapsed="false">
      <c r="A13" s="65" t="s">
        <v>364</v>
      </c>
      <c r="B13" s="66" t="n">
        <v>0.012</v>
      </c>
      <c r="C13" s="66" t="n">
        <v>0.011</v>
      </c>
      <c r="D13" s="66" t="n">
        <v>0.01</v>
      </c>
      <c r="F13" s="67" t="s">
        <v>365</v>
      </c>
    </row>
    <row r="14" customFormat="false" ht="27.75" hidden="false" customHeight="true" outlineLevel="0" collapsed="false">
      <c r="A14" s="65" t="s">
        <v>366</v>
      </c>
      <c r="B14" s="68" t="n">
        <v>124</v>
      </c>
      <c r="C14" s="68" t="n">
        <v>122</v>
      </c>
      <c r="D14" s="68" t="n">
        <v>120</v>
      </c>
      <c r="F14" s="67" t="s">
        <v>367</v>
      </c>
    </row>
    <row r="15" customFormat="false" ht="27.75" hidden="false" customHeight="true" outlineLevel="0" collapsed="false">
      <c r="A15" s="65" t="s">
        <v>368</v>
      </c>
      <c r="B15" s="68" t="n">
        <v>27</v>
      </c>
      <c r="C15" s="68" t="n">
        <v>26</v>
      </c>
      <c r="D15" s="68" t="n">
        <v>25</v>
      </c>
      <c r="F15" s="67" t="s">
        <v>369</v>
      </c>
    </row>
    <row r="16" customFormat="false" ht="27.75" hidden="false" customHeight="true" outlineLevel="0" collapsed="false">
      <c r="A16" s="65" t="s">
        <v>370</v>
      </c>
      <c r="B16" s="68" t="n">
        <v>158</v>
      </c>
      <c r="C16" s="68" t="n">
        <v>160</v>
      </c>
      <c r="D16" s="68" t="n">
        <v>160</v>
      </c>
      <c r="F16" s="67" t="s">
        <v>371</v>
      </c>
    </row>
    <row r="17" customFormat="false" ht="27.75" hidden="false" customHeight="true" outlineLevel="0" collapsed="false">
      <c r="A17" s="65" t="s">
        <v>372</v>
      </c>
      <c r="B17" s="66" t="n">
        <v>0.13</v>
      </c>
      <c r="C17" s="66" t="n">
        <v>0.128</v>
      </c>
      <c r="D17" s="66" t="n">
        <v>0.125</v>
      </c>
      <c r="F17" s="67" t="s">
        <v>373</v>
      </c>
    </row>
    <row r="18" customFormat="false" ht="27.75" hidden="false" customHeight="true" outlineLevel="0" collapsed="false">
      <c r="A18" s="65" t="s">
        <v>374</v>
      </c>
      <c r="B18" s="66" t="n">
        <v>0.38</v>
      </c>
      <c r="C18" s="66" t="n">
        <v>0.375</v>
      </c>
      <c r="D18" s="66" t="n">
        <v>0.37</v>
      </c>
      <c r="F18" s="67" t="s">
        <v>373</v>
      </c>
    </row>
    <row r="19" customFormat="false" ht="27.75" hidden="false" customHeight="true" outlineLevel="0" collapsed="false">
      <c r="A19" s="65" t="s">
        <v>375</v>
      </c>
      <c r="B19" s="68" t="n">
        <v>332.7</v>
      </c>
      <c r="C19" s="68" t="n">
        <v>332.7</v>
      </c>
      <c r="D19" s="68" t="n">
        <v>332.7</v>
      </c>
      <c r="F19" s="67" t="s">
        <v>376</v>
      </c>
    </row>
    <row r="20" customFormat="false" ht="27.75" hidden="false" customHeight="true" outlineLevel="0" collapsed="false">
      <c r="A20" s="65" t="s">
        <v>377</v>
      </c>
      <c r="B20" s="66" t="n">
        <v>0.2</v>
      </c>
      <c r="C20" s="66" t="n">
        <v>0.195</v>
      </c>
      <c r="D20" s="66" t="n">
        <v>0.19</v>
      </c>
      <c r="F20" s="67" t="s">
        <v>378</v>
      </c>
    </row>
    <row r="23" customFormat="false" ht="18" hidden="false" customHeight="true" outlineLevel="0" collapsed="false">
      <c r="A23" s="63" t="s">
        <v>379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</row>
    <row r="24" customFormat="false" ht="15" hidden="false" customHeight="true" outlineLevel="0" collapsed="false">
      <c r="A24" s="69" t="s">
        <v>346</v>
      </c>
      <c r="B24" s="70" t="s">
        <v>24</v>
      </c>
      <c r="C24" s="70" t="s">
        <v>29</v>
      </c>
      <c r="D24" s="70" t="s">
        <v>30</v>
      </c>
      <c r="E24" s="70" t="s">
        <v>31</v>
      </c>
      <c r="F24" s="70" t="s">
        <v>32</v>
      </c>
      <c r="G24" s="70" t="s">
        <v>33</v>
      </c>
      <c r="H24" s="70" t="s">
        <v>34</v>
      </c>
      <c r="I24" s="70" t="s">
        <v>35</v>
      </c>
      <c r="J24" s="70" t="s">
        <v>36</v>
      </c>
      <c r="K24" s="70" t="s">
        <v>37</v>
      </c>
    </row>
    <row r="25" customFormat="false" ht="15" hidden="false" customHeight="true" outlineLevel="0" collapsed="false">
      <c r="A25" s="65" t="s">
        <v>350</v>
      </c>
      <c r="B25" s="71" t="n">
        <f aca="false">$B$6</f>
        <v>0.65</v>
      </c>
      <c r="C25" s="71" t="n">
        <f aca="false">$B$6+($C$6-$B$6)*1/3</f>
        <v>0.652666666666667</v>
      </c>
      <c r="D25" s="71" t="n">
        <f aca="false">$B$6+($C$6-$B$6)*2/3</f>
        <v>0.655333333333333</v>
      </c>
      <c r="E25" s="71" t="n">
        <f aca="false">$B$6+($C$6-$B$6)*3/3</f>
        <v>0.658</v>
      </c>
      <c r="F25" s="71" t="n">
        <f aca="false">$C$6+($D$6-$C$6)*1/6</f>
        <v>0.658666666666667</v>
      </c>
      <c r="G25" s="71" t="n">
        <f aca="false">$C$6+($D$6-$C$6)*2/6</f>
        <v>0.659333333333333</v>
      </c>
      <c r="H25" s="71" t="n">
        <f aca="false">$C$6+($D$6-$C$6)*3/6</f>
        <v>0.66</v>
      </c>
      <c r="I25" s="71" t="n">
        <f aca="false">$C$6+($D$6-$C$6)*4/6</f>
        <v>0.660666666666667</v>
      </c>
      <c r="J25" s="71" t="n">
        <f aca="false">$C$6+($D$6-$C$6)*5/6</f>
        <v>0.661333333333333</v>
      </c>
      <c r="K25" s="71" t="n">
        <f aca="false">$C$6+($D$6-$C$6)*6/6</f>
        <v>0.662</v>
      </c>
    </row>
    <row r="26" customFormat="false" ht="15" hidden="false" customHeight="true" outlineLevel="0" collapsed="false">
      <c r="A26" s="65" t="s">
        <v>352</v>
      </c>
      <c r="B26" s="71" t="n">
        <f aca="false">$B$7</f>
        <v>0.16</v>
      </c>
      <c r="C26" s="71" t="n">
        <f aca="false">$B$7+($C$7-$B$7)*1/3</f>
        <v>0.159333333333333</v>
      </c>
      <c r="D26" s="71" t="n">
        <f aca="false">$B$7+($C$7-$B$7)*2/3</f>
        <v>0.158666666666667</v>
      </c>
      <c r="E26" s="71" t="n">
        <f aca="false">$B$7+($C$7-$B$7)*3/3</f>
        <v>0.158</v>
      </c>
      <c r="F26" s="71" t="n">
        <f aca="false">$C$7+($D$7-$C$7)*1/6</f>
        <v>0.157166666666667</v>
      </c>
      <c r="G26" s="71" t="n">
        <f aca="false">$C$7+($D$7-$C$7)*2/6</f>
        <v>0.156333333333333</v>
      </c>
      <c r="H26" s="71" t="n">
        <f aca="false">$C$7+($D$7-$C$7)*3/6</f>
        <v>0.1555</v>
      </c>
      <c r="I26" s="71" t="n">
        <f aca="false">$C$7+($D$7-$C$7)*4/6</f>
        <v>0.154666666666667</v>
      </c>
      <c r="J26" s="71" t="n">
        <f aca="false">$C$7+($D$7-$C$7)*5/6</f>
        <v>0.153833333333333</v>
      </c>
      <c r="K26" s="71" t="n">
        <f aca="false">$C$7+($D$7-$C$7)*6/6</f>
        <v>0.153</v>
      </c>
    </row>
    <row r="27" customFormat="false" ht="15" hidden="false" customHeight="true" outlineLevel="0" collapsed="false">
      <c r="A27" s="65" t="s">
        <v>354</v>
      </c>
      <c r="B27" s="71" t="n">
        <f aca="false">$B$8</f>
        <v>0.147</v>
      </c>
      <c r="C27" s="71" t="n">
        <f aca="false">$B$8+($C$8-$B$8)*1/3</f>
        <v>0.146</v>
      </c>
      <c r="D27" s="71" t="n">
        <f aca="false">$B$8+($C$8-$B$8)*2/3</f>
        <v>0.145</v>
      </c>
      <c r="E27" s="71" t="n">
        <f aca="false">$B$8+($C$8-$B$8)*3/3</f>
        <v>0.144</v>
      </c>
      <c r="F27" s="71" t="n">
        <f aca="false">$C$8+($D$8-$C$8)*1/6</f>
        <v>0.143333333333333</v>
      </c>
      <c r="G27" s="71" t="n">
        <f aca="false">$C$8+($D$8-$C$8)*2/6</f>
        <v>0.142666666666667</v>
      </c>
      <c r="H27" s="71" t="n">
        <f aca="false">$C$8+($D$8-$C$8)*3/6</f>
        <v>0.142</v>
      </c>
      <c r="I27" s="71" t="n">
        <f aca="false">$C$8+($D$8-$C$8)*4/6</f>
        <v>0.141333333333333</v>
      </c>
      <c r="J27" s="71" t="n">
        <f aca="false">$C$8+($D$8-$C$8)*5/6</f>
        <v>0.140666666666667</v>
      </c>
      <c r="K27" s="71" t="n">
        <f aca="false">$C$8+($D$8-$C$8)*6/6</f>
        <v>0.14</v>
      </c>
    </row>
    <row r="28" customFormat="false" ht="15" hidden="false" customHeight="true" outlineLevel="0" collapsed="false">
      <c r="A28" s="65" t="s">
        <v>356</v>
      </c>
      <c r="B28" s="71" t="n">
        <f aca="false">$B$9</f>
        <v>0.263</v>
      </c>
      <c r="C28" s="71" t="n">
        <f aca="false">$B$9+($C$9-$B$9)*1/3</f>
        <v>0.263</v>
      </c>
      <c r="D28" s="71" t="n">
        <f aca="false">$B$9+($C$9-$B$9)*2/3</f>
        <v>0.263</v>
      </c>
      <c r="E28" s="71" t="n">
        <f aca="false">$B$9+($C$9-$B$9)*3/3</f>
        <v>0.263</v>
      </c>
      <c r="F28" s="71" t="n">
        <f aca="false">$C$9+($D$9-$C$9)*1/6</f>
        <v>0.263</v>
      </c>
      <c r="G28" s="71" t="n">
        <f aca="false">$C$9+($D$9-$C$9)*2/6</f>
        <v>0.263</v>
      </c>
      <c r="H28" s="71" t="n">
        <f aca="false">$C$9+($D$9-$C$9)*3/6</f>
        <v>0.263</v>
      </c>
      <c r="I28" s="71" t="n">
        <f aca="false">$C$9+($D$9-$C$9)*4/6</f>
        <v>0.263</v>
      </c>
      <c r="J28" s="71" t="n">
        <f aca="false">$C$9+($D$9-$C$9)*5/6</f>
        <v>0.263</v>
      </c>
      <c r="K28" s="71" t="n">
        <f aca="false">$C$9+($D$9-$C$9)*6/6</f>
        <v>0.263</v>
      </c>
    </row>
    <row r="29" customFormat="false" ht="15" hidden="false" customHeight="true" outlineLevel="0" collapsed="false">
      <c r="A29" s="65" t="s">
        <v>358</v>
      </c>
      <c r="B29" s="71" t="n">
        <f aca="false">$B$10</f>
        <v>0.08</v>
      </c>
      <c r="C29" s="71" t="n">
        <f aca="false">$B$10+($C$10-$B$10)*1/3</f>
        <v>0.08</v>
      </c>
      <c r="D29" s="71" t="n">
        <f aca="false">$B$10+($C$10-$B$10)*2/3</f>
        <v>0.08</v>
      </c>
      <c r="E29" s="71" t="n">
        <f aca="false">$B$10+($C$10-$B$10)*3/3</f>
        <v>0.08</v>
      </c>
      <c r="F29" s="71" t="n">
        <f aca="false">$C$10+($D$10-$C$10)*1/6</f>
        <v>0.08</v>
      </c>
      <c r="G29" s="71" t="n">
        <f aca="false">$C$10+($D$10-$C$10)*2/6</f>
        <v>0.08</v>
      </c>
      <c r="H29" s="71" t="n">
        <f aca="false">$C$10+($D$10-$C$10)*3/6</f>
        <v>0.08</v>
      </c>
      <c r="I29" s="71" t="n">
        <f aca="false">$C$10+($D$10-$C$10)*4/6</f>
        <v>0.08</v>
      </c>
      <c r="J29" s="71" t="n">
        <f aca="false">$C$10+($D$10-$C$10)*5/6</f>
        <v>0.08</v>
      </c>
      <c r="K29" s="71" t="n">
        <f aca="false">$C$10+($D$10-$C$10)*6/6</f>
        <v>0.08</v>
      </c>
    </row>
    <row r="30" customFormat="false" ht="15" hidden="false" customHeight="true" outlineLevel="0" collapsed="false">
      <c r="A30" s="65" t="s">
        <v>360</v>
      </c>
      <c r="B30" s="71" t="n">
        <f aca="false">$B$11</f>
        <v>0.06</v>
      </c>
      <c r="C30" s="71" t="n">
        <f aca="false">$B$11+($C$11-$B$11)*1/3</f>
        <v>0.06</v>
      </c>
      <c r="D30" s="71" t="n">
        <f aca="false">$B$11+($C$11-$B$11)*2/3</f>
        <v>0.06</v>
      </c>
      <c r="E30" s="71" t="n">
        <f aca="false">$B$11+($C$11-$B$11)*3/3</f>
        <v>0.06</v>
      </c>
      <c r="F30" s="71" t="n">
        <f aca="false">$C$11+($D$11-$C$11)*1/6</f>
        <v>0.06</v>
      </c>
      <c r="G30" s="71" t="n">
        <f aca="false">$C$11+($D$11-$C$11)*2/6</f>
        <v>0.06</v>
      </c>
      <c r="H30" s="71" t="n">
        <f aca="false">$C$11+($D$11-$C$11)*3/6</f>
        <v>0.06</v>
      </c>
      <c r="I30" s="71" t="n">
        <f aca="false">$C$11+($D$11-$C$11)*4/6</f>
        <v>0.06</v>
      </c>
      <c r="J30" s="71" t="n">
        <f aca="false">$C$11+($D$11-$C$11)*5/6</f>
        <v>0.06</v>
      </c>
      <c r="K30" s="71" t="n">
        <f aca="false">$C$11+($D$11-$C$11)*6/6</f>
        <v>0.06</v>
      </c>
    </row>
    <row r="31" customFormat="false" ht="15" hidden="false" customHeight="true" outlineLevel="0" collapsed="false">
      <c r="A31" s="65" t="s">
        <v>362</v>
      </c>
      <c r="B31" s="71" t="n">
        <f aca="false">$B$12</f>
        <v>0.92</v>
      </c>
      <c r="C31" s="71" t="n">
        <f aca="false">$B$12+($C$12-$B$12)*1/3</f>
        <v>0.913333333333333</v>
      </c>
      <c r="D31" s="71" t="n">
        <f aca="false">$B$12+($C$12-$B$12)*2/3</f>
        <v>0.906666666666667</v>
      </c>
      <c r="E31" s="71" t="n">
        <f aca="false">$B$12+($C$12-$B$12)*3/3</f>
        <v>0.9</v>
      </c>
      <c r="F31" s="71" t="n">
        <f aca="false">$C$12+($D$12-$C$12)*1/6</f>
        <v>0.896666666666667</v>
      </c>
      <c r="G31" s="71" t="n">
        <f aca="false">$C$12+($D$12-$C$12)*2/6</f>
        <v>0.893333333333333</v>
      </c>
      <c r="H31" s="71" t="n">
        <f aca="false">$C$12+($D$12-$C$12)*3/6</f>
        <v>0.89</v>
      </c>
      <c r="I31" s="71" t="n">
        <f aca="false">$C$12+($D$12-$C$12)*4/6</f>
        <v>0.886666666666667</v>
      </c>
      <c r="J31" s="71" t="n">
        <f aca="false">$C$12+($D$12-$C$12)*5/6</f>
        <v>0.883333333333333</v>
      </c>
      <c r="K31" s="71" t="n">
        <f aca="false">$C$12+($D$12-$C$12)*6/6</f>
        <v>0.88</v>
      </c>
    </row>
    <row r="32" customFormat="false" ht="15" hidden="false" customHeight="true" outlineLevel="0" collapsed="false">
      <c r="A32" s="65" t="s">
        <v>364</v>
      </c>
      <c r="B32" s="71" t="n">
        <f aca="false">$B$13</f>
        <v>0.012</v>
      </c>
      <c r="C32" s="71" t="n">
        <f aca="false">$B$13+($C$13-$B$13)*1/3</f>
        <v>0.0116666666666667</v>
      </c>
      <c r="D32" s="71" t="n">
        <f aca="false">$B$13+($C$13-$B$13)*2/3</f>
        <v>0.0113333333333333</v>
      </c>
      <c r="E32" s="71" t="n">
        <f aca="false">$B$13+($C$13-$B$13)*3/3</f>
        <v>0.011</v>
      </c>
      <c r="F32" s="71" t="n">
        <f aca="false">$C$13+($D$13-$C$13)*1/6</f>
        <v>0.0108333333333333</v>
      </c>
      <c r="G32" s="71" t="n">
        <f aca="false">$C$13+($D$13-$C$13)*2/6</f>
        <v>0.0106666666666667</v>
      </c>
      <c r="H32" s="71" t="n">
        <f aca="false">$C$13+($D$13-$C$13)*3/6</f>
        <v>0.0105</v>
      </c>
      <c r="I32" s="71" t="n">
        <f aca="false">$C$13+($D$13-$C$13)*4/6</f>
        <v>0.0103333333333333</v>
      </c>
      <c r="J32" s="71" t="n">
        <f aca="false">$C$13+($D$13-$C$13)*5/6</f>
        <v>0.0101666666666667</v>
      </c>
      <c r="K32" s="71" t="n">
        <f aca="false">$C$13+($D$13-$C$13)*6/6</f>
        <v>0.01</v>
      </c>
    </row>
    <row r="33" customFormat="false" ht="15" hidden="false" customHeight="true" outlineLevel="0" collapsed="false">
      <c r="A33" s="65" t="s">
        <v>366</v>
      </c>
      <c r="B33" s="72" t="n">
        <f aca="false">$B$14</f>
        <v>124</v>
      </c>
      <c r="C33" s="72" t="n">
        <f aca="false">$B$14+($C$14-$B$14)*1/3</f>
        <v>123.333333333333</v>
      </c>
      <c r="D33" s="72" t="n">
        <f aca="false">$B$14+($C$14-$B$14)*2/3</f>
        <v>122.666666666667</v>
      </c>
      <c r="E33" s="72" t="n">
        <f aca="false">$B$14+($C$14-$B$14)*3/3</f>
        <v>122</v>
      </c>
      <c r="F33" s="72" t="n">
        <f aca="false">$C$14+($D$14-$C$14)*1/6</f>
        <v>121.666666666667</v>
      </c>
      <c r="G33" s="72" t="n">
        <f aca="false">$C$14+($D$14-$C$14)*2/6</f>
        <v>121.333333333333</v>
      </c>
      <c r="H33" s="72" t="n">
        <f aca="false">$C$14+($D$14-$C$14)*3/6</f>
        <v>121</v>
      </c>
      <c r="I33" s="72" t="n">
        <f aca="false">$C$14+($D$14-$C$14)*4/6</f>
        <v>120.666666666667</v>
      </c>
      <c r="J33" s="72" t="n">
        <f aca="false">$C$14+($D$14-$C$14)*5/6</f>
        <v>120.333333333333</v>
      </c>
      <c r="K33" s="72" t="n">
        <f aca="false">$C$14+($D$14-$C$14)*6/6</f>
        <v>120</v>
      </c>
    </row>
    <row r="34" customFormat="false" ht="15" hidden="false" customHeight="true" outlineLevel="0" collapsed="false">
      <c r="A34" s="65" t="s">
        <v>368</v>
      </c>
      <c r="B34" s="72" t="n">
        <f aca="false">$B$15</f>
        <v>27</v>
      </c>
      <c r="C34" s="72" t="n">
        <f aca="false">$B$15+($C$15-$B$15)*1/3</f>
        <v>26.6666666666667</v>
      </c>
      <c r="D34" s="72" t="n">
        <f aca="false">$B$15+($C$15-$B$15)*2/3</f>
        <v>26.3333333333333</v>
      </c>
      <c r="E34" s="72" t="n">
        <f aca="false">$B$15+($C$15-$B$15)*3/3</f>
        <v>26</v>
      </c>
      <c r="F34" s="72" t="n">
        <f aca="false">$C$15+($D$15-$C$15)*1/6</f>
        <v>25.8333333333333</v>
      </c>
      <c r="G34" s="72" t="n">
        <f aca="false">$C$15+($D$15-$C$15)*2/6</f>
        <v>25.6666666666667</v>
      </c>
      <c r="H34" s="72" t="n">
        <f aca="false">$C$15+($D$15-$C$15)*3/6</f>
        <v>25.5</v>
      </c>
      <c r="I34" s="72" t="n">
        <f aca="false">$C$15+($D$15-$C$15)*4/6</f>
        <v>25.3333333333333</v>
      </c>
      <c r="J34" s="72" t="n">
        <f aca="false">$C$15+($D$15-$C$15)*5/6</f>
        <v>25.1666666666667</v>
      </c>
      <c r="K34" s="72" t="n">
        <f aca="false">$C$15+($D$15-$C$15)*6/6</f>
        <v>25</v>
      </c>
    </row>
    <row r="35" customFormat="false" ht="15" hidden="false" customHeight="true" outlineLevel="0" collapsed="false">
      <c r="A35" s="65" t="s">
        <v>370</v>
      </c>
      <c r="B35" s="72" t="n">
        <f aca="false">$B$16</f>
        <v>158</v>
      </c>
      <c r="C35" s="72" t="n">
        <f aca="false">$B$16+($C$16-$B$16)*1/3</f>
        <v>158.666666666667</v>
      </c>
      <c r="D35" s="72" t="n">
        <f aca="false">$B$16+($C$16-$B$16)*2/3</f>
        <v>159.333333333333</v>
      </c>
      <c r="E35" s="72" t="n">
        <f aca="false">$B$16+($C$16-$B$16)*3/3</f>
        <v>160</v>
      </c>
      <c r="F35" s="72" t="n">
        <f aca="false">$C$16+($D$16-$C$16)*1/6</f>
        <v>160</v>
      </c>
      <c r="G35" s="72" t="n">
        <f aca="false">$C$16+($D$16-$C$16)*2/6</f>
        <v>160</v>
      </c>
      <c r="H35" s="72" t="n">
        <f aca="false">$C$16+($D$16-$C$16)*3/6</f>
        <v>160</v>
      </c>
      <c r="I35" s="72" t="n">
        <f aca="false">$C$16+($D$16-$C$16)*4/6</f>
        <v>160</v>
      </c>
      <c r="J35" s="72" t="n">
        <f aca="false">$C$16+($D$16-$C$16)*5/6</f>
        <v>160</v>
      </c>
      <c r="K35" s="72" t="n">
        <f aca="false">$C$16+($D$16-$C$16)*6/6</f>
        <v>160</v>
      </c>
    </row>
    <row r="36" customFormat="false" ht="15" hidden="false" customHeight="true" outlineLevel="0" collapsed="false">
      <c r="A36" s="65" t="s">
        <v>372</v>
      </c>
      <c r="B36" s="71" t="n">
        <f aca="false">$B$17</f>
        <v>0.13</v>
      </c>
      <c r="C36" s="71" t="n">
        <f aca="false">$B$17+($C$17-$B$17)*1/3</f>
        <v>0.129333333333333</v>
      </c>
      <c r="D36" s="71" t="n">
        <f aca="false">$B$17+($C$17-$B$17)*2/3</f>
        <v>0.128666666666667</v>
      </c>
      <c r="E36" s="71" t="n">
        <f aca="false">$B$17+($C$17-$B$17)*3/3</f>
        <v>0.128</v>
      </c>
      <c r="F36" s="71" t="n">
        <f aca="false">$C$17+($D$17-$C$17)*1/6</f>
        <v>0.1275</v>
      </c>
      <c r="G36" s="71" t="n">
        <f aca="false">$C$17+($D$17-$C$17)*2/6</f>
        <v>0.127</v>
      </c>
      <c r="H36" s="71" t="n">
        <f aca="false">$C$17+($D$17-$C$17)*3/6</f>
        <v>0.1265</v>
      </c>
      <c r="I36" s="71" t="n">
        <f aca="false">$C$17+($D$17-$C$17)*4/6</f>
        <v>0.126</v>
      </c>
      <c r="J36" s="71" t="n">
        <f aca="false">$C$17+($D$17-$C$17)*5/6</f>
        <v>0.1255</v>
      </c>
      <c r="K36" s="71" t="n">
        <f aca="false">$C$17+($D$17-$C$17)*6/6</f>
        <v>0.125</v>
      </c>
    </row>
    <row r="37" customFormat="false" ht="15" hidden="false" customHeight="true" outlineLevel="0" collapsed="false">
      <c r="A37" s="65" t="s">
        <v>374</v>
      </c>
      <c r="B37" s="71" t="n">
        <f aca="false">$B$18</f>
        <v>0.38</v>
      </c>
      <c r="C37" s="71" t="n">
        <f aca="false">$B$18+($C$18-$B$18)*1/3</f>
        <v>0.378333333333333</v>
      </c>
      <c r="D37" s="71" t="n">
        <f aca="false">$B$18+($C$18-$B$18)*2/3</f>
        <v>0.376666666666667</v>
      </c>
      <c r="E37" s="71" t="n">
        <f aca="false">$B$18+($C$18-$B$18)*3/3</f>
        <v>0.375</v>
      </c>
      <c r="F37" s="71" t="n">
        <f aca="false">$C$18+($D$18-$C$18)*1/6</f>
        <v>0.374166666666667</v>
      </c>
      <c r="G37" s="71" t="n">
        <f aca="false">$C$18+($D$18-$C$18)*2/6</f>
        <v>0.373333333333333</v>
      </c>
      <c r="H37" s="71" t="n">
        <f aca="false">$C$18+($D$18-$C$18)*3/6</f>
        <v>0.3725</v>
      </c>
      <c r="I37" s="71" t="n">
        <f aca="false">$C$18+($D$18-$C$18)*4/6</f>
        <v>0.371666666666667</v>
      </c>
      <c r="J37" s="71" t="n">
        <f aca="false">$C$18+($D$18-$C$18)*5/6</f>
        <v>0.370833333333333</v>
      </c>
      <c r="K37" s="71" t="n">
        <f aca="false">$C$18+($D$18-$C$18)*6/6</f>
        <v>0.37</v>
      </c>
    </row>
    <row r="38" customFormat="false" ht="15" hidden="false" customHeight="true" outlineLevel="0" collapsed="false">
      <c r="A38" s="65" t="s">
        <v>375</v>
      </c>
      <c r="B38" s="72" t="n">
        <f aca="false">$B$19</f>
        <v>332.7</v>
      </c>
      <c r="C38" s="72" t="n">
        <f aca="false">$B$19+($C$19-$B$19)*1/3</f>
        <v>332.7</v>
      </c>
      <c r="D38" s="72" t="n">
        <f aca="false">$B$19+($C$19-$B$19)*2/3</f>
        <v>332.7</v>
      </c>
      <c r="E38" s="72" t="n">
        <f aca="false">$B$19+($C$19-$B$19)*3/3</f>
        <v>332.7</v>
      </c>
      <c r="F38" s="72" t="n">
        <f aca="false">$C$19+($D$19-$C$19)*1/6</f>
        <v>332.7</v>
      </c>
      <c r="G38" s="72" t="n">
        <f aca="false">$C$19+($D$19-$C$19)*2/6</f>
        <v>332.7</v>
      </c>
      <c r="H38" s="72" t="n">
        <f aca="false">$C$19+($D$19-$C$19)*3/6</f>
        <v>332.7</v>
      </c>
      <c r="I38" s="72" t="n">
        <f aca="false">$C$19+($D$19-$C$19)*4/6</f>
        <v>332.7</v>
      </c>
      <c r="J38" s="72" t="n">
        <f aca="false">$C$19+($D$19-$C$19)*5/6</f>
        <v>332.7</v>
      </c>
      <c r="K38" s="72" t="n">
        <f aca="false">$C$19+($D$19-$C$19)*6/6</f>
        <v>332.7</v>
      </c>
    </row>
    <row r="39" customFormat="false" ht="15" hidden="false" customHeight="true" outlineLevel="0" collapsed="false">
      <c r="A39" s="65" t="s">
        <v>377</v>
      </c>
      <c r="B39" s="71" t="n">
        <f aca="false">$B$20</f>
        <v>0.2</v>
      </c>
      <c r="C39" s="71" t="n">
        <f aca="false">$B$20+($C$20-$B$20)*1/3</f>
        <v>0.198333333333333</v>
      </c>
      <c r="D39" s="71" t="n">
        <f aca="false">$B$20+($C$20-$B$20)*2/3</f>
        <v>0.196666666666667</v>
      </c>
      <c r="E39" s="71" t="n">
        <f aca="false">$B$20+($C$20-$B$20)*3/3</f>
        <v>0.195</v>
      </c>
      <c r="F39" s="71" t="n">
        <f aca="false">$C$20+($D$20-$C$20)*1/6</f>
        <v>0.194166666666667</v>
      </c>
      <c r="G39" s="71" t="n">
        <f aca="false">$C$20+($D$20-$C$20)*2/6</f>
        <v>0.193333333333333</v>
      </c>
      <c r="H39" s="71" t="n">
        <f aca="false">$C$20+($D$20-$C$20)*3/6</f>
        <v>0.1925</v>
      </c>
      <c r="I39" s="71" t="n">
        <f aca="false">$C$20+($D$20-$C$20)*4/6</f>
        <v>0.191666666666667</v>
      </c>
      <c r="J39" s="71" t="n">
        <f aca="false">$C$20+($D$20-$C$20)*5/6</f>
        <v>0.190833333333333</v>
      </c>
      <c r="K39" s="71" t="n">
        <f aca="false">$C$20+($D$20-$C$20)*6/6</f>
        <v>0.19</v>
      </c>
    </row>
    <row r="41" customFormat="false" ht="15" hidden="false" customHeight="true" outlineLevel="0" collapsed="false">
      <c r="A41" s="73" t="s">
        <v>380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</row>
    <row r="42" customFormat="false" ht="31.5" hidden="false" customHeight="true" outlineLevel="0" collapsed="false">
      <c r="A42" s="74" t="s">
        <v>381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</row>
    <row r="43" customFormat="false" ht="18" hidden="false" customHeight="true" outlineLevel="0" collapsed="false">
      <c r="A43" s="63" t="s">
        <v>382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</row>
    <row r="44" customFormat="false" ht="15" hidden="false" customHeight="true" outlineLevel="0" collapsed="false">
      <c r="A44" s="75" t="s">
        <v>383</v>
      </c>
      <c r="B44" s="75" t="s">
        <v>384</v>
      </c>
      <c r="C44" s="75" t="s">
        <v>385</v>
      </c>
      <c r="D44" s="75" t="s">
        <v>300</v>
      </c>
    </row>
    <row r="45" customFormat="false" ht="31.5" hidden="false" customHeight="true" outlineLevel="0" collapsed="false">
      <c r="A45" s="67" t="s">
        <v>386</v>
      </c>
      <c r="B45" s="67" t="s">
        <v>387</v>
      </c>
      <c r="C45" s="67" t="s">
        <v>388</v>
      </c>
      <c r="D45" s="76" t="s">
        <v>389</v>
      </c>
    </row>
    <row r="46" customFormat="false" ht="31.5" hidden="false" customHeight="true" outlineLevel="0" collapsed="false">
      <c r="A46" s="67" t="s">
        <v>390</v>
      </c>
      <c r="B46" s="67" t="s">
        <v>391</v>
      </c>
      <c r="C46" s="67" t="s">
        <v>392</v>
      </c>
      <c r="D46" s="76" t="s">
        <v>393</v>
      </c>
    </row>
    <row r="47" customFormat="false" ht="31.5" hidden="false" customHeight="true" outlineLevel="0" collapsed="false">
      <c r="A47" s="67" t="s">
        <v>394</v>
      </c>
      <c r="B47" s="67" t="s">
        <v>395</v>
      </c>
      <c r="C47" s="67" t="s">
        <v>396</v>
      </c>
      <c r="D47" s="76" t="s">
        <v>397</v>
      </c>
    </row>
    <row r="48" customFormat="false" ht="31.5" hidden="false" customHeight="true" outlineLevel="0" collapsed="false">
      <c r="A48" s="67" t="s">
        <v>398</v>
      </c>
      <c r="B48" s="67" t="s">
        <v>399</v>
      </c>
      <c r="C48" s="67" t="s">
        <v>400</v>
      </c>
      <c r="D48" s="76" t="s">
        <v>401</v>
      </c>
    </row>
    <row r="49" customFormat="false" ht="31.5" hidden="false" customHeight="true" outlineLevel="0" collapsed="false">
      <c r="A49" s="77" t="s">
        <v>402</v>
      </c>
      <c r="B49" s="77" t="s">
        <v>403</v>
      </c>
      <c r="C49" s="77" t="s">
        <v>404</v>
      </c>
      <c r="D49" s="78" t="s">
        <v>310</v>
      </c>
    </row>
    <row r="51" customFormat="false" ht="15" hidden="false" customHeight="true" outlineLevel="0" collapsed="false">
      <c r="A51" s="79" t="s">
        <v>405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</row>
  </sheetData>
  <mergeCells count="7">
    <mergeCell ref="A1:K1"/>
    <mergeCell ref="A2:K2"/>
    <mergeCell ref="A4:K4"/>
    <mergeCell ref="A23:K23"/>
    <mergeCell ref="A42:K42"/>
    <mergeCell ref="A43:K43"/>
    <mergeCell ref="A51:K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40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9"/>
    <col collapsed="false" customWidth="true" hidden="false" outlineLevel="0" max="23" min="2" style="1" width="12.5"/>
  </cols>
  <sheetData>
    <row r="1" customFormat="false" ht="18" hidden="false" customHeight="true" outlineLevel="0" collapsed="false">
      <c r="A1" s="80" t="s">
        <v>406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customFormat="false" ht="15" hidden="false" customHeight="true" outlineLevel="0" collapsed="false">
      <c r="A2" s="81" t="s">
        <v>407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</row>
    <row r="4" customFormat="false" ht="15.75" hidden="false" customHeight="true" outlineLevel="0" collapsed="false">
      <c r="A4" s="82" t="s">
        <v>408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</row>
    <row r="5" customFormat="false" ht="15.75" hidden="false" customHeight="true" outlineLevel="0" collapsed="false">
      <c r="A5" s="65" t="s">
        <v>409</v>
      </c>
      <c r="B5" s="83" t="s">
        <v>16</v>
      </c>
      <c r="C5" s="83" t="s">
        <v>17</v>
      </c>
      <c r="D5" s="83" t="s">
        <v>18</v>
      </c>
      <c r="E5" s="84" t="s">
        <v>19</v>
      </c>
      <c r="F5" s="83" t="s">
        <v>20</v>
      </c>
      <c r="G5" s="85" t="s">
        <v>21</v>
      </c>
      <c r="H5" s="85" t="s">
        <v>22</v>
      </c>
      <c r="I5" s="85" t="s">
        <v>23</v>
      </c>
      <c r="J5" s="86" t="s">
        <v>24</v>
      </c>
      <c r="K5" s="85" t="s">
        <v>25</v>
      </c>
      <c r="L5" s="85" t="s">
        <v>26</v>
      </c>
      <c r="M5" s="85" t="s">
        <v>27</v>
      </c>
      <c r="N5" s="85" t="s">
        <v>28</v>
      </c>
      <c r="O5" s="86" t="s">
        <v>29</v>
      </c>
      <c r="P5" s="85" t="s">
        <v>30</v>
      </c>
      <c r="Q5" s="85" t="s">
        <v>31</v>
      </c>
      <c r="R5" s="85" t="s">
        <v>32</v>
      </c>
      <c r="S5" s="85" t="s">
        <v>33</v>
      </c>
      <c r="T5" s="85" t="s">
        <v>34</v>
      </c>
      <c r="U5" s="85" t="s">
        <v>35</v>
      </c>
      <c r="V5" s="85" t="s">
        <v>36</v>
      </c>
      <c r="W5" s="85" t="s">
        <v>37</v>
      </c>
    </row>
    <row r="6" customFormat="false" ht="13.5" hidden="false" customHeight="true" outlineLevel="0" collapsed="false">
      <c r="A6" s="65" t="s">
        <v>410</v>
      </c>
      <c r="B6" s="87" t="s">
        <v>411</v>
      </c>
      <c r="C6" s="87" t="s">
        <v>411</v>
      </c>
      <c r="D6" s="87" t="s">
        <v>411</v>
      </c>
      <c r="E6" s="88" t="s">
        <v>411</v>
      </c>
      <c r="F6" s="87" t="s">
        <v>412</v>
      </c>
      <c r="G6" s="89" t="s">
        <v>413</v>
      </c>
      <c r="H6" s="89" t="s">
        <v>413</v>
      </c>
      <c r="I6" s="89" t="s">
        <v>413</v>
      </c>
      <c r="J6" s="90" t="s">
        <v>414</v>
      </c>
      <c r="K6" s="89" t="s">
        <v>413</v>
      </c>
      <c r="L6" s="89" t="s">
        <v>413</v>
      </c>
      <c r="M6" s="89" t="s">
        <v>413</v>
      </c>
      <c r="N6" s="89" t="s">
        <v>413</v>
      </c>
      <c r="O6" s="90" t="s">
        <v>414</v>
      </c>
      <c r="P6" s="89" t="s">
        <v>413</v>
      </c>
      <c r="Q6" s="89" t="s">
        <v>413</v>
      </c>
      <c r="R6" s="89" t="s">
        <v>413</v>
      </c>
      <c r="S6" s="89" t="s">
        <v>413</v>
      </c>
      <c r="T6" s="89" t="s">
        <v>413</v>
      </c>
      <c r="U6" s="89" t="s">
        <v>413</v>
      </c>
      <c r="V6" s="89" t="s">
        <v>413</v>
      </c>
      <c r="W6" s="89" t="s">
        <v>413</v>
      </c>
    </row>
    <row r="7" customFormat="false" ht="15" hidden="false" customHeight="true" outlineLevel="0" collapsed="false">
      <c r="E7" s="91"/>
      <c r="J7" s="91"/>
      <c r="O7" s="91"/>
    </row>
    <row r="8" customFormat="false" ht="15" hidden="false" customHeight="true" outlineLevel="0" collapsed="false">
      <c r="A8" s="92" t="s">
        <v>415</v>
      </c>
      <c r="B8" s="93" t="n">
        <f aca="false">Revenue_Model!B59</f>
        <v>32517.2</v>
      </c>
      <c r="C8" s="93" t="n">
        <f aca="false">Revenue_Model!C59</f>
        <v>34537.1</v>
      </c>
      <c r="D8" s="93" t="n">
        <f aca="false">Revenue_Model!D59</f>
        <v>37492.1</v>
      </c>
      <c r="E8" s="94" t="n">
        <f aca="false">Revenue_Model!E59</f>
        <v>38216.7</v>
      </c>
      <c r="F8" s="93" t="n">
        <f aca="false">Revenue_Model!F54</f>
        <v>9384.4</v>
      </c>
      <c r="G8" s="95" t="n">
        <f aca="false">Revenue_Model!G54</f>
        <v>11157.5357569975</v>
      </c>
      <c r="H8" s="95" t="n">
        <f aca="false">Revenue_Model!H54</f>
        <v>11307.5357569975</v>
      </c>
      <c r="I8" s="95" t="n">
        <f aca="false">Revenue_Model!I54</f>
        <v>11505.2634860051</v>
      </c>
      <c r="J8" s="96" t="n">
        <f aca="false">Revenue_Model!J54</f>
        <v>43354.735</v>
      </c>
      <c r="K8" s="95" t="n">
        <f aca="false">Revenue_Model!K54</f>
        <v>10305.8793565</v>
      </c>
      <c r="L8" s="95" t="n">
        <f aca="false">Revenue_Model!L54</f>
        <v>12665.63677925</v>
      </c>
      <c r="M8" s="95" t="n">
        <f aca="false">Revenue_Model!M54</f>
        <v>12665.63677925</v>
      </c>
      <c r="N8" s="95" t="n">
        <f aca="false">Revenue_Model!N54</f>
        <v>12521.161835</v>
      </c>
      <c r="O8" s="96" t="n">
        <f aca="false">Revenue_Model!O54</f>
        <v>48158.31475</v>
      </c>
      <c r="P8" s="95" t="n">
        <f aca="false">Revenue_Model!P54</f>
        <v>52887.99492875</v>
      </c>
      <c r="Q8" s="95" t="n">
        <f aca="false">Revenue_Model!Q54</f>
        <v>57489.58029065</v>
      </c>
      <c r="R8" s="95" t="n">
        <f aca="false">Revenue_Model!R54</f>
        <v>62428.9666642164</v>
      </c>
      <c r="S8" s="95" t="n">
        <f aca="false">Revenue_Model!S54</f>
        <v>66873.8145453326</v>
      </c>
      <c r="T8" s="95" t="n">
        <f aca="false">Revenue_Model!T54</f>
        <v>71196.8972092094</v>
      </c>
      <c r="U8" s="95" t="n">
        <f aca="false">Revenue_Model!U54</f>
        <v>75258.7186824425</v>
      </c>
      <c r="V8" s="95" t="n">
        <f aca="false">Revenue_Model!V54</f>
        <v>79272.5323696758</v>
      </c>
      <c r="W8" s="95" t="n">
        <f aca="false">Revenue_Model!W54</f>
        <v>83397.5322546104</v>
      </c>
    </row>
    <row r="9" customFormat="false" ht="15" hidden="false" customHeight="true" outlineLevel="0" collapsed="false">
      <c r="A9" s="97" t="s">
        <v>80</v>
      </c>
      <c r="B9" s="98" t="s">
        <v>416</v>
      </c>
      <c r="C9" s="98" t="n">
        <f aca="false">C8/B8-1</f>
        <v>0.0621178945296643</v>
      </c>
      <c r="D9" s="98" t="n">
        <f aca="false">D8/C8-1</f>
        <v>0.0855601657348184</v>
      </c>
      <c r="E9" s="99" t="n">
        <f aca="false">E8/D8-1</f>
        <v>0.0193267381661737</v>
      </c>
      <c r="F9" s="100" t="n">
        <f aca="false">F8/Revenue_Model!F64-1</f>
        <v>0.165517840952842</v>
      </c>
      <c r="G9" s="101" t="n">
        <f aca="false">G8/Revenue_Model!G64-1</f>
        <v>0.138593766658924</v>
      </c>
      <c r="H9" s="101" t="n">
        <f aca="false">H8/Revenue_Model!H64-1</f>
        <v>0.0859473865314575</v>
      </c>
      <c r="I9" s="101" t="n">
        <f aca="false">I8/Revenue_Model!I64-1</f>
        <v>0.15595935758114</v>
      </c>
      <c r="J9" s="102" t="n">
        <f aca="false">J8/E8-1</f>
        <v>0.134444758443298</v>
      </c>
      <c r="K9" s="103" t="n">
        <f aca="false">K8/F8-1</f>
        <v>0.0981926768360257</v>
      </c>
      <c r="L9" s="103" t="n">
        <f aca="false">L8/G8-1</f>
        <v>0.135164345882265</v>
      </c>
      <c r="M9" s="103" t="n">
        <f aca="false">M8/H8-1</f>
        <v>0.120105834855495</v>
      </c>
      <c r="N9" s="103" t="n">
        <f aca="false">N8/I8-1</f>
        <v>0.0882985731035748</v>
      </c>
      <c r="O9" s="102" t="n">
        <f aca="false">O8/J8-1</f>
        <v>0.110797119391919</v>
      </c>
      <c r="P9" s="103" t="n">
        <f aca="false">P8/O8-1</f>
        <v>0.0982110815817119</v>
      </c>
      <c r="Q9" s="103" t="n">
        <f aca="false">Q8/P8-1</f>
        <v>0.0870062358782782</v>
      </c>
      <c r="R9" s="103" t="n">
        <f aca="false">R8/Q8-1</f>
        <v>0.0859179411050552</v>
      </c>
      <c r="S9" s="103" t="n">
        <f aca="false">S8/R8-1</f>
        <v>0.0711984855527639</v>
      </c>
      <c r="T9" s="103" t="n">
        <f aca="false">T8/S8-1</f>
        <v>0.0646453726809058</v>
      </c>
      <c r="U9" s="103" t="n">
        <f aca="false">U8/T8-1</f>
        <v>0.0570505405775987</v>
      </c>
      <c r="V9" s="103" t="n">
        <f aca="false">V8/U8-1</f>
        <v>0.0533335373961086</v>
      </c>
      <c r="W9" s="103" t="n">
        <f aca="false">W8/V8-1</f>
        <v>0.0520356769441688</v>
      </c>
    </row>
    <row r="10" customFormat="false" ht="15" hidden="false" customHeight="true" outlineLevel="0" collapsed="false">
      <c r="E10" s="91"/>
      <c r="J10" s="91"/>
      <c r="O10" s="91"/>
    </row>
    <row r="11" customFormat="false" ht="15" hidden="false" customHeight="true" outlineLevel="0" collapsed="false">
      <c r="A11" s="92" t="s">
        <v>417</v>
      </c>
      <c r="B11" s="104" t="n">
        <v>12848.764</v>
      </c>
      <c r="C11" s="104" t="n">
        <v>13345.266</v>
      </c>
      <c r="D11" s="104" t="n">
        <v>13908.57</v>
      </c>
      <c r="E11" s="105" t="n">
        <v>13510.6</v>
      </c>
      <c r="F11" s="104" t="n">
        <v>3279.4</v>
      </c>
      <c r="G11" s="106" t="n">
        <f aca="false">($J11-$F11)*G$8/SUM($G$8:$I$8)</f>
        <v>3906.82574480586</v>
      </c>
      <c r="H11" s="106" t="n">
        <f aca="false">($J11-$F11)*H$8/SUM($G$8:$I$8)</f>
        <v>3959.34844107895</v>
      </c>
      <c r="I11" s="106" t="n">
        <f aca="false">($J11-$F11)*I$8/SUM($G$8:$I$8)</f>
        <v>4028.58306411518</v>
      </c>
      <c r="J11" s="96" t="n">
        <f aca="false">J8*(1-Financial_Assumptions!B$25)</f>
        <v>15174.15725</v>
      </c>
      <c r="K11" s="106" t="n">
        <f aca="false">$O11*K$8/$O$8</f>
        <v>3579.57542982433</v>
      </c>
      <c r="L11" s="106" t="n">
        <f aca="false">$O11*L$8/$O$8</f>
        <v>4399.19784132617</v>
      </c>
      <c r="M11" s="106" t="n">
        <f aca="false">$O11*M$8/$O$8</f>
        <v>4399.19784132617</v>
      </c>
      <c r="N11" s="106" t="n">
        <f aca="false">$O11*N$8/$O$8</f>
        <v>4349.01687735667</v>
      </c>
      <c r="O11" s="96" t="n">
        <f aca="false">O8*(1-Financial_Assumptions!C$25)</f>
        <v>16726.9879898333</v>
      </c>
      <c r="P11" s="95" t="n">
        <f aca="false">P8*(1-Financial_Assumptions!D$25)</f>
        <v>18228.7289187758</v>
      </c>
      <c r="Q11" s="95" t="n">
        <f aca="false">Q8*(1-Financial_Assumptions!E$25)</f>
        <v>19661.4364594023</v>
      </c>
      <c r="R11" s="95" t="n">
        <f aca="false">R8*(1-Financial_Assumptions!F$25)</f>
        <v>21309.0872880525</v>
      </c>
      <c r="S11" s="95" t="n">
        <f aca="false">S8*(1-Financial_Assumptions!G$25)</f>
        <v>22781.6794884433</v>
      </c>
      <c r="T11" s="95" t="n">
        <f aca="false">T8*(1-Financial_Assumptions!H$25)</f>
        <v>24206.9450511312</v>
      </c>
      <c r="U11" s="95" t="n">
        <f aca="false">U8*(1-Financial_Assumptions!I$25)</f>
        <v>25537.7918729088</v>
      </c>
      <c r="V11" s="95" t="n">
        <f aca="false">V8*(1-Financial_Assumptions!J$25)</f>
        <v>26846.9642958635</v>
      </c>
      <c r="W11" s="95" t="n">
        <f aca="false">W8*(1-Financial_Assumptions!K$25)</f>
        <v>28188.3659020583</v>
      </c>
    </row>
    <row r="12" customFormat="false" ht="15" hidden="false" customHeight="true" outlineLevel="0" collapsed="false">
      <c r="A12" s="107" t="s">
        <v>418</v>
      </c>
      <c r="B12" s="108" t="n">
        <f aca="false">B8-B11</f>
        <v>19668.436</v>
      </c>
      <c r="C12" s="108" t="n">
        <f aca="false">C8-C11</f>
        <v>21191.834</v>
      </c>
      <c r="D12" s="108" t="n">
        <f aca="false">D8-D11</f>
        <v>23583.53</v>
      </c>
      <c r="E12" s="109" t="n">
        <f aca="false">E8-E11</f>
        <v>24706.1</v>
      </c>
      <c r="F12" s="108" t="n">
        <f aca="false">F8-F11</f>
        <v>6105</v>
      </c>
      <c r="G12" s="110" t="n">
        <f aca="false">G8-G11</f>
        <v>7250.71001219159</v>
      </c>
      <c r="H12" s="110" t="n">
        <f aca="false">H8-H11</f>
        <v>7348.18731591851</v>
      </c>
      <c r="I12" s="110" t="n">
        <f aca="false">I8-I11</f>
        <v>7476.68042188991</v>
      </c>
      <c r="J12" s="111" t="n">
        <f aca="false">J8-J11</f>
        <v>28180.57775</v>
      </c>
      <c r="K12" s="110" t="n">
        <f aca="false">K8-K11</f>
        <v>6726.30392667567</v>
      </c>
      <c r="L12" s="110" t="n">
        <f aca="false">L8-L11</f>
        <v>8266.43893792384</v>
      </c>
      <c r="M12" s="110" t="n">
        <f aca="false">M8-M11</f>
        <v>8266.43893792384</v>
      </c>
      <c r="N12" s="110" t="n">
        <f aca="false">N8-N11</f>
        <v>8172.14495764333</v>
      </c>
      <c r="O12" s="111" t="n">
        <f aca="false">O8-O11</f>
        <v>31431.3267601667</v>
      </c>
      <c r="P12" s="110" t="n">
        <f aca="false">P8-P11</f>
        <v>34659.2660099742</v>
      </c>
      <c r="Q12" s="110" t="n">
        <f aca="false">Q8-Q11</f>
        <v>37828.1438312477</v>
      </c>
      <c r="R12" s="110" t="n">
        <f aca="false">R8-R11</f>
        <v>41119.8793761639</v>
      </c>
      <c r="S12" s="110" t="n">
        <f aca="false">S8-S11</f>
        <v>44092.1350568893</v>
      </c>
      <c r="T12" s="110" t="n">
        <f aca="false">T8-T11</f>
        <v>46989.9521580782</v>
      </c>
      <c r="U12" s="110" t="n">
        <f aca="false">U8-U11</f>
        <v>49720.9268095337</v>
      </c>
      <c r="V12" s="110" t="n">
        <f aca="false">V8-V11</f>
        <v>52425.5680738123</v>
      </c>
      <c r="W12" s="110" t="n">
        <f aca="false">W8-W11</f>
        <v>55209.1663525521</v>
      </c>
    </row>
    <row r="13" customFormat="false" ht="15" hidden="false" customHeight="true" outlineLevel="0" collapsed="false">
      <c r="A13" s="97" t="s">
        <v>350</v>
      </c>
      <c r="B13" s="98" t="n">
        <f aca="false">B12/B8</f>
        <v>0.604862534289545</v>
      </c>
      <c r="C13" s="98" t="n">
        <f aca="false">C12/C8</f>
        <v>0.613596219717348</v>
      </c>
      <c r="D13" s="98" t="n">
        <f aca="false">D12/D8</f>
        <v>0.629026648280571</v>
      </c>
      <c r="E13" s="99" t="n">
        <f aca="false">E12/E8</f>
        <v>0.646473923703512</v>
      </c>
      <c r="F13" s="98" t="n">
        <f aca="false">F12/F8</f>
        <v>0.650547717488598</v>
      </c>
      <c r="G13" s="103" t="n">
        <f aca="false">G12/G8</f>
        <v>0.649848691512757</v>
      </c>
      <c r="H13" s="103" t="n">
        <f aca="false">H12/H8</f>
        <v>0.649848691512757</v>
      </c>
      <c r="I13" s="103" t="n">
        <f aca="false">I12/I8</f>
        <v>0.649848691512757</v>
      </c>
      <c r="J13" s="102" t="n">
        <f aca="false">J12/J8</f>
        <v>0.65</v>
      </c>
      <c r="K13" s="103" t="n">
        <f aca="false">K12/K8</f>
        <v>0.652666666666667</v>
      </c>
      <c r="L13" s="103" t="n">
        <f aca="false">L12/L8</f>
        <v>0.652666666666667</v>
      </c>
      <c r="M13" s="103" t="n">
        <f aca="false">M12/M8</f>
        <v>0.652666666666667</v>
      </c>
      <c r="N13" s="103" t="n">
        <f aca="false">N12/N8</f>
        <v>0.652666666666667</v>
      </c>
      <c r="O13" s="102" t="n">
        <f aca="false">O12/O8</f>
        <v>0.652666666666667</v>
      </c>
      <c r="P13" s="103" t="n">
        <f aca="false">P12/P8</f>
        <v>0.655333333333333</v>
      </c>
      <c r="Q13" s="103" t="n">
        <f aca="false">Q12/Q8</f>
        <v>0.658</v>
      </c>
      <c r="R13" s="103" t="n">
        <f aca="false">R12/R8</f>
        <v>0.658666666666667</v>
      </c>
      <c r="S13" s="103" t="n">
        <f aca="false">S12/S8</f>
        <v>0.659333333333333</v>
      </c>
      <c r="T13" s="103" t="n">
        <f aca="false">T12/T8</f>
        <v>0.66</v>
      </c>
      <c r="U13" s="103" t="n">
        <f aca="false">U12/U8</f>
        <v>0.660666666666667</v>
      </c>
      <c r="V13" s="103" t="n">
        <f aca="false">V12/V8</f>
        <v>0.661333333333333</v>
      </c>
      <c r="W13" s="103" t="n">
        <f aca="false">W12/W8</f>
        <v>0.662</v>
      </c>
    </row>
    <row r="14" customFormat="false" ht="15" hidden="false" customHeight="true" outlineLevel="0" collapsed="false">
      <c r="E14" s="91"/>
      <c r="J14" s="91"/>
      <c r="O14" s="91"/>
    </row>
    <row r="15" customFormat="false" ht="15" hidden="false" customHeight="true" outlineLevel="0" collapsed="false">
      <c r="A15" s="92" t="s">
        <v>419</v>
      </c>
      <c r="B15" s="104" t="n">
        <v>5949.857</v>
      </c>
      <c r="C15" s="104" t="n">
        <v>6243.903</v>
      </c>
      <c r="D15" s="104" t="n">
        <v>5797.022</v>
      </c>
      <c r="E15" s="105" t="n">
        <v>6072.5</v>
      </c>
      <c r="F15" s="104" t="n">
        <v>1590.4</v>
      </c>
      <c r="G15" s="106" t="n">
        <f aca="false">($J15-$F15)*G$8/SUM($G$8:$I$8)</f>
        <v>1756.00788428183</v>
      </c>
      <c r="H15" s="106" t="n">
        <f aca="false">($J15-$F15)*H$8/SUM($G$8:$I$8)</f>
        <v>1779.61535356349</v>
      </c>
      <c r="I15" s="106" t="n">
        <f aca="false">($J15-$F15)*I$8/SUM($G$8:$I$8)</f>
        <v>1810.73436215468</v>
      </c>
      <c r="J15" s="96" t="n">
        <f aca="false">J8*Financial_Assumptions!B$26</f>
        <v>6936.7576</v>
      </c>
      <c r="K15" s="106" t="n">
        <f aca="false">$O15*K$8/$O$8</f>
        <v>1642.07011080233</v>
      </c>
      <c r="L15" s="106" t="n">
        <f aca="false">$O15*L$8/$O$8</f>
        <v>2018.05812682717</v>
      </c>
      <c r="M15" s="106" t="n">
        <f aca="false">$O15*M$8/$O$8</f>
        <v>2018.05812682717</v>
      </c>
      <c r="N15" s="106" t="n">
        <f aca="false">$O15*N$8/$O$8</f>
        <v>1995.03845237667</v>
      </c>
      <c r="O15" s="96" t="n">
        <f aca="false">O8*Financial_Assumptions!C$26</f>
        <v>7673.22481683333</v>
      </c>
      <c r="P15" s="95" t="n">
        <f aca="false">P8*Financial_Assumptions!D$26</f>
        <v>8391.56186202834</v>
      </c>
      <c r="Q15" s="95" t="n">
        <f aca="false">Q8*Financial_Assumptions!E$26</f>
        <v>9083.3536859227</v>
      </c>
      <c r="R15" s="95" t="n">
        <f aca="false">R8*Financial_Assumptions!F$26</f>
        <v>9811.75259405935</v>
      </c>
      <c r="S15" s="95" t="n">
        <f aca="false">S8*Financial_Assumptions!G$26</f>
        <v>10454.606340587</v>
      </c>
      <c r="T15" s="95" t="n">
        <f aca="false">T8*Financial_Assumptions!H$26</f>
        <v>11071.1175160321</v>
      </c>
      <c r="U15" s="95" t="n">
        <f aca="false">U8*Financial_Assumptions!I$26</f>
        <v>11640.0151562178</v>
      </c>
      <c r="V15" s="95" t="n">
        <f aca="false">V8*Financial_Assumptions!J$26</f>
        <v>12194.7578962018</v>
      </c>
      <c r="W15" s="95" t="n">
        <f aca="false">W8*Financial_Assumptions!K$26</f>
        <v>12759.8224349554</v>
      </c>
    </row>
    <row r="16" customFormat="false" ht="15" hidden="false" customHeight="true" outlineLevel="0" collapsed="false">
      <c r="A16" s="92" t="s">
        <v>420</v>
      </c>
      <c r="B16" s="104" t="n">
        <v>5675.746</v>
      </c>
      <c r="C16" s="104" t="n">
        <v>5861.014</v>
      </c>
      <c r="D16" s="104" t="n">
        <v>6012.88</v>
      </c>
      <c r="E16" s="105" t="n">
        <v>5541.6</v>
      </c>
      <c r="F16" s="104" t="n">
        <v>1559.6</v>
      </c>
      <c r="G16" s="106" t="n">
        <f aca="false">($J16-$F16)*G$8/SUM($G$8:$I$8)</f>
        <v>1581.00625487035</v>
      </c>
      <c r="H16" s="106" t="n">
        <f aca="false">($J16-$F16)*H$8/SUM($G$8:$I$8)</f>
        <v>1602.26103221505</v>
      </c>
      <c r="I16" s="106" t="n">
        <f aca="false">($J16-$F16)*I$8/SUM($G$8:$I$8)</f>
        <v>1630.2787579146</v>
      </c>
      <c r="J16" s="96" t="n">
        <f aca="false">J8*Financial_Assumptions!B$27</f>
        <v>6373.146045</v>
      </c>
      <c r="K16" s="106" t="n">
        <f aca="false">$O16*K$8/$O$8</f>
        <v>1504.658386049</v>
      </c>
      <c r="L16" s="106" t="n">
        <f aca="false">$O16*L$8/$O$8</f>
        <v>1849.1829697705</v>
      </c>
      <c r="M16" s="106" t="n">
        <f aca="false">$O16*M$8/$O$8</f>
        <v>1849.1829697705</v>
      </c>
      <c r="N16" s="106" t="n">
        <f aca="false">$O16*N$8/$O$8</f>
        <v>1828.08962791</v>
      </c>
      <c r="O16" s="96" t="n">
        <f aca="false">O8*Financial_Assumptions!C$27</f>
        <v>7031.1139535</v>
      </c>
      <c r="P16" s="95" t="n">
        <f aca="false">P8*Financial_Assumptions!D$27</f>
        <v>7668.75926466875</v>
      </c>
      <c r="Q16" s="95" t="n">
        <f aca="false">Q8*Financial_Assumptions!E$27</f>
        <v>8278.4995618536</v>
      </c>
      <c r="R16" s="95" t="n">
        <f aca="false">R8*Financial_Assumptions!F$27</f>
        <v>8948.15188853768</v>
      </c>
      <c r="S16" s="95" t="n">
        <f aca="false">S8*Financial_Assumptions!G$27</f>
        <v>9540.66420846745</v>
      </c>
      <c r="T16" s="95" t="n">
        <f aca="false">T8*Financial_Assumptions!H$27</f>
        <v>10109.9594037077</v>
      </c>
      <c r="U16" s="95" t="n">
        <f aca="false">U8*Financial_Assumptions!I$27</f>
        <v>10636.5655737852</v>
      </c>
      <c r="V16" s="95" t="n">
        <f aca="false">V8*Financial_Assumptions!J$27</f>
        <v>11151.0028866677</v>
      </c>
      <c r="W16" s="95" t="n">
        <f aca="false">W8*Financial_Assumptions!K$27</f>
        <v>11675.6545156455</v>
      </c>
    </row>
    <row r="17" customFormat="false" ht="15" hidden="false" customHeight="true" outlineLevel="0" collapsed="false">
      <c r="A17" s="107" t="s">
        <v>421</v>
      </c>
      <c r="B17" s="108" t="n">
        <f aca="false">B12-B15-B16</f>
        <v>8042.833</v>
      </c>
      <c r="C17" s="108" t="n">
        <f aca="false">C12-C15-C16</f>
        <v>9086.917</v>
      </c>
      <c r="D17" s="108" t="n">
        <f aca="false">D12-D15-D16</f>
        <v>11773.628</v>
      </c>
      <c r="E17" s="109" t="n">
        <f aca="false">E12-E15-E16</f>
        <v>13092</v>
      </c>
      <c r="F17" s="108" t="n">
        <f aca="false">F12-F15-F16</f>
        <v>2955</v>
      </c>
      <c r="G17" s="110" t="n">
        <f aca="false">G12-G15-G16</f>
        <v>3913.69587303941</v>
      </c>
      <c r="H17" s="110" t="n">
        <f aca="false">H12-H15-H16</f>
        <v>3966.31093013996</v>
      </c>
      <c r="I17" s="110" t="n">
        <f aca="false">I12-I15-I16</f>
        <v>4035.66730182063</v>
      </c>
      <c r="J17" s="111" t="n">
        <f aca="false">J12-J15-J16</f>
        <v>14870.674105</v>
      </c>
      <c r="K17" s="110" t="n">
        <f aca="false">K12-K15-K16</f>
        <v>3579.57542982433</v>
      </c>
      <c r="L17" s="110" t="n">
        <f aca="false">L12-L15-L16</f>
        <v>4399.19784132617</v>
      </c>
      <c r="M17" s="110" t="n">
        <f aca="false">M12-M15-M16</f>
        <v>4399.19784132617</v>
      </c>
      <c r="N17" s="110" t="n">
        <f aca="false">N12-N15-N16</f>
        <v>4349.01687735667</v>
      </c>
      <c r="O17" s="111" t="n">
        <f aca="false">O12-O15-O16</f>
        <v>16726.9879898333</v>
      </c>
      <c r="P17" s="110" t="n">
        <f aca="false">P12-P15-P16</f>
        <v>18598.9448832771</v>
      </c>
      <c r="Q17" s="110" t="n">
        <f aca="false">Q12-Q15-Q16</f>
        <v>20466.2905834714</v>
      </c>
      <c r="R17" s="110" t="n">
        <f aca="false">R12-R15-R16</f>
        <v>22359.9748935668</v>
      </c>
      <c r="S17" s="110" t="n">
        <f aca="false">S12-S15-S16</f>
        <v>24096.8645078349</v>
      </c>
      <c r="T17" s="110" t="n">
        <f aca="false">T12-T15-T16</f>
        <v>25808.8752383384</v>
      </c>
      <c r="U17" s="110" t="n">
        <f aca="false">U12-U15-U16</f>
        <v>27444.3460795307</v>
      </c>
      <c r="V17" s="110" t="n">
        <f aca="false">V12-V15-V16</f>
        <v>29079.8072909427</v>
      </c>
      <c r="W17" s="110" t="n">
        <f aca="false">W12-W15-W16</f>
        <v>30773.6894019512</v>
      </c>
    </row>
    <row r="18" customFormat="false" ht="15" hidden="false" customHeight="true" outlineLevel="0" collapsed="false">
      <c r="A18" s="97" t="s">
        <v>422</v>
      </c>
      <c r="B18" s="98" t="n">
        <f aca="false">B17/B8</f>
        <v>0.247340884208973</v>
      </c>
      <c r="C18" s="98" t="n">
        <f aca="false">C17/C8</f>
        <v>0.263105964310843</v>
      </c>
      <c r="D18" s="98" t="n">
        <f aca="false">D17/D8</f>
        <v>0.314029568895847</v>
      </c>
      <c r="E18" s="99" t="n">
        <f aca="false">E17/E8</f>
        <v>0.342572749609464</v>
      </c>
      <c r="F18" s="98" t="n">
        <f aca="false">F17/F8</f>
        <v>0.314884276032565</v>
      </c>
      <c r="G18" s="103" t="n">
        <f aca="false">G17/G8</f>
        <v>0.350767047337037</v>
      </c>
      <c r="H18" s="103" t="n">
        <f aca="false">H17/H8</f>
        <v>0.350767047337037</v>
      </c>
      <c r="I18" s="103" t="n">
        <f aca="false">I17/I8</f>
        <v>0.350767047337037</v>
      </c>
      <c r="J18" s="102" t="n">
        <f aca="false">J17/J8</f>
        <v>0.343</v>
      </c>
      <c r="K18" s="103" t="n">
        <f aca="false">K17/K8</f>
        <v>0.347333333333333</v>
      </c>
      <c r="L18" s="103" t="n">
        <f aca="false">L17/L8</f>
        <v>0.347333333333333</v>
      </c>
      <c r="M18" s="103" t="n">
        <f aca="false">M17/M8</f>
        <v>0.347333333333333</v>
      </c>
      <c r="N18" s="103" t="n">
        <f aca="false">N17/N8</f>
        <v>0.347333333333333</v>
      </c>
      <c r="O18" s="102" t="n">
        <f aca="false">O17/O8</f>
        <v>0.347333333333333</v>
      </c>
      <c r="P18" s="103" t="n">
        <f aca="false">P17/P8</f>
        <v>0.351666666666667</v>
      </c>
      <c r="Q18" s="103" t="n">
        <f aca="false">Q17/Q8</f>
        <v>0.356</v>
      </c>
      <c r="R18" s="103" t="n">
        <f aca="false">R17/R8</f>
        <v>0.358166666666667</v>
      </c>
      <c r="S18" s="103" t="n">
        <f aca="false">S17/S8</f>
        <v>0.360333333333333</v>
      </c>
      <c r="T18" s="103" t="n">
        <f aca="false">T17/T8</f>
        <v>0.3625</v>
      </c>
      <c r="U18" s="103" t="n">
        <f aca="false">U17/U8</f>
        <v>0.364666666666667</v>
      </c>
      <c r="V18" s="103" t="n">
        <f aca="false">V17/V8</f>
        <v>0.366833333333333</v>
      </c>
      <c r="W18" s="103" t="n">
        <f aca="false">W17/W8</f>
        <v>0.369</v>
      </c>
    </row>
    <row r="19" customFormat="false" ht="15" hidden="false" customHeight="true" outlineLevel="0" collapsed="false">
      <c r="E19" s="91"/>
      <c r="J19" s="91"/>
      <c r="O19" s="91"/>
    </row>
    <row r="20" customFormat="false" ht="15" hidden="false" customHeight="true" outlineLevel="0" collapsed="false">
      <c r="A20" s="92" t="s">
        <v>423</v>
      </c>
      <c r="B20" s="104" t="n">
        <v>657.672</v>
      </c>
      <c r="C20" s="104" t="n">
        <v>696.796</v>
      </c>
      <c r="D20" s="104" t="n">
        <v>667.925</v>
      </c>
      <c r="E20" s="105" t="n">
        <v>664.4</v>
      </c>
      <c r="F20" s="104" t="n">
        <v>158.4</v>
      </c>
      <c r="G20" s="106" t="n">
        <f aca="false">($J20-$F20)*G$8/SUM($G$8:$I$8)</f>
        <v>154.016487243097</v>
      </c>
      <c r="H20" s="106" t="n">
        <f aca="false">($J20-$F20)*H$8/SUM($G$8:$I$8)</f>
        <v>156.087058522421</v>
      </c>
      <c r="I20" s="106" t="n">
        <f aca="false">($J20-$F20)*I$8/SUM($G$8:$I$8)</f>
        <v>158.816454234482</v>
      </c>
      <c r="J20" s="96" t="n">
        <f aca="false">Schedules_Checks!F10</f>
        <v>627.32</v>
      </c>
      <c r="K20" s="106" t="n">
        <f aca="false">$O20*K$8/$O$8</f>
        <v>128.583641096867</v>
      </c>
      <c r="L20" s="106" t="n">
        <f aca="false">$O20*L$8/$O$8</f>
        <v>158.025689759233</v>
      </c>
      <c r="M20" s="106" t="n">
        <f aca="false">$O20*M$8/$O$8</f>
        <v>158.025689759233</v>
      </c>
      <c r="N20" s="106" t="n">
        <f aca="false">$O20*N$8/$O$8</f>
        <v>156.223115351333</v>
      </c>
      <c r="O20" s="96" t="n">
        <f aca="false">Schedules_Checks!G10</f>
        <v>600.858135966667</v>
      </c>
      <c r="P20" s="95" t="n">
        <f aca="false">Schedules_Checks!H10</f>
        <v>588.136718925167</v>
      </c>
      <c r="Q20" s="95" t="n">
        <f aca="false">Schedules_Checks!I10</f>
        <v>585.34831804488</v>
      </c>
      <c r="R20" s="95" t="n">
        <f aca="false">Schedules_Checks!J10</f>
        <v>591.979859656626</v>
      </c>
      <c r="S20" s="95" t="n">
        <f aca="false">Schedules_Checks!K10</f>
        <v>605.74373643234</v>
      </c>
      <c r="T20" s="95" t="n">
        <f aca="false">Schedules_Checks!L10</f>
        <v>623.841335321024</v>
      </c>
      <c r="U20" s="95" t="n">
        <f aca="false">Schedules_Checks!M10</f>
        <v>644.854889843478</v>
      </c>
      <c r="V20" s="95" t="n">
        <f aca="false">Schedules_Checks!N10</f>
        <v>667.397376987835</v>
      </c>
      <c r="W20" s="95" t="n">
        <f aca="false">Schedules_Checks!O10</f>
        <v>690.805584694756</v>
      </c>
    </row>
    <row r="21" customFormat="false" ht="15" hidden="false" customHeight="true" outlineLevel="0" collapsed="false">
      <c r="A21" s="107" t="s">
        <v>424</v>
      </c>
      <c r="B21" s="108" t="n">
        <f aca="false">B17-B20</f>
        <v>7385.161</v>
      </c>
      <c r="C21" s="108" t="n">
        <f aca="false">C17-C20</f>
        <v>8390.121</v>
      </c>
      <c r="D21" s="108" t="n">
        <f aca="false">D17-D20</f>
        <v>11105.703</v>
      </c>
      <c r="E21" s="109" t="n">
        <f aca="false">E17-E20</f>
        <v>12427.6</v>
      </c>
      <c r="F21" s="108" t="n">
        <f aca="false">F17-F20</f>
        <v>2796.6</v>
      </c>
      <c r="G21" s="110" t="n">
        <f aca="false">G17-G20</f>
        <v>3759.67938579631</v>
      </c>
      <c r="H21" s="110" t="n">
        <f aca="false">H17-H20</f>
        <v>3810.22387161754</v>
      </c>
      <c r="I21" s="110" t="n">
        <f aca="false">I17-I20</f>
        <v>3876.85084758615</v>
      </c>
      <c r="J21" s="111" t="n">
        <f aca="false">J17-J20</f>
        <v>14243.354105</v>
      </c>
      <c r="K21" s="110" t="n">
        <f aca="false">K17-K20</f>
        <v>3450.99178872747</v>
      </c>
      <c r="L21" s="110" t="n">
        <f aca="false">L17-L20</f>
        <v>4241.17215156693</v>
      </c>
      <c r="M21" s="110" t="n">
        <f aca="false">M17-M20</f>
        <v>4241.17215156693</v>
      </c>
      <c r="N21" s="110" t="n">
        <f aca="false">N17-N20</f>
        <v>4192.79376200533</v>
      </c>
      <c r="O21" s="111" t="n">
        <f aca="false">O17-O20</f>
        <v>16126.1298538667</v>
      </c>
      <c r="P21" s="110" t="n">
        <f aca="false">P17-P20</f>
        <v>18010.8081643519</v>
      </c>
      <c r="Q21" s="110" t="n">
        <f aca="false">Q17-Q20</f>
        <v>19880.9422654265</v>
      </c>
      <c r="R21" s="110" t="n">
        <f aca="false">R17-R20</f>
        <v>21767.9950339102</v>
      </c>
      <c r="S21" s="110" t="n">
        <f aca="false">S17-S20</f>
        <v>23491.1207714025</v>
      </c>
      <c r="T21" s="110" t="n">
        <f aca="false">T17-T20</f>
        <v>25185.0339030174</v>
      </c>
      <c r="U21" s="110" t="n">
        <f aca="false">U17-U20</f>
        <v>26799.4911896872</v>
      </c>
      <c r="V21" s="110" t="n">
        <f aca="false">V17-V20</f>
        <v>28412.4099139549</v>
      </c>
      <c r="W21" s="110" t="n">
        <f aca="false">W17-W20</f>
        <v>30082.8838172565</v>
      </c>
    </row>
    <row r="22" customFormat="false" ht="15" hidden="false" customHeight="true" outlineLevel="0" collapsed="false">
      <c r="A22" s="97" t="s">
        <v>425</v>
      </c>
      <c r="B22" s="98" t="n">
        <f aca="false">B21/B8</f>
        <v>0.227115526552102</v>
      </c>
      <c r="C22" s="98" t="n">
        <f aca="false">C21/C8</f>
        <v>0.242930674549977</v>
      </c>
      <c r="D22" s="98" t="n">
        <f aca="false">D21/D8</f>
        <v>0.29621448251765</v>
      </c>
      <c r="E22" s="99" t="n">
        <f aca="false">E21/E8</f>
        <v>0.325187679731636</v>
      </c>
      <c r="F22" s="98" t="n">
        <f aca="false">F21/F8</f>
        <v>0.298005200119347</v>
      </c>
      <c r="G22" s="103" t="n">
        <f aca="false">G21/G8</f>
        <v>0.336963238808213</v>
      </c>
      <c r="H22" s="103" t="n">
        <f aca="false">H21/H8</f>
        <v>0.336963238808213</v>
      </c>
      <c r="I22" s="103" t="n">
        <f aca="false">I21/I8</f>
        <v>0.336963238808213</v>
      </c>
      <c r="J22" s="102" t="n">
        <f aca="false">J21/J8</f>
        <v>0.328530530863584</v>
      </c>
      <c r="K22" s="103" t="n">
        <f aca="false">K21/K8</f>
        <v>0.334856606539926</v>
      </c>
      <c r="L22" s="103" t="n">
        <f aca="false">L21/L8</f>
        <v>0.334856606539926</v>
      </c>
      <c r="M22" s="103" t="n">
        <f aca="false">M21/M8</f>
        <v>0.334856606539926</v>
      </c>
      <c r="N22" s="103" t="n">
        <f aca="false">N21/N8</f>
        <v>0.334856606539926</v>
      </c>
      <c r="O22" s="102" t="n">
        <f aca="false">O21/O8</f>
        <v>0.334856606539926</v>
      </c>
      <c r="P22" s="103" t="n">
        <f aca="false">P21/P8</f>
        <v>0.340546246622052</v>
      </c>
      <c r="Q22" s="103" t="n">
        <f aca="false">Q21/Q8</f>
        <v>0.345818184180759</v>
      </c>
      <c r="R22" s="103" t="n">
        <f aca="false">R21/R8</f>
        <v>0.348684211785735</v>
      </c>
      <c r="S22" s="103" t="n">
        <f aca="false">S21/S8</f>
        <v>0.351275322502776</v>
      </c>
      <c r="T22" s="103" t="n">
        <f aca="false">T21/T8</f>
        <v>0.353737801649026</v>
      </c>
      <c r="U22" s="103" t="n">
        <f aca="false">U21/U8</f>
        <v>0.356098159241441</v>
      </c>
      <c r="V22" s="103" t="n">
        <f aca="false">V21/V8</f>
        <v>0.358414309025197</v>
      </c>
      <c r="W22" s="103" t="n">
        <f aca="false">W21/W8</f>
        <v>0.360716714319727</v>
      </c>
    </row>
    <row r="23" customFormat="false" ht="15" hidden="false" customHeight="true" outlineLevel="0" collapsed="false">
      <c r="E23" s="91"/>
      <c r="J23" s="91"/>
      <c r="O23" s="91"/>
    </row>
    <row r="24" customFormat="false" ht="15" hidden="false" customHeight="true" outlineLevel="0" collapsed="false">
      <c r="A24" s="92" t="s">
        <v>426</v>
      </c>
      <c r="B24" s="104" t="n">
        <v>18.122</v>
      </c>
      <c r="C24" s="104" t="n">
        <v>17.987</v>
      </c>
      <c r="D24" s="104" t="n">
        <v>13.137</v>
      </c>
      <c r="E24" s="105" t="n">
        <v>27.3</v>
      </c>
      <c r="F24" s="104" t="n">
        <v>9.7</v>
      </c>
      <c r="G24" s="106" t="n">
        <f aca="false">($J24-$F24)*G$8/SUM($G$8:$I$8)</f>
        <v>5.55604985542147</v>
      </c>
      <c r="H24" s="106" t="n">
        <f aca="false">($J24-$F24)*H$8/SUM($G$8:$I$8)</f>
        <v>5.63074443820966</v>
      </c>
      <c r="I24" s="106" t="n">
        <f aca="false">($J24-$F24)*I$8/SUM($G$8:$I$8)</f>
        <v>5.72920570636887</v>
      </c>
      <c r="J24" s="96" t="n">
        <f aca="false">Balance_Sheet!E22*Financial_Assumptions!B$29</f>
        <v>26.616</v>
      </c>
      <c r="K24" s="106" t="n">
        <f aca="false">$O24*K$8/$O$8</f>
        <v>5.695824</v>
      </c>
      <c r="L24" s="106" t="n">
        <f aca="false">$O24*L$8/$O$8</f>
        <v>7.000008</v>
      </c>
      <c r="M24" s="106" t="n">
        <f aca="false">$O24*M$8/$O$8</f>
        <v>7.000008</v>
      </c>
      <c r="N24" s="106" t="n">
        <f aca="false">$O24*N$8/$O$8</f>
        <v>6.92016</v>
      </c>
      <c r="O24" s="96" t="n">
        <f aca="false">Balance_Sheet!F22*Financial_Assumptions!C$29</f>
        <v>26.616</v>
      </c>
      <c r="P24" s="95" t="n">
        <f aca="false">Balance_Sheet!G22*Financial_Assumptions!D$29</f>
        <v>26.616</v>
      </c>
      <c r="Q24" s="95" t="n">
        <f aca="false">Balance_Sheet!H22*Financial_Assumptions!E$29</f>
        <v>26.616</v>
      </c>
      <c r="R24" s="95" t="n">
        <f aca="false">Balance_Sheet!I22*Financial_Assumptions!F$29</f>
        <v>26.616</v>
      </c>
      <c r="S24" s="95" t="n">
        <f aca="false">Balance_Sheet!J22*Financial_Assumptions!G$29</f>
        <v>26.616</v>
      </c>
      <c r="T24" s="95" t="n">
        <f aca="false">Balance_Sheet!K22*Financial_Assumptions!H$29</f>
        <v>26.616</v>
      </c>
      <c r="U24" s="95" t="n">
        <f aca="false">Balance_Sheet!L22*Financial_Assumptions!I$29</f>
        <v>26.616</v>
      </c>
      <c r="V24" s="95" t="n">
        <f aca="false">Balance_Sheet!M22*Financial_Assumptions!J$29</f>
        <v>26.616</v>
      </c>
      <c r="W24" s="95" t="n">
        <f aca="false">Balance_Sheet!N22*Financial_Assumptions!K$29</f>
        <v>26.616</v>
      </c>
    </row>
    <row r="25" customFormat="false" ht="15" hidden="false" customHeight="true" outlineLevel="0" collapsed="false">
      <c r="A25" s="92" t="s">
        <v>427</v>
      </c>
      <c r="B25" s="104" t="n">
        <v>1006.61</v>
      </c>
      <c r="C25" s="104" t="n">
        <v>1225.937</v>
      </c>
      <c r="D25" s="104" t="n">
        <v>1459.295</v>
      </c>
      <c r="E25" s="105" t="n">
        <v>1453.6</v>
      </c>
      <c r="F25" s="104" t="n">
        <v>437.6</v>
      </c>
      <c r="G25" s="106" t="n">
        <f aca="false">($J25-$F25)*G$8/SUM($G$8:$I$8)</f>
        <v>404.685776032357</v>
      </c>
      <c r="H25" s="106" t="n">
        <f aca="false">($J25-$F25)*H$8/SUM($G$8:$I$8)</f>
        <v>410.126302303293</v>
      </c>
      <c r="I25" s="106" t="n">
        <f aca="false">($J25-$F25)*I$8/SUM($G$8:$I$8)</f>
        <v>417.29792166435</v>
      </c>
      <c r="J25" s="96" t="n">
        <f aca="false">(Balance_Sheet!E13+Balance_Sheet!E10)*Financial_Assumptions!B$30</f>
        <v>1669.71</v>
      </c>
      <c r="K25" s="106" t="n">
        <f aca="false">$O25*K$8/$O$8</f>
        <v>384.675260816261</v>
      </c>
      <c r="L25" s="106" t="n">
        <f aca="false">$O25*L$8/$O$8</f>
        <v>472.755110255498</v>
      </c>
      <c r="M25" s="106" t="n">
        <f aca="false">$O25*M$8/$O$8</f>
        <v>472.755110255498</v>
      </c>
      <c r="N25" s="106" t="n">
        <f aca="false">$O25*N$8/$O$8</f>
        <v>467.362466412279</v>
      </c>
      <c r="O25" s="96" t="n">
        <f aca="false">(Balance_Sheet!F13+Balance_Sheet!F10)*Financial_Assumptions!C$30</f>
        <v>1797.54794773954</v>
      </c>
      <c r="P25" s="95" t="n">
        <f aca="false">(Balance_Sheet!G13+Balance_Sheet!G10)*Financial_Assumptions!D$30</f>
        <v>1931.30535052696</v>
      </c>
      <c r="Q25" s="95" t="n">
        <f aca="false">(Balance_Sheet!H13+Balance_Sheet!H10)*Financial_Assumptions!E$30</f>
        <v>2075.19600664402</v>
      </c>
      <c r="R25" s="95" t="n">
        <f aca="false">(Balance_Sheet!I13+Balance_Sheet!I10)*Financial_Assumptions!F$30</f>
        <v>2230.54412159</v>
      </c>
      <c r="S25" s="95" t="n">
        <f aca="false">(Balance_Sheet!J13+Balance_Sheet!J10)*Financial_Assumptions!G$30</f>
        <v>2399.03389410124</v>
      </c>
      <c r="T25" s="95" t="n">
        <f aca="false">(Balance_Sheet!K13+Balance_Sheet!K10)*Financial_Assumptions!H$30</f>
        <v>2572.50312571178</v>
      </c>
      <c r="U25" s="95" t="n">
        <f aca="false">(Balance_Sheet!L13+Balance_Sheet!L10)*Financial_Assumptions!I$30</f>
        <v>2756.53590494038</v>
      </c>
      <c r="V25" s="95" t="n">
        <f aca="false">(Balance_Sheet!M13+Balance_Sheet!M10)*Financial_Assumptions!J$30</f>
        <v>2949.97065265467</v>
      </c>
      <c r="W25" s="95" t="n">
        <f aca="false">(Balance_Sheet!N13+Balance_Sheet!N10)*Financial_Assumptions!K$30</f>
        <v>3156.29026610724</v>
      </c>
    </row>
    <row r="26" customFormat="false" ht="15" hidden="false" customHeight="true" outlineLevel="0" collapsed="false">
      <c r="A26" s="107" t="s">
        <v>428</v>
      </c>
      <c r="B26" s="108" t="n">
        <f aca="false">B21-B24+B25</f>
        <v>8373.649</v>
      </c>
      <c r="C26" s="108" t="n">
        <f aca="false">C21-C24+C25</f>
        <v>9598.071</v>
      </c>
      <c r="D26" s="108" t="n">
        <f aca="false">D21-D24+D25</f>
        <v>12551.861</v>
      </c>
      <c r="E26" s="109" t="n">
        <f aca="false">E21-E24+E25</f>
        <v>13853.9</v>
      </c>
      <c r="F26" s="108" t="n">
        <f aca="false">F21-F24+F25</f>
        <v>3224.5</v>
      </c>
      <c r="G26" s="110" t="n">
        <f aca="false">G21-G24+G25</f>
        <v>4158.80911197325</v>
      </c>
      <c r="H26" s="110" t="n">
        <f aca="false">H21-H24+H25</f>
        <v>4214.71942948263</v>
      </c>
      <c r="I26" s="110" t="n">
        <f aca="false">I21-I24+I25</f>
        <v>4288.41956354413</v>
      </c>
      <c r="J26" s="111" t="n">
        <f aca="false">J21-J24+J25</f>
        <v>15886.448105</v>
      </c>
      <c r="K26" s="110" t="n">
        <f aca="false">K21-K24+K25</f>
        <v>3829.97122554373</v>
      </c>
      <c r="L26" s="110" t="n">
        <f aca="false">L21-L24+L25</f>
        <v>4706.92725382243</v>
      </c>
      <c r="M26" s="110" t="n">
        <f aca="false">M21-M24+M25</f>
        <v>4706.92725382243</v>
      </c>
      <c r="N26" s="110" t="n">
        <f aca="false">N21-N24+N25</f>
        <v>4653.23606841761</v>
      </c>
      <c r="O26" s="111" t="n">
        <f aca="false">O21-O24+O25</f>
        <v>17897.0618016062</v>
      </c>
      <c r="P26" s="110" t="n">
        <f aca="false">P21-P24+P25</f>
        <v>19915.4975148789</v>
      </c>
      <c r="Q26" s="110" t="n">
        <f aca="false">Q21-Q24+Q25</f>
        <v>21929.5222720705</v>
      </c>
      <c r="R26" s="110" t="n">
        <f aca="false">R21-R24+R25</f>
        <v>23971.9231555002</v>
      </c>
      <c r="S26" s="110" t="n">
        <f aca="false">S21-S24+S25</f>
        <v>25863.5386655037</v>
      </c>
      <c r="T26" s="110" t="n">
        <f aca="false">T21-T24+T25</f>
        <v>27730.9210287292</v>
      </c>
      <c r="U26" s="110" t="n">
        <f aca="false">U21-U24+U25</f>
        <v>29529.4110946276</v>
      </c>
      <c r="V26" s="110" t="n">
        <f aca="false">V21-V24+V25</f>
        <v>31335.7645666096</v>
      </c>
      <c r="W26" s="110" t="n">
        <f aca="false">W21-W24+W25</f>
        <v>33212.5580833637</v>
      </c>
    </row>
    <row r="27" customFormat="false" ht="15" hidden="false" customHeight="true" outlineLevel="0" collapsed="false">
      <c r="A27" s="92" t="s">
        <v>429</v>
      </c>
      <c r="B27" s="104" t="n">
        <v>-9.679</v>
      </c>
      <c r="C27" s="104" t="n">
        <v>-1436.154</v>
      </c>
      <c r="D27" s="104" t="n">
        <v>46.919</v>
      </c>
      <c r="E27" s="105" t="n">
        <v>206.2</v>
      </c>
      <c r="F27" s="112" t="n">
        <f aca="false">0</f>
        <v>0</v>
      </c>
      <c r="G27" s="106" t="n">
        <f aca="false">0</f>
        <v>0</v>
      </c>
      <c r="H27" s="106" t="n">
        <f aca="false">0</f>
        <v>0</v>
      </c>
      <c r="I27" s="106" t="n">
        <f aca="false">0</f>
        <v>0</v>
      </c>
      <c r="J27" s="113" t="n">
        <f aca="false">0</f>
        <v>0</v>
      </c>
      <c r="K27" s="106" t="n">
        <f aca="false">0</f>
        <v>0</v>
      </c>
      <c r="L27" s="106" t="n">
        <f aca="false">0</f>
        <v>0</v>
      </c>
      <c r="M27" s="106" t="n">
        <f aca="false">0</f>
        <v>0</v>
      </c>
      <c r="N27" s="106" t="n">
        <f aca="false">0</f>
        <v>0</v>
      </c>
      <c r="O27" s="113" t="n">
        <f aca="false">0</f>
        <v>0</v>
      </c>
      <c r="P27" s="106" t="n">
        <f aca="false">0</f>
        <v>0</v>
      </c>
      <c r="Q27" s="106" t="n">
        <f aca="false">0</f>
        <v>0</v>
      </c>
      <c r="R27" s="106" t="n">
        <f aca="false">0</f>
        <v>0</v>
      </c>
      <c r="S27" s="106" t="n">
        <f aca="false">0</f>
        <v>0</v>
      </c>
      <c r="T27" s="106" t="n">
        <f aca="false">0</f>
        <v>0</v>
      </c>
      <c r="U27" s="106" t="n">
        <f aca="false">0</f>
        <v>0</v>
      </c>
      <c r="V27" s="106" t="n">
        <f aca="false">0</f>
        <v>0</v>
      </c>
      <c r="W27" s="106" t="n">
        <f aca="false">0</f>
        <v>0</v>
      </c>
    </row>
    <row r="28" customFormat="false" ht="15" hidden="false" customHeight="true" outlineLevel="0" collapsed="false">
      <c r="A28" s="107" t="s">
        <v>430</v>
      </c>
      <c r="B28" s="108" t="n">
        <f aca="false">B26+B27</f>
        <v>8363.97</v>
      </c>
      <c r="C28" s="108" t="n">
        <f aca="false">C26+C27</f>
        <v>8161.917</v>
      </c>
      <c r="D28" s="108" t="n">
        <f aca="false">D26+D27</f>
        <v>12598.78</v>
      </c>
      <c r="E28" s="109" t="n">
        <f aca="false">E26+E27</f>
        <v>14060.1</v>
      </c>
      <c r="F28" s="108" t="n">
        <f aca="false">F26+F27</f>
        <v>3224.5</v>
      </c>
      <c r="G28" s="110" t="n">
        <f aca="false">G26+G27</f>
        <v>4158.80911197325</v>
      </c>
      <c r="H28" s="110" t="n">
        <f aca="false">H26+H27</f>
        <v>4214.71942948263</v>
      </c>
      <c r="I28" s="110" t="n">
        <f aca="false">I26+I27</f>
        <v>4288.41956354413</v>
      </c>
      <c r="J28" s="111" t="n">
        <f aca="false">J26+J27</f>
        <v>15886.448105</v>
      </c>
      <c r="K28" s="110" t="n">
        <f aca="false">K26+K27</f>
        <v>3829.97122554373</v>
      </c>
      <c r="L28" s="110" t="n">
        <f aca="false">L26+L27</f>
        <v>4706.92725382243</v>
      </c>
      <c r="M28" s="110" t="n">
        <f aca="false">M26+M27</f>
        <v>4706.92725382243</v>
      </c>
      <c r="N28" s="110" t="n">
        <f aca="false">N26+N27</f>
        <v>4653.23606841761</v>
      </c>
      <c r="O28" s="111" t="n">
        <f aca="false">O26+O27</f>
        <v>17897.0618016062</v>
      </c>
      <c r="P28" s="110" t="n">
        <f aca="false">P26+P27</f>
        <v>19915.4975148789</v>
      </c>
      <c r="Q28" s="110" t="n">
        <f aca="false">Q26+Q27</f>
        <v>21929.5222720705</v>
      </c>
      <c r="R28" s="110" t="n">
        <f aca="false">R26+R27</f>
        <v>23971.9231555002</v>
      </c>
      <c r="S28" s="110" t="n">
        <f aca="false">S26+S27</f>
        <v>25863.5386655037</v>
      </c>
      <c r="T28" s="110" t="n">
        <f aca="false">T26+T27</f>
        <v>27730.9210287292</v>
      </c>
      <c r="U28" s="110" t="n">
        <f aca="false">U26+U27</f>
        <v>29529.4110946276</v>
      </c>
      <c r="V28" s="110" t="n">
        <f aca="false">V26+V27</f>
        <v>31335.7645666096</v>
      </c>
      <c r="W28" s="110" t="n">
        <f aca="false">W26+W27</f>
        <v>33212.5580833637</v>
      </c>
    </row>
    <row r="29" customFormat="false" ht="15" hidden="false" customHeight="true" outlineLevel="0" collapsed="false">
      <c r="E29" s="91"/>
      <c r="J29" s="91"/>
      <c r="O29" s="91"/>
    </row>
    <row r="30" customFormat="false" ht="15" hidden="false" customHeight="true" outlineLevel="0" collapsed="false">
      <c r="A30" s="92" t="s">
        <v>431</v>
      </c>
      <c r="B30" s="104" t="n">
        <v>2287.578</v>
      </c>
      <c r="C30" s="104" t="n">
        <v>2262.269</v>
      </c>
      <c r="D30" s="104" t="n">
        <v>3322.955</v>
      </c>
      <c r="E30" s="105" t="n">
        <v>3700.3</v>
      </c>
      <c r="F30" s="104" t="n">
        <v>852.7</v>
      </c>
      <c r="G30" s="106" t="n">
        <f aca="false">($J30-$F30)*G28/SUM($G$28:$I$28)</f>
        <v>1092.23737187154</v>
      </c>
      <c r="H30" s="106" t="n">
        <f aca="false">($J30-$F30)*H28/SUM($G$28:$I$28)</f>
        <v>1106.9212240544</v>
      </c>
      <c r="I30" s="106" t="n">
        <f aca="false">($J30-$F30)*I28/SUM($G$28:$I$28)</f>
        <v>1126.27725568907</v>
      </c>
      <c r="J30" s="96" t="n">
        <f aca="false">J28*Financial_Assumptions!B$28</f>
        <v>4178.135851615</v>
      </c>
      <c r="K30" s="106" t="n">
        <f aca="false">$O$30*K28/$O$28</f>
        <v>1007.282432318</v>
      </c>
      <c r="L30" s="106" t="n">
        <f aca="false">$O$30*L28/$O$28</f>
        <v>1237.9218677553</v>
      </c>
      <c r="M30" s="106" t="n">
        <f aca="false">$O$30*M28/$O$28</f>
        <v>1237.9218677553</v>
      </c>
      <c r="N30" s="106" t="n">
        <f aca="false">$O$30*N28/$O$28</f>
        <v>1223.80108599383</v>
      </c>
      <c r="O30" s="96" t="n">
        <f aca="false">O28*Financial_Assumptions!C$28</f>
        <v>4706.92725382243</v>
      </c>
      <c r="P30" s="95" t="n">
        <f aca="false">P28*Financial_Assumptions!D$28</f>
        <v>5237.77584641315</v>
      </c>
      <c r="Q30" s="95" t="n">
        <f aca="false">Q28*Financial_Assumptions!E$28</f>
        <v>5767.46435755455</v>
      </c>
      <c r="R30" s="95" t="n">
        <f aca="false">R28*Financial_Assumptions!F$28</f>
        <v>6304.61578989656</v>
      </c>
      <c r="S30" s="95" t="n">
        <f aca="false">S28*Financial_Assumptions!G$28</f>
        <v>6802.11066902749</v>
      </c>
      <c r="T30" s="95" t="n">
        <f aca="false">T28*Financial_Assumptions!H$28</f>
        <v>7293.23223055577</v>
      </c>
      <c r="U30" s="95" t="n">
        <f aca="false">U28*Financial_Assumptions!I$28</f>
        <v>7766.23511788706</v>
      </c>
      <c r="V30" s="95" t="n">
        <f aca="false">V28*Financial_Assumptions!J$28</f>
        <v>8241.30608101832</v>
      </c>
      <c r="W30" s="95" t="n">
        <f aca="false">W28*Financial_Assumptions!K$28</f>
        <v>8734.90277592466</v>
      </c>
    </row>
    <row r="31" customFormat="false" ht="15" hidden="false" customHeight="true" outlineLevel="0" collapsed="false">
      <c r="A31" s="97" t="s">
        <v>356</v>
      </c>
      <c r="B31" s="98" t="n">
        <f aca="false">B30/B28</f>
        <v>0.273503850444227</v>
      </c>
      <c r="C31" s="98" t="n">
        <f aca="false">C30/C28</f>
        <v>0.277173732592478</v>
      </c>
      <c r="D31" s="98" t="n">
        <f aca="false">D30/D28</f>
        <v>0.263752125205774</v>
      </c>
      <c r="E31" s="99" t="n">
        <f aca="false">E30/E28</f>
        <v>0.263177360047226</v>
      </c>
      <c r="F31" s="98" t="n">
        <f aca="false">F30/F28</f>
        <v>0.264444099860444</v>
      </c>
      <c r="G31" s="103" t="n">
        <f aca="false">G30/G28</f>
        <v>0.262632244583426</v>
      </c>
      <c r="H31" s="103" t="n">
        <f aca="false">H30/H28</f>
        <v>0.262632244583425</v>
      </c>
      <c r="I31" s="103" t="n">
        <f aca="false">I30/I28</f>
        <v>0.262632244583425</v>
      </c>
      <c r="J31" s="102" t="n">
        <f aca="false">J30/J28</f>
        <v>0.263</v>
      </c>
      <c r="K31" s="103" t="n">
        <f aca="false">K30/K28</f>
        <v>0.263</v>
      </c>
      <c r="L31" s="103" t="n">
        <f aca="false">L30/L28</f>
        <v>0.263</v>
      </c>
      <c r="M31" s="103" t="n">
        <f aca="false">M30/M28</f>
        <v>0.263</v>
      </c>
      <c r="N31" s="103" t="n">
        <f aca="false">N30/N28</f>
        <v>0.263</v>
      </c>
      <c r="O31" s="102" t="n">
        <f aca="false">O30/O28</f>
        <v>0.263</v>
      </c>
      <c r="P31" s="103" t="n">
        <f aca="false">P30/P28</f>
        <v>0.263</v>
      </c>
      <c r="Q31" s="103" t="n">
        <f aca="false">Q30/Q28</f>
        <v>0.263</v>
      </c>
      <c r="R31" s="103" t="n">
        <f aca="false">R30/R28</f>
        <v>0.263</v>
      </c>
      <c r="S31" s="103" t="n">
        <f aca="false">S30/S28</f>
        <v>0.263</v>
      </c>
      <c r="T31" s="103" t="n">
        <f aca="false">T30/T28</f>
        <v>0.263</v>
      </c>
      <c r="U31" s="103" t="n">
        <f aca="false">U30/U28</f>
        <v>0.263</v>
      </c>
      <c r="V31" s="103" t="n">
        <f aca="false">V30/V28</f>
        <v>0.263</v>
      </c>
      <c r="W31" s="103" t="n">
        <f aca="false">W30/W28</f>
        <v>0.263</v>
      </c>
    </row>
    <row r="32" customFormat="false" ht="15" hidden="false" customHeight="true" outlineLevel="0" collapsed="false">
      <c r="A32" s="107" t="s">
        <v>432</v>
      </c>
      <c r="B32" s="108" t="n">
        <f aca="false">B28-B30</f>
        <v>6076.392</v>
      </c>
      <c r="C32" s="108" t="n">
        <f aca="false">C28-C30</f>
        <v>5899.648</v>
      </c>
      <c r="D32" s="108" t="n">
        <f aca="false">D28-D30</f>
        <v>9275.825</v>
      </c>
      <c r="E32" s="109" t="n">
        <f aca="false">E28-E30</f>
        <v>10359.8</v>
      </c>
      <c r="F32" s="108" t="n">
        <f aca="false">F28-F30</f>
        <v>2371.8</v>
      </c>
      <c r="G32" s="110" t="n">
        <f aca="false">G28-G30</f>
        <v>3066.57174010171</v>
      </c>
      <c r="H32" s="110" t="n">
        <f aca="false">H28-H30</f>
        <v>3107.79820542823</v>
      </c>
      <c r="I32" s="110" t="n">
        <f aca="false">I28-I30</f>
        <v>3162.14230785506</v>
      </c>
      <c r="J32" s="111" t="n">
        <f aca="false">J28-J30</f>
        <v>11708.312253385</v>
      </c>
      <c r="K32" s="110" t="n">
        <f aca="false">K28-K30</f>
        <v>2822.68879322573</v>
      </c>
      <c r="L32" s="110" t="n">
        <f aca="false">L28-L30</f>
        <v>3469.00538606713</v>
      </c>
      <c r="M32" s="110" t="n">
        <f aca="false">M28-M30</f>
        <v>3469.00538606713</v>
      </c>
      <c r="N32" s="110" t="n">
        <f aca="false">N28-N30</f>
        <v>3429.43498242378</v>
      </c>
      <c r="O32" s="111" t="n">
        <f aca="false">O28-O30</f>
        <v>13190.1345477838</v>
      </c>
      <c r="P32" s="110" t="n">
        <f aca="false">P28-P30</f>
        <v>14677.7216684657</v>
      </c>
      <c r="Q32" s="110" t="n">
        <f aca="false">Q28-Q30</f>
        <v>16162.057914516</v>
      </c>
      <c r="R32" s="110" t="n">
        <f aca="false">R28-R30</f>
        <v>17667.3073656037</v>
      </c>
      <c r="S32" s="110" t="n">
        <f aca="false">S28-S30</f>
        <v>19061.4279964763</v>
      </c>
      <c r="T32" s="110" t="n">
        <f aca="false">T28-T30</f>
        <v>20437.6887981734</v>
      </c>
      <c r="U32" s="110" t="n">
        <f aca="false">U28-U30</f>
        <v>21763.1759767406</v>
      </c>
      <c r="V32" s="110" t="n">
        <f aca="false">V28-V30</f>
        <v>23094.4584855913</v>
      </c>
      <c r="W32" s="110" t="n">
        <f aca="false">W28-W30</f>
        <v>24477.6553074391</v>
      </c>
    </row>
    <row r="33" customFormat="false" ht="15" hidden="false" customHeight="true" outlineLevel="0" collapsed="false">
      <c r="A33" s="97" t="s">
        <v>433</v>
      </c>
      <c r="B33" s="98" t="n">
        <f aca="false">B32/B8</f>
        <v>0.186867011919846</v>
      </c>
      <c r="C33" s="98" t="n">
        <f aca="false">C32/C8</f>
        <v>0.170820595823042</v>
      </c>
      <c r="D33" s="98" t="n">
        <f aca="false">D32/D8</f>
        <v>0.247407453836942</v>
      </c>
      <c r="E33" s="99" t="n">
        <f aca="false">E32/E8</f>
        <v>0.271080443889713</v>
      </c>
      <c r="F33" s="98" t="n">
        <f aca="false">F32/F8</f>
        <v>0.252738587442991</v>
      </c>
      <c r="G33" s="103" t="n">
        <f aca="false">G32/G8</f>
        <v>0.274843102176796</v>
      </c>
      <c r="H33" s="103" t="n">
        <f aca="false">H32/H8</f>
        <v>0.274843102176796</v>
      </c>
      <c r="I33" s="103" t="n">
        <f aca="false">I32/I8</f>
        <v>0.274843102176796</v>
      </c>
      <c r="J33" s="102" t="n">
        <f aca="false">J32/J8</f>
        <v>0.270058443521452</v>
      </c>
      <c r="K33" s="103" t="n">
        <f aca="false">K32/K8</f>
        <v>0.273891115506358</v>
      </c>
      <c r="L33" s="103" t="n">
        <f aca="false">L32/L8</f>
        <v>0.273891115506358</v>
      </c>
      <c r="M33" s="103" t="n">
        <f aca="false">M32/M8</f>
        <v>0.273891115506358</v>
      </c>
      <c r="N33" s="103" t="n">
        <f aca="false">N32/N8</f>
        <v>0.273891115506358</v>
      </c>
      <c r="O33" s="102" t="n">
        <f aca="false">O32/O8</f>
        <v>0.273891115506358</v>
      </c>
      <c r="P33" s="103" t="n">
        <f aca="false">P32/P8</f>
        <v>0.277524638403089</v>
      </c>
      <c r="Q33" s="103" t="n">
        <f aca="false">Q32/Q8</f>
        <v>0.281130212341184</v>
      </c>
      <c r="R33" s="103" t="n">
        <f aca="false">R32/R8</f>
        <v>0.282998555151969</v>
      </c>
      <c r="S33" s="103" t="n">
        <f aca="false">S32/S8</f>
        <v>0.285035751677585</v>
      </c>
      <c r="T33" s="103" t="n">
        <f aca="false">T32/T8</f>
        <v>0.287058700579577</v>
      </c>
      <c r="U33" s="103" t="n">
        <f aca="false">U32/U8</f>
        <v>0.289178135872486</v>
      </c>
      <c r="V33" s="103" t="n">
        <f aca="false">V32/V8</f>
        <v>0.291329894419086</v>
      </c>
      <c r="W33" s="103" t="n">
        <f aca="false">W32/W8</f>
        <v>0.293505750658298</v>
      </c>
    </row>
    <row r="34" customFormat="false" ht="15" hidden="false" customHeight="true" outlineLevel="0" collapsed="false">
      <c r="E34" s="91"/>
      <c r="J34" s="91"/>
      <c r="O34" s="91"/>
    </row>
    <row r="35" customFormat="false" ht="15" hidden="false" customHeight="true" outlineLevel="0" collapsed="false">
      <c r="A35" s="92" t="s">
        <v>434</v>
      </c>
      <c r="B35" s="104" t="n">
        <v>0</v>
      </c>
      <c r="C35" s="104" t="n">
        <v>0</v>
      </c>
      <c r="D35" s="104" t="n">
        <v>0</v>
      </c>
      <c r="E35" s="105" t="n">
        <v>0</v>
      </c>
      <c r="F35" s="112" t="n">
        <f aca="false">0</f>
        <v>0</v>
      </c>
      <c r="G35" s="106" t="n">
        <f aca="false">0</f>
        <v>0</v>
      </c>
      <c r="H35" s="106" t="n">
        <f aca="false">0</f>
        <v>0</v>
      </c>
      <c r="I35" s="106" t="n">
        <f aca="false">0</f>
        <v>0</v>
      </c>
      <c r="J35" s="113" t="n">
        <f aca="false">0</f>
        <v>0</v>
      </c>
      <c r="K35" s="106" t="n">
        <f aca="false">0</f>
        <v>0</v>
      </c>
      <c r="L35" s="106" t="n">
        <f aca="false">0</f>
        <v>0</v>
      </c>
      <c r="M35" s="106" t="n">
        <f aca="false">0</f>
        <v>0</v>
      </c>
      <c r="N35" s="106" t="n">
        <f aca="false">0</f>
        <v>0</v>
      </c>
      <c r="O35" s="113" t="n">
        <f aca="false">0</f>
        <v>0</v>
      </c>
      <c r="P35" s="106" t="n">
        <f aca="false">0</f>
        <v>0</v>
      </c>
      <c r="Q35" s="106" t="n">
        <f aca="false">0</f>
        <v>0</v>
      </c>
      <c r="R35" s="106" t="n">
        <f aca="false">0</f>
        <v>0</v>
      </c>
      <c r="S35" s="106" t="n">
        <f aca="false">0</f>
        <v>0</v>
      </c>
      <c r="T35" s="106" t="n">
        <f aca="false">0</f>
        <v>0</v>
      </c>
      <c r="U35" s="106" t="n">
        <f aca="false">0</f>
        <v>0</v>
      </c>
      <c r="V35" s="106" t="n">
        <f aca="false">0</f>
        <v>0</v>
      </c>
      <c r="W35" s="106" t="n">
        <f aca="false">0</f>
        <v>0</v>
      </c>
    </row>
    <row r="36" customFormat="false" ht="15" hidden="false" customHeight="true" outlineLevel="0" collapsed="false">
      <c r="A36" s="107" t="s">
        <v>435</v>
      </c>
      <c r="B36" s="108" t="n">
        <f aca="false">B32-B35</f>
        <v>6076.392</v>
      </c>
      <c r="C36" s="108" t="n">
        <f aca="false">C32-C35</f>
        <v>5899.648</v>
      </c>
      <c r="D36" s="108" t="n">
        <f aca="false">D32-D35</f>
        <v>9275.825</v>
      </c>
      <c r="E36" s="109" t="n">
        <f aca="false">E32-E35</f>
        <v>10359.8</v>
      </c>
      <c r="F36" s="108" t="n">
        <f aca="false">F32-F35</f>
        <v>2371.8</v>
      </c>
      <c r="G36" s="110" t="n">
        <f aca="false">G32-G35</f>
        <v>3066.57174010171</v>
      </c>
      <c r="H36" s="110" t="n">
        <f aca="false">H32-H35</f>
        <v>3107.79820542823</v>
      </c>
      <c r="I36" s="110" t="n">
        <f aca="false">I32-I35</f>
        <v>3162.14230785506</v>
      </c>
      <c r="J36" s="111" t="n">
        <f aca="false">J32-J35</f>
        <v>11708.312253385</v>
      </c>
      <c r="K36" s="110" t="n">
        <f aca="false">K32-K35</f>
        <v>2822.68879322573</v>
      </c>
      <c r="L36" s="110" t="n">
        <f aca="false">L32-L35</f>
        <v>3469.00538606713</v>
      </c>
      <c r="M36" s="110" t="n">
        <f aca="false">M32-M35</f>
        <v>3469.00538606713</v>
      </c>
      <c r="N36" s="110" t="n">
        <f aca="false">N32-N35</f>
        <v>3429.43498242378</v>
      </c>
      <c r="O36" s="111" t="n">
        <f aca="false">O32-O35</f>
        <v>13190.1345477838</v>
      </c>
      <c r="P36" s="110" t="n">
        <f aca="false">P32-P35</f>
        <v>14677.7216684657</v>
      </c>
      <c r="Q36" s="110" t="n">
        <f aca="false">Q32-Q35</f>
        <v>16162.057914516</v>
      </c>
      <c r="R36" s="110" t="n">
        <f aca="false">R32-R35</f>
        <v>17667.3073656037</v>
      </c>
      <c r="S36" s="110" t="n">
        <f aca="false">S32-S35</f>
        <v>19061.4279964763</v>
      </c>
      <c r="T36" s="110" t="n">
        <f aca="false">T32-T35</f>
        <v>20437.6887981734</v>
      </c>
      <c r="U36" s="110" t="n">
        <f aca="false">U32-U35</f>
        <v>21763.1759767406</v>
      </c>
      <c r="V36" s="110" t="n">
        <f aca="false">V32-V35</f>
        <v>23094.4584855913</v>
      </c>
      <c r="W36" s="110" t="n">
        <f aca="false">W32-W35</f>
        <v>24477.6553074391</v>
      </c>
    </row>
    <row r="37" customFormat="false" ht="15" hidden="false" customHeight="true" outlineLevel="0" collapsed="false">
      <c r="E37" s="91"/>
      <c r="J37" s="91"/>
      <c r="O37" s="91"/>
    </row>
    <row r="38" customFormat="false" ht="15" hidden="false" customHeight="true" outlineLevel="0" collapsed="false">
      <c r="A38" s="92" t="s">
        <v>436</v>
      </c>
      <c r="B38" s="104" t="n">
        <v>169.406</v>
      </c>
      <c r="C38" s="104" t="n">
        <v>169.406</v>
      </c>
      <c r="D38" s="104" t="n">
        <v>169.406</v>
      </c>
      <c r="E38" s="105" t="n">
        <v>169.406</v>
      </c>
      <c r="F38" s="104" t="n">
        <v>169.406</v>
      </c>
      <c r="G38" s="106" t="n">
        <f aca="false">$J38</f>
        <v>169.406</v>
      </c>
      <c r="H38" s="106" t="n">
        <f aca="false">$J38</f>
        <v>169.406</v>
      </c>
      <c r="I38" s="106" t="n">
        <f aca="false">$J38</f>
        <v>169.406</v>
      </c>
      <c r="J38" s="113" t="n">
        <f aca="false">E38</f>
        <v>169.406</v>
      </c>
      <c r="K38" s="106" t="n">
        <f aca="false">$O38</f>
        <v>169.406</v>
      </c>
      <c r="L38" s="106" t="n">
        <f aca="false">$O38</f>
        <v>169.406</v>
      </c>
      <c r="M38" s="106" t="n">
        <f aca="false">$O38</f>
        <v>169.406</v>
      </c>
      <c r="N38" s="106" t="n">
        <f aca="false">$O38</f>
        <v>169.406</v>
      </c>
      <c r="O38" s="113" t="n">
        <f aca="false">J38</f>
        <v>169.406</v>
      </c>
      <c r="P38" s="106" t="n">
        <f aca="false">$O38</f>
        <v>169.406</v>
      </c>
      <c r="Q38" s="106" t="n">
        <f aca="false">$O38</f>
        <v>169.406</v>
      </c>
      <c r="R38" s="106" t="n">
        <f aca="false">$O38</f>
        <v>169.406</v>
      </c>
      <c r="S38" s="106" t="n">
        <f aca="false">$O38</f>
        <v>169.406</v>
      </c>
      <c r="T38" s="106" t="n">
        <f aca="false">$O38</f>
        <v>169.406</v>
      </c>
      <c r="U38" s="106" t="n">
        <f aca="false">$O38</f>
        <v>169.406</v>
      </c>
      <c r="V38" s="106" t="n">
        <f aca="false">$O38</f>
        <v>169.406</v>
      </c>
      <c r="W38" s="106" t="n">
        <f aca="false">$O38</f>
        <v>169.406</v>
      </c>
    </row>
    <row r="39" customFormat="false" ht="15" hidden="false" customHeight="true" outlineLevel="0" collapsed="false">
      <c r="A39" s="107" t="s">
        <v>437</v>
      </c>
      <c r="B39" s="114" t="n">
        <f aca="false">B36/B38</f>
        <v>35.8688122026375</v>
      </c>
      <c r="C39" s="114" t="n">
        <f aca="false">C36/C38</f>
        <v>34.8254961453549</v>
      </c>
      <c r="D39" s="114" t="n">
        <f aca="false">D36/D38</f>
        <v>54.7549968714213</v>
      </c>
      <c r="E39" s="115" t="n">
        <f aca="false">E36/E38</f>
        <v>61.1536781459925</v>
      </c>
      <c r="F39" s="114" t="n">
        <f aca="false">F36/F38</f>
        <v>14.0006847455226</v>
      </c>
      <c r="G39" s="116" t="n">
        <f aca="false">G36/G38</f>
        <v>18.1019074891191</v>
      </c>
      <c r="H39" s="116" t="n">
        <f aca="false">H36/H38</f>
        <v>18.3452664334689</v>
      </c>
      <c r="I39" s="116" t="n">
        <f aca="false">I36/I38</f>
        <v>18.6660585094687</v>
      </c>
      <c r="J39" s="117" t="n">
        <f aca="false">J36/J38</f>
        <v>69.1139171775793</v>
      </c>
      <c r="K39" s="116" t="n">
        <f aca="false">K36/K38</f>
        <v>16.6622716623126</v>
      </c>
      <c r="L39" s="116" t="n">
        <f aca="false">L36/L38</f>
        <v>20.477464706487</v>
      </c>
      <c r="M39" s="116" t="n">
        <f aca="false">M36/M38</f>
        <v>20.477464706487</v>
      </c>
      <c r="N39" s="116" t="n">
        <f aca="false">N36/N38</f>
        <v>20.2438814588845</v>
      </c>
      <c r="O39" s="117" t="n">
        <f aca="false">O36/O38</f>
        <v>77.861082534171</v>
      </c>
      <c r="P39" s="116" t="n">
        <f aca="false">P36/P38</f>
        <v>86.6422775371931</v>
      </c>
      <c r="Q39" s="116" t="n">
        <f aca="false">Q36/Q38</f>
        <v>95.4042826966931</v>
      </c>
      <c r="R39" s="116" t="n">
        <f aca="false">R36/R38</f>
        <v>104.289738058886</v>
      </c>
      <c r="S39" s="116" t="n">
        <f aca="false">S36/S38</f>
        <v>112.519202368725</v>
      </c>
      <c r="T39" s="116" t="n">
        <f aca="false">T36/T38</f>
        <v>120.643240488373</v>
      </c>
      <c r="U39" s="116" t="n">
        <f aca="false">U36/U38</f>
        <v>128.467562995057</v>
      </c>
      <c r="V39" s="116" t="n">
        <f aca="false">V36/V38</f>
        <v>136.326095212633</v>
      </c>
      <c r="W39" s="116" t="n">
        <f aca="false">W36/W38</f>
        <v>144.491076511098</v>
      </c>
    </row>
    <row r="40" customFormat="false" ht="27.75" hidden="false" customHeight="true" outlineLevel="0" collapsed="false">
      <c r="A40" s="74" t="s">
        <v>438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</row>
  </sheetData>
  <mergeCells count="4">
    <mergeCell ref="A1:W1"/>
    <mergeCell ref="A2:W2"/>
    <mergeCell ref="A4:W4"/>
    <mergeCell ref="A40:W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9"/>
    <col collapsed="false" customWidth="true" hidden="false" outlineLevel="0" max="15" min="2" style="1" width="12.5"/>
  </cols>
  <sheetData>
    <row r="1" customFormat="false" ht="18" hidden="false" customHeight="true" outlineLevel="0" collapsed="false">
      <c r="A1" s="80" t="s">
        <v>439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customFormat="false" ht="15" hidden="false" customHeight="true" outlineLevel="0" collapsed="false">
      <c r="A2" s="81" t="s">
        <v>440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4" customFormat="false" ht="15.75" hidden="false" customHeight="true" outlineLevel="0" collapsed="false">
      <c r="A4" s="82" t="s">
        <v>441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customFormat="false" ht="15.75" hidden="false" customHeight="true" outlineLevel="0" collapsed="false">
      <c r="A5" s="65" t="s">
        <v>442</v>
      </c>
      <c r="B5" s="83" t="s">
        <v>16</v>
      </c>
      <c r="C5" s="83" t="s">
        <v>17</v>
      </c>
      <c r="D5" s="83" t="s">
        <v>18</v>
      </c>
      <c r="E5" s="83" t="s">
        <v>19</v>
      </c>
      <c r="F5" s="85" t="s">
        <v>24</v>
      </c>
      <c r="G5" s="85" t="s">
        <v>29</v>
      </c>
      <c r="H5" s="85" t="s">
        <v>30</v>
      </c>
      <c r="I5" s="85" t="s">
        <v>31</v>
      </c>
      <c r="J5" s="85" t="s">
        <v>32</v>
      </c>
      <c r="K5" s="85" t="s">
        <v>33</v>
      </c>
      <c r="L5" s="85" t="s">
        <v>34</v>
      </c>
      <c r="M5" s="85" t="s">
        <v>35</v>
      </c>
      <c r="N5" s="85" t="s">
        <v>36</v>
      </c>
      <c r="O5" s="85" t="s">
        <v>37</v>
      </c>
    </row>
    <row r="6" customFormat="false" ht="13.5" hidden="false" customHeight="true" outlineLevel="0" collapsed="false">
      <c r="A6" s="65" t="s">
        <v>410</v>
      </c>
      <c r="B6" s="87" t="s">
        <v>411</v>
      </c>
      <c r="C6" s="87" t="s">
        <v>411</v>
      </c>
      <c r="D6" s="87" t="s">
        <v>411</v>
      </c>
      <c r="E6" s="87" t="s">
        <v>411</v>
      </c>
      <c r="F6" s="89" t="s">
        <v>413</v>
      </c>
      <c r="G6" s="89" t="s">
        <v>413</v>
      </c>
      <c r="H6" s="89" t="s">
        <v>413</v>
      </c>
      <c r="I6" s="89" t="s">
        <v>413</v>
      </c>
      <c r="J6" s="89" t="s">
        <v>413</v>
      </c>
      <c r="K6" s="89" t="s">
        <v>413</v>
      </c>
      <c r="L6" s="89" t="s">
        <v>413</v>
      </c>
      <c r="M6" s="89" t="s">
        <v>413</v>
      </c>
      <c r="N6" s="89" t="s">
        <v>413</v>
      </c>
      <c r="O6" s="89" t="s">
        <v>413</v>
      </c>
    </row>
    <row r="8" customFormat="false" ht="15.75" hidden="false" customHeight="true" outlineLevel="0" collapsed="false">
      <c r="A8" s="82" t="s">
        <v>443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</row>
    <row r="9" customFormat="false" ht="15" hidden="false" customHeight="true" outlineLevel="0" collapsed="false">
      <c r="A9" s="65" t="s">
        <v>444</v>
      </c>
      <c r="B9" s="104" t="n">
        <v>3502.714</v>
      </c>
      <c r="C9" s="104" t="n">
        <v>3352.037</v>
      </c>
      <c r="D9" s="104" t="n">
        <v>2979.737</v>
      </c>
      <c r="E9" s="104" t="n">
        <v>3136.6</v>
      </c>
      <c r="F9" s="95" t="n">
        <f aca="false">Schedules_Checks!F12</f>
        <v>3029.53682</v>
      </c>
      <c r="G9" s="95" t="n">
        <f aca="false">Schedules_Checks!G12</f>
        <v>2990.52568945</v>
      </c>
      <c r="H9" s="95" t="n">
        <f aca="false">Schedules_Checks!H12</f>
        <v>3001.786246384</v>
      </c>
      <c r="I9" s="95" t="n">
        <f aca="false">Schedules_Checks!I12</f>
        <v>3048.82331153627</v>
      </c>
      <c r="J9" s="95" t="n">
        <f aca="false">Schedules_Checks!J12</f>
        <v>3133.15725740866</v>
      </c>
      <c r="K9" s="95" t="n">
        <f aca="false">Schedules_Checks!K12</f>
        <v>3240.73420945986</v>
      </c>
      <c r="L9" s="95" t="n">
        <f aca="false">Schedules_Checks!L12</f>
        <v>3364.46029483554</v>
      </c>
      <c r="M9" s="95" t="n">
        <f aca="false">Schedules_Checks!M12</f>
        <v>3497.2788313773</v>
      </c>
      <c r="N9" s="95" t="n">
        <f aca="false">Schedules_Checks!N12</f>
        <v>3635.8188668145</v>
      </c>
      <c r="O9" s="95" t="n">
        <f aca="false">Schedules_Checks!O12</f>
        <v>3778.98860466585</v>
      </c>
    </row>
    <row r="10" customFormat="false" ht="15" hidden="false" customHeight="true" outlineLevel="0" collapsed="false">
      <c r="A10" s="65" t="s">
        <v>445</v>
      </c>
      <c r="B10" s="104" t="n">
        <v>17092.763</v>
      </c>
      <c r="C10" s="104" t="n">
        <v>18122.701</v>
      </c>
      <c r="D10" s="104" t="n">
        <v>19829.148</v>
      </c>
      <c r="E10" s="104" t="n">
        <v>16808</v>
      </c>
      <c r="F10" s="106" t="n">
        <f aca="false">E10</f>
        <v>16808</v>
      </c>
      <c r="G10" s="106" t="n">
        <f aca="false">F10</f>
        <v>16808</v>
      </c>
      <c r="H10" s="106" t="n">
        <f aca="false">G10</f>
        <v>16808</v>
      </c>
      <c r="I10" s="106" t="n">
        <f aca="false">H10</f>
        <v>16808</v>
      </c>
      <c r="J10" s="106" t="n">
        <f aca="false">I10</f>
        <v>16808</v>
      </c>
      <c r="K10" s="106" t="n">
        <f aca="false">J10</f>
        <v>16808</v>
      </c>
      <c r="L10" s="106" t="n">
        <f aca="false">K10</f>
        <v>16808</v>
      </c>
      <c r="M10" s="106" t="n">
        <f aca="false">L10</f>
        <v>16808</v>
      </c>
      <c r="N10" s="106" t="n">
        <f aca="false">M10</f>
        <v>16808</v>
      </c>
      <c r="O10" s="106" t="n">
        <f aca="false">N10</f>
        <v>16808</v>
      </c>
    </row>
    <row r="11" customFormat="false" ht="15" hidden="false" customHeight="true" outlineLevel="0" collapsed="false">
      <c r="A11" s="65" t="s">
        <v>446</v>
      </c>
      <c r="B11" s="104" t="n">
        <v>4599.704</v>
      </c>
      <c r="C11" s="104" t="n">
        <v>5250.482</v>
      </c>
      <c r="D11" s="104" t="n">
        <v>4817.368</v>
      </c>
      <c r="E11" s="104" t="n">
        <v>4575.5</v>
      </c>
      <c r="F11" s="95" t="n">
        <f aca="false">Financial_Assumptions!B$33*Profit_Loss!J11/365</f>
        <v>5155.05616164384</v>
      </c>
      <c r="G11" s="95" t="n">
        <f aca="false">Financial_Assumptions!C$33*Profit_Loss!O11/365</f>
        <v>5652.04160387062</v>
      </c>
      <c r="H11" s="95" t="n">
        <f aca="false">Financial_Assumptions!D$33*Profit_Loss!P11/365</f>
        <v>6126.18469599042</v>
      </c>
      <c r="I11" s="95" t="n">
        <f aca="false">Financial_Assumptions!E$33*Profit_Loss!Q11/365</f>
        <v>6571.76780286871</v>
      </c>
      <c r="J11" s="95" t="n">
        <f aca="false">Financial_Assumptions!F$33*Profit_Loss!R11/365</f>
        <v>7103.02909601751</v>
      </c>
      <c r="K11" s="95" t="n">
        <f aca="false">Financial_Assumptions!G$33*Profit_Loss!S11/365</f>
        <v>7573.087976067</v>
      </c>
      <c r="L11" s="95" t="n">
        <f aca="false">Financial_Assumptions!H$33*Profit_Loss!T11/365</f>
        <v>8024.76808544349</v>
      </c>
      <c r="M11" s="95" t="n">
        <f aca="false">Financial_Assumptions!I$33*Profit_Loss!U11/365</f>
        <v>8442.63073789315</v>
      </c>
      <c r="N11" s="95" t="n">
        <f aca="false">Financial_Assumptions!J$33*Profit_Loss!V11/365</f>
        <v>8850.91699617054</v>
      </c>
      <c r="O11" s="95" t="n">
        <f aca="false">Financial_Assumptions!K$33*Profit_Loss!W11/365</f>
        <v>9267.40796779999</v>
      </c>
    </row>
    <row r="12" customFormat="false" ht="15" hidden="false" customHeight="true" outlineLevel="0" collapsed="false">
      <c r="A12" s="65" t="s">
        <v>447</v>
      </c>
      <c r="B12" s="104" t="n">
        <v>1923.75</v>
      </c>
      <c r="C12" s="104" t="n">
        <v>2220.571</v>
      </c>
      <c r="D12" s="104" t="n">
        <v>2925.491</v>
      </c>
      <c r="E12" s="104" t="n">
        <v>2731.1</v>
      </c>
      <c r="F12" s="95" t="n">
        <f aca="false">Financial_Assumptions!B$34*Profit_Loss!J8/365</f>
        <v>3207.0625890411</v>
      </c>
      <c r="G12" s="95" t="n">
        <f aca="false">Financial_Assumptions!C$34*Profit_Loss!O8/365</f>
        <v>3518.41568949772</v>
      </c>
      <c r="H12" s="95" t="n">
        <f aca="false">Financial_Assumptions!D$34*Profit_Loss!P8/365</f>
        <v>3815.66356106964</v>
      </c>
      <c r="I12" s="95" t="n">
        <f aca="false">Financial_Assumptions!E$34*Profit_Loss!Q8/365</f>
        <v>4095.1481850874</v>
      </c>
      <c r="J12" s="95" t="n">
        <f aca="false">Financial_Assumptions!F$34*Profit_Loss!R8/365</f>
        <v>4418.48850819797</v>
      </c>
      <c r="K12" s="95" t="n">
        <f aca="false">Financial_Assumptions!G$34*Profit_Loss!S8/365</f>
        <v>4702.54221003709</v>
      </c>
      <c r="L12" s="95" t="n">
        <f aca="false">Financial_Assumptions!H$34*Profit_Loss!T8/365</f>
        <v>4974.02980502696</v>
      </c>
      <c r="M12" s="95" t="n">
        <f aca="false">Financial_Assumptions!I$34*Profit_Loss!U8/365</f>
        <v>5223.43618252569</v>
      </c>
      <c r="N12" s="95" t="n">
        <f aca="false">Financial_Assumptions!J$34*Profit_Loss!V8/365</f>
        <v>5465.82300813746</v>
      </c>
      <c r="O12" s="95" t="n">
        <f aca="false">Financial_Assumptions!K$34*Profit_Loss!W8/365</f>
        <v>5712.15974346647</v>
      </c>
    </row>
    <row r="13" customFormat="false" ht="15" hidden="false" customHeight="true" outlineLevel="0" collapsed="false">
      <c r="A13" s="65" t="s">
        <v>448</v>
      </c>
      <c r="B13" s="104" t="n">
        <v>349.409</v>
      </c>
      <c r="C13" s="104" t="n">
        <v>641.712</v>
      </c>
      <c r="D13" s="104" t="n">
        <v>5388.477</v>
      </c>
      <c r="E13" s="104" t="n">
        <v>11020.5</v>
      </c>
      <c r="F13" s="95" t="n">
        <f aca="false">Cash_Flow!F28</f>
        <v>13151.1324623256</v>
      </c>
      <c r="G13" s="95" t="n">
        <f aca="false">Cash_Flow!G28</f>
        <v>15380.4225087827</v>
      </c>
      <c r="H13" s="95" t="n">
        <f aca="false">Cash_Flow!H28</f>
        <v>17778.6001107337</v>
      </c>
      <c r="I13" s="95" t="n">
        <f aca="false">Cash_Flow!I28</f>
        <v>20367.7353598333</v>
      </c>
      <c r="J13" s="95" t="n">
        <f aca="false">Cash_Flow!J28</f>
        <v>23175.8982350206</v>
      </c>
      <c r="K13" s="95" t="n">
        <f aca="false">Cash_Flow!K28</f>
        <v>26067.0520951963</v>
      </c>
      <c r="L13" s="95" t="n">
        <f aca="false">Cash_Flow!L28</f>
        <v>29134.2650823397</v>
      </c>
      <c r="M13" s="95" t="n">
        <f aca="false">Cash_Flow!M28</f>
        <v>32358.1775442446</v>
      </c>
      <c r="N13" s="95" t="n">
        <f aca="false">Cash_Flow!N28</f>
        <v>35796.8377684541</v>
      </c>
      <c r="O13" s="95" t="n">
        <f aca="false">Cash_Flow!O28</f>
        <v>39500.3714178789</v>
      </c>
    </row>
    <row r="14" customFormat="false" ht="15" hidden="false" customHeight="true" outlineLevel="0" collapsed="false">
      <c r="A14" s="65" t="s">
        <v>449</v>
      </c>
      <c r="B14" s="104" t="n">
        <v>5797.508</v>
      </c>
      <c r="C14" s="104" t="n">
        <v>5978.672</v>
      </c>
      <c r="D14" s="104" t="n">
        <v>5140.434</v>
      </c>
      <c r="E14" s="104" t="n">
        <v>4967</v>
      </c>
      <c r="F14" s="95" t="n">
        <f aca="false">Financial_Assumptions!B$36*Profit_Loss!J8</f>
        <v>5636.11555</v>
      </c>
      <c r="G14" s="95" t="n">
        <f aca="false">Financial_Assumptions!C$36*Profit_Loss!O8</f>
        <v>6228.47537433333</v>
      </c>
      <c r="H14" s="95" t="n">
        <f aca="false">Financial_Assumptions!D$36*Profit_Loss!P8</f>
        <v>6804.92201416583</v>
      </c>
      <c r="I14" s="95" t="n">
        <f aca="false">Financial_Assumptions!E$36*Profit_Loss!Q8</f>
        <v>7358.6662772032</v>
      </c>
      <c r="J14" s="95" t="n">
        <f aca="false">Financial_Assumptions!F$36*Profit_Loss!R8</f>
        <v>7959.69324968759</v>
      </c>
      <c r="K14" s="95" t="n">
        <f aca="false">Financial_Assumptions!G$36*Profit_Loss!S8</f>
        <v>8492.97444725724</v>
      </c>
      <c r="L14" s="95" t="n">
        <f aca="false">Financial_Assumptions!H$36*Profit_Loss!T8</f>
        <v>9006.40749696499</v>
      </c>
      <c r="M14" s="95" t="n">
        <f aca="false">Financial_Assumptions!I$36*Profit_Loss!U8</f>
        <v>9482.59855398776</v>
      </c>
      <c r="N14" s="95" t="n">
        <f aca="false">Financial_Assumptions!J$36*Profit_Loss!V8</f>
        <v>9948.70281239431</v>
      </c>
      <c r="O14" s="95" t="n">
        <f aca="false">Financial_Assumptions!K$36*Profit_Loss!W8</f>
        <v>10424.6915318263</v>
      </c>
    </row>
    <row r="15" customFormat="false" ht="15" hidden="false" customHeight="true" outlineLevel="0" collapsed="false">
      <c r="A15" s="118" t="s">
        <v>450</v>
      </c>
      <c r="B15" s="108" t="n">
        <f aca="false">SUM(B9:B14)</f>
        <v>33265.848</v>
      </c>
      <c r="C15" s="108" t="n">
        <f aca="false">SUM(C9:C14)</f>
        <v>35566.175</v>
      </c>
      <c r="D15" s="108" t="n">
        <f aca="false">SUM(D9:D14)</f>
        <v>41080.655</v>
      </c>
      <c r="E15" s="108" t="n">
        <f aca="false">SUM(E9:E14)</f>
        <v>43238.7</v>
      </c>
      <c r="F15" s="110" t="n">
        <f aca="false">SUM(F9:F14)</f>
        <v>46986.9035830105</v>
      </c>
      <c r="G15" s="110" t="n">
        <f aca="false">SUM(G9:G14)</f>
        <v>50577.8808659344</v>
      </c>
      <c r="H15" s="110" t="n">
        <f aca="false">SUM(H9:H14)</f>
        <v>54335.1566283436</v>
      </c>
      <c r="I15" s="110" t="n">
        <f aca="false">SUM(I9:I14)</f>
        <v>58250.1409365289</v>
      </c>
      <c r="J15" s="110" t="n">
        <f aca="false">SUM(J9:J14)</f>
        <v>62598.2663463324</v>
      </c>
      <c r="K15" s="110" t="n">
        <f aca="false">SUM(K9:K14)</f>
        <v>66884.3909380175</v>
      </c>
      <c r="L15" s="110" t="n">
        <f aca="false">SUM(L9:L14)</f>
        <v>71311.9307646107</v>
      </c>
      <c r="M15" s="110" t="n">
        <f aca="false">SUM(M9:M14)</f>
        <v>75812.1218500284</v>
      </c>
      <c r="N15" s="110" t="n">
        <f aca="false">SUM(N9:N14)</f>
        <v>80506.0994519709</v>
      </c>
      <c r="O15" s="110" t="n">
        <f aca="false">SUM(O9:O14)</f>
        <v>85491.6192656375</v>
      </c>
    </row>
    <row r="17" customFormat="false" ht="15.75" hidden="false" customHeight="true" outlineLevel="0" collapsed="false">
      <c r="A17" s="82" t="s">
        <v>451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</row>
    <row r="18" customFormat="false" ht="15" hidden="false" customHeight="true" outlineLevel="0" collapsed="false">
      <c r="A18" s="65" t="s">
        <v>452</v>
      </c>
      <c r="B18" s="104" t="n">
        <v>1694.06</v>
      </c>
      <c r="C18" s="104" t="n">
        <v>1694.06</v>
      </c>
      <c r="D18" s="104" t="n">
        <v>1694.06</v>
      </c>
      <c r="E18" s="104" t="n">
        <v>1694.1</v>
      </c>
      <c r="F18" s="106" t="n">
        <f aca="false">E18</f>
        <v>1694.1</v>
      </c>
      <c r="G18" s="106" t="n">
        <f aca="false">F18</f>
        <v>1694.1</v>
      </c>
      <c r="H18" s="106" t="n">
        <f aca="false">G18</f>
        <v>1694.1</v>
      </c>
      <c r="I18" s="106" t="n">
        <f aca="false">H18</f>
        <v>1694.1</v>
      </c>
      <c r="J18" s="106" t="n">
        <f aca="false">I18</f>
        <v>1694.1</v>
      </c>
      <c r="K18" s="106" t="n">
        <f aca="false">J18</f>
        <v>1694.1</v>
      </c>
      <c r="L18" s="106" t="n">
        <f aca="false">K18</f>
        <v>1694.1</v>
      </c>
      <c r="M18" s="106" t="n">
        <f aca="false">L18</f>
        <v>1694.1</v>
      </c>
      <c r="N18" s="106" t="n">
        <f aca="false">M18</f>
        <v>1694.1</v>
      </c>
      <c r="O18" s="106" t="n">
        <f aca="false">N18</f>
        <v>1694.1</v>
      </c>
    </row>
    <row r="19" customFormat="false" ht="15" hidden="false" customHeight="true" outlineLevel="0" collapsed="false">
      <c r="A19" s="65" t="s">
        <v>453</v>
      </c>
      <c r="B19" s="104" t="n">
        <v>15718.67</v>
      </c>
      <c r="C19" s="104" t="n">
        <v>16082.337</v>
      </c>
      <c r="D19" s="104" t="n">
        <v>17819.047</v>
      </c>
      <c r="E19" s="104" t="n">
        <v>20980.1</v>
      </c>
      <c r="F19" s="95" t="n">
        <f aca="false">Schedules_Checks!F24</f>
        <v>21916.7649802708</v>
      </c>
      <c r="G19" s="95" t="n">
        <f aca="false">Schedules_Checks!G24</f>
        <v>23059.9099744121</v>
      </c>
      <c r="H19" s="95" t="n">
        <f aca="false">Schedules_Checks!H24</f>
        <v>24429.8306634689</v>
      </c>
      <c r="I19" s="95" t="n">
        <f aca="false">Schedules_Checks!I24</f>
        <v>26046.0364549205</v>
      </c>
      <c r="J19" s="95" t="n">
        <f aca="false">Schedules_Checks!J24</f>
        <v>27871.6582160328</v>
      </c>
      <c r="K19" s="95" t="n">
        <f aca="false">Schedules_Checks!K24</f>
        <v>29904.8772023236</v>
      </c>
      <c r="L19" s="95" t="n">
        <f aca="false">Schedules_Checks!L24</f>
        <v>32153.0229701227</v>
      </c>
      <c r="M19" s="95" t="n">
        <f aca="false">Schedules_Checks!M24</f>
        <v>34619.5162474866</v>
      </c>
      <c r="N19" s="95" t="n">
        <f aca="false">Schedules_Checks!N24</f>
        <v>37313.8697374723</v>
      </c>
      <c r="O19" s="95" t="n">
        <f aca="false">Schedules_Checks!O24</f>
        <v>40251.188374365</v>
      </c>
    </row>
    <row r="20" customFormat="false" ht="15" hidden="false" customHeight="true" outlineLevel="0" collapsed="false">
      <c r="A20" s="118" t="s">
        <v>454</v>
      </c>
      <c r="B20" s="108" t="n">
        <f aca="false">SUM(B18:B19)</f>
        <v>17412.73</v>
      </c>
      <c r="C20" s="108" t="n">
        <f aca="false">SUM(C18:C19)</f>
        <v>17776.397</v>
      </c>
      <c r="D20" s="108" t="n">
        <f aca="false">SUM(D18:D19)</f>
        <v>19513.107</v>
      </c>
      <c r="E20" s="108" t="n">
        <f aca="false">SUM(E18:E19)</f>
        <v>22674.2</v>
      </c>
      <c r="F20" s="110" t="n">
        <f aca="false">SUM(F18:F19)</f>
        <v>23610.8649802708</v>
      </c>
      <c r="G20" s="110" t="n">
        <f aca="false">SUM(G18:G19)</f>
        <v>24754.0099744121</v>
      </c>
      <c r="H20" s="110" t="n">
        <f aca="false">SUM(H18:H19)</f>
        <v>26123.9306634689</v>
      </c>
      <c r="I20" s="110" t="n">
        <f aca="false">SUM(I18:I19)</f>
        <v>27740.1364549205</v>
      </c>
      <c r="J20" s="110" t="n">
        <f aca="false">SUM(J18:J19)</f>
        <v>29565.7582160328</v>
      </c>
      <c r="K20" s="110" t="n">
        <f aca="false">SUM(K18:K19)</f>
        <v>31598.9772023236</v>
      </c>
      <c r="L20" s="110" t="n">
        <f aca="false">SUM(L18:L19)</f>
        <v>33847.1229701227</v>
      </c>
      <c r="M20" s="110" t="n">
        <f aca="false">SUM(M18:M19)</f>
        <v>36313.6162474866</v>
      </c>
      <c r="N20" s="110" t="n">
        <f aca="false">SUM(N18:N19)</f>
        <v>39007.9697374723</v>
      </c>
      <c r="O20" s="110" t="n">
        <f aca="false">SUM(O18:O19)</f>
        <v>41945.288374365</v>
      </c>
    </row>
    <row r="22" customFormat="false" ht="15" hidden="false" customHeight="true" outlineLevel="0" collapsed="false">
      <c r="A22" s="65" t="s">
        <v>455</v>
      </c>
      <c r="B22" s="104" t="n">
        <v>155.392</v>
      </c>
      <c r="C22" s="104" t="n">
        <v>186.65</v>
      </c>
      <c r="D22" s="104" t="n">
        <v>99.512</v>
      </c>
      <c r="E22" s="104" t="n">
        <v>332.7</v>
      </c>
      <c r="F22" s="95" t="n">
        <f aca="false">Financial_Assumptions!B$38</f>
        <v>332.7</v>
      </c>
      <c r="G22" s="95" t="n">
        <f aca="false">Financial_Assumptions!C$38</f>
        <v>332.7</v>
      </c>
      <c r="H22" s="95" t="n">
        <f aca="false">Financial_Assumptions!D$38</f>
        <v>332.7</v>
      </c>
      <c r="I22" s="95" t="n">
        <f aca="false">Financial_Assumptions!E$38</f>
        <v>332.7</v>
      </c>
      <c r="J22" s="95" t="n">
        <f aca="false">Financial_Assumptions!F$38</f>
        <v>332.7</v>
      </c>
      <c r="K22" s="95" t="n">
        <f aca="false">Financial_Assumptions!G$38</f>
        <v>332.7</v>
      </c>
      <c r="L22" s="95" t="n">
        <f aca="false">Financial_Assumptions!H$38</f>
        <v>332.7</v>
      </c>
      <c r="M22" s="95" t="n">
        <f aca="false">Financial_Assumptions!I$38</f>
        <v>332.7</v>
      </c>
      <c r="N22" s="95" t="n">
        <f aca="false">Financial_Assumptions!J$38</f>
        <v>332.7</v>
      </c>
      <c r="O22" s="95" t="n">
        <f aca="false">Financial_Assumptions!K$38</f>
        <v>332.7</v>
      </c>
    </row>
    <row r="23" customFormat="false" ht="15" hidden="false" customHeight="true" outlineLevel="0" collapsed="false">
      <c r="A23" s="65" t="s">
        <v>456</v>
      </c>
      <c r="B23" s="104" t="n">
        <v>4277.887</v>
      </c>
      <c r="C23" s="104" t="n">
        <v>6254.097</v>
      </c>
      <c r="D23" s="104" t="n">
        <v>7082.486</v>
      </c>
      <c r="E23" s="104" t="n">
        <v>5702.2</v>
      </c>
      <c r="F23" s="95" t="n">
        <f aca="false">Financial_Assumptions!B$35*Profit_Loss!J11/365</f>
        <v>6568.53930273973</v>
      </c>
      <c r="G23" s="95" t="n">
        <f aca="false">Financial_Assumptions!C$35*Profit_Loss!O11/365</f>
        <v>7271.27514443896</v>
      </c>
      <c r="H23" s="95" t="n">
        <f aca="false">Financial_Assumptions!D$35*Profit_Loss!P11/365</f>
        <v>7957.38120837886</v>
      </c>
      <c r="I23" s="95" t="n">
        <f aca="false">Financial_Assumptions!E$35*Profit_Loss!Q11/365</f>
        <v>8618.71187261471</v>
      </c>
      <c r="J23" s="95" t="n">
        <f aca="false">Financial_Assumptions!F$35*Profit_Loss!R11/365</f>
        <v>9340.96977010522</v>
      </c>
      <c r="K23" s="95" t="n">
        <f aca="false">Financial_Assumptions!G$35*Profit_Loss!S11/365</f>
        <v>9986.48963876967</v>
      </c>
      <c r="L23" s="95" t="n">
        <f aca="false">Financial_Assumptions!H$35*Profit_Loss!T11/365</f>
        <v>10611.2635840575</v>
      </c>
      <c r="M23" s="95" t="n">
        <f aca="false">Financial_Assumptions!I$35*Profit_Loss!U11/365</f>
        <v>11194.648492234</v>
      </c>
      <c r="N23" s="95" t="n">
        <f aca="false">Financial_Assumptions!J$35*Profit_Loss!V11/365</f>
        <v>11768.5322940772</v>
      </c>
      <c r="O23" s="95" t="n">
        <f aca="false">Financial_Assumptions!K$35*Profit_Loss!W11/365</f>
        <v>12356.5439570667</v>
      </c>
    </row>
    <row r="24" customFormat="false" ht="15" hidden="false" customHeight="true" outlineLevel="0" collapsed="false">
      <c r="A24" s="65" t="s">
        <v>457</v>
      </c>
      <c r="B24" s="104" t="n">
        <v>11419.839</v>
      </c>
      <c r="C24" s="104" t="n">
        <v>11349.031</v>
      </c>
      <c r="D24" s="104" t="n">
        <v>14385.55</v>
      </c>
      <c r="E24" s="104" t="n">
        <v>14529.6</v>
      </c>
      <c r="F24" s="95" t="n">
        <f aca="false">Financial_Assumptions!B$37*Profit_Loss!J8</f>
        <v>16474.7993</v>
      </c>
      <c r="G24" s="95" t="n">
        <f aca="false">Financial_Assumptions!C$37*Profit_Loss!O8</f>
        <v>18219.8957470833</v>
      </c>
      <c r="H24" s="95" t="n">
        <f aca="false">Financial_Assumptions!D$37*Profit_Loss!P8</f>
        <v>19921.1447564958</v>
      </c>
      <c r="I24" s="95" t="n">
        <f aca="false">Financial_Assumptions!E$37*Profit_Loss!Q8</f>
        <v>21558.5926089938</v>
      </c>
      <c r="J24" s="95" t="n">
        <f aca="false">Financial_Assumptions!F$37*Profit_Loss!R8</f>
        <v>23358.8383601943</v>
      </c>
      <c r="K24" s="95" t="n">
        <f aca="false">Financial_Assumptions!G$37*Profit_Loss!S8</f>
        <v>24966.2240969242</v>
      </c>
      <c r="L24" s="95" t="n">
        <f aca="false">Financial_Assumptions!H$37*Profit_Loss!T8</f>
        <v>26520.8442104305</v>
      </c>
      <c r="M24" s="95" t="n">
        <f aca="false">Financial_Assumptions!I$37*Profit_Loss!U8</f>
        <v>27971.1571103078</v>
      </c>
      <c r="N24" s="95" t="n">
        <f aca="false">Financial_Assumptions!J$37*Profit_Loss!V8</f>
        <v>29396.8974204214</v>
      </c>
      <c r="O24" s="95" t="n">
        <f aca="false">Financial_Assumptions!K$37*Profit_Loss!W8</f>
        <v>30857.0869342059</v>
      </c>
    </row>
    <row r="25" customFormat="false" ht="15" hidden="false" customHeight="true" outlineLevel="0" collapsed="false">
      <c r="A25" s="118" t="s">
        <v>458</v>
      </c>
      <c r="B25" s="108" t="n">
        <f aca="false">SUM(B22:B24)</f>
        <v>15853.118</v>
      </c>
      <c r="C25" s="108" t="n">
        <f aca="false">SUM(C22:C24)</f>
        <v>17789.778</v>
      </c>
      <c r="D25" s="108" t="n">
        <f aca="false">SUM(D22:D24)</f>
        <v>21567.548</v>
      </c>
      <c r="E25" s="108" t="n">
        <f aca="false">SUM(E22:E24)</f>
        <v>20564.5</v>
      </c>
      <c r="F25" s="110" t="n">
        <f aca="false">SUM(F22:F24)</f>
        <v>23376.0386027397</v>
      </c>
      <c r="G25" s="110" t="n">
        <f aca="false">SUM(G22:G24)</f>
        <v>25823.8708915223</v>
      </c>
      <c r="H25" s="110" t="n">
        <f aca="false">SUM(H22:H24)</f>
        <v>28211.2259648747</v>
      </c>
      <c r="I25" s="110" t="n">
        <f aca="false">SUM(I22:I24)</f>
        <v>30510.0044816085</v>
      </c>
      <c r="J25" s="110" t="n">
        <f aca="false">SUM(J22:J24)</f>
        <v>33032.5081302995</v>
      </c>
      <c r="K25" s="110" t="n">
        <f aca="false">SUM(K22:K24)</f>
        <v>35285.4137356938</v>
      </c>
      <c r="L25" s="110" t="n">
        <f aca="false">SUM(L22:L24)</f>
        <v>37464.807794488</v>
      </c>
      <c r="M25" s="110" t="n">
        <f aca="false">SUM(M22:M24)</f>
        <v>39498.5056025418</v>
      </c>
      <c r="N25" s="110" t="n">
        <f aca="false">SUM(N22:N24)</f>
        <v>41498.1297144986</v>
      </c>
      <c r="O25" s="110" t="n">
        <f aca="false">SUM(O22:O24)</f>
        <v>43546.3308912725</v>
      </c>
    </row>
    <row r="26" customFormat="false" ht="15" hidden="false" customHeight="true" outlineLevel="0" collapsed="false">
      <c r="A26" s="118" t="s">
        <v>459</v>
      </c>
      <c r="B26" s="108" t="n">
        <f aca="false">B20+B25</f>
        <v>33265.848</v>
      </c>
      <c r="C26" s="108" t="n">
        <f aca="false">C20+C25</f>
        <v>35566.175</v>
      </c>
      <c r="D26" s="108" t="n">
        <f aca="false">D20+D25</f>
        <v>41080.655</v>
      </c>
      <c r="E26" s="108" t="n">
        <f aca="false">E20+E25</f>
        <v>43238.7</v>
      </c>
      <c r="F26" s="110" t="n">
        <f aca="false">F20+F25</f>
        <v>46986.9035830105</v>
      </c>
      <c r="G26" s="110" t="n">
        <f aca="false">G20+G25</f>
        <v>50577.8808659344</v>
      </c>
      <c r="H26" s="110" t="n">
        <f aca="false">H20+H25</f>
        <v>54335.1566283436</v>
      </c>
      <c r="I26" s="110" t="n">
        <f aca="false">I20+I25</f>
        <v>58250.1409365289</v>
      </c>
      <c r="J26" s="110" t="n">
        <f aca="false">J20+J25</f>
        <v>62598.2663463324</v>
      </c>
      <c r="K26" s="110" t="n">
        <f aca="false">K20+K25</f>
        <v>66884.3909380175</v>
      </c>
      <c r="L26" s="110" t="n">
        <f aca="false">L20+L25</f>
        <v>71311.9307646107</v>
      </c>
      <c r="M26" s="110" t="n">
        <f aca="false">M20+M25</f>
        <v>75812.1218500285</v>
      </c>
      <c r="N26" s="110" t="n">
        <f aca="false">N20+N25</f>
        <v>80506.0994519709</v>
      </c>
      <c r="O26" s="110" t="n">
        <f aca="false">O20+O25</f>
        <v>85491.6192656375</v>
      </c>
    </row>
    <row r="28" customFormat="false" ht="15" hidden="false" customHeight="true" outlineLevel="0" collapsed="false">
      <c r="A28" s="118" t="s">
        <v>460</v>
      </c>
      <c r="B28" s="119" t="n">
        <f aca="false">ROUND(B15-B26,6)</f>
        <v>0</v>
      </c>
      <c r="C28" s="119" t="n">
        <f aca="false">ROUND(C15-C26,6)</f>
        <v>0</v>
      </c>
      <c r="D28" s="119" t="n">
        <f aca="false">ROUND(D15-D26,6)</f>
        <v>0</v>
      </c>
      <c r="E28" s="119" t="n">
        <f aca="false">ROUND(E15-E26,6)</f>
        <v>0</v>
      </c>
      <c r="F28" s="120" t="n">
        <f aca="false">ROUND(F15-F26,6)</f>
        <v>0</v>
      </c>
      <c r="G28" s="120" t="n">
        <f aca="false">ROUND(G15-G26,6)</f>
        <v>0</v>
      </c>
      <c r="H28" s="120" t="n">
        <f aca="false">ROUND(H15-H26,6)</f>
        <v>0</v>
      </c>
      <c r="I28" s="120" t="n">
        <f aca="false">ROUND(I15-I26,6)</f>
        <v>0</v>
      </c>
      <c r="J28" s="120" t="n">
        <f aca="false">ROUND(J15-J26,6)</f>
        <v>0</v>
      </c>
      <c r="K28" s="120" t="n">
        <f aca="false">ROUND(K15-K26,6)</f>
        <v>0</v>
      </c>
      <c r="L28" s="120" t="n">
        <f aca="false">ROUND(L15-L26,6)</f>
        <v>0</v>
      </c>
      <c r="M28" s="120" t="n">
        <f aca="false">ROUND(M15-M26,6)</f>
        <v>0</v>
      </c>
      <c r="N28" s="120" t="n">
        <f aca="false">ROUND(N15-N26,6)</f>
        <v>0</v>
      </c>
      <c r="O28" s="120" t="n">
        <f aca="false">ROUND(O15-O26,6)</f>
        <v>0</v>
      </c>
    </row>
    <row r="29" customFormat="false" ht="15" hidden="false" customHeight="true" outlineLevel="0" collapsed="false">
      <c r="A29" s="79" t="s">
        <v>461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</row>
  </sheetData>
  <mergeCells count="6">
    <mergeCell ref="A1:O1"/>
    <mergeCell ref="A2:O2"/>
    <mergeCell ref="A4:O4"/>
    <mergeCell ref="A8:O8"/>
    <mergeCell ref="A17:O17"/>
    <mergeCell ref="A29:O29"/>
  </mergeCells>
  <conditionalFormatting sqref="B28:O28">
    <cfRule type="cellIs" priority="2" operator="not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9"/>
    <col collapsed="false" customWidth="true" hidden="false" outlineLevel="0" max="15" min="2" style="1" width="12.5"/>
  </cols>
  <sheetData>
    <row r="1" customFormat="false" ht="18" hidden="false" customHeight="true" outlineLevel="0" collapsed="false">
      <c r="A1" s="80" t="s">
        <v>462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customFormat="false" ht="15" hidden="false" customHeight="true" outlineLevel="0" collapsed="false">
      <c r="A2" s="81" t="s">
        <v>463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4" customFormat="false" ht="15.75" hidden="false" customHeight="true" outlineLevel="0" collapsed="false">
      <c r="A4" s="82" t="s">
        <v>464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customFormat="false" ht="15.75" hidden="false" customHeight="true" outlineLevel="0" collapsed="false">
      <c r="A5" s="65" t="s">
        <v>442</v>
      </c>
      <c r="B5" s="83" t="s">
        <v>16</v>
      </c>
      <c r="C5" s="83" t="s">
        <v>17</v>
      </c>
      <c r="D5" s="83" t="s">
        <v>18</v>
      </c>
      <c r="E5" s="83" t="s">
        <v>19</v>
      </c>
      <c r="F5" s="85" t="s">
        <v>24</v>
      </c>
      <c r="G5" s="85" t="s">
        <v>29</v>
      </c>
      <c r="H5" s="85" t="s">
        <v>30</v>
      </c>
      <c r="I5" s="85" t="s">
        <v>31</v>
      </c>
      <c r="J5" s="85" t="s">
        <v>32</v>
      </c>
      <c r="K5" s="85" t="s">
        <v>33</v>
      </c>
      <c r="L5" s="85" t="s">
        <v>34</v>
      </c>
      <c r="M5" s="85" t="s">
        <v>35</v>
      </c>
      <c r="N5" s="85" t="s">
        <v>36</v>
      </c>
      <c r="O5" s="85" t="s">
        <v>37</v>
      </c>
    </row>
    <row r="6" customFormat="false" ht="13.5" hidden="false" customHeight="true" outlineLevel="0" collapsed="false">
      <c r="A6" s="65" t="s">
        <v>410</v>
      </c>
      <c r="B6" s="87" t="s">
        <v>411</v>
      </c>
      <c r="C6" s="87" t="s">
        <v>411</v>
      </c>
      <c r="D6" s="87" t="s">
        <v>411</v>
      </c>
      <c r="E6" s="87" t="s">
        <v>411</v>
      </c>
      <c r="F6" s="89" t="s">
        <v>413</v>
      </c>
      <c r="G6" s="89" t="s">
        <v>413</v>
      </c>
      <c r="H6" s="89" t="s">
        <v>413</v>
      </c>
      <c r="I6" s="89" t="s">
        <v>413</v>
      </c>
      <c r="J6" s="89" t="s">
        <v>413</v>
      </c>
      <c r="K6" s="89" t="s">
        <v>413</v>
      </c>
      <c r="L6" s="89" t="s">
        <v>413</v>
      </c>
      <c r="M6" s="89" t="s">
        <v>413</v>
      </c>
      <c r="N6" s="89" t="s">
        <v>413</v>
      </c>
      <c r="O6" s="89" t="s">
        <v>413</v>
      </c>
    </row>
    <row r="8" customFormat="false" ht="15" hidden="false" customHeight="true" outlineLevel="0" collapsed="false">
      <c r="A8" s="65" t="s">
        <v>432</v>
      </c>
      <c r="B8" s="93" t="n">
        <f aca="false">Profit_Loss!B32</f>
        <v>6076.392</v>
      </c>
      <c r="C8" s="93" t="n">
        <f aca="false">Profit_Loss!C32</f>
        <v>5899.648</v>
      </c>
      <c r="D8" s="93" t="n">
        <f aca="false">Profit_Loss!D32</f>
        <v>9275.825</v>
      </c>
      <c r="E8" s="93" t="n">
        <f aca="false">Profit_Loss!E32</f>
        <v>10359.8</v>
      </c>
      <c r="F8" s="95" t="n">
        <f aca="false">Profit_Loss!J32</f>
        <v>11708.312253385</v>
      </c>
      <c r="G8" s="95" t="n">
        <f aca="false">Profit_Loss!O32</f>
        <v>13190.1345477838</v>
      </c>
      <c r="H8" s="95" t="n">
        <f aca="false">Profit_Loss!P32</f>
        <v>14677.7216684657</v>
      </c>
      <c r="I8" s="95" t="n">
        <f aca="false">Profit_Loss!Q32</f>
        <v>16162.057914516</v>
      </c>
      <c r="J8" s="95" t="n">
        <f aca="false">Profit_Loss!R32</f>
        <v>17667.3073656037</v>
      </c>
      <c r="K8" s="95" t="n">
        <f aca="false">Profit_Loss!S32</f>
        <v>19061.4279964763</v>
      </c>
      <c r="L8" s="95" t="n">
        <f aca="false">Profit_Loss!T32</f>
        <v>20437.6887981734</v>
      </c>
      <c r="M8" s="95" t="n">
        <f aca="false">Profit_Loss!U32</f>
        <v>21763.1759767406</v>
      </c>
      <c r="N8" s="95" t="n">
        <f aca="false">Profit_Loss!V32</f>
        <v>23094.4584855913</v>
      </c>
      <c r="O8" s="95" t="n">
        <f aca="false">Profit_Loss!W32</f>
        <v>24477.6553074391</v>
      </c>
    </row>
    <row r="9" customFormat="false" ht="15" hidden="false" customHeight="true" outlineLevel="0" collapsed="false">
      <c r="A9" s="65" t="s">
        <v>465</v>
      </c>
      <c r="B9" s="93" t="n">
        <f aca="false">Profit_Loss!B20</f>
        <v>657.672</v>
      </c>
      <c r="C9" s="93" t="n">
        <f aca="false">Profit_Loss!C20</f>
        <v>696.796</v>
      </c>
      <c r="D9" s="93" t="n">
        <f aca="false">Profit_Loss!D20</f>
        <v>667.925</v>
      </c>
      <c r="E9" s="93" t="n">
        <f aca="false">Profit_Loss!E20</f>
        <v>664.4</v>
      </c>
      <c r="F9" s="95" t="n">
        <f aca="false">Profit_Loss!J20</f>
        <v>627.32</v>
      </c>
      <c r="G9" s="95" t="n">
        <f aca="false">Profit_Loss!O20</f>
        <v>600.858135966667</v>
      </c>
      <c r="H9" s="95" t="n">
        <f aca="false">Profit_Loss!P20</f>
        <v>588.136718925167</v>
      </c>
      <c r="I9" s="95" t="n">
        <f aca="false">Profit_Loss!Q20</f>
        <v>585.34831804488</v>
      </c>
      <c r="J9" s="95" t="n">
        <f aca="false">Profit_Loss!R20</f>
        <v>591.979859656626</v>
      </c>
      <c r="K9" s="95" t="n">
        <f aca="false">Profit_Loss!S20</f>
        <v>605.74373643234</v>
      </c>
      <c r="L9" s="95" t="n">
        <f aca="false">Profit_Loss!T20</f>
        <v>623.841335321024</v>
      </c>
      <c r="M9" s="95" t="n">
        <f aca="false">Profit_Loss!U20</f>
        <v>644.854889843478</v>
      </c>
      <c r="N9" s="95" t="n">
        <f aca="false">Profit_Loss!V20</f>
        <v>667.397376987835</v>
      </c>
      <c r="O9" s="95" t="n">
        <f aca="false">Profit_Loss!W20</f>
        <v>690.805584694756</v>
      </c>
    </row>
    <row r="10" customFormat="false" ht="15" hidden="false" customHeight="true" outlineLevel="0" collapsed="false">
      <c r="A10" s="65" t="s">
        <v>466</v>
      </c>
      <c r="B10" s="104" t="n">
        <v>0</v>
      </c>
      <c r="C10" s="93" t="n">
        <f aca="false">Balance_Sheet!B11-Balance_Sheet!C11</f>
        <v>-650.778</v>
      </c>
      <c r="D10" s="93" t="n">
        <f aca="false">Balance_Sheet!C11-Balance_Sheet!D11</f>
        <v>433.114</v>
      </c>
      <c r="E10" s="93" t="n">
        <f aca="false">Balance_Sheet!D11-Balance_Sheet!E11</f>
        <v>241.868</v>
      </c>
      <c r="F10" s="95" t="n">
        <f aca="false">Balance_Sheet!E11-Balance_Sheet!F11</f>
        <v>-579.556161643835</v>
      </c>
      <c r="G10" s="95" t="n">
        <f aca="false">Balance_Sheet!F11-Balance_Sheet!G11</f>
        <v>-496.985442226787</v>
      </c>
      <c r="H10" s="95" t="n">
        <f aca="false">Balance_Sheet!G11-Balance_Sheet!H11</f>
        <v>-474.143092119795</v>
      </c>
      <c r="I10" s="95" t="n">
        <f aca="false">Balance_Sheet!H11-Balance_Sheet!I11</f>
        <v>-445.583106878295</v>
      </c>
      <c r="J10" s="95" t="n">
        <f aca="false">Balance_Sheet!I11-Balance_Sheet!J11</f>
        <v>-531.261293148798</v>
      </c>
      <c r="K10" s="95" t="n">
        <f aca="false">Balance_Sheet!J11-Balance_Sheet!K11</f>
        <v>-470.058880049487</v>
      </c>
      <c r="L10" s="95" t="n">
        <f aca="false">Balance_Sheet!K11-Balance_Sheet!L11</f>
        <v>-451.680109376494</v>
      </c>
      <c r="M10" s="95" t="n">
        <f aca="false">Balance_Sheet!L11-Balance_Sheet!M11</f>
        <v>-417.862652449654</v>
      </c>
      <c r="N10" s="95" t="n">
        <f aca="false">Balance_Sheet!M11-Balance_Sheet!N11</f>
        <v>-408.286258277389</v>
      </c>
      <c r="O10" s="95" t="n">
        <f aca="false">Balance_Sheet!N11-Balance_Sheet!O11</f>
        <v>-416.490971629459</v>
      </c>
    </row>
    <row r="11" customFormat="false" ht="15" hidden="false" customHeight="true" outlineLevel="0" collapsed="false">
      <c r="A11" s="65" t="s">
        <v>467</v>
      </c>
      <c r="B11" s="104" t="n">
        <v>0</v>
      </c>
      <c r="C11" s="93" t="n">
        <f aca="false">Balance_Sheet!B12-Balance_Sheet!C12</f>
        <v>-296.821</v>
      </c>
      <c r="D11" s="93" t="n">
        <f aca="false">Balance_Sheet!C12-Balance_Sheet!D12</f>
        <v>-704.92</v>
      </c>
      <c r="E11" s="93" t="n">
        <f aca="false">Balance_Sheet!D12-Balance_Sheet!E12</f>
        <v>194.391</v>
      </c>
      <c r="F11" s="95" t="n">
        <f aca="false">Balance_Sheet!E12-Balance_Sheet!F12</f>
        <v>-475.962589041096</v>
      </c>
      <c r="G11" s="95" t="n">
        <f aca="false">Balance_Sheet!F12-Balance_Sheet!G12</f>
        <v>-311.353100456621</v>
      </c>
      <c r="H11" s="95" t="n">
        <f aca="false">Balance_Sheet!G12-Balance_Sheet!H12</f>
        <v>-297.247871571918</v>
      </c>
      <c r="I11" s="95" t="n">
        <f aca="false">Balance_Sheet!H12-Balance_Sheet!I12</f>
        <v>-279.484624017763</v>
      </c>
      <c r="J11" s="95" t="n">
        <f aca="false">Balance_Sheet!I12-Balance_Sheet!J12</f>
        <v>-323.340323110567</v>
      </c>
      <c r="K11" s="95" t="n">
        <f aca="false">Balance_Sheet!J12-Balance_Sheet!K12</f>
        <v>-284.053701839122</v>
      </c>
      <c r="L11" s="95" t="n">
        <f aca="false">Balance_Sheet!K12-Balance_Sheet!L12</f>
        <v>-271.487594989871</v>
      </c>
      <c r="M11" s="95" t="n">
        <f aca="false">Balance_Sheet!L12-Balance_Sheet!M12</f>
        <v>-249.406377498733</v>
      </c>
      <c r="N11" s="95" t="n">
        <f aca="false">Balance_Sheet!M12-Balance_Sheet!N12</f>
        <v>-242.386825611773</v>
      </c>
      <c r="O11" s="95" t="n">
        <f aca="false">Balance_Sheet!N12-Balance_Sheet!O12</f>
        <v>-246.336735329003</v>
      </c>
    </row>
    <row r="12" customFormat="false" ht="15" hidden="false" customHeight="true" outlineLevel="0" collapsed="false">
      <c r="A12" s="65" t="s">
        <v>468</v>
      </c>
      <c r="B12" s="104" t="n">
        <v>0</v>
      </c>
      <c r="C12" s="93" t="n">
        <f aca="false">Balance_Sheet!B14-Balance_Sheet!C14</f>
        <v>-181.164</v>
      </c>
      <c r="D12" s="93" t="n">
        <f aca="false">Balance_Sheet!C14-Balance_Sheet!D14</f>
        <v>838.237999999999</v>
      </c>
      <c r="E12" s="93" t="n">
        <f aca="false">Balance_Sheet!D14-Balance_Sheet!E14</f>
        <v>173.434</v>
      </c>
      <c r="F12" s="95" t="n">
        <f aca="false">Balance_Sheet!E14-Balance_Sheet!F14</f>
        <v>-669.11555</v>
      </c>
      <c r="G12" s="95" t="n">
        <f aca="false">Balance_Sheet!F14-Balance_Sheet!G14</f>
        <v>-592.359824333333</v>
      </c>
      <c r="H12" s="95" t="n">
        <f aca="false">Balance_Sheet!G14-Balance_Sheet!H14</f>
        <v>-576.446639832501</v>
      </c>
      <c r="I12" s="95" t="n">
        <f aca="false">Balance_Sheet!H14-Balance_Sheet!I14</f>
        <v>-553.744263037366</v>
      </c>
      <c r="J12" s="95" t="n">
        <f aca="false">Balance_Sheet!I14-Balance_Sheet!J14</f>
        <v>-601.026972484393</v>
      </c>
      <c r="K12" s="95" t="n">
        <f aca="false">Balance_Sheet!J14-Balance_Sheet!K14</f>
        <v>-533.281197569647</v>
      </c>
      <c r="L12" s="95" t="n">
        <f aca="false">Balance_Sheet!K14-Balance_Sheet!L14</f>
        <v>-513.43304970775</v>
      </c>
      <c r="M12" s="95" t="n">
        <f aca="false">Balance_Sheet!L14-Balance_Sheet!M14</f>
        <v>-476.191057022768</v>
      </c>
      <c r="N12" s="95" t="n">
        <f aca="false">Balance_Sheet!M14-Balance_Sheet!N14</f>
        <v>-466.104258406554</v>
      </c>
      <c r="O12" s="95" t="n">
        <f aca="false">Balance_Sheet!N14-Balance_Sheet!O14</f>
        <v>-475.988719431989</v>
      </c>
    </row>
    <row r="13" customFormat="false" ht="15" hidden="false" customHeight="true" outlineLevel="0" collapsed="false">
      <c r="A13" s="65" t="s">
        <v>469</v>
      </c>
      <c r="B13" s="104" t="n">
        <v>0</v>
      </c>
      <c r="C13" s="93" t="n">
        <f aca="false">Balance_Sheet!C23-Balance_Sheet!B23</f>
        <v>1976.21</v>
      </c>
      <c r="D13" s="93" t="n">
        <f aca="false">Balance_Sheet!D23-Balance_Sheet!C23</f>
        <v>828.389</v>
      </c>
      <c r="E13" s="93" t="n">
        <f aca="false">Balance_Sheet!E23-Balance_Sheet!D23</f>
        <v>-1380.286</v>
      </c>
      <c r="F13" s="95" t="n">
        <f aca="false">Balance_Sheet!F23-Balance_Sheet!E23</f>
        <v>866.339302739726</v>
      </c>
      <c r="G13" s="95" t="n">
        <f aca="false">Balance_Sheet!G23-Balance_Sheet!F23</f>
        <v>702.735841699237</v>
      </c>
      <c r="H13" s="95" t="n">
        <f aca="false">Balance_Sheet!H23-Balance_Sheet!G23</f>
        <v>686.106063939896</v>
      </c>
      <c r="I13" s="95" t="n">
        <f aca="false">Balance_Sheet!I23-Balance_Sheet!H23</f>
        <v>661.330664235847</v>
      </c>
      <c r="J13" s="95" t="n">
        <f aca="false">Balance_Sheet!J23-Balance_Sheet!I23</f>
        <v>722.257897490514</v>
      </c>
      <c r="K13" s="95" t="n">
        <f aca="false">Balance_Sheet!K23-Balance_Sheet!J23</f>
        <v>645.519868664449</v>
      </c>
      <c r="L13" s="95" t="n">
        <f aca="false">Balance_Sheet!L23-Balance_Sheet!K23</f>
        <v>624.773945287841</v>
      </c>
      <c r="M13" s="95" t="n">
        <f aca="false">Balance_Sheet!M23-Balance_Sheet!L23</f>
        <v>583.384908176497</v>
      </c>
      <c r="N13" s="95" t="n">
        <f aca="false">Balance_Sheet!N23-Balance_Sheet!M23</f>
        <v>573.88380184316</v>
      </c>
      <c r="O13" s="95" t="n">
        <f aca="false">Balance_Sheet!O23-Balance_Sheet!N23</f>
        <v>588.011662989495</v>
      </c>
    </row>
    <row r="14" customFormat="false" ht="15" hidden="false" customHeight="true" outlineLevel="0" collapsed="false">
      <c r="A14" s="65" t="s">
        <v>470</v>
      </c>
      <c r="B14" s="104" t="n">
        <v>0</v>
      </c>
      <c r="C14" s="93" t="n">
        <f aca="false">Balance_Sheet!C24-Balance_Sheet!B24</f>
        <v>-70.8079999999991</v>
      </c>
      <c r="D14" s="93" t="n">
        <f aca="false">Balance_Sheet!D24-Balance_Sheet!C24</f>
        <v>3036.519</v>
      </c>
      <c r="E14" s="93" t="n">
        <f aca="false">Balance_Sheet!E24-Balance_Sheet!D24</f>
        <v>144.050000000001</v>
      </c>
      <c r="F14" s="95" t="n">
        <f aca="false">Balance_Sheet!F24-Balance_Sheet!E24</f>
        <v>1945.1993</v>
      </c>
      <c r="G14" s="95" t="n">
        <f aca="false">Balance_Sheet!G24-Balance_Sheet!F24</f>
        <v>1745.09644708334</v>
      </c>
      <c r="H14" s="95" t="n">
        <f aca="false">Balance_Sheet!H24-Balance_Sheet!G24</f>
        <v>1701.2490094125</v>
      </c>
      <c r="I14" s="95" t="n">
        <f aca="false">Balance_Sheet!I24-Balance_Sheet!H24</f>
        <v>1637.44785249791</v>
      </c>
      <c r="J14" s="95" t="n">
        <f aca="false">Balance_Sheet!J24-Balance_Sheet!I24</f>
        <v>1800.24575120056</v>
      </c>
      <c r="K14" s="95" t="n">
        <f aca="false">Balance_Sheet!K24-Balance_Sheet!J24</f>
        <v>1607.38573672987</v>
      </c>
      <c r="L14" s="95" t="n">
        <f aca="false">Balance_Sheet!L24-Balance_Sheet!K24</f>
        <v>1554.62011350633</v>
      </c>
      <c r="M14" s="95" t="n">
        <f aca="false">Balance_Sheet!M24-Balance_Sheet!L24</f>
        <v>1450.3128998773</v>
      </c>
      <c r="N14" s="95" t="n">
        <f aca="false">Balance_Sheet!N24-Balance_Sheet!M24</f>
        <v>1425.74031011364</v>
      </c>
      <c r="O14" s="95" t="n">
        <f aca="false">Balance_Sheet!O24-Balance_Sheet!N24</f>
        <v>1460.18951378441</v>
      </c>
    </row>
    <row r="15" customFormat="false" ht="15" hidden="false" customHeight="true" outlineLevel="0" collapsed="false">
      <c r="A15" s="118" t="s">
        <v>471</v>
      </c>
      <c r="B15" s="108" t="n">
        <f aca="false">SUM(B8:B14)</f>
        <v>6734.064</v>
      </c>
      <c r="C15" s="108" t="n">
        <f aca="false">SUM(C8:C14)</f>
        <v>7373.083</v>
      </c>
      <c r="D15" s="108" t="n">
        <f aca="false">SUM(D8:D14)</f>
        <v>14375.09</v>
      </c>
      <c r="E15" s="108" t="n">
        <f aca="false">SUM(E8:E14)</f>
        <v>10397.657</v>
      </c>
      <c r="F15" s="110" t="n">
        <f aca="false">SUM(F8:F14)</f>
        <v>13422.5365554398</v>
      </c>
      <c r="G15" s="110" t="n">
        <f aca="false">SUM(G8:G14)</f>
        <v>14838.1266055163</v>
      </c>
      <c r="H15" s="110" t="n">
        <f aca="false">SUM(H8:H14)</f>
        <v>16305.3758572191</v>
      </c>
      <c r="I15" s="110" t="n">
        <f aca="false">SUM(I8:I14)</f>
        <v>17767.3727553612</v>
      </c>
      <c r="J15" s="110" t="n">
        <f aca="false">SUM(J8:J14)</f>
        <v>19326.1622852076</v>
      </c>
      <c r="K15" s="110" t="n">
        <f aca="false">SUM(K8:K14)</f>
        <v>20632.6835588447</v>
      </c>
      <c r="L15" s="110" t="n">
        <f aca="false">SUM(L8:L14)</f>
        <v>22004.3234382145</v>
      </c>
      <c r="M15" s="110" t="n">
        <f aca="false">SUM(M8:M14)</f>
        <v>23298.2685876667</v>
      </c>
      <c r="N15" s="110" t="n">
        <f aca="false">SUM(N8:N14)</f>
        <v>24644.7026322402</v>
      </c>
      <c r="O15" s="110" t="n">
        <f aca="false">SUM(O8:O14)</f>
        <v>26077.8456425173</v>
      </c>
    </row>
    <row r="17" customFormat="false" ht="15" hidden="false" customHeight="true" outlineLevel="0" collapsed="false">
      <c r="A17" s="65" t="s">
        <v>472</v>
      </c>
      <c r="B17" s="104" t="n">
        <v>-440.391</v>
      </c>
      <c r="C17" s="104" t="n">
        <v>-312.215</v>
      </c>
      <c r="D17" s="104" t="n">
        <v>-230.216</v>
      </c>
      <c r="E17" s="104" t="n">
        <v>-552.8</v>
      </c>
      <c r="F17" s="95" t="n">
        <f aca="false">-Schedules_Checks!F9</f>
        <v>-520.25682</v>
      </c>
      <c r="G17" s="95" t="n">
        <f aca="false">-Schedules_Checks!G9</f>
        <v>-561.847005416667</v>
      </c>
      <c r="H17" s="95" t="n">
        <f aca="false">-Schedules_Checks!H9</f>
        <v>-599.397275859167</v>
      </c>
      <c r="I17" s="95" t="n">
        <f aca="false">-Schedules_Checks!I9</f>
        <v>-632.38538319715</v>
      </c>
      <c r="J17" s="95" t="n">
        <f aca="false">-Schedules_Checks!J9</f>
        <v>-676.313805529011</v>
      </c>
      <c r="K17" s="95" t="n">
        <f aca="false">-Schedules_Checks!K9</f>
        <v>-713.320688483548</v>
      </c>
      <c r="L17" s="95" t="n">
        <f aca="false">-Schedules_Checks!L9</f>
        <v>-747.567420696699</v>
      </c>
      <c r="M17" s="95" t="n">
        <f aca="false">-Schedules_Checks!M9</f>
        <v>-777.67342638524</v>
      </c>
      <c r="N17" s="95" t="n">
        <f aca="false">-Schedules_Checks!N9</f>
        <v>-805.937412425037</v>
      </c>
      <c r="O17" s="95" t="n">
        <f aca="false">-Schedules_Checks!O9</f>
        <v>-833.975322546104</v>
      </c>
    </row>
    <row r="18" customFormat="false" ht="15" hidden="false" customHeight="true" outlineLevel="0" collapsed="false">
      <c r="A18" s="65" t="s">
        <v>473</v>
      </c>
      <c r="B18" s="104" t="n">
        <v>0</v>
      </c>
      <c r="C18" s="93" t="n">
        <f aca="false">-(Balance_Sheet!C10-Balance_Sheet!B10)</f>
        <v>-1029.938</v>
      </c>
      <c r="D18" s="93" t="n">
        <f aca="false">-(Balance_Sheet!D10-Balance_Sheet!C10)</f>
        <v>-1706.447</v>
      </c>
      <c r="E18" s="93" t="n">
        <f aca="false">-(Balance_Sheet!E10-Balance_Sheet!D10)</f>
        <v>3021.148</v>
      </c>
      <c r="F18" s="95" t="n">
        <f aca="false">-(Balance_Sheet!F10-Balance_Sheet!E10)</f>
        <v>-0</v>
      </c>
      <c r="G18" s="95" t="n">
        <f aca="false">-(Balance_Sheet!G10-Balance_Sheet!F10)</f>
        <v>-0</v>
      </c>
      <c r="H18" s="95" t="n">
        <f aca="false">-(Balance_Sheet!H10-Balance_Sheet!G10)</f>
        <v>-0</v>
      </c>
      <c r="I18" s="95" t="n">
        <f aca="false">-(Balance_Sheet!I10-Balance_Sheet!H10)</f>
        <v>-0</v>
      </c>
      <c r="J18" s="95" t="n">
        <f aca="false">-(Balance_Sheet!J10-Balance_Sheet!I10)</f>
        <v>-0</v>
      </c>
      <c r="K18" s="95" t="n">
        <f aca="false">-(Balance_Sheet!K10-Balance_Sheet!J10)</f>
        <v>-0</v>
      </c>
      <c r="L18" s="95" t="n">
        <f aca="false">-(Balance_Sheet!L10-Balance_Sheet!K10)</f>
        <v>-0</v>
      </c>
      <c r="M18" s="95" t="n">
        <f aca="false">-(Balance_Sheet!M10-Balance_Sheet!L10)</f>
        <v>-0</v>
      </c>
      <c r="N18" s="95" t="n">
        <f aca="false">-(Balance_Sheet!N10-Balance_Sheet!M10)</f>
        <v>-0</v>
      </c>
      <c r="O18" s="95" t="n">
        <f aca="false">-(Balance_Sheet!O10-Balance_Sheet!N10)</f>
        <v>-0</v>
      </c>
    </row>
    <row r="19" customFormat="false" ht="15" hidden="false" customHeight="true" outlineLevel="0" collapsed="false">
      <c r="A19" s="118" t="s">
        <v>474</v>
      </c>
      <c r="B19" s="108" t="n">
        <f aca="false">SUM(B17:B18)</f>
        <v>-440.391</v>
      </c>
      <c r="C19" s="108" t="n">
        <f aca="false">SUM(C17:C18)</f>
        <v>-1342.153</v>
      </c>
      <c r="D19" s="108" t="n">
        <f aca="false">SUM(D17:D18)</f>
        <v>-1936.663</v>
      </c>
      <c r="E19" s="108" t="n">
        <f aca="false">SUM(E17:E18)</f>
        <v>2468.348</v>
      </c>
      <c r="F19" s="110" t="n">
        <f aca="false">SUM(F17:F18)</f>
        <v>-520.25682</v>
      </c>
      <c r="G19" s="110" t="n">
        <f aca="false">SUM(G17:G18)</f>
        <v>-561.847005416667</v>
      </c>
      <c r="H19" s="110" t="n">
        <f aca="false">SUM(H17:H18)</f>
        <v>-599.397275859167</v>
      </c>
      <c r="I19" s="110" t="n">
        <f aca="false">SUM(I17:I18)</f>
        <v>-632.38538319715</v>
      </c>
      <c r="J19" s="110" t="n">
        <f aca="false">SUM(J17:J18)</f>
        <v>-676.313805529011</v>
      </c>
      <c r="K19" s="110" t="n">
        <f aca="false">SUM(K17:K18)</f>
        <v>-713.320688483548</v>
      </c>
      <c r="L19" s="110" t="n">
        <f aca="false">SUM(L17:L18)</f>
        <v>-747.567420696699</v>
      </c>
      <c r="M19" s="110" t="n">
        <f aca="false">SUM(M17:M18)</f>
        <v>-777.67342638524</v>
      </c>
      <c r="N19" s="110" t="n">
        <f aca="false">SUM(N17:N18)</f>
        <v>-805.937412425037</v>
      </c>
      <c r="O19" s="110" t="n">
        <f aca="false">SUM(O17:O18)</f>
        <v>-833.975322546104</v>
      </c>
    </row>
    <row r="21" customFormat="false" ht="15" hidden="false" customHeight="true" outlineLevel="0" collapsed="false">
      <c r="A21" s="65" t="s">
        <v>475</v>
      </c>
      <c r="B21" s="104" t="n">
        <v>-15254.999</v>
      </c>
      <c r="C21" s="104" t="n">
        <v>-5415.729</v>
      </c>
      <c r="D21" s="104" t="n">
        <v>-7493.8</v>
      </c>
      <c r="E21" s="104" t="n">
        <v>-7139.7</v>
      </c>
      <c r="F21" s="95" t="n">
        <f aca="false">-Schedules_Checks!F22</f>
        <v>-10771.6472731142</v>
      </c>
      <c r="G21" s="95" t="n">
        <f aca="false">-Schedules_Checks!G22</f>
        <v>-12046.9895536425</v>
      </c>
      <c r="H21" s="95" t="n">
        <f aca="false">-Schedules_Checks!H22</f>
        <v>-13307.8009794089</v>
      </c>
      <c r="I21" s="95" t="n">
        <f aca="false">-Schedules_Checks!I22</f>
        <v>-14545.8521230644</v>
      </c>
      <c r="J21" s="95" t="n">
        <f aca="false">-Schedules_Checks!J22</f>
        <v>-15841.6856044913</v>
      </c>
      <c r="K21" s="95" t="n">
        <f aca="false">-Schedules_Checks!K22</f>
        <v>-17028.2090101855</v>
      </c>
      <c r="L21" s="95" t="n">
        <f aca="false">-Schedules_Checks!L22</f>
        <v>-18189.5430303743</v>
      </c>
      <c r="M21" s="95" t="n">
        <f aca="false">-Schedules_Checks!M22</f>
        <v>-19296.6826993766</v>
      </c>
      <c r="N21" s="95" t="n">
        <f aca="false">-Schedules_Checks!N22</f>
        <v>-20400.1049956056</v>
      </c>
      <c r="O21" s="95" t="n">
        <f aca="false">-Schedules_Checks!O22</f>
        <v>-21540.3366705464</v>
      </c>
    </row>
    <row r="22" customFormat="false" ht="15" hidden="false" customHeight="true" outlineLevel="0" collapsed="false">
      <c r="A22" s="65" t="s">
        <v>476</v>
      </c>
      <c r="B22" s="104" t="n">
        <v>0</v>
      </c>
      <c r="C22" s="93" t="n">
        <f aca="false">Balance_Sheet!C22-Balance_Sheet!B22</f>
        <v>31.258</v>
      </c>
      <c r="D22" s="93" t="n">
        <f aca="false">Balance_Sheet!D22-Balance_Sheet!C22</f>
        <v>-87.138</v>
      </c>
      <c r="E22" s="93" t="n">
        <f aca="false">Balance_Sheet!E22-Balance_Sheet!D22</f>
        <v>233.188</v>
      </c>
      <c r="F22" s="95" t="n">
        <f aca="false">Balance_Sheet!F22-Balance_Sheet!E22</f>
        <v>0</v>
      </c>
      <c r="G22" s="95" t="n">
        <f aca="false">Balance_Sheet!G22-Balance_Sheet!F22</f>
        <v>0</v>
      </c>
      <c r="H22" s="95" t="n">
        <f aca="false">Balance_Sheet!H22-Balance_Sheet!G22</f>
        <v>0</v>
      </c>
      <c r="I22" s="95" t="n">
        <f aca="false">Balance_Sheet!I22-Balance_Sheet!H22</f>
        <v>0</v>
      </c>
      <c r="J22" s="95" t="n">
        <f aca="false">Balance_Sheet!J22-Balance_Sheet!I22</f>
        <v>0</v>
      </c>
      <c r="K22" s="95" t="n">
        <f aca="false">Balance_Sheet!K22-Balance_Sheet!J22</f>
        <v>0</v>
      </c>
      <c r="L22" s="95" t="n">
        <f aca="false">Balance_Sheet!L22-Balance_Sheet!K22</f>
        <v>0</v>
      </c>
      <c r="M22" s="95" t="n">
        <f aca="false">Balance_Sheet!M22-Balance_Sheet!L22</f>
        <v>0</v>
      </c>
      <c r="N22" s="95" t="n">
        <f aca="false">Balance_Sheet!N22-Balance_Sheet!M22</f>
        <v>0</v>
      </c>
      <c r="O22" s="95" t="n">
        <f aca="false">Balance_Sheet!O22-Balance_Sheet!N22</f>
        <v>0</v>
      </c>
    </row>
    <row r="23" customFormat="false" ht="15" hidden="false" customHeight="true" outlineLevel="0" collapsed="false">
      <c r="A23" s="65" t="s">
        <v>477</v>
      </c>
      <c r="B23" s="104" t="n">
        <v>6448.864</v>
      </c>
      <c r="C23" s="104" t="n">
        <v>-354.155999999996</v>
      </c>
      <c r="D23" s="104" t="n">
        <v>-110.723999999993</v>
      </c>
      <c r="E23" s="104" t="n">
        <v>-327.470000000001</v>
      </c>
      <c r="F23" s="106" t="n">
        <f aca="false">0</f>
        <v>0</v>
      </c>
      <c r="G23" s="106" t="n">
        <f aca="false">0</f>
        <v>0</v>
      </c>
      <c r="H23" s="106" t="n">
        <f aca="false">0</f>
        <v>0</v>
      </c>
      <c r="I23" s="106" t="n">
        <f aca="false">0</f>
        <v>0</v>
      </c>
      <c r="J23" s="106" t="n">
        <f aca="false">0</f>
        <v>0</v>
      </c>
      <c r="K23" s="106" t="n">
        <f aca="false">0</f>
        <v>0</v>
      </c>
      <c r="L23" s="106" t="n">
        <f aca="false">0</f>
        <v>0</v>
      </c>
      <c r="M23" s="106" t="n">
        <f aca="false">0</f>
        <v>0</v>
      </c>
      <c r="N23" s="106" t="n">
        <f aca="false">0</f>
        <v>0</v>
      </c>
      <c r="O23" s="106" t="n">
        <f aca="false">0</f>
        <v>0</v>
      </c>
    </row>
    <row r="24" customFormat="false" ht="15" hidden="false" customHeight="true" outlineLevel="0" collapsed="false">
      <c r="A24" s="118" t="s">
        <v>478</v>
      </c>
      <c r="B24" s="108" t="n">
        <f aca="false">SUM(B21:B23)</f>
        <v>-8806.135</v>
      </c>
      <c r="C24" s="108" t="n">
        <f aca="false">SUM(C21:C23)</f>
        <v>-5738.627</v>
      </c>
      <c r="D24" s="108" t="n">
        <f aca="false">SUM(D21:D23)</f>
        <v>-7691.66199999999</v>
      </c>
      <c r="E24" s="108" t="n">
        <f aca="false">SUM(E21:E23)</f>
        <v>-7233.982</v>
      </c>
      <c r="F24" s="110" t="n">
        <f aca="false">SUM(F21:F23)</f>
        <v>-10771.6472731142</v>
      </c>
      <c r="G24" s="110" t="n">
        <f aca="false">SUM(G21:G23)</f>
        <v>-12046.9895536425</v>
      </c>
      <c r="H24" s="110" t="n">
        <f aca="false">SUM(H21:H23)</f>
        <v>-13307.8009794089</v>
      </c>
      <c r="I24" s="110" t="n">
        <f aca="false">SUM(I21:I23)</f>
        <v>-14545.8521230644</v>
      </c>
      <c r="J24" s="110" t="n">
        <f aca="false">SUM(J21:J23)</f>
        <v>-15841.6856044913</v>
      </c>
      <c r="K24" s="110" t="n">
        <f aca="false">SUM(K21:K23)</f>
        <v>-17028.2090101855</v>
      </c>
      <c r="L24" s="110" t="n">
        <f aca="false">SUM(L21:L23)</f>
        <v>-18189.5430303743</v>
      </c>
      <c r="M24" s="110" t="n">
        <f aca="false">SUM(M21:M23)</f>
        <v>-19296.6826993766</v>
      </c>
      <c r="N24" s="110" t="n">
        <f aca="false">SUM(N21:N23)</f>
        <v>-20400.1049956056</v>
      </c>
      <c r="O24" s="110" t="n">
        <f aca="false">SUM(O21:O23)</f>
        <v>-21540.3366705464</v>
      </c>
    </row>
    <row r="26" customFormat="false" ht="15" hidden="false" customHeight="true" outlineLevel="0" collapsed="false">
      <c r="A26" s="118" t="s">
        <v>479</v>
      </c>
      <c r="B26" s="108" t="n">
        <f aca="false">B15+B19+B24</f>
        <v>-2512.462</v>
      </c>
      <c r="C26" s="108" t="n">
        <f aca="false">C15+C19+C24</f>
        <v>292.303</v>
      </c>
      <c r="D26" s="108" t="n">
        <f aca="false">D15+D19+D24</f>
        <v>4746.765</v>
      </c>
      <c r="E26" s="108" t="n">
        <f aca="false">E15+E19+E24</f>
        <v>5632.023</v>
      </c>
      <c r="F26" s="110" t="n">
        <f aca="false">F15+F19+F24</f>
        <v>2130.63246232559</v>
      </c>
      <c r="G26" s="110" t="n">
        <f aca="false">G15+G19+G24</f>
        <v>2229.29004645709</v>
      </c>
      <c r="H26" s="110" t="n">
        <f aca="false">H15+H19+H24</f>
        <v>2398.17760195098</v>
      </c>
      <c r="I26" s="110" t="n">
        <f aca="false">I15+I19+I24</f>
        <v>2589.13524909966</v>
      </c>
      <c r="J26" s="110" t="n">
        <f aca="false">J15+J19+J24</f>
        <v>2808.16287518731</v>
      </c>
      <c r="K26" s="110" t="n">
        <f aca="false">K15+K19+K24</f>
        <v>2891.15386017565</v>
      </c>
      <c r="L26" s="110" t="n">
        <f aca="false">L15+L19+L24</f>
        <v>3067.21298714346</v>
      </c>
      <c r="M26" s="110" t="n">
        <f aca="false">M15+M19+M24</f>
        <v>3223.91246190481</v>
      </c>
      <c r="N26" s="110" t="n">
        <f aca="false">N15+N19+N24</f>
        <v>3438.66022420952</v>
      </c>
      <c r="O26" s="110" t="n">
        <f aca="false">O15+O19+O24</f>
        <v>3703.5336494248</v>
      </c>
    </row>
    <row r="27" customFormat="false" ht="15" hidden="false" customHeight="true" outlineLevel="0" collapsed="false">
      <c r="A27" s="65" t="s">
        <v>480</v>
      </c>
      <c r="B27" s="104" t="n">
        <v>2861.871</v>
      </c>
      <c r="C27" s="104" t="n">
        <v>349.409</v>
      </c>
      <c r="D27" s="104" t="n">
        <v>641.712</v>
      </c>
      <c r="E27" s="104" t="n">
        <v>5388.477</v>
      </c>
      <c r="F27" s="95" t="n">
        <f aca="false">Balance_Sheet!E13</f>
        <v>11020.5</v>
      </c>
      <c r="G27" s="95" t="n">
        <f aca="false">Balance_Sheet!F13</f>
        <v>13151.1324623256</v>
      </c>
      <c r="H27" s="95" t="n">
        <f aca="false">Balance_Sheet!G13</f>
        <v>15380.4225087827</v>
      </c>
      <c r="I27" s="95" t="n">
        <f aca="false">Balance_Sheet!H13</f>
        <v>17778.6001107337</v>
      </c>
      <c r="J27" s="95" t="n">
        <f aca="false">Balance_Sheet!I13</f>
        <v>20367.7353598333</v>
      </c>
      <c r="K27" s="95" t="n">
        <f aca="false">Balance_Sheet!J13</f>
        <v>23175.8982350206</v>
      </c>
      <c r="L27" s="95" t="n">
        <f aca="false">Balance_Sheet!K13</f>
        <v>26067.0520951963</v>
      </c>
      <c r="M27" s="95" t="n">
        <f aca="false">Balance_Sheet!L13</f>
        <v>29134.2650823397</v>
      </c>
      <c r="N27" s="95" t="n">
        <f aca="false">Balance_Sheet!M13</f>
        <v>32358.1775442446</v>
      </c>
      <c r="O27" s="95" t="n">
        <f aca="false">Balance_Sheet!N13</f>
        <v>35796.8377684541</v>
      </c>
    </row>
    <row r="28" customFormat="false" ht="15" hidden="false" customHeight="true" outlineLevel="0" collapsed="false">
      <c r="A28" s="118" t="s">
        <v>481</v>
      </c>
      <c r="B28" s="108" t="n">
        <f aca="false">B27+B26</f>
        <v>349.409000000002</v>
      </c>
      <c r="C28" s="108" t="n">
        <f aca="false">C27+C26</f>
        <v>641.712</v>
      </c>
      <c r="D28" s="108" t="n">
        <f aca="false">D27+D26</f>
        <v>5388.477</v>
      </c>
      <c r="E28" s="108" t="n">
        <f aca="false">E27+E26</f>
        <v>11020.5</v>
      </c>
      <c r="F28" s="110" t="n">
        <f aca="false">F27+F26</f>
        <v>13151.1324623256</v>
      </c>
      <c r="G28" s="110" t="n">
        <f aca="false">G27+G26</f>
        <v>15380.4225087827</v>
      </c>
      <c r="H28" s="110" t="n">
        <f aca="false">H27+H26</f>
        <v>17778.6001107337</v>
      </c>
      <c r="I28" s="110" t="n">
        <f aca="false">I27+I26</f>
        <v>20367.7353598333</v>
      </c>
      <c r="J28" s="110" t="n">
        <f aca="false">J27+J26</f>
        <v>23175.8982350206</v>
      </c>
      <c r="K28" s="110" t="n">
        <f aca="false">K27+K26</f>
        <v>26067.0520951963</v>
      </c>
      <c r="L28" s="110" t="n">
        <f aca="false">L27+L26</f>
        <v>29134.2650823397</v>
      </c>
      <c r="M28" s="110" t="n">
        <f aca="false">M27+M26</f>
        <v>32358.1775442446</v>
      </c>
      <c r="N28" s="110" t="n">
        <f aca="false">N27+N26</f>
        <v>35796.8377684541</v>
      </c>
      <c r="O28" s="110" t="n">
        <f aca="false">O27+O26</f>
        <v>39500.3714178789</v>
      </c>
    </row>
    <row r="30" customFormat="false" ht="15" hidden="false" customHeight="true" outlineLevel="0" collapsed="false">
      <c r="A30" s="118" t="s">
        <v>482</v>
      </c>
      <c r="B30" s="121" t="n">
        <f aca="false">ROUND(Balance_Sheet!B13-B28,6)</f>
        <v>-0</v>
      </c>
      <c r="C30" s="121" t="n">
        <f aca="false">ROUND(Balance_Sheet!C13-C28,6)</f>
        <v>0</v>
      </c>
      <c r="D30" s="121" t="n">
        <f aca="false">ROUND(Balance_Sheet!D13-D28,6)</f>
        <v>0</v>
      </c>
      <c r="E30" s="121" t="n">
        <f aca="false">ROUND(Balance_Sheet!E13-E28,6)</f>
        <v>0</v>
      </c>
      <c r="F30" s="122" t="n">
        <f aca="false">ROUND(Balance_Sheet!F13-F28,6)</f>
        <v>0</v>
      </c>
      <c r="G30" s="122" t="n">
        <f aca="false">ROUND(Balance_Sheet!G13-G28,6)</f>
        <v>0</v>
      </c>
      <c r="H30" s="122" t="n">
        <f aca="false">ROUND(Balance_Sheet!H13-H28,6)</f>
        <v>0</v>
      </c>
      <c r="I30" s="122" t="n">
        <f aca="false">ROUND(Balance_Sheet!I13-I28,6)</f>
        <v>0</v>
      </c>
      <c r="J30" s="122" t="n">
        <f aca="false">ROUND(Balance_Sheet!J13-J28,6)</f>
        <v>0</v>
      </c>
      <c r="K30" s="122" t="n">
        <f aca="false">ROUND(Balance_Sheet!K13-K28,6)</f>
        <v>0</v>
      </c>
      <c r="L30" s="122" t="n">
        <f aca="false">ROUND(Balance_Sheet!L13-L28,6)</f>
        <v>0</v>
      </c>
      <c r="M30" s="122" t="n">
        <f aca="false">ROUND(Balance_Sheet!M13-M28,6)</f>
        <v>0</v>
      </c>
      <c r="N30" s="122" t="n">
        <f aca="false">ROUND(Balance_Sheet!N13-N28,6)</f>
        <v>0</v>
      </c>
      <c r="O30" s="122" t="n">
        <f aca="false">ROUND(Balance_Sheet!O13-O28,6)</f>
        <v>0</v>
      </c>
    </row>
    <row r="31" customFormat="false" ht="15" hidden="false" customHeight="true" outlineLevel="0" collapsed="false">
      <c r="A31" s="79" t="s">
        <v>483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</row>
  </sheetData>
  <mergeCells count="4">
    <mergeCell ref="A1:O1"/>
    <mergeCell ref="A2:O2"/>
    <mergeCell ref="A4:O4"/>
    <mergeCell ref="A31:O31"/>
  </mergeCells>
  <conditionalFormatting sqref="B30:O30">
    <cfRule type="cellIs" priority="2" operator="not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9"/>
    <col collapsed="false" customWidth="true" hidden="false" outlineLevel="0" max="15" min="2" style="1" width="12.5"/>
  </cols>
  <sheetData>
    <row r="1" customFormat="false" ht="18" hidden="false" customHeight="true" outlineLevel="0" collapsed="false">
      <c r="A1" s="80" t="s">
        <v>484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customFormat="false" ht="15" hidden="false" customHeight="true" outlineLevel="0" collapsed="false">
      <c r="A2" s="81" t="s">
        <v>485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4" customFormat="false" ht="15" hidden="false" customHeight="true" outlineLevel="0" collapsed="false">
      <c r="A4" s="65" t="s">
        <v>442</v>
      </c>
      <c r="B4" s="83" t="s">
        <v>16</v>
      </c>
      <c r="C4" s="83" t="s">
        <v>17</v>
      </c>
      <c r="D4" s="83" t="s">
        <v>18</v>
      </c>
      <c r="E4" s="83" t="s">
        <v>19</v>
      </c>
      <c r="F4" s="85" t="s">
        <v>24</v>
      </c>
      <c r="G4" s="85" t="s">
        <v>29</v>
      </c>
      <c r="H4" s="85" t="s">
        <v>30</v>
      </c>
      <c r="I4" s="85" t="s">
        <v>31</v>
      </c>
      <c r="J4" s="85" t="s">
        <v>32</v>
      </c>
      <c r="K4" s="85" t="s">
        <v>33</v>
      </c>
      <c r="L4" s="85" t="s">
        <v>34</v>
      </c>
      <c r="M4" s="85" t="s">
        <v>35</v>
      </c>
      <c r="N4" s="85" t="s">
        <v>36</v>
      </c>
      <c r="O4" s="85" t="s">
        <v>37</v>
      </c>
    </row>
    <row r="5" customFormat="false" ht="15.75" hidden="false" customHeight="true" outlineLevel="0" collapsed="false">
      <c r="A5" s="65" t="s">
        <v>410</v>
      </c>
      <c r="B5" s="87" t="s">
        <v>411</v>
      </c>
      <c r="C5" s="87" t="s">
        <v>411</v>
      </c>
      <c r="D5" s="87" t="s">
        <v>411</v>
      </c>
      <c r="E5" s="87" t="s">
        <v>411</v>
      </c>
      <c r="F5" s="89" t="s">
        <v>413</v>
      </c>
      <c r="G5" s="89" t="s">
        <v>413</v>
      </c>
      <c r="H5" s="89" t="s">
        <v>413</v>
      </c>
      <c r="I5" s="89" t="s">
        <v>413</v>
      </c>
      <c r="J5" s="89" t="s">
        <v>413</v>
      </c>
      <c r="K5" s="89" t="s">
        <v>413</v>
      </c>
      <c r="L5" s="89" t="s">
        <v>413</v>
      </c>
      <c r="M5" s="89" t="s">
        <v>413</v>
      </c>
      <c r="N5" s="89" t="s">
        <v>413</v>
      </c>
      <c r="O5" s="89" t="s">
        <v>413</v>
      </c>
    </row>
    <row r="6" customFormat="false" ht="13.5" hidden="false" customHeight="true" outlineLevel="0" collapsed="false"/>
    <row r="7" customFormat="false" ht="15.75" hidden="false" customHeight="true" outlineLevel="0" collapsed="false">
      <c r="A7" s="82" t="s">
        <v>486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</row>
    <row r="8" customFormat="false" ht="15" hidden="false" customHeight="true" outlineLevel="0" collapsed="false">
      <c r="A8" s="65" t="s">
        <v>487</v>
      </c>
      <c r="B8" s="93" t="n">
        <f aca="false">Balance_Sheet!B9-B9+B10</f>
        <v>3719.995</v>
      </c>
      <c r="C8" s="93" t="n">
        <f aca="false">Balance_Sheet!B9</f>
        <v>3502.714</v>
      </c>
      <c r="D8" s="93" t="n">
        <f aca="false">Balance_Sheet!C9</f>
        <v>3352.037</v>
      </c>
      <c r="E8" s="93" t="n">
        <f aca="false">Balance_Sheet!D9</f>
        <v>2979.737</v>
      </c>
      <c r="F8" s="106" t="n">
        <f aca="false">E12</f>
        <v>3136.6</v>
      </c>
      <c r="G8" s="106" t="n">
        <f aca="false">F12</f>
        <v>3029.53682</v>
      </c>
      <c r="H8" s="106" t="n">
        <f aca="false">G12</f>
        <v>2990.52568945</v>
      </c>
      <c r="I8" s="106" t="n">
        <f aca="false">H12</f>
        <v>3001.786246384</v>
      </c>
      <c r="J8" s="106" t="n">
        <f aca="false">I12</f>
        <v>3048.82331153627</v>
      </c>
      <c r="K8" s="106" t="n">
        <f aca="false">J12</f>
        <v>3133.15725740866</v>
      </c>
      <c r="L8" s="106" t="n">
        <f aca="false">K12</f>
        <v>3240.73420945986</v>
      </c>
      <c r="M8" s="106" t="n">
        <f aca="false">L12</f>
        <v>3364.46029483554</v>
      </c>
      <c r="N8" s="106" t="n">
        <f aca="false">M12</f>
        <v>3497.2788313773</v>
      </c>
      <c r="O8" s="106" t="n">
        <f aca="false">N12</f>
        <v>3635.8188668145</v>
      </c>
    </row>
    <row r="9" customFormat="false" ht="15" hidden="false" customHeight="true" outlineLevel="0" collapsed="false">
      <c r="A9" s="65" t="s">
        <v>472</v>
      </c>
      <c r="B9" s="104" t="n">
        <v>440.391</v>
      </c>
      <c r="C9" s="104" t="n">
        <v>312.215</v>
      </c>
      <c r="D9" s="104" t="n">
        <v>230.216</v>
      </c>
      <c r="E9" s="104" t="n">
        <v>552.8</v>
      </c>
      <c r="F9" s="95" t="n">
        <f aca="false">Profit_Loss!J8*Financial_Assumptions!B$32</f>
        <v>520.25682</v>
      </c>
      <c r="G9" s="95" t="n">
        <f aca="false">Profit_Loss!O8*Financial_Assumptions!C$32</f>
        <v>561.847005416667</v>
      </c>
      <c r="H9" s="95" t="n">
        <f aca="false">Profit_Loss!P8*Financial_Assumptions!D$32</f>
        <v>599.397275859167</v>
      </c>
      <c r="I9" s="95" t="n">
        <f aca="false">Profit_Loss!Q8*Financial_Assumptions!E$32</f>
        <v>632.38538319715</v>
      </c>
      <c r="J9" s="95" t="n">
        <f aca="false">Profit_Loss!R8*Financial_Assumptions!F$32</f>
        <v>676.313805529011</v>
      </c>
      <c r="K9" s="95" t="n">
        <f aca="false">Profit_Loss!S8*Financial_Assumptions!G$32</f>
        <v>713.320688483548</v>
      </c>
      <c r="L9" s="95" t="n">
        <f aca="false">Profit_Loss!T8*Financial_Assumptions!H$32</f>
        <v>747.567420696699</v>
      </c>
      <c r="M9" s="95" t="n">
        <f aca="false">Profit_Loss!U8*Financial_Assumptions!I$32</f>
        <v>777.67342638524</v>
      </c>
      <c r="N9" s="95" t="n">
        <f aca="false">Profit_Loss!V8*Financial_Assumptions!J$32</f>
        <v>805.937412425037</v>
      </c>
      <c r="O9" s="95" t="n">
        <f aca="false">Profit_Loss!W8*Financial_Assumptions!K$32</f>
        <v>833.975322546104</v>
      </c>
    </row>
    <row r="10" customFormat="false" ht="15" hidden="false" customHeight="true" outlineLevel="0" collapsed="false">
      <c r="A10" s="65" t="s">
        <v>423</v>
      </c>
      <c r="B10" s="93" t="n">
        <f aca="false">Profit_Loss!B20</f>
        <v>657.672</v>
      </c>
      <c r="C10" s="93" t="n">
        <f aca="false">Profit_Loss!C20</f>
        <v>696.796</v>
      </c>
      <c r="D10" s="93" t="n">
        <f aca="false">Profit_Loss!D20</f>
        <v>667.925</v>
      </c>
      <c r="E10" s="93" t="n">
        <f aca="false">Profit_Loss!E20</f>
        <v>664.4</v>
      </c>
      <c r="F10" s="95" t="n">
        <f aca="false">F8*Financial_Assumptions!B$39</f>
        <v>627.32</v>
      </c>
      <c r="G10" s="95" t="n">
        <f aca="false">G8*Financial_Assumptions!C$39</f>
        <v>600.858135966667</v>
      </c>
      <c r="H10" s="95" t="n">
        <f aca="false">H8*Financial_Assumptions!D$39</f>
        <v>588.136718925167</v>
      </c>
      <c r="I10" s="95" t="n">
        <f aca="false">I8*Financial_Assumptions!E$39</f>
        <v>585.34831804488</v>
      </c>
      <c r="J10" s="95" t="n">
        <f aca="false">J8*Financial_Assumptions!F$39</f>
        <v>591.979859656626</v>
      </c>
      <c r="K10" s="95" t="n">
        <f aca="false">K8*Financial_Assumptions!G$39</f>
        <v>605.74373643234</v>
      </c>
      <c r="L10" s="95" t="n">
        <f aca="false">L8*Financial_Assumptions!H$39</f>
        <v>623.841335321024</v>
      </c>
      <c r="M10" s="95" t="n">
        <f aca="false">M8*Financial_Assumptions!I$39</f>
        <v>644.854889843478</v>
      </c>
      <c r="N10" s="95" t="n">
        <f aca="false">N8*Financial_Assumptions!J$39</f>
        <v>667.397376987835</v>
      </c>
      <c r="O10" s="95" t="n">
        <f aca="false">O8*Financial_Assumptions!K$39</f>
        <v>690.805584694756</v>
      </c>
    </row>
    <row r="11" customFormat="false" ht="15" hidden="false" customHeight="true" outlineLevel="0" collapsed="false">
      <c r="A11" s="65" t="s">
        <v>488</v>
      </c>
      <c r="B11" s="93" t="n">
        <f aca="false">Balance_Sheet!B9-(B8+B9-B10)</f>
        <v>0</v>
      </c>
      <c r="C11" s="93" t="n">
        <f aca="false">Balance_Sheet!C9-(C8+C9-C10)</f>
        <v>233.904</v>
      </c>
      <c r="D11" s="93" t="n">
        <f aca="false">Balance_Sheet!D9-(D8+D9-D10)</f>
        <v>65.4090000000006</v>
      </c>
      <c r="E11" s="93" t="n">
        <f aca="false">Balance_Sheet!E9-(E8+E9-E10)</f>
        <v>268.463</v>
      </c>
      <c r="F11" s="106" t="n">
        <f aca="false">0</f>
        <v>0</v>
      </c>
      <c r="G11" s="106" t="n">
        <f aca="false">0</f>
        <v>0</v>
      </c>
      <c r="H11" s="106" t="n">
        <f aca="false">0</f>
        <v>0</v>
      </c>
      <c r="I11" s="106" t="n">
        <f aca="false">0</f>
        <v>0</v>
      </c>
      <c r="J11" s="106" t="n">
        <f aca="false">0</f>
        <v>0</v>
      </c>
      <c r="K11" s="106" t="n">
        <f aca="false">0</f>
        <v>0</v>
      </c>
      <c r="L11" s="106" t="n">
        <f aca="false">0</f>
        <v>0</v>
      </c>
      <c r="M11" s="106" t="n">
        <f aca="false">0</f>
        <v>0</v>
      </c>
      <c r="N11" s="106" t="n">
        <f aca="false">0</f>
        <v>0</v>
      </c>
      <c r="O11" s="106" t="n">
        <f aca="false">0</f>
        <v>0</v>
      </c>
    </row>
    <row r="12" customFormat="false" ht="15" hidden="false" customHeight="true" outlineLevel="0" collapsed="false">
      <c r="A12" s="118" t="s">
        <v>489</v>
      </c>
      <c r="B12" s="108" t="n">
        <f aca="false">B8+B9-B10+B11</f>
        <v>3502.714</v>
      </c>
      <c r="C12" s="108" t="n">
        <f aca="false">C8+C9-C10+C11</f>
        <v>3352.037</v>
      </c>
      <c r="D12" s="108" t="n">
        <f aca="false">D8+D9-D10+D11</f>
        <v>2979.737</v>
      </c>
      <c r="E12" s="108" t="n">
        <f aca="false">E8+E9-E10+E11</f>
        <v>3136.6</v>
      </c>
      <c r="F12" s="110" t="n">
        <f aca="false">F8+F9-F10+F11</f>
        <v>3029.53682</v>
      </c>
      <c r="G12" s="110" t="n">
        <f aca="false">G8+G9-G10+G11</f>
        <v>2990.52568945</v>
      </c>
      <c r="H12" s="110" t="n">
        <f aca="false">H8+H9-H10+H11</f>
        <v>3001.786246384</v>
      </c>
      <c r="I12" s="110" t="n">
        <f aca="false">I8+I9-I10+I11</f>
        <v>3048.82331153627</v>
      </c>
      <c r="J12" s="110" t="n">
        <f aca="false">J8+J9-J10+J11</f>
        <v>3133.15725740866</v>
      </c>
      <c r="K12" s="110" t="n">
        <f aca="false">K8+K9-K10+K11</f>
        <v>3240.73420945986</v>
      </c>
      <c r="L12" s="110" t="n">
        <f aca="false">L8+L9-L10+L11</f>
        <v>3364.46029483554</v>
      </c>
      <c r="M12" s="110" t="n">
        <f aca="false">M8+M9-M10+M11</f>
        <v>3497.2788313773</v>
      </c>
      <c r="N12" s="110" t="n">
        <f aca="false">N8+N9-N10+N11</f>
        <v>3635.8188668145</v>
      </c>
      <c r="O12" s="110" t="n">
        <f aca="false">O8+O9-O10+O11</f>
        <v>3778.98860466585</v>
      </c>
    </row>
    <row r="14" customFormat="false" ht="15.75" hidden="false" customHeight="true" outlineLevel="0" collapsed="false">
      <c r="A14" s="82" t="s">
        <v>490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</row>
    <row r="15" customFormat="false" ht="15" hidden="false" customHeight="true" outlineLevel="0" collapsed="false">
      <c r="A15" s="65" t="s">
        <v>366</v>
      </c>
      <c r="B15" s="123" t="n">
        <f aca="false">Balance_Sheet!B11/Profit_Loss!B11*365</f>
        <v>130.665639122954</v>
      </c>
      <c r="C15" s="123" t="n">
        <f aca="false">Balance_Sheet!C11/Profit_Loss!C11*365</f>
        <v>143.603426863129</v>
      </c>
      <c r="D15" s="123" t="n">
        <f aca="false">Balance_Sheet!D11/Profit_Loss!D11*365</f>
        <v>126.421287019442</v>
      </c>
      <c r="E15" s="123" t="n">
        <f aca="false">Balance_Sheet!E11/Profit_Loss!E11*365</f>
        <v>123.610905511228</v>
      </c>
      <c r="F15" s="124" t="n">
        <f aca="false">Balance_Sheet!F11/Profit_Loss!J11*365</f>
        <v>124</v>
      </c>
      <c r="G15" s="124" t="n">
        <f aca="false">Balance_Sheet!G11/Profit_Loss!O11*365</f>
        <v>123.333333333333</v>
      </c>
      <c r="H15" s="124" t="n">
        <f aca="false">Balance_Sheet!H11/Profit_Loss!P11*365</f>
        <v>122.666666666667</v>
      </c>
      <c r="I15" s="124" t="n">
        <f aca="false">Balance_Sheet!I11/Profit_Loss!Q11*365</f>
        <v>122</v>
      </c>
      <c r="J15" s="124" t="n">
        <f aca="false">Balance_Sheet!J11/Profit_Loss!R11*365</f>
        <v>121.666666666667</v>
      </c>
      <c r="K15" s="124" t="n">
        <f aca="false">Balance_Sheet!K11/Profit_Loss!S11*365</f>
        <v>121.333333333333</v>
      </c>
      <c r="L15" s="124" t="n">
        <f aca="false">Balance_Sheet!L11/Profit_Loss!T11*365</f>
        <v>121</v>
      </c>
      <c r="M15" s="124" t="n">
        <f aca="false">Balance_Sheet!M11/Profit_Loss!U11*365</f>
        <v>120.666666666667</v>
      </c>
      <c r="N15" s="124" t="n">
        <f aca="false">Balance_Sheet!N11/Profit_Loss!V11*365</f>
        <v>120.333333333333</v>
      </c>
      <c r="O15" s="124" t="n">
        <f aca="false">Balance_Sheet!O11/Profit_Loss!W11*365</f>
        <v>120</v>
      </c>
    </row>
    <row r="16" customFormat="false" ht="15" hidden="false" customHeight="true" outlineLevel="0" collapsed="false">
      <c r="A16" s="65" t="s">
        <v>368</v>
      </c>
      <c r="B16" s="123" t="n">
        <f aca="false">Balance_Sheet!B12/Profit_Loss!B8*365</f>
        <v>21.5937642232419</v>
      </c>
      <c r="C16" s="123" t="n">
        <f aca="false">Balance_Sheet!C12/Profit_Loss!C8*365</f>
        <v>23.4677611901405</v>
      </c>
      <c r="D16" s="123" t="n">
        <f aca="false">Balance_Sheet!D12/Profit_Loss!D8*365</f>
        <v>28.4807790174463</v>
      </c>
      <c r="E16" s="123" t="n">
        <f aca="false">Balance_Sheet!E12/Profit_Loss!E8*365</f>
        <v>26.0841857093888</v>
      </c>
      <c r="F16" s="124" t="n">
        <f aca="false">Balance_Sheet!F12/Profit_Loss!J8*365</f>
        <v>27</v>
      </c>
      <c r="G16" s="124" t="n">
        <f aca="false">Balance_Sheet!G12/Profit_Loss!O8*365</f>
        <v>26.6666666666667</v>
      </c>
      <c r="H16" s="124" t="n">
        <f aca="false">Balance_Sheet!H12/Profit_Loss!P8*365</f>
        <v>26.3333333333333</v>
      </c>
      <c r="I16" s="124" t="n">
        <f aca="false">Balance_Sheet!I12/Profit_Loss!Q8*365</f>
        <v>26</v>
      </c>
      <c r="J16" s="124" t="n">
        <f aca="false">Balance_Sheet!J12/Profit_Loss!R8*365</f>
        <v>25.8333333333333</v>
      </c>
      <c r="K16" s="124" t="n">
        <f aca="false">Balance_Sheet!K12/Profit_Loss!S8*365</f>
        <v>25.6666666666667</v>
      </c>
      <c r="L16" s="124" t="n">
        <f aca="false">Balance_Sheet!L12/Profit_Loss!T8*365</f>
        <v>25.5</v>
      </c>
      <c r="M16" s="124" t="n">
        <f aca="false">Balance_Sheet!M12/Profit_Loss!U8*365</f>
        <v>25.3333333333333</v>
      </c>
      <c r="N16" s="124" t="n">
        <f aca="false">Balance_Sheet!N12/Profit_Loss!V8*365</f>
        <v>25.1666666666667</v>
      </c>
      <c r="O16" s="124" t="n">
        <f aca="false">Balance_Sheet!O12/Profit_Loss!W8*365</f>
        <v>25</v>
      </c>
    </row>
    <row r="17" customFormat="false" ht="15" hidden="false" customHeight="true" outlineLevel="0" collapsed="false">
      <c r="A17" s="65" t="s">
        <v>370</v>
      </c>
      <c r="B17" s="123" t="n">
        <f aca="false">Balance_Sheet!B23/Profit_Loss!B11*365</f>
        <v>121.523654337491</v>
      </c>
      <c r="C17" s="123" t="n">
        <f aca="false">Balance_Sheet!C23/Profit_Loss!C11*365</f>
        <v>171.052821652262</v>
      </c>
      <c r="D17" s="123" t="n">
        <f aca="false">Balance_Sheet!D23/Profit_Loss!D11*365</f>
        <v>185.864354854597</v>
      </c>
      <c r="E17" s="123" t="n">
        <f aca="false">Balance_Sheet!E23/Profit_Loss!E11*365</f>
        <v>154.049635101328</v>
      </c>
      <c r="F17" s="124" t="n">
        <f aca="false">Balance_Sheet!F23/Profit_Loss!J11*365</f>
        <v>158</v>
      </c>
      <c r="G17" s="124" t="n">
        <f aca="false">Balance_Sheet!G23/Profit_Loss!O11*365</f>
        <v>158.666666666667</v>
      </c>
      <c r="H17" s="124" t="n">
        <f aca="false">Balance_Sheet!H23/Profit_Loss!P11*365</f>
        <v>159.333333333333</v>
      </c>
      <c r="I17" s="124" t="n">
        <f aca="false">Balance_Sheet!I23/Profit_Loss!Q11*365</f>
        <v>160</v>
      </c>
      <c r="J17" s="124" t="n">
        <f aca="false">Balance_Sheet!J23/Profit_Loss!R11*365</f>
        <v>160</v>
      </c>
      <c r="K17" s="124" t="n">
        <f aca="false">Balance_Sheet!K23/Profit_Loss!S11*365</f>
        <v>160</v>
      </c>
      <c r="L17" s="124" t="n">
        <f aca="false">Balance_Sheet!L23/Profit_Loss!T11*365</f>
        <v>160</v>
      </c>
      <c r="M17" s="124" t="n">
        <f aca="false">Balance_Sheet!M23/Profit_Loss!U11*365</f>
        <v>160</v>
      </c>
      <c r="N17" s="124" t="n">
        <f aca="false">Balance_Sheet!N23/Profit_Loss!V11*365</f>
        <v>160</v>
      </c>
      <c r="O17" s="124" t="n">
        <f aca="false">Balance_Sheet!O23/Profit_Loss!W11*365</f>
        <v>160</v>
      </c>
    </row>
    <row r="19" customFormat="false" ht="15.75" hidden="false" customHeight="true" outlineLevel="0" collapsed="false">
      <c r="A19" s="82" t="s">
        <v>491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</row>
    <row r="20" customFormat="false" ht="15" hidden="false" customHeight="true" outlineLevel="0" collapsed="false">
      <c r="A20" s="65" t="s">
        <v>492</v>
      </c>
      <c r="B20" s="104" t="n">
        <v>24935.498</v>
      </c>
      <c r="C20" s="93" t="n">
        <f aca="false">Balance_Sheet!B19</f>
        <v>15718.67</v>
      </c>
      <c r="D20" s="93" t="n">
        <f aca="false">Balance_Sheet!C19</f>
        <v>16082.337</v>
      </c>
      <c r="E20" s="93" t="n">
        <f aca="false">Balance_Sheet!D19</f>
        <v>17819.047</v>
      </c>
      <c r="F20" s="95" t="n">
        <f aca="false">Balance_Sheet!E19</f>
        <v>20980.1</v>
      </c>
      <c r="G20" s="106" t="n">
        <f aca="false">F24</f>
        <v>21916.7649802708</v>
      </c>
      <c r="H20" s="106" t="n">
        <f aca="false">G24</f>
        <v>23059.9099744121</v>
      </c>
      <c r="I20" s="106" t="n">
        <f aca="false">H24</f>
        <v>24429.8306634689</v>
      </c>
      <c r="J20" s="106" t="n">
        <f aca="false">I24</f>
        <v>26046.0364549205</v>
      </c>
      <c r="K20" s="106" t="n">
        <f aca="false">J24</f>
        <v>27871.6582160328</v>
      </c>
      <c r="L20" s="106" t="n">
        <f aca="false">K24</f>
        <v>29904.8772023236</v>
      </c>
      <c r="M20" s="106" t="n">
        <f aca="false">L24</f>
        <v>32153.0229701227</v>
      </c>
      <c r="N20" s="106" t="n">
        <f aca="false">M24</f>
        <v>34619.5162474866</v>
      </c>
      <c r="O20" s="106" t="n">
        <f aca="false">N24</f>
        <v>37313.8697374723</v>
      </c>
    </row>
    <row r="21" customFormat="false" ht="15" hidden="false" customHeight="true" outlineLevel="0" collapsed="false">
      <c r="A21" s="65" t="s">
        <v>435</v>
      </c>
      <c r="B21" s="93" t="n">
        <f aca="false">Profit_Loss!B36</f>
        <v>6076.392</v>
      </c>
      <c r="C21" s="93" t="n">
        <f aca="false">Profit_Loss!C36</f>
        <v>5899.648</v>
      </c>
      <c r="D21" s="93" t="n">
        <f aca="false">Profit_Loss!D36</f>
        <v>9275.825</v>
      </c>
      <c r="E21" s="93" t="n">
        <f aca="false">Profit_Loss!E36</f>
        <v>10359.8</v>
      </c>
      <c r="F21" s="95" t="n">
        <f aca="false">Profit_Loss!J36</f>
        <v>11708.312253385</v>
      </c>
      <c r="G21" s="95" t="n">
        <f aca="false">Profit_Loss!O36</f>
        <v>13190.1345477838</v>
      </c>
      <c r="H21" s="95" t="n">
        <f aca="false">Profit_Loss!P36</f>
        <v>14677.7216684657</v>
      </c>
      <c r="I21" s="95" t="n">
        <f aca="false">Profit_Loss!Q36</f>
        <v>16162.057914516</v>
      </c>
      <c r="J21" s="95" t="n">
        <f aca="false">Profit_Loss!R36</f>
        <v>17667.3073656037</v>
      </c>
      <c r="K21" s="95" t="n">
        <f aca="false">Profit_Loss!S36</f>
        <v>19061.4279964763</v>
      </c>
      <c r="L21" s="95" t="n">
        <f aca="false">Profit_Loss!T36</f>
        <v>20437.6887981734</v>
      </c>
      <c r="M21" s="95" t="n">
        <f aca="false">Profit_Loss!U36</f>
        <v>21763.1759767406</v>
      </c>
      <c r="N21" s="95" t="n">
        <f aca="false">Profit_Loss!V36</f>
        <v>23094.4584855913</v>
      </c>
      <c r="O21" s="95" t="n">
        <f aca="false">Profit_Loss!W36</f>
        <v>24477.6553074391</v>
      </c>
    </row>
    <row r="22" customFormat="false" ht="15" hidden="false" customHeight="true" outlineLevel="0" collapsed="false">
      <c r="A22" s="65" t="s">
        <v>493</v>
      </c>
      <c r="B22" s="104" t="n">
        <v>15254.999</v>
      </c>
      <c r="C22" s="104" t="n">
        <v>5415.729</v>
      </c>
      <c r="D22" s="104" t="n">
        <v>7493.8</v>
      </c>
      <c r="E22" s="104" t="n">
        <v>7139.7</v>
      </c>
      <c r="F22" s="95" t="n">
        <f aca="false">F21*Financial_Assumptions!B$31</f>
        <v>10771.6472731142</v>
      </c>
      <c r="G22" s="95" t="n">
        <f aca="false">G21*Financial_Assumptions!C$31</f>
        <v>12046.9895536425</v>
      </c>
      <c r="H22" s="95" t="n">
        <f aca="false">H21*Financial_Assumptions!D$31</f>
        <v>13307.8009794089</v>
      </c>
      <c r="I22" s="95" t="n">
        <f aca="false">I21*Financial_Assumptions!E$31</f>
        <v>14545.8521230644</v>
      </c>
      <c r="J22" s="95" t="n">
        <f aca="false">J21*Financial_Assumptions!F$31</f>
        <v>15841.6856044913</v>
      </c>
      <c r="K22" s="95" t="n">
        <f aca="false">K21*Financial_Assumptions!G$31</f>
        <v>17028.2090101855</v>
      </c>
      <c r="L22" s="95" t="n">
        <f aca="false">L21*Financial_Assumptions!H$31</f>
        <v>18189.5430303743</v>
      </c>
      <c r="M22" s="95" t="n">
        <f aca="false">M21*Financial_Assumptions!I$31</f>
        <v>19296.6826993766</v>
      </c>
      <c r="N22" s="95" t="n">
        <f aca="false">N21*Financial_Assumptions!J$31</f>
        <v>20400.1049956056</v>
      </c>
      <c r="O22" s="95" t="n">
        <f aca="false">O21*Financial_Assumptions!K$31</f>
        <v>21540.3366705464</v>
      </c>
    </row>
    <row r="23" customFormat="false" ht="15" hidden="false" customHeight="true" outlineLevel="0" collapsed="false">
      <c r="A23" s="65" t="s">
        <v>494</v>
      </c>
      <c r="B23" s="93" t="n">
        <f aca="false">Balance_Sheet!B19-(B20+B21-B22)</f>
        <v>-38.2209999999996</v>
      </c>
      <c r="C23" s="93" t="n">
        <f aca="false">Balance_Sheet!C19-(C20+C21-C22)</f>
        <v>-120.252</v>
      </c>
      <c r="D23" s="93" t="n">
        <f aca="false">Balance_Sheet!D19-(D20+D21-D22)</f>
        <v>-45.3149999999987</v>
      </c>
      <c r="E23" s="93" t="n">
        <f aca="false">Balance_Sheet!E19-(E20+E21-E22)</f>
        <v>-59.0469999999987</v>
      </c>
      <c r="F23" s="106" t="n">
        <f aca="false">0</f>
        <v>0</v>
      </c>
      <c r="G23" s="106" t="n">
        <f aca="false">0</f>
        <v>0</v>
      </c>
      <c r="H23" s="106" t="n">
        <f aca="false">0</f>
        <v>0</v>
      </c>
      <c r="I23" s="106" t="n">
        <f aca="false">0</f>
        <v>0</v>
      </c>
      <c r="J23" s="106" t="n">
        <f aca="false">0</f>
        <v>0</v>
      </c>
      <c r="K23" s="106" t="n">
        <f aca="false">0</f>
        <v>0</v>
      </c>
      <c r="L23" s="106" t="n">
        <f aca="false">0</f>
        <v>0</v>
      </c>
      <c r="M23" s="106" t="n">
        <f aca="false">0</f>
        <v>0</v>
      </c>
      <c r="N23" s="106" t="n">
        <f aca="false">0</f>
        <v>0</v>
      </c>
      <c r="O23" s="106" t="n">
        <f aca="false">0</f>
        <v>0</v>
      </c>
    </row>
    <row r="24" customFormat="false" ht="15" hidden="false" customHeight="true" outlineLevel="0" collapsed="false">
      <c r="A24" s="118" t="s">
        <v>495</v>
      </c>
      <c r="B24" s="108" t="n">
        <f aca="false">B20+B21-B22+B23</f>
        <v>15718.67</v>
      </c>
      <c r="C24" s="108" t="n">
        <f aca="false">C20+C21-C22+C23</f>
        <v>16082.337</v>
      </c>
      <c r="D24" s="108" t="n">
        <f aca="false">D20+D21-D22+D23</f>
        <v>17819.047</v>
      </c>
      <c r="E24" s="108" t="n">
        <f aca="false">E20+E21-E22+E23</f>
        <v>20980.1</v>
      </c>
      <c r="F24" s="110" t="n">
        <f aca="false">F20+F21-F22+F23</f>
        <v>21916.7649802708</v>
      </c>
      <c r="G24" s="110" t="n">
        <f aca="false">G20+G21-G22+G23</f>
        <v>23059.9099744121</v>
      </c>
      <c r="H24" s="110" t="n">
        <f aca="false">H20+H21-H22+H23</f>
        <v>24429.8306634689</v>
      </c>
      <c r="I24" s="110" t="n">
        <f aca="false">I20+I21-I22+I23</f>
        <v>26046.0364549205</v>
      </c>
      <c r="J24" s="110" t="n">
        <f aca="false">J20+J21-J22+J23</f>
        <v>27871.6582160328</v>
      </c>
      <c r="K24" s="110" t="n">
        <f aca="false">K20+K21-K22+K23</f>
        <v>29904.8772023236</v>
      </c>
      <c r="L24" s="110" t="n">
        <f aca="false">L20+L21-L22+L23</f>
        <v>32153.0229701227</v>
      </c>
      <c r="M24" s="110" t="n">
        <f aca="false">M20+M21-M22+M23</f>
        <v>34619.5162474866</v>
      </c>
      <c r="N24" s="110" t="n">
        <f aca="false">N20+N21-N22+N23</f>
        <v>37313.8697374723</v>
      </c>
      <c r="O24" s="110" t="n">
        <f aca="false">O20+O21-O22+O23</f>
        <v>40251.188374365</v>
      </c>
    </row>
    <row r="26" customFormat="false" ht="15.75" hidden="false" customHeight="true" outlineLevel="0" collapsed="false">
      <c r="A26" s="82" t="s">
        <v>496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</row>
    <row r="27" customFormat="false" ht="15" hidden="false" customHeight="true" outlineLevel="0" collapsed="false">
      <c r="A27" s="65" t="s">
        <v>480</v>
      </c>
      <c r="B27" s="93" t="n">
        <f aca="false">Cash_Flow!B27</f>
        <v>2861.871</v>
      </c>
      <c r="C27" s="93" t="n">
        <f aca="false">Cash_Flow!C27</f>
        <v>349.409</v>
      </c>
      <c r="D27" s="93" t="n">
        <f aca="false">Cash_Flow!D27</f>
        <v>641.712</v>
      </c>
      <c r="E27" s="93" t="n">
        <f aca="false">Cash_Flow!E27</f>
        <v>5388.477</v>
      </c>
      <c r="F27" s="95" t="n">
        <f aca="false">Cash_Flow!F27</f>
        <v>11020.5</v>
      </c>
      <c r="G27" s="95" t="n">
        <f aca="false">Cash_Flow!G27</f>
        <v>13151.1324623256</v>
      </c>
      <c r="H27" s="95" t="n">
        <f aca="false">Cash_Flow!H27</f>
        <v>15380.4225087827</v>
      </c>
      <c r="I27" s="95" t="n">
        <f aca="false">Cash_Flow!I27</f>
        <v>17778.6001107337</v>
      </c>
      <c r="J27" s="95" t="n">
        <f aca="false">Cash_Flow!J27</f>
        <v>20367.7353598333</v>
      </c>
      <c r="K27" s="95" t="n">
        <f aca="false">Cash_Flow!K27</f>
        <v>23175.8982350206</v>
      </c>
      <c r="L27" s="95" t="n">
        <f aca="false">Cash_Flow!L27</f>
        <v>26067.0520951963</v>
      </c>
      <c r="M27" s="95" t="n">
        <f aca="false">Cash_Flow!M27</f>
        <v>29134.2650823397</v>
      </c>
      <c r="N27" s="95" t="n">
        <f aca="false">Cash_Flow!N27</f>
        <v>32358.1775442446</v>
      </c>
      <c r="O27" s="95" t="n">
        <f aca="false">Cash_Flow!O27</f>
        <v>35796.8377684541</v>
      </c>
    </row>
    <row r="28" customFormat="false" ht="15" hidden="false" customHeight="true" outlineLevel="0" collapsed="false">
      <c r="A28" s="65" t="s">
        <v>479</v>
      </c>
      <c r="B28" s="93" t="n">
        <f aca="false">Cash_Flow!B26</f>
        <v>-2512.462</v>
      </c>
      <c r="C28" s="93" t="n">
        <f aca="false">Cash_Flow!C26</f>
        <v>292.303</v>
      </c>
      <c r="D28" s="93" t="n">
        <f aca="false">Cash_Flow!D26</f>
        <v>4746.765</v>
      </c>
      <c r="E28" s="93" t="n">
        <f aca="false">Cash_Flow!E26</f>
        <v>5632.023</v>
      </c>
      <c r="F28" s="95" t="n">
        <f aca="false">Cash_Flow!F26</f>
        <v>2130.63246232559</v>
      </c>
      <c r="G28" s="95" t="n">
        <f aca="false">Cash_Flow!G26</f>
        <v>2229.29004645709</v>
      </c>
      <c r="H28" s="95" t="n">
        <f aca="false">Cash_Flow!H26</f>
        <v>2398.17760195098</v>
      </c>
      <c r="I28" s="95" t="n">
        <f aca="false">Cash_Flow!I26</f>
        <v>2589.13524909966</v>
      </c>
      <c r="J28" s="95" t="n">
        <f aca="false">Cash_Flow!J26</f>
        <v>2808.16287518731</v>
      </c>
      <c r="K28" s="95" t="n">
        <f aca="false">Cash_Flow!K26</f>
        <v>2891.15386017565</v>
      </c>
      <c r="L28" s="95" t="n">
        <f aca="false">Cash_Flow!L26</f>
        <v>3067.21298714346</v>
      </c>
      <c r="M28" s="95" t="n">
        <f aca="false">Cash_Flow!M26</f>
        <v>3223.91246190481</v>
      </c>
      <c r="N28" s="95" t="n">
        <f aca="false">Cash_Flow!N26</f>
        <v>3438.66022420952</v>
      </c>
      <c r="O28" s="95" t="n">
        <f aca="false">Cash_Flow!O26</f>
        <v>3703.5336494248</v>
      </c>
    </row>
    <row r="29" customFormat="false" ht="15" hidden="false" customHeight="true" outlineLevel="0" collapsed="false">
      <c r="A29" s="118" t="s">
        <v>481</v>
      </c>
      <c r="B29" s="125" t="n">
        <f aca="false">Cash_Flow!B28</f>
        <v>349.409000000002</v>
      </c>
      <c r="C29" s="125" t="n">
        <f aca="false">Cash_Flow!C28</f>
        <v>641.712</v>
      </c>
      <c r="D29" s="125" t="n">
        <f aca="false">Cash_Flow!D28</f>
        <v>5388.477</v>
      </c>
      <c r="E29" s="125" t="n">
        <f aca="false">Cash_Flow!E28</f>
        <v>11020.5</v>
      </c>
      <c r="F29" s="126" t="n">
        <f aca="false">Cash_Flow!F28</f>
        <v>13151.1324623256</v>
      </c>
      <c r="G29" s="126" t="n">
        <f aca="false">Cash_Flow!G28</f>
        <v>15380.4225087827</v>
      </c>
      <c r="H29" s="126" t="n">
        <f aca="false">Cash_Flow!H28</f>
        <v>17778.6001107337</v>
      </c>
      <c r="I29" s="126" t="n">
        <f aca="false">Cash_Flow!I28</f>
        <v>20367.7353598333</v>
      </c>
      <c r="J29" s="126" t="n">
        <f aca="false">Cash_Flow!J28</f>
        <v>23175.8982350206</v>
      </c>
      <c r="K29" s="126" t="n">
        <f aca="false">Cash_Flow!K28</f>
        <v>26067.0520951963</v>
      </c>
      <c r="L29" s="126" t="n">
        <f aca="false">Cash_Flow!L28</f>
        <v>29134.2650823397</v>
      </c>
      <c r="M29" s="126" t="n">
        <f aca="false">Cash_Flow!M28</f>
        <v>32358.1775442446</v>
      </c>
      <c r="N29" s="126" t="n">
        <f aca="false">Cash_Flow!N28</f>
        <v>35796.8377684541</v>
      </c>
      <c r="O29" s="126" t="n">
        <f aca="false">Cash_Flow!O28</f>
        <v>39500.3714178789</v>
      </c>
    </row>
    <row r="31" customFormat="false" ht="15.75" hidden="false" customHeight="true" outlineLevel="0" collapsed="false">
      <c r="A31" s="82" t="s">
        <v>497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</row>
    <row r="32" customFormat="false" ht="15" hidden="false" customHeight="true" outlineLevel="0" collapsed="false">
      <c r="A32" s="65" t="s">
        <v>498</v>
      </c>
      <c r="B32" s="127" t="n">
        <f aca="false">ROUND(Profit_Loss!B8-Revenue_Model!B59,6)</f>
        <v>0</v>
      </c>
      <c r="C32" s="127" t="n">
        <f aca="false">ROUND(Profit_Loss!C8-Revenue_Model!C59,6)</f>
        <v>0</v>
      </c>
      <c r="D32" s="127" t="n">
        <f aca="false">ROUND(Profit_Loss!D8-Revenue_Model!D59,6)</f>
        <v>0</v>
      </c>
      <c r="E32" s="127" t="n">
        <f aca="false">ROUND(Profit_Loss!E8-Revenue_Model!E59,6)</f>
        <v>0</v>
      </c>
      <c r="F32" s="128" t="n">
        <f aca="false">0</f>
        <v>0</v>
      </c>
      <c r="G32" s="128" t="n">
        <f aca="false">0</f>
        <v>0</v>
      </c>
      <c r="H32" s="128" t="n">
        <f aca="false">0</f>
        <v>0</v>
      </c>
      <c r="I32" s="128" t="n">
        <f aca="false">0</f>
        <v>0</v>
      </c>
      <c r="J32" s="128" t="n">
        <f aca="false">0</f>
        <v>0</v>
      </c>
      <c r="K32" s="128" t="n">
        <f aca="false">0</f>
        <v>0</v>
      </c>
      <c r="L32" s="128" t="n">
        <f aca="false">0</f>
        <v>0</v>
      </c>
      <c r="M32" s="128" t="n">
        <f aca="false">0</f>
        <v>0</v>
      </c>
      <c r="N32" s="128" t="n">
        <f aca="false">0</f>
        <v>0</v>
      </c>
      <c r="O32" s="128" t="n">
        <f aca="false">0</f>
        <v>0</v>
      </c>
    </row>
    <row r="33" customFormat="false" ht="15" hidden="false" customHeight="true" outlineLevel="0" collapsed="false">
      <c r="A33" s="65" t="s">
        <v>499</v>
      </c>
      <c r="B33" s="128" t="n">
        <f aca="false">0</f>
        <v>0</v>
      </c>
      <c r="C33" s="128" t="n">
        <f aca="false">0</f>
        <v>0</v>
      </c>
      <c r="D33" s="128" t="n">
        <f aca="false">0</f>
        <v>0</v>
      </c>
      <c r="E33" s="128" t="n">
        <f aca="false">0</f>
        <v>0</v>
      </c>
      <c r="F33" s="127" t="n">
        <f aca="false">ROUND(Profit_Loss!J8-Revenue_Model!J54,6)</f>
        <v>0</v>
      </c>
      <c r="G33" s="127" t="n">
        <f aca="false">ROUND(Profit_Loss!O8-Revenue_Model!O54,6)</f>
        <v>0</v>
      </c>
      <c r="H33" s="127" t="n">
        <f aca="false">ROUND(Profit_Loss!P8-Revenue_Model!P54,6)</f>
        <v>0</v>
      </c>
      <c r="I33" s="127" t="n">
        <f aca="false">ROUND(Profit_Loss!Q8-Revenue_Model!Q54,6)</f>
        <v>0</v>
      </c>
      <c r="J33" s="127" t="n">
        <f aca="false">ROUND(Profit_Loss!R8-Revenue_Model!R54,6)</f>
        <v>0</v>
      </c>
      <c r="K33" s="127" t="n">
        <f aca="false">ROUND(Profit_Loss!S8-Revenue_Model!S54,6)</f>
        <v>0</v>
      </c>
      <c r="L33" s="127" t="n">
        <f aca="false">ROUND(Profit_Loss!T8-Revenue_Model!T54,6)</f>
        <v>0</v>
      </c>
      <c r="M33" s="127" t="n">
        <f aca="false">ROUND(Profit_Loss!U8-Revenue_Model!U54,6)</f>
        <v>0</v>
      </c>
      <c r="N33" s="127" t="n">
        <f aca="false">ROUND(Profit_Loss!V8-Revenue_Model!V54,6)</f>
        <v>0</v>
      </c>
      <c r="O33" s="127" t="n">
        <f aca="false">ROUND(Profit_Loss!W8-Revenue_Model!W54,6)</f>
        <v>0</v>
      </c>
    </row>
    <row r="34" customFormat="false" ht="15" hidden="false" customHeight="true" outlineLevel="0" collapsed="false">
      <c r="A34" s="65" t="s">
        <v>460</v>
      </c>
      <c r="B34" s="127" t="n">
        <f aca="false">ROUND(Balance_Sheet!B15-Balance_Sheet!B26,6)</f>
        <v>0</v>
      </c>
      <c r="C34" s="127" t="n">
        <f aca="false">ROUND(Balance_Sheet!C15-Balance_Sheet!C26,6)</f>
        <v>0</v>
      </c>
      <c r="D34" s="127" t="n">
        <f aca="false">ROUND(Balance_Sheet!D15-Balance_Sheet!D26,6)</f>
        <v>0</v>
      </c>
      <c r="E34" s="127" t="n">
        <f aca="false">ROUND(Balance_Sheet!E15-Balance_Sheet!E26,6)</f>
        <v>0</v>
      </c>
      <c r="F34" s="127" t="n">
        <f aca="false">ROUND(Balance_Sheet!F15-Balance_Sheet!F26,6)</f>
        <v>0</v>
      </c>
      <c r="G34" s="127" t="n">
        <f aca="false">ROUND(Balance_Sheet!G15-Balance_Sheet!G26,6)</f>
        <v>0</v>
      </c>
      <c r="H34" s="127" t="n">
        <f aca="false">ROUND(Balance_Sheet!H15-Balance_Sheet!H26,6)</f>
        <v>0</v>
      </c>
      <c r="I34" s="127" t="n">
        <f aca="false">ROUND(Balance_Sheet!I15-Balance_Sheet!I26,6)</f>
        <v>0</v>
      </c>
      <c r="J34" s="127" t="n">
        <f aca="false">ROUND(Balance_Sheet!J15-Balance_Sheet!J26,6)</f>
        <v>0</v>
      </c>
      <c r="K34" s="127" t="n">
        <f aca="false">ROUND(Balance_Sheet!K15-Balance_Sheet!K26,6)</f>
        <v>0</v>
      </c>
      <c r="L34" s="127" t="n">
        <f aca="false">ROUND(Balance_Sheet!L15-Balance_Sheet!L26,6)</f>
        <v>0</v>
      </c>
      <c r="M34" s="127" t="n">
        <f aca="false">ROUND(Balance_Sheet!M15-Balance_Sheet!M26,6)</f>
        <v>0</v>
      </c>
      <c r="N34" s="127" t="n">
        <f aca="false">ROUND(Balance_Sheet!N15-Balance_Sheet!N26,6)</f>
        <v>0</v>
      </c>
      <c r="O34" s="127" t="n">
        <f aca="false">ROUND(Balance_Sheet!O15-Balance_Sheet!O26,6)</f>
        <v>0</v>
      </c>
    </row>
    <row r="35" customFormat="false" ht="15" hidden="false" customHeight="true" outlineLevel="0" collapsed="false">
      <c r="A35" s="65" t="s">
        <v>482</v>
      </c>
      <c r="B35" s="127" t="n">
        <f aca="false">ROUND(Balance_Sheet!B13-Cash_Flow!B28,6)</f>
        <v>-0</v>
      </c>
      <c r="C35" s="127" t="n">
        <f aca="false">ROUND(Balance_Sheet!C13-Cash_Flow!C28,6)</f>
        <v>0</v>
      </c>
      <c r="D35" s="127" t="n">
        <f aca="false">ROUND(Balance_Sheet!D13-Cash_Flow!D28,6)</f>
        <v>0</v>
      </c>
      <c r="E35" s="127" t="n">
        <f aca="false">ROUND(Balance_Sheet!E13-Cash_Flow!E28,6)</f>
        <v>0</v>
      </c>
      <c r="F35" s="127" t="n">
        <f aca="false">ROUND(Balance_Sheet!F13-Cash_Flow!F28,6)</f>
        <v>0</v>
      </c>
      <c r="G35" s="127" t="n">
        <f aca="false">ROUND(Balance_Sheet!G13-Cash_Flow!G28,6)</f>
        <v>0</v>
      </c>
      <c r="H35" s="127" t="n">
        <f aca="false">ROUND(Balance_Sheet!H13-Cash_Flow!H28,6)</f>
        <v>0</v>
      </c>
      <c r="I35" s="127" t="n">
        <f aca="false">ROUND(Balance_Sheet!I13-Cash_Flow!I28,6)</f>
        <v>0</v>
      </c>
      <c r="J35" s="127" t="n">
        <f aca="false">ROUND(Balance_Sheet!J13-Cash_Flow!J28,6)</f>
        <v>0</v>
      </c>
      <c r="K35" s="127" t="n">
        <f aca="false">ROUND(Balance_Sheet!K13-Cash_Flow!K28,6)</f>
        <v>0</v>
      </c>
      <c r="L35" s="127" t="n">
        <f aca="false">ROUND(Balance_Sheet!L13-Cash_Flow!L28,6)</f>
        <v>0</v>
      </c>
      <c r="M35" s="127" t="n">
        <f aca="false">ROUND(Balance_Sheet!M13-Cash_Flow!M28,6)</f>
        <v>0</v>
      </c>
      <c r="N35" s="127" t="n">
        <f aca="false">ROUND(Balance_Sheet!N13-Cash_Flow!N28,6)</f>
        <v>0</v>
      </c>
      <c r="O35" s="127" t="n">
        <f aca="false">ROUND(Balance_Sheet!O13-Cash_Flow!O28,6)</f>
        <v>0</v>
      </c>
    </row>
    <row r="36" customFormat="false" ht="15" hidden="false" customHeight="true" outlineLevel="0" collapsed="false">
      <c r="A36" s="65" t="s">
        <v>500</v>
      </c>
      <c r="B36" s="127" t="n">
        <f aca="false">ROUND(Balance_Sheet!B9-B12,6)</f>
        <v>0</v>
      </c>
      <c r="C36" s="127" t="n">
        <f aca="false">ROUND(Balance_Sheet!C9-C12,6)</f>
        <v>0</v>
      </c>
      <c r="D36" s="127" t="n">
        <f aca="false">ROUND(Balance_Sheet!D9-D12,6)</f>
        <v>0</v>
      </c>
      <c r="E36" s="127" t="n">
        <f aca="false">ROUND(Balance_Sheet!E9-E12,6)</f>
        <v>0</v>
      </c>
      <c r="F36" s="127" t="n">
        <f aca="false">ROUND(Balance_Sheet!F9-F12,6)</f>
        <v>0</v>
      </c>
      <c r="G36" s="127" t="n">
        <f aca="false">ROUND(Balance_Sheet!G9-G12,6)</f>
        <v>0</v>
      </c>
      <c r="H36" s="127" t="n">
        <f aca="false">ROUND(Balance_Sheet!H9-H12,6)</f>
        <v>0</v>
      </c>
      <c r="I36" s="127" t="n">
        <f aca="false">ROUND(Balance_Sheet!I9-I12,6)</f>
        <v>0</v>
      </c>
      <c r="J36" s="127" t="n">
        <f aca="false">ROUND(Balance_Sheet!J9-J12,6)</f>
        <v>0</v>
      </c>
      <c r="K36" s="127" t="n">
        <f aca="false">ROUND(Balance_Sheet!K9-K12,6)</f>
        <v>0</v>
      </c>
      <c r="L36" s="127" t="n">
        <f aca="false">ROUND(Balance_Sheet!L9-L12,6)</f>
        <v>0</v>
      </c>
      <c r="M36" s="127" t="n">
        <f aca="false">ROUND(Balance_Sheet!M9-M12,6)</f>
        <v>0</v>
      </c>
      <c r="N36" s="127" t="n">
        <f aca="false">ROUND(Balance_Sheet!N9-N12,6)</f>
        <v>0</v>
      </c>
      <c r="O36" s="127" t="n">
        <f aca="false">ROUND(Balance_Sheet!O9-O12,6)</f>
        <v>0</v>
      </c>
    </row>
    <row r="37" customFormat="false" ht="15" hidden="false" customHeight="true" outlineLevel="0" collapsed="false">
      <c r="A37" s="65" t="s">
        <v>501</v>
      </c>
      <c r="B37" s="127" t="n">
        <f aca="false">ROUND(Balance_Sheet!B19-B24,6)</f>
        <v>0</v>
      </c>
      <c r="C37" s="127" t="n">
        <f aca="false">ROUND(Balance_Sheet!C19-C24,6)</f>
        <v>0</v>
      </c>
      <c r="D37" s="127" t="n">
        <f aca="false">ROUND(Balance_Sheet!D19-D24,6)</f>
        <v>0</v>
      </c>
      <c r="E37" s="127" t="n">
        <f aca="false">ROUND(Balance_Sheet!E19-E24,6)</f>
        <v>0</v>
      </c>
      <c r="F37" s="127" t="n">
        <f aca="false">ROUND(Balance_Sheet!F19-F24,6)</f>
        <v>0</v>
      </c>
      <c r="G37" s="127" t="n">
        <f aca="false">ROUND(Balance_Sheet!G19-G24,6)</f>
        <v>0</v>
      </c>
      <c r="H37" s="127" t="n">
        <f aca="false">ROUND(Balance_Sheet!H19-H24,6)</f>
        <v>0</v>
      </c>
      <c r="I37" s="127" t="n">
        <f aca="false">ROUND(Balance_Sheet!I19-I24,6)</f>
        <v>0</v>
      </c>
      <c r="J37" s="127" t="n">
        <f aca="false">ROUND(Balance_Sheet!J19-J24,6)</f>
        <v>0</v>
      </c>
      <c r="K37" s="127" t="n">
        <f aca="false">ROUND(Balance_Sheet!K19-K24,6)</f>
        <v>0</v>
      </c>
      <c r="L37" s="127" t="n">
        <f aca="false">ROUND(Balance_Sheet!L19-L24,6)</f>
        <v>0</v>
      </c>
      <c r="M37" s="127" t="n">
        <f aca="false">ROUND(Balance_Sheet!M19-M24,6)</f>
        <v>0</v>
      </c>
      <c r="N37" s="127" t="n">
        <f aca="false">ROUND(Balance_Sheet!N19-N24,6)</f>
        <v>0</v>
      </c>
      <c r="O37" s="127" t="n">
        <f aca="false">ROUND(Balance_Sheet!O19-O24,6)</f>
        <v>0</v>
      </c>
    </row>
    <row r="38" customFormat="false" ht="15" hidden="false" customHeight="true" outlineLevel="0" collapsed="false">
      <c r="A38" s="65" t="s">
        <v>502</v>
      </c>
      <c r="B38" s="128" t="n">
        <f aca="false">0</f>
        <v>0</v>
      </c>
      <c r="C38" s="128" t="n">
        <f aca="false">0</f>
        <v>0</v>
      </c>
      <c r="D38" s="128" t="n">
        <f aca="false">0</f>
        <v>0</v>
      </c>
      <c r="E38" s="128" t="n">
        <f aca="false">0</f>
        <v>0</v>
      </c>
      <c r="F38" s="127" t="n">
        <f aca="false">ROUND(Profit_Loss!J8-SUM(Profit_Loss!F8:I8),6)</f>
        <v>0</v>
      </c>
      <c r="G38" s="128" t="n">
        <f aca="false">0</f>
        <v>0</v>
      </c>
      <c r="H38" s="128" t="n">
        <f aca="false">0</f>
        <v>0</v>
      </c>
      <c r="I38" s="128" t="n">
        <f aca="false">0</f>
        <v>0</v>
      </c>
      <c r="J38" s="128" t="n">
        <f aca="false">0</f>
        <v>0</v>
      </c>
      <c r="K38" s="128" t="n">
        <f aca="false">0</f>
        <v>0</v>
      </c>
      <c r="L38" s="128" t="n">
        <f aca="false">0</f>
        <v>0</v>
      </c>
      <c r="M38" s="128" t="n">
        <f aca="false">0</f>
        <v>0</v>
      </c>
      <c r="N38" s="128" t="n">
        <f aca="false">0</f>
        <v>0</v>
      </c>
      <c r="O38" s="128" t="n">
        <f aca="false">0</f>
        <v>0</v>
      </c>
    </row>
    <row r="39" customFormat="false" ht="15" hidden="false" customHeight="true" outlineLevel="0" collapsed="false">
      <c r="A39" s="65" t="s">
        <v>503</v>
      </c>
      <c r="B39" s="128" t="n">
        <f aca="false">0</f>
        <v>0</v>
      </c>
      <c r="C39" s="128" t="n">
        <f aca="false">0</f>
        <v>0</v>
      </c>
      <c r="D39" s="128" t="n">
        <f aca="false">0</f>
        <v>0</v>
      </c>
      <c r="E39" s="128" t="n">
        <f aca="false">0</f>
        <v>0</v>
      </c>
      <c r="F39" s="127" t="n">
        <f aca="false">ROUND(Profit_Loss!J17-SUM(Profit_Loss!F17:I17),6)</f>
        <v>0</v>
      </c>
      <c r="G39" s="128" t="n">
        <f aca="false">0</f>
        <v>0</v>
      </c>
      <c r="H39" s="128" t="n">
        <f aca="false">0</f>
        <v>0</v>
      </c>
      <c r="I39" s="128" t="n">
        <f aca="false">0</f>
        <v>0</v>
      </c>
      <c r="J39" s="128" t="n">
        <f aca="false">0</f>
        <v>0</v>
      </c>
      <c r="K39" s="128" t="n">
        <f aca="false">0</f>
        <v>0</v>
      </c>
      <c r="L39" s="128" t="n">
        <f aca="false">0</f>
        <v>0</v>
      </c>
      <c r="M39" s="128" t="n">
        <f aca="false">0</f>
        <v>0</v>
      </c>
      <c r="N39" s="128" t="n">
        <f aca="false">0</f>
        <v>0</v>
      </c>
      <c r="O39" s="128" t="n">
        <f aca="false">0</f>
        <v>0</v>
      </c>
    </row>
    <row r="40" customFormat="false" ht="15" hidden="false" customHeight="true" outlineLevel="0" collapsed="false">
      <c r="A40" s="65" t="s">
        <v>504</v>
      </c>
      <c r="B40" s="128" t="n">
        <f aca="false">0</f>
        <v>0</v>
      </c>
      <c r="C40" s="128" t="n">
        <f aca="false">0</f>
        <v>0</v>
      </c>
      <c r="D40" s="128" t="n">
        <f aca="false">0</f>
        <v>0</v>
      </c>
      <c r="E40" s="128" t="n">
        <f aca="false">0</f>
        <v>0</v>
      </c>
      <c r="F40" s="127" t="n">
        <f aca="false">ROUND(Profit_Loss!J32-SUM(Profit_Loss!F32:I32),6)</f>
        <v>0</v>
      </c>
      <c r="G40" s="128" t="n">
        <f aca="false">0</f>
        <v>0</v>
      </c>
      <c r="H40" s="128" t="n">
        <f aca="false">0</f>
        <v>0</v>
      </c>
      <c r="I40" s="128" t="n">
        <f aca="false">0</f>
        <v>0</v>
      </c>
      <c r="J40" s="128" t="n">
        <f aca="false">0</f>
        <v>0</v>
      </c>
      <c r="K40" s="128" t="n">
        <f aca="false">0</f>
        <v>0</v>
      </c>
      <c r="L40" s="128" t="n">
        <f aca="false">0</f>
        <v>0</v>
      </c>
      <c r="M40" s="128" t="n">
        <f aca="false">0</f>
        <v>0</v>
      </c>
      <c r="N40" s="128" t="n">
        <f aca="false">0</f>
        <v>0</v>
      </c>
      <c r="O40" s="128" t="n">
        <f aca="false">0</f>
        <v>0</v>
      </c>
    </row>
    <row r="41" customFormat="false" ht="15" hidden="false" customHeight="true" outlineLevel="0" collapsed="false">
      <c r="A41" s="65" t="s">
        <v>505</v>
      </c>
      <c r="B41" s="128" t="n">
        <f aca="false">0</f>
        <v>0</v>
      </c>
      <c r="C41" s="128" t="n">
        <f aca="false">0</f>
        <v>0</v>
      </c>
      <c r="D41" s="128" t="n">
        <f aca="false">0</f>
        <v>0</v>
      </c>
      <c r="E41" s="128" t="n">
        <f aca="false">0</f>
        <v>0</v>
      </c>
      <c r="F41" s="128" t="n">
        <f aca="false">0</f>
        <v>0</v>
      </c>
      <c r="G41" s="127" t="n">
        <f aca="false">ROUND(Profit_Loss!O8-SUM(Profit_Loss!K8:N8),6)</f>
        <v>0</v>
      </c>
      <c r="H41" s="128" t="n">
        <f aca="false">0</f>
        <v>0</v>
      </c>
      <c r="I41" s="128" t="n">
        <f aca="false">0</f>
        <v>0</v>
      </c>
      <c r="J41" s="128" t="n">
        <f aca="false">0</f>
        <v>0</v>
      </c>
      <c r="K41" s="128" t="n">
        <f aca="false">0</f>
        <v>0</v>
      </c>
      <c r="L41" s="128" t="n">
        <f aca="false">0</f>
        <v>0</v>
      </c>
      <c r="M41" s="128" t="n">
        <f aca="false">0</f>
        <v>0</v>
      </c>
      <c r="N41" s="128" t="n">
        <f aca="false">0</f>
        <v>0</v>
      </c>
      <c r="O41" s="128" t="n">
        <f aca="false">0</f>
        <v>0</v>
      </c>
    </row>
    <row r="42" customFormat="false" ht="15" hidden="false" customHeight="true" outlineLevel="0" collapsed="false">
      <c r="A42" s="65" t="s">
        <v>506</v>
      </c>
      <c r="B42" s="128" t="n">
        <f aca="false">0</f>
        <v>0</v>
      </c>
      <c r="C42" s="128" t="n">
        <f aca="false">0</f>
        <v>0</v>
      </c>
      <c r="D42" s="128" t="n">
        <f aca="false">0</f>
        <v>0</v>
      </c>
      <c r="E42" s="128" t="n">
        <f aca="false">0</f>
        <v>0</v>
      </c>
      <c r="F42" s="128" t="n">
        <f aca="false">0</f>
        <v>0</v>
      </c>
      <c r="G42" s="127" t="n">
        <f aca="false">ROUND(Profit_Loss!O17-SUM(Profit_Loss!K17:N17),6)</f>
        <v>0</v>
      </c>
      <c r="H42" s="128" t="n">
        <f aca="false">0</f>
        <v>0</v>
      </c>
      <c r="I42" s="128" t="n">
        <f aca="false">0</f>
        <v>0</v>
      </c>
      <c r="J42" s="128" t="n">
        <f aca="false">0</f>
        <v>0</v>
      </c>
      <c r="K42" s="128" t="n">
        <f aca="false">0</f>
        <v>0</v>
      </c>
      <c r="L42" s="128" t="n">
        <f aca="false">0</f>
        <v>0</v>
      </c>
      <c r="M42" s="128" t="n">
        <f aca="false">0</f>
        <v>0</v>
      </c>
      <c r="N42" s="128" t="n">
        <f aca="false">0</f>
        <v>0</v>
      </c>
      <c r="O42" s="128" t="n">
        <f aca="false">0</f>
        <v>0</v>
      </c>
    </row>
    <row r="43" customFormat="false" ht="15" hidden="false" customHeight="true" outlineLevel="0" collapsed="false">
      <c r="A43" s="65" t="s">
        <v>507</v>
      </c>
      <c r="B43" s="128" t="n">
        <f aca="false">0</f>
        <v>0</v>
      </c>
      <c r="C43" s="128" t="n">
        <f aca="false">0</f>
        <v>0</v>
      </c>
      <c r="D43" s="128" t="n">
        <f aca="false">0</f>
        <v>0</v>
      </c>
      <c r="E43" s="128" t="n">
        <f aca="false">0</f>
        <v>0</v>
      </c>
      <c r="F43" s="128" t="n">
        <f aca="false">0</f>
        <v>0</v>
      </c>
      <c r="G43" s="127" t="n">
        <f aca="false">ROUND(Profit_Loss!O32-SUM(Profit_Loss!K32:N32),6)</f>
        <v>0</v>
      </c>
      <c r="H43" s="128" t="n">
        <f aca="false">0</f>
        <v>0</v>
      </c>
      <c r="I43" s="128" t="n">
        <f aca="false">0</f>
        <v>0</v>
      </c>
      <c r="J43" s="128" t="n">
        <f aca="false">0</f>
        <v>0</v>
      </c>
      <c r="K43" s="128" t="n">
        <f aca="false">0</f>
        <v>0</v>
      </c>
      <c r="L43" s="128" t="n">
        <f aca="false">0</f>
        <v>0</v>
      </c>
      <c r="M43" s="128" t="n">
        <f aca="false">0</f>
        <v>0</v>
      </c>
      <c r="N43" s="128" t="n">
        <f aca="false">0</f>
        <v>0</v>
      </c>
      <c r="O43" s="128" t="n">
        <f aca="false">0</f>
        <v>0</v>
      </c>
    </row>
    <row r="44" customFormat="false" ht="15" hidden="false" customHeight="true" outlineLevel="0" collapsed="false">
      <c r="A44" s="65" t="s">
        <v>508</v>
      </c>
      <c r="B44" s="127" t="n">
        <f aca="false">SUMPRODUCT(--ISERROR(Profit_Loss!B8:W39))+SUMPRODUCT(--ISERROR(Balance_Sheet!B9:O28))+SUMPRODUCT(--ISERROR(Cash_Flow!B8:O30))+SUMPRODUCT(--ISERROR(Schedules_Checks!B8:O43))</f>
        <v>0</v>
      </c>
      <c r="C44" s="128" t="n">
        <f aca="false">0</f>
        <v>0</v>
      </c>
      <c r="D44" s="128" t="n">
        <f aca="false">0</f>
        <v>0</v>
      </c>
      <c r="E44" s="128" t="n">
        <f aca="false">0</f>
        <v>0</v>
      </c>
      <c r="F44" s="128" t="n">
        <f aca="false">0</f>
        <v>0</v>
      </c>
      <c r="G44" s="128" t="n">
        <f aca="false">0</f>
        <v>0</v>
      </c>
      <c r="H44" s="128" t="n">
        <f aca="false">0</f>
        <v>0</v>
      </c>
      <c r="I44" s="128" t="n">
        <f aca="false">0</f>
        <v>0</v>
      </c>
      <c r="J44" s="128" t="n">
        <f aca="false">0</f>
        <v>0</v>
      </c>
      <c r="K44" s="128" t="n">
        <f aca="false">0</f>
        <v>0</v>
      </c>
      <c r="L44" s="128" t="n">
        <f aca="false">0</f>
        <v>0</v>
      </c>
      <c r="M44" s="128" t="n">
        <f aca="false">0</f>
        <v>0</v>
      </c>
      <c r="N44" s="128" t="n">
        <f aca="false">0</f>
        <v>0</v>
      </c>
      <c r="O44" s="128" t="n">
        <f aca="false">0</f>
        <v>0</v>
      </c>
    </row>
  </sheetData>
  <mergeCells count="7">
    <mergeCell ref="A1:O1"/>
    <mergeCell ref="A2:O2"/>
    <mergeCell ref="A7:O7"/>
    <mergeCell ref="A14:O14"/>
    <mergeCell ref="A19:O19"/>
    <mergeCell ref="A26:O26"/>
    <mergeCell ref="A31:O31"/>
  </mergeCells>
  <conditionalFormatting sqref="B32:O44">
    <cfRule type="cellIs" priority="2" operator="not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2026-09-14T04:39:13Z</dcterms:created>
  <dc:creator>openpyxl</dc:creator>
  <dc:description/>
  <dc:language>en-US</dc:language>
  <cp:lastModifiedBy>Shirsh Sawarna</cp:lastModifiedBy>
  <dcterms:modified xsi:type="dcterms:W3CDTF">2026-09-15T01:24:12Z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