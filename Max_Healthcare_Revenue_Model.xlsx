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5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296602d4604c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istorical KPIs" sheetId="1" r:id="R0ba500b4ba5b40e3"/>
    <x:sheet xmlns:r="http://schemas.openxmlformats.org/officeDocument/2006/relationships" name="New Capacity" sheetId="2" r:id="R7d57989b055b4700"/>
    <x:sheet xmlns:r="http://schemas.openxmlformats.org/officeDocument/2006/relationships" name="Revenue Model" sheetId="3" r:id="Radc5094625db425a"/>
    <x:sheet xmlns:r="http://schemas.openxmlformats.org/officeDocument/2006/relationships" name="Annual Summary" sheetId="4" r:id="R869563d9de444f23"/>
    <x:sheet xmlns:r="http://schemas.openxmlformats.org/officeDocument/2006/relationships" name="Sources &amp; Notes" sheetId="5" r:id="Rfa35eab5b6374b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;[Red](#,##0);-"/>
    <x:numFmt numFmtId="201" formatCode="0.0%;[Red](0.0%);-"/>
    <x:numFmt numFmtId="202" formatCode="0.0"/>
    <x:numFmt numFmtId="203" formatCode="0.00x"/>
    <x:numFmt numFmtId="204" formatCode="0"/>
  </x:numFmts>
  <x:fonts count="8">
    <x:font>
      <x:sz val="11"/>
      <x:name val="Carlito"/>
    </x:font>
    <x:font>
      <x:b/>
      <x:sz val="15"/>
      <x:color rgb="FFFFFFFF"/>
      <x:name val="Carlito"/>
    </x:font>
    <x:font>
      <x:i/>
      <x:sz val="11"/>
      <x:color rgb="FF666666"/>
      <x:name val="Carlito"/>
    </x:font>
    <x:font>
      <x:b/>
      <x:sz val="11"/>
      <x:name val="Carlito"/>
    </x:font>
    <x:font>
      <x:sz val="11"/>
      <x:color rgb="FF0000FF"/>
      <x:name val="Carlito"/>
    </x:font>
    <x:font>
      <x:sz val="11"/>
      <x:color rgb="FF000000"/>
      <x:name val="Carlito"/>
    </x:font>
    <x:font>
      <x:b/>
      <x:sz val="11"/>
      <x:color rgb="FFFFFFFF"/>
      <x:name val="Carlito"/>
    </x:font>
    <x:font>
      <x:sz val="11"/>
      <x:color rgb="FF00800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1F2"/>
      </x:patternFill>
    </x:fill>
    <x:fill>
      <x:patternFill patternType="solid">
        <x:fgColor rgb="FFFCE4D6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10">
    <x:border/>
    <x:border/>
    <x:border>
      <x:bottom style="thin">
        <x:color rgb="FF17365D"/>
      </x:bottom>
    </x:border>
    <x:border>
      <x:bottom style="thin">
        <x:color rgb="FF17365D"/>
      </x:bottom>
    </x:border>
    <x:border>
      <x:bottom style="hair">
        <x:color rgb="FFD9D9D9"/>
      </x:bottom>
    </x:border>
    <x:border>
      <x:bottom style="hair">
        <x:color rgb="FFD9D9D9"/>
      </x:bottom>
    </x:border>
    <x:border>
      <x:top style="thin">
        <x:color rgb="FF17365D"/>
      </x:top>
    </x:border>
    <x:border>
      <x:top style="thin">
        <x:color rgb="FF17365D"/>
      </x:top>
    </x:border>
    <x:border>
      <x:top style="double">
        <x:color rgb="FF17365D"/>
      </x:top>
    </x:border>
    <x:border>
      <x:top style="double">
        <x:color rgb="FF17365D"/>
      </x:top>
    </x:border>
  </x:borders>
  <x:cellStyleXfs count="1">
    <x:xf numFmtId="0" fontId="0" fillId="0" borderId="0"/>
  </x:cellStyleXfs>
  <x:cellXfs count="14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2" xfId="0" applyNumberFormat="1" applyFont="1" applyFill="1" applyBorder="1"/>
    <x:xf numFmtId="0" fontId="3" fillId="3" borderId="2" xfId="0" applyNumberFormat="1" applyFont="1" applyFill="1" applyBorder="1" applyAlignment="1">
      <x:alignment horizontal="right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3" xfId="0" applyNumberFormat="1" applyFont="1" applyFill="1" applyBorder="1"/>
    <x:xf numFmtId="0" fontId="3" fillId="3" borderId="3" xfId="0" applyNumberFormat="1" applyFont="1" applyFill="1" applyBorder="1" applyAlignment="1">
      <x:alignment horizontal="right"/>
    </x:xf>
    <x:xf numFmtId="0" fontId="3" fillId="3" borderId="2" xfId="0" applyNumberFormat="1" applyFont="1" applyFill="1" applyBorder="1" applyAlignment="1">
      <x:alignment horizontal="left"/>
    </x:xf>
    <x:xf numFmtId="0" fontId="3" fillId="3" borderId="3" xfId="0" applyNumberFormat="1" applyFont="1" applyFill="1" applyBorder="1" applyAlignment="1">
      <x:alignment horizontal="left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200" fontId="4" fillId="0" borderId="0" xfId="0" applyNumberFormat="1" applyFont="1" applyFill="1" applyBorder="1"/>
    <x:xf numFmtId="200" fontId="5" fillId="0" borderId="0" xfId="0" applyNumberFormat="1" applyFont="1" applyFill="1" applyBorder="1"/>
    <x:xf numFmtId="200" fontId="4" fillId="0" borderId="1" xfId="0" applyNumberFormat="1" applyFont="1" applyFill="1" applyBorder="1"/>
    <x:xf numFmtId="200" fontId="5" fillId="0" borderId="1" xfId="0" applyNumberFormat="1" applyFont="1" applyFill="1" applyBorder="1"/>
    <x:xf numFmtId="201" fontId="4" fillId="0" borderId="0" xfId="0" applyNumberFormat="1" applyFont="1" applyFill="1" applyBorder="1"/>
    <x:xf numFmtId="201" fontId="5" fillId="0" borderId="0" xfId="0" applyNumberFormat="1" applyFont="1" applyFill="1" applyBorder="1"/>
    <x:xf numFmtId="201" fontId="4" fillId="0" borderId="1" xfId="0" applyNumberFormat="1" applyFont="1" applyFill="1" applyBorder="1"/>
    <x:xf numFmtId="201" fontId="5" fillId="0" borderId="1" xfId="0" applyNumberFormat="1" applyFont="1" applyFill="1" applyBorder="1"/>
    <x:xf numFmtId="202" fontId="4" fillId="0" borderId="0" xfId="0" applyNumberFormat="1" applyFont="1" applyFill="1" applyBorder="1"/>
    <x:xf numFmtId="202" fontId="5" fillId="0" borderId="0" xfId="0" applyNumberFormat="1" applyFont="1" applyFill="1" applyBorder="1"/>
    <x:xf numFmtId="202" fontId="4" fillId="0" borderId="1" xfId="0" applyNumberFormat="1" applyFont="1" applyFill="1" applyBorder="1"/>
    <x:xf numFmtId="202" fontId="5" fillId="0" borderId="1" xfId="0" applyNumberFormat="1" applyFont="1" applyFill="1" applyBorder="1"/>
    <x:xf numFmtId="0" fontId="0" fillId="0" borderId="0" xfId="0" applyNumberFormat="1" applyFont="1" applyFill="1" applyBorder="1"/>
    <x:xf numFmtId="0" fontId="5" fillId="0" borderId="4" xfId="0" applyNumberFormat="1" applyFont="1" applyFill="1" applyBorder="1"/>
    <x:xf numFmtId="0" fontId="0" fillId="0" borderId="4" xfId="0" applyNumberFormat="1" applyFont="1" applyFill="1" applyBorder="1"/>
    <x:xf numFmtId="200" fontId="4" fillId="0" borderId="4" xfId="0" applyNumberFormat="1" applyFont="1" applyFill="1" applyBorder="1"/>
    <x:xf numFmtId="200" fontId="5" fillId="0" borderId="4" xfId="0" applyNumberFormat="1" applyFont="1" applyFill="1" applyBorder="1"/>
    <x:xf numFmtId="0" fontId="5" fillId="0" borderId="5" xfId="0" applyNumberFormat="1" applyFont="1" applyFill="1" applyBorder="1"/>
    <x:xf numFmtId="0" fontId="0" fillId="0" borderId="5" xfId="0" applyNumberFormat="1" applyFont="1" applyFill="1" applyBorder="1"/>
    <x:xf numFmtId="200" fontId="4" fillId="0" borderId="5" xfId="0" applyNumberFormat="1" applyFont="1" applyFill="1" applyBorder="1"/>
    <x:xf numFmtId="200" fontId="5" fillId="0" borderId="5" xfId="0" applyNumberFormat="1" applyFont="1" applyFill="1" applyBorder="1"/>
    <x:xf numFmtId="0" fontId="5" fillId="4" borderId="0" xfId="0" applyNumberFormat="1" applyFont="1" applyFill="1" applyBorder="1"/>
    <x:xf numFmtId="0" fontId="0" fillId="4" borderId="0" xfId="0" applyNumberFormat="1" applyFont="1" applyFill="1" applyBorder="1"/>
    <x:xf numFmtId="200" fontId="4" fillId="4" borderId="0" xfId="0" applyNumberFormat="1" applyFont="1" applyFill="1" applyBorder="1"/>
    <x:xf numFmtId="200" fontId="5" fillId="4" borderId="0" xfId="0" applyNumberFormat="1" applyFont="1" applyFill="1" applyBorder="1"/>
    <x:xf numFmtId="0" fontId="5" fillId="4" borderId="4" xfId="0" applyNumberFormat="1" applyFont="1" applyFill="1" applyBorder="1"/>
    <x:xf numFmtId="0" fontId="0" fillId="4" borderId="4" xfId="0" applyNumberFormat="1" applyFont="1" applyFill="1" applyBorder="1"/>
    <x:xf numFmtId="200" fontId="4" fillId="4" borderId="4" xfId="0" applyNumberFormat="1" applyFont="1" applyFill="1" applyBorder="1"/>
    <x:xf numFmtId="200" fontId="5" fillId="4" borderId="4" xfId="0" applyNumberFormat="1" applyFont="1" applyFill="1" applyBorder="1"/>
    <x:xf numFmtId="0" fontId="5" fillId="4" borderId="1" xfId="0" applyNumberFormat="1" applyFont="1" applyFill="1" applyBorder="1"/>
    <x:xf numFmtId="0" fontId="0" fillId="4" borderId="1" xfId="0" applyNumberFormat="1" applyFont="1" applyFill="1" applyBorder="1"/>
    <x:xf numFmtId="200" fontId="4" fillId="4" borderId="1" xfId="0" applyNumberFormat="1" applyFont="1" applyFill="1" applyBorder="1"/>
    <x:xf numFmtId="200" fontId="5" fillId="4" borderId="1" xfId="0" applyNumberFormat="1" applyFont="1" applyFill="1" applyBorder="1"/>
    <x:xf numFmtId="0" fontId="5" fillId="4" borderId="5" xfId="0" applyNumberFormat="1" applyFont="1" applyFill="1" applyBorder="1"/>
    <x:xf numFmtId="0" fontId="0" fillId="4" borderId="5" xfId="0" applyNumberFormat="1" applyFont="1" applyFill="1" applyBorder="1"/>
    <x:xf numFmtId="200" fontId="4" fillId="4" borderId="5" xfId="0" applyNumberFormat="1" applyFont="1" applyFill="1" applyBorder="1"/>
    <x:xf numFmtId="200" fontId="5" fillId="4" borderId="5" xfId="0" applyNumberFormat="1" applyFont="1" applyFill="1" applyBorder="1"/>
    <x:xf numFmtId="0" fontId="2" fillId="4" borderId="0" xfId="0" applyNumberFormat="1" applyFont="1" applyFill="1" applyBorder="1"/>
    <x:xf numFmtId="0" fontId="2" fillId="4" borderId="4" xfId="0" applyNumberFormat="1" applyFont="1" applyFill="1" applyBorder="1"/>
    <x:xf numFmtId="0" fontId="2" fillId="4" borderId="1" xfId="0" applyNumberFormat="1" applyFont="1" applyFill="1" applyBorder="1"/>
    <x:xf numFmtId="0" fontId="2" fillId="4" borderId="5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2" xfId="0" applyNumberFormat="1" applyFont="1" applyFill="1" applyBorder="1"/>
    <x:xf numFmtId="0" fontId="3" fillId="5" borderId="2" xfId="0" applyNumberFormat="1" applyFont="1" applyFill="1" applyBorder="1" applyAlignment="1">
      <x:alignment horizontal="right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3" xfId="0" applyNumberFormat="1" applyFont="1" applyFill="1" applyBorder="1"/>
    <x:xf numFmtId="0" fontId="3" fillId="5" borderId="3" xfId="0" applyNumberFormat="1" applyFont="1" applyFill="1" applyBorder="1" applyAlignment="1">
      <x:alignment horizontal="right"/>
    </x:xf>
    <x:xf numFmtId="0" fontId="3" fillId="5" borderId="2" xfId="0" applyNumberFormat="1" applyFont="1" applyFill="1" applyBorder="1" applyAlignment="1">
      <x:alignment horizontal="left"/>
    </x:xf>
    <x:xf numFmtId="0" fontId="3" fillId="5" borderId="3" xfId="0" applyNumberFormat="1" applyFont="1" applyFill="1" applyBorder="1" applyAlignment="1">
      <x:alignment horizontal="left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horizontal="right"/>
    </x:xf>
    <x:xf numFmtId="0" fontId="0" fillId="7" borderId="1" xfId="0" applyNumberFormat="1" applyFont="1" applyFill="1" applyBorder="1"/>
    <x:xf numFmtId="0" fontId="4" fillId="7" borderId="1" xfId="0" applyNumberFormat="1" applyFont="1" applyFill="1" applyBorder="1"/>
    <x:xf numFmtId="0" fontId="4" fillId="7" borderId="1" xfId="0" applyNumberFormat="1" applyFont="1" applyFill="1" applyBorder="1" applyAlignment="1">
      <x:alignment horizontal="right"/>
    </x:xf>
    <x:xf numFmtId="200" fontId="4" fillId="7" borderId="0" xfId="0" applyNumberFormat="1" applyFont="1" applyFill="1" applyBorder="1" applyAlignment="1">
      <x:alignment horizontal="right"/>
    </x:xf>
    <x:xf numFmtId="200" fontId="4" fillId="7" borderId="1" xfId="0" applyNumberFormat="1" applyFont="1" applyFill="1" applyBorder="1" applyAlignment="1">
      <x:alignment horizontal="right"/>
    </x:xf>
    <x:xf numFmtId="201" fontId="4" fillId="7" borderId="0" xfId="0" applyNumberFormat="1" applyFont="1" applyFill="1" applyBorder="1" applyAlignment="1">
      <x:alignment horizontal="right"/>
    </x:xf>
    <x:xf numFmtId="201" fontId="4" fillId="7" borderId="1" xfId="0" applyNumberFormat="1" applyFont="1" applyFill="1" applyBorder="1" applyAlignment="1">
      <x:alignment horizontal="right"/>
    </x:xf>
    <x:xf numFmtId="203" fontId="4" fillId="7" borderId="0" xfId="0" applyNumberFormat="1" applyFont="1" applyFill="1" applyBorder="1" applyAlignment="1">
      <x:alignment horizontal="right"/>
    </x:xf>
    <x:xf numFmtId="203" fontId="4" fillId="7" borderId="1" xfId="0" applyNumberFormat="1" applyFont="1" applyFill="1" applyBorder="1" applyAlignment="1">
      <x:alignment horizontal="right"/>
    </x:xf>
    <x:xf numFmtId="0" fontId="0" fillId="0" borderId="6" xfId="0" applyNumberFormat="1" applyFont="1" applyFill="1" applyBorder="1"/>
    <x:xf numFmtId="200" fontId="5" fillId="0" borderId="6" xfId="0" applyNumberFormat="1" applyFont="1" applyFill="1" applyBorder="1"/>
    <x:xf numFmtId="0" fontId="0" fillId="0" borderId="7" xfId="0" applyNumberFormat="1" applyFont="1" applyFill="1" applyBorder="1"/>
    <x:xf numFmtId="200" fontId="5" fillId="0" borderId="7" xfId="0" applyNumberFormat="1" applyFont="1" applyFill="1" applyBorder="1"/>
    <x:xf numFmtId="204" fontId="4" fillId="7" borderId="0" xfId="0" applyNumberFormat="1" applyFont="1" applyFill="1" applyBorder="1"/>
    <x:xf numFmtId="204" fontId="4" fillId="7" borderId="1" xfId="0" applyNumberFormat="1" applyFont="1" applyFill="1" applyBorder="1"/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200" fontId="4" fillId="7" borderId="0" xfId="0" applyNumberFormat="1" applyFont="1" applyFill="1" applyBorder="1"/>
    <x:xf numFmtId="200" fontId="4" fillId="7" borderId="1" xfId="0" applyNumberFormat="1" applyFont="1" applyFill="1" applyBorder="1"/>
    <x:xf numFmtId="201" fontId="4" fillId="7" borderId="0" xfId="0" applyNumberFormat="1" applyFont="1" applyFill="1" applyBorder="1"/>
    <x:xf numFmtId="201" fontId="4" fillId="7" borderId="1" xfId="0" applyNumberFormat="1" applyFont="1" applyFill="1" applyBorder="1"/>
    <x:xf numFmtId="202" fontId="7" fillId="0" borderId="0" xfId="0" applyNumberFormat="1" applyFont="1" applyFill="1" applyBorder="1"/>
    <x:xf numFmtId="202" fontId="7" fillId="0" borderId="1" xfId="0" applyNumberFormat="1" applyFont="1" applyFill="1" applyBorder="1"/>
    <x:xf numFmtId="200" fontId="7" fillId="0" borderId="0" xfId="0" applyNumberFormat="1" applyFont="1" applyFill="1" applyBorder="1"/>
    <x:xf numFmtId="200" fontId="7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6" xfId="0" applyNumberFormat="1" applyFont="1" applyFill="1" applyBorder="1"/>
    <x:xf numFmtId="200" fontId="3" fillId="0" borderId="6" xfId="0" applyNumberFormat="1" applyFont="1" applyFill="1" applyBorder="1"/>
    <x:xf numFmtId="0" fontId="3" fillId="0" borderId="1" xfId="0" applyNumberFormat="1" applyFont="1" applyFill="1" applyBorder="1"/>
    <x:xf numFmtId="0" fontId="3" fillId="0" borderId="7" xfId="0" applyNumberFormat="1" applyFont="1" applyFill="1" applyBorder="1"/>
    <x:xf numFmtId="200" fontId="3" fillId="0" borderId="7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3" fillId="0" borderId="0" xfId="0" applyNumberFormat="1" applyFont="1" applyFill="1" applyBorder="1"/>
    <x:xf numFmtId="200" fontId="3" fillId="0" borderId="1" xfId="0" applyNumberFormat="1" applyFont="1" applyFill="1" applyBorder="1"/>
    <x:xf numFmtId="0" fontId="3" fillId="0" borderId="8" xfId="0" applyNumberFormat="1" applyFont="1" applyFill="1" applyBorder="1"/>
    <x:xf numFmtId="200" fontId="3" fillId="0" borderId="8" xfId="0" applyNumberFormat="1" applyFont="1" applyFill="1" applyBorder="1"/>
    <x:xf numFmtId="0" fontId="3" fillId="0" borderId="9" xfId="0" applyNumberFormat="1" applyFont="1" applyFill="1" applyBorder="1"/>
    <x:xf numFmtId="200" fontId="3" fillId="0" borderId="9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1" fontId="7" fillId="0" borderId="0" xfId="0" applyNumberFormat="1" applyFont="1" applyFill="1" applyBorder="1"/>
    <x:xf numFmtId="201" fontId="7" fillId="0" borderId="1" xfId="0" applyNumberFormat="1" applyFont="1" applyFill="1" applyBorder="1"/>
    <x:xf numFmtId="200" fontId="7" fillId="0" borderId="6" xfId="0" applyNumberFormat="1" applyFont="1" applyFill="1" applyBorder="1"/>
    <x:xf numFmtId="200" fontId="7" fillId="0" borderId="7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right" vertical="center"/>
    </x:xf>
    <x:xf numFmtId="0" fontId="0" fillId="0" borderId="0" xfId="0" applyNumberFormat="1" applyFont="1" applyFill="1" applyBorder="1" applyAlignment="1">
      <x:alignment horizontal="right"/>
    </x:xf>
    <x:xf numFmtId="0" fontId="1" fillId="2" borderId="1" xfId="0" applyNumberFormat="1" applyFont="1" applyFill="1" applyBorder="1" applyAlignment="1">
      <x:alignment horizontal="right" vertical="center"/>
    </x:xf>
    <x:xf numFmtId="0" fontId="0" fillId="0" borderId="1" xfId="0" applyNumberFormat="1" applyFont="1" applyFill="1" applyBorder="1" applyAlignment="1">
      <x:alignment horizontal="right"/>
    </x:xf>
    <x:xf numFmtId="0" fontId="1" fillId="2" borderId="0" xfId="0" applyNumberFormat="1" applyFont="1" applyFill="1" applyBorder="1" applyAlignment="1">
      <x:alignment horizontal="right"/>
    </x:xf>
    <x:xf numFmtId="0" fontId="1" fillId="2" borderId="1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cea14c03dc4168" /><Relationship Type="http://schemas.openxmlformats.org/officeDocument/2006/relationships/theme" Target="/xl/theme/theme1.xml" Id="Re8c99a10927f41e8" /><Relationship Type="http://schemas.openxmlformats.org/officeDocument/2006/relationships/sharedStrings" Target="/xl/sharedStrings.xml" Id="Rd7083262dd554369" /><Relationship Type="http://schemas.openxmlformats.org/officeDocument/2006/relationships/worksheet" Target="/xl/worksheets/sheet1.xml" Id="R0ba500b4ba5b40e3" /><Relationship Type="http://schemas.openxmlformats.org/officeDocument/2006/relationships/worksheet" Target="/xl/worksheets/sheet2.xml" Id="R7d57989b055b4700" /><Relationship Type="http://schemas.openxmlformats.org/officeDocument/2006/relationships/worksheet" Target="/xl/worksheets/sheet3.xml" Id="Radc5094625db425a" /><Relationship Type="http://schemas.openxmlformats.org/officeDocument/2006/relationships/worksheet" Target="/xl/worksheets/sheet4.xml" Id="R869563d9de444f23" /><Relationship Type="http://schemas.openxmlformats.org/officeDocument/2006/relationships/worksheet" Target="/xl/worksheets/sheet5.xml" Id="Rfa35eab5b6374b82" /><Relationship Type="http://schemas.microsoft.com/office/2017/10/relationships/person" Target="/xl/persons/person.xml" Id="R14b6e04a15a246e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5a6ad431cbc45e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Network Gross Revenue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FY26A</c:v>
          </c:tx>
          <c:cat>
            <c:strRef>
              <c:f>'Annual Summary'!$C$4</c:f>
              <c:strCache>
                <c:ptCount val="0"/>
              </c:strCache>
            </c:strRef>
          </c:cat>
          <c:val>
            <c:numRef>
              <c:f>'Annual Summary'!$D$4</c:f>
              <c:numCache>
                <c:formatCode>#,##0;[Red](#,##0);-</c:formatCode>
                <c:ptCount val="0"/>
              </c:numCache>
            </c:numRef>
          </c:val>
          <c:smooth val="0"/>
        </c:ser>
        <c:ser>
          <c:idx val="1"/>
          <c:order val="1"/>
          <c:tx>
            <c:v>FY27E</c:v>
          </c:tx>
          <c:cat>
            <c:strRef>
              <c:f>'Annual Summary'!$C$4</c:f>
              <c:strCache>
                <c:ptCount val="0"/>
              </c:strCache>
            </c:strRef>
          </c:cat>
          <c:val>
            <c:numRef>
              <c:f>'Annual Summary'!$E$4</c:f>
              <c:numCache>
                <c:formatCode>#,##0;[Red](#,##0);-</c:formatCode>
                <c:ptCount val="0"/>
              </c:numCache>
            </c:numRef>
          </c:val>
          <c:smooth val="0"/>
        </c:ser>
        <c:ser>
          <c:idx val="2"/>
          <c:order val="2"/>
          <c:tx>
            <c:v>FY28E</c:v>
          </c:tx>
          <c:cat>
            <c:strRef>
              <c:f>'Annual Summary'!$C$4</c:f>
              <c:strCache>
                <c:ptCount val="0"/>
              </c:strCache>
            </c:strRef>
          </c:cat>
          <c:val>
            <c:numRef>
              <c:f>'Annual Summary'!$F$4</c:f>
              <c:numCache>
                <c:formatCode>#,##0;[Red](#,##0);-</c:formatCode>
                <c:ptCount val="0"/>
              </c:numCache>
            </c:numRef>
          </c:val>
          <c:smooth val="0"/>
        </c:ser>
        <c:ser>
          <c:idx val="3"/>
          <c:order val="3"/>
          <c:tx>
            <c:v>FY29E</c:v>
          </c:tx>
          <c:cat>
            <c:strRef>
              <c:f>'Annual Summary'!$C$4</c:f>
              <c:strCache>
                <c:ptCount val="0"/>
              </c:strCache>
            </c:strRef>
          </c:cat>
          <c:val>
            <c:numRef>
              <c:f>'Annual Summary'!$G$4</c:f>
              <c:numCache>
                <c:formatCode>#,##0;[Red](#,##0);-</c:formatCode>
                <c:ptCount val="0"/>
              </c:numCache>
            </c:numRef>
          </c:val>
          <c:smooth val="0"/>
        </c:ser>
        <c:ser>
          <c:idx val="4"/>
          <c:order val="4"/>
          <c:tx>
            <c:v>FY30E</c:v>
          </c:tx>
          <c:cat>
            <c:strRef>
              <c:f>'Annual Summary'!$C$4</c:f>
              <c:strCache>
                <c:ptCount val="0"/>
              </c:strCache>
            </c:strRef>
          </c:cat>
          <c:val>
            <c:numRef>
              <c:f>'Annual Summary'!$H$4</c:f>
              <c:numCache>
                <c:formatCode>#,##0;[Red](#,##0);-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14</xdr:row>
      <xdr:rowOff>0</xdr:rowOff>
    </xdr:from>
    <xdr:to>
      <xdr:col>8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5a6ad431cbc45e2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OpenAI" id="{8335434F-5BD1-46F7-85BE-8D65B51819F4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1ab9288c059d46eb" /></Relationships>
</file>

<file path=xl/worksheets/sheet1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13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1" ht="26" customHeight="1">
      <x:c r="A1" s="5" t="str">
        <x:v>Max Healthcare — Historical Operating KPIs</x:v>
      </x:c>
      <x:c r="B1" s="5"/>
      <x:c r="C1" s="137"/>
      <x:c r="D1" s="137"/>
      <x:c r="E1" s="137"/>
      <x:c r="F1" s="137"/>
      <x:c r="G1" s="137"/>
      <x:c r="H1" s="137"/>
      <x:c r="I1" s="137"/>
      <x:c r="J1" s="137"/>
      <x:c r="K1" s="137"/>
      <x:c r="L1" s="137"/>
      <x:c r="M1" s="138"/>
      <x:c r="N1" s="138"/>
      <x:c r="O1" s="138"/>
      <x:c r="P1" s="138"/>
      <x:c r="Q1" s="138"/>
      <x:c r="R1" s="138"/>
    </x:row>
    <x:row r="2">
      <x:c r="A2" s="10" t="str">
        <x:v>Actual quarterly data used to anchor the revenue model | INR mn unless stated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</x:row>
    <x:row r="4">
      <x:c r="A4" s="20" t="str">
        <x:v>Metric</x:v>
      </x:c>
      <x:c r="B4" s="20" t="str">
        <x:v>Unit</x:v>
      </x:c>
      <x:c r="C4" s="15" t="str">
        <x:v>Q1FY25A</x:v>
      </x:c>
      <x:c r="D4" s="15" t="str">
        <x:v>Q2FY25A</x:v>
      </x:c>
      <x:c r="E4" s="15" t="str">
        <x:v>Q3FY25A</x:v>
      </x:c>
      <x:c r="F4" s="15" t="str">
        <x:v>Q4FY25A</x:v>
      </x:c>
      <x:c r="G4" s="15" t="str">
        <x:v>Q1FY26A</x:v>
      </x:c>
      <x:c r="H4" s="15" t="str">
        <x:v>Q2FY26A</x:v>
      </x:c>
      <x:c r="I4" s="15" t="str">
        <x:v>Q3FY26A</x:v>
      </x:c>
      <x:c r="J4" s="15" t="str">
        <x:v>Q4FY26A</x:v>
      </x:c>
      <x:c r="K4" s="15" t="str">
        <x:v>FY25A</x:v>
      </x:c>
      <x:c r="L4" s="15" t="str">
        <x:v>FY26A</x:v>
      </x:c>
    </x:row>
    <x:row r="5">
      <x:c r="A5" s="24" t="str">
        <x:v>Network gross revenue</x:v>
      </x:c>
      <x:c r="B5" s="38" t="str">
        <x:v>INR mn</x:v>
      </x:c>
      <x:c r="C5" s="26" t="n">
        <x:v>20280</x:v>
      </x:c>
      <x:c r="D5" s="26" t="n">
        <x:v>22280</x:v>
      </x:c>
      <x:c r="E5" s="26" t="n">
        <x:v>23810</x:v>
      </x:c>
      <x:c r="F5" s="26" t="n">
        <x:v>24290</x:v>
      </x:c>
      <x:c r="G5" s="26" t="n">
        <x:v>25740</x:v>
      </x:c>
      <x:c r="H5" s="26" t="n">
        <x:v>26920</x:v>
      </x:c>
      <x:c r="I5" s="26" t="n">
        <x:v>26080</x:v>
      </x:c>
      <x:c r="J5" s="26" t="n">
        <x:v>26640</x:v>
      </x:c>
      <x:c r="K5" s="27" t="n">
        <x:f>SUM(C5:F5)</x:f>
        <x:v>90660</x:v>
      </x:c>
      <x:c r="L5" s="27" t="n">
        <x:f>SUM(G5:J5)</x:f>
        <x:v>105380</x:v>
      </x:c>
    </x:row>
    <x:row r="6">
      <x:c r="A6" s="24" t="str">
        <x:v>Network net revenue</x:v>
      </x:c>
      <x:c r="B6" s="38" t="str">
        <x:v>INR mn</x:v>
      </x:c>
      <x:c r="C6" s="26" t="n">
        <x:v>19350</x:v>
      </x:c>
      <x:c r="D6" s="26" t="n">
        <x:v>21250</x:v>
      </x:c>
      <x:c r="E6" s="26" t="n">
        <x:v>22810</x:v>
      </x:c>
      <x:c r="F6" s="26" t="n">
        <x:v>23260</x:v>
      </x:c>
      <x:c r="G6" s="26" t="n">
        <x:v>24600</x:v>
      </x:c>
      <x:c r="H6" s="26" t="n">
        <x:v>25800</x:v>
      </x:c>
      <x:c r="I6" s="26" t="n">
        <x:v>24840</x:v>
      </x:c>
      <x:c r="J6" s="26" t="n">
        <x:v>25410</x:v>
      </x:c>
      <x:c r="K6" s="27" t="n">
        <x:f>SUM(C6:F6)</x:f>
        <x:v>86670</x:v>
      </x:c>
      <x:c r="L6" s="27" t="n">
        <x:f>SUM(G6:J6)</x:f>
        <x:v>100650</x:v>
      </x:c>
    </x:row>
    <x:row r="7">
      <x:c r="A7" s="24" t="str">
        <x:v>Gross-to-net ratio</x:v>
      </x:c>
      <x:c r="B7" s="38" t="str">
        <x:v>%</x:v>
      </x:c>
      <x:c r="C7" s="30" t="n">
        <x:f>C6/C5</x:f>
        <x:v>0.9541420118343196</x:v>
      </x:c>
      <x:c r="D7" s="30" t="n">
        <x:f>D6/D5</x:f>
        <x:v>0.953770197486535</x:v>
      </x:c>
      <x:c r="E7" s="30" t="n">
        <x:f>E6/E5</x:f>
        <x:v>0.9580008399832003</x:v>
      </x:c>
      <x:c r="F7" s="30" t="n">
        <x:f>F6/F5</x:f>
        <x:v>0.9575957184026348</x:v>
      </x:c>
      <x:c r="G7" s="30" t="n">
        <x:f>G6/G5</x:f>
        <x:v>0.9557109557109557</x:v>
      </x:c>
      <x:c r="H7" s="30" t="n">
        <x:f>H6/H5</x:f>
        <x:v>0.9583952451708767</x:v>
      </x:c>
      <x:c r="I7" s="30" t="n">
        <x:f>I6/I5</x:f>
        <x:v>0.9524539877300614</x:v>
      </x:c>
      <x:c r="J7" s="30" t="n">
        <x:f>J6/J5</x:f>
        <x:v>0.9538288288288288</x:v>
      </x:c>
      <x:c r="K7" s="31" t="n">
        <x:f>K6/K5</x:f>
        <x:v>0.9559894109861019</x:v>
      </x:c>
      <x:c r="L7" s="31" t="n">
        <x:f>L6/L5</x:f>
        <x:v>0.9551148225469729</x:v>
      </x:c>
    </x:row>
    <x:row r="8">
      <x:c r="A8" s="24" t="str">
        <x:v>Average occupancy</x:v>
      </x:c>
      <x:c r="B8" s="38" t="str">
        <x:v>%</x:v>
      </x:c>
      <x:c r="C8" s="30" t="n">
        <x:v>0.75</x:v>
      </x:c>
      <x:c r="D8" s="30" t="n">
        <x:v>0.79</x:v>
      </x:c>
      <x:c r="E8" s="30" t="n">
        <x:v>0.75</x:v>
      </x:c>
      <x:c r="F8" s="30" t="n">
        <x:v>0.75</x:v>
      </x:c>
      <x:c r="G8" s="30" t="n">
        <x:v>0.76</x:v>
      </x:c>
      <x:c r="H8" s="30" t="n">
        <x:v>0.77</x:v>
      </x:c>
      <x:c r="I8" s="30" t="n">
        <x:v>0.74</x:v>
      </x:c>
      <x:c r="J8" s="30" t="n">
        <x:v>0.75</x:v>
      </x:c>
      <x:c r="K8" s="31" t="n">
        <x:f>AVERAGE(C8:F8)</x:f>
        <x:v>0.76</x:v>
      </x:c>
      <x:c r="L8" s="31" t="n">
        <x:f>AVERAGE(G8:J8)</x:f>
        <x:v>0.755</x:v>
      </x:c>
    </x:row>
    <x:row r="9">
      <x:c r="A9" s="24" t="str">
        <x:v>OBD growth YoY</x:v>
      </x:c>
      <x:c r="B9" s="38" t="str">
        <x:v>%</x:v>
      </x:c>
      <x:c r="C9" s="30" t="n">
        <x:v>0.14</x:v>
      </x:c>
      <x:c r="D9" s="30" t="n">
        <x:v>0.19</x:v>
      </x:c>
      <x:c r="E9" s="30" t="n">
        <x:v>0.36</x:v>
      </x:c>
      <x:c r="F9" s="30"/>
      <x:c r="G9" s="30" t="n">
        <x:v>0.26</x:v>
      </x:c>
      <x:c r="H9" s="30" t="n">
        <x:v>0.19</x:v>
      </x:c>
      <x:c r="I9" s="30" t="n">
        <x:v>0.07</x:v>
      </x:c>
      <x:c r="J9" s="30" t="n">
        <x:v>0.08</x:v>
      </x:c>
      <x:c r="K9" s="31" t="n">
        <x:f>AVERAGE(C9:F9)</x:f>
        <x:v>0.22999999999999998</x:v>
      </x:c>
      <x:c r="L9" s="31" t="n">
        <x:f>AVERAGE(G9:J9)</x:f>
        <x:v>0.15</x:v>
      </x:c>
    </x:row>
    <x:row r="10">
      <x:c r="A10" s="24" t="str">
        <x:v>ARPOB</x:v>
      </x:c>
      <x:c r="B10" s="38" t="str">
        <x:v>₹ '000</x:v>
      </x:c>
      <x:c r="C10" s="34" t="n">
        <x:v>77.1</x:v>
      </x:c>
      <x:c r="D10" s="34" t="n">
        <x:v>76.2</x:v>
      </x:c>
      <x:c r="E10" s="34" t="n">
        <x:v>75.9</x:v>
      </x:c>
      <x:c r="F10" s="34" t="n">
        <x:v>77.1</x:v>
      </x:c>
      <x:c r="G10" s="34" t="n">
        <x:v>78</x:v>
      </x:c>
      <x:c r="H10" s="34" t="n">
        <x:v>77.3</x:v>
      </x:c>
      <x:c r="I10" s="34" t="n">
        <x:v>77.9</x:v>
      </x:c>
      <x:c r="J10" s="34" t="n">
        <x:v>77.9</x:v>
      </x:c>
      <x:c r="K10" s="35" t="n">
        <x:f>AVERAGE(C10:F10)</x:f>
        <x:v>76.575</x:v>
      </x:c>
      <x:c r="L10" s="35" t="n">
        <x:f>AVERAGE(G10:J10)</x:f>
        <x:v>77.775</x:v>
      </x:c>
    </x:row>
    <x:row r="11">
      <x:c r="A11" s="24" t="str">
        <x:v>Operational beds — end period</x:v>
      </x:c>
      <x:c r="B11" s="38" t="str">
        <x:v>beds</x:v>
      </x:c>
      <x:c r="C11" s="26"/>
      <x:c r="D11" s="26"/>
      <x:c r="E11" s="26" t="n">
        <x:v>4466</x:v>
      </x:c>
      <x:c r="F11" s="26" t="n">
        <x:v>4654</x:v>
      </x:c>
      <x:c r="G11" s="26" t="n">
        <x:v>4749</x:v>
      </x:c>
      <x:c r="H11" s="26" t="n">
        <x:v>4760</x:v>
      </x:c>
      <x:c r="I11" s="26" t="n">
        <x:v>4853</x:v>
      </x:c>
      <x:c r="J11" s="26" t="n">
        <x:v>4966</x:v>
      </x:c>
      <x:c r="K11" s="27" t="n">
        <x:f>AVERAGE(C11:F11)</x:f>
        <x:v>4560</x:v>
      </x:c>
      <x:c r="L11" s="27" t="n">
        <x:f>AVERAGE(G11:J11)</x:f>
        <x:v>4832</x:v>
      </x:c>
    </x:row>
    <x:row r="12">
      <x:c r="A12" s="24" t="str">
        <x:v>Max Lab revenue</x:v>
      </x:c>
      <x:c r="B12" s="38" t="str">
        <x:v>INR mn</x:v>
      </x:c>
      <x:c r="C12" s="26" t="n">
        <x:v>410</x:v>
      </x:c>
      <x:c r="D12" s="26" t="n">
        <x:v>470</x:v>
      </x:c>
      <x:c r="E12" s="26" t="n">
        <x:v>410</x:v>
      </x:c>
      <x:c r="F12" s="26" t="n">
        <x:v>460</x:v>
      </x:c>
      <x:c r="G12" s="26" t="n">
        <x:v>480</x:v>
      </x:c>
      <x:c r="H12" s="26" t="n">
        <x:v>540</x:v>
      </x:c>
      <x:c r="I12" s="26" t="n">
        <x:v>470</x:v>
      </x:c>
      <x:c r="J12" s="26" t="n">
        <x:v>520</x:v>
      </x:c>
      <x:c r="K12" s="27" t="n">
        <x:f>SUM(C12:F12)</x:f>
        <x:v>1750</x:v>
      </x:c>
      <x:c r="L12" s="27" t="n">
        <x:f>SUM(G12:J12)</x:f>
        <x:v>2010</x:v>
      </x:c>
    </x:row>
    <x:row r="13">
      <x:c r="A13" s="24" t="str">
        <x:v>Max@Home revenue — memo</x:v>
      </x:c>
      <x:c r="B13" s="38" t="str">
        <x:v>INR mn</x:v>
      </x:c>
      <x:c r="C13" s="26" t="n">
        <x:v>490</x:v>
      </x:c>
      <x:c r="D13" s="26" t="n">
        <x:v>530</x:v>
      </x:c>
      <x:c r="E13" s="26" t="n">
        <x:v>550</x:v>
      </x:c>
      <x:c r="F13" s="26" t="n">
        <x:v>560</x:v>
      </x:c>
      <x:c r="G13" s="26" t="n">
        <x:v>600</x:v>
      </x:c>
      <x:c r="H13" s="26" t="n">
        <x:v>630</x:v>
      </x:c>
      <x:c r="I13" s="26" t="n">
        <x:v>680</x:v>
      </x:c>
      <x:c r="J13" s="26" t="n">
        <x:v>730</x:v>
      </x:c>
      <x:c r="K13" s="27" t="n">
        <x:f>SUM(C13:F13)</x:f>
        <x:v>2130</x:v>
      </x:c>
      <x:c r="L13" s="27" t="n">
        <x:f>SUM(G13:J13)</x:f>
        <x:v>2640</x:v>
      </x:c>
    </x:row>
    <x:row r="14">
      <x:c r="A14" s="24" t="str">
        <x:v>International patient revenue — memo</x:v>
      </x:c>
      <x:c r="B14" s="38" t="str">
        <x:v>INR mn</x:v>
      </x:c>
      <x:c r="C14" s="26" t="n">
        <x:v>1580</x:v>
      </x:c>
      <x:c r="D14" s="26" t="n">
        <x:v>1780</x:v>
      </x:c>
      <x:c r="E14" s="26" t="n">
        <x:v>2090</x:v>
      </x:c>
      <x:c r="F14" s="26" t="n">
        <x:v>2020</x:v>
      </x:c>
      <x:c r="G14" s="26" t="n">
        <x:v>2080</x:v>
      </x:c>
      <x:c r="H14" s="26" t="n">
        <x:v>2310</x:v>
      </x:c>
      <x:c r="I14" s="26" t="n">
        <x:v>2300</x:v>
      </x:c>
      <x:c r="J14" s="26" t="n">
        <x:v>2270</x:v>
      </x:c>
      <x:c r="K14" s="27" t="n">
        <x:f>SUM(C14:F14)</x:f>
        <x:v>7470</x:v>
      </x:c>
      <x:c r="L14" s="27" t="n">
        <x:f>SUM(G14:J14)</x:f>
        <x:v>8960</x:v>
      </x:c>
    </x:row>
    <x:row r="15">
      <x:c r="A15" s="63" t="str">
        <x:v>Company-defined new-unit revenue — not comparable</x:v>
      </x:c>
      <x:c r="B15" s="48" t="str">
        <x:v>INR mn</x:v>
      </x:c>
      <x:c r="C15" s="49" t="n">
        <x:v>990</x:v>
      </x:c>
      <x:c r="D15" s="49" t="n">
        <x:v>1630</x:v>
      </x:c>
      <x:c r="E15" s="49" t="n">
        <x:v>3230</x:v>
      </x:c>
      <x:c r="F15" s="49" t="n">
        <x:v>3530</x:v>
      </x:c>
      <x:c r="G15" s="49" t="n">
        <x:v>2310</x:v>
      </x:c>
      <x:c r="H15" s="49" t="n">
        <x:v>1440</x:v>
      </x:c>
      <x:c r="I15" s="49"/>
      <x:c r="J15" s="49"/>
      <x:c r="K15" s="50" t="n">
        <x:f>SUM(C15:F15)</x:f>
        <x:v>9380</x:v>
      </x:c>
      <x:c r="L15" s="50"/>
    </x:row>
    <x:row r="16">
      <x:c r="A16" s="64" t="str">
        <x:v>Company-defined existing-unit revenue — not comparable</x:v>
      </x:c>
      <x:c r="B16" s="52" t="str">
        <x:v>INR mn</x:v>
      </x:c>
      <x:c r="C16" s="53" t="n">
        <x:v>19290</x:v>
      </x:c>
      <x:c r="D16" s="53" t="n">
        <x:v>20580</x:v>
      </x:c>
      <x:c r="E16" s="53" t="n">
        <x:v>20580</x:v>
      </x:c>
      <x:c r="F16" s="53" t="n">
        <x:v>20760</x:v>
      </x:c>
      <x:c r="G16" s="53" t="n">
        <x:v>23430</x:v>
      </x:c>
      <x:c r="H16" s="53" t="n">
        <x:v>25480</x:v>
      </x:c>
      <x:c r="I16" s="53"/>
      <x:c r="J16" s="53"/>
      <x:c r="K16" s="54" t="n">
        <x:f>SUM(C16:F16)</x:f>
        <x:v>81210</x:v>
      </x:c>
      <x:c r="L16" s="54"/>
    </x:row>
  </x:sheetData>
  <x:mergeCells>
    <x:mergeCell ref="A1:L1"/>
    <x:mergeCell ref="A2:L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</x:cols>
  <x:sheetData>
    <x:row r="1" ht="26" customHeight="1">
      <x:c r="A1" s="4" t="str">
        <x:v>Max Healthcare — New Capacity Revenue Build</x:v>
      </x:c>
      <x:c r="B1" s="4"/>
      <x:c r="C1" s="141"/>
      <x:c r="D1" s="141"/>
      <x:c r="E1" s="141"/>
      <x:c r="F1" s="141"/>
      <x:c r="G1" s="141"/>
      <x:c r="H1" s="141"/>
      <x:c r="I1" s="141"/>
      <x:c r="J1" s="141"/>
      <x:c r="K1" s="141"/>
      <x:c r="L1" s="141"/>
      <x:c r="M1" s="141"/>
      <x:c r="N1" s="141"/>
      <x:c r="O1" s="141"/>
      <x:c r="P1" s="141"/>
      <x:c r="Q1" s="141"/>
      <x:c r="R1" s="141"/>
    </x:row>
    <x:row r="2">
      <x:c r="A2" s="10" t="str">
        <x:v>Blue/yellow cells are editable assumptions. Revenue = avg operating beds × days × occupancy × ARPOB. Phasing is illustrative.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</x:row>
    <x:row r="4">
      <x:c r="A4" s="75" t="str">
        <x:v>Project / Metric</x:v>
      </x:c>
      <x:c r="B4" s="75" t="str">
        <x:v>Unit</x:v>
      </x:c>
      <x:c r="C4" s="70" t="str">
        <x:v>Q1FY27E</x:v>
      </x:c>
      <x:c r="D4" s="70" t="str">
        <x:v>Q2FY27E</x:v>
      </x:c>
      <x:c r="E4" s="70" t="str">
        <x:v>Q3FY27E</x:v>
      </x:c>
      <x:c r="F4" s="70" t="str">
        <x:v>Q4FY27E</x:v>
      </x:c>
      <x:c r="G4" s="70" t="str">
        <x:v>Q1FY28E</x:v>
      </x:c>
      <x:c r="H4" s="70" t="str">
        <x:v>Q2FY28E</x:v>
      </x:c>
      <x:c r="I4" s="70" t="str">
        <x:v>Q3FY28E</x:v>
      </x:c>
      <x:c r="J4" s="70" t="str">
        <x:v>Q4FY28E</x:v>
      </x:c>
      <x:c r="K4" s="70" t="str">
        <x:v>Q1FY29E</x:v>
      </x:c>
      <x:c r="L4" s="70" t="str">
        <x:v>Q2FY29E</x:v>
      </x:c>
      <x:c r="M4" s="70" t="str">
        <x:v>Q3FY29E</x:v>
      </x:c>
      <x:c r="N4" s="70" t="str">
        <x:v>Q4FY29E</x:v>
      </x:c>
      <x:c r="O4" s="70" t="str">
        <x:v>Q1FY30E</x:v>
      </x:c>
      <x:c r="P4" s="70" t="str">
        <x:v>Q2FY30E</x:v>
      </x:c>
      <x:c r="Q4" s="70" t="str">
        <x:v>Q3FY30E</x:v>
      </x:c>
      <x:c r="R4" s="70" t="str">
        <x:v>Q4FY30E</x:v>
      </x:c>
    </x:row>
    <x:row r="5" ht="19" customHeight="1">
      <x:c r="A5" s="78" t="str">
        <x:v>Smart brownfield | Incremental capacity: 400 beds</x:v>
      </x:c>
      <x:c r="B5" s="78"/>
      <x:c r="C5" s="78"/>
      <x:c r="D5" s="78"/>
      <x:c r="E5" s="78"/>
      <x:c r="F5" s="78"/>
      <x:c r="G5" s="78"/>
      <x:c r="H5" s="78"/>
      <x:c r="I5" s="78"/>
      <x:c r="J5" s="78"/>
      <x:c r="K5" s="78"/>
      <x:c r="L5" s="78"/>
      <x:c r="M5" s="78"/>
      <x:c r="N5" s="78"/>
      <x:c r="O5" s="78"/>
      <x:c r="P5" s="78"/>
      <x:c r="Q5" s="78"/>
      <x:c r="R5" s="78"/>
    </x:row>
    <x:row r="6">
      <x:c r="A6" t="str">
        <x:v>Average operational beds</x:v>
      </x:c>
      <x:c r="B6" t="str">
        <x:v>beds</x:v>
      </x:c>
      <x:c r="C6" s="87" t="n">
        <x:v>200</x:v>
      </x:c>
      <x:c r="D6" s="87" t="n">
        <x:v>400</x:v>
      </x:c>
      <x:c r="E6" s="87" t="n">
        <x:v>400</x:v>
      </x:c>
      <x:c r="F6" s="87" t="n">
        <x:v>400</x:v>
      </x:c>
      <x:c r="G6" s="87" t="n">
        <x:v>400</x:v>
      </x:c>
      <x:c r="H6" s="87" t="n">
        <x:v>400</x:v>
      </x:c>
      <x:c r="I6" s="87" t="n">
        <x:v>400</x:v>
      </x:c>
      <x:c r="J6" s="87" t="n">
        <x:v>400</x:v>
      </x:c>
      <x:c r="K6" s="87" t="n">
        <x:v>400</x:v>
      </x:c>
      <x:c r="L6" s="87" t="n">
        <x:v>400</x:v>
      </x:c>
      <x:c r="M6" s="87" t="n">
        <x:v>400</x:v>
      </x:c>
      <x:c r="N6" s="87" t="n">
        <x:v>400</x:v>
      </x:c>
      <x:c r="O6" s="87" t="n">
        <x:v>400</x:v>
      </x:c>
      <x:c r="P6" s="87" t="n">
        <x:v>400</x:v>
      </x:c>
      <x:c r="Q6" s="87" t="n">
        <x:v>400</x:v>
      </x:c>
      <x:c r="R6" s="87" t="n">
        <x:v>400</x:v>
      </x:c>
    </x:row>
    <x:row r="7">
      <x:c r="A7" t="str">
        <x:v>Occupancy</x:v>
      </x:c>
      <x:c r="B7" t="str">
        <x:v>%</x:v>
      </x:c>
      <x:c r="C7" s="89" t="n">
        <x:v>0.3</x:v>
      </x:c>
      <x:c r="D7" s="89" t="n">
        <x:v>0.45</x:v>
      </x:c>
      <x:c r="E7" s="89" t="n">
        <x:v>0.55</x:v>
      </x:c>
      <x:c r="F7" s="89" t="n">
        <x:v>0.6</x:v>
      </x:c>
      <x:c r="G7" s="89" t="n">
        <x:v>0.65</x:v>
      </x:c>
      <x:c r="H7" s="89" t="n">
        <x:v>0.68</x:v>
      </x:c>
      <x:c r="I7" s="89" t="n">
        <x:v>0.7</x:v>
      </x:c>
      <x:c r="J7" s="89" t="n">
        <x:v>0.72</x:v>
      </x:c>
      <x:c r="K7" s="89" t="n">
        <x:v>0.73</x:v>
      </x:c>
      <x:c r="L7" s="89" t="n">
        <x:v>0.74</x:v>
      </x:c>
      <x:c r="M7" s="89" t="n">
        <x:v>0.75</x:v>
      </x:c>
      <x:c r="N7" s="89" t="n">
        <x:v>0.75</x:v>
      </x:c>
      <x:c r="O7" s="89" t="n">
        <x:v>0.75</x:v>
      </x:c>
      <x:c r="P7" s="89" t="n">
        <x:v>0.75</x:v>
      </x:c>
      <x:c r="Q7" s="89" t="n">
        <x:v>0.75</x:v>
      </x:c>
      <x:c r="R7" s="89" t="n">
        <x:v>0.75</x:v>
      </x:c>
    </x:row>
    <x:row r="8">
      <x:c r="A8" t="str">
        <x:v>ARPOB vs mature network</x:v>
      </x:c>
      <x:c r="B8" t="str">
        <x:v>x</x:v>
      </x:c>
      <x:c r="C8" s="91" t="n">
        <x:v>1</x:v>
      </x:c>
      <x:c r="D8" s="91" t="n">
        <x:v>1</x:v>
      </x:c>
      <x:c r="E8" s="91" t="n">
        <x:v>1</x:v>
      </x:c>
      <x:c r="F8" s="91" t="n">
        <x:v>1</x:v>
      </x:c>
      <x:c r="G8" s="91" t="n">
        <x:v>1</x:v>
      </x:c>
      <x:c r="H8" s="91" t="n">
        <x:v>1</x:v>
      </x:c>
      <x:c r="I8" s="91" t="n">
        <x:v>1</x:v>
      </x:c>
      <x:c r="J8" s="91" t="n">
        <x:v>1</x:v>
      </x:c>
      <x:c r="K8" s="91" t="n">
        <x:v>1</x:v>
      </x:c>
      <x:c r="L8" s="91" t="n">
        <x:v>1</x:v>
      </x:c>
      <x:c r="M8" s="91" t="n">
        <x:v>1</x:v>
      </x:c>
      <x:c r="N8" s="91" t="n">
        <x:v>1</x:v>
      </x:c>
      <x:c r="O8" s="91" t="n">
        <x:v>1</x:v>
      </x:c>
      <x:c r="P8" s="91" t="n">
        <x:v>1</x:v>
      </x:c>
      <x:c r="Q8" s="91" t="n">
        <x:v>1</x:v>
      </x:c>
      <x:c r="R8" s="91" t="n">
        <x:v>1</x:v>
      </x:c>
    </x:row>
    <x:row r="9">
      <x:c r="A9" t="str">
        <x:v>ARPOB</x:v>
      </x:c>
      <x:c r="B9" t="str">
        <x:v>₹ '000</x:v>
      </x:c>
      <x:c r="C9" s="35" t="n">
        <x:f>'Revenue Model'!C$10*C8</x:f>
        <x:v>81.9</x:v>
      </x:c>
      <x:c r="D9" s="35" t="n">
        <x:f>'Revenue Model'!D$10*D8</x:f>
        <x:v>81.165</x:v>
      </x:c>
      <x:c r="E9" s="35" t="n">
        <x:f>'Revenue Model'!E$10*E8</x:f>
        <x:v>81.79500000000002</x:v>
      </x:c>
      <x:c r="F9" s="35" t="n">
        <x:f>'Revenue Model'!F$10*F8</x:f>
        <x:v>81.79500000000002</x:v>
      </x:c>
      <x:c r="G9" s="35" t="n">
        <x:f>'Revenue Model'!G$10*G8</x:f>
        <x:v>85.995</x:v>
      </x:c>
      <x:c r="H9" s="35" t="n">
        <x:f>'Revenue Model'!H$10*H8</x:f>
        <x:v>85.22325000000001</x:v>
      </x:c>
      <x:c r="I9" s="35" t="n">
        <x:f>'Revenue Model'!I$10*I8</x:f>
        <x:v>85.88475000000003</x:v>
      </x:c>
      <x:c r="J9" s="35" t="n">
        <x:f>'Revenue Model'!J$10*J8</x:f>
        <x:v>85.88475000000003</x:v>
      </x:c>
      <x:c r="K9" s="35" t="n">
        <x:f>'Revenue Model'!K$10*K8</x:f>
        <x:v>90.29475000000001</x:v>
      </x:c>
      <x:c r="L9" s="35" t="n">
        <x:f>'Revenue Model'!L$10*L8</x:f>
        <x:v>89.4844125</x:v>
      </x:c>
      <x:c r="M9" s="35" t="n">
        <x:f>'Revenue Model'!M$10*M8</x:f>
        <x:v>90.17898750000003</x:v>
      </x:c>
      <x:c r="N9" s="35" t="n">
        <x:f>'Revenue Model'!N$10*N8</x:f>
        <x:v>90.17898750000003</x:v>
      </x:c>
      <x:c r="O9" s="35" t="n">
        <x:f>'Revenue Model'!O$10*O8</x:f>
        <x:v>94.80948750000002</x:v>
      </x:c>
      <x:c r="P9" s="35" t="n">
        <x:f>'Revenue Model'!P$10*P8</x:f>
        <x:v>93.958633125</x:v>
      </x:c>
      <x:c r="Q9" s="35" t="n">
        <x:f>'Revenue Model'!Q$10*Q8</x:f>
        <x:v>94.68793687500003</x:v>
      </x:c>
      <x:c r="R9" s="35" t="n">
        <x:f>'Revenue Model'!R$10*R8</x:f>
        <x:v>94.68793687500003</x:v>
      </x:c>
    </x:row>
    <x:row r="10">
      <x:c r="A10" s="93" t="str">
        <x:v>Gross revenue ex Max Lab</x:v>
      </x:c>
      <x:c r="B10" s="93" t="str">
        <x:v>INR mn</x:v>
      </x:c>
      <x:c r="C10" s="94" t="n">
        <x:f>C6*'Revenue Model'!C$5*C7*C9/1000</x:f>
        <x:v>447.17400000000004</x:v>
      </x:c>
      <x:c r="D10" s="94" t="n">
        <x:f>D6*'Revenue Model'!D$5*D7*D9/1000</x:f>
        <x:v>1344.0924000000002</x:v>
      </x:c>
      <x:c r="E10" s="94" t="n">
        <x:f>E6*'Revenue Model'!E$5*E7*E9/1000</x:f>
        <x:v>1655.5308000000002</x:v>
      </x:c>
      <x:c r="F10" s="94" t="n">
        <x:f>F6*'Revenue Model'!F$5*F7*F9/1000</x:f>
        <x:v>1766.7720000000002</x:v>
      </x:c>
      <x:c r="G10" s="94" t="n">
        <x:f>G6*'Revenue Model'!G$5*G7*G9/1000</x:f>
        <x:v>2034.6417000000001</x:v>
      </x:c>
      <x:c r="H10" s="94" t="n">
        <x:f>H6*'Revenue Model'!H$5*H7*H9/1000</x:f>
        <x:v>2132.626608</x:v>
      </x:c>
      <x:c r="I10" s="94" t="n">
        <x:f>I6*'Revenue Model'!I$5*I7*I9/1000</x:f>
        <x:v>2212.3911600000006</x:v>
      </x:c>
      <x:c r="J10" s="94" t="n">
        <x:f>J6*'Revenue Model'!J$5*J7*J9/1000</x:f>
        <x:v>2250.8675280000007</x:v>
      </x:c>
      <x:c r="K10" s="94" t="n">
        <x:f>K6*'Revenue Model'!K$5*K7*K9/1000</x:f>
        <x:v>2399.312097</x:v>
      </x:c>
      <x:c r="L10" s="94" t="n">
        <x:f>L6*'Revenue Model'!L$5*L7*L9/1000</x:f>
        <x:v>2436.8395212000005</x:v>
      </x:c>
      <x:c r="M10" s="94" t="n">
        <x:f>M6*'Revenue Model'!M$5*M7*M9/1000</x:f>
        <x:v>2488.940055000001</x:v>
      </x:c>
      <x:c r="N10" s="94" t="n">
        <x:f>N6*'Revenue Model'!N$5*N7*N9/1000</x:f>
        <x:v>2434.832662500001</x:v>
      </x:c>
      <x:c r="O10" s="94" t="n">
        <x:f>O6*'Revenue Model'!O$5*O7*O9/1000</x:f>
        <x:v>2588.2990087500007</x:v>
      </x:c>
      <x:c r="P10" s="94" t="n">
        <x:f>P6*'Revenue Model'!P$5*P7*P9/1000</x:f>
        <x:v>2593.2582742500003</x:v>
      </x:c>
      <x:c r="Q10" s="94" t="n">
        <x:f>Q6*'Revenue Model'!Q$5*Q7*Q9/1000</x:f>
        <x:v>2613.387057750001</x:v>
      </x:c>
      <x:c r="R10" s="94" t="n">
        <x:f>R6*'Revenue Model'!R$5*R7*R9/1000</x:f>
        <x:v>2556.5742956250006</x:v>
      </x:c>
    </x:row>
    <x:row r="12" ht="19" customHeight="1">
      <x:c r="A12" s="78" t="str">
        <x:v>Nanavati balance capacity | Incremental capacity: 164 beds</x:v>
      </x:c>
      <x:c r="B12" s="78"/>
      <x:c r="C12" s="78"/>
      <x:c r="D12" s="78"/>
      <x:c r="E12" s="78"/>
      <x:c r="F12" s="78"/>
      <x:c r="G12" s="78"/>
      <x:c r="H12" s="78"/>
      <x:c r="I12" s="78"/>
      <x:c r="J12" s="78"/>
      <x:c r="K12" s="78"/>
      <x:c r="L12" s="78"/>
      <x:c r="M12" s="78"/>
      <x:c r="N12" s="78"/>
      <x:c r="O12" s="78"/>
      <x:c r="P12" s="78"/>
      <x:c r="Q12" s="78"/>
      <x:c r="R12" s="78"/>
    </x:row>
    <x:row r="13">
      <x:c r="A13" t="str">
        <x:v>Average operational beds</x:v>
      </x:c>
      <x:c r="B13" t="str">
        <x:v>beds</x:v>
      </x:c>
      <x:c r="C13" s="87" t="n">
        <x:v>82</x:v>
      </x:c>
      <x:c r="D13" s="87" t="n">
        <x:v>164</x:v>
      </x:c>
      <x:c r="E13" s="87" t="n">
        <x:v>164</x:v>
      </x:c>
      <x:c r="F13" s="87" t="n">
        <x:v>164</x:v>
      </x:c>
      <x:c r="G13" s="87" t="n">
        <x:v>164</x:v>
      </x:c>
      <x:c r="H13" s="87" t="n">
        <x:v>164</x:v>
      </x:c>
      <x:c r="I13" s="87" t="n">
        <x:v>164</x:v>
      </x:c>
      <x:c r="J13" s="87" t="n">
        <x:v>164</x:v>
      </x:c>
      <x:c r="K13" s="87" t="n">
        <x:v>164</x:v>
      </x:c>
      <x:c r="L13" s="87" t="n">
        <x:v>164</x:v>
      </x:c>
      <x:c r="M13" s="87" t="n">
        <x:v>164</x:v>
      </x:c>
      <x:c r="N13" s="87" t="n">
        <x:v>164</x:v>
      </x:c>
      <x:c r="O13" s="87" t="n">
        <x:v>164</x:v>
      </x:c>
      <x:c r="P13" s="87" t="n">
        <x:v>164</x:v>
      </x:c>
      <x:c r="Q13" s="87" t="n">
        <x:v>164</x:v>
      </x:c>
      <x:c r="R13" s="87" t="n">
        <x:v>164</x:v>
      </x:c>
    </x:row>
    <x:row r="14">
      <x:c r="A14" t="str">
        <x:v>Occupancy</x:v>
      </x:c>
      <x:c r="B14" t="str">
        <x:v>%</x:v>
      </x:c>
      <x:c r="C14" s="89" t="n">
        <x:v>0.4</x:v>
      </x:c>
      <x:c r="D14" s="89" t="n">
        <x:v>0.55</x:v>
      </x:c>
      <x:c r="E14" s="89" t="n">
        <x:v>0.65</x:v>
      </x:c>
      <x:c r="F14" s="89" t="n">
        <x:v>0.7</x:v>
      </x:c>
      <x:c r="G14" s="89" t="n">
        <x:v>0.72</x:v>
      </x:c>
      <x:c r="H14" s="89" t="n">
        <x:v>0.73</x:v>
      </x:c>
      <x:c r="I14" s="89" t="n">
        <x:v>0.74</x:v>
      </x:c>
      <x:c r="J14" s="89" t="n">
        <x:v>0.75</x:v>
      </x:c>
      <x:c r="K14" s="89" t="n">
        <x:v>0.75</x:v>
      </x:c>
      <x:c r="L14" s="89" t="n">
        <x:v>0.75</x:v>
      </x:c>
      <x:c r="M14" s="89" t="n">
        <x:v>0.75</x:v>
      </x:c>
      <x:c r="N14" s="89" t="n">
        <x:v>0.75</x:v>
      </x:c>
      <x:c r="O14" s="89" t="n">
        <x:v>0.75</x:v>
      </x:c>
      <x:c r="P14" s="89" t="n">
        <x:v>0.75</x:v>
      </x:c>
      <x:c r="Q14" s="89" t="n">
        <x:v>0.75</x:v>
      </x:c>
      <x:c r="R14" s="89" t="n">
        <x:v>0.75</x:v>
      </x:c>
    </x:row>
    <x:row r="15">
      <x:c r="A15" t="str">
        <x:v>ARPOB vs mature network</x:v>
      </x:c>
      <x:c r="B15" t="str">
        <x:v>x</x:v>
      </x:c>
      <x:c r="C15" s="91" t="n">
        <x:v>1.05</x:v>
      </x:c>
      <x:c r="D15" s="91" t="n">
        <x:v>1.05</x:v>
      </x:c>
      <x:c r="E15" s="91" t="n">
        <x:v>1.05</x:v>
      </x:c>
      <x:c r="F15" s="91" t="n">
        <x:v>1.05</x:v>
      </x:c>
      <x:c r="G15" s="91" t="n">
        <x:v>1.05</x:v>
      </x:c>
      <x:c r="H15" s="91" t="n">
        <x:v>1.05</x:v>
      </x:c>
      <x:c r="I15" s="91" t="n">
        <x:v>1.05</x:v>
      </x:c>
      <x:c r="J15" s="91" t="n">
        <x:v>1.05</x:v>
      </x:c>
      <x:c r="K15" s="91" t="n">
        <x:v>1.05</x:v>
      </x:c>
      <x:c r="L15" s="91" t="n">
        <x:v>1.05</x:v>
      </x:c>
      <x:c r="M15" s="91" t="n">
        <x:v>1.05</x:v>
      </x:c>
      <x:c r="N15" s="91" t="n">
        <x:v>1.05</x:v>
      </x:c>
      <x:c r="O15" s="91" t="n">
        <x:v>1.05</x:v>
      </x:c>
      <x:c r="P15" s="91" t="n">
        <x:v>1.05</x:v>
      </x:c>
      <x:c r="Q15" s="91" t="n">
        <x:v>1.05</x:v>
      </x:c>
      <x:c r="R15" s="91" t="n">
        <x:v>1.05</x:v>
      </x:c>
    </x:row>
    <x:row r="16">
      <x:c r="A16" t="str">
        <x:v>ARPOB</x:v>
      </x:c>
      <x:c r="B16" t="str">
        <x:v>₹ '000</x:v>
      </x:c>
      <x:c r="C16" s="35" t="n">
        <x:f>'Revenue Model'!C$10*C15</x:f>
        <x:v>85.995</x:v>
      </x:c>
      <x:c r="D16" s="35" t="n">
        <x:f>'Revenue Model'!D$10*D15</x:f>
        <x:v>85.22325000000001</x:v>
      </x:c>
      <x:c r="E16" s="35" t="n">
        <x:f>'Revenue Model'!E$10*E15</x:f>
        <x:v>85.88475000000003</x:v>
      </x:c>
      <x:c r="F16" s="35" t="n">
        <x:f>'Revenue Model'!F$10*F15</x:f>
        <x:v>85.88475000000003</x:v>
      </x:c>
      <x:c r="G16" s="35" t="n">
        <x:f>'Revenue Model'!G$10*G15</x:f>
        <x:v>90.29475000000001</x:v>
      </x:c>
      <x:c r="H16" s="35" t="n">
        <x:f>'Revenue Model'!H$10*H15</x:f>
        <x:v>89.4844125</x:v>
      </x:c>
      <x:c r="I16" s="35" t="n">
        <x:f>'Revenue Model'!I$10*I15</x:f>
        <x:v>90.17898750000003</x:v>
      </x:c>
      <x:c r="J16" s="35" t="n">
        <x:f>'Revenue Model'!J$10*J15</x:f>
        <x:v>90.17898750000003</x:v>
      </x:c>
      <x:c r="K16" s="35" t="n">
        <x:f>'Revenue Model'!K$10*K15</x:f>
        <x:v>94.80948750000002</x:v>
      </x:c>
      <x:c r="L16" s="35" t="n">
        <x:f>'Revenue Model'!L$10*L15</x:f>
        <x:v>93.958633125</x:v>
      </x:c>
      <x:c r="M16" s="35" t="n">
        <x:f>'Revenue Model'!M$10*M15</x:f>
        <x:v>94.68793687500003</x:v>
      </x:c>
      <x:c r="N16" s="35" t="n">
        <x:f>'Revenue Model'!N$10*N15</x:f>
        <x:v>94.68793687500003</x:v>
      </x:c>
      <x:c r="O16" s="35" t="n">
        <x:f>'Revenue Model'!O$10*O15</x:f>
        <x:v>99.54996187500002</x:v>
      </x:c>
      <x:c r="P16" s="35" t="n">
        <x:f>'Revenue Model'!P$10*P15</x:f>
        <x:v>98.65656478125001</x:v>
      </x:c>
      <x:c r="Q16" s="35" t="n">
        <x:f>'Revenue Model'!Q$10*Q15</x:f>
        <x:v>99.42233371875004</x:v>
      </x:c>
      <x:c r="R16" s="35" t="n">
        <x:f>'Revenue Model'!R$10*R15</x:f>
        <x:v>99.42233371875004</x:v>
      </x:c>
    </x:row>
    <x:row r="17">
      <x:c r="A17" s="93" t="str">
        <x:v>Gross revenue ex Max Lab</x:v>
      </x:c>
      <x:c r="B17" s="93" t="str">
        <x:v>INR mn</x:v>
      </x:c>
      <x:c r="C17" s="94" t="n">
        <x:f>C13*'Revenue Model'!C$5*C14*C16/1000</x:f>
        <x:v>256.677876</x:v>
      </x:c>
      <x:c r="D17" s="94" t="n">
        <x:f>D13*'Revenue Model'!D$5*D14*D16/1000</x:f>
        <x:v>707.2166178000002</x:v>
      </x:c>
      <x:c r="E17" s="94" t="n">
        <x:f>E13*'Revenue Model'!E$5*E14*E16/1000</x:f>
        <x:v>842.2889202000002</x:v>
      </x:c>
      <x:c r="F17" s="94" t="n">
        <x:f>F13*'Revenue Model'!F$5*F14*F16/1000</x:f>
        <x:v>887.3612370000003</x:v>
      </x:c>
      <x:c r="G17" s="94" t="n">
        <x:f>G13*'Revenue Model'!G$5*G14*G16/1000</x:f>
        <x:v>970.2423712799999</x:v>
      </x:c>
      <x:c r="H17" s="94" t="n">
        <x:f>H13*'Revenue Model'!H$5*H14*H16/1000</x:f>
        <x:v>985.602795534</x:v>
      </x:c>
      <x:c r="I17" s="94" t="n">
        <x:f>I13*'Revenue Model'!I$5*I14*I16/1000</x:f>
        <x:v>1006.8592169160003</x:v>
      </x:c>
      <x:c r="J17" s="94" t="n">
        <x:f>J13*'Revenue Model'!J$5*J14*J16/1000</x:f>
        <x:v>1009.3734070875004</x:v>
      </x:c>
      <x:c r="K17" s="94" t="n">
        <x:f>K13*'Revenue Model'!K$5*K14*K16/1000</x:f>
        <x:v>1061.2025935875004</x:v>
      </x:c>
      <x:c r="L17" s="94" t="n">
        <x:f>L13*'Revenue Model'!L$5*L14*L16/1000</x:f>
        <x:v>1063.2358924425</x:v>
      </x:c>
      <x:c r="M17" s="94" t="n">
        <x:f>M13*'Revenue Model'!M$5*M14*M16/1000</x:f>
        <x:v>1071.4886936775004</x:v>
      </x:c>
      <x:c r="N17" s="94" t="n">
        <x:f>N13*'Revenue Model'!N$5*N14*N16/1000</x:f>
        <x:v>1048.1954612062505</x:v>
      </x:c>
      <x:c r="O17" s="94" t="n">
        <x:f>O13*'Revenue Model'!O$5*O14*O16/1000</x:f>
        <x:v>1114.2627232668751</x:v>
      </x:c>
      <x:c r="P17" s="94" t="n">
        <x:f>P13*'Revenue Model'!P$5*P14*P16/1000</x:f>
        <x:v>1116.3976870646252</x:v>
      </x:c>
      <x:c r="Q17" s="94" t="n">
        <x:f>Q13*'Revenue Model'!Q$5*Q14*Q16/1000</x:f>
        <x:v>1125.0631283613754</x:v>
      </x:c>
      <x:c r="R17" s="94" t="n">
        <x:f>R13*'Revenue Model'!R$5*R14*R16/1000</x:f>
        <x:v>1100.6052342665628</x:v>
      </x:c>
    </x:row>
    <x:row r="19" ht="19" customHeight="1">
      <x:c r="A19" s="78" t="str">
        <x:v>Gurugram Sector 56 | Incremental capacity: 501 beds</x:v>
      </x:c>
      <x:c r="B19" s="78"/>
      <x:c r="C19" s="78"/>
      <x:c r="D19" s="78"/>
      <x:c r="E19" s="78"/>
      <x:c r="F19" s="78"/>
      <x:c r="G19" s="78"/>
      <x:c r="H19" s="78"/>
      <x:c r="I19" s="78"/>
      <x:c r="J19" s="78"/>
      <x:c r="K19" s="78"/>
      <x:c r="L19" s="78"/>
      <x:c r="M19" s="78"/>
      <x:c r="N19" s="78"/>
      <x:c r="O19" s="78"/>
      <x:c r="P19" s="78"/>
      <x:c r="Q19" s="78"/>
      <x:c r="R19" s="78"/>
    </x:row>
    <x:row r="20">
      <x:c r="A20" t="str">
        <x:v>Average operational beds</x:v>
      </x:c>
      <x:c r="B20" t="str">
        <x:v>beds</x:v>
      </x:c>
      <x:c r="C20" s="87" t="n">
        <x:v>0</x:v>
      </x:c>
      <x:c r="D20" s="87" t="n">
        <x:v>0</x:v>
      </x:c>
      <x:c r="E20" s="87" t="n">
        <x:v>125</x:v>
      </x:c>
      <x:c r="F20" s="87" t="n">
        <x:v>375</x:v>
      </x:c>
      <x:c r="G20" s="87" t="n">
        <x:v>501</x:v>
      </x:c>
      <x:c r="H20" s="87" t="n">
        <x:v>501</x:v>
      </x:c>
      <x:c r="I20" s="87" t="n">
        <x:v>501</x:v>
      </x:c>
      <x:c r="J20" s="87" t="n">
        <x:v>501</x:v>
      </x:c>
      <x:c r="K20" s="87" t="n">
        <x:v>501</x:v>
      </x:c>
      <x:c r="L20" s="87" t="n">
        <x:v>501</x:v>
      </x:c>
      <x:c r="M20" s="87" t="n">
        <x:v>501</x:v>
      </x:c>
      <x:c r="N20" s="87" t="n">
        <x:v>501</x:v>
      </x:c>
      <x:c r="O20" s="87" t="n">
        <x:v>501</x:v>
      </x:c>
      <x:c r="P20" s="87" t="n">
        <x:v>501</x:v>
      </x:c>
      <x:c r="Q20" s="87" t="n">
        <x:v>501</x:v>
      </x:c>
      <x:c r="R20" s="87" t="n">
        <x:v>501</x:v>
      </x:c>
    </x:row>
    <x:row r="21">
      <x:c r="A21" t="str">
        <x:v>Occupancy</x:v>
      </x:c>
      <x:c r="B21" t="str">
        <x:v>%</x:v>
      </x:c>
      <x:c r="C21" s="89" t="n">
        <x:v>0</x:v>
      </x:c>
      <x:c r="D21" s="89" t="n">
        <x:v>0</x:v>
      </x:c>
      <x:c r="E21" s="89" t="n">
        <x:v>0.2</x:v>
      </x:c>
      <x:c r="F21" s="89" t="n">
        <x:v>0.35</x:v>
      </x:c>
      <x:c r="G21" s="89" t="n">
        <x:v>0.45</x:v>
      </x:c>
      <x:c r="H21" s="89" t="n">
        <x:v>0.55</x:v>
      </x:c>
      <x:c r="I21" s="89" t="n">
        <x:v>0.62</x:v>
      </x:c>
      <x:c r="J21" s="89" t="n">
        <x:v>0.68</x:v>
      </x:c>
      <x:c r="K21" s="89" t="n">
        <x:v>0.7</x:v>
      </x:c>
      <x:c r="L21" s="89" t="n">
        <x:v>0.72</x:v>
      </x:c>
      <x:c r="M21" s="89" t="n">
        <x:v>0.73</x:v>
      </x:c>
      <x:c r="N21" s="89" t="n">
        <x:v>0.74</x:v>
      </x:c>
      <x:c r="O21" s="89" t="n">
        <x:v>0.75</x:v>
      </x:c>
      <x:c r="P21" s="89" t="n">
        <x:v>0.75</x:v>
      </x:c>
      <x:c r="Q21" s="89" t="n">
        <x:v>0.75</x:v>
      </x:c>
      <x:c r="R21" s="89" t="n">
        <x:v>0.75</x:v>
      </x:c>
    </x:row>
    <x:row r="22">
      <x:c r="A22" t="str">
        <x:v>ARPOB vs mature network</x:v>
      </x:c>
      <x:c r="B22" t="str">
        <x:v>x</x:v>
      </x:c>
      <x:c r="C22" s="91" t="n">
        <x:v>0.95</x:v>
      </x:c>
      <x:c r="D22" s="91" t="n">
        <x:v>0.95</x:v>
      </x:c>
      <x:c r="E22" s="91" t="n">
        <x:v>0.95</x:v>
      </x:c>
      <x:c r="F22" s="91" t="n">
        <x:v>0.95</x:v>
      </x:c>
      <x:c r="G22" s="91" t="n">
        <x:v>0.95</x:v>
      </x:c>
      <x:c r="H22" s="91" t="n">
        <x:v>0.95</x:v>
      </x:c>
      <x:c r="I22" s="91" t="n">
        <x:v>0.95</x:v>
      </x:c>
      <x:c r="J22" s="91" t="n">
        <x:v>0.95</x:v>
      </x:c>
      <x:c r="K22" s="91" t="n">
        <x:v>0.95</x:v>
      </x:c>
      <x:c r="L22" s="91" t="n">
        <x:v>0.95</x:v>
      </x:c>
      <x:c r="M22" s="91" t="n">
        <x:v>0.95</x:v>
      </x:c>
      <x:c r="N22" s="91" t="n">
        <x:v>0.95</x:v>
      </x:c>
      <x:c r="O22" s="91" t="n">
        <x:v>0.95</x:v>
      </x:c>
      <x:c r="P22" s="91" t="n">
        <x:v>0.95</x:v>
      </x:c>
      <x:c r="Q22" s="91" t="n">
        <x:v>0.95</x:v>
      </x:c>
      <x:c r="R22" s="91" t="n">
        <x:v>0.95</x:v>
      </x:c>
    </x:row>
    <x:row r="23">
      <x:c r="A23" t="str">
        <x:v>ARPOB</x:v>
      </x:c>
      <x:c r="B23" t="str">
        <x:v>₹ '000</x:v>
      </x:c>
      <x:c r="C23" s="35" t="n">
        <x:f>'Revenue Model'!C$10*C22</x:f>
        <x:v>77.805</x:v>
      </x:c>
      <x:c r="D23" s="35" t="n">
        <x:f>'Revenue Model'!D$10*D22</x:f>
        <x:v>77.10675</x:v>
      </x:c>
      <x:c r="E23" s="35" t="n">
        <x:f>'Revenue Model'!E$10*E22</x:f>
        <x:v>77.70525</x:v>
      </x:c>
      <x:c r="F23" s="35" t="n">
        <x:f>'Revenue Model'!F$10*F22</x:f>
        <x:v>77.70525</x:v>
      </x:c>
      <x:c r="G23" s="35" t="n">
        <x:f>'Revenue Model'!G$10*G22</x:f>
        <x:v>81.69525</x:v>
      </x:c>
      <x:c r="H23" s="35" t="n">
        <x:f>'Revenue Model'!H$10*H22</x:f>
        <x:v>80.96208750000001</x:v>
      </x:c>
      <x:c r="I23" s="35" t="n">
        <x:f>'Revenue Model'!I$10*I22</x:f>
        <x:v>81.59051250000002</x:v>
      </x:c>
      <x:c r="J23" s="35" t="n">
        <x:f>'Revenue Model'!J$10*J22</x:f>
        <x:v>81.59051250000002</x:v>
      </x:c>
      <x:c r="K23" s="35" t="n">
        <x:f>'Revenue Model'!K$10*K22</x:f>
        <x:v>85.7800125</x:v>
      </x:c>
      <x:c r="L23" s="35" t="n">
        <x:f>'Revenue Model'!L$10*L22</x:f>
        <x:v>85.010191875</x:v>
      </x:c>
      <x:c r="M23" s="35" t="n">
        <x:f>'Revenue Model'!M$10*M22</x:f>
        <x:v>85.67003812500003</x:v>
      </x:c>
      <x:c r="N23" s="35" t="n">
        <x:f>'Revenue Model'!N$10*N22</x:f>
        <x:v>85.67003812500003</x:v>
      </x:c>
      <x:c r="O23" s="35" t="n">
        <x:f>'Revenue Model'!O$10*O22</x:f>
        <x:v>90.06901312500001</x:v>
      </x:c>
      <x:c r="P23" s="35" t="n">
        <x:f>'Revenue Model'!P$10*P22</x:f>
        <x:v>89.26070146875</x:v>
      </x:c>
      <x:c r="Q23" s="35" t="n">
        <x:f>'Revenue Model'!Q$10*Q22</x:f>
        <x:v>89.95354003125003</x:v>
      </x:c>
      <x:c r="R23" s="35" t="n">
        <x:f>'Revenue Model'!R$10*R22</x:f>
        <x:v>89.95354003125003</x:v>
      </x:c>
    </x:row>
    <x:row r="24">
      <x:c r="A24" s="93" t="str">
        <x:v>Gross revenue ex Max Lab</x:v>
      </x:c>
      <x:c r="B24" s="93" t="str">
        <x:v>INR mn</x:v>
      </x:c>
      <x:c r="C24" s="94" t="n">
        <x:f>C20*'Revenue Model'!C$5*C21*C23/1000</x:f>
        <x:v>0</x:v>
      </x:c>
      <x:c r="D24" s="94" t="n">
        <x:f>D20*'Revenue Model'!D$5*D21*D23/1000</x:f>
        <x:v>0</x:v>
      </x:c>
      <x:c r="E24" s="94" t="n">
        <x:f>E20*'Revenue Model'!E$5*E21*E23/1000</x:f>
        <x:v>178.72207500000002</x:v>
      </x:c>
      <x:c r="F24" s="94" t="n">
        <x:f>F20*'Revenue Model'!F$5*F21*F23/1000</x:f>
        <x:v>917.8932656250001</x:v>
      </x:c>
      <x:c r="G24" s="94" t="n">
        <x:f>G20*'Revenue Model'!G$5*G21*G23/1000</x:f>
        <x:v>1676.0556642375002</x:v>
      </x:c>
      <x:c r="H24" s="94" t="n">
        <x:f>H20*'Revenue Model'!H$5*H21*H23/1000</x:f>
        <x:v>2052.4374953775005</x:v>
      </x:c>
      <x:c r="I24" s="94" t="n">
        <x:f>I20*'Revenue Model'!I$5*I21*I23/1000</x:f>
        <x:v>2331.6153393330005</x:v>
      </x:c>
      <x:c r="J24" s="94" t="n">
        <x:f>J20*'Revenue Model'!J$5*J21*J23/1000</x:f>
        <x:v>2529.4592776635004</x:v>
      </x:c>
      <x:c r="K24" s="94" t="n">
        <x:f>K20*'Revenue Model'!K$5*K21*K23/1000</x:f>
        <x:v>2737.5575849212496</x:v>
      </x:c>
      <x:c r="L24" s="94" t="n">
        <x:f>L20*'Revenue Model'!L$5*L21*L23/1000</x:f>
        <x:v>2821.1686300098</x:v>
      </x:c>
      <x:c r="M24" s="94" t="n">
        <x:f>M20*'Revenue Model'!M$5*M21*M23/1000</x:f>
        <x:v>2882.553479997976</x:v>
      </x:c>
      <x:c r="N24" s="94" t="n">
        <x:f>N20*'Revenue Model'!N$5*N21*N23/1000</x:f>
        <x:v>2858.5178941016256</x:v>
      </x:c>
      <x:c r="O24" s="94" t="n">
        <x:f>O20*'Revenue Model'!O$5*O21*O23/1000</x:f>
        <x:v>3079.7522830364064</x:v>
      </x:c>
      <x:c r="P24" s="94" t="n">
        <x:f>P20*'Revenue Model'!P$5*P21*P23/1000</x:f>
        <x:v>3085.653189073219</x:v>
      </x:c>
      <x:c r="Q24" s="94" t="n">
        <x:f>Q20*'Revenue Model'!Q$5*Q21*Q23/1000</x:f>
        <x:v>3109.6039253402823</x:v>
      </x:c>
      <x:c r="R24" s="94" t="n">
        <x:f>R20*'Revenue Model'!R$5*R21*R23/1000</x:f>
        <x:v>3042.003840006798</x:v>
      </x:c>
    </x:row>
    <x:row r="26" ht="19" customHeight="1">
      <x:c r="A26" s="78" t="str">
        <x:v>Kalinga Hospital | Incremental capacity: 250 beds</x:v>
      </x:c>
      <x:c r="B26" s="78"/>
      <x:c r="C26" s="78"/>
      <x:c r="D26" s="78"/>
      <x:c r="E26" s="78"/>
      <x:c r="F26" s="78"/>
      <x:c r="G26" s="78"/>
      <x:c r="H26" s="78"/>
      <x:c r="I26" s="78"/>
      <x:c r="J26" s="78"/>
      <x:c r="K26" s="78"/>
      <x:c r="L26" s="78"/>
      <x:c r="M26" s="78"/>
      <x:c r="N26" s="78"/>
      <x:c r="O26" s="78"/>
      <x:c r="P26" s="78"/>
      <x:c r="Q26" s="78"/>
      <x:c r="R26" s="78"/>
    </x:row>
    <x:row r="27">
      <x:c r="A27" t="str">
        <x:v>Average operational beds</x:v>
      </x:c>
      <x:c r="B27" t="str">
        <x:v>beds</x:v>
      </x:c>
      <x:c r="C27" s="87" t="n">
        <x:v>120</x:v>
      </x:c>
      <x:c r="D27" s="87" t="n">
        <x:v>250</x:v>
      </x:c>
      <x:c r="E27" s="87" t="n">
        <x:v>250</x:v>
      </x:c>
      <x:c r="F27" s="87" t="n">
        <x:v>250</x:v>
      </x:c>
      <x:c r="G27" s="87" t="n">
        <x:v>250</x:v>
      </x:c>
      <x:c r="H27" s="87" t="n">
        <x:v>250</x:v>
      </x:c>
      <x:c r="I27" s="87" t="n">
        <x:v>250</x:v>
      </x:c>
      <x:c r="J27" s="87" t="n">
        <x:v>250</x:v>
      </x:c>
      <x:c r="K27" s="87" t="n">
        <x:v>250</x:v>
      </x:c>
      <x:c r="L27" s="87" t="n">
        <x:v>250</x:v>
      </x:c>
      <x:c r="M27" s="87" t="n">
        <x:v>250</x:v>
      </x:c>
      <x:c r="N27" s="87" t="n">
        <x:v>250</x:v>
      </x:c>
      <x:c r="O27" s="87" t="n">
        <x:v>250</x:v>
      </x:c>
      <x:c r="P27" s="87" t="n">
        <x:v>250</x:v>
      </x:c>
      <x:c r="Q27" s="87" t="n">
        <x:v>250</x:v>
      </x:c>
      <x:c r="R27" s="87" t="n">
        <x:v>250</x:v>
      </x:c>
    </x:row>
    <x:row r="28">
      <x:c r="A28" t="str">
        <x:v>Occupancy</x:v>
      </x:c>
      <x:c r="B28" t="str">
        <x:v>%</x:v>
      </x:c>
      <x:c r="C28" s="89" t="n">
        <x:v>0.5</x:v>
      </x:c>
      <x:c r="D28" s="89" t="n">
        <x:v>0.55</x:v>
      </x:c>
      <x:c r="E28" s="89" t="n">
        <x:v>0.6</x:v>
      </x:c>
      <x:c r="F28" s="89" t="n">
        <x:v>0.62</x:v>
      </x:c>
      <x:c r="G28" s="89" t="n">
        <x:v>0.65</x:v>
      </x:c>
      <x:c r="H28" s="89" t="n">
        <x:v>0.67</x:v>
      </x:c>
      <x:c r="I28" s="89" t="n">
        <x:v>0.68</x:v>
      </x:c>
      <x:c r="J28" s="89" t="n">
        <x:v>0.7</x:v>
      </x:c>
      <x:c r="K28" s="89" t="n">
        <x:v>0.7</x:v>
      </x:c>
      <x:c r="L28" s="89" t="n">
        <x:v>0.71</x:v>
      </x:c>
      <x:c r="M28" s="89" t="n">
        <x:v>0.72</x:v>
      </x:c>
      <x:c r="N28" s="89" t="n">
        <x:v>0.72</x:v>
      </x:c>
      <x:c r="O28" s="89" t="n">
        <x:v>0.72</x:v>
      </x:c>
      <x:c r="P28" s="89" t="n">
        <x:v>0.72</x:v>
      </x:c>
      <x:c r="Q28" s="89" t="n">
        <x:v>0.72</x:v>
      </x:c>
      <x:c r="R28" s="89" t="n">
        <x:v>0.72</x:v>
      </x:c>
    </x:row>
    <x:row r="29">
      <x:c r="A29" t="str">
        <x:v>ARPOB vs mature network</x:v>
      </x:c>
      <x:c r="B29" t="str">
        <x:v>x</x:v>
      </x:c>
      <x:c r="C29" s="91" t="n">
        <x:v>0.65</x:v>
      </x:c>
      <x:c r="D29" s="91" t="n">
        <x:v>0.65</x:v>
      </x:c>
      <x:c r="E29" s="91" t="n">
        <x:v>0.65</x:v>
      </x:c>
      <x:c r="F29" s="91" t="n">
        <x:v>0.65</x:v>
      </x:c>
      <x:c r="G29" s="91" t="n">
        <x:v>0.65</x:v>
      </x:c>
      <x:c r="H29" s="91" t="n">
        <x:v>0.65</x:v>
      </x:c>
      <x:c r="I29" s="91" t="n">
        <x:v>0.65</x:v>
      </x:c>
      <x:c r="J29" s="91" t="n">
        <x:v>0.65</x:v>
      </x:c>
      <x:c r="K29" s="91" t="n">
        <x:v>0.65</x:v>
      </x:c>
      <x:c r="L29" s="91" t="n">
        <x:v>0.65</x:v>
      </x:c>
      <x:c r="M29" s="91" t="n">
        <x:v>0.65</x:v>
      </x:c>
      <x:c r="N29" s="91" t="n">
        <x:v>0.65</x:v>
      </x:c>
      <x:c r="O29" s="91" t="n">
        <x:v>0.65</x:v>
      </x:c>
      <x:c r="P29" s="91" t="n">
        <x:v>0.65</x:v>
      </x:c>
      <x:c r="Q29" s="91" t="n">
        <x:v>0.65</x:v>
      </x:c>
      <x:c r="R29" s="91" t="n">
        <x:v>0.65</x:v>
      </x:c>
    </x:row>
    <x:row r="30">
      <x:c r="A30" t="str">
        <x:v>ARPOB</x:v>
      </x:c>
      <x:c r="B30" t="str">
        <x:v>₹ '000</x:v>
      </x:c>
      <x:c r="C30" s="35" t="n">
        <x:f>'Revenue Model'!C$10*C29</x:f>
        <x:v>53.23500000000001</x:v>
      </x:c>
      <x:c r="D30" s="35" t="n">
        <x:f>'Revenue Model'!D$10*D29</x:f>
        <x:v>52.757250000000006</x:v>
      </x:c>
      <x:c r="E30" s="35" t="n">
        <x:f>'Revenue Model'!E$10*E29</x:f>
        <x:v>53.166750000000015</x:v>
      </x:c>
      <x:c r="F30" s="35" t="n">
        <x:f>'Revenue Model'!F$10*F29</x:f>
        <x:v>53.166750000000015</x:v>
      </x:c>
      <x:c r="G30" s="35" t="n">
        <x:f>'Revenue Model'!G$10*G29</x:f>
        <x:v>55.896750000000004</x:v>
      </x:c>
      <x:c r="H30" s="35" t="n">
        <x:f>'Revenue Model'!H$10*H29</x:f>
        <x:v>55.3951125</x:v>
      </x:c>
      <x:c r="I30" s="35" t="n">
        <x:f>'Revenue Model'!I$10*I29</x:f>
        <x:v>55.825087500000016</x:v>
      </x:c>
      <x:c r="J30" s="35" t="n">
        <x:f>'Revenue Model'!J$10*J29</x:f>
        <x:v>55.825087500000016</x:v>
      </x:c>
      <x:c r="K30" s="35" t="n">
        <x:f>'Revenue Model'!K$10*K29</x:f>
        <x:v>58.691587500000004</x:v>
      </x:c>
      <x:c r="L30" s="35" t="n">
        <x:f>'Revenue Model'!L$10*L29</x:f>
        <x:v>58.164868125000005</x:v>
      </x:c>
      <x:c r="M30" s="35" t="n">
        <x:f>'Revenue Model'!M$10*M29</x:f>
        <x:v>58.616341875000025</x:v>
      </x:c>
      <x:c r="N30" s="35" t="n">
        <x:f>'Revenue Model'!N$10*N29</x:f>
        <x:v>58.616341875000025</x:v>
      </x:c>
      <x:c r="O30" s="35" t="n">
        <x:f>'Revenue Model'!O$10*O29</x:f>
        <x:v>61.62616687500001</x:v>
      </x:c>
      <x:c r="P30" s="35" t="n">
        <x:f>'Revenue Model'!P$10*P29</x:f>
        <x:v>61.07311153125001</x:v>
      </x:c>
      <x:c r="Q30" s="35" t="n">
        <x:f>'Revenue Model'!Q$10*Q29</x:f>
        <x:v>61.547158968750026</x:v>
      </x:c>
      <x:c r="R30" s="35" t="n">
        <x:f>'Revenue Model'!R$10*R29</x:f>
        <x:v>61.547158968750026</x:v>
      </x:c>
    </x:row>
    <x:row r="31">
      <x:c r="A31" s="93" t="str">
        <x:v>Gross revenue ex Max Lab</x:v>
      </x:c>
      <x:c r="B31" s="93" t="str">
        <x:v>INR mn</x:v>
      </x:c>
      <x:c r="C31" s="94" t="n">
        <x:f>C27*'Revenue Model'!C$5*C28*C30/1000</x:f>
        <x:v>290.66310000000004</x:v>
      </x:c>
      <x:c r="D31" s="94" t="n">
        <x:f>D27*'Revenue Model'!D$5*D28*D30/1000</x:f>
        <x:v>667.3792125000001</x:v>
      </x:c>
      <x:c r="E31" s="94" t="n">
        <x:f>E27*'Revenue Model'!E$5*E28*E30/1000</x:f>
        <x:v>733.7011500000002</x:v>
      </x:c>
      <x:c r="F31" s="94" t="n">
        <x:f>F27*'Revenue Model'!F$5*F28*F30/1000</x:f>
        <x:v>741.6761625000003</x:v>
      </x:c>
      <x:c r="G31" s="94" t="n">
        <x:f>G27*'Revenue Model'!G$5*G28*G30/1000</x:f>
        <x:v>826.573190625</x:v>
      </x:c>
      <x:c r="H31" s="94" t="n">
        <x:f>H27*'Revenue Model'!H$5*H28*H30/1000</x:f>
        <x:v>853.6386836250002</x:v>
      </x:c>
      <x:c r="I31" s="94" t="n">
        <x:f>I27*'Revenue Model'!I$5*I28*I30/1000</x:f>
        <x:v>873.1043685000003</x:v>
      </x:c>
      <x:c r="J31" s="94" t="n">
        <x:f>J27*'Revenue Model'!J$5*J28*J30/1000</x:f>
        <x:v>889.0145184375001</x:v>
      </x:c>
      <x:c r="K31" s="94" t="n">
        <x:f>K27*'Revenue Model'!K$5*K28*K30/1000</x:f>
        <x:v>934.6635309374999</x:v>
      </x:c>
      <x:c r="L31" s="94" t="n">
        <x:f>L27*'Revenue Model'!L$5*L28*L30/1000</x:f>
        <x:v>949.8322964812501</x:v>
      </x:c>
      <x:c r="M31" s="94" t="n">
        <x:f>M27*'Revenue Model'!M$5*M28*M30/1000</x:f>
        <x:v>970.6866214500004</x:v>
      </x:c>
      <x:c r="N31" s="94" t="n">
        <x:f>N27*'Revenue Model'!N$5*N28*N30/1000</x:f>
        <x:v>949.5847383750004</x:v>
      </x:c>
      <x:c r="O31" s="94" t="n">
        <x:f>O27*'Revenue Model'!O$5*O28*O30/1000</x:f>
        <x:v>1009.4366134125002</x:v>
      </x:c>
      <x:c r="P31" s="94" t="n">
        <x:f>P27*'Revenue Model'!P$5*P28*P30/1000</x:f>
        <x:v>1011.3707269575001</x:v>
      </x:c>
      <x:c r="Q31" s="94" t="n">
        <x:f>Q27*'Revenue Model'!Q$5*Q28*Q30/1000</x:f>
        <x:v>1019.2209525225004</x:v>
      </x:c>
      <x:c r="R31" s="94" t="n">
        <x:f>R27*'Revenue Model'!R$5*R28*R30/1000</x:f>
        <x:v>997.0639752937504</x:v>
      </x:c>
    </x:row>
    <x:row r="33" ht="19" customHeight="1">
      <x:c r="A33" s="78" t="str">
        <x:v>Lucknow brownfield | Incremental capacity: 144 beds</x:v>
      </x:c>
      <x:c r="B33" s="78"/>
      <x:c r="C33" s="78"/>
      <x:c r="D33" s="78"/>
      <x:c r="E33" s="78"/>
      <x:c r="F33" s="78"/>
      <x:c r="G33" s="78"/>
      <x:c r="H33" s="78"/>
      <x:c r="I33" s="78"/>
      <x:c r="J33" s="78"/>
      <x:c r="K33" s="78"/>
      <x:c r="L33" s="78"/>
      <x:c r="M33" s="78"/>
      <x:c r="N33" s="78"/>
      <x:c r="O33" s="78"/>
      <x:c r="P33" s="78"/>
      <x:c r="Q33" s="78"/>
      <x:c r="R33" s="78"/>
    </x:row>
    <x:row r="34">
      <x:c r="A34" t="str">
        <x:v>Average operational beds</x:v>
      </x:c>
      <x:c r="B34" t="str">
        <x:v>beds</x:v>
      </x:c>
      <x:c r="C34" s="87" t="n">
        <x:v>36</x:v>
      </x:c>
      <x:c r="D34" s="87" t="n">
        <x:v>108</x:v>
      </x:c>
      <x:c r="E34" s="87" t="n">
        <x:v>144</x:v>
      </x:c>
      <x:c r="F34" s="87" t="n">
        <x:v>144</x:v>
      </x:c>
      <x:c r="G34" s="87" t="n">
        <x:v>144</x:v>
      </x:c>
      <x:c r="H34" s="87" t="n">
        <x:v>144</x:v>
      </x:c>
      <x:c r="I34" s="87" t="n">
        <x:v>144</x:v>
      </x:c>
      <x:c r="J34" s="87" t="n">
        <x:v>144</x:v>
      </x:c>
      <x:c r="K34" s="87" t="n">
        <x:v>144</x:v>
      </x:c>
      <x:c r="L34" s="87" t="n">
        <x:v>144</x:v>
      </x:c>
      <x:c r="M34" s="87" t="n">
        <x:v>144</x:v>
      </x:c>
      <x:c r="N34" s="87" t="n">
        <x:v>144</x:v>
      </x:c>
      <x:c r="O34" s="87" t="n">
        <x:v>144</x:v>
      </x:c>
      <x:c r="P34" s="87" t="n">
        <x:v>144</x:v>
      </x:c>
      <x:c r="Q34" s="87" t="n">
        <x:v>144</x:v>
      </x:c>
      <x:c r="R34" s="87" t="n">
        <x:v>144</x:v>
      </x:c>
    </x:row>
    <x:row r="35">
      <x:c r="A35" t="str">
        <x:v>Occupancy</x:v>
      </x:c>
      <x:c r="B35" t="str">
        <x:v>%</x:v>
      </x:c>
      <x:c r="C35" s="89" t="n">
        <x:v>0.55</x:v>
      </x:c>
      <x:c r="D35" s="89" t="n">
        <x:v>0.6</x:v>
      </x:c>
      <x:c r="E35" s="89" t="n">
        <x:v>0.65</x:v>
      </x:c>
      <x:c r="F35" s="89" t="n">
        <x:v>0.68</x:v>
      </x:c>
      <x:c r="G35" s="89" t="n">
        <x:v>0.7</x:v>
      </x:c>
      <x:c r="H35" s="89" t="n">
        <x:v>0.72</x:v>
      </x:c>
      <x:c r="I35" s="89" t="n">
        <x:v>0.73</x:v>
      </x:c>
      <x:c r="J35" s="89" t="n">
        <x:v>0.74</x:v>
      </x:c>
      <x:c r="K35" s="89" t="n">
        <x:v>0.74</x:v>
      </x:c>
      <x:c r="L35" s="89" t="n">
        <x:v>0.74</x:v>
      </x:c>
      <x:c r="M35" s="89" t="n">
        <x:v>0.74</x:v>
      </x:c>
      <x:c r="N35" s="89" t="n">
        <x:v>0.74</x:v>
      </x:c>
      <x:c r="O35" s="89" t="n">
        <x:v>0.74</x:v>
      </x:c>
      <x:c r="P35" s="89" t="n">
        <x:v>0.74</x:v>
      </x:c>
      <x:c r="Q35" s="89" t="n">
        <x:v>0.74</x:v>
      </x:c>
      <x:c r="R35" s="89" t="n">
        <x:v>0.74</x:v>
      </x:c>
    </x:row>
    <x:row r="36">
      <x:c r="A36" t="str">
        <x:v>ARPOB vs mature network</x:v>
      </x:c>
      <x:c r="B36" t="str">
        <x:v>x</x:v>
      </x:c>
      <x:c r="C36" s="91" t="n">
        <x:v>0.7</x:v>
      </x:c>
      <x:c r="D36" s="91" t="n">
        <x:v>0.7</x:v>
      </x:c>
      <x:c r="E36" s="91" t="n">
        <x:v>0.7</x:v>
      </x:c>
      <x:c r="F36" s="91" t="n">
        <x:v>0.7</x:v>
      </x:c>
      <x:c r="G36" s="91" t="n">
        <x:v>0.7</x:v>
      </x:c>
      <x:c r="H36" s="91" t="n">
        <x:v>0.7</x:v>
      </x:c>
      <x:c r="I36" s="91" t="n">
        <x:v>0.7</x:v>
      </x:c>
      <x:c r="J36" s="91" t="n">
        <x:v>0.7</x:v>
      </x:c>
      <x:c r="K36" s="91" t="n">
        <x:v>0.7</x:v>
      </x:c>
      <x:c r="L36" s="91" t="n">
        <x:v>0.7</x:v>
      </x:c>
      <x:c r="M36" s="91" t="n">
        <x:v>0.7</x:v>
      </x:c>
      <x:c r="N36" s="91" t="n">
        <x:v>0.7</x:v>
      </x:c>
      <x:c r="O36" s="91" t="n">
        <x:v>0.7</x:v>
      </x:c>
      <x:c r="P36" s="91" t="n">
        <x:v>0.7</x:v>
      </x:c>
      <x:c r="Q36" s="91" t="n">
        <x:v>0.7</x:v>
      </x:c>
      <x:c r="R36" s="91" t="n">
        <x:v>0.7</x:v>
      </x:c>
    </x:row>
    <x:row r="37">
      <x:c r="A37" t="str">
        <x:v>ARPOB</x:v>
      </x:c>
      <x:c r="B37" t="str">
        <x:v>₹ '000</x:v>
      </x:c>
      <x:c r="C37" s="35" t="n">
        <x:f>'Revenue Model'!C$10*C36</x:f>
        <x:v>57.33</x:v>
      </x:c>
      <x:c r="D37" s="35" t="n">
        <x:f>'Revenue Model'!D$10*D36</x:f>
        <x:v>56.8155</x:v>
      </x:c>
      <x:c r="E37" s="35" t="n">
        <x:f>'Revenue Model'!E$10*E36</x:f>
        <x:v>57.25650000000001</x:v>
      </x:c>
      <x:c r="F37" s="35" t="n">
        <x:f>'Revenue Model'!F$10*F36</x:f>
        <x:v>57.25650000000001</x:v>
      </x:c>
      <x:c r="G37" s="35" t="n">
        <x:f>'Revenue Model'!G$10*G36</x:f>
        <x:v>60.1965</x:v>
      </x:c>
      <x:c r="H37" s="35" t="n">
        <x:f>'Revenue Model'!H$10*H36</x:f>
        <x:v>59.656275</x:v>
      </x:c>
      <x:c r="I37" s="35" t="n">
        <x:f>'Revenue Model'!I$10*I36</x:f>
        <x:v>60.11932500000001</x:v>
      </x:c>
      <x:c r="J37" s="35" t="n">
        <x:f>'Revenue Model'!J$10*J36</x:f>
        <x:v>60.11932500000001</x:v>
      </x:c>
      <x:c r="K37" s="35" t="n">
        <x:f>'Revenue Model'!K$10*K36</x:f>
        <x:v>63.206325</x:v>
      </x:c>
      <x:c r="L37" s="35" t="n">
        <x:f>'Revenue Model'!L$10*L36</x:f>
        <x:v>62.63908875</x:v>
      </x:c>
      <x:c r="M37" s="35" t="n">
        <x:f>'Revenue Model'!M$10*M36</x:f>
        <x:v>63.12529125000002</x:v>
      </x:c>
      <x:c r="N37" s="35" t="n">
        <x:f>'Revenue Model'!N$10*N36</x:f>
        <x:v>63.12529125000002</x:v>
      </x:c>
      <x:c r="O37" s="35" t="n">
        <x:f>'Revenue Model'!O$10*O36</x:f>
        <x:v>66.36664125000001</x:v>
      </x:c>
      <x:c r="P37" s="35" t="n">
        <x:f>'Revenue Model'!P$10*P36</x:f>
        <x:v>65.7710431875</x:v>
      </x:c>
      <x:c r="Q37" s="35" t="n">
        <x:f>'Revenue Model'!Q$10*Q36</x:f>
        <x:v>66.28155581250002</x:v>
      </x:c>
      <x:c r="R37" s="35" t="n">
        <x:f>'Revenue Model'!R$10*R36</x:f>
        <x:v>66.28155581250002</x:v>
      </x:c>
    </x:row>
    <x:row r="38">
      <x:c r="A38" s="93" t="str">
        <x:v>Gross revenue ex Max Lab</x:v>
      </x:c>
      <x:c r="B38" s="93" t="str">
        <x:v>INR mn</x:v>
      </x:c>
      <x:c r="C38" s="94" t="n">
        <x:f>C34*'Revenue Model'!C$5*C35*C37/1000</x:f>
        <x:v>103.297194</x:v>
      </x:c>
      <x:c r="D38" s="94" t="n">
        <x:f>D34*'Revenue Model'!D$5*D35*D37/1000</x:f>
        <x:v>338.7112848</x:v>
      </x:c>
      <x:c r="E38" s="94" t="n">
        <x:f>E34*'Revenue Model'!E$5*E35*E37/1000</x:f>
        <x:v>493.0471728000001</x:v>
      </x:c>
      <x:c r="F38" s="94" t="n">
        <x:f>F34*'Revenue Model'!F$5*F35*F37/1000</x:f>
        <x:v>504.59008320000015</x:v>
      </x:c>
      <x:c r="G38" s="94" t="n">
        <x:f>G34*'Revenue Model'!G$5*G35*G37/1000</x:f>
        <x:v>552.1704552</x:v>
      </x:c>
      <x:c r="H38" s="94" t="n">
        <x:f>H34*'Revenue Model'!H$5*H35*H37/1000</x:f>
        <x:v>569.034958464</x:v>
      </x:c>
      <x:c r="I38" s="94" t="n">
        <x:f>I34*'Revenue Model'!I$5*I35*I37/1000</x:f>
        <x:v>581.416396848</x:v>
      </x:c>
      <x:c r="J38" s="94" t="n">
        <x:f>J34*'Revenue Model'!J$5*J35*J37/1000</x:f>
        <x:v>582.974689752</x:v>
      </x:c>
      <x:c r="K38" s="94" t="n">
        <x:f>K34*'Revenue Model'!K$5*K35*K37/1000</x:f>
        <x:v>612.9092052719999</x:v>
      </x:c>
      <x:c r="L38" s="94" t="n">
        <x:f>L34*'Revenue Model'!L$5*L35*L37/1000</x:f>
        <x:v>614.0835593424</x:v>
      </x:c>
      <x:c r="M38" s="94" t="n">
        <x:f>M34*'Revenue Model'!M$5*M35*M37/1000</x:f>
        <x:v>618.8500552752001</x:v>
      </x:c>
      <x:c r="N38" s="94" t="n">
        <x:f>N34*'Revenue Model'!N$5*N35*N37/1000</x:f>
        <x:v>605.3967932040001</x:v>
      </x:c>
      <x:c r="O38" s="94" t="n">
        <x:f>O34*'Revenue Model'!O$5*O35*O37/1000</x:f>
        <x:v>643.5546655356001</x:v>
      </x:c>
      <x:c r="P38" s="94" t="n">
        <x:f>P34*'Revenue Model'!P$5*P35*P37/1000</x:f>
        <x:v>644.78773730952</x:v>
      </x:c>
      <x:c r="Q38" s="94" t="n">
        <x:f>Q34*'Revenue Model'!Q$5*Q35*Q37/1000</x:f>
        <x:v>649.7925580389602</x:v>
      </x:c>
      <x:c r="R38" s="94" t="n">
        <x:f>R34*'Revenue Model'!R$5*R35*R37/1000</x:f>
        <x:v>635.6666328642002</x:v>
      </x:c>
    </x:row>
    <x:row r="40" ht="19" customHeight="1">
      <x:c r="A40" s="78" t="str">
        <x:v>Nagpur brownfield | Incremental capacity: 100 beds</x:v>
      </x:c>
      <x:c r="B40" s="78"/>
      <x:c r="C40" s="78"/>
      <x:c r="D40" s="78"/>
      <x:c r="E40" s="78"/>
      <x:c r="F40" s="78"/>
      <x:c r="G40" s="78"/>
      <x:c r="H40" s="78"/>
      <x:c r="I40" s="78"/>
      <x:c r="J40" s="78"/>
      <x:c r="K40" s="78"/>
      <x:c r="L40" s="78"/>
      <x:c r="M40" s="78"/>
      <x:c r="N40" s="78"/>
      <x:c r="O40" s="78"/>
      <x:c r="P40" s="78"/>
      <x:c r="Q40" s="78"/>
      <x:c r="R40" s="78"/>
    </x:row>
    <x:row r="41">
      <x:c r="A41" t="str">
        <x:v>Average operational beds</x:v>
      </x:c>
      <x:c r="B41" t="str">
        <x:v>beds</x:v>
      </x:c>
      <x:c r="C41" s="87" t="n">
        <x:v>0</x:v>
      </x:c>
      <x:c r="D41" s="87" t="n">
        <x:v>0</x:v>
      </x:c>
      <x:c r="E41" s="87" t="n">
        <x:v>0</x:v>
      </x:c>
      <x:c r="F41" s="87" t="n">
        <x:v>0</x:v>
      </x:c>
      <x:c r="G41" s="87" t="n">
        <x:v>0</x:v>
      </x:c>
      <x:c r="H41" s="87" t="n">
        <x:v>0</x:v>
      </x:c>
      <x:c r="I41" s="87" t="n">
        <x:v>50</x:v>
      </x:c>
      <x:c r="J41" s="87" t="n">
        <x:v>100</x:v>
      </x:c>
      <x:c r="K41" s="87" t="n">
        <x:v>100</x:v>
      </x:c>
      <x:c r="L41" s="87" t="n">
        <x:v>100</x:v>
      </x:c>
      <x:c r="M41" s="87" t="n">
        <x:v>100</x:v>
      </x:c>
      <x:c r="N41" s="87" t="n">
        <x:v>100</x:v>
      </x:c>
      <x:c r="O41" s="87" t="n">
        <x:v>100</x:v>
      </x:c>
      <x:c r="P41" s="87" t="n">
        <x:v>100</x:v>
      </x:c>
      <x:c r="Q41" s="87" t="n">
        <x:v>100</x:v>
      </x:c>
      <x:c r="R41" s="87" t="n">
        <x:v>100</x:v>
      </x:c>
    </x:row>
    <x:row r="42">
      <x:c r="A42" t="str">
        <x:v>Occupancy</x:v>
      </x:c>
      <x:c r="B42" t="str">
        <x:v>%</x:v>
      </x:c>
      <x:c r="C42" s="89" t="n">
        <x:v>0</x:v>
      </x:c>
      <x:c r="D42" s="89" t="n">
        <x:v>0</x:v>
      </x:c>
      <x:c r="E42" s="89" t="n">
        <x:v>0</x:v>
      </x:c>
      <x:c r="F42" s="89" t="n">
        <x:v>0</x:v>
      </x:c>
      <x:c r="G42" s="89" t="n">
        <x:v>0</x:v>
      </x:c>
      <x:c r="H42" s="89" t="n">
        <x:v>0</x:v>
      </x:c>
      <x:c r="I42" s="89" t="n">
        <x:v>0.35</x:v>
      </x:c>
      <x:c r="J42" s="89" t="n">
        <x:v>0.5</x:v>
      </x:c>
      <x:c r="K42" s="89" t="n">
        <x:v>0.6</x:v>
      </x:c>
      <x:c r="L42" s="89" t="n">
        <x:v>0.65</x:v>
      </x:c>
      <x:c r="M42" s="89" t="n">
        <x:v>0.68</x:v>
      </x:c>
      <x:c r="N42" s="89" t="n">
        <x:v>0.7</x:v>
      </x:c>
      <x:c r="O42" s="89" t="n">
        <x:v>0.72</x:v>
      </x:c>
      <x:c r="P42" s="89" t="n">
        <x:v>0.72</x:v>
      </x:c>
      <x:c r="Q42" s="89" t="n">
        <x:v>0.72</x:v>
      </x:c>
      <x:c r="R42" s="89" t="n">
        <x:v>0.72</x:v>
      </x:c>
    </x:row>
    <x:row r="43">
      <x:c r="A43" t="str">
        <x:v>ARPOB vs mature network</x:v>
      </x:c>
      <x:c r="B43" t="str">
        <x:v>x</x:v>
      </x:c>
      <x:c r="C43" s="91" t="n">
        <x:v>0.7</x:v>
      </x:c>
      <x:c r="D43" s="91" t="n">
        <x:v>0.7</x:v>
      </x:c>
      <x:c r="E43" s="91" t="n">
        <x:v>0.7</x:v>
      </x:c>
      <x:c r="F43" s="91" t="n">
        <x:v>0.7</x:v>
      </x:c>
      <x:c r="G43" s="91" t="n">
        <x:v>0.7</x:v>
      </x:c>
      <x:c r="H43" s="91" t="n">
        <x:v>0.7</x:v>
      </x:c>
      <x:c r="I43" s="91" t="n">
        <x:v>0.7</x:v>
      </x:c>
      <x:c r="J43" s="91" t="n">
        <x:v>0.7</x:v>
      </x:c>
      <x:c r="K43" s="91" t="n">
        <x:v>0.7</x:v>
      </x:c>
      <x:c r="L43" s="91" t="n">
        <x:v>0.7</x:v>
      </x:c>
      <x:c r="M43" s="91" t="n">
        <x:v>0.7</x:v>
      </x:c>
      <x:c r="N43" s="91" t="n">
        <x:v>0.7</x:v>
      </x:c>
      <x:c r="O43" s="91" t="n">
        <x:v>0.7</x:v>
      </x:c>
      <x:c r="P43" s="91" t="n">
        <x:v>0.7</x:v>
      </x:c>
      <x:c r="Q43" s="91" t="n">
        <x:v>0.7</x:v>
      </x:c>
      <x:c r="R43" s="91" t="n">
        <x:v>0.7</x:v>
      </x:c>
    </x:row>
    <x:row r="44">
      <x:c r="A44" t="str">
        <x:v>ARPOB</x:v>
      </x:c>
      <x:c r="B44" t="str">
        <x:v>₹ '000</x:v>
      </x:c>
      <x:c r="C44" s="35" t="n">
        <x:f>'Revenue Model'!C$10*C43</x:f>
        <x:v>57.33</x:v>
      </x:c>
      <x:c r="D44" s="35" t="n">
        <x:f>'Revenue Model'!D$10*D43</x:f>
        <x:v>56.8155</x:v>
      </x:c>
      <x:c r="E44" s="35" t="n">
        <x:f>'Revenue Model'!E$10*E43</x:f>
        <x:v>57.25650000000001</x:v>
      </x:c>
      <x:c r="F44" s="35" t="n">
        <x:f>'Revenue Model'!F$10*F43</x:f>
        <x:v>57.25650000000001</x:v>
      </x:c>
      <x:c r="G44" s="35" t="n">
        <x:f>'Revenue Model'!G$10*G43</x:f>
        <x:v>60.1965</x:v>
      </x:c>
      <x:c r="H44" s="35" t="n">
        <x:f>'Revenue Model'!H$10*H43</x:f>
        <x:v>59.656275</x:v>
      </x:c>
      <x:c r="I44" s="35" t="n">
        <x:f>'Revenue Model'!I$10*I43</x:f>
        <x:v>60.11932500000001</x:v>
      </x:c>
      <x:c r="J44" s="35" t="n">
        <x:f>'Revenue Model'!J$10*J43</x:f>
        <x:v>60.11932500000001</x:v>
      </x:c>
      <x:c r="K44" s="35" t="n">
        <x:f>'Revenue Model'!K$10*K43</x:f>
        <x:v>63.206325</x:v>
      </x:c>
      <x:c r="L44" s="35" t="n">
        <x:f>'Revenue Model'!L$10*L43</x:f>
        <x:v>62.63908875</x:v>
      </x:c>
      <x:c r="M44" s="35" t="n">
        <x:f>'Revenue Model'!M$10*M43</x:f>
        <x:v>63.12529125000002</x:v>
      </x:c>
      <x:c r="N44" s="35" t="n">
        <x:f>'Revenue Model'!N$10*N43</x:f>
        <x:v>63.12529125000002</x:v>
      </x:c>
      <x:c r="O44" s="35" t="n">
        <x:f>'Revenue Model'!O$10*O43</x:f>
        <x:v>66.36664125000001</x:v>
      </x:c>
      <x:c r="P44" s="35" t="n">
        <x:f>'Revenue Model'!P$10*P43</x:f>
        <x:v>65.7710431875</x:v>
      </x:c>
      <x:c r="Q44" s="35" t="n">
        <x:f>'Revenue Model'!Q$10*Q43</x:f>
        <x:v>66.28155581250002</x:v>
      </x:c>
      <x:c r="R44" s="35" t="n">
        <x:f>'Revenue Model'!R$10*R43</x:f>
        <x:v>66.28155581250002</x:v>
      </x:c>
    </x:row>
    <x:row r="45">
      <x:c r="A45" s="93" t="str">
        <x:v>Gross revenue ex Max Lab</x:v>
      </x:c>
      <x:c r="B45" s="93" t="str">
        <x:v>INR mn</x:v>
      </x:c>
      <x:c r="C45" s="94" t="n">
        <x:f>C41*'Revenue Model'!C$5*C42*C44/1000</x:f>
        <x:v>0</x:v>
      </x:c>
      <x:c r="D45" s="94" t="n">
        <x:f>D41*'Revenue Model'!D$5*D42*D44/1000</x:f>
        <x:v>0</x:v>
      </x:c>
      <x:c r="E45" s="94" t="n">
        <x:f>E41*'Revenue Model'!E$5*E42*E44/1000</x:f>
        <x:v>0</x:v>
      </x:c>
      <x:c r="F45" s="94" t="n">
        <x:f>F41*'Revenue Model'!F$5*F42*F44/1000</x:f>
        <x:v>0</x:v>
      </x:c>
      <x:c r="G45" s="94" t="n">
        <x:f>G41*'Revenue Model'!G$5*G42*G44/1000</x:f>
        <x:v>0</x:v>
      </x:c>
      <x:c r="H45" s="94" t="n">
        <x:f>H41*'Revenue Model'!H$5*H42*H44/1000</x:f>
        <x:v>0</x:v>
      </x:c>
      <x:c r="I45" s="94" t="n">
        <x:f>I41*'Revenue Model'!I$5*I42*I44/1000</x:f>
        <x:v>96.79211325000003</x:v>
      </x:c>
      <x:c r="J45" s="94" t="n">
        <x:f>J41*'Revenue Model'!J$5*J42*J44/1000</x:f>
        <x:v>273.54292875000004</x:v>
      </x:c>
      <x:c r="K45" s="94" t="n">
        <x:f>K41*'Revenue Model'!K$5*K42*K44/1000</x:f>
        <x:v>345.1065345</x:v>
      </x:c>
      <x:c r="L45" s="94" t="n">
        <x:f>L41*'Revenue Model'!L$5*L42*L44/1000</x:f>
        <x:v>374.581750725</x:v>
      </x:c>
      <x:c r="M45" s="94" t="n">
        <x:f>M41*'Revenue Model'!M$5*M42*M44/1000</x:f>
        <x:v>394.9118220600001</x:v>
      </x:c>
      <x:c r="N45" s="94" t="n">
        <x:f>N41*'Revenue Model'!N$5*N42*N44/1000</x:f>
        <x:v>397.6893348750001</x:v>
      </x:c>
      <x:c r="O45" s="94" t="n">
        <x:f>O41*'Revenue Model'!O$5*O42*O44/1000</x:f>
        <x:v>434.8342334700001</x:v>
      </x:c>
      <x:c r="P45" s="94" t="n">
        <x:f>P41*'Revenue Model'!P$5*P42*P44/1000</x:f>
        <x:v>435.66739007399997</x:v>
      </x:c>
      <x:c r="Q45" s="94" t="n">
        <x:f>Q41*'Revenue Model'!Q$5*Q42*Q44/1000</x:f>
        <x:v>439.0490257020001</x:v>
      </x:c>
      <x:c r="R45" s="94" t="n">
        <x:f>R41*'Revenue Model'!R$5*R42*R44/1000</x:f>
        <x:v>429.50448166500007</x:v>
      </x:c>
    </x:row>
    <x:row r="47" ht="19" customHeight="1">
      <x:c r="A47" s="78" t="str">
        <x:v>Zirakpur | Incremental capacity: 400 beds</x:v>
      </x:c>
      <x:c r="B47" s="78"/>
      <x:c r="C47" s="78"/>
      <x:c r="D47" s="78"/>
      <x:c r="E47" s="78"/>
      <x:c r="F47" s="78"/>
      <x:c r="G47" s="78"/>
      <x:c r="H47" s="78"/>
      <x:c r="I47" s="78"/>
      <x:c r="J47" s="78"/>
      <x:c r="K47" s="78"/>
      <x:c r="L47" s="78"/>
      <x:c r="M47" s="78"/>
      <x:c r="N47" s="78"/>
      <x:c r="O47" s="78"/>
      <x:c r="P47" s="78"/>
      <x:c r="Q47" s="78"/>
      <x:c r="R47" s="78"/>
    </x:row>
    <x:row r="48">
      <x:c r="A48" t="str">
        <x:v>Average operational beds</x:v>
      </x:c>
      <x:c r="B48" t="str">
        <x:v>beds</x:v>
      </x:c>
      <x:c r="C48" s="87" t="n">
        <x:v>0</x:v>
      </x:c>
      <x:c r="D48" s="87" t="n">
        <x:v>0</x:v>
      </x:c>
      <x:c r="E48" s="87" t="n">
        <x:v>0</x:v>
      </x:c>
      <x:c r="F48" s="87" t="n">
        <x:v>0</x:v>
      </x:c>
      <x:c r="G48" s="87" t="n">
        <x:v>0</x:v>
      </x:c>
      <x:c r="H48" s="87" t="n">
        <x:v>0</x:v>
      </x:c>
      <x:c r="I48" s="87" t="n">
        <x:v>100</x:v>
      </x:c>
      <x:c r="J48" s="87" t="n">
        <x:v>300</x:v>
      </x:c>
      <x:c r="K48" s="87" t="n">
        <x:v>400</x:v>
      </x:c>
      <x:c r="L48" s="87" t="n">
        <x:v>400</x:v>
      </x:c>
      <x:c r="M48" s="87" t="n">
        <x:v>400</x:v>
      </x:c>
      <x:c r="N48" s="87" t="n">
        <x:v>400</x:v>
      </x:c>
      <x:c r="O48" s="87" t="n">
        <x:v>400</x:v>
      </x:c>
      <x:c r="P48" s="87" t="n">
        <x:v>400</x:v>
      </x:c>
      <x:c r="Q48" s="87" t="n">
        <x:v>400</x:v>
      </x:c>
      <x:c r="R48" s="87" t="n">
        <x:v>400</x:v>
      </x:c>
    </x:row>
    <x:row r="49">
      <x:c r="A49" t="str">
        <x:v>Occupancy</x:v>
      </x:c>
      <x:c r="B49" t="str">
        <x:v>%</x:v>
      </x:c>
      <x:c r="C49" s="89" t="n">
        <x:v>0</x:v>
      </x:c>
      <x:c r="D49" s="89" t="n">
        <x:v>0</x:v>
      </x:c>
      <x:c r="E49" s="89" t="n">
        <x:v>0</x:v>
      </x:c>
      <x:c r="F49" s="89" t="n">
        <x:v>0</x:v>
      </x:c>
      <x:c r="G49" s="89" t="n">
        <x:v>0</x:v>
      </x:c>
      <x:c r="H49" s="89" t="n">
        <x:v>0</x:v>
      </x:c>
      <x:c r="I49" s="89" t="n">
        <x:v>0.2</x:v>
      </x:c>
      <x:c r="J49" s="89" t="n">
        <x:v>0.35</x:v>
      </x:c>
      <x:c r="K49" s="89" t="n">
        <x:v>0.45</x:v>
      </x:c>
      <x:c r="L49" s="89" t="n">
        <x:v>0.55</x:v>
      </x:c>
      <x:c r="M49" s="89" t="n">
        <x:v>0.62</x:v>
      </x:c>
      <x:c r="N49" s="89" t="n">
        <x:v>0.68</x:v>
      </x:c>
      <x:c r="O49" s="89" t="n">
        <x:v>0.7</x:v>
      </x:c>
      <x:c r="P49" s="89" t="n">
        <x:v>0.72</x:v>
      </x:c>
      <x:c r="Q49" s="89" t="n">
        <x:v>0.73</x:v>
      </x:c>
      <x:c r="R49" s="89" t="n">
        <x:v>0.74</x:v>
      </x:c>
    </x:row>
    <x:row r="50">
      <x:c r="A50" t="str">
        <x:v>ARPOB vs mature network</x:v>
      </x:c>
      <x:c r="B50" t="str">
        <x:v>x</x:v>
      </x:c>
      <x:c r="C50" s="91" t="n">
        <x:v>0.85</x:v>
      </x:c>
      <x:c r="D50" s="91" t="n">
        <x:v>0.85</x:v>
      </x:c>
      <x:c r="E50" s="91" t="n">
        <x:v>0.85</x:v>
      </x:c>
      <x:c r="F50" s="91" t="n">
        <x:v>0.85</x:v>
      </x:c>
      <x:c r="G50" s="91" t="n">
        <x:v>0.85</x:v>
      </x:c>
      <x:c r="H50" s="91" t="n">
        <x:v>0.85</x:v>
      </x:c>
      <x:c r="I50" s="91" t="n">
        <x:v>0.85</x:v>
      </x:c>
      <x:c r="J50" s="91" t="n">
        <x:v>0.85</x:v>
      </x:c>
      <x:c r="K50" s="91" t="n">
        <x:v>0.85</x:v>
      </x:c>
      <x:c r="L50" s="91" t="n">
        <x:v>0.85</x:v>
      </x:c>
      <x:c r="M50" s="91" t="n">
        <x:v>0.85</x:v>
      </x:c>
      <x:c r="N50" s="91" t="n">
        <x:v>0.85</x:v>
      </x:c>
      <x:c r="O50" s="91" t="n">
        <x:v>0.85</x:v>
      </x:c>
      <x:c r="P50" s="91" t="n">
        <x:v>0.85</x:v>
      </x:c>
      <x:c r="Q50" s="91" t="n">
        <x:v>0.85</x:v>
      </x:c>
      <x:c r="R50" s="91" t="n">
        <x:v>0.85</x:v>
      </x:c>
    </x:row>
    <x:row r="51">
      <x:c r="A51" t="str">
        <x:v>ARPOB</x:v>
      </x:c>
      <x:c r="B51" t="str">
        <x:v>₹ '000</x:v>
      </x:c>
      <x:c r="C51" s="35" t="n">
        <x:f>'Revenue Model'!C$10*C50</x:f>
        <x:v>69.61500000000001</x:v>
      </x:c>
      <x:c r="D51" s="35" t="n">
        <x:f>'Revenue Model'!D$10*D50</x:f>
        <x:v>68.99025</x:v>
      </x:c>
      <x:c r="E51" s="35" t="n">
        <x:f>'Revenue Model'!E$10*E50</x:f>
        <x:v>69.52575000000002</x:v>
      </x:c>
      <x:c r="F51" s="35" t="n">
        <x:f>'Revenue Model'!F$10*F50</x:f>
        <x:v>69.52575000000002</x:v>
      </x:c>
      <x:c r="G51" s="35" t="n">
        <x:f>'Revenue Model'!G$10*G50</x:f>
        <x:v>73.09575</x:v>
      </x:c>
      <x:c r="H51" s="35" t="n">
        <x:f>'Revenue Model'!H$10*H50</x:f>
        <x:v>72.4397625</x:v>
      </x:c>
      <x:c r="I51" s="35" t="n">
        <x:f>'Revenue Model'!I$10*I50</x:f>
        <x:v>73.00203750000001</x:v>
      </x:c>
      <x:c r="J51" s="35" t="n">
        <x:f>'Revenue Model'!J$10*J50</x:f>
        <x:v>73.00203750000001</x:v>
      </x:c>
      <x:c r="K51" s="35" t="n">
        <x:f>'Revenue Model'!K$10*K50</x:f>
        <x:v>76.75053750000001</x:v>
      </x:c>
      <x:c r="L51" s="35" t="n">
        <x:f>'Revenue Model'!L$10*L50</x:f>
        <x:v>76.061750625</x:v>
      </x:c>
      <x:c r="M51" s="35" t="n">
        <x:f>'Revenue Model'!M$10*M50</x:f>
        <x:v>76.65213937500003</x:v>
      </x:c>
      <x:c r="N51" s="35" t="n">
        <x:f>'Revenue Model'!N$10*N50</x:f>
        <x:v>76.65213937500003</x:v>
      </x:c>
      <x:c r="O51" s="35" t="n">
        <x:f>'Revenue Model'!O$10*O50</x:f>
        <x:v>80.58806437500002</x:v>
      </x:c>
      <x:c r="P51" s="35" t="n">
        <x:f>'Revenue Model'!P$10*P50</x:f>
        <x:v>79.86483815625</x:v>
      </x:c>
      <x:c r="Q51" s="35" t="n">
        <x:f>'Revenue Model'!Q$10*Q50</x:f>
        <x:v>80.48474634375003</x:v>
      </x:c>
      <x:c r="R51" s="35" t="n">
        <x:f>'Revenue Model'!R$10*R50</x:f>
        <x:v>80.48474634375003</x:v>
      </x:c>
    </x:row>
    <x:row r="52">
      <x:c r="A52" s="93" t="str">
        <x:v>Gross revenue ex Max Lab</x:v>
      </x:c>
      <x:c r="B52" s="93" t="str">
        <x:v>INR mn</x:v>
      </x:c>
      <x:c r="C52" s="94" t="n">
        <x:f>C48*'Revenue Model'!C$5*C49*C51/1000</x:f>
        <x:v>0</x:v>
      </x:c>
      <x:c r="D52" s="94" t="n">
        <x:f>D48*'Revenue Model'!D$5*D49*D51/1000</x:f>
        <x:v>0</x:v>
      </x:c>
      <x:c r="E52" s="94" t="n">
        <x:f>E48*'Revenue Model'!E$5*E49*E51/1000</x:f>
        <x:v>0</x:v>
      </x:c>
      <x:c r="F52" s="94" t="n">
        <x:f>F48*'Revenue Model'!F$5*F49*F51/1000</x:f>
        <x:v>0</x:v>
      </x:c>
      <x:c r="G52" s="94" t="n">
        <x:f>G48*'Revenue Model'!G$5*G49*G51/1000</x:f>
        <x:v>0</x:v>
      </x:c>
      <x:c r="H52" s="94" t="n">
        <x:f>H48*'Revenue Model'!H$5*H49*H51/1000</x:f>
        <x:v>0</x:v>
      </x:c>
      <x:c r="I52" s="94" t="n">
        <x:f>I48*'Revenue Model'!I$5*I49*I51/1000</x:f>
        <x:v>134.32374900000005</x:v>
      </x:c>
      <x:c r="J52" s="94" t="n">
        <x:f>J48*'Revenue Model'!J$5*J49*J51/1000</x:f>
        <x:v>697.5344683125002</x:v>
      </x:c>
      <x:c r="K52" s="94" t="n">
        <x:f>K48*'Revenue Model'!K$5*K49*K51/1000</x:f>
        <x:v>1257.17380425</x:v>
      </x:c>
      <x:c r="L52" s="94" t="n">
        <x:f>L48*'Revenue Model'!L$5*L49*L51/1000</x:f>
        <x:v>1539.48983265</x:v>
      </x:c>
      <x:c r="M52" s="94" t="n">
        <x:f>M48*'Revenue Model'!M$5*M49*M51/1000</x:f>
        <x:v>1748.8952119800008</x:v>
      </x:c>
      <x:c r="N52" s="94" t="n">
        <x:f>N48*'Revenue Model'!N$5*N49*N51/1000</x:f>
        <x:v>1876.4443719000008</x:v>
      </x:c>
      <x:c r="O52" s="94" t="n">
        <x:f>O48*'Revenue Model'!O$5*O49*O51/1000</x:f>
        <x:v>2053.383880275</x:v>
      </x:c>
      <x:c r="P52" s="94" t="n">
        <x:f>P48*'Revenue Model'!P$5*P49*P51/1000</x:f>
        <x:v>2116.0987517880003</x:v>
      </x:c>
      <x:c r="Q52" s="94" t="n">
        <x:f>Q48*'Revenue Model'!Q$5*Q49*Q51/1000</x:f>
        <x:v>2162.142225778501</x:v>
      </x:c>
      <x:c r="R52" s="94" t="n">
        <x:f>R48*'Revenue Model'!R$5*R49*R51/1000</x:f>
        <x:v>2144.1136425975005</x:v>
      </x:c>
    </x:row>
    <x:row r="54" ht="19" customHeight="1">
      <x:c r="A54" s="78" t="str">
        <x:v>Vaishali brownfield | Incremental capacity: 200 beds</x:v>
      </x:c>
      <x:c r="B54" s="78"/>
      <x:c r="C54" s="78"/>
      <x:c r="D54" s="78"/>
      <x:c r="E54" s="78"/>
      <x:c r="F54" s="78"/>
      <x:c r="G54" s="78"/>
      <x:c r="H54" s="78"/>
      <x:c r="I54" s="78"/>
      <x:c r="J54" s="78"/>
      <x:c r="K54" s="78"/>
      <x:c r="L54" s="78"/>
      <x:c r="M54" s="78"/>
      <x:c r="N54" s="78"/>
      <x:c r="O54" s="78"/>
      <x:c r="P54" s="78"/>
      <x:c r="Q54" s="78"/>
      <x:c r="R54" s="78"/>
    </x:row>
    <x:row r="55">
      <x:c r="A55" t="str">
        <x:v>Average operational beds</x:v>
      </x:c>
      <x:c r="B55" t="str">
        <x:v>beds</x:v>
      </x:c>
      <x:c r="C55" s="87" t="n">
        <x:v>0</x:v>
      </x:c>
      <x:c r="D55" s="87" t="n">
        <x:v>0</x:v>
      </x:c>
      <x:c r="E55" s="87" t="n">
        <x:v>0</x:v>
      </x:c>
      <x:c r="F55" s="87" t="n">
        <x:v>0</x:v>
      </x:c>
      <x:c r="G55" s="87" t="n">
        <x:v>0</x:v>
      </x:c>
      <x:c r="H55" s="87" t="n">
        <x:v>0</x:v>
      </x:c>
      <x:c r="I55" s="87" t="n">
        <x:v>0</x:v>
      </x:c>
      <x:c r="J55" s="87" t="n">
        <x:v>0</x:v>
      </x:c>
      <x:c r="K55" s="87" t="n">
        <x:v>0</x:v>
      </x:c>
      <x:c r="L55" s="87" t="n">
        <x:v>100</x:v>
      </x:c>
      <x:c r="M55" s="87" t="n">
        <x:v>200</x:v>
      </x:c>
      <x:c r="N55" s="87" t="n">
        <x:v>200</x:v>
      </x:c>
      <x:c r="O55" s="87" t="n">
        <x:v>200</x:v>
      </x:c>
      <x:c r="P55" s="87" t="n">
        <x:v>200</x:v>
      </x:c>
      <x:c r="Q55" s="87" t="n">
        <x:v>200</x:v>
      </x:c>
      <x:c r="R55" s="87" t="n">
        <x:v>200</x:v>
      </x:c>
    </x:row>
    <x:row r="56">
      <x:c r="A56" t="str">
        <x:v>Occupancy</x:v>
      </x:c>
      <x:c r="B56" t="str">
        <x:v>%</x:v>
      </x:c>
      <x:c r="C56" s="89" t="n">
        <x:v>0</x:v>
      </x:c>
      <x:c r="D56" s="89" t="n">
        <x:v>0</x:v>
      </x:c>
      <x:c r="E56" s="89" t="n">
        <x:v>0</x:v>
      </x:c>
      <x:c r="F56" s="89" t="n">
        <x:v>0</x:v>
      </x:c>
      <x:c r="G56" s="89" t="n">
        <x:v>0</x:v>
      </x:c>
      <x:c r="H56" s="89" t="n">
        <x:v>0</x:v>
      </x:c>
      <x:c r="I56" s="89" t="n">
        <x:v>0</x:v>
      </x:c>
      <x:c r="J56" s="89" t="n">
        <x:v>0</x:v>
      </x:c>
      <x:c r="K56" s="89" t="n">
        <x:v>0</x:v>
      </x:c>
      <x:c r="L56" s="89" t="n">
        <x:v>0.35</x:v>
      </x:c>
      <x:c r="M56" s="89" t="n">
        <x:v>0.5</x:v>
      </x:c>
      <x:c r="N56" s="89" t="n">
        <x:v>0.6</x:v>
      </x:c>
      <x:c r="O56" s="89" t="n">
        <x:v>0.65</x:v>
      </x:c>
      <x:c r="P56" s="89" t="n">
        <x:v>0.68</x:v>
      </x:c>
      <x:c r="Q56" s="89" t="n">
        <x:v>0.7</x:v>
      </x:c>
      <x:c r="R56" s="89" t="n">
        <x:v>0.72</x:v>
      </x:c>
    </x:row>
    <x:row r="57">
      <x:c r="A57" t="str">
        <x:v>ARPOB vs mature network</x:v>
      </x:c>
      <x:c r="B57" t="str">
        <x:v>x</x:v>
      </x:c>
      <x:c r="C57" s="91" t="n">
        <x:v>0.95</x:v>
      </x:c>
      <x:c r="D57" s="91" t="n">
        <x:v>0.95</x:v>
      </x:c>
      <x:c r="E57" s="91" t="n">
        <x:v>0.95</x:v>
      </x:c>
      <x:c r="F57" s="91" t="n">
        <x:v>0.95</x:v>
      </x:c>
      <x:c r="G57" s="91" t="n">
        <x:v>0.95</x:v>
      </x:c>
      <x:c r="H57" s="91" t="n">
        <x:v>0.95</x:v>
      </x:c>
      <x:c r="I57" s="91" t="n">
        <x:v>0.95</x:v>
      </x:c>
      <x:c r="J57" s="91" t="n">
        <x:v>0.95</x:v>
      </x:c>
      <x:c r="K57" s="91" t="n">
        <x:v>0.95</x:v>
      </x:c>
      <x:c r="L57" s="91" t="n">
        <x:v>0.95</x:v>
      </x:c>
      <x:c r="M57" s="91" t="n">
        <x:v>0.95</x:v>
      </x:c>
      <x:c r="N57" s="91" t="n">
        <x:v>0.95</x:v>
      </x:c>
      <x:c r="O57" s="91" t="n">
        <x:v>0.95</x:v>
      </x:c>
      <x:c r="P57" s="91" t="n">
        <x:v>0.95</x:v>
      </x:c>
      <x:c r="Q57" s="91" t="n">
        <x:v>0.95</x:v>
      </x:c>
      <x:c r="R57" s="91" t="n">
        <x:v>0.95</x:v>
      </x:c>
    </x:row>
    <x:row r="58">
      <x:c r="A58" t="str">
        <x:v>ARPOB</x:v>
      </x:c>
      <x:c r="B58" t="str">
        <x:v>₹ '000</x:v>
      </x:c>
      <x:c r="C58" s="35" t="n">
        <x:f>'Revenue Model'!C$10*C57</x:f>
        <x:v>77.805</x:v>
      </x:c>
      <x:c r="D58" s="35" t="n">
        <x:f>'Revenue Model'!D$10*D57</x:f>
        <x:v>77.10675</x:v>
      </x:c>
      <x:c r="E58" s="35" t="n">
        <x:f>'Revenue Model'!E$10*E57</x:f>
        <x:v>77.70525</x:v>
      </x:c>
      <x:c r="F58" s="35" t="n">
        <x:f>'Revenue Model'!F$10*F57</x:f>
        <x:v>77.70525</x:v>
      </x:c>
      <x:c r="G58" s="35" t="n">
        <x:f>'Revenue Model'!G$10*G57</x:f>
        <x:v>81.69525</x:v>
      </x:c>
      <x:c r="H58" s="35" t="n">
        <x:f>'Revenue Model'!H$10*H57</x:f>
        <x:v>80.96208750000001</x:v>
      </x:c>
      <x:c r="I58" s="35" t="n">
        <x:f>'Revenue Model'!I$10*I57</x:f>
        <x:v>81.59051250000002</x:v>
      </x:c>
      <x:c r="J58" s="35" t="n">
        <x:f>'Revenue Model'!J$10*J57</x:f>
        <x:v>81.59051250000002</x:v>
      </x:c>
      <x:c r="K58" s="35" t="n">
        <x:f>'Revenue Model'!K$10*K57</x:f>
        <x:v>85.7800125</x:v>
      </x:c>
      <x:c r="L58" s="35" t="n">
        <x:f>'Revenue Model'!L$10*L57</x:f>
        <x:v>85.010191875</x:v>
      </x:c>
      <x:c r="M58" s="35" t="n">
        <x:f>'Revenue Model'!M$10*M57</x:f>
        <x:v>85.67003812500003</x:v>
      </x:c>
      <x:c r="N58" s="35" t="n">
        <x:f>'Revenue Model'!N$10*N57</x:f>
        <x:v>85.67003812500003</x:v>
      </x:c>
      <x:c r="O58" s="35" t="n">
        <x:f>'Revenue Model'!O$10*O57</x:f>
        <x:v>90.06901312500001</x:v>
      </x:c>
      <x:c r="P58" s="35" t="n">
        <x:f>'Revenue Model'!P$10*P57</x:f>
        <x:v>89.26070146875</x:v>
      </x:c>
      <x:c r="Q58" s="35" t="n">
        <x:f>'Revenue Model'!Q$10*Q57</x:f>
        <x:v>89.95354003125003</x:v>
      </x:c>
      <x:c r="R58" s="35" t="n">
        <x:f>'Revenue Model'!R$10*R57</x:f>
        <x:v>89.95354003125003</x:v>
      </x:c>
    </x:row>
    <x:row r="59">
      <x:c r="A59" s="93" t="str">
        <x:v>Gross revenue ex Max Lab</x:v>
      </x:c>
      <x:c r="B59" s="93" t="str">
        <x:v>INR mn</x:v>
      </x:c>
      <x:c r="C59" s="94" t="n">
        <x:f>C55*'Revenue Model'!C$5*C56*C58/1000</x:f>
        <x:v>0</x:v>
      </x:c>
      <x:c r="D59" s="94" t="n">
        <x:f>D55*'Revenue Model'!D$5*D56*D58/1000</x:f>
        <x:v>0</x:v>
      </x:c>
      <x:c r="E59" s="94" t="n">
        <x:f>E55*'Revenue Model'!E$5*E56*E58/1000</x:f>
        <x:v>0</x:v>
      </x:c>
      <x:c r="F59" s="94" t="n">
        <x:f>F55*'Revenue Model'!F$5*F56*F58/1000</x:f>
        <x:v>0</x:v>
      </x:c>
      <x:c r="G59" s="94" t="n">
        <x:f>G55*'Revenue Model'!G$5*G56*G58/1000</x:f>
        <x:v>0</x:v>
      </x:c>
      <x:c r="H59" s="94" t="n">
        <x:f>H55*'Revenue Model'!H$5*H56*H58/1000</x:f>
        <x:v>0</x:v>
      </x:c>
      <x:c r="I59" s="94" t="n">
        <x:f>I55*'Revenue Model'!I$5*I56*I58/1000</x:f>
        <x:v>0</x:v>
      </x:c>
      <x:c r="J59" s="94" t="n">
        <x:f>J55*'Revenue Model'!J$5*J56*J58/1000</x:f>
        <x:v>0</x:v>
      </x:c>
      <x:c r="K59" s="94" t="n">
        <x:f>K55*'Revenue Model'!K$5*K56*K58/1000</x:f>
        <x:v>0</x:v>
      </x:c>
      <x:c r="L59" s="94" t="n">
        <x:f>L55*'Revenue Model'!L$5*L56*L58/1000</x:f>
        <x:v>273.7328178375</x:v>
      </x:c>
      <x:c r="M59" s="94" t="n">
        <x:f>M55*'Revenue Model'!M$5*M56*M58/1000</x:f>
        <x:v>788.1643507500004</x:v>
      </x:c>
      <x:c r="N59" s="94" t="n">
        <x:f>N55*'Revenue Model'!N$5*N56*N58/1000</x:f>
        <x:v>925.2364117500003</x:v>
      </x:c>
      <x:c r="O59" s="94" t="n">
        <x:f>O55*'Revenue Model'!O$5*O56*O58/1000</x:f>
        <x:v>1065.5164252687503</x:v>
      </x:c>
      <x:c r="P59" s="94" t="n">
        <x:f>P55*'Revenue Model'!P$5*P56*P58/1000</x:f>
        <x:v>1116.8298967770002</x:v>
      </x:c>
      <x:c r="Q59" s="94" t="n">
        <x:f>Q55*'Revenue Model'!Q$5*Q56*Q58/1000</x:f>
        <x:v>1158.6015956025003</x:v>
      </x:c>
      <x:c r="R59" s="94" t="n">
        <x:f>R55*'Revenue Model'!R$5*R56*R58/1000</x:f>
        <x:v>1165.7978788050004</x:v>
      </x:c>
    </x:row>
    <x:row r="61" ht="19" customHeight="1">
      <x:c r="A61" s="78" t="str">
        <x:v>Dwarka expansion | Incremental capacity: 260 beds</x:v>
      </x:c>
      <x:c r="B61" s="78"/>
      <x:c r="C61" s="78"/>
      <x:c r="D61" s="78"/>
      <x:c r="E61" s="78"/>
      <x:c r="F61" s="78"/>
      <x:c r="G61" s="78"/>
      <x:c r="H61" s="78"/>
      <x:c r="I61" s="78"/>
      <x:c r="J61" s="78"/>
      <x:c r="K61" s="78"/>
      <x:c r="L61" s="78"/>
      <x:c r="M61" s="78"/>
      <x:c r="N61" s="78"/>
      <x:c r="O61" s="78"/>
      <x:c r="P61" s="78"/>
      <x:c r="Q61" s="78"/>
      <x:c r="R61" s="78"/>
    </x:row>
    <x:row r="62">
      <x:c r="A62" t="str">
        <x:v>Average operational beds</x:v>
      </x:c>
      <x:c r="B62" t="str">
        <x:v>beds</x:v>
      </x:c>
      <x:c r="C62" s="87" t="n">
        <x:v>0</x:v>
      </x:c>
      <x:c r="D62" s="87" t="n">
        <x:v>0</x:v>
      </x:c>
      <x:c r="E62" s="87" t="n">
        <x:v>0</x:v>
      </x:c>
      <x:c r="F62" s="87" t="n">
        <x:v>0</x:v>
      </x:c>
      <x:c r="G62" s="87" t="n">
        <x:v>0</x:v>
      </x:c>
      <x:c r="H62" s="87" t="n">
        <x:v>0</x:v>
      </x:c>
      <x:c r="I62" s="87" t="n">
        <x:v>0</x:v>
      </x:c>
      <x:c r="J62" s="87" t="n">
        <x:v>0</x:v>
      </x:c>
      <x:c r="K62" s="87" t="n">
        <x:v>0</x:v>
      </x:c>
      <x:c r="L62" s="87" t="n">
        <x:v>130</x:v>
      </x:c>
      <x:c r="M62" s="87" t="n">
        <x:v>260</x:v>
      </x:c>
      <x:c r="N62" s="87" t="n">
        <x:v>260</x:v>
      </x:c>
      <x:c r="O62" s="87" t="n">
        <x:v>260</x:v>
      </x:c>
      <x:c r="P62" s="87" t="n">
        <x:v>260</x:v>
      </x:c>
      <x:c r="Q62" s="87" t="n">
        <x:v>260</x:v>
      </x:c>
      <x:c r="R62" s="87" t="n">
        <x:v>260</x:v>
      </x:c>
    </x:row>
    <x:row r="63">
      <x:c r="A63" t="str">
        <x:v>Occupancy</x:v>
      </x:c>
      <x:c r="B63" t="str">
        <x:v>%</x:v>
      </x:c>
      <x:c r="C63" s="89" t="n">
        <x:v>0</x:v>
      </x:c>
      <x:c r="D63" s="89" t="n">
        <x:v>0</x:v>
      </x:c>
      <x:c r="E63" s="89" t="n">
        <x:v>0</x:v>
      </x:c>
      <x:c r="F63" s="89" t="n">
        <x:v>0</x:v>
      </x:c>
      <x:c r="G63" s="89" t="n">
        <x:v>0</x:v>
      </x:c>
      <x:c r="H63" s="89" t="n">
        <x:v>0</x:v>
      </x:c>
      <x:c r="I63" s="89" t="n">
        <x:v>0</x:v>
      </x:c>
      <x:c r="J63" s="89" t="n">
        <x:v>0</x:v>
      </x:c>
      <x:c r="K63" s="89" t="n">
        <x:v>0</x:v>
      </x:c>
      <x:c r="L63" s="89" t="n">
        <x:v>0.3</x:v>
      </x:c>
      <x:c r="M63" s="89" t="n">
        <x:v>0.45</x:v>
      </x:c>
      <x:c r="N63" s="89" t="n">
        <x:v>0.55</x:v>
      </x:c>
      <x:c r="O63" s="89" t="n">
        <x:v>0.62</x:v>
      </x:c>
      <x:c r="P63" s="89" t="n">
        <x:v>0.66</x:v>
      </x:c>
      <x:c r="Q63" s="89" t="n">
        <x:v>0.69</x:v>
      </x:c>
      <x:c r="R63" s="89" t="n">
        <x:v>0.71</x:v>
      </x:c>
    </x:row>
    <x:row r="64">
      <x:c r="A64" t="str">
        <x:v>ARPOB vs mature network</x:v>
      </x:c>
      <x:c r="B64" t="str">
        <x:v>x</x:v>
      </x:c>
      <x:c r="C64" s="91" t="n">
        <x:v>0.9</x:v>
      </x:c>
      <x:c r="D64" s="91" t="n">
        <x:v>0.9</x:v>
      </x:c>
      <x:c r="E64" s="91" t="n">
        <x:v>0.9</x:v>
      </x:c>
      <x:c r="F64" s="91" t="n">
        <x:v>0.9</x:v>
      </x:c>
      <x:c r="G64" s="91" t="n">
        <x:v>0.9</x:v>
      </x:c>
      <x:c r="H64" s="91" t="n">
        <x:v>0.9</x:v>
      </x:c>
      <x:c r="I64" s="91" t="n">
        <x:v>0.9</x:v>
      </x:c>
      <x:c r="J64" s="91" t="n">
        <x:v>0.9</x:v>
      </x:c>
      <x:c r="K64" s="91" t="n">
        <x:v>0.9</x:v>
      </x:c>
      <x:c r="L64" s="91" t="n">
        <x:v>0.9</x:v>
      </x:c>
      <x:c r="M64" s="91" t="n">
        <x:v>0.9</x:v>
      </x:c>
      <x:c r="N64" s="91" t="n">
        <x:v>0.9</x:v>
      </x:c>
      <x:c r="O64" s="91" t="n">
        <x:v>0.9</x:v>
      </x:c>
      <x:c r="P64" s="91" t="n">
        <x:v>0.9</x:v>
      </x:c>
      <x:c r="Q64" s="91" t="n">
        <x:v>0.9</x:v>
      </x:c>
      <x:c r="R64" s="91" t="n">
        <x:v>0.9</x:v>
      </x:c>
    </x:row>
    <x:row r="65">
      <x:c r="A65" t="str">
        <x:v>ARPOB</x:v>
      </x:c>
      <x:c r="B65" t="str">
        <x:v>₹ '000</x:v>
      </x:c>
      <x:c r="C65" s="35" t="n">
        <x:f>'Revenue Model'!C$10*C64</x:f>
        <x:v>73.71000000000001</x:v>
      </x:c>
      <x:c r="D65" s="35" t="n">
        <x:f>'Revenue Model'!D$10*D64</x:f>
        <x:v>73.0485</x:v>
      </x:c>
      <x:c r="E65" s="35" t="n">
        <x:f>'Revenue Model'!E$10*E64</x:f>
        <x:v>73.61550000000001</x:v>
      </x:c>
      <x:c r="F65" s="35" t="n">
        <x:f>'Revenue Model'!F$10*F64</x:f>
        <x:v>73.61550000000001</x:v>
      </x:c>
      <x:c r="G65" s="35" t="n">
        <x:f>'Revenue Model'!G$10*G64</x:f>
        <x:v>77.39550000000001</x:v>
      </x:c>
      <x:c r="H65" s="35" t="n">
        <x:f>'Revenue Model'!H$10*H64</x:f>
        <x:v>76.70092500000001</x:v>
      </x:c>
      <x:c r="I65" s="35" t="n">
        <x:f>'Revenue Model'!I$10*I64</x:f>
        <x:v>77.29627500000002</x:v>
      </x:c>
      <x:c r="J65" s="35" t="n">
        <x:f>'Revenue Model'!J$10*J64</x:f>
        <x:v>77.29627500000002</x:v>
      </x:c>
      <x:c r="K65" s="35" t="n">
        <x:f>'Revenue Model'!K$10*K64</x:f>
        <x:v>81.265275</x:v>
      </x:c>
      <x:c r="L65" s="35" t="n">
        <x:f>'Revenue Model'!L$10*L64</x:f>
        <x:v>80.53597125</x:v>
      </x:c>
      <x:c r="M65" s="35" t="n">
        <x:f>'Revenue Model'!M$10*M64</x:f>
        <x:v>81.16108875000003</x:v>
      </x:c>
      <x:c r="N65" s="35" t="n">
        <x:f>'Revenue Model'!N$10*N64</x:f>
        <x:v>81.16108875000003</x:v>
      </x:c>
      <x:c r="O65" s="35" t="n">
        <x:f>'Revenue Model'!O$10*O64</x:f>
        <x:v>85.32853875000002</x:v>
      </x:c>
      <x:c r="P65" s="35" t="n">
        <x:f>'Revenue Model'!P$10*P64</x:f>
        <x:v>84.56276981250001</x:v>
      </x:c>
      <x:c r="Q65" s="35" t="n">
        <x:f>'Revenue Model'!Q$10*Q64</x:f>
        <x:v>85.21914318750004</x:v>
      </x:c>
      <x:c r="R65" s="35" t="n">
        <x:f>'Revenue Model'!R$10*R64</x:f>
        <x:v>85.21914318750004</x:v>
      </x:c>
    </x:row>
    <x:row r="66">
      <x:c r="A66" s="93" t="str">
        <x:v>Gross revenue ex Max Lab</x:v>
      </x:c>
      <x:c r="B66" s="93" t="str">
        <x:v>INR mn</x:v>
      </x:c>
      <x:c r="C66" s="94" t="n">
        <x:f>C62*'Revenue Model'!C$5*C63*C65/1000</x:f>
        <x:v>0</x:v>
      </x:c>
      <x:c r="D66" s="94" t="n">
        <x:f>D62*'Revenue Model'!D$5*D63*D65/1000</x:f>
        <x:v>0</x:v>
      </x:c>
      <x:c r="E66" s="94" t="n">
        <x:f>E62*'Revenue Model'!E$5*E63*E65/1000</x:f>
        <x:v>0</x:v>
      </x:c>
      <x:c r="F66" s="94" t="n">
        <x:f>F62*'Revenue Model'!F$5*F63*F65/1000</x:f>
        <x:v>0</x:v>
      </x:c>
      <x:c r="G66" s="94" t="n">
        <x:f>G62*'Revenue Model'!G$5*G63*G65/1000</x:f>
        <x:v>0</x:v>
      </x:c>
      <x:c r="H66" s="94" t="n">
        <x:f>H62*'Revenue Model'!H$5*H63*H65/1000</x:f>
        <x:v>0</x:v>
      </x:c>
      <x:c r="I66" s="94" t="n">
        <x:f>I62*'Revenue Model'!I$5*I63*I65/1000</x:f>
        <x:v>0</x:v>
      </x:c>
      <x:c r="J66" s="94" t="n">
        <x:f>J62*'Revenue Model'!J$5*J63*J65/1000</x:f>
        <x:v>0</x:v>
      </x:c>
      <x:c r="K66" s="94" t="n">
        <x:f>K62*'Revenue Model'!K$5*K63*K65/1000</x:f>
        <x:v>0</x:v>
      </x:c>
      <x:c r="L66" s="94" t="n">
        <x:f>L62*'Revenue Model'!L$5*L63*L65/1000</x:f>
        <x:v>288.96306484499996</x:v>
      </x:c>
      <x:c r="M66" s="94" t="n">
        <x:f>M62*'Revenue Model'!M$5*M63*M65/1000</x:f>
        <x:v>873.6179593050003</x:v>
      </x:c>
      <x:c r="N66" s="94" t="n">
        <x:f>N62*'Revenue Model'!N$5*N63*N65/1000</x:f>
        <x:v>1044.5432122125005</x:v>
      </x:c>
      <x:c r="O66" s="94" t="n">
        <x:f>O62*'Revenue Model'!O$5*O63*O65/1000</x:f>
        <x:v>1251.7014006315005</x:v>
      </x:c>
      <x:c r="P66" s="94" t="n">
        <x:f>P62*'Revenue Model'!P$5*P63*P65/1000</x:f>
        <x:v>1335.0093595839</x:v>
      </x:c>
      <x:c r="Q66" s="94" t="n">
        <x:f>Q62*'Revenue Model'!Q$5*Q63*Q65/1000</x:f>
        <x:v>1406.5249144810505</x:v>
      </x:c>
      <x:c r="R66" s="94" t="n">
        <x:f>R62*'Revenue Model'!R$5*R63*R65/1000</x:f>
        <x:v>1415.8308449171254</x:v>
      </x:c>
    </x:row>
    <x:row r="68" ht="19" customHeight="1">
      <x:c r="A68" s="78" t="str">
        <x:v>Patparganj brownfield | Incremental capacity: 397 beds</x:v>
      </x:c>
      <x:c r="B68" s="78"/>
      <x:c r="C68" s="78"/>
      <x:c r="D68" s="78"/>
      <x:c r="E68" s="78"/>
      <x:c r="F68" s="78"/>
      <x:c r="G68" s="78"/>
      <x:c r="H68" s="78"/>
      <x:c r="I68" s="78"/>
      <x:c r="J68" s="78"/>
      <x:c r="K68" s="78"/>
      <x:c r="L68" s="78"/>
      <x:c r="M68" s="78"/>
      <x:c r="N68" s="78"/>
      <x:c r="O68" s="78"/>
      <x:c r="P68" s="78"/>
      <x:c r="Q68" s="78"/>
      <x:c r="R68" s="78"/>
    </x:row>
    <x:row r="69">
      <x:c r="A69" t="str">
        <x:v>Average operational beds</x:v>
      </x:c>
      <x:c r="B69" t="str">
        <x:v>beds</x:v>
      </x:c>
      <x:c r="C69" s="87" t="n">
        <x:v>0</x:v>
      </x:c>
      <x:c r="D69" s="87" t="n">
        <x:v>0</x:v>
      </x:c>
      <x:c r="E69" s="87" t="n">
        <x:v>0</x:v>
      </x:c>
      <x:c r="F69" s="87" t="n">
        <x:v>0</x:v>
      </x:c>
      <x:c r="G69" s="87" t="n">
        <x:v>0</x:v>
      </x:c>
      <x:c r="H69" s="87" t="n">
        <x:v>0</x:v>
      </x:c>
      <x:c r="I69" s="87" t="n">
        <x:v>0</x:v>
      </x:c>
      <x:c r="J69" s="87" t="n">
        <x:v>0</x:v>
      </x:c>
      <x:c r="K69" s="87" t="n">
        <x:v>0</x:v>
      </x:c>
      <x:c r="L69" s="87" t="n">
        <x:v>0</x:v>
      </x:c>
      <x:c r="M69" s="87" t="n">
        <x:v>100</x:v>
      </x:c>
      <x:c r="N69" s="87" t="n">
        <x:v>300</x:v>
      </x:c>
      <x:c r="O69" s="87" t="n">
        <x:v>397</x:v>
      </x:c>
      <x:c r="P69" s="87" t="n">
        <x:v>397</x:v>
      </x:c>
      <x:c r="Q69" s="87" t="n">
        <x:v>397</x:v>
      </x:c>
      <x:c r="R69" s="87" t="n">
        <x:v>397</x:v>
      </x:c>
    </x:row>
    <x:row r="70">
      <x:c r="A70" t="str">
        <x:v>Occupancy</x:v>
      </x:c>
      <x:c r="B70" t="str">
        <x:v>%</x:v>
      </x:c>
      <x:c r="C70" s="89" t="n">
        <x:v>0</x:v>
      </x:c>
      <x:c r="D70" s="89" t="n">
        <x:v>0</x:v>
      </x:c>
      <x:c r="E70" s="89" t="n">
        <x:v>0</x:v>
      </x:c>
      <x:c r="F70" s="89" t="n">
        <x:v>0</x:v>
      </x:c>
      <x:c r="G70" s="89" t="n">
        <x:v>0</x:v>
      </x:c>
      <x:c r="H70" s="89" t="n">
        <x:v>0</x:v>
      </x:c>
      <x:c r="I70" s="89" t="n">
        <x:v>0</x:v>
      </x:c>
      <x:c r="J70" s="89" t="n">
        <x:v>0</x:v>
      </x:c>
      <x:c r="K70" s="89" t="n">
        <x:v>0</x:v>
      </x:c>
      <x:c r="L70" s="89" t="n">
        <x:v>0</x:v>
      </x:c>
      <x:c r="M70" s="89" t="n">
        <x:v>0.2</x:v>
      </x:c>
      <x:c r="N70" s="89" t="n">
        <x:v>0.35</x:v>
      </x:c>
      <x:c r="O70" s="89" t="n">
        <x:v>0.45</x:v>
      </x:c>
      <x:c r="P70" s="89" t="n">
        <x:v>0.55</x:v>
      </x:c>
      <x:c r="Q70" s="89" t="n">
        <x:v>0.62</x:v>
      </x:c>
      <x:c r="R70" s="89" t="n">
        <x:v>0.68</x:v>
      </x:c>
    </x:row>
    <x:row r="71">
      <x:c r="A71" t="str">
        <x:v>ARPOB vs mature network</x:v>
      </x:c>
      <x:c r="B71" t="str">
        <x:v>x</x:v>
      </x:c>
      <x:c r="C71" s="91" t="n">
        <x:v>0.9</x:v>
      </x:c>
      <x:c r="D71" s="91" t="n">
        <x:v>0.9</x:v>
      </x:c>
      <x:c r="E71" s="91" t="n">
        <x:v>0.9</x:v>
      </x:c>
      <x:c r="F71" s="91" t="n">
        <x:v>0.9</x:v>
      </x:c>
      <x:c r="G71" s="91" t="n">
        <x:v>0.9</x:v>
      </x:c>
      <x:c r="H71" s="91" t="n">
        <x:v>0.9</x:v>
      </x:c>
      <x:c r="I71" s="91" t="n">
        <x:v>0.9</x:v>
      </x:c>
      <x:c r="J71" s="91" t="n">
        <x:v>0.9</x:v>
      </x:c>
      <x:c r="K71" s="91" t="n">
        <x:v>0.9</x:v>
      </x:c>
      <x:c r="L71" s="91" t="n">
        <x:v>0.9</x:v>
      </x:c>
      <x:c r="M71" s="91" t="n">
        <x:v>0.9</x:v>
      </x:c>
      <x:c r="N71" s="91" t="n">
        <x:v>0.9</x:v>
      </x:c>
      <x:c r="O71" s="91" t="n">
        <x:v>0.9</x:v>
      </x:c>
      <x:c r="P71" s="91" t="n">
        <x:v>0.9</x:v>
      </x:c>
      <x:c r="Q71" s="91" t="n">
        <x:v>0.9</x:v>
      </x:c>
      <x:c r="R71" s="91" t="n">
        <x:v>0.9</x:v>
      </x:c>
    </x:row>
    <x:row r="72">
      <x:c r="A72" t="str">
        <x:v>ARPOB</x:v>
      </x:c>
      <x:c r="B72" t="str">
        <x:v>₹ '000</x:v>
      </x:c>
      <x:c r="C72" s="35" t="n">
        <x:f>'Revenue Model'!C$10*C71</x:f>
        <x:v>73.71000000000001</x:v>
      </x:c>
      <x:c r="D72" s="35" t="n">
        <x:f>'Revenue Model'!D$10*D71</x:f>
        <x:v>73.0485</x:v>
      </x:c>
      <x:c r="E72" s="35" t="n">
        <x:f>'Revenue Model'!E$10*E71</x:f>
        <x:v>73.61550000000001</x:v>
      </x:c>
      <x:c r="F72" s="35" t="n">
        <x:f>'Revenue Model'!F$10*F71</x:f>
        <x:v>73.61550000000001</x:v>
      </x:c>
      <x:c r="G72" s="35" t="n">
        <x:f>'Revenue Model'!G$10*G71</x:f>
        <x:v>77.39550000000001</x:v>
      </x:c>
      <x:c r="H72" s="35" t="n">
        <x:f>'Revenue Model'!H$10*H71</x:f>
        <x:v>76.70092500000001</x:v>
      </x:c>
      <x:c r="I72" s="35" t="n">
        <x:f>'Revenue Model'!I$10*I71</x:f>
        <x:v>77.29627500000002</x:v>
      </x:c>
      <x:c r="J72" s="35" t="n">
        <x:f>'Revenue Model'!J$10*J71</x:f>
        <x:v>77.29627500000002</x:v>
      </x:c>
      <x:c r="K72" s="35" t="n">
        <x:f>'Revenue Model'!K$10*K71</x:f>
        <x:v>81.265275</x:v>
      </x:c>
      <x:c r="L72" s="35" t="n">
        <x:f>'Revenue Model'!L$10*L71</x:f>
        <x:v>80.53597125</x:v>
      </x:c>
      <x:c r="M72" s="35" t="n">
        <x:f>'Revenue Model'!M$10*M71</x:f>
        <x:v>81.16108875000003</x:v>
      </x:c>
      <x:c r="N72" s="35" t="n">
        <x:f>'Revenue Model'!N$10*N71</x:f>
        <x:v>81.16108875000003</x:v>
      </x:c>
      <x:c r="O72" s="35" t="n">
        <x:f>'Revenue Model'!O$10*O71</x:f>
        <x:v>85.32853875000002</x:v>
      </x:c>
      <x:c r="P72" s="35" t="n">
        <x:f>'Revenue Model'!P$10*P71</x:f>
        <x:v>84.56276981250001</x:v>
      </x:c>
      <x:c r="Q72" s="35" t="n">
        <x:f>'Revenue Model'!Q$10*Q71</x:f>
        <x:v>85.21914318750004</x:v>
      </x:c>
      <x:c r="R72" s="35" t="n">
        <x:f>'Revenue Model'!R$10*R71</x:f>
        <x:v>85.21914318750004</x:v>
      </x:c>
    </x:row>
    <x:row r="73">
      <x:c r="A73" s="93" t="str">
        <x:v>Gross revenue ex Max Lab</x:v>
      </x:c>
      <x:c r="B73" s="93" t="str">
        <x:v>INR mn</x:v>
      </x:c>
      <x:c r="C73" s="94" t="n">
        <x:f>C69*'Revenue Model'!C$5*C70*C72/1000</x:f>
        <x:v>0</x:v>
      </x:c>
      <x:c r="D73" s="94" t="n">
        <x:f>D69*'Revenue Model'!D$5*D70*D72/1000</x:f>
        <x:v>0</x:v>
      </x:c>
      <x:c r="E73" s="94" t="n">
        <x:f>E69*'Revenue Model'!E$5*E70*E72/1000</x:f>
        <x:v>0</x:v>
      </x:c>
      <x:c r="F73" s="94" t="n">
        <x:f>F69*'Revenue Model'!F$5*F70*F72/1000</x:f>
        <x:v>0</x:v>
      </x:c>
      <x:c r="G73" s="94" t="n">
        <x:f>G69*'Revenue Model'!G$5*G70*G72/1000</x:f>
        <x:v>0</x:v>
      </x:c>
      <x:c r="H73" s="94" t="n">
        <x:f>H69*'Revenue Model'!H$5*H70*H72/1000</x:f>
        <x:v>0</x:v>
      </x:c>
      <x:c r="I73" s="94" t="n">
        <x:f>I69*'Revenue Model'!I$5*I70*I72/1000</x:f>
        <x:v>0</x:v>
      </x:c>
      <x:c r="J73" s="94" t="n">
        <x:f>J69*'Revenue Model'!J$5*J70*J72/1000</x:f>
        <x:v>0</x:v>
      </x:c>
      <x:c r="K73" s="94" t="n">
        <x:f>K69*'Revenue Model'!K$5*K70*K72/1000</x:f>
        <x:v>0</x:v>
      </x:c>
      <x:c r="L73" s="94" t="n">
        <x:f>L69*'Revenue Model'!L$5*L70*L72/1000</x:f>
        <x:v>0</x:v>
      </x:c>
      <x:c r="M73" s="94" t="n">
        <x:f>M69*'Revenue Model'!M$5*M70*M72/1000</x:f>
        <x:v>149.33640330000006</x:v>
      </x:c>
      <x:c r="N73" s="94" t="n">
        <x:f>N69*'Revenue Model'!N$5*N70*N72/1000</x:f>
        <x:v>766.9722886875003</x:v>
      </x:c>
      <x:c r="O73" s="94" t="n">
        <x:f>O69*'Revenue Model'!O$5*O70*O72/1000</x:f>
        <x:v>1387.198853739563</x:v>
      </x:c>
      <x:c r="P73" s="94" t="n">
        <x:f>P69*'Revenue Model'!P$5*P70*P72/1000</x:f>
        <x:v>1698.7138325474627</x:v>
      </x:c>
      <x:c r="Q73" s="94" t="n">
        <x:f>Q69*'Revenue Model'!Q$5*Q70*Q72/1000</x:f>
        <x:v>1929.777271183756</x:v>
      </x:c>
      <x:c r="R73" s="94" t="n">
        <x:f>R69*'Revenue Model'!R$5*R70*R72/1000</x:f>
        <x:v>2070.518390540776</x:v>
      </x:c>
    </x:row>
    <x:row r="75" ht="19" customHeight="1">
      <x:c r="A75" s="78" t="str">
        <x:v>Thane | Incremental capacity: 500 beds</x:v>
      </x:c>
      <x:c r="B75" s="78"/>
      <x:c r="C75" s="78"/>
      <x:c r="D75" s="78"/>
      <x:c r="E75" s="78"/>
      <x:c r="F75" s="78"/>
      <x:c r="G75" s="78"/>
      <x:c r="H75" s="78"/>
      <x:c r="I75" s="78"/>
      <x:c r="J75" s="78"/>
      <x:c r="K75" s="78"/>
      <x:c r="L75" s="78"/>
      <x:c r="M75" s="78"/>
      <x:c r="N75" s="78"/>
      <x:c r="O75" s="78"/>
      <x:c r="P75" s="78"/>
      <x:c r="Q75" s="78"/>
      <x:c r="R75" s="78"/>
    </x:row>
    <x:row r="76">
      <x:c r="A76" t="str">
        <x:v>Average operational beds</x:v>
      </x:c>
      <x:c r="B76" t="str">
        <x:v>beds</x:v>
      </x:c>
      <x:c r="C76" s="87" t="n">
        <x:v>0</x:v>
      </x:c>
      <x:c r="D76" s="87" t="n">
        <x:v>0</x:v>
      </x:c>
      <x:c r="E76" s="87" t="n">
        <x:v>0</x:v>
      </x:c>
      <x:c r="F76" s="87" t="n">
        <x:v>0</x:v>
      </x:c>
      <x:c r="G76" s="87" t="n">
        <x:v>0</x:v>
      </x:c>
      <x:c r="H76" s="87" t="n">
        <x:v>0</x:v>
      </x:c>
      <x:c r="I76" s="87" t="n">
        <x:v>0</x:v>
      </x:c>
      <x:c r="J76" s="87" t="n">
        <x:v>0</x:v>
      </x:c>
      <x:c r="K76" s="87" t="n">
        <x:v>0</x:v>
      </x:c>
      <x:c r="L76" s="87" t="n">
        <x:v>0</x:v>
      </x:c>
      <x:c r="M76" s="87" t="n">
        <x:v>125</x:v>
      </x:c>
      <x:c r="N76" s="87" t="n">
        <x:v>375</x:v>
      </x:c>
      <x:c r="O76" s="87" t="n">
        <x:v>500</x:v>
      </x:c>
      <x:c r="P76" s="87" t="n">
        <x:v>500</x:v>
      </x:c>
      <x:c r="Q76" s="87" t="n">
        <x:v>500</x:v>
      </x:c>
      <x:c r="R76" s="87" t="n">
        <x:v>500</x:v>
      </x:c>
    </x:row>
    <x:row r="77">
      <x:c r="A77" t="str">
        <x:v>Occupancy</x:v>
      </x:c>
      <x:c r="B77" t="str">
        <x:v>%</x:v>
      </x:c>
      <x:c r="C77" s="89" t="n">
        <x:v>0</x:v>
      </x:c>
      <x:c r="D77" s="89" t="n">
        <x:v>0</x:v>
      </x:c>
      <x:c r="E77" s="89" t="n">
        <x:v>0</x:v>
      </x:c>
      <x:c r="F77" s="89" t="n">
        <x:v>0</x:v>
      </x:c>
      <x:c r="G77" s="89" t="n">
        <x:v>0</x:v>
      </x:c>
      <x:c r="H77" s="89" t="n">
        <x:v>0</x:v>
      </x:c>
      <x:c r="I77" s="89" t="n">
        <x:v>0</x:v>
      </x:c>
      <x:c r="J77" s="89" t="n">
        <x:v>0</x:v>
      </x:c>
      <x:c r="K77" s="89" t="n">
        <x:v>0</x:v>
      </x:c>
      <x:c r="L77" s="89" t="n">
        <x:v>0</x:v>
      </x:c>
      <x:c r="M77" s="89" t="n">
        <x:v>0.2</x:v>
      </x:c>
      <x:c r="N77" s="89" t="n">
        <x:v>0.35</x:v>
      </x:c>
      <x:c r="O77" s="89" t="n">
        <x:v>0.45</x:v>
      </x:c>
      <x:c r="P77" s="89" t="n">
        <x:v>0.55</x:v>
      </x:c>
      <x:c r="Q77" s="89" t="n">
        <x:v>0.62</x:v>
      </x:c>
      <x:c r="R77" s="89" t="n">
        <x:v>0.68</x:v>
      </x:c>
    </x:row>
    <x:row r="78">
      <x:c r="A78" t="str">
        <x:v>ARPOB vs mature network</x:v>
      </x:c>
      <x:c r="B78" t="str">
        <x:v>x</x:v>
      </x:c>
      <x:c r="C78" s="91" t="n">
        <x:v>0.9</x:v>
      </x:c>
      <x:c r="D78" s="91" t="n">
        <x:v>0.9</x:v>
      </x:c>
      <x:c r="E78" s="91" t="n">
        <x:v>0.9</x:v>
      </x:c>
      <x:c r="F78" s="91" t="n">
        <x:v>0.9</x:v>
      </x:c>
      <x:c r="G78" s="91" t="n">
        <x:v>0.9</x:v>
      </x:c>
      <x:c r="H78" s="91" t="n">
        <x:v>0.9</x:v>
      </x:c>
      <x:c r="I78" s="91" t="n">
        <x:v>0.9</x:v>
      </x:c>
      <x:c r="J78" s="91" t="n">
        <x:v>0.9</x:v>
      </x:c>
      <x:c r="K78" s="91" t="n">
        <x:v>0.9</x:v>
      </x:c>
      <x:c r="L78" s="91" t="n">
        <x:v>0.9</x:v>
      </x:c>
      <x:c r="M78" s="91" t="n">
        <x:v>0.9</x:v>
      </x:c>
      <x:c r="N78" s="91" t="n">
        <x:v>0.9</x:v>
      </x:c>
      <x:c r="O78" s="91" t="n">
        <x:v>0.9</x:v>
      </x:c>
      <x:c r="P78" s="91" t="n">
        <x:v>0.9</x:v>
      </x:c>
      <x:c r="Q78" s="91" t="n">
        <x:v>0.9</x:v>
      </x:c>
      <x:c r="R78" s="91" t="n">
        <x:v>0.9</x:v>
      </x:c>
    </x:row>
    <x:row r="79">
      <x:c r="A79" t="str">
        <x:v>ARPOB</x:v>
      </x:c>
      <x:c r="B79" t="str">
        <x:v>₹ '000</x:v>
      </x:c>
      <x:c r="C79" s="35" t="n">
        <x:f>'Revenue Model'!C$10*C78</x:f>
        <x:v>73.71000000000001</x:v>
      </x:c>
      <x:c r="D79" s="35" t="n">
        <x:f>'Revenue Model'!D$10*D78</x:f>
        <x:v>73.0485</x:v>
      </x:c>
      <x:c r="E79" s="35" t="n">
        <x:f>'Revenue Model'!E$10*E78</x:f>
        <x:v>73.61550000000001</x:v>
      </x:c>
      <x:c r="F79" s="35" t="n">
        <x:f>'Revenue Model'!F$10*F78</x:f>
        <x:v>73.61550000000001</x:v>
      </x:c>
      <x:c r="G79" s="35" t="n">
        <x:f>'Revenue Model'!G$10*G78</x:f>
        <x:v>77.39550000000001</x:v>
      </x:c>
      <x:c r="H79" s="35" t="n">
        <x:f>'Revenue Model'!H$10*H78</x:f>
        <x:v>76.70092500000001</x:v>
      </x:c>
      <x:c r="I79" s="35" t="n">
        <x:f>'Revenue Model'!I$10*I78</x:f>
        <x:v>77.29627500000002</x:v>
      </x:c>
      <x:c r="J79" s="35" t="n">
        <x:f>'Revenue Model'!J$10*J78</x:f>
        <x:v>77.29627500000002</x:v>
      </x:c>
      <x:c r="K79" s="35" t="n">
        <x:f>'Revenue Model'!K$10*K78</x:f>
        <x:v>81.265275</x:v>
      </x:c>
      <x:c r="L79" s="35" t="n">
        <x:f>'Revenue Model'!L$10*L78</x:f>
        <x:v>80.53597125</x:v>
      </x:c>
      <x:c r="M79" s="35" t="n">
        <x:f>'Revenue Model'!M$10*M78</x:f>
        <x:v>81.16108875000003</x:v>
      </x:c>
      <x:c r="N79" s="35" t="n">
        <x:f>'Revenue Model'!N$10*N78</x:f>
        <x:v>81.16108875000003</x:v>
      </x:c>
      <x:c r="O79" s="35" t="n">
        <x:f>'Revenue Model'!O$10*O78</x:f>
        <x:v>85.32853875000002</x:v>
      </x:c>
      <x:c r="P79" s="35" t="n">
        <x:f>'Revenue Model'!P$10*P78</x:f>
        <x:v>84.56276981250001</x:v>
      </x:c>
      <x:c r="Q79" s="35" t="n">
        <x:f>'Revenue Model'!Q$10*Q78</x:f>
        <x:v>85.21914318750004</x:v>
      </x:c>
      <x:c r="R79" s="35" t="n">
        <x:f>'Revenue Model'!R$10*R78</x:f>
        <x:v>85.21914318750004</x:v>
      </x:c>
    </x:row>
    <x:row r="80">
      <x:c r="A80" s="93" t="str">
        <x:v>Gross revenue ex Max Lab</x:v>
      </x:c>
      <x:c r="B80" s="93" t="str">
        <x:v>INR mn</x:v>
      </x:c>
      <x:c r="C80" s="94" t="n">
        <x:f>C76*'Revenue Model'!C$5*C77*C79/1000</x:f>
        <x:v>0</x:v>
      </x:c>
      <x:c r="D80" s="94" t="n">
        <x:f>D76*'Revenue Model'!D$5*D77*D79/1000</x:f>
        <x:v>0</x:v>
      </x:c>
      <x:c r="E80" s="94" t="n">
        <x:f>E76*'Revenue Model'!E$5*E77*E79/1000</x:f>
        <x:v>0</x:v>
      </x:c>
      <x:c r="F80" s="94" t="n">
        <x:f>F76*'Revenue Model'!F$5*F77*F79/1000</x:f>
        <x:v>0</x:v>
      </x:c>
      <x:c r="G80" s="94" t="n">
        <x:f>G76*'Revenue Model'!G$5*G77*G79/1000</x:f>
        <x:v>0</x:v>
      </x:c>
      <x:c r="H80" s="94" t="n">
        <x:f>H76*'Revenue Model'!H$5*H77*H79/1000</x:f>
        <x:v>0</x:v>
      </x:c>
      <x:c r="I80" s="94" t="n">
        <x:f>I76*'Revenue Model'!I$5*I77*I79/1000</x:f>
        <x:v>0</x:v>
      </x:c>
      <x:c r="J80" s="94" t="n">
        <x:f>J76*'Revenue Model'!J$5*J77*J79/1000</x:f>
        <x:v>0</x:v>
      </x:c>
      <x:c r="K80" s="94" t="n">
        <x:f>K76*'Revenue Model'!K$5*K77*K79/1000</x:f>
        <x:v>0</x:v>
      </x:c>
      <x:c r="L80" s="94" t="n">
        <x:f>L76*'Revenue Model'!L$5*L77*L79/1000</x:f>
        <x:v>0</x:v>
      </x:c>
      <x:c r="M80" s="94" t="n">
        <x:f>M76*'Revenue Model'!M$5*M77*M79/1000</x:f>
        <x:v>186.67050412500006</x:v>
      </x:c>
      <x:c r="N80" s="94" t="n">
        <x:f>N76*'Revenue Model'!N$5*N77*N79/1000</x:f>
        <x:v>958.7153608593754</x:v>
      </x:c>
      <x:c r="O80" s="94" t="n">
        <x:f>O76*'Revenue Model'!O$5*O77*O79/1000</x:f>
        <x:v>1747.1018309062506</x:v>
      </x:c>
      <x:c r="P80" s="94" t="n">
        <x:f>P76*'Revenue Model'!P$5*P77*P79/1000</x:f>
        <x:v>2139.4380762562505</x:v>
      </x:c>
      <x:c r="Q80" s="94" t="n">
        <x:f>Q76*'Revenue Model'!Q$5*Q77*Q79/1000</x:f>
        <x:v>2430.449963707501</x:v>
      </x:c>
      <x:c r="R80" s="94" t="n">
        <x:f>R76*'Revenue Model'!R$5*R77*R79/1000</x:f>
        <x:v>2607.7057815375015</x:v>
      </x:c>
    </x:row>
    <x:row r="82" ht="19" customHeight="1">
      <x:c r="A82" s="78" t="str">
        <x:v>Dehradun | Incremental capacity: 130 beds</x:v>
      </x:c>
      <x:c r="B82" s="78"/>
      <x:c r="C82" s="78"/>
      <x:c r="D82" s="78"/>
      <x:c r="E82" s="78"/>
      <x:c r="F82" s="78"/>
      <x:c r="G82" s="78"/>
      <x:c r="H82" s="78"/>
      <x:c r="I82" s="78"/>
      <x:c r="J82" s="78"/>
      <x:c r="K82" s="78"/>
      <x:c r="L82" s="78"/>
      <x:c r="M82" s="78"/>
      <x:c r="N82" s="78"/>
      <x:c r="O82" s="78"/>
      <x:c r="P82" s="78"/>
      <x:c r="Q82" s="78"/>
      <x:c r="R82" s="78"/>
    </x:row>
    <x:row r="83">
      <x:c r="A83" t="str">
        <x:v>Average operational beds</x:v>
      </x:c>
      <x:c r="B83" t="str">
        <x:v>beds</x:v>
      </x:c>
      <x:c r="C83" s="87" t="n">
        <x:v>0</x:v>
      </x:c>
      <x:c r="D83" s="87" t="n">
        <x:v>0</x:v>
      </x:c>
      <x:c r="E83" s="87" t="n">
        <x:v>0</x:v>
      </x:c>
      <x:c r="F83" s="87" t="n">
        <x:v>0</x:v>
      </x:c>
      <x:c r="G83" s="87" t="n">
        <x:v>0</x:v>
      </x:c>
      <x:c r="H83" s="87" t="n">
        <x:v>0</x:v>
      </x:c>
      <x:c r="I83" s="87" t="n">
        <x:v>0</x:v>
      </x:c>
      <x:c r="J83" s="87" t="n">
        <x:v>0</x:v>
      </x:c>
      <x:c r="K83" s="87" t="n">
        <x:v>0</x:v>
      </x:c>
      <x:c r="L83" s="87" t="n">
        <x:v>0</x:v>
      </x:c>
      <x:c r="M83" s="87" t="n">
        <x:v>0</x:v>
      </x:c>
      <x:c r="N83" s="87" t="n">
        <x:v>65</x:v>
      </x:c>
      <x:c r="O83" s="87" t="n">
        <x:v>130</x:v>
      </x:c>
      <x:c r="P83" s="87" t="n">
        <x:v>130</x:v>
      </x:c>
      <x:c r="Q83" s="87" t="n">
        <x:v>130</x:v>
      </x:c>
      <x:c r="R83" s="87" t="n">
        <x:v>130</x:v>
      </x:c>
    </x:row>
    <x:row r="84">
      <x:c r="A84" t="str">
        <x:v>Occupancy</x:v>
      </x:c>
      <x:c r="B84" t="str">
        <x:v>%</x:v>
      </x:c>
      <x:c r="C84" s="89" t="n">
        <x:v>0</x:v>
      </x:c>
      <x:c r="D84" s="89" t="n">
        <x:v>0</x:v>
      </x:c>
      <x:c r="E84" s="89" t="n">
        <x:v>0</x:v>
      </x:c>
      <x:c r="F84" s="89" t="n">
        <x:v>0</x:v>
      </x:c>
      <x:c r="G84" s="89" t="n">
        <x:v>0</x:v>
      </x:c>
      <x:c r="H84" s="89" t="n">
        <x:v>0</x:v>
      </x:c>
      <x:c r="I84" s="89" t="n">
        <x:v>0</x:v>
      </x:c>
      <x:c r="J84" s="89" t="n">
        <x:v>0</x:v>
      </x:c>
      <x:c r="K84" s="89" t="n">
        <x:v>0</x:v>
      </x:c>
      <x:c r="L84" s="89" t="n">
        <x:v>0</x:v>
      </x:c>
      <x:c r="M84" s="89" t="n">
        <x:v>0</x:v>
      </x:c>
      <x:c r="N84" s="89" t="n">
        <x:v>0.25</x:v>
      </x:c>
      <x:c r="O84" s="89" t="n">
        <x:v>0.4</x:v>
      </x:c>
      <x:c r="P84" s="89" t="n">
        <x:v>0.52</x:v>
      </x:c>
      <x:c r="Q84" s="89" t="n">
        <x:v>0.6</x:v>
      </x:c>
      <x:c r="R84" s="89" t="n">
        <x:v>0.65</x:v>
      </x:c>
    </x:row>
    <x:row r="85">
      <x:c r="A85" t="str">
        <x:v>ARPOB vs mature network</x:v>
      </x:c>
      <x:c r="B85" t="str">
        <x:v>x</x:v>
      </x:c>
      <x:c r="C85" s="91" t="n">
        <x:v>0.85</x:v>
      </x:c>
      <x:c r="D85" s="91" t="n">
        <x:v>0.85</x:v>
      </x:c>
      <x:c r="E85" s="91" t="n">
        <x:v>0.85</x:v>
      </x:c>
      <x:c r="F85" s="91" t="n">
        <x:v>0.85</x:v>
      </x:c>
      <x:c r="G85" s="91" t="n">
        <x:v>0.85</x:v>
      </x:c>
      <x:c r="H85" s="91" t="n">
        <x:v>0.85</x:v>
      </x:c>
      <x:c r="I85" s="91" t="n">
        <x:v>0.85</x:v>
      </x:c>
      <x:c r="J85" s="91" t="n">
        <x:v>0.85</x:v>
      </x:c>
      <x:c r="K85" s="91" t="n">
        <x:v>0.85</x:v>
      </x:c>
      <x:c r="L85" s="91" t="n">
        <x:v>0.85</x:v>
      </x:c>
      <x:c r="M85" s="91" t="n">
        <x:v>0.85</x:v>
      </x:c>
      <x:c r="N85" s="91" t="n">
        <x:v>0.85</x:v>
      </x:c>
      <x:c r="O85" s="91" t="n">
        <x:v>0.85</x:v>
      </x:c>
      <x:c r="P85" s="91" t="n">
        <x:v>0.85</x:v>
      </x:c>
      <x:c r="Q85" s="91" t="n">
        <x:v>0.85</x:v>
      </x:c>
      <x:c r="R85" s="91" t="n">
        <x:v>0.85</x:v>
      </x:c>
    </x:row>
    <x:row r="86">
      <x:c r="A86" t="str">
        <x:v>ARPOB</x:v>
      </x:c>
      <x:c r="B86" t="str">
        <x:v>₹ '000</x:v>
      </x:c>
      <x:c r="C86" s="35" t="n">
        <x:f>'Revenue Model'!C$10*C85</x:f>
        <x:v>69.61500000000001</x:v>
      </x:c>
      <x:c r="D86" s="35" t="n">
        <x:f>'Revenue Model'!D$10*D85</x:f>
        <x:v>68.99025</x:v>
      </x:c>
      <x:c r="E86" s="35" t="n">
        <x:f>'Revenue Model'!E$10*E85</x:f>
        <x:v>69.52575000000002</x:v>
      </x:c>
      <x:c r="F86" s="35" t="n">
        <x:f>'Revenue Model'!F$10*F85</x:f>
        <x:v>69.52575000000002</x:v>
      </x:c>
      <x:c r="G86" s="35" t="n">
        <x:f>'Revenue Model'!G$10*G85</x:f>
        <x:v>73.09575</x:v>
      </x:c>
      <x:c r="H86" s="35" t="n">
        <x:f>'Revenue Model'!H$10*H85</x:f>
        <x:v>72.4397625</x:v>
      </x:c>
      <x:c r="I86" s="35" t="n">
        <x:f>'Revenue Model'!I$10*I85</x:f>
        <x:v>73.00203750000001</x:v>
      </x:c>
      <x:c r="J86" s="35" t="n">
        <x:f>'Revenue Model'!J$10*J85</x:f>
        <x:v>73.00203750000001</x:v>
      </x:c>
      <x:c r="K86" s="35" t="n">
        <x:f>'Revenue Model'!K$10*K85</x:f>
        <x:v>76.75053750000001</x:v>
      </x:c>
      <x:c r="L86" s="35" t="n">
        <x:f>'Revenue Model'!L$10*L85</x:f>
        <x:v>76.061750625</x:v>
      </x:c>
      <x:c r="M86" s="35" t="n">
        <x:f>'Revenue Model'!M$10*M85</x:f>
        <x:v>76.65213937500003</x:v>
      </x:c>
      <x:c r="N86" s="35" t="n">
        <x:f>'Revenue Model'!N$10*N85</x:f>
        <x:v>76.65213937500003</x:v>
      </x:c>
      <x:c r="O86" s="35" t="n">
        <x:f>'Revenue Model'!O$10*O85</x:f>
        <x:v>80.58806437500002</x:v>
      </x:c>
      <x:c r="P86" s="35" t="n">
        <x:f>'Revenue Model'!P$10*P85</x:f>
        <x:v>79.86483815625</x:v>
      </x:c>
      <x:c r="Q86" s="35" t="n">
        <x:f>'Revenue Model'!Q$10*Q85</x:f>
        <x:v>80.48474634375003</x:v>
      </x:c>
      <x:c r="R86" s="35" t="n">
        <x:f>'Revenue Model'!R$10*R85</x:f>
        <x:v>80.48474634375003</x:v>
      </x:c>
    </x:row>
    <x:row r="87">
      <x:c r="A87" s="93" t="str">
        <x:v>Gross revenue ex Max Lab</x:v>
      </x:c>
      <x:c r="B87" s="93" t="str">
        <x:v>INR mn</x:v>
      </x:c>
      <x:c r="C87" s="94" t="n">
        <x:f>C83*'Revenue Model'!C$5*C84*C86/1000</x:f>
        <x:v>0</x:v>
      </x:c>
      <x:c r="D87" s="94" t="n">
        <x:f>D83*'Revenue Model'!D$5*D84*D86/1000</x:f>
        <x:v>0</x:v>
      </x:c>
      <x:c r="E87" s="94" t="n">
        <x:f>E83*'Revenue Model'!E$5*E84*E86/1000</x:f>
        <x:v>0</x:v>
      </x:c>
      <x:c r="F87" s="94" t="n">
        <x:f>F83*'Revenue Model'!F$5*F84*F86/1000</x:f>
        <x:v>0</x:v>
      </x:c>
      <x:c r="G87" s="94" t="n">
        <x:f>G83*'Revenue Model'!G$5*G84*G86/1000</x:f>
        <x:v>0</x:v>
      </x:c>
      <x:c r="H87" s="94" t="n">
        <x:f>H83*'Revenue Model'!H$5*H84*H86/1000</x:f>
        <x:v>0</x:v>
      </x:c>
      <x:c r="I87" s="94" t="n">
        <x:f>I83*'Revenue Model'!I$5*I84*I86/1000</x:f>
        <x:v>0</x:v>
      </x:c>
      <x:c r="J87" s="94" t="n">
        <x:f>J83*'Revenue Model'!J$5*J84*J86/1000</x:f>
        <x:v>0</x:v>
      </x:c>
      <x:c r="K87" s="94" t="n">
        <x:f>K83*'Revenue Model'!K$5*K84*K86/1000</x:f>
        <x:v>0</x:v>
      </x:c>
      <x:c r="L87" s="94" t="n">
        <x:f>L83*'Revenue Model'!L$5*L84*L86/1000</x:f>
        <x:v>0</x:v>
      </x:c>
      <x:c r="M87" s="94" t="n">
        <x:f>M83*'Revenue Model'!M$5*M84*M86/1000</x:f>
        <x:v>0</x:v>
      </x:c>
      <x:c r="N87" s="94" t="n">
        <x:f>N83*'Revenue Model'!N$5*N84*N86/1000</x:f>
        <x:v>112.10375383593755</x:v>
      </x:c>
      <x:c r="O87" s="94" t="n">
        <x:f>O83*'Revenue Model'!O$5*O84*O86/1000</x:f>
        <x:v>381.34272062250005</x:v>
      </x:c>
      <x:c r="P87" s="94" t="n">
        <x:f>P83*'Revenue Model'!P$5*P84*P86/1000</x:f>
        <x:v>496.69540146135</x:v>
      </x:c>
      <x:c r="Q87" s="94" t="n">
        <x:f>Q83*'Revenue Model'!Q$5*Q84*Q86/1000</x:f>
        <x:v>577.5585397627502</x:v>
      </x:c>
      <x:c r="R87" s="94" t="n">
        <x:f>R83*'Revenue Model'!R$5*R84*R86/1000</x:f>
        <x:v>612.086495944219</x:v>
      </x:c>
    </x:row>
    <x:row r="89" ht="19" customHeight="1">
      <x:c r="A89" s="78" t="str">
        <x:v>Vikrant / Saket | Incremental capacity: 550 beds</x:v>
      </x:c>
      <x:c r="B89" s="78"/>
      <x:c r="C89" s="78"/>
      <x:c r="D89" s="78"/>
      <x:c r="E89" s="78"/>
      <x:c r="F89" s="78"/>
      <x:c r="G89" s="78"/>
      <x:c r="H89" s="78"/>
      <x:c r="I89" s="78"/>
      <x:c r="J89" s="78"/>
      <x:c r="K89" s="78"/>
      <x:c r="L89" s="78"/>
      <x:c r="M89" s="78"/>
      <x:c r="N89" s="78"/>
      <x:c r="O89" s="78"/>
      <x:c r="P89" s="78"/>
      <x:c r="Q89" s="78"/>
      <x:c r="R89" s="78"/>
    </x:row>
    <x:row r="90">
      <x:c r="A90" t="str">
        <x:v>Average operational beds</x:v>
      </x:c>
      <x:c r="B90" t="str">
        <x:v>beds</x:v>
      </x:c>
      <x:c r="C90" s="87" t="n">
        <x:v>0</x:v>
      </x:c>
      <x:c r="D90" s="87" t="n">
        <x:v>0</x:v>
      </x:c>
      <x:c r="E90" s="87" t="n">
        <x:v>0</x:v>
      </x:c>
      <x:c r="F90" s="87" t="n">
        <x:v>0</x:v>
      </x:c>
      <x:c r="G90" s="87" t="n">
        <x:v>0</x:v>
      </x:c>
      <x:c r="H90" s="87" t="n">
        <x:v>0</x:v>
      </x:c>
      <x:c r="I90" s="87" t="n">
        <x:v>0</x:v>
      </x:c>
      <x:c r="J90" s="87" t="n">
        <x:v>0</x:v>
      </x:c>
      <x:c r="K90" s="87" t="n">
        <x:v>0</x:v>
      </x:c>
      <x:c r="L90" s="87" t="n">
        <x:v>0</x:v>
      </x:c>
      <x:c r="M90" s="87" t="n">
        <x:v>0</x:v>
      </x:c>
      <x:c r="N90" s="87" t="n">
        <x:v>0</x:v>
      </x:c>
      <x:c r="O90" s="87" t="n">
        <x:v>0</x:v>
      </x:c>
      <x:c r="P90" s="87" t="n">
        <x:v>150</x:v>
      </x:c>
      <x:c r="Q90" s="87" t="n">
        <x:v>400</x:v>
      </x:c>
      <x:c r="R90" s="87" t="n">
        <x:v>550</x:v>
      </x:c>
    </x:row>
    <x:row r="91">
      <x:c r="A91" t="str">
        <x:v>Occupancy</x:v>
      </x:c>
      <x:c r="B91" t="str">
        <x:v>%</x:v>
      </x:c>
      <x:c r="C91" s="89" t="n">
        <x:v>0</x:v>
      </x:c>
      <x:c r="D91" s="89" t="n">
        <x:v>0</x:v>
      </x:c>
      <x:c r="E91" s="89" t="n">
        <x:v>0</x:v>
      </x:c>
      <x:c r="F91" s="89" t="n">
        <x:v>0</x:v>
      </x:c>
      <x:c r="G91" s="89" t="n">
        <x:v>0</x:v>
      </x:c>
      <x:c r="H91" s="89" t="n">
        <x:v>0</x:v>
      </x:c>
      <x:c r="I91" s="89" t="n">
        <x:v>0</x:v>
      </x:c>
      <x:c r="J91" s="89" t="n">
        <x:v>0</x:v>
      </x:c>
      <x:c r="K91" s="89" t="n">
        <x:v>0</x:v>
      </x:c>
      <x:c r="L91" s="89" t="n">
        <x:v>0</x:v>
      </x:c>
      <x:c r="M91" s="89" t="n">
        <x:v>0</x:v>
      </x:c>
      <x:c r="N91" s="89" t="n">
        <x:v>0</x:v>
      </x:c>
      <x:c r="O91" s="89" t="n">
        <x:v>0</x:v>
      </x:c>
      <x:c r="P91" s="89" t="n">
        <x:v>0.25</x:v>
      </x:c>
      <x:c r="Q91" s="89" t="n">
        <x:v>0.4</x:v>
      </x:c>
      <x:c r="R91" s="89" t="n">
        <x:v>0.55</x:v>
      </x:c>
    </x:row>
    <x:row r="92">
      <x:c r="A92" t="str">
        <x:v>ARPOB vs mature network</x:v>
      </x:c>
      <x:c r="B92" t="str">
        <x:v>x</x:v>
      </x:c>
      <x:c r="C92" s="91" t="n">
        <x:v>1</x:v>
      </x:c>
      <x:c r="D92" s="91" t="n">
        <x:v>1</x:v>
      </x:c>
      <x:c r="E92" s="91" t="n">
        <x:v>1</x:v>
      </x:c>
      <x:c r="F92" s="91" t="n">
        <x:v>1</x:v>
      </x:c>
      <x:c r="G92" s="91" t="n">
        <x:v>1</x:v>
      </x:c>
      <x:c r="H92" s="91" t="n">
        <x:v>1</x:v>
      </x:c>
      <x:c r="I92" s="91" t="n">
        <x:v>1</x:v>
      </x:c>
      <x:c r="J92" s="91" t="n">
        <x:v>1</x:v>
      </x:c>
      <x:c r="K92" s="91" t="n">
        <x:v>1</x:v>
      </x:c>
      <x:c r="L92" s="91" t="n">
        <x:v>1</x:v>
      </x:c>
      <x:c r="M92" s="91" t="n">
        <x:v>1</x:v>
      </x:c>
      <x:c r="N92" s="91" t="n">
        <x:v>1</x:v>
      </x:c>
      <x:c r="O92" s="91" t="n">
        <x:v>1</x:v>
      </x:c>
      <x:c r="P92" s="91" t="n">
        <x:v>1</x:v>
      </x:c>
      <x:c r="Q92" s="91" t="n">
        <x:v>1</x:v>
      </x:c>
      <x:c r="R92" s="91" t="n">
        <x:v>1</x:v>
      </x:c>
    </x:row>
    <x:row r="93">
      <x:c r="A93" t="str">
        <x:v>ARPOB</x:v>
      </x:c>
      <x:c r="B93" t="str">
        <x:v>₹ '000</x:v>
      </x:c>
      <x:c r="C93" s="35" t="n">
        <x:f>'Revenue Model'!C$10*C92</x:f>
        <x:v>81.9</x:v>
      </x:c>
      <x:c r="D93" s="35" t="n">
        <x:f>'Revenue Model'!D$10*D92</x:f>
        <x:v>81.165</x:v>
      </x:c>
      <x:c r="E93" s="35" t="n">
        <x:f>'Revenue Model'!E$10*E92</x:f>
        <x:v>81.79500000000002</x:v>
      </x:c>
      <x:c r="F93" s="35" t="n">
        <x:f>'Revenue Model'!F$10*F92</x:f>
        <x:v>81.79500000000002</x:v>
      </x:c>
      <x:c r="G93" s="35" t="n">
        <x:f>'Revenue Model'!G$10*G92</x:f>
        <x:v>85.995</x:v>
      </x:c>
      <x:c r="H93" s="35" t="n">
        <x:f>'Revenue Model'!H$10*H92</x:f>
        <x:v>85.22325000000001</x:v>
      </x:c>
      <x:c r="I93" s="35" t="n">
        <x:f>'Revenue Model'!I$10*I92</x:f>
        <x:v>85.88475000000003</x:v>
      </x:c>
      <x:c r="J93" s="35" t="n">
        <x:f>'Revenue Model'!J$10*J92</x:f>
        <x:v>85.88475000000003</x:v>
      </x:c>
      <x:c r="K93" s="35" t="n">
        <x:f>'Revenue Model'!K$10*K92</x:f>
        <x:v>90.29475000000001</x:v>
      </x:c>
      <x:c r="L93" s="35" t="n">
        <x:f>'Revenue Model'!L$10*L92</x:f>
        <x:v>89.4844125</x:v>
      </x:c>
      <x:c r="M93" s="35" t="n">
        <x:f>'Revenue Model'!M$10*M92</x:f>
        <x:v>90.17898750000003</x:v>
      </x:c>
      <x:c r="N93" s="35" t="n">
        <x:f>'Revenue Model'!N$10*N92</x:f>
        <x:v>90.17898750000003</x:v>
      </x:c>
      <x:c r="O93" s="35" t="n">
        <x:f>'Revenue Model'!O$10*O92</x:f>
        <x:v>94.80948750000002</x:v>
      </x:c>
      <x:c r="P93" s="35" t="n">
        <x:f>'Revenue Model'!P$10*P92</x:f>
        <x:v>93.958633125</x:v>
      </x:c>
      <x:c r="Q93" s="35" t="n">
        <x:f>'Revenue Model'!Q$10*Q92</x:f>
        <x:v>94.68793687500003</x:v>
      </x:c>
      <x:c r="R93" s="35" t="n">
        <x:f>'Revenue Model'!R$10*R92</x:f>
        <x:v>94.68793687500003</x:v>
      </x:c>
    </x:row>
    <x:row r="94">
      <x:c r="A94" s="93" t="str">
        <x:v>Gross revenue ex Max Lab</x:v>
      </x:c>
      <x:c r="B94" s="93" t="str">
        <x:v>INR mn</x:v>
      </x:c>
      <x:c r="C94" s="94" t="n">
        <x:f>C90*'Revenue Model'!C$5*C91*C93/1000</x:f>
        <x:v>0</x:v>
      </x:c>
      <x:c r="D94" s="94" t="n">
        <x:f>D90*'Revenue Model'!D$5*D91*D93/1000</x:f>
        <x:v>0</x:v>
      </x:c>
      <x:c r="E94" s="94" t="n">
        <x:f>E90*'Revenue Model'!E$5*E91*E93/1000</x:f>
        <x:v>0</x:v>
      </x:c>
      <x:c r="F94" s="94" t="n">
        <x:f>F90*'Revenue Model'!F$5*F91*F93/1000</x:f>
        <x:v>0</x:v>
      </x:c>
      <x:c r="G94" s="94" t="n">
        <x:f>G90*'Revenue Model'!G$5*G91*G93/1000</x:f>
        <x:v>0</x:v>
      </x:c>
      <x:c r="H94" s="94" t="n">
        <x:f>H90*'Revenue Model'!H$5*H91*H93/1000</x:f>
        <x:v>0</x:v>
      </x:c>
      <x:c r="I94" s="94" t="n">
        <x:f>I90*'Revenue Model'!I$5*I91*I93/1000</x:f>
        <x:v>0</x:v>
      </x:c>
      <x:c r="J94" s="94" t="n">
        <x:f>J90*'Revenue Model'!J$5*J91*J93/1000</x:f>
        <x:v>0</x:v>
      </x:c>
      <x:c r="K94" s="94" t="n">
        <x:f>K90*'Revenue Model'!K$5*K91*K93/1000</x:f>
        <x:v>0</x:v>
      </x:c>
      <x:c r="L94" s="94" t="n">
        <x:f>L90*'Revenue Model'!L$5*L91*L93/1000</x:f>
        <x:v>0</x:v>
      </x:c>
      <x:c r="M94" s="94" t="n">
        <x:f>M90*'Revenue Model'!M$5*M91*M93/1000</x:f>
        <x:v>0</x:v>
      </x:c>
      <x:c r="N94" s="94" t="n">
        <x:f>N90*'Revenue Model'!N$5*N91*N93/1000</x:f>
        <x:v>0</x:v>
      </x:c>
      <x:c r="O94" s="94" t="n">
        <x:f>O90*'Revenue Model'!O$5*O91*O93/1000</x:f>
        <x:v>0</x:v>
      </x:c>
      <x:c r="P94" s="94" t="n">
        <x:f>P90*'Revenue Model'!P$5*P91*P93/1000</x:f>
        <x:v>324.15728428125004</x:v>
      </x:c>
      <x:c r="Q94" s="94" t="n">
        <x:f>Q90*'Revenue Model'!Q$5*Q91*Q93/1000</x:f>
        <x:v>1393.8064308000005</x:v>
      </x:c>
      <x:c r="R94" s="94" t="n">
        <x:f>R90*'Revenue Model'!R$5*R91*R93/1000</x:f>
        <x:v>2577.8790814218764</x:v>
      </x:c>
    </x:row>
    <x:row r="96" ht="19" customHeight="1">
      <x:c r="A96" s="78" t="str">
        <x:v>Other / unmodelled capacity | Incremental capacity: 0 beds</x:v>
      </x:c>
      <x:c r="B96" s="78"/>
      <x:c r="C96" s="78"/>
      <x:c r="D96" s="78"/>
      <x:c r="E96" s="78"/>
      <x:c r="F96" s="78"/>
      <x:c r="G96" s="78"/>
      <x:c r="H96" s="78"/>
      <x:c r="I96" s="78"/>
      <x:c r="J96" s="78"/>
      <x:c r="K96" s="78"/>
      <x:c r="L96" s="78"/>
      <x:c r="M96" s="78"/>
      <x:c r="N96" s="78"/>
      <x:c r="O96" s="78"/>
      <x:c r="P96" s="78"/>
      <x:c r="Q96" s="78"/>
      <x:c r="R96" s="78"/>
    </x:row>
    <x:row r="97">
      <x:c r="A97" t="str">
        <x:v>Average operational beds</x:v>
      </x:c>
      <x:c r="B97" t="str">
        <x:v>beds</x:v>
      </x:c>
      <x:c r="C97" s="87" t="n">
        <x:v>0</x:v>
      </x:c>
      <x:c r="D97" s="87" t="n">
        <x:v>0</x:v>
      </x:c>
      <x:c r="E97" s="87" t="n">
        <x:v>0</x:v>
      </x:c>
      <x:c r="F97" s="87" t="n">
        <x:v>0</x:v>
      </x:c>
      <x:c r="G97" s="87" t="n">
        <x:v>0</x:v>
      </x:c>
      <x:c r="H97" s="87" t="n">
        <x:v>0</x:v>
      </x:c>
      <x:c r="I97" s="87" t="n">
        <x:v>0</x:v>
      </x:c>
      <x:c r="J97" s="87" t="n">
        <x:v>0</x:v>
      </x:c>
      <x:c r="K97" s="87" t="n">
        <x:v>0</x:v>
      </x:c>
      <x:c r="L97" s="87" t="n">
        <x:v>0</x:v>
      </x:c>
      <x:c r="M97" s="87" t="n">
        <x:v>0</x:v>
      </x:c>
      <x:c r="N97" s="87" t="n">
        <x:v>0</x:v>
      </x:c>
      <x:c r="O97" s="87" t="n">
        <x:v>0</x:v>
      </x:c>
      <x:c r="P97" s="87" t="n">
        <x:v>0</x:v>
      </x:c>
      <x:c r="Q97" s="87" t="n">
        <x:v>0</x:v>
      </x:c>
      <x:c r="R97" s="87" t="n">
        <x:v>0</x:v>
      </x:c>
    </x:row>
    <x:row r="98">
      <x:c r="A98" t="str">
        <x:v>Occupancy</x:v>
      </x:c>
      <x:c r="B98" t="str">
        <x:v>%</x:v>
      </x:c>
      <x:c r="C98" s="89" t="n">
        <x:v>0</x:v>
      </x:c>
      <x:c r="D98" s="89" t="n">
        <x:v>0</x:v>
      </x:c>
      <x:c r="E98" s="89" t="n">
        <x:v>0</x:v>
      </x:c>
      <x:c r="F98" s="89" t="n">
        <x:v>0</x:v>
      </x:c>
      <x:c r="G98" s="89" t="n">
        <x:v>0</x:v>
      </x:c>
      <x:c r="H98" s="89" t="n">
        <x:v>0</x:v>
      </x:c>
      <x:c r="I98" s="89" t="n">
        <x:v>0</x:v>
      </x:c>
      <x:c r="J98" s="89" t="n">
        <x:v>0</x:v>
      </x:c>
      <x:c r="K98" s="89" t="n">
        <x:v>0</x:v>
      </x:c>
      <x:c r="L98" s="89" t="n">
        <x:v>0</x:v>
      </x:c>
      <x:c r="M98" s="89" t="n">
        <x:v>0</x:v>
      </x:c>
      <x:c r="N98" s="89" t="n">
        <x:v>0</x:v>
      </x:c>
      <x:c r="O98" s="89" t="n">
        <x:v>0</x:v>
      </x:c>
      <x:c r="P98" s="89" t="n">
        <x:v>0</x:v>
      </x:c>
      <x:c r="Q98" s="89" t="n">
        <x:v>0</x:v>
      </x:c>
      <x:c r="R98" s="89" t="n">
        <x:v>0</x:v>
      </x:c>
    </x:row>
    <x:row r="99">
      <x:c r="A99" t="str">
        <x:v>ARPOB vs mature network</x:v>
      </x:c>
      <x:c r="B99" t="str">
        <x:v>x</x:v>
      </x:c>
      <x:c r="C99" s="91" t="n">
        <x:v>1</x:v>
      </x:c>
      <x:c r="D99" s="91" t="n">
        <x:v>1</x:v>
      </x:c>
      <x:c r="E99" s="91" t="n">
        <x:v>1</x:v>
      </x:c>
      <x:c r="F99" s="91" t="n">
        <x:v>1</x:v>
      </x:c>
      <x:c r="G99" s="91" t="n">
        <x:v>1</x:v>
      </x:c>
      <x:c r="H99" s="91" t="n">
        <x:v>1</x:v>
      </x:c>
      <x:c r="I99" s="91" t="n">
        <x:v>1</x:v>
      </x:c>
      <x:c r="J99" s="91" t="n">
        <x:v>1</x:v>
      </x:c>
      <x:c r="K99" s="91" t="n">
        <x:v>1</x:v>
      </x:c>
      <x:c r="L99" s="91" t="n">
        <x:v>1</x:v>
      </x:c>
      <x:c r="M99" s="91" t="n">
        <x:v>1</x:v>
      </x:c>
      <x:c r="N99" s="91" t="n">
        <x:v>1</x:v>
      </x:c>
      <x:c r="O99" s="91" t="n">
        <x:v>1</x:v>
      </x:c>
      <x:c r="P99" s="91" t="n">
        <x:v>1</x:v>
      </x:c>
      <x:c r="Q99" s="91" t="n">
        <x:v>1</x:v>
      </x:c>
      <x:c r="R99" s="91" t="n">
        <x:v>1</x:v>
      </x:c>
    </x:row>
    <x:row r="100">
      <x:c r="A100" t="str">
        <x:v>ARPOB</x:v>
      </x:c>
      <x:c r="B100" t="str">
        <x:v>₹ '000</x:v>
      </x:c>
      <x:c r="C100" s="35" t="n">
        <x:f>'Revenue Model'!C$10*C99</x:f>
        <x:v>81.9</x:v>
      </x:c>
      <x:c r="D100" s="35" t="n">
        <x:f>'Revenue Model'!D$10*D99</x:f>
        <x:v>81.165</x:v>
      </x:c>
      <x:c r="E100" s="35" t="n">
        <x:f>'Revenue Model'!E$10*E99</x:f>
        <x:v>81.79500000000002</x:v>
      </x:c>
      <x:c r="F100" s="35" t="n">
        <x:f>'Revenue Model'!F$10*F99</x:f>
        <x:v>81.79500000000002</x:v>
      </x:c>
      <x:c r="G100" s="35" t="n">
        <x:f>'Revenue Model'!G$10*G99</x:f>
        <x:v>85.995</x:v>
      </x:c>
      <x:c r="H100" s="35" t="n">
        <x:f>'Revenue Model'!H$10*H99</x:f>
        <x:v>85.22325000000001</x:v>
      </x:c>
      <x:c r="I100" s="35" t="n">
        <x:f>'Revenue Model'!I$10*I99</x:f>
        <x:v>85.88475000000003</x:v>
      </x:c>
      <x:c r="J100" s="35" t="n">
        <x:f>'Revenue Model'!J$10*J99</x:f>
        <x:v>85.88475000000003</x:v>
      </x:c>
      <x:c r="K100" s="35" t="n">
        <x:f>'Revenue Model'!K$10*K99</x:f>
        <x:v>90.29475000000001</x:v>
      </x:c>
      <x:c r="L100" s="35" t="n">
        <x:f>'Revenue Model'!L$10*L99</x:f>
        <x:v>89.4844125</x:v>
      </x:c>
      <x:c r="M100" s="35" t="n">
        <x:f>'Revenue Model'!M$10*M99</x:f>
        <x:v>90.17898750000003</x:v>
      </x:c>
      <x:c r="N100" s="35" t="n">
        <x:f>'Revenue Model'!N$10*N99</x:f>
        <x:v>90.17898750000003</x:v>
      </x:c>
      <x:c r="O100" s="35" t="n">
        <x:f>'Revenue Model'!O$10*O99</x:f>
        <x:v>94.80948750000002</x:v>
      </x:c>
      <x:c r="P100" s="35" t="n">
        <x:f>'Revenue Model'!P$10*P99</x:f>
        <x:v>93.958633125</x:v>
      </x:c>
      <x:c r="Q100" s="35" t="n">
        <x:f>'Revenue Model'!Q$10*Q99</x:f>
        <x:v>94.68793687500003</x:v>
      </x:c>
      <x:c r="R100" s="35" t="n">
        <x:f>'Revenue Model'!R$10*R99</x:f>
        <x:v>94.68793687500003</x:v>
      </x:c>
    </x:row>
    <x:row r="101">
      <x:c r="A101" s="93" t="str">
        <x:v>Gross revenue ex Max Lab</x:v>
      </x:c>
      <x:c r="B101" s="93" t="str">
        <x:v>INR mn</x:v>
      </x:c>
      <x:c r="C101" s="94" t="n">
        <x:f>C97*'Revenue Model'!C$5*C98*C100/1000</x:f>
        <x:v>0</x:v>
      </x:c>
      <x:c r="D101" s="94" t="n">
        <x:f>D97*'Revenue Model'!D$5*D98*D100/1000</x:f>
        <x:v>0</x:v>
      </x:c>
      <x:c r="E101" s="94" t="n">
        <x:f>E97*'Revenue Model'!E$5*E98*E100/1000</x:f>
        <x:v>0</x:v>
      </x:c>
      <x:c r="F101" s="94" t="n">
        <x:f>F97*'Revenue Model'!F$5*F98*F100/1000</x:f>
        <x:v>0</x:v>
      </x:c>
      <x:c r="G101" s="94" t="n">
        <x:f>G97*'Revenue Model'!G$5*G98*G100/1000</x:f>
        <x:v>0</x:v>
      </x:c>
      <x:c r="H101" s="94" t="n">
        <x:f>H97*'Revenue Model'!H$5*H98*H100/1000</x:f>
        <x:v>0</x:v>
      </x:c>
      <x:c r="I101" s="94" t="n">
        <x:f>I97*'Revenue Model'!I$5*I98*I100/1000</x:f>
        <x:v>0</x:v>
      </x:c>
      <x:c r="J101" s="94" t="n">
        <x:f>J97*'Revenue Model'!J$5*J98*J100/1000</x:f>
        <x:v>0</x:v>
      </x:c>
      <x:c r="K101" s="94" t="n">
        <x:f>K97*'Revenue Model'!K$5*K98*K100/1000</x:f>
        <x:v>0</x:v>
      </x:c>
      <x:c r="L101" s="94" t="n">
        <x:f>L97*'Revenue Model'!L$5*L98*L100/1000</x:f>
        <x:v>0</x:v>
      </x:c>
      <x:c r="M101" s="94" t="n">
        <x:f>M97*'Revenue Model'!M$5*M98*M100/1000</x:f>
        <x:v>0</x:v>
      </x:c>
      <x:c r="N101" s="94" t="n">
        <x:f>N97*'Revenue Model'!N$5*N98*N100/1000</x:f>
        <x:v>0</x:v>
      </x:c>
      <x:c r="O101" s="94" t="n">
        <x:f>O97*'Revenue Model'!O$5*O98*O100/1000</x:f>
        <x:v>0</x:v>
      </x:c>
      <x:c r="P101" s="94" t="n">
        <x:f>P97*'Revenue Model'!P$5*P98*P100/1000</x:f>
        <x:v>0</x:v>
      </x:c>
      <x:c r="Q101" s="94" t="n">
        <x:f>Q97*'Revenue Model'!Q$5*Q98*Q100/1000</x:f>
        <x:v>0</x:v>
      </x:c>
      <x:c r="R101" s="94" t="n">
        <x:f>R97*'Revenue Model'!R$5*R98*R100/1000</x:f>
        <x:v>0</x:v>
      </x:c>
    </x:row>
  </x:sheetData>
  <x:mergeCells>
    <x:mergeCell ref="A1:R1"/>
    <x:mergeCell ref="A2:R2"/>
    <x:mergeCell ref="A5:R5"/>
    <x:mergeCell ref="A12:R12"/>
    <x:mergeCell ref="A19:R19"/>
    <x:mergeCell ref="A26:R26"/>
    <x:mergeCell ref="A33:R33"/>
    <x:mergeCell ref="A40:R40"/>
    <x:mergeCell ref="A47:R47"/>
    <x:mergeCell ref="A54:R54"/>
    <x:mergeCell ref="A61:R61"/>
    <x:mergeCell ref="A68:R68"/>
    <x:mergeCell ref="A75:R75"/>
    <x:mergeCell ref="A82:R82"/>
    <x:mergeCell ref="A89:R89"/>
    <x:mergeCell ref="A96:R9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</x:cols>
  <x:sheetData>
    <x:row r="1" ht="26" customHeight="1">
      <x:c r="A1" s="4" t="str">
        <x:v>Max Healthcare — Revenue Forecast Model</x:v>
      </x:c>
      <x:c r="B1" s="4"/>
      <x:c r="C1" s="141"/>
      <x:c r="D1" s="141"/>
      <x:c r="E1" s="141"/>
      <x:c r="F1" s="141"/>
      <x:c r="G1" s="141"/>
      <x:c r="H1" s="141"/>
      <x:c r="I1" s="141"/>
      <x:c r="J1" s="141"/>
      <x:c r="K1" s="141"/>
      <x:c r="L1" s="141"/>
      <x:c r="M1" s="141"/>
      <x:c r="N1" s="141"/>
      <x:c r="O1" s="141"/>
      <x:c r="P1" s="141"/>
      <x:c r="Q1" s="141"/>
      <x:c r="R1" s="141"/>
    </x:row>
    <x:row r="2">
      <x:c r="A2" s="10" t="str">
        <x:v>Core structure: mature network + project-wise new capacity + Max Lab. Max@Home is memo-only because it is embedded in ARPOB-based hospital revenue.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</x:row>
    <x:row r="4">
      <x:c r="A4" s="75" t="str">
        <x:v>Metric</x:v>
      </x:c>
      <x:c r="B4" s="75" t="str">
        <x:v>Unit</x:v>
      </x:c>
      <x:c r="C4" s="70" t="str">
        <x:v>Q1FY27E</x:v>
      </x:c>
      <x:c r="D4" s="70" t="str">
        <x:v>Q2FY27E</x:v>
      </x:c>
      <x:c r="E4" s="70" t="str">
        <x:v>Q3FY27E</x:v>
      </x:c>
      <x:c r="F4" s="70" t="str">
        <x:v>Q4FY27E</x:v>
      </x:c>
      <x:c r="G4" s="70" t="str">
        <x:v>Q1FY28E</x:v>
      </x:c>
      <x:c r="H4" s="70" t="str">
        <x:v>Q2FY28E</x:v>
      </x:c>
      <x:c r="I4" s="70" t="str">
        <x:v>Q3FY28E</x:v>
      </x:c>
      <x:c r="J4" s="70" t="str">
        <x:v>Q4FY28E</x:v>
      </x:c>
      <x:c r="K4" s="70" t="str">
        <x:v>Q1FY29E</x:v>
      </x:c>
      <x:c r="L4" s="70" t="str">
        <x:v>Q2FY29E</x:v>
      </x:c>
      <x:c r="M4" s="70" t="str">
        <x:v>Q3FY29E</x:v>
      </x:c>
      <x:c r="N4" s="70" t="str">
        <x:v>Q4FY29E</x:v>
      </x:c>
      <x:c r="O4" s="70" t="str">
        <x:v>Q1FY30E</x:v>
      </x:c>
      <x:c r="P4" s="70" t="str">
        <x:v>Q2FY30E</x:v>
      </x:c>
      <x:c r="Q4" s="70" t="str">
        <x:v>Q3FY30E</x:v>
      </x:c>
      <x:c r="R4" s="70" t="str">
        <x:v>Q4FY30E</x:v>
      </x:c>
    </x:row>
    <x:row r="5">
      <x:c r="A5" t="str">
        <x:v>Days in quarter</x:v>
      </x:c>
      <x:c r="B5" t="str">
        <x:v>days</x:v>
      </x:c>
      <x:c r="C5" s="97" t="n">
        <x:v>91</x:v>
      </x:c>
      <x:c r="D5" s="97" t="n">
        <x:v>92</x:v>
      </x:c>
      <x:c r="E5" s="97" t="n">
        <x:v>92</x:v>
      </x:c>
      <x:c r="F5" s="97" t="n">
        <x:v>90</x:v>
      </x:c>
      <x:c r="G5" s="97" t="n">
        <x:v>91</x:v>
      </x:c>
      <x:c r="H5" s="97" t="n">
        <x:v>92</x:v>
      </x:c>
      <x:c r="I5" s="97" t="n">
        <x:v>92</x:v>
      </x:c>
      <x:c r="J5" s="97" t="n">
        <x:v>91</x:v>
      </x:c>
      <x:c r="K5" s="97" t="n">
        <x:v>91</x:v>
      </x:c>
      <x:c r="L5" s="97" t="n">
        <x:v>92</x:v>
      </x:c>
      <x:c r="M5" s="97" t="n">
        <x:v>92</x:v>
      </x:c>
      <x:c r="N5" s="97" t="n">
        <x:v>90</x:v>
      </x:c>
      <x:c r="O5" s="97" t="n">
        <x:v>91</x:v>
      </x:c>
      <x:c r="P5" s="97" t="n">
        <x:v>92</x:v>
      </x:c>
      <x:c r="Q5" s="97" t="n">
        <x:v>92</x:v>
      </x:c>
      <x:c r="R5" s="97" t="n">
        <x:v>90</x:v>
      </x:c>
    </x:row>
    <x:row r="7">
      <x:c r="A7" s="78" t="str">
        <x:v>A. Mature network at March 2026 base</x:v>
      </x:c>
      <x:c r="B7" s="78"/>
      <x:c r="C7" s="78"/>
      <x:c r="D7" s="78"/>
      <x:c r="E7" s="78"/>
      <x:c r="F7" s="78"/>
      <x:c r="G7" s="78"/>
      <x:c r="H7" s="78"/>
      <x:c r="I7" s="78"/>
      <x:c r="J7" s="78"/>
      <x:c r="K7" s="78"/>
      <x:c r="L7" s="78"/>
      <x:c r="M7" s="78"/>
      <x:c r="N7" s="78"/>
      <x:c r="O7" s="78"/>
      <x:c r="P7" s="78"/>
      <x:c r="Q7" s="78"/>
      <x:c r="R7" s="78"/>
    </x:row>
    <x:row r="8">
      <x:c r="A8" t="str">
        <x:v>Average operational beds</x:v>
      </x:c>
      <x:c r="B8" t="str">
        <x:v>beds</x:v>
      </x:c>
      <x:c r="C8" s="101" t="n">
        <x:v>4966</x:v>
      </x:c>
      <x:c r="D8" s="101" t="n">
        <x:v>4966</x:v>
      </x:c>
      <x:c r="E8" s="101" t="n">
        <x:v>4966</x:v>
      </x:c>
      <x:c r="F8" s="101" t="n">
        <x:v>4966</x:v>
      </x:c>
      <x:c r="G8" s="101" t="n">
        <x:v>4966</x:v>
      </x:c>
      <x:c r="H8" s="101" t="n">
        <x:v>4966</x:v>
      </x:c>
      <x:c r="I8" s="101" t="n">
        <x:v>4966</x:v>
      </x:c>
      <x:c r="J8" s="101" t="n">
        <x:v>4966</x:v>
      </x:c>
      <x:c r="K8" s="101" t="n">
        <x:v>4966</x:v>
      </x:c>
      <x:c r="L8" s="101" t="n">
        <x:v>4966</x:v>
      </x:c>
      <x:c r="M8" s="101" t="n">
        <x:v>4966</x:v>
      </x:c>
      <x:c r="N8" s="101" t="n">
        <x:v>4966</x:v>
      </x:c>
      <x:c r="O8" s="101" t="n">
        <x:v>4966</x:v>
      </x:c>
      <x:c r="P8" s="101" t="n">
        <x:v>4966</x:v>
      </x:c>
      <x:c r="Q8" s="101" t="n">
        <x:v>4966</x:v>
      </x:c>
      <x:c r="R8" s="101" t="n">
        <x:v>4966</x:v>
      </x:c>
    </x:row>
    <x:row r="9">
      <x:c r="A9" t="str">
        <x:v>Occupancy</x:v>
      </x:c>
      <x:c r="B9" t="str">
        <x:v>%</x:v>
      </x:c>
      <x:c r="C9" s="103" t="n">
        <x:v>0.76</x:v>
      </x:c>
      <x:c r="D9" s="103" t="n">
        <x:v>0.76</x:v>
      </x:c>
      <x:c r="E9" s="103" t="n">
        <x:v>0.76</x:v>
      </x:c>
      <x:c r="F9" s="103" t="n">
        <x:v>0.76</x:v>
      </x:c>
      <x:c r="G9" s="103" t="n">
        <x:v>0.77</x:v>
      </x:c>
      <x:c r="H9" s="103" t="n">
        <x:v>0.77</x:v>
      </x:c>
      <x:c r="I9" s="103" t="n">
        <x:v>0.77</x:v>
      </x:c>
      <x:c r="J9" s="103" t="n">
        <x:v>0.77</x:v>
      </x:c>
      <x:c r="K9" s="103" t="n">
        <x:v>0.775</x:v>
      </x:c>
      <x:c r="L9" s="103" t="n">
        <x:v>0.775</x:v>
      </x:c>
      <x:c r="M9" s="103" t="n">
        <x:v>0.775</x:v>
      </x:c>
      <x:c r="N9" s="103" t="n">
        <x:v>0.775</x:v>
      </x:c>
      <x:c r="O9" s="103" t="n">
        <x:v>0.78</x:v>
      </x:c>
      <x:c r="P9" s="103" t="n">
        <x:v>0.78</x:v>
      </x:c>
      <x:c r="Q9" s="103" t="n">
        <x:v>0.78</x:v>
      </x:c>
      <x:c r="R9" s="103" t="n">
        <x:v>0.78</x:v>
      </x:c>
    </x:row>
    <x:row r="10">
      <x:c r="A10" t="str">
        <x:v>ARPOB</x:v>
      </x:c>
      <x:c r="B10" t="str">
        <x:v>₹ '000</x:v>
      </x:c>
      <x:c r="C10" s="105" t="n">
        <x:f>'Historical KPIs'!G10*(1+C$11)</x:f>
        <x:v>81.9</x:v>
      </x:c>
      <x:c r="D10" s="105" t="n">
        <x:f>'Historical KPIs'!H10*(1+D$11)</x:f>
        <x:v>81.165</x:v>
      </x:c>
      <x:c r="E10" s="105" t="n">
        <x:f>'Historical KPIs'!I10*(1+E$11)</x:f>
        <x:v>81.79500000000002</x:v>
      </x:c>
      <x:c r="F10" s="105" t="n">
        <x:f>'Historical KPIs'!J10*(1+F$11)</x:f>
        <x:v>81.79500000000002</x:v>
      </x:c>
      <x:c r="G10" s="105" t="n">
        <x:f>C$10*(1+G$11)</x:f>
        <x:v>85.995</x:v>
      </x:c>
      <x:c r="H10" s="105" t="n">
        <x:f>D$10*(1+H$11)</x:f>
        <x:v>85.22325000000001</x:v>
      </x:c>
      <x:c r="I10" s="105" t="n">
        <x:f>E$10*(1+I$11)</x:f>
        <x:v>85.88475000000003</x:v>
      </x:c>
      <x:c r="J10" s="105" t="n">
        <x:f>F$10*(1+J$11)</x:f>
        <x:v>85.88475000000003</x:v>
      </x:c>
      <x:c r="K10" s="105" t="n">
        <x:f>G$10*(1+K$11)</x:f>
        <x:v>90.29475000000001</x:v>
      </x:c>
      <x:c r="L10" s="105" t="n">
        <x:f>H$10*(1+L$11)</x:f>
        <x:v>89.4844125</x:v>
      </x:c>
      <x:c r="M10" s="105" t="n">
        <x:f>I$10*(1+M$11)</x:f>
        <x:v>90.17898750000003</x:v>
      </x:c>
      <x:c r="N10" s="105" t="n">
        <x:f>J$10*(1+N$11)</x:f>
        <x:v>90.17898750000003</x:v>
      </x:c>
      <x:c r="O10" s="105" t="n">
        <x:f>K$10*(1+O$11)</x:f>
        <x:v>94.80948750000002</x:v>
      </x:c>
      <x:c r="P10" s="105" t="n">
        <x:f>L$10*(1+P$11)</x:f>
        <x:v>93.958633125</x:v>
      </x:c>
      <x:c r="Q10" s="105" t="n">
        <x:f>M$10*(1+Q$11)</x:f>
        <x:v>94.68793687500003</x:v>
      </x:c>
      <x:c r="R10" s="105" t="n">
        <x:f>N$10*(1+R$11)</x:f>
        <x:v>94.68793687500003</x:v>
      </x:c>
    </x:row>
    <x:row r="11">
      <x:c r="A11" t="str">
        <x:v>ARPOB growth YoY</x:v>
      </x:c>
      <x:c r="B11" t="str">
        <x:v>%</x:v>
      </x:c>
      <x:c r="C11" s="103" t="n">
        <x:v>0.05</x:v>
      </x:c>
      <x:c r="D11" s="103" t="n">
        <x:v>0.05</x:v>
      </x:c>
      <x:c r="E11" s="103" t="n">
        <x:v>0.05</x:v>
      </x:c>
      <x:c r="F11" s="103" t="n">
        <x:v>0.05</x:v>
      </x:c>
      <x:c r="G11" s="103" t="n">
        <x:v>0.05</x:v>
      </x:c>
      <x:c r="H11" s="103" t="n">
        <x:v>0.05</x:v>
      </x:c>
      <x:c r="I11" s="103" t="n">
        <x:v>0.05</x:v>
      </x:c>
      <x:c r="J11" s="103" t="n">
        <x:v>0.05</x:v>
      </x:c>
      <x:c r="K11" s="103" t="n">
        <x:v>0.05</x:v>
      </x:c>
      <x:c r="L11" s="103" t="n">
        <x:v>0.05</x:v>
      </x:c>
      <x:c r="M11" s="103" t="n">
        <x:v>0.05</x:v>
      </x:c>
      <x:c r="N11" s="103" t="n">
        <x:v>0.05</x:v>
      </x:c>
      <x:c r="O11" s="103" t="n">
        <x:v>0.05</x:v>
      </x:c>
      <x:c r="P11" s="103" t="n">
        <x:v>0.05</x:v>
      </x:c>
      <x:c r="Q11" s="103" t="n">
        <x:v>0.05</x:v>
      </x:c>
      <x:c r="R11" s="103" t="n">
        <x:v>0.05</x:v>
      </x:c>
    </x:row>
    <x:row r="12">
      <x:c r="A12" t="str">
        <x:v>Occupied bed days</x:v>
      </x:c>
      <x:c r="B12" t="str">
        <x:v>OBD</x:v>
      </x:c>
      <x:c r="C12" s="27" t="n">
        <x:f>C8*C5*C9</x:f>
        <x:v>343448.56</x:v>
      </x:c>
      <x:c r="D12" s="27" t="n">
        <x:f>D8*D5*D9</x:f>
        <x:v>347222.72000000003</x:v>
      </x:c>
      <x:c r="E12" s="27" t="n">
        <x:f>E8*E5*E9</x:f>
        <x:v>347222.72000000003</x:v>
      </x:c>
      <x:c r="F12" s="27" t="n">
        <x:f>F8*F5*F9</x:f>
        <x:v>339674.4</x:v>
      </x:c>
      <x:c r="G12" s="27" t="n">
        <x:f>G8*G5*G9</x:f>
        <x:v>347967.62</x:v>
      </x:c>
      <x:c r="H12" s="27" t="n">
        <x:f>H8*H5*H9</x:f>
        <x:v>351791.44</x:v>
      </x:c>
      <x:c r="I12" s="27" t="n">
        <x:f>I8*I5*I9</x:f>
        <x:v>351791.44</x:v>
      </x:c>
      <x:c r="J12" s="27" t="n">
        <x:f>J8*J5*J9</x:f>
        <x:v>347967.62</x:v>
      </x:c>
      <x:c r="K12" s="27" t="n">
        <x:f>K8*K5*K9</x:f>
        <x:v>350227.15</x:v>
      </x:c>
      <x:c r="L12" s="27" t="n">
        <x:f>L8*L5*L9</x:f>
        <x:v>354075.8</x:v>
      </x:c>
      <x:c r="M12" s="27" t="n">
        <x:f>M8*M5*M9</x:f>
        <x:v>354075.8</x:v>
      </x:c>
      <x:c r="N12" s="27" t="n">
        <x:f>N8*N5*N9</x:f>
        <x:v>346378.5</x:v>
      </x:c>
      <x:c r="O12" s="27" t="n">
        <x:f>O8*O5*O9</x:f>
        <x:v>352486.68</x:v>
      </x:c>
      <x:c r="P12" s="27" t="n">
        <x:f>P8*P5*P9</x:f>
        <x:v>356360.16000000003</x:v>
      </x:c>
      <x:c r="Q12" s="27" t="n">
        <x:f>Q8*Q5*Q9</x:f>
        <x:v>356360.16000000003</x:v>
      </x:c>
      <x:c r="R12" s="27" t="n">
        <x:f>R8*R5*R9</x:f>
        <x:v>348613.2</x:v>
      </x:c>
    </x:row>
    <x:row r="13">
      <x:c r="A13" t="str">
        <x:v>Gross revenue ex Max Lab</x:v>
      </x:c>
      <x:c r="B13" t="str">
        <x:v>INR mn</x:v>
      </x:c>
      <x:c r="C13" s="27" t="n">
        <x:f>C12*C10/1000</x:f>
        <x:v>28128.437064</x:v>
      </x:c>
      <x:c r="D13" s="27" t="n">
        <x:f>D12*D10/1000</x:f>
        <x:v>28182.332068800006</x:v>
      </x:c>
      <x:c r="E13" s="27" t="n">
        <x:f>E12*E10/1000</x:f>
        <x:v>28401.08238240001</x:v>
      </x:c>
      <x:c r="F13" s="27" t="n">
        <x:f>F12*F10/1000</x:f>
        <x:v>27783.66754800001</x:v>
      </x:c>
      <x:c r="G13" s="27" t="n">
        <x:f>G12*G10/1000</x:f>
        <x:v>29923.475481900005</x:v>
      </x:c>
      <x:c r="H13" s="27" t="n">
        <x:f>H12*H10/1000</x:f>
        <x:v>29980.809838980003</x:v>
      </x:c>
      <x:c r="I13" s="27" t="n">
        <x:f>I12*I10/1000</x:f>
        <x:v>30213.51987654001</x:v>
      </x:c>
      <x:c r="J13" s="27" t="n">
        <x:f>J12*J10/1000</x:f>
        <x:v>29885.11205179501</x:v>
      </x:c>
      <x:c r="K13" s="27" t="n">
        <x:f>K12*K10/1000</x:f>
        <x:v>31623.672952462504</x:v>
      </x:c>
      <x:c r="L13" s="27" t="n">
        <x:f>L12*L10/1000</x:f>
        <x:v>31684.2649434675</x:v>
      </x:c>
      <x:c r="M13" s="27" t="n">
        <x:f>M12*M10/1000</x:f>
        <x:v>31930.197142252513</x:v>
      </x:c>
      <x:c r="N13" s="27" t="n">
        <x:f>N12*N10/1000</x:f>
        <x:v>31236.062421768762</x:v>
      </x:c>
      <x:c r="O13" s="27" t="n">
        <x:f>O12*O10/1000</x:f>
        <x:v>33419.0814813765</x:v>
      </x:c>
      <x:c r="P13" s="27" t="n">
        <x:f>P12*P10/1000</x:f>
        <x:v>33483.1135338063</x:v>
      </x:c>
      <x:c r="Q13" s="27" t="n">
        <x:f>Q12*Q10/1000</x:f>
        <x:v>33743.00833484492</x:v>
      </x:c>
      <x:c r="R13" s="27" t="n">
        <x:f>R12*R10/1000</x:f>
        <x:v>33009.46467539176</x:v>
      </x:c>
    </x:row>
    <x:row r="14">
      <x:c r="A14" t="str">
        <x:v>Revenue growth YoY</x:v>
      </x:c>
      <x:c r="B14" t="str">
        <x:v>%</x:v>
      </x:c>
      <x:c r="C14" s="31" t="n">
        <x:f>C13/('Historical KPIs'!G5-'Historical KPIs'!G12)-1</x:f>
        <x:v>0.11355649501187659</x:v>
      </x:c>
      <x:c r="D14" s="31" t="n">
        <x:f>D13/('Historical KPIs'!H5-'Historical KPIs'!H12)-1</x:f>
        <x:v>0.0683219131463233</x:v>
      </x:c>
      <x:c r="E14" s="31" t="n">
        <x:f>E13/('Historical KPIs'!I5-'Historical KPIs'!I12)-1</x:f>
        <x:v>0.10898408365482282</x:v>
      </x:c>
      <x:c r="F14" s="31" t="n">
        <x:f>F13/('Historical KPIs'!J5-'Historical KPIs'!J12)-1</x:f>
        <x:v>0.06369324456355319</x:v>
      </x:c>
      <x:c r="G14" s="31" t="n">
        <x:f>G13/C13-1</x:f>
        <x:v>0.06381578947368438</x:v>
      </x:c>
      <x:c r="H14" s="31" t="n">
        <x:f>H13/D13-1</x:f>
        <x:v>0.06381578947368416</x:v>
      </x:c>
      <x:c r="I14" s="31" t="n">
        <x:f>I13/E13-1</x:f>
        <x:v>0.06381578947368416</x:v>
      </x:c>
      <x:c r="J14" s="31" t="n">
        <x:f>J13/F13-1</x:f>
        <x:v>0.07563596491228086</x:v>
      </x:c>
      <x:c r="K14" s="31" t="n">
        <x:f>K13/G13-1</x:f>
        <x:v>0.05681818181818188</x:v>
      </x:c>
      <x:c r="L14" s="31" t="n">
        <x:f>L13/H13-1</x:f>
        <x:v>0.05681818181818166</x:v>
      </x:c>
      <x:c r="M14" s="31" t="n">
        <x:f>M13/I13-1</x:f>
        <x:v>0.05681818181818188</x:v>
      </x:c>
      <x:c r="N14" s="31" t="n">
        <x:f>N13/J13-1</x:f>
        <x:v>0.045204795204795145</x:v>
      </x:c>
      <x:c r="O14" s="31" t="n">
        <x:f>O13/K13-1</x:f>
        <x:v>0.056774193548386975</x:v>
      </x:c>
      <x:c r="P14" s="31" t="n">
        <x:f>P13/L13-1</x:f>
        <x:v>0.0567741935483872</x:v>
      </x:c>
      <x:c r="Q14" s="31" t="n">
        <x:f>Q13/M13-1</x:f>
        <x:v>0.0567741935483872</x:v>
      </x:c>
      <x:c r="R14" s="31" t="n">
        <x:f>R13/N13-1</x:f>
        <x:v>0.0567741935483872</x:v>
      </x:c>
    </x:row>
    <x:row r="16">
      <x:c r="A16" s="78" t="str">
        <x:v>B. New capacity revenue</x:v>
      </x:c>
      <x:c r="B16" s="78"/>
      <x:c r="C16" s="78"/>
      <x:c r="D16" s="78"/>
      <x:c r="E16" s="78"/>
      <x:c r="F16" s="78"/>
      <x:c r="G16" s="78"/>
      <x:c r="H16" s="78"/>
      <x:c r="I16" s="78"/>
      <x:c r="J16" s="78"/>
      <x:c r="K16" s="78"/>
      <x:c r="L16" s="78"/>
      <x:c r="M16" s="78"/>
      <x:c r="N16" s="78"/>
      <x:c r="O16" s="78"/>
      <x:c r="P16" s="78"/>
      <x:c r="Q16" s="78"/>
      <x:c r="R16" s="78"/>
    </x:row>
    <x:row r="17">
      <x:c r="A17" t="str">
        <x:v>Smart brownfield</x:v>
      </x:c>
      <x:c r="B17" t="str">
        <x:v>INR mn</x:v>
      </x:c>
      <x:c r="C17" s="107" t="n">
        <x:f>'New Capacity'!C10</x:f>
        <x:v>447.17400000000004</x:v>
      </x:c>
      <x:c r="D17" s="107" t="n">
        <x:f>'New Capacity'!D10</x:f>
        <x:v>1344.0924000000002</x:v>
      </x:c>
      <x:c r="E17" s="107" t="n">
        <x:f>'New Capacity'!E10</x:f>
        <x:v>1655.5308000000002</x:v>
      </x:c>
      <x:c r="F17" s="107" t="n">
        <x:f>'New Capacity'!F10</x:f>
        <x:v>1766.7720000000002</x:v>
      </x:c>
      <x:c r="G17" s="107" t="n">
        <x:f>'New Capacity'!G10</x:f>
        <x:v>2034.6417000000001</x:v>
      </x:c>
      <x:c r="H17" s="107" t="n">
        <x:f>'New Capacity'!H10</x:f>
        <x:v>2132.626608</x:v>
      </x:c>
      <x:c r="I17" s="107" t="n">
        <x:f>'New Capacity'!I10</x:f>
        <x:v>2212.3911600000006</x:v>
      </x:c>
      <x:c r="J17" s="107" t="n">
        <x:f>'New Capacity'!J10</x:f>
        <x:v>2250.8675280000007</x:v>
      </x:c>
      <x:c r="K17" s="107" t="n">
        <x:f>'New Capacity'!K10</x:f>
        <x:v>2399.312097</x:v>
      </x:c>
      <x:c r="L17" s="107" t="n">
        <x:f>'New Capacity'!L10</x:f>
        <x:v>2436.8395212000005</x:v>
      </x:c>
      <x:c r="M17" s="107" t="n">
        <x:f>'New Capacity'!M10</x:f>
        <x:v>2488.940055000001</x:v>
      </x:c>
      <x:c r="N17" s="107" t="n">
        <x:f>'New Capacity'!N10</x:f>
        <x:v>2434.832662500001</x:v>
      </x:c>
      <x:c r="O17" s="107" t="n">
        <x:f>'New Capacity'!O10</x:f>
        <x:v>2588.2990087500007</x:v>
      </x:c>
      <x:c r="P17" s="107" t="n">
        <x:f>'New Capacity'!P10</x:f>
        <x:v>2593.2582742500003</x:v>
      </x:c>
      <x:c r="Q17" s="107" t="n">
        <x:f>'New Capacity'!Q10</x:f>
        <x:v>2613.387057750001</x:v>
      </x:c>
      <x:c r="R17" s="107" t="n">
        <x:f>'New Capacity'!R10</x:f>
        <x:v>2556.5742956250006</x:v>
      </x:c>
    </x:row>
    <x:row r="18">
      <x:c r="A18" t="str">
        <x:v>Nanavati balance capacity</x:v>
      </x:c>
      <x:c r="B18" t="str">
        <x:v>INR mn</x:v>
      </x:c>
      <x:c r="C18" s="107" t="n">
        <x:f>'New Capacity'!C17</x:f>
        <x:v>256.677876</x:v>
      </x:c>
      <x:c r="D18" s="107" t="n">
        <x:f>'New Capacity'!D17</x:f>
        <x:v>707.2166178000002</x:v>
      </x:c>
      <x:c r="E18" s="107" t="n">
        <x:f>'New Capacity'!E17</x:f>
        <x:v>842.2889202000002</x:v>
      </x:c>
      <x:c r="F18" s="107" t="n">
        <x:f>'New Capacity'!F17</x:f>
        <x:v>887.3612370000003</x:v>
      </x:c>
      <x:c r="G18" s="107" t="n">
        <x:f>'New Capacity'!G17</x:f>
        <x:v>970.2423712799999</x:v>
      </x:c>
      <x:c r="H18" s="107" t="n">
        <x:f>'New Capacity'!H17</x:f>
        <x:v>985.602795534</x:v>
      </x:c>
      <x:c r="I18" s="107" t="n">
        <x:f>'New Capacity'!I17</x:f>
        <x:v>1006.8592169160003</x:v>
      </x:c>
      <x:c r="J18" s="107" t="n">
        <x:f>'New Capacity'!J17</x:f>
        <x:v>1009.3734070875004</x:v>
      </x:c>
      <x:c r="K18" s="107" t="n">
        <x:f>'New Capacity'!K17</x:f>
        <x:v>1061.2025935875004</x:v>
      </x:c>
      <x:c r="L18" s="107" t="n">
        <x:f>'New Capacity'!L17</x:f>
        <x:v>1063.2358924425</x:v>
      </x:c>
      <x:c r="M18" s="107" t="n">
        <x:f>'New Capacity'!M17</x:f>
        <x:v>1071.4886936775004</x:v>
      </x:c>
      <x:c r="N18" s="107" t="n">
        <x:f>'New Capacity'!N17</x:f>
        <x:v>1048.1954612062505</x:v>
      </x:c>
      <x:c r="O18" s="107" t="n">
        <x:f>'New Capacity'!O17</x:f>
        <x:v>1114.2627232668751</x:v>
      </x:c>
      <x:c r="P18" s="107" t="n">
        <x:f>'New Capacity'!P17</x:f>
        <x:v>1116.3976870646252</x:v>
      </x:c>
      <x:c r="Q18" s="107" t="n">
        <x:f>'New Capacity'!Q17</x:f>
        <x:v>1125.0631283613754</x:v>
      </x:c>
      <x:c r="R18" s="107" t="n">
        <x:f>'New Capacity'!R17</x:f>
        <x:v>1100.6052342665628</x:v>
      </x:c>
    </x:row>
    <x:row r="19">
      <x:c r="A19" t="str">
        <x:v>Gurugram Sector 56</x:v>
      </x:c>
      <x:c r="B19" t="str">
        <x:v>INR mn</x:v>
      </x:c>
      <x:c r="C19" s="107" t="n">
        <x:f>'New Capacity'!C24</x:f>
        <x:v>0</x:v>
      </x:c>
      <x:c r="D19" s="107" t="n">
        <x:f>'New Capacity'!D24</x:f>
        <x:v>0</x:v>
      </x:c>
      <x:c r="E19" s="107" t="n">
        <x:f>'New Capacity'!E24</x:f>
        <x:v>178.72207500000002</x:v>
      </x:c>
      <x:c r="F19" s="107" t="n">
        <x:f>'New Capacity'!F24</x:f>
        <x:v>917.8932656250001</x:v>
      </x:c>
      <x:c r="G19" s="107" t="n">
        <x:f>'New Capacity'!G24</x:f>
        <x:v>1676.0556642375002</x:v>
      </x:c>
      <x:c r="H19" s="107" t="n">
        <x:f>'New Capacity'!H24</x:f>
        <x:v>2052.4374953775005</x:v>
      </x:c>
      <x:c r="I19" s="107" t="n">
        <x:f>'New Capacity'!I24</x:f>
        <x:v>2331.6153393330005</x:v>
      </x:c>
      <x:c r="J19" s="107" t="n">
        <x:f>'New Capacity'!J24</x:f>
        <x:v>2529.4592776635004</x:v>
      </x:c>
      <x:c r="K19" s="107" t="n">
        <x:f>'New Capacity'!K24</x:f>
        <x:v>2737.5575849212496</x:v>
      </x:c>
      <x:c r="L19" s="107" t="n">
        <x:f>'New Capacity'!L24</x:f>
        <x:v>2821.1686300098</x:v>
      </x:c>
      <x:c r="M19" s="107" t="n">
        <x:f>'New Capacity'!M24</x:f>
        <x:v>2882.553479997976</x:v>
      </x:c>
      <x:c r="N19" s="107" t="n">
        <x:f>'New Capacity'!N24</x:f>
        <x:v>2858.5178941016256</x:v>
      </x:c>
      <x:c r="O19" s="107" t="n">
        <x:f>'New Capacity'!O24</x:f>
        <x:v>3079.7522830364064</x:v>
      </x:c>
      <x:c r="P19" s="107" t="n">
        <x:f>'New Capacity'!P24</x:f>
        <x:v>3085.653189073219</x:v>
      </x:c>
      <x:c r="Q19" s="107" t="n">
        <x:f>'New Capacity'!Q24</x:f>
        <x:v>3109.6039253402823</x:v>
      </x:c>
      <x:c r="R19" s="107" t="n">
        <x:f>'New Capacity'!R24</x:f>
        <x:v>3042.003840006798</x:v>
      </x:c>
    </x:row>
    <x:row r="20">
      <x:c r="A20" t="str">
        <x:v>Kalinga Hospital</x:v>
      </x:c>
      <x:c r="B20" t="str">
        <x:v>INR mn</x:v>
      </x:c>
      <x:c r="C20" s="107" t="n">
        <x:f>'New Capacity'!C31</x:f>
        <x:v>290.66310000000004</x:v>
      </x:c>
      <x:c r="D20" s="107" t="n">
        <x:f>'New Capacity'!D31</x:f>
        <x:v>667.3792125000001</x:v>
      </x:c>
      <x:c r="E20" s="107" t="n">
        <x:f>'New Capacity'!E31</x:f>
        <x:v>733.7011500000002</x:v>
      </x:c>
      <x:c r="F20" s="107" t="n">
        <x:f>'New Capacity'!F31</x:f>
        <x:v>741.6761625000003</x:v>
      </x:c>
      <x:c r="G20" s="107" t="n">
        <x:f>'New Capacity'!G31</x:f>
        <x:v>826.573190625</x:v>
      </x:c>
      <x:c r="H20" s="107" t="n">
        <x:f>'New Capacity'!H31</x:f>
        <x:v>853.6386836250002</x:v>
      </x:c>
      <x:c r="I20" s="107" t="n">
        <x:f>'New Capacity'!I31</x:f>
        <x:v>873.1043685000003</x:v>
      </x:c>
      <x:c r="J20" s="107" t="n">
        <x:f>'New Capacity'!J31</x:f>
        <x:v>889.0145184375001</x:v>
      </x:c>
      <x:c r="K20" s="107" t="n">
        <x:f>'New Capacity'!K31</x:f>
        <x:v>934.6635309374999</x:v>
      </x:c>
      <x:c r="L20" s="107" t="n">
        <x:f>'New Capacity'!L31</x:f>
        <x:v>949.8322964812501</x:v>
      </x:c>
      <x:c r="M20" s="107" t="n">
        <x:f>'New Capacity'!M31</x:f>
        <x:v>970.6866214500004</x:v>
      </x:c>
      <x:c r="N20" s="107" t="n">
        <x:f>'New Capacity'!N31</x:f>
        <x:v>949.5847383750004</x:v>
      </x:c>
      <x:c r="O20" s="107" t="n">
        <x:f>'New Capacity'!O31</x:f>
        <x:v>1009.4366134125002</x:v>
      </x:c>
      <x:c r="P20" s="107" t="n">
        <x:f>'New Capacity'!P31</x:f>
        <x:v>1011.3707269575001</x:v>
      </x:c>
      <x:c r="Q20" s="107" t="n">
        <x:f>'New Capacity'!Q31</x:f>
        <x:v>1019.2209525225004</x:v>
      </x:c>
      <x:c r="R20" s="107" t="n">
        <x:f>'New Capacity'!R31</x:f>
        <x:v>997.0639752937504</x:v>
      </x:c>
    </x:row>
    <x:row r="21">
      <x:c r="A21" t="str">
        <x:v>Lucknow brownfield</x:v>
      </x:c>
      <x:c r="B21" t="str">
        <x:v>INR mn</x:v>
      </x:c>
      <x:c r="C21" s="107" t="n">
        <x:f>'New Capacity'!C38</x:f>
        <x:v>103.297194</x:v>
      </x:c>
      <x:c r="D21" s="107" t="n">
        <x:f>'New Capacity'!D38</x:f>
        <x:v>338.7112848</x:v>
      </x:c>
      <x:c r="E21" s="107" t="n">
        <x:f>'New Capacity'!E38</x:f>
        <x:v>493.0471728000001</x:v>
      </x:c>
      <x:c r="F21" s="107" t="n">
        <x:f>'New Capacity'!F38</x:f>
        <x:v>504.59008320000015</x:v>
      </x:c>
      <x:c r="G21" s="107" t="n">
        <x:f>'New Capacity'!G38</x:f>
        <x:v>552.1704552</x:v>
      </x:c>
      <x:c r="H21" s="107" t="n">
        <x:f>'New Capacity'!H38</x:f>
        <x:v>569.034958464</x:v>
      </x:c>
      <x:c r="I21" s="107" t="n">
        <x:f>'New Capacity'!I38</x:f>
        <x:v>581.416396848</x:v>
      </x:c>
      <x:c r="J21" s="107" t="n">
        <x:f>'New Capacity'!J38</x:f>
        <x:v>582.974689752</x:v>
      </x:c>
      <x:c r="K21" s="107" t="n">
        <x:f>'New Capacity'!K38</x:f>
        <x:v>612.9092052719999</x:v>
      </x:c>
      <x:c r="L21" s="107" t="n">
        <x:f>'New Capacity'!L38</x:f>
        <x:v>614.0835593424</x:v>
      </x:c>
      <x:c r="M21" s="107" t="n">
        <x:f>'New Capacity'!M38</x:f>
        <x:v>618.8500552752001</x:v>
      </x:c>
      <x:c r="N21" s="107" t="n">
        <x:f>'New Capacity'!N38</x:f>
        <x:v>605.3967932040001</x:v>
      </x:c>
      <x:c r="O21" s="107" t="n">
        <x:f>'New Capacity'!O38</x:f>
        <x:v>643.5546655356001</x:v>
      </x:c>
      <x:c r="P21" s="107" t="n">
        <x:f>'New Capacity'!P38</x:f>
        <x:v>644.78773730952</x:v>
      </x:c>
      <x:c r="Q21" s="107" t="n">
        <x:f>'New Capacity'!Q38</x:f>
        <x:v>649.7925580389602</x:v>
      </x:c>
      <x:c r="R21" s="107" t="n">
        <x:f>'New Capacity'!R38</x:f>
        <x:v>635.6666328642002</x:v>
      </x:c>
    </x:row>
    <x:row r="22">
      <x:c r="A22" t="str">
        <x:v>Nagpur brownfield</x:v>
      </x:c>
      <x:c r="B22" t="str">
        <x:v>INR mn</x:v>
      </x:c>
      <x:c r="C22" s="107" t="n">
        <x:f>'New Capacity'!C45</x:f>
        <x:v>0</x:v>
      </x:c>
      <x:c r="D22" s="107" t="n">
        <x:f>'New Capacity'!D45</x:f>
        <x:v>0</x:v>
      </x:c>
      <x:c r="E22" s="107" t="n">
        <x:f>'New Capacity'!E45</x:f>
        <x:v>0</x:v>
      </x:c>
      <x:c r="F22" s="107" t="n">
        <x:f>'New Capacity'!F45</x:f>
        <x:v>0</x:v>
      </x:c>
      <x:c r="G22" s="107" t="n">
        <x:f>'New Capacity'!G45</x:f>
        <x:v>0</x:v>
      </x:c>
      <x:c r="H22" s="107" t="n">
        <x:f>'New Capacity'!H45</x:f>
        <x:v>0</x:v>
      </x:c>
      <x:c r="I22" s="107" t="n">
        <x:f>'New Capacity'!I45</x:f>
        <x:v>96.79211325000003</x:v>
      </x:c>
      <x:c r="J22" s="107" t="n">
        <x:f>'New Capacity'!J45</x:f>
        <x:v>273.54292875000004</x:v>
      </x:c>
      <x:c r="K22" s="107" t="n">
        <x:f>'New Capacity'!K45</x:f>
        <x:v>345.1065345</x:v>
      </x:c>
      <x:c r="L22" s="107" t="n">
        <x:f>'New Capacity'!L45</x:f>
        <x:v>374.581750725</x:v>
      </x:c>
      <x:c r="M22" s="107" t="n">
        <x:f>'New Capacity'!M45</x:f>
        <x:v>394.9118220600001</x:v>
      </x:c>
      <x:c r="N22" s="107" t="n">
        <x:f>'New Capacity'!N45</x:f>
        <x:v>397.6893348750001</x:v>
      </x:c>
      <x:c r="O22" s="107" t="n">
        <x:f>'New Capacity'!O45</x:f>
        <x:v>434.8342334700001</x:v>
      </x:c>
      <x:c r="P22" s="107" t="n">
        <x:f>'New Capacity'!P45</x:f>
        <x:v>435.66739007399997</x:v>
      </x:c>
      <x:c r="Q22" s="107" t="n">
        <x:f>'New Capacity'!Q45</x:f>
        <x:v>439.0490257020001</x:v>
      </x:c>
      <x:c r="R22" s="107" t="n">
        <x:f>'New Capacity'!R45</x:f>
        <x:v>429.50448166500007</x:v>
      </x:c>
    </x:row>
    <x:row r="23">
      <x:c r="A23" t="str">
        <x:v>Zirakpur</x:v>
      </x:c>
      <x:c r="B23" t="str">
        <x:v>INR mn</x:v>
      </x:c>
      <x:c r="C23" s="107" t="n">
        <x:f>'New Capacity'!C52</x:f>
        <x:v>0</x:v>
      </x:c>
      <x:c r="D23" s="107" t="n">
        <x:f>'New Capacity'!D52</x:f>
        <x:v>0</x:v>
      </x:c>
      <x:c r="E23" s="107" t="n">
        <x:f>'New Capacity'!E52</x:f>
        <x:v>0</x:v>
      </x:c>
      <x:c r="F23" s="107" t="n">
        <x:f>'New Capacity'!F52</x:f>
        <x:v>0</x:v>
      </x:c>
      <x:c r="G23" s="107" t="n">
        <x:f>'New Capacity'!G52</x:f>
        <x:v>0</x:v>
      </x:c>
      <x:c r="H23" s="107" t="n">
        <x:f>'New Capacity'!H52</x:f>
        <x:v>0</x:v>
      </x:c>
      <x:c r="I23" s="107" t="n">
        <x:f>'New Capacity'!I52</x:f>
        <x:v>134.32374900000005</x:v>
      </x:c>
      <x:c r="J23" s="107" t="n">
        <x:f>'New Capacity'!J52</x:f>
        <x:v>697.5344683125002</x:v>
      </x:c>
      <x:c r="K23" s="107" t="n">
        <x:f>'New Capacity'!K52</x:f>
        <x:v>1257.17380425</x:v>
      </x:c>
      <x:c r="L23" s="107" t="n">
        <x:f>'New Capacity'!L52</x:f>
        <x:v>1539.48983265</x:v>
      </x:c>
      <x:c r="M23" s="107" t="n">
        <x:f>'New Capacity'!M52</x:f>
        <x:v>1748.8952119800008</x:v>
      </x:c>
      <x:c r="N23" s="107" t="n">
        <x:f>'New Capacity'!N52</x:f>
        <x:v>1876.4443719000008</x:v>
      </x:c>
      <x:c r="O23" s="107" t="n">
        <x:f>'New Capacity'!O52</x:f>
        <x:v>2053.383880275</x:v>
      </x:c>
      <x:c r="P23" s="107" t="n">
        <x:f>'New Capacity'!P52</x:f>
        <x:v>2116.0987517880003</x:v>
      </x:c>
      <x:c r="Q23" s="107" t="n">
        <x:f>'New Capacity'!Q52</x:f>
        <x:v>2162.142225778501</x:v>
      </x:c>
      <x:c r="R23" s="107" t="n">
        <x:f>'New Capacity'!R52</x:f>
        <x:v>2144.1136425975005</x:v>
      </x:c>
    </x:row>
    <x:row r="24">
      <x:c r="A24" t="str">
        <x:v>Vaishali brownfield</x:v>
      </x:c>
      <x:c r="B24" t="str">
        <x:v>INR mn</x:v>
      </x:c>
      <x:c r="C24" s="107" t="n">
        <x:f>'New Capacity'!C59</x:f>
        <x:v>0</x:v>
      </x:c>
      <x:c r="D24" s="107" t="n">
        <x:f>'New Capacity'!D59</x:f>
        <x:v>0</x:v>
      </x:c>
      <x:c r="E24" s="107" t="n">
        <x:f>'New Capacity'!E59</x:f>
        <x:v>0</x:v>
      </x:c>
      <x:c r="F24" s="107" t="n">
        <x:f>'New Capacity'!F59</x:f>
        <x:v>0</x:v>
      </x:c>
      <x:c r="G24" s="107" t="n">
        <x:f>'New Capacity'!G59</x:f>
        <x:v>0</x:v>
      </x:c>
      <x:c r="H24" s="107" t="n">
        <x:f>'New Capacity'!H59</x:f>
        <x:v>0</x:v>
      </x:c>
      <x:c r="I24" s="107" t="n">
        <x:f>'New Capacity'!I59</x:f>
        <x:v>0</x:v>
      </x:c>
      <x:c r="J24" s="107" t="n">
        <x:f>'New Capacity'!J59</x:f>
        <x:v>0</x:v>
      </x:c>
      <x:c r="K24" s="107" t="n">
        <x:f>'New Capacity'!K59</x:f>
        <x:v>0</x:v>
      </x:c>
      <x:c r="L24" s="107" t="n">
        <x:f>'New Capacity'!L59</x:f>
        <x:v>273.7328178375</x:v>
      </x:c>
      <x:c r="M24" s="107" t="n">
        <x:f>'New Capacity'!M59</x:f>
        <x:v>788.1643507500004</x:v>
      </x:c>
      <x:c r="N24" s="107" t="n">
        <x:f>'New Capacity'!N59</x:f>
        <x:v>925.2364117500003</x:v>
      </x:c>
      <x:c r="O24" s="107" t="n">
        <x:f>'New Capacity'!O59</x:f>
        <x:v>1065.5164252687503</x:v>
      </x:c>
      <x:c r="P24" s="107" t="n">
        <x:f>'New Capacity'!P59</x:f>
        <x:v>1116.8298967770002</x:v>
      </x:c>
      <x:c r="Q24" s="107" t="n">
        <x:f>'New Capacity'!Q59</x:f>
        <x:v>1158.6015956025003</x:v>
      </x:c>
      <x:c r="R24" s="107" t="n">
        <x:f>'New Capacity'!R59</x:f>
        <x:v>1165.7978788050004</x:v>
      </x:c>
    </x:row>
    <x:row r="25">
      <x:c r="A25" t="str">
        <x:v>Dwarka expansion</x:v>
      </x:c>
      <x:c r="B25" t="str">
        <x:v>INR mn</x:v>
      </x:c>
      <x:c r="C25" s="107" t="n">
        <x:f>'New Capacity'!C66</x:f>
        <x:v>0</x:v>
      </x:c>
      <x:c r="D25" s="107" t="n">
        <x:f>'New Capacity'!D66</x:f>
        <x:v>0</x:v>
      </x:c>
      <x:c r="E25" s="107" t="n">
        <x:f>'New Capacity'!E66</x:f>
        <x:v>0</x:v>
      </x:c>
      <x:c r="F25" s="107" t="n">
        <x:f>'New Capacity'!F66</x:f>
        <x:v>0</x:v>
      </x:c>
      <x:c r="G25" s="107" t="n">
        <x:f>'New Capacity'!G66</x:f>
        <x:v>0</x:v>
      </x:c>
      <x:c r="H25" s="107" t="n">
        <x:f>'New Capacity'!H66</x:f>
        <x:v>0</x:v>
      </x:c>
      <x:c r="I25" s="107" t="n">
        <x:f>'New Capacity'!I66</x:f>
        <x:v>0</x:v>
      </x:c>
      <x:c r="J25" s="107" t="n">
        <x:f>'New Capacity'!J66</x:f>
        <x:v>0</x:v>
      </x:c>
      <x:c r="K25" s="107" t="n">
        <x:f>'New Capacity'!K66</x:f>
        <x:v>0</x:v>
      </x:c>
      <x:c r="L25" s="107" t="n">
        <x:f>'New Capacity'!L66</x:f>
        <x:v>288.96306484499996</x:v>
      </x:c>
      <x:c r="M25" s="107" t="n">
        <x:f>'New Capacity'!M66</x:f>
        <x:v>873.6179593050003</x:v>
      </x:c>
      <x:c r="N25" s="107" t="n">
        <x:f>'New Capacity'!N66</x:f>
        <x:v>1044.5432122125005</x:v>
      </x:c>
      <x:c r="O25" s="107" t="n">
        <x:f>'New Capacity'!O66</x:f>
        <x:v>1251.7014006315005</x:v>
      </x:c>
      <x:c r="P25" s="107" t="n">
        <x:f>'New Capacity'!P66</x:f>
        <x:v>1335.0093595839</x:v>
      </x:c>
      <x:c r="Q25" s="107" t="n">
        <x:f>'New Capacity'!Q66</x:f>
        <x:v>1406.5249144810505</x:v>
      </x:c>
      <x:c r="R25" s="107" t="n">
        <x:f>'New Capacity'!R66</x:f>
        <x:v>1415.8308449171254</x:v>
      </x:c>
    </x:row>
    <x:row r="26">
      <x:c r="A26" t="str">
        <x:v>Patparganj brownfield</x:v>
      </x:c>
      <x:c r="B26" t="str">
        <x:v>INR mn</x:v>
      </x:c>
      <x:c r="C26" s="107" t="n">
        <x:f>'New Capacity'!C73</x:f>
        <x:v>0</x:v>
      </x:c>
      <x:c r="D26" s="107" t="n">
        <x:f>'New Capacity'!D73</x:f>
        <x:v>0</x:v>
      </x:c>
      <x:c r="E26" s="107" t="n">
        <x:f>'New Capacity'!E73</x:f>
        <x:v>0</x:v>
      </x:c>
      <x:c r="F26" s="107" t="n">
        <x:f>'New Capacity'!F73</x:f>
        <x:v>0</x:v>
      </x:c>
      <x:c r="G26" s="107" t="n">
        <x:f>'New Capacity'!G73</x:f>
        <x:v>0</x:v>
      </x:c>
      <x:c r="H26" s="107" t="n">
        <x:f>'New Capacity'!H73</x:f>
        <x:v>0</x:v>
      </x:c>
      <x:c r="I26" s="107" t="n">
        <x:f>'New Capacity'!I73</x:f>
        <x:v>0</x:v>
      </x:c>
      <x:c r="J26" s="107" t="n">
        <x:f>'New Capacity'!J73</x:f>
        <x:v>0</x:v>
      </x:c>
      <x:c r="K26" s="107" t="n">
        <x:f>'New Capacity'!K73</x:f>
        <x:v>0</x:v>
      </x:c>
      <x:c r="L26" s="107" t="n">
        <x:f>'New Capacity'!L73</x:f>
        <x:v>0</x:v>
      </x:c>
      <x:c r="M26" s="107" t="n">
        <x:f>'New Capacity'!M73</x:f>
        <x:v>149.33640330000006</x:v>
      </x:c>
      <x:c r="N26" s="107" t="n">
        <x:f>'New Capacity'!N73</x:f>
        <x:v>766.9722886875003</x:v>
      </x:c>
      <x:c r="O26" s="107" t="n">
        <x:f>'New Capacity'!O73</x:f>
        <x:v>1387.198853739563</x:v>
      </x:c>
      <x:c r="P26" s="107" t="n">
        <x:f>'New Capacity'!P73</x:f>
        <x:v>1698.7138325474627</x:v>
      </x:c>
      <x:c r="Q26" s="107" t="n">
        <x:f>'New Capacity'!Q73</x:f>
        <x:v>1929.777271183756</x:v>
      </x:c>
      <x:c r="R26" s="107" t="n">
        <x:f>'New Capacity'!R73</x:f>
        <x:v>2070.518390540776</x:v>
      </x:c>
    </x:row>
    <x:row r="27">
      <x:c r="A27" t="str">
        <x:v>Thane</x:v>
      </x:c>
      <x:c r="B27" t="str">
        <x:v>INR mn</x:v>
      </x:c>
      <x:c r="C27" s="107" t="n">
        <x:f>'New Capacity'!C80</x:f>
        <x:v>0</x:v>
      </x:c>
      <x:c r="D27" s="107" t="n">
        <x:f>'New Capacity'!D80</x:f>
        <x:v>0</x:v>
      </x:c>
      <x:c r="E27" s="107" t="n">
        <x:f>'New Capacity'!E80</x:f>
        <x:v>0</x:v>
      </x:c>
      <x:c r="F27" s="107" t="n">
        <x:f>'New Capacity'!F80</x:f>
        <x:v>0</x:v>
      </x:c>
      <x:c r="G27" s="107" t="n">
        <x:f>'New Capacity'!G80</x:f>
        <x:v>0</x:v>
      </x:c>
      <x:c r="H27" s="107" t="n">
        <x:f>'New Capacity'!H80</x:f>
        <x:v>0</x:v>
      </x:c>
      <x:c r="I27" s="107" t="n">
        <x:f>'New Capacity'!I80</x:f>
        <x:v>0</x:v>
      </x:c>
      <x:c r="J27" s="107" t="n">
        <x:f>'New Capacity'!J80</x:f>
        <x:v>0</x:v>
      </x:c>
      <x:c r="K27" s="107" t="n">
        <x:f>'New Capacity'!K80</x:f>
        <x:v>0</x:v>
      </x:c>
      <x:c r="L27" s="107" t="n">
        <x:f>'New Capacity'!L80</x:f>
        <x:v>0</x:v>
      </x:c>
      <x:c r="M27" s="107" t="n">
        <x:f>'New Capacity'!M80</x:f>
        <x:v>186.67050412500006</x:v>
      </x:c>
      <x:c r="N27" s="107" t="n">
        <x:f>'New Capacity'!N80</x:f>
        <x:v>958.7153608593754</x:v>
      </x:c>
      <x:c r="O27" s="107" t="n">
        <x:f>'New Capacity'!O80</x:f>
        <x:v>1747.1018309062506</x:v>
      </x:c>
      <x:c r="P27" s="107" t="n">
        <x:f>'New Capacity'!P80</x:f>
        <x:v>2139.4380762562505</x:v>
      </x:c>
      <x:c r="Q27" s="107" t="n">
        <x:f>'New Capacity'!Q80</x:f>
        <x:v>2430.449963707501</x:v>
      </x:c>
      <x:c r="R27" s="107" t="n">
        <x:f>'New Capacity'!R80</x:f>
        <x:v>2607.7057815375015</x:v>
      </x:c>
    </x:row>
    <x:row r="28">
      <x:c r="A28" t="str">
        <x:v>Dehradun</x:v>
      </x:c>
      <x:c r="B28" t="str">
        <x:v>INR mn</x:v>
      </x:c>
      <x:c r="C28" s="107" t="n">
        <x:f>'New Capacity'!C87</x:f>
        <x:v>0</x:v>
      </x:c>
      <x:c r="D28" s="107" t="n">
        <x:f>'New Capacity'!D87</x:f>
        <x:v>0</x:v>
      </x:c>
      <x:c r="E28" s="107" t="n">
        <x:f>'New Capacity'!E87</x:f>
        <x:v>0</x:v>
      </x:c>
      <x:c r="F28" s="107" t="n">
        <x:f>'New Capacity'!F87</x:f>
        <x:v>0</x:v>
      </x:c>
      <x:c r="G28" s="107" t="n">
        <x:f>'New Capacity'!G87</x:f>
        <x:v>0</x:v>
      </x:c>
      <x:c r="H28" s="107" t="n">
        <x:f>'New Capacity'!H87</x:f>
        <x:v>0</x:v>
      </x:c>
      <x:c r="I28" s="107" t="n">
        <x:f>'New Capacity'!I87</x:f>
        <x:v>0</x:v>
      </x:c>
      <x:c r="J28" s="107" t="n">
        <x:f>'New Capacity'!J87</x:f>
        <x:v>0</x:v>
      </x:c>
      <x:c r="K28" s="107" t="n">
        <x:f>'New Capacity'!K87</x:f>
        <x:v>0</x:v>
      </x:c>
      <x:c r="L28" s="107" t="n">
        <x:f>'New Capacity'!L87</x:f>
        <x:v>0</x:v>
      </x:c>
      <x:c r="M28" s="107" t="n">
        <x:f>'New Capacity'!M87</x:f>
        <x:v>0</x:v>
      </x:c>
      <x:c r="N28" s="107" t="n">
        <x:f>'New Capacity'!N87</x:f>
        <x:v>112.10375383593755</x:v>
      </x:c>
      <x:c r="O28" s="107" t="n">
        <x:f>'New Capacity'!O87</x:f>
        <x:v>381.34272062250005</x:v>
      </x:c>
      <x:c r="P28" s="107" t="n">
        <x:f>'New Capacity'!P87</x:f>
        <x:v>496.69540146135</x:v>
      </x:c>
      <x:c r="Q28" s="107" t="n">
        <x:f>'New Capacity'!Q87</x:f>
        <x:v>577.5585397627502</x:v>
      </x:c>
      <x:c r="R28" s="107" t="n">
        <x:f>'New Capacity'!R87</x:f>
        <x:v>612.086495944219</x:v>
      </x:c>
    </x:row>
    <x:row r="29">
      <x:c r="A29" t="str">
        <x:v>Vikrant / Saket</x:v>
      </x:c>
      <x:c r="B29" t="str">
        <x:v>INR mn</x:v>
      </x:c>
      <x:c r="C29" s="107" t="n">
        <x:f>'New Capacity'!C94</x:f>
        <x:v>0</x:v>
      </x:c>
      <x:c r="D29" s="107" t="n">
        <x:f>'New Capacity'!D94</x:f>
        <x:v>0</x:v>
      </x:c>
      <x:c r="E29" s="107" t="n">
        <x:f>'New Capacity'!E94</x:f>
        <x:v>0</x:v>
      </x:c>
      <x:c r="F29" s="107" t="n">
        <x:f>'New Capacity'!F94</x:f>
        <x:v>0</x:v>
      </x:c>
      <x:c r="G29" s="107" t="n">
        <x:f>'New Capacity'!G94</x:f>
        <x:v>0</x:v>
      </x:c>
      <x:c r="H29" s="107" t="n">
        <x:f>'New Capacity'!H94</x:f>
        <x:v>0</x:v>
      </x:c>
      <x:c r="I29" s="107" t="n">
        <x:f>'New Capacity'!I94</x:f>
        <x:v>0</x:v>
      </x:c>
      <x:c r="J29" s="107" t="n">
        <x:f>'New Capacity'!J94</x:f>
        <x:v>0</x:v>
      </x:c>
      <x:c r="K29" s="107" t="n">
        <x:f>'New Capacity'!K94</x:f>
        <x:v>0</x:v>
      </x:c>
      <x:c r="L29" s="107" t="n">
        <x:f>'New Capacity'!L94</x:f>
        <x:v>0</x:v>
      </x:c>
      <x:c r="M29" s="107" t="n">
        <x:f>'New Capacity'!M94</x:f>
        <x:v>0</x:v>
      </x:c>
      <x:c r="N29" s="107" t="n">
        <x:f>'New Capacity'!N94</x:f>
        <x:v>0</x:v>
      </x:c>
      <x:c r="O29" s="107" t="n">
        <x:f>'New Capacity'!O94</x:f>
        <x:v>0</x:v>
      </x:c>
      <x:c r="P29" s="107" t="n">
        <x:f>'New Capacity'!P94</x:f>
        <x:v>324.15728428125004</x:v>
      </x:c>
      <x:c r="Q29" s="107" t="n">
        <x:f>'New Capacity'!Q94</x:f>
        <x:v>1393.8064308000005</x:v>
      </x:c>
      <x:c r="R29" s="107" t="n">
        <x:f>'New Capacity'!R94</x:f>
        <x:v>2577.8790814218764</x:v>
      </x:c>
    </x:row>
    <x:row r="30">
      <x:c r="A30" t="str">
        <x:v>Other / unmodelled capacity</x:v>
      </x:c>
      <x:c r="B30" t="str">
        <x:v>INR mn</x:v>
      </x:c>
      <x:c r="C30" s="107" t="n">
        <x:f>'New Capacity'!C101</x:f>
        <x:v>0</x:v>
      </x:c>
      <x:c r="D30" s="107" t="n">
        <x:f>'New Capacity'!D101</x:f>
        <x:v>0</x:v>
      </x:c>
      <x:c r="E30" s="107" t="n">
        <x:f>'New Capacity'!E101</x:f>
        <x:v>0</x:v>
      </x:c>
      <x:c r="F30" s="107" t="n">
        <x:f>'New Capacity'!F101</x:f>
        <x:v>0</x:v>
      </x:c>
      <x:c r="G30" s="107" t="n">
        <x:f>'New Capacity'!G101</x:f>
        <x:v>0</x:v>
      </x:c>
      <x:c r="H30" s="107" t="n">
        <x:f>'New Capacity'!H101</x:f>
        <x:v>0</x:v>
      </x:c>
      <x:c r="I30" s="107" t="n">
        <x:f>'New Capacity'!I101</x:f>
        <x:v>0</x:v>
      </x:c>
      <x:c r="J30" s="107" t="n">
        <x:f>'New Capacity'!J101</x:f>
        <x:v>0</x:v>
      </x:c>
      <x:c r="K30" s="107" t="n">
        <x:f>'New Capacity'!K101</x:f>
        <x:v>0</x:v>
      </x:c>
      <x:c r="L30" s="107" t="n">
        <x:f>'New Capacity'!L101</x:f>
        <x:v>0</x:v>
      </x:c>
      <x:c r="M30" s="107" t="n">
        <x:f>'New Capacity'!M101</x:f>
        <x:v>0</x:v>
      </x:c>
      <x:c r="N30" s="107" t="n">
        <x:f>'New Capacity'!N101</x:f>
        <x:v>0</x:v>
      </x:c>
      <x:c r="O30" s="107" t="n">
        <x:f>'New Capacity'!O101</x:f>
        <x:v>0</x:v>
      </x:c>
      <x:c r="P30" s="107" t="n">
        <x:f>'New Capacity'!P101</x:f>
        <x:v>0</x:v>
      </x:c>
      <x:c r="Q30" s="107" t="n">
        <x:f>'New Capacity'!Q101</x:f>
        <x:v>0</x:v>
      </x:c>
      <x:c r="R30" s="107" t="n">
        <x:f>'New Capacity'!R101</x:f>
        <x:v>0</x:v>
      </x:c>
    </x:row>
    <x:row r="31">
      <x:c r="A31" s="111" t="str">
        <x:v>Total new capacity revenue</x:v>
      </x:c>
      <x:c r="B31" s="111" t="str">
        <x:v>INR mn</x:v>
      </x:c>
      <x:c r="C31" s="111" t="n">
        <x:f>SUM(C17:C30)</x:f>
        <x:v>1097.8121700000002</x:v>
      </x:c>
      <x:c r="D31" s="111" t="n">
        <x:f>SUM(D17:D30)</x:f>
        <x:v>3057.3995151000004</x:v>
      </x:c>
      <x:c r="E31" s="111" t="n">
        <x:f>SUM(E17:E30)</x:f>
        <x:v>3903.2901180000013</x:v>
      </x:c>
      <x:c r="F31" s="111" t="n">
        <x:f>SUM(F17:F30)</x:f>
        <x:v>4818.2927483250005</x:v>
      </x:c>
      <x:c r="G31" s="111" t="n">
        <x:f>SUM(G17:G30)</x:f>
        <x:v>6059.683381342501</x:v>
      </x:c>
      <x:c r="H31" s="111" t="n">
        <x:f>SUM(H17:H30)</x:f>
        <x:v>6593.340541000501</x:v>
      </x:c>
      <x:c r="I31" s="111" t="n">
        <x:f>SUM(I17:I30)</x:f>
        <x:v>7236.502343847002</x:v>
      </x:c>
      <x:c r="J31" s="111" t="n">
        <x:f>SUM(J17:J30)</x:f>
        <x:v>8232.766818003001</x:v>
      </x:c>
      <x:c r="K31" s="111" t="n">
        <x:f>SUM(K17:K30)</x:f>
        <x:v>9347.92535046825</x:v>
      </x:c>
      <x:c r="L31" s="111" t="n">
        <x:f>SUM(L17:L30)</x:f>
        <x:v>10361.92736553345</x:v>
      </x:c>
      <x:c r="M31" s="111" t="n">
        <x:f>SUM(M17:M30)</x:f>
        <x:v>12174.115156920681</x:v>
      </x:c>
      <x:c r="N31" s="111" t="n">
        <x:f>SUM(N17:N30)</x:f>
        <x:v>13978.232283507195</x:v>
      </x:c>
      <x:c r="O31" s="111" t="n">
        <x:f>SUM(O17:O30)</x:f>
        <x:v>16756.384638914948</x:v>
      </x:c>
      <x:c r="P31" s="111" t="n">
        <x:f>SUM(P17:P30)</x:f>
        <x:v>18114.077607424082</x:v>
      </x:c>
      <x:c r="Q31" s="111" t="n">
        <x:f>SUM(Q17:Q30)</x:f>
        <x:v>20014.977589031183</x:v>
      </x:c>
      <x:c r="R31" s="111" t="n">
        <x:f>SUM(R17:R30)</x:f>
        <x:v>21355.35057548531</x:v>
      </x:c>
    </x:row>
    <x:row r="33">
      <x:c r="A33" s="78" t="str">
        <x:v>C. Network revenue consolidation</x:v>
      </x:c>
      <x:c r="B33" s="78"/>
      <x:c r="C33" s="78"/>
      <x:c r="D33" s="78"/>
      <x:c r="E33" s="78"/>
      <x:c r="F33" s="78"/>
      <x:c r="G33" s="78"/>
      <x:c r="H33" s="78"/>
      <x:c r="I33" s="78"/>
      <x:c r="J33" s="78"/>
      <x:c r="K33" s="78"/>
      <x:c r="L33" s="78"/>
      <x:c r="M33" s="78"/>
      <x:c r="N33" s="78"/>
      <x:c r="O33" s="78"/>
      <x:c r="P33" s="78"/>
      <x:c r="Q33" s="78"/>
      <x:c r="R33" s="78"/>
    </x:row>
    <x:row r="34">
      <x:c r="A34" t="str">
        <x:v>Hospital / SBU gross revenue ex Max Lab</x:v>
      </x:c>
      <x:c r="B34" t="str">
        <x:v>INR mn</x:v>
      </x:c>
      <x:c r="C34" s="115" t="n">
        <x:f>C13+C31</x:f>
        <x:v>29226.249234000003</x:v>
      </x:c>
      <x:c r="D34" s="115" t="n">
        <x:f>D13+D31</x:f>
        <x:v>31239.731583900008</x:v>
      </x:c>
      <x:c r="E34" s="115" t="n">
        <x:f>E13+E31</x:f>
        <x:v>32304.37250040001</x:v>
      </x:c>
      <x:c r="F34" s="115" t="n">
        <x:f>F13+F31</x:f>
        <x:v>32601.960296325007</x:v>
      </x:c>
      <x:c r="G34" s="115" t="n">
        <x:f>G13+G31</x:f>
        <x:v>35983.158863242505</x:v>
      </x:c>
      <x:c r="H34" s="115" t="n">
        <x:f>H13+H31</x:f>
        <x:v>36574.15037998051</x:v>
      </x:c>
      <x:c r="I34" s="115" t="n">
        <x:f>I13+I31</x:f>
        <x:v>37450.02222038701</x:v>
      </x:c>
      <x:c r="J34" s="115" t="n">
        <x:f>J13+J31</x:f>
        <x:v>38117.87886979801</x:v>
      </x:c>
      <x:c r="K34" s="115" t="n">
        <x:f>K13+K31</x:f>
        <x:v>40971.59830293075</x:v>
      </x:c>
      <x:c r="L34" s="115" t="n">
        <x:f>L13+L31</x:f>
        <x:v>42046.19230900095</x:v>
      </x:c>
      <x:c r="M34" s="115" t="n">
        <x:f>M13+M31</x:f>
        <x:v>44104.312299173194</x:v>
      </x:c>
      <x:c r="N34" s="115" t="n">
        <x:f>N13+N31</x:f>
        <x:v>45214.294705275955</x:v>
      </x:c>
      <x:c r="O34" s="115" t="n">
        <x:f>O13+O31</x:f>
        <x:v>50175.46612029145</x:v>
      </x:c>
      <x:c r="P34" s="115" t="n">
        <x:f>P13+P31</x:f>
        <x:v>51597.19114123039</x:v>
      </x:c>
      <x:c r="Q34" s="115" t="n">
        <x:f>Q13+Q31</x:f>
        <x:v>53757.9859238761</x:v>
      </x:c>
      <x:c r="R34" s="115" t="n">
        <x:f>R13+R31</x:f>
        <x:v>54364.81525087707</x:v>
      </x:c>
    </x:row>
    <x:row r="35">
      <x:c r="A35" t="str">
        <x:v>Max@Home revenue — memo only; already included above</x:v>
      </x:c>
      <x:c r="B35" t="str">
        <x:v>INR mn</x:v>
      </x:c>
      <x:c r="C35" s="107" t="n">
        <x:f>'Historical KPIs'!G13*(1+C$36)</x:f>
        <x:v>720</x:v>
      </x:c>
      <x:c r="D35" s="107" t="n">
        <x:f>'Historical KPIs'!H13*(1+D$36)</x:f>
        <x:v>756</x:v>
      </x:c>
      <x:c r="E35" s="107" t="n">
        <x:f>'Historical KPIs'!I13*(1+E$36)</x:f>
        <x:v>816</x:v>
      </x:c>
      <x:c r="F35" s="107" t="n">
        <x:f>'Historical KPIs'!J13*(1+F$36)</x:f>
        <x:v>876</x:v>
      </x:c>
      <x:c r="G35" s="107" t="n">
        <x:f>C$35*(1+G$36)</x:f>
        <x:v>849.5999999999999</x:v>
      </x:c>
      <x:c r="H35" s="107" t="n">
        <x:f>D$35*(1+H$36)</x:f>
        <x:v>892.0799999999999</x:v>
      </x:c>
      <x:c r="I35" s="107" t="n">
        <x:f>E$35*(1+I$36)</x:f>
        <x:v>962.88</x:v>
      </x:c>
      <x:c r="J35" s="107" t="n">
        <x:f>F$35*(1+J$36)</x:f>
        <x:v>1033.6799999999998</x:v>
      </x:c>
      <x:c r="K35" s="107" t="n">
        <x:f>G$35*(1+K$36)</x:f>
        <x:v>985.5359999999998</x:v>
      </x:c>
      <x:c r="L35" s="107" t="n">
        <x:f>H$35*(1+L$36)</x:f>
        <x:v>1034.8128</x:v>
      </x:c>
      <x:c r="M35" s="107" t="n">
        <x:f>I$35*(1+M$36)</x:f>
        <x:v>1116.9407999999999</x:v>
      </x:c>
      <x:c r="N35" s="107" t="n">
        <x:f>J$35*(1+N$36)</x:f>
        <x:v>1199.0687999999998</x:v>
      </x:c>
      <x:c r="O35" s="107" t="n">
        <x:f>K$35*(1+O$36)</x:f>
        <x:v>1133.3663999999997</x:v>
      </x:c>
      <x:c r="P35" s="107" t="n">
        <x:f>L$35*(1+P$36)</x:f>
        <x:v>1190.0347199999999</x:v>
      </x:c>
      <x:c r="Q35" s="107" t="n">
        <x:f>M$35*(1+Q$36)</x:f>
        <x:v>1284.4819199999997</x:v>
      </x:c>
      <x:c r="R35" s="107" t="n">
        <x:f>N$35*(1+R$36)</x:f>
        <x:v>1378.9291199999996</x:v>
      </x:c>
    </x:row>
    <x:row r="36">
      <x:c r="A36" t="str">
        <x:v>Max@Home growth YoY</x:v>
      </x:c>
      <x:c r="B36" t="str">
        <x:v>%</x:v>
      </x:c>
      <x:c r="C36" s="103" t="n">
        <x:v>0.2</x:v>
      </x:c>
      <x:c r="D36" s="103" t="n">
        <x:v>0.2</x:v>
      </x:c>
      <x:c r="E36" s="103" t="n">
        <x:v>0.2</x:v>
      </x:c>
      <x:c r="F36" s="103" t="n">
        <x:v>0.2</x:v>
      </x:c>
      <x:c r="G36" s="103" t="n">
        <x:v>0.18</x:v>
      </x:c>
      <x:c r="H36" s="103" t="n">
        <x:v>0.18</x:v>
      </x:c>
      <x:c r="I36" s="103" t="n">
        <x:v>0.18</x:v>
      </x:c>
      <x:c r="J36" s="103" t="n">
        <x:v>0.18</x:v>
      </x:c>
      <x:c r="K36" s="103" t="n">
        <x:v>0.16</x:v>
      </x:c>
      <x:c r="L36" s="103" t="n">
        <x:v>0.16</x:v>
      </x:c>
      <x:c r="M36" s="103" t="n">
        <x:v>0.16</x:v>
      </x:c>
      <x:c r="N36" s="103" t="n">
        <x:v>0.16</x:v>
      </x:c>
      <x:c r="O36" s="103" t="n">
        <x:v>0.15</x:v>
      </x:c>
      <x:c r="P36" s="103" t="n">
        <x:v>0.15</x:v>
      </x:c>
      <x:c r="Q36" s="103" t="n">
        <x:v>0.15</x:v>
      </x:c>
      <x:c r="R36" s="103" t="n">
        <x:v>0.15</x:v>
      </x:c>
    </x:row>
    <x:row r="37">
      <x:c r="A37" t="str"/>
      <x:c r="B37" t="str"/>
    </x:row>
    <x:row r="38">
      <x:c r="A38" t="str">
        <x:v>Max Lab revenue</x:v>
      </x:c>
      <x:c r="B38" t="str">
        <x:v>INR mn</x:v>
      </x:c>
      <x:c r="C38" s="107" t="n">
        <x:f>'Historical KPIs'!G12*(1+C$39)</x:f>
        <x:v>556.8</x:v>
      </x:c>
      <x:c r="D38" s="107" t="n">
        <x:f>'Historical KPIs'!H12*(1+D$39)</x:f>
        <x:v>626.4</x:v>
      </x:c>
      <x:c r="E38" s="107" t="n">
        <x:f>'Historical KPIs'!I12*(1+E$39)</x:f>
        <x:v>545.1999999999999</x:v>
      </x:c>
      <x:c r="F38" s="107" t="n">
        <x:f>'Historical KPIs'!J12*(1+F$39)</x:f>
        <x:v>603.1999999999999</x:v>
      </x:c>
      <x:c r="G38" s="107" t="n">
        <x:f>C$38*(1+G$39)</x:f>
        <x:v>640.3199999999999</x:v>
      </x:c>
      <x:c r="H38" s="107" t="n">
        <x:f>D$38*(1+H$39)</x:f>
        <x:v>720.3599999999999</x:v>
      </x:c>
      <x:c r="I38" s="107" t="n">
        <x:f>E$38*(1+I$39)</x:f>
        <x:v>626.9799999999999</x:v>
      </x:c>
      <x:c r="J38" s="107" t="n">
        <x:f>F$38*(1+J$39)</x:f>
        <x:v>693.6799999999998</x:v>
      </x:c>
      <x:c r="K38" s="107" t="n">
        <x:f>G$38*(1+K$39)</x:f>
        <x:v>729.9648</x:v>
      </x:c>
      <x:c r="L38" s="107" t="n">
        <x:f>H$38*(1+L$39)</x:f>
        <x:v>821.2103999999999</x:v>
      </x:c>
      <x:c r="M38" s="107" t="n">
        <x:f>I$38*(1+M$39)</x:f>
        <x:v>714.7572</x:v>
      </x:c>
      <x:c r="N38" s="107" t="n">
        <x:f>J$38*(1+N$39)</x:f>
        <x:v>790.7951999999999</x:v>
      </x:c>
      <x:c r="O38" s="107" t="n">
        <x:f>K$38*(1+O$39)</x:f>
        <x:v>824.8602239999999</x:v>
      </x:c>
      <x:c r="P38" s="107" t="n">
        <x:f>L$38*(1+P$39)</x:f>
        <x:v>927.9677519999998</x:v>
      </x:c>
      <x:c r="Q38" s="107" t="n">
        <x:f>M$38*(1+Q$39)</x:f>
        <x:v>807.6756359999999</x:v>
      </x:c>
      <x:c r="R38" s="107" t="n">
        <x:f>N$38*(1+R$39)</x:f>
        <x:v>893.5985759999999</x:v>
      </x:c>
    </x:row>
    <x:row r="39">
      <x:c r="A39" t="str">
        <x:v>Max Lab growth YoY</x:v>
      </x:c>
      <x:c r="B39" t="str">
        <x:v>%</x:v>
      </x:c>
      <x:c r="C39" s="103" t="n">
        <x:v>0.16</x:v>
      </x:c>
      <x:c r="D39" s="103" t="n">
        <x:v>0.16</x:v>
      </x:c>
      <x:c r="E39" s="103" t="n">
        <x:v>0.16</x:v>
      </x:c>
      <x:c r="F39" s="103" t="n">
        <x:v>0.16</x:v>
      </x:c>
      <x:c r="G39" s="103" t="n">
        <x:v>0.15</x:v>
      </x:c>
      <x:c r="H39" s="103" t="n">
        <x:v>0.15</x:v>
      </x:c>
      <x:c r="I39" s="103" t="n">
        <x:v>0.15</x:v>
      </x:c>
      <x:c r="J39" s="103" t="n">
        <x:v>0.15</x:v>
      </x:c>
      <x:c r="K39" s="103" t="n">
        <x:v>0.14</x:v>
      </x:c>
      <x:c r="L39" s="103" t="n">
        <x:v>0.14</x:v>
      </x:c>
      <x:c r="M39" s="103" t="n">
        <x:v>0.14</x:v>
      </x:c>
      <x:c r="N39" s="103" t="n">
        <x:v>0.14</x:v>
      </x:c>
      <x:c r="O39" s="103" t="n">
        <x:v>0.13</x:v>
      </x:c>
      <x:c r="P39" s="103" t="n">
        <x:v>0.13</x:v>
      </x:c>
      <x:c r="Q39" s="103" t="n">
        <x:v>0.13</x:v>
      </x:c>
      <x:c r="R39" s="103" t="n">
        <x:v>0.13</x:v>
      </x:c>
    </x:row>
    <x:row r="40">
      <x:c r="A40" t="str"/>
      <x:c r="B40" t="str"/>
    </x:row>
    <x:row r="41">
      <x:c r="A41" t="str">
        <x:v>Other / reconciliation</x:v>
      </x:c>
      <x:c r="B41" t="str">
        <x:v>INR mn</x:v>
      </x:c>
      <x:c r="C41" s="101" t="n">
        <x:v>0</x:v>
      </x:c>
      <x:c r="D41" s="101" t="n">
        <x:v>0</x:v>
      </x:c>
      <x:c r="E41" s="101" t="n">
        <x:v>0</x:v>
      </x:c>
      <x:c r="F41" s="101" t="n">
        <x:v>0</x:v>
      </x:c>
      <x:c r="G41" s="101" t="n">
        <x:v>0</x:v>
      </x:c>
      <x:c r="H41" s="101" t="n">
        <x:v>0</x:v>
      </x:c>
      <x:c r="I41" s="101" t="n">
        <x:v>0</x:v>
      </x:c>
      <x:c r="J41" s="101" t="n">
        <x:v>0</x:v>
      </x:c>
      <x:c r="K41" s="101" t="n">
        <x:v>0</x:v>
      </x:c>
      <x:c r="L41" s="101" t="n">
        <x:v>0</x:v>
      </x:c>
      <x:c r="M41" s="101" t="n">
        <x:v>0</x:v>
      </x:c>
      <x:c r="N41" s="101" t="n">
        <x:v>0</x:v>
      </x:c>
      <x:c r="O41" s="101" t="n">
        <x:v>0</x:v>
      </x:c>
      <x:c r="P41" s="101" t="n">
        <x:v>0</x:v>
      </x:c>
      <x:c r="Q41" s="101" t="n">
        <x:v>0</x:v>
      </x:c>
      <x:c r="R41" s="101" t="n">
        <x:v>0</x:v>
      </x:c>
    </x:row>
    <x:row r="42">
      <x:c r="A42" s="110" t="str">
        <x:v>NETWORK GROSS REVENUE</x:v>
      </x:c>
      <x:c r="B42" s="110" t="str">
        <x:v>INR mn</x:v>
      </x:c>
      <x:c r="C42" s="111" t="n">
        <x:f>C34+C38+C41</x:f>
        <x:v>29783.049234000002</x:v>
      </x:c>
      <x:c r="D42" s="111" t="n">
        <x:f>D34+D38+D41</x:f>
        <x:v>31866.13158390001</x:v>
      </x:c>
      <x:c r="E42" s="111" t="n">
        <x:f>E34+E38+E41</x:f>
        <x:v>32849.57250040001</x:v>
      </x:c>
      <x:c r="F42" s="111" t="n">
        <x:f>F34+F38+F41</x:f>
        <x:v>33205.160296325004</x:v>
      </x:c>
      <x:c r="G42" s="111" t="n">
        <x:f>G34+G38+G41</x:f>
        <x:v>36623.478863242504</x:v>
      </x:c>
      <x:c r="H42" s="111" t="n">
        <x:f>H34+H38+H41</x:f>
        <x:v>37294.51037998051</x:v>
      </x:c>
      <x:c r="I42" s="111" t="n">
        <x:f>I34+I38+I41</x:f>
        <x:v>38077.00222038701</x:v>
      </x:c>
      <x:c r="J42" s="111" t="n">
        <x:f>J34+J38+J41</x:f>
        <x:v>38811.55886979801</x:v>
      </x:c>
      <x:c r="K42" s="111" t="n">
        <x:f>K34+K38+K41</x:f>
        <x:v>41701.563102930755</x:v>
      </x:c>
      <x:c r="L42" s="111" t="n">
        <x:f>L34+L38+L41</x:f>
        <x:v>42867.40270900095</x:v>
      </x:c>
      <x:c r="M42" s="111" t="n">
        <x:f>M34+M38+M41</x:f>
        <x:v>44819.069499173194</x:v>
      </x:c>
      <x:c r="N42" s="111" t="n">
        <x:f>N34+N38+N41</x:f>
        <x:v>46005.089905275956</x:v>
      </x:c>
      <x:c r="O42" s="111" t="n">
        <x:f>O34+O38+O41</x:f>
        <x:v>51000.32634429145</x:v>
      </x:c>
      <x:c r="P42" s="111" t="n">
        <x:f>P34+P38+P41</x:f>
        <x:v>52525.158893230386</x:v>
      </x:c>
      <x:c r="Q42" s="111" t="n">
        <x:f>Q34+Q38+Q41</x:f>
        <x:v>54565.6615598761</x:v>
      </x:c>
      <x:c r="R42" s="111" t="n">
        <x:f>R34+R38+R41</x:f>
        <x:v>55258.41382687707</x:v>
      </x:c>
    </x:row>
    <x:row r="43">
      <x:c r="A43" t="str">
        <x:v>Revenue growth YoY</x:v>
      </x:c>
      <x:c r="B43" t="str">
        <x:v>%</x:v>
      </x:c>
      <x:c r="C43" s="117" t="n">
        <x:f>C42/'Historical KPIs'!G5-1</x:f>
        <x:v>0.15707261981351994</x:v>
      </x:c>
      <x:c r="D43" s="117" t="n">
        <x:f>D42/'Historical KPIs'!H5-1</x:f>
        <x:v>0.1837344570542352</x:v>
      </x:c>
      <x:c r="E43" s="117" t="n">
        <x:f>E42/'Historical KPIs'!I5-1</x:f>
        <x:v>0.2595694977147245</x:v>
      </x:c>
      <x:c r="F43" s="117" t="n">
        <x:f>F42/'Historical KPIs'!J5-1</x:f>
        <x:v>0.2464399510632509</x:v>
      </x:c>
      <x:c r="G43" s="117" t="n">
        <x:f>G42/C42-1</x:f>
        <x:v>0.2296752617738529</x:v>
      </x:c>
      <x:c r="H43" s="117" t="n">
        <x:f>H42/D42-1</x:f>
        <x:v>0.17034947532894518</x:v>
      </x:c>
      <x:c r="I43" s="117" t="n">
        <x:f>I42/E42-1</x:f>
        <x:v>0.1591323515678429</x:v>
      </x:c>
      <x:c r="J43" s="117" t="n">
        <x:f>J42/F42-1</x:f>
        <x:v>0.1688411838232715</x:v>
      </x:c>
      <x:c r="K43" s="117" t="n">
        <x:f>K42/G42-1</x:f>
        <x:v>0.13865652300947628</x:v>
      </x:c>
      <x:c r="L43" s="117" t="n">
        <x:f>L42/H42-1</x:f>
        <x:v>0.14942929327239374</x:v>
      </x:c>
      <x:c r="M43" s="117" t="n">
        <x:f>M42/I42-1</x:f>
        <x:v>0.1770640251499731</x:v>
      </x:c>
      <x:c r="N43" s="117" t="n">
        <x:f>N42/J42-1</x:f>
        <x:v>0.18534506845268028</x:v>
      </x:c>
      <x:c r="O43" s="117" t="n">
        <x:f>O42/K42-1</x:f>
        <x:v>0.22298356582962664</x:v>
      </x:c>
      <x:c r="P43" s="117" t="n">
        <x:f>P42/L42-1</x:f>
        <x:v>0.22529370976332985</x:v>
      </x:c>
      <x:c r="Q43" s="117" t="n">
        <x:f>Q42/M42-1</x:f>
        <x:v>0.21746529255549807</x:v>
      </x:c>
      <x:c r="R43" s="117" t="n">
        <x:f>R42/N42-1</x:f>
        <x:v>0.2011369598593029</x:v>
      </x:c>
    </x:row>
    <x:row r="44">
      <x:c r="A44" t="str">
        <x:v>Gross-to-net ratio</x:v>
      </x:c>
      <x:c r="B44" t="str">
        <x:v>%</x:v>
      </x:c>
      <x:c r="C44" s="103" t="n">
        <x:v>0.955</x:v>
      </x:c>
      <x:c r="D44" s="103" t="n">
        <x:v>0.955</x:v>
      </x:c>
      <x:c r="E44" s="103" t="n">
        <x:v>0.955</x:v>
      </x:c>
      <x:c r="F44" s="103" t="n">
        <x:v>0.955</x:v>
      </x:c>
      <x:c r="G44" s="103" t="n">
        <x:v>0.955</x:v>
      </x:c>
      <x:c r="H44" s="103" t="n">
        <x:v>0.955</x:v>
      </x:c>
      <x:c r="I44" s="103" t="n">
        <x:v>0.955</x:v>
      </x:c>
      <x:c r="J44" s="103" t="n">
        <x:v>0.955</x:v>
      </x:c>
      <x:c r="K44" s="103" t="n">
        <x:v>0.955</x:v>
      </x:c>
      <x:c r="L44" s="103" t="n">
        <x:v>0.955</x:v>
      </x:c>
      <x:c r="M44" s="103" t="n">
        <x:v>0.955</x:v>
      </x:c>
      <x:c r="N44" s="103" t="n">
        <x:v>0.955</x:v>
      </x:c>
      <x:c r="O44" s="103" t="n">
        <x:v>0.955</x:v>
      </x:c>
      <x:c r="P44" s="103" t="n">
        <x:v>0.955</x:v>
      </x:c>
      <x:c r="Q44" s="103" t="n">
        <x:v>0.955</x:v>
      </x:c>
      <x:c r="R44" s="103" t="n">
        <x:v>0.955</x:v>
      </x:c>
    </x:row>
    <x:row r="45">
      <x:c r="A45" s="121" t="str">
        <x:v>NETWORK NET REVENUE</x:v>
      </x:c>
      <x:c r="B45" s="121" t="str">
        <x:v>INR mn</x:v>
      </x:c>
      <x:c r="C45" s="122" t="n">
        <x:f>C42*C44</x:f>
        <x:v>28442.812018470002</x:v>
      </x:c>
      <x:c r="D45" s="122" t="n">
        <x:f>D42*D44</x:f>
        <x:v>30432.155662624507</x:v>
      </x:c>
      <x:c r="E45" s="122" t="n">
        <x:f>E42*E44</x:f>
        <x:v>31371.341737882012</x:v>
      </x:c>
      <x:c r="F45" s="122" t="n">
        <x:f>F42*F44</x:f>
        <x:v>31710.928082990376</x:v>
      </x:c>
      <x:c r="G45" s="122" t="n">
        <x:f>G42*G44</x:f>
        <x:v>34975.422314396594</x:v>
      </x:c>
      <x:c r="H45" s="122" t="n">
        <x:f>H42*H44</x:f>
        <x:v>35616.25741288139</x:v>
      </x:c>
      <x:c r="I45" s="122" t="n">
        <x:f>I42*I44</x:f>
        <x:v>36363.53712046959</x:v>
      </x:c>
      <x:c r="J45" s="122" t="n">
        <x:f>J42*J44</x:f>
        <x:v>37065.0387206571</x:v>
      </x:c>
      <x:c r="K45" s="122" t="n">
        <x:f>K42*K44</x:f>
        <x:v>39824.99276329887</x:v>
      </x:c>
      <x:c r="L45" s="122" t="n">
        <x:f>L42*L44</x:f>
        <x:v>40938.369587095905</x:v>
      </x:c>
      <x:c r="M45" s="122" t="n">
        <x:f>M42*M44</x:f>
        <x:v>42802.2113717104</x:v>
      </x:c>
      <x:c r="N45" s="122" t="n">
        <x:f>N42*N44</x:f>
        <x:v>43934.86085953854</x:v>
      </x:c>
      <x:c r="O45" s="122" t="n">
        <x:f>O42*O44</x:f>
        <x:v>48705.31165879833</x:v>
      </x:c>
      <x:c r="P45" s="122" t="n">
        <x:f>P42*P44</x:f>
        <x:v>50161.526743035014</x:v>
      </x:c>
      <x:c r="Q45" s="122" t="n">
        <x:f>Q42*Q44</x:f>
        <x:v>52110.20678968167</x:v>
      </x:c>
      <x:c r="R45" s="122" t="n">
        <x:f>R42*R44</x:f>
        <x:v>52771.7852046676</x:v>
      </x:c>
    </x:row>
  </x:sheetData>
  <x:mergeCells>
    <x:mergeCell ref="A1:R1"/>
    <x:mergeCell ref="A2:R2"/>
    <x:mergeCell ref="A7:R7"/>
    <x:mergeCell ref="A16:R16"/>
    <x:mergeCell ref="A33:R3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1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 ht="26" customHeight="1">
      <x:c r="A1" s="4" t="str">
        <x:v>Max Healthcare — Annual Revenue Summary</x:v>
      </x:c>
      <x:c r="B1" s="4"/>
      <x:c r="C1" s="141"/>
      <x:c r="D1" s="141"/>
      <x:c r="E1" s="141"/>
      <x:c r="F1" s="141"/>
      <x:c r="G1" s="141"/>
      <x:c r="H1" s="141"/>
      <x:c r="I1" s="138"/>
      <x:c r="J1" s="138"/>
      <x:c r="K1" s="138"/>
      <x:c r="L1" s="138"/>
      <x:c r="M1" s="138"/>
      <x:c r="N1" s="138"/>
      <x:c r="O1" s="138"/>
      <x:c r="P1" s="138"/>
      <x:c r="Q1" s="138"/>
      <x:c r="R1" s="138"/>
    </x:row>
    <x:row r="3">
      <x:c r="A3" s="75" t="str">
        <x:v>Metric</x:v>
      </x:c>
      <x:c r="B3" s="75" t="str">
        <x:v>Unit</x:v>
      </x:c>
      <x:c r="C3" s="70" t="str">
        <x:v>FY25A</x:v>
      </x:c>
      <x:c r="D3" s="70" t="str">
        <x:v>FY26A</x:v>
      </x:c>
      <x:c r="E3" s="70" t="str">
        <x:v>FY27E</x:v>
      </x:c>
      <x:c r="F3" s="70" t="str">
        <x:v>FY28E</x:v>
      </x:c>
      <x:c r="G3" s="70" t="str">
        <x:v>FY29E</x:v>
      </x:c>
      <x:c r="H3" s="70" t="str">
        <x:v>FY30E</x:v>
      </x:c>
    </x:row>
    <x:row r="4">
      <x:c r="A4" s="93" t="str">
        <x:v>Network gross revenue</x:v>
      </x:c>
      <x:c r="B4" s="93" t="str">
        <x:v>INR mn</x:v>
      </x:c>
      <x:c r="C4" s="129" t="n">
        <x:f>'Historical KPIs'!K5</x:f>
        <x:v>90660</x:v>
      </x:c>
      <x:c r="D4" s="129" t="n">
        <x:f>'Historical KPIs'!L5</x:f>
        <x:v>105380</x:v>
      </x:c>
      <x:c r="E4" s="129" t="n">
        <x:f>SUM('Revenue Model'!C42:F42)</x:f>
        <x:v>127703.91361462502</x:v>
      </x:c>
      <x:c r="F4" s="129" t="n">
        <x:f>SUM('Revenue Model'!G42:J42)</x:f>
        <x:v>150806.55033340806</x:v>
      </x:c>
      <x:c r="G4" s="129" t="n">
        <x:f>SUM('Revenue Model'!K42:N42)</x:f>
        <x:v>175393.12521638087</x:v>
      </x:c>
      <x:c r="H4" s="129" t="n">
        <x:f>SUM('Revenue Model'!O42:R42)</x:f>
        <x:v>213349.560624275</x:v>
      </x:c>
    </x:row>
    <x:row r="5">
      <x:c r="A5" t="str">
        <x:v>Growth YoY</x:v>
      </x:c>
      <x:c r="B5" t="str">
        <x:v>%</x:v>
      </x:c>
      <x:c r="C5" s="127"/>
      <x:c r="D5" s="127" t="n">
        <x:f>D4/C4-1</x:f>
        <x:v>0.16236487977057146</x:v>
      </x:c>
      <x:c r="E5" s="127" t="n">
        <x:f>E4/D4-1</x:f>
        <x:v>0.21184203468044238</x:v>
      </x:c>
      <x:c r="F5" s="127" t="n">
        <x:f>F4/E4-1</x:f>
        <x:v>0.18090782079318557</x:v>
      </x:c>
      <x:c r="G5" s="127" t="n">
        <x:f>G4/F4-1</x:f>
        <x:v>0.1630338657612418</x:v>
      </x:c>
      <x:c r="H5" s="127" t="n">
        <x:f>H4/G4-1</x:f>
        <x:v>0.21640777174742531</x:v>
      </x:c>
    </x:row>
    <x:row r="6">
      <x:c r="A6" s="93" t="str">
        <x:v>Network net revenue</x:v>
      </x:c>
      <x:c r="B6" s="93" t="str">
        <x:v>INR mn</x:v>
      </x:c>
      <x:c r="C6" s="129" t="n">
        <x:f>'Historical KPIs'!K6</x:f>
        <x:v>86670</x:v>
      </x:c>
      <x:c r="D6" s="129" t="n">
        <x:f>'Historical KPIs'!L6</x:f>
        <x:v>100650</x:v>
      </x:c>
      <x:c r="E6" s="129" t="n">
        <x:f>SUM('Revenue Model'!C45:F45)</x:f>
        <x:v>121957.2375019669</x:v>
      </x:c>
      <x:c r="F6" s="129" t="n">
        <x:f>SUM('Revenue Model'!G45:J45)</x:f>
        <x:v>144020.25556840468</x:v>
      </x:c>
      <x:c r="G6" s="129" t="n">
        <x:f>SUM('Revenue Model'!K45:N45)</x:f>
        <x:v>167500.43458164373</x:v>
      </x:c>
      <x:c r="H6" s="129" t="n">
        <x:f>SUM('Revenue Model'!O45:R45)</x:f>
        <x:v>203748.8303961826</x:v>
      </x:c>
    </x:row>
    <x:row r="7">
      <x:c r="A7" t="str">
        <x:v>Hospital / SBU gross revenue ex Max Lab</x:v>
      </x:c>
      <x:c r="B7" t="str">
        <x:v>INR mn</x:v>
      </x:c>
      <x:c r="C7" s="107" t="n">
        <x:f>C4-'Historical KPIs'!K12</x:f>
        <x:v>88910</x:v>
      </x:c>
      <x:c r="D7" s="107" t="n">
        <x:f>D4-'Historical KPIs'!L12</x:f>
        <x:v>103370</x:v>
      </x:c>
      <x:c r="E7" s="107" t="n">
        <x:f>SUM('Revenue Model'!C34:F34)</x:f>
        <x:v>125372.31361462503</x:v>
      </x:c>
      <x:c r="F7" s="107" t="n">
        <x:f>SUM('Revenue Model'!G34:J34)</x:f>
        <x:v>148125.21033340803</x:v>
      </x:c>
      <x:c r="G7" s="107" t="n">
        <x:f>SUM('Revenue Model'!K34:N34)</x:f>
        <x:v>172336.39761638085</x:v>
      </x:c>
      <x:c r="H7" s="107" t="n">
        <x:f>SUM('Revenue Model'!O34:R34)</x:f>
        <x:v>209895.45843627502</x:v>
      </x:c>
    </x:row>
    <x:row r="8">
      <x:c r="A8" t="str">
        <x:v>Max Lab revenue</x:v>
      </x:c>
      <x:c r="B8" t="str">
        <x:v>INR mn</x:v>
      </x:c>
      <x:c r="C8" s="107" t="n">
        <x:f>'Historical KPIs'!K12</x:f>
        <x:v>1750</x:v>
      </x:c>
      <x:c r="D8" s="107" t="n">
        <x:f>'Historical KPIs'!L12</x:f>
        <x:v>2010</x:v>
      </x:c>
      <x:c r="E8" s="107" t="n">
        <x:f>SUM('Revenue Model'!C38:F38)</x:f>
        <x:v>2331.5999999999995</x:v>
      </x:c>
      <x:c r="F8" s="107" t="n">
        <x:f>SUM('Revenue Model'!G38:J38)</x:f>
        <x:v>2681.3399999999997</x:v>
      </x:c>
      <x:c r="G8" s="107" t="n">
        <x:f>SUM('Revenue Model'!K38:N38)</x:f>
        <x:v>3056.7275999999997</x:v>
      </x:c>
      <x:c r="H8" s="107" t="n">
        <x:f>SUM('Revenue Model'!O38:R38)</x:f>
        <x:v>3454.1021879999994</x:v>
      </x:c>
    </x:row>
    <x:row r="9">
      <x:c r="A9" t="str">
        <x:v>Max@Home revenue — memo</x:v>
      </x:c>
      <x:c r="B9" t="str">
        <x:v>INR mn</x:v>
      </x:c>
      <x:c r="C9" s="107" t="n">
        <x:f>'Historical KPIs'!K13</x:f>
        <x:v>2130</x:v>
      </x:c>
      <x:c r="D9" s="107" t="n">
        <x:f>'Historical KPIs'!L13</x:f>
        <x:v>2640</x:v>
      </x:c>
      <x:c r="E9" s="107" t="n">
        <x:f>SUM('Revenue Model'!C35:F35)</x:f>
        <x:v>3168</x:v>
      </x:c>
      <x:c r="F9" s="107" t="n">
        <x:f>SUM('Revenue Model'!G35:J35)</x:f>
        <x:v>3738.24</x:v>
      </x:c>
      <x:c r="G9" s="107" t="n">
        <x:f>SUM('Revenue Model'!K35:N35)</x:f>
        <x:v>4336.358399999999</x:v>
      </x:c>
      <x:c r="H9" s="107" t="n">
        <x:f>SUM('Revenue Model'!O35:R35)</x:f>
        <x:v>4986.812159999999</x:v>
      </x:c>
    </x:row>
    <x:row r="10">
      <x:c r="A10" t="str">
        <x:v>Average occupancy — mature base</x:v>
      </x:c>
      <x:c r="B10" t="str">
        <x:v>%</x:v>
      </x:c>
      <x:c r="C10" s="127" t="n">
        <x:f>'Historical KPIs'!K8</x:f>
        <x:v>0.76</x:v>
      </x:c>
      <x:c r="D10" s="127" t="n">
        <x:f>'Historical KPIs'!L8</x:f>
        <x:v>0.755</x:v>
      </x:c>
      <x:c r="E10" s="127" t="n">
        <x:f>AVERAGE('Revenue Model'!C9:F9)</x:f>
        <x:v>0.76</x:v>
      </x:c>
      <x:c r="F10" s="127" t="n">
        <x:f>AVERAGE('Revenue Model'!G9:J9)</x:f>
        <x:v>0.77</x:v>
      </x:c>
      <x:c r="G10" s="127" t="n">
        <x:f>AVERAGE('Revenue Model'!K9:N9)</x:f>
        <x:v>0.775</x:v>
      </x:c>
      <x:c r="H10" s="127" t="n">
        <x:f>AVERAGE('Revenue Model'!O9:R9)</x:f>
        <x:v>0.78</x:v>
      </x:c>
    </x:row>
    <x:row r="11">
      <x:c r="A11" t="str">
        <x:v>Average ARPOB — mature base</x:v>
      </x:c>
      <x:c r="B11" t="str">
        <x:v>₹ '000</x:v>
      </x:c>
      <x:c r="C11" s="105" t="n">
        <x:f>'Historical KPIs'!K10</x:f>
        <x:v>76.575</x:v>
      </x:c>
      <x:c r="D11" s="105" t="n">
        <x:f>'Historical KPIs'!L10</x:f>
        <x:v>77.775</x:v>
      </x:c>
      <x:c r="E11" s="105" t="n">
        <x:f>AVERAGE('Revenue Model'!C10:F10)</x:f>
        <x:v>81.66375000000001</x:v>
      </x:c>
      <x:c r="F11" s="105" t="n">
        <x:f>AVERAGE('Revenue Model'!G10:J10)</x:f>
        <x:v>85.74693750000003</x:v>
      </x:c>
      <x:c r="G11" s="105" t="n">
        <x:f>AVERAGE('Revenue Model'!K10:N10)</x:f>
        <x:v>90.03428437500003</x:v>
      </x:c>
      <x:c r="H11" s="105" t="n">
        <x:f>AVERAGE('Revenue Model'!O10:R10)</x:f>
        <x:v>94.53599859375002</x:v>
      </x:c>
    </x:row>
    <x:row r="12">
      <x:c r="A12" t="str">
        <x:v>Operational beds — year end</x:v>
      </x:c>
      <x:c r="B12" t="str">
        <x:v>beds</x:v>
      </x:c>
      <x:c r="C12" s="107" t="n">
        <x:f>'Historical KPIs'!F11</x:f>
        <x:v>4654</x:v>
      </x:c>
      <x:c r="D12" s="107" t="n">
        <x:f>'Historical KPIs'!J11</x:f>
        <x:v>4966</x:v>
      </x:c>
      <x:c r="E12" s="107" t="n">
        <x:f>'Revenue Model'!F8+'New Capacity'!F6+'New Capacity'!F13+'New Capacity'!F20+'New Capacity'!F27+'New Capacity'!F34+'New Capacity'!F41+'New Capacity'!F48+'New Capacity'!F55+'New Capacity'!F62+'New Capacity'!F69+'New Capacity'!F76+'New Capacity'!F83+'New Capacity'!F90+'New Capacity'!F97</x:f>
        <x:v>6299</x:v>
      </x:c>
      <x:c r="F12" s="107" t="n">
        <x:f>'Revenue Model'!J8+'New Capacity'!J6+'New Capacity'!J13+'New Capacity'!J20+'New Capacity'!J27+'New Capacity'!J34+'New Capacity'!J41+'New Capacity'!J48+'New Capacity'!J55+'New Capacity'!J62+'New Capacity'!J69+'New Capacity'!J76+'New Capacity'!J83+'New Capacity'!J90+'New Capacity'!J97</x:f>
        <x:v>6825</x:v>
      </x:c>
      <x:c r="G12" s="107" t="n">
        <x:f>'Revenue Model'!N8+'New Capacity'!N6+'New Capacity'!N13+'New Capacity'!N20+'New Capacity'!N27+'New Capacity'!N34+'New Capacity'!N41+'New Capacity'!N48+'New Capacity'!N55+'New Capacity'!N62+'New Capacity'!N69+'New Capacity'!N76+'New Capacity'!N83+'New Capacity'!N90+'New Capacity'!N97</x:f>
        <x:v>8125</x:v>
      </x:c>
      <x:c r="H12" s="107" t="n">
        <x:f>'Revenue Model'!R8+'New Capacity'!R6+'New Capacity'!R13+'New Capacity'!R20+'New Capacity'!R27+'New Capacity'!R34+'New Capacity'!R41+'New Capacity'!R48+'New Capacity'!R55+'New Capacity'!R62+'New Capacity'!R69+'New Capacity'!R76+'New Capacity'!R83+'New Capacity'!R90+'New Capacity'!R97</x:f>
        <x:v>8962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1ab9288c059d46eb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2" hidden="0" customWidth="1"/>
    <x:col min="3" max="3" width="24" hidden="0" customWidth="1"/>
    <x:col min="4" max="4" width="34" hidden="0" customWidth="1"/>
    <x:col min="5" max="5" width="28" hidden="0" customWidth="1"/>
    <x:col min="6" max="6" width="34" hidden="0" customWidth="1"/>
  </x:cols>
  <x:sheetData>
    <x:row r="1" ht="26" customHeight="1">
      <x:c r="A1" s="3" t="str">
        <x:v>Max Healthcare Revenue Model — Sources, Definitions and Use</x:v>
      </x:c>
      <x:c r="B1" s="3"/>
      <x:c r="C1" s="3"/>
      <x:c r="D1" s="3"/>
      <x:c r="E1" s="3"/>
      <x:c r="F1" s="3"/>
    </x:row>
    <x:row r="3">
      <x:c r="A3" s="131" t="str">
        <x:v>Topic</x:v>
      </x:c>
      <x:c r="B3" s="131" t="str">
        <x:v>Source document</x:v>
      </x:c>
      <x:c r="C3" s="131" t="str">
        <x:v>Page / slide</x:v>
      </x:c>
      <x:c r="D3" s="131" t="str">
        <x:v>Key input</x:v>
      </x:c>
      <x:c r="E3" s="131" t="str">
        <x:v>Model treatment</x:v>
      </x:c>
      <x:c r="F3" s="131" t="str">
        <x:v>Investor relations URL</x:v>
      </x:c>
    </x:row>
    <x:row r="4">
      <x:c r="A4" s="133" t="str">
        <x:v>Q1 FY25 actuals</x:v>
      </x:c>
      <x:c r="B4" s="133" t="str">
        <x:v>FY25 Q1 PPT</x:v>
      </x:c>
      <x:c r="C4" s="133" t="str">
        <x:v>Press release pp.2–4</x:v>
      </x:c>
      <x:c r="D4" s="133" t="str">
        <x:v>Gross/net revenue, occupancy, ARPOB, Lab, Home</x:v>
      </x:c>
      <x:c r="E4" s="133" t="str">
        <x:v>Historical KPIs</x:v>
      </x:c>
      <x:c r="F4" s="133" t="str">
        <x:v>https://www.maxhealthcare.in/financials</x:v>
      </x:c>
    </x:row>
    <x:row r="5">
      <x:c r="A5" s="133" t="str">
        <x:v>Q2 FY25 actuals</x:v>
      </x:c>
      <x:c r="B5" s="133" t="str">
        <x:v>FY25 Q2 PPT</x:v>
      </x:c>
      <x:c r="C5" s="133" t="str">
        <x:v>Press release pp.2–4</x:v>
      </x:c>
      <x:c r="D5" s="133" t="str">
        <x:v>Gross/net revenue, occupancy, ARPOB, Lab, Home</x:v>
      </x:c>
      <x:c r="E5" s="133" t="str">
        <x:v>Historical KPIs</x:v>
      </x:c>
      <x:c r="F5" s="133" t="str">
        <x:v>https://www.maxhealthcare.in/financials</x:v>
      </x:c>
    </x:row>
    <x:row r="6">
      <x:c r="A6" s="133" t="str">
        <x:v>Q3 FY25 actuals</x:v>
      </x:c>
      <x:c r="B6" s="133" t="str">
        <x:v>FY25 Q3 PPT</x:v>
      </x:c>
      <x:c r="C6" s="133" t="str">
        <x:v>Press release / executive summary</x:v>
      </x:c>
      <x:c r="D6" s="133" t="str">
        <x:v>Gross/net revenue, occupancy, ARPOB, Lab, Home</x:v>
      </x:c>
      <x:c r="E6" s="133" t="str">
        <x:v>Historical KPIs</x:v>
      </x:c>
      <x:c r="F6" s="133" t="str">
        <x:v>https://www.maxhealthcare.in/financials</x:v>
      </x:c>
    </x:row>
    <x:row r="7">
      <x:c r="A7" s="133" t="str">
        <x:v>Q4 FY25 actuals</x:v>
      </x:c>
      <x:c r="B7" s="133" t="str">
        <x:v>FY25 Q4 PPT / call</x:v>
      </x:c>
      <x:c r="C7" s="133" t="str">
        <x:v>Financial highlights / call opening</x:v>
      </x:c>
      <x:c r="D7" s="133" t="str">
        <x:v>Gross/net revenue, occupancy, ARPOB, Lab, Home</x:v>
      </x:c>
      <x:c r="E7" s="133" t="str">
        <x:v>Historical KPIs</x:v>
      </x:c>
      <x:c r="F7" s="133" t="str">
        <x:v>https://www.maxhealthcare.in/financials</x:v>
      </x:c>
    </x:row>
    <x:row r="8">
      <x:c r="A8" s="133" t="str">
        <x:v>Q1 FY26 actuals</x:v>
      </x:c>
      <x:c r="B8" s="133" t="str">
        <x:v>FY26 Q1 PPT / call</x:v>
      </x:c>
      <x:c r="C8" s="133" t="str">
        <x:v>Financial highlights / call opening</x:v>
      </x:c>
      <x:c r="D8" s="133" t="str">
        <x:v>Gross/net revenue, occupancy, ARPOB, Lab, Home</x:v>
      </x:c>
      <x:c r="E8" s="133" t="str">
        <x:v>Historical KPIs</x:v>
      </x:c>
      <x:c r="F8" s="133" t="str">
        <x:v>https://www.maxhealthcare.in/financials</x:v>
      </x:c>
    </x:row>
    <x:row r="9">
      <x:c r="A9" s="133" t="str">
        <x:v>Q2 FY26 actuals</x:v>
      </x:c>
      <x:c r="B9" s="133" t="str">
        <x:v>FY26 Q2 PPT</x:v>
      </x:c>
      <x:c r="C9" s="133" t="str">
        <x:v>Press release pp.2–4</x:v>
      </x:c>
      <x:c r="D9" s="133" t="str">
        <x:v>Gross/net revenue, occupancy, ARPOB, Lab, Home</x:v>
      </x:c>
      <x:c r="E9" s="133" t="str">
        <x:v>Historical KPIs</x:v>
      </x:c>
      <x:c r="F9" s="133" t="str">
        <x:v>https://www.maxhealthcare.in/financials</x:v>
      </x:c>
    </x:row>
    <x:row r="10">
      <x:c r="A10" s="133" t="str">
        <x:v>Q3 FY26 actuals</x:v>
      </x:c>
      <x:c r="B10" s="133" t="str">
        <x:v>FY26 Q3 PPT</x:v>
      </x:c>
      <x:c r="C10" s="133" t="str">
        <x:v>Press release / executive summary</x:v>
      </x:c>
      <x:c r="D10" s="133" t="str">
        <x:v>Gross/net revenue, occupancy, ARPOB, Lab, Home</x:v>
      </x:c>
      <x:c r="E10" s="133" t="str">
        <x:v>Historical KPIs</x:v>
      </x:c>
      <x:c r="F10" s="133" t="str">
        <x:v>https://www.maxhealthcare.in/financials</x:v>
      </x:c>
    </x:row>
    <x:row r="11">
      <x:c r="A11" s="133" t="str">
        <x:v>Q4 FY26 actuals</x:v>
      </x:c>
      <x:c r="B11" s="133" t="str">
        <x:v>FY26 Q4 PPT / call</x:v>
      </x:c>
      <x:c r="C11" s="133" t="str">
        <x:v>Financial highlights / executive summary</x:v>
      </x:c>
      <x:c r="D11" s="133" t="str">
        <x:v>Gross/net revenue, occupancy, ARPOB, Lab, Home</x:v>
      </x:c>
      <x:c r="E11" s="133" t="str">
        <x:v>Historical KPIs</x:v>
      </x:c>
      <x:c r="F11" s="133" t="str">
        <x:v>https://www.maxhealthcare.in/financials</x:v>
      </x:c>
    </x:row>
    <x:row r="12">
      <x:c r="A12" s="133" t="str">
        <x:v>Capacity pipeline</x:v>
      </x:c>
      <x:c r="B12" s="133" t="str">
        <x:v>FY26 Annual Report</x:v>
      </x:c>
      <x:c r="C12" s="133" t="str">
        <x:v>pp.80–81 / expansion section</x:v>
      </x:c>
      <x:c r="D12" s="133" t="str">
        <x:v>4,966 operational beds at Mar-26; project pipeline</x:v>
      </x:c>
      <x:c r="E12" s="133" t="str">
        <x:v>New Capacity</x:v>
      </x:c>
      <x:c r="F12" s="133" t="str">
        <x:v>https://www.maxhealthcare.in/investors</x:v>
      </x:c>
    </x:row>
    <x:row r="13">
      <x:c r="A13" s="133" t="str">
        <x:v>ARPOB definition</x:v>
      </x:c>
      <x:c r="B13" s="133" t="str">
        <x:v>Quarterly presentations</x:v>
      </x:c>
      <x:c r="C13" s="133" t="str">
        <x:v>Operational highlights footnote</x:v>
      </x:c>
      <x:c r="D13" s="133" t="str">
        <x:v>ARPOB = gross revenue / OBD; excludes Max Lab</x:v>
      </x:c>
      <x:c r="E13" s="133" t="str">
        <x:v>Revenue Model</x:v>
      </x:c>
      <x:c r="F13" s="133" t="str">
        <x:v>https://www.maxhealthcare.in/financials</x:v>
      </x:c>
    </x:row>
    <x:row r="14">
      <x:c r="A14" s="135" t="str">
        <x:v>Max@Home treatment</x:v>
      </x:c>
      <x:c r="B14" s="135" t="str">
        <x:v>Q4 FY26 presentation</x:v>
      </x:c>
      <x:c r="C14" s="135" t="str">
        <x:v>Executive summary</x:v>
      </x:c>
      <x:c r="D14" s="135" t="str">
        <x:v>ARPOB excludes Max Lab only; Max@Home is memo, not additive</x:v>
      </x:c>
      <x:c r="E14" s="135" t="str">
        <x:v>Revenue Model</x:v>
      </x:c>
      <x:c r="F14" s="135" t="str">
        <x:v>https://www.maxhealthcare.in/financials</x:v>
      </x:c>
    </x:row>
    <x:row r="16">
      <x:c r="A16" s="78" t="str">
        <x:v>Model rules</x:v>
      </x:c>
      <x:c r="B16" s="78"/>
      <x:c r="C16" s="78"/>
      <x:c r="D16" s="78"/>
      <x:c r="E16" s="78"/>
      <x:c r="F16" s="78"/>
    </x:row>
    <x:row r="17">
      <x:c r="A17" s="133" t="str">
        <x:v>1</x:v>
      </x:c>
      <x:c r="B17" s="133" t="str">
        <x:v>Do not separately add Max@Home to gross revenue. It is tracked as a memo KPI because the ARPOB numerator excludes Max Lab only.</x:v>
      </x:c>
      <x:c r="C17" s="133"/>
      <x:c r="D17" s="133"/>
      <x:c r="E17" s="133"/>
      <x:c r="F17" s="133"/>
    </x:row>
    <x:row r="18">
      <x:c r="A18" s="133" t="str">
        <x:v>2</x:v>
      </x:c>
      <x:c r="B18" s="133" t="str">
        <x:v>Model the March 2026 operating base using beds × days × occupancy × ARPOB.</x:v>
      </x:c>
      <x:c r="C18" s="133"/>
      <x:c r="D18" s="133"/>
      <x:c r="E18" s="133"/>
      <x:c r="F18" s="133"/>
    </x:row>
    <x:row r="19">
      <x:c r="A19" s="133" t="str">
        <x:v>3</x:v>
      </x:c>
      <x:c r="B19" s="133" t="str">
        <x:v>Model post-March 2026 capacity project by project using separate bed and occupancy ramps.</x:v>
      </x:c>
      <x:c r="C19" s="133"/>
      <x:c r="D19" s="133"/>
      <x:c r="E19" s="133"/>
      <x:c r="F19" s="133"/>
    </x:row>
    <x:row r="20">
      <x:c r="A20" s="133" t="str">
        <x:v>4</x:v>
      </x:c>
      <x:c r="B20" s="133" t="str">
        <x:v>Add Max Lab separately, then apply the gross-to-net ratio to reach network net revenue.</x:v>
      </x:c>
      <x:c r="C20" s="133"/>
      <x:c r="D20" s="133"/>
      <x:c r="E20" s="133"/>
      <x:c r="F20" s="133"/>
    </x:row>
    <x:row r="21">
      <x:c r="A21" s="133" t="str">
        <x:v>5</x:v>
      </x:c>
      <x:c r="B21" s="133" t="str">
        <x:v>Company-defined 'existing' and 'new' cohorts change over time; use them only as a historical reference, not as model segments.</x:v>
      </x:c>
      <x:c r="C21" s="133"/>
      <x:c r="D21" s="133"/>
      <x:c r="E21" s="133"/>
      <x:c r="F21" s="133"/>
    </x:row>
  </x:sheetData>
  <x:mergeCells>
    <x:mergeCell ref="A1:F1"/>
    <x:mergeCell ref="A16:F16"/>
    <x:mergeCell ref="B17:F17"/>
    <x:mergeCell ref="B18:F18"/>
    <x:mergeCell ref="B19:F19"/>
    <x:mergeCell ref="B20:F20"/>
    <x:mergeCell ref="B21:F21"/>
  </x:mergeCells>
  <x:pageMargins left="0.7" right="0.7" top="0.75" bottom="0.75" header="0.3" footer="0.3"/>
</x:worksheet>
</file>