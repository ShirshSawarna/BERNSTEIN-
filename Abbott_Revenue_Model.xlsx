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236a1342564b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enue Model" sheetId="1" r:id="Rb6ea44d9cd284c80"/>
    <x:sheet xmlns:r="http://schemas.openxmlformats.org/officeDocument/2006/relationships" name="Assumptions &amp; Sources" sheetId="2" r:id="R97b3e97063ef43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;[Red](#,##0.0);-"/>
    <x:numFmt numFmtId="201" formatCode="0.0%;[Red](0.0%);-"/>
    <x:numFmt numFmtId="202" formatCode="#,##0"/>
    <x:numFmt numFmtId="203" formatCode="0%"/>
    <x:numFmt numFmtId="204" formatCode="#,##0.0"/>
    <x:numFmt numFmtId="205" formatCode="0.0%"/>
  </x:numFmts>
  <x:fonts count="16">
    <x:font>
      <x:sz val="11"/>
      <x:name val="Carlito"/>
    </x:font>
    <x:font>
      <x:b/>
      <x:sz val="15"/>
      <x:color rgb="FF000000"/>
      <x:name val="Arial"/>
    </x:font>
    <x:font>
      <x:i/>
      <x:sz val="9"/>
      <x:color rgb="FF666666"/>
      <x:name val="Arial"/>
    </x:font>
    <x:font>
      <x:b/>
      <x:sz val="9"/>
      <x:color rgb="FFFFFFFF"/>
      <x:name val="Arial"/>
    </x:font>
    <x:font>
      <x:sz val="9"/>
      <x:color rgb="FF0000FF"/>
      <x:name val="Arial"/>
    </x:font>
    <x:font>
      <x:i/>
      <x:sz val="8"/>
      <x:color rgb="FF666666"/>
      <x:name val="Arial"/>
    </x:font>
    <x:font>
      <x:sz val="9"/>
      <x:color rgb="FF666666"/>
      <x:name val="Arial"/>
    </x:font>
    <x:font>
      <x:sz val="9"/>
      <x:color rgb="FF000000"/>
      <x:name val="Arial"/>
    </x:font>
    <x:font>
      <x:sz val="8"/>
      <x:color rgb="FF666666"/>
      <x:name val="Arial"/>
    </x:font>
    <x:font>
      <x:b/>
      <x:sz val="9"/>
      <x:color rgb="FF07344B"/>
      <x:name val="Arial"/>
    </x:font>
    <x:font>
      <x:b/>
      <x:sz val="9"/>
      <x:color rgb="FF000000"/>
      <x:name val="Arial"/>
    </x:font>
    <x:font>
      <x:sz val="9"/>
      <x:color rgb="FFC00000"/>
      <x:name val="Arial"/>
    </x:font>
    <x:font>
      <x:i/>
      <x:sz val="9"/>
      <x:color rgb="FF000000"/>
      <x:name val="Arial"/>
    </x:font>
    <x:font>
      <x:b/>
      <x:i/>
      <x:sz val="9"/>
      <x:color rgb="FF000000"/>
      <x:name val="Arial"/>
    </x:font>
    <x:font>
      <x:sz val="9"/>
      <x:color rgb="FF008000"/>
      <x:name val="Arial"/>
    </x:font>
    <x:font>
      <x:b/>
      <x:sz val="9"/>
      <x:color rgb="FF008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0B4F71"/>
      </x:patternFill>
    </x:fill>
    <x:fill>
      <x:patternFill patternType="solid">
        <x:fgColor rgb="FFF2F2F2"/>
      </x:patternFill>
    </x:fill>
    <x:fill>
      <x:patternFill patternType="solid">
        <x:fgColor rgb="FFDCE9F0"/>
      </x:patternFill>
    </x:fill>
    <x:fill>
      <x:patternFill patternType="solid">
        <x:fgColor rgb="FFF4F8FA"/>
      </x:patternFill>
    </x:fill>
    <x:fill>
      <x:patternFill patternType="solid">
        <x:fgColor rgb="FFFAFAFA"/>
      </x:patternFill>
    </x:fill>
  </x:fills>
  <x:borders count="15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top style="thin">
        <x:color rgb="FFD9D9D9"/>
      </x:top>
    </x:border>
    <x:border>
      <x:bottom style="thin">
        <x:color rgb="FFB8CAD6"/>
      </x:bottom>
    </x:border>
    <x:border>
      <x:top style="thin">
        <x:color rgb="FF0B4F71"/>
      </x:top>
      <x:bottom style="double">
        <x:color rgb="FF07344B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  <x:bottom style="thin">
        <x:color rgb="FFB8CAD6"/>
      </x:bottom>
    </x:border>
    <x:border>
      <x:left style="medium">
        <x:color rgb="FF9E9E9E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medium">
        <x:color rgb="FF9E9E9E"/>
      </x:left>
      <x:right style="thin">
        <x:color rgb="FFFFFFFF"/>
      </x:right>
      <x:bottom style="thin">
        <x:color rgb="FFE7E6E6"/>
      </x:bottom>
    </x:border>
    <x:border>
      <x:left style="medium">
        <x:color rgb="FF9E9E9E"/>
      </x:left>
      <x:right style="thin">
        <x:color rgb="FFFFFFFF"/>
      </x:right>
      <x:top style="thin">
        <x:color rgb="FFE7E6E6"/>
      </x:top>
      <x:bottom style="thin">
        <x:color rgb="FFE7E6E6"/>
      </x:bottom>
    </x:border>
    <x:border>
      <x:left style="medium">
        <x:color rgb="FF9E9E9E"/>
      </x:left>
      <x:right style="thin">
        <x:color rgb="FFFFFFFF"/>
      </x:right>
      <x:top style="thin">
        <x:color rgb="FFE7E6E6"/>
      </x:top>
      <x:bottom style="thin">
        <x:color rgb="FFFFFFFF"/>
      </x:bottom>
    </x:border>
  </x:borders>
  <x:cellStyleXfs count="1">
    <x:xf numFmtId="0" fontId="0" fillId="0" borderId="0"/>
  </x:cellStyleXfs>
  <x:cellXfs count="1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0" fontId="4" fillId="0" borderId="2" xfId="0" applyNumberFormat="1" applyFont="1" applyFill="1" applyBorder="1"/>
    <x:xf numFmtId="0" fontId="5" fillId="0" borderId="0" xfId="0" applyNumberFormat="1" applyFont="1" applyFill="1" applyBorder="1"/>
    <x:xf numFmtId="201" fontId="0" fillId="0" borderId="2" xfId="0" applyNumberFormat="1" applyFont="1" applyFill="1" applyBorder="1"/>
    <x:xf numFmtId="201" fontId="4" fillId="0" borderId="2" xfId="0" applyNumberFormat="1" applyFont="1" applyFill="1" applyBorder="1"/>
    <x:xf numFmtId="200" fontId="4" fillId="3" borderId="2" xfId="0" applyNumberFormat="1" applyFont="1" applyFill="1" applyBorder="1"/>
    <x:xf numFmtId="201" fontId="4" fillId="3" borderId="2" xfId="0" applyNumberFormat="1" applyFont="1" applyFill="1" applyBorder="1"/>
    <x:xf numFmtId="201" fontId="6" fillId="3" borderId="2" xfId="0" applyNumberFormat="1" applyFont="1" applyFill="1" applyBorder="1"/>
    <x:xf numFmtId="200" fontId="7" fillId="3" borderId="2" xfId="0" applyNumberFormat="1" applyFont="1" applyFill="1" applyBorder="1"/>
    <x:xf numFmtId="200" fontId="7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8" fillId="0" borderId="2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9" fillId="4" borderId="0" xfId="0" applyNumberFormat="1" applyFont="1" applyFill="1" applyBorder="1"/>
    <x:xf numFmtId="0" fontId="4" fillId="0" borderId="2" xfId="0" applyNumberFormat="1" applyFont="1" applyFill="1" applyBorder="1"/>
    <x:xf numFmtId="202" fontId="4" fillId="0" borderId="2" xfId="0" applyNumberFormat="1" applyFont="1" applyFill="1" applyBorder="1"/>
    <x:xf numFmtId="203" fontId="4" fillId="0" borderId="2" xfId="0" applyNumberFormat="1" applyFont="1" applyFill="1" applyBorder="1"/>
    <x:xf numFmtId="0" fontId="0" fillId="5" borderId="2" xfId="0" applyNumberFormat="1" applyFont="1" applyFill="1" applyBorder="1"/>
    <x:xf numFmtId="200" fontId="0" fillId="5" borderId="2" xfId="0" applyNumberFormat="1" applyFont="1" applyFill="1" applyBorder="1"/>
    <x:xf numFmtId="0" fontId="10" fillId="5" borderId="2" xfId="0" applyNumberFormat="1" applyFont="1" applyFill="1" applyBorder="1"/>
    <x:xf numFmtId="200" fontId="10" fillId="5" borderId="2" xfId="0" applyNumberFormat="1" applyFont="1" applyFill="1" applyBorder="1"/>
    <x:xf numFmtId="204" fontId="0" fillId="0" borderId="2" xfId="0" applyNumberFormat="1" applyFont="1" applyFill="1" applyBorder="1"/>
    <x:xf numFmtId="204" fontId="4" fillId="0" borderId="2" xfId="0" applyNumberFormat="1" applyFont="1" applyFill="1" applyBorder="1"/>
    <x:xf numFmtId="205" fontId="0" fillId="0" borderId="2" xfId="0" applyNumberFormat="1" applyFont="1" applyFill="1" applyBorder="1"/>
    <x:xf numFmtId="0" fontId="11" fillId="0" borderId="2" xfId="0" applyNumberFormat="1" applyFont="1" applyFill="1" applyBorder="1"/>
    <x:xf numFmtId="200" fontId="11" fillId="0" borderId="2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3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10" fillId="0" borderId="0" xfId="0" applyNumberFormat="1" applyFont="1" applyFill="1" applyBorder="1"/>
    <x:xf numFmtId="0" fontId="12" fillId="0" borderId="0" xfId="0" applyNumberFormat="1" applyFont="1" applyFill="1" applyBorder="1"/>
    <x:xf numFmtId="0" fontId="10" fillId="2" borderId="1" xfId="0" applyNumberFormat="1" applyFont="1" applyFill="1" applyBorder="1" applyAlignment="1">
      <x:alignment horizontal="center" vertical="center" wrapText="1"/>
    </x:xf>
    <x:xf numFmtId="0" fontId="7" fillId="0" borderId="2" xfId="0" applyNumberFormat="1" applyFont="1" applyFill="1" applyBorder="1"/>
    <x:xf numFmtId="201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201" fontId="7" fillId="3" borderId="2" xfId="0" applyNumberFormat="1" applyFont="1" applyFill="1" applyBorder="1"/>
    <x:xf numFmtId="0" fontId="10" fillId="4" borderId="0" xfId="0" applyNumberFormat="1" applyFont="1" applyFill="1" applyBorder="1"/>
    <x:xf numFmtId="202" fontId="7" fillId="0" borderId="2" xfId="0" applyNumberFormat="1" applyFont="1" applyFill="1" applyBorder="1"/>
    <x:xf numFmtId="203" fontId="7" fillId="0" borderId="2" xfId="0" applyNumberFormat="1" applyFont="1" applyFill="1" applyBorder="1"/>
    <x:xf numFmtId="204" fontId="7" fillId="0" borderId="2" xfId="0" applyNumberFormat="1" applyFont="1" applyFill="1" applyBorder="1"/>
    <x:xf numFmtId="205" fontId="7" fillId="0" borderId="2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  <x:xf numFmtId="0" fontId="9" fillId="4" borderId="6" xfId="0" applyNumberFormat="1" applyFont="1" applyFill="1" applyBorder="1"/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6" xfId="0" applyNumberFormat="1" applyFont="1" applyFill="1" applyBorder="1"/>
    <x:xf numFmtId="0" fontId="0" fillId="3" borderId="0" xfId="0" applyNumberFormat="1" applyFont="1" applyFill="1" applyBorder="1"/>
    <x:xf numFmtId="0" fontId="10" fillId="3" borderId="0" xfId="0" applyNumberFormat="1" applyFont="1" applyFill="1" applyBorder="1"/>
    <x:xf numFmtId="0" fontId="10" fillId="4" borderId="7" xfId="0" applyNumberFormat="1" applyFont="1" applyFill="1" applyBorder="1"/>
    <x:xf numFmtId="0" fontId="13" fillId="3" borderId="0" xfId="0" applyNumberFormat="1" applyFont="1" applyFill="1" applyBorder="1"/>
    <x:xf numFmtId="0" fontId="10" fillId="4" borderId="6" xfId="0" applyNumberFormat="1" applyFont="1" applyFill="1" applyBorder="1"/>
    <x:xf numFmtId="0" fontId="7" fillId="6" borderId="0" xfId="0" applyNumberFormat="1" applyFont="1" applyFill="1" applyBorder="1"/>
    <x:xf numFmtId="0" fontId="10" fillId="6" borderId="0" xfId="0" applyNumberFormat="1" applyFont="1" applyFill="1" applyBorder="1"/>
    <x:xf numFmtId="0" fontId="14" fillId="0" borderId="0" xfId="0" applyNumberFormat="1" applyFont="1" applyFill="1" applyBorder="1"/>
    <x:xf numFmtId="0" fontId="15" fillId="5" borderId="6" xfId="0" applyNumberFormat="1" applyFont="1" applyFill="1" applyBorder="1"/>
    <x:xf numFmtId="0" fontId="15" fillId="4" borderId="6" xfId="0" applyNumberFormat="1" applyFont="1" applyFill="1" applyBorder="1"/>
    <x:xf numFmtId="0" fontId="15" fillId="3" borderId="0" xfId="0" applyNumberFormat="1" applyFont="1" applyFill="1" applyBorder="1"/>
    <x:xf numFmtId="0" fontId="15" fillId="4" borderId="7" xfId="0" applyNumberFormat="1" applyFont="1" applyFill="1" applyBorder="1"/>
    <x:xf numFmtId="200" fontId="7" fillId="6" borderId="0" xfId="0" applyNumberFormat="1" applyFont="1" applyFill="1" applyBorder="1"/>
    <x:xf numFmtId="200" fontId="14" fillId="0" borderId="0" xfId="0" applyNumberFormat="1" applyFont="1" applyFill="1" applyBorder="1"/>
    <x:xf numFmtId="200" fontId="7" fillId="0" borderId="0" xfId="0" applyNumberFormat="1" applyFont="1" applyFill="1" applyBorder="1"/>
    <x:xf numFmtId="200" fontId="10" fillId="5" borderId="6" xfId="0" applyNumberFormat="1" applyFont="1" applyFill="1" applyBorder="1"/>
    <x:xf numFmtId="200" fontId="15" fillId="5" borderId="6" xfId="0" applyNumberFormat="1" applyFont="1" applyFill="1" applyBorder="1"/>
    <x:xf numFmtId="200" fontId="9" fillId="4" borderId="6" xfId="0" applyNumberFormat="1" applyFont="1" applyFill="1" applyBorder="1"/>
    <x:xf numFmtId="200" fontId="15" fillId="4" borderId="6" xfId="0" applyNumberFormat="1" applyFont="1" applyFill="1" applyBorder="1"/>
    <x:xf numFmtId="200" fontId="10" fillId="3" borderId="0" xfId="0" applyNumberFormat="1" applyFont="1" applyFill="1" applyBorder="1"/>
    <x:xf numFmtId="200" fontId="15" fillId="3" borderId="0" xfId="0" applyNumberFormat="1" applyFont="1" applyFill="1" applyBorder="1"/>
    <x:xf numFmtId="200" fontId="10" fillId="6" borderId="0" xfId="0" applyNumberFormat="1" applyFont="1" applyFill="1" applyBorder="1"/>
    <x:xf numFmtId="200" fontId="15" fillId="4" borderId="7" xfId="0" applyNumberFormat="1" applyFont="1" applyFill="1" applyBorder="1"/>
    <x:xf numFmtId="200" fontId="10" fillId="4" borderId="7" xfId="0" applyNumberFormat="1" applyFont="1" applyFill="1" applyBorder="1"/>
    <x:xf numFmtId="201" fontId="13" fillId="3" borderId="0" xfId="0" applyNumberFormat="1" applyFont="1" applyFill="1" applyBorder="1"/>
    <x:xf numFmtId="0" fontId="9" fillId="4" borderId="8" xfId="0" applyNumberFormat="1" applyFont="1" applyFill="1" applyBorder="1"/>
    <x:xf numFmtId="0" fontId="7" fillId="0" borderId="9" xfId="0" applyNumberFormat="1" applyFont="1" applyFill="1" applyBorder="1"/>
    <x:xf numFmtId="200" fontId="7" fillId="6" borderId="9" xfId="0" applyNumberFormat="1" applyFont="1" applyFill="1" applyBorder="1"/>
    <x:xf numFmtId="200" fontId="14" fillId="0" borderId="9" xfId="0" applyNumberFormat="1" applyFont="1" applyFill="1" applyBorder="1"/>
    <x:xf numFmtId="200" fontId="7" fillId="0" borderId="9" xfId="0" applyNumberFormat="1" applyFont="1" applyFill="1" applyBorder="1"/>
    <x:xf numFmtId="0" fontId="10" fillId="5" borderId="9" xfId="0" applyNumberFormat="1" applyFont="1" applyFill="1" applyBorder="1"/>
    <x:xf numFmtId="200" fontId="10" fillId="5" borderId="9" xfId="0" applyNumberFormat="1" applyFont="1" applyFill="1" applyBorder="1"/>
    <x:xf numFmtId="200" fontId="15" fillId="5" borderId="9" xfId="0" applyNumberFormat="1" applyFont="1" applyFill="1" applyBorder="1"/>
    <x:xf numFmtId="0" fontId="9" fillId="4" borderId="9" xfId="0" applyNumberFormat="1" applyFont="1" applyFill="1" applyBorder="1"/>
    <x:xf numFmtId="200" fontId="9" fillId="4" borderId="9" xfId="0" applyNumberFormat="1" applyFont="1" applyFill="1" applyBorder="1"/>
    <x:xf numFmtId="200" fontId="15" fillId="4" borderId="9" xfId="0" applyNumberFormat="1" applyFont="1" applyFill="1" applyBorder="1"/>
    <x:xf numFmtId="0" fontId="10" fillId="3" borderId="9" xfId="0" applyNumberFormat="1" applyFont="1" applyFill="1" applyBorder="1"/>
    <x:xf numFmtId="200" fontId="10" fillId="3" borderId="9" xfId="0" applyNumberFormat="1" applyFont="1" applyFill="1" applyBorder="1"/>
    <x:xf numFmtId="200" fontId="15" fillId="3" borderId="9" xfId="0" applyNumberFormat="1" applyFont="1" applyFill="1" applyBorder="1"/>
    <x:xf numFmtId="200" fontId="10" fillId="6" borderId="9" xfId="0" applyNumberFormat="1" applyFont="1" applyFill="1" applyBorder="1"/>
    <x:xf numFmtId="0" fontId="10" fillId="4" borderId="9" xfId="0" applyNumberFormat="1" applyFont="1" applyFill="1" applyBorder="1"/>
    <x:xf numFmtId="200" fontId="10" fillId="4" borderId="9" xfId="0" applyNumberFormat="1" applyFont="1" applyFill="1" applyBorder="1"/>
    <x:xf numFmtId="0" fontId="13" fillId="3" borderId="10" xfId="0" applyNumberFormat="1" applyFont="1" applyFill="1" applyBorder="1"/>
    <x:xf numFmtId="201" fontId="13" fillId="3" borderId="10" xfId="0" applyNumberFormat="1" applyFont="1" applyFill="1" applyBorder="1"/>
    <x:xf numFmtId="0" fontId="3" fillId="2" borderId="11" xfId="0" applyNumberFormat="1" applyFont="1" applyFill="1" applyBorder="1" applyAlignment="1">
      <x:alignment horizontal="center" vertical="center" wrapText="1"/>
    </x:xf>
    <x:xf numFmtId="0" fontId="9" fillId="4" borderId="12" xfId="0" applyNumberFormat="1" applyFont="1" applyFill="1" applyBorder="1"/>
    <x:xf numFmtId="200" fontId="7" fillId="6" borderId="13" xfId="0" applyNumberFormat="1" applyFont="1" applyFill="1" applyBorder="1"/>
    <x:xf numFmtId="200" fontId="10" fillId="5" borderId="13" xfId="0" applyNumberFormat="1" applyFont="1" applyFill="1" applyBorder="1"/>
    <x:xf numFmtId="200" fontId="9" fillId="4" borderId="13" xfId="0" applyNumberFormat="1" applyFont="1" applyFill="1" applyBorder="1"/>
    <x:xf numFmtId="200" fontId="10" fillId="3" borderId="13" xfId="0" applyNumberFormat="1" applyFont="1" applyFill="1" applyBorder="1"/>
    <x:xf numFmtId="200" fontId="10" fillId="6" borderId="13" xfId="0" applyNumberFormat="1" applyFont="1" applyFill="1" applyBorder="1"/>
    <x:xf numFmtId="200" fontId="15" fillId="4" borderId="13" xfId="0" applyNumberFormat="1" applyFont="1" applyFill="1" applyBorder="1"/>
    <x:xf numFmtId="201" fontId="13" fillId="3" borderId="14" xfId="0" applyNumberFormat="1" applyFont="1" applyFill="1" applyBorder="1"/>
    <x:xf numFmtId="200" fontId="7" fillId="0" borderId="13" xfId="0" applyNumberFormat="1" applyFont="1" applyFill="1" applyBorder="1"/>
    <x:xf numFmtId="200" fontId="10" fillId="4" borderId="13" xfId="0" applyNumberFormat="1" applyFont="1" applyFill="1" applyBorder="1"/>
    <x:xf numFmtId="200" fontId="14" fillId="0" borderId="1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c86a50149c46ad" /><Relationship Type="http://schemas.openxmlformats.org/officeDocument/2006/relationships/theme" Target="/xl/theme/theme1.xml" Id="R2f2ba1684b62488a" /><Relationship Type="http://schemas.openxmlformats.org/officeDocument/2006/relationships/sharedStrings" Target="/xl/sharedStrings.xml" Id="R8d7b2706382045d3" /><Relationship Type="http://schemas.openxmlformats.org/officeDocument/2006/relationships/worksheet" Target="/xl/worksheets/sheet1.xml" Id="Rb6ea44d9cd284c80" /><Relationship Type="http://schemas.openxmlformats.org/officeDocument/2006/relationships/worksheet" Target="/xl/worksheets/sheet2.xml" Id="R97b3e97063ef43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B4F71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.5" hidden="0" customWidth="1"/>
    <x:col min="2" max="2" width="19" hidden="0" customWidth="1"/>
    <x:col min="3" max="3" width="27" hidden="0" customWidth="1"/>
    <x:col min="4" max="4" width="11.199999809265137" hidden="0" customWidth="1"/>
    <x:col min="5" max="5" width="11.199999809265137" hidden="0" customWidth="1"/>
    <x:col min="6" max="6" width="11.199999809265137" hidden="0" customWidth="1"/>
    <x:col min="7" max="7" width="11.199999809265137" hidden="0" customWidth="1"/>
    <x:col min="8" max="8" width="11.199999809265137" hidden="0" customWidth="1"/>
    <x:col min="9" max="9" width="11.199999809265137" hidden="0" customWidth="1"/>
    <x:col min="10" max="10" width="11.199999809265137" hidden="0" customWidth="1"/>
    <x:col min="11" max="11" width="11.199999809265137" hidden="0" customWidth="1"/>
    <x:col min="12" max="12" width="11.199999809265137" hidden="0" customWidth="1"/>
    <x:col min="13" max="13" width="11.199999809265137" hidden="0" customWidth="1"/>
    <x:col min="14" max="14" width="11.199999809265137" hidden="0" customWidth="1"/>
    <x:col min="15" max="15" width="11.199999809265137" hidden="0" customWidth="1"/>
    <x:col min="16" max="16" width="11.199999809265137" hidden="0" customWidth="1"/>
    <x:col min="17" max="17" width="11.199999809265137" hidden="0" customWidth="1"/>
    <x:col min="18" max="18" width="11.199999809265137" hidden="0" customWidth="1"/>
    <x:col min="19" max="19" width="11.199999809265137" hidden="0" customWidth="1"/>
    <x:col min="20" max="20" width="11.199999809265137" hidden="0" customWidth="1"/>
    <x:col min="21" max="21" width="11.199999809265137" hidden="0" customWidth="1"/>
    <x:col min="22" max="22" width="11.199999809265137" hidden="0" customWidth="1"/>
    <x:col min="23" max="23" width="11.199999809265137" hidden="0" customWidth="1"/>
    <x:col min="24" max="24" width="11.199999809265137" hidden="0" customWidth="1"/>
    <x:col min="25" max="25" width="11.199999809265137" hidden="0" customWidth="1"/>
  </x:cols>
  <x:sheetData>
    <x:row r="2" ht="24" customHeight="1">
      <x:c r="B2" s="1" t="str">
        <x:v>Abbott India Revenue Model</x:v>
      </x:c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</x:row>
    <x:row r="3">
      <x:c r="B3" s="2" t="str">
        <x:v>INR mn. Company revenue is audited. FY22A-FY26A product-level figures are Bernstein estimates and reconcile to reported sales; forecasts are Bernstein estimates.</x:v>
      </x:c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</x:row>
    <x:row r="4"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</x:row>
    <x:row r="5" ht="30" customHeight="1">
      <x:c r="B5" s="8" t="str">
        <x:v>Therapy</x:v>
      </x:c>
      <x:c r="C5" s="8" t="str">
        <x:v>Product / family</x:v>
      </x:c>
      <x:c r="D5" s="105" t="str">
        <x:v>FY22A</x:v>
      </x:c>
      <x:c r="E5" s="8" t="str">
        <x:v>FY23A</x:v>
      </x:c>
      <x:c r="F5" s="8" t="str">
        <x:v>FY24A</x:v>
      </x:c>
      <x:c r="G5" s="8" t="str">
        <x:v>FY25A</x:v>
      </x:c>
      <x:c r="H5" s="8" t="str">
        <x:v>FY26A</x:v>
      </x:c>
      <x:c r="I5" s="105" t="str">
        <x:v>FY27Q1A</x:v>
      </x:c>
      <x:c r="J5" s="8" t="str">
        <x:v>FY27Q2E</x:v>
      </x:c>
      <x:c r="K5" s="8" t="str">
        <x:v>FY27Q3E</x:v>
      </x:c>
      <x:c r="L5" s="8" t="str">
        <x:v>FY27Q4E</x:v>
      </x:c>
      <x:c r="M5" s="105" t="str">
        <x:v>FY27E</x:v>
      </x:c>
      <x:c r="N5" s="105" t="str">
        <x:v>FY28Q1E</x:v>
      </x:c>
      <x:c r="O5" s="8" t="str">
        <x:v>FY28Q2E</x:v>
      </x:c>
      <x:c r="P5" s="8" t="str">
        <x:v>FY28Q3E</x:v>
      </x:c>
      <x:c r="Q5" s="8" t="str">
        <x:v>FY28Q4E</x:v>
      </x:c>
      <x:c r="R5" s="105" t="str">
        <x:v>FY28E</x:v>
      </x:c>
      <x:c r="S5" s="105" t="str">
        <x:v>FY29E</x:v>
      </x:c>
      <x:c r="T5" s="8" t="str">
        <x:v>FY30E</x:v>
      </x:c>
      <x:c r="U5" s="8" t="str">
        <x:v>FY31E</x:v>
      </x:c>
      <x:c r="V5" s="8" t="str">
        <x:v>FY32E</x:v>
      </x:c>
      <x:c r="W5" s="8" t="str">
        <x:v>FY33E</x:v>
      </x:c>
      <x:c r="X5" s="8" t="str">
        <x:v>FY34E</x:v>
      </x:c>
      <x:c r="Y5" s="8" t="str">
        <x:v>FY35E</x:v>
      </x:c>
    </x:row>
    <x:row r="6" ht="20" customHeight="1">
      <x:c r="B6" s="86" t="str">
        <x:v>GI and hepatology</x:v>
      </x:c>
      <x:c r="C6" s="86"/>
      <x:c r="D6" s="106"/>
      <x:c r="E6" s="86"/>
      <x:c r="F6" s="86"/>
      <x:c r="G6" s="86"/>
      <x:c r="H6" s="86"/>
      <x:c r="I6" s="106"/>
      <x:c r="J6" s="86"/>
      <x:c r="K6" s="86"/>
      <x:c r="L6" s="86"/>
      <x:c r="M6" s="106"/>
      <x:c r="N6" s="106"/>
      <x:c r="O6" s="86"/>
      <x:c r="P6" s="86"/>
      <x:c r="Q6" s="86"/>
      <x:c r="R6" s="106"/>
      <x:c r="S6" s="106"/>
      <x:c r="T6" s="86"/>
      <x:c r="U6" s="86"/>
      <x:c r="V6" s="86"/>
      <x:c r="W6" s="86"/>
      <x:c r="X6" s="86"/>
      <x:c r="Y6" s="86"/>
    </x:row>
    <x:row r="7" ht="20" customHeight="1">
      <x:c r="B7" s="87"/>
      <x:c r="C7" s="87" t="str">
        <x:v>Udiliv</x:v>
      </x:c>
      <x:c r="D7" s="107" t="n">
        <x:f>E7/(1+'Assumptions &amp; Sources'!$D$13)</x:f>
        <x:v>4984.512907782298</x:v>
      </x:c>
      <x:c r="E7" s="88" t="n">
        <x:f>F7/(1+'Assumptions &amp; Sources'!$E$13)</x:f>
        <x:v>5383.273940404882</x:v>
      </x:c>
      <x:c r="F7" s="88" t="n">
        <x:f>G7/(1+'Assumptions &amp; Sources'!$F$13)</x:f>
        <x:v>5867.7685950413215</x:v>
      </x:c>
      <x:c r="G7" s="88" t="n">
        <x:f>H7/(1+'Assumptions &amp; Sources'!$G$13)</x:f>
        <x:v>6454.545454545454</x:v>
      </x:c>
      <x:c r="H7" s="89" t="n">
        <x:f>'Assumptions &amp; Sources'!$C$13</x:f>
        <x:v>7100</x:v>
      </x:c>
      <x:c r="I7" s="114" t="n">
        <x:f>'Assumptions &amp; Sources'!$G$6*M7/$M$41</x:f>
        <x:v>1816.5537582910993</x:v>
      </x:c>
      <x:c r="J7" s="90" t="n">
        <x:f>(M7-I7)*'Assumptions &amp; Sources'!$D$50/SUM('Assumptions &amp; Sources'!$D$50:$D$52)</x:f>
        <x:v>2116.301174470592</x:v>
      </x:c>
      <x:c r="K7" s="90" t="n">
        <x:f>(M7-I7)*'Assumptions &amp; Sources'!$D$51/SUM('Assumptions &amp; Sources'!$D$50:$D$52)</x:f>
        <x:v>1987.0310206539593</x:v>
      </x:c>
      <x:c r="L7" s="90" t="n">
        <x:f>(M7-I7)*'Assumptions &amp; Sources'!$D$52/SUM('Assumptions &amp; Sources'!$D$50:$D$52)</x:f>
        <x:v>1868.4590465843482</x:v>
      </x:c>
      <x:c r="M7" s="114" t="n">
        <x:f>H7*(1+'Assumptions &amp; Sources'!$H$13)</x:f>
        <x:v>7788.344999999999</x:v>
      </x:c>
      <x:c r="N7" s="114" t="n">
        <x:f>R7*'Assumptions &amp; Sources'!$D$49</x:f>
        <x:v>2064.25843299992</x:v>
      </x:c>
      <x:c r="O7" s="90" t="n">
        <x:f>R7*'Assumptions &amp; Sources'!$D$50</x:f>
        <x:v>2281.8920779258033</x:v>
      </x:c>
      <x:c r="P7" s="90" t="n">
        <x:f>R7*'Assumptions &amp; Sources'!$D$51</x:f>
        <x:v>2142.507124845949</x:v>
      </x:c>
      <x:c r="Q7" s="90" t="n">
        <x:f>R7*'Assumptions &amp; Sources'!$D$52</x:f>
        <x:v>2014.6574352283292</x:v>
      </x:c>
      <x:c r="R7" s="114" t="n">
        <x:f>M7*(1+'Assumptions &amp; Sources'!$I$13)</x:f>
        <x:v>8503.315071</x:v>
      </x:c>
      <x:c r="S7" s="114" t="n">
        <x:f>R7*(1+'Assumptions &amp; Sources'!$J$13)</x:f>
        <x:v>9240.12732190215</x:v>
      </x:c>
      <x:c r="T7" s="90" t="n">
        <x:f>S7*(1+'Assumptions &amp; Sources'!$K$13)</x:f>
        <x:v>9993.197698637176</x:v>
      </x:c>
      <x:c r="U7" s="90" t="n">
        <x:f>T7*(1+'Assumptions &amp; Sources'!$L$13)</x:f>
        <x:v>10735.292559737973</x:v>
      </x:c>
      <x:c r="V7" s="90" t="n">
        <x:f>U7*(1+'Assumptions &amp; Sources'!$M$13)</x:f>
        <x:v>11477.315981467062</x:v>
      </x:c>
      <x:c r="W7" s="90" t="n">
        <x:f>V7*(1+'Assumptions &amp; Sources'!$N$13)</x:f>
        <x:v>12175.997591838866</x:v>
      </x:c>
      <x:c r="X7" s="90" t="n">
        <x:f>W7*(1+'Assumptions &amp; Sources'!$O$13)</x:f>
        <x:v>12917.211445242056</x:v>
      </x:c>
      <x:c r="Y7" s="90" t="n">
        <x:f>X7*(1+'Assumptions &amp; Sources'!$P$13)</x:f>
        <x:v>13637.3459833143</x:v>
      </x:c>
    </x:row>
    <x:row r="8" ht="20" customHeight="1">
      <x:c r="B8" s="87"/>
      <x:c r="C8" s="87" t="str">
        <x:v>Cremaffin franchise</x:v>
      </x:c>
      <x:c r="D8" s="107" t="n">
        <x:f>E8/(1+'Assumptions &amp; Sources'!$D$14)</x:f>
        <x:v>3961.8119975262825</x:v>
      </x:c>
      <x:c r="E8" s="88" t="n">
        <x:f>F8/(1+'Assumptions &amp; Sources'!$E$14)</x:f>
        <x:v>4278.756957328385</x:v>
      </x:c>
      <x:c r="F8" s="88" t="n">
        <x:f>G8/(1+'Assumptions &amp; Sources'!$F$14)</x:f>
        <x:v>4706.632653061224</x:v>
      </x:c>
      <x:c r="G8" s="88" t="n">
        <x:f>H8/(1+'Assumptions &amp; Sources'!$G$14)</x:f>
        <x:v>5271.428571428572</x:v>
      </x:c>
      <x:c r="H8" s="89" t="n">
        <x:f>'Assumptions &amp; Sources'!$C$14</x:f>
        <x:v>6273</x:v>
      </x:c>
      <x:c r="I8" s="114" t="n">
        <x:f>'Assumptions &amp; Sources'!$G$6*M8/$M$41</x:f>
        <x:v>1642.638825772462</x:v>
      </x:c>
      <x:c r="J8" s="90" t="n">
        <x:f>(M8-I8)*'Assumptions &amp; Sources'!$D$50/SUM('Assumptions &amp; Sources'!$D$50:$D$52)</x:f>
        <x:v>1913.6887418534534</x:v>
      </x:c>
      <x:c r="K8" s="90" t="n">
        <x:f>(M8-I8)*'Assumptions &amp; Sources'!$D$51/SUM('Assumptions &amp; Sources'!$D$50:$D$52)</x:f>
        <x:v>1796.7947756255894</x:v>
      </x:c>
      <x:c r="L8" s="90" t="n">
        <x:f>(M8-I8)*'Assumptions &amp; Sources'!$D$52/SUM('Assumptions &amp; Sources'!$D$50:$D$52)</x:f>
        <x:v>1689.5747567484948</x:v>
      </x:c>
      <x:c r="M8" s="114" t="n">
        <x:f>H8*(1+'Assumptions &amp; Sources'!$H$14)</x:f>
        <x:v>7042.6971</x:v>
      </x:c>
      <x:c r="N8" s="114" t="n">
        <x:f>R8*'Assumptions &amp; Sources'!$D$49</x:f>
        <x:v>1901.8479233087976</x:v>
      </x:c>
      <x:c r="O8" s="90" t="n">
        <x:f>R8*'Assumptions &amp; Sources'!$D$50</x:f>
        <x:v>2102.358716447668</x:v>
      </x:c>
      <x:c r="P8" s="90" t="n">
        <x:f>R8*'Assumptions &amp; Sources'!$D$51</x:f>
        <x:v>1973.9402106454802</x:v>
      </x:c>
      <x:c r="Q8" s="90" t="n">
        <x:f>R8*'Assumptions &amp; Sources'!$D$52</x:f>
        <x:v>1856.1494036380548</x:v>
      </x:c>
      <x:c r="R8" s="114" t="n">
        <x:f>M8*(1+'Assumptions &amp; Sources'!$I$14)</x:f>
        <x:v>7834.29625404</x:v>
      </x:c>
      <x:c r="S8" s="114" t="n">
        <x:f>R8*(1+'Assumptions &amp; Sources'!$J$14)</x:f>
        <x:v>8634.177901577485</x:v>
      </x:c>
      <x:c r="T8" s="90" t="n">
        <x:f>S8*(1+'Assumptions &amp; Sources'!$K$14)</x:f>
        <x:v>9426.7954329423</x:v>
      </x:c>
      <x:c r="U8" s="90" t="n">
        <x:f>T8*(1+'Assumptions &amp; Sources'!$L$14)</x:f>
        <x:v>10223.736718843242</x:v>
      </x:c>
      <x:c r="V8" s="90" t="n">
        <x:f>U8*(1+'Assumptions &amp; Sources'!$M$14)</x:f>
        <x:v>11035.501414319397</x:v>
      </x:c>
      <x:c r="W8" s="90" t="n">
        <x:f>V8*(1+'Assumptions &amp; Sources'!$N$14)</x:f>
        <x:v>11820.401452412862</x:v>
      </x:c>
      <x:c r="X8" s="90" t="n">
        <x:f>W8*(1+'Assumptions &amp; Sources'!$O$14)</x:f>
        <x:v>12600.54794827211</x:v>
      </x:c>
      <x:c r="Y8" s="90" t="n">
        <x:f>X8*(1+'Assumptions &amp; Sources'!$P$14)</x:f>
        <x:v>13367.606304623172</x:v>
      </x:c>
    </x:row>
    <x:row r="9" ht="20" customHeight="1">
      <x:c r="B9" s="87"/>
      <x:c r="C9" s="87" t="str">
        <x:v>Duphalac</x:v>
      </x:c>
      <x:c r="D9" s="107" t="n">
        <x:f>E9/(1+'Assumptions &amp; Sources'!$D$15)</x:f>
        <x:v>2352.297200519339</x:v>
      </x:c>
      <x:c r="E9" s="88" t="n">
        <x:f>F9/(1+'Assumptions &amp; Sources'!$E$15)</x:f>
        <x:v>2516.958004555693</x:v>
      </x:c>
      <x:c r="F9" s="88" t="n">
        <x:f>G9/(1+'Assumptions &amp; Sources'!$F$15)</x:f>
        <x:v>2718.314644920149</x:v>
      </x:c>
      <x:c r="G9" s="88" t="n">
        <x:f>H9/(1+'Assumptions &amp; Sources'!$G$15)</x:f>
        <x:v>2935.779816513761</x:v>
      </x:c>
      <x:c r="H9" s="89" t="n">
        <x:f>'Assumptions &amp; Sources'!$C$15</x:f>
        <x:v>3200</x:v>
      </x:c>
      <x:c r="I9" s="114" t="n">
        <x:f>'Assumptions &amp; Sources'!$G$6*M9/$M$41</x:f>
        <x:v>811.0408633195465</x:v>
      </x:c>
      <x:c r="J9" s="90" t="n">
        <x:f>(M9-I9)*'Assumptions &amp; Sources'!$D$50/SUM('Assumptions &amp; Sources'!$D$50:$D$52)</x:f>
        <x:v>944.8697698886092</x:v>
      </x:c>
      <x:c r="K9" s="90" t="n">
        <x:f>(M9-I9)*'Assumptions &amp; Sources'!$D$51/SUM('Assumptions &amp; Sources'!$D$50:$D$52)</x:f>
        <x:v>887.1542320608036</x:v>
      </x:c>
      <x:c r="L9" s="90" t="n">
        <x:f>(M9-I9)*'Assumptions &amp; Sources'!$D$52/SUM('Assumptions &amp; Sources'!$D$50:$D$52)</x:f>
        <x:v>834.2151347310402</x:v>
      </x:c>
      <x:c r="M9" s="114" t="n">
        <x:f>H9*(1+'Assumptions &amp; Sources'!$H$15)</x:f>
        <x:v>3477.2799999999997</x:v>
      </x:c>
      <x:c r="N9" s="114" t="n">
        <x:f>R9*'Assumptions &amp; Sources'!$D$49</x:f>
        <x:v>917.2867986469631</x:v>
      </x:c>
      <x:c r="O9" s="90" t="n">
        <x:f>R9*'Assumptions &amp; Sources'!$D$50</x:f>
        <x:v>1013.9958473980995</x:v>
      </x:c>
      <x:c r="P9" s="90" t="n">
        <x:f>R9*'Assumptions &amp; Sources'!$D$51</x:f>
        <x:v>952.0578771584101</x:v>
      </x:c>
      <x:c r="Q9" s="90" t="n">
        <x:f>R9*'Assumptions &amp; Sources'!$D$52</x:f>
        <x:v>895.2457887965269</x:v>
      </x:c>
      <x:c r="R9" s="114" t="n">
        <x:f>M9*(1+'Assumptions &amp; Sources'!$I$15)</x:f>
        <x:v>3778.5863119999995</x:v>
      </x:c>
      <x:c r="S9" s="114" t="n">
        <x:f>R9*(1+'Assumptions &amp; Sources'!$J$15)</x:f>
        <x:v>4086.541096428</x:v>
      </x:c>
      <x:c r="T9" s="90" t="n">
        <x:f>S9*(1+'Assumptions &amp; Sources'!$K$15)</x:f>
        <x:v>4398.548509140277</x:v>
      </x:c>
      <x:c r="U9" s="90" t="n">
        <x:f>T9*(1+'Assumptions &amp; Sources'!$L$15)</x:f>
        <x:v>4702.576182092053</x:v>
      </x:c>
      <x:c r="V9" s="90" t="n">
        <x:f>U9*(1+'Assumptions &amp; Sources'!$M$15)</x:f>
        <x:v>5027.618247798257</x:v>
      </x:c>
      <x:c r="W9" s="90" t="n">
        <x:f>V9*(1+'Assumptions &amp; Sources'!$N$15)</x:f>
        <x:v>5333.674508632975</x:v>
      </x:c>
      <x:c r="X9" s="90" t="n">
        <x:f>W9*(1+'Assumptions &amp; Sources'!$O$15)</x:f>
        <x:v>5631.026862489263</x:v>
      </x:c>
      <x:c r="Y9" s="90" t="n">
        <x:f>X9*(1+'Assumptions &amp; Sources'!$P$15)</x:f>
        <x:v>5944.95661007304</x:v>
      </x:c>
    </x:row>
    <x:row r="10" ht="20" customHeight="1">
      <x:c r="B10" s="87"/>
      <x:c r="C10" s="87" t="str">
        <x:v>Digene</x:v>
      </x:c>
      <x:c r="D10" s="107" t="n">
        <x:f>E10/(1+'Assumptions &amp; Sources'!$D$16)</x:f>
        <x:v>1900.1101498649612</x:v>
      </x:c>
      <x:c r="E10" s="88" t="n">
        <x:f>F10/(1+'Assumptions &amp; Sources'!$E$16)</x:f>
        <x:v>2033.1178603555086</x:v>
      </x:c>
      <x:c r="F10" s="88" t="n">
        <x:f>G10/(1+'Assumptions &amp; Sources'!$F$16)</x:f>
        <x:v>2216.0984677875044</x:v>
      </x:c>
      <x:c r="G10" s="88" t="n">
        <x:f>H10/(1+'Assumptions &amp; Sources'!$G$16)</x:f>
        <x:v>2437.708314566255</x:v>
      </x:c>
      <x:c r="H10" s="89" t="n">
        <x:f>'Assumptions &amp; Sources'!$C$16</x:f>
        <x:v>2706.1</x:v>
      </x:c>
      <x:c r="I10" s="114" t="n">
        <x:f>'Assumptions &amp; Sources'!$G$6*M10/$M$41</x:f>
        <x:v>695.6133642905974</x:v>
      </x:c>
      <x:c r="J10" s="90" t="n">
        <x:f>(M10-I10)*'Assumptions &amp; Sources'!$D$50/SUM('Assumptions &amp; Sources'!$D$50:$D$52)</x:f>
        <x:v>810.3957139206917</x:v>
      </x:c>
      <x:c r="K10" s="90" t="n">
        <x:f>(M10-I10)*'Assumptions &amp; Sources'!$D$51/SUM('Assumptions &amp; Sources'!$D$50:$D$52)</x:f>
        <x:v>760.8942630617071</x:v>
      </x:c>
      <x:c r="L10" s="90" t="n">
        <x:f>(M10-I10)*'Assumptions &amp; Sources'!$D$52/SUM('Assumptions &amp; Sources'!$D$50:$D$52)</x:f>
        <x:v>715.4894687270038</x:v>
      </x:c>
      <x:c r="M10" s="114" t="n">
        <x:f>H10*(1+'Assumptions &amp; Sources'!$H$16)</x:f>
        <x:v>2982.3928100000003</x:v>
      </x:c>
      <x:c r="N10" s="114" t="n">
        <x:f>R10*'Assumptions &amp; Sources'!$D$49</x:f>
        <x:v>794.195592310518</x:v>
      </x:c>
      <x:c r="O10" s="90" t="n">
        <x:f>R10*'Assumptions &amp; Sources'!$D$50</x:f>
        <x:v>877.9272020622199</x:v>
      </x:c>
      <x:c r="P10" s="90" t="n">
        <x:f>R10*'Assumptions &amp; Sources'!$D$51</x:f>
        <x:v>824.3007211910464</x:v>
      </x:c>
      <x:c r="Q10" s="90" t="n">
        <x:f>R10*'Assumptions &amp; Sources'!$D$52</x:f>
        <x:v>775.112277365716</x:v>
      </x:c>
      <x:c r="R10" s="114" t="n">
        <x:f>M10*(1+'Assumptions &amp; Sources'!$I$16)</x:f>
        <x:v>3271.5357929295</x:v>
      </x:c>
      <x:c r="S10" s="114" t="n">
        <x:f>R10*(1+'Assumptions &amp; Sources'!$J$16)</x:f>
        <x:v>3571.8627787204287</x:v>
      </x:c>
      <x:c r="T10" s="90" t="n">
        <x:f>S10*(1+'Assumptions &amp; Sources'!$K$16)</x:f>
        <x:v>3881.3646884965533</x:v>
      </x:c>
      <x:c r="U10" s="90" t="n">
        <x:f>T10*(1+'Assumptions &amp; Sources'!$L$16)</x:f>
        <x:v>4189.54504476318</x:v>
      </x:c>
      <x:c r="V10" s="90" t="n">
        <x:f>U10*(1+'Assumptions &amp; Sources'!$M$16)</x:f>
        <x:v>4500.660659787294</x:v>
      </x:c>
      <x:c r="W10" s="90" t="n">
        <x:f>V10*(1+'Assumptions &amp; Sources'!$N$16)</x:f>
        <x:v>4797.704263333255</x:v>
      </x:c>
      <x:c r="X10" s="90" t="n">
        <x:f>W10*(1+'Assumptions &amp; Sources'!$O$16)</x:f>
        <x:v>5089.764510363666</x:v>
      </x:c>
      <x:c r="Y10" s="90" t="n">
        <x:f>X10*(1+'Assumptions &amp; Sources'!$P$16)</x:f>
        <x:v>5373.518881816441</x:v>
      </x:c>
    </x:row>
    <x:row r="11" ht="20" customHeight="1">
      <x:c r="B11" s="87"/>
      <x:c r="C11" s="87" t="str">
        <x:v>Creon</x:v>
      </x:c>
      <x:c r="D11" s="107" t="n">
        <x:f>E11/(1+'Assumptions &amp; Sources'!$D$17)</x:f>
        <x:v>1456.697807661059</x:v>
      </x:c>
      <x:c r="E11" s="88" t="n">
        <x:f>F11/(1+'Assumptions &amp; Sources'!$E$17)</x:f>
        <x:v>1558.6666541973332</x:v>
      </x:c>
      <x:c r="F11" s="88" t="n">
        <x:f>G11/(1+'Assumptions &amp; Sources'!$F$17)</x:f>
        <x:v>1683.35998653312</x:v>
      </x:c>
      <x:c r="G11" s="88" t="n">
        <x:f>H11/(1+'Assumptions &amp; Sources'!$G$17)</x:f>
        <x:v>1834.8623853211009</x:v>
      </x:c>
      <x:c r="H11" s="89" t="n">
        <x:f>'Assumptions &amp; Sources'!$C$17</x:f>
        <x:v>2000</x:v>
      </x:c>
      <x:c r="I11" s="114" t="n">
        <x:f>'Assumptions &amp; Sources'!$G$6*M11/$M$41</x:f>
        <x:v>506.90053957471656</x:v>
      </x:c>
      <x:c r="J11" s="90" t="n">
        <x:f>(M11-I11)*'Assumptions &amp; Sources'!$D$50/SUM('Assumptions &amp; Sources'!$D$50:$D$52)</x:f>
        <x:v>590.5436061803808</x:v>
      </x:c>
      <x:c r="K11" s="90" t="n">
        <x:f>(M11-I11)*'Assumptions &amp; Sources'!$D$51/SUM('Assumptions &amp; Sources'!$D$50:$D$52)</x:f>
        <x:v>554.4713950380022</x:v>
      </x:c>
      <x:c r="L11" s="90" t="n">
        <x:f>(M11-I11)*'Assumptions &amp; Sources'!$D$52/SUM('Assumptions &amp; Sources'!$D$50:$D$52)</x:f>
        <x:v>521.3844592069001</x:v>
      </x:c>
      <x:c r="M11" s="114" t="n">
        <x:f>H11*(1+'Assumptions &amp; Sources'!$H$17)</x:f>
        <x:v>2173.2999999999997</x:v>
      </x:c>
      <x:c r="N11" s="114" t="n">
        <x:f>R11*'Assumptions &amp; Sources'!$D$49</x:f>
        <x:v>570.5871674048053</x:v>
      </x:c>
      <x:c r="O11" s="90" t="n">
        <x:f>R11*'Assumptions &amp; Sources'!$D$50</x:f>
        <x:v>630.7438624218037</x:v>
      </x:c>
      <x:c r="P11" s="90" t="n">
        <x:f>R11*'Assumptions &amp; Sources'!$D$51</x:f>
        <x:v>592.2160965736556</x:v>
      </x:c>
      <x:c r="Q11" s="90" t="n">
        <x:f>R11*'Assumptions &amp; Sources'!$D$52</x:f>
        <x:v>556.8768235997353</x:v>
      </x:c>
      <x:c r="R11" s="114" t="n">
        <x:f>M11*(1+'Assumptions &amp; Sources'!$I$17)</x:f>
        <x:v>2350.42395</x:v>
      </x:c>
      <x:c r="S11" s="114" t="n">
        <x:f>R11*(1+'Assumptions &amp; Sources'!$J$17)</x:f>
        <x:v>2529.8788185824997</x:v>
      </x:c>
      <x:c r="T11" s="90" t="n">
        <x:f>S11*(1+'Assumptions &amp; Sources'!$K$17)</x:f>
        <x:v>2710.006190465574</x:v>
      </x:c>
      <x:c r="U11" s="90" t="n">
        <x:f>T11*(1+'Assumptions &amp; Sources'!$L$17)</x:f>
        <x:v>2897.3218183505546</x:v>
      </x:c>
      <x:c r="V11" s="90" t="n">
        <x:f>U11*(1+'Assumptions &amp; Sources'!$M$17)</x:f>
        <x:v>3082.692468288623</x:v>
      </x:c>
      <x:c r="W11" s="90" t="n">
        <x:f>V11*(1+'Assumptions &amp; Sources'!$N$17)</x:f>
        <x:v>3254.5525733957134</x:v>
      </x:c>
      <x:c r="X11" s="90" t="n">
        <x:f>W11*(1+'Assumptions &amp; Sources'!$O$17)</x:f>
        <x:v>3435.9938793625242</x:v>
      </x:c>
      <x:c r="Y11" s="90" t="n">
        <x:f>X11*(1+'Assumptions &amp; Sources'!$P$17)</x:f>
        <x:v>3609.9410695052516</x:v>
      </x:c>
    </x:row>
    <x:row r="12" ht="20" customHeight="1">
      <x:c r="B12" s="87"/>
      <x:c r="C12" s="87" t="str">
        <x:v>Ganaton</x:v>
      </x:c>
      <x:c r="D12" s="107" t="n">
        <x:f>E12/(1+'Assumptions &amp; Sources'!$D$18)</x:f>
        <x:v>717.223402794712</x:v>
      </x:c>
      <x:c r="E12" s="88" t="n">
        <x:f>F12/(1+'Assumptions &amp; Sources'!$E$18)</x:f>
        <x:v>781.7735090462361</x:v>
      </x:c>
      <x:c r="F12" s="88" t="n">
        <x:f>G12/(1+'Assumptions &amp; Sources'!$F$18)</x:f>
        <x:v>859.9508599508598</x:v>
      </x:c>
      <x:c r="G12" s="88" t="n">
        <x:f>H12/(1+'Assumptions &amp; Sources'!$G$18)</x:f>
        <x:v>945.9459459459458</x:v>
      </x:c>
      <x:c r="H12" s="89" t="n">
        <x:f>'Assumptions &amp; Sources'!$C$18</x:f>
        <x:v>1050</x:v>
      </x:c>
      <x:c r="I12" s="114" t="n">
        <x:f>'Assumptions &amp; Sources'!$G$6*M12/$M$41</x:f>
        <x:v>272.4290103685918</x:v>
      </x:c>
      <x:c r="J12" s="90" t="n">
        <x:f>(M12-I12)*'Assumptions &amp; Sources'!$D$50/SUM('Assumptions &amp; Sources'!$D$50:$D$52)</x:f>
        <x:v>317.382203511162</x:v>
      </x:c>
      <x:c r="K12" s="90" t="n">
        <x:f>(M12-I12)*'Assumptions &amp; Sources'!$D$51/SUM('Assumptions &amp; Sources'!$D$50:$D$52)</x:f>
        <x:v>297.99552700146666</x:v>
      </x:c>
      <x:c r="L12" s="90" t="n">
        <x:f>(M12-I12)*'Assumptions &amp; Sources'!$D$52/SUM('Assumptions &amp; Sources'!$D$50:$D$52)</x:f>
        <x:v>280.2132591187795</x:v>
      </x:c>
      <x:c r="M12" s="114" t="n">
        <x:f>H12*(1+'Assumptions &amp; Sources'!$H$18)</x:f>
        <x:v>1168.02</x:v>
      </x:c>
      <x:c r="N12" s="114" t="n">
        <x:f>R12*'Assumptions &amp; Sources'!$D$49</x:f>
        <x:v>313.95815230188583</x:v>
      </x:c>
      <x:c r="O12" s="90" t="n">
        <x:f>R12*'Assumptions &amp; Sources'!$D$50</x:f>
        <x:v>347.0585897022342</x:v>
      </x:c>
      <x:c r="P12" s="90" t="n">
        <x:f>R12*'Assumptions &amp; Sources'!$D$51</x:f>
        <x:v>325.8591886834191</x:v>
      </x:c>
      <x:c r="Q12" s="90" t="n">
        <x:f>R12*'Assumptions &amp; Sources'!$D$52</x:f>
        <x:v>306.41421431246107</x:v>
      </x:c>
      <x:c r="R12" s="114" t="n">
        <x:f>M12*(1+'Assumptions &amp; Sources'!$I$18)</x:f>
        <x:v>1293.2901450000002</x:v>
      </x:c>
      <x:c r="S12" s="114" t="n">
        <x:f>R12*(1+'Assumptions &amp; Sources'!$J$18)</x:f>
        <x:v>1418.6746245577501</x:v>
      </x:c>
      <x:c r="T12" s="90" t="n">
        <x:f>S12*(1+'Assumptions &amp; Sources'!$K$18)</x:f>
        <x:v>1541.602780775679</x:v>
      </x:c>
      <x:c r="U12" s="90" t="n">
        <x:f>T12*(1+'Assumptions &amp; Sources'!$L$18)</x:f>
        <x:v>1664.0060415692683</x:v>
      </x:c>
      <x:c r="V12" s="90" t="n">
        <x:f>U12*(1+'Assumptions &amp; Sources'!$M$18)</x:f>
        <x:v>1787.575130216202</x:v>
      </x:c>
      <x:c r="W12" s="90" t="n">
        <x:f>V12*(1+'Assumptions &amp; Sources'!$N$18)</x:f>
        <x:v>1905.555088810471</x:v>
      </x:c>
      <x:c r="X12" s="90" t="n">
        <x:f>W12*(1+'Assumptions &amp; Sources'!$O$18)</x:f>
        <x:v>2021.555754841808</x:v>
      </x:c>
      <x:c r="Y12" s="90" t="n">
        <x:f>X12*(1+'Assumptions &amp; Sources'!$P$18)</x:f>
        <x:v>2134.257488174239</x:v>
      </x:c>
    </x:row>
    <x:row r="13" ht="20" customHeight="1">
      <x:c r="B13" s="87"/>
      <x:c r="C13" s="87" t="str">
        <x:v>Recent GI launches</x:v>
      </x:c>
      <x:c r="D13" s="107" t="n">
        <x:f>E13/(1+'Assumptions &amp; Sources'!$D$19)</x:f>
        <x:v>12.5</x:v>
      </x:c>
      <x:c r="E13" s="88" t="n">
        <x:f>F13/(1+'Assumptions &amp; Sources'!$E$19)</x:f>
        <x:v>25</x:v>
      </x:c>
      <x:c r="F13" s="88" t="n">
        <x:f>G13/(1+'Assumptions &amp; Sources'!$F$19)</x:f>
        <x:v>50</x:v>
      </x:c>
      <x:c r="G13" s="88" t="n">
        <x:f>H13/(1+'Assumptions &amp; Sources'!$G$19)</x:f>
        <x:v>100</x:v>
      </x:c>
      <x:c r="H13" s="89" t="n">
        <x:f>'Assumptions &amp; Sources'!$C$19</x:f>
        <x:v>200</x:v>
      </x:c>
      <x:c r="I13" s="114" t="n">
        <x:f>'Assumptions &amp; Sources'!$G$6*M13/$M$41</x:f>
        <x:v>71.37144669850609</x:v>
      </x:c>
      <x:c r="J13" s="90" t="n">
        <x:f>(M13-I13)*'Assumptions &amp; Sources'!$D$50/SUM('Assumptions &amp; Sources'!$D$50:$D$52)</x:f>
        <x:v>83.14836584511873</x:v>
      </x:c>
      <x:c r="K13" s="90" t="n">
        <x:f>(M13-I13)*'Assumptions &amp; Sources'!$D$51/SUM('Assumptions &amp; Sources'!$D$50:$D$52)</x:f>
        <x:v>78.06940913892639</x:v>
      </x:c>
      <x:c r="L13" s="90" t="n">
        <x:f>(M13-I13)*'Assumptions &amp; Sources'!$D$52/SUM('Assumptions &amp; Sources'!$D$50:$D$52)</x:f>
        <x:v>73.41077831744879</x:v>
      </x:c>
      <x:c r="M13" s="114" t="n">
        <x:f>H13*(1+'Assumptions &amp; Sources'!$H$19)</x:f>
        <x:v>306</x:v>
      </x:c>
      <x:c r="N13" s="114" t="n">
        <x:f>R13*'Assumptions &amp; Sources'!$D$49</x:f>
        <x:v>102.2895252713978</x:v>
      </x:c>
      <x:c r="O13" s="90" t="n">
        <x:f>R13*'Assumptions &amp; Sources'!$D$50</x:f>
        <x:v>113.07385433924637</x:v>
      </x:c>
      <x:c r="P13" s="90" t="n">
        <x:f>R13*'Assumptions &amp; Sources'!$D$51</x:f>
        <x:v>106.16695719275187</x:v>
      </x:c>
      <x:c r="Q13" s="90" t="n">
        <x:f>R13*'Assumptions &amp; Sources'!$D$52</x:f>
        <x:v>99.83166319660405</x:v>
      </x:c>
      <x:c r="R13" s="114" t="n">
        <x:f>M13*(1+'Assumptions &amp; Sources'!$I$19)</x:f>
        <x:v>421.3620000000001</x:v>
      </x:c>
      <x:c r="S13" s="114" t="n">
        <x:f>R13*(1+'Assumptions &amp; Sources'!$J$19)</x:f>
        <x:v>524.3428728000001</x:v>
      </x:c>
      <x:c r="T13" s="90" t="n">
        <x:f>S13*(1+'Assumptions &amp; Sources'!$K$19)</x:f>
        <x:v>609.7058924918401</x:v>
      </x:c>
      <x:c r="U13" s="90" t="n">
        <x:f>T13*(1+'Assumptions &amp; Sources'!$L$19)</x:f>
        <x:v>684.0900113758447</x:v>
      </x:c>
      <x:c r="V13" s="90" t="n">
        <x:f>U13*(1+'Assumptions &amp; Sources'!$M$19)</x:f>
        <x:v>753.5935565316306</x:v>
      </x:c>
      <x:c r="W13" s="90" t="n">
        <x:f>V13*(1+'Assumptions &amp; Sources'!$N$19)</x:f>
        <x:v>814.7853533219991</x:v>
      </x:c>
      <x:c r="X13" s="90" t="n">
        <x:f>W13*(1+'Assumptions &amp; Sources'!$O$19)</x:f>
        <x:v>872.6351134078611</x:v>
      </x:c>
      <x:c r="Y13" s="90" t="n">
        <x:f>X13*(1+'Assumptions &amp; Sources'!$P$19)</x:f>
        <x:v>925.6913283030591</x:v>
      </x:c>
    </x:row>
    <x:row r="14" ht="20" customHeight="1">
      <x:c r="B14" s="87"/>
      <x:c r="C14" s="87" t="str">
        <x:v>Other GI products</x:v>
      </x:c>
      <x:c r="D14" s="107" t="n">
        <x:f>E14/(1+'Assumptions &amp; Sources'!$D$20)</x:f>
        <x:v>2899.0018057805955</x:v>
      </x:c>
      <x:c r="E14" s="88" t="n">
        <x:f>F14/(1+'Assumptions &amp; Sources'!$E$20)</x:f>
        <x:v>3101.931932185237</x:v>
      </x:c>
      <x:c r="F14" s="88" t="n">
        <x:f>G14/(1+'Assumptions &amp; Sources'!$F$20)</x:f>
        <x:v>3319.067167438204</x:v>
      </x:c>
      <x:c r="G14" s="88" t="n">
        <x:f>H14/(1+'Assumptions &amp; Sources'!$G$20)</x:f>
        <x:v>3551.401869158878</x:v>
      </x:c>
      <x:c r="H14" s="89" t="n">
        <x:f>'Assumptions &amp; Sources'!$C$20</x:f>
        <x:v>3800</x:v>
      </x:c>
      <x:c r="I14" s="114" t="n">
        <x:f>'Assumptions &amp; Sources'!$G$6*M14/$M$41</x:f>
        <x:v>944.8086806742104</x:v>
      </x:c>
      <x:c r="J14" s="90" t="n">
        <x:f>(M14-I14)*'Assumptions &amp; Sources'!$D$50/SUM('Assumptions &amp; Sources'!$D$50:$D$52)</x:f>
        <x:v>1100.71045871048</x:v>
      </x:c>
      <x:c r="K14" s="90" t="n">
        <x:f>(M14-I14)*'Assumptions &amp; Sources'!$D$51/SUM('Assumptions &amp; Sources'!$D$50:$D$52)</x:f>
        <x:v>1033.4756945750423</x:v>
      </x:c>
      <x:c r="L14" s="90" t="n">
        <x:f>(M14-I14)*'Assumptions &amp; Sources'!$D$52/SUM('Assumptions &amp; Sources'!$D$50:$D$52)</x:f>
        <x:v>971.8051660402663</x:v>
      </x:c>
      <x:c r="M14" s="114" t="n">
        <x:f>H14*(1+'Assumptions &amp; Sources'!$H$20)</x:f>
        <x:v>4050.7999999999993</x:v>
      </x:c>
      <x:c r="N14" s="114" t="n">
        <x:f>R14*'Assumptions &amp; Sources'!$D$49</x:f>
        <x:v>1048.2715573814369</x:v>
      </x:c>
      <x:c r="O14" s="90" t="n">
        <x:f>R14*'Assumptions &amp; Sources'!$D$50</x:f>
        <x:v>1158.790258072177</x:v>
      </x:c>
      <x:c r="P14" s="90" t="n">
        <x:f>R14*'Assumptions &amp; Sources'!$D$51</x:f>
        <x:v>1088.0078020072085</x:v>
      </x:c>
      <x:c r="Q14" s="90" t="n">
        <x:f>R14*'Assumptions &amp; Sources'!$D$52</x:f>
        <x:v>1023.0831825391767</x:v>
      </x:c>
      <x:c r="R14" s="114" t="n">
        <x:f>M14*(1+'Assumptions &amp; Sources'!$I$20)</x:f>
        <x:v>4318.152799999999</x:v>
      </x:c>
      <x:c r="S14" s="114" t="n">
        <x:f>R14*(1+'Assumptions &amp; Sources'!$J$20)</x:f>
        <x:v>4581.020351699998</x:v>
      </x:c>
      <x:c r="T14" s="90" t="n">
        <x:f>S14*(1+'Assumptions &amp; Sources'!$K$20)</x:f>
        <x:v>4859.889965609735</x:v>
      </x:c>
      <x:c r="U14" s="90" t="n">
        <x:f>T14*(1+'Assumptions &amp; Sources'!$L$20)</x:f>
        <x:v>5130.828831192477</x:v>
      </x:c>
      <x:c r="V14" s="90" t="n">
        <x:f>U14*(1+'Assumptions &amp; Sources'!$M$20)</x:f>
        <x:v>5416.872538531457</x:v>
      </x:c>
      <x:c r="W14" s="90" t="n">
        <x:f>V14*(1+'Assumptions &amp; Sources'!$N$20)</x:f>
        <x:v>5691.101710794612</x:v>
      </x:c>
      <x:c r="X14" s="90" t="n">
        <x:f>W14*(1+'Assumptions &amp; Sources'!$O$20)</x:f>
        <x:v>5979.213734903588</x:v>
      </x:c>
      <x:c r="Y14" s="90" t="n">
        <x:f>X14*(1+'Assumptions &amp; Sources'!$P$20)</x:f>
        <x:v>6251.267959841701</x:v>
      </x:c>
    </x:row>
    <x:row r="15" ht="20" customHeight="1">
      <x:c r="B15" s="91" t="str">
        <x:v>GI</x:v>
      </x:c>
      <x:c r="C15" s="91" t="str">
        <x:v>GI subtotal</x:v>
      </x:c>
      <x:c r="D15" s="108" t="n">
        <x:f>SUM(D7:D14)</x:f>
        <x:v>18284.155271929245</x:v>
      </x:c>
      <x:c r="E15" s="92" t="n">
        <x:f>SUM(E7:E14)</x:f>
        <x:v>19679.47885807328</x:v>
      </x:c>
      <x:c r="F15" s="92" t="n">
        <x:f>SUM(F7:F14)</x:f>
        <x:v>21421.19237473238</x:v>
      </x:c>
      <x:c r="G15" s="92" t="n">
        <x:f>SUM(G7:G14)</x:f>
        <x:v>23531.672357479965</x:v>
      </x:c>
      <x:c r="H15" s="93" t="n">
        <x:f>SUM(H7:H14)</x:f>
        <x:v>26329.1</x:v>
      </x:c>
      <x:c r="I15" s="108" t="n">
        <x:f>SUM(I7:I14)</x:f>
        <x:v>6761.356488989729</x:v>
      </x:c>
      <x:c r="J15" s="92" t="n">
        <x:f>SUM(J7:J14)</x:f>
        <x:v>7877.040034380487</x:v>
      </x:c>
      <x:c r="K15" s="92" t="n">
        <x:f>SUM(K7:K14)</x:f>
        <x:v>7395.886317155496</x:v>
      </x:c>
      <x:c r="L15" s="92" t="n">
        <x:f>SUM(L7:L14)</x:f>
        <x:v>6954.552069474281</x:v>
      </x:c>
      <x:c r="M15" s="108" t="n">
        <x:f>SUM(M7:M14)</x:f>
        <x:v>28988.834909999998</x:v>
      </x:c>
      <x:c r="N15" s="108" t="n">
        <x:f>SUM(N7:N14)</x:f>
        <x:v>7712.695149625723</x:v>
      </x:c>
      <x:c r="O15" s="92" t="n">
        <x:f>SUM(O7:O14)</x:f>
        <x:v>8525.840408369251</x:v>
      </x:c>
      <x:c r="P15" s="92" t="n">
        <x:f>SUM(P7:P14)</x:f>
        <x:v>8005.055978297922</x:v>
      </x:c>
      <x:c r="Q15" s="92" t="n">
        <x:f>SUM(Q7:Q14)</x:f>
        <x:v>7527.370788676604</x:v>
      </x:c>
      <x:c r="R15" s="108" t="n">
        <x:f>SUM(R7:R14)</x:f>
        <x:v>31770.9623249695</x:v>
      </x:c>
      <x:c r="S15" s="108" t="n">
        <x:f>SUM(S7:S14)</x:f>
        <x:v>34586.62576626831</x:v>
      </x:c>
      <x:c r="T15" s="92" t="n">
        <x:f>SUM(T7:T14)</x:f>
        <x:v>37421.111158559135</x:v>
      </x:c>
      <x:c r="U15" s="92" t="n">
        <x:f>SUM(U7:U14)</x:f>
        <x:v>40227.397207924594</x:v>
      </x:c>
      <x:c r="V15" s="92" t="n">
        <x:f>SUM(V7:V14)</x:f>
        <x:v>43081.82999693992</x:v>
      </x:c>
      <x:c r="W15" s="92" t="n">
        <x:f>SUM(W7:W14)</x:f>
        <x:v>45793.77254254075</x:v>
      </x:c>
      <x:c r="X15" s="92" t="n">
        <x:f>SUM(X7:X14)</x:f>
        <x:v>48547.94924888288</x:v>
      </x:c>
      <x:c r="Y15" s="92" t="n">
        <x:f>SUM(Y7:Y14)</x:f>
        <x:v>51244.5856256512</x:v>
      </x:c>
    </x:row>
    <x:row r="16" ht="20" customHeight="1">
      <x:c r="B16" s="94" t="str">
        <x:v>Metabolics</x:v>
      </x:c>
      <x:c r="C16" s="94"/>
      <x:c r="D16" s="109"/>
      <x:c r="E16" s="95"/>
      <x:c r="F16" s="95"/>
      <x:c r="G16" s="95"/>
      <x:c r="H16" s="96"/>
      <x:c r="I16" s="109"/>
      <x:c r="J16" s="95"/>
      <x:c r="K16" s="95"/>
      <x:c r="L16" s="95"/>
      <x:c r="M16" s="109"/>
      <x:c r="N16" s="109"/>
      <x:c r="O16" s="95"/>
      <x:c r="P16" s="95"/>
      <x:c r="Q16" s="95"/>
      <x:c r="R16" s="109"/>
      <x:c r="S16" s="109"/>
      <x:c r="T16" s="95"/>
      <x:c r="U16" s="95"/>
      <x:c r="V16" s="95"/>
      <x:c r="W16" s="95"/>
      <x:c r="X16" s="95"/>
      <x:c r="Y16" s="95"/>
    </x:row>
    <x:row r="17" ht="20" customHeight="1">
      <x:c r="B17" s="87"/>
      <x:c r="C17" s="87" t="str">
        <x:v>Thyronorm</x:v>
      </x:c>
      <x:c r="D17" s="107" t="n">
        <x:f>E17/(1+'Assumptions &amp; Sources'!$D$21)</x:f>
        <x:v>5297.473577778085</x:v>
      </x:c>
      <x:c r="E17" s="88" t="n">
        <x:f>F17/(1+'Assumptions &amp; Sources'!$E$21)</x:f>
        <x:v>5774.246199778113</x:v>
      </x:c>
      <x:c r="F17" s="88" t="n">
        <x:f>G17/(1+'Assumptions &amp; Sources'!$F$21)</x:f>
        <x:v>6351.670819755925</x:v>
      </x:c>
      <x:c r="G17" s="88" t="n">
        <x:f>H17/(1+'Assumptions &amp; Sources'!$G$21)</x:f>
        <x:v>7050.354609929077</x:v>
      </x:c>
      <x:c r="H17" s="89" t="n">
        <x:f>'Assumptions &amp; Sources'!$C$21</x:f>
        <x:v>7952.8</x:v>
      </x:c>
      <x:c r="I17" s="114" t="n">
        <x:f>'Assumptions &amp; Sources'!$G$6*M17/$M$41</x:f>
        <x:v>2044.2976843170106</x:v>
      </x:c>
      <x:c r="J17" s="90" t="n">
        <x:f>(M17-I17)*'Assumptions &amp; Sources'!$D$50/SUM('Assumptions &amp; Sources'!$D$50:$D$52)</x:f>
        <x:v>2381.624860008306</x:v>
      </x:c>
      <x:c r="K17" s="90" t="n">
        <x:f>(M17-I17)*'Assumptions &amp; Sources'!$D$51/SUM('Assumptions &amp; Sources'!$D$50:$D$52)</x:f>
        <x:v>2236.1479233129385</x:v>
      </x:c>
      <x:c r="L17" s="90" t="n">
        <x:f>(M17-I17)*'Assumptions &amp; Sources'!$D$52/SUM('Assumptions &amp; Sources'!$D$50:$D$52)</x:f>
        <x:v>2102.710412361744</x:v>
      </x:c>
      <x:c r="M17" s="114" t="n">
        <x:f>H17*(1+'Assumptions &amp; Sources'!$H$21)</x:f>
        <x:v>8764.78088</x:v>
      </x:c>
      <x:c r="N17" s="114" t="n">
        <x:f>R17*'Assumptions &amp; Sources'!$D$49</x:f>
        <x:v>2334.0152642278877</x:v>
      </x:c>
      <x:c r="O17" s="90" t="n">
        <x:f>R17*'Assumptions &amp; Sources'!$D$50</x:f>
        <x:v>2580.0892252911653</x:v>
      </x:c>
      <x:c r="P17" s="90" t="n">
        <x:f>R17*'Assumptions &amp; Sources'!$D$51</x:f>
        <x:v>2422.489477657202</x:v>
      </x:c>
      <x:c r="Q17" s="90" t="n">
        <x:f>R17*'Assumptions &amp; Sources'!$D$52</x:f>
        <x:v>2277.9324191397454</x:v>
      </x:c>
      <x:c r="R17" s="114" t="n">
        <x:f>M17*(1+'Assumptions &amp; Sources'!$I$21)</x:f>
        <x:v>9614.526386316</x:v>
      </x:c>
      <x:c r="S17" s="114" t="n">
        <x:f>R17*(1+'Assumptions &amp; Sources'!$J$21)</x:f>
        <x:v>10497.13990857981</x:v>
      </x:c>
      <x:c r="T17" s="90" t="n">
        <x:f>S17*(1+'Assumptions &amp; Sources'!$K$21)</x:f>
        <x:v>11406.71708165825</x:v>
      </x:c>
      <x:c r="U17" s="90" t="n">
        <x:f>T17*(1+'Assumptions &amp; Sources'!$L$21)</x:f>
        <x:v>12312.410417941916</x:v>
      </x:c>
      <x:c r="V17" s="90" t="n">
        <x:f>U17*(1+'Assumptions &amp; Sources'!$M$21)</x:f>
        <x:v>13226.730015578281</x:v>
      </x:c>
      <x:c r="W17" s="90" t="n">
        <x:f>V17*(1+'Assumptions &amp; Sources'!$N$21)</x:f>
        <x:v>14099.694196606446</x:v>
      </x:c>
      <x:c r="X17" s="90" t="n">
        <x:f>W17*(1+'Assumptions &amp; Sources'!$O$21)</x:f>
        <x:v>14958.01308082486</x:v>
      </x:c>
      <x:c r="Y17" s="90" t="n">
        <x:f>X17*(1+'Assumptions &amp; Sources'!$P$21)</x:f>
        <x:v>15791.922310080845</x:v>
      </x:c>
    </x:row>
    <x:row r="18" ht="20" customHeight="1">
      <x:c r="B18" s="87"/>
      <x:c r="C18" s="87" t="str">
        <x:v>Extensior</x:v>
      </x:c>
      <x:c r="D18" s="107" t="n">
        <x:v>0</x:v>
      </x:c>
      <x:c r="E18" s="88" t="n">
        <x:v>0</x:v>
      </x:c>
      <x:c r="F18" s="88" t="n">
        <x:v>0</x:v>
      </x:c>
      <x:c r="G18" s="88" t="n">
        <x:v>0</x:v>
      </x:c>
      <x:c r="H18" s="89" t="n">
        <x:f>'Assumptions &amp; Sources'!$C$22</x:f>
        <x:v>50</x:v>
      </x:c>
      <x:c r="I18" s="114" t="n">
        <x:f>'Assumptions &amp; Sources'!$G$6*M18/$M$41</x:f>
        <x:v>237.90482232835362</x:v>
      </x:c>
      <x:c r="J18" s="90" t="n">
        <x:f>(M18-I18)*'Assumptions &amp; Sources'!$D$50/SUM('Assumptions &amp; Sources'!$D$50:$D$52)</x:f>
        <x:v>277.1612194837291</x:v>
      </x:c>
      <x:c r="K18" s="90" t="n">
        <x:f>(M18-I18)*'Assumptions &amp; Sources'!$D$51/SUM('Assumptions &amp; Sources'!$D$50:$D$52)</x:f>
        <x:v>260.23136379642125</x:v>
      </x:c>
      <x:c r="L18" s="90" t="n">
        <x:f>(M18-I18)*'Assumptions &amp; Sources'!$D$52/SUM('Assumptions &amp; Sources'!$D$50:$D$52)</x:f>
        <x:v>244.70259439149595</x:v>
      </x:c>
      <x:c r="M18" s="116" t="n">
        <x:f>'Assumptions &amp; Sources'!$D$43</x:f>
        <x:v>1020</x:v>
      </x:c>
      <x:c r="N18" s="116" t="n">
        <x:f>R18*'Assumptions &amp; Sources'!$D$49</x:f>
        <x:v>509.7944358293708</x:v>
      </x:c>
      <x:c r="O18" s="89" t="n">
        <x:f>R18*'Assumptions &amp; Sources'!$D$50</x:f>
        <x:v>563.5417861895884</x:v>
      </x:c>
      <x:c r="P18" s="89" t="n">
        <x:f>R18*'Assumptions &amp; Sources'!$D$51</x:f>
        <x:v>529.1189288658657</x:v>
      </x:c>
      <x:c r="Q18" s="89" t="n">
        <x:f>R18*'Assumptions &amp; Sources'!$D$52</x:f>
        <x:v>497.5448491151753</x:v>
      </x:c>
      <x:c r="R18" s="116" t="n">
        <x:f>'Assumptions &amp; Sources'!$E$43</x:f>
        <x:v>2100</x:v>
      </x:c>
      <x:c r="S18" s="116" t="n">
        <x:f>'Assumptions &amp; Sources'!$F$43</x:f>
        <x:v>3250</x:v>
      </x:c>
      <x:c r="T18" s="89" t="n">
        <x:f>'Assumptions &amp; Sources'!$G$43</x:f>
        <x:v>4350</x:v>
      </x:c>
      <x:c r="U18" s="89" t="n">
        <x:f>'Assumptions &amp; Sources'!$H$43</x:f>
        <x:v>5200</x:v>
      </x:c>
      <x:c r="V18" s="89" t="n">
        <x:f>'Assumptions &amp; Sources'!$I$43</x:f>
        <x:v>5760</x:v>
      </x:c>
      <x:c r="W18" s="89" t="n">
        <x:f>'Assumptions &amp; Sources'!$J$43</x:f>
        <x:v>6075</x:v>
      </x:c>
      <x:c r="X18" s="89" t="n">
        <x:f>'Assumptions &amp; Sources'!$K$43</x:f>
        <x:v>6235</x:v>
      </x:c>
      <x:c r="Y18" s="89" t="n">
        <x:f>'Assumptions &amp; Sources'!$L$43</x:f>
        <x:v>6300</x:v>
      </x:c>
    </x:row>
    <x:row r="19" ht="20" customHeight="1">
      <x:c r="B19" s="87"/>
      <x:c r="C19" s="87" t="str">
        <x:v>Other metabolic products</x:v>
      </x:c>
      <x:c r="D19" s="107" t="n">
        <x:f>E19/(1+'Assumptions &amp; Sources'!$D$23)</x:f>
        <x:v>1144.3428180712876</x:v>
      </x:c>
      <x:c r="E19" s="88" t="n">
        <x:f>F19/(1+'Assumptions &amp; Sources'!$E$23)</x:f>
        <x:v>1224.4468153362777</x:v>
      </x:c>
      <x:c r="F19" s="88" t="n">
        <x:f>G19/(1+'Assumptions &amp; Sources'!$F$23)</x:f>
        <x:v>1310.1580924098173</x:v>
      </x:c>
      <x:c r="G19" s="88" t="n">
        <x:f>H19/(1+'Assumptions &amp; Sources'!$G$23)</x:f>
        <x:v>1401.8691588785045</x:v>
      </x:c>
      <x:c r="H19" s="89" t="n">
        <x:f>'Assumptions &amp; Sources'!$C$23</x:f>
        <x:v>1500</x:v>
      </x:c>
      <x:c r="I19" s="114" t="n">
        <x:f>'Assumptions &amp; Sources'!$G$6*M19/$M$41</x:f>
        <x:v>374.7438276712614</x:v>
      </x:c>
      <x:c r="J19" s="90" t="n">
        <x:f>(M19-I19)*'Assumptions &amp; Sources'!$D$50/SUM('Assumptions &amp; Sources'!$D$50:$D$52)</x:f>
        <x:v>436.5798694404548</x:v>
      </x:c>
      <x:c r="K19" s="90" t="n">
        <x:f>(M19-I19)*'Assumptions &amp; Sources'!$D$51/SUM('Assumptions &amp; Sources'!$D$50:$D$52)</x:f>
        <x:v>409.9122346271201</x:v>
      </x:c>
      <x:c r="L19" s="90" t="n">
        <x:f>(M19-I19)*'Assumptions &amp; Sources'!$D$52/SUM('Assumptions &amp; Sources'!$D$50:$D$52)</x:f>
        <x:v>385.4515682611633</x:v>
      </x:c>
      <x:c r="M19" s="114" t="n">
        <x:f>H19*(1+'Assumptions &amp; Sources'!$H$23)</x:f>
        <x:v>1606.6874999999998</x:v>
      </x:c>
      <x:c r="N19" s="114" t="n">
        <x:f>R19*'Assumptions &amp; Sources'!$D$49</x:f>
        <x:v>417.7797320670632</x:v>
      </x:c>
      <x:c r="O19" s="90" t="n">
        <x:f>R19*'Assumptions &amp; Sources'!$D$50</x:f>
        <x:v>461.82602220806007</x:v>
      </x:c>
      <x:c r="P19" s="90" t="n">
        <x:f>R19*'Assumptions &amp; Sources'!$D$51</x:f>
        <x:v>433.6162751042273</x:v>
      </x:c>
      <x:c r="Q19" s="90" t="n">
        <x:f>R19*'Assumptions &amp; Sources'!$D$52</x:f>
        <x:v>407.7411190581489</x:v>
      </x:c>
      <x:c r="R19" s="114" t="n">
        <x:f>M19*(1+'Assumptions &amp; Sources'!$I$23)</x:f>
        <x:v>1720.9631484374995</x:v>
      </x:c>
      <x:c r="S19" s="114" t="n">
        <x:f>R19*(1+'Assumptions &amp; Sources'!$J$23)</x:f>
        <x:v>1834.5467162343741</x:v>
      </x:c>
      <x:c r="T19" s="90" t="n">
        <x:f>S19*(1+'Assumptions &amp; Sources'!$K$23)</x:f>
        <x:v>1955.6267995058424</x:v>
      </x:c>
      <x:c r="U19" s="90" t="n">
        <x:f>T19*(1+'Assumptions &amp; Sources'!$L$23)</x:f>
        <x:v>2074.67558092576</x:v>
      </x:c>
      <x:c r="V19" s="90" t="n">
        <x:f>U19*(1+'Assumptions &amp; Sources'!$M$23)</x:f>
        <x:v>2200.9714569146154</x:v>
      </x:c>
      <x:c r="W19" s="90" t="n">
        <x:f>V19*(1+'Assumptions &amp; Sources'!$N$23)</x:f>
        <x:v>2323.675615637605</x:v>
      </x:c>
      <x:c r="X19" s="90" t="n">
        <x:f>W19*(1+'Assumptions &amp; Sources'!$O$23)</x:f>
        <x:v>2453.2205312094015</x:v>
      </x:c>
      <x:c r="Y19" s="90" t="n">
        <x:f>X19*(1+'Assumptions &amp; Sources'!$P$23)</x:f>
        <x:v>2577.414820601877</x:v>
      </x:c>
    </x:row>
    <x:row r="20" ht="20" customHeight="1">
      <x:c r="B20" s="91" t="str">
        <x:v>Metabolics</x:v>
      </x:c>
      <x:c r="C20" s="91" t="str">
        <x:v>Metabolics subtotal</x:v>
      </x:c>
      <x:c r="D20" s="108" t="n">
        <x:f>SUM(D17:D19)</x:f>
        <x:v>6441.816395849373</x:v>
      </x:c>
      <x:c r="E20" s="92" t="n">
        <x:f>SUM(E17:E19)</x:f>
        <x:v>6998.693015114391</x:v>
      </x:c>
      <x:c r="F20" s="92" t="n">
        <x:f>SUM(F17:F19)</x:f>
        <x:v>7661.828912165742</x:v>
      </x:c>
      <x:c r="G20" s="92" t="n">
        <x:f>SUM(G17:G19)</x:f>
        <x:v>8452.223768807582</x:v>
      </x:c>
      <x:c r="H20" s="93" t="n">
        <x:f>SUM(H17:H19)</x:f>
        <x:v>9502.8</x:v>
      </x:c>
      <x:c r="I20" s="108" t="n">
        <x:f>SUM(I17:I19)</x:f>
        <x:v>2656.946334316626</x:v>
      </x:c>
      <x:c r="J20" s="92" t="n">
        <x:f>SUM(J17:J19)</x:f>
        <x:v>3095.3659489324896</x:v>
      </x:c>
      <x:c r="K20" s="92" t="n">
        <x:f>SUM(K17:K19)</x:f>
        <x:v>2906.29152173648</x:v>
      </x:c>
      <x:c r="L20" s="92" t="n">
        <x:f>SUM(L17:L19)</x:f>
        <x:v>2732.8645750144033</x:v>
      </x:c>
      <x:c r="M20" s="108" t="n">
        <x:f>SUM(M17:M19)</x:f>
        <x:v>11391.46838</x:v>
      </x:c>
      <x:c r="N20" s="108" t="n">
        <x:f>SUM(N17:N19)</x:f>
        <x:v>3261.589432124322</x:v>
      </x:c>
      <x:c r="O20" s="92" t="n">
        <x:f>SUM(O17:O19)</x:f>
        <x:v>3605.4570336888137</x:v>
      </x:c>
      <x:c r="P20" s="92" t="n">
        <x:f>SUM(P17:P19)</x:f>
        <x:v>3385.224681627295</x:v>
      </x:c>
      <x:c r="Q20" s="92" t="n">
        <x:f>SUM(Q17:Q19)</x:f>
        <x:v>3183.2183873130693</x:v>
      </x:c>
      <x:c r="R20" s="108" t="n">
        <x:f>SUM(R17:R19)</x:f>
        <x:v>13435.489534753498</x:v>
      </x:c>
      <x:c r="S20" s="108" t="n">
        <x:f>SUM(S17:S19)</x:f>
        <x:v>15581.686624814183</x:v>
      </x:c>
      <x:c r="T20" s="92" t="n">
        <x:f>SUM(T17:T19)</x:f>
        <x:v>17712.34388116409</x:v>
      </x:c>
      <x:c r="U20" s="92" t="n">
        <x:f>SUM(U17:U19)</x:f>
        <x:v>19587.085998867675</x:v>
      </x:c>
      <x:c r="V20" s="92" t="n">
        <x:f>SUM(V17:V19)</x:f>
        <x:v>21187.701472492896</x:v>
      </x:c>
      <x:c r="W20" s="92" t="n">
        <x:f>SUM(W17:W19)</x:f>
        <x:v>22498.369812244055</x:v>
      </x:c>
      <x:c r="X20" s="92" t="n">
        <x:f>SUM(X17:X19)</x:f>
        <x:v>23646.23361203426</x:v>
      </x:c>
      <x:c r="Y20" s="92" t="n">
        <x:f>SUM(Y17:Y19)</x:f>
        <x:v>24669.33713068272</x:v>
      </x:c>
    </x:row>
    <x:row r="21" ht="20" customHeight="1">
      <x:c r="B21" s="94" t="str">
        <x:v>Women's Health</x:v>
      </x:c>
      <x:c r="C21" s="94"/>
      <x:c r="D21" s="109"/>
      <x:c r="E21" s="95"/>
      <x:c r="F21" s="95"/>
      <x:c r="G21" s="95"/>
      <x:c r="H21" s="96"/>
      <x:c r="I21" s="109"/>
      <x:c r="J21" s="95"/>
      <x:c r="K21" s="95"/>
      <x:c r="L21" s="95"/>
      <x:c r="M21" s="109"/>
      <x:c r="N21" s="109"/>
      <x:c r="O21" s="95"/>
      <x:c r="P21" s="95"/>
      <x:c r="Q21" s="95"/>
      <x:c r="R21" s="109"/>
      <x:c r="S21" s="109"/>
      <x:c r="T21" s="95"/>
      <x:c r="U21" s="95"/>
      <x:c r="V21" s="95"/>
      <x:c r="W21" s="95"/>
      <x:c r="X21" s="95"/>
      <x:c r="Y21" s="95"/>
    </x:row>
    <x:row r="22" ht="20" customHeight="1">
      <x:c r="B22" s="87"/>
      <x:c r="C22" s="87" t="str">
        <x:v>Duphaston and Femoston</x:v>
      </x:c>
      <x:c r="D22" s="107" t="n">
        <x:f>E22/(1+'Assumptions &amp; Sources'!$D$24)</x:f>
        <x:v>5341.674892846</x:v>
      </x:c>
      <x:c r="E22" s="88" t="n">
        <x:f>F22/(1+'Assumptions &amp; Sources'!$E$24)</x:f>
        <x:v>5769.00888427368</x:v>
      </x:c>
      <x:c r="F22" s="88" t="n">
        <x:f>G22/(1+'Assumptions &amp; Sources'!$F$24)</x:f>
        <x:v>6230.529595015575</x:v>
      </x:c>
      <x:c r="G22" s="88" t="n">
        <x:f>H22/(1+'Assumptions &amp; Sources'!$G$24)</x:f>
        <x:v>6666.666666666666</x:v>
      </x:c>
      <x:c r="H22" s="89" t="n">
        <x:f>'Assumptions &amp; Sources'!$C$24</x:f>
        <x:v>7000</x:v>
      </x:c>
      <x:c r="I22" s="114" t="n">
        <x:f>'Assumptions &amp; Sources'!$G$6*M22/$M$41</x:f>
        <x:v>1706.967100205937</x:v>
      </x:c>
      <x:c r="J22" s="90" t="n">
        <x:f>(M22-I22)*'Assumptions &amp; Sources'!$D$50/SUM('Assumptions &amp; Sources'!$D$50:$D$52)</x:f>
        <x:v>1988.631749795756</x:v>
      </x:c>
      <x:c r="K22" s="90" t="n">
        <x:f>(M22-I22)*'Assumptions &amp; Sources'!$D$51/SUM('Assumptions &amp; Sources'!$D$50:$D$52)</x:f>
        <x:v>1867.1600352393225</x:v>
      </x:c>
      <x:c r="L22" s="90" t="n">
        <x:f>(M22-I22)*'Assumptions &amp; Sources'!$D$52/SUM('Assumptions &amp; Sources'!$D$50:$D$52)</x:f>
        <x:v>1755.7411147589833</x:v>
      </x:c>
      <x:c r="M22" s="114" t="n">
        <x:f>H22*(1+'Assumptions &amp; Sources'!$H$24)</x:f>
        <x:v>7318.499999999999</x:v>
      </x:c>
      <x:c r="N22" s="114" t="n">
        <x:f>R22*'Assumptions &amp; Sources'!$D$49</x:f>
        <x:v>1866.5312694739441</x:v>
      </x:c>
      <x:c r="O22" s="90" t="n">
        <x:f>R22*'Assumptions &amp; Sources'!$D$50</x:f>
        <x:v>2063.3186469891734</x:v>
      </x:c>
      <x:c r="P22" s="90" t="n">
        <x:f>R22*'Assumptions &amp; Sources'!$D$51</x:f>
        <x:v>1937.2848281326771</x:v>
      </x:c>
      <x:c r="Q22" s="90" t="n">
        <x:f>R22*'Assumptions &amp; Sources'!$D$52</x:f>
        <x:v>1821.6813554042049</x:v>
      </x:c>
      <x:c r="R22" s="114" t="n">
        <x:f>M22*(1+'Assumptions &amp; Sources'!$I$24)</x:f>
        <x:v>7688.816099999999</x:v>
      </x:c>
      <x:c r="S22" s="114" t="n">
        <x:f>R22*(1+'Assumptions &amp; Sources'!$J$24)</x:f>
        <x:v>8117.083156769998</x:v>
      </x:c>
      <x:c r="T22" s="90" t="n">
        <x:f>S22*(1+'Assumptions &amp; Sources'!$K$24)</x:f>
        <x:v>8569.204688602085</x:v>
      </x:c>
      <x:c r="U22" s="90" t="n">
        <x:f>T22*(1+'Assumptions &amp; Sources'!$L$24)</x:f>
        <x:v>9046.50938975722</x:v>
      </x:c>
      <x:c r="V22" s="90" t="n">
        <x:f>U22*(1+'Assumptions &amp; Sources'!$M$24)</x:f>
        <x:v>9504.262764878935</x:v>
      </x:c>
      <x:c r="W22" s="90" t="n">
        <x:f>V22*(1+'Assumptions &amp; Sources'!$N$24)</x:f>
        <x:v>9985.178460781808</x:v>
      </x:c>
      <x:c r="X22" s="90" t="n">
        <x:f>W22*(1+'Assumptions &amp; Sources'!$O$24)</x:f>
        <x:v>10439.50408074738</x:v>
      </x:c>
      <x:c r="Y22" s="90" t="n">
        <x:f>X22*(1+'Assumptions &amp; Sources'!$P$24)</x:f>
        <x:v>10914.501516421384</x:v>
      </x:c>
    </x:row>
    <x:row r="23" ht="20" customHeight="1">
      <x:c r="B23" s="87"/>
      <x:c r="C23" s="87" t="str">
        <x:v>Other Women's Health</x:v>
      </x:c>
      <x:c r="D23" s="107" t="n">
        <x:f>E23/(1+'Assumptions &amp; Sources'!$D$25)</x:f>
        <x:v>1470.0597055929063</x:v>
      </x:c>
      <x:c r="E23" s="88" t="n">
        <x:f>F23/(1+'Assumptions &amp; Sources'!$E$25)</x:f>
        <x:v>1587.664482040339</x:v>
      </x:c>
      <x:c r="F23" s="88" t="n">
        <x:f>G23/(1+'Assumptions &amp; Sources'!$F$25)</x:f>
        <x:v>1714.6776406035663</x:v>
      </x:c>
      <x:c r="G23" s="88" t="n">
        <x:f>H23/(1+'Assumptions &amp; Sources'!$G$25)</x:f>
        <x:v>1851.8518518518517</x:v>
      </x:c>
      <x:c r="H23" s="89" t="n">
        <x:f>'Assumptions &amp; Sources'!$C$25</x:f>
        <x:v>2000</x:v>
      </x:c>
      <x:c r="I23" s="114" t="n">
        <x:f>'Assumptions &amp; Sources'!$G$6*M23/$M$41</x:f>
        <x:v>502.0491471193933</x:v>
      </x:c>
      <x:c r="J23" s="90" t="n">
        <x:f>(M23-I23)*'Assumptions &amp; Sources'!$D$50/SUM('Assumptions &amp; Sources'!$D$50:$D$52)</x:f>
        <x:v>584.891691116399</x:v>
      </x:c>
      <x:c r="K23" s="90" t="n">
        <x:f>(M23-I23)*'Assumptions &amp; Sources'!$D$51/SUM('Assumptions &amp; Sources'!$D$50:$D$52)</x:f>
        <x:v>549.1647162468597</x:v>
      </x:c>
      <x:c r="L23" s="90" t="n">
        <x:f>(M23-I23)*'Assumptions &amp; Sources'!$D$52/SUM('Assumptions &amp; Sources'!$D$50:$D$52)</x:f>
        <x:v>516.3944455173481</x:v>
      </x:c>
      <x:c r="M23" s="114" t="n">
        <x:f>H23*(1+'Assumptions &amp; Sources'!$H$25)</x:f>
        <x:v>2152.5</x:v>
      </x:c>
      <x:c r="N23" s="114" t="n">
        <x:f>R23*'Assumptions &amp; Sources'!$D$49</x:f>
        <x:v>562.3829181003942</x:v>
      </x:c>
      <x:c r="O23" s="90" t="n">
        <x:f>R23*'Assumptions &amp; Sources'!$D$50</x:f>
        <x:v>621.674643571208</x:v>
      </x:c>
      <x:c r="P23" s="90" t="n">
        <x:f>R23*'Assumptions &amp; Sources'!$D$51</x:f>
        <x:v>583.700853371685</x:v>
      </x:c>
      <x:c r="Q23" s="90" t="n">
        <x:f>R23*'Assumptions &amp; Sources'!$D$52</x:f>
        <x:v>548.8697099567125</x:v>
      </x:c>
      <x:c r="R23" s="114" t="n">
        <x:f>M23*(1+'Assumptions &amp; Sources'!$I$25)</x:f>
        <x:v>2316.6281249999997</x:v>
      </x:c>
      <x:c r="S23" s="114" t="n">
        <x:f>R23*(1+'Assumptions &amp; Sources'!$J$25)</x:f>
        <x:v>2493.2710195312497</x:v>
      </x:c>
      <x:c r="T23" s="90" t="n">
        <x:f>S23*(1+'Assumptions &amp; Sources'!$K$25)</x:f>
        <x:v>2670.6049207954097</x:v>
      </x:c>
      <x:c r="U23" s="90" t="n">
        <x:f>T23*(1+'Assumptions &amp; Sources'!$L$25)</x:f>
        <x:v>2860.551695786983</x:v>
      </x:c>
      <x:c r="V23" s="90" t="n">
        <x:f>U23*(1+'Assumptions &amp; Sources'!$M$25)</x:f>
        <x:v>3049.3481077089236</x:v>
      </x:c>
      <x:c r="W23" s="90" t="n">
        <x:f>V23*(1+'Assumptions &amp; Sources'!$N$25)</x:f>
        <x:v>3250.605082817712</x:v>
      </x:c>
      <x:c r="X23" s="90" t="n">
        <x:f>W23*(1+'Assumptions &amp; Sources'!$O$25)</x:f>
        <x:v>3448.48566723424</x:v>
      </x:c>
      <x:c r="Y23" s="90" t="n">
        <x:f>X23*(1+'Assumptions &amp; Sources'!$P$25)</x:f>
        <x:v>3658.4122322271232</x:v>
      </x:c>
    </x:row>
    <x:row r="24" ht="20" customHeight="1">
      <x:c r="B24" s="91" t="str">
        <x:v>Women's Health</x:v>
      </x:c>
      <x:c r="C24" s="91" t="str">
        <x:v>Women's Health subtotal</x:v>
      </x:c>
      <x:c r="D24" s="108" t="n">
        <x:f>SUM(D22:D23)</x:f>
        <x:v>6811.734598438907</x:v>
      </x:c>
      <x:c r="E24" s="92" t="n">
        <x:f>SUM(E22:E23)</x:f>
        <x:v>7356.673366314019</x:v>
      </x:c>
      <x:c r="F24" s="92" t="n">
        <x:f>SUM(F22:F23)</x:f>
        <x:v>7945.207235619141</x:v>
      </x:c>
      <x:c r="G24" s="92" t="n">
        <x:f>SUM(G22:G23)</x:f>
        <x:v>8518.518518518518</x:v>
      </x:c>
      <x:c r="H24" s="93" t="n">
        <x:f>SUM(H22:H23)</x:f>
        <x:v>9000</x:v>
      </x:c>
      <x:c r="I24" s="108" t="n">
        <x:f>SUM(I22:I23)</x:f>
        <x:v>2209.0162473253304</x:v>
      </x:c>
      <x:c r="J24" s="92" t="n">
        <x:f>SUM(J22:J23)</x:f>
        <x:v>2573.523440912155</x:v>
      </x:c>
      <x:c r="K24" s="92" t="n">
        <x:f>SUM(K22:K23)</x:f>
        <x:v>2416.3247514861823</x:v>
      </x:c>
      <x:c r="L24" s="92" t="n">
        <x:f>SUM(L22:L23)</x:f>
        <x:v>2272.1355602763315</x:v>
      </x:c>
      <x:c r="M24" s="108" t="n">
        <x:f>SUM(M22:M23)</x:f>
        <x:v>9471</x:v>
      </x:c>
      <x:c r="N24" s="108" t="n">
        <x:f>SUM(N22:N23)</x:f>
        <x:v>2428.9141875743385</x:v>
      </x:c>
      <x:c r="O24" s="92" t="n">
        <x:f>SUM(O22:O23)</x:f>
        <x:v>2684.9932905603814</x:v>
      </x:c>
      <x:c r="P24" s="92" t="n">
        <x:f>SUM(P22:P23)</x:f>
        <x:v>2520.985681504362</x:v>
      </x:c>
      <x:c r="Q24" s="92" t="n">
        <x:f>SUM(Q22:Q23)</x:f>
        <x:v>2370.551065360917</x:v>
      </x:c>
      <x:c r="R24" s="108" t="n">
        <x:f>SUM(R22:R23)</x:f>
        <x:v>10005.444225</x:v>
      </x:c>
      <x:c r="S24" s="108" t="n">
        <x:f>SUM(S22:S23)</x:f>
        <x:v>10610.354176301247</x:v>
      </x:c>
      <x:c r="T24" s="92" t="n">
        <x:f>SUM(T22:T23)</x:f>
        <x:v>11239.809609397495</x:v>
      </x:c>
      <x:c r="U24" s="92" t="n">
        <x:f>SUM(U22:U23)</x:f>
        <x:v>11907.061085544203</x:v>
      </x:c>
      <x:c r="V24" s="92" t="n">
        <x:f>SUM(V22:V23)</x:f>
        <x:v>12553.610872587858</x:v>
      </x:c>
      <x:c r="W24" s="92" t="n">
        <x:f>SUM(W22:W23)</x:f>
        <x:v>13235.78354359952</x:v>
      </x:c>
      <x:c r="X24" s="92" t="n">
        <x:f>SUM(X22:X23)</x:f>
        <x:v>13887.989747981619</x:v>
      </x:c>
      <x:c r="Y24" s="92" t="n">
        <x:f>SUM(Y22:Y23)</x:f>
        <x:v>14572.913748648507</x:v>
      </x:c>
    </x:row>
    <x:row r="25" ht="20" customHeight="1">
      <x:c r="B25" s="94" t="str">
        <x:v>CNS</x:v>
      </x:c>
      <x:c r="C25" s="94"/>
      <x:c r="D25" s="109"/>
      <x:c r="E25" s="95"/>
      <x:c r="F25" s="95"/>
      <x:c r="G25" s="95"/>
      <x:c r="H25" s="96"/>
      <x:c r="I25" s="109"/>
      <x:c r="J25" s="95"/>
      <x:c r="K25" s="95"/>
      <x:c r="L25" s="95"/>
      <x:c r="M25" s="109"/>
      <x:c r="N25" s="109"/>
      <x:c r="O25" s="95"/>
      <x:c r="P25" s="95"/>
      <x:c r="Q25" s="95"/>
      <x:c r="R25" s="109"/>
      <x:c r="S25" s="109"/>
      <x:c r="T25" s="95"/>
      <x:c r="U25" s="95"/>
      <x:c r="V25" s="95"/>
      <x:c r="W25" s="95"/>
      <x:c r="X25" s="95"/>
      <x:c r="Y25" s="95"/>
    </x:row>
    <x:row r="26" ht="20" customHeight="1">
      <x:c r="B26" s="87"/>
      <x:c r="C26" s="87" t="str">
        <x:v>Vertin</x:v>
      </x:c>
      <x:c r="D26" s="107" t="n">
        <x:f>E26/(1+'Assumptions &amp; Sources'!$D$26)</x:f>
        <x:v>2572.6044847875864</x:v>
      </x:c>
      <x:c r="E26" s="88" t="n">
        <x:f>F26/(1+'Assumptions &amp; Sources'!$E$26)</x:f>
        <x:v>2778.4128435705934</x:v>
      </x:c>
      <x:c r="F26" s="88" t="n">
        <x:f>G26/(1+'Assumptions &amp; Sources'!$F$26)</x:f>
        <x:v>3000.685871056241</x:v>
      </x:c>
      <x:c r="G26" s="88" t="n">
        <x:f>H26/(1+'Assumptions &amp; Sources'!$G$26)</x:f>
        <x:v>3240.7407407407404</x:v>
      </x:c>
      <x:c r="H26" s="89" t="n">
        <x:f>'Assumptions &amp; Sources'!$C$26</x:f>
        <x:v>3500</x:v>
      </x:c>
      <x:c r="I26" s="114" t="n">
        <x:f>'Assumptions &amp; Sources'!$G$6*M26/$M$41</x:f>
        <x:v>878.5860074589382</x:v>
      </x:c>
      <x:c r="J26" s="90" t="n">
        <x:f>(M26-I26)*'Assumptions &amp; Sources'!$D$50/SUM('Assumptions &amp; Sources'!$D$50:$D$52)</x:f>
        <x:v>1023.560459453698</x:v>
      </x:c>
      <x:c r="K26" s="90" t="n">
        <x:f>(M26-I26)*'Assumptions &amp; Sources'!$D$51/SUM('Assumptions &amp; Sources'!$D$50:$D$52)</x:f>
        <x:v>961.0382534320041</x:v>
      </x:c>
      <x:c r="L26" s="90" t="n">
        <x:f>(M26-I26)*'Assumptions &amp; Sources'!$D$52/SUM('Assumptions &amp; Sources'!$D$50:$D$52)</x:f>
        <x:v>903.6902796553591</x:v>
      </x:c>
      <x:c r="M26" s="114" t="n">
        <x:f>H26*(1+'Assumptions &amp; Sources'!$H$26)</x:f>
        <x:v>3766.8749999999995</x:v>
      </x:c>
      <x:c r="N26" s="114" t="n">
        <x:f>R26*'Assumptions &amp; Sources'!$D$49</x:f>
        <x:v>984.1701066756899</x:v>
      </x:c>
      <x:c r="O26" s="90" t="n">
        <x:f>R26*'Assumptions &amp; Sources'!$D$50</x:f>
        <x:v>1087.9306262496139</x:v>
      </x:c>
      <x:c r="P26" s="90" t="n">
        <x:f>R26*'Assumptions &amp; Sources'!$D$51</x:f>
        <x:v>1021.4764934004487</x:v>
      </x:c>
      <x:c r="Q26" s="90" t="n">
        <x:f>R26*'Assumptions &amp; Sources'!$D$52</x:f>
        <x:v>960.5219924242468</x:v>
      </x:c>
      <x:c r="R26" s="114" t="n">
        <x:f>M26*(1+'Assumptions &amp; Sources'!$I$26)</x:f>
        <x:v>4054.099218749999</x:v>
      </x:c>
      <x:c r="S26" s="114" t="n">
        <x:f>R26*(1+'Assumptions &amp; Sources'!$J$26)</x:f>
        <x:v>4342.447025683592</x:v>
      </x:c>
      <x:c r="T26" s="90" t="n">
        <x:f>S26*(1+'Assumptions &amp; Sources'!$K$26)</x:f>
        <x:v>4651.3035703853375</x:v>
      </x:c>
      <x:c r="U26" s="90" t="n">
        <x:f>T26*(1+'Assumptions &amp; Sources'!$L$26)</x:f>
        <x:v>4958.289606030769</x:v>
      </x:c>
      <x:c r="V26" s="90" t="n">
        <x:f>U26*(1+'Assumptions &amp; Sources'!$M$26)</x:f>
        <x:v>5285.536720028799</x:v>
      </x:c>
      <x:c r="W26" s="90" t="n">
        <x:f>V26*(1+'Assumptions &amp; Sources'!$N$26)</x:f>
        <x:v>5607.293767860551</x:v>
      </x:c>
      <x:c r="X26" s="90" t="n">
        <x:f>W26*(1+'Assumptions &amp; Sources'!$O$26)</x:f>
        <x:v>5948.637775979061</x:v>
      </x:c>
      <x:c r="Y26" s="90" t="n">
        <x:f>X26*(1+'Assumptions &amp; Sources'!$P$26)</x:f>
        <x:v>6280.274331989894</x:v>
      </x:c>
    </x:row>
    <x:row r="27" ht="20" customHeight="1">
      <x:c r="B27" s="87"/>
      <x:c r="C27" s="87" t="str">
        <x:v>Other CNS</x:v>
      </x:c>
      <x:c r="D27" s="107" t="n">
        <x:f>E27/(1+'Assumptions &amp; Sources'!$D$27)</x:f>
        <x:v>2217.8622570664575</x:v>
      </x:c>
      <x:c r="E27" s="88" t="n">
        <x:f>F27/(1+'Assumptions &amp; Sources'!$E$27)</x:f>
        <x:v>2350.9339924904452</x:v>
      </x:c>
      <x:c r="F27" s="88" t="n">
        <x:f>G27/(1+'Assumptions &amp; Sources'!$F$27)</x:f>
        <x:v>2491.990032039872</x:v>
      </x:c>
      <x:c r="G27" s="88" t="n">
        <x:f>H27/(1+'Assumptions &amp; Sources'!$G$27)</x:f>
        <x:v>2641.509433962264</x:v>
      </x:c>
      <x:c r="H27" s="89" t="n">
        <x:f>'Assumptions &amp; Sources'!$C$27</x:f>
        <x:v>2800</x:v>
      </x:c>
      <x:c r="I27" s="114" t="n">
        <x:f>'Assumptions &amp; Sources'!$G$6*M27/$M$41</x:f>
        <x:v>692.8278230247627</x:v>
      </x:c>
      <x:c r="J27" s="90" t="n">
        <x:f>(M27-I27)*'Assumptions &amp; Sources'!$D$50/SUM('Assumptions &amp; Sources'!$D$50:$D$52)</x:f>
        <x:v>807.1505337406303</x:v>
      </x:c>
      <x:c r="K27" s="90" t="n">
        <x:f>(M27-I27)*'Assumptions &amp; Sources'!$D$51/SUM('Assumptions &amp; Sources'!$D$50:$D$52)</x:f>
        <x:v>757.8473084206661</x:v>
      </x:c>
      <x:c r="L27" s="90" t="n">
        <x:f>(M27-I27)*'Assumptions &amp; Sources'!$D$52/SUM('Assumptions &amp; Sources'!$D$50:$D$52)</x:f>
        <x:v>712.6243348139402</x:v>
      </x:c>
      <x:c r="M27" s="114" t="n">
        <x:f>H27*(1+'Assumptions &amp; Sources'!$H$27)</x:f>
        <x:v>2970.4499999999994</x:v>
      </x:c>
      <x:c r="N27" s="114" t="n">
        <x:f>R27*'Assumptions &amp; Sources'!$D$49</x:f>
        <x:v>765.0014494502789</x:v>
      </x:c>
      <x:c r="O27" s="90" t="n">
        <x:f>R27*'Assumptions &amp; Sources'!$D$50</x:f>
        <x:v>845.6551365835772</x:v>
      </x:c>
      <x:c r="P27" s="90" t="n">
        <x:f>R27*'Assumptions &amp; Sources'!$D$51</x:f>
        <x:v>793.9999322578832</x:v>
      </x:c>
      <x:c r="Q27" s="90" t="n">
        <x:f>R27*'Assumptions &amp; Sources'!$D$52</x:f>
        <x:v>746.6196254582592</x:v>
      </x:c>
      <x:c r="R27" s="114" t="n">
        <x:f>M27*(1+'Assumptions &amp; Sources'!$I$27)</x:f>
        <x:v>3151.2761437499985</x:v>
      </x:c>
      <x:c r="S27" s="114" t="n">
        <x:f>R27*(1+'Assumptions &amp; Sources'!$J$27)</x:f>
        <x:v>3326.9597887640607</x:v>
      </x:c>
      <x:c r="T27" s="90" t="n">
        <x:f>S27*(1+'Assumptions &amp; Sources'!$K$27)</x:f>
        <x:v>3512.437796987657</x:v>
      </x:c>
      <x:c r="U27" s="90" t="n">
        <x:f>T27*(1+'Assumptions &amp; Sources'!$L$27)</x:f>
        <x:v>3708.256204169719</x:v>
      </x:c>
      <x:c r="V27" s="90" t="n">
        <x:f>U27*(1+'Assumptions &amp; Sources'!$M$27)</x:f>
        <x:v>3895.9866745058107</x:v>
      </x:c>
      <x:c r="W27" s="90" t="n">
        <x:f>V27*(1+'Assumptions &amp; Sources'!$N$27)</x:f>
        <x:v>4093.2209999026672</x:v>
      </x:c>
      <x:c r="X27" s="90" t="n">
        <x:f>W27*(1+'Assumptions &amp; Sources'!$O$27)</x:f>
        <x:v>4279.462555398238</x:v>
      </x:c>
      <x:c r="Y27" s="90" t="n">
        <x:f>X27*(1+'Assumptions &amp; Sources'!$P$27)</x:f>
        <x:v>4474.178101668857</x:v>
      </x:c>
    </x:row>
    <x:row r="28" ht="20" customHeight="1">
      <x:c r="B28" s="91" t="str">
        <x:v>CNS</x:v>
      </x:c>
      <x:c r="C28" s="91" t="str">
        <x:v>CNS subtotal</x:v>
      </x:c>
      <x:c r="D28" s="108" t="n">
        <x:f>SUM(D26:D27)</x:f>
        <x:v>4790.466741854044</x:v>
      </x:c>
      <x:c r="E28" s="92" t="n">
        <x:f>SUM(E26:E27)</x:f>
        <x:v>5129.346836061039</x:v>
      </x:c>
      <x:c r="F28" s="92" t="n">
        <x:f>SUM(F26:F27)</x:f>
        <x:v>5492.675903096113</x:v>
      </x:c>
      <x:c r="G28" s="92" t="n">
        <x:f>SUM(G26:G27)</x:f>
        <x:v>5882.250174703005</x:v>
      </x:c>
      <x:c r="H28" s="93" t="n">
        <x:f>SUM(H26:H27)</x:f>
        <x:v>6300</x:v>
      </x:c>
      <x:c r="I28" s="108" t="n">
        <x:f>SUM(I26:I27)</x:f>
        <x:v>1571.4138304837008</x:v>
      </x:c>
      <x:c r="J28" s="92" t="n">
        <x:f>SUM(J26:J27)</x:f>
        <x:v>1830.7109931943282</x:v>
      </x:c>
      <x:c r="K28" s="92" t="n">
        <x:f>SUM(K26:K27)</x:f>
        <x:v>1718.8855618526702</x:v>
      </x:c>
      <x:c r="L28" s="92" t="n">
        <x:f>SUM(L26:L27)</x:f>
        <x:v>1616.3146144692992</x:v>
      </x:c>
      <x:c r="M28" s="108" t="n">
        <x:f>SUM(M26:M27)</x:f>
        <x:v>6737.324999999999</x:v>
      </x:c>
      <x:c r="N28" s="108" t="n">
        <x:f>SUM(N26:N27)</x:f>
        <x:v>1749.171556125969</x:v>
      </x:c>
      <x:c r="O28" s="92" t="n">
        <x:f>SUM(O26:O27)</x:f>
        <x:v>1933.585762833191</x:v>
      </x:c>
      <x:c r="P28" s="92" t="n">
        <x:f>SUM(P26:P27)</x:f>
        <x:v>1815.476425658332</x:v>
      </x:c>
      <x:c r="Q28" s="92" t="n">
        <x:f>SUM(Q26:Q27)</x:f>
        <x:v>1707.1416178825061</x:v>
      </x:c>
      <x:c r="R28" s="108" t="n">
        <x:f>SUM(R26:R27)</x:f>
        <x:v>7205.375362499997</x:v>
      </x:c>
      <x:c r="S28" s="108" t="n">
        <x:f>SUM(S26:S27)</x:f>
        <x:v>7669.406814447653</x:v>
      </x:c>
      <x:c r="T28" s="92" t="n">
        <x:f>SUM(T26:T27)</x:f>
        <x:v>8163.741367372994</x:v>
      </x:c>
      <x:c r="U28" s="92" t="n">
        <x:f>SUM(U26:U27)</x:f>
        <x:v>8666.545810200489</x:v>
      </x:c>
      <x:c r="V28" s="92" t="n">
        <x:f>SUM(V26:V27)</x:f>
        <x:v>9181.52339453461</x:v>
      </x:c>
      <x:c r="W28" s="92" t="n">
        <x:f>SUM(W26:W27)</x:f>
        <x:v>9700.51476776322</x:v>
      </x:c>
      <x:c r="X28" s="92" t="n">
        <x:f>SUM(X26:X27)</x:f>
        <x:v>10228.1003313773</x:v>
      </x:c>
      <x:c r="Y28" s="92" t="n">
        <x:f>SUM(Y26:Y27)</x:f>
        <x:v>10754.452433658751</x:v>
      </x:c>
    </x:row>
    <x:row r="29" ht="20" customHeight="1">
      <x:c r="B29" s="94" t="str">
        <x:v>Multi-specialty</x:v>
      </x:c>
      <x:c r="C29" s="94"/>
      <x:c r="D29" s="109"/>
      <x:c r="E29" s="95"/>
      <x:c r="F29" s="95"/>
      <x:c r="G29" s="95"/>
      <x:c r="H29" s="96"/>
      <x:c r="I29" s="109"/>
      <x:c r="J29" s="95"/>
      <x:c r="K29" s="95"/>
      <x:c r="L29" s="95"/>
      <x:c r="M29" s="109"/>
      <x:c r="N29" s="109"/>
      <x:c r="O29" s="95"/>
      <x:c r="P29" s="95"/>
      <x:c r="Q29" s="95"/>
      <x:c r="R29" s="109"/>
      <x:c r="S29" s="109"/>
      <x:c r="T29" s="95"/>
      <x:c r="U29" s="95"/>
      <x:c r="V29" s="95"/>
      <x:c r="W29" s="95"/>
      <x:c r="X29" s="95"/>
      <x:c r="Y29" s="95"/>
    </x:row>
    <x:row r="30" ht="20" customHeight="1">
      <x:c r="B30" s="87"/>
      <x:c r="C30" s="87" t="str">
        <x:v>Arachitol franchise</x:v>
      </x:c>
      <x:c r="D30" s="107" t="n">
        <x:f>E30/(1+'Assumptions &amp; Sources'!$D$28)</x:f>
        <x:v>2412.478718491304</x:v>
      </x:c>
      <x:c r="E30" s="88" t="n">
        <x:f>F30/(1+'Assumptions &amp; Sources'!$E$28)</x:f>
        <x:v>2629.6018031555213</x:v>
      </x:c>
      <x:c r="F30" s="88" t="n">
        <x:f>G30/(1+'Assumptions &amp; Sources'!$F$28)</x:f>
        <x:v>2892.5619834710737</x:v>
      </x:c>
      <x:c r="G30" s="88" t="n">
        <x:f>H30/(1+'Assumptions &amp; Sources'!$G$28)</x:f>
        <x:v>3181.8181818181815</x:v>
      </x:c>
      <x:c r="H30" s="89" t="n">
        <x:f>'Assumptions &amp; Sources'!$C$28</x:f>
        <x:v>3500</x:v>
      </x:c>
      <x:c r="I30" s="114" t="n">
        <x:f>'Assumptions &amp; Sources'!$G$6*M30/$M$41</x:f>
        <x:v>895.3209790295846</x:v>
      </x:c>
      <x:c r="J30" s="90" t="n">
        <x:f>(M30-I30)*'Assumptions &amp; Sources'!$D$50/SUM('Assumptions &amp; Sources'!$D$50:$D$52)</x:f>
        <x:v>1043.056849157578</x:v>
      </x:c>
      <x:c r="K30" s="90" t="n">
        <x:f>(M30-I30)*'Assumptions &amp; Sources'!$D$51/SUM('Assumptions &amp; Sources'!$D$50:$D$52)</x:f>
        <x:v>979.3437439735661</x:v>
      </x:c>
      <x:c r="L30" s="90" t="n">
        <x:f>(M30-I30)*'Assumptions &amp; Sources'!$D$52/SUM('Assumptions &amp; Sources'!$D$50:$D$52)</x:f>
        <x:v>920.9034278392705</x:v>
      </x:c>
      <x:c r="M30" s="114" t="n">
        <x:f>H30*(1+'Assumptions &amp; Sources'!$H$28)</x:f>
        <x:v>3838.6249999999995</x:v>
      </x:c>
      <x:c r="N30" s="114" t="n">
        <x:f>R30*'Assumptions &amp; Sources'!$D$49</x:f>
        <x:v>1017.2435782877844</x:v>
      </x:c>
      <x:c r="O30" s="90" t="n">
        <x:f>R30*'Assumptions &amp; Sources'!$D$50</x:f>
        <x:v>1124.491016002492</x:v>
      </x:c>
      <x:c r="P30" s="90" t="n">
        <x:f>R30*'Assumptions &amp; Sources'!$D$51</x:f>
        <x:v>1055.8036626344501</x:v>
      </x:c>
      <x:c r="Q30" s="90" t="n">
        <x:f>R30*'Assumptions &amp; Sources'!$D$52</x:f>
        <x:v>992.8007587002725</x:v>
      </x:c>
      <x:c r="R30" s="114" t="n">
        <x:f>M30*(1+'Assumptions &amp; Sources'!$I$28)</x:f>
        <x:v>4190.339015624999</x:v>
      </x:c>
      <x:c r="S30" s="114" t="n">
        <x:f>R30*(1+'Assumptions &amp; Sources'!$J$28)</x:f>
        <x:v>4552.803340476561</x:v>
      </x:c>
      <x:c r="T30" s="90" t="n">
        <x:f>S30*(1+'Assumptions &amp; Sources'!$K$28)</x:f>
        <x:v>4923.28771230784</x:v>
      </x:c>
      <x:c r="U30" s="90" t="n">
        <x:f>T30*(1+'Assumptions &amp; Sources'!$L$28)</x:f>
        <x:v>5298.688400371312</x:v>
      </x:c>
      <x:c r="V30" s="90" t="n">
        <x:f>U30*(1+'Assumptions &amp; Sources'!$M$28)</x:f>
        <x:v>5675.557612847721</x:v>
      </x:c>
      <x:c r="W30" s="90" t="n">
        <x:f>V30*(1+'Assumptions &amp; Sources'!$N$28)</x:f>
        <x:v>6050.14441529567</x:v>
      </x:c>
      <x:c r="X30" s="90" t="n">
        <x:f>W30*(1+'Assumptions &amp; Sources'!$O$28)</x:f>
        <x:v>6418.446956576793</x:v>
      </x:c>
      <x:c r="Y30" s="90" t="n">
        <x:f>X30*(1+'Assumptions &amp; Sources'!$P$28)</x:f>
        <x:v>6776.275374405949</x:v>
      </x:c>
    </x:row>
    <x:row r="31" ht="20" customHeight="1">
      <x:c r="B31" s="87"/>
      <x:c r="C31" s="87" t="str">
        <x:v>Other Multi-specialty</x:v>
      </x:c>
      <x:c r="D31" s="107" t="n">
        <x:f>E31/(1+'Assumptions &amp; Sources'!$D$29)</x:f>
        <x:v>1525.7904240950504</x:v>
      </x:c>
      <x:c r="E31" s="88" t="n">
        <x:f>F31/(1+'Assumptions &amp; Sources'!$E$29)</x:f>
        <x:v>1632.595753781704</x:v>
      </x:c>
      <x:c r="F31" s="88" t="n">
        <x:f>G31/(1+'Assumptions &amp; Sources'!$F$29)</x:f>
        <x:v>1746.8774565464232</x:v>
      </x:c>
      <x:c r="G31" s="88" t="n">
        <x:f>H31/(1+'Assumptions &amp; Sources'!$G$29)</x:f>
        <x:v>1869.1588785046729</x:v>
      </x:c>
      <x:c r="H31" s="89" t="n">
        <x:f>'Assumptions &amp; Sources'!$C$29</x:f>
        <x:v>2000</x:v>
      </x:c>
      <x:c r="I31" s="114" t="n">
        <x:f>'Assumptions &amp; Sources'!$G$6*M31/$M$41</x:f>
        <x:v>497.2677266706371</x:v>
      </x:c>
      <x:c r="J31" s="90" t="n">
        <x:f>(M31-I31)*'Assumptions &amp; Sources'!$D$50/SUM('Assumptions &amp; Sources'!$D$50:$D$52)</x:f>
        <x:v>579.3212940581474</x:v>
      </x:c>
      <x:c r="K31" s="90" t="n">
        <x:f>(M31-I31)*'Assumptions &amp; Sources'!$D$51/SUM('Assumptions &amp; Sources'!$D$50:$D$52)</x:f>
        <x:v>543.9345760921275</x:v>
      </x:c>
      <x:c r="L31" s="90" t="n">
        <x:f>(M31-I31)*'Assumptions &amp; Sources'!$D$52/SUM('Assumptions &amp; Sources'!$D$50:$D$52)</x:f>
        <x:v>511.47640317908747</x:v>
      </x:c>
      <x:c r="M31" s="114" t="n">
        <x:f>H31*(1+'Assumptions &amp; Sources'!$H$29)</x:f>
        <x:v>2131.9999999999995</x:v>
      </x:c>
      <x:c r="N31" s="114" t="n">
        <x:f>R31*'Assumptions &amp; Sources'!$D$49</x:f>
        <x:v>551.7218723060192</x:v>
      </x:c>
      <x:c r="O31" s="90" t="n">
        <x:f>R31*'Assumptions &amp; Sources'!$D$50</x:f>
        <x:v>609.889609511672</x:v>
      </x:c>
      <x:c r="P31" s="90" t="n">
        <x:f>R31*'Assumptions &amp; Sources'!$D$51</x:f>
        <x:v>572.6356852669518</x:v>
      </x:c>
      <x:c r="Q31" s="90" t="n">
        <x:f>R31*'Assumptions &amp; Sources'!$D$52</x:f>
        <x:v>538.464832915356</x:v>
      </x:c>
      <x:c r="R31" s="114" t="n">
        <x:f>M31*(1+'Assumptions &amp; Sources'!$I$29)</x:f>
        <x:v>2272.711999999999</x:v>
      </x:c>
      <x:c r="S31" s="114" t="n">
        <x:f>R31*(1+'Assumptions &amp; Sources'!$J$29)</x:f>
        <x:v>2411.0633429999984</x:v>
      </x:c>
      <x:c r="T31" s="90" t="n">
        <x:f>S31*(1+'Assumptions &amp; Sources'!$K$29)</x:f>
        <x:v>2557.8368240051227</x:v>
      </x:c>
      <x:c r="U31" s="90" t="n">
        <x:f>T31*(1+'Assumptions &amp; Sources'!$L$29)</x:f>
        <x:v>2700.436226943408</x:v>
      </x:c>
      <x:c r="V31" s="90" t="n">
        <x:f>U31*(1+'Assumptions &amp; Sources'!$M$29)</x:f>
        <x:v>2850.985546595503</x:v>
      </x:c>
      <x:c r="W31" s="90" t="n">
        <x:f>V31*(1+'Assumptions &amp; Sources'!$N$29)</x:f>
        <x:v>2995.3166898919</x:v>
      </x:c>
      <x:c r="X31" s="90" t="n">
        <x:f>W31*(1+'Assumptions &amp; Sources'!$O$29)</x:f>
        <x:v>3146.954597317677</x:v>
      </x:c>
      <x:c r="Y31" s="90" t="n">
        <x:f>X31*(1+'Assumptions &amp; Sources'!$P$29)</x:f>
        <x:v>3290.1410314956306</x:v>
      </x:c>
    </x:row>
    <x:row r="32" ht="20" customHeight="1">
      <x:c r="B32" s="91" t="str">
        <x:v>Multi-specialty</x:v>
      </x:c>
      <x:c r="C32" s="91" t="str">
        <x:v>Multi-specialty subtotal</x:v>
      </x:c>
      <x:c r="D32" s="108" t="n">
        <x:f>SUM(D30:D31)</x:f>
        <x:v>3938.269142586354</x:v>
      </x:c>
      <x:c r="E32" s="92" t="n">
        <x:f>SUM(E30:E31)</x:f>
        <x:v>4262.197556937225</x:v>
      </x:c>
      <x:c r="F32" s="92" t="n">
        <x:f>SUM(F30:F31)</x:f>
        <x:v>4639.439440017497</x:v>
      </x:c>
      <x:c r="G32" s="92" t="n">
        <x:f>SUM(G30:G31)</x:f>
        <x:v>5050.977060322854</x:v>
      </x:c>
      <x:c r="H32" s="93" t="n">
        <x:f>SUM(H30:H31)</x:f>
        <x:v>5500</x:v>
      </x:c>
      <x:c r="I32" s="108" t="n">
        <x:f>SUM(I30:I31)</x:f>
        <x:v>1392.5887057002217</x:v>
      </x:c>
      <x:c r="J32" s="92" t="n">
        <x:f>SUM(J30:J31)</x:f>
        <x:v>1622.3781432157252</x:v>
      </x:c>
      <x:c r="K32" s="92" t="n">
        <x:f>SUM(K30:K31)</x:f>
        <x:v>1523.2783200656936</x:v>
      </x:c>
      <x:c r="L32" s="92" t="n">
        <x:f>SUM(L30:L31)</x:f>
        <x:v>1432.379831018358</x:v>
      </x:c>
      <x:c r="M32" s="108" t="n">
        <x:f>SUM(M30:M31)</x:f>
        <x:v>5970.624999999999</x:v>
      </x:c>
      <x:c r="N32" s="108" t="n">
        <x:f>SUM(N30:N31)</x:f>
        <x:v>1568.9654505938038</x:v>
      </x:c>
      <x:c r="O32" s="92" t="n">
        <x:f>SUM(O30:O31)</x:f>
        <x:v>1734.380625514164</x:v>
      </x:c>
      <x:c r="P32" s="92" t="n">
        <x:f>SUM(P30:P31)</x:f>
        <x:v>1628.439347901402</x:v>
      </x:c>
      <x:c r="Q32" s="92" t="n">
        <x:f>SUM(Q30:Q31)</x:f>
        <x:v>1531.2655916156286</x:v>
      </x:c>
      <x:c r="R32" s="108" t="n">
        <x:f>SUM(R30:R31)</x:f>
        <x:v>6463.051015624998</x:v>
      </x:c>
      <x:c r="S32" s="108" t="n">
        <x:f>SUM(S30:S31)</x:f>
        <x:v>6963.866683476559</x:v>
      </x:c>
      <x:c r="T32" s="92" t="n">
        <x:f>SUM(T30:T31)</x:f>
        <x:v>7481.124536312962</x:v>
      </x:c>
      <x:c r="U32" s="92" t="n">
        <x:f>SUM(U30:U31)</x:f>
        <x:v>7999.124627314721</x:v>
      </x:c>
      <x:c r="V32" s="92" t="n">
        <x:f>SUM(V30:V31)</x:f>
        <x:v>8526.543159443225</x:v>
      </x:c>
      <x:c r="W32" s="92" t="n">
        <x:f>SUM(W30:W31)</x:f>
        <x:v>9045.461105187569</x:v>
      </x:c>
      <x:c r="X32" s="92" t="n">
        <x:f>SUM(X30:X31)</x:f>
        <x:v>9565.40155389447</x:v>
      </x:c>
      <x:c r="Y32" s="92" t="n">
        <x:f>SUM(Y30:Y31)</x:f>
        <x:v>10066.41640590158</x:v>
      </x:c>
    </x:row>
    <x:row r="33" ht="20" customHeight="1">
      <x:c r="B33" s="94" t="str">
        <x:v>Vaccines</x:v>
      </x:c>
      <x:c r="C33" s="94"/>
      <x:c r="D33" s="109"/>
      <x:c r="E33" s="95"/>
      <x:c r="F33" s="95"/>
      <x:c r="G33" s="95"/>
      <x:c r="H33" s="96"/>
      <x:c r="I33" s="109"/>
      <x:c r="J33" s="95"/>
      <x:c r="K33" s="95"/>
      <x:c r="L33" s="95"/>
      <x:c r="M33" s="109"/>
      <x:c r="N33" s="109"/>
      <x:c r="O33" s="95"/>
      <x:c r="P33" s="95"/>
      <x:c r="Q33" s="95"/>
      <x:c r="R33" s="109"/>
      <x:c r="S33" s="109"/>
      <x:c r="T33" s="95"/>
      <x:c r="U33" s="95"/>
      <x:c r="V33" s="95"/>
      <x:c r="W33" s="95"/>
      <x:c r="X33" s="95"/>
      <x:c r="Y33" s="95"/>
    </x:row>
    <x:row r="34" ht="20" customHeight="1">
      <x:c r="B34" s="87"/>
      <x:c r="C34" s="87" t="str">
        <x:v>Influvac</x:v>
      </x:c>
      <x:c r="D34" s="107" t="n">
        <x:f>E34/(1+'Assumptions &amp; Sources'!$D$30)</x:f>
        <x:v>2572.6044847875864</x:v>
      </x:c>
      <x:c r="E34" s="88" t="n">
        <x:f>F34/(1+'Assumptions &amp; Sources'!$E$30)</x:f>
        <x:v>2778.4128435705934</x:v>
      </x:c>
      <x:c r="F34" s="88" t="n">
        <x:f>G34/(1+'Assumptions &amp; Sources'!$F$30)</x:f>
        <x:v>3000.685871056241</x:v>
      </x:c>
      <x:c r="G34" s="88" t="n">
        <x:f>H34/(1+'Assumptions &amp; Sources'!$G$30)</x:f>
        <x:v>3240.7407407407404</x:v>
      </x:c>
      <x:c r="H34" s="89" t="n">
        <x:f>'Assumptions &amp; Sources'!$C$30</x:f>
        <x:v>3500</x:v>
      </x:c>
      <x:c r="I34" s="114" t="n">
        <x:f>'Assumptions &amp; Sources'!$G$6*M34/$M$41</x:f>
        <x:v>870.218521673615</x:v>
      </x:c>
      <x:c r="J34" s="90" t="n">
        <x:f>(M34-I34)*'Assumptions &amp; Sources'!$D$50/SUM('Assumptions &amp; Sources'!$D$50:$D$52)</x:f>
        <x:v>1013.812264601758</x:v>
      </x:c>
      <x:c r="K34" s="90" t="n">
        <x:f>(M34-I34)*'Assumptions &amp; Sources'!$D$51/SUM('Assumptions &amp; Sources'!$D$50:$D$52)</x:f>
        <x:v>951.8855081612234</x:v>
      </x:c>
      <x:c r="L34" s="90" t="n">
        <x:f>(M34-I34)*'Assumptions &amp; Sources'!$D$52/SUM('Assumptions &amp; Sources'!$D$50:$D$52)</x:f>
        <x:v>895.0837055634033</x:v>
      </x:c>
      <x:c r="M34" s="114" t="n">
        <x:f>H34*(1+'Assumptions &amp; Sources'!$H$30)</x:f>
        <x:v>3730.9999999999995</x:v>
      </x:c>
      <x:c r="N34" s="114" t="n">
        <x:f>R34*'Assumptions &amp; Sources'!$D$49</x:f>
        <x:v>965.5132765355338</x:v>
      </x:c>
      <x:c r="O34" s="90" t="n">
        <x:f>R34*'Assumptions &amp; Sources'!$D$50</x:f>
        <x:v>1067.3068166454261</x:v>
      </x:c>
      <x:c r="P34" s="90" t="n">
        <x:f>R34*'Assumptions &amp; Sources'!$D$51</x:f>
        <x:v>1002.1124492171657</x:v>
      </x:c>
      <x:c r="Q34" s="90" t="n">
        <x:f>R34*'Assumptions &amp; Sources'!$D$52</x:f>
        <x:v>942.3134576018732</x:v>
      </x:c>
      <x:c r="R34" s="114" t="n">
        <x:f>M34*(1+'Assumptions &amp; Sources'!$I$30)</x:f>
        <x:v>3977.2459999999987</x:v>
      </x:c>
      <x:c r="S34" s="114" t="n">
        <x:f>R34*(1+'Assumptions &amp; Sources'!$J$30)</x:f>
        <x:v>4219.360850249997</x:v>
      </x:c>
      <x:c r="T34" s="90" t="n">
        <x:f>S34*(1+'Assumptions &amp; Sources'!$K$30)</x:f>
        <x:v>4476.214442008965</x:v>
      </x:c>
      <x:c r="U34" s="90" t="n">
        <x:f>T34*(1+'Assumptions &amp; Sources'!$L$30)</x:f>
        <x:v>4725.763397150965</x:v>
      </x:c>
      <x:c r="V34" s="90" t="n">
        <x:f>U34*(1+'Assumptions &amp; Sources'!$M$30)</x:f>
        <x:v>4989.224706542131</x:v>
      </x:c>
      <x:c r="W34" s="90" t="n">
        <x:f>V34*(1+'Assumptions &amp; Sources'!$N$30)</x:f>
        <x:v>5241.804207310825</x:v>
      </x:c>
      <x:c r="X34" s="90" t="n">
        <x:f>W34*(1+'Assumptions &amp; Sources'!$O$30)</x:f>
        <x:v>5507.170545305936</x:v>
      </x:c>
      <x:c r="Y34" s="90" t="n">
        <x:f>X34*(1+'Assumptions &amp; Sources'!$P$30)</x:f>
        <x:v>5757.7468051173555</x:v>
      </x:c>
    </x:row>
    <x:row r="35" ht="20" customHeight="1">
      <x:c r="B35" s="87"/>
      <x:c r="C35" s="87" t="str">
        <x:v>Pneumoshield 14 and Havshield</x:v>
      </x:c>
      <x:c r="D35" s="107" t="n">
        <x:f>E35/(1+'Assumptions &amp; Sources'!$D$31)</x:f>
        <x:v>808.7474120082816</x:v>
      </x:c>
      <x:c r="E35" s="88" t="n">
        <x:f>F35/(1+'Assumptions &amp; Sources'!$E$31)</x:f>
        <x:v>970.4968944099379</x:v>
      </x:c>
      <x:c r="F35" s="88" t="n">
        <x:f>G35/(1+'Assumptions &amp; Sources'!$F$31)</x:f>
        <x:v>1164.5962732919254</x:v>
      </x:c>
      <x:c r="G35" s="88" t="n">
        <x:f>H35/(1+'Assumptions &amp; Sources'!$G$31)</x:f>
        <x:v>1339.2857142857142</x:v>
      </x:c>
      <x:c r="H35" s="89" t="n">
        <x:f>'Assumptions &amp; Sources'!$C$31</x:f>
        <x:v>1500</x:v>
      </x:c>
      <x:c r="I35" s="114" t="n">
        <x:f>'Assumptions &amp; Sources'!$G$6*M35/$M$41</x:f>
        <x:v>383.7089910126791</x:v>
      </x:c>
      <x:c r="J35" s="90" t="n">
        <x:f>(M35-I35)*'Assumptions &amp; Sources'!$D$50/SUM('Assumptions &amp; Sources'!$D$50:$D$52)</x:f>
        <x:v>447.02436392467627</x:v>
      </x:c>
      <x:c r="K35" s="90" t="n">
        <x:f>(M35-I35)*'Assumptions &amp; Sources'!$D$51/SUM('Assumptions &amp; Sources'!$D$50:$D$52)</x:f>
        <x:v>419.7187474172427</x:v>
      </x:c>
      <x:c r="L35" s="90" t="n">
        <x:f>(M35-I35)*'Assumptions &amp; Sources'!$D$52/SUM('Assumptions &amp; Sources'!$D$50:$D$52)</x:f>
        <x:v>394.6728976454017</x:v>
      </x:c>
      <x:c r="M35" s="114" t="n">
        <x:f>H35*(1+'Assumptions &amp; Sources'!$H$31)</x:f>
        <x:v>1645.1249999999998</x:v>
      </x:c>
      <x:c r="N35" s="114" t="n">
        <x:f>R35*'Assumptions &amp; Sources'!$D$49</x:f>
        <x:v>435.96153355190756</x:v>
      </x:c>
      <x:c r="O35" s="90" t="n">
        <x:f>R35*'Assumptions &amp; Sources'!$D$50</x:f>
        <x:v>481.9247211439251</x:v>
      </x:c>
      <x:c r="P35" s="90" t="n">
        <x:f>R35*'Assumptions &amp; Sources'!$D$51</x:f>
        <x:v>452.48728398619284</x:v>
      </x:c>
      <x:c r="Q35" s="90" t="n">
        <x:f>R35*'Assumptions &amp; Sources'!$D$52</x:f>
        <x:v>425.4860394429739</x:v>
      </x:c>
      <x:c r="R35" s="114" t="n">
        <x:f>M35*(1+'Assumptions &amp; Sources'!$I$31)</x:f>
        <x:v>1795.8595781249994</x:v>
      </x:c>
      <x:c r="S35" s="114" t="n">
        <x:f>R35*(1+'Assumptions &amp; Sources'!$J$31)</x:f>
        <x:v>1941.9976512949208</x:v>
      </x:c>
      <x:c r="T35" s="90" t="n">
        <x:f>S35*(1+'Assumptions &amp; Sources'!$K$31)</x:f>
        <x:v>2090.0749722061582</x:v>
      </x:c>
      <x:c r="U35" s="90" t="n">
        <x:f>T35*(1+'Assumptions &amp; Sources'!$L$31)</x:f>
        <x:v>2238.731554604321</x:v>
      </x:c>
      <x:c r="V35" s="90" t="n">
        <x:f>U35*(1+'Assumptions &amp; Sources'!$M$31)</x:f>
        <x:v>2386.4878372082057</x:v>
      </x:c>
      <x:c r="W35" s="90" t="n">
        <x:f>V35*(1+'Assumptions &amp; Sources'!$N$31)</x:f>
        <x:v>2531.7652842982548</x:v>
      </x:c>
      <x:c r="X35" s="90" t="n">
        <x:f>W35*(1+'Assumptions &amp; Sources'!$O$31)</x:f>
        <x:v>2672.9111988978825</x:v>
      </x:c>
      <x:c r="Y35" s="90" t="n">
        <x:f>X35*(1+'Assumptions &amp; Sources'!$P$31)</x:f>
        <x:v>2808.2273283420877</x:v>
      </x:c>
    </x:row>
    <x:row r="36" ht="20" customHeight="1">
      <x:c r="B36" s="87"/>
      <x:c r="C36" s="87" t="str">
        <x:v>Other vaccines</x:v>
      </x:c>
      <x:c r="D36" s="107" t="n">
        <x:f>E36/(1+'Assumptions &amp; Sources'!$D$32)</x:f>
        <x:v>396.0468316190102</x:v>
      </x:c>
      <x:c r="E36" s="88" t="n">
        <x:f>F36/(1+'Assumptions &amp; Sources'!$E$32)</x:f>
        <x:v>419.80964151615086</x:v>
      </x:c>
      <x:c r="F36" s="88" t="n">
        <x:f>G36/(1+'Assumptions &amp; Sources'!$F$32)</x:f>
        <x:v>444.9982200071199</x:v>
      </x:c>
      <x:c r="G36" s="88" t="n">
        <x:f>H36/(1+'Assumptions &amp; Sources'!$G$32)</x:f>
        <x:v>471.6981132075471</x:v>
      </x:c>
      <x:c r="H36" s="89" t="n">
        <x:f>'Assumptions &amp; Sources'!$C$32</x:f>
        <x:v>500</x:v>
      </x:c>
      <x:c r="I36" s="114" t="n">
        <x:f>'Assumptions &amp; Sources'!$G$6*M36/$M$41</x:f>
        <x:v>123.12157655547027</x:v>
      </x:c>
      <x:c r="J36" s="90" t="n">
        <x:f>(M36-I36)*'Assumptions &amp; Sources'!$D$50/SUM('Assumptions &amp; Sources'!$D$50:$D$52)</x:f>
        <x:v>143.43772424997402</x:v>
      </x:c>
      <x:c r="K36" s="90" t="n">
        <x:f>(M36-I36)*'Assumptions &amp; Sources'!$D$51/SUM('Assumptions &amp; Sources'!$D$50:$D$52)</x:f>
        <x:v>134.6761089843489</x:v>
      </x:c>
      <x:c r="L36" s="90" t="n">
        <x:f>(M36-I36)*'Assumptions &amp; Sources'!$D$52/SUM('Assumptions &amp; Sources'!$D$50:$D$52)</x:f>
        <x:v>126.63959021020679</x:v>
      </x:c>
      <x:c r="M36" s="114" t="n">
        <x:f>H36*(1+'Assumptions &amp; Sources'!$H$32)</x:f>
        <x:v>527.875</x:v>
      </x:c>
      <x:c r="N36" s="114" t="n">
        <x:f>R36*'Assumptions &amp; Sources'!$D$49</x:f>
        <x:v>135.29071152215607</x:v>
      </x:c>
      <x:c r="O36" s="90" t="n">
        <x:f>R36*'Assumptions &amp; Sources'!$D$50</x:f>
        <x:v>149.55433772442055</x:v>
      </x:c>
      <x:c r="P36" s="90" t="n">
        <x:f>R36*'Assumptions &amp; Sources'!$D$51</x:f>
        <x:v>140.41910098458519</x:v>
      </x:c>
      <x:c r="Q36" s="90" t="n">
        <x:f>R36*'Assumptions &amp; Sources'!$D$52</x:f>
        <x:v>132.03988101883817</x:v>
      </x:c>
      <x:c r="R36" s="114" t="n">
        <x:f>M36*(1+'Assumptions &amp; Sources'!$I$32)</x:f>
        <x:v>557.30403125</x:v>
      </x:c>
      <x:c r="S36" s="114" t="n">
        <x:f>R36*(1+'Assumptions &amp; Sources'!$J$32)</x:f>
        <x:v>588.3737309921875</x:v>
      </x:c>
      <x:c r="T36" s="90" t="n">
        <x:f>S36*(1+'Assumptions &amp; Sources'!$K$32)</x:f>
        <x:v>618.1601511236669</x:v>
      </x:c>
      <x:c r="U36" s="90" t="n">
        <x:f>T36*(1+'Assumptions &amp; Sources'!$L$32)</x:f>
        <x:v>649.4545087743024</x:v>
      </x:c>
      <x:c r="V36" s="90" t="n">
        <x:f>U36*(1+'Assumptions &amp; Sources'!$M$32)</x:f>
        <x:v>682.3331432810014</x:v>
      </x:c>
      <x:c r="W36" s="90" t="n">
        <x:f>V36*(1+'Assumptions &amp; Sources'!$N$32)</x:f>
        <x:v>713.3793013002869</x:v>
      </x:c>
      <x:c r="X36" s="90" t="n">
        <x:f>W36*(1+'Assumptions &amp; Sources'!$O$32)</x:f>
        <x:v>745.8380595094499</x:v>
      </x:c>
      <x:c r="Y36" s="90" t="n">
        <x:f>X36*(1+'Assumptions &amp; Sources'!$P$32)</x:f>
        <x:v>779.7736912171298</x:v>
      </x:c>
    </x:row>
    <x:row r="37" ht="20" customHeight="1">
      <x:c r="B37" s="91" t="str">
        <x:v>Vaccines</x:v>
      </x:c>
      <x:c r="C37" s="91" t="str">
        <x:v>Vaccines subtotal</x:v>
      </x:c>
      <x:c r="D37" s="108" t="n">
        <x:f>SUM(D34:D36)</x:f>
        <x:v>3777.3987284148784</x:v>
      </x:c>
      <x:c r="E37" s="92" t="n">
        <x:f>SUM(E34:E36)</x:f>
        <x:v>4168.719379496682</x:v>
      </x:c>
      <x:c r="F37" s="92" t="n">
        <x:f>SUM(F34:F36)</x:f>
        <x:v>4610.280364355286</x:v>
      </x:c>
      <x:c r="G37" s="92" t="n">
        <x:f>SUM(G34:G36)</x:f>
        <x:v>5051.724568234002</x:v>
      </x:c>
      <x:c r="H37" s="93" t="n">
        <x:f>SUM(H34:H36)</x:f>
        <x:v>5500</x:v>
      </x:c>
      <x:c r="I37" s="108" t="n">
        <x:f>SUM(I34:I36)</x:f>
        <x:v>1377.0490892417642</x:v>
      </x:c>
      <x:c r="J37" s="92" t="n">
        <x:f>SUM(J34:J36)</x:f>
        <x:v>1604.2743527764083</x:v>
      </x:c>
      <x:c r="K37" s="92" t="n">
        <x:f>SUM(K34:K36)</x:f>
        <x:v>1506.280364562815</x:v>
      </x:c>
      <x:c r="L37" s="92" t="n">
        <x:f>SUM(L34:L36)</x:f>
        <x:v>1416.3961934190118</x:v>
      </x:c>
      <x:c r="M37" s="108" t="n">
        <x:f>SUM(M34:M36)</x:f>
        <x:v>5903.999999999999</x:v>
      </x:c>
      <x:c r="N37" s="108" t="n">
        <x:f>SUM(N34:N36)</x:f>
        <x:v>1536.7655216095973</x:v>
      </x:c>
      <x:c r="O37" s="92" t="n">
        <x:f>SUM(O34:O36)</x:f>
        <x:v>1698.7858755137718</x:v>
      </x:c>
      <x:c r="P37" s="92" t="n">
        <x:f>SUM(P34:P36)</x:f>
        <x:v>1595.0188341879436</x:v>
      </x:c>
      <x:c r="Q37" s="92" t="n">
        <x:f>SUM(Q34:Q36)</x:f>
        <x:v>1499.8393780636852</x:v>
      </x:c>
      <x:c r="R37" s="108" t="n">
        <x:f>SUM(R34:R36)</x:f>
        <x:v>6330.409609374998</x:v>
      </x:c>
      <x:c r="S37" s="108" t="n">
        <x:f>SUM(S34:S36)</x:f>
        <x:v>6749.732232537105</x:v>
      </x:c>
      <x:c r="T37" s="92" t="n">
        <x:f>SUM(T34:T36)</x:f>
        <x:v>7184.44956533879</x:v>
      </x:c>
      <x:c r="U37" s="92" t="n">
        <x:f>SUM(U34:U36)</x:f>
        <x:v>7613.949460529589</x:v>
      </x:c>
      <x:c r="V37" s="92" t="n">
        <x:f>SUM(V34:V36)</x:f>
        <x:v>8058.045687031337</x:v>
      </x:c>
      <x:c r="W37" s="92" t="n">
        <x:f>SUM(W34:W36)</x:f>
        <x:v>8486.948792909367</x:v>
      </x:c>
      <x:c r="X37" s="92" t="n">
        <x:f>SUM(X34:X36)</x:f>
        <x:v>8925.919803713268</x:v>
      </x:c>
      <x:c r="Y37" s="92" t="n">
        <x:f>SUM(Y34:Y36)</x:f>
        <x:v>9345.747824676573</x:v>
      </x:c>
    </x:row>
    <x:row r="38" ht="20" customHeight="1">
      <x:c r="B38" s="87" t="str">
        <x:v>Other pharma</x:v>
      </x:c>
      <x:c r="C38" s="87" t="str">
        <x:v>Other products</x:v>
      </x:c>
      <x:c r="D38" s="107" t="n">
        <x:f>D39-SUM(D15,D20,D24,D28,D32,D37)</x:f>
        <x:v>4576.191067276843</x:v>
      </x:c>
      <x:c r="E38" s="88" t="n">
        <x:f>E39-SUM(E15,E20,E24,E28,E32,E37)</x:f>
        <x:v>5344.937490060984</x:v>
      </x:c>
      <x:c r="F38" s="88" t="n">
        <x:f>F39-SUM(F15,F20,F24,F28,F32,F37)</x:f>
        <x:v>6129.497992236065</x:v>
      </x:c>
      <x:c r="G38" s="88" t="n">
        <x:f>G39-SUM(G15,G20,G24,G28,G32,G37)</x:f>
        <x:v>6966.633551934079</x:v>
      </x:c>
      <x:c r="H38" s="89" t="n">
        <x:f>'Assumptions &amp; Sources'!$C$33</x:f>
        <x:v>6329.0999999999985</x:v>
      </x:c>
      <x:c r="I38" s="114" t="n">
        <x:f>'Assumptions &amp; Sources'!$G$6*M38/$M$41</x:f>
        <x:v>1558.4975403544533</x:v>
      </x:c>
      <x:c r="J38" s="90" t="n">
        <x:f>(M38-I38)*'Assumptions &amp; Sources'!$D$50/SUM('Assumptions &amp; Sources'!$D$50:$D$52)</x:f>
        <x:v>1815.6634011010208</x:v>
      </x:c>
      <x:c r="K38" s="90" t="n">
        <x:f>(M38-I38)*'Assumptions &amp; Sources'!$D$51/SUM('Assumptions &amp; Sources'!$D$50:$D$52)</x:f>
        <x:v>1704.757122745685</x:v>
      </x:c>
      <x:c r="L38" s="90" t="n">
        <x:f>(M38-I38)*'Assumptions &amp; Sources'!$D$52/SUM('Assumptions &amp; Sources'!$D$50:$D$52)</x:f>
        <x:v>1603.0292607988392</x:v>
      </x:c>
      <x:c r="M38" s="114" t="n">
        <x:f>H38*(1+'Assumptions &amp; Sources'!$H$33)</x:f>
        <x:v>6681.947324999998</x:v>
      </x:c>
      <x:c r="N38" s="114" t="n">
        <x:f>R38*'Assumptions &amp; Sources'!$D$49</x:f>
        <x:v>1712.5368845897558</x:v>
      </x:c>
      <x:c r="O38" s="90" t="n">
        <x:f>R38*'Assumptions &amp; Sources'!$D$50</x:f>
        <x:v>1893.0887177832597</x:v>
      </x:c>
      <x:c r="P38" s="90" t="n">
        <x:f>R38*'Assumptions &amp; Sources'!$D$51</x:f>
        <x:v>1777.4530640830758</x:v>
      </x:c>
      <x:c r="Q38" s="90" t="n">
        <x:f>R38*'Assumptions &amp; Sources'!$D$52</x:f>
        <x:v>1671.387221912657</x:v>
      </x:c>
      <x:c r="R38" s="114" t="n">
        <x:f>M38*(1+'Assumptions &amp; Sources'!$I$33)</x:f>
        <x:v>7054.465888368748</x:v>
      </x:c>
      <x:c r="S38" s="114" t="n">
        <x:f>R38*(1+'Assumptions &amp; Sources'!$J$33)</x:f>
        <x:v>7433.290706574148</x:v>
      </x:c>
      <x:c r="T38" s="90" t="n">
        <x:f>S38*(1+'Assumptions &amp; Sources'!$K$33)</x:f>
        <x:v>7809.601048594464</x:v>
      </x:c>
      <x:c r="U38" s="90" t="n">
        <x:f>T38*(1+'Assumptions &amp; Sources'!$L$33)</x:f>
        <x:v>8204.962101679559</x:v>
      </x:c>
      <x:c r="V38" s="90" t="n">
        <x:f>U38*(1+'Assumptions &amp; Sources'!$M$33)</x:f>
        <x:v>8603.518135768642</x:v>
      </x:c>
      <x:c r="W38" s="90" t="n">
        <x:f>V38*(1+'Assumptions &amp; Sources'!$N$33)</x:f>
        <x:v>8994.978210946114</x:v>
      </x:c>
      <x:c r="X38" s="90" t="n">
        <x:f>W38*(1+'Assumptions &amp; Sources'!$O$33)</x:f>
        <x:v>9404.249719544161</x:v>
      </x:c>
      <x:c r="Y38" s="90" t="n">
        <x:f>X38*(1+'Assumptions &amp; Sources'!$P$33)</x:f>
        <x:v>9812.864369858355</x:v>
      </x:c>
    </x:row>
    <x:row r="39" ht="20" customHeight="1">
      <x:c r="B39" s="97" t="str">
        <x:v>Total</x:v>
      </x:c>
      <x:c r="C39" s="97" t="str">
        <x:v>Product revenue</x:v>
      </x:c>
      <x:c r="D39" s="110" t="n">
        <x:f>'Assumptions &amp; Sources'!$B$7</x:f>
        <x:v>48620.03194634964</x:v>
      </x:c>
      <x:c r="E39" s="98" t="n">
        <x:f>'Assumptions &amp; Sources'!$C$7</x:f>
        <x:v>52940.04650205761</x:v>
      </x:c>
      <x:c r="F39" s="98" t="n">
        <x:f>'Assumptions &amp; Sources'!$D$7</x:f>
        <x:v>57900.12222222222</x:v>
      </x:c>
      <x:c r="G39" s="98" t="n">
        <x:f>'Assumptions &amp; Sources'!$E$7</x:f>
        <x:v>63454</x:v>
      </x:c>
      <x:c r="H39" s="99" t="n">
        <x:f>SUM(H15,H20,H24,H28,H32,H37,H38)</x:f>
        <x:v>68461</x:v>
      </x:c>
      <x:c r="I39" s="110" t="n">
        <x:f>SUM(I15,I20,I24,I28,I32,I37,I38)</x:f>
        <x:v>17526.868236411825</x:v>
      </x:c>
      <x:c r="J39" s="98" t="n">
        <x:f>SUM(J15,J20,J24,J28,J32,J37,J38)</x:f>
        <x:v>20418.956314512612</x:v>
      </x:c>
      <x:c r="K39" s="98" t="n">
        <x:f>SUM(K15,K20,K24,K28,K32,K37,K38)</x:f>
        <x:v>19171.703959605024</x:v>
      </x:c>
      <x:c r="L39" s="98" t="n">
        <x:f>SUM(L15,L20,L24,L28,L32,L37,L38)</x:f>
        <x:v>18027.67210447052</x:v>
      </x:c>
      <x:c r="M39" s="110" t="n">
        <x:f>SUM(M15,M20,M24,M28,M32,M37,M38)</x:f>
        <x:v>75145.200615</x:v>
      </x:c>
      <x:c r="N39" s="110" t="n">
        <x:f>SUM(N15,N20,N24,N28,N32,N37,N38)</x:f>
        <x:v>19970.63818224351</x:v>
      </x:c>
      <x:c r="O39" s="98" t="n">
        <x:f>SUM(O15,O20,O24,O28,O32,O37,O38)</x:f>
        <x:v>22076.131714262832</x:v>
      </x:c>
      <x:c r="P39" s="98" t="n">
        <x:f>SUM(P15,P20,P24,P28,P32,P37,P38)</x:f>
        <x:v>20727.65401326033</x:v>
      </x:c>
      <x:c r="Q39" s="98" t="n">
        <x:f>SUM(Q15,Q20,Q24,Q28,Q32,Q37,Q38)</x:f>
        <x:v>19490.774050825064</x:v>
      </x:c>
      <x:c r="R39" s="110" t="n">
        <x:f>SUM(R15,R20,R24,R28,R32,R37,R38)</x:f>
        <x:v>82265.19796059174</x:v>
      </x:c>
      <x:c r="S39" s="110" t="n">
        <x:f>SUM(S15,S20,S24,S28,S32,S37,S38)</x:f>
        <x:v>89594.9630044192</x:v>
      </x:c>
      <x:c r="T39" s="98" t="n">
        <x:f>SUM(T15,T20,T24,T28,T32,T37,T38)</x:f>
        <x:v>97012.1811667399</x:v>
      </x:c>
      <x:c r="U39" s="98" t="n">
        <x:f>SUM(U15,U20,U24,U28,U32,U37,U38)</x:f>
        <x:v>104206.12629206084</x:v>
      </x:c>
      <x:c r="V39" s="98" t="n">
        <x:f>SUM(V15,V20,V24,V28,V32,V37,V38)</x:f>
        <x:v>111192.77271879849</x:v>
      </x:c>
      <x:c r="W39" s="98" t="n">
        <x:f>SUM(W15,W20,W24,W28,W32,W37,W38)</x:f>
        <x:v>117755.82877519057</x:v>
      </x:c>
      <x:c r="X39" s="98" t="n">
        <x:f>SUM(X15,X20,X24,X28,X32,X37,X38)</x:f>
        <x:v>124205.84401742794</x:v>
      </x:c>
      <x:c r="Y39" s="98" t="n">
        <x:f>SUM(Y15,Y20,Y24,Y28,Y32,Y37,Y38)</x:f>
        <x:v>130466.31753907769</x:v>
      </x:c>
    </x:row>
    <x:row r="40" ht="20" customHeight="1">
      <x:c r="B40" s="97" t="str">
        <x:v>Other operating revenue</x:v>
      </x:c>
      <x:c r="C40" s="97" t="str">
        <x:v>Services and other operating revenue</x:v>
      </x:c>
      <x:c r="D40" s="111" t="n">
        <x:f>'Assumptions &amp; Sources'!$B$8</x:f>
        <x:v>506.06805365035814</x:v>
      </x:c>
      <x:c r="E40" s="100" t="n">
        <x:f>'Assumptions &amp; Sources'!$C$8</x:f>
        <x:v>546.5534979423868</x:v>
      </x:c>
      <x:c r="F40" s="100" t="n">
        <x:f>'Assumptions &amp; Sources'!$D$8</x:f>
        <x:v>590.2777777777778</x:v>
      </x:c>
      <x:c r="G40" s="100" t="n">
        <x:f>'Assumptions &amp; Sources'!$E$8</x:f>
        <x:v>637.5</x:v>
      </x:c>
      <x:c r="H40" s="99" t="n">
        <x:f>'Assumptions &amp; Sources'!$C$34</x:f>
        <x:v>829.5</x:v>
      </x:c>
      <x:c r="I40" s="110" t="n">
        <x:f>'Assumptions &amp; Sources'!$G$6*M40/$M$41</x:f>
        <x:v>207.1317635881745</x:v>
      </x:c>
      <x:c r="J40" s="98" t="n">
        <x:f>(M40-I40)*'Assumptions &amp; Sources'!$D$50/SUM('Assumptions &amp; Sources'!$D$50:$D$52)</x:f>
        <x:v>241.31033422550297</x:v>
      </x:c>
      <x:c r="K40" s="98" t="n">
        <x:f>(M40-I40)*'Assumptions &amp; Sources'!$D$51/SUM('Assumptions &amp; Sources'!$D$50:$D$52)</x:f>
        <x:v>226.57036035071775</x:v>
      </x:c>
      <x:c r="L40" s="98" t="n">
        <x:f>(M40-I40)*'Assumptions &amp; Sources'!$D$52/SUM('Assumptions &amp; Sources'!$D$50:$D$52)</x:f>
        <x:v>213.05024183560462</x:v>
      </x:c>
      <x:c r="M40" s="110" t="n">
        <x:f>H40*(1+'Assumptions &amp; Sources'!$H$34)</x:f>
        <x:v>888.0627</x:v>
      </x:c>
      <x:c r="N40" s="110" t="n">
        <x:f>R40*'Assumptions &amp; Sources'!$D$49</x:f>
        <x:v>230.80577161924614</x:v>
      </x:c>
      <x:c r="O40" s="98" t="n">
        <x:f>R40*'Assumptions &amp; Sources'!$D$50</x:f>
        <x:v>255.1394987071032</x:v>
      </x:c>
      <x:c r="P40" s="98" t="n">
        <x:f>R40*'Assumptions &amp; Sources'!$D$51</x:f>
        <x:v>239.55479713417304</x:v>
      </x:c>
      <x:c r="Q40" s="98" t="n">
        <x:f>R40*'Assumptions &amp; Sources'!$D$52</x:f>
        <x:v>225.25985915947763</x:v>
      </x:c>
      <x:c r="R40" s="110" t="n">
        <x:f>M40*(1+'Assumptions &amp; Sources'!$I$34)</x:f>
        <x:v>950.75992662</x:v>
      </x:c>
      <x:c r="S40" s="110" t="n">
        <x:f>R40*(1+'Assumptions &amp; Sources'!$J$34)</x:f>
        <x:v>1013.082239809941</x:v>
      </x:c>
      <x:c r="T40" s="98" t="n">
        <x:f>S40*(1+'Assumptions &amp; Sources'!$K$34)</x:f>
        <x:v>1074.3737153184425</x:v>
      </x:c>
      <x:c r="U40" s="98" t="n">
        <x:f>T40*(1+'Assumptions &amp; Sources'!$L$34)</x:f>
        <x:v>1139.3733250952082</x:v>
      </x:c>
      <x:c r="V40" s="98" t="n">
        <x:f>U40*(1+'Assumptions &amp; Sources'!$M$34)</x:f>
        <x:v>1202.5515759717375</x:v>
      </x:c>
      <x:c r="W40" s="98" t="n">
        <x:f>V40*(1+'Assumptions &amp; Sources'!$N$34)</x:f>
        <x:v>1263.1601754007131</x:v>
      </x:c>
      <x:c r="X40" s="98" t="n">
        <x:f>W40*(1+'Assumptions &amp; Sources'!$O$34)</x:f>
        <x:v>1326.823448240909</x:v>
      </x:c>
      <x:c r="Y40" s="98" t="n">
        <x:f>X40*(1+'Assumptions &amp; Sources'!$P$34)</x:f>
        <x:v>1386.9948916186343</x:v>
      </x:c>
    </x:row>
    <x:row r="41" ht="20" customHeight="1">
      <x:c r="B41" s="101" t="str">
        <x:v>Total</x:v>
      </x:c>
      <x:c r="C41" s="101" t="str">
        <x:v>Revenue from operations</x:v>
      </x:c>
      <x:c r="D41" s="112" t="n">
        <x:f>'Assumptions &amp; Sources'!$B$6</x:f>
        <x:v>49126.1</x:v>
      </x:c>
      <x:c r="E41" s="96" t="n">
        <x:f>'Assumptions &amp; Sources'!$C$6</x:f>
        <x:v>53486.6</x:v>
      </x:c>
      <x:c r="F41" s="96" t="n">
        <x:f>'Assumptions &amp; Sources'!$D$6</x:f>
        <x:v>58490.4</x:v>
      </x:c>
      <x:c r="G41" s="96" t="n">
        <x:f>G39+G40</x:f>
        <x:v>64091.5</x:v>
      </x:c>
      <x:c r="H41" s="96" t="n">
        <x:f>H39+H40</x:f>
        <x:v>69290.5</x:v>
      </x:c>
      <x:c r="I41" s="115" t="n">
        <x:f>I39+I40</x:f>
        <x:v>17734</x:v>
      </x:c>
      <x:c r="J41" s="102" t="n">
        <x:f>J39+J40</x:f>
        <x:v>20660.266648738114</x:v>
      </x:c>
      <x:c r="K41" s="102" t="n">
        <x:f>K39+K40</x:f>
        <x:v>19398.27431995574</x:v>
      </x:c>
      <x:c r="L41" s="102" t="n">
        <x:f>L39+L40</x:f>
        <x:v>18240.722346306124</x:v>
      </x:c>
      <x:c r="M41" s="115" t="n">
        <x:f>M39+M40</x:f>
        <x:v>76033.26331499999</x:v>
      </x:c>
      <x:c r="N41" s="115" t="n">
        <x:f>N39+N40</x:f>
        <x:v>20201.443953862756</x:v>
      </x:c>
      <x:c r="O41" s="102" t="n">
        <x:f>O39+O40</x:f>
        <x:v>22331.271212969936</x:v>
      </x:c>
      <x:c r="P41" s="102" t="n">
        <x:f>P39+P40</x:f>
        <x:v>20967.208810394503</x:v>
      </x:c>
      <x:c r="Q41" s="102" t="n">
        <x:f>Q39+Q40</x:f>
        <x:v>19716.03390998454</x:v>
      </x:c>
      <x:c r="R41" s="115" t="n">
        <x:f>R39+R40</x:f>
        <x:v>83215.95788721174</x:v>
      </x:c>
      <x:c r="S41" s="115" t="n">
        <x:f>S39+S40</x:f>
        <x:v>90608.04524422914</x:v>
      </x:c>
      <x:c r="T41" s="102" t="n">
        <x:f>T39+T40</x:f>
        <x:v>98086.55488205835</x:v>
      </x:c>
      <x:c r="U41" s="102" t="n">
        <x:f>U39+U40</x:f>
        <x:v>105345.49961715605</x:v>
      </x:c>
      <x:c r="V41" s="102" t="n">
        <x:f>V39+V40</x:f>
        <x:v>112395.32429477022</x:v>
      </x:c>
      <x:c r="W41" s="102" t="n">
        <x:f>W39+W40</x:f>
        <x:v>119018.98895059129</x:v>
      </x:c>
      <x:c r="X41" s="102" t="n">
        <x:f>X39+X40</x:f>
        <x:v>125532.66746566884</x:v>
      </x:c>
      <x:c r="Y41" s="102" t="n">
        <x:f>Y39+Y40</x:f>
        <x:v>131853.31243069633</x:v>
      </x:c>
    </x:row>
    <x:row r="42" ht="20" customHeight="1">
      <x:c r="B42" s="103" t="str">
        <x:v>Total</x:v>
      </x:c>
      <x:c r="C42" s="103" t="str">
        <x:v>YoY growth</x:v>
      </x:c>
      <x:c r="D42" s="113"/>
      <x:c r="E42" s="104" t="n">
        <x:f>E41/D41-1</x:f>
        <x:v>0.08876137124664885</x:v>
      </x:c>
      <x:c r="F42" s="104" t="n">
        <x:f>F41/E41-1</x:f>
        <x:v>0.09355240377963825</x:v>
      </x:c>
      <x:c r="G42" s="104" t="n">
        <x:f>G41/F41-1</x:f>
        <x:v>0.09576101377320034</x:v>
      </x:c>
      <x:c r="H42" s="104" t="n">
        <x:f>H41/G41-1</x:f>
        <x:v>0.08111840103601886</x:v>
      </x:c>
      <x:c r="I42" s="113" t="n">
        <x:f>I41/'Assumptions &amp; Sources'!$C$49-1</x:f>
        <x:v>0.05764757803833631</x:v>
      </x:c>
      <x:c r="J42" s="104" t="n">
        <x:f>J41/'Assumptions &amp; Sources'!$C$50-1</x:f>
        <x:v>0.12725771358083104</x:v>
      </x:c>
      <x:c r="K42" s="104" t="n">
        <x:f>K41/'Assumptions &amp; Sources'!$C$51-1</x:f>
        <x:v>0.1109486466958216</x:v>
      </x:c>
      <x:c r="L42" s="104" t="n">
        <x:f>L41/'Assumptions &amp; Sources'!$C$52-1</x:f>
        <x:v>0.0900265531848623</x:v>
      </x:c>
      <x:c r="M42" s="113" t="n">
        <x:f>M41/H41-1</x:f>
        <x:v>0.09731151189556986</x:v>
      </x:c>
      <x:c r="N42" s="113" t="n">
        <x:f>N41/I41-1</x:f>
        <x:v>0.13913634565595778</x:v>
      </x:c>
      <x:c r="O42" s="104" t="n">
        <x:f>O41/J41-1</x:f>
        <x:v>0.08088010637238718</x:v>
      </x:c>
      <x:c r="P42" s="104" t="n">
        <x:f>P41/K41-1</x:f>
        <x:v>0.08088010637238696</x:v>
      </x:c>
      <x:c r="Q42" s="104" t="n">
        <x:f>Q41/L41-1</x:f>
        <x:v>0.08088010637238696</x:v>
      </x:c>
      <x:c r="R42" s="113" t="n">
        <x:f>R41/M41-1</x:f>
        <x:v>0.09446779289814766</x:v>
      </x:c>
      <x:c r="S42" s="113" t="n">
        <x:f>S41/R41-1</x:f>
        <x:v>0.08883016604863703</x:v>
      </x:c>
      <x:c r="T42" s="104" t="n">
        <x:f>T41/S41-1</x:f>
        <x:v>0.08253692724162942</x:v>
      </x:c>
      <x:c r="U42" s="104" t="n">
        <x:f>U41/T41-1</x:f>
        <x:v>0.0740055020163164</x:v>
      </x:c>
      <x:c r="V42" s="104" t="n">
        <x:f>V41/U41-1</x:f>
        <x:v>0.06692098573963268</x:v>
      </x:c>
      <x:c r="W42" s="104" t="n">
        <x:f>W41/V41-1</x:f>
        <x:v>0.05893185234689757</x:v>
      </x:c>
      <x:c r="X42" s="104" t="n">
        <x:f>X41/W41-1</x:f>
        <x:v>0.054728061232158565</x:v>
      </x:c>
      <x:c r="Y42" s="104" t="n">
        <x:f>Y41/X41-1</x:f>
        <x:v>0.050350598713725825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FA7BD"/>
  </x:sheetPr>
  <x:sheetViews>
    <x:sheetView showGridLines="0" workbookViewId="0">
      <x:pane xSplit="2" ySplit="12" topLeftCell="C13" activePane="bottomRight" state="frozen"/>
    </x:sheetView>
  </x:sheetViews>
  <x:sheetFormatPr defaultRowHeight="15"/>
  <x:cols>
    <x:col min="1" max="1" width="23" hidden="0" customWidth="1"/>
    <x:col min="2" max="2" width="27" hidden="0" customWidth="1"/>
    <x:col min="3" max="3" width="13" hidden="0" customWidth="1"/>
    <x:col min="4" max="4" width="10.5" hidden="0" customWidth="1"/>
    <x:col min="5" max="5" width="10.5" hidden="0" customWidth="1"/>
    <x:col min="6" max="6" width="10.5" hidden="0" customWidth="1"/>
    <x:col min="7" max="7" width="10.5" hidden="0" customWidth="1"/>
    <x:col min="8" max="8" width="10.5" hidden="0" customWidth="1"/>
    <x:col min="9" max="9" width="10.5" hidden="0" customWidth="1"/>
    <x:col min="10" max="10" width="10.5" hidden="0" customWidth="1"/>
    <x:col min="11" max="11" width="10.5" hidden="0" customWidth="1"/>
    <x:col min="12" max="12" width="10.5" hidden="0" customWidth="1"/>
    <x:col min="13" max="13" width="10.5" hidden="0" customWidth="1"/>
    <x:col min="14" max="14" width="10.5" hidden="0" customWidth="1"/>
    <x:col min="15" max="15" width="10.5" hidden="0" customWidth="1"/>
    <x:col min="16" max="16" width="10.5" hidden="0" customWidth="1"/>
    <x:col min="17" max="17" width="48" hidden="0" customWidth="1"/>
  </x:cols>
  <x:sheetData>
    <x:row r="1">
      <x:c r="A1" s="41"/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</x:row>
    <x:row r="2">
      <x:c r="A2" s="1" t="str">
        <x:v>Abbott India Revenue Assumptions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</x:row>
    <x:row r="3">
      <x:c r="A3" s="2" t="str">
        <x:v>Blue font denotes editable assumptions. FY22-FY25 product sales are formula-driven Bernstein back-casts; company revenue is audited. INR mn unless stated.</x:v>
      </x:c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</x:row>
    <x:row r="4">
      <x:c r="A4" s="41"/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</x:row>
    <x:row r="5">
      <x:c r="A5" s="8" t="str">
        <x:v>Actual control</x:v>
      </x:c>
      <x:c r="B5" s="8" t="str">
        <x:v>FY22A</x:v>
      </x:c>
      <x:c r="C5" s="8" t="str">
        <x:v>FY23A</x:v>
      </x:c>
      <x:c r="D5" s="8" t="str">
        <x:v>FY24A</x:v>
      </x:c>
      <x:c r="E5" s="8" t="str">
        <x:v>FY25A</x:v>
      </x:c>
      <x:c r="F5" s="8" t="str">
        <x:v>FY26A</x:v>
      </x:c>
      <x:c r="G5" s="8" t="str">
        <x:v>FY27Q1A</x:v>
      </x:c>
      <x:c r="H5" s="41"/>
      <x:c r="I5" s="41"/>
      <x:c r="J5" s="41"/>
      <x:c r="K5" s="41"/>
      <x:c r="L5" s="41"/>
      <x:c r="M5" s="41"/>
      <x:c r="N5" s="41"/>
      <x:c r="O5" s="41"/>
      <x:c r="P5" s="41"/>
      <x:c r="Q5" s="41"/>
    </x:row>
    <x:row r="6">
      <x:c r="A6" s="45" t="str">
        <x:v>Revenue from operations</x:v>
      </x:c>
      <x:c r="B6" s="11" t="n">
        <x:v>49126.1</x:v>
      </x:c>
      <x:c r="C6" s="11" t="n">
        <x:v>53486.6</x:v>
      </x:c>
      <x:c r="D6" s="11" t="n">
        <x:v>58490.4</x:v>
      </x:c>
      <x:c r="E6" s="11" t="n">
        <x:v>64091.5</x:v>
      </x:c>
      <x:c r="F6" s="11" t="n">
        <x:v>69290.5</x:v>
      </x:c>
      <x:c r="G6" s="11" t="n">
        <x:v>17734</x:v>
      </x:c>
      <x:c r="H6" s="41"/>
      <x:c r="I6" s="41"/>
      <x:c r="J6" s="41"/>
      <x:c r="K6" s="41"/>
      <x:c r="L6" s="41"/>
      <x:c r="M6" s="41"/>
      <x:c r="N6" s="41"/>
      <x:c r="O6" s="41"/>
      <x:c r="P6" s="41"/>
      <x:c r="Q6" s="41"/>
    </x:row>
    <x:row r="7">
      <x:c r="A7" s="45" t="str">
        <x:v>Product sales (FY22-FY24 est.)</x:v>
      </x:c>
      <x:c r="B7" s="19" t="n">
        <x:f>B6-B8</x:f>
        <x:v>48620.03194634964</x:v>
      </x:c>
      <x:c r="C7" s="19" t="n">
        <x:f>C6-C8</x:f>
        <x:v>52940.04650205761</x:v>
      </x:c>
      <x:c r="D7" s="19" t="n">
        <x:f>D6-D8</x:f>
        <x:v>57900.12222222222</x:v>
      </x:c>
      <x:c r="E7" s="11" t="n">
        <x:v>63454</x:v>
      </x:c>
      <x:c r="F7" s="11" t="n">
        <x:v>68461</x:v>
      </x:c>
      <x:c r="G7" s="11"/>
      <x:c r="H7" s="41"/>
      <x:c r="I7" s="41"/>
      <x:c r="J7" s="41"/>
      <x:c r="K7" s="41"/>
      <x:c r="L7" s="41"/>
      <x:c r="M7" s="41"/>
      <x:c r="N7" s="41"/>
      <x:c r="O7" s="41"/>
      <x:c r="P7" s="41"/>
      <x:c r="Q7" s="41"/>
    </x:row>
    <x:row r="8">
      <x:c r="A8" s="45" t="str">
        <x:v>Other operating revenue (FY22-FY24 est.)</x:v>
      </x:c>
      <x:c r="B8" s="19" t="n">
        <x:f>$E$8/((1+$D$34)*(1+$E$34)*(1+$F$34))</x:f>
        <x:v>506.06805365035814</x:v>
      </x:c>
      <x:c r="C8" s="19" t="n">
        <x:f>B8*(1+$D$34)</x:f>
        <x:v>546.5534979423868</x:v>
      </x:c>
      <x:c r="D8" s="19" t="n">
        <x:f>C8*(1+$E$34)</x:f>
        <x:v>590.2777777777778</x:v>
      </x:c>
      <x:c r="E8" s="11" t="n">
        <x:v>637.5</x:v>
      </x:c>
      <x:c r="F8" s="11" t="n">
        <x:v>829.5</x:v>
      </x:c>
      <x:c r="G8" s="11"/>
      <x:c r="H8" s="41"/>
      <x:c r="I8" s="41"/>
      <x:c r="J8" s="41"/>
      <x:c r="K8" s="41"/>
      <x:c r="L8" s="41"/>
      <x:c r="M8" s="41"/>
      <x:c r="N8" s="41"/>
      <x:c r="O8" s="41"/>
      <x:c r="P8" s="41"/>
      <x:c r="Q8" s="41"/>
    </x:row>
    <x:row r="9">
      <x:c r="A9" s="41"/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</x:row>
    <x:row r="10">
      <x:c r="A10" s="43" t="str">
        <x:v>* Historical product growth rates are Bernstein back-cast assumptions; audited company totals remain unchanged.</x:v>
      </x:c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</x:row>
    <x:row r="12" ht="30" customHeight="1">
      <x:c r="A12" s="8" t="str">
        <x:v>Therapy</x:v>
      </x:c>
      <x:c r="B12" s="8" t="str">
        <x:v>Product / family</x:v>
      </x:c>
      <x:c r="C12" s="8" t="str">
        <x:v>FY26 base</x:v>
      </x:c>
      <x:c r="D12" s="8" t="str">
        <x:v>FY23A*</x:v>
      </x:c>
      <x:c r="E12" s="8" t="str">
        <x:v>FY24A*</x:v>
      </x:c>
      <x:c r="F12" s="8" t="str">
        <x:v>FY25A*</x:v>
      </x:c>
      <x:c r="G12" s="8" t="str">
        <x:v>FY26A*</x:v>
      </x:c>
      <x:c r="H12" s="8" t="str">
        <x:v>FY27E</x:v>
      </x:c>
      <x:c r="I12" s="8" t="str">
        <x:v>FY28E</x:v>
      </x:c>
      <x:c r="J12" s="8" t="str">
        <x:v>FY29E</x:v>
      </x:c>
      <x:c r="K12" s="8" t="str">
        <x:v>FY30E</x:v>
      </x:c>
      <x:c r="L12" s="8" t="str">
        <x:v>FY31E</x:v>
      </x:c>
      <x:c r="M12" s="8" t="str">
        <x:v>FY32E</x:v>
      </x:c>
      <x:c r="N12" s="8" t="str">
        <x:v>FY33E</x:v>
      </x:c>
      <x:c r="O12" s="8" t="str">
        <x:v>FY34E</x:v>
      </x:c>
      <x:c r="P12" s="8" t="str">
        <x:v>FY35E</x:v>
      </x:c>
      <x:c r="Q12" s="8" t="str">
        <x:v>Source / method</x:v>
      </x:c>
    </x:row>
    <x:row r="13" ht="28" customHeight="1">
      <x:c r="A13" s="45" t="str">
        <x:v>GI and hepatology</x:v>
      </x:c>
      <x:c r="B13" s="45" t="str">
        <x:v>Udiliv</x:v>
      </x:c>
      <x:c r="C13" s="11" t="n">
        <x:v>7100</x:v>
      </x:c>
      <x:c r="D13" s="14" t="n">
        <x:v>0.08</x:v>
      </x:c>
      <x:c r="E13" s="14" t="n">
        <x:v>0.09</x:v>
      </x:c>
      <x:c r="F13" s="14" t="n">
        <x:v>0.1</x:v>
      </x:c>
      <x:c r="G13" s="14" t="n">
        <x:v>0.1</x:v>
      </x:c>
      <x:c r="H13" s="14" t="n">
        <x:v>0.09694999999999987</x:v>
      </x:c>
      <x:c r="I13" s="14" t="n">
        <x:v>0.0918000000000001</x:v>
      </x:c>
      <x:c r="J13" s="14" t="n">
        <x:v>0.0866499999999999</x:v>
      </x:c>
      <x:c r="K13" s="14" t="n">
        <x:v>0.08150000000000013</x:v>
      </x:c>
      <x:c r="L13" s="14" t="n">
        <x:v>0.07425999999999999</x:v>
      </x:c>
      <x:c r="M13" s="14" t="n">
        <x:v>0.06912000000000007</x:v>
      </x:c>
      <x:c r="N13" s="14" t="n">
        <x:v>0.06087499999999979</x:v>
      </x:c>
      <x:c r="O13" s="14" t="n">
        <x:v>0.06087499999999979</x:v>
      </x:c>
      <x:c r="P13" s="14" t="n">
        <x:v>0.055749999999999966</x:v>
      </x:c>
      <x:c r="Q13" s="47" t="str">
        <x:v>Company disclosed FY26 sales above INR 7,000mn; Bernstein estimate uses INR 7,100mn.</x:v>
      </x:c>
    </x:row>
    <x:row r="14" ht="28" customHeight="1">
      <x:c r="A14" s="45" t="str">
        <x:v>GI and hepatology</x:v>
      </x:c>
      <x:c r="B14" s="45" t="str">
        <x:v>Cremaffin franchise</x:v>
      </x:c>
      <x:c r="C14" s="11" t="n">
        <x:v>6273</x:v>
      </x:c>
      <x:c r="D14" s="14" t="n">
        <x:v>0.08</x:v>
      </x:c>
      <x:c r="E14" s="14" t="n">
        <x:v>0.1</x:v>
      </x:c>
      <x:c r="F14" s="14" t="n">
        <x:v>0.12</x:v>
      </x:c>
      <x:c r="G14" s="14" t="n">
        <x:v>0.19</x:v>
      </x:c>
      <x:c r="H14" s="14" t="n">
        <x:v>0.12270000000000003</x:v>
      </x:c>
      <x:c r="I14" s="14" t="n">
        <x:v>0.11240000000000006</x:v>
      </x:c>
      <x:c r="J14" s="14" t="n">
        <x:v>0.10210000000000008</x:v>
      </x:c>
      <x:c r="K14" s="14" t="n">
        <x:v>0.0918000000000001</x:v>
      </x:c>
      <x:c r="L14" s="14" t="n">
        <x:v>0.08454000000000006</x:v>
      </x:c>
      <x:c r="M14" s="14" t="n">
        <x:v>0.07940000000000014</x:v>
      </x:c>
      <x:c r="N14" s="14" t="n">
        <x:v>0.07112499999999988</x:v>
      </x:c>
      <x:c r="O14" s="14" t="n">
        <x:v>0.06599999999999984</x:v>
      </x:c>
      <x:c r="P14" s="14" t="n">
        <x:v>0.06087499999999979</x:v>
      </x:c>
      <x:c r="Q14" s="47" t="str">
        <x:v>IQVIA TTM Aug-26: Cremaffin Plus INR 4,374.9mn plus Cremaffin INR 1,898.1mn.</x:v>
      </x:c>
    </x:row>
    <x:row r="15" ht="28" customHeight="1">
      <x:c r="A15" s="45" t="str">
        <x:v>GI and hepatology</x:v>
      </x:c>
      <x:c r="B15" s="45" t="str">
        <x:v>Duphalac</x:v>
      </x:c>
      <x:c r="C15" s="11" t="n">
        <x:v>3200</x:v>
      </x:c>
      <x:c r="D15" s="14" t="n">
        <x:v>0.07</x:v>
      </x:c>
      <x:c r="E15" s="14" t="n">
        <x:v>0.08</x:v>
      </x:c>
      <x:c r="F15" s="14" t="n">
        <x:v>0.08</x:v>
      </x:c>
      <x:c r="G15" s="14" t="n">
        <x:v>0.09</x:v>
      </x:c>
      <x:c r="H15" s="14" t="n">
        <x:v>0.0866499999999999</x:v>
      </x:c>
      <x:c r="I15" s="14" t="n">
        <x:v>0.0866499999999999</x:v>
      </x:c>
      <x:c r="J15" s="14" t="n">
        <x:v>0.08150000000000013</x:v>
      </x:c>
      <x:c r="K15" s="14" t="n">
        <x:v>0.07634999999999992</x:v>
      </x:c>
      <x:c r="L15" s="14" t="n">
        <x:v>0.06912000000000007</x:v>
      </x:c>
      <x:c r="M15" s="14" t="n">
        <x:v>0.06912000000000007</x:v>
      </x:c>
      <x:c r="N15" s="14" t="n">
        <x:v>0.06087499999999979</x:v>
      </x:c>
      <x:c r="O15" s="14" t="n">
        <x:v>0.055749999999999966</x:v>
      </x:c>
      <x:c r="P15" s="14" t="n">
        <x:v>0.055749999999999966</x:v>
      </x:c>
      <x:c r="Q15" s="47" t="str">
        <x:v>Bernstein estimate; company identifies Duphalac as a flagship GI brand.</x:v>
      </x:c>
    </x:row>
    <x:row r="16" ht="28" customHeight="1">
      <x:c r="A16" s="45" t="str">
        <x:v>GI and hepatology</x:v>
      </x:c>
      <x:c r="B16" s="45" t="str">
        <x:v>Digene</x:v>
      </x:c>
      <x:c r="C16" s="11" t="n">
        <x:v>2706.1</x:v>
      </x:c>
      <x:c r="D16" s="14" t="n">
        <x:v>0.07</x:v>
      </x:c>
      <x:c r="E16" s="14" t="n">
        <x:v>0.09</x:v>
      </x:c>
      <x:c r="F16" s="14" t="n">
        <x:v>0.1</x:v>
      </x:c>
      <x:c r="G16" s="14" t="n">
        <x:v>0.1101</x:v>
      </x:c>
      <x:c r="H16" s="14" t="n">
        <x:v>0.10210000000000008</x:v>
      </x:c>
      <x:c r="I16" s="14" t="n">
        <x:v>0.09694999999999987</x:v>
      </x:c>
      <x:c r="J16" s="14" t="n">
        <x:v>0.0918000000000001</x:v>
      </x:c>
      <x:c r="K16" s="14" t="n">
        <x:v>0.0866499999999999</x:v>
      </x:c>
      <x:c r="L16" s="14" t="n">
        <x:v>0.07940000000000014</x:v>
      </x:c>
      <x:c r="M16" s="14" t="n">
        <x:v>0.07425999999999999</x:v>
      </x:c>
      <x:c r="N16" s="14" t="n">
        <x:v>0.06599999999999984</x:v>
      </x:c>
      <x:c r="O16" s="14" t="n">
        <x:v>0.06087499999999979</x:v>
      </x:c>
      <x:c r="P16" s="14" t="n">
        <x:v>0.055749999999999966</x:v>
      </x:c>
      <x:c r="Q16" s="47" t="str">
        <x:v>IQVIA TTM Aug-26 sales of INR 2,706.1mn.</x:v>
      </x:c>
    </x:row>
    <x:row r="17" ht="28" customHeight="1">
      <x:c r="A17" s="45" t="str">
        <x:v>GI and hepatology</x:v>
      </x:c>
      <x:c r="B17" s="45" t="str">
        <x:v>Creon</x:v>
      </x:c>
      <x:c r="C17" s="11" t="n">
        <x:v>2000</x:v>
      </x:c>
      <x:c r="D17" s="14" t="n">
        <x:v>0.07</x:v>
      </x:c>
      <x:c r="E17" s="14" t="n">
        <x:v>0.08</x:v>
      </x:c>
      <x:c r="F17" s="14" t="n">
        <x:v>0.09</x:v>
      </x:c>
      <x:c r="G17" s="14" t="n">
        <x:v>0.09</x:v>
      </x:c>
      <x:c r="H17" s="14" t="n">
        <x:v>0.0866499999999999</x:v>
      </x:c>
      <x:c r="I17" s="14" t="n">
        <x:v>0.08150000000000013</x:v>
      </x:c>
      <x:c r="J17" s="14" t="n">
        <x:v>0.07634999999999992</x:v>
      </x:c>
      <x:c r="K17" s="14" t="n">
        <x:v>0.07120000000000015</x:v>
      </x:c>
      <x:c r="L17" s="14" t="n">
        <x:v>0.06912000000000007</x:v>
      </x:c>
      <x:c r="M17" s="14" t="n">
        <x:v>0.06397999999999993</x:v>
      </x:c>
      <x:c r="N17" s="14" t="n">
        <x:v>0.055749999999999966</x:v>
      </x:c>
      <x:c r="O17" s="14" t="n">
        <x:v>0.055749999999999966</x:v>
      </x:c>
      <x:c r="P17" s="14" t="n">
        <x:v>0.05062499999999992</x:v>
      </x:c>
      <x:c r="Q17" s="47" t="str">
        <x:v>Bernstein estimate; company identifies Creon as a flagship GI brand.</x:v>
      </x:c>
    </x:row>
    <x:row r="18" ht="28" customHeight="1">
      <x:c r="A18" s="45" t="str">
        <x:v>GI and hepatology</x:v>
      </x:c>
      <x:c r="B18" s="45" t="str">
        <x:v>Ganaton</x:v>
      </x:c>
      <x:c r="C18" s="11" t="n">
        <x:v>1050</x:v>
      </x:c>
      <x:c r="D18" s="14" t="n">
        <x:v>0.09</x:v>
      </x:c>
      <x:c r="E18" s="14" t="n">
        <x:v>0.1</x:v>
      </x:c>
      <x:c r="F18" s="14" t="n">
        <x:v>0.1</x:v>
      </x:c>
      <x:c r="G18" s="14" t="n">
        <x:v>0.11</x:v>
      </x:c>
      <x:c r="H18" s="14" t="n">
        <x:v>0.11240000000000006</x:v>
      </x:c>
      <x:c r="I18" s="14" t="n">
        <x:v>0.10725000000000007</x:v>
      </x:c>
      <x:c r="J18" s="14" t="n">
        <x:v>0.09694999999999987</x:v>
      </x:c>
      <x:c r="K18" s="14" t="n">
        <x:v>0.0866499999999999</x:v>
      </x:c>
      <x:c r="L18" s="14" t="n">
        <x:v>0.07940000000000014</x:v>
      </x:c>
      <x:c r="M18" s="14" t="n">
        <x:v>0.07425999999999999</x:v>
      </x:c>
      <x:c r="N18" s="14" t="n">
        <x:v>0.06599999999999984</x:v>
      </x:c>
      <x:c r="O18" s="14" t="n">
        <x:v>0.06087499999999979</x:v>
      </x:c>
      <x:c r="P18" s="14" t="n">
        <x:v>0.055749999999999966</x:v>
      </x:c>
      <x:c r="Q18" s="47" t="str">
        <x:v>Company disclosed FY26 sales above INR 1,000mn; Bernstein estimate uses INR 1,050mn.</x:v>
      </x:c>
    </x:row>
    <x:row r="19" ht="28" customHeight="1">
      <x:c r="A19" s="45" t="str">
        <x:v>GI and hepatology</x:v>
      </x:c>
      <x:c r="B19" s="45" t="str">
        <x:v>Recent GI launches</x:v>
      </x:c>
      <x:c r="C19" s="11" t="n">
        <x:v>200</x:v>
      </x:c>
      <x:c r="D19" s="14" t="n">
        <x:v>1</x:v>
      </x:c>
      <x:c r="E19" s="14" t="n">
        <x:v>1</x:v>
      </x:c>
      <x:c r="F19" s="14" t="n">
        <x:v>1</x:v>
      </x:c>
      <x:c r="G19" s="14" t="n">
        <x:v>1</x:v>
      </x:c>
      <x:c r="H19" s="14" t="n">
        <x:v>0.53</x:v>
      </x:c>
      <x:c r="I19" s="14" t="n">
        <x:v>0.3770000000000002</x:v>
      </x:c>
      <x:c r="J19" s="14" t="n">
        <x:v>0.24439999999999995</x:v>
      </x:c>
      <x:c r="K19" s="14" t="n">
        <x:v>0.16280000000000006</x:v>
      </x:c>
      <x:c r="L19" s="14" t="n">
        <x:v>0.12200000000000011</x:v>
      </x:c>
      <x:c r="M19" s="14" t="n">
        <x:v>0.10160000000000013</x:v>
      </x:c>
      <x:c r="N19" s="14" t="n">
        <x:v>0.08120000000000016</x:v>
      </x:c>
      <x:c r="O19" s="14" t="n">
        <x:v>0.07100000000000017</x:v>
      </x:c>
      <x:c r="P19" s="14" t="n">
        <x:v>0.060799999999999965</x:v>
      </x:c>
      <x:c r="Q19" s="47" t="str">
        <x:v>Vonefi, Digeraft, Digene Insta On The Go, Duphalac Rapid and Ezybixy cohort.</x:v>
      </x:c>
    </x:row>
    <x:row r="20" ht="28" customHeight="1">
      <x:c r="A20" s="45" t="str">
        <x:v>GI and hepatology</x:v>
      </x:c>
      <x:c r="B20" s="45" t="str">
        <x:v>Other GI products</x:v>
      </x:c>
      <x:c r="C20" s="11" t="n">
        <x:v>3800</x:v>
      </x:c>
      <x:c r="D20" s="14" t="n">
        <x:v>0.07</x:v>
      </x:c>
      <x:c r="E20" s="14" t="n">
        <x:v>0.07</x:v>
      </x:c>
      <x:c r="F20" s="14" t="n">
        <x:v>0.07</x:v>
      </x:c>
      <x:c r="G20" s="14" t="n">
        <x:v>0.07</x:v>
      </x:c>
      <x:c r="H20" s="14" t="n">
        <x:v>0.06599999999999984</x:v>
      </x:c>
      <x:c r="I20" s="14" t="n">
        <x:v>0.06599999999999984</x:v>
      </x:c>
      <x:c r="J20" s="14" t="n">
        <x:v>0.06087499999999979</x:v>
      </x:c>
      <x:c r="K20" s="14" t="n">
        <x:v>0.06087499999999979</x:v>
      </x:c>
      <x:c r="L20" s="14" t="n">
        <x:v>0.055749999999999966</x:v>
      </x:c>
      <x:c r="M20" s="14" t="n">
        <x:v>0.055749999999999966</x:v>
      </x:c>
      <x:c r="N20" s="14" t="n">
        <x:v>0.05062499999999992</x:v>
      </x:c>
      <x:c r="O20" s="14" t="n">
        <x:v>0.05062499999999992</x:v>
      </x:c>
      <x:c r="P20" s="14" t="n">
        <x:v>0.045499999999999874</x:v>
      </x:c>
      <x:c r="Q20" s="47" t="str">
        <x:v>Residual established GI portfolio excluding separately modelled products.</x:v>
      </x:c>
    </x:row>
    <x:row r="21" ht="28" customHeight="1">
      <x:c r="A21" s="45" t="str">
        <x:v>Metabolics</x:v>
      </x:c>
      <x:c r="B21" s="45" t="str">
        <x:v>Thyronorm</x:v>
      </x:c>
      <x:c r="C21" s="11" t="n">
        <x:v>7952.8</x:v>
      </x:c>
      <x:c r="D21" s="14" t="n">
        <x:v>0.09</x:v>
      </x:c>
      <x:c r="E21" s="14" t="n">
        <x:v>0.1</x:v>
      </x:c>
      <x:c r="F21" s="14" t="n">
        <x:v>0.11</x:v>
      </x:c>
      <x:c r="G21" s="14" t="n">
        <x:v>0.128</x:v>
      </x:c>
      <x:c r="H21" s="14" t="n">
        <x:v>0.10210000000000008</x:v>
      </x:c>
      <x:c r="I21" s="14" t="n">
        <x:v>0.09694999999999987</x:v>
      </x:c>
      <x:c r="J21" s="14" t="n">
        <x:v>0.0918000000000001</x:v>
      </x:c>
      <x:c r="K21" s="14" t="n">
        <x:v>0.0866499999999999</x:v>
      </x:c>
      <x:c r="L21" s="14" t="n">
        <x:v>0.07940000000000014</x:v>
      </x:c>
      <x:c r="M21" s="14" t="n">
        <x:v>0.07425999999999999</x:v>
      </x:c>
      <x:c r="N21" s="14" t="n">
        <x:v>0.06599999999999984</x:v>
      </x:c>
      <x:c r="O21" s="14" t="n">
        <x:v>0.06087499999999979</x:v>
      </x:c>
      <x:c r="P21" s="14" t="n">
        <x:v>0.055749999999999966</x:v>
      </x:c>
      <x:c r="Q21" s="47" t="str">
        <x:v>IQVIA TTM Aug-26 sales of INR 7,952.8mn.</x:v>
      </x:c>
    </x:row>
    <x:row r="22" ht="28" customHeight="1">
      <x:c r="A22" s="45" t="str">
        <x:v>Metabolics</x:v>
      </x:c>
      <x:c r="B22" s="45" t="str">
        <x:v>Extensior</x:v>
      </x:c>
      <x:c r="C22" s="18" t="n">
        <x:f>$C$43</x:f>
        <x:v>50</x:v>
      </x:c>
      <x:c r="D22" s="17" t="n">
        <x:v>0</x:v>
      </x:c>
      <x:c r="E22" s="17" t="n">
        <x:v>0</x:v>
      </x:c>
      <x:c r="F22" s="17" t="n">
        <x:v>0</x:v>
      </x:c>
      <x:c r="G22" s="17" t="n">
        <x:v>0</x:v>
      </x:c>
      <x:c r="H22" s="17"/>
      <x:c r="I22" s="17"/>
      <x:c r="J22" s="17"/>
      <x:c r="K22" s="17"/>
      <x:c r="L22" s="17"/>
      <x:c r="M22" s="17"/>
      <x:c r="N22" s="17"/>
      <x:c r="O22" s="17"/>
      <x:c r="P22" s="17"/>
      <x:c r="Q22" s="47" t="str">
        <x:v>Patient-price build below. Gross revenue recognition assumed; listed-entity economics remain undisclosed.</x:v>
      </x:c>
    </x:row>
    <x:row r="23" ht="28" customHeight="1">
      <x:c r="A23" s="45" t="str">
        <x:v>Metabolics</x:v>
      </x:c>
      <x:c r="B23" s="45" t="str">
        <x:v>Other metabolic products</x:v>
      </x:c>
      <x:c r="C23" s="11" t="n">
        <x:v>1500</x:v>
      </x:c>
      <x:c r="D23" s="14" t="n">
        <x:v>0.07</x:v>
      </x:c>
      <x:c r="E23" s="14" t="n">
        <x:v>0.07</x:v>
      </x:c>
      <x:c r="F23" s="14" t="n">
        <x:v>0.07</x:v>
      </x:c>
      <x:c r="G23" s="14" t="n">
        <x:v>0.07</x:v>
      </x:c>
      <x:c r="H23" s="14" t="n">
        <x:v>0.07112499999999988</x:v>
      </x:c>
      <x:c r="I23" s="14" t="n">
        <x:v>0.07112499999999988</x:v>
      </x:c>
      <x:c r="J23" s="14" t="n">
        <x:v>0.06599999999999984</x:v>
      </x:c>
      <x:c r="K23" s="14" t="n">
        <x:v>0.06599999999999984</x:v>
      </x:c>
      <x:c r="L23" s="14" t="n">
        <x:v>0.06087499999999979</x:v>
      </x:c>
      <x:c r="M23" s="14" t="n">
        <x:v>0.06087499999999979</x:v>
      </x:c>
      <x:c r="N23" s="14" t="n">
        <x:v>0.055749999999999966</x:v>
      </x:c>
      <x:c r="O23" s="14" t="n">
        <x:v>0.055749999999999966</x:v>
      </x:c>
      <x:c r="P23" s="14" t="n">
        <x:v>0.05062499999999992</x:v>
      </x:c>
      <x:c r="Q23" s="47" t="str">
        <x:v>Residual metabolic portfolio excluding Thyronorm and Extensior.</x:v>
      </x:c>
    </x:row>
    <x:row r="24" ht="28" customHeight="1">
      <x:c r="A24" s="45" t="str">
        <x:v>Women's Health</x:v>
      </x:c>
      <x:c r="B24" s="45" t="str">
        <x:v>Duphaston and Femoston</x:v>
      </x:c>
      <x:c r="C24" s="11" t="n">
        <x:v>7000</x:v>
      </x:c>
      <x:c r="D24" s="14" t="n">
        <x:v>0.08</x:v>
      </x:c>
      <x:c r="E24" s="14" t="n">
        <x:v>0.08</x:v>
      </x:c>
      <x:c r="F24" s="14" t="n">
        <x:v>0.07</x:v>
      </x:c>
      <x:c r="G24" s="14" t="n">
        <x:v>0.05</x:v>
      </x:c>
      <x:c r="H24" s="14" t="n">
        <x:v>0.045499999999999874</x:v>
      </x:c>
      <x:c r="I24" s="14" t="n">
        <x:v>0.05059999999999998</x:v>
      </x:c>
      <x:c r="J24" s="14" t="n">
        <x:v>0.05569999999999986</x:v>
      </x:c>
      <x:c r="K24" s="14" t="n">
        <x:v>0.05569999999999986</x:v>
      </x:c>
      <x:c r="L24" s="14" t="n">
        <x:v>0.05569999999999986</x:v>
      </x:c>
      <x:c r="M24" s="14" t="n">
        <x:v>0.05059999999999998</x:v>
      </x:c>
      <x:c r="N24" s="14" t="n">
        <x:v>0.05059999999999998</x:v>
      </x:c>
      <x:c r="O24" s="14" t="n">
        <x:v>0.045499999999999874</x:v>
      </x:c>
      <x:c r="P24" s="14" t="n">
        <x:v>0.045499999999999874</x:v>
      </x:c>
      <x:c r="Q24" s="47" t="str">
        <x:v>Bernstein estimate reflecting Duphaston leadership and generic pricing pressure.</x:v>
      </x:c>
    </x:row>
    <x:row r="25" ht="28" customHeight="1">
      <x:c r="A25" s="45" t="str">
        <x:v>Women's Health</x:v>
      </x:c>
      <x:c r="B25" s="45" t="str">
        <x:v>Other Women's Health</x:v>
      </x:c>
      <x:c r="C25" s="11" t="n">
        <x:v>2000</x:v>
      </x:c>
      <x:c r="D25" s="14" t="n">
        <x:v>0.08</x:v>
      </x:c>
      <x:c r="E25" s="14" t="n">
        <x:v>0.08</x:v>
      </x:c>
      <x:c r="F25" s="14" t="n">
        <x:v>0.08</x:v>
      </x:c>
      <x:c r="G25" s="14" t="n">
        <x:v>0.08</x:v>
      </x:c>
      <x:c r="H25" s="14" t="n">
        <x:v>0.07624999999999993</x:v>
      </x:c>
      <x:c r="I25" s="14" t="n">
        <x:v>0.07624999999999993</x:v>
      </x:c>
      <x:c r="J25" s="14" t="n">
        <x:v>0.07624999999999993</x:v>
      </x:c>
      <x:c r="K25" s="14" t="n">
        <x:v>0.07112499999999988</x:v>
      </x:c>
      <x:c r="L25" s="14" t="n">
        <x:v>0.07112499999999988</x:v>
      </x:c>
      <x:c r="M25" s="14" t="n">
        <x:v>0.06599999999999984</x:v>
      </x:c>
      <x:c r="N25" s="14" t="n">
        <x:v>0.06599999999999984</x:v>
      </x:c>
      <x:c r="O25" s="14" t="n">
        <x:v>0.06087499999999979</x:v>
      </x:c>
      <x:c r="P25" s="14" t="n">
        <x:v>0.06087499999999979</x:v>
      </x:c>
      <x:c r="Q25" s="47" t="str">
        <x:v>Fertility, contraception, menopause and other products.</x:v>
      </x:c>
    </x:row>
    <x:row r="26" ht="28" customHeight="1">
      <x:c r="A26" s="45" t="str">
        <x:v>CNS</x:v>
      </x:c>
      <x:c r="B26" s="45" t="str">
        <x:v>Vertin</x:v>
      </x:c>
      <x:c r="C26" s="11" t="n">
        <x:v>3500</x:v>
      </x:c>
      <x:c r="D26" s="14" t="n">
        <x:v>0.08</x:v>
      </x:c>
      <x:c r="E26" s="14" t="n">
        <x:v>0.08</x:v>
      </x:c>
      <x:c r="F26" s="14" t="n">
        <x:v>0.08</x:v>
      </x:c>
      <x:c r="G26" s="14" t="n">
        <x:v>0.08</x:v>
      </x:c>
      <x:c r="H26" s="14" t="n">
        <x:v>0.07624999999999993</x:v>
      </x:c>
      <x:c r="I26" s="14" t="n">
        <x:v>0.07624999999999993</x:v>
      </x:c>
      <x:c r="J26" s="14" t="n">
        <x:v>0.07112499999999988</x:v>
      </x:c>
      <x:c r="K26" s="14" t="n">
        <x:v>0.07112499999999988</x:v>
      </x:c>
      <x:c r="L26" s="14" t="n">
        <x:v>0.06599999999999984</x:v>
      </x:c>
      <x:c r="M26" s="14" t="n">
        <x:v>0.06599999999999984</x:v>
      </x:c>
      <x:c r="N26" s="14" t="n">
        <x:v>0.06087499999999979</x:v>
      </x:c>
      <x:c r="O26" s="14" t="n">
        <x:v>0.06087499999999979</x:v>
      </x:c>
      <x:c r="P26" s="14" t="n">
        <x:v>0.055749999999999966</x:v>
      </x:c>
      <x:c r="Q26" s="47" t="str">
        <x:v>Bernstein estimate; Vertin is the disclosed CNS anchor.</x:v>
      </x:c>
    </x:row>
    <x:row r="27" ht="28" customHeight="1">
      <x:c r="A27" s="45" t="str">
        <x:v>CNS</x:v>
      </x:c>
      <x:c r="B27" s="45" t="str">
        <x:v>Other CNS</x:v>
      </x:c>
      <x:c r="C27" s="11" t="n">
        <x:v>2800</x:v>
      </x:c>
      <x:c r="D27" s="14" t="n">
        <x:v>0.06</x:v>
      </x:c>
      <x:c r="E27" s="14" t="n">
        <x:v>0.06</x:v>
      </x:c>
      <x:c r="F27" s="14" t="n">
        <x:v>0.06</x:v>
      </x:c>
      <x:c r="G27" s="14" t="n">
        <x:v>0.06</x:v>
      </x:c>
      <x:c r="H27" s="14" t="n">
        <x:v>0.06087499999999979</x:v>
      </x:c>
      <x:c r="I27" s="14" t="n">
        <x:v>0.06087499999999979</x:v>
      </x:c>
      <x:c r="J27" s="14" t="n">
        <x:v>0.055749999999999966</x:v>
      </x:c>
      <x:c r="K27" s="14" t="n">
        <x:v>0.055749999999999966</x:v>
      </x:c>
      <x:c r="L27" s="14" t="n">
        <x:v>0.055749999999999966</x:v>
      </x:c>
      <x:c r="M27" s="14" t="n">
        <x:v>0.05062499999999992</x:v>
      </x:c>
      <x:c r="N27" s="14" t="n">
        <x:v>0.05062499999999992</x:v>
      </x:c>
      <x:c r="O27" s="14" t="n">
        <x:v>0.045499999999999874</x:v>
      </x:c>
      <x:c r="P27" s="14" t="n">
        <x:v>0.045499999999999874</x:v>
      </x:c>
      <x:c r="Q27" s="47" t="str">
        <x:v>Includes Inderal, Prothiaden, Zolfresh and the remaining CNS portfolio.</x:v>
      </x:c>
    </x:row>
    <x:row r="28" ht="28" customHeight="1">
      <x:c r="A28" s="45" t="str">
        <x:v>Multi-specialty</x:v>
      </x:c>
      <x:c r="B28" s="45" t="str">
        <x:v>Arachitol franchise</x:v>
      </x:c>
      <x:c r="C28" s="11" t="n">
        <x:v>3500</x:v>
      </x:c>
      <x:c r="D28" s="14" t="n">
        <x:v>0.09</x:v>
      </x:c>
      <x:c r="E28" s="14" t="n">
        <x:v>0.1</x:v>
      </x:c>
      <x:c r="F28" s="14" t="n">
        <x:v>0.1</x:v>
      </x:c>
      <x:c r="G28" s="14" t="n">
        <x:v>0.1</x:v>
      </x:c>
      <x:c r="H28" s="14" t="n">
        <x:v>0.09674999999999989</x:v>
      </x:c>
      <x:c r="I28" s="14" t="n">
        <x:v>0.09162499999999985</x:v>
      </x:c>
      <x:c r="J28" s="14" t="n">
        <x:v>0.08650000000000002</x:v>
      </x:c>
      <x:c r="K28" s="14" t="n">
        <x:v>0.08137499999999975</x:v>
      </x:c>
      <x:c r="L28" s="14" t="n">
        <x:v>0.07624999999999993</x:v>
      </x:c>
      <x:c r="M28" s="14" t="n">
        <x:v>0.07112499999999988</x:v>
      </x:c>
      <x:c r="N28" s="14" t="n">
        <x:v>0.06599999999999984</x:v>
      </x:c>
      <x:c r="O28" s="14" t="n">
        <x:v>0.06087499999999979</x:v>
      </x:c>
      <x:c r="P28" s="14" t="n">
        <x:v>0.055749999999999966</x:v>
      </x:c>
      <x:c r="Q28" s="47" t="str">
        <x:v>Bernstein estimate including nano and injection formats.</x:v>
      </x:c>
    </x:row>
    <x:row r="29" ht="28" customHeight="1">
      <x:c r="A29" s="45" t="str">
        <x:v>Multi-specialty</x:v>
      </x:c>
      <x:c r="B29" s="45" t="str">
        <x:v>Other Multi-specialty</x:v>
      </x:c>
      <x:c r="C29" s="11" t="n">
        <x:v>2000</x:v>
      </x:c>
      <x:c r="D29" s="14" t="n">
        <x:v>0.07</x:v>
      </x:c>
      <x:c r="E29" s="14" t="n">
        <x:v>0.07</x:v>
      </x:c>
      <x:c r="F29" s="14" t="n">
        <x:v>0.07</x:v>
      </x:c>
      <x:c r="G29" s="14" t="n">
        <x:v>0.07</x:v>
      </x:c>
      <x:c r="H29" s="14" t="n">
        <x:v>0.06599999999999984</x:v>
      </x:c>
      <x:c r="I29" s="14" t="n">
        <x:v>0.06599999999999984</x:v>
      </x:c>
      <x:c r="J29" s="14" t="n">
        <x:v>0.06087499999999979</x:v>
      </x:c>
      <x:c r="K29" s="14" t="n">
        <x:v>0.06087499999999979</x:v>
      </x:c>
      <x:c r="L29" s="14" t="n">
        <x:v>0.055749999999999966</x:v>
      </x:c>
      <x:c r="M29" s="14" t="n">
        <x:v>0.055749999999999966</x:v>
      </x:c>
      <x:c r="N29" s="14" t="n">
        <x:v>0.05062499999999992</x:v>
      </x:c>
      <x:c r="O29" s="14" t="n">
        <x:v>0.05062499999999992</x:v>
      </x:c>
      <x:c r="P29" s="14" t="n">
        <x:v>0.045499999999999874</x:v>
      </x:c>
      <x:c r="Q29" s="47" t="str">
        <x:v>Residual multi-specialty portfolio.</x:v>
      </x:c>
    </x:row>
    <x:row r="30" ht="28" customHeight="1">
      <x:c r="A30" s="45" t="str">
        <x:v>Vaccines</x:v>
      </x:c>
      <x:c r="B30" s="45" t="str">
        <x:v>Influvac</x:v>
      </x:c>
      <x:c r="C30" s="11" t="n">
        <x:v>3500</x:v>
      </x:c>
      <x:c r="D30" s="14" t="n">
        <x:v>0.08</x:v>
      </x:c>
      <x:c r="E30" s="14" t="n">
        <x:v>0.08</x:v>
      </x:c>
      <x:c r="F30" s="14" t="n">
        <x:v>0.08</x:v>
      </x:c>
      <x:c r="G30" s="14" t="n">
        <x:v>0.08</x:v>
      </x:c>
      <x:c r="H30" s="14" t="n">
        <x:v>0.06599999999999984</x:v>
      </x:c>
      <x:c r="I30" s="14" t="n">
        <x:v>0.06599999999999984</x:v>
      </x:c>
      <x:c r="J30" s="14" t="n">
        <x:v>0.06087499999999979</x:v>
      </x:c>
      <x:c r="K30" s="14" t="n">
        <x:v>0.06087499999999979</x:v>
      </x:c>
      <x:c r="L30" s="14" t="n">
        <x:v>0.055749999999999966</x:v>
      </x:c>
      <x:c r="M30" s="14" t="n">
        <x:v>0.055749999999999966</x:v>
      </x:c>
      <x:c r="N30" s="14" t="n">
        <x:v>0.05062499999999992</x:v>
      </x:c>
      <x:c r="O30" s="14" t="n">
        <x:v>0.05062499999999992</x:v>
      </x:c>
      <x:c r="P30" s="14" t="n">
        <x:v>0.045499999999999874</x:v>
      </x:c>
      <x:c r="Q30" s="47" t="str">
        <x:v>Bernstein estimate; annual report identifies Influvac among the IPM top 50 brands.</x:v>
      </x:c>
    </x:row>
    <x:row r="31" ht="28" customHeight="1">
      <x:c r="A31" s="45" t="str">
        <x:v>Vaccines</x:v>
      </x:c>
      <x:c r="B31" s="45" t="str">
        <x:v>Pneumoshield 14 and Havshield</x:v>
      </x:c>
      <x:c r="C31" s="11" t="n">
        <x:v>1500</x:v>
      </x:c>
      <x:c r="D31" s="14" t="n">
        <x:v>0.2</x:v>
      </x:c>
      <x:c r="E31" s="14" t="n">
        <x:v>0.2</x:v>
      </x:c>
      <x:c r="F31" s="14" t="n">
        <x:v>0.15</x:v>
      </x:c>
      <x:c r="G31" s="14" t="n">
        <x:v>0.12</x:v>
      </x:c>
      <x:c r="H31" s="14" t="n">
        <x:v>0.09674999999999989</x:v>
      </x:c>
      <x:c r="I31" s="14" t="n">
        <x:v>0.09162499999999985</x:v>
      </x:c>
      <x:c r="J31" s="14" t="n">
        <x:v>0.08137499999999975</x:v>
      </x:c>
      <x:c r="K31" s="14" t="n">
        <x:v>0.07624999999999993</x:v>
      </x:c>
      <x:c r="L31" s="14" t="n">
        <x:v>0.07112499999999988</x:v>
      </x:c>
      <x:c r="M31" s="14" t="n">
        <x:v>0.06599999999999984</x:v>
      </x:c>
      <x:c r="N31" s="14" t="n">
        <x:v>0.06087499999999979</x:v>
      </x:c>
      <x:c r="O31" s="14" t="n">
        <x:v>0.055749999999999966</x:v>
      </x:c>
      <x:c r="P31" s="14" t="n">
        <x:v>0.05062499999999992</x:v>
      </x:c>
      <x:c r="Q31" s="47" t="str">
        <x:v>Bernstein estimate for the vaccine portfolio excluding Influvac.</x:v>
      </x:c>
    </x:row>
    <x:row r="32" ht="28" customHeight="1">
      <x:c r="A32" s="45" t="str">
        <x:v>Vaccines</x:v>
      </x:c>
      <x:c r="B32" s="45" t="str">
        <x:v>Other vaccines</x:v>
      </x:c>
      <x:c r="C32" s="11" t="n">
        <x:v>500</x:v>
      </x:c>
      <x:c r="D32" s="14" t="n">
        <x:v>0.06</x:v>
      </x:c>
      <x:c r="E32" s="14" t="n">
        <x:v>0.06</x:v>
      </x:c>
      <x:c r="F32" s="14" t="n">
        <x:v>0.06</x:v>
      </x:c>
      <x:c r="G32" s="14" t="n">
        <x:v>0.06</x:v>
      </x:c>
      <x:c r="H32" s="14" t="n">
        <x:v>0.055749999999999966</x:v>
      </x:c>
      <x:c r="I32" s="14" t="n">
        <x:v>0.055749999999999966</x:v>
      </x:c>
      <x:c r="J32" s="14" t="n">
        <x:v>0.055749999999999966</x:v>
      </x:c>
      <x:c r="K32" s="14" t="n">
        <x:v>0.05062499999999992</x:v>
      </x:c>
      <x:c r="L32" s="14" t="n">
        <x:v>0.05062499999999992</x:v>
      </x:c>
      <x:c r="M32" s="14" t="n">
        <x:v>0.05062499999999992</x:v>
      </x:c>
      <x:c r="N32" s="14" t="n">
        <x:v>0.045499999999999874</x:v>
      </x:c>
      <x:c r="O32" s="14" t="n">
        <x:v>0.045499999999999874</x:v>
      </x:c>
      <x:c r="P32" s="14" t="n">
        <x:v>0.045499999999999874</x:v>
      </x:c>
      <x:c r="Q32" s="47" t="str">
        <x:v>Residual vaccine portfolio.</x:v>
      </x:c>
    </x:row>
    <x:row r="33" ht="28" customHeight="1">
      <x:c r="A33" s="45" t="str">
        <x:v>Other pharma</x:v>
      </x:c>
      <x:c r="B33" s="45" t="str">
        <x:v>Other products</x:v>
      </x:c>
      <x:c r="C33" s="19" t="n">
        <x:f>$F$7-SUM($C$13:$C$32)</x:f>
        <x:v>6329.0999999999985</x:v>
      </x:c>
      <x:c r="D33" s="14" t="n">
        <x:v>0</x:v>
      </x:c>
      <x:c r="E33" s="14" t="n">
        <x:v>0</x:v>
      </x:c>
      <x:c r="F33" s="14" t="n">
        <x:v>0</x:v>
      </x:c>
      <x:c r="G33" s="14" t="n">
        <x:v>0</x:v>
      </x:c>
      <x:c r="H33" s="14" t="n">
        <x:v>0.055749999999999966</x:v>
      </x:c>
      <x:c r="I33" s="14" t="n">
        <x:v>0.055749999999999966</x:v>
      </x:c>
      <x:c r="J33" s="14" t="n">
        <x:v>0.05369999999999986</x:v>
      </x:c>
      <x:c r="K33" s="14" t="n">
        <x:v>0.05062499999999992</x:v>
      </x:c>
      <x:c r="L33" s="14" t="n">
        <x:v>0.05062499999999992</x:v>
      </x:c>
      <x:c r="M33" s="14" t="n">
        <x:v>0.04857499999999981</x:v>
      </x:c>
      <x:c r="N33" s="14" t="n">
        <x:v>0.045499999999999874</x:v>
      </x:c>
      <x:c r="O33" s="14" t="n">
        <x:v>0.045499999999999874</x:v>
      </x:c>
      <x:c r="P33" s="14" t="n">
        <x:v>0.04344999999999999</x:v>
      </x:c>
      <x:c r="Q33" s="47" t="str">
        <x:v>Calculated residual to audited FY26 product sales.</x:v>
      </x:c>
    </x:row>
    <x:row r="34" ht="28" customHeight="1">
      <x:c r="A34" s="45" t="str">
        <x:v>Other operating revenue</x:v>
      </x:c>
      <x:c r="B34" s="45" t="str">
        <x:v>Services and other operating revenue</x:v>
      </x:c>
      <x:c r="C34" s="19" t="n">
        <x:f>$F$8</x:f>
        <x:v>829.5</x:v>
      </x:c>
      <x:c r="D34" s="14" t="n">
        <x:v>0.08</x:v>
      </x:c>
      <x:c r="E34" s="14" t="n">
        <x:v>0.08</x:v>
      </x:c>
      <x:c r="F34" s="14" t="n">
        <x:v>0.08</x:v>
      </x:c>
      <x:c r="G34" s="14" t="n">
        <x:v>0.3012</x:v>
      </x:c>
      <x:c r="H34" s="14" t="n">
        <x:v>0.0706</x:v>
      </x:c>
      <x:c r="I34" s="14" t="n">
        <x:v>0.0706</x:v>
      </x:c>
      <x:c r="J34" s="14" t="n">
        <x:v>0.06555</x:v>
      </x:c>
      <x:c r="K34" s="14" t="n">
        <x:v>0.0605</x:v>
      </x:c>
      <x:c r="L34" s="14" t="n">
        <x:v>0.0605</x:v>
      </x:c>
      <x:c r="M34" s="14" t="n">
        <x:v>0.05545</x:v>
      </x:c>
      <x:c r="N34" s="14" t="n">
        <x:v>0.0504</x:v>
      </x:c>
      <x:c r="O34" s="14" t="n">
        <x:v>0.0504</x:v>
      </x:c>
      <x:c r="P34" s="14" t="n">
        <x:v>0.04535</x:v>
      </x:c>
      <x:c r="Q34" s="47" t="str">
        <x:v>FY26 annual report Note 24: services, scrap and export incentives.</x:v>
      </x:c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</x:row>
    <x:row r="38">
      <x:c r="A38" s="23" t="str">
        <x:v>Extensior patient-price build</x:v>
      </x:c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41"/>
      <x:c r="N38" s="41"/>
      <x:c r="O38" s="41"/>
      <x:c r="P38" s="41"/>
      <x:c r="Q38" s="41"/>
    </x:row>
    <x:row r="39">
      <x:c r="A39" s="8" t="str">
        <x:v>Driver</x:v>
      </x:c>
      <x:c r="B39" s="8" t="str">
        <x:v>Unit</x:v>
      </x:c>
      <x:c r="C39" s="8" t="str">
        <x:v>FY26A</x:v>
      </x:c>
      <x:c r="D39" s="8" t="str">
        <x:v>FY27E</x:v>
      </x:c>
      <x:c r="E39" s="8" t="str">
        <x:v>FY28E</x:v>
      </x:c>
      <x:c r="F39" s="8" t="str">
        <x:v>FY29E</x:v>
      </x:c>
      <x:c r="G39" s="8" t="str">
        <x:v>FY30E</x:v>
      </x:c>
      <x:c r="H39" s="8" t="str">
        <x:v>FY31E</x:v>
      </x:c>
      <x:c r="I39" s="8" t="str">
        <x:v>FY32E</x:v>
      </x:c>
      <x:c r="J39" s="8" t="str">
        <x:v>FY33E</x:v>
      </x:c>
      <x:c r="K39" s="8" t="str">
        <x:v>FY34E</x:v>
      </x:c>
      <x:c r="L39" s="8" t="str">
        <x:v>FY35E</x:v>
      </x:c>
      <x:c r="M39" s="41"/>
      <x:c r="N39" s="41"/>
      <x:c r="O39" s="41"/>
      <x:c r="P39" s="41"/>
      <x:c r="Q39" s="41"/>
    </x:row>
    <x:row r="40">
      <x:c r="A40" s="45" t="str">
        <x:v>Annualised treated patient equivalents</x:v>
      </x:c>
      <x:c r="B40" s="45" t="str">
        <x:v>Patients</x:v>
      </x:c>
      <x:c r="C40" s="25" t="n">
        <x:v>500</x:v>
      </x:c>
      <x:c r="D40" s="25" t="n">
        <x:v>12000</x:v>
      </x:c>
      <x:c r="E40" s="25" t="n">
        <x:v>28000</x:v>
      </x:c>
      <x:c r="F40" s="25" t="n">
        <x:v>50000</x:v>
      </x:c>
      <x:c r="G40" s="25" t="n">
        <x:v>75000</x:v>
      </x:c>
      <x:c r="H40" s="25" t="n">
        <x:v>100000</x:v>
      </x:c>
      <x:c r="I40" s="25" t="n">
        <x:v>120000</x:v>
      </x:c>
      <x:c r="J40" s="25" t="n">
        <x:v>135000</x:v>
      </x:c>
      <x:c r="K40" s="25" t="n">
        <x:v>145000</x:v>
      </x:c>
      <x:c r="L40" s="25" t="n">
        <x:v>150000</x:v>
      </x:c>
      <x:c r="M40" s="41"/>
      <x:c r="N40" s="41"/>
      <x:c r="O40" s="41"/>
      <x:c r="P40" s="41"/>
      <x:c r="Q40" s="41"/>
    </x:row>
    <x:row r="41">
      <x:c r="A41" s="45" t="str">
        <x:v>Net reported revenue per patient</x:v>
      </x:c>
      <x:c r="B41" s="45" t="str">
        <x:v>INR / year</x:v>
      </x:c>
      <x:c r="C41" s="25" t="n">
        <x:v>100000</x:v>
      </x:c>
      <x:c r="D41" s="25" t="n">
        <x:v>85000</x:v>
      </x:c>
      <x:c r="E41" s="25" t="n">
        <x:v>75000</x:v>
      </x:c>
      <x:c r="F41" s="25" t="n">
        <x:v>65000</x:v>
      </x:c>
      <x:c r="G41" s="25" t="n">
        <x:v>58000</x:v>
      </x:c>
      <x:c r="H41" s="25" t="n">
        <x:v>52000</x:v>
      </x:c>
      <x:c r="I41" s="25" t="n">
        <x:v>48000</x:v>
      </x:c>
      <x:c r="J41" s="25" t="n">
        <x:v>45000</x:v>
      </x:c>
      <x:c r="K41" s="25" t="n">
        <x:v>43000</x:v>
      </x:c>
      <x:c r="L41" s="25" t="n">
        <x:v>42000</x:v>
      </x:c>
      <x:c r="M41" s="41"/>
      <x:c r="N41" s="41"/>
      <x:c r="O41" s="41"/>
      <x:c r="P41" s="41"/>
      <x:c r="Q41" s="41"/>
    </x:row>
    <x:row r="42">
      <x:c r="A42" s="45" t="str">
        <x:v>Abbott reported revenue capture</x:v>
      </x:c>
      <x:c r="B42" s="45" t="str">
        <x:v>%</x:v>
      </x:c>
      <x:c r="C42" s="26" t="n">
        <x:v>1</x:v>
      </x:c>
      <x:c r="D42" s="26" t="n">
        <x:v>1</x:v>
      </x:c>
      <x:c r="E42" s="26" t="n">
        <x:v>1</x:v>
      </x:c>
      <x:c r="F42" s="26" t="n">
        <x:v>1</x:v>
      </x:c>
      <x:c r="G42" s="26" t="n">
        <x:v>1</x:v>
      </x:c>
      <x:c r="H42" s="26" t="n">
        <x:v>1</x:v>
      </x:c>
      <x:c r="I42" s="26" t="n">
        <x:v>1</x:v>
      </x:c>
      <x:c r="J42" s="26" t="n">
        <x:v>1</x:v>
      </x:c>
      <x:c r="K42" s="26" t="n">
        <x:v>1</x:v>
      </x:c>
      <x:c r="L42" s="26" t="n">
        <x:v>1</x:v>
      </x:c>
      <x:c r="M42" s="41"/>
      <x:c r="N42" s="41"/>
      <x:c r="O42" s="41"/>
      <x:c r="P42" s="41"/>
      <x:c r="Q42" s="41"/>
    </x:row>
    <x:row r="43">
      <x:c r="A43" s="29" t="str">
        <x:v>Extensior reported revenue</x:v>
      </x:c>
      <x:c r="B43" s="29" t="str">
        <x:v>INR mn</x:v>
      </x:c>
      <x:c r="C43" s="30" t="n">
        <x:f>C40*C41*C42/1000000</x:f>
        <x:v>50</x:v>
      </x:c>
      <x:c r="D43" s="30" t="n">
        <x:f>D40*D41*D42/1000000</x:f>
        <x:v>1020</x:v>
      </x:c>
      <x:c r="E43" s="30" t="n">
        <x:f>E40*E41*E42/1000000</x:f>
        <x:v>2100</x:v>
      </x:c>
      <x:c r="F43" s="30" t="n">
        <x:f>F40*F41*F42/1000000</x:f>
        <x:v>3250</x:v>
      </x:c>
      <x:c r="G43" s="30" t="n">
        <x:f>G40*G41*G42/1000000</x:f>
        <x:v>4350</x:v>
      </x:c>
      <x:c r="H43" s="30" t="n">
        <x:f>H40*H41*H42/1000000</x:f>
        <x:v>5200</x:v>
      </x:c>
      <x:c r="I43" s="30" t="n">
        <x:f>I40*I41*I42/1000000</x:f>
        <x:v>5760</x:v>
      </x:c>
      <x:c r="J43" s="30" t="n">
        <x:f>J40*J41*J42/1000000</x:f>
        <x:v>6075</x:v>
      </x:c>
      <x:c r="K43" s="30" t="n">
        <x:f>K40*K41*K42/1000000</x:f>
        <x:v>6235</x:v>
      </x:c>
      <x:c r="L43" s="30" t="n">
        <x:f>L40*L41*L42/1000000</x:f>
        <x:v>6300</x:v>
      </x:c>
      <x:c r="M43" s="41"/>
      <x:c r="N43" s="41"/>
      <x:c r="O43" s="41"/>
      <x:c r="P43" s="41"/>
      <x:c r="Q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</x:row>
    <x:row r="45" ht="28" customHeight="1">
      <x:c r="A45" s="43" t="str">
        <x:v>Extensior assumes gross revenue recognition. If Abbott acts as an agent, change the revenue-capture row to the retained commission rate.</x:v>
      </x:c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1"/>
      <x:c r="O45" s="41"/>
      <x:c r="P45" s="41"/>
      <x:c r="Q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</x:row>
    <x:row r="48">
      <x:c r="A48" s="8" t="str">
        <x:v>Quarter</x:v>
      </x:c>
      <x:c r="B48" s="8" t="str">
        <x:v>FY25 revenue</x:v>
      </x:c>
      <x:c r="C48" s="8" t="str">
        <x:v>FY26 revenue</x:v>
      </x:c>
      <x:c r="D48" s="8" t="str">
        <x:v>Forecast share</x:v>
      </x:c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</x:row>
    <x:row r="49">
      <x:c r="A49" s="45" t="str">
        <x:v>Q1</x:v>
      </x:c>
      <x:c r="B49" s="32" t="n">
        <x:v>15608.3</x:v>
      </x:c>
      <x:c r="C49" s="32" t="n">
        <x:v>16767.4</x:v>
      </x:c>
      <x:c r="D49" s="53" t="n">
        <x:f>AVERAGE(B49/SUM($B$49:$B$52),C49/SUM($C$49:$C$52))</x:f>
        <x:v>0.24275925515684324</x:v>
      </x:c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</x:row>
    <x:row r="50">
      <x:c r="A50" s="45" t="str">
        <x:v>Q2</x:v>
      </x:c>
      <x:c r="B50" s="32" t="n">
        <x:v>17445.6</x:v>
      </x:c>
      <x:c r="C50" s="32" t="n">
        <x:v>18327.9</x:v>
      </x:c>
      <x:c r="D50" s="53" t="n">
        <x:f>AVERAGE(B50/SUM($B$49:$B$52),C50/SUM($C$49:$C$52))</x:f>
        <x:v>0.2683532315188516</x:v>
      </x:c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</x:row>
    <x:row r="51">
      <x:c r="A51" s="45" t="str">
        <x:v>Q3</x:v>
      </x:c>
      <x:c r="B51" s="32" t="n">
        <x:v>16146.3</x:v>
      </x:c>
      <x:c r="C51" s="32" t="n">
        <x:v>17461</x:v>
      </x:c>
      <x:c r="D51" s="53" t="n">
        <x:f>AVERAGE(B51/SUM($B$49:$B$52),C51/SUM($C$49:$C$52))</x:f>
        <x:v>0.25196139469803125</x:v>
      </x:c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</x:row>
    <x:row r="52">
      <x:c r="A52" s="45" t="str">
        <x:v>Q4</x:v>
      </x:c>
      <x:c r="B52" s="32" t="n">
        <x:v>14891.3</x:v>
      </x:c>
      <x:c r="C52" s="32" t="n">
        <x:v>16734.2</x:v>
      </x:c>
      <x:c r="D52" s="53" t="n">
        <x:f>AVERAGE(B52/SUM($B$49:$B$52),C52/SUM($C$49:$C$52))</x:f>
        <x:v>0.23692611862627394</x:v>
      </x:c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</x:row>
    <x:row r="55">
      <x:c r="A55" s="8" t="str">
        <x:v>Model check</x:v>
      </x:c>
      <x:c r="B55" s="8" t="str">
        <x:v>Value</x:v>
      </x:c>
      <x:c r="C55" s="8" t="str">
        <x:v>Expected</x:v>
      </x:c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</x:row>
    <x:row r="56">
      <x:c r="A56" s="34" t="str">
        <x:v>FY22-FY25 modeled revenue variance versus audited totals</x:v>
      </x:c>
      <x:c r="B56" s="35" t="n">
        <x:f>ABS('Revenue Model'!D41-$B$6)+ABS('Revenue Model'!E41-$C$6)+ABS('Revenue Model'!F41-$D$6)+ABS('Revenue Model'!G41-$E$6)</x:f>
        <x:v>0</x:v>
      </x:c>
      <x:c r="C56" s="35" t="n">
        <x:v>0</x:v>
      </x:c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</x:row>
    <x:row r="57">
      <x:c r="A57" s="34" t="str">
        <x:v>FY22-FY25 historical product allocation reconciliation</x:v>
      </x:c>
      <x:c r="B57" s="35" t="n">
        <x:f>ABS('Revenue Model'!D39-$B$7)+ABS('Revenue Model'!E39-$C$7)+ABS('Revenue Model'!F39-$D$7)+ABS('Revenue Model'!G39-$E$7)</x:f>
        <x:v>0</x:v>
      </x:c>
      <x:c r="C57" s="35" t="n">
        <x:v>0</x:v>
      </x:c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</x:row>
    <x:row r="58">
      <x:c r="A58" s="34" t="str">
        <x:v>FY26 product base less audited product sales</x:v>
      </x:c>
      <x:c r="B58" s="35" t="n">
        <x:f>SUM($C$13:$C$33)-$F$7</x:f>
        <x:v>0</x:v>
      </x:c>
      <x:c r="C58" s="35" t="n">
        <x:v>0</x:v>
      </x:c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</x:row>
    <x:row r="59">
      <x:c r="A59" s="34" t="str">
        <x:v>FY26 revenue model less audited revenue</x:v>
      </x:c>
      <x:c r="B59" s="35" t="n">
        <x:f>SUM($C$13:$C$34)-$F$6</x:f>
        <x:v>0</x:v>
      </x:c>
      <x:c r="C59" s="35" t="n">
        <x:v>0</x:v>
      </x:c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</x:row>
    <x:row r="60">
      <x:c r="A60" s="34" t="str">
        <x:v>FY27 sum of quarters less FY27E</x:v>
      </x:c>
      <x:c r="B60" s="35" t="n">
        <x:f>SUM('Revenue Model'!$I$41:$L$41)-'Revenue Model'!$M$41</x:f>
        <x:v>-1.4551915228366852e-11</x:v>
      </x:c>
      <x:c r="C60" s="35" t="n">
        <x:v>0</x:v>
      </x:c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</x:row>
    <x:row r="61">
      <x:c r="A61" s="34" t="str">
        <x:v>FY28 sum of quarters less FY28E</x:v>
      </x:c>
      <x:c r="B61" s="35" t="n">
        <x:f>SUM('Revenue Model'!$N$41:$Q$41)-'Revenue Model'!$R$41</x:f>
        <x:v>0</x:v>
      </x:c>
      <x:c r="C61" s="35" t="n">
        <x:v>0</x:v>
      </x:c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</x:row>
    <x:row r="62">
      <x:c r="A62" s="34" t="str">
        <x:v>FY27 Q1 total less reported Q1 revenue</x:v>
      </x:c>
      <x:c r="B62" s="35" t="n">
        <x:f>'Revenue Model'!$I$41-$G$6</x:f>
        <x:v>0</x:v>
      </x:c>
      <x:c r="C62" s="35" t="n">
        <x:v>0</x:v>
      </x:c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</x:row>
    <x:row r="63">
      <x:c r="A63" s="45" t="str">
        <x:v>FY26 base residual products</x:v>
      </x:c>
      <x:c r="B63" s="19" t="n">
        <x:f>$C$33</x:f>
        <x:v>6329.0999999999985</x:v>
      </x:c>
      <x:c r="C63" s="19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</x:row>
    <x:row r="64">
      <x:c r="A64" s="23" t="str">
        <x:v>Sources</x:v>
      </x:c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</x:row>
    <x:row r="65" ht="38" customHeight="1">
      <x:c r="A65" s="38" t="str">
        <x:v>Abbott India Annual Report 2025-26</x:v>
      </x:c>
      <x:c r="B65" s="38" t="str">
        <x:v>Audited FY25-FY26 revenue and portfolio disclosures</x:v>
      </x:c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 t="str">
        <x:v>https://www.abbott.co.in/investor-relations/financials/annual-reports.html</x:v>
      </x:c>
    </x:row>
    <x:row r="66" ht="38" customHeight="1">
      <x:c r="A66" s="39" t="str">
        <x:v>Abbott India quarterly reports</x:v>
      </x:c>
      <x:c r="B66" s="39" t="str">
        <x:v>FY22-FY24 audited revenue, quarterly revenue and Q1 FY27 actual</x:v>
      </x:c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39"/>
      <x:c r="Q66" s="39" t="str">
        <x:v>https://www.abbott.co.in/investor-relations/financials/quarterly-reports.html</x:v>
      </x:c>
    </x:row>
    <x:row r="67" ht="38" customHeight="1">
      <x:c r="A67" s="39" t="str">
        <x:v>India IPM GSK Pfizer Abbott Initiation Analysis Aug 2026</x:v>
      </x:c>
      <x:c r="B67" s="39" t="str">
        <x:v>IQVIA market sales and growth for verified Abbott India brands</x:v>
      </x:c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39"/>
      <x:c r="Q67" s="39" t="str">
        <x:v>User-supplied workbook dated 23-Sep-2026</x:v>
      </x:c>
    </x:row>
    <x:row r="68" ht="38" customHeight="1">
      <x:c r="A68" s="39" t="str">
        <x:v>Abbott and Novo Nordisk Extensior press release</x:v>
      </x:c>
      <x:c r="B68" s="39" t="str">
        <x:v>Commercialisation and manufacturing responsibilities</x:v>
      </x:c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39"/>
      <x:c r="Q68" s="39" t="str">
        <x:v>https://www.abbott.in/media-center/press-releases/abbott-partners-with-novo-nordisk-india-to-launch-extensior-broadening-access-to-semaglutide-ozempic-for-advanced-diabetes-management.html</x:v>
      </x:c>
    </x:row>
    <x:row r="69" ht="38" customHeight="1">
      <x:c r="A69" s="40" t="str">
        <x:v>Bernstein estimates</x:v>
      </x:c>
      <x:c r="B69" s="40" t="str">
        <x:v>FY22-FY25 product back-casts, FY26 product allocation and forecasts; Other products is the annual reconciliation residual</x:v>
      </x:c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 t="str">
        <x:v>Prepared 25-Sep-2026</x:v>
      </x:c>
    </x:row>
  </x:sheetData>
  <x:pageMargins left="0.7" right="0.7" top="0.75" bottom="0.75" header="0.3" footer="0.3"/>
</x:worksheet>
</file>