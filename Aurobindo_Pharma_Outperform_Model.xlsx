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Thesis" sheetId="2" state="visible" r:id="rId2"/>
    <sheet xmlns:r="http://schemas.openxmlformats.org/officeDocument/2006/relationships" name="02_Lannett" sheetId="3" state="visible" r:id="rId3"/>
    <sheet xmlns:r="http://schemas.openxmlformats.org/officeDocument/2006/relationships" name="03_FDA" sheetId="4" state="visible" r:id="rId4"/>
    <sheet xmlns:r="http://schemas.openxmlformats.org/officeDocument/2006/relationships" name="04_Resp_Eugia" sheetId="5" state="visible" r:id="rId5"/>
    <sheet xmlns:r="http://schemas.openxmlformats.org/officeDocument/2006/relationships" name="05_PenG" sheetId="6" state="visible" r:id="rId6"/>
    <sheet xmlns:r="http://schemas.openxmlformats.org/officeDocument/2006/relationships" name="06_Biosimilars" sheetId="7" state="visible" r:id="rId7"/>
    <sheet xmlns:r="http://schemas.openxmlformats.org/officeDocument/2006/relationships" name="07_Dermatology" sheetId="8" state="visible" r:id="rId8"/>
    <sheet xmlns:r="http://schemas.openxmlformats.org/officeDocument/2006/relationships" name="08_Financials" sheetId="9" state="visible" r:id="rId9"/>
    <sheet xmlns:r="http://schemas.openxmlformats.org/officeDocument/2006/relationships" name="09_Valuation" sheetId="10" state="visible" r:id="rId10"/>
    <sheet xmlns:r="http://schemas.openxmlformats.org/officeDocument/2006/relationships" name="10_Sources" sheetId="11" state="visible" r:id="rId11"/>
    <sheet xmlns:r="http://schemas.openxmlformats.org/officeDocument/2006/relationships" name="11_QC" sheetId="12" state="visible" r:id="rId12"/>
  </sheets>
  <definedNames>
    <definedName name="_xlnm._FilterDatabase" localSheetId="3" hidden="1">'03_FDA'!$A$1:$M$24</definedName>
    <definedName name="_xlnm._FilterDatabase" localSheetId="10" hidden="1">'10_Sources'!$A$1:$I$35</definedName>
  </definedNames>
  <calcPr calcId="124519" calcMode="auto" fullCalcOnLoad="1" forceFullCalc="1"/>
</workbook>
</file>

<file path=xl/styles.xml><?xml version="1.0" encoding="utf-8"?>
<styleSheet xmlns="http://schemas.openxmlformats.org/spreadsheetml/2006/main">
  <numFmts count="7">
    <numFmt numFmtId="164" formatCode="₹#,##0"/>
    <numFmt numFmtId="165" formatCode="0.0%"/>
    <numFmt numFmtId="166" formatCode="0.0"/>
    <numFmt numFmtId="167" formatCode="0.0x"/>
    <numFmt numFmtId="168" formatCode="$#,##0"/>
    <numFmt numFmtId="169" formatCode="$#,##0.0"/>
    <numFmt numFmtId="170" formatCode="₹0.00"/>
  </numFmts>
  <fonts count="16">
    <font>
      <name val="Calibri"/>
      <family val="2"/>
      <color theme="1"/>
      <sz val="11"/>
      <scheme val="minor"/>
    </font>
    <font>
      <name val="Arial"/>
      <b val="1"/>
      <color rgb="00FFFFFF"/>
      <sz val="16"/>
    </font>
    <font>
      <name val="Arial"/>
      <i val="1"/>
      <color rgb="00595959"/>
      <sz val="10"/>
    </font>
    <font>
      <name val="Arial"/>
      <b val="1"/>
      <color rgb="00FFFFFF"/>
      <sz val="11"/>
    </font>
    <font>
      <name val="Arial"/>
      <b val="1"/>
      <color rgb="00000000"/>
      <sz val="10"/>
    </font>
    <font>
      <name val="Arial"/>
      <b val="1"/>
      <color rgb="000F6B78"/>
      <sz val="12"/>
    </font>
    <font>
      <name val="Arial"/>
      <color rgb="00595959"/>
      <sz val="10"/>
    </font>
    <font>
      <name val="Arial"/>
      <color rgb="000000FF"/>
      <sz val="10"/>
    </font>
    <font>
      <name val="Arial"/>
      <color rgb="00008000"/>
      <sz val="10"/>
    </font>
    <font>
      <name val="Arial"/>
      <b val="1"/>
      <color rgb="00FFFFFF"/>
      <sz val="10"/>
    </font>
    <font>
      <name val="Arial"/>
      <b val="1"/>
      <color rgb="0017365D"/>
      <sz val="10"/>
    </font>
    <font>
      <name val="Arial"/>
      <color rgb="00000000"/>
      <sz val="10"/>
    </font>
    <font>
      <name val="Arial"/>
      <b val="1"/>
      <color rgb="000F6B78"/>
      <sz val="10"/>
    </font>
    <font>
      <name val="Arial"/>
      <color rgb="00C00000"/>
      <sz val="10"/>
    </font>
    <font>
      <name val="Arial"/>
      <color rgb="000F6B78"/>
      <sz val="10"/>
    </font>
    <font>
      <name val="Arial"/>
      <b val="1"/>
      <color rgb="00C00000"/>
      <sz val="10"/>
    </font>
  </fonts>
  <fills count="8">
    <fill>
      <patternFill/>
    </fill>
    <fill>
      <patternFill patternType="gray125"/>
    </fill>
    <fill>
      <patternFill patternType="solid">
        <fgColor rgb="0017365D"/>
      </patternFill>
    </fill>
    <fill>
      <patternFill patternType="solid">
        <fgColor rgb="00E2F0D9"/>
      </patternFill>
    </fill>
    <fill>
      <patternFill patternType="solid">
        <fgColor rgb="00EAF3F8"/>
      </patternFill>
    </fill>
    <fill>
      <patternFill patternType="solid">
        <fgColor rgb="000F6B78"/>
      </patternFill>
    </fill>
    <fill>
      <patternFill patternType="solid">
        <fgColor rgb="00FCE4D6"/>
      </patternFill>
    </fill>
    <fill>
      <patternFill patternType="solid">
        <fgColor rgb="00FFF2CC"/>
      </patternFill>
    </fill>
  </fills>
  <borders count="2">
    <border>
      <left/>
      <right/>
      <top/>
      <bottom/>
      <diagonal/>
    </border>
    <border>
      <bottom style="thin">
        <color rgb="00B7B7B7"/>
      </bottom>
    </border>
  </borders>
  <cellStyleXfs count="1">
    <xf numFmtId="0" fontId="0" fillId="0" borderId="0"/>
  </cellStyleXfs>
  <cellXfs count="6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applyAlignment="1" pivotButton="0" quotePrefix="0" xfId="0">
      <alignment vertical="center"/>
    </xf>
    <xf numFmtId="0" fontId="8" fillId="3" borderId="0" applyAlignment="1" pivotButton="0" quotePrefix="0" xfId="0">
      <alignment vertical="center"/>
    </xf>
    <xf numFmtId="0" fontId="6" fillId="0" borderId="0" applyAlignment="1" pivotButton="0" quotePrefix="0" xfId="0">
      <alignment vertical="center"/>
    </xf>
    <xf numFmtId="164" fontId="8" fillId="4" borderId="0" applyAlignment="1" pivotButton="0" quotePrefix="0" xfId="0">
      <alignment vertical="center"/>
    </xf>
    <xf numFmtId="165" fontId="8" fillId="4" borderId="0" applyAlignment="1" pivotButton="0" quotePrefix="0" xfId="0">
      <alignment vertical="center"/>
    </xf>
    <xf numFmtId="165" fontId="7" fillId="4" borderId="0" applyAlignment="1" pivotButton="0" quotePrefix="0" xfId="0">
      <alignment vertical="center"/>
    </xf>
    <xf numFmtId="0" fontId="9" fillId="5" borderId="1" applyAlignment="1" pivotButton="0" quotePrefix="0" xfId="0">
      <alignment horizontal="center"/>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0" applyAlignment="1" pivotButton="0" quotePrefix="0" xfId="0">
      <alignment vertical="center"/>
    </xf>
    <xf numFmtId="0" fontId="11" fillId="0" borderId="0" applyAlignment="1" pivotButton="0" quotePrefix="0" xfId="0">
      <alignment vertical="center"/>
    </xf>
    <xf numFmtId="0" fontId="10" fillId="0" borderId="0" applyAlignment="1" pivotButton="0" quotePrefix="0" xfId="0">
      <alignment vertical="center"/>
    </xf>
    <xf numFmtId="0" fontId="7" fillId="4" borderId="0" applyAlignment="1" pivotButton="0" quotePrefix="0" xfId="0">
      <alignment vertical="center"/>
    </xf>
    <xf numFmtId="0" fontId="8" fillId="0" borderId="0" applyAlignment="1" pivotButton="0" quotePrefix="0" xfId="0">
      <alignment vertical="center"/>
    </xf>
    <xf numFmtId="0" fontId="9" fillId="5" borderId="1" applyAlignment="1" pivotButton="0" quotePrefix="0" xfId="0">
      <alignment horizontal="center" wrapText="1"/>
    </xf>
    <xf numFmtId="164" fontId="11" fillId="0" borderId="1" applyAlignment="1" pivotButton="0" quotePrefix="0" xfId="0">
      <alignment vertical="top" wrapText="1"/>
    </xf>
    <xf numFmtId="164" fontId="7" fillId="4" borderId="0" applyAlignment="1" pivotButton="0" quotePrefix="0" xfId="0">
      <alignment vertical="center"/>
    </xf>
    <xf numFmtId="166" fontId="7" fillId="4" borderId="0" applyAlignment="1" pivotButton="0" quotePrefix="0" xfId="0">
      <alignment vertical="center"/>
    </xf>
    <xf numFmtId="0" fontId="9" fillId="5" borderId="0" applyAlignment="1" pivotButton="0" quotePrefix="0" xfId="0">
      <alignment horizontal="center"/>
    </xf>
    <xf numFmtId="167" fontId="7" fillId="4" borderId="0" applyAlignment="1" pivotButton="0" quotePrefix="0" xfId="0">
      <alignment vertical="center"/>
    </xf>
    <xf numFmtId="9" fontId="7" fillId="4" borderId="0" applyAlignment="1" pivotButton="0" quotePrefix="0" xfId="0">
      <alignment vertical="center"/>
    </xf>
    <xf numFmtId="2" fontId="8" fillId="0" borderId="0" applyAlignment="1" pivotButton="0" quotePrefix="0" xfId="0">
      <alignment vertical="center"/>
    </xf>
    <xf numFmtId="168" fontId="7" fillId="4" borderId="0" applyAlignment="1" pivotButton="0" quotePrefix="0" xfId="0">
      <alignment vertical="center"/>
    </xf>
    <xf numFmtId="168" fontId="8" fillId="0" borderId="0" applyAlignment="1" pivotButton="0" quotePrefix="0" xfId="0">
      <alignment vertical="center"/>
    </xf>
    <xf numFmtId="164" fontId="8" fillId="0" borderId="0" applyAlignment="1" pivotButton="0" quotePrefix="0" xfId="0">
      <alignment vertical="center"/>
    </xf>
    <xf numFmtId="169" fontId="8" fillId="0" borderId="0" applyAlignment="1" pivotButton="0" quotePrefix="0" xfId="0">
      <alignment vertical="center"/>
    </xf>
    <xf numFmtId="9" fontId="8" fillId="0" borderId="0" applyAlignment="1" pivotButton="0" quotePrefix="0" xfId="0">
      <alignment vertical="center"/>
    </xf>
    <xf numFmtId="0" fontId="9" fillId="5" borderId="0" applyAlignment="1" pivotButton="0" quotePrefix="0" xfId="0">
      <alignment horizontal="center" wrapText="1"/>
    </xf>
    <xf numFmtId="0" fontId="11" fillId="0" borderId="0" applyAlignment="1" pivotButton="0" quotePrefix="0" xfId="0">
      <alignment vertical="top" wrapText="1"/>
    </xf>
    <xf numFmtId="0" fontId="7" fillId="4" borderId="0" applyAlignment="1" pivotButton="0" quotePrefix="0" xfId="0">
      <alignment vertical="top" wrapText="1"/>
    </xf>
    <xf numFmtId="9" fontId="7" fillId="4" borderId="0" applyAlignment="1" pivotButton="0" quotePrefix="0" xfId="0">
      <alignment vertical="top" wrapText="1"/>
    </xf>
    <xf numFmtId="0" fontId="6" fillId="0" borderId="0" applyAlignment="1" pivotButton="0" quotePrefix="0" xfId="0">
      <alignment vertical="top" wrapText="1"/>
    </xf>
    <xf numFmtId="0" fontId="4" fillId="0" borderId="1" applyAlignment="1" pivotButton="0" quotePrefix="0" xfId="0">
      <alignment vertical="top" wrapText="1"/>
    </xf>
    <xf numFmtId="0" fontId="7" fillId="4" borderId="1" applyAlignment="1" pivotButton="0" quotePrefix="0" xfId="0">
      <alignment vertical="top" wrapText="1"/>
    </xf>
    <xf numFmtId="0" fontId="7" fillId="3" borderId="1" applyAlignment="1" pivotButton="0" quotePrefix="0" xfId="0">
      <alignment vertical="top" wrapText="1"/>
    </xf>
    <xf numFmtId="9" fontId="7" fillId="4" borderId="1" applyAlignment="1" pivotButton="0" quotePrefix="0" xfId="0">
      <alignment vertical="top" wrapText="1"/>
    </xf>
    <xf numFmtId="166" fontId="8" fillId="0" borderId="1" applyAlignment="1" pivotButton="0" quotePrefix="0" xfId="0">
      <alignment vertical="top" wrapText="1"/>
    </xf>
    <xf numFmtId="0" fontId="0" fillId="0" borderId="1" pivotButton="0" quotePrefix="0" xfId="0"/>
    <xf numFmtId="0" fontId="7" fillId="6" borderId="1" applyAlignment="1" pivotButton="0" quotePrefix="0" xfId="0">
      <alignment vertical="top" wrapText="1"/>
    </xf>
    <xf numFmtId="0" fontId="6" fillId="0" borderId="0" applyAlignment="1" pivotButton="0" quotePrefix="0" xfId="0">
      <alignment wrapText="1"/>
    </xf>
    <xf numFmtId="0" fontId="12" fillId="7" borderId="0" applyAlignment="1" pivotButton="0" quotePrefix="0" xfId="0">
      <alignment vertical="center"/>
    </xf>
    <xf numFmtId="0" fontId="4" fillId="0" borderId="0" applyAlignment="1" pivotButton="0" quotePrefix="0" xfId="0">
      <alignment vertical="top" wrapText="1"/>
    </xf>
    <xf numFmtId="3" fontId="7" fillId="4" borderId="0" applyAlignment="1" pivotButton="0" quotePrefix="0" xfId="0">
      <alignment vertical="center"/>
    </xf>
    <xf numFmtId="0" fontId="9" fillId="5" borderId="0" applyAlignment="1" pivotButton="0" quotePrefix="0" xfId="0">
      <alignment vertical="center"/>
    </xf>
    <xf numFmtId="0" fontId="13" fillId="0" borderId="0" applyAlignment="1" pivotButton="0" quotePrefix="0" xfId="0">
      <alignment vertical="top" wrapText="1"/>
    </xf>
    <xf numFmtId="165" fontId="8" fillId="0" borderId="0" applyAlignment="1" pivotButton="0" quotePrefix="0" xfId="0">
      <alignment vertical="center"/>
    </xf>
    <xf numFmtId="2" fontId="7" fillId="4" borderId="0" applyAlignment="1" pivotButton="0" quotePrefix="0" xfId="0">
      <alignment vertical="center"/>
    </xf>
    <xf numFmtId="170" fontId="8" fillId="0" borderId="0" applyAlignment="1" pivotButton="0" quotePrefix="0" xfId="0">
      <alignment vertical="center"/>
    </xf>
    <xf numFmtId="170" fontId="7" fillId="4" borderId="0" applyAlignment="1" pivotButton="0" quotePrefix="0" xfId="0">
      <alignment vertical="center"/>
    </xf>
    <xf numFmtId="165" fontId="8" fillId="6" borderId="0" applyAlignment="1" pivotButton="0" quotePrefix="0" xfId="0">
      <alignment vertical="center"/>
    </xf>
    <xf numFmtId="165" fontId="8" fillId="3" borderId="0" applyAlignment="1" pivotButton="0" quotePrefix="0" xfId="0">
      <alignment vertical="center"/>
    </xf>
    <xf numFmtId="167" fontId="8" fillId="0" borderId="0" applyAlignment="1" pivotButton="0" quotePrefix="0" xfId="0">
      <alignment vertical="center"/>
    </xf>
    <xf numFmtId="164" fontId="7" fillId="4" borderId="0" applyAlignment="1" pivotButton="0" quotePrefix="0" xfId="0">
      <alignment vertical="top" wrapText="1"/>
    </xf>
    <xf numFmtId="167" fontId="7" fillId="4" borderId="0" applyAlignment="1" pivotButton="0" quotePrefix="0" xfId="0">
      <alignment vertical="top" wrapText="1"/>
    </xf>
    <xf numFmtId="165" fontId="7" fillId="4" borderId="0" applyAlignment="1" pivotButton="0" quotePrefix="0" xfId="0">
      <alignment vertical="top" wrapText="1"/>
    </xf>
    <xf numFmtId="0" fontId="11" fillId="0" borderId="0" applyAlignment="1" pivotButton="0" quotePrefix="0" xfId="0">
      <alignment wrapText="1"/>
    </xf>
    <xf numFmtId="0" fontId="14" fillId="0" borderId="0" applyAlignment="1" pivotButton="0" quotePrefix="0" xfId="0">
      <alignment vertical="top" wrapText="1"/>
    </xf>
    <xf numFmtId="0" fontId="7" fillId="0" borderId="0" applyAlignment="1" pivotButton="0" quotePrefix="0" xfId="0">
      <alignment vertical="top" wrapText="1"/>
    </xf>
    <xf numFmtId="0" fontId="15" fillId="0" borderId="0" applyAlignment="1" pivotButton="0" quotePrefix="0" xfId="0">
      <alignment vertical="center"/>
    </xf>
  </cellXfs>
  <cellStyles count="1">
    <cellStyle name="Normal" xfId="0" builtinId="0" hidden="0"/>
  </cellStyles>
  <dxfs count="2">
    <dxf>
      <fill>
        <patternFill patternType="solid">
          <fgColor rgb="00E2F0D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OpenAI</author>
  </authors>
  <commentList>
    <comment ref="C17" authorId="0" shapeId="0">
      <text>
        <t>Starting point: management disclosed utilization around 40% [S4].</t>
      </text>
    </comment>
    <comment ref="C36" authorId="0" shapeId="0">
      <text>
        <t>DEA quotas limit controlled-substance volume. Base case does not assume a competitor failure or abrupt quota release [S4].</t>
      </text>
    </comment>
  </commentList>
</comments>
</file>

<file path=xl/comments/comment2.xml><?xml version="1.0" encoding="utf-8"?>
<comments xmlns="http://schemas.openxmlformats.org/spreadsheetml/2006/main">
  <authors>
    <author>OpenAI</author>
  </authors>
  <commentList>
    <comment ref="C6" authorId="0" shapeId="0">
      <text>
        <t>Official installed capacity is 15,000MT [S15]. The 15–16k MT debottleneck referenced by management is upside, not included.</t>
      </text>
    </comment>
    <comment ref="C13" authorId="0" shapeId="0">
      <text>
        <t>Domestic MIP for Pen-G is ₹2,216/kg for one year [S16]. It does not protect export pricing.</t>
      </text>
    </comment>
  </commentList>
</comments>
</file>

<file path=xl/comments/comment3.xml><?xml version="1.0" encoding="utf-8"?>
<comments xmlns="http://schemas.openxmlformats.org/spreadsheetml/2006/main">
  <authors>
    <author>OpenAI</author>
  </authors>
  <commentList>
    <comment ref="C6" authorId="0" shapeId="0">
      <text>
        <t>ADQUEY launched 30 Sep 2026; disclosed atopic dermatitis market was $1.3bn [S20].</t>
      </text>
    </comment>
    <comment ref="E7" authorId="0" shapeId="0">
      <text>
        <t>Management input indicates a second product, but no public source identified it as of 6 Oct 2026. The model starts FY29E and uses only the sales needed to share infrastructure.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J36"/>
  <sheetViews>
    <sheetView showGridLines="0"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31"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28" customHeight="1">
      <c r="A1" s="1" t="inlineStr">
        <is>
          <t>AUROBINDO PHARMA | OUTPERFORM UNDERWRITING MODEL</t>
        </is>
      </c>
    </row>
    <row r="2" ht="30" customHeight="1">
      <c r="A2" s="2" t="inlineStr">
        <is>
          <t>As of 6 October 2026 | ₹ crore unless stated | Internal research working draft</t>
        </is>
      </c>
    </row>
    <row r="3"/>
    <row r="4" ht="20" customHeight="1">
      <c r="B4" s="3" t="inlineStr">
        <is>
          <t>RATING OUTPUT</t>
        </is>
      </c>
    </row>
    <row r="5">
      <c r="B5" s="4" t="inlineStr">
        <is>
          <t>Rating</t>
        </is>
      </c>
      <c r="C5" s="5">
        <f>'09_Valuation'!C32</f>
        <v/>
      </c>
      <c r="D5" s="6" t="inlineStr">
        <is>
          <t>Upgrade from Market-Perform</t>
        </is>
      </c>
    </row>
    <row r="6">
      <c r="B6" s="4" t="inlineStr">
        <is>
          <t>Current price</t>
        </is>
      </c>
      <c r="C6" s="7">
        <f>'09_Valuation'!C30</f>
        <v/>
      </c>
      <c r="D6" s="6" t="inlineStr">
        <is>
          <t>NSE close, 6 Oct 2026 [S21]</t>
        </is>
      </c>
    </row>
    <row r="7">
      <c r="B7" s="4" t="inlineStr">
        <is>
          <t>Target price</t>
        </is>
      </c>
      <c r="C7" s="7">
        <f>'09_Valuation'!C29</f>
        <v/>
      </c>
      <c r="D7" s="6" t="inlineStr">
        <is>
          <t>DCF-derived, rounded to nearest ₹50</t>
        </is>
      </c>
    </row>
    <row r="8">
      <c r="B8" s="4" t="inlineStr">
        <is>
          <t>Upside</t>
        </is>
      </c>
      <c r="C8" s="8">
        <f>'09_Valuation'!C31</f>
        <v/>
      </c>
      <c r="D8" s="6" t="inlineStr">
        <is>
          <t>Ex-dividend</t>
        </is>
      </c>
    </row>
    <row r="9">
      <c r="B9" s="4" t="inlineStr">
        <is>
          <t>FY26A–FY31E EPS CAGR</t>
        </is>
      </c>
      <c r="C9" s="9" t="n">
        <v>0.1712022547610239</v>
      </c>
      <c r="D9" s="6" t="inlineStr">
        <is>
          <t>Model output</t>
        </is>
      </c>
    </row>
    <row r="10">
      <c r="B10" s="4" t="inlineStr">
        <is>
          <t>FY26A–FY31E EBITDA CAGR</t>
        </is>
      </c>
      <c r="C10" s="9" t="n">
        <v>0.1377832684560534</v>
      </c>
      <c r="D10" s="6" t="inlineStr">
        <is>
          <t>Model output</t>
        </is>
      </c>
    </row>
    <row r="11"/>
    <row r="12"/>
    <row r="13" ht="20" customHeight="1">
      <c r="B13" s="3" t="inlineStr">
        <is>
          <t>THE UPGRADE IN ONE PAGE</t>
        </is>
      </c>
    </row>
    <row r="14">
      <c r="B14" s="10" t="inlineStr">
        <is>
          <t>Catalyst</t>
        </is>
      </c>
      <c r="C14" s="10" t="inlineStr">
        <is>
          <t>Claim</t>
        </is>
      </c>
      <c r="D14" s="10" t="inlineStr">
        <is>
          <t>First-principles test</t>
        </is>
      </c>
      <c r="E14" s="10" t="inlineStr">
        <is>
          <t>Model sheet</t>
        </is>
      </c>
    </row>
    <row r="15" ht="48" customHeight="1">
      <c r="B15" s="11" t="inlineStr">
        <is>
          <t>Lannett</t>
        </is>
      </c>
      <c r="C15" s="12" t="inlineStr">
        <is>
          <t>40% utilization becomes the earnings lever</t>
        </is>
      </c>
      <c r="D15" s="12" t="inlineStr">
        <is>
          <t>3.6bn-dose capacity vs ~1.4bn current output; site transfers and fixed-cost absorption take EBITDA margin to 16% in FY28E and 19% in FY29E.</t>
        </is>
      </c>
      <c r="E15" s="12" t="inlineStr">
        <is>
          <t>02_Lannett</t>
        </is>
      </c>
    </row>
    <row r="16" ht="48" customHeight="1">
      <c r="B16" s="11" t="inlineStr">
        <is>
          <t>FDA / respiratory</t>
        </is>
      </c>
      <c r="C16" s="12" t="inlineStr">
        <is>
          <t>Risk is narrower; Raleigh can progress</t>
        </is>
      </c>
      <c r="D16" s="12" t="inlineStr">
        <is>
          <t>Raleigh is VAI/closed and QVAR is approved. Eugia remains the sterile bottleneck, but respiratory EBITDA covers the modelled Eugia drag by FY29E.</t>
        </is>
      </c>
      <c r="E16" s="12" t="inlineStr">
        <is>
          <t>03_FDA / 04_Resp_Eugia</t>
        </is>
      </c>
    </row>
    <row r="17" ht="48" customHeight="1">
      <c r="B17" s="11" t="inlineStr">
        <is>
          <t>Pen-G</t>
        </is>
      </c>
      <c r="C17" s="12" t="inlineStr">
        <is>
          <t>Domestic protection helps, captive economics sustain</t>
        </is>
      </c>
      <c r="D17" s="12" t="inlineStr">
        <is>
          <t>Base case uses 15,000MT installed capacity, separates external revenue from captive savings and lets PLI fall to zero after FY29E.</t>
        </is>
      </c>
      <c r="E17" s="12" t="inlineStr">
        <is>
          <t>05_PenG</t>
        </is>
      </c>
    </row>
    <row r="18" ht="48" customHeight="1">
      <c r="B18" s="11" t="inlineStr">
        <is>
          <t>Biosimilars</t>
        </is>
      </c>
      <c r="C18" s="12" t="inlineStr">
        <is>
          <t>Late entry can still clear the margin hurdle</t>
        </is>
      </c>
      <c r="D18" s="12" t="inlineStr">
        <is>
          <t>Own EU infrastructure, partner channels and declining clinical spend take EBITDA margin from -20% in FY27E to 26% in FY30E.</t>
        </is>
      </c>
      <c r="E18" s="12" t="inlineStr">
        <is>
          <t>06_Biosimilars</t>
        </is>
      </c>
    </row>
    <row r="19" ht="48" customHeight="1">
      <c r="B19" s="11" t="inlineStr">
        <is>
          <t>US dermatology</t>
        </is>
      </c>
      <c r="C19" s="12" t="inlineStr">
        <is>
          <t>The second product amortizes the platform</t>
        </is>
      </c>
      <c r="D19" s="12" t="inlineStr">
        <is>
          <t>ADQUEY is launched. Public sources do not identify product two; the sheet shows the exact sales hurdle needed for segment break-even.</t>
        </is>
      </c>
      <c r="E19" s="12" t="inlineStr">
        <is>
          <t>07_Dermatology</t>
        </is>
      </c>
    </row>
    <row r="20"/>
    <row r="21"/>
    <row r="22" ht="20" customHeight="1">
      <c r="B22" s="3" t="inlineStr">
        <is>
          <t>MODEL NAVIGATION AND CONTROL</t>
        </is>
      </c>
    </row>
    <row r="23">
      <c r="B23" s="13" t="inlineStr">
        <is>
          <t>01_Thesis</t>
        </is>
      </c>
      <c r="C23" s="14" t="inlineStr">
        <is>
          <t>Old thesis vs new evidence; catalyst scorecard</t>
        </is>
      </c>
    </row>
    <row r="24">
      <c r="B24" s="13" t="inlineStr">
        <is>
          <t>02_Lannett</t>
        </is>
      </c>
      <c r="C24" s="14" t="inlineStr">
        <is>
          <t>Utilization, ADHD/non-ADHD, CBE-30/PAS transfer matrix, margin bridge</t>
        </is>
      </c>
    </row>
    <row r="25">
      <c r="B25" s="13" t="inlineStr">
        <is>
          <t>03_FDA</t>
        </is>
      </c>
      <c r="C25" s="14" t="inlineStr">
        <is>
          <t>Site-level inspection tracker and risk-weighted approval capacity</t>
        </is>
      </c>
    </row>
    <row r="26">
      <c r="B26" s="13" t="inlineStr">
        <is>
          <t>04_Resp_Eugia</t>
        </is>
      </c>
      <c r="C26" s="14" t="inlineStr">
        <is>
          <t>Product-level respiratory build and Eugia offset</t>
        </is>
      </c>
    </row>
    <row r="27">
      <c r="B27" s="13" t="inlineStr">
        <is>
          <t>05_PenG</t>
        </is>
      </c>
      <c r="C27" s="14" t="inlineStr">
        <is>
          <t>Volume/mix/price/PLI/captive savings and ROIC</t>
        </is>
      </c>
    </row>
    <row r="28">
      <c r="B28" s="13" t="inlineStr">
        <is>
          <t>06_Biosimilars</t>
        </is>
      </c>
      <c r="C28" s="14" t="inlineStr">
        <is>
          <t>Molecule-by-molecule launch build and margin bridge</t>
        </is>
      </c>
    </row>
    <row r="29">
      <c r="B29" s="13" t="inlineStr">
        <is>
          <t>07_Dermatology</t>
        </is>
      </c>
      <c r="C29" s="14" t="inlineStr">
        <is>
          <t>ADQUEY + undisclosed product-two profitability hurdle</t>
        </is>
      </c>
    </row>
    <row r="30">
      <c r="B30" s="13" t="inlineStr">
        <is>
          <t>08_Financials</t>
        </is>
      </c>
      <c r="C30" s="14" t="inlineStr">
        <is>
          <t>Segment revenue, EBITDA, EPS and estimate revisions</t>
        </is>
      </c>
    </row>
    <row r="31">
      <c r="B31" s="13" t="inlineStr">
        <is>
          <t>09_Valuation</t>
        </is>
      </c>
      <c r="C31" s="14" t="inlineStr">
        <is>
          <t>DCF, sensitivity, market multiples and rating triggers</t>
        </is>
      </c>
    </row>
    <row r="32">
      <c r="B32" s="13" t="inlineStr">
        <is>
          <t>10_Sources</t>
        </is>
      </c>
      <c r="C32" s="14" t="inlineStr">
        <is>
          <t>Primary-source log and analyst assumption register</t>
        </is>
      </c>
    </row>
    <row r="33">
      <c r="B33" s="13" t="inlineStr">
        <is>
          <t>11_QC</t>
        </is>
      </c>
      <c r="C33" s="14" t="inlineStr">
        <is>
          <t>Model checks</t>
        </is>
      </c>
    </row>
    <row r="34"/>
    <row r="35"/>
    <row r="36">
      <c r="B36" s="15" t="inlineStr">
        <is>
          <t>Legend</t>
        </is>
      </c>
      <c r="C36" s="16" t="inlineStr">
        <is>
          <t>Hardcode / analyst assumption</t>
        </is>
      </c>
      <c r="D36" s="17">
        <f>"Formula / linked output"</f>
        <v/>
      </c>
      <c r="E36" s="6" t="inlineStr">
        <is>
          <t>Source-backed facts carry cell comments or source IDs</t>
        </is>
      </c>
    </row>
  </sheetData>
  <mergeCells count="5">
    <mergeCell ref="B4:F4"/>
    <mergeCell ref="A1:J1"/>
    <mergeCell ref="B22:J22"/>
    <mergeCell ref="A2:J2"/>
    <mergeCell ref="B13:J1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K2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25" customWidth="1" min="2" max="2"/>
    <col width="30" customWidth="1" min="3" max="3"/>
    <col width="30" customWidth="1" min="4" max="4"/>
    <col width="32" customWidth="1" min="5" max="5"/>
    <col width="15" customWidth="1" min="6" max="6"/>
    <col width="15" customWidth="1" min="7" max="7"/>
    <col width="15" customWidth="1" min="8" max="8"/>
    <col width="15" customWidth="1" min="9" max="9"/>
    <col width="15" customWidth="1" min="10" max="10"/>
    <col width="18" customWidth="1" min="11" max="11"/>
  </cols>
  <sheetData>
    <row r="1" ht="28" customHeight="1">
      <c r="A1" s="1" t="inlineStr">
        <is>
          <t>THESIS BRIDGE | WHAT CHANGED SINCE INITIATION</t>
        </is>
      </c>
    </row>
    <row r="2" ht="30" customHeight="1">
      <c r="A2" s="2" t="inlineStr">
        <is>
          <t>The upgrade requires both earnings conversion and a narrower left-tail risk. Price performance alone is not evidence.</t>
        </is>
      </c>
    </row>
    <row r="3"/>
    <row r="4" ht="20" customHeight="1">
      <c r="B4" s="3" t="inlineStr">
        <is>
          <t>ORIGINAL OBJECTION → NEW EVIDENCE → MODEL CONSEQUENCE</t>
        </is>
      </c>
    </row>
    <row r="5">
      <c r="B5" s="18" t="inlineStr">
        <is>
          <t>Issue</t>
        </is>
      </c>
      <c r="C5" s="18" t="inlineStr">
        <is>
          <t>Original MP thesis</t>
        </is>
      </c>
      <c r="D5" s="18" t="inlineStr">
        <is>
          <t>New evidence</t>
        </is>
      </c>
      <c r="E5" s="18" t="inlineStr">
        <is>
          <t>First-principles test</t>
        </is>
      </c>
      <c r="F5" s="18" t="inlineStr">
        <is>
          <t>FY28E EBITDA</t>
        </is>
      </c>
      <c r="G5" s="18" t="inlineStr">
        <is>
          <t>FY29E EBITDA</t>
        </is>
      </c>
      <c r="H5" s="18" t="inlineStr">
        <is>
          <t>Confidence</t>
        </is>
      </c>
      <c r="I5" s="18" t="inlineStr">
        <is>
          <t>Failure condition</t>
        </is>
      </c>
    </row>
    <row r="6" ht="68" customHeight="1">
      <c r="B6" s="11" t="inlineStr">
        <is>
          <t>Lannett</t>
        </is>
      </c>
      <c r="C6" s="12" t="inlineStr">
        <is>
          <t>PV only ~₹12/share; 5–6pp US margin dilution</t>
        </is>
      </c>
      <c r="D6" s="12" t="inlineStr">
        <is>
          <t>Deal closed; $60m quarterly base; ~40% utilization; 12-month plan and synergies</t>
        </is>
      </c>
      <c r="E6" s="12" t="inlineStr">
        <is>
          <t>Can added volume cover fixed cost before relying on price?</t>
        </is>
      </c>
      <c r="F6" s="19" t="n">
        <v>405</v>
      </c>
      <c r="G6" s="19" t="n">
        <v>559</v>
      </c>
      <c r="H6" s="12" t="inlineStr">
        <is>
          <t>Medium-high</t>
        </is>
      </c>
      <c r="I6" s="12" t="inlineStr">
        <is>
          <t>Utilization remains below 50% by FY29</t>
        </is>
      </c>
    </row>
    <row r="7" ht="68" customHeight="1">
      <c r="B7" s="11" t="inlineStr">
        <is>
          <t>FDA</t>
        </is>
      </c>
      <c r="C7" s="12" t="inlineStr">
        <is>
          <t>Quality issues persisted into a fifth year</t>
        </is>
      </c>
      <c r="D7" s="12" t="inlineStr">
        <is>
          <t>Raleigh VAI/closed; Seymour observations procedural; several API sites at 0–3 observations</t>
        </is>
      </c>
      <c r="E7" s="12" t="inlineStr">
        <is>
          <t>Has risk moved from enterprise-wide to site-specific?</t>
        </is>
      </c>
      <c r="F7" s="19" t="n">
        <v>0</v>
      </c>
      <c r="G7" s="19" t="n">
        <v>0</v>
      </c>
      <c r="H7" s="12" t="inlineStr">
        <is>
          <t>Medium</t>
        </is>
      </c>
      <c r="I7" s="12" t="inlineStr">
        <is>
          <t>Raleigh regresses or another oral/API site receives OAI</t>
        </is>
      </c>
    </row>
    <row r="8" ht="68" customHeight="1">
      <c r="B8" s="11" t="inlineStr">
        <is>
          <t>Respiratory</t>
        </is>
      </c>
      <c r="C8" s="12" t="inlineStr">
        <is>
          <t>Pipeline optional but timing uncertain</t>
        </is>
      </c>
      <c r="D8" s="12" t="inlineStr">
        <is>
          <t>Advair launched; QVAR approved; Raleigh applications can progress</t>
        </is>
      </c>
      <c r="E8" s="12" t="inlineStr">
        <is>
          <t>Does launch EBITDA cover sterile approval drag?</t>
        </is>
      </c>
      <c r="F8" s="19" t="n">
        <v>112</v>
      </c>
      <c r="G8" s="19" t="n">
        <v>233</v>
      </c>
      <c r="H8" s="12" t="inlineStr">
        <is>
          <t>Medium-high</t>
        </is>
      </c>
      <c r="I8" s="12" t="inlineStr">
        <is>
          <t>QVAR launch slips beyond FY28 or Advair share &lt;2%</t>
        </is>
      </c>
    </row>
    <row r="9" ht="68" customHeight="1">
      <c r="B9" s="11" t="inlineStr">
        <is>
          <t>Pen-G</t>
        </is>
      </c>
      <c r="C9" s="12" t="inlineStr">
        <is>
          <t>Benefit seen as already priced; import economics adverse</t>
        </is>
      </c>
      <c r="D9" s="12" t="inlineStr">
        <is>
          <t>MIP introduced; 800–900t/month run-rate; external supply and exports commenced</t>
        </is>
      </c>
      <c r="E9" s="12" t="inlineStr">
        <is>
          <t>Does ex-PLI EBITDA remain positive at export prices?</t>
        </is>
      </c>
      <c r="F9" s="19" t="n">
        <v>548</v>
      </c>
      <c r="G9" s="19" t="n">
        <v>522</v>
      </c>
      <c r="H9" s="12" t="inlineStr">
        <is>
          <t>Medium-high</t>
        </is>
      </c>
      <c r="I9" s="12" t="inlineStr">
        <is>
          <t>Yield/cost miss keeps ex-PLI ROIC below 10%</t>
        </is>
      </c>
    </row>
    <row r="10" ht="68" customHeight="1">
      <c r="B10" s="11" t="inlineStr">
        <is>
          <t>Biosimilars</t>
        </is>
      </c>
      <c r="C10" s="12" t="inlineStr">
        <is>
          <t>Second-wave, delayed, single-digit return</t>
        </is>
      </c>
      <c r="D10" s="12" t="inlineStr">
        <is>
          <t>Four products commercial in Europe/UK; US filings scheduled; clinical spend falls</t>
        </is>
      </c>
      <c r="E10" s="12" t="inlineStr">
        <is>
          <t>Can shared infrastructure lift EBITDA margin above group margin?</t>
        </is>
      </c>
      <c r="F10" s="19" t="n">
        <v>38</v>
      </c>
      <c r="G10" s="19" t="n">
        <v>278</v>
      </c>
      <c r="H10" s="12" t="inlineStr">
        <is>
          <t>Medium</t>
        </is>
      </c>
      <c r="I10" s="12" t="inlineStr">
        <is>
          <t>Tender conversion or US filing slips by &gt;12 months</t>
        </is>
      </c>
    </row>
    <row r="11" ht="68" customHeight="1">
      <c r="B11" s="11" t="inlineStr">
        <is>
          <t>US derma</t>
        </is>
      </c>
      <c r="C11" s="12" t="inlineStr">
        <is>
          <t>Not in original core case</t>
        </is>
      </c>
      <c r="D11" s="12" t="inlineStr">
        <is>
          <t>ADQUEY launched and dedicated field platform created</t>
        </is>
      </c>
      <c r="E11" s="12" t="inlineStr">
        <is>
          <t>Can two products cover the fixed field cost?</t>
        </is>
      </c>
      <c r="F11" s="19" t="n">
        <v>-102</v>
      </c>
      <c r="G11" s="19" t="n">
        <v>53</v>
      </c>
      <c r="H11" s="12" t="inlineStr">
        <is>
          <t>Low-medium</t>
        </is>
      </c>
      <c r="I11" s="12" t="inlineStr">
        <is>
          <t>Second product absent and ADQUEY sales &lt;US$60m in FY29</t>
        </is>
      </c>
    </row>
    <row r="12"/>
    <row r="13"/>
    <row r="14" ht="20" customHeight="1">
      <c r="B14" s="3" t="inlineStr">
        <is>
          <t>RATING BRIDGE</t>
        </is>
      </c>
    </row>
    <row r="15">
      <c r="B15" s="4" t="inlineStr">
        <is>
          <t>Old target price</t>
        </is>
      </c>
      <c r="C15" s="20" t="n">
        <v>1498</v>
      </c>
      <c r="D15" s="6" t="inlineStr">
        <is>
          <t>Uploaded initiation [S1]</t>
        </is>
      </c>
    </row>
    <row r="16">
      <c r="B16" s="4" t="inlineStr">
        <is>
          <t>DCF fair value</t>
        </is>
      </c>
      <c r="C16" s="7">
        <f>'09_Valuation'!C28</f>
        <v/>
      </c>
      <c r="D16" s="6" t="inlineStr">
        <is>
          <t>09_Valuation</t>
        </is>
      </c>
    </row>
    <row r="17">
      <c r="B17" s="4" t="inlineStr">
        <is>
          <t>Rounded target</t>
        </is>
      </c>
      <c r="C17" s="7">
        <f>'09_Valuation'!C29</f>
        <v/>
      </c>
      <c r="D17" s="6" t="inlineStr">
        <is>
          <t>Nearest ₹50</t>
        </is>
      </c>
    </row>
    <row r="18">
      <c r="B18" s="4" t="inlineStr">
        <is>
          <t>Current price</t>
        </is>
      </c>
      <c r="C18" s="7">
        <f>'09_Valuation'!C30</f>
        <v/>
      </c>
      <c r="D18" s="6" t="inlineStr">
        <is>
          <t>6 Oct 2026 [S21]</t>
        </is>
      </c>
    </row>
    <row r="19">
      <c r="B19" s="4" t="inlineStr">
        <is>
          <t>Upside</t>
        </is>
      </c>
      <c r="C19" s="8">
        <f>'09_Valuation'!C31</f>
        <v/>
      </c>
      <c r="D19" s="6" t="inlineStr">
        <is>
          <t>Target/current - 1</t>
        </is>
      </c>
    </row>
    <row r="20">
      <c r="B20" s="4" t="inlineStr">
        <is>
          <t>Rating</t>
        </is>
      </c>
      <c r="C20" s="5">
        <f>'09_Valuation'!C32</f>
        <v/>
      </c>
      <c r="D20" s="6" t="inlineStr">
        <is>
          <t>Threshold: &gt;15% expected return</t>
        </is>
      </c>
    </row>
  </sheetData>
  <mergeCells count="4">
    <mergeCell ref="A2:K2"/>
    <mergeCell ref="B4:K4"/>
    <mergeCell ref="A1:K1"/>
    <mergeCell ref="B14:I1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L53"/>
  <sheetViews>
    <sheetView showGridLines="0" workbookViewId="0">
      <pane xSplit="2" ySplit="14" topLeftCell="C15"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37" customWidth="1" min="2" max="2"/>
    <col width="14" customWidth="1" min="3" max="3"/>
    <col width="14" customWidth="1" min="4" max="4"/>
    <col width="14" customWidth="1" min="5" max="5"/>
    <col width="14" customWidth="1" min="6" max="6"/>
    <col width="14" customWidth="1" min="7" max="7"/>
    <col width="14" customWidth="1" min="8" max="8"/>
    <col width="15" customWidth="1" min="9" max="9"/>
    <col width="15" customWidth="1" min="10" max="10"/>
    <col width="15" customWidth="1" min="11" max="11"/>
    <col width="20" customWidth="1" min="12" max="12"/>
  </cols>
  <sheetData>
    <row r="1" ht="28" customHeight="1">
      <c r="A1" s="1" t="inlineStr">
        <is>
          <t>LANNETT | 40% UTILIZATION IS THE EARNINGS LEVER</t>
        </is>
      </c>
    </row>
    <row r="2" ht="30" customHeight="1">
      <c r="A2" s="2" t="inlineStr">
        <is>
          <t>Site transfers are modelled by regulatory route; ADHD growth remains quota-constrained.</t>
        </is>
      </c>
    </row>
    <row r="3"/>
    <row r="4" ht="20" customHeight="1">
      <c r="B4" s="3" t="inlineStr">
        <is>
          <t>TRANSACTION AND CAPACITY FACTS</t>
        </is>
      </c>
    </row>
    <row r="5">
      <c r="B5" s="4" t="inlineStr">
        <is>
          <t>Purchase price (US$m)</t>
        </is>
      </c>
      <c r="C5" s="21" t="n">
        <v>250</v>
      </c>
      <c r="D5" s="6" t="inlineStr">
        <is>
          <t>S5/S6</t>
        </is>
      </c>
    </row>
    <row r="6">
      <c r="B6" s="4" t="inlineStr">
        <is>
          <t>FY25 net sales (US$m)</t>
        </is>
      </c>
      <c r="C6" s="21" t="n">
        <v>306</v>
      </c>
      <c r="D6" s="6" t="inlineStr">
        <is>
          <t>S5</t>
        </is>
      </c>
    </row>
    <row r="7">
      <c r="B7" s="4" t="inlineStr">
        <is>
          <t>Demonstrated capacity (bn doses)</t>
        </is>
      </c>
      <c r="C7" s="21" t="n">
        <v>3.6</v>
      </c>
      <c r="D7" s="6" t="inlineStr">
        <is>
          <t>S5</t>
        </is>
      </c>
    </row>
    <row r="8">
      <c r="B8" s="4" t="inlineStr">
        <is>
          <t>Current annual output (bn units)</t>
        </is>
      </c>
      <c r="C8" s="21" t="n">
        <v>1.4</v>
      </c>
      <c r="D8" s="6" t="inlineStr">
        <is>
          <t>S5</t>
        </is>
      </c>
    </row>
    <row r="9">
      <c r="B9" s="4" t="inlineStr">
        <is>
          <t>Implied utilization</t>
        </is>
      </c>
      <c r="C9" s="9" t="n">
        <v>0.3888888888888888</v>
      </c>
      <c r="D9" s="6" t="inlineStr">
        <is>
          <t>Calculated</t>
        </is>
      </c>
    </row>
    <row r="10">
      <c r="B10" s="4" t="inlineStr">
        <is>
          <t>Base quarterly sales target (US$m)</t>
        </is>
      </c>
      <c r="C10" s="21" t="n">
        <v>60</v>
      </c>
      <c r="D10" s="6" t="inlineStr">
        <is>
          <t>S4</t>
        </is>
      </c>
    </row>
    <row r="11">
      <c r="B11" s="4" t="inlineStr">
        <is>
          <t>FTC product divestitures</t>
        </is>
      </c>
      <c r="C11" s="21" t="n">
        <v>4</v>
      </c>
      <c r="D11" s="6" t="inlineStr">
        <is>
          <t>S7</t>
        </is>
      </c>
    </row>
    <row r="12">
      <c r="B12" s="4" t="inlineStr">
        <is>
          <t>Site footprint</t>
        </is>
      </c>
      <c r="C12" s="16" t="inlineStr">
        <is>
          <t>~425k sq ft incl. 116k leased distribution</t>
        </is>
      </c>
      <c r="D12" s="6" t="inlineStr">
        <is>
          <t>S5</t>
        </is>
      </c>
    </row>
    <row r="13">
      <c r="B13" s="4" t="inlineStr">
        <is>
          <t>Workforce / active products</t>
        </is>
      </c>
      <c r="C13" s="16" t="inlineStr">
        <is>
          <t>500+ employees / ~70 active products</t>
        </is>
      </c>
      <c r="D13" s="6" t="inlineStr">
        <is>
          <t>S5</t>
        </is>
      </c>
    </row>
    <row r="14" ht="20" customHeight="1">
      <c r="B14" s="3" t="inlineStr">
        <is>
          <t>BASE-CASE OPERATING BUILD</t>
        </is>
      </c>
    </row>
    <row r="15">
      <c r="C15" s="22" t="inlineStr">
        <is>
          <t>FY27E</t>
        </is>
      </c>
      <c r="D15" s="22" t="inlineStr">
        <is>
          <t>FY28E</t>
        </is>
      </c>
      <c r="E15" s="22" t="inlineStr">
        <is>
          <t>FY29E</t>
        </is>
      </c>
      <c r="F15" s="22" t="inlineStr">
        <is>
          <t>FY30E</t>
        </is>
      </c>
      <c r="G15" s="22" t="inlineStr">
        <is>
          <t>FY31E</t>
        </is>
      </c>
    </row>
    <row r="16">
      <c r="B16" s="14" t="inlineStr">
        <is>
          <t>Capacity (bn doses)</t>
        </is>
      </c>
      <c r="C16" s="23" t="n">
        <v>3.6</v>
      </c>
      <c r="D16" s="23" t="n">
        <v>3.6</v>
      </c>
      <c r="E16" s="23" t="n">
        <v>3.6</v>
      </c>
      <c r="F16" s="23" t="n">
        <v>3.6</v>
      </c>
      <c r="G16" s="23" t="n">
        <v>3.6</v>
      </c>
    </row>
    <row r="17">
      <c r="B17" s="14" t="inlineStr">
        <is>
          <t>Utilization</t>
        </is>
      </c>
      <c r="C17" s="24" t="n">
        <v>0.4</v>
      </c>
      <c r="D17" s="24" t="n">
        <v>0.47</v>
      </c>
      <c r="E17" s="24" t="n">
        <v>0.5600000000000001</v>
      </c>
      <c r="F17" s="24" t="n">
        <v>0.64</v>
      </c>
      <c r="G17" s="24" t="n">
        <v>0.7</v>
      </c>
    </row>
    <row r="18">
      <c r="B18" s="14" t="inlineStr">
        <is>
          <t>Output (bn doses)</t>
        </is>
      </c>
      <c r="C18" s="25">
        <f>C16*C17</f>
        <v/>
      </c>
      <c r="D18" s="25">
        <f>D16*D17</f>
        <v/>
      </c>
      <c r="E18" s="25">
        <f>E16*E17</f>
        <v/>
      </c>
      <c r="F18" s="25">
        <f>F16*F17</f>
        <v/>
      </c>
      <c r="G18" s="25">
        <f>G16*G17</f>
        <v/>
      </c>
    </row>
    <row r="19">
      <c r="B19" s="14" t="inlineStr">
        <is>
          <t>Base acquired revenue (US$m)</t>
        </is>
      </c>
      <c r="C19" s="26" t="n">
        <v>180</v>
      </c>
      <c r="D19" s="26" t="n">
        <v>240</v>
      </c>
      <c r="E19" s="26" t="n">
        <v>245</v>
      </c>
      <c r="F19" s="26" t="n">
        <v>250</v>
      </c>
      <c r="G19" s="26" t="n">
        <v>255</v>
      </c>
    </row>
    <row r="20">
      <c r="B20" s="14" t="inlineStr">
        <is>
          <t>Risk-adjusted site transfers (US$m)</t>
        </is>
      </c>
      <c r="C20" s="26" t="n">
        <v>0</v>
      </c>
      <c r="D20" s="26" t="n">
        <v>25</v>
      </c>
      <c r="E20" s="26" t="n">
        <v>60</v>
      </c>
      <c r="F20" s="26" t="n">
        <v>80</v>
      </c>
      <c r="G20" s="26" t="n">
        <v>90</v>
      </c>
    </row>
    <row r="21">
      <c r="B21" s="4" t="inlineStr">
        <is>
          <t>Total revenue (US$m)</t>
        </is>
      </c>
      <c r="C21" s="27">
        <f>C19+C20</f>
        <v/>
      </c>
      <c r="D21" s="27">
        <f>D19+D20</f>
        <v/>
      </c>
      <c r="E21" s="27">
        <f>E19+E20</f>
        <v/>
      </c>
      <c r="F21" s="27">
        <f>F19+F20</f>
        <v/>
      </c>
      <c r="G21" s="27">
        <f>G19+G20</f>
        <v/>
      </c>
    </row>
    <row r="22">
      <c r="B22" s="14" t="inlineStr">
        <is>
          <t>INR/US$</t>
        </is>
      </c>
      <c r="C22" s="21" t="n">
        <v>94.5</v>
      </c>
      <c r="D22" s="21" t="n">
        <v>95.5</v>
      </c>
      <c r="E22" s="21" t="n">
        <v>96.5</v>
      </c>
      <c r="F22" s="21" t="n">
        <v>97.5</v>
      </c>
      <c r="G22" s="21" t="n">
        <v>98.5</v>
      </c>
    </row>
    <row r="23">
      <c r="B23" s="14" t="inlineStr">
        <is>
          <t>Revenue (₹cr)</t>
        </is>
      </c>
      <c r="C23" s="28">
        <f>C21*C22/10</f>
        <v/>
      </c>
      <c r="D23" s="28">
        <f>D21*D22/10</f>
        <v/>
      </c>
      <c r="E23" s="28">
        <f>E21*E22/10</f>
        <v/>
      </c>
      <c r="F23" s="28">
        <f>F21*F22/10</f>
        <v/>
      </c>
      <c r="G23" s="28">
        <f>G21*G22/10</f>
        <v/>
      </c>
    </row>
    <row r="24">
      <c r="B24" s="14" t="inlineStr">
        <is>
          <t>EBITDA margin</t>
        </is>
      </c>
      <c r="C24" s="24" t="n">
        <v>0.12</v>
      </c>
      <c r="D24" s="24" t="n">
        <v>0.16</v>
      </c>
      <c r="E24" s="24" t="n">
        <v>0.19</v>
      </c>
      <c r="F24" s="24" t="n">
        <v>0.21</v>
      </c>
      <c r="G24" s="24" t="n">
        <v>0.22</v>
      </c>
    </row>
    <row r="25">
      <c r="B25" s="4" t="inlineStr">
        <is>
          <t>EBITDA (₹cr)</t>
        </is>
      </c>
      <c r="C25" s="28">
        <f>C23*C24</f>
        <v/>
      </c>
      <c r="D25" s="28">
        <f>D23*D24</f>
        <v/>
      </c>
      <c r="E25" s="28">
        <f>E23*E24</f>
        <v/>
      </c>
      <c r="F25" s="28">
        <f>F23*F24</f>
        <v/>
      </c>
      <c r="G25" s="28">
        <f>G23*G24</f>
        <v/>
      </c>
    </row>
    <row r="26">
      <c r="B26" s="14" t="inlineStr">
        <is>
          <t>Incremental revenue per +10pp utilization (US$m)</t>
        </is>
      </c>
      <c r="C26" s="29">
        <f>$C$7*10%*($C$6/$C$8)</f>
        <v/>
      </c>
      <c r="D26" s="29">
        <f>$C$7*10%*($C$6/$C$8)</f>
        <v/>
      </c>
      <c r="E26" s="29">
        <f>$C$7*10%*($C$6/$C$8)</f>
        <v/>
      </c>
      <c r="F26" s="29">
        <f>$C$7*10%*($C$6/$C$8)</f>
        <v/>
      </c>
      <c r="G26" s="29">
        <f>$C$7*10%*($C$6/$C$8)</f>
        <v/>
      </c>
    </row>
    <row r="27">
      <c r="B27" s="14" t="inlineStr">
        <is>
          <t>Incremental EBITDA per +10pp utilization (US$m)</t>
        </is>
      </c>
      <c r="C27" s="29">
        <f>C26*30%</f>
        <v/>
      </c>
      <c r="D27" s="29">
        <f>D26*30%</f>
        <v/>
      </c>
      <c r="E27" s="29">
        <f>E26*30%</f>
        <v/>
      </c>
      <c r="F27" s="29">
        <f>F26*30%</f>
        <v/>
      </c>
      <c r="G27" s="29">
        <f>G26*30%</f>
        <v/>
      </c>
    </row>
    <row r="28"/>
    <row r="29"/>
    <row r="30" ht="20" customHeight="1">
      <c r="B30" s="3" t="inlineStr">
        <is>
          <t>ADHD VS NON-ADHD / CDMO</t>
        </is>
      </c>
    </row>
    <row r="31">
      <c r="C31" s="22" t="inlineStr">
        <is>
          <t>FY27E</t>
        </is>
      </c>
      <c r="D31" s="22" t="inlineStr">
        <is>
          <t>FY28E</t>
        </is>
      </c>
      <c r="E31" s="22" t="inlineStr">
        <is>
          <t>FY29E</t>
        </is>
      </c>
      <c r="F31" s="22" t="inlineStr">
        <is>
          <t>FY30E</t>
        </is>
      </c>
      <c r="G31" s="22" t="inlineStr">
        <is>
          <t>FY31E</t>
        </is>
      </c>
    </row>
    <row r="32">
      <c r="B32" s="14" t="inlineStr">
        <is>
          <t>ADHD / controlled share</t>
        </is>
      </c>
      <c r="C32" s="24" t="n">
        <v>0.08</v>
      </c>
      <c r="D32" s="24" t="n">
        <v>0.08</v>
      </c>
      <c r="E32" s="24" t="n">
        <v>0.09</v>
      </c>
      <c r="F32" s="24" t="n">
        <v>0.1</v>
      </c>
      <c r="G32" s="24" t="n">
        <v>0.1</v>
      </c>
    </row>
    <row r="33">
      <c r="B33" s="14" t="inlineStr">
        <is>
          <t>Non-ADHD generics share</t>
        </is>
      </c>
      <c r="C33" s="24" t="n">
        <v>0.5</v>
      </c>
      <c r="D33" s="24" t="n">
        <v>0.52</v>
      </c>
      <c r="E33" s="24" t="n">
        <v>0.54</v>
      </c>
      <c r="F33" s="24" t="n">
        <v>0.55</v>
      </c>
      <c r="G33" s="24" t="n">
        <v>0.5600000000000001</v>
      </c>
    </row>
    <row r="34">
      <c r="B34" s="14" t="inlineStr">
        <is>
          <t>CDMO / other share</t>
        </is>
      </c>
      <c r="C34" s="24" t="n">
        <v>0.42</v>
      </c>
      <c r="D34" s="24" t="n">
        <v>0.4</v>
      </c>
      <c r="E34" s="24" t="n">
        <v>0.37</v>
      </c>
      <c r="F34" s="24" t="n">
        <v>0.35</v>
      </c>
      <c r="G34" s="24" t="n">
        <v>0.34</v>
      </c>
    </row>
    <row r="35">
      <c r="B35" s="4" t="inlineStr">
        <is>
          <t>Mix check</t>
        </is>
      </c>
      <c r="C35" s="30">
        <f>SUM(C32:C34)</f>
        <v/>
      </c>
      <c r="D35" s="30">
        <f>SUM(D32:D34)</f>
        <v/>
      </c>
      <c r="E35" s="30">
        <f>SUM(E32:E34)</f>
        <v/>
      </c>
      <c r="F35" s="30">
        <f>SUM(F32:F34)</f>
        <v/>
      </c>
      <c r="G35" s="30">
        <f>SUM(G32:G34)</f>
        <v/>
      </c>
    </row>
    <row r="36">
      <c r="B36" s="14" t="inlineStr">
        <is>
          <t>ADHD growth constraint</t>
        </is>
      </c>
      <c r="C36" s="24" t="n">
        <v>0.05</v>
      </c>
      <c r="D36" s="24" t="n">
        <v>0.05</v>
      </c>
      <c r="E36" s="24" t="n">
        <v>0.05</v>
      </c>
      <c r="F36" s="24" t="n">
        <v>0.05</v>
      </c>
      <c r="G36" s="24" t="n">
        <v>0.05</v>
      </c>
    </row>
    <row r="37">
      <c r="B37" s="15" t="inlineStr">
        <is>
          <t>FY25 disclosed composition</t>
        </is>
      </c>
      <c r="C37" s="16" t="inlineStr">
        <is>
          <t>Controlled 6%</t>
        </is>
      </c>
      <c r="D37" s="16" t="inlineStr">
        <is>
          <t>Non-controlled 47%</t>
        </is>
      </c>
      <c r="E37" s="16" t="inlineStr">
        <is>
          <t>CMO 47%</t>
        </is>
      </c>
      <c r="F37" s="6" t="inlineStr">
        <is>
          <t>S5</t>
        </is>
      </c>
    </row>
    <row r="38"/>
    <row r="39" ht="20" customHeight="1">
      <c r="B39" s="3" t="inlineStr">
        <is>
          <t>SITE-TRANSFER MATRIX | CBE-30 VS PAS</t>
        </is>
      </c>
    </row>
    <row r="40">
      <c r="B40" s="31" t="inlineStr">
        <is>
          <t>Program</t>
        </is>
      </c>
      <c r="C40" s="31" t="inlineStr">
        <is>
          <t>Route</t>
        </is>
      </c>
      <c r="D40" s="31" t="inlineStr">
        <is>
          <t>Submission</t>
        </is>
      </c>
      <c r="E40" s="31" t="inlineStr">
        <is>
          <t>Model lag (months)</t>
        </is>
      </c>
      <c r="F40" s="31" t="inlineStr">
        <is>
          <t>Approval probability</t>
        </is>
      </c>
      <c r="G40" s="31" t="inlineStr">
        <is>
          <t>Steady-state sales (US$m)</t>
        </is>
      </c>
      <c r="H40" s="31" t="inlineStr">
        <is>
          <t>FY27E</t>
        </is>
      </c>
      <c r="I40" s="31" t="inlineStr">
        <is>
          <t>FY28E</t>
        </is>
      </c>
      <c r="J40" s="31" t="inlineStr">
        <is>
          <t>FY29E</t>
        </is>
      </c>
      <c r="K40" s="31" t="inlineStr">
        <is>
          <t>FY30E</t>
        </is>
      </c>
      <c r="L40" s="31" t="inlineStr">
        <is>
          <t>FY31E</t>
        </is>
      </c>
    </row>
    <row r="41">
      <c r="B41" s="32" t="inlineStr">
        <is>
          <t>Transfer 1</t>
        </is>
      </c>
      <c r="C41" s="32" t="inlineStr">
        <is>
          <t>CBE-30</t>
        </is>
      </c>
      <c r="D41" s="32" t="inlineStr">
        <is>
          <t>FY27 Q2</t>
        </is>
      </c>
      <c r="E41" s="33" t="n">
        <v>6</v>
      </c>
      <c r="F41" s="34" t="n">
        <v>0.85</v>
      </c>
      <c r="G41" s="33" t="n">
        <v>10</v>
      </c>
      <c r="H41" s="33" t="n">
        <v>0</v>
      </c>
      <c r="I41" s="33" t="n">
        <v>5</v>
      </c>
      <c r="J41" s="33" t="n">
        <v>9</v>
      </c>
      <c r="K41" s="33" t="n">
        <v>10</v>
      </c>
      <c r="L41" s="33" t="n">
        <v>10</v>
      </c>
    </row>
    <row r="42">
      <c r="B42" s="32" t="inlineStr">
        <is>
          <t>Transfer 2</t>
        </is>
      </c>
      <c r="C42" s="32" t="inlineStr">
        <is>
          <t>CBE-30</t>
        </is>
      </c>
      <c r="D42" s="32" t="inlineStr">
        <is>
          <t>FY27 Q3</t>
        </is>
      </c>
      <c r="E42" s="33" t="n">
        <v>6</v>
      </c>
      <c r="F42" s="34" t="n">
        <v>0.85</v>
      </c>
      <c r="G42" s="33" t="n">
        <v>12</v>
      </c>
      <c r="H42" s="33" t="n">
        <v>0</v>
      </c>
      <c r="I42" s="33" t="n">
        <v>5</v>
      </c>
      <c r="J42" s="33" t="n">
        <v>10</v>
      </c>
      <c r="K42" s="33" t="n">
        <v>12</v>
      </c>
      <c r="L42" s="33" t="n">
        <v>12</v>
      </c>
    </row>
    <row r="43">
      <c r="B43" s="32" t="inlineStr">
        <is>
          <t>Transfer 3</t>
        </is>
      </c>
      <c r="C43" s="32" t="inlineStr">
        <is>
          <t>CBE-30</t>
        </is>
      </c>
      <c r="D43" s="32" t="inlineStr">
        <is>
          <t>FY27 Q4</t>
        </is>
      </c>
      <c r="E43" s="33" t="n">
        <v>9</v>
      </c>
      <c r="F43" s="34" t="n">
        <v>0.8</v>
      </c>
      <c r="G43" s="33" t="n">
        <v>10</v>
      </c>
      <c r="H43" s="33" t="n">
        <v>0</v>
      </c>
      <c r="I43" s="33" t="n">
        <v>4</v>
      </c>
      <c r="J43" s="33" t="n">
        <v>8</v>
      </c>
      <c r="K43" s="33" t="n">
        <v>10</v>
      </c>
      <c r="L43" s="33" t="n">
        <v>10</v>
      </c>
    </row>
    <row r="44">
      <c r="B44" s="32" t="inlineStr">
        <is>
          <t>Transfer 4</t>
        </is>
      </c>
      <c r="C44" s="32" t="inlineStr">
        <is>
          <t>CBE-30</t>
        </is>
      </c>
      <c r="D44" s="32" t="inlineStr">
        <is>
          <t>FY28 Q1</t>
        </is>
      </c>
      <c r="E44" s="33" t="n">
        <v>9</v>
      </c>
      <c r="F44" s="34" t="n">
        <v>0.8</v>
      </c>
      <c r="G44" s="33" t="n">
        <v>10</v>
      </c>
      <c r="H44" s="33" t="n">
        <v>0</v>
      </c>
      <c r="I44" s="33" t="n">
        <v>3</v>
      </c>
      <c r="J44" s="33" t="n">
        <v>7</v>
      </c>
      <c r="K44" s="33" t="n">
        <v>9</v>
      </c>
      <c r="L44" s="33" t="n">
        <v>10</v>
      </c>
    </row>
    <row r="45">
      <c r="B45" s="32" t="inlineStr">
        <is>
          <t>Transfer 5</t>
        </is>
      </c>
      <c r="C45" s="32" t="inlineStr">
        <is>
          <t>CBE-30</t>
        </is>
      </c>
      <c r="D45" s="32" t="inlineStr">
        <is>
          <t>FY28 Q1</t>
        </is>
      </c>
      <c r="E45" s="33" t="n">
        <v>9</v>
      </c>
      <c r="F45" s="34" t="n">
        <v>0.75</v>
      </c>
      <c r="G45" s="33" t="n">
        <v>8</v>
      </c>
      <c r="H45" s="33" t="n">
        <v>0</v>
      </c>
      <c r="I45" s="33" t="n">
        <v>2</v>
      </c>
      <c r="J45" s="33" t="n">
        <v>6</v>
      </c>
      <c r="K45" s="33" t="n">
        <v>8</v>
      </c>
      <c r="L45" s="33" t="n">
        <v>8</v>
      </c>
    </row>
    <row r="46">
      <c r="B46" s="32" t="inlineStr">
        <is>
          <t>Transfer 6</t>
        </is>
      </c>
      <c r="C46" s="32" t="inlineStr">
        <is>
          <t>PAS</t>
        </is>
      </c>
      <c r="D46" s="32" t="inlineStr">
        <is>
          <t>FY27 Q3</t>
        </is>
      </c>
      <c r="E46" s="33" t="n">
        <v>15</v>
      </c>
      <c r="F46" s="34" t="n">
        <v>0.7</v>
      </c>
      <c r="G46" s="33" t="n">
        <v>15</v>
      </c>
      <c r="H46" s="33" t="n">
        <v>0</v>
      </c>
      <c r="I46" s="33" t="n">
        <v>2</v>
      </c>
      <c r="J46" s="33" t="n">
        <v>7</v>
      </c>
      <c r="K46" s="33" t="n">
        <v>12</v>
      </c>
      <c r="L46" s="33" t="n">
        <v>15</v>
      </c>
    </row>
    <row r="47">
      <c r="B47" s="32" t="inlineStr">
        <is>
          <t>Transfer 7</t>
        </is>
      </c>
      <c r="C47" s="32" t="inlineStr">
        <is>
          <t>PAS</t>
        </is>
      </c>
      <c r="D47" s="32" t="inlineStr">
        <is>
          <t>FY27 Q4</t>
        </is>
      </c>
      <c r="E47" s="33" t="n">
        <v>18</v>
      </c>
      <c r="F47" s="34" t="n">
        <v>0.65</v>
      </c>
      <c r="G47" s="33" t="n">
        <v>15</v>
      </c>
      <c r="H47" s="33" t="n">
        <v>0</v>
      </c>
      <c r="I47" s="33" t="n">
        <v>2</v>
      </c>
      <c r="J47" s="33" t="n">
        <v>7</v>
      </c>
      <c r="K47" s="33" t="n">
        <v>11</v>
      </c>
      <c r="L47" s="33" t="n">
        <v>15</v>
      </c>
    </row>
    <row r="48">
      <c r="B48" s="32" t="inlineStr">
        <is>
          <t>Transfer 8</t>
        </is>
      </c>
      <c r="C48" s="32" t="inlineStr">
        <is>
          <t>PAS</t>
        </is>
      </c>
      <c r="D48" s="32" t="inlineStr">
        <is>
          <t>FY28 Q1</t>
        </is>
      </c>
      <c r="E48" s="33" t="n">
        <v>18</v>
      </c>
      <c r="F48" s="34" t="n">
        <v>0.65</v>
      </c>
      <c r="G48" s="33" t="n">
        <v>10</v>
      </c>
      <c r="H48" s="33" t="n">
        <v>0</v>
      </c>
      <c r="I48" s="33" t="n">
        <v>2</v>
      </c>
      <c r="J48" s="33" t="n">
        <v>6</v>
      </c>
      <c r="K48" s="33" t="n">
        <v>8</v>
      </c>
      <c r="L48" s="33" t="n">
        <v>10</v>
      </c>
    </row>
    <row r="49">
      <c r="B49" s="4" t="inlineStr">
        <is>
          <t>Total model transfer revenue</t>
        </is>
      </c>
      <c r="H49" s="27">
        <f>SUM(H41:H48)</f>
        <v/>
      </c>
      <c r="I49" s="27">
        <f>SUM(I41:I48)</f>
        <v/>
      </c>
      <c r="J49" s="27">
        <f>SUM(J41:J48)</f>
        <v/>
      </c>
      <c r="K49" s="27">
        <f>SUM(K41:K48)</f>
        <v/>
      </c>
      <c r="L49" s="27">
        <f>SUM(L41:L48)</f>
        <v/>
      </c>
    </row>
    <row r="50"/>
    <row r="51">
      <c r="B51" s="15" t="inlineStr">
        <is>
          <t>Interpretation</t>
        </is>
      </c>
      <c r="C51" s="35" t="inlineStr">
        <is>
          <t>CBE-30 is used for changes eligible to be implemented 30 days after FDA receipt; PAS requires prior approval. The route mix is an analyst assumption because product-specific transfer classifications are not disclosed. The workbook therefore applies longer lags and lower probabilities to PAS programs. Product names are intentionally not invented.</t>
        </is>
      </c>
    </row>
    <row r="52"/>
    <row r="53"/>
  </sheetData>
  <mergeCells count="7">
    <mergeCell ref="B14:H14"/>
    <mergeCell ref="A2:L2"/>
    <mergeCell ref="B4:H4"/>
    <mergeCell ref="B39:L39"/>
    <mergeCell ref="A1:L1"/>
    <mergeCell ref="B30:H30"/>
    <mergeCell ref="C51:L53"/>
  </mergeCell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M24"/>
  <sheetViews>
    <sheetView showGridLines="0"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27" customWidth="1" min="2" max="2"/>
    <col width="19" customWidth="1" min="3" max="3"/>
    <col width="16" customWidth="1" min="4" max="4"/>
    <col width="14" customWidth="1" min="5" max="5"/>
    <col width="20" customWidth="1" min="6" max="6"/>
    <col width="25" customWidth="1" min="7" max="7"/>
    <col width="16" customWidth="1" min="8" max="8"/>
    <col width="16" customWidth="1" min="9" max="9"/>
    <col width="14" customWidth="1" min="10" max="10"/>
    <col width="15" customWidth="1" min="11" max="11"/>
    <col width="20" customWidth="1" min="12" max="12"/>
    <col width="20" customWidth="1" min="13" max="13"/>
  </cols>
  <sheetData>
    <row r="1" ht="28" customHeight="1">
      <c r="A1" s="1" t="inlineStr">
        <is>
          <t>FDA | THE RISK IS NARROWER, NOT GONE</t>
        </is>
      </c>
    </row>
    <row r="2" ht="30" customHeight="1">
      <c r="A2" s="2" t="inlineStr">
        <is>
          <t>Non-sterile and API outcomes have improved. Eugia remains the approval bottleneck.</t>
        </is>
      </c>
    </row>
    <row r="3"/>
    <row r="4" ht="20" customHeight="1">
      <c r="B4" s="3" t="inlineStr">
        <is>
          <t>SITE-LEVEL TRACKER</t>
        </is>
      </c>
    </row>
    <row r="5">
      <c r="B5" s="18" t="inlineStr">
        <is>
          <t>Site</t>
        </is>
      </c>
      <c r="C5" s="18" t="inlineStr">
        <is>
          <t>Dosage / role</t>
        </is>
      </c>
      <c r="D5" s="18" t="inlineStr">
        <is>
          <t>Inspection date</t>
        </is>
      </c>
      <c r="E5" s="18" t="inlineStr">
        <is>
          <t>483 obs.</t>
        </is>
      </c>
      <c r="F5" s="18" t="inlineStr">
        <is>
          <t>Status</t>
        </is>
      </c>
      <c r="G5" s="18" t="inlineStr">
        <is>
          <t>Latest outcome</t>
        </is>
      </c>
      <c r="H5" s="18" t="inlineStr">
        <is>
          <t>Pending ANDAs</t>
        </is>
      </c>
      <c r="I5" s="18" t="inlineStr">
        <is>
          <t>Revenue exposure</t>
        </is>
      </c>
      <c r="J5" s="18" t="inlineStr">
        <is>
          <t>Risk score (1-5)</t>
        </is>
      </c>
      <c r="K5" s="18" t="inlineStr">
        <is>
          <t>Approval release prob.</t>
        </is>
      </c>
      <c r="L5" s="18" t="inlineStr">
        <is>
          <t>Risk-weighted pending</t>
        </is>
      </c>
      <c r="M5" s="18" t="inlineStr">
        <is>
          <t>Source</t>
        </is>
      </c>
    </row>
    <row r="6">
      <c r="B6" s="36" t="inlineStr">
        <is>
          <t>Raleigh, NC</t>
        </is>
      </c>
      <c r="C6" s="12" t="inlineStr">
        <is>
          <t>Inhalers / derma / transdermal</t>
        </is>
      </c>
      <c r="D6" s="12" t="inlineStr">
        <is>
          <t>Mar–Apr 2025</t>
        </is>
      </c>
      <c r="E6" s="37" t="n">
        <v>11</v>
      </c>
      <c r="F6" s="12" t="inlineStr">
        <is>
          <t>VAI / EIR closed</t>
        </is>
      </c>
      <c r="G6" s="12" t="inlineStr">
        <is>
          <t>Applications can progress</t>
        </is>
      </c>
      <c r="H6" s="37" t="n">
        <v>13</v>
      </c>
      <c r="I6" s="12" t="inlineStr">
        <is>
          <t>Not disclosed</t>
        </is>
      </c>
      <c r="J6" s="38" t="n">
        <v>2</v>
      </c>
      <c r="K6" s="39" t="n">
        <v>0.75</v>
      </c>
      <c r="L6" s="40">
        <f>H6*K6</f>
        <v/>
      </c>
      <c r="M6" s="41" t="n"/>
    </row>
    <row r="7">
      <c r="B7" s="36" t="inlineStr">
        <is>
          <t>Lannett Seymour</t>
        </is>
      </c>
      <c r="C7" s="12" t="inlineStr">
        <is>
          <t>Oral solids / liquids / controlled</t>
        </is>
      </c>
      <c r="D7" s="12" t="inlineStr">
        <is>
          <t>17–21 Aug 2026</t>
        </is>
      </c>
      <c r="E7" s="37" t="n">
        <v>4</v>
      </c>
      <c r="F7" s="12" t="inlineStr">
        <is>
          <t>483 issued</t>
        </is>
      </c>
      <c r="G7" s="12" t="inlineStr">
        <is>
          <t>Procedural observations</t>
        </is>
      </c>
      <c r="H7" s="37" t="n">
        <v>0</v>
      </c>
      <c r="I7" s="12" t="inlineStr">
        <is>
          <t>Acquired business</t>
        </is>
      </c>
      <c r="J7" s="38" t="n">
        <v>2</v>
      </c>
      <c r="K7" s="39" t="n">
        <v>0.6</v>
      </c>
      <c r="L7" s="40">
        <f>H7*K7</f>
        <v/>
      </c>
      <c r="M7" s="41" t="n"/>
    </row>
    <row r="8">
      <c r="B8" s="36" t="inlineStr">
        <is>
          <t>Auro Peptides</t>
        </is>
      </c>
      <c r="C8" s="12" t="inlineStr">
        <is>
          <t>Peptides</t>
        </is>
      </c>
      <c r="D8" s="12" t="inlineStr">
        <is>
          <t>Aug 2026</t>
        </is>
      </c>
      <c r="E8" s="37" t="n">
        <v>1</v>
      </c>
      <c r="F8" s="12" t="inlineStr">
        <is>
          <t>483 issued</t>
        </is>
      </c>
      <c r="G8" s="12" t="inlineStr">
        <is>
          <t>Maintenance; no data-integrity flag</t>
        </is>
      </c>
      <c r="H8" s="37" t="n">
        <v>0</v>
      </c>
      <c r="I8" s="12" t="inlineStr">
        <is>
          <t>Not disclosed</t>
        </is>
      </c>
      <c r="J8" s="38" t="n">
        <v>1</v>
      </c>
      <c r="K8" s="39" t="n">
        <v>0.7</v>
      </c>
      <c r="L8" s="40">
        <f>H8*K8</f>
        <v/>
      </c>
      <c r="M8" s="41" t="n"/>
    </row>
    <row r="9">
      <c r="B9" s="36" t="inlineStr">
        <is>
          <t>Apitoria Unit VI</t>
        </is>
      </c>
      <c r="C9" s="12" t="inlineStr">
        <is>
          <t>API</t>
        </is>
      </c>
      <c r="D9" s="12" t="inlineStr">
        <is>
          <t>Aug 2026</t>
        </is>
      </c>
      <c r="E9" s="37" t="n">
        <v>3</v>
      </c>
      <c r="F9" s="12" t="inlineStr">
        <is>
          <t>483 issued</t>
        </is>
      </c>
      <c r="G9" s="12" t="inlineStr">
        <is>
          <t>Procedural observations</t>
        </is>
      </c>
      <c r="H9" s="37" t="n">
        <v>0</v>
      </c>
      <c r="I9" s="12" t="inlineStr">
        <is>
          <t>Not disclosed</t>
        </is>
      </c>
      <c r="J9" s="38" t="n">
        <v>2</v>
      </c>
      <c r="K9" s="39" t="n">
        <v>0.65</v>
      </c>
      <c r="L9" s="40">
        <f>H9*K9</f>
        <v/>
      </c>
      <c r="M9" s="41" t="n"/>
    </row>
    <row r="10">
      <c r="B10" s="36" t="inlineStr">
        <is>
          <t>Apitoria Unit IV</t>
        </is>
      </c>
      <c r="C10" s="12" t="inlineStr">
        <is>
          <t>API</t>
        </is>
      </c>
      <c r="D10" s="12" t="inlineStr">
        <is>
          <t>Sep 2026</t>
        </is>
      </c>
      <c r="E10" s="37" t="n">
        <v>0</v>
      </c>
      <c r="F10" s="12" t="inlineStr">
        <is>
          <t>No observations</t>
        </is>
      </c>
      <c r="G10" s="12" t="inlineStr">
        <is>
          <t>Inspection closed cleanly</t>
        </is>
      </c>
      <c r="H10" s="37" t="n">
        <v>0</v>
      </c>
      <c r="I10" s="12" t="inlineStr">
        <is>
          <t>Not disclosed</t>
        </is>
      </c>
      <c r="J10" s="38" t="n">
        <v>1</v>
      </c>
      <c r="K10" s="39" t="n">
        <v>0.9</v>
      </c>
      <c r="L10" s="40">
        <f>H10*K10</f>
        <v/>
      </c>
      <c r="M10" s="41" t="n"/>
    </row>
    <row r="11">
      <c r="B11" s="36" t="inlineStr">
        <is>
          <t>Apitoria Unit II</t>
        </is>
      </c>
      <c r="C11" s="12" t="inlineStr">
        <is>
          <t>API</t>
        </is>
      </c>
      <c r="D11" s="12" t="inlineStr">
        <is>
          <t>Sep 2026</t>
        </is>
      </c>
      <c r="E11" s="37" t="n">
        <v>1</v>
      </c>
      <c r="F11" s="12" t="inlineStr">
        <is>
          <t>483 issued</t>
        </is>
      </c>
      <c r="G11" s="12" t="inlineStr">
        <is>
          <t>Procedural observation</t>
        </is>
      </c>
      <c r="H11" s="37" t="n">
        <v>0</v>
      </c>
      <c r="I11" s="12" t="inlineStr">
        <is>
          <t>Not disclosed</t>
        </is>
      </c>
      <c r="J11" s="38" t="n">
        <v>1</v>
      </c>
      <c r="K11" s="39" t="n">
        <v>0.75</v>
      </c>
      <c r="L11" s="40">
        <f>H11*K11</f>
        <v/>
      </c>
      <c r="M11" s="41" t="n"/>
    </row>
    <row r="12">
      <c r="B12" s="36" t="inlineStr">
        <is>
          <t>Apitoria Unit V</t>
        </is>
      </c>
      <c r="C12" s="12" t="inlineStr">
        <is>
          <t>API</t>
        </is>
      </c>
      <c r="D12" s="12" t="inlineStr">
        <is>
          <t>2025</t>
        </is>
      </c>
      <c r="E12" s="37" t="n">
        <v>3</v>
      </c>
      <c r="F12" s="12" t="inlineStr">
        <is>
          <t>VAI / EIR closed</t>
        </is>
      </c>
      <c r="G12" s="12" t="inlineStr">
        <is>
          <t>Inspection closed</t>
        </is>
      </c>
      <c r="H12" s="37" t="n">
        <v>0</v>
      </c>
      <c r="I12" s="12" t="inlineStr">
        <is>
          <t>Not disclosed</t>
        </is>
      </c>
      <c r="J12" s="38" t="n">
        <v>2</v>
      </c>
      <c r="K12" s="39" t="n">
        <v>0.75</v>
      </c>
      <c r="L12" s="40">
        <f>H12*K12</f>
        <v/>
      </c>
      <c r="M12" s="41" t="n"/>
    </row>
    <row r="13">
      <c r="B13" s="36" t="inlineStr">
        <is>
          <t>Eugia Unit I</t>
        </is>
      </c>
      <c r="C13" s="12" t="inlineStr">
        <is>
          <t>Sterile injectables</t>
        </is>
      </c>
      <c r="D13" s="12" t="inlineStr">
        <is>
          <t>Feb 2026</t>
        </is>
      </c>
      <c r="E13" s="37" t="n">
        <v>4</v>
      </c>
      <c r="F13" s="12" t="inlineStr">
        <is>
          <t>OAI + Warning Letter</t>
        </is>
      </c>
      <c r="G13" s="12" t="inlineStr">
        <is>
          <t>Existing supply unchanged</t>
        </is>
      </c>
      <c r="H13" s="37" t="n">
        <v>11</v>
      </c>
      <c r="I13" s="12" t="inlineStr">
        <is>
          <t>~2% group revenue</t>
        </is>
      </c>
      <c r="J13" s="42" t="n">
        <v>5</v>
      </c>
      <c r="K13" s="39" t="n">
        <v>0.15</v>
      </c>
      <c r="L13" s="40">
        <f>H13*K13</f>
        <v/>
      </c>
      <c r="M13" s="41" t="n"/>
    </row>
    <row r="14">
      <c r="B14" s="36" t="inlineStr">
        <is>
          <t>Eugia Unit II</t>
        </is>
      </c>
      <c r="C14" s="12" t="inlineStr">
        <is>
          <t>Sterile injectables</t>
        </is>
      </c>
      <c r="D14" s="12" t="inlineStr">
        <is>
          <t>2025</t>
        </is>
      </c>
      <c r="E14" s="37" t="n">
        <v>9</v>
      </c>
      <c r="F14" s="12" t="inlineStr">
        <is>
          <t>OAI</t>
        </is>
      </c>
      <c r="G14" s="12" t="inlineStr">
        <is>
          <t>New approvals constrained</t>
        </is>
      </c>
      <c r="H14" s="37" t="n">
        <v>1</v>
      </c>
      <c r="I14" s="12" t="inlineStr">
        <is>
          <t>Not disclosed</t>
        </is>
      </c>
      <c r="J14" s="42" t="n">
        <v>5</v>
      </c>
      <c r="K14" s="39" t="n">
        <v>0.15</v>
      </c>
      <c r="L14" s="40">
        <f>H14*K14</f>
        <v/>
      </c>
      <c r="M14" s="41" t="n"/>
    </row>
    <row r="15">
      <c r="B15" s="36" t="inlineStr">
        <is>
          <t>Eugia Unit III</t>
        </is>
      </c>
      <c r="C15" s="12" t="inlineStr">
        <is>
          <t>Sterile injectables</t>
        </is>
      </c>
      <c r="D15" s="12" t="inlineStr">
        <is>
          <t>Jan–Feb 2026</t>
        </is>
      </c>
      <c r="E15" s="37" t="n">
        <v>11</v>
      </c>
      <c r="F15" s="12" t="inlineStr">
        <is>
          <t>OAI</t>
        </is>
      </c>
      <c r="G15" s="12" t="inlineStr">
        <is>
          <t>New approvals constrained</t>
        </is>
      </c>
      <c r="H15" s="37" t="n">
        <v>40</v>
      </c>
      <c r="I15" s="12" t="inlineStr">
        <is>
          <t>Core Eugia site</t>
        </is>
      </c>
      <c r="J15" s="42" t="n">
        <v>5</v>
      </c>
      <c r="K15" s="39" t="n">
        <v>0.15</v>
      </c>
      <c r="L15" s="40">
        <f>H15*K15</f>
        <v/>
      </c>
      <c r="M15" s="41" t="n"/>
    </row>
    <row r="16"/>
    <row r="17"/>
    <row r="18" ht="20" customHeight="1">
      <c r="B18" s="3" t="inlineStr">
        <is>
          <t>PORTFOLIO-LEVEL READ-THROUGH</t>
        </is>
      </c>
    </row>
    <row r="19">
      <c r="B19" s="4" t="inlineStr">
        <is>
          <t>Non-Eugia sites tracked</t>
        </is>
      </c>
      <c r="C19" s="16" t="n">
        <v>7</v>
      </c>
      <c r="D19" s="43" t="inlineStr">
        <is>
          <t>The recent data set spans respiratory/oral/API/peptide sites.</t>
        </is>
      </c>
    </row>
    <row r="20">
      <c r="B20" s="4" t="inlineStr">
        <is>
          <t>Non-Eugia sites at OAI</t>
        </is>
      </c>
      <c r="C20" s="16" t="n">
        <v>0</v>
      </c>
      <c r="D20" s="43" t="inlineStr">
        <is>
          <t>Seymour classification still pending; observations described as procedural.</t>
        </is>
      </c>
    </row>
    <row r="21">
      <c r="B21" s="4" t="inlineStr">
        <is>
          <t>Eugia sites at OAI</t>
        </is>
      </c>
      <c r="C21" s="16" t="n">
        <v>3</v>
      </c>
      <c r="D21" s="43" t="inlineStr">
        <is>
          <t>Sterile bottleneck remains real.</t>
        </is>
      </c>
    </row>
    <row r="22">
      <c r="B22" s="4" t="inlineStr">
        <is>
          <t>Eugia ANDAs under review</t>
        </is>
      </c>
      <c r="C22" s="16" t="n">
        <v>52</v>
      </c>
      <c r="D22" s="43" t="inlineStr">
        <is>
          <t>11 + 1 + 40 based on Q1 presentation.</t>
        </is>
      </c>
    </row>
    <row r="23">
      <c r="B23" s="4" t="inlineStr">
        <is>
          <t>Risk-adjusted Eugia approvals</t>
        </is>
      </c>
      <c r="C23" s="16" t="n">
        <v>7.8</v>
      </c>
      <c r="D23" s="43" t="inlineStr">
        <is>
          <t>52 × 15% release probability; analyst probability.</t>
        </is>
      </c>
    </row>
    <row r="24">
      <c r="B24" s="4" t="inlineStr">
        <is>
          <t>Conclusion</t>
        </is>
      </c>
      <c r="C24" s="44" t="inlineStr">
        <is>
          <t>LESS BUMPY, NOT CLEAR</t>
        </is>
      </c>
      <c r="D24" s="43" t="inlineStr">
        <is>
          <t>The probability of an enterprise-wide quality shock has fallen; the cost is now concentrated in sterile launch timing.</t>
        </is>
      </c>
    </row>
  </sheetData>
  <autoFilter ref="A1:M24"/>
  <mergeCells count="4">
    <mergeCell ref="B4:M4"/>
    <mergeCell ref="A2:M2"/>
    <mergeCell ref="A1:M1"/>
    <mergeCell ref="B18:H18"/>
  </mergeCells>
  <conditionalFormatting sqref="J6:J15">
    <cfRule type="colorScale" priority="1">
      <colorScale>
        <cfvo type="num" val="1"/>
        <cfvo type="num" val="3"/>
        <cfvo type="num" val="5"/>
        <color rgb="0063BE7B"/>
        <color rgb="00FFEB84"/>
        <color rgb="00F8696B"/>
      </colorScale>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L31"/>
  <sheetViews>
    <sheetView showGridLines="0" workbookViewId="0">
      <pane xSplit="6" ySplit="5" topLeftCell="G6"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30" customWidth="1" min="2" max="2"/>
    <col width="18" customWidth="1" min="3" max="3"/>
    <col width="16" customWidth="1" min="4" max="4"/>
    <col width="16" customWidth="1" min="5" max="5"/>
    <col width="16" customWidth="1" min="6" max="6"/>
    <col width="14" customWidth="1" min="7" max="7"/>
    <col width="14" customWidth="1" min="8" max="8"/>
    <col width="14" customWidth="1" min="9" max="9"/>
    <col width="14" customWidth="1" min="10" max="10"/>
    <col width="14" customWidth="1" min="11" max="11"/>
    <col width="22" customWidth="1" min="12" max="12"/>
  </cols>
  <sheetData>
    <row r="1" ht="28" customHeight="1">
      <c r="A1" s="1" t="inlineStr">
        <is>
          <t>RESPIRATORY | LAUNCH EBITDA COVERS THE EUGIA DELAY</t>
        </is>
      </c>
    </row>
    <row r="2" ht="30" customHeight="1">
      <c r="A2" s="2" t="inlineStr">
        <is>
          <t>The model uses disclosed TAMs only for approved products and conservative market shares.</t>
        </is>
      </c>
    </row>
    <row r="3"/>
    <row r="4" ht="20" customHeight="1">
      <c r="B4" s="3" t="inlineStr">
        <is>
          <t>PRODUCT BUILD (US$m)</t>
        </is>
      </c>
    </row>
    <row r="5">
      <c r="B5" s="31" t="inlineStr">
        <is>
          <t>Product</t>
        </is>
      </c>
      <c r="C5" s="31" t="inlineStr">
        <is>
          <t>Status</t>
        </is>
      </c>
      <c r="D5" s="31" t="inlineStr">
        <is>
          <t>Disclosed TAM</t>
        </is>
      </c>
      <c r="E5" s="31" t="inlineStr">
        <is>
          <t>Accessible TAM</t>
        </is>
      </c>
      <c r="F5" s="31" t="inlineStr">
        <is>
          <t>Launch / risk</t>
        </is>
      </c>
      <c r="G5" s="31" t="inlineStr">
        <is>
          <t>FY27E</t>
        </is>
      </c>
      <c r="H5" s="31" t="inlineStr">
        <is>
          <t>FY28E</t>
        </is>
      </c>
      <c r="I5" s="31" t="inlineStr">
        <is>
          <t>FY29E</t>
        </is>
      </c>
      <c r="J5" s="31" t="inlineStr">
        <is>
          <t>FY30E</t>
        </is>
      </c>
      <c r="K5" s="31" t="inlineStr">
        <is>
          <t>FY31E</t>
        </is>
      </c>
      <c r="L5" s="31" t="inlineStr">
        <is>
          <t>Source / basis</t>
        </is>
      </c>
    </row>
    <row r="6">
      <c r="B6" s="45" t="inlineStr">
        <is>
          <t>Generic Advair Diskus</t>
        </is>
      </c>
      <c r="C6" s="32" t="inlineStr">
        <is>
          <t>Launched 31 Aug 2026</t>
        </is>
      </c>
      <c r="D6" s="33" t="n">
        <v>908</v>
      </c>
      <c r="E6" s="34" t="n">
        <v>0.7</v>
      </c>
      <c r="F6" s="32" t="inlineStr">
        <is>
          <t>2 of 3 strengths; multi-player</t>
        </is>
      </c>
      <c r="G6" s="33" t="n">
        <v>10</v>
      </c>
      <c r="H6" s="33" t="n">
        <v>30</v>
      </c>
      <c r="I6" s="33" t="n">
        <v>42</v>
      </c>
      <c r="J6" s="33" t="n">
        <v>48</v>
      </c>
      <c r="K6" s="33" t="n">
        <v>50</v>
      </c>
      <c r="L6" s="32" t="inlineStr">
        <is>
          <t>S14</t>
        </is>
      </c>
    </row>
    <row r="7">
      <c r="B7" s="45" t="inlineStr">
        <is>
          <t>Beclomethasone / QVAR</t>
        </is>
      </c>
      <c r="C7" s="32" t="inlineStr">
        <is>
          <t>Approved 15 Sep 2026</t>
        </is>
      </c>
      <c r="D7" s="33" t="n">
        <v>301</v>
      </c>
      <c r="E7" s="34" t="n">
        <v>0.35</v>
      </c>
      <c r="F7" s="32" t="inlineStr">
        <is>
          <t>Legacy device; RediHaler is distinct</t>
        </is>
      </c>
      <c r="G7" s="33" t="n">
        <v>0</v>
      </c>
      <c r="H7" s="33" t="n">
        <v>12</v>
      </c>
      <c r="I7" s="33" t="n">
        <v>20</v>
      </c>
      <c r="J7" s="33" t="n">
        <v>24</v>
      </c>
      <c r="K7" s="33" t="n">
        <v>27</v>
      </c>
      <c r="L7" s="32" t="inlineStr">
        <is>
          <t>S13</t>
        </is>
      </c>
    </row>
    <row r="8">
      <c r="B8" s="45" t="inlineStr">
        <is>
          <t>Spiriva generic</t>
        </is>
      </c>
      <c r="C8" s="32" t="inlineStr">
        <is>
          <t>In development</t>
        </is>
      </c>
      <c r="D8" s="33" t="n">
        <v>1000</v>
      </c>
      <c r="E8" s="34" t="n">
        <v>0.5</v>
      </c>
      <c r="F8" s="32" t="inlineStr">
        <is>
          <t>Analyst TAM proxy; launch FY29E</t>
        </is>
      </c>
      <c r="G8" s="33" t="n">
        <v>0</v>
      </c>
      <c r="H8" s="33" t="n">
        <v>0</v>
      </c>
      <c r="I8" s="33" t="n">
        <v>16</v>
      </c>
      <c r="J8" s="33" t="n">
        <v>30</v>
      </c>
      <c r="K8" s="33" t="n">
        <v>38</v>
      </c>
      <c r="L8" s="32" t="inlineStr">
        <is>
          <t>S4 + analyst</t>
        </is>
      </c>
    </row>
    <row r="9">
      <c r="B9" s="45" t="inlineStr">
        <is>
          <t>Flovent generic</t>
        </is>
      </c>
      <c r="C9" s="32" t="inlineStr">
        <is>
          <t>In development</t>
        </is>
      </c>
      <c r="D9" s="33" t="n">
        <v>500</v>
      </c>
      <c r="E9" s="34" t="n">
        <v>0.5</v>
      </c>
      <c r="F9" s="32" t="inlineStr">
        <is>
          <t>Analyst TAM proxy; launch FY30E</t>
        </is>
      </c>
      <c r="G9" s="33" t="n">
        <v>0</v>
      </c>
      <c r="H9" s="33" t="n">
        <v>0</v>
      </c>
      <c r="I9" s="33" t="n">
        <v>0</v>
      </c>
      <c r="J9" s="33" t="n">
        <v>10</v>
      </c>
      <c r="K9" s="33" t="n">
        <v>15</v>
      </c>
      <c r="L9" s="32" t="inlineStr">
        <is>
          <t>S4 + analyst</t>
        </is>
      </c>
    </row>
    <row r="10">
      <c r="B10" s="45" t="inlineStr">
        <is>
          <t>Other inhalation</t>
        </is>
      </c>
      <c r="C10" s="32" t="inlineStr">
        <is>
          <t>Pipeline</t>
        </is>
      </c>
      <c r="D10" s="33" t="n">
        <v>0</v>
      </c>
      <c r="E10" s="34" t="n">
        <v>0</v>
      </c>
      <c r="F10" s="32" t="inlineStr">
        <is>
          <t>No value before FY31E</t>
        </is>
      </c>
      <c r="G10" s="33" t="n">
        <v>0</v>
      </c>
      <c r="H10" s="33" t="n">
        <v>0</v>
      </c>
      <c r="I10" s="33" t="n">
        <v>0</v>
      </c>
      <c r="J10" s="33" t="n">
        <v>0</v>
      </c>
      <c r="K10" s="33" t="n">
        <v>2</v>
      </c>
      <c r="L10" s="32" t="inlineStr">
        <is>
          <t>Analyst</t>
        </is>
      </c>
    </row>
    <row r="11">
      <c r="B11" s="4" t="inlineStr">
        <is>
          <t>Respiratory revenue</t>
        </is>
      </c>
      <c r="G11" s="27">
        <f>SUM(G6:G10)</f>
        <v/>
      </c>
      <c r="H11" s="27">
        <f>SUM(H6:H10)</f>
        <v/>
      </c>
      <c r="I11" s="27">
        <f>SUM(I6:I10)</f>
        <v/>
      </c>
      <c r="J11" s="27">
        <f>SUM(J6:J10)</f>
        <v/>
      </c>
      <c r="K11" s="27">
        <f>SUM(K6:K10)</f>
        <v/>
      </c>
    </row>
    <row r="12"/>
    <row r="13"/>
    <row r="14" ht="20" customHeight="1">
      <c r="B14" s="3" t="inlineStr">
        <is>
          <t>EBITDA OFFSET VS EUGIA</t>
        </is>
      </c>
    </row>
    <row r="15">
      <c r="C15" s="22" t="inlineStr">
        <is>
          <t>FY27E</t>
        </is>
      </c>
      <c r="D15" s="22" t="inlineStr">
        <is>
          <t>FY28E</t>
        </is>
      </c>
      <c r="E15" s="22" t="inlineStr">
        <is>
          <t>FY29E</t>
        </is>
      </c>
      <c r="F15" s="22" t="inlineStr">
        <is>
          <t>FY30E</t>
        </is>
      </c>
      <c r="G15" s="22" t="inlineStr">
        <is>
          <t>FY31E</t>
        </is>
      </c>
    </row>
    <row r="16">
      <c r="B16" s="14" t="inlineStr">
        <is>
          <t>Respiratory revenue (US$m)</t>
        </is>
      </c>
      <c r="C16" s="26" t="n">
        <v>10</v>
      </c>
      <c r="D16" s="26" t="n">
        <v>42</v>
      </c>
      <c r="E16" s="26" t="n">
        <v>78</v>
      </c>
      <c r="F16" s="26" t="n">
        <v>112</v>
      </c>
      <c r="G16" s="26" t="n">
        <v>132</v>
      </c>
    </row>
    <row r="17">
      <c r="B17" s="14" t="inlineStr">
        <is>
          <t>Respiratory EBITDA margin</t>
        </is>
      </c>
      <c r="C17" s="24" t="n">
        <v>0.2</v>
      </c>
      <c r="D17" s="24" t="n">
        <v>0.28</v>
      </c>
      <c r="E17" s="24" t="n">
        <v>0.31</v>
      </c>
      <c r="F17" s="24" t="n">
        <v>0.33</v>
      </c>
      <c r="G17" s="24" t="n">
        <v>0.34</v>
      </c>
    </row>
    <row r="18">
      <c r="B18" s="14" t="inlineStr">
        <is>
          <t>Respiratory EBITDA (US$m)</t>
        </is>
      </c>
      <c r="C18" s="29">
        <f>C16*C17</f>
        <v/>
      </c>
      <c r="D18" s="29">
        <f>D16*D17</f>
        <v/>
      </c>
      <c r="E18" s="29">
        <f>E16*E17</f>
        <v/>
      </c>
      <c r="F18" s="29">
        <f>F16*F17</f>
        <v/>
      </c>
      <c r="G18" s="29">
        <f>G16*G17</f>
        <v/>
      </c>
    </row>
    <row r="19">
      <c r="B19" s="14" t="inlineStr">
        <is>
          <t>Eugia EBITDA drag vs unconstrained case (US$m)</t>
        </is>
      </c>
      <c r="C19" s="26" t="n">
        <v>15</v>
      </c>
      <c r="D19" s="26" t="n">
        <v>22</v>
      </c>
      <c r="E19" s="26" t="n">
        <v>20</v>
      </c>
      <c r="F19" s="26" t="n">
        <v>12</v>
      </c>
      <c r="G19" s="26" t="n">
        <v>0</v>
      </c>
    </row>
    <row r="20">
      <c r="B20" s="4" t="inlineStr">
        <is>
          <t>Offset ratio</t>
        </is>
      </c>
      <c r="C20" s="30">
        <f>IFERROR(C18/C19,999%)</f>
        <v/>
      </c>
      <c r="D20" s="30">
        <f>IFERROR(D18/D19,999%)</f>
        <v/>
      </c>
      <c r="E20" s="30">
        <f>IFERROR(E18/E19,999%)</f>
        <v/>
      </c>
      <c r="F20" s="30">
        <f>IFERROR(F18/F19,999%)</f>
        <v/>
      </c>
      <c r="G20" s="30">
        <f>IFERROR(G18/G19,999%)</f>
        <v/>
      </c>
    </row>
    <row r="21">
      <c r="B21" s="4" t="inlineStr">
        <is>
          <t>Net respiratory less Eugia drag (US$m)</t>
        </is>
      </c>
      <c r="C21" s="29">
        <f>C18-C19</f>
        <v/>
      </c>
      <c r="D21" s="29">
        <f>D18-D19</f>
        <v/>
      </c>
      <c r="E21" s="29">
        <f>E18-E19</f>
        <v/>
      </c>
      <c r="F21" s="29">
        <f>F18-F19</f>
        <v/>
      </c>
      <c r="G21" s="29">
        <f>G18-G19</f>
        <v/>
      </c>
    </row>
    <row r="22"/>
    <row r="23"/>
    <row r="24">
      <c r="B24" s="15" t="inlineStr">
        <is>
          <t>Read-through</t>
        </is>
      </c>
      <c r="C24" s="35" t="inlineStr">
        <is>
          <t>Advair contributes first, while QVAR proves Raleigh's MDI platform can clear FDA review. The revenue case gives no credit to undisclosed products before FY31E. Respiratory EBITDA exceeds the estimated sterile approval drag in FY29E; that is the point at which the US mix starts improving even if Eugia remediation is incomplete.</t>
        </is>
      </c>
    </row>
    <row r="25"/>
    <row r="26"/>
    <row r="27"/>
    <row r="28" ht="20" customHeight="1">
      <c r="B28" s="3" t="inlineStr">
        <is>
          <t>DEVICE / RLD CAVEATS</t>
        </is>
      </c>
    </row>
    <row r="29" ht="38" customHeight="1">
      <c r="B29" s="15" t="inlineStr">
        <is>
          <t>QVAR addressability</t>
        </is>
      </c>
      <c r="C29" s="32" t="inlineStr">
        <is>
          <t>Approved beclomethasone aerosol is not the same device as QVAR RediHaler. Base case applies 35% accessibility to the disclosed US$301m combined market.</t>
        </is>
      </c>
    </row>
    <row r="30" ht="38" customHeight="1">
      <c r="B30" s="15" t="inlineStr">
        <is>
          <t>Cipla in-silico read-through</t>
        </is>
      </c>
      <c r="C30" s="32" t="inlineStr">
        <is>
          <t>A model-informed filing route can reduce clinical burden, but it does not establish device substitutability or Aurobindo approval timing for a new RLD case.</t>
        </is>
      </c>
    </row>
    <row r="31" ht="38" customHeight="1">
      <c r="B31" s="15" t="inlineStr">
        <is>
          <t>Manufacturing architecture</t>
        </is>
      </c>
      <c r="C31" s="32" t="inlineStr">
        <is>
          <t>Manager workplan indicates outsourced device components with fill-finish/assembly at Raleigh. Public company material confirms Raleigh manufacturing only; the sourcing split is treated as manager input.</t>
        </is>
      </c>
    </row>
  </sheetData>
  <mergeCells count="9">
    <mergeCell ref="B4:L4"/>
    <mergeCell ref="B14:H14"/>
    <mergeCell ref="A2:L2"/>
    <mergeCell ref="C29:J29"/>
    <mergeCell ref="C30:J30"/>
    <mergeCell ref="C24:H26"/>
    <mergeCell ref="B28:J28"/>
    <mergeCell ref="A1:L1"/>
    <mergeCell ref="C31:J3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L41"/>
  <sheetViews>
    <sheetView showGridLines="0" workbookViewId="0">
      <pane xSplit="2" ySplit="5" topLeftCell="C6"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39" customWidth="1" min="2" max="2"/>
    <col width="15" customWidth="1" min="3" max="3"/>
    <col width="15" customWidth="1" min="4" max="4"/>
    <col width="15" customWidth="1" min="5" max="5"/>
    <col width="15" customWidth="1" min="6" max="6"/>
    <col width="15" customWidth="1" min="7" max="7"/>
    <col width="16" customWidth="1" min="8" max="8"/>
    <col width="18" customWidth="1" min="9" max="9"/>
    <col width="18" customWidth="1" min="10" max="10"/>
    <col width="18" customWidth="1" min="11" max="11"/>
    <col width="20" customWidth="1" min="12" max="12"/>
  </cols>
  <sheetData>
    <row r="1" ht="28" customHeight="1">
      <c r="A1" s="1" t="inlineStr">
        <is>
          <t>PEN-G | VALUE COMES FROM THREE SEPARATE POOLS</t>
        </is>
      </c>
    </row>
    <row r="2" ht="30" customHeight="1">
      <c r="A2" s="2" t="inlineStr">
        <is>
          <t>External sales, captive savings and PLI are shown separately to avoid double counting.</t>
        </is>
      </c>
    </row>
    <row r="3"/>
    <row r="4" ht="20" customHeight="1">
      <c r="B4" s="3" t="inlineStr">
        <is>
          <t>VOLUME, MIX AND ECONOMICS</t>
        </is>
      </c>
    </row>
    <row r="5">
      <c r="C5" s="22" t="inlineStr">
        <is>
          <t>FY27E</t>
        </is>
      </c>
      <c r="D5" s="22" t="inlineStr">
        <is>
          <t>FY28E</t>
        </is>
      </c>
      <c r="E5" s="22" t="inlineStr">
        <is>
          <t>FY29E</t>
        </is>
      </c>
      <c r="F5" s="22" t="inlineStr">
        <is>
          <t>FY30E</t>
        </is>
      </c>
      <c r="G5" s="22" t="inlineStr">
        <is>
          <t>FY31E</t>
        </is>
      </c>
    </row>
    <row r="6">
      <c r="B6" s="14" t="inlineStr">
        <is>
          <t>Installed capacity (MT)</t>
        </is>
      </c>
      <c r="C6" s="46" t="n">
        <v>15000</v>
      </c>
      <c r="D6" s="46" t="n">
        <v>15000</v>
      </c>
      <c r="E6" s="46" t="n">
        <v>15000</v>
      </c>
      <c r="F6" s="46" t="n">
        <v>15000</v>
      </c>
      <c r="G6" s="46" t="n">
        <v>15000</v>
      </c>
    </row>
    <row r="7">
      <c r="B7" s="14" t="inlineStr">
        <is>
          <t>Production (MT)</t>
        </is>
      </c>
      <c r="C7" s="46" t="n">
        <v>10000</v>
      </c>
      <c r="D7" s="46" t="n">
        <v>12000</v>
      </c>
      <c r="E7" s="46" t="n">
        <v>13500</v>
      </c>
      <c r="F7" s="46" t="n">
        <v>14500</v>
      </c>
      <c r="G7" s="46" t="n">
        <v>15000</v>
      </c>
    </row>
    <row r="8">
      <c r="B8" s="14" t="inlineStr">
        <is>
          <t>Utilization</t>
        </is>
      </c>
      <c r="C8" s="30">
        <f>C7/C6</f>
        <v/>
      </c>
      <c r="D8" s="30">
        <f>D7/D6</f>
        <v/>
      </c>
      <c r="E8" s="30">
        <f>E7/E6</f>
        <v/>
      </c>
      <c r="F8" s="30">
        <f>F7/F6</f>
        <v/>
      </c>
      <c r="G8" s="30">
        <f>G7/G6</f>
        <v/>
      </c>
    </row>
    <row r="9">
      <c r="B9" s="14" t="inlineStr">
        <is>
          <t>Captive conversion share</t>
        </is>
      </c>
      <c r="C9" s="24" t="n">
        <v>0.6</v>
      </c>
      <c r="D9" s="24" t="n">
        <v>0.5</v>
      </c>
      <c r="E9" s="24" t="n">
        <v>0.45</v>
      </c>
      <c r="F9" s="24" t="n">
        <v>0.45</v>
      </c>
      <c r="G9" s="24" t="n">
        <v>0.43</v>
      </c>
    </row>
    <row r="10">
      <c r="B10" s="14" t="inlineStr">
        <is>
          <t>Domestic third-party share</t>
        </is>
      </c>
      <c r="C10" s="24" t="n">
        <v>0.25</v>
      </c>
      <c r="D10" s="24" t="n">
        <v>0.3</v>
      </c>
      <c r="E10" s="24" t="n">
        <v>0.3</v>
      </c>
      <c r="F10" s="24" t="n">
        <v>0.3</v>
      </c>
      <c r="G10" s="24" t="n">
        <v>0.32</v>
      </c>
    </row>
    <row r="11">
      <c r="B11" s="14" t="inlineStr">
        <is>
          <t>Export share</t>
        </is>
      </c>
      <c r="C11" s="24" t="n">
        <v>0.15</v>
      </c>
      <c r="D11" s="24" t="n">
        <v>0.2</v>
      </c>
      <c r="E11" s="24" t="n">
        <v>0.25</v>
      </c>
      <c r="F11" s="24" t="n">
        <v>0.25</v>
      </c>
      <c r="G11" s="24" t="n">
        <v>0.25</v>
      </c>
    </row>
    <row r="12">
      <c r="B12" s="14" t="inlineStr">
        <is>
          <t>Mix check</t>
        </is>
      </c>
      <c r="C12" s="30">
        <f>SUM(C9:C11)</f>
        <v/>
      </c>
      <c r="D12" s="30">
        <f>SUM(D9:D11)</f>
        <v/>
      </c>
      <c r="E12" s="30">
        <f>SUM(E9:E11)</f>
        <v/>
      </c>
      <c r="F12" s="30">
        <f>SUM(F9:F11)</f>
        <v/>
      </c>
      <c r="G12" s="30">
        <f>SUM(G9:G11)</f>
        <v/>
      </c>
    </row>
    <row r="13">
      <c r="B13" s="14" t="inlineStr">
        <is>
          <t>Domestic realization (₹/kg)</t>
        </is>
      </c>
      <c r="C13" s="20" t="n">
        <v>2216</v>
      </c>
      <c r="D13" s="20" t="n">
        <v>2216</v>
      </c>
      <c r="E13" s="20" t="n">
        <v>2216</v>
      </c>
      <c r="F13" s="20" t="n">
        <v>2216</v>
      </c>
      <c r="G13" s="20" t="n">
        <v>2216</v>
      </c>
    </row>
    <row r="14">
      <c r="B14" s="14" t="inlineStr">
        <is>
          <t>Export realization (₹/kg)</t>
        </is>
      </c>
      <c r="C14" s="20" t="n">
        <v>1850</v>
      </c>
      <c r="D14" s="20" t="n">
        <v>1850</v>
      </c>
      <c r="E14" s="20" t="n">
        <v>1850</v>
      </c>
      <c r="F14" s="20" t="n">
        <v>1850</v>
      </c>
      <c r="G14" s="20" t="n">
        <v>1850</v>
      </c>
    </row>
    <row r="15">
      <c r="B15" s="4" t="inlineStr">
        <is>
          <t>External revenue (₹cr)</t>
        </is>
      </c>
      <c r="C15" s="28">
        <f>C7*(C10*C13+C11*C14)*1000/10000000</f>
        <v/>
      </c>
      <c r="D15" s="28">
        <f>D7*(D10*D13+D11*D14)*1000/10000000</f>
        <v/>
      </c>
      <c r="E15" s="28">
        <f>E7*(E10*E13+E11*E14)*1000/10000000</f>
        <v/>
      </c>
      <c r="F15" s="28">
        <f>F7*(F10*F13+F11*F14)*1000/10000000</f>
        <v/>
      </c>
      <c r="G15" s="28">
        <f>G7*(G10*G13+G11*G14)*1000/10000000</f>
        <v/>
      </c>
    </row>
    <row r="16">
      <c r="B16" s="14" t="inlineStr">
        <is>
          <t>External operating EBITDA margin</t>
        </is>
      </c>
      <c r="C16" s="24" t="n">
        <v>0.05</v>
      </c>
      <c r="D16" s="24" t="n">
        <v>0.11</v>
      </c>
      <c r="E16" s="24" t="n">
        <v>0.15</v>
      </c>
      <c r="F16" s="24" t="n">
        <v>0.17</v>
      </c>
      <c r="G16" s="24" t="n">
        <v>0.18</v>
      </c>
    </row>
    <row r="17">
      <c r="B17" s="14" t="inlineStr">
        <is>
          <t>External operating EBITDA (₹cr)</t>
        </is>
      </c>
      <c r="C17" s="28">
        <f>C15*C16</f>
        <v/>
      </c>
      <c r="D17" s="28">
        <f>D15*D16</f>
        <v/>
      </c>
      <c r="E17" s="28">
        <f>E15*E16</f>
        <v/>
      </c>
      <c r="F17" s="28">
        <f>F15*F16</f>
        <v/>
      </c>
      <c r="G17" s="28">
        <f>G15*G16</f>
        <v/>
      </c>
    </row>
    <row r="18">
      <c r="B18" s="14" t="inlineStr">
        <is>
          <t>Captive savings (₹/kg)</t>
        </is>
      </c>
      <c r="C18" s="20" t="n">
        <v>300</v>
      </c>
      <c r="D18" s="20" t="n">
        <v>325</v>
      </c>
      <c r="E18" s="20" t="n">
        <v>350</v>
      </c>
      <c r="F18" s="20" t="n">
        <v>375</v>
      </c>
      <c r="G18" s="20" t="n">
        <v>400</v>
      </c>
    </row>
    <row r="19">
      <c r="B19" s="14" t="inlineStr">
        <is>
          <t>Captive savings (₹cr)</t>
        </is>
      </c>
      <c r="C19" s="28">
        <f>C7*C9*C18*1000/10000000</f>
        <v/>
      </c>
      <c r="D19" s="28">
        <f>D7*D9*D18*1000/10000000</f>
        <v/>
      </c>
      <c r="E19" s="28">
        <f>E7*E9*E18*1000/10000000</f>
        <v/>
      </c>
      <c r="F19" s="28">
        <f>F7*F9*F18*1000/10000000</f>
        <v/>
      </c>
      <c r="G19" s="28">
        <f>G7*G9*G18*1000/10000000</f>
        <v/>
      </c>
    </row>
    <row r="20">
      <c r="B20" s="14" t="inlineStr">
        <is>
          <t>PLI rate</t>
        </is>
      </c>
      <c r="C20" s="24" t="n">
        <v>0.2</v>
      </c>
      <c r="D20" s="24" t="n">
        <v>0.15</v>
      </c>
      <c r="E20" s="24" t="n">
        <v>0.05</v>
      </c>
      <c r="F20" s="24" t="n">
        <v>0</v>
      </c>
      <c r="G20" s="24" t="n">
        <v>0</v>
      </c>
    </row>
    <row r="21">
      <c r="B21" s="14" t="inlineStr">
        <is>
          <t>PLI eligible realization (₹/kg)</t>
        </is>
      </c>
      <c r="C21" s="20" t="n">
        <v>1200</v>
      </c>
      <c r="D21" s="20" t="n">
        <v>1200</v>
      </c>
      <c r="E21" s="20" t="n">
        <v>1200</v>
      </c>
      <c r="F21" s="20" t="n">
        <v>1200</v>
      </c>
      <c r="G21" s="20" t="n">
        <v>1200</v>
      </c>
    </row>
    <row r="22">
      <c r="B22" s="14" t="inlineStr">
        <is>
          <t>PLI income (₹cr)</t>
        </is>
      </c>
      <c r="C22" s="28">
        <f>C7*C21*1000/10000000*C20</f>
        <v/>
      </c>
      <c r="D22" s="28">
        <f>D7*D21*1000/10000000*D20</f>
        <v/>
      </c>
      <c r="E22" s="28">
        <f>E7*E21*1000/10000000*E20</f>
        <v/>
      </c>
      <c r="F22" s="28">
        <f>F7*F21*1000/10000000*F20</f>
        <v/>
      </c>
      <c r="G22" s="28">
        <f>G7*G21*1000/10000000*G20</f>
        <v/>
      </c>
    </row>
    <row r="23">
      <c r="B23" s="4" t="inlineStr">
        <is>
          <t>Total EBITDA incl. PLI (₹cr)</t>
        </is>
      </c>
      <c r="C23" s="28">
        <f>C17+C19+C22</f>
        <v/>
      </c>
      <c r="D23" s="28">
        <f>D17+D19+D22</f>
        <v/>
      </c>
      <c r="E23" s="28">
        <f>E17+E19+E22</f>
        <v/>
      </c>
      <c r="F23" s="28">
        <f>F17+F19+F22</f>
        <v/>
      </c>
      <c r="G23" s="28">
        <f>G17+G19+G22</f>
        <v/>
      </c>
    </row>
    <row r="24">
      <c r="B24" s="4" t="inlineStr">
        <is>
          <t>Total EBITDA ex. PLI (₹cr)</t>
        </is>
      </c>
      <c r="C24" s="28">
        <f>C17+C19</f>
        <v/>
      </c>
      <c r="D24" s="28">
        <f>D17+D19</f>
        <v/>
      </c>
      <c r="E24" s="28">
        <f>E17+E19</f>
        <v/>
      </c>
      <c r="F24" s="28">
        <f>F17+F19</f>
        <v/>
      </c>
      <c r="G24" s="28">
        <f>G17+G19</f>
        <v/>
      </c>
    </row>
    <row r="25">
      <c r="B25" s="14" t="inlineStr">
        <is>
          <t>EBITDA ROIC incl. PLI</t>
        </is>
      </c>
      <c r="C25" s="30">
        <f>C23/2270.05</f>
        <v/>
      </c>
      <c r="D25" s="30">
        <f>D23/2270.05</f>
        <v/>
      </c>
      <c r="E25" s="30">
        <f>E23/2270.05</f>
        <v/>
      </c>
      <c r="F25" s="30">
        <f>F23/2270.05</f>
        <v/>
      </c>
      <c r="G25" s="30">
        <f>G23/2270.05</f>
        <v/>
      </c>
    </row>
    <row r="26">
      <c r="B26" s="14" t="inlineStr">
        <is>
          <t>EBITDA ROIC ex. PLI</t>
        </is>
      </c>
      <c r="C26" s="30">
        <f>C24/2270.05</f>
        <v/>
      </c>
      <c r="D26" s="30">
        <f>D24/2270.05</f>
        <v/>
      </c>
      <c r="E26" s="30">
        <f>E24/2270.05</f>
        <v/>
      </c>
      <c r="F26" s="30">
        <f>F24/2270.05</f>
        <v/>
      </c>
      <c r="G26" s="30">
        <f>G24/2270.05</f>
        <v/>
      </c>
    </row>
    <row r="27"/>
    <row r="28"/>
    <row r="29" ht="20" customHeight="1">
      <c r="B29" s="3" t="inlineStr">
        <is>
          <t>PRICE FLOOR AND VERTICAL-INTEGRATION MAP</t>
        </is>
      </c>
    </row>
    <row r="30">
      <c r="B30" s="31" t="inlineStr">
        <is>
          <t>Stage</t>
        </is>
      </c>
      <c r="C30" s="31" t="inlineStr">
        <is>
          <t>Policy / price</t>
        </is>
      </c>
      <c r="D30" s="31" t="inlineStr">
        <is>
          <t>Aurobindo use</t>
        </is>
      </c>
      <c r="E30" s="31" t="inlineStr">
        <is>
          <t>Value mechanism</t>
        </is>
      </c>
      <c r="F30" s="31" t="inlineStr">
        <is>
          <t>Base-case treatment</t>
        </is>
      </c>
      <c r="G30" s="31" t="inlineStr">
        <is>
          <t>Source</t>
        </is>
      </c>
    </row>
    <row r="31" ht="38" customHeight="1">
      <c r="B31" s="45" t="inlineStr">
        <is>
          <t>Penicillin G</t>
        </is>
      </c>
      <c r="C31" s="32" t="inlineStr">
        <is>
          <t>MIP ₹2,216/kg</t>
        </is>
      </c>
      <c r="D31" s="32" t="inlineStr">
        <is>
          <t>External + captive</t>
        </is>
      </c>
      <c r="E31" s="32" t="inlineStr">
        <is>
          <t>Domestic price floor / fermentation yield</t>
        </is>
      </c>
      <c r="F31" s="32" t="inlineStr">
        <is>
          <t>External revenue plus captive savings</t>
        </is>
      </c>
      <c r="G31" s="32" t="inlineStr">
        <is>
          <t>S16</t>
        </is>
      </c>
    </row>
    <row r="32" ht="38" customHeight="1">
      <c r="B32" s="45" t="inlineStr">
        <is>
          <t>6-APA</t>
        </is>
      </c>
      <c r="C32" s="32" t="inlineStr">
        <is>
          <t>MIP ₹3,405/kg</t>
        </is>
      </c>
      <c r="D32" s="32" t="inlineStr">
        <is>
          <t>Captive conversion + export</t>
        </is>
      </c>
      <c r="E32" s="32" t="inlineStr">
        <is>
          <t>Intermediate spread and import substitution</t>
        </is>
      </c>
      <c r="F32" s="32" t="inlineStr">
        <is>
          <t>Included through ₹/kg captive saving</t>
        </is>
      </c>
      <c r="G32" s="32" t="inlineStr">
        <is>
          <t>S16/S4</t>
        </is>
      </c>
    </row>
    <row r="33" ht="38" customHeight="1">
      <c r="B33" s="45" t="inlineStr">
        <is>
          <t>Amoxicillin trihydrate</t>
        </is>
      </c>
      <c r="C33" s="32" t="inlineStr">
        <is>
          <t>MIP ₹2,733/kg</t>
        </is>
      </c>
      <c r="D33" s="32" t="inlineStr">
        <is>
          <t>API / formulations</t>
        </is>
      </c>
      <c r="E33" s="32" t="inlineStr">
        <is>
          <t>Downstream margin and supply security</t>
        </is>
      </c>
      <c r="F33" s="32" t="inlineStr">
        <is>
          <t>No separate revenue credit</t>
        </is>
      </c>
      <c r="G33" s="32" t="inlineStr">
        <is>
          <t>S16</t>
        </is>
      </c>
    </row>
    <row r="34" ht="38" customHeight="1">
      <c r="B34" s="45" t="inlineStr">
        <is>
          <t>Finished dosage</t>
        </is>
      </c>
      <c r="C34" s="32" t="inlineStr">
        <is>
          <t>Market price</t>
        </is>
      </c>
      <c r="D34" s="32" t="inlineStr">
        <is>
          <t>Captive formulations</t>
        </is>
      </c>
      <c r="E34" s="32" t="inlineStr">
        <is>
          <t>Lower input volatility</t>
        </is>
      </c>
      <c r="F34" s="32" t="inlineStr">
        <is>
          <t>Embedded in core margins</t>
        </is>
      </c>
      <c r="G34" s="32" t="inlineStr">
        <is>
          <t>Analyst</t>
        </is>
      </c>
    </row>
    <row r="35"/>
    <row r="36"/>
    <row r="37" ht="20" customHeight="1">
      <c r="B37" s="3" t="inlineStr">
        <is>
          <t>SENSITIVITY | FY30E EBITDA EX-PLI (₹cr)</t>
        </is>
      </c>
    </row>
    <row r="38">
      <c r="B38" s="47" t="inlineStr">
        <is>
          <t>Savings / export price</t>
        </is>
      </c>
      <c r="C38" s="20" t="n">
        <v>1650</v>
      </c>
      <c r="D38" s="20" t="n">
        <v>1850</v>
      </c>
      <c r="E38" s="20" t="n">
        <v>2050</v>
      </c>
    </row>
    <row r="39">
      <c r="B39" s="20" t="n">
        <v>325</v>
      </c>
      <c r="C39" s="20" t="n">
        <v>477.61695</v>
      </c>
      <c r="D39" s="20" t="n">
        <v>489.94195</v>
      </c>
      <c r="E39" s="20" t="n">
        <v>502.26695</v>
      </c>
    </row>
    <row r="40">
      <c r="B40" s="20" t="n">
        <v>375</v>
      </c>
      <c r="C40" s="20" t="n">
        <v>510.24195</v>
      </c>
      <c r="D40" s="20" t="n">
        <v>522.56695</v>
      </c>
      <c r="E40" s="20" t="n">
        <v>534.89195</v>
      </c>
    </row>
    <row r="41">
      <c r="B41" s="20" t="n">
        <v>425</v>
      </c>
      <c r="C41" s="20" t="n">
        <v>542.8669500000001</v>
      </c>
      <c r="D41" s="20" t="n">
        <v>555.19195</v>
      </c>
      <c r="E41" s="20" t="n">
        <v>567.51695</v>
      </c>
    </row>
  </sheetData>
  <mergeCells count="5">
    <mergeCell ref="B29:J29"/>
    <mergeCell ref="A2:L2"/>
    <mergeCell ref="B4:H4"/>
    <mergeCell ref="A1:L1"/>
    <mergeCell ref="B37:H37"/>
  </mergeCell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N33"/>
  <sheetViews>
    <sheetView showGridLines="0" workbookViewId="0">
      <pane xSplit="7" ySplit="5" topLeftCell="H6"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25" customWidth="1" min="2" max="2"/>
    <col width="20" customWidth="1" min="3" max="3"/>
    <col width="18" customWidth="1" min="4" max="4"/>
    <col width="18" customWidth="1" min="5" max="5"/>
    <col width="16" customWidth="1" min="6" max="6"/>
    <col width="16" customWidth="1" min="7" max="7"/>
    <col width="14" customWidth="1" min="8" max="8"/>
    <col width="14" customWidth="1" min="9" max="9"/>
    <col width="14" customWidth="1" min="10" max="10"/>
    <col width="14" customWidth="1" min="11" max="11"/>
    <col width="14" customWidth="1" min="12" max="12"/>
    <col width="20" customWidth="1" min="13" max="13"/>
    <col width="20" customWidth="1" min="14" max="14"/>
  </cols>
  <sheetData>
    <row r="1" ht="28" customHeight="1">
      <c r="A1" s="1" t="inlineStr">
        <is>
          <t>BIOSIMILARS | SECOND WAVE, BUT FIXED-COST ABSORPTION MATTERS</t>
        </is>
      </c>
    </row>
    <row r="2" ht="30" customHeight="1">
      <c r="A2" s="2" t="inlineStr">
        <is>
          <t>Late entry caps share; existing EU infrastructure and completed trials support margin conversion.</t>
        </is>
      </c>
    </row>
    <row r="3"/>
    <row r="4" ht="20" customHeight="1">
      <c r="B4" s="3" t="inlineStr">
        <is>
          <t>MOLECULE-BY-MOLECULE REVENUE BUILD (US$m)</t>
        </is>
      </c>
    </row>
    <row r="5">
      <c r="B5" s="31" t="inlineStr">
        <is>
          <t>Product</t>
        </is>
      </c>
      <c r="C5" s="31" t="inlineStr">
        <is>
          <t>Molecule</t>
        </is>
      </c>
      <c r="D5" s="31" t="inlineStr">
        <is>
          <t>Status</t>
        </is>
      </c>
      <c r="E5" s="31" t="inlineStr">
        <is>
          <t>Route to market</t>
        </is>
      </c>
      <c r="F5" s="31" t="inlineStr">
        <is>
          <t>Base launch</t>
        </is>
      </c>
      <c r="G5" s="31" t="inlineStr">
        <is>
          <t>Probability</t>
        </is>
      </c>
      <c r="H5" s="31" t="inlineStr">
        <is>
          <t>FY27E</t>
        </is>
      </c>
      <c r="I5" s="31" t="inlineStr">
        <is>
          <t>FY28E</t>
        </is>
      </c>
      <c r="J5" s="31" t="inlineStr">
        <is>
          <t>FY29E</t>
        </is>
      </c>
      <c r="K5" s="31" t="inlineStr">
        <is>
          <t>FY30E</t>
        </is>
      </c>
      <c r="L5" s="31" t="inlineStr">
        <is>
          <t>FY31E</t>
        </is>
      </c>
      <c r="M5" s="31" t="inlineStr">
        <is>
          <t>Evidence</t>
        </is>
      </c>
      <c r="N5" s="31" t="inlineStr">
        <is>
          <t>Key risk</t>
        </is>
      </c>
    </row>
    <row r="6" ht="38" customHeight="1">
      <c r="B6" s="45" t="inlineStr">
        <is>
          <t>Bevqolva</t>
        </is>
      </c>
      <c r="C6" s="32" t="inlineStr">
        <is>
          <t>Bevacizumab</t>
        </is>
      </c>
      <c r="D6" s="32" t="inlineStr">
        <is>
          <t>Launched</t>
        </is>
      </c>
      <c r="E6" s="32" t="inlineStr">
        <is>
          <t>Auro / partners</t>
        </is>
      </c>
      <c r="F6" s="32" t="inlineStr">
        <is>
          <t>FY27</t>
        </is>
      </c>
      <c r="G6" s="34" t="n">
        <v>1</v>
      </c>
      <c r="H6" s="33" t="n">
        <v>9</v>
      </c>
      <c r="I6" s="33" t="n">
        <v>16</v>
      </c>
      <c r="J6" s="33" t="n">
        <v>22</v>
      </c>
      <c r="K6" s="33" t="n">
        <v>28</v>
      </c>
      <c r="L6" s="33" t="n">
        <v>32</v>
      </c>
      <c r="M6" s="32" t="inlineStr">
        <is>
          <t>UK/EU/Mexico</t>
        </is>
      </c>
      <c r="N6" s="32" t="inlineStr">
        <is>
          <t>Price and tender share</t>
        </is>
      </c>
    </row>
    <row r="7" ht="38" customHeight="1">
      <c r="B7" s="45" t="inlineStr">
        <is>
          <t>Zefylti</t>
        </is>
      </c>
      <c r="C7" s="32" t="inlineStr">
        <is>
          <t>Filgrastim</t>
        </is>
      </c>
      <c r="D7" s="32" t="inlineStr">
        <is>
          <t>Launched</t>
        </is>
      </c>
      <c r="E7" s="32" t="inlineStr">
        <is>
          <t>Auro / Orion / STADA</t>
        </is>
      </c>
      <c r="F7" s="32" t="inlineStr">
        <is>
          <t>FY27</t>
        </is>
      </c>
      <c r="G7" s="34" t="n">
        <v>1</v>
      </c>
      <c r="H7" s="33" t="n">
        <v>8</v>
      </c>
      <c r="I7" s="33" t="n">
        <v>14</v>
      </c>
      <c r="J7" s="33" t="n">
        <v>20</v>
      </c>
      <c r="K7" s="33" t="n">
        <v>24</v>
      </c>
      <c r="L7" s="33" t="n">
        <v>27</v>
      </c>
      <c r="M7" s="32" t="inlineStr">
        <is>
          <t>UK/EU/Mexico</t>
        </is>
      </c>
      <c r="N7" s="32" t="inlineStr">
        <is>
          <t>Tender timing</t>
        </is>
      </c>
    </row>
    <row r="8" ht="38" customHeight="1">
      <c r="B8" s="45" t="inlineStr">
        <is>
          <t>Dyrupeg</t>
        </is>
      </c>
      <c r="C8" s="32" t="inlineStr">
        <is>
          <t>Pegfilgrastim</t>
        </is>
      </c>
      <c r="D8" s="32" t="inlineStr">
        <is>
          <t>Launched</t>
        </is>
      </c>
      <c r="E8" s="32" t="inlineStr">
        <is>
          <t>Auro / partners</t>
        </is>
      </c>
      <c r="F8" s="32" t="inlineStr">
        <is>
          <t>FY27</t>
        </is>
      </c>
      <c r="G8" s="34" t="n">
        <v>1</v>
      </c>
      <c r="H8" s="33" t="n">
        <v>7</v>
      </c>
      <c r="I8" s="33" t="n">
        <v>13</v>
      </c>
      <c r="J8" s="33" t="n">
        <v>18</v>
      </c>
      <c r="K8" s="33" t="n">
        <v>22</v>
      </c>
      <c r="L8" s="33" t="n">
        <v>25</v>
      </c>
      <c r="M8" s="32" t="inlineStr">
        <is>
          <t>UK/EU/Mexico</t>
        </is>
      </c>
      <c r="N8" s="32" t="inlineStr">
        <is>
          <t>Mature category</t>
        </is>
      </c>
    </row>
    <row r="9" ht="38" customHeight="1">
      <c r="B9" s="45" t="inlineStr">
        <is>
          <t>Dazublys</t>
        </is>
      </c>
      <c r="C9" s="32" t="inlineStr">
        <is>
          <t>Trastuzumab</t>
        </is>
      </c>
      <c r="D9" s="32" t="inlineStr">
        <is>
          <t>Launched</t>
        </is>
      </c>
      <c r="E9" s="32" t="inlineStr">
        <is>
          <t>Auro / partners</t>
        </is>
      </c>
      <c r="F9" s="32" t="inlineStr">
        <is>
          <t>FY27</t>
        </is>
      </c>
      <c r="G9" s="34" t="n">
        <v>1</v>
      </c>
      <c r="H9" s="33" t="n">
        <v>6</v>
      </c>
      <c r="I9" s="33" t="n">
        <v>12</v>
      </c>
      <c r="J9" s="33" t="n">
        <v>20</v>
      </c>
      <c r="K9" s="33" t="n">
        <v>26</v>
      </c>
      <c r="L9" s="33" t="n">
        <v>30</v>
      </c>
      <c r="M9" s="32" t="inlineStr">
        <is>
          <t>UK/EU</t>
        </is>
      </c>
      <c r="N9" s="32" t="inlineStr">
        <is>
          <t>Oncology tender access</t>
        </is>
      </c>
    </row>
    <row r="10" ht="38" customHeight="1">
      <c r="B10" s="45" t="inlineStr">
        <is>
          <t>Denosumab pair</t>
        </is>
      </c>
      <c r="C10" s="32" t="inlineStr">
        <is>
          <t>Denosumab</t>
        </is>
      </c>
      <c r="D10" s="32" t="inlineStr">
        <is>
          <t>Filed EMA</t>
        </is>
      </c>
      <c r="E10" s="32" t="inlineStr">
        <is>
          <t>Auro / partners</t>
        </is>
      </c>
      <c r="F10" s="32" t="inlineStr">
        <is>
          <t>FY28/29</t>
        </is>
      </c>
      <c r="G10" s="34" t="n">
        <v>0.8</v>
      </c>
      <c r="H10" s="33" t="n">
        <v>0</v>
      </c>
      <c r="I10" s="33" t="n">
        <v>10</v>
      </c>
      <c r="J10" s="33" t="n">
        <v>30</v>
      </c>
      <c r="K10" s="33" t="n">
        <v>55</v>
      </c>
      <c r="L10" s="33" t="n">
        <v>70</v>
      </c>
      <c r="M10" s="32" t="inlineStr">
        <is>
          <t>EMA review; US filing planned</t>
        </is>
      </c>
      <c r="N10" s="32" t="inlineStr">
        <is>
          <t>Crowded second wave</t>
        </is>
      </c>
    </row>
    <row r="11" ht="38" customHeight="1">
      <c r="B11" s="45" t="inlineStr">
        <is>
          <t>Omazijev</t>
        </is>
      </c>
      <c r="C11" s="32" t="inlineStr">
        <is>
          <t>Omalizumab</t>
        </is>
      </c>
      <c r="D11" s="32" t="inlineStr">
        <is>
          <t>Phase 3 successful</t>
        </is>
      </c>
      <c r="E11" s="32" t="inlineStr">
        <is>
          <t>Auro / partners</t>
        </is>
      </c>
      <c r="F11" s="32" t="inlineStr">
        <is>
          <t>FY29</t>
        </is>
      </c>
      <c r="G11" s="34" t="n">
        <v>0.75</v>
      </c>
      <c r="H11" s="33" t="n">
        <v>0</v>
      </c>
      <c r="I11" s="33" t="n">
        <v>5</v>
      </c>
      <c r="J11" s="33" t="n">
        <v>25</v>
      </c>
      <c r="K11" s="33" t="n">
        <v>40</v>
      </c>
      <c r="L11" s="33" t="n">
        <v>55</v>
      </c>
      <c r="M11" s="32" t="inlineStr">
        <is>
          <t>EMA filing targeted</t>
        </is>
      </c>
      <c r="N11" s="32" t="inlineStr">
        <is>
          <t>Filing/approval lag</t>
        </is>
      </c>
    </row>
    <row r="12" ht="38" customHeight="1">
      <c r="B12" s="45" t="inlineStr">
        <is>
          <t>BP08</t>
        </is>
      </c>
      <c r="C12" s="32" t="inlineStr">
        <is>
          <t>Tocilizumab</t>
        </is>
      </c>
      <c r="D12" s="32" t="inlineStr">
        <is>
          <t>Pivotal complete</t>
        </is>
      </c>
      <c r="E12" s="32" t="inlineStr">
        <is>
          <t>Partners</t>
        </is>
      </c>
      <c r="F12" s="32" t="inlineStr">
        <is>
          <t>FY29/30</t>
        </is>
      </c>
      <c r="G12" s="34" t="n">
        <v>0.65</v>
      </c>
      <c r="H12" s="33" t="n">
        <v>0</v>
      </c>
      <c r="I12" s="33" t="n">
        <v>0</v>
      </c>
      <c r="J12" s="33" t="n">
        <v>10</v>
      </c>
      <c r="K12" s="33" t="n">
        <v>25</v>
      </c>
      <c r="L12" s="33" t="n">
        <v>35</v>
      </c>
      <c r="M12" s="32" t="inlineStr">
        <is>
          <t>Filing 2027</t>
        </is>
      </c>
      <c r="N12" s="32" t="inlineStr">
        <is>
          <t>Tender competition</t>
        </is>
      </c>
    </row>
    <row r="13" ht="38" customHeight="1">
      <c r="B13" s="45" t="inlineStr">
        <is>
          <t>BP05</t>
        </is>
      </c>
      <c r="C13" s="32" t="inlineStr">
        <is>
          <t>Ranibizumab</t>
        </is>
      </c>
      <c r="D13" s="32" t="inlineStr">
        <is>
          <t>Phase 3 near complete</t>
        </is>
      </c>
      <c r="E13" s="32" t="inlineStr">
        <is>
          <t>Partners</t>
        </is>
      </c>
      <c r="F13" s="32" t="inlineStr">
        <is>
          <t>FY30</t>
        </is>
      </c>
      <c r="G13" s="34" t="n">
        <v>0.6</v>
      </c>
      <c r="H13" s="33" t="n">
        <v>0</v>
      </c>
      <c r="I13" s="33" t="n">
        <v>0</v>
      </c>
      <c r="J13" s="33" t="n">
        <v>8</v>
      </c>
      <c r="K13" s="33" t="n">
        <v>20</v>
      </c>
      <c r="L13" s="33" t="n">
        <v>28</v>
      </c>
      <c r="M13" s="32" t="inlineStr">
        <is>
          <t>Pipeline disclosure</t>
        </is>
      </c>
      <c r="N13" s="32" t="inlineStr">
        <is>
          <t>Ophthalmic competition</t>
        </is>
      </c>
    </row>
    <row r="14" ht="38" customHeight="1">
      <c r="B14" s="45" t="inlineStr">
        <is>
          <t>Other / next wave</t>
        </is>
      </c>
      <c r="C14" s="32" t="inlineStr">
        <is>
          <t>Multiple</t>
        </is>
      </c>
      <c r="D14" s="32" t="inlineStr">
        <is>
          <t>Preclinical / early</t>
        </is>
      </c>
      <c r="E14" s="32" t="inlineStr">
        <is>
          <t>TBD</t>
        </is>
      </c>
      <c r="F14" s="32" t="inlineStr">
        <is>
          <t>FY31+</t>
        </is>
      </c>
      <c r="G14" s="34" t="n">
        <v>0.35</v>
      </c>
      <c r="H14" s="33" t="n">
        <v>5</v>
      </c>
      <c r="I14" s="33" t="n">
        <v>10</v>
      </c>
      <c r="J14" s="33" t="n">
        <v>7</v>
      </c>
      <c r="K14" s="33" t="n">
        <v>20</v>
      </c>
      <c r="L14" s="33" t="n">
        <v>48</v>
      </c>
      <c r="M14" s="32" t="inlineStr">
        <is>
          <t>No molecule-specific credit</t>
        </is>
      </c>
      <c r="N14" s="32" t="inlineStr">
        <is>
          <t>Execution</t>
        </is>
      </c>
    </row>
    <row r="15">
      <c r="B15" s="4" t="inlineStr">
        <is>
          <t>Total revenue</t>
        </is>
      </c>
      <c r="H15" s="27">
        <f>SUM(H6:H14)</f>
        <v/>
      </c>
      <c r="I15" s="27">
        <f>SUM(I6:I14)</f>
        <v/>
      </c>
      <c r="J15" s="27">
        <f>SUM(J6:J14)</f>
        <v/>
      </c>
      <c r="K15" s="27">
        <f>SUM(K6:K14)</f>
        <v/>
      </c>
      <c r="L15" s="27">
        <f>SUM(L6:L14)</f>
        <v/>
      </c>
    </row>
    <row r="16"/>
    <row r="17"/>
    <row r="18" ht="20" customHeight="1">
      <c r="B18" s="3" t="inlineStr">
        <is>
          <t>MARGIN CONVERSION</t>
        </is>
      </c>
    </row>
    <row r="19">
      <c r="C19" s="22" t="inlineStr">
        <is>
          <t>FY27E</t>
        </is>
      </c>
      <c r="D19" s="22" t="inlineStr">
        <is>
          <t>FY28E</t>
        </is>
      </c>
      <c r="E19" s="22" t="inlineStr">
        <is>
          <t>FY29E</t>
        </is>
      </c>
      <c r="F19" s="22" t="inlineStr">
        <is>
          <t>FY30E</t>
        </is>
      </c>
      <c r="G19" s="22" t="inlineStr">
        <is>
          <t>FY31E</t>
        </is>
      </c>
    </row>
    <row r="20">
      <c r="B20" s="14" t="inlineStr">
        <is>
          <t>Revenue (US$m)</t>
        </is>
      </c>
      <c r="C20" s="26" t="n">
        <v>35</v>
      </c>
      <c r="D20" s="26" t="n">
        <v>80</v>
      </c>
      <c r="E20" s="26" t="n">
        <v>160</v>
      </c>
      <c r="F20" s="26" t="n">
        <v>260</v>
      </c>
      <c r="G20" s="26" t="n">
        <v>350</v>
      </c>
    </row>
    <row r="21">
      <c r="B21" s="14" t="inlineStr">
        <is>
          <t>Gross margin</t>
        </is>
      </c>
      <c r="C21" s="24" t="n">
        <v>0.62</v>
      </c>
      <c r="D21" s="24" t="n">
        <v>0.63</v>
      </c>
      <c r="E21" s="24" t="n">
        <v>0.64</v>
      </c>
      <c r="F21" s="24" t="n">
        <v>0.65</v>
      </c>
      <c r="G21" s="24" t="n">
        <v>0.65</v>
      </c>
    </row>
    <row r="22">
      <c r="B22" s="14" t="inlineStr">
        <is>
          <t>Commercial / partner fees</t>
        </is>
      </c>
      <c r="C22" s="24" t="n">
        <v>0.35</v>
      </c>
      <c r="D22" s="24" t="n">
        <v>0.31</v>
      </c>
      <c r="E22" s="24" t="n">
        <v>0.27</v>
      </c>
      <c r="F22" s="24" t="n">
        <v>0.24</v>
      </c>
      <c r="G22" s="24" t="n">
        <v>0.22</v>
      </c>
    </row>
    <row r="23">
      <c r="B23" s="14" t="inlineStr">
        <is>
          <t>R&amp;D / fixed overhead</t>
        </is>
      </c>
      <c r="C23" s="24" t="n">
        <v>0.47</v>
      </c>
      <c r="D23" s="24" t="n">
        <v>0.27</v>
      </c>
      <c r="E23" s="24" t="n">
        <v>0.19</v>
      </c>
      <c r="F23" s="24" t="n">
        <v>0.15</v>
      </c>
      <c r="G23" s="24" t="n">
        <v>0.13</v>
      </c>
    </row>
    <row r="24">
      <c r="B24" s="4" t="inlineStr">
        <is>
          <t>EBITDA margin</t>
        </is>
      </c>
      <c r="C24" s="30">
        <f>C21-C22-C23</f>
        <v/>
      </c>
      <c r="D24" s="30">
        <f>D21-D22-D23</f>
        <v/>
      </c>
      <c r="E24" s="30">
        <f>E21-E22-E23</f>
        <v/>
      </c>
      <c r="F24" s="30">
        <f>F21-F22-F23</f>
        <v/>
      </c>
      <c r="G24" s="30">
        <f>G21-G22-G23</f>
        <v/>
      </c>
    </row>
    <row r="25">
      <c r="B25" s="14" t="inlineStr">
        <is>
          <t>EBITDA (US$m)</t>
        </is>
      </c>
      <c r="C25" s="29">
        <f>C20*C24</f>
        <v/>
      </c>
      <c r="D25" s="29">
        <f>D20*D24</f>
        <v/>
      </c>
      <c r="E25" s="29">
        <f>E20*E24</f>
        <v/>
      </c>
      <c r="F25" s="29">
        <f>F20*F24</f>
        <v/>
      </c>
      <c r="G25" s="29">
        <f>G20*G24</f>
        <v/>
      </c>
    </row>
    <row r="26">
      <c r="B26" s="4" t="inlineStr">
        <is>
          <t>EBITDA (₹cr)</t>
        </is>
      </c>
      <c r="C26" s="28">
        <f>C25*'08_Financials'!D5/10</f>
        <v/>
      </c>
      <c r="D26" s="28">
        <f>D25*'08_Financials'!E5/10</f>
        <v/>
      </c>
      <c r="E26" s="28">
        <f>E25*'08_Financials'!F5/10</f>
        <v/>
      </c>
      <c r="F26" s="28">
        <f>F25*'08_Financials'!G5/10</f>
        <v/>
      </c>
      <c r="G26" s="28">
        <f>G25*'08_Financials'!H5/10</f>
        <v/>
      </c>
    </row>
    <row r="27">
      <c r="B27" s="14" t="inlineStr">
        <is>
          <t>Clinical/R&amp;D spend (₹cr)</t>
        </is>
      </c>
      <c r="C27" s="20" t="n">
        <v>525</v>
      </c>
      <c r="D27" s="20" t="n">
        <v>450</v>
      </c>
      <c r="E27" s="20" t="n">
        <v>420</v>
      </c>
      <c r="F27" s="20" t="n">
        <v>400</v>
      </c>
      <c r="G27" s="20" t="n">
        <v>420</v>
      </c>
    </row>
    <row r="28"/>
    <row r="29"/>
    <row r="30">
      <c r="B30" s="15" t="inlineStr">
        <is>
          <t>Why second-wave can still work</t>
        </is>
      </c>
      <c r="C30" s="35" t="inlineStr">
        <is>
          <t>The model does not assume premium share. It assumes tenders convert over two to three quarters, partner fees remain high and US entries are late. The return improves because four launched products and the next four programs share development, manufacturing and commercial infrastructure. FDA data show a crowded denosumab field [S18], so the investment case depends on cost absorption rather than first-mover pricing.</t>
        </is>
      </c>
    </row>
    <row r="31"/>
    <row r="32"/>
    <row r="33"/>
  </sheetData>
  <mergeCells count="5">
    <mergeCell ref="C30:H33"/>
    <mergeCell ref="B18:H18"/>
    <mergeCell ref="B4:N4"/>
    <mergeCell ref="A2:N2"/>
    <mergeCell ref="A1:N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K25"/>
  <sheetViews>
    <sheetView showGridLines="0" workbookViewId="0">
      <pane xSplit="2" ySplit="5" topLeftCell="C6"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39" customWidth="1" min="2" max="2"/>
    <col width="15" customWidth="1" min="3" max="3"/>
    <col width="15" customWidth="1" min="4" max="4"/>
    <col width="15" customWidth="1" min="5" max="5"/>
    <col width="15" customWidth="1" min="6" max="6"/>
    <col width="15" customWidth="1" min="7" max="7"/>
    <col width="20" customWidth="1" min="8" max="8"/>
    <col width="22" customWidth="1" min="9" max="9"/>
    <col width="22" customWidth="1" min="10" max="10"/>
    <col width="22" customWidth="1" min="11" max="11"/>
  </cols>
  <sheetData>
    <row r="1" ht="28" customHeight="1">
      <c r="A1" s="1" t="inlineStr">
        <is>
          <t>US DERMATOLOGY | TWO PRODUCTS AMORTIZE THE FIELD PLATFORM</t>
        </is>
      </c>
    </row>
    <row r="2" ht="30" customHeight="1">
      <c r="A2" s="2" t="inlineStr">
        <is>
          <t>ADQUEY is disclosed. Product two is kept as an unnamed hurdle case until the company identifies it.</t>
        </is>
      </c>
    </row>
    <row r="3"/>
    <row r="4" ht="20" customHeight="1">
      <c r="B4" s="3" t="inlineStr">
        <is>
          <t>PROFITABILITY BUILD (US$m)</t>
        </is>
      </c>
    </row>
    <row r="5">
      <c r="C5" s="22" t="inlineStr">
        <is>
          <t>FY27E</t>
        </is>
      </c>
      <c r="D5" s="22" t="inlineStr">
        <is>
          <t>FY28E</t>
        </is>
      </c>
      <c r="E5" s="22" t="inlineStr">
        <is>
          <t>FY29E</t>
        </is>
      </c>
      <c r="F5" s="22" t="inlineStr">
        <is>
          <t>FY30E</t>
        </is>
      </c>
      <c r="G5" s="22" t="inlineStr">
        <is>
          <t>FY31E</t>
        </is>
      </c>
    </row>
    <row r="6">
      <c r="B6" s="14" t="inlineStr">
        <is>
          <t>ADQUEY net sales</t>
        </is>
      </c>
      <c r="C6" s="26" t="n">
        <v>8</v>
      </c>
      <c r="D6" s="26" t="n">
        <v>35</v>
      </c>
      <c r="E6" s="26" t="n">
        <v>60</v>
      </c>
      <c r="F6" s="26" t="n">
        <v>85</v>
      </c>
      <c r="G6" s="26" t="n">
        <v>105</v>
      </c>
    </row>
    <row r="7">
      <c r="B7" s="14" t="inlineStr">
        <is>
          <t>Pipeline product 2 sales</t>
        </is>
      </c>
      <c r="C7" s="26" t="n">
        <v>0</v>
      </c>
      <c r="D7" s="26" t="n">
        <v>0</v>
      </c>
      <c r="E7" s="26" t="n">
        <v>15</v>
      </c>
      <c r="F7" s="26" t="n">
        <v>40</v>
      </c>
      <c r="G7" s="26" t="n">
        <v>65</v>
      </c>
    </row>
    <row r="8">
      <c r="B8" s="4" t="inlineStr">
        <is>
          <t>Total dermatology sales</t>
        </is>
      </c>
      <c r="C8" s="27">
        <f>SUM(C6:C7)</f>
        <v/>
      </c>
      <c r="D8" s="27">
        <f>SUM(D6:D7)</f>
        <v/>
      </c>
      <c r="E8" s="27">
        <f>SUM(E6:E7)</f>
        <v/>
      </c>
      <c r="F8" s="27">
        <f>SUM(F6:F7)</f>
        <v/>
      </c>
      <c r="G8" s="27">
        <f>SUM(G6:G7)</f>
        <v/>
      </c>
    </row>
    <row r="9">
      <c r="B9" s="14" t="inlineStr">
        <is>
          <t>Contribution margin after COGS/royalty/rebates</t>
        </is>
      </c>
      <c r="C9" s="24" t="n">
        <v>0.58</v>
      </c>
      <c r="D9" s="24" t="n">
        <v>0.58</v>
      </c>
      <c r="E9" s="24" t="n">
        <v>0.58</v>
      </c>
      <c r="F9" s="24" t="n">
        <v>0.58</v>
      </c>
      <c r="G9" s="24" t="n">
        <v>0.58</v>
      </c>
    </row>
    <row r="10">
      <c r="B10" s="14" t="inlineStr">
        <is>
          <t>Contribution profit</t>
        </is>
      </c>
      <c r="C10" s="29">
        <f>C8*C9</f>
        <v/>
      </c>
      <c r="D10" s="29">
        <f>D8*D9</f>
        <v/>
      </c>
      <c r="E10" s="29">
        <f>E8*E9</f>
        <v/>
      </c>
      <c r="F10" s="29">
        <f>F8*F9</f>
        <v/>
      </c>
      <c r="G10" s="29">
        <f>G8*G9</f>
        <v/>
      </c>
    </row>
    <row r="11">
      <c r="B11" s="14" t="inlineStr">
        <is>
          <t>Fixed commercial / medical cost</t>
        </is>
      </c>
      <c r="C11" s="26" t="n">
        <v>25</v>
      </c>
      <c r="D11" s="26" t="n">
        <v>31</v>
      </c>
      <c r="E11" s="26" t="n">
        <v>38</v>
      </c>
      <c r="F11" s="26" t="n">
        <v>42</v>
      </c>
      <c r="G11" s="26" t="n">
        <v>46</v>
      </c>
    </row>
    <row r="12">
      <c r="B12" s="4" t="inlineStr">
        <is>
          <t>EBITDA</t>
        </is>
      </c>
      <c r="C12" s="29">
        <f>C10-C11</f>
        <v/>
      </c>
      <c r="D12" s="29">
        <f>D10-D11</f>
        <v/>
      </c>
      <c r="E12" s="29">
        <f>E10-E11</f>
        <v/>
      </c>
      <c r="F12" s="29">
        <f>F10-F11</f>
        <v/>
      </c>
      <c r="G12" s="29">
        <f>G10-G11</f>
        <v/>
      </c>
    </row>
    <row r="13">
      <c r="B13" s="14" t="inlineStr">
        <is>
          <t>Break-even revenue</t>
        </is>
      </c>
      <c r="C13" s="29">
        <f>C11/C9</f>
        <v/>
      </c>
      <c r="D13" s="29">
        <f>D11/D9</f>
        <v/>
      </c>
      <c r="E13" s="29">
        <f>E11/E9</f>
        <v/>
      </c>
      <c r="F13" s="29">
        <f>F11/F9</f>
        <v/>
      </c>
      <c r="G13" s="29">
        <f>G11/G9</f>
        <v/>
      </c>
    </row>
    <row r="14">
      <c r="B14" s="4" t="inlineStr">
        <is>
          <t>Product 2 sales required for break-even</t>
        </is>
      </c>
      <c r="C14" s="29">
        <f>MAX(0,C13-C6)</f>
        <v/>
      </c>
      <c r="D14" s="29">
        <f>MAX(0,D13-D6)</f>
        <v/>
      </c>
      <c r="E14" s="29">
        <f>MAX(0,E13-E6)</f>
        <v/>
      </c>
      <c r="F14" s="29">
        <f>MAX(0,F13-F6)</f>
        <v/>
      </c>
      <c r="G14" s="29">
        <f>MAX(0,G13-G6)</f>
        <v/>
      </c>
    </row>
    <row r="15">
      <c r="B15" s="14" t="inlineStr">
        <is>
          <t>EBITDA margin</t>
        </is>
      </c>
      <c r="C15" s="30">
        <f>IFERROR(C12/C8,0)</f>
        <v/>
      </c>
      <c r="D15" s="30">
        <f>IFERROR(D12/D8,0)</f>
        <v/>
      </c>
      <c r="E15" s="30">
        <f>IFERROR(E12/E8,0)</f>
        <v/>
      </c>
      <c r="F15" s="30">
        <f>IFERROR(F12/F8,0)</f>
        <v/>
      </c>
      <c r="G15" s="30">
        <f>IFERROR(G12/G8,0)</f>
        <v/>
      </c>
    </row>
    <row r="16"/>
    <row r="17"/>
    <row r="18"/>
    <row r="19" ht="20" customHeight="1">
      <c r="B19" s="3" t="inlineStr">
        <is>
          <t>DISCLOSURE STATUS AND INVESTMENT TEST</t>
        </is>
      </c>
    </row>
    <row r="20">
      <c r="B20" s="45" t="inlineStr">
        <is>
          <t>Launched product</t>
        </is>
      </c>
      <c r="C20" s="32" t="inlineStr">
        <is>
          <t>ADQUEY (difamilast 1% ointment)</t>
        </is>
      </c>
      <c r="D20" s="32" t="inlineStr">
        <is>
          <t>Publicly verified [S19/S20]</t>
        </is>
      </c>
    </row>
    <row r="21">
      <c r="B21" s="45" t="inlineStr">
        <is>
          <t>Indication</t>
        </is>
      </c>
      <c r="C21" s="32" t="inlineStr">
        <is>
          <t>Mild-to-moderate atopic dermatitis, age 2+</t>
        </is>
      </c>
      <c r="D21" s="32" t="inlineStr">
        <is>
          <t>Publicly verified</t>
        </is>
      </c>
    </row>
    <row r="22">
      <c r="B22" s="45" t="inlineStr">
        <is>
          <t>Addressable market</t>
        </is>
      </c>
      <c r="C22" s="32" t="inlineStr">
        <is>
          <t>$1.3bn MAT July 2026</t>
        </is>
      </c>
      <c r="D22" s="32" t="inlineStr">
        <is>
          <t>Company / IQVIA disclosure</t>
        </is>
      </c>
    </row>
    <row r="23">
      <c r="B23" s="45" t="inlineStr">
        <is>
          <t>Second product</t>
        </is>
      </c>
      <c r="C23" s="48" t="inlineStr">
        <is>
          <t>UNDISCLOSED</t>
        </is>
      </c>
      <c r="D23" s="32" t="inlineStr">
        <is>
          <t>Do not name or assign molecule without company confirmation</t>
        </is>
      </c>
    </row>
    <row r="24">
      <c r="B24" s="45" t="inlineStr">
        <is>
          <t>FY29 break-even hurdle</t>
        </is>
      </c>
      <c r="C24" s="32" t="inlineStr">
        <is>
          <t>US$5.5m second-product sales</t>
        </is>
      </c>
      <c r="D24" s="32" t="inlineStr">
        <is>
          <t>Formula: fixed cost / contribution margin - ADQUEY sales</t>
        </is>
      </c>
    </row>
    <row r="25">
      <c r="B25" s="45" t="inlineStr">
        <is>
          <t>FY29 no-product-2 EBITDA</t>
        </is>
      </c>
      <c r="C25" s="32" t="inlineStr">
        <is>
          <t>US$-3.2m</t>
        </is>
      </c>
      <c r="D25" s="32" t="inlineStr">
        <is>
          <t>Shows the downside is bounded if ADQUEY reaches US$60m</t>
        </is>
      </c>
    </row>
  </sheetData>
  <mergeCells count="4">
    <mergeCell ref="A2:K2"/>
    <mergeCell ref="B4:H4"/>
    <mergeCell ref="B19:I19"/>
    <mergeCell ref="A1:K1"/>
  </mergeCell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J51"/>
  <sheetViews>
    <sheetView showGridLines="0" workbookViewId="0">
      <pane xSplit="2" ySplit="3" topLeftCell="C4"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39" customWidth="1" min="2" max="2"/>
    <col width="15" customWidth="1" min="3" max="3"/>
    <col width="15" customWidth="1" min="4" max="4"/>
    <col width="15" customWidth="1" min="5" max="5"/>
    <col width="15" customWidth="1" min="6" max="6"/>
    <col width="15" customWidth="1" min="7" max="7"/>
    <col width="15" customWidth="1" min="8" max="8"/>
    <col width="18" customWidth="1" min="9" max="9"/>
    <col width="20" customWidth="1" min="10" max="10"/>
  </cols>
  <sheetData>
    <row r="1" ht="28" customHeight="1">
      <c r="A1" s="1" t="inlineStr">
        <is>
          <t>CONSOLIDATED FINANCIALS | THE REVISION ARRIVES AFTER FY27</t>
        </is>
      </c>
    </row>
    <row r="2" ht="30" customHeight="1">
      <c r="A2" s="2" t="inlineStr">
        <is>
          <t>Catalyst revenue is separated from core segments to prevent double counting.</t>
        </is>
      </c>
    </row>
    <row r="3"/>
    <row r="4">
      <c r="C4" s="22" t="inlineStr">
        <is>
          <t>FY26A</t>
        </is>
      </c>
      <c r="D4" s="22" t="inlineStr">
        <is>
          <t>FY27E</t>
        </is>
      </c>
      <c r="E4" s="22" t="inlineStr">
        <is>
          <t>FY28E</t>
        </is>
      </c>
      <c r="F4" s="22" t="inlineStr">
        <is>
          <t>FY29E</t>
        </is>
      </c>
      <c r="G4" s="22" t="inlineStr">
        <is>
          <t>FY30E</t>
        </is>
      </c>
      <c r="H4" s="22" t="inlineStr">
        <is>
          <t>FY31E</t>
        </is>
      </c>
    </row>
    <row r="5">
      <c r="B5" s="4" t="inlineStr">
        <is>
          <t>INR/US$</t>
        </is>
      </c>
      <c r="C5" s="21" t="n">
        <v>90</v>
      </c>
      <c r="D5" s="21" t="n">
        <v>94.5</v>
      </c>
      <c r="E5" s="21" t="n">
        <v>95.5</v>
      </c>
      <c r="F5" s="21" t="n">
        <v>96.5</v>
      </c>
      <c r="G5" s="21" t="n">
        <v>97.5</v>
      </c>
      <c r="H5" s="21" t="n">
        <v>98.5</v>
      </c>
    </row>
    <row r="6"/>
    <row r="7" ht="20" customHeight="1">
      <c r="B7" s="3" t="inlineStr">
        <is>
          <t>REVENUE BY BUSINESS</t>
        </is>
      </c>
    </row>
    <row r="8">
      <c r="B8" s="14" t="inlineStr">
        <is>
          <t>US core</t>
        </is>
      </c>
      <c r="C8" s="20" t="n">
        <v>14408</v>
      </c>
      <c r="D8" s="20" t="n">
        <v>14408</v>
      </c>
      <c r="E8" s="20" t="n">
        <v>14984.32</v>
      </c>
      <c r="F8" s="20" t="n">
        <v>15583.69</v>
      </c>
      <c r="G8" s="20" t="n">
        <v>16207.04</v>
      </c>
      <c r="H8" s="20" t="n">
        <v>16855.32</v>
      </c>
    </row>
    <row r="9">
      <c r="B9" s="14" t="inlineStr">
        <is>
          <t>Lannett</t>
        </is>
      </c>
      <c r="C9" s="20" t="n">
        <v>0</v>
      </c>
      <c r="D9" s="28">
        <f>'02_Lannett'!C23</f>
        <v/>
      </c>
      <c r="E9" s="28">
        <f>'02_Lannett'!D23</f>
        <v/>
      </c>
      <c r="F9" s="28">
        <f>'02_Lannett'!E23</f>
        <v/>
      </c>
      <c r="G9" s="28">
        <f>'02_Lannett'!F23</f>
        <v/>
      </c>
      <c r="H9" s="28">
        <f>'02_Lannett'!G23</f>
        <v/>
      </c>
    </row>
    <row r="10">
      <c r="B10" s="14" t="inlineStr">
        <is>
          <t>Respiratory</t>
        </is>
      </c>
      <c r="C10" s="20" t="n">
        <v>0</v>
      </c>
      <c r="D10" s="28">
        <f>'04_Resp_Eugia'!C16*D$5/10</f>
        <v/>
      </c>
      <c r="E10" s="28">
        <f>'04_Resp_Eugia'!D16*E$5/10</f>
        <v/>
      </c>
      <c r="F10" s="28">
        <f>'04_Resp_Eugia'!E16*F$5/10</f>
        <v/>
      </c>
      <c r="G10" s="28">
        <f>'04_Resp_Eugia'!F16*G$5/10</f>
        <v/>
      </c>
      <c r="H10" s="28">
        <f>'04_Resp_Eugia'!G16*H$5/10</f>
        <v/>
      </c>
    </row>
    <row r="11">
      <c r="B11" s="14" t="inlineStr">
        <is>
          <t>US dermatology</t>
        </is>
      </c>
      <c r="C11" s="20" t="n">
        <v>0</v>
      </c>
      <c r="D11" s="28">
        <f>'07_Dermatology'!C8*D$5/10</f>
        <v/>
      </c>
      <c r="E11" s="28">
        <f>'07_Dermatology'!D8*E$5/10</f>
        <v/>
      </c>
      <c r="F11" s="28">
        <f>'07_Dermatology'!E8*F$5/10</f>
        <v/>
      </c>
      <c r="G11" s="28">
        <f>'07_Dermatology'!F8*G$5/10</f>
        <v/>
      </c>
      <c r="H11" s="28">
        <f>'07_Dermatology'!G8*H$5/10</f>
        <v/>
      </c>
    </row>
    <row r="12">
      <c r="B12" s="14" t="inlineStr">
        <is>
          <t>Europe core</t>
        </is>
      </c>
      <c r="C12" s="20" t="n">
        <v>10315</v>
      </c>
      <c r="D12" s="20" t="n">
        <v>11243.35</v>
      </c>
      <c r="E12" s="20" t="n">
        <v>12142.82</v>
      </c>
      <c r="F12" s="20" t="n">
        <v>13114.25</v>
      </c>
      <c r="G12" s="20" t="n">
        <v>14032.25</v>
      </c>
      <c r="H12" s="20" t="n">
        <v>14874.18</v>
      </c>
    </row>
    <row r="13">
      <c r="B13" s="14" t="inlineStr">
        <is>
          <t>Biosimilars</t>
        </is>
      </c>
      <c r="C13" s="20" t="n">
        <v>0</v>
      </c>
      <c r="D13" s="28">
        <f>'06_Biosimilars'!C20*D$5/10</f>
        <v/>
      </c>
      <c r="E13" s="28">
        <f>'06_Biosimilars'!D20*E$5/10</f>
        <v/>
      </c>
      <c r="F13" s="28">
        <f>'06_Biosimilars'!E20*F$5/10</f>
        <v/>
      </c>
      <c r="G13" s="28">
        <f>'06_Biosimilars'!F20*G$5/10</f>
        <v/>
      </c>
      <c r="H13" s="28">
        <f>'06_Biosimilars'!G20*H$5/10</f>
        <v/>
      </c>
    </row>
    <row r="14">
      <c r="B14" s="14" t="inlineStr">
        <is>
          <t>Growth Markets</t>
        </is>
      </c>
      <c r="C14" s="20" t="n">
        <v>3499</v>
      </c>
      <c r="D14" s="20" t="n">
        <v>4023.85</v>
      </c>
      <c r="E14" s="20" t="n">
        <v>4506.71</v>
      </c>
      <c r="F14" s="20" t="n">
        <v>5047.51</v>
      </c>
      <c r="G14" s="20" t="n">
        <v>5552.26</v>
      </c>
      <c r="H14" s="20" t="n">
        <v>5996.44</v>
      </c>
    </row>
    <row r="15">
      <c r="B15" s="14" t="inlineStr">
        <is>
          <t>ARV</t>
        </is>
      </c>
      <c r="C15" s="20" t="n">
        <v>1384</v>
      </c>
      <c r="D15" s="20" t="n">
        <v>1453.2</v>
      </c>
      <c r="E15" s="20" t="n">
        <v>1511.33</v>
      </c>
      <c r="F15" s="20" t="n">
        <v>1556.67</v>
      </c>
      <c r="G15" s="20" t="n">
        <v>1603.37</v>
      </c>
      <c r="H15" s="20" t="n">
        <v>1651.47</v>
      </c>
    </row>
    <row r="16">
      <c r="B16" s="14" t="inlineStr">
        <is>
          <t>API ex-Pen-G</t>
        </is>
      </c>
      <c r="C16" s="20" t="n">
        <v>3850</v>
      </c>
      <c r="D16" s="20" t="n">
        <v>3965.5</v>
      </c>
      <c r="E16" s="20" t="n">
        <v>4084.47</v>
      </c>
      <c r="F16" s="20" t="n">
        <v>4207.01</v>
      </c>
      <c r="G16" s="20" t="n">
        <v>4333.22</v>
      </c>
      <c r="H16" s="20" t="n">
        <v>4463.21</v>
      </c>
    </row>
    <row r="17">
      <c r="B17" s="14" t="inlineStr">
        <is>
          <t>Pen-G external</t>
        </is>
      </c>
      <c r="C17" s="20" t="n">
        <v>197</v>
      </c>
      <c r="D17" s="28">
        <f>'05_PenG'!C15</f>
        <v/>
      </c>
      <c r="E17" s="28">
        <f>'05_PenG'!D15</f>
        <v/>
      </c>
      <c r="F17" s="28">
        <f>'05_PenG'!E15</f>
        <v/>
      </c>
      <c r="G17" s="28">
        <f>'05_PenG'!F15</f>
        <v/>
      </c>
      <c r="H17" s="28">
        <f>'05_PenG'!G15</f>
        <v/>
      </c>
    </row>
    <row r="18">
      <c r="B18" s="15" t="inlineStr">
        <is>
          <t>Revenue</t>
        </is>
      </c>
      <c r="C18" s="28">
        <f>SUM(C8:C17)</f>
        <v/>
      </c>
      <c r="D18" s="28">
        <f>SUM(D8:D17)</f>
        <v/>
      </c>
      <c r="E18" s="28">
        <f>SUM(E8:E17)</f>
        <v/>
      </c>
      <c r="F18" s="28">
        <f>SUM(F8:F17)</f>
        <v/>
      </c>
      <c r="G18" s="28">
        <f>SUM(G8:G17)</f>
        <v/>
      </c>
      <c r="H18" s="28">
        <f>SUM(H8:H17)</f>
        <v/>
      </c>
    </row>
    <row r="19">
      <c r="B19" s="14" t="inlineStr">
        <is>
          <t>YoY growth</t>
        </is>
      </c>
      <c r="C19" s="6" t="inlineStr">
        <is>
          <t>–</t>
        </is>
      </c>
      <c r="D19" s="49">
        <f>D18/C18-1</f>
        <v/>
      </c>
      <c r="E19" s="49">
        <f>E18/D18-1</f>
        <v/>
      </c>
      <c r="F19" s="49">
        <f>F18/E18-1</f>
        <v/>
      </c>
      <c r="G19" s="49">
        <f>G18/F18-1</f>
        <v/>
      </c>
      <c r="H19" s="49">
        <f>H18/G18-1</f>
        <v/>
      </c>
    </row>
    <row r="20"/>
    <row r="21"/>
    <row r="22" ht="20" customHeight="1">
      <c r="B22" s="3" t="inlineStr">
        <is>
          <t>EBITDA BY BUSINESS</t>
        </is>
      </c>
    </row>
    <row r="23">
      <c r="B23" s="14" t="inlineStr">
        <is>
          <t>US core</t>
        </is>
      </c>
      <c r="C23" s="6" t="inlineStr">
        <is>
          <t>–</t>
        </is>
      </c>
      <c r="D23" s="20" t="n">
        <v>3429.104</v>
      </c>
      <c r="E23" s="20" t="n">
        <v>3596.2368</v>
      </c>
      <c r="F23" s="20" t="n">
        <v>3786.83667</v>
      </c>
      <c r="G23" s="20" t="n">
        <v>3970.7248</v>
      </c>
      <c r="H23" s="20" t="n">
        <v>4129.5534</v>
      </c>
    </row>
    <row r="24">
      <c r="B24" s="14" t="inlineStr">
        <is>
          <t>Lannett</t>
        </is>
      </c>
      <c r="C24" s="6" t="inlineStr">
        <is>
          <t>–</t>
        </is>
      </c>
      <c r="D24" s="20" t="n">
        <v>204.12</v>
      </c>
      <c r="E24" s="20" t="n">
        <v>404.92</v>
      </c>
      <c r="F24" s="20" t="n">
        <v>559.2175</v>
      </c>
      <c r="G24" s="20" t="n">
        <v>675.675</v>
      </c>
      <c r="H24" s="20" t="n">
        <v>747.615</v>
      </c>
    </row>
    <row r="25">
      <c r="B25" s="14" t="inlineStr">
        <is>
          <t>Respiratory</t>
        </is>
      </c>
      <c r="C25" s="6" t="inlineStr">
        <is>
          <t>–</t>
        </is>
      </c>
      <c r="D25" s="20" t="n">
        <v>18.9</v>
      </c>
      <c r="E25" s="20" t="n">
        <v>112.308</v>
      </c>
      <c r="F25" s="20" t="n">
        <v>233.337</v>
      </c>
      <c r="G25" s="20" t="n">
        <v>360.36</v>
      </c>
      <c r="H25" s="20" t="n">
        <v>442.068</v>
      </c>
    </row>
    <row r="26">
      <c r="B26" s="14" t="inlineStr">
        <is>
          <t>US dermatology</t>
        </is>
      </c>
      <c r="C26" s="6" t="inlineStr">
        <is>
          <t>–</t>
        </is>
      </c>
      <c r="D26" s="20" t="n">
        <v>-192.78</v>
      </c>
      <c r="E26" s="20" t="n">
        <v>-102.185</v>
      </c>
      <c r="F26" s="20" t="n">
        <v>53.075</v>
      </c>
      <c r="G26" s="20" t="n">
        <v>297.375</v>
      </c>
      <c r="H26" s="20" t="n">
        <v>518.11</v>
      </c>
    </row>
    <row r="27">
      <c r="B27" s="14" t="inlineStr">
        <is>
          <t>Europe core</t>
        </is>
      </c>
      <c r="C27" s="6" t="inlineStr">
        <is>
          <t>–</t>
        </is>
      </c>
      <c r="D27" s="20" t="n">
        <v>2304.88675</v>
      </c>
      <c r="E27" s="20" t="n">
        <v>2549.9922</v>
      </c>
      <c r="F27" s="20" t="n">
        <v>2780.221</v>
      </c>
      <c r="G27" s="20" t="n">
        <v>3016.93375</v>
      </c>
      <c r="H27" s="20" t="n">
        <v>3197.9487</v>
      </c>
    </row>
    <row r="28">
      <c r="B28" s="14" t="inlineStr">
        <is>
          <t>Biosimilars</t>
        </is>
      </c>
      <c r="C28" s="6" t="inlineStr">
        <is>
          <t>–</t>
        </is>
      </c>
      <c r="D28" s="20" t="n">
        <v>-66.15000000000001</v>
      </c>
      <c r="E28" s="20" t="n">
        <v>38.2</v>
      </c>
      <c r="F28" s="20" t="n">
        <v>277.92</v>
      </c>
      <c r="G28" s="20" t="n">
        <v>659.1</v>
      </c>
      <c r="H28" s="20" t="n">
        <v>1034.25</v>
      </c>
    </row>
    <row r="29">
      <c r="B29" s="14" t="inlineStr">
        <is>
          <t>Growth Markets</t>
        </is>
      </c>
      <c r="C29" s="6" t="inlineStr">
        <is>
          <t>–</t>
        </is>
      </c>
      <c r="D29" s="20" t="n">
        <v>764.5314999999999</v>
      </c>
      <c r="E29" s="20" t="n">
        <v>878.80845</v>
      </c>
      <c r="F29" s="20" t="n">
        <v>1009.502</v>
      </c>
      <c r="G29" s="20" t="n">
        <v>1110.452</v>
      </c>
      <c r="H29" s="20" t="n">
        <v>1199.288</v>
      </c>
    </row>
    <row r="30">
      <c r="B30" s="14" t="inlineStr">
        <is>
          <t>ARV</t>
        </is>
      </c>
      <c r="C30" s="6" t="inlineStr">
        <is>
          <t>–</t>
        </is>
      </c>
      <c r="D30" s="20" t="n">
        <v>217.98</v>
      </c>
      <c r="E30" s="20" t="n">
        <v>226.6995</v>
      </c>
      <c r="F30" s="20" t="n">
        <v>233.5005</v>
      </c>
      <c r="G30" s="20" t="n">
        <v>240.5055</v>
      </c>
      <c r="H30" s="20" t="n">
        <v>247.7205</v>
      </c>
    </row>
    <row r="31">
      <c r="B31" s="14" t="inlineStr">
        <is>
          <t>API ex-Pen-G</t>
        </is>
      </c>
      <c r="C31" s="6" t="inlineStr">
        <is>
          <t>–</t>
        </is>
      </c>
      <c r="D31" s="20" t="n">
        <v>872.41</v>
      </c>
      <c r="E31" s="20" t="n">
        <v>898.5834</v>
      </c>
      <c r="F31" s="20" t="n">
        <v>925.5422000000001</v>
      </c>
      <c r="G31" s="20" t="n">
        <v>953.3084</v>
      </c>
      <c r="H31" s="20" t="n">
        <v>981.9062</v>
      </c>
    </row>
    <row r="32">
      <c r="B32" s="14" t="inlineStr">
        <is>
          <t>Pen-G total</t>
        </is>
      </c>
      <c r="C32" s="6" t="inlineStr">
        <is>
          <t>–</t>
        </is>
      </c>
      <c r="D32" s="20" t="n">
        <v>461.575</v>
      </c>
      <c r="E32" s="20" t="n">
        <v>547.5936</v>
      </c>
      <c r="F32" s="20" t="n">
        <v>521.90325</v>
      </c>
      <c r="G32" s="20" t="n">
        <v>522.56695</v>
      </c>
      <c r="H32" s="20" t="n">
        <v>574.3374</v>
      </c>
    </row>
    <row r="33">
      <c r="B33" s="15" t="inlineStr">
        <is>
          <t>EBITDA</t>
        </is>
      </c>
      <c r="C33" s="20" t="n">
        <v>6856</v>
      </c>
      <c r="D33" s="28">
        <f>SUM(D23:D32)</f>
        <v/>
      </c>
      <c r="E33" s="28">
        <f>SUM(E23:E32)</f>
        <v/>
      </c>
      <c r="F33" s="28">
        <f>SUM(F23:F32)</f>
        <v/>
      </c>
      <c r="G33" s="28">
        <f>SUM(G23:G32)</f>
        <v/>
      </c>
      <c r="H33" s="28">
        <f>SUM(H23:H32)</f>
        <v/>
      </c>
    </row>
    <row r="34">
      <c r="B34" s="4" t="inlineStr">
        <is>
          <t>EBITDA margin</t>
        </is>
      </c>
      <c r="C34" s="49">
        <f>C33/C18</f>
        <v/>
      </c>
      <c r="D34" s="49">
        <f>D33/D18</f>
        <v/>
      </c>
      <c r="E34" s="49">
        <f>E33/E18</f>
        <v/>
      </c>
      <c r="F34" s="49">
        <f>F33/F18</f>
        <v/>
      </c>
      <c r="G34" s="49">
        <f>G33/G18</f>
        <v/>
      </c>
      <c r="H34" s="49">
        <f>H33/H18</f>
        <v/>
      </c>
    </row>
    <row r="35"/>
    <row r="36"/>
    <row r="37" ht="20" customHeight="1">
      <c r="B37" s="3" t="inlineStr">
        <is>
          <t>P&amp;L AND ESTIMATE REVISION</t>
        </is>
      </c>
    </row>
    <row r="38">
      <c r="B38" s="14" t="inlineStr">
        <is>
          <t>EBITDA</t>
        </is>
      </c>
      <c r="C38" s="20" t="n">
        <v>6856</v>
      </c>
      <c r="D38" s="20" t="n">
        <v>8014.577249999999</v>
      </c>
      <c r="E38" s="20" t="n">
        <v>9151.156949999999</v>
      </c>
      <c r="F38" s="20" t="n">
        <v>10381.05512</v>
      </c>
      <c r="G38" s="20" t="n">
        <v>11807.0014</v>
      </c>
      <c r="H38" s="20" t="n">
        <v>13072.7972</v>
      </c>
    </row>
    <row r="39">
      <c r="B39" s="14" t="inlineStr">
        <is>
          <t>D&amp;A</t>
        </is>
      </c>
      <c r="C39" s="20" t="n">
        <v>1778</v>
      </c>
      <c r="D39" s="20" t="n">
        <v>1950</v>
      </c>
      <c r="E39" s="20" t="n">
        <v>2080</v>
      </c>
      <c r="F39" s="20" t="n">
        <v>2200</v>
      </c>
      <c r="G39" s="20" t="n">
        <v>2300</v>
      </c>
      <c r="H39" s="20" t="n">
        <v>2400</v>
      </c>
    </row>
    <row r="40">
      <c r="B40" s="14" t="inlineStr">
        <is>
          <t>EBIT</t>
        </is>
      </c>
      <c r="C40" s="28">
        <f>C38-C39</f>
        <v/>
      </c>
      <c r="D40" s="28">
        <f>D38-D39</f>
        <v/>
      </c>
      <c r="E40" s="28">
        <f>E38-E39</f>
        <v/>
      </c>
      <c r="F40" s="28">
        <f>F38-F39</f>
        <v/>
      </c>
      <c r="G40" s="28">
        <f>G38-G39</f>
        <v/>
      </c>
      <c r="H40" s="28">
        <f>H38-H39</f>
        <v/>
      </c>
    </row>
    <row r="41">
      <c r="B41" s="14" t="inlineStr">
        <is>
          <t>Interest</t>
        </is>
      </c>
      <c r="C41" s="20" t="n">
        <v>384</v>
      </c>
      <c r="D41" s="20" t="n">
        <v>450</v>
      </c>
      <c r="E41" s="20" t="n">
        <v>400</v>
      </c>
      <c r="F41" s="20" t="n">
        <v>350</v>
      </c>
      <c r="G41" s="20" t="n">
        <v>300</v>
      </c>
      <c r="H41" s="20" t="n">
        <v>250</v>
      </c>
    </row>
    <row r="42">
      <c r="B42" s="14" t="inlineStr">
        <is>
          <t>Other income</t>
        </is>
      </c>
      <c r="C42" s="20" t="n">
        <v>404</v>
      </c>
      <c r="D42" s="20" t="n">
        <v>350</v>
      </c>
      <c r="E42" s="20" t="n">
        <v>380</v>
      </c>
      <c r="F42" s="20" t="n">
        <v>400</v>
      </c>
      <c r="G42" s="20" t="n">
        <v>420</v>
      </c>
      <c r="H42" s="20" t="n">
        <v>450</v>
      </c>
    </row>
    <row r="43">
      <c r="B43" s="14" t="inlineStr">
        <is>
          <t>PBT</t>
        </is>
      </c>
      <c r="C43" s="28">
        <f>C40-C41+C42</f>
        <v/>
      </c>
      <c r="D43" s="28">
        <f>D40-D41+D42</f>
        <v/>
      </c>
      <c r="E43" s="28">
        <f>E40-E41+E42</f>
        <v/>
      </c>
      <c r="F43" s="28">
        <f>F40-F41+F42</f>
        <v/>
      </c>
      <c r="G43" s="28">
        <f>G40-G41+G42</f>
        <v/>
      </c>
      <c r="H43" s="28">
        <f>H40-H41+H42</f>
        <v/>
      </c>
    </row>
    <row r="44">
      <c r="B44" s="14" t="inlineStr">
        <is>
          <t>Tax rate</t>
        </is>
      </c>
      <c r="C44" s="24" t="n">
        <v>0.31</v>
      </c>
      <c r="D44" s="24" t="n">
        <v>0.31</v>
      </c>
      <c r="E44" s="24" t="n">
        <v>0.3</v>
      </c>
      <c r="F44" s="24" t="n">
        <v>0.29</v>
      </c>
      <c r="G44" s="24" t="n">
        <v>0.29</v>
      </c>
      <c r="H44" s="24" t="n">
        <v>0.29</v>
      </c>
    </row>
    <row r="45">
      <c r="B45" s="4" t="inlineStr">
        <is>
          <t>PAT</t>
        </is>
      </c>
      <c r="C45" s="28">
        <f>C43*(1-C44)</f>
        <v/>
      </c>
      <c r="D45" s="28">
        <f>D43*(1-D44)</f>
        <v/>
      </c>
      <c r="E45" s="28">
        <f>E43*(1-E44)</f>
        <v/>
      </c>
      <c r="F45" s="28">
        <f>F43*(1-F44)</f>
        <v/>
      </c>
      <c r="G45" s="28">
        <f>G43*(1-G44)</f>
        <v/>
      </c>
      <c r="H45" s="28">
        <f>H43*(1-H44)</f>
        <v/>
      </c>
    </row>
    <row r="46">
      <c r="B46" s="14" t="inlineStr">
        <is>
          <t>Shares (cr)</t>
        </is>
      </c>
      <c r="C46" s="50" t="n">
        <v>58.08</v>
      </c>
      <c r="D46" s="50" t="n">
        <v>58.08</v>
      </c>
      <c r="E46" s="50" t="n">
        <v>58.08</v>
      </c>
      <c r="F46" s="50" t="n">
        <v>58.08</v>
      </c>
      <c r="G46" s="50" t="n">
        <v>58.08</v>
      </c>
      <c r="H46" s="50" t="n">
        <v>58.08</v>
      </c>
    </row>
    <row r="47">
      <c r="B47" s="4" t="inlineStr">
        <is>
          <t>EPS</t>
        </is>
      </c>
      <c r="C47" s="51">
        <f>C45/C46</f>
        <v/>
      </c>
      <c r="D47" s="51">
        <f>D45/D46</f>
        <v/>
      </c>
      <c r="E47" s="51">
        <f>E45/E46</f>
        <v/>
      </c>
      <c r="F47" s="51">
        <f>F45/F46</f>
        <v/>
      </c>
      <c r="G47" s="51">
        <f>G45/G46</f>
        <v/>
      </c>
      <c r="H47" s="51">
        <f>H45/H46</f>
        <v/>
      </c>
    </row>
    <row r="48">
      <c r="B48" s="14" t="inlineStr">
        <is>
          <t>Old initiation EPS</t>
        </is>
      </c>
      <c r="C48" s="52" t="n">
        <v>59.95</v>
      </c>
      <c r="D48" s="52" t="n">
        <v>73.86</v>
      </c>
      <c r="E48" s="52" t="n">
        <v>79.54000000000001</v>
      </c>
      <c r="F48" s="52" t="n">
        <v>85.90000000000001</v>
      </c>
      <c r="G48" s="52" t="n">
        <v>92.77</v>
      </c>
      <c r="H48" s="52" t="n">
        <v>100.19</v>
      </c>
    </row>
    <row r="49">
      <c r="B49" s="4" t="inlineStr">
        <is>
          <t>EPS revision</t>
        </is>
      </c>
      <c r="C49" s="49">
        <f>C47/C48-1</f>
        <v/>
      </c>
      <c r="D49" s="53">
        <f>D47/D48-1</f>
        <v/>
      </c>
      <c r="E49" s="54">
        <f>E47/E48-1</f>
        <v/>
      </c>
      <c r="F49" s="54">
        <f>F47/F48-1</f>
        <v/>
      </c>
      <c r="G49" s="54">
        <f>G47/G48-1</f>
        <v/>
      </c>
      <c r="H49" s="54">
        <f>H47/H48-1</f>
        <v/>
      </c>
    </row>
    <row r="50">
      <c r="B50" s="14" t="inlineStr">
        <is>
          <t>P/E at current price</t>
        </is>
      </c>
      <c r="C50" s="55">
        <f>1686.0/C47</f>
        <v/>
      </c>
      <c r="D50" s="55">
        <f>1686.0/D47</f>
        <v/>
      </c>
      <c r="E50" s="55">
        <f>1686.0/E47</f>
        <v/>
      </c>
      <c r="F50" s="55">
        <f>1686.0/F47</f>
        <v/>
      </c>
      <c r="G50" s="55">
        <f>1686.0/G47</f>
        <v/>
      </c>
      <c r="H50" s="55">
        <f>1686.0/H47</f>
        <v/>
      </c>
    </row>
    <row r="51">
      <c r="B51" s="14" t="inlineStr">
        <is>
          <t>P/E at target price</t>
        </is>
      </c>
      <c r="C51" s="55">
        <f>2100/C47</f>
        <v/>
      </c>
      <c r="D51" s="55">
        <f>2100/D47</f>
        <v/>
      </c>
      <c r="E51" s="55">
        <f>2100/E47</f>
        <v/>
      </c>
      <c r="F51" s="55">
        <f>2100/F47</f>
        <v/>
      </c>
      <c r="G51" s="55">
        <f>2100/G47</f>
        <v/>
      </c>
      <c r="H51" s="55">
        <f>2100/H47</f>
        <v/>
      </c>
    </row>
  </sheetData>
  <mergeCells count="5">
    <mergeCell ref="B22:H22"/>
    <mergeCell ref="A1:J1"/>
    <mergeCell ref="B7:H7"/>
    <mergeCell ref="A2:J2"/>
    <mergeCell ref="B37:H37"/>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N60"/>
  <sheetViews>
    <sheetView showGridLines="0" workbookViewId="0">
      <pane xSplit="2" ySplit="3" topLeftCell="C4"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37"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6" customWidth="1" min="13" max="13"/>
    <col width="18" customWidth="1" min="14" max="14"/>
  </cols>
  <sheetData>
    <row r="1" ht="28" customHeight="1">
      <c r="A1" s="1" t="inlineStr">
        <is>
          <t>VALUATION | DCF SETS ₹2,100; MULTIPLES ARE A CROSS-CHECK</t>
        </is>
      </c>
    </row>
    <row r="2" ht="30" customHeight="1">
      <c r="A2" s="2" t="inlineStr">
        <is>
          <t>Base case preserves the old-note WACC discipline and uses a lower terminal growth rate than the original initiation.</t>
        </is>
      </c>
    </row>
    <row r="3"/>
    <row r="4">
      <c r="C4" s="22" t="inlineStr">
        <is>
          <t>FY27E</t>
        </is>
      </c>
      <c r="D4" s="22" t="inlineStr">
        <is>
          <t>FY28E</t>
        </is>
      </c>
      <c r="E4" s="22" t="inlineStr">
        <is>
          <t>FY29E</t>
        </is>
      </c>
      <c r="F4" s="22" t="inlineStr">
        <is>
          <t>FY30E</t>
        </is>
      </c>
      <c r="G4" s="22" t="inlineStr">
        <is>
          <t>FY31E</t>
        </is>
      </c>
      <c r="H4" s="22" t="inlineStr">
        <is>
          <t>FY32E</t>
        </is>
      </c>
      <c r="I4" s="22" t="inlineStr">
        <is>
          <t>FY33E</t>
        </is>
      </c>
      <c r="J4" s="22" t="inlineStr">
        <is>
          <t>FY34E</t>
        </is>
      </c>
      <c r="K4" s="22" t="inlineStr">
        <is>
          <t>FY35E</t>
        </is>
      </c>
      <c r="L4" s="22" t="inlineStr">
        <is>
          <t>FY36E</t>
        </is>
      </c>
    </row>
    <row r="5">
      <c r="B5" s="14" t="inlineStr">
        <is>
          <t>Revenue</t>
        </is>
      </c>
      <c r="C5" s="28">
        <f>'08_Financials'!D18</f>
        <v/>
      </c>
      <c r="D5" s="28">
        <f>'08_Financials'!E18</f>
        <v/>
      </c>
      <c r="E5" s="28">
        <f>'08_Financials'!F18</f>
        <v/>
      </c>
      <c r="F5" s="28">
        <f>'08_Financials'!G18</f>
        <v/>
      </c>
      <c r="G5" s="28">
        <f>'08_Financials'!H18</f>
        <v/>
      </c>
      <c r="H5" s="28">
        <f>G5*(1+7.000%)</f>
        <v/>
      </c>
      <c r="I5" s="28">
        <f>H5*(1+6.500%)</f>
        <v/>
      </c>
      <c r="J5" s="28">
        <f>I5*(1+6.000%)</f>
        <v/>
      </c>
      <c r="K5" s="28">
        <f>J5*(1+5.500%)</f>
        <v/>
      </c>
      <c r="L5" s="28">
        <f>K5*(1+5.000%)</f>
        <v/>
      </c>
    </row>
    <row r="6">
      <c r="B6" s="14" t="inlineStr">
        <is>
          <t>EBITDA</t>
        </is>
      </c>
      <c r="C6" s="28">
        <f>'08_Financials'!D33</f>
        <v/>
      </c>
      <c r="D6" s="28">
        <f>'08_Financials'!E33</f>
        <v/>
      </c>
      <c r="E6" s="28">
        <f>'08_Financials'!F33</f>
        <v/>
      </c>
      <c r="F6" s="28">
        <f>'08_Financials'!G33</f>
        <v/>
      </c>
      <c r="G6" s="28">
        <f>'08_Financials'!H33</f>
        <v/>
      </c>
      <c r="H6" s="28">
        <f>H5*24.200%</f>
        <v/>
      </c>
      <c r="I6" s="28">
        <f>I5*24.500%</f>
        <v/>
      </c>
      <c r="J6" s="28">
        <f>J5*24.700%</f>
        <v/>
      </c>
      <c r="K6" s="28">
        <f>K5*24.900%</f>
        <v/>
      </c>
      <c r="L6" s="28">
        <f>L5*25.000%</f>
        <v/>
      </c>
    </row>
    <row r="7">
      <c r="B7" s="14" t="inlineStr">
        <is>
          <t>EBITDA margin</t>
        </is>
      </c>
      <c r="C7" s="49">
        <f>C6/C5</f>
        <v/>
      </c>
      <c r="D7" s="49">
        <f>D6/D5</f>
        <v/>
      </c>
      <c r="E7" s="49">
        <f>E6/E5</f>
        <v/>
      </c>
      <c r="F7" s="49">
        <f>F6/F5</f>
        <v/>
      </c>
      <c r="G7" s="49">
        <f>G6/G5</f>
        <v/>
      </c>
      <c r="H7" s="49">
        <f>H6/H5</f>
        <v/>
      </c>
      <c r="I7" s="49">
        <f>I6/I5</f>
        <v/>
      </c>
      <c r="J7" s="49">
        <f>J6/J5</f>
        <v/>
      </c>
      <c r="K7" s="49">
        <f>K6/K5</f>
        <v/>
      </c>
      <c r="L7" s="49">
        <f>L6/L5</f>
        <v/>
      </c>
    </row>
    <row r="8">
      <c r="B8" s="14" t="inlineStr">
        <is>
          <t>D&amp;A</t>
        </is>
      </c>
      <c r="C8" s="28">
        <f>'08_Financials'!D39</f>
        <v/>
      </c>
      <c r="D8" s="28">
        <f>'08_Financials'!E39</f>
        <v/>
      </c>
      <c r="E8" s="28">
        <f>'08_Financials'!F39</f>
        <v/>
      </c>
      <c r="F8" s="28">
        <f>'08_Financials'!G39</f>
        <v/>
      </c>
      <c r="G8" s="28">
        <f>'08_Financials'!H39</f>
        <v/>
      </c>
      <c r="H8" s="28">
        <f>H5*4.0%</f>
        <v/>
      </c>
      <c r="I8" s="28">
        <f>I5*4.0%</f>
        <v/>
      </c>
      <c r="J8" s="28">
        <f>J5*4.0%</f>
        <v/>
      </c>
      <c r="K8" s="28">
        <f>K5*4.0%</f>
        <v/>
      </c>
      <c r="L8" s="28">
        <f>L5*4.0%</f>
        <v/>
      </c>
    </row>
    <row r="9">
      <c r="B9" s="14" t="inlineStr">
        <is>
          <t>EBIT</t>
        </is>
      </c>
      <c r="C9" s="28">
        <f>C6-C8</f>
        <v/>
      </c>
      <c r="D9" s="28">
        <f>D6-D8</f>
        <v/>
      </c>
      <c r="E9" s="28">
        <f>E6-E8</f>
        <v/>
      </c>
      <c r="F9" s="28">
        <f>F6-F8</f>
        <v/>
      </c>
      <c r="G9" s="28">
        <f>G6-G8</f>
        <v/>
      </c>
      <c r="H9" s="28">
        <f>H6-H8</f>
        <v/>
      </c>
      <c r="I9" s="28">
        <f>I6-I8</f>
        <v/>
      </c>
      <c r="J9" s="28">
        <f>J6-J8</f>
        <v/>
      </c>
      <c r="K9" s="28">
        <f>K6-K8</f>
        <v/>
      </c>
      <c r="L9" s="28">
        <f>L6-L8</f>
        <v/>
      </c>
    </row>
    <row r="10">
      <c r="B10" s="14" t="inlineStr">
        <is>
          <t>Cash tax rate</t>
        </is>
      </c>
      <c r="C10" s="24" t="n">
        <v>0.28</v>
      </c>
      <c r="D10" s="24" t="n">
        <v>0.28</v>
      </c>
      <c r="E10" s="24" t="n">
        <v>0.28</v>
      </c>
      <c r="F10" s="24" t="n">
        <v>0.28</v>
      </c>
      <c r="G10" s="24" t="n">
        <v>0.28</v>
      </c>
      <c r="H10" s="24" t="n">
        <v>0.28</v>
      </c>
      <c r="I10" s="24" t="n">
        <v>0.28</v>
      </c>
      <c r="J10" s="24" t="n">
        <v>0.28</v>
      </c>
      <c r="K10" s="24" t="n">
        <v>0.28</v>
      </c>
      <c r="L10" s="24" t="n">
        <v>0.28</v>
      </c>
    </row>
    <row r="11">
      <c r="B11" s="14" t="inlineStr">
        <is>
          <t>NOPAT</t>
        </is>
      </c>
      <c r="C11" s="28">
        <f>C9*(1-C10)</f>
        <v/>
      </c>
      <c r="D11" s="28">
        <f>D9*(1-D10)</f>
        <v/>
      </c>
      <c r="E11" s="28">
        <f>E9*(1-E10)</f>
        <v/>
      </c>
      <c r="F11" s="28">
        <f>F9*(1-F10)</f>
        <v/>
      </c>
      <c r="G11" s="28">
        <f>G9*(1-G10)</f>
        <v/>
      </c>
      <c r="H11" s="28">
        <f>H9*(1-H10)</f>
        <v/>
      </c>
      <c r="I11" s="28">
        <f>I9*(1-I10)</f>
        <v/>
      </c>
      <c r="J11" s="28">
        <f>J9*(1-J10)</f>
        <v/>
      </c>
      <c r="K11" s="28">
        <f>K9*(1-K10)</f>
        <v/>
      </c>
      <c r="L11" s="28">
        <f>L9*(1-L10)</f>
        <v/>
      </c>
    </row>
    <row r="12">
      <c r="B12" s="14" t="inlineStr">
        <is>
          <t>Capex</t>
        </is>
      </c>
      <c r="C12" s="20" t="n">
        <v>3300</v>
      </c>
      <c r="D12" s="20" t="n">
        <v>2850</v>
      </c>
      <c r="E12" s="20" t="n">
        <v>2450</v>
      </c>
      <c r="F12" s="20" t="n">
        <v>2250</v>
      </c>
      <c r="G12" s="20" t="n">
        <v>2100</v>
      </c>
      <c r="H12" s="28">
        <f>H5*3.5%</f>
        <v/>
      </c>
      <c r="I12" s="28">
        <f>I5*3.5%</f>
        <v/>
      </c>
      <c r="J12" s="28">
        <f>J5*3.5%</f>
        <v/>
      </c>
      <c r="K12" s="28">
        <f>K5*3.5%</f>
        <v/>
      </c>
      <c r="L12" s="28">
        <f>L5*3.5%</f>
        <v/>
      </c>
    </row>
    <row r="13">
      <c r="B13" s="14" t="inlineStr">
        <is>
          <t>Change in NWC</t>
        </is>
      </c>
      <c r="C13" s="28">
        <f>(C5-'08_Financials'!C18)*4.5%</f>
        <v/>
      </c>
      <c r="D13" s="28">
        <f>(D5-C5)*4.5%</f>
        <v/>
      </c>
      <c r="E13" s="28">
        <f>(E5-D5)*4.5%</f>
        <v/>
      </c>
      <c r="F13" s="28">
        <f>(F5-E5)*4.5%</f>
        <v/>
      </c>
      <c r="G13" s="28">
        <f>(G5-F5)*4.5%</f>
        <v/>
      </c>
      <c r="H13" s="28">
        <f>(H5-G5)*4.5%</f>
        <v/>
      </c>
      <c r="I13" s="28">
        <f>(I5-H5)*4.5%</f>
        <v/>
      </c>
      <c r="J13" s="28">
        <f>(J5-I5)*4.5%</f>
        <v/>
      </c>
      <c r="K13" s="28">
        <f>(K5-J5)*4.5%</f>
        <v/>
      </c>
      <c r="L13" s="28">
        <f>(L5-K5)*4.5%</f>
        <v/>
      </c>
    </row>
    <row r="14">
      <c r="B14" s="4" t="inlineStr">
        <is>
          <t>FCFF</t>
        </is>
      </c>
      <c r="C14" s="28">
        <f>C11+C8-C12-C13</f>
        <v/>
      </c>
      <c r="D14" s="28">
        <f>D11+D8-D12-D13</f>
        <v/>
      </c>
      <c r="E14" s="28">
        <f>E11+E8-E12-E13</f>
        <v/>
      </c>
      <c r="F14" s="28">
        <f>F11+F8-F12-F13</f>
        <v/>
      </c>
      <c r="G14" s="28">
        <f>G11+G8-G12-G13</f>
        <v/>
      </c>
      <c r="H14" s="28">
        <f>H11+H8-H12-H13</f>
        <v/>
      </c>
      <c r="I14" s="28">
        <f>I11+I8-I12-I13</f>
        <v/>
      </c>
      <c r="J14" s="28">
        <f>J11+J8-J12-J13</f>
        <v/>
      </c>
      <c r="K14" s="28">
        <f>K11+K8-K12-K13</f>
        <v/>
      </c>
      <c r="L14" s="28">
        <f>L11+L8-L12-L13</f>
        <v/>
      </c>
    </row>
    <row r="15">
      <c r="B15" s="14" t="inlineStr">
        <is>
          <t>Discount period</t>
        </is>
      </c>
      <c r="C15" s="21" t="n">
        <v>0.5</v>
      </c>
      <c r="D15" s="21" t="n">
        <v>1.5</v>
      </c>
      <c r="E15" s="21" t="n">
        <v>2.5</v>
      </c>
      <c r="F15" s="21" t="n">
        <v>3.5</v>
      </c>
      <c r="G15" s="21" t="n">
        <v>4.5</v>
      </c>
      <c r="H15" s="21" t="n">
        <v>5.5</v>
      </c>
      <c r="I15" s="21" t="n">
        <v>6.5</v>
      </c>
      <c r="J15" s="21" t="n">
        <v>7.5</v>
      </c>
      <c r="K15" s="21" t="n">
        <v>8.5</v>
      </c>
      <c r="L15" s="21" t="n">
        <v>9.5</v>
      </c>
    </row>
    <row r="16">
      <c r="B16" s="4" t="inlineStr">
        <is>
          <t>PV of FCFF</t>
        </is>
      </c>
      <c r="C16" s="28">
        <f>C14/(1+$C$20)^C15</f>
        <v/>
      </c>
      <c r="D16" s="28">
        <f>D14/(1+$C$20)^D15</f>
        <v/>
      </c>
      <c r="E16" s="28">
        <f>E14/(1+$C$20)^E15</f>
        <v/>
      </c>
      <c r="F16" s="28">
        <f>F14/(1+$C$20)^F15</f>
        <v/>
      </c>
      <c r="G16" s="28">
        <f>G14/(1+$C$20)^G15</f>
        <v/>
      </c>
      <c r="H16" s="28">
        <f>H14/(1+$C$20)^H15</f>
        <v/>
      </c>
      <c r="I16" s="28">
        <f>I14/(1+$C$20)^I15</f>
        <v/>
      </c>
      <c r="J16" s="28">
        <f>J14/(1+$C$20)^J15</f>
        <v/>
      </c>
      <c r="K16" s="28">
        <f>K14/(1+$C$20)^K15</f>
        <v/>
      </c>
      <c r="L16" s="28">
        <f>L14/(1+$C$20)^L15</f>
        <v/>
      </c>
    </row>
    <row r="17"/>
    <row r="18"/>
    <row r="19" ht="20" customHeight="1">
      <c r="B19" s="3" t="inlineStr">
        <is>
          <t>DCF OUTPUT</t>
        </is>
      </c>
    </row>
    <row r="20">
      <c r="B20" s="4" t="inlineStr">
        <is>
          <t>WACC</t>
        </is>
      </c>
      <c r="C20" s="9" t="n">
        <v>0.105</v>
      </c>
      <c r="D20" s="6" t="inlineStr">
        <is>
          <t>Original initiation used 10.5% [S1]</t>
        </is>
      </c>
    </row>
    <row r="21">
      <c r="B21" s="4" t="inlineStr">
        <is>
          <t>Terminal growth</t>
        </is>
      </c>
      <c r="C21" s="9" t="n">
        <v>0.045</v>
      </c>
      <c r="D21" s="6" t="inlineStr">
        <is>
          <t>Below original 5.0% [S1]</t>
        </is>
      </c>
    </row>
    <row r="22">
      <c r="B22" s="4" t="inlineStr">
        <is>
          <t>PV of explicit FCFF</t>
        </is>
      </c>
      <c r="C22" s="28">
        <f>SUM(C16:L16)</f>
        <v/>
      </c>
      <c r="D22" s="6" t="inlineStr">
        <is>
          <t>FY27E–FY36E</t>
        </is>
      </c>
    </row>
    <row r="23">
      <c r="B23" s="4" t="inlineStr">
        <is>
          <t>PV of terminal value</t>
        </is>
      </c>
      <c r="C23" s="28">
        <f>L14*(1+$C$21)/($C$20-$C$21)/(1+$C$20)^L15</f>
        <v/>
      </c>
      <c r="D23" s="6" t="inlineStr">
        <is>
          <t>Gordon growth</t>
        </is>
      </c>
    </row>
    <row r="24">
      <c r="B24" s="4" t="inlineStr">
        <is>
          <t>Enterprise value</t>
        </is>
      </c>
      <c r="C24" s="28">
        <f>C22+C23</f>
        <v/>
      </c>
      <c r="D24" s="6" t="inlineStr">
        <is>
          <t>Sum</t>
        </is>
      </c>
    </row>
    <row r="25">
      <c r="B25" s="4" t="inlineStr">
        <is>
          <t>Net cash (30 Jun 2026)</t>
        </is>
      </c>
      <c r="C25" s="20" t="n">
        <v>397</v>
      </c>
      <c r="D25" s="6" t="inlineStr">
        <is>
          <t>Company Q1 disclosure</t>
        </is>
      </c>
    </row>
    <row r="26">
      <c r="B26" s="4" t="inlineStr">
        <is>
          <t>Equity value</t>
        </is>
      </c>
      <c r="C26" s="28">
        <f>C24+C25</f>
        <v/>
      </c>
      <c r="D26" s="6" t="inlineStr">
        <is>
          <t>EV + net cash</t>
        </is>
      </c>
    </row>
    <row r="27">
      <c r="B27" s="4" t="inlineStr">
        <is>
          <t>Diluted shares (cr)</t>
        </is>
      </c>
      <c r="C27" s="50" t="n">
        <v>58.08</v>
      </c>
      <c r="D27" s="6" t="inlineStr">
        <is>
          <t>Model</t>
        </is>
      </c>
    </row>
    <row r="28">
      <c r="B28" s="4" t="inlineStr">
        <is>
          <t>DCF fair value / share</t>
        </is>
      </c>
      <c r="C28" s="28">
        <f>C26/C27</f>
        <v/>
      </c>
      <c r="D28" s="6" t="inlineStr">
        <is>
          <t>Unrounded</t>
        </is>
      </c>
    </row>
    <row r="29">
      <c r="B29" s="4" t="inlineStr">
        <is>
          <t>Target price</t>
        </is>
      </c>
      <c r="C29" s="28">
        <f>ROUND(C28/50,0)*50</f>
        <v/>
      </c>
      <c r="D29" s="6" t="inlineStr">
        <is>
          <t>Rounded to nearest ₹50</t>
        </is>
      </c>
    </row>
    <row r="30">
      <c r="B30" s="4" t="inlineStr">
        <is>
          <t>Current price</t>
        </is>
      </c>
      <c r="C30" s="20" t="n">
        <v>1686</v>
      </c>
      <c r="D30" s="6" t="inlineStr">
        <is>
          <t>6 Oct 2026</t>
        </is>
      </c>
    </row>
    <row r="31">
      <c r="B31" s="4" t="inlineStr">
        <is>
          <t>Upside</t>
        </is>
      </c>
      <c r="C31" s="49">
        <f>C29/C30-1</f>
        <v/>
      </c>
      <c r="D31" s="6" t="inlineStr">
        <is>
          <t>Ex-dividend</t>
        </is>
      </c>
    </row>
    <row r="32">
      <c r="B32" s="4" t="inlineStr">
        <is>
          <t>Rating</t>
        </is>
      </c>
      <c r="C32" s="5">
        <f>IF(C31&gt;15%,"OUTPERFORM","MARKET-PERFORM")</f>
        <v/>
      </c>
      <c r="D32" s="6" t="inlineStr">
        <is>
          <t>&gt;15% expected return hurdle</t>
        </is>
      </c>
    </row>
    <row r="33"/>
    <row r="34"/>
    <row r="35" ht="20" customHeight="1">
      <c r="B35" s="3" t="inlineStr">
        <is>
          <t>DCF SENSITIVITY | FAIR VALUE / SHARE</t>
        </is>
      </c>
    </row>
    <row r="36">
      <c r="B36" s="47" t="inlineStr">
        <is>
          <t>WACC / TGR</t>
        </is>
      </c>
      <c r="C36" s="9" t="n">
        <v>0.035</v>
      </c>
      <c r="D36" s="9" t="n">
        <v>0.04</v>
      </c>
      <c r="E36" s="9" t="n">
        <v>0.045</v>
      </c>
      <c r="F36" s="9" t="n">
        <v>0.05</v>
      </c>
      <c r="G36" s="9" t="n">
        <v>0.055</v>
      </c>
    </row>
    <row r="37">
      <c r="B37" s="9" t="n">
        <v>0.095</v>
      </c>
      <c r="C37" s="20" t="n">
        <v>2234.952431686199</v>
      </c>
      <c r="D37" s="20" t="n">
        <v>2372.74540104366</v>
      </c>
      <c r="E37" s="20" t="n">
        <v>2538.096964272611</v>
      </c>
      <c r="F37" s="20" t="n">
        <v>2740.19331933022</v>
      </c>
      <c r="G37" s="20" t="n">
        <v>2992.81376315223</v>
      </c>
    </row>
    <row r="38">
      <c r="B38" s="9" t="n">
        <v>0.1</v>
      </c>
      <c r="C38" s="20" t="n">
        <v>2049.563428888107</v>
      </c>
      <c r="D38" s="20" t="n">
        <v>2161.728744068464</v>
      </c>
      <c r="E38" s="20" t="n">
        <v>2294.287752917978</v>
      </c>
      <c r="F38" s="20" t="n">
        <v>2453.358563537395</v>
      </c>
      <c r="G38" s="20" t="n">
        <v>2647.778443183347</v>
      </c>
    </row>
    <row r="39">
      <c r="B39" s="9" t="n">
        <v>0.105</v>
      </c>
      <c r="C39" s="20" t="n">
        <v>1891.003901855128</v>
      </c>
      <c r="D39" s="20" t="n">
        <v>1983.509976361274</v>
      </c>
      <c r="E39" s="20" t="n">
        <v>2091.433729951777</v>
      </c>
      <c r="F39" s="20" t="n">
        <v>2218.979984195098</v>
      </c>
      <c r="G39" s="20" t="n">
        <v>2372.035489287084</v>
      </c>
    </row>
    <row r="40">
      <c r="B40" s="9" t="n">
        <v>0.11</v>
      </c>
      <c r="C40" s="20" t="n">
        <v>1753.897478565125</v>
      </c>
      <c r="D40" s="20" t="n">
        <v>1831.051112973951</v>
      </c>
      <c r="E40" s="20" t="n">
        <v>1920.074537291828</v>
      </c>
      <c r="F40" s="20" t="n">
        <v>2023.935198996018</v>
      </c>
      <c r="G40" s="20" t="n">
        <v>2146.679617373697</v>
      </c>
    </row>
    <row r="41">
      <c r="B41" s="9" t="n">
        <v>0.115</v>
      </c>
      <c r="C41" s="20" t="n">
        <v>1634.212266389614</v>
      </c>
      <c r="D41" s="20" t="n">
        <v>1699.191321046827</v>
      </c>
      <c r="E41" s="20" t="n">
        <v>1773.453097797928</v>
      </c>
      <c r="F41" s="20" t="n">
        <v>1859.139763279968</v>
      </c>
      <c r="G41" s="20" t="n">
        <v>1959.107539675681</v>
      </c>
    </row>
    <row r="42"/>
    <row r="43"/>
    <row r="44" ht="20" customHeight="1">
      <c r="B44" s="3" t="inlineStr">
        <is>
          <t>VALUATION COMPS | TTM SNAPSHOT</t>
        </is>
      </c>
    </row>
    <row r="45">
      <c r="B45" s="22" t="inlineStr">
        <is>
          <t>Company</t>
        </is>
      </c>
      <c r="C45" s="22" t="inlineStr">
        <is>
          <t>Price (₹)</t>
        </is>
      </c>
      <c r="D45" s="22" t="inlineStr">
        <is>
          <t>TTM P/E</t>
        </is>
      </c>
      <c r="E45" s="22" t="inlineStr">
        <is>
          <t>Premium/(discount) to Auro</t>
        </is>
      </c>
      <c r="F45" s="22" t="inlineStr">
        <is>
          <t>Comment</t>
        </is>
      </c>
      <c r="G45" s="22" t="inlineStr">
        <is>
          <t>Source</t>
        </is>
      </c>
    </row>
    <row r="46">
      <c r="B46" s="45" t="inlineStr">
        <is>
          <t>Aurobindo</t>
        </is>
      </c>
      <c r="C46" s="56" t="n">
        <v>1686</v>
      </c>
      <c r="D46" s="57" t="n">
        <v>26.34</v>
      </c>
      <c r="E46" s="58" t="n">
        <v>0</v>
      </c>
      <c r="F46" s="32" t="inlineStr">
        <is>
          <t>Current multiple before estimate conversion</t>
        </is>
      </c>
      <c r="G46" s="32" t="inlineStr">
        <is>
          <t>S22</t>
        </is>
      </c>
    </row>
    <row r="47">
      <c r="B47" s="45" t="inlineStr">
        <is>
          <t>Sun Pharma</t>
        </is>
      </c>
      <c r="C47" s="56" t="n">
        <v>1795</v>
      </c>
      <c r="D47" s="57" t="n">
        <v>35.59</v>
      </c>
      <c r="E47" s="58" t="n">
        <v>0.351176917236143</v>
      </c>
      <c r="F47" s="32" t="inlineStr">
        <is>
          <t>Specialty-heavy; upper bound</t>
        </is>
      </c>
      <c r="G47" s="32" t="inlineStr">
        <is>
          <t>S22</t>
        </is>
      </c>
    </row>
    <row r="48">
      <c r="B48" s="45" t="inlineStr">
        <is>
          <t>Cipla</t>
        </is>
      </c>
      <c r="C48" s="56" t="n">
        <v>1342.4</v>
      </c>
      <c r="D48" s="57" t="n">
        <v>32.19</v>
      </c>
      <c r="E48" s="58" t="n">
        <v>0.2220956719817766</v>
      </c>
      <c r="F48" s="32" t="inlineStr">
        <is>
          <t>India + respiratory</t>
        </is>
      </c>
      <c r="G48" s="32" t="inlineStr">
        <is>
          <t>S22</t>
        </is>
      </c>
    </row>
    <row r="49">
      <c r="B49" s="45" t="inlineStr">
        <is>
          <t>Dr Reddy's</t>
        </is>
      </c>
      <c r="C49" s="56" t="n">
        <v>1208.4</v>
      </c>
      <c r="D49" s="57" t="n">
        <v>31.25</v>
      </c>
      <c r="E49" s="58" t="n">
        <v>0.1864085041761578</v>
      </c>
      <c r="F49" s="32" t="inlineStr">
        <is>
          <t>Diversified generics</t>
        </is>
      </c>
      <c r="G49" s="32" t="inlineStr">
        <is>
          <t>S22</t>
        </is>
      </c>
    </row>
    <row r="50">
      <c r="B50" s="45" t="inlineStr">
        <is>
          <t>Zydus Life</t>
        </is>
      </c>
      <c r="C50" s="56" t="n">
        <v>1160</v>
      </c>
      <c r="D50" s="57" t="n">
        <v>25.85</v>
      </c>
      <c r="E50" s="58" t="n">
        <v>-0.01860288534548205</v>
      </c>
      <c r="F50" s="32" t="inlineStr">
        <is>
          <t>Closest TTM multiple</t>
        </is>
      </c>
      <c r="G50" s="32" t="inlineStr">
        <is>
          <t>S22</t>
        </is>
      </c>
    </row>
    <row r="51">
      <c r="B51" s="45" t="inlineStr">
        <is>
          <t>Lupin</t>
        </is>
      </c>
      <c r="C51" s="56" t="n">
        <v>2030.3</v>
      </c>
      <c r="D51" s="57" t="n">
        <v>15.87</v>
      </c>
      <c r="E51" s="58" t="n">
        <v>-0.3974943052391799</v>
      </c>
      <c r="F51" s="32" t="inlineStr">
        <is>
          <t>TTM affected by product-cycle effects</t>
        </is>
      </c>
      <c r="G51" s="32" t="inlineStr">
        <is>
          <t>S22</t>
        </is>
      </c>
    </row>
    <row r="52">
      <c r="B52" s="45" t="inlineStr">
        <is>
          <t>Alkem</t>
        </is>
      </c>
      <c r="C52" s="56" t="n">
        <v>5243.5</v>
      </c>
      <c r="D52" s="57" t="n">
        <v>29.06</v>
      </c>
      <c r="E52" s="58" t="n">
        <v>0.1032649962034928</v>
      </c>
      <c r="F52" s="32" t="inlineStr">
        <is>
          <t>India-heavy comparator</t>
        </is>
      </c>
      <c r="G52" s="32" t="inlineStr">
        <is>
          <t>S22</t>
        </is>
      </c>
    </row>
    <row r="53"/>
    <row r="54"/>
    <row r="55"/>
    <row r="56" ht="20" customHeight="1">
      <c r="B56" s="3" t="inlineStr">
        <is>
          <t>RATING TRIGGERS AND FALSIFICATION</t>
        </is>
      </c>
    </row>
    <row r="57" ht="34" customHeight="1">
      <c r="B57" s="15" t="inlineStr">
        <is>
          <t>Upgrade holds</t>
        </is>
      </c>
      <c r="C57" s="59" t="inlineStr">
        <is>
          <t>Lannett utilization ≥50% by FY29; Pen-G ex-PLI EBITDA positive; respiratory EBITDA ≥ Eugia drag; biosimilar EBITDA positive by FY28/29.</t>
        </is>
      </c>
    </row>
    <row r="58" ht="34" customHeight="1">
      <c r="B58" s="15" t="inlineStr">
        <is>
          <t>Bull case</t>
        </is>
      </c>
      <c r="C58" s="59" t="inlineStr">
        <is>
          <t>Lannett site transfers accelerate, Pen-G debottlenecks above 15k MT, and US biologics filings convert on first review.</t>
        </is>
      </c>
    </row>
    <row r="59" ht="34" customHeight="1">
      <c r="B59" s="15" t="inlineStr">
        <is>
          <t>Downgrade trigger</t>
        </is>
      </c>
      <c r="C59" s="59" t="inlineStr">
        <is>
          <t>A second major non-Eugia OAI, Lannett utilization &lt;45% through FY29, or FY29 EPS &lt;₹90.</t>
        </is>
      </c>
    </row>
    <row r="60" ht="34" customHeight="1">
      <c r="B60" s="15" t="inlineStr">
        <is>
          <t>Target risk</t>
        </is>
      </c>
      <c r="C60" s="59" t="inlineStr">
        <is>
          <t>At 11.5% WACC / 3.5% terminal growth, DCF falls below current price. Duration remains the largest valuation sensitivity.</t>
        </is>
      </c>
    </row>
  </sheetData>
  <mergeCells count="10">
    <mergeCell ref="B44:I44"/>
    <mergeCell ref="A2:N2"/>
    <mergeCell ref="C59:I59"/>
    <mergeCell ref="B56:J56"/>
    <mergeCell ref="C60:I60"/>
    <mergeCell ref="B19:H19"/>
    <mergeCell ref="B35:I35"/>
    <mergeCell ref="C57:I57"/>
    <mergeCell ref="C58:I58"/>
    <mergeCell ref="A1:N1"/>
  </mergeCells>
  <conditionalFormatting sqref="C37:G41">
    <cfRule type="colorScale" priority="1">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I35"/>
  <sheetViews>
    <sheetView showGridLines="0"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9" customWidth="1" min="2" max="2"/>
    <col width="32" customWidth="1" min="3" max="3"/>
    <col width="52" customWidth="1" min="4" max="4"/>
    <col width="80" customWidth="1" min="5" max="5"/>
    <col width="18" customWidth="1" min="6" max="6"/>
    <col width="25" customWidth="1" min="7" max="7"/>
    <col width="20" customWidth="1" min="8" max="8"/>
    <col width="20" customWidth="1" min="9" max="9"/>
  </cols>
  <sheetData>
    <row r="1" ht="28" customHeight="1">
      <c r="A1" s="1" t="inlineStr">
        <is>
          <t>SOURCE LOG AND ASSUMPTION REGISTER</t>
        </is>
      </c>
    </row>
    <row r="2" ht="30" customHeight="1">
      <c r="A2" s="2" t="inlineStr">
        <is>
          <t>Primary company, FDA/FTC and Government of India sources are preferred. Analyst estimates are labelled.</t>
        </is>
      </c>
    </row>
    <row r="3"/>
    <row r="4">
      <c r="B4" s="22" t="inlineStr">
        <is>
          <t>ID</t>
        </is>
      </c>
      <c r="C4" s="22" t="inlineStr">
        <is>
          <t>Source</t>
        </is>
      </c>
      <c r="D4" s="22" t="inlineStr">
        <is>
          <t>Used for</t>
        </is>
      </c>
      <c r="E4" s="22" t="inlineStr">
        <is>
          <t>URL / file</t>
        </is>
      </c>
      <c r="F4" s="22" t="inlineStr">
        <is>
          <t>Date</t>
        </is>
      </c>
      <c r="G4" s="22" t="inlineStr">
        <is>
          <t>Type</t>
        </is>
      </c>
    </row>
    <row r="5" ht="42" customHeight="1">
      <c r="B5" s="45" t="inlineStr">
        <is>
          <t>S1</t>
        </is>
      </c>
      <c r="C5" s="32" t="inlineStr">
        <is>
          <t>Uploaded sector initiation note</t>
        </is>
      </c>
      <c r="D5" s="32" t="inlineStr">
        <is>
          <t>Original Market-Perform rating, ₹1,498 target, old forecasts and objections</t>
        </is>
      </c>
      <c r="E5" s="60" t="inlineStr">
        <is>
          <t>Local upload: India Healthcare_ Innovation Power Decade...pdf</t>
        </is>
      </c>
      <c r="F5" s="32" t="inlineStr">
        <is>
          <t>30 Aug 2026</t>
        </is>
      </c>
      <c r="G5" s="32" t="inlineStr">
        <is>
          <t>Fact</t>
        </is>
      </c>
    </row>
    <row r="6" ht="42" customHeight="1">
      <c r="B6" s="45" t="inlineStr">
        <is>
          <t>S2</t>
        </is>
      </c>
      <c r="C6" s="32" t="inlineStr">
        <is>
          <t>Aurobindo Q4/FY26 press release</t>
        </is>
      </c>
      <c r="D6" s="32" t="inlineStr">
        <is>
          <t>FY26 revenue, EBITDA, PAT and geography/API revenue</t>
        </is>
      </c>
      <c r="E6" s="60" t="inlineStr">
        <is>
          <t>https://www.aurobindo.com/api/uploads/resultsannouncement/APL_PressRelease_Q4FY26.pdf</t>
        </is>
      </c>
      <c r="F6" s="32" t="inlineStr">
        <is>
          <t>21 May 2026</t>
        </is>
      </c>
      <c r="G6" s="32" t="inlineStr">
        <is>
          <t>Fact</t>
        </is>
      </c>
    </row>
    <row r="7" ht="42" customHeight="1">
      <c r="B7" s="45" t="inlineStr">
        <is>
          <t>S3</t>
        </is>
      </c>
      <c r="C7" s="32" t="inlineStr">
        <is>
          <t>Aurobindo Q1FY27 earnings presentation</t>
        </is>
      </c>
      <c r="D7" s="32" t="inlineStr">
        <is>
          <t>Q1 financials, filings, biosimilar pipeline and country launches</t>
        </is>
      </c>
      <c r="E7" s="60" t="inlineStr">
        <is>
          <t>https://www.aurobindo.com/api/uploads/resultsannouncement/APL_EarningsPresentation_Q1FY27.pdf</t>
        </is>
      </c>
      <c r="F7" s="32" t="inlineStr">
        <is>
          <t>5 Aug 2026</t>
        </is>
      </c>
      <c r="G7" s="32" t="inlineStr">
        <is>
          <t>Fact</t>
        </is>
      </c>
    </row>
    <row r="8" ht="42" customHeight="1">
      <c r="B8" s="45" t="inlineStr">
        <is>
          <t>S4</t>
        </is>
      </c>
      <c r="C8" s="32" t="inlineStr">
        <is>
          <t>Aurobindo Q1FY27 earnings call transcript</t>
        </is>
      </c>
      <c r="D8" s="32" t="inlineStr">
        <is>
          <t>Lannett run-rate/utilization/synergies; Pen-G run-rate and demand; biosimilar filings; Eugia guidance</t>
        </is>
      </c>
      <c r="E8" s="60" t="inlineStr">
        <is>
          <t>https://www.aurobindo.com/api/uploads/conferencecalltranscripts/APL_ECT_Q1FY27_Final.pdf</t>
        </is>
      </c>
      <c r="F8" s="32" t="inlineStr">
        <is>
          <t>Aug 2026</t>
        </is>
      </c>
      <c r="G8" s="32" t="inlineStr">
        <is>
          <t>Fact</t>
        </is>
      </c>
    </row>
    <row r="9" ht="42" customHeight="1">
      <c r="B9" s="45" t="inlineStr">
        <is>
          <t>S5</t>
        </is>
      </c>
      <c r="C9" s="32" t="inlineStr">
        <is>
          <t>Lannett transaction summary</t>
        </is>
      </c>
      <c r="D9" s="32" t="inlineStr">
        <is>
          <t>$250m price, $306m FY25 sales, 3.6bn dose capacity, 1.4bn output and FY25 business mix</t>
        </is>
      </c>
      <c r="E9" s="60" t="inlineStr">
        <is>
          <t>https://www.aurobindo.com/api/uploads/disclosureofeventsinformation/LtrToSEsLannett30072025.pdf</t>
        </is>
      </c>
      <c r="F9" s="32" t="inlineStr">
        <is>
          <t>30 Jul 2025</t>
        </is>
      </c>
      <c r="G9" s="32" t="inlineStr">
        <is>
          <t>Fact</t>
        </is>
      </c>
    </row>
    <row r="10" ht="42" customHeight="1">
      <c r="B10" s="45" t="inlineStr">
        <is>
          <t>S6</t>
        </is>
      </c>
      <c r="C10" s="32" t="inlineStr">
        <is>
          <t>Lannett FTC approval press release</t>
        </is>
      </c>
      <c r="D10" s="32" t="inlineStr">
        <is>
          <t>Acquisition terms, approximately 4bn dose capacity and strategic rationale</t>
        </is>
      </c>
      <c r="E10" s="60" t="inlineStr">
        <is>
          <t>https://www.aurobindo.com/api/uploads/corporateannouncements/LtrToSEsLnnettPR22062026.pdf</t>
        </is>
      </c>
      <c r="F10" s="32" t="inlineStr">
        <is>
          <t>22 Jun 2026</t>
        </is>
      </c>
      <c r="G10" s="32" t="inlineStr">
        <is>
          <t>Fact</t>
        </is>
      </c>
    </row>
    <row r="11" ht="42" customHeight="1">
      <c r="B11" s="45" t="inlineStr">
        <is>
          <t>S7</t>
        </is>
      </c>
      <c r="C11" s="32" t="inlineStr">
        <is>
          <t>FTC Aurobindo-Lannett case</t>
        </is>
      </c>
      <c r="D11" s="32" t="inlineStr">
        <is>
          <t>Four product divestitures and divested product identities</t>
        </is>
      </c>
      <c r="E11" s="60" t="inlineStr">
        <is>
          <t>https://www.ftc.gov/legal-library/browse/cases-proceedings/251-0096-aurobindo-lannett-matter</t>
        </is>
      </c>
      <c r="F11" s="32" t="inlineStr">
        <is>
          <t>18 Jun 2026</t>
        </is>
      </c>
      <c r="G11" s="32" t="inlineStr">
        <is>
          <t>Fact</t>
        </is>
      </c>
    </row>
    <row r="12" ht="42" customHeight="1">
      <c r="B12" s="45" t="inlineStr">
        <is>
          <t>S8</t>
        </is>
      </c>
      <c r="C12" s="32" t="inlineStr">
        <is>
          <t>Lannett Seymour FDA inspection disclosure</t>
        </is>
      </c>
      <c r="D12" s="32" t="inlineStr">
        <is>
          <t>Four procedural observations in August 2026 inspection</t>
        </is>
      </c>
      <c r="E12" s="60" t="inlineStr">
        <is>
          <t>https://www.aurobindo.com/api/uploads/disclosureofeventsinformation/LtrToSEsLannettUSFDA24082026.pdf</t>
        </is>
      </c>
      <c r="F12" s="32" t="inlineStr">
        <is>
          <t>24 Aug 2026</t>
        </is>
      </c>
      <c r="G12" s="32" t="inlineStr">
        <is>
          <t>Fact</t>
        </is>
      </c>
    </row>
    <row r="13" ht="42" customHeight="1">
      <c r="B13" s="45" t="inlineStr">
        <is>
          <t>S9</t>
        </is>
      </c>
      <c r="C13" s="32" t="inlineStr">
        <is>
          <t>Raleigh VAI/EIR disclosure</t>
        </is>
      </c>
      <c r="D13" s="32" t="inlineStr">
        <is>
          <t>VAI classification, inspection closed; pending inhaler/derma applications can progress</t>
        </is>
      </c>
      <c r="E13" s="60" t="inlineStr">
        <is>
          <t>https://www.aurobindo.com/api/uploads/disclosureofeventsinformation/LtrToSEsAurolifeNCVAI17082026.pdf</t>
        </is>
      </c>
      <c r="F13" s="32" t="inlineStr">
        <is>
          <t>17 Aug 2026</t>
        </is>
      </c>
      <c r="G13" s="32" t="inlineStr">
        <is>
          <t>Fact</t>
        </is>
      </c>
    </row>
    <row r="14" ht="42" customHeight="1">
      <c r="B14" s="45" t="inlineStr">
        <is>
          <t>S10</t>
        </is>
      </c>
      <c r="C14" s="32" t="inlineStr">
        <is>
          <t>Eugia Unit I warning letter disclosure</t>
        </is>
      </c>
      <c r="D14" s="32" t="inlineStr">
        <is>
          <t>OAI/Warning Letter; current supply unchanged; approximately 2% of group revenue</t>
        </is>
      </c>
      <c r="E14" s="60" t="inlineStr">
        <is>
          <t>https://www.aurobindo.com/api/uploads/disclosureofeventsinformation/LtrToSEsEugiaUnitIWarningLetter14082026.pdf</t>
        </is>
      </c>
      <c r="F14" s="32" t="inlineStr">
        <is>
          <t>14 Aug 2026</t>
        </is>
      </c>
      <c r="G14" s="32" t="inlineStr">
        <is>
          <t>Fact</t>
        </is>
      </c>
    </row>
    <row r="15" ht="42" customHeight="1">
      <c r="B15" s="45" t="inlineStr">
        <is>
          <t>S11</t>
        </is>
      </c>
      <c r="C15" s="32" t="inlineStr">
        <is>
          <t>Eugia Unit III OAI disclosure</t>
        </is>
      </c>
      <c r="D15" s="32" t="inlineStr">
        <is>
          <t>11 observations and OAI classification</t>
        </is>
      </c>
      <c r="E15" s="60" t="inlineStr">
        <is>
          <t>https://www.aurobindo.com/api/uploads/disclosureofeventsinformation/LtrToSEsEuigaUnit3USFDAinspection12062026.pdf</t>
        </is>
      </c>
      <c r="F15" s="32" t="inlineStr">
        <is>
          <t>12 Jun 2026</t>
        </is>
      </c>
      <c r="G15" s="32" t="inlineStr">
        <is>
          <t>Fact</t>
        </is>
      </c>
    </row>
    <row r="16" ht="42" customHeight="1">
      <c r="B16" s="45" t="inlineStr">
        <is>
          <t>S12</t>
        </is>
      </c>
      <c r="C16" s="32" t="inlineStr">
        <is>
          <t>Eugia Unit II OAI disclosure</t>
        </is>
      </c>
      <c r="D16" s="32" t="inlineStr">
        <is>
          <t>Nine observations and OAI classification</t>
        </is>
      </c>
      <c r="E16" s="60" t="inlineStr">
        <is>
          <t>https://www.aurobindo.com/api/uploads/disclosureofeventsinformation/LtrToSEsEugiaUSFDA17032026.pdf</t>
        </is>
      </c>
      <c r="F16" s="32" t="inlineStr">
        <is>
          <t>17 Mar 2026</t>
        </is>
      </c>
      <c r="G16" s="32" t="inlineStr">
        <is>
          <t>Fact</t>
        </is>
      </c>
    </row>
    <row r="17" ht="42" customHeight="1">
      <c r="B17" s="45" t="inlineStr">
        <is>
          <t>S13</t>
        </is>
      </c>
      <c r="C17" s="32" t="inlineStr">
        <is>
          <t>QVAR generic approval press release</t>
        </is>
      </c>
      <c r="D17" s="32" t="inlineStr">
        <is>
          <t>First Aurobindo MDI; Raleigh manufacturing; $301m reference/new-version market</t>
        </is>
      </c>
      <c r="E17" s="60" t="inlineStr">
        <is>
          <t>https://www.aurobindo.com/api/uploads/corporateannouncements/LtrToSEsPressReleaseUSFDAapproval15092026.pdf</t>
        </is>
      </c>
      <c r="F17" s="32" t="inlineStr">
        <is>
          <t>15 Sep 2026</t>
        </is>
      </c>
      <c r="G17" s="32" t="inlineStr">
        <is>
          <t>Fact</t>
        </is>
      </c>
    </row>
    <row r="18" ht="42" customHeight="1">
      <c r="B18" s="45" t="inlineStr">
        <is>
          <t>S14</t>
        </is>
      </c>
      <c r="C18" s="32" t="inlineStr">
        <is>
          <t>Aurobindo press release index: Advair launch</t>
        </is>
      </c>
      <c r="D18" s="32" t="inlineStr">
        <is>
          <t>Generic Advair launch in 100/50 and 250/50 strengths; disclosed market $908m</t>
        </is>
      </c>
      <c r="E18" s="60" t="inlineStr">
        <is>
          <t>https://www.aurobindo.com/media/press-releases</t>
        </is>
      </c>
      <c r="F18" s="32" t="inlineStr">
        <is>
          <t>31 Aug 2026</t>
        </is>
      </c>
      <c r="G18" s="32" t="inlineStr">
        <is>
          <t>Fact</t>
        </is>
      </c>
    </row>
    <row r="19" ht="42" customHeight="1">
      <c r="B19" s="45" t="inlineStr">
        <is>
          <t>S15</t>
        </is>
      </c>
      <c r="C19" s="32" t="inlineStr">
        <is>
          <t>Government of India PIB: bulk-drug PLI</t>
        </is>
      </c>
      <c r="D19" s="32" t="inlineStr">
        <is>
          <t>₹2,270.05cr Pen-G plant investment, 15,000MT capacity, ₹1,191cr cumulative production and &gt;90% domestic value add</t>
        </is>
      </c>
      <c r="E19" s="60" t="inlineStr">
        <is>
          <t>https://www.pib.gov.in/PressReleseDetailm.aspx?PRID=2314891&amp;lang=1&amp;reg=3</t>
        </is>
      </c>
      <c r="F19" s="32" t="inlineStr">
        <is>
          <t>25 Sep 2026</t>
        </is>
      </c>
      <c r="G19" s="32" t="inlineStr">
        <is>
          <t>Fact</t>
        </is>
      </c>
    </row>
    <row r="20" ht="42" customHeight="1">
      <c r="B20" s="45" t="inlineStr">
        <is>
          <t>S16</t>
        </is>
      </c>
      <c r="C20" s="32" t="inlineStr">
        <is>
          <t>DGFT minimum import price notification 56/2025-26</t>
        </is>
      </c>
      <c r="D20" s="32" t="inlineStr">
        <is>
          <t>Pen-G ₹2,216/kg, 6-APA ₹3,405/kg and amoxicillin trihydrate ₹2,733/kg</t>
        </is>
      </c>
      <c r="E20" s="60" t="inlineStr">
        <is>
          <t>https://content.dgft.gov.in/Website/dgftprod/85a8d911-e529-43c0-a691-7056dd6fff45/Notification%20English.pdf</t>
        </is>
      </c>
      <c r="F20" s="32" t="inlineStr">
        <is>
          <t>29 Jan 2026</t>
        </is>
      </c>
      <c r="G20" s="32" t="inlineStr">
        <is>
          <t>Fact</t>
        </is>
      </c>
    </row>
    <row r="21" ht="42" customHeight="1">
      <c r="B21" s="45" t="inlineStr">
        <is>
          <t>S17</t>
        </is>
      </c>
      <c r="C21" s="32" t="inlineStr">
        <is>
          <t>Aurobindo Q3FY26 earnings call transcript</t>
        </is>
      </c>
      <c r="D21" s="32" t="inlineStr">
        <is>
          <t>Management stated PLI of ₹240cr per 10,000MT, proportionate to production</t>
        </is>
      </c>
      <c r="E21" s="60" t="inlineStr">
        <is>
          <t>https://www.aurobindo.com/api/uploads/conferencecalltranscripts/Transcript_Q3FY26_Final.pdf</t>
        </is>
      </c>
      <c r="F21" s="32" t="inlineStr">
        <is>
          <t>10 Feb 2026</t>
        </is>
      </c>
      <c r="G21" s="32" t="inlineStr">
        <is>
          <t>Fact</t>
        </is>
      </c>
    </row>
    <row r="22" ht="42" customHeight="1">
      <c r="B22" s="45" t="inlineStr">
        <is>
          <t>S18</t>
        </is>
      </c>
      <c r="C22" s="32" t="inlineStr">
        <is>
          <t>FDA biosimilar product information</t>
        </is>
      </c>
      <c r="D22" s="32" t="inlineStr">
        <is>
          <t>Competitive approval density, including multiple denosumab biosimilars</t>
        </is>
      </c>
      <c r="E22" s="60" t="inlineStr">
        <is>
          <t>https://www.fda.gov/drugs/biosimilars/biosimilar-product-information</t>
        </is>
      </c>
      <c r="F22" s="32" t="inlineStr">
        <is>
          <t>accessed 6 Oct 2026</t>
        </is>
      </c>
      <c r="G22" s="32" t="inlineStr">
        <is>
          <t>Fact</t>
        </is>
      </c>
    </row>
    <row r="23" ht="42" customHeight="1">
      <c r="B23" s="45" t="inlineStr">
        <is>
          <t>S19</t>
        </is>
      </c>
      <c r="C23" s="32" t="inlineStr">
        <is>
          <t>Acrotech dermatology product page</t>
        </is>
      </c>
      <c r="D23" s="32" t="inlineStr">
        <is>
          <t>ADQUEY is the only publicly listed dermatology product</t>
        </is>
      </c>
      <c r="E23" s="60" t="inlineStr">
        <is>
          <t>https://acrotechbiopharma.com/our-dermatology-products/</t>
        </is>
      </c>
      <c r="F23" s="32" t="inlineStr">
        <is>
          <t>accessed 6 Oct 2026</t>
        </is>
      </c>
      <c r="G23" s="32" t="inlineStr">
        <is>
          <t>Fact</t>
        </is>
      </c>
    </row>
    <row r="24" ht="42" customHeight="1">
      <c r="B24" s="45" t="inlineStr">
        <is>
          <t>S20</t>
        </is>
      </c>
      <c r="C24" s="32" t="inlineStr">
        <is>
          <t>ADQUEY launch announcement</t>
        </is>
      </c>
      <c r="D24" s="32" t="inlineStr">
        <is>
          <t>US launch, dedicated dermatology unit and $1.3bn atopic dermatitis market</t>
        </is>
      </c>
      <c r="E24" s="60" t="inlineStr">
        <is>
          <t>https://acrotechbiopharma.com/</t>
        </is>
      </c>
      <c r="F24" s="32" t="inlineStr">
        <is>
          <t>30 Sep 2026</t>
        </is>
      </c>
      <c r="G24" s="32" t="inlineStr">
        <is>
          <t>Fact</t>
        </is>
      </c>
    </row>
    <row r="25" ht="42" customHeight="1">
      <c r="B25" s="45" t="inlineStr">
        <is>
          <t>S21</t>
        </is>
      </c>
      <c r="C25" s="32" t="inlineStr">
        <is>
          <t>Google Finance: AUROPHARMA</t>
        </is>
      </c>
      <c r="D25" s="32" t="inlineStr">
        <is>
          <t>6 October 2026 closing price ₹1,686</t>
        </is>
      </c>
      <c r="E25" s="60" t="inlineStr">
        <is>
          <t>https://www.google.com/finance/quote/AUROPHARMA:NSE</t>
        </is>
      </c>
      <c r="F25" s="32" t="inlineStr">
        <is>
          <t>6 Oct 2026</t>
        </is>
      </c>
      <c r="G25" s="32" t="inlineStr">
        <is>
          <t>Fact</t>
        </is>
      </c>
    </row>
    <row r="26" ht="42" customHeight="1">
      <c r="B26" s="45" t="inlineStr">
        <is>
          <t>S22</t>
        </is>
      </c>
      <c r="C26" s="32" t="inlineStr">
        <is>
          <t>Google Finance peer pages</t>
        </is>
      </c>
      <c r="D26" s="32" t="inlineStr">
        <is>
          <t>6 October 2026 market prices and TTM P/E for Indian pharma peer context</t>
        </is>
      </c>
      <c r="E26" s="60" t="inlineStr">
        <is>
          <t>https://www.google.com/finance/quote/AUROPHARMA:NSE</t>
        </is>
      </c>
      <c r="F26" s="32" t="inlineStr">
        <is>
          <t>6 Oct 2026</t>
        </is>
      </c>
      <c r="G26" s="32" t="inlineStr">
        <is>
          <t>Market snapshot</t>
        </is>
      </c>
    </row>
    <row r="27"/>
    <row r="28"/>
    <row r="29" ht="20" customHeight="1">
      <c r="B29" s="3" t="inlineStr">
        <is>
          <t>KEY ANALYST ASSUMPTIONS</t>
        </is>
      </c>
    </row>
    <row r="30" ht="42" customHeight="1">
      <c r="B30" s="45" t="inlineStr">
        <is>
          <t>Lannett</t>
        </is>
      </c>
      <c r="C30" s="61" t="inlineStr">
        <is>
          <t>Utilization path 40% → 70%; site-transfer route, timing and probabilities</t>
        </is>
      </c>
      <c r="D30" s="32" t="inlineStr">
        <is>
          <t>No product-specific transfer schedule is disclosed.</t>
        </is>
      </c>
    </row>
    <row r="31" ht="42" customHeight="1">
      <c r="B31" s="45" t="inlineStr">
        <is>
          <t>Respiratory</t>
        </is>
      </c>
      <c r="C31" s="61" t="inlineStr">
        <is>
          <t>Market shares and revenue ramps; Spiriva/Flovent TAM proxies</t>
        </is>
      </c>
      <c r="D31" s="32" t="inlineStr">
        <is>
          <t>Only Advair and QVAR TAMs are company-disclosed.</t>
        </is>
      </c>
    </row>
    <row r="32" ht="42" customHeight="1">
      <c r="B32" s="45" t="inlineStr">
        <is>
          <t>Pen-G</t>
        </is>
      </c>
      <c r="C32" s="61" t="inlineStr">
        <is>
          <t>Export realization ₹1,850/kg; captive saving ₹300–400/kg</t>
        </is>
      </c>
      <c r="D32" s="32" t="inlineStr">
        <is>
          <t>MIP applies domestically; export economics must stand alone.</t>
        </is>
      </c>
    </row>
    <row r="33" ht="42" customHeight="1">
      <c r="B33" s="45" t="inlineStr">
        <is>
          <t>Biosimilars</t>
        </is>
      </c>
      <c r="C33" s="61" t="inlineStr">
        <is>
          <t>Molecule sales curves and partner economics</t>
        </is>
      </c>
      <c r="D33" s="32" t="inlineStr">
        <is>
          <t>Pipeline/status is disclosed; revenue and margin forecasts are analyst estimates.</t>
        </is>
      </c>
    </row>
    <row r="34" ht="42" customHeight="1">
      <c r="B34" s="45" t="inlineStr">
        <is>
          <t>Dermatology</t>
        </is>
      </c>
      <c r="C34" s="61" t="inlineStr">
        <is>
          <t>Unnamed product-two FY29 launch and US$15m first-year sales</t>
        </is>
      </c>
      <c r="D34" s="32" t="inlineStr">
        <is>
          <t>Public sources name ADQUEY only. Product-two identity must be confirmed.</t>
        </is>
      </c>
    </row>
    <row r="35" ht="42" customHeight="1">
      <c r="B35" s="45" t="inlineStr">
        <is>
          <t>DCF</t>
        </is>
      </c>
      <c r="C35" s="61" t="inlineStr">
        <is>
          <t>28% cash tax, 4.5% of incremental sales working capital, 10.5% WACC, 4.5% TGR</t>
        </is>
      </c>
      <c r="D35" s="32" t="inlineStr">
        <is>
          <t>WACC continuity with original note; TGR reduced by 50bp.</t>
        </is>
      </c>
    </row>
  </sheetData>
  <autoFilter ref="A1:I35"/>
  <mergeCells count="3">
    <mergeCell ref="A1:I1"/>
    <mergeCell ref="B29:H29"/>
    <mergeCell ref="A2:I2"/>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H2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42" customWidth="1" min="2" max="2"/>
    <col width="20" customWidth="1" min="3" max="3"/>
    <col width="20" customWidth="1" min="4" max="4"/>
    <col width="55" customWidth="1" min="5" max="5"/>
    <col width="20" customWidth="1" min="6" max="6"/>
    <col width="20" customWidth="1" min="7" max="7"/>
    <col width="20" customWidth="1" min="8" max="8"/>
  </cols>
  <sheetData>
    <row r="1" ht="28" customHeight="1">
      <c r="A1" s="1" t="inlineStr">
        <is>
          <t>MODEL QUALITY CONTROL</t>
        </is>
      </c>
    </row>
    <row r="2" ht="30" customHeight="1">
      <c r="A2" s="2" t="inlineStr">
        <is>
          <t>All checks should show PASS. Formula outputs recalculate when opened in Excel.</t>
        </is>
      </c>
    </row>
    <row r="3"/>
    <row r="4">
      <c r="B4" s="22" t="inlineStr">
        <is>
          <t>Check</t>
        </is>
      </c>
      <c r="C4" s="22" t="inlineStr">
        <is>
          <t>Value</t>
        </is>
      </c>
      <c r="D4" s="22" t="inlineStr">
        <is>
          <t>Status</t>
        </is>
      </c>
      <c r="E4" s="22" t="inlineStr">
        <is>
          <t>Interpretation</t>
        </is>
      </c>
    </row>
    <row r="5">
      <c r="B5" s="4" t="inlineStr">
        <is>
          <t>FY26 segment revenue matches reported total</t>
        </is>
      </c>
      <c r="C5" s="17">
        <f>'08_Financials'!C18</f>
        <v/>
      </c>
      <c r="D5" s="17">
        <f>IF(ABS(C5-33653)&lt;1,"PASS","FAIL")</f>
        <v/>
      </c>
      <c r="E5" s="43" t="inlineStr">
        <is>
          <t>Reported FY26 revenue ₹33,653cr [S2]</t>
        </is>
      </c>
    </row>
    <row r="6">
      <c r="B6" s="4" t="inlineStr">
        <is>
          <t>FY26 EBITDA matches reported total</t>
        </is>
      </c>
      <c r="C6" s="17">
        <f>'08_Financials'!C33</f>
        <v/>
      </c>
      <c r="D6" s="17">
        <f>IF(ABS(C6-6856)&lt;1,"PASS","FAIL")</f>
        <v/>
      </c>
      <c r="E6" s="43" t="inlineStr">
        <is>
          <t>Reported FY26 EBITDA ₹6,856cr [S2]</t>
        </is>
      </c>
    </row>
    <row r="7">
      <c r="B7" s="4" t="inlineStr">
        <is>
          <t>Lannett revenue linkage FY28</t>
        </is>
      </c>
      <c r="C7" s="17">
        <f>'08_Financials'!E9-'02_Lannett'!D23</f>
        <v/>
      </c>
      <c r="D7" s="17">
        <f>IF(ABS(C7)&lt;0.1,"PASS","FAIL")</f>
        <v/>
      </c>
      <c r="E7" s="43" t="inlineStr">
        <is>
          <t>Cross-sheet linkage</t>
        </is>
      </c>
    </row>
    <row r="8">
      <c r="B8" s="4" t="inlineStr">
        <is>
          <t>Pen-G mix FY29</t>
        </is>
      </c>
      <c r="C8" s="17">
        <f>'05_PenG'!E12</f>
        <v/>
      </c>
      <c r="D8" s="17">
        <f>IF(ABS(C8-1)&lt;0.0001,"PASS","FAIL")</f>
        <v/>
      </c>
      <c r="E8" s="43" t="inlineStr">
        <is>
          <t>Captive + domestic + export = 100%</t>
        </is>
      </c>
    </row>
    <row r="9">
      <c r="B9" s="4" t="inlineStr">
        <is>
          <t>Biosimilar product sales sum FY30</t>
        </is>
      </c>
      <c r="C9" s="17">
        <f>'06_Biosimilars'!K15-'06_Biosimilars'!F20</f>
        <v/>
      </c>
      <c r="D9" s="17">
        <f>IF(ABS(C9)&lt;0.1,"PASS","FAIL")</f>
        <v/>
      </c>
      <c r="E9" s="43" t="inlineStr">
        <is>
          <t>Product build equals segment revenue</t>
        </is>
      </c>
    </row>
    <row r="10">
      <c r="B10" s="4" t="inlineStr">
        <is>
          <t>Dermatology product sales sum FY29</t>
        </is>
      </c>
      <c r="C10" s="17">
        <f>'07_Dermatology'!E8-'08_Financials'!F11*10/'08_Financials'!F5</f>
        <v/>
      </c>
      <c r="D10" s="17">
        <f>IF(ABS(C10)&lt;0.1,"PASS","FAIL")</f>
        <v/>
      </c>
      <c r="E10" s="43" t="inlineStr">
        <is>
          <t>US$ build equals INR segment revenue</t>
        </is>
      </c>
    </row>
    <row r="11">
      <c r="B11" s="4" t="inlineStr">
        <is>
          <t>Target price &gt; current price</t>
        </is>
      </c>
      <c r="C11" s="17">
        <f>2100-1686.0</f>
        <v/>
      </c>
      <c r="D11" s="17">
        <f>IF(C11&gt;0,"PASS","FAIL")</f>
        <v/>
      </c>
      <c r="E11" s="43" t="inlineStr">
        <is>
          <t>Required for Outperform</t>
        </is>
      </c>
    </row>
    <row r="12">
      <c r="B12" s="4" t="inlineStr">
        <is>
          <t>Upside above 15% hurdle</t>
        </is>
      </c>
      <c r="C12" s="17">
        <f>2100/1686.0-1</f>
        <v/>
      </c>
      <c r="D12" s="17">
        <f>IF(C12&gt;15%,"PASS","FAIL")</f>
        <v/>
      </c>
      <c r="E12" s="43" t="inlineStr">
        <is>
          <t>House rating test</t>
        </is>
      </c>
    </row>
    <row r="13">
      <c r="B13" s="4" t="inlineStr">
        <is>
          <t>No PLI after FY29</t>
        </is>
      </c>
      <c r="C13" s="17">
        <f>'05_PenG'!F22+'05_PenG'!G22</f>
        <v/>
      </c>
      <c r="D13" s="17">
        <f>IF(ABS(C13)&lt;0.1,"PASS","FAIL")</f>
        <v/>
      </c>
      <c r="E13" s="43" t="inlineStr">
        <is>
          <t>Prevents subsidy from supporting terminal economics</t>
        </is>
      </c>
    </row>
    <row r="14">
      <c r="B14" s="4" t="inlineStr">
        <is>
          <t>FY29 respiratory covers Eugia drag</t>
        </is>
      </c>
      <c r="C14" s="17">
        <f>'04_Resp_Eugia'!E21</f>
        <v/>
      </c>
      <c r="D14" s="17">
        <f>IF(C14&gt;0,"PASS","FAIL")</f>
        <v/>
      </c>
      <c r="E14" s="43" t="inlineStr">
        <is>
          <t>Net EBITDA positive</t>
        </is>
      </c>
    </row>
    <row r="15"/>
    <row r="16"/>
    <row r="17" ht="20" customHeight="1">
      <c r="B17" s="3" t="inlineStr">
        <is>
          <t>KNOWN DATA GAPS</t>
        </is>
      </c>
    </row>
    <row r="18">
      <c r="B18" s="62" t="inlineStr">
        <is>
          <t>US dermatology product 2</t>
        </is>
      </c>
      <c r="C18" s="59" t="inlineStr">
        <is>
          <t>Identity, approval status and launch date are not public. Model is a hurdle case.</t>
        </is>
      </c>
    </row>
    <row r="19">
      <c r="B19" s="62" t="inlineStr">
        <is>
          <t>Lannett site transfers</t>
        </is>
      </c>
      <c r="C19" s="59" t="inlineStr">
        <is>
          <t>Product names and CBE-30/PAS classifications are not disclosed. Route matrix is illustrative.</t>
        </is>
      </c>
    </row>
    <row r="20">
      <c r="B20" s="62" t="inlineStr">
        <is>
          <t>Pen-G export pricing</t>
        </is>
      </c>
      <c r="C20" s="59" t="inlineStr">
        <is>
          <t>No public realized export price. Base uses ₹1,850/kg and sensitivity.</t>
        </is>
      </c>
    </row>
    <row r="21">
      <c r="B21" s="62" t="inlineStr">
        <is>
          <t>Facility-level revenue</t>
        </is>
      </c>
      <c r="C21" s="59" t="inlineStr">
        <is>
          <t>Except Eugia Unit I (~2% of group), site revenue exposure is not disclosed.</t>
        </is>
      </c>
    </row>
  </sheetData>
  <mergeCells count="7">
    <mergeCell ref="C21:G21"/>
    <mergeCell ref="C20:G20"/>
    <mergeCell ref="B17:H17"/>
    <mergeCell ref="A2:H2"/>
    <mergeCell ref="C19:G19"/>
    <mergeCell ref="A1:H1"/>
    <mergeCell ref="C18:G18"/>
  </mergeCells>
  <conditionalFormatting sqref="D5:D14">
    <cfRule type="cellIs" priority="1" operator="equal" dxfId="0">
      <formula>"PASS"</formula>
    </cfRule>
    <cfRule type="cellIs" priority="2" operator="equal" dxfId="1">
      <formula>"FAIL"</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2026-10-06T12:41:33Z</dcterms:created>
  <dcterms:modified xmlns:dcterms="http://purl.org/dc/terms/" xmlns:xsi="http://www.w3.org/2001/XMLSchema-instance" xsi:type="dcterms:W3CDTF">2026-10-06T12:41:33Z</dcterms:modified>
</cp:coreProperties>
</file>