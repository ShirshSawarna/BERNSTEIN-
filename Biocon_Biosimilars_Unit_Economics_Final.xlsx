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2c7365ec5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1b835bfaaa4e3a"/>
    <x:sheet xmlns:r="http://schemas.openxmlformats.org/officeDocument/2006/relationships" name="Assumptions" sheetId="2" r:id="Ra302be532e304e53"/>
    <x:sheet xmlns:r="http://schemas.openxmlformats.org/officeDocument/2006/relationships" name="mAb Platform" sheetId="3" r:id="R74a96669b5ec4dba"/>
    <x:sheet xmlns:r="http://schemas.openxmlformats.org/officeDocument/2006/relationships" name="Insulin Platform" sheetId="4" r:id="R917a241e6dde4747"/>
    <x:sheet xmlns:r="http://schemas.openxmlformats.org/officeDocument/2006/relationships" name="Product Costs" sheetId="5" r:id="Ra625db0e05b54d5f"/>
    <x:sheet xmlns:r="http://schemas.openxmlformats.org/officeDocument/2006/relationships" name="Accounting Check" sheetId="6" r:id="R87d1977fc63c4a25"/>
    <x:sheet xmlns:r="http://schemas.openxmlformats.org/officeDocument/2006/relationships" name="Peer Framework" sheetId="7" r:id="R9ac0d1687e114fca"/>
    <x:sheet xmlns:r="http://schemas.openxmlformats.org/officeDocument/2006/relationships" name="Full Economics" sheetId="8" r:id="R1ba8f6eaf48145d2"/>
    <x:sheet xmlns:r="http://schemas.openxmlformats.org/officeDocument/2006/relationships" name="Sensitivity" sheetId="9" r:id="R81cf893196244e96"/>
    <x:sheet xmlns:r="http://schemas.openxmlformats.org/officeDocument/2006/relationships" name="Checks" sheetId="10" r:id="R0569a7b70e83448c"/>
    <x:sheet xmlns:r="http://schemas.openxmlformats.org/officeDocument/2006/relationships" name="Sources" sheetId="11" r:id="Rde4d24edbc214e09"/>
  </x:sheets>
</x:workbook>
</file>

<file path=xl/comments1.xml><?xml version="1.0" encoding="utf-8"?>
<x:comments xmlns:x="http://schemas.openxmlformats.org/spreadsheetml/2006/main">
  <x:authors>
    <x:author>tc={522DCAC1-FD64-479C-943D-9B619D085B2B}</x:author>
    <x:author>tc={AB7A320D-B650-459F-9E0F-7ED936D5FABB}</x:author>
  </x:authors>
  <x:commentList>
    <x:comment ref="D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utilisation assumption. Biocon does not disclose plant-level mAb utilisation; test the full range on the Sensitivity sheet.</x:t>
        </x:r>
      </x:text>
    </x:comment>
    <x:comment ref="D6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utilisation assumption for the Malaysia insulin network. It is not company guidance.</x:t>
        </x:r>
      </x:text>
    </x:comment>
  </x:commentList>
</x:comments>
</file>

<file path=xl/comments2.xml><?xml version="1.0" encoding="utf-8"?>
<x:comments xmlns:x="http://schemas.openxmlformats.org/spreadsheetml/2006/main">
  <x:authors>
    <x:author>tc={2823AB1A-7AA7-41E0-879B-2034D7AF5D29}</x:author>
    <x:author>tc={FDA4FFE1-F5E6-4570-AAC4-E2A2BBF20EE1}</x:author>
  </x:authors>
  <x:commentList>
    <x:comment ref="B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Manager email records FY26 BBL contribution cost of approximately ₹29.4bn on ₹104.3bn revenue. Treat as an analyst working estimate, not a disclosed company COGS line.</x:t>
        </x:r>
      </x:text>
    </x:comment>
    <x:comment ref="B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Celltrion reported a 38% cost-of-sales ratio in Q2 2026 and attributed improvement to mix, inventory, yield and process optimisation.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"/>
    <x:numFmt numFmtId="201" formatCode="0.0%;[Red](0.0%);-"/>
    <x:numFmt numFmtId="202" formatCode="$0.0;[Red]($0.0);-"/>
    <x:numFmt numFmtId="203" formatCode="$0.00;[Red]($0.00);-"/>
    <x:numFmt numFmtId="204" formatCode="#,##0;[Red](#,##0);-"/>
    <x:numFmt numFmtId="205" formatCode="#,##0.0;[Red](#,##0.0);-"/>
    <x:numFmt numFmtId="206" formatCode="0.0x;[Red](0.0x);-"/>
  </x:numFmts>
  <x:fonts count="17">
    <x:font>
      <x:sz val="11"/>
      <x:name val="Carlito"/>
    </x:font>
    <x:font>
      <x:b/>
      <x:sz val="16"/>
      <x:color rgb="FFFFFFFF"/>
      <x:name val="Carlito"/>
    </x:font>
    <x:font>
      <x:i/>
      <x:sz val="9"/>
      <x:color rgb="FF667085"/>
      <x:name val="Carlito"/>
    </x:font>
    <x:font>
      <x:b/>
      <x:sz val="10"/>
      <x:color rgb="FFFFFFFF"/>
      <x:name val="Carlito"/>
    </x:font>
    <x:font>
      <x:b/>
      <x:sz val="11"/>
      <x:color rgb="FF0B1F33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9"/>
      <x:color rgb="FF0B1F33"/>
      <x:name val="Carlito"/>
    </x:font>
    <x:font>
      <x:sz val="11"/>
      <x:color rgb="FFFF0000"/>
      <x:name val="Carlito"/>
    </x:font>
    <x:font>
      <x:b/>
      <x:sz val="10"/>
      <x:color rgb="FFFFFFFF"/>
      <x:name val="Aptos"/>
    </x:font>
    <x:font>
      <x:i/>
      <x:sz val="10"/>
      <x:color rgb="FF667085"/>
      <x:name val="Aptos"/>
    </x:font>
    <x:font>
      <x:sz val="10"/>
      <x:name val="Aptos"/>
    </x:font>
    <x:font>
      <x:b/>
      <x:sz val="10"/>
      <x:color rgb="FF0B1F33"/>
      <x:name val="Aptos"/>
    </x:font>
    <x:font>
      <x:sz val="10"/>
      <x:color rgb="FF008000"/>
      <x:name val="Aptos"/>
    </x:font>
    <x:font>
      <x:sz val="10"/>
      <x:color rgb="FF0000FF"/>
      <x:name val="Aptos"/>
    </x:font>
    <x:font>
      <x:sz val="10"/>
      <x:color rgb="FFFF0000"/>
      <x:name val="Aptos"/>
    </x:font>
    <x:font>
      <x:b/>
      <x:sz val="10"/>
      <x:color rgb="FF0080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  <x:fill>
      <x:patternFill patternType="solid">
        <x:fgColor rgb="FFEEF4F8"/>
      </x:patternFill>
    </x:fill>
  </x:fills>
  <x:borders count="11">
    <x:border/>
    <x:border>
      <x:bottom style="thin">
        <x:color rgb="FFB8C2CC"/>
      </x:bottom>
    </x:border>
    <x:border>
      <x:top style="thin">
        <x:color rgb="FFB8C2CC"/>
      </x:top>
      <x:bottom style="double">
        <x:color rgb="FF0B1F33"/>
      </x:bottom>
    </x:border>
    <x:border>
      <x:top style="thin">
        <x:color rgb="FFB8C2CC"/>
      </x:top>
    </x:border>
    <x:border>
      <x:bottom style="double">
        <x:color rgb="FF0B1F33"/>
      </x:bottom>
    </x:border>
    <x:border>
      <x:left style="thin">
        <x:color rgb="FFB8C2CC"/>
      </x:left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</x:borders>
  <x:cellStyleXfs count="1">
    <x:xf numFmtId="0" fontId="0" fillId="0" borderId="0"/>
  </x:cellStyleXfs>
  <x:cellXfs count="2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4" fontId="0" fillId="0" borderId="0" xfId="0" applyNumberFormat="1" applyFont="1" applyFill="1" applyBorder="1"/>
    <x:xf numFmtId="202" fontId="6" fillId="0" borderId="0" xfId="0" applyNumberFormat="1" applyFont="1" applyFill="1" applyBorder="1"/>
    <x:xf numFmtId="0" fontId="4" fillId="3" borderId="2" xfId="0" applyNumberFormat="1" applyFont="1" applyFill="1" applyBorder="1"/>
    <x:xf numFmtId="203" fontId="0" fillId="0" borderId="0" xfId="0" applyNumberFormat="1" applyFont="1" applyFill="1" applyBorder="1"/>
    <x:xf numFmtId="203" fontId="6" fillId="0" borderId="0" xfId="0" applyNumberFormat="1" applyFont="1" applyFill="1" applyBorder="1"/>
    <x:xf numFmtId="203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203" fontId="4" fillId="3" borderId="3" xfId="0" applyNumberFormat="1" applyFont="1" applyFill="1" applyBorder="1"/>
    <x:xf numFmtId="201" fontId="0" fillId="0" borderId="0" xfId="0" applyNumberFormat="1" applyFont="1" applyFill="1" applyBorder="1"/>
    <x:xf numFmtId="201" fontId="4" fillId="3" borderId="4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5" xfId="0" applyNumberFormat="1" applyFont="1" applyFill="1" applyBorder="1"/>
    <x:xf numFmtId="0" fontId="7" fillId="4" borderId="3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" xfId="0" applyNumberFormat="1" applyFont="1" applyFill="1" applyBorder="1"/>
    <x:xf numFmtId="0" fontId="7" fillId="4" borderId="10" xfId="0" applyNumberFormat="1" applyFont="1" applyFill="1" applyBorder="1"/>
    <x:xf numFmtId="0" fontId="7" fillId="4" borderId="5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202" fontId="4" fillId="3" borderId="3" xfId="0" applyNumberFormat="1" applyFont="1" applyFill="1" applyBorder="1"/>
    <x:xf numFmtId="204" fontId="5" fillId="0" borderId="0" xfId="0" applyNumberFormat="1" applyFont="1" applyFill="1" applyBorder="1"/>
    <x:xf numFmtId="201" fontId="0" fillId="3" borderId="0" xfId="0" applyNumberFormat="1" applyFont="1" applyFill="1" applyBorder="1"/>
    <x:xf numFmtId="204" fontId="0" fillId="3" borderId="0" xfId="0" applyNumberFormat="1" applyFont="1" applyFill="1" applyBorder="1"/>
    <x:xf numFmtId="201" fontId="4" fillId="3" borderId="0" xfId="0" applyNumberFormat="1" applyFont="1" applyFill="1" applyBorder="1"/>
    <x:xf numFmtId="204" fontId="4" fillId="3" borderId="0" xfId="0" applyNumberFormat="1" applyFont="1" applyFill="1" applyBorder="1"/>
    <x:xf numFmtId="201" fontId="4" fillId="3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" xfId="0" applyNumberFormat="1" applyFont="1" applyFill="1" applyBorder="1"/>
    <x:xf numFmtId="0" fontId="4" fillId="4" borderId="10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204" fontId="6" fillId="0" borderId="0" xfId="0" applyNumberFormat="1" applyFont="1" applyFill="1" applyBorder="1"/>
    <x:xf numFmtId="201" fontId="4" fillId="3" borderId="2" xfId="0" applyNumberFormat="1" applyFont="1" applyFill="1" applyBorder="1"/>
    <x:xf numFmtId="204" fontId="4" fillId="3" borderId="3" xfId="0" applyNumberFormat="1" applyFont="1" applyFill="1" applyBorder="1"/>
    <x:xf numFmtId="204" fontId="4" fillId="3" borderId="4" xfId="0" applyNumberFormat="1" applyFont="1" applyFill="1" applyBorder="1"/>
    <x:xf numFmtId="206" fontId="6" fillId="0" borderId="0" xfId="0" applyNumberFormat="1" applyFont="1" applyFill="1" applyBorder="1"/>
    <x:xf numFmtId="204" fontId="6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201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204" fontId="4" fillId="3" borderId="3" xfId="0" applyNumberFormat="1" applyFont="1" applyFill="1" applyBorder="1" applyAlignment="1">
      <x:alignment wrapText="1"/>
    </x:xf>
    <x:xf numFmtId="201" fontId="4" fillId="3" borderId="3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204" fontId="4" fillId="3" borderId="0" xfId="0" applyNumberFormat="1" applyFont="1" applyFill="1" applyBorder="1" applyAlignment="1">
      <x:alignment wrapText="1"/>
    </x:xf>
    <x:xf numFmtId="201" fontId="4" fillId="3" borderId="0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204" fontId="4" fillId="3" borderId="4" xfId="0" applyNumberFormat="1" applyFont="1" applyFill="1" applyBorder="1" applyAlignment="1">
      <x:alignment wrapText="1"/>
    </x:xf>
    <x:xf numFmtId="201" fontId="4" fillId="3" borderId="4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6" fontId="6" fillId="0" borderId="0" xfId="0" applyNumberFormat="1" applyFont="1" applyFill="1" applyBorder="1" applyAlignment="1">
      <x:alignment wrapText="1"/>
    </x:xf>
    <x:xf numFmtId="201" fontId="6" fillId="3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205" fontId="6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3" borderId="1" xfId="0" applyNumberFormat="1" applyFont="1" applyFill="1" applyBorder="1" applyAlignment="1">
      <x:alignment vertical="center" wrapText="1"/>
    </x:xf>
    <x:xf numFmtId="201" fontId="13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4" borderId="5" xfId="0" applyNumberFormat="1" applyFont="1" applyFill="1" applyBorder="1" applyAlignment="1">
      <x:alignment vertical="center" wrapText="1"/>
    </x:xf>
    <x:xf numFmtId="0" fontId="12" fillId="4" borderId="3" xfId="0" applyNumberFormat="1" applyFont="1" applyFill="1" applyBorder="1" applyAlignment="1">
      <x:alignment vertical="center" wrapText="1"/>
    </x:xf>
    <x:xf numFmtId="0" fontId="12" fillId="4" borderId="6" xfId="0" applyNumberFormat="1" applyFont="1" applyFill="1" applyBorder="1" applyAlignment="1">
      <x:alignment vertical="center" wrapText="1"/>
    </x:xf>
    <x:xf numFmtId="0" fontId="12" fillId="4" borderId="7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8" xfId="0" applyNumberFormat="1" applyFont="1" applyFill="1" applyBorder="1" applyAlignment="1">
      <x:alignment vertical="center" wrapText="1"/>
    </x:xf>
    <x:xf numFmtId="0" fontId="12" fillId="4" borderId="9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2" fillId="4" borderId="10" xfId="0" applyNumberFormat="1" applyFont="1" applyFill="1" applyBorder="1" applyAlignment="1">
      <x:alignment vertical="center" wrapText="1"/>
    </x:xf>
    <x:xf numFmtId="203" fontId="13" fillId="0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3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200" fontId="14" fillId="0" borderId="0" xfId="0" applyNumberFormat="1" applyFont="1" applyFill="1" applyBorder="1"/>
    <x:xf numFmtId="201" fontId="14" fillId="0" borderId="0" xfId="0" applyNumberFormat="1" applyFont="1" applyFill="1" applyBorder="1"/>
    <x:xf numFmtId="202" fontId="14" fillId="0" borderId="0" xfId="0" applyNumberFormat="1" applyFont="1" applyFill="1" applyBorder="1"/>
    <x:xf numFmtId="203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202" fontId="14" fillId="0" borderId="0" xfId="0" applyNumberFormat="1" applyFont="1" applyFill="1" applyBorder="1" applyAlignment="1">
      <x:alignment vertical="center"/>
    </x:xf>
    <x:xf numFmtId="203" fontId="14" fillId="0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/>
    <x:xf numFmtId="202" fontId="13" fillId="0" borderId="0" xfId="0" applyNumberFormat="1" applyFont="1" applyFill="1" applyBorder="1"/>
    <x:xf numFmtId="203" fontId="11" fillId="0" borderId="0" xfId="0" applyNumberFormat="1" applyFont="1" applyFill="1" applyBorder="1"/>
    <x:xf numFmtId="0" fontId="12" fillId="3" borderId="2" xfId="0" applyNumberFormat="1" applyFont="1" applyFill="1" applyBorder="1"/>
    <x:xf numFmtId="203" fontId="12" fillId="3" borderId="2" xfId="0" applyNumberFormat="1" applyFont="1" applyFill="1" applyBorder="1"/>
    <x:xf numFmtId="201" fontId="11" fillId="0" borderId="0" xfId="0" applyNumberFormat="1" applyFont="1" applyFill="1" applyBorder="1"/>
    <x:xf numFmtId="0" fontId="12" fillId="3" borderId="3" xfId="0" applyNumberFormat="1" applyFont="1" applyFill="1" applyBorder="1"/>
    <x:xf numFmtId="203" fontId="12" fillId="3" borderId="3" xfId="0" applyNumberFormat="1" applyFont="1" applyFill="1" applyBorder="1"/>
    <x:xf numFmtId="0" fontId="12" fillId="3" borderId="4" xfId="0" applyNumberFormat="1" applyFont="1" applyFill="1" applyBorder="1"/>
    <x:xf numFmtId="201" fontId="12" fillId="3" borderId="4" xfId="0" applyNumberFormat="1" applyFont="1" applyFill="1" applyBorder="1"/>
    <x:xf numFmtId="204" fontId="11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12" fillId="3" borderId="2" xfId="0" applyNumberFormat="1" applyFont="1" applyFill="1" applyBorder="1" applyAlignment="1">
      <x:alignment vertical="center"/>
    </x:xf>
    <x:xf numFmtId="203" fontId="12" fillId="3" borderId="2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0" fontId="12" fillId="3" borderId="3" xfId="0" applyNumberFormat="1" applyFont="1" applyFill="1" applyBorder="1" applyAlignment="1">
      <x:alignment vertical="center"/>
    </x:xf>
    <x:xf numFmtId="203" fontId="12" fillId="3" borderId="3" xfId="0" applyNumberFormat="1" applyFont="1" applyFill="1" applyBorder="1" applyAlignment="1">
      <x:alignment vertical="center"/>
    </x:xf>
    <x:xf numFmtId="0" fontId="12" fillId="3" borderId="4" xfId="0" applyNumberFormat="1" applyFont="1" applyFill="1" applyBorder="1" applyAlignment="1">
      <x:alignment vertical="center"/>
    </x:xf>
    <x:xf numFmtId="201" fontId="12" fillId="3" borderId="4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/>
    <x:xf numFmtId="205" fontId="11" fillId="0" borderId="0" xfId="0" applyNumberFormat="1" applyFont="1" applyFill="1" applyBorder="1"/>
    <x:xf numFmtId="202" fontId="12" fillId="3" borderId="3" xfId="0" applyNumberFormat="1" applyFont="1" applyFill="1" applyBorder="1"/>
    <x:xf numFmtId="202" fontId="11" fillId="0" borderId="0" xfId="0" applyNumberFormat="1" applyFont="1" applyFill="1" applyBorder="1" applyAlignment="1">
      <x:alignment vertical="center"/>
    </x:xf>
    <x:xf numFmtId="205" fontId="11" fillId="0" borderId="0" xfId="0" applyNumberFormat="1" applyFont="1" applyFill="1" applyBorder="1" applyAlignment="1">
      <x:alignment vertical="center"/>
    </x:xf>
    <x:xf numFmtId="202" fontId="12" fillId="3" borderId="3" xfId="0" applyNumberFormat="1" applyFont="1" applyFill="1" applyBorder="1" applyAlignment="1">
      <x:alignment vertical="center"/>
    </x:xf>
    <x:xf numFmtId="204" fontId="14" fillId="0" borderId="0" xfId="0" applyNumberFormat="1" applyFont="1" applyFill="1" applyBorder="1"/>
    <x:xf numFmtId="201" fontId="12" fillId="3" borderId="3" xfId="0" applyNumberFormat="1" applyFont="1" applyFill="1" applyBorder="1"/>
    <x:xf numFmtId="0" fontId="12" fillId="3" borderId="0" xfId="0" applyNumberFormat="1" applyFont="1" applyFill="1" applyBorder="1"/>
    <x:xf numFmtId="204" fontId="12" fillId="3" borderId="0" xfId="0" applyNumberFormat="1" applyFont="1" applyFill="1" applyBorder="1"/>
    <x:xf numFmtId="204" fontId="14" fillId="0" borderId="0" xfId="0" applyNumberFormat="1" applyFont="1" applyFill="1" applyBorder="1" applyAlignment="1">
      <x:alignment vertical="center"/>
    </x:xf>
    <x:xf numFmtId="201" fontId="12" fillId="3" borderId="3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204" fontId="12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204" fontId="13" fillId="0" borderId="0" xfId="0" applyNumberFormat="1" applyFont="1" applyFill="1" applyBorder="1" applyAlignment="1">
      <x:alignment wrapText="1"/>
    </x:xf>
    <x:xf numFmtId="201" fontId="11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201" fontId="14" fillId="0" borderId="0" xfId="0" applyNumberFormat="1" applyFont="1" applyFill="1" applyBorder="1" applyAlignment="1">
      <x:alignment wrapText="1"/>
    </x:xf>
    <x:xf numFmtId="204" fontId="11" fillId="0" borderId="0" xfId="0" applyNumberFormat="1" applyFont="1" applyFill="1" applyBorder="1" applyAlignment="1">
      <x:alignment wrapText="1"/>
    </x:xf>
    <x:xf numFmtId="0" fontId="12" fillId="3" borderId="2" xfId="0" applyNumberFormat="1" applyFont="1" applyFill="1" applyBorder="1" applyAlignment="1">
      <x:alignment wrapText="1"/>
    </x:xf>
    <x:xf numFmtId="201" fontId="12" fillId="3" borderId="2" xfId="0" applyNumberFormat="1" applyFont="1" applyFill="1" applyBorder="1" applyAlignment="1">
      <x:alignment wrapText="1"/>
    </x:xf>
    <x:xf numFmtId="0" fontId="12" fillId="3" borderId="3" xfId="0" applyNumberFormat="1" applyFont="1" applyFill="1" applyBorder="1" applyAlignment="1">
      <x:alignment wrapText="1"/>
    </x:xf>
    <x:xf numFmtId="204" fontId="12" fillId="3" borderId="3" xfId="0" applyNumberFormat="1" applyFont="1" applyFill="1" applyBorder="1" applyAlignment="1">
      <x:alignment wrapText="1"/>
    </x:xf>
    <x:xf numFmtId="201" fontId="12" fillId="3" borderId="3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204" fontId="12" fillId="3" borderId="0" xfId="0" applyNumberFormat="1" applyFont="1" applyFill="1" applyBorder="1" applyAlignment="1">
      <x:alignment wrapText="1"/>
    </x:xf>
    <x:xf numFmtId="201" fontId="12" fillId="3" borderId="0" xfId="0" applyNumberFormat="1" applyFont="1" applyFill="1" applyBorder="1" applyAlignment="1">
      <x:alignment wrapText="1"/>
    </x:xf>
    <x:xf numFmtId="0" fontId="12" fillId="3" borderId="4" xfId="0" applyNumberFormat="1" applyFont="1" applyFill="1" applyBorder="1" applyAlignment="1">
      <x:alignment wrapText="1"/>
    </x:xf>
    <x:xf numFmtId="204" fontId="12" fillId="3" borderId="4" xfId="0" applyNumberFormat="1" applyFont="1" applyFill="1" applyBorder="1" applyAlignment="1">
      <x:alignment wrapText="1"/>
    </x:xf>
    <x:xf numFmtId="201" fontId="12" fillId="3" borderId="4" xfId="0" applyNumberFormat="1" applyFont="1" applyFill="1" applyBorder="1" applyAlignment="1">
      <x:alignment wrapText="1"/>
    </x:xf>
    <x:xf numFmtId="203" fontId="13" fillId="0" borderId="0" xfId="0" applyNumberFormat="1" applyFont="1" applyFill="1" applyBorder="1" applyAlignment="1">
      <x:alignment wrapText="1"/>
    </x:xf>
    <x:xf numFmtId="201" fontId="13" fillId="0" borderId="0" xfId="0" applyNumberFormat="1" applyFont="1" applyFill="1" applyBorder="1" applyAlignment="1">
      <x:alignment wrapText="1"/>
    </x:xf>
    <x:xf numFmtId="206" fontId="13" fillId="0" borderId="0" xfId="0" applyNumberFormat="1" applyFont="1" applyFill="1" applyBorder="1" applyAlignment="1">
      <x:alignment wrapText="1"/>
    </x:xf>
    <x:xf numFmtId="204" fontId="13" fillId="0" borderId="0" xfId="0" applyNumberFormat="1" applyFont="1" applyFill="1" applyBorder="1" applyAlignment="1">
      <x:alignment vertical="center" wrapText="1"/>
    </x:xf>
    <x:xf numFmtId="201" fontId="11" fillId="0" borderId="0" xfId="0" applyNumberFormat="1" applyFont="1" applyFill="1" applyBorder="1" applyAlignment="1">
      <x:alignment vertical="center" wrapText="1"/>
    </x:xf>
    <x:xf numFmtId="201" fontId="14" fillId="0" borderId="0" xfId="0" applyNumberFormat="1" applyFont="1" applyFill="1" applyBorder="1" applyAlignment="1">
      <x:alignment vertical="center" wrapText="1"/>
    </x:xf>
    <x:xf numFmtId="204" fontId="11" fillId="0" borderId="0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201" fontId="12" fillId="3" borderId="2" xfId="0" applyNumberFormat="1" applyFont="1" applyFill="1" applyBorder="1" applyAlignment="1">
      <x:alignment vertical="center" wrapText="1"/>
    </x:xf>
    <x:xf numFmtId="0" fontId="12" fillId="3" borderId="3" xfId="0" applyNumberFormat="1" applyFont="1" applyFill="1" applyBorder="1" applyAlignment="1">
      <x:alignment vertical="center" wrapText="1"/>
    </x:xf>
    <x:xf numFmtId="204" fontId="12" fillId="3" borderId="3" xfId="0" applyNumberFormat="1" applyFont="1" applyFill="1" applyBorder="1" applyAlignment="1">
      <x:alignment vertical="center" wrapText="1"/>
    </x:xf>
    <x:xf numFmtId="201" fontId="12" fillId="3" borderId="3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  <x:xf numFmtId="204" fontId="12" fillId="3" borderId="0" xfId="0" applyNumberFormat="1" applyFont="1" applyFill="1" applyBorder="1" applyAlignment="1">
      <x:alignment vertical="center" wrapText="1"/>
    </x:xf>
    <x:xf numFmtId="201" fontId="12" fillId="3" borderId="0" xfId="0" applyNumberFormat="1" applyFont="1" applyFill="1" applyBorder="1" applyAlignment="1">
      <x:alignment vertical="center" wrapText="1"/>
    </x:xf>
    <x:xf numFmtId="0" fontId="12" fillId="3" borderId="4" xfId="0" applyNumberFormat="1" applyFont="1" applyFill="1" applyBorder="1" applyAlignment="1">
      <x:alignment vertical="center" wrapText="1"/>
    </x:xf>
    <x:xf numFmtId="204" fontId="12" fillId="3" borderId="4" xfId="0" applyNumberFormat="1" applyFont="1" applyFill="1" applyBorder="1" applyAlignment="1">
      <x:alignment vertical="center" wrapText="1"/>
    </x:xf>
    <x:xf numFmtId="201" fontId="12" fillId="3" borderId="4" xfId="0" applyNumberFormat="1" applyFont="1" applyFill="1" applyBorder="1" applyAlignment="1">
      <x:alignment vertical="center" wrapText="1"/>
    </x:xf>
    <x:xf numFmtId="203" fontId="13" fillId="0" borderId="0" xfId="0" applyNumberFormat="1" applyFont="1" applyFill="1" applyBorder="1" applyAlignment="1">
      <x:alignment vertical="center" wrapText="1"/>
    </x:xf>
    <x:xf numFmtId="201" fontId="13" fillId="0" borderId="0" xfId="0" applyNumberFormat="1" applyFont="1" applyFill="1" applyBorder="1" applyAlignment="1">
      <x:alignment vertical="center" wrapText="1"/>
    </x:xf>
    <x:xf numFmtId="206" fontId="13" fillId="0" borderId="0" xfId="0" applyNumberFormat="1" applyFont="1" applyFill="1" applyBorder="1" applyAlignment="1">
      <x:alignment vertical="center" wrapText="1"/>
    </x:xf>
    <x:xf numFmtId="205" fontId="13" fillId="0" borderId="0" xfId="0" applyNumberFormat="1" applyFont="1" applyFill="1" applyBorder="1"/>
    <x:xf numFmtId="205" fontId="13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center" wrapText="1"/>
    </x:xf>
    <x:xf numFmtId="201" fontId="16" fillId="3" borderId="3" xfId="0" applyNumberFormat="1" applyFont="1" applyFill="1" applyBorder="1" applyAlignment="1">
      <x:alignment vertical="center"/>
    </x:xf>
    <x:xf numFmtId="201" fontId="16" fillId="3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FF0000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e4dccf8684cfe" /><Relationship Type="http://schemas.openxmlformats.org/officeDocument/2006/relationships/theme" Target="/xl/theme/theme1.xml" Id="Rf1ae0120435747c6" /><Relationship Type="http://schemas.openxmlformats.org/officeDocument/2006/relationships/sharedStrings" Target="/xl/sharedStrings.xml" Id="R8d959fad77a040a4" /><Relationship Type="http://schemas.openxmlformats.org/officeDocument/2006/relationships/worksheet" Target="/xl/worksheets/sheet1.xml" Id="R2a1b835bfaaa4e3a" /><Relationship Type="http://schemas.openxmlformats.org/officeDocument/2006/relationships/worksheet" Target="/xl/worksheets/sheet2.xml" Id="Ra302be532e304e53" /><Relationship Type="http://schemas.openxmlformats.org/officeDocument/2006/relationships/worksheet" Target="/xl/worksheets/sheet3.xml" Id="R74a96669b5ec4dba" /><Relationship Type="http://schemas.openxmlformats.org/officeDocument/2006/relationships/worksheet" Target="/xl/worksheets/sheet4.xml" Id="R917a241e6dde4747" /><Relationship Type="http://schemas.openxmlformats.org/officeDocument/2006/relationships/worksheet" Target="/xl/worksheets/sheet5.xml" Id="Ra625db0e05b54d5f" /><Relationship Type="http://schemas.openxmlformats.org/officeDocument/2006/relationships/worksheet" Target="/xl/worksheets/sheet6.xml" Id="R87d1977fc63c4a25" /><Relationship Type="http://schemas.openxmlformats.org/officeDocument/2006/relationships/worksheet" Target="/xl/worksheets/sheet7.xml" Id="R9ac0d1687e114fca" /><Relationship Type="http://schemas.openxmlformats.org/officeDocument/2006/relationships/worksheet" Target="/xl/worksheets/sheet8.xml" Id="R1ba8f6eaf48145d2" /><Relationship Type="http://schemas.openxmlformats.org/officeDocument/2006/relationships/worksheet" Target="/xl/worksheets/sheet9.xml" Id="R81cf893196244e96" /><Relationship Type="http://schemas.openxmlformats.org/officeDocument/2006/relationships/worksheet" Target="/xl/worksheets/sheet10.xml" Id="R0569a7b70e83448c" /><Relationship Type="http://schemas.openxmlformats.org/officeDocument/2006/relationships/worksheet" Target="/xl/worksheets/sheet11.xml" Id="Rde4d24edbc214e09" /><Relationship Type="http://schemas.microsoft.com/office/2017/10/relationships/person" Target="/xl/persons/person.xml" Id="R3743ca99ad424e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b1ec31edea4f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Modeled cost per matched presentation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Efficient peer</c:v>
          </c:tx>
          <c:cat>
            <c:strRef>
              <c:f>'Summary'!$A$22:$A$23</c:f>
              <c:strCache>
                <c:ptCount val="0"/>
              </c:strCache>
            </c:strRef>
          </c:cat>
          <c:val>
            <c:numRef>
              <c:f>'Summary'!$B$22:$B$23</c:f>
              <c:numCache>
                <c:formatCode>$0.00;[Red]($0.00);-</c:formatCode>
                <c:ptCount val="0"/>
              </c:numCache>
            </c:numRef>
          </c:val>
        </c:ser>
        <c:ser>
          <c:idx val="1"/>
          <c:order val="1"/>
          <c:tx>
            <c:v>Biocon base</c:v>
          </c:tx>
          <c:cat>
            <c:strRef>
              <c:f>'Summary'!$A$22:$A$23</c:f>
              <c:strCache>
                <c:ptCount val="0"/>
              </c:strCache>
            </c:strRef>
          </c:cat>
          <c:val>
            <c:numRef>
              <c:f>'Summary'!$C$22:$C$23</c:f>
              <c:numCache>
                <c:formatCode>$0.00;[Red]($0.00);-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9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b1ec31edea4f8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hirsh Sawarna" id="{1233ADE4-E0B6-402C-A2A0-7CECF8D6E98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14" dT="2026-09-08T13:36:05.14" personId="{1233ADE4-E0B6-402C-A2A0-7CECF8D6E98F}" id="{522DCAC1-FD64-479C-943D-9B619D085B2B}">
    <xltc:text>Analyst utilisation assumption. Biocon does not disclose plant-level mAb utilisation; test the full range on the Sensitivity sheet.</xltc:text>
  </xltc:threadedComment>
  <xltc:threadedComment ref="D66" dT="2026-09-08T13:36:05.14" personId="{1233ADE4-E0B6-402C-A2A0-7CECF8D6E98F}" id="{AB7A320D-B650-459F-9E0F-7ED936D5FABB}">
    <xltc:text>Analyst utilisation assumption for the Malaysia insulin network. It is not company guidance.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9" dT="2026-09-08T13:36:05.214" personId="{1233ADE4-E0B6-402C-A2A0-7CECF8D6E98F}" id="{2823AB1A-7AA7-41E0-879B-2034D7AF5D29}">
    <xltc:text>Manager email records FY26 BBL contribution cost of approximately ₹29.4bn on ₹104.3bn revenue. Treat as an analyst working estimate, not a disclosed company COGS line.</xltc:text>
  </xltc:threadedComment>
  <xltc:threadedComment ref="B11" dT="2026-09-08T13:36:05.214" personId="{1233ADE4-E0B6-402C-A2A0-7CECF8D6E98F}" id="{FDA4FFE1-F5E6-4570-AAC4-E2A2BBF20EE1}">
    <xltc:text>Celltrion reported a 38% cost-of-sales ratio in Q2 2026 and attributed improvement to mix, inventory, yield and process optimisation.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30d0a25c5045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dfc01cf57eb4dc7" /><Relationship Type="http://schemas.openxmlformats.org/officeDocument/2006/relationships/vmlDrawing" Target="/xl/drawings/vmldrawing.vml" Id="Rbadc607d9f784543" /><Relationship Type="http://schemas.microsoft.com/office/2017/10/relationships/threadedComment" Target="/xl/threadedcomments/threadedcomment.xml" Id="Rf918373d3a0347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8b771e5ac5fb4763" /><Relationship Type="http://schemas.openxmlformats.org/officeDocument/2006/relationships/vmlDrawing" Target="/xl/drawings/vmldrawing2.vml" Id="Rf0641f52036d412f" /><Relationship Type="http://schemas.microsoft.com/office/2017/10/relationships/threadedComment" Target="/xl/threadedcomments/threadedcomment2.xml" Id="R6c8c46617f6042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129" t="str">
        <x:v>BIOCON BIOSIMILARS UNIT ECONOMICS</x:v>
      </x:c>
      <x:c r="B1" s="129"/>
      <x:c r="C1" s="129"/>
      <x:c r="D1" s="129"/>
      <x:c r="E1" s="129"/>
      <x:c r="F1" s="129"/>
      <x:c r="G1" s="129"/>
      <x:c r="H1" s="129"/>
      <x:c r="I1" s="129"/>
    </x:row>
    <x:row r="2" ht="24" customHeight="1">
      <x:c r="A2" s="129"/>
      <x:c r="B2" s="129"/>
      <x:c r="C2" s="129"/>
      <x:c r="D2" s="129"/>
      <x:c r="E2" s="129"/>
      <x:c r="F2" s="129"/>
      <x:c r="G2" s="129"/>
      <x:c r="H2" s="129"/>
      <x:c r="I2" s="129"/>
    </x:row>
    <x:row r="3" ht="22" customHeight="1">
      <x:c r="A3" s="130" t="str">
        <x:v>Physical manufacturing cost, landed manufacturing economics and fully burdened FY26 cash operating economics. The 30% premium is tested as an output.</x:v>
      </x:c>
      <x:c r="B3" s="130"/>
      <x:c r="C3" s="130"/>
      <x:c r="D3" s="130"/>
      <x:c r="E3" s="130"/>
      <x:c r="F3" s="130"/>
      <x:c r="G3" s="130"/>
      <x:c r="H3" s="130"/>
      <x:c r="I3" s="130"/>
    </x:row>
    <x:row r="4" ht="22" customHeight="1">
      <x:c r="A4" s="130"/>
      <x:c r="B4" s="130"/>
      <x:c r="C4" s="130"/>
      <x:c r="D4" s="130"/>
      <x:c r="E4" s="130"/>
      <x:c r="F4" s="130"/>
      <x:c r="G4" s="130"/>
      <x:c r="H4" s="130"/>
      <x:c r="I4" s="130"/>
    </x:row>
    <x:row r="5">
      <x:c r="A5" s="146"/>
      <x:c r="B5" s="146"/>
      <x:c r="C5" s="146"/>
      <x:c r="D5" s="146"/>
      <x:c r="E5" s="146"/>
      <x:c r="F5" s="146"/>
      <x:c r="G5" s="146"/>
      <x:c r="H5" s="146"/>
      <x:c r="I5" s="146"/>
    </x:row>
    <x:row r="6" ht="18" customHeight="1">
      <x:c r="A6" s="129" t="str">
        <x:v>MODEL OUTPUT</x:v>
      </x:c>
      <x:c r="B6" s="129"/>
      <x:c r="C6" s="129"/>
      <x:c r="D6" s="129"/>
      <x:c r="E6" s="129"/>
      <x:c r="F6" s="129"/>
      <x:c r="G6" s="129"/>
      <x:c r="H6" s="129"/>
      <x:c r="I6" s="129"/>
    </x:row>
    <x:row r="7">
      <x:c r="A7" s="132" t="str">
        <x:v>Output</x:v>
      </x:c>
      <x:c r="B7" s="132" t="str">
        <x:v>Value</x:v>
      </x:c>
      <x:c r="C7" s="146"/>
      <x:c r="D7" s="146"/>
      <x:c r="E7" s="132" t="str">
        <x:v>Economic cross-check</x:v>
      </x:c>
      <x:c r="F7" s="132" t="str">
        <x:v>Value</x:v>
      </x:c>
      <x:c r="G7" s="146"/>
      <x:c r="H7" s="146"/>
      <x:c r="I7" s="146"/>
    </x:row>
    <x:row r="8">
      <x:c r="A8" s="146" t="str">
        <x:v>mAb standard-vial cost premium</x:v>
      </x:c>
      <x:c r="B8" s="147" t="n">
        <x:f>'mAb Platform'!C59</x:f>
        <x:v>0.2252665482196219</x:v>
      </x:c>
      <x:c r="C8" s="146"/>
      <x:c r="D8" s="146"/>
      <x:c r="E8" s="146" t="str">
        <x:v>FY26 contribution cost ratio</x:v>
      </x:c>
      <x:c r="F8" s="147" t="n">
        <x:f>'Full Economics'!C23</x:f>
        <x:v>0.28184676739013725</x:v>
      </x:c>
      <x:c r="G8" s="146"/>
      <x:c r="H8" s="146"/>
      <x:c r="I8" s="146"/>
    </x:row>
    <x:row r="9">
      <x:c r="A9" s="146" t="str">
        <x:v>Insulin presentation cost premium</x:v>
      </x:c>
      <x:c r="B9" s="147" t="n">
        <x:f>'Insulin Platform'!C56</x:f>
        <x:v>0.21405365938905718</x:v>
      </x:c>
      <x:c r="C9" s="146"/>
      <x:c r="D9" s="146"/>
      <x:c r="E9" s="146" t="str">
        <x:v>Modeled landed manufacturing cost ratio</x:v>
      </x:c>
      <x:c r="F9" s="147" t="n">
        <x:f>'Full Economics'!C24</x:f>
        <x:v>0.41818007515913797</x:v>
      </x:c>
      <x:c r="G9" s="146"/>
      <x:c r="H9" s="146"/>
      <x:c r="I9" s="146"/>
    </x:row>
    <x:row r="10">
      <x:c r="A10" s="146" t="str">
        <x:v>Value-weighted product premium</x:v>
      </x:c>
      <x:c r="B10" s="147" t="n">
        <x:f>'Product Costs'!E18</x:f>
        <x:v>0.19697545093515245</x:v>
      </x:c>
      <x:c r="C10" s="146"/>
      <x:c r="D10" s="146"/>
      <x:c r="E10" s="146" t="str">
        <x:v>Landed-cost premium to Celltrion</x:v>
      </x:c>
      <x:c r="F10" s="147" t="n">
        <x:f>'Accounting Check'!B25</x:f>
        <x:v>0.10047388199773133</x:v>
      </x:c>
      <x:c r="G10" s="146"/>
      <x:c r="H10" s="146"/>
      <x:c r="I10" s="146"/>
    </x:row>
    <x:row r="11">
      <x:c r="A11" s="146" t="str">
        <x:v>mAb utilisation for 30% premium</x:v>
      </x:c>
      <x:c r="B11" s="147" t="n">
        <x:f>'mAb Platform'!C62</x:f>
        <x:v>0.37237171480439074</x:v>
      </x:c>
      <x:c r="C11" s="146"/>
      <x:c r="D11" s="146"/>
      <x:c r="E11" s="146" t="str">
        <x:v>Fully burdened cash operating cost ratio</x:v>
      </x:c>
      <x:c r="F11" s="147" t="n">
        <x:f>'Full Economics'!C25</x:f>
        <x:v>0.7362911266201396</x:v>
      </x:c>
      <x:c r="G11" s="146"/>
      <x:c r="H11" s="146"/>
      <x:c r="I11" s="146"/>
    </x:row>
    <x:row r="12">
      <x:c r="A12" s="146" t="str">
        <x:v>Insulin utilisation for 30% premium</x:v>
      </x:c>
      <x:c r="B12" s="147" t="n">
        <x:f>'Insulin Platform'!C59</x:f>
        <x:v>0.5053435053546829</x:v>
      </x:c>
      <x:c r="C12" s="146"/>
      <x:c r="D12" s="146"/>
      <x:c r="E12" s="146" t="str">
        <x:v>Celltrion implied operating cost ratio</x:v>
      </x:c>
      <x:c r="F12" s="147" t="n">
        <x:f>1-26.1%</x:f>
        <x:v>0.739</x:v>
      </x:c>
      <x:c r="G12" s="146"/>
      <x:c r="H12" s="146"/>
      <x:c r="I12" s="146"/>
    </x:row>
    <x:row r="13">
      <x:c r="A13" s="146" t="str">
        <x:v>Model conclusion</x:v>
      </x:c>
      <x:c r="B13" s="148" t="str">
        <x:f>IF(AND(B8&gt;=30%,B9&gt;=30%),"30% supported in base case","Higher cost; 30% is downside case")</x:f>
        <x:v>Higher cost; 30% is downside case</x:v>
      </x:c>
      <x:c r="C13" s="146"/>
      <x:c r="D13" s="146"/>
      <x:c r="E13" s="146" t="str">
        <x:v>Samsung standalone COGS status</x:v>
      </x:c>
      <x:c r="F13" s="146" t="str">
        <x:v>Not disclosed</x:v>
      </x:c>
      <x:c r="G13" s="146"/>
      <x:c r="H13" s="146"/>
      <x:c r="I13" s="146"/>
    </x:row>
    <x:row r="14">
      <x:c r="A14" s="146"/>
      <x:c r="B14" s="146"/>
      <x:c r="C14" s="146"/>
      <x:c r="D14" s="146"/>
      <x:c r="E14" s="146"/>
      <x:c r="F14" s="146"/>
      <x:c r="G14" s="146"/>
      <x:c r="H14" s="146"/>
      <x:c r="I14" s="146"/>
    </x:row>
    <x:row r="15">
      <x:c r="A15" s="135" t="str">
        <x:v>Conclusion: the physical model indicates a roughly 20% Biocon unit-cost disadvantage. The FY26 accounting bridge indicates a 10% landed manufacturing-cost disadvantage under the selected residual-cost allocation. Neither supports a blanket 30% base case. A 30% gap requires the lower utilisation thresholds shown above.</x:v>
      </x:c>
      <x:c r="B15" s="136"/>
      <x:c r="C15" s="136"/>
      <x:c r="D15" s="136"/>
      <x:c r="E15" s="136"/>
      <x:c r="F15" s="136"/>
      <x:c r="G15" s="136"/>
      <x:c r="H15" s="136"/>
      <x:c r="I15" s="137"/>
    </x:row>
    <x:row r="16">
      <x:c r="A16" s="138"/>
      <x:c r="B16" s="139"/>
      <x:c r="C16" s="139"/>
      <x:c r="D16" s="139"/>
      <x:c r="E16" s="139"/>
      <x:c r="F16" s="139"/>
      <x:c r="G16" s="139"/>
      <x:c r="H16" s="139"/>
      <x:c r="I16" s="140"/>
    </x:row>
    <x:row r="17">
      <x:c r="A17" s="138"/>
      <x:c r="B17" s="139"/>
      <x:c r="C17" s="139"/>
      <x:c r="D17" s="139"/>
      <x:c r="E17" s="139"/>
      <x:c r="F17" s="139"/>
      <x:c r="G17" s="139"/>
      <x:c r="H17" s="139"/>
      <x:c r="I17" s="140"/>
    </x:row>
    <x:row r="18">
      <x:c r="A18" s="141"/>
      <x:c r="B18" s="142"/>
      <x:c r="C18" s="142"/>
      <x:c r="D18" s="142"/>
      <x:c r="E18" s="142"/>
      <x:c r="F18" s="142"/>
      <x:c r="G18" s="142"/>
      <x:c r="H18" s="142"/>
      <x:c r="I18" s="143"/>
    </x:row>
    <x:row r="19">
      <x:c r="A19" s="146"/>
      <x:c r="B19" s="146"/>
      <x:c r="C19" s="146"/>
      <x:c r="D19" s="146"/>
      <x:c r="E19" s="146"/>
      <x:c r="F19" s="146"/>
      <x:c r="G19" s="146"/>
      <x:c r="H19" s="146"/>
      <x:c r="I19" s="146"/>
    </x:row>
    <x:row r="20">
      <x:c r="A20" s="146"/>
      <x:c r="B20" s="146"/>
      <x:c r="C20" s="146"/>
      <x:c r="D20" s="146"/>
      <x:c r="E20" s="146"/>
      <x:c r="F20" s="146"/>
      <x:c r="G20" s="146"/>
      <x:c r="H20" s="146"/>
      <x:c r="I20" s="146"/>
    </x:row>
    <x:row r="21">
      <x:c r="A21" s="132" t="str">
        <x:v>Platform</x:v>
      </x:c>
      <x:c r="B21" s="132" t="str">
        <x:v>Efficient peer</x:v>
      </x:c>
      <x:c r="C21" s="132" t="str">
        <x:v>Biocon base</x:v>
      </x:c>
      <x:c r="D21" s="146"/>
      <x:c r="E21" s="146"/>
      <x:c r="F21" s="146"/>
      <x:c r="G21" s="146"/>
      <x:c r="H21" s="146"/>
      <x:c r="I21" s="146"/>
    </x:row>
    <x:row r="22">
      <x:c r="A22" s="146" t="str">
        <x:v>mAb 150 mg vial</x:v>
      </x:c>
      <x:c r="B22" s="149" t="n">
        <x:f>'mAb Platform'!B58</x:f>
        <x:v>30.641825396825396</x:v>
      </x:c>
      <x:c r="C22" s="149" t="n">
        <x:f>'mAb Platform'!C58</x:f>
        <x:v>37.5444036351166</x:v>
      </x:c>
      <x:c r="D22" s="146"/>
      <x:c r="E22" s="146"/>
      <x:c r="F22" s="146"/>
      <x:c r="G22" s="146"/>
      <x:c r="H22" s="146"/>
      <x:c r="I22" s="146"/>
    </x:row>
    <x:row r="23">
      <x:c r="A23" s="146" t="str">
        <x:v>Insulin 300 IU</x:v>
      </x:c>
      <x:c r="B23" s="149" t="n">
        <x:f>'Insulin Platform'!B55</x:f>
        <x:v>4.67283894607843</x:v>
      </x:c>
      <x:c r="C23" s="149" t="n">
        <x:f>'Insulin Platform'!C55</x:f>
        <x:v>5.673077222222224</x:v>
      </x:c>
      <x:c r="D23" s="146"/>
      <x:c r="E23" s="146"/>
      <x:c r="F23" s="146"/>
      <x:c r="G23" s="146"/>
      <x:c r="H23" s="146"/>
      <x:c r="I23" s="146"/>
    </x:row>
    <x:row r="24">
      <x:c r="A24" s="146"/>
      <x:c r="B24" s="146"/>
      <x:c r="C24" s="146"/>
      <x:c r="D24" s="146"/>
      <x:c r="E24" s="146"/>
      <x:c r="F24" s="146"/>
      <x:c r="G24" s="146"/>
      <x:c r="H24" s="146"/>
      <x:c r="I24" s="146"/>
    </x:row>
    <x:row r="25">
      <x:c r="A25" s="146"/>
      <x:c r="B25" s="146"/>
      <x:c r="C25" s="146"/>
      <x:c r="D25" s="146"/>
      <x:c r="E25" s="146"/>
      <x:c r="F25" s="146"/>
      <x:c r="G25" s="146"/>
      <x:c r="H25" s="146"/>
      <x:c r="I25" s="146"/>
    </x:row>
    <x:row r="26">
      <x:c r="A26" s="146"/>
      <x:c r="B26" s="146"/>
      <x:c r="C26" s="146"/>
      <x:c r="D26" s="146"/>
      <x:c r="E26" s="146"/>
      <x:c r="F26" s="146"/>
      <x:c r="G26" s="146"/>
      <x:c r="H26" s="146"/>
      <x:c r="I26" s="146"/>
    </x:row>
    <x:row r="27">
      <x:c r="A27" s="146"/>
      <x:c r="B27" s="146"/>
      <x:c r="C27" s="146"/>
      <x:c r="D27" s="146"/>
      <x:c r="E27" s="146"/>
      <x:c r="F27" s="146"/>
      <x:c r="G27" s="146"/>
      <x:c r="H27" s="146"/>
      <x:c r="I27" s="146"/>
    </x:row>
    <x:row r="28">
      <x:c r="A28" s="146"/>
      <x:c r="B28" s="146"/>
      <x:c r="C28" s="146"/>
      <x:c r="D28" s="146"/>
      <x:c r="E28" s="146"/>
      <x:c r="F28" s="146"/>
      <x:c r="G28" s="146"/>
      <x:c r="H28" s="146"/>
      <x:c r="I28" s="146"/>
    </x:row>
    <x:row r="29">
      <x:c r="A29" s="146"/>
      <x:c r="B29" s="146"/>
      <x:c r="C29" s="146"/>
      <x:c r="D29" s="146"/>
      <x:c r="E29" s="146"/>
      <x:c r="F29" s="146"/>
      <x:c r="G29" s="146"/>
      <x:c r="H29" s="146"/>
      <x:c r="I29" s="146"/>
    </x:row>
    <x:row r="30">
      <x:c r="A30" s="146"/>
      <x:c r="B30" s="146"/>
      <x:c r="C30" s="146"/>
      <x:c r="D30" s="146"/>
      <x:c r="E30" s="146"/>
      <x:c r="F30" s="146"/>
      <x:c r="G30" s="146"/>
      <x:c r="H30" s="146"/>
      <x:c r="I30" s="146"/>
    </x:row>
    <x:row r="31">
      <x:c r="A31" s="146"/>
      <x:c r="B31" s="146"/>
      <x:c r="C31" s="146"/>
      <x:c r="D31" s="146"/>
      <x:c r="E31" s="146"/>
      <x:c r="F31" s="146"/>
      <x:c r="G31" s="146"/>
      <x:c r="H31" s="146"/>
      <x:c r="I31" s="146"/>
    </x:row>
    <x:row r="32">
      <x:c r="A32" s="146"/>
      <x:c r="B32" s="146"/>
      <x:c r="C32" s="146"/>
      <x:c r="D32" s="146"/>
      <x:c r="E32" s="146"/>
      <x:c r="F32" s="146"/>
      <x:c r="G32" s="146"/>
      <x:c r="H32" s="146"/>
      <x:c r="I32" s="146"/>
    </x:row>
    <x:row r="33">
      <x:c r="A33" s="146"/>
      <x:c r="B33" s="146"/>
      <x:c r="C33" s="146"/>
      <x:c r="D33" s="146"/>
      <x:c r="E33" s="146"/>
      <x:c r="F33" s="146"/>
      <x:c r="G33" s="146"/>
      <x:c r="H33" s="146"/>
      <x:c r="I33" s="146"/>
    </x:row>
    <x:row r="34">
      <x:c r="A34" s="146"/>
      <x:c r="B34" s="146"/>
      <x:c r="C34" s="146"/>
      <x:c r="D34" s="146"/>
      <x:c r="E34" s="146"/>
      <x:c r="F34" s="146"/>
      <x:c r="G34" s="146"/>
      <x:c r="H34" s="146"/>
      <x:c r="I34" s="146"/>
    </x:row>
    <x:row r="35">
      <x:c r="A35" s="146"/>
      <x:c r="B35" s="146"/>
      <x:c r="C35" s="146"/>
      <x:c r="D35" s="146"/>
      <x:c r="E35" s="146"/>
      <x:c r="F35" s="146"/>
      <x:c r="G35" s="146"/>
      <x:c r="H35" s="146"/>
      <x:c r="I35" s="146"/>
    </x:row>
    <x:row r="36">
      <x:c r="A36" s="145" t="str">
        <x:v>Model convention: blue font = editable assumptions; green font = links to another worksheet; black font = formulas and reported source data. Commercial, integration, R&amp;D and corporate costs are excluded from physical manufacturing cost and shown separately in Full Economics.</x:v>
      </x:c>
      <x:c r="B36" s="145"/>
      <x:c r="C36" s="145"/>
      <x:c r="D36" s="145"/>
      <x:c r="E36" s="145"/>
      <x:c r="F36" s="145"/>
      <x:c r="G36" s="145"/>
      <x:c r="H36" s="145"/>
      <x:c r="I36" s="145"/>
    </x:row>
    <x:row r="37">
      <x:c r="A37" s="145"/>
      <x:c r="B37" s="145"/>
      <x:c r="C37" s="145"/>
      <x:c r="D37" s="145"/>
      <x:c r="E37" s="145"/>
      <x:c r="F37" s="145"/>
      <x:c r="G37" s="145"/>
      <x:c r="H37" s="145"/>
      <x:c r="I37" s="145"/>
    </x:row>
    <x:row r="38">
      <x:c r="A38" s="145"/>
      <x:c r="B38" s="145"/>
      <x:c r="C38" s="145"/>
      <x:c r="D38" s="145"/>
      <x:c r="E38" s="145"/>
      <x:c r="F38" s="145"/>
      <x:c r="G38" s="145"/>
      <x:c r="H38" s="145"/>
      <x:c r="I38" s="145"/>
    </x:row>
  </x:sheetData>
  <x:mergeCells>
    <x:mergeCell ref="A1:I2"/>
    <x:mergeCell ref="A3:I4"/>
    <x:mergeCell ref="A6:I6"/>
    <x:mergeCell ref="A15:I18"/>
    <x:mergeCell ref="A36:I38"/>
  </x:mergeCells>
  <x:pageMargins left="0.7" right="0.7" top="0.75" bottom="0.75" header="0.3" footer="0.3"/>
  <x:drawing xmlns:r="http://schemas.openxmlformats.org/officeDocument/2006/relationships" r:id="R9230d0a25c50459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5" hidden="0" customWidth="1"/>
    <x:col min="4" max="4" width="15" hidden="0" customWidth="1"/>
    <x:col min="5" max="5" width="55" hidden="0" customWidth="1"/>
  </x:cols>
  <x:sheetData>
    <x:row r="1" ht="24" customHeight="1">
      <x:c r="A1" s="129" t="str">
        <x:v>BIOSIMILAR UNIT-COST ASSUMPTIONS</x:v>
      </x:c>
      <x:c r="B1" s="129"/>
      <x:c r="C1" s="129"/>
      <x:c r="D1" s="129"/>
      <x:c r="E1" s="129"/>
    </x:row>
    <x:row r="2" ht="24" customHeight="1">
      <x:c r="A2" s="129"/>
      <x:c r="B2" s="129"/>
      <x:c r="C2" s="129"/>
      <x:c r="D2" s="129"/>
      <x:c r="E2" s="129"/>
    </x:row>
    <x:row r="3" ht="22" customHeight="1">
      <x:c r="A3" s="130" t="str">
        <x:v>Blue-font cells are editable analyst assumptions. Process inputs are illustrative because Biocon does not disclose plant-level titer, yield, batch cadence or utilisation.</x:v>
      </x:c>
      <x:c r="B3" s="130"/>
      <x:c r="C3" s="130"/>
      <x:c r="D3" s="130"/>
      <x:c r="E3" s="130"/>
    </x:row>
    <x:row r="4" ht="22" customHeight="1">
      <x:c r="A4" s="130"/>
      <x:c r="B4" s="130"/>
      <x:c r="C4" s="130"/>
      <x:c r="D4" s="130"/>
      <x:c r="E4" s="130"/>
    </x:row>
    <x:row r="5">
      <x:c r="A5" s="146"/>
      <x:c r="B5" s="146"/>
      <x:c r="C5" s="146"/>
      <x:c r="D5" s="146"/>
      <x:c r="E5" s="146"/>
    </x:row>
    <x:row r="6" ht="18" customHeight="1">
      <x:c r="A6" s="129" t="str">
        <x:v>MONOCLONAL ANTIBODY PLATFORM</x:v>
      </x:c>
      <x:c r="B6" s="129"/>
      <x:c r="C6" s="129"/>
      <x:c r="D6" s="129"/>
      <x:c r="E6" s="129"/>
    </x:row>
    <x:row r="7">
      <x:c r="A7" s="132" t="str">
        <x:v>Process input</x:v>
      </x:c>
      <x:c r="B7" s="132" t="str">
        <x:v>Unit</x:v>
      </x:c>
      <x:c r="C7" s="132" t="str">
        <x:v>Efficient peer</x:v>
      </x:c>
      <x:c r="D7" s="132" t="str">
        <x:v>Biocon base</x:v>
      </x:c>
      <x:c r="E7" s="132" t="str">
        <x:v>Rationale</x:v>
      </x:c>
    </x:row>
    <x:row r="8">
      <x:c r="A8" s="146" t="str">
        <x:v>Standard presentation</x:v>
      </x:c>
      <x:c r="B8" s="146" t="str">
        <x:v>mg</x:v>
      </x:c>
      <x:c r="C8" s="155" t="n">
        <x:v>150</x:v>
      </x:c>
      <x:c r="D8" s="155" t="n">
        <x:v>150</x:v>
      </x:c>
      <x:c r="E8" s="146" t="str">
        <x:v>Common dose-equivalent used to compare the same physical output</x:v>
      </x:c>
    </x:row>
    <x:row r="9">
      <x:c r="A9" s="146" t="str">
        <x:v>Batch working volume</x:v>
      </x:c>
      <x:c r="B9" s="146" t="str">
        <x:v>litres</x:v>
      </x:c>
      <x:c r="C9" s="155" t="n">
        <x:v>15000</x:v>
      </x:c>
      <x:c r="D9" s="155" t="n">
        <x:v>15000</x:v>
      </x:c>
      <x:c r="E9" s="146" t="str">
        <x:v>Large-scale fed-batch reference</x:v>
      </x:c>
    </x:row>
    <x:row r="10">
      <x:c r="A10" s="146" t="str">
        <x:v>Titer</x:v>
      </x:c>
      <x:c r="B10" s="146" t="str">
        <x:v>g/L</x:v>
      </x:c>
      <x:c r="C10" s="156" t="n">
        <x:v>4.5</x:v>
      </x:c>
      <x:c r="D10" s="156" t="n">
        <x:v>4.2</x:v>
      </x:c>
      <x:c r="E10" s="146" t="str">
        <x:v>3-5 g/L is a common mature-process range; Biocon gap is an analyst assumption</x:v>
      </x:c>
    </x:row>
    <x:row r="11">
      <x:c r="A11" s="146" t="str">
        <x:v>Downstream recovery</x:v>
      </x:c>
      <x:c r="B11" s="146" t="str">
        <x:v>%</x:v>
      </x:c>
      <x:c r="C11" s="157" t="n">
        <x:v>0.75</x:v>
      </x:c>
      <x:c r="D11" s="157" t="n">
        <x:v>0.72</x:v>
      </x:c>
      <x:c r="E11" s="146" t="str">
        <x:v>Purification recovery assumption</x:v>
      </x:c>
    </x:row>
    <x:row r="12">
      <x:c r="A12" s="146" t="str">
        <x:v>Batch-release success</x:v>
      </x:c>
      <x:c r="B12" s="146" t="str">
        <x:v>%</x:v>
      </x:c>
      <x:c r="C12" s="157" t="n">
        <x:v>0.98</x:v>
      </x:c>
      <x:c r="D12" s="157" t="n">
        <x:v>0.96</x:v>
      </x:c>
      <x:c r="E12" s="146" t="str">
        <x:v>Released output after quality failures</x:v>
      </x:c>
    </x:row>
    <x:row r="13">
      <x:c r="A13" s="146" t="str">
        <x:v>Maximum batches per year</x:v>
      </x:c>
      <x:c r="B13" s="146" t="str">
        <x:v>batches</x:v>
      </x:c>
      <x:c r="C13" s="155" t="n">
        <x:v>30</x:v>
      </x:c>
      <x:c r="D13" s="155" t="n">
        <x:v>30</x:v>
      </x:c>
      <x:c r="E13" s="146" t="str">
        <x:v>Same physical line cadence</x:v>
      </x:c>
    </x:row>
    <x:row r="14">
      <x:c r="A14" s="146" t="str">
        <x:v>Utilisation</x:v>
      </x:c>
      <x:c r="B14" s="146" t="str">
        <x:v>%</x:v>
      </x:c>
      <x:c r="C14" s="157" t="n">
        <x:v>0.8</x:v>
      </x:c>
      <x:c r="D14" s="157" t="n">
        <x:v>0.45</x:v>
      </x:c>
      <x:c r="E14" s="146" t="str">
        <x:v>Peer supported by broad portfolio; Biocon is an undisclosed scenario input</x:v>
      </x:c>
    </x:row>
    <x:row r="15">
      <x:c r="A15" s="146" t="str">
        <x:v>Obsolescence / write-off</x:v>
      </x:c>
      <x:c r="B15" s="146" t="str">
        <x:v>% of cost</x:v>
      </x:c>
      <x:c r="C15" s="157" t="n">
        <x:v>0.02</x:v>
      </x:c>
      <x:c r="D15" s="157" t="n">
        <x:v>0.05</x:v>
      </x:c>
      <x:c r="E15" s="146" t="str">
        <x:v>Higher exposure where launches and sell-through are less predictable</x:v>
      </x:c>
    </x:row>
    <x:row r="16">
      <x:c r="A16" s="146"/>
      <x:c r="B16" s="146"/>
      <x:c r="C16" s="146"/>
      <x:c r="D16" s="146"/>
      <x:c r="E16" s="146"/>
    </x:row>
    <x:row r="17" ht="18" customHeight="1">
      <x:c r="A17" s="129" t="str">
        <x:v>mAb DRUG-SUBSTANCE FIXED COST ($m PER YEAR)</x:v>
      </x:c>
      <x:c r="B17" s="129"/>
      <x:c r="C17" s="129"/>
      <x:c r="D17" s="129"/>
      <x:c r="E17" s="129"/>
    </x:row>
    <x:row r="18">
      <x:c r="A18" s="132" t="str">
        <x:v>Cost item</x:v>
      </x:c>
      <x:c r="B18" s="132" t="str">
        <x:v>Unit</x:v>
      </x:c>
      <x:c r="C18" s="132" t="str">
        <x:v>Efficient peer</x:v>
      </x:c>
      <x:c r="D18" s="132" t="str">
        <x:v>Biocon base</x:v>
      </x:c>
      <x:c r="E18" s="132" t="str">
        <x:v>Cost perimeter</x:v>
      </x:c>
    </x:row>
    <x:row r="19">
      <x:c r="A19" s="146" t="str">
        <x:v>Direct manufacturing labour</x:v>
      </x:c>
      <x:c r="B19" s="146" t="str">
        <x:v>$m</x:v>
      </x:c>
      <x:c r="C19" s="158" t="n">
        <x:v>7</x:v>
      </x:c>
      <x:c r="D19" s="158" t="n">
        <x:v>5</x:v>
      </x:c>
      <x:c r="E19" s="146" t="str">
        <x:v>Operators and production supervision</x:v>
      </x:c>
    </x:row>
    <x:row r="20">
      <x:c r="A20" s="146" t="str">
        <x:v>Utilities and clean-room operations</x:v>
      </x:c>
      <x:c r="B20" s="146" t="str">
        <x:v>$m</x:v>
      </x:c>
      <x:c r="C20" s="158" t="n">
        <x:v>4</x:v>
      </x:c>
      <x:c r="D20" s="158" t="n">
        <x:v>4</x:v>
      </x:c>
      <x:c r="E20" s="146" t="str">
        <x:v>Water, steam, HVAC and base-load utilities</x:v>
      </x:c>
    </x:row>
    <x:row r="21">
      <x:c r="A21" s="146" t="str">
        <x:v>Maintenance and calibration</x:v>
      </x:c>
      <x:c r="B21" s="146" t="str">
        <x:v>$m</x:v>
      </x:c>
      <x:c r="C21" s="158" t="n">
        <x:v>3.5</x:v>
      </x:c>
      <x:c r="D21" s="158" t="n">
        <x:v>3.5</x:v>
      </x:c>
      <x:c r="E21" s="146" t="str">
        <x:v>Preventive maintenance and metrology</x:v>
      </x:c>
    </x:row>
    <x:row r="22">
      <x:c r="A22" s="146" t="str">
        <x:v>Fixed QA/QC and release</x:v>
      </x:c>
      <x:c r="B22" s="146" t="str">
        <x:v>$m</x:v>
      </x:c>
      <x:c r="C22" s="158" t="n">
        <x:v>4</x:v>
      </x:c>
      <x:c r="D22" s="158" t="n">
        <x:v>4</x:v>
      </x:c>
      <x:c r="E22" s="146" t="str">
        <x:v>Site quality systems and fixed laboratory staff</x:v>
      </x:c>
    </x:row>
    <x:row r="23">
      <x:c r="A23" s="146" t="str">
        <x:v>Factory overhead</x:v>
      </x:c>
      <x:c r="B23" s="146" t="str">
        <x:v>$m</x:v>
      </x:c>
      <x:c r="C23" s="158" t="n">
        <x:v>3</x:v>
      </x:c>
      <x:c r="D23" s="158" t="n">
        <x:v>3</x:v>
      </x:c>
      <x:c r="E23" s="146" t="str">
        <x:v>Site management, insurance and shared support</x:v>
      </x:c>
    </x:row>
    <x:row r="24">
      <x:c r="A24" s="146" t="str">
        <x:v>Depreciation</x:v>
      </x:c>
      <x:c r="B24" s="146" t="str">
        <x:v>$m</x:v>
      </x:c>
      <x:c r="C24" s="158" t="n">
        <x:v>8</x:v>
      </x:c>
      <x:c r="D24" s="158" t="n">
        <x:v>9</x:v>
      </x:c>
      <x:c r="E24" s="146" t="str">
        <x:v>Biocon reflects newer owned capacity</x:v>
      </x:c>
    </x:row>
    <x:row r="25">
      <x:c r="A25" s="146"/>
      <x:c r="B25" s="146"/>
      <x:c r="C25" s="146"/>
      <x:c r="D25" s="146"/>
      <x:c r="E25" s="146"/>
    </x:row>
    <x:row r="26" ht="18" customHeight="1">
      <x:c r="A26" s="129" t="str">
        <x:v>mAb DRUG-SUBSTANCE VARIABLE COST ($ PER RELEASED GRAM)</x:v>
      </x:c>
      <x:c r="B26" s="129"/>
      <x:c r="C26" s="129"/>
      <x:c r="D26" s="129"/>
      <x:c r="E26" s="129"/>
    </x:row>
    <x:row r="27">
      <x:c r="A27" s="132" t="str">
        <x:v>Cost item</x:v>
      </x:c>
      <x:c r="B27" s="132" t="str">
        <x:v>Unit</x:v>
      </x:c>
      <x:c r="C27" s="132" t="str">
        <x:v>Efficient peer</x:v>
      </x:c>
      <x:c r="D27" s="132" t="str">
        <x:v>Biocon base</x:v>
      </x:c>
      <x:c r="E27" s="132" t="str">
        <x:v>Cost perimeter</x:v>
      </x:c>
    </x:row>
    <x:row r="28">
      <x:c r="A28" s="146" t="str">
        <x:v>Media and raw materials</x:v>
      </x:c>
      <x:c r="B28" s="146" t="str">
        <x:v>$/g</x:v>
      </x:c>
      <x:c r="C28" s="159" t="n">
        <x:v>8</x:v>
      </x:c>
      <x:c r="D28" s="159" t="n">
        <x:v>8.2</x:v>
      </x:c>
      <x:c r="E28" s="146" t="str">
        <x:v>Cell-culture media, feeds and buffers</x:v>
      </x:c>
    </x:row>
    <x:row r="29">
      <x:c r="A29" s="146" t="str">
        <x:v>Resins, membranes and filters</x:v>
      </x:c>
      <x:c r="B29" s="146" t="str">
        <x:v>$/g</x:v>
      </x:c>
      <x:c r="C29" s="159" t="n">
        <x:v>9</x:v>
      </x:c>
      <x:c r="D29" s="159" t="n">
        <x:v>9.4</x:v>
      </x:c>
      <x:c r="E29" s="146" t="str">
        <x:v>Protein capture and downstream purification</x:v>
      </x:c>
    </x:row>
    <x:row r="30">
      <x:c r="A30" s="146" t="str">
        <x:v>Single-use consumables</x:v>
      </x:c>
      <x:c r="B30" s="146" t="str">
        <x:v>$/g</x:v>
      </x:c>
      <x:c r="C30" s="159" t="n">
        <x:v>4</x:v>
      </x:c>
      <x:c r="D30" s="159" t="n">
        <x:v>4.2</x:v>
      </x:c>
      <x:c r="E30" s="146" t="str">
        <x:v>Bags, tubing and disposable assemblies</x:v>
      </x:c>
    </x:row>
    <x:row r="31">
      <x:c r="A31" s="146" t="str">
        <x:v>Variable labour</x:v>
      </x:c>
      <x:c r="B31" s="146" t="str">
        <x:v>$/g</x:v>
      </x:c>
      <x:c r="C31" s="159" t="n">
        <x:v>2</x:v>
      </x:c>
      <x:c r="D31" s="159" t="n">
        <x:v>1.5</x:v>
      </x:c>
      <x:c r="E31" s="146" t="str">
        <x:v>Batch-linked labour; lower India labour cost</x:v>
      </x:c>
    </x:row>
    <x:row r="32">
      <x:c r="A32" s="146" t="str">
        <x:v>Variable utilities</x:v>
      </x:c>
      <x:c r="B32" s="146" t="str">
        <x:v>$/g</x:v>
      </x:c>
      <x:c r="C32" s="159" t="n">
        <x:v>1.5</x:v>
      </x:c>
      <x:c r="D32" s="159" t="n">
        <x:v>1.5</x:v>
      </x:c>
      <x:c r="E32" s="146" t="str">
        <x:v>Batch-linked water, steam and energy</x:v>
      </x:c>
    </x:row>
    <x:row r="33">
      <x:c r="A33" s="146" t="str">
        <x:v>Waste treatment</x:v>
      </x:c>
      <x:c r="B33" s="146" t="str">
        <x:v>$/g</x:v>
      </x:c>
      <x:c r="C33" s="159" t="n">
        <x:v>0.5</x:v>
      </x:c>
      <x:c r="D33" s="159" t="n">
        <x:v>0.5</x:v>
      </x:c>
      <x:c r="E33" s="146" t="str">
        <x:v>Biological waste handling</x:v>
      </x:c>
    </x:row>
    <x:row r="34">
      <x:c r="A34" s="146"/>
      <x:c r="B34" s="146"/>
      <x:c r="C34" s="146"/>
      <x:c r="D34" s="146"/>
      <x:c r="E34" s="146"/>
    </x:row>
    <x:row r="35" ht="18" customHeight="1">
      <x:c r="A35" s="129" t="str">
        <x:v>mAb DRUG-PRODUCT FIXED COST ($m PER YEAR)</x:v>
      </x:c>
      <x:c r="B35" s="129"/>
      <x:c r="C35" s="129"/>
      <x:c r="D35" s="129"/>
      <x:c r="E35" s="129"/>
    </x:row>
    <x:row r="36">
      <x:c r="A36" s="132" t="str">
        <x:v>Cost item</x:v>
      </x:c>
      <x:c r="B36" s="132" t="str">
        <x:v>Unit</x:v>
      </x:c>
      <x:c r="C36" s="132" t="str">
        <x:v>Efficient peer</x:v>
      </x:c>
      <x:c r="D36" s="132" t="str">
        <x:v>Biocon base</x:v>
      </x:c>
      <x:c r="E36" s="132" t="str">
        <x:v>Cost perimeter</x:v>
      </x:c>
    </x:row>
    <x:row r="37">
      <x:c r="A37" s="146" t="str">
        <x:v>Fill-line labour</x:v>
      </x:c>
      <x:c r="B37" s="146" t="str">
        <x:v>$m</x:v>
      </x:c>
      <x:c r="C37" s="158" t="n">
        <x:v>3</x:v>
      </x:c>
      <x:c r="D37" s="158" t="n">
        <x:v>2.5</x:v>
      </x:c>
      <x:c r="E37" s="146" t="str">
        <x:v>Aseptic operations staff</x:v>
      </x:c>
    </x:row>
    <x:row r="38">
      <x:c r="A38" s="146" t="str">
        <x:v>Utilities and clean-room operations</x:v>
      </x:c>
      <x:c r="B38" s="146" t="str">
        <x:v>$m</x:v>
      </x:c>
      <x:c r="C38" s="158" t="n">
        <x:v>1.5</x:v>
      </x:c>
      <x:c r="D38" s="158" t="n">
        <x:v>1.5</x:v>
      </x:c>
      <x:c r="E38" s="146" t="str">
        <x:v>Sterile suite base-load cost</x:v>
      </x:c>
    </x:row>
    <x:row r="39">
      <x:c r="A39" s="146" t="str">
        <x:v>Maintenance and calibration</x:v>
      </x:c>
      <x:c r="B39" s="146" t="str">
        <x:v>$m</x:v>
      </x:c>
      <x:c r="C39" s="158" t="n">
        <x:v>1</x:v>
      </x:c>
      <x:c r="D39" s="158" t="n">
        <x:v>1</x:v>
      </x:c>
      <x:c r="E39" s="146" t="str">
        <x:v>Fill-line upkeep</x:v>
      </x:c>
    </x:row>
    <x:row r="40">
      <x:c r="A40" s="146" t="str">
        <x:v>Fixed QA/QC and release</x:v>
      </x:c>
      <x:c r="B40" s="146" t="str">
        <x:v>$m</x:v>
      </x:c>
      <x:c r="C40" s="158" t="n">
        <x:v>2</x:v>
      </x:c>
      <x:c r="D40" s="158" t="n">
        <x:v>2</x:v>
      </x:c>
      <x:c r="E40" s="146" t="str">
        <x:v>Sterility and release systems</x:v>
      </x:c>
    </x:row>
    <x:row r="41">
      <x:c r="A41" s="146" t="str">
        <x:v>Factory overhead</x:v>
      </x:c>
      <x:c r="B41" s="146" t="str">
        <x:v>$m</x:v>
      </x:c>
      <x:c r="C41" s="158" t="n">
        <x:v>1</x:v>
      </x:c>
      <x:c r="D41" s="158" t="n">
        <x:v>1</x:v>
      </x:c>
      <x:c r="E41" s="146" t="str">
        <x:v>Shared drug-product support</x:v>
      </x:c>
    </x:row>
    <x:row r="42">
      <x:c r="A42" s="146" t="str">
        <x:v>Depreciation</x:v>
      </x:c>
      <x:c r="B42" s="146" t="str">
        <x:v>$m</x:v>
      </x:c>
      <x:c r="C42" s="158" t="n">
        <x:v>4</x:v>
      </x:c>
      <x:c r="D42" s="158" t="n">
        <x:v>4.5</x:v>
      </x:c>
      <x:c r="E42" s="146" t="str">
        <x:v>Owned sterile capacity</x:v>
      </x:c>
    </x:row>
    <x:row r="43">
      <x:c r="A43" s="146"/>
      <x:c r="B43" s="146"/>
      <x:c r="C43" s="146"/>
      <x:c r="D43" s="146"/>
      <x:c r="E43" s="146"/>
    </x:row>
    <x:row r="44" ht="18" customHeight="1">
      <x:c r="A44" s="129" t="str">
        <x:v>mAb DRUG-PRODUCT VARIABLE COST ($ PER PRESENTATION)</x:v>
      </x:c>
      <x:c r="B44" s="129"/>
      <x:c r="C44" s="129"/>
      <x:c r="D44" s="129"/>
      <x:c r="E44" s="129"/>
    </x:row>
    <x:row r="45">
      <x:c r="A45" s="132" t="str">
        <x:v>Cost item</x:v>
      </x:c>
      <x:c r="B45" s="132" t="str">
        <x:v>Unit</x:v>
      </x:c>
      <x:c r="C45" s="132" t="str">
        <x:v>Efficient peer</x:v>
      </x:c>
      <x:c r="D45" s="132" t="str">
        <x:v>Biocon base</x:v>
      </x:c>
      <x:c r="E45" s="132" t="str">
        <x:v>Cost perimeter</x:v>
      </x:c>
    </x:row>
    <x:row r="46">
      <x:c r="A46" s="146" t="str">
        <x:v>Vial: formulation and excipients</x:v>
      </x:c>
      <x:c r="B46" s="146" t="str">
        <x:v>$/vial</x:v>
      </x:c>
      <x:c r="C46" s="159" t="n">
        <x:v>0.5</x:v>
      </x:c>
      <x:c r="D46" s="159" t="n">
        <x:v>0.5</x:v>
      </x:c>
      <x:c r="E46" s="146" t="str">
        <x:v>Formulation materials</x:v>
      </x:c>
    </x:row>
    <x:row r="47">
      <x:c r="A47" s="146" t="str">
        <x:v>Vial: container and closure</x:v>
      </x:c>
      <x:c r="B47" s="146" t="str">
        <x:v>$/vial</x:v>
      </x:c>
      <x:c r="C47" s="159" t="n">
        <x:v>2</x:v>
      </x:c>
      <x:c r="D47" s="159" t="n">
        <x:v>2.1</x:v>
      </x:c>
      <x:c r="E47" s="146" t="str">
        <x:v>Glass vial, stopper and seal</x:v>
      </x:c>
    </x:row>
    <x:row r="48">
      <x:c r="A48" s="146" t="str">
        <x:v>Vial: sterile fill-finish</x:v>
      </x:c>
      <x:c r="B48" s="146" t="str">
        <x:v>$/vial</x:v>
      </x:c>
      <x:c r="C48" s="159" t="n">
        <x:v>10</x:v>
      </x:c>
      <x:c r="D48" s="159" t="n">
        <x:v>10</x:v>
      </x:c>
      <x:c r="E48" s="146" t="str">
        <x:v>Aseptic filling benchmark</x:v>
      </x:c>
    </x:row>
    <x:row r="49">
      <x:c r="A49" s="146" t="str">
        <x:v>Vial: inspection and labelling</x:v>
      </x:c>
      <x:c r="B49" s="146" t="str">
        <x:v>$/vial</x:v>
      </x:c>
      <x:c r="C49" s="159" t="n">
        <x:v>2</x:v>
      </x:c>
      <x:c r="D49" s="159" t="n">
        <x:v>2.1</x:v>
      </x:c>
      <x:c r="E49" s="146" t="str">
        <x:v>Visual inspection and labelling</x:v>
      </x:c>
    </x:row>
    <x:row r="50">
      <x:c r="A50" s="146" t="str">
        <x:v>Vial: variable QC and release</x:v>
      </x:c>
      <x:c r="B50" s="146" t="str">
        <x:v>$/vial</x:v>
      </x:c>
      <x:c r="C50" s="159" t="n">
        <x:v>2.5</x:v>
      </x:c>
      <x:c r="D50" s="159" t="n">
        <x:v>2.8</x:v>
      </x:c>
      <x:c r="E50" s="146" t="str">
        <x:v>Batch-linked testing</x:v>
      </x:c>
    </x:row>
    <x:row r="51">
      <x:c r="A51" s="146" t="str">
        <x:v>Vial: packaging and cold chain</x:v>
      </x:c>
      <x:c r="B51" s="146" t="str">
        <x:v>$/vial</x:v>
      </x:c>
      <x:c r="C51" s="159" t="n">
        <x:v>4</x:v>
      </x:c>
      <x:c r="D51" s="159" t="n">
        <x:v>4</x:v>
      </x:c>
      <x:c r="E51" s="146" t="str">
        <x:v>Secondary pack, freight and cold chain</x:v>
      </x:c>
    </x:row>
    <x:row r="52">
      <x:c r="A52" s="146" t="str">
        <x:v>PFS: formulation and excipients</x:v>
      </x:c>
      <x:c r="B52" s="146" t="str">
        <x:v>$/PFS</x:v>
      </x:c>
      <x:c r="C52" s="159" t="n">
        <x:v>0.5</x:v>
      </x:c>
      <x:c r="D52" s="159" t="n">
        <x:v>0.5</x:v>
      </x:c>
      <x:c r="E52" s="146" t="str">
        <x:v>Formulation materials</x:v>
      </x:c>
    </x:row>
    <x:row r="53">
      <x:c r="A53" s="146" t="str">
        <x:v>PFS: syringe / device components</x:v>
      </x:c>
      <x:c r="B53" s="146" t="str">
        <x:v>$/PFS</x:v>
      </x:c>
      <x:c r="C53" s="159" t="n">
        <x:v>6</x:v>
      </x:c>
      <x:c r="D53" s="159" t="n">
        <x:v>6.3</x:v>
      </x:c>
      <x:c r="E53" s="146" t="str">
        <x:v>Syringe, needle shield and device components</x:v>
      </x:c>
    </x:row>
    <x:row r="54">
      <x:c r="A54" s="146" t="str">
        <x:v>PFS: sterile fill-finish</x:v>
      </x:c>
      <x:c r="B54" s="146" t="str">
        <x:v>$/PFS</x:v>
      </x:c>
      <x:c r="C54" s="159" t="n">
        <x:v>10</x:v>
      </x:c>
      <x:c r="D54" s="159" t="n">
        <x:v>10</x:v>
      </x:c>
      <x:c r="E54" s="146" t="str">
        <x:v>Aseptic filling</x:v>
      </x:c>
    </x:row>
    <x:row r="55">
      <x:c r="A55" s="146" t="str">
        <x:v>PFS: inspection and labelling</x:v>
      </x:c>
      <x:c r="B55" s="146" t="str">
        <x:v>$/PFS</x:v>
      </x:c>
      <x:c r="C55" s="159" t="n">
        <x:v>2</x:v>
      </x:c>
      <x:c r="D55" s="159" t="n">
        <x:v>2.1</x:v>
      </x:c>
      <x:c r="E55" s="146" t="str">
        <x:v>Visual inspection and labelling</x:v>
      </x:c>
    </x:row>
    <x:row r="56">
      <x:c r="A56" s="146" t="str">
        <x:v>PFS: variable QC and release</x:v>
      </x:c>
      <x:c r="B56" s="146" t="str">
        <x:v>$/PFS</x:v>
      </x:c>
      <x:c r="C56" s="159" t="n">
        <x:v>2.5</x:v>
      </x:c>
      <x:c r="D56" s="159" t="n">
        <x:v>2.8</x:v>
      </x:c>
      <x:c r="E56" s="146" t="str">
        <x:v>Batch-linked testing</x:v>
      </x:c>
    </x:row>
    <x:row r="57">
      <x:c r="A57" s="146" t="str">
        <x:v>PFS: packaging and cold chain</x:v>
      </x:c>
      <x:c r="B57" s="146" t="str">
        <x:v>$/PFS</x:v>
      </x:c>
      <x:c r="C57" s="159" t="n">
        <x:v>4</x:v>
      </x:c>
      <x:c r="D57" s="159" t="n">
        <x:v>4</x:v>
      </x:c>
      <x:c r="E57" s="146" t="str">
        <x:v>Secondary pack, freight and cold chain</x:v>
      </x:c>
    </x:row>
    <x:row r="58">
      <x:c r="A58" s="146"/>
      <x:c r="B58" s="146"/>
      <x:c r="C58" s="146"/>
      <x:c r="D58" s="146"/>
      <x:c r="E58" s="146"/>
    </x:row>
    <x:row r="59" ht="18" customHeight="1">
      <x:c r="A59" s="129" t="str">
        <x:v>INSULIN PLATFORM</x:v>
      </x:c>
      <x:c r="B59" s="129"/>
      <x:c r="C59" s="129"/>
      <x:c r="D59" s="129"/>
      <x:c r="E59" s="129"/>
    </x:row>
    <x:row r="60">
      <x:c r="A60" s="132" t="str">
        <x:v>Process input</x:v>
      </x:c>
      <x:c r="B60" s="132" t="str">
        <x:v>Unit</x:v>
      </x:c>
      <x:c r="C60" s="132" t="str">
        <x:v>Efficient peer</x:v>
      </x:c>
      <x:c r="D60" s="132" t="str">
        <x:v>Biocon base</x:v>
      </x:c>
      <x:c r="E60" s="132" t="str">
        <x:v>Rationale</x:v>
      </x:c>
    </x:row>
    <x:row r="61">
      <x:c r="A61" s="146" t="str">
        <x:v>Active insulin per 300 IU presentation</x:v>
      </x:c>
      <x:c r="B61" s="146" t="str">
        <x:v>mg</x:v>
      </x:c>
      <x:c r="C61" s="155" t="n">
        <x:v>10.5</x:v>
      </x:c>
      <x:c r="D61" s="155" t="n">
        <x:v>10.5</x:v>
      </x:c>
      <x:c r="E61" s="146" t="str">
        <x:v>Cartridge-equivalent active content</x:v>
      </x:c>
    </x:row>
    <x:row r="62">
      <x:c r="A62" s="146" t="str">
        <x:v>Gross drug substance per batch</x:v>
      </x:c>
      <x:c r="B62" s="146" t="str">
        <x:v>grams</x:v>
      </x:c>
      <x:c r="C62" s="155" t="n">
        <x:v>60000</x:v>
      </x:c>
      <x:c r="D62" s="155" t="n">
        <x:v>60000</x:v>
      </x:c>
      <x:c r="E62" s="146" t="str">
        <x:v>Illustrative microbial fermentation output</x:v>
      </x:c>
    </x:row>
    <x:row r="63">
      <x:c r="A63" s="146" t="str">
        <x:v>Downstream recovery</x:v>
      </x:c>
      <x:c r="B63" s="146" t="str">
        <x:v>%</x:v>
      </x:c>
      <x:c r="C63" s="157" t="n">
        <x:v>0.75</x:v>
      </x:c>
      <x:c r="D63" s="157" t="n">
        <x:v>0.7</x:v>
      </x:c>
      <x:c r="E63" s="146" t="str">
        <x:v>Purification recovery assumption</x:v>
      </x:c>
    </x:row>
    <x:row r="64">
      <x:c r="A64" s="146" t="str">
        <x:v>Batch-release success</x:v>
      </x:c>
      <x:c r="B64" s="146" t="str">
        <x:v>%</x:v>
      </x:c>
      <x:c r="C64" s="157" t="n">
        <x:v>0.98</x:v>
      </x:c>
      <x:c r="D64" s="157" t="n">
        <x:v>0.96</x:v>
      </x:c>
      <x:c r="E64" s="146" t="str">
        <x:v>Released output after quality failures</x:v>
      </x:c>
    </x:row>
    <x:row r="65">
      <x:c r="A65" s="146" t="str">
        <x:v>Maximum batches per year</x:v>
      </x:c>
      <x:c r="B65" s="146" t="str">
        <x:v>batches</x:v>
      </x:c>
      <x:c r="C65" s="155" t="n">
        <x:v>12</x:v>
      </x:c>
      <x:c r="D65" s="155" t="n">
        <x:v>12</x:v>
      </x:c>
      <x:c r="E65" s="146" t="str">
        <x:v>Same physical line cadence</x:v>
      </x:c>
    </x:row>
    <x:row r="66">
      <x:c r="A66" s="146" t="str">
        <x:v>Utilisation</x:v>
      </x:c>
      <x:c r="B66" s="146" t="str">
        <x:v>%</x:v>
      </x:c>
      <x:c r="C66" s="157" t="n">
        <x:v>0.85</x:v>
      </x:c>
      <x:c r="D66" s="157" t="n">
        <x:v>0.6</x:v>
      </x:c>
      <x:c r="E66" s="146" t="str">
        <x:v>Biocon has greater glargine throughput, but Malaysia utilisation is undisclosed</x:v>
      </x:c>
    </x:row>
    <x:row r="67">
      <x:c r="A67" s="146" t="str">
        <x:v>Obsolescence / write-off</x:v>
      </x:c>
      <x:c r="B67" s="146" t="str">
        <x:v>% of cost</x:v>
      </x:c>
      <x:c r="C67" s="157" t="n">
        <x:v>0.015</x:v>
      </x:c>
      <x:c r="D67" s="157" t="n">
        <x:v>0.04</x:v>
      </x:c>
      <x:c r="E67" s="146" t="str">
        <x:v>Launch and inventory risk</x:v>
      </x:c>
    </x:row>
    <x:row r="68">
      <x:c r="A68" s="146"/>
      <x:c r="B68" s="146"/>
      <x:c r="C68" s="146"/>
      <x:c r="D68" s="146"/>
      <x:c r="E68" s="146"/>
    </x:row>
    <x:row r="69" ht="18" customHeight="1">
      <x:c r="A69" s="129" t="str">
        <x:v>INSULIN DRUG-SUBSTANCE FIXED COST ($m PER YEAR)</x:v>
      </x:c>
      <x:c r="B69" s="129"/>
      <x:c r="C69" s="129"/>
      <x:c r="D69" s="129"/>
      <x:c r="E69" s="129"/>
    </x:row>
    <x:row r="70">
      <x:c r="A70" s="132" t="str">
        <x:v>Cost item</x:v>
      </x:c>
      <x:c r="B70" s="132" t="str">
        <x:v>Unit</x:v>
      </x:c>
      <x:c r="C70" s="132" t="str">
        <x:v>Efficient peer</x:v>
      </x:c>
      <x:c r="D70" s="132" t="str">
        <x:v>Biocon base</x:v>
      </x:c>
      <x:c r="E70" s="132" t="str">
        <x:v>Cost perimeter</x:v>
      </x:c>
    </x:row>
    <x:row r="71">
      <x:c r="A71" s="146" t="str">
        <x:v>Direct manufacturing labour</x:v>
      </x:c>
      <x:c r="B71" s="146" t="str">
        <x:v>$m</x:v>
      </x:c>
      <x:c r="C71" s="158" t="n">
        <x:v>8</x:v>
      </x:c>
      <x:c r="D71" s="158" t="n">
        <x:v>6</x:v>
      </x:c>
      <x:c r="E71" s="146" t="str">
        <x:v>Fermentation and purification operators</x:v>
      </x:c>
    </x:row>
    <x:row r="72">
      <x:c r="A72" s="146" t="str">
        <x:v>Utilities and clean-room operations</x:v>
      </x:c>
      <x:c r="B72" s="146" t="str">
        <x:v>$m</x:v>
      </x:c>
      <x:c r="C72" s="158" t="n">
        <x:v>6</x:v>
      </x:c>
      <x:c r="D72" s="158" t="n">
        <x:v>5</x:v>
      </x:c>
      <x:c r="E72" s="146" t="str">
        <x:v>Base-load utilities</x:v>
      </x:c>
    </x:row>
    <x:row r="73">
      <x:c r="A73" s="146" t="str">
        <x:v>Maintenance and calibration</x:v>
      </x:c>
      <x:c r="B73" s="146" t="str">
        <x:v>$m</x:v>
      </x:c>
      <x:c r="C73" s="158" t="n">
        <x:v>4</x:v>
      </x:c>
      <x:c r="D73" s="158" t="n">
        <x:v>4</x:v>
      </x:c>
      <x:c r="E73" s="146" t="str">
        <x:v>Plant upkeep</x:v>
      </x:c>
    </x:row>
    <x:row r="74">
      <x:c r="A74" s="146" t="str">
        <x:v>Fixed QA/QC and release</x:v>
      </x:c>
      <x:c r="B74" s="146" t="str">
        <x:v>$m</x:v>
      </x:c>
      <x:c r="C74" s="158" t="n">
        <x:v>4</x:v>
      </x:c>
      <x:c r="D74" s="158" t="n">
        <x:v>4</x:v>
      </x:c>
      <x:c r="E74" s="146" t="str">
        <x:v>Site quality systems</x:v>
      </x:c>
    </x:row>
    <x:row r="75">
      <x:c r="A75" s="146" t="str">
        <x:v>Factory overhead</x:v>
      </x:c>
      <x:c r="B75" s="146" t="str">
        <x:v>$m</x:v>
      </x:c>
      <x:c r="C75" s="158" t="n">
        <x:v>3</x:v>
      </x:c>
      <x:c r="D75" s="158" t="n">
        <x:v>3</x:v>
      </x:c>
      <x:c r="E75" s="146" t="str">
        <x:v>Shared support</x:v>
      </x:c>
    </x:row>
    <x:row r="76">
      <x:c r="A76" s="146" t="str">
        <x:v>Depreciation</x:v>
      </x:c>
      <x:c r="B76" s="146" t="str">
        <x:v>$m</x:v>
      </x:c>
      <x:c r="C76" s="158" t="n">
        <x:v>10</x:v>
      </x:c>
      <x:c r="D76" s="158" t="n">
        <x:v>12</x:v>
      </x:c>
      <x:c r="E76" s="146" t="str">
        <x:v>Malaysia Phase II capacity burden</x:v>
      </x:c>
    </x:row>
    <x:row r="77">
      <x:c r="A77" s="146"/>
      <x:c r="B77" s="146"/>
      <x:c r="C77" s="146"/>
      <x:c r="D77" s="146"/>
      <x:c r="E77" s="146"/>
    </x:row>
    <x:row r="78" ht="18" customHeight="1">
      <x:c r="A78" s="129" t="str">
        <x:v>INSULIN DRUG-SUBSTANCE VARIABLE COST ($ PER RELEASED GRAM)</x:v>
      </x:c>
      <x:c r="B78" s="129"/>
      <x:c r="C78" s="129"/>
      <x:c r="D78" s="129"/>
      <x:c r="E78" s="129"/>
    </x:row>
    <x:row r="79">
      <x:c r="A79" s="132" t="str">
        <x:v>Cost item</x:v>
      </x:c>
      <x:c r="B79" s="132" t="str">
        <x:v>Unit</x:v>
      </x:c>
      <x:c r="C79" s="132" t="str">
        <x:v>Efficient peer</x:v>
      </x:c>
      <x:c r="D79" s="132" t="str">
        <x:v>Biocon base</x:v>
      </x:c>
      <x:c r="E79" s="132" t="str">
        <x:v>Cost perimeter</x:v>
      </x:c>
    </x:row>
    <x:row r="80">
      <x:c r="A80" s="146" t="str">
        <x:v>Media and raw materials</x:v>
      </x:c>
      <x:c r="B80" s="146" t="str">
        <x:v>$/g</x:v>
      </x:c>
      <x:c r="C80" s="159" t="n">
        <x:v>6</x:v>
      </x:c>
      <x:c r="D80" s="159" t="n">
        <x:v>6.2</x:v>
      </x:c>
      <x:c r="E80" s="146" t="str">
        <x:v>Fermentation media and feeds</x:v>
      </x:c>
    </x:row>
    <x:row r="81">
      <x:c r="A81" s="146" t="str">
        <x:v>Resins, membranes and filters</x:v>
      </x:c>
      <x:c r="B81" s="146" t="str">
        <x:v>$/g</x:v>
      </x:c>
      <x:c r="C81" s="159" t="n">
        <x:v>5</x:v>
      </x:c>
      <x:c r="D81" s="159" t="n">
        <x:v>5.3</x:v>
      </x:c>
      <x:c r="E81" s="146" t="str">
        <x:v>Purification consumables</x:v>
      </x:c>
    </x:row>
    <x:row r="82">
      <x:c r="A82" s="146" t="str">
        <x:v>Single-use consumables</x:v>
      </x:c>
      <x:c r="B82" s="146" t="str">
        <x:v>$/g</x:v>
      </x:c>
      <x:c r="C82" s="159" t="n">
        <x:v>2</x:v>
      </x:c>
      <x:c r="D82" s="159" t="n">
        <x:v>2</x:v>
      </x:c>
      <x:c r="E82" s="146" t="str">
        <x:v>Bags, tubing and assemblies</x:v>
      </x:c>
    </x:row>
    <x:row r="83">
      <x:c r="A83" s="146" t="str">
        <x:v>Variable labour</x:v>
      </x:c>
      <x:c r="B83" s="146" t="str">
        <x:v>$/g</x:v>
      </x:c>
      <x:c r="C83" s="159" t="n">
        <x:v>1.5</x:v>
      </x:c>
      <x:c r="D83" s="159" t="n">
        <x:v>1</x:v>
      </x:c>
      <x:c r="E83" s="146" t="str">
        <x:v>Batch-linked labour</x:v>
      </x:c>
    </x:row>
    <x:row r="84">
      <x:c r="A84" s="146" t="str">
        <x:v>Variable utilities</x:v>
      </x:c>
      <x:c r="B84" s="146" t="str">
        <x:v>$/g</x:v>
      </x:c>
      <x:c r="C84" s="159" t="n">
        <x:v>1.5</x:v>
      </x:c>
      <x:c r="D84" s="159" t="n">
        <x:v>1.5</x:v>
      </x:c>
      <x:c r="E84" s="146" t="str">
        <x:v>Batch-linked energy and water</x:v>
      </x:c>
    </x:row>
    <x:row r="85">
      <x:c r="A85" s="146" t="str">
        <x:v>Waste treatment</x:v>
      </x:c>
      <x:c r="B85" s="146" t="str">
        <x:v>$/g</x:v>
      </x:c>
      <x:c r="C85" s="159" t="n">
        <x:v>0.5</x:v>
      </x:c>
      <x:c r="D85" s="159" t="n">
        <x:v>0.5</x:v>
      </x:c>
      <x:c r="E85" s="146" t="str">
        <x:v>Biological waste handling</x:v>
      </x:c>
    </x:row>
    <x:row r="86">
      <x:c r="A86" s="146"/>
      <x:c r="B86" s="146"/>
      <x:c r="C86" s="146"/>
      <x:c r="D86" s="146"/>
      <x:c r="E86" s="146"/>
    </x:row>
    <x:row r="87" ht="18" customHeight="1">
      <x:c r="A87" s="129" t="str">
        <x:v>INSULIN DRUG-PRODUCT COST</x:v>
      </x:c>
      <x:c r="B87" s="129"/>
      <x:c r="C87" s="129"/>
      <x:c r="D87" s="129"/>
      <x:c r="E87" s="129"/>
    </x:row>
    <x:row r="88">
      <x:c r="A88" s="132" t="str">
        <x:v>Cost item</x:v>
      </x:c>
      <x:c r="B88" s="132" t="str">
        <x:v>Unit</x:v>
      </x:c>
      <x:c r="C88" s="132" t="str">
        <x:v>Efficient peer</x:v>
      </x:c>
      <x:c r="D88" s="132" t="str">
        <x:v>Biocon base</x:v>
      </x:c>
      <x:c r="E88" s="132" t="str">
        <x:v>Cost perimeter</x:v>
      </x:c>
    </x:row>
    <x:row r="89">
      <x:c r="A89" s="146" t="str">
        <x:v>Fixed: fill-line labour</x:v>
      </x:c>
      <x:c r="B89" s="146" t="str">
        <x:v>$m</x:v>
      </x:c>
      <x:c r="C89" s="158" t="n">
        <x:v>5</x:v>
      </x:c>
      <x:c r="D89" s="158" t="n">
        <x:v>4</x:v>
      </x:c>
      <x:c r="E89" s="146" t="str">
        <x:v>Cartridge and device operations</x:v>
      </x:c>
    </x:row>
    <x:row r="90">
      <x:c r="A90" s="146" t="str">
        <x:v>Fixed: utilities</x:v>
      </x:c>
      <x:c r="B90" s="146" t="str">
        <x:v>$m</x:v>
      </x:c>
      <x:c r="C90" s="158" t="n">
        <x:v>2</x:v>
      </x:c>
      <x:c r="D90" s="158" t="n">
        <x:v>2</x:v>
      </x:c>
      <x:c r="E90" s="146" t="str">
        <x:v>Sterile suite base load</x:v>
      </x:c>
    </x:row>
    <x:row r="91">
      <x:c r="A91" s="146" t="str">
        <x:v>Fixed: maintenance and calibration</x:v>
      </x:c>
      <x:c r="B91" s="146" t="str">
        <x:v>$m</x:v>
      </x:c>
      <x:c r="C91" s="158" t="n">
        <x:v>2</x:v>
      </x:c>
      <x:c r="D91" s="158" t="n">
        <x:v>2</x:v>
      </x:c>
      <x:c r="E91" s="146" t="str">
        <x:v>Fill-line upkeep</x:v>
      </x:c>
    </x:row>
    <x:row r="92">
      <x:c r="A92" s="146" t="str">
        <x:v>Fixed: QA/QC and release</x:v>
      </x:c>
      <x:c r="B92" s="146" t="str">
        <x:v>$m</x:v>
      </x:c>
      <x:c r="C92" s="158" t="n">
        <x:v>3</x:v>
      </x:c>
      <x:c r="D92" s="158" t="n">
        <x:v>3</x:v>
      </x:c>
      <x:c r="E92" s="146" t="str">
        <x:v>Site quality systems</x:v>
      </x:c>
    </x:row>
    <x:row r="93">
      <x:c r="A93" s="146" t="str">
        <x:v>Fixed: factory overhead</x:v>
      </x:c>
      <x:c r="B93" s="146" t="str">
        <x:v>$m</x:v>
      </x:c>
      <x:c r="C93" s="158" t="n">
        <x:v>2</x:v>
      </x:c>
      <x:c r="D93" s="158" t="n">
        <x:v>2</x:v>
      </x:c>
      <x:c r="E93" s="146" t="str">
        <x:v>Shared support</x:v>
      </x:c>
    </x:row>
    <x:row r="94">
      <x:c r="A94" s="146" t="str">
        <x:v>Fixed: depreciation</x:v>
      </x:c>
      <x:c r="B94" s="146" t="str">
        <x:v>$m</x:v>
      </x:c>
      <x:c r="C94" s="158" t="n">
        <x:v>8</x:v>
      </x:c>
      <x:c r="D94" s="158" t="n">
        <x:v>10</x:v>
      </x:c>
      <x:c r="E94" s="146" t="str">
        <x:v>Expanded drug-product capacity</x:v>
      </x:c>
    </x:row>
    <x:row r="95">
      <x:c r="A95" s="146" t="str">
        <x:v>Variable: formulation and excipients</x:v>
      </x:c>
      <x:c r="B95" s="146" t="str">
        <x:v>$/presentation</x:v>
      </x:c>
      <x:c r="C95" s="159" t="n">
        <x:v>0.15</x:v>
      </x:c>
      <x:c r="D95" s="159" t="n">
        <x:v>0.15</x:v>
      </x:c>
      <x:c r="E95" s="146" t="str">
        <x:v>Formulation materials</x:v>
      </x:c>
    </x:row>
    <x:row r="96">
      <x:c r="A96" s="146" t="str">
        <x:v>Variable: cartridge and closure</x:v>
      </x:c>
      <x:c r="B96" s="146" t="str">
        <x:v>$/presentation</x:v>
      </x:c>
      <x:c r="C96" s="159" t="n">
        <x:v>0.4</x:v>
      </x:c>
      <x:c r="D96" s="159" t="n">
        <x:v>0.42</x:v>
      </x:c>
      <x:c r="E96" s="146" t="str">
        <x:v>Primary container</x:v>
      </x:c>
    </x:row>
    <x:row r="97">
      <x:c r="A97" s="146" t="str">
        <x:v>Variable: pen/device assembly</x:v>
      </x:c>
      <x:c r="B97" s="146" t="str">
        <x:v>$/presentation</x:v>
      </x:c>
      <x:c r="C97" s="159" t="n">
        <x:v>1.25</x:v>
      </x:c>
      <x:c r="D97" s="159" t="n">
        <x:v>1.3</x:v>
      </x:c>
      <x:c r="E97" s="146" t="str">
        <x:v>Disposable delivery system</x:v>
      </x:c>
    </x:row>
    <x:row r="98">
      <x:c r="A98" s="146" t="str">
        <x:v>Variable: sterile fill-finish</x:v>
      </x:c>
      <x:c r="B98" s="146" t="str">
        <x:v>$/presentation</x:v>
      </x:c>
      <x:c r="C98" s="159" t="n">
        <x:v>0.5</x:v>
      </x:c>
      <x:c r="D98" s="159" t="n">
        <x:v>0.52</x:v>
      </x:c>
      <x:c r="E98" s="146" t="str">
        <x:v>Aseptic filling</x:v>
      </x:c>
    </x:row>
    <x:row r="99">
      <x:c r="A99" s="146" t="str">
        <x:v>Variable: inspection and labelling</x:v>
      </x:c>
      <x:c r="B99" s="146" t="str">
        <x:v>$/presentation</x:v>
      </x:c>
      <x:c r="C99" s="159" t="n">
        <x:v>0.25</x:v>
      </x:c>
      <x:c r="D99" s="159" t="n">
        <x:v>0.26</x:v>
      </x:c>
      <x:c r="E99" s="146" t="str">
        <x:v>Inspection and labelling</x:v>
      </x:c>
    </x:row>
    <x:row r="100">
      <x:c r="A100" s="146" t="str">
        <x:v>Variable: QC and release</x:v>
      </x:c>
      <x:c r="B100" s="146" t="str">
        <x:v>$/presentation</x:v>
      </x:c>
      <x:c r="C100" s="159" t="n">
        <x:v>0.2</x:v>
      </x:c>
      <x:c r="D100" s="159" t="n">
        <x:v>0.22</x:v>
      </x:c>
      <x:c r="E100" s="146" t="str">
        <x:v>Batch-linked testing</x:v>
      </x:c>
    </x:row>
    <x:row r="101">
      <x:c r="A101" s="146" t="str">
        <x:v>Variable: packaging and cold chain</x:v>
      </x:c>
      <x:c r="B101" s="146" t="str">
        <x:v>$/presentation</x:v>
      </x:c>
      <x:c r="C101" s="159" t="n">
        <x:v>0.35</x:v>
      </x:c>
      <x:c r="D101" s="159" t="n">
        <x:v>0.35</x:v>
      </x:c>
      <x:c r="E101" s="146" t="str">
        <x:v>Secondary pack and distribution</x:v>
      </x:c>
    </x:row>
  </x:sheetData>
  <x:mergeCells>
    <x:mergeCell ref="A1:E2"/>
    <x:mergeCell ref="A3:E4"/>
    <x:mergeCell ref="A6:E6"/>
    <x:mergeCell ref="A17:E17"/>
    <x:mergeCell ref="A26:E26"/>
    <x:mergeCell ref="A35:E35"/>
    <x:mergeCell ref="A44:E44"/>
    <x:mergeCell ref="A59:E59"/>
    <x:mergeCell ref="A69:E69"/>
    <x:mergeCell ref="A78:E78"/>
    <x:mergeCell ref="A87:E87"/>
  </x:mergeCells>
  <x:pageMargins left="0.7" right="0.7" top="0.75" bottom="0.75" header="0.3" footer="0.3"/>
  <x:legacyDrawing xmlns:r="http://schemas.openxmlformats.org/officeDocument/2006/relationships" r:id="Rbadc607d9f78454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8" hidden="0" customWidth="1"/>
  </x:cols>
  <x:sheetData>
    <x:row r="1" ht="24" customHeight="1">
      <x:c r="A1" s="129" t="str">
        <x:v>MONOCLONAL ANTIBODY UNIT-COST MODEL</x:v>
      </x:c>
      <x:c r="B1" s="129"/>
      <x:c r="C1" s="129"/>
      <x:c r="D1" s="129"/>
    </x:row>
    <x:row r="2" ht="24" customHeight="1">
      <x:c r="A2" s="129"/>
      <x:c r="B2" s="129"/>
      <x:c r="C2" s="129"/>
      <x:c r="D2" s="129"/>
    </x:row>
    <x:row r="3" ht="22" customHeight="1">
      <x:c r="A3" s="130" t="str">
        <x:v>Cost per released presentation. Drug substance and drug product are modelled separately; commercial SG&amp;A and R&amp;D are excluded.</x:v>
      </x:c>
      <x:c r="B3" s="130"/>
      <x:c r="C3" s="130"/>
      <x:c r="D3" s="130"/>
    </x:row>
    <x:row r="4" ht="22" customHeight="1">
      <x:c r="A4" s="130"/>
      <x:c r="B4" s="130"/>
      <x:c r="C4" s="130"/>
      <x:c r="D4" s="130"/>
    </x:row>
    <x:row r="5">
      <x:c r="A5" s="146"/>
      <x:c r="B5" s="146"/>
      <x:c r="C5" s="146"/>
      <x:c r="D5" s="146"/>
    </x:row>
    <x:row r="6" ht="18" customHeight="1">
      <x:c r="A6" s="129" t="str">
        <x:v>PROCESS INPUTS</x:v>
      </x:c>
      <x:c r="B6" s="129"/>
      <x:c r="C6" s="129"/>
      <x:c r="D6" s="129"/>
    </x:row>
    <x:row r="7">
      <x:c r="A7" s="132" t="str">
        <x:v>Input</x:v>
      </x:c>
      <x:c r="B7" s="132" t="str">
        <x:v>Efficient peer</x:v>
      </x:c>
      <x:c r="C7" s="132" t="str">
        <x:v>Biocon base</x:v>
      </x:c>
      <x:c r="D7" s="132" t="str">
        <x:v>Unit</x:v>
      </x:c>
    </x:row>
    <x:row r="8">
      <x:c r="A8" s="146" t="str">
        <x:v>Standard presentation</x:v>
      </x:c>
      <x:c r="B8" s="148" t="n">
        <x:f>'Assumptions'!C8</x:f>
        <x:v>150</x:v>
      </x:c>
      <x:c r="C8" s="148" t="n">
        <x:f>'Assumptions'!D8</x:f>
        <x:v>150</x:v>
      </x:c>
      <x:c r="D8" s="146" t="str">
        <x:v>mg</x:v>
      </x:c>
    </x:row>
    <x:row r="9">
      <x:c r="A9" s="146" t="str">
        <x:v>Batch working volume</x:v>
      </x:c>
      <x:c r="B9" s="148" t="n">
        <x:f>'Assumptions'!C9</x:f>
        <x:v>15000</x:v>
      </x:c>
      <x:c r="C9" s="148" t="n">
        <x:f>'Assumptions'!D9</x:f>
        <x:v>15000</x:v>
      </x:c>
      <x:c r="D9" s="146" t="str">
        <x:v>litres</x:v>
      </x:c>
    </x:row>
    <x:row r="10">
      <x:c r="A10" s="146" t="str">
        <x:v>Titer</x:v>
      </x:c>
      <x:c r="B10" s="148" t="n">
        <x:f>'Assumptions'!C10</x:f>
        <x:v>4.5</x:v>
      </x:c>
      <x:c r="C10" s="148" t="n">
        <x:f>'Assumptions'!D10</x:f>
        <x:v>4.2</x:v>
      </x:c>
      <x:c r="D10" s="146" t="str">
        <x:v>g/L</x:v>
      </x:c>
    </x:row>
    <x:row r="11">
      <x:c r="A11" s="146" t="str">
        <x:v>Downstream recovery</x:v>
      </x:c>
      <x:c r="B11" s="147" t="n">
        <x:f>'Assumptions'!C11</x:f>
        <x:v>0.75</x:v>
      </x:c>
      <x:c r="C11" s="147" t="n">
        <x:f>'Assumptions'!D11</x:f>
        <x:v>0.72</x:v>
      </x:c>
      <x:c r="D11" s="146" t="str">
        <x:v>%</x:v>
      </x:c>
    </x:row>
    <x:row r="12">
      <x:c r="A12" s="146" t="str">
        <x:v>Batch-release success</x:v>
      </x:c>
      <x:c r="B12" s="147" t="n">
        <x:f>'Assumptions'!C12</x:f>
        <x:v>0.98</x:v>
      </x:c>
      <x:c r="C12" s="147" t="n">
        <x:f>'Assumptions'!D12</x:f>
        <x:v>0.96</x:v>
      </x:c>
      <x:c r="D12" s="146" t="str">
        <x:v>%</x:v>
      </x:c>
    </x:row>
    <x:row r="13">
      <x:c r="A13" s="146" t="str">
        <x:v>Maximum batches per year</x:v>
      </x:c>
      <x:c r="B13" s="148" t="n">
        <x:f>'Assumptions'!C13</x:f>
        <x:v>30</x:v>
      </x:c>
      <x:c r="C13" s="148" t="n">
        <x:f>'Assumptions'!D13</x:f>
        <x:v>30</x:v>
      </x:c>
      <x:c r="D13" s="146" t="str">
        <x:v>batches</x:v>
      </x:c>
    </x:row>
    <x:row r="14">
      <x:c r="A14" s="146" t="str">
        <x:v>Utilisation</x:v>
      </x:c>
      <x:c r="B14" s="147" t="n">
        <x:f>'Assumptions'!C14</x:f>
        <x:v>0.8</x:v>
      </x:c>
      <x:c r="C14" s="147" t="n">
        <x:f>'Assumptions'!D14</x:f>
        <x:v>0.45</x:v>
      </x:c>
      <x:c r="D14" s="146" t="str">
        <x:v>%</x:v>
      </x:c>
    </x:row>
    <x:row r="15">
      <x:c r="A15" s="146" t="str">
        <x:v>Obsolescence / write-off</x:v>
      </x:c>
      <x:c r="B15" s="147" t="n">
        <x:f>'Assumptions'!C15</x:f>
        <x:v>0.02</x:v>
      </x:c>
      <x:c r="C15" s="147" t="n">
        <x:f>'Assumptions'!D15</x:f>
        <x:v>0.05</x:v>
      </x:c>
      <x:c r="D15" s="146" t="str">
        <x:v>% of cost</x:v>
      </x:c>
    </x:row>
    <x:row r="16">
      <x:c r="A16" s="146"/>
      <x:c r="B16" s="146"/>
      <x:c r="C16" s="146"/>
      <x:c r="D16" s="146"/>
    </x:row>
    <x:row r="17" ht="18" customHeight="1">
      <x:c r="A17" s="129" t="str">
        <x:v>RELEASED OUTPUT</x:v>
      </x:c>
      <x:c r="B17" s="129"/>
      <x:c r="C17" s="129"/>
      <x:c r="D17" s="129"/>
    </x:row>
    <x:row r="18">
      <x:c r="A18" s="132" t="str">
        <x:v>Calculation</x:v>
      </x:c>
      <x:c r="B18" s="132" t="str">
        <x:v>Efficient peer</x:v>
      </x:c>
      <x:c r="C18" s="132" t="str">
        <x:v>Biocon base</x:v>
      </x:c>
      <x:c r="D18" s="146"/>
    </x:row>
    <x:row r="19">
      <x:c r="A19" s="146" t="str">
        <x:v>Annual batches</x:v>
      </x:c>
      <x:c r="B19" s="170" t="n">
        <x:f>B13*B14</x:f>
        <x:v>24</x:v>
      </x:c>
      <x:c r="C19" s="170" t="n">
        <x:f>C13*C14</x:f>
        <x:v>13.5</x:v>
      </x:c>
      <x:c r="D19" s="146"/>
    </x:row>
    <x:row r="20">
      <x:c r="A20" s="146" t="str">
        <x:v>Gross grams per batch</x:v>
      </x:c>
      <x:c r="B20" s="170" t="n">
        <x:f>B9*B10</x:f>
        <x:v>67500</x:v>
      </x:c>
      <x:c r="C20" s="170" t="n">
        <x:f>C9*C10</x:f>
        <x:v>63000</x:v>
      </x:c>
      <x:c r="D20" s="146"/>
    </x:row>
    <x:row r="21">
      <x:c r="A21" s="146" t="str">
        <x:v>Released grams per batch</x:v>
      </x:c>
      <x:c r="B21" s="170" t="n">
        <x:f>B20*B11*B12</x:f>
        <x:v>49612.5</x:v>
      </x:c>
      <x:c r="C21" s="170" t="n">
        <x:f>C20*C11*C12</x:f>
        <x:v>43545.6</x:v>
      </x:c>
      <x:c r="D21" s="146"/>
    </x:row>
    <x:row r="22">
      <x:c r="A22" s="146" t="str">
        <x:v>Annual released grams</x:v>
      </x:c>
      <x:c r="B22" s="170" t="n">
        <x:f>B19*B21</x:f>
        <x:v>1190700</x:v>
      </x:c>
      <x:c r="C22" s="170" t="n">
        <x:f>C19*C21</x:f>
        <x:v>587865.6</x:v>
      </x:c>
      <x:c r="D22" s="146"/>
    </x:row>
    <x:row r="23">
      <x:c r="A23" s="146" t="str">
        <x:v>Annual standard presentations</x:v>
      </x:c>
      <x:c r="B23" s="170" t="n">
        <x:f>B22*1000/B8</x:f>
        <x:v>7938000</x:v>
      </x:c>
      <x:c r="C23" s="170" t="n">
        <x:f>C22*1000/C8</x:f>
        <x:v>3919104</x:v>
      </x:c>
      <x:c r="D23" s="146"/>
    </x:row>
    <x:row r="24">
      <x:c r="A24" s="146"/>
      <x:c r="B24" s="146"/>
      <x:c r="C24" s="146"/>
      <x:c r="D24" s="146"/>
    </x:row>
    <x:row r="25" ht="18" customHeight="1">
      <x:c r="A25" s="129" t="str">
        <x:v>DRUG-SUBSTANCE COST</x:v>
      </x:c>
      <x:c r="B25" s="129"/>
      <x:c r="C25" s="129"/>
      <x:c r="D25" s="129"/>
    </x:row>
    <x:row r="26">
      <x:c r="A26" s="132" t="str">
        <x:v>Cost item</x:v>
      </x:c>
      <x:c r="B26" s="132" t="str">
        <x:v>Efficient peer</x:v>
      </x:c>
      <x:c r="C26" s="132" t="str">
        <x:v>Biocon base</x:v>
      </x:c>
      <x:c r="D26" s="146"/>
    </x:row>
    <x:row r="27">
      <x:c r="A27" s="146" t="str">
        <x:v>Direct manufacturing labour</x:v>
      </x:c>
      <x:c r="B27" s="171" t="n">
        <x:f>'Assumptions'!C19</x:f>
        <x:v>7</x:v>
      </x:c>
      <x:c r="C27" s="171" t="n">
        <x:f>'Assumptions'!D19</x:f>
        <x:v>5</x:v>
      </x:c>
      <x:c r="D27" s="146"/>
    </x:row>
    <x:row r="28">
      <x:c r="A28" s="146" t="str">
        <x:v>Utilities and clean-room operations</x:v>
      </x:c>
      <x:c r="B28" s="171" t="n">
        <x:f>'Assumptions'!C20</x:f>
        <x:v>4</x:v>
      </x:c>
      <x:c r="C28" s="171" t="n">
        <x:f>'Assumptions'!D20</x:f>
        <x:v>4</x:v>
      </x:c>
      <x:c r="D28" s="146"/>
    </x:row>
    <x:row r="29">
      <x:c r="A29" s="146" t="str">
        <x:v>Maintenance and calibration</x:v>
      </x:c>
      <x:c r="B29" s="171" t="n">
        <x:f>'Assumptions'!C21</x:f>
        <x:v>3.5</x:v>
      </x:c>
      <x:c r="C29" s="171" t="n">
        <x:f>'Assumptions'!D21</x:f>
        <x:v>3.5</x:v>
      </x:c>
      <x:c r="D29" s="146"/>
    </x:row>
    <x:row r="30">
      <x:c r="A30" s="146" t="str">
        <x:v>Fixed QA/QC and release</x:v>
      </x:c>
      <x:c r="B30" s="171" t="n">
        <x:f>'Assumptions'!C22</x:f>
        <x:v>4</x:v>
      </x:c>
      <x:c r="C30" s="171" t="n">
        <x:f>'Assumptions'!D22</x:f>
        <x:v>4</x:v>
      </x:c>
      <x:c r="D30" s="146"/>
    </x:row>
    <x:row r="31">
      <x:c r="A31" s="146" t="str">
        <x:v>Factory overhead</x:v>
      </x:c>
      <x:c r="B31" s="171" t="n">
        <x:f>'Assumptions'!C23</x:f>
        <x:v>3</x:v>
      </x:c>
      <x:c r="C31" s="171" t="n">
        <x:f>'Assumptions'!D23</x:f>
        <x:v>3</x:v>
      </x:c>
      <x:c r="D31" s="146"/>
    </x:row>
    <x:row r="32">
      <x:c r="A32" s="146" t="str">
        <x:v>Depreciation</x:v>
      </x:c>
      <x:c r="B32" s="171" t="n">
        <x:f>'Assumptions'!C24</x:f>
        <x:v>8</x:v>
      </x:c>
      <x:c r="C32" s="171" t="n">
        <x:f>'Assumptions'!D24</x:f>
        <x:v>9</x:v>
      </x:c>
      <x:c r="D32" s="146"/>
    </x:row>
    <x:row r="33">
      <x:c r="A33" s="146" t="str">
        <x:v>Total fixed drug-substance cost ($m)</x:v>
      </x:c>
      <x:c r="B33" s="146" t="n">
        <x:f>SUM(B27:B32)</x:f>
        <x:v>29.5</x:v>
      </x:c>
      <x:c r="C33" s="146" t="n">
        <x:f>SUM(C27:C32)</x:f>
        <x:v>28.5</x:v>
      </x:c>
      <x:c r="D33" s="146"/>
    </x:row>
    <x:row r="34">
      <x:c r="A34" s="146" t="str">
        <x:v>Fixed drug-substance cost ($/g)</x:v>
      </x:c>
      <x:c r="B34" s="172" t="n">
        <x:f>B33*1000000/B22</x:f>
        <x:v>24.775342235659696</x:v>
      </x:c>
      <x:c r="C34" s="172" t="n">
        <x:f>C33*1000000/C22</x:f>
        <x:v>48.480469005160366</x:v>
      </x:c>
      <x:c r="D34" s="146"/>
    </x:row>
    <x:row r="35">
      <x:c r="A35" s="146" t="str">
        <x:v>Variable drug-substance cost ($/g)</x:v>
      </x:c>
      <x:c r="B35" s="149" t="n">
        <x:f>SUM('Assumptions'!C28:C33)</x:f>
        <x:v>25</x:v>
      </x:c>
      <x:c r="C35" s="149" t="n">
        <x:f>SUM('Assumptions'!D28:D33)</x:f>
        <x:v>25.3</x:v>
      </x:c>
      <x:c r="D35" s="146"/>
    </x:row>
    <x:row r="36">
      <x:c r="A36" s="173" t="str">
        <x:v>Fully loaded drug-substance cost ($/g)</x:v>
      </x:c>
      <x:c r="B36" s="174" t="n">
        <x:f>B34+B35</x:f>
        <x:v>49.77534223565969</x:v>
      </x:c>
      <x:c r="C36" s="174" t="n">
        <x:f>C34+C35</x:f>
        <x:v>73.78046900516037</x:v>
      </x:c>
      <x:c r="D36" s="146"/>
    </x:row>
    <x:row r="37">
      <x:c r="A37" s="146"/>
      <x:c r="B37" s="146"/>
      <x:c r="C37" s="146"/>
      <x:c r="D37" s="146"/>
    </x:row>
    <x:row r="38" ht="18" customHeight="1">
      <x:c r="A38" s="129" t="str">
        <x:v>DRUG-PRODUCT COST</x:v>
      </x:c>
      <x:c r="B38" s="129"/>
      <x:c r="C38" s="129"/>
      <x:c r="D38" s="129"/>
    </x:row>
    <x:row r="39">
      <x:c r="A39" s="132" t="str">
        <x:v>Cost item</x:v>
      </x:c>
      <x:c r="B39" s="132" t="str">
        <x:v>Efficient peer</x:v>
      </x:c>
      <x:c r="C39" s="132" t="str">
        <x:v>Biocon base</x:v>
      </x:c>
      <x:c r="D39" s="146"/>
    </x:row>
    <x:row r="40">
      <x:c r="A40" s="146" t="str">
        <x:v>Fill-line labour</x:v>
      </x:c>
      <x:c r="B40" s="171" t="n">
        <x:f>'Assumptions'!C37</x:f>
        <x:v>3</x:v>
      </x:c>
      <x:c r="C40" s="171" t="n">
        <x:f>'Assumptions'!D37</x:f>
        <x:v>2.5</x:v>
      </x:c>
      <x:c r="D40" s="146"/>
    </x:row>
    <x:row r="41">
      <x:c r="A41" s="146" t="str">
        <x:v>Utilities and clean-room operations</x:v>
      </x:c>
      <x:c r="B41" s="171" t="n">
        <x:f>'Assumptions'!C38</x:f>
        <x:v>1.5</x:v>
      </x:c>
      <x:c r="C41" s="171" t="n">
        <x:f>'Assumptions'!D38</x:f>
        <x:v>1.5</x:v>
      </x:c>
      <x:c r="D41" s="146"/>
    </x:row>
    <x:row r="42">
      <x:c r="A42" s="146" t="str">
        <x:v>Maintenance and calibration</x:v>
      </x:c>
      <x:c r="B42" s="171" t="n">
        <x:f>'Assumptions'!C39</x:f>
        <x:v>1</x:v>
      </x:c>
      <x:c r="C42" s="171" t="n">
        <x:f>'Assumptions'!D39</x:f>
        <x:v>1</x:v>
      </x:c>
      <x:c r="D42" s="146"/>
    </x:row>
    <x:row r="43">
      <x:c r="A43" s="146" t="str">
        <x:v>Fixed QA/QC and release</x:v>
      </x:c>
      <x:c r="B43" s="171" t="n">
        <x:f>'Assumptions'!C40</x:f>
        <x:v>2</x:v>
      </x:c>
      <x:c r="C43" s="171" t="n">
        <x:f>'Assumptions'!D40</x:f>
        <x:v>2</x:v>
      </x:c>
      <x:c r="D43" s="146"/>
    </x:row>
    <x:row r="44">
      <x:c r="A44" s="146" t="str">
        <x:v>Factory overhead</x:v>
      </x:c>
      <x:c r="B44" s="171" t="n">
        <x:f>'Assumptions'!C41</x:f>
        <x:v>1</x:v>
      </x:c>
      <x:c r="C44" s="171" t="n">
        <x:f>'Assumptions'!D41</x:f>
        <x:v>1</x:v>
      </x:c>
      <x:c r="D44" s="146"/>
    </x:row>
    <x:row r="45">
      <x:c r="A45" s="146" t="str">
        <x:v>Depreciation</x:v>
      </x:c>
      <x:c r="B45" s="171" t="n">
        <x:f>'Assumptions'!C42</x:f>
        <x:v>4</x:v>
      </x:c>
      <x:c r="C45" s="171" t="n">
        <x:f>'Assumptions'!D42</x:f>
        <x:v>4.5</x:v>
      </x:c>
      <x:c r="D45" s="146"/>
    </x:row>
    <x:row r="46">
      <x:c r="A46" s="146" t="str">
        <x:v>Total fixed drug-product cost ($m)</x:v>
      </x:c>
      <x:c r="B46" s="146" t="n">
        <x:f>SUM(B40:B45)</x:f>
        <x:v>12.5</x:v>
      </x:c>
      <x:c r="C46" s="146" t="n">
        <x:f>SUM(C40:C45)</x:f>
        <x:v>12.5</x:v>
      </x:c>
      <x:c r="D46" s="146"/>
    </x:row>
    <x:row r="47">
      <x:c r="A47" s="146" t="str">
        <x:v>Fixed drug-product cost ($/presentation)</x:v>
      </x:c>
      <x:c r="B47" s="172" t="n">
        <x:f>B46*1000000/B23</x:f>
        <x:v>1.5747039556563367</x:v>
      </x:c>
      <x:c r="C47" s="172" t="n">
        <x:f>C46*1000000/C23</x:f>
        <x:v>3.1895045398131816</x:v>
      </x:c>
      <x:c r="D47" s="146"/>
    </x:row>
    <x:row r="48">
      <x:c r="A48" s="146" t="str">
        <x:v>Variable vial cost ($/presentation)</x:v>
      </x:c>
      <x:c r="B48" s="149" t="n">
        <x:f>SUM('Assumptions'!C46:C51)</x:f>
        <x:v>21</x:v>
      </x:c>
      <x:c r="C48" s="149" t="n">
        <x:f>SUM('Assumptions'!D46:D51)</x:f>
        <x:v>21.5</x:v>
      </x:c>
      <x:c r="D48" s="146"/>
    </x:row>
    <x:row r="49">
      <x:c r="A49" s="146" t="str">
        <x:v>Variable PFS cost ($/presentation)</x:v>
      </x:c>
      <x:c r="B49" s="149" t="n">
        <x:f>SUM('Assumptions'!C52:C57)</x:f>
        <x:v>25</x:v>
      </x:c>
      <x:c r="C49" s="149" t="n">
        <x:f>SUM('Assumptions'!D52:D57)</x:f>
        <x:v>25.700000000000003</x:v>
      </x:c>
      <x:c r="D49" s="146"/>
    </x:row>
    <x:row r="50">
      <x:c r="A50" s="173" t="str">
        <x:v>Standard vial drug-product cost ($/presentation)</x:v>
      </x:c>
      <x:c r="B50" s="174" t="n">
        <x:f>B47+B48</x:f>
        <x:v>22.574703955656336</x:v>
      </x:c>
      <x:c r="C50" s="174" t="n">
        <x:f>C47+C48</x:f>
        <x:v>24.689504539813182</x:v>
      </x:c>
      <x:c r="D50" s="146"/>
    </x:row>
    <x:row r="51">
      <x:c r="A51" s="146"/>
      <x:c r="B51" s="146"/>
      <x:c r="C51" s="146"/>
      <x:c r="D51" s="146"/>
    </x:row>
    <x:row r="52" ht="18" customHeight="1">
      <x:c r="A52" s="129" t="str">
        <x:v>FULLY LOADED UNIT COST</x:v>
      </x:c>
      <x:c r="B52" s="129"/>
      <x:c r="C52" s="129"/>
      <x:c r="D52" s="129"/>
    </x:row>
    <x:row r="53">
      <x:c r="A53" s="132" t="str">
        <x:v>Calculation</x:v>
      </x:c>
      <x:c r="B53" s="132" t="str">
        <x:v>Efficient peer</x:v>
      </x:c>
      <x:c r="C53" s="132" t="str">
        <x:v>Biocon base</x:v>
      </x:c>
      <x:c r="D53" s="146"/>
    </x:row>
    <x:row r="54">
      <x:c r="A54" s="146" t="str">
        <x:v>Drug-substance cost for standard dose</x:v>
      </x:c>
      <x:c r="B54" s="172" t="n">
        <x:f>B36*B8/1000</x:f>
        <x:v>7.4663013353489545</x:v>
      </x:c>
      <x:c r="C54" s="172" t="n">
        <x:f>C36*C8/1000</x:f>
        <x:v>11.067070350774056</x:v>
      </x:c>
      <x:c r="D54" s="146"/>
    </x:row>
    <x:row r="55">
      <x:c r="A55" s="146" t="str">
        <x:v>Drug-product cost for standard vial</x:v>
      </x:c>
      <x:c r="B55" s="172" t="n">
        <x:f>B50</x:f>
        <x:v>22.574703955656336</x:v>
      </x:c>
      <x:c r="C55" s="172" t="n">
        <x:f>C50</x:f>
        <x:v>24.689504539813182</x:v>
      </x:c>
      <x:c r="D55" s="146"/>
    </x:row>
    <x:row r="56">
      <x:c r="A56" s="146" t="str">
        <x:v>Cost before obsolescence</x:v>
      </x:c>
      <x:c r="B56" s="172" t="n">
        <x:f>SUM(B54:B55)</x:f>
        <x:v>30.04100529100529</x:v>
      </x:c>
      <x:c r="C56" s="172" t="n">
        <x:f>SUM(C54:C55)</x:f>
        <x:v>35.75657489058724</x:v>
      </x:c>
      <x:c r="D56" s="146"/>
    </x:row>
    <x:row r="57">
      <x:c r="A57" s="146" t="str">
        <x:v>Obsolescence / write-off</x:v>
      </x:c>
      <x:c r="B57" s="175" t="n">
        <x:f>B15</x:f>
        <x:v>0.02</x:v>
      </x:c>
      <x:c r="C57" s="175" t="n">
        <x:f>C15</x:f>
        <x:v>0.05</x:v>
      </x:c>
      <x:c r="D57" s="146"/>
    </x:row>
    <x:row r="58">
      <x:c r="A58" s="176" t="str">
        <x:v>Fully loaded cost per standard vial</x:v>
      </x:c>
      <x:c r="B58" s="177" t="n">
        <x:f>B56*(1+B57)</x:f>
        <x:v>30.641825396825396</x:v>
      </x:c>
      <x:c r="C58" s="177" t="n">
        <x:f>C56*(1+C57)</x:f>
        <x:v>37.5444036351166</x:v>
      </x:c>
      <x:c r="D58" s="146"/>
    </x:row>
    <x:row r="59">
      <x:c r="A59" s="178" t="str">
        <x:v>Biocon premium to peer</x:v>
      </x:c>
      <x:c r="B59" s="179" t="n">
        <x:f>0</x:f>
        <x:v>0</x:v>
      </x:c>
      <x:c r="C59" s="179" t="n">
        <x:f>C58/B58-1</x:f>
        <x:v>0.2252665482196219</x:v>
      </x:c>
      <x:c r="D59" s="146"/>
    </x:row>
    <x:row r="60">
      <x:c r="A60" s="146" t="str">
        <x:v>Fixed-cost term at 100% utilisation</x:v>
      </x:c>
      <x:c r="B60" s="172" t="n">
        <x:f>((B33*1000000/(B21*B13))*B8/1000)+(B46*1000000/((B21*B13)*1000/B8))</x:f>
        <x:v>4.232804232804233</x:v>
      </x:c>
      <x:c r="C60" s="172" t="n">
        <x:f>((C33*1000000/(C21*C13))*C8/1000)+(C46*1000000/((C21*C13)*1000/C8))</x:f>
        <x:v>4.707708700764256</x:v>
      </x:c>
      <x:c r="D60" s="146"/>
    </x:row>
    <x:row r="61">
      <x:c r="A61" s="146" t="str">
        <x:v>Variable-cost term before loss</x:v>
      </x:c>
      <x:c r="B61" s="172" t="n">
        <x:f>B35*B8/1000+B48</x:f>
        <x:v>24.75</x:v>
      </x:c>
      <x:c r="C61" s="172" t="n">
        <x:f>C35*C8/1000+C48</x:f>
        <x:v>25.295</x:v>
      </x:c>
      <x:c r="D61" s="146"/>
    </x:row>
    <x:row r="62">
      <x:c r="A62" s="146" t="str">
        <x:v>Biocon utilisation required for 30% premium</x:v>
      </x:c>
      <x:c r="B62" s="146"/>
      <x:c r="C62" s="175" t="n">
        <x:f>C60/(B58*1.3/(1+C57)-C61)</x:f>
        <x:v>0.37237171480439074</x:v>
      </x:c>
      <x:c r="D62" s="146"/>
    </x:row>
    <x:row r="63">
      <x:c r="A63" s="146"/>
      <x:c r="B63" s="146"/>
      <x:c r="C63" s="146"/>
      <x:c r="D63" s="146"/>
    </x:row>
    <x:row r="64">
      <x:c r="A64" s="146"/>
      <x:c r="B64" s="146"/>
      <x:c r="C64" s="146"/>
      <x:c r="D64" s="146"/>
    </x:row>
    <x:row r="65">
      <x:c r="A65" s="135" t="str">
        <x:v>Read-through: the base case produces a cost disadvantage without assuming higher labour cost. The gap comes mainly from lower released output absorbing fixed drug-substance and fill-finish costs. The 30% result is reached only at the utilisation shown above.</x:v>
      </x:c>
      <x:c r="B65" s="136"/>
      <x:c r="C65" s="136"/>
      <x:c r="D65" s="137"/>
    </x:row>
    <x:row r="66">
      <x:c r="A66" s="138"/>
      <x:c r="B66" s="139"/>
      <x:c r="C66" s="139"/>
      <x:c r="D66" s="140"/>
    </x:row>
    <x:row r="67">
      <x:c r="A67" s="138"/>
      <x:c r="B67" s="139"/>
      <x:c r="C67" s="139"/>
      <x:c r="D67" s="140"/>
    </x:row>
    <x:row r="68">
      <x:c r="A68" s="141"/>
      <x:c r="B68" s="142"/>
      <x:c r="C68" s="142"/>
      <x:c r="D68" s="143"/>
    </x:row>
  </x:sheetData>
  <x:mergeCells>
    <x:mergeCell ref="A1:D2"/>
    <x:mergeCell ref="A3:D4"/>
    <x:mergeCell ref="A6:D6"/>
    <x:mergeCell ref="A17:D17"/>
    <x:mergeCell ref="A25:D25"/>
    <x:mergeCell ref="A38:D38"/>
    <x:mergeCell ref="A52:D52"/>
    <x:mergeCell ref="A65:D6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8" hidden="0" customWidth="1"/>
  </x:cols>
  <x:sheetData>
    <x:row r="1" ht="24" customHeight="1">
      <x:c r="A1" s="129" t="str">
        <x:v>INSULIN UNIT-COST MODEL</x:v>
      </x:c>
      <x:c r="B1" s="129"/>
      <x:c r="C1" s="129"/>
      <x:c r="D1" s="129"/>
    </x:row>
    <x:row r="2" ht="24" customHeight="1">
      <x:c r="A2" s="129"/>
      <x:c r="B2" s="129"/>
      <x:c r="C2" s="129"/>
      <x:c r="D2" s="129"/>
    </x:row>
    <x:row r="3" ht="22" customHeight="1">
      <x:c r="A3" s="130" t="str">
        <x:v>Cost per 300 IU cartridge-equivalent presentation. The model captures fermentation, purification, device filling and cold-chain delivery.</x:v>
      </x:c>
      <x:c r="B3" s="130"/>
      <x:c r="C3" s="130"/>
      <x:c r="D3" s="130"/>
    </x:row>
    <x:row r="4" ht="22" customHeight="1">
      <x:c r="A4" s="130"/>
      <x:c r="B4" s="130"/>
      <x:c r="C4" s="130"/>
      <x:c r="D4" s="130"/>
    </x:row>
    <x:row r="5">
      <x:c r="A5" s="146"/>
      <x:c r="B5" s="146"/>
      <x:c r="C5" s="146"/>
      <x:c r="D5" s="146"/>
    </x:row>
    <x:row r="6" ht="18" customHeight="1">
      <x:c r="A6" s="129" t="str">
        <x:v>PROCESS INPUTS</x:v>
      </x:c>
      <x:c r="B6" s="129"/>
      <x:c r="C6" s="129"/>
      <x:c r="D6" s="129"/>
    </x:row>
    <x:row r="7">
      <x:c r="A7" s="132" t="str">
        <x:v>Input</x:v>
      </x:c>
      <x:c r="B7" s="132" t="str">
        <x:v>Efficient peer</x:v>
      </x:c>
      <x:c r="C7" s="132" t="str">
        <x:v>Biocon base</x:v>
      </x:c>
      <x:c r="D7" s="132" t="str">
        <x:v>Unit</x:v>
      </x:c>
    </x:row>
    <x:row r="8">
      <x:c r="A8" s="146" t="str">
        <x:v>Active insulin per presentation</x:v>
      </x:c>
      <x:c r="B8" s="148" t="n">
        <x:f>'Assumptions'!C61</x:f>
        <x:v>10.5</x:v>
      </x:c>
      <x:c r="C8" s="148" t="n">
        <x:f>'Assumptions'!D61</x:f>
        <x:v>10.5</x:v>
      </x:c>
      <x:c r="D8" s="146" t="str">
        <x:v>mg</x:v>
      </x:c>
    </x:row>
    <x:row r="9">
      <x:c r="A9" s="146" t="str">
        <x:v>Gross drug substance per batch</x:v>
      </x:c>
      <x:c r="B9" s="148" t="n">
        <x:f>'Assumptions'!C62</x:f>
        <x:v>60000</x:v>
      </x:c>
      <x:c r="C9" s="148" t="n">
        <x:f>'Assumptions'!D62</x:f>
        <x:v>60000</x:v>
      </x:c>
      <x:c r="D9" s="146" t="str">
        <x:v>grams</x:v>
      </x:c>
    </x:row>
    <x:row r="10">
      <x:c r="A10" s="146" t="str">
        <x:v>Downstream recovery</x:v>
      </x:c>
      <x:c r="B10" s="147" t="n">
        <x:f>'Assumptions'!C63</x:f>
        <x:v>0.75</x:v>
      </x:c>
      <x:c r="C10" s="147" t="n">
        <x:f>'Assumptions'!D63</x:f>
        <x:v>0.7</x:v>
      </x:c>
      <x:c r="D10" s="146" t="str">
        <x:v>%</x:v>
      </x:c>
    </x:row>
    <x:row r="11">
      <x:c r="A11" s="146" t="str">
        <x:v>Batch-release success</x:v>
      </x:c>
      <x:c r="B11" s="147" t="n">
        <x:f>'Assumptions'!C64</x:f>
        <x:v>0.98</x:v>
      </x:c>
      <x:c r="C11" s="147" t="n">
        <x:f>'Assumptions'!D64</x:f>
        <x:v>0.96</x:v>
      </x:c>
      <x:c r="D11" s="146" t="str">
        <x:v>%</x:v>
      </x:c>
    </x:row>
    <x:row r="12">
      <x:c r="A12" s="146" t="str">
        <x:v>Maximum batches per year</x:v>
      </x:c>
      <x:c r="B12" s="148" t="n">
        <x:f>'Assumptions'!C65</x:f>
        <x:v>12</x:v>
      </x:c>
      <x:c r="C12" s="148" t="n">
        <x:f>'Assumptions'!D65</x:f>
        <x:v>12</x:v>
      </x:c>
      <x:c r="D12" s="146" t="str">
        <x:v>batches</x:v>
      </x:c>
    </x:row>
    <x:row r="13">
      <x:c r="A13" s="146" t="str">
        <x:v>Utilisation</x:v>
      </x:c>
      <x:c r="B13" s="147" t="n">
        <x:f>'Assumptions'!C66</x:f>
        <x:v>0.85</x:v>
      </x:c>
      <x:c r="C13" s="147" t="n">
        <x:f>'Assumptions'!D66</x:f>
        <x:v>0.6</x:v>
      </x:c>
      <x:c r="D13" s="146" t="str">
        <x:v>%</x:v>
      </x:c>
    </x:row>
    <x:row r="14">
      <x:c r="A14" s="146" t="str">
        <x:v>Obsolescence / write-off</x:v>
      </x:c>
      <x:c r="B14" s="147" t="n">
        <x:f>'Assumptions'!C67</x:f>
        <x:v>0.015</x:v>
      </x:c>
      <x:c r="C14" s="147" t="n">
        <x:f>'Assumptions'!D67</x:f>
        <x:v>0.04</x:v>
      </x:c>
      <x:c r="D14" s="146" t="str">
        <x:v>% of cost</x:v>
      </x:c>
    </x:row>
    <x:row r="15">
      <x:c r="A15" s="146"/>
      <x:c r="B15" s="146"/>
      <x:c r="C15" s="146"/>
      <x:c r="D15" s="146"/>
    </x:row>
    <x:row r="16" ht="18" customHeight="1">
      <x:c r="A16" s="129" t="str">
        <x:v>RELEASED OUTPUT</x:v>
      </x:c>
      <x:c r="B16" s="129"/>
      <x:c r="C16" s="129"/>
      <x:c r="D16" s="129"/>
    </x:row>
    <x:row r="17">
      <x:c r="A17" s="132" t="str">
        <x:v>Calculation</x:v>
      </x:c>
      <x:c r="B17" s="132" t="str">
        <x:v>Efficient peer</x:v>
      </x:c>
      <x:c r="C17" s="132" t="str">
        <x:v>Biocon base</x:v>
      </x:c>
      <x:c r="D17" s="146"/>
    </x:row>
    <x:row r="18">
      <x:c r="A18" s="146" t="str">
        <x:v>Annual batches</x:v>
      </x:c>
      <x:c r="B18" s="170" t="n">
        <x:f>B12*B13</x:f>
        <x:v>10.2</x:v>
      </x:c>
      <x:c r="C18" s="170" t="n">
        <x:f>C12*C13</x:f>
        <x:v>7.199999999999999</x:v>
      </x:c>
      <x:c r="D18" s="146"/>
    </x:row>
    <x:row r="19">
      <x:c r="A19" s="146" t="str">
        <x:v>Released grams per batch</x:v>
      </x:c>
      <x:c r="B19" s="170" t="n">
        <x:f>B9*B10*B11</x:f>
        <x:v>44100</x:v>
      </x:c>
      <x:c r="C19" s="170" t="n">
        <x:f>C9*C10*C11</x:f>
        <x:v>40320</x:v>
      </x:c>
      <x:c r="D19" s="146"/>
    </x:row>
    <x:row r="20">
      <x:c r="A20" s="146" t="str">
        <x:v>Annual released grams</x:v>
      </x:c>
      <x:c r="B20" s="170" t="n">
        <x:f>B18*B19</x:f>
        <x:v>449819.99999999994</x:v>
      </x:c>
      <x:c r="C20" s="170" t="n">
        <x:f>C18*C19</x:f>
        <x:v>290304</x:v>
      </x:c>
      <x:c r="D20" s="146"/>
    </x:row>
    <x:row r="21">
      <x:c r="A21" s="146" t="str">
        <x:v>Annual presentations</x:v>
      </x:c>
      <x:c r="B21" s="170" t="n">
        <x:f>B20*1000/B8</x:f>
        <x:v>42839999.99999999</x:v>
      </x:c>
      <x:c r="C21" s="170" t="n">
        <x:f>C20*1000/C8</x:f>
        <x:v>27648000</x:v>
      </x:c>
      <x:c r="D21" s="146"/>
    </x:row>
    <x:row r="22">
      <x:c r="A22" s="146"/>
      <x:c r="B22" s="146"/>
      <x:c r="C22" s="146"/>
      <x:c r="D22" s="146"/>
    </x:row>
    <x:row r="23" ht="18" customHeight="1">
      <x:c r="A23" s="129" t="str">
        <x:v>DRUG-SUBSTANCE COST</x:v>
      </x:c>
      <x:c r="B23" s="129"/>
      <x:c r="C23" s="129"/>
      <x:c r="D23" s="129"/>
    </x:row>
    <x:row r="24">
      <x:c r="A24" s="132" t="str">
        <x:v>Cost item</x:v>
      </x:c>
      <x:c r="B24" s="132" t="str">
        <x:v>Efficient peer</x:v>
      </x:c>
      <x:c r="C24" s="132" t="str">
        <x:v>Biocon base</x:v>
      </x:c>
      <x:c r="D24" s="146"/>
    </x:row>
    <x:row r="25">
      <x:c r="A25" s="146" t="str">
        <x:v>Direct manufacturing labour</x:v>
      </x:c>
      <x:c r="B25" s="171" t="n">
        <x:f>'Assumptions'!C71</x:f>
        <x:v>8</x:v>
      </x:c>
      <x:c r="C25" s="171" t="n">
        <x:f>'Assumptions'!D71</x:f>
        <x:v>6</x:v>
      </x:c>
      <x:c r="D25" s="146"/>
    </x:row>
    <x:row r="26">
      <x:c r="A26" s="146" t="str">
        <x:v>Utilities and clean-room operations</x:v>
      </x:c>
      <x:c r="B26" s="171" t="n">
        <x:f>'Assumptions'!C72</x:f>
        <x:v>6</x:v>
      </x:c>
      <x:c r="C26" s="171" t="n">
        <x:f>'Assumptions'!D72</x:f>
        <x:v>5</x:v>
      </x:c>
      <x:c r="D26" s="146"/>
    </x:row>
    <x:row r="27">
      <x:c r="A27" s="146" t="str">
        <x:v>Maintenance and calibration</x:v>
      </x:c>
      <x:c r="B27" s="171" t="n">
        <x:f>'Assumptions'!C73</x:f>
        <x:v>4</x:v>
      </x:c>
      <x:c r="C27" s="171" t="n">
        <x:f>'Assumptions'!D73</x:f>
        <x:v>4</x:v>
      </x:c>
      <x:c r="D27" s="146"/>
    </x:row>
    <x:row r="28">
      <x:c r="A28" s="146" t="str">
        <x:v>Fixed QA/QC and release</x:v>
      </x:c>
      <x:c r="B28" s="171" t="n">
        <x:f>'Assumptions'!C74</x:f>
        <x:v>4</x:v>
      </x:c>
      <x:c r="C28" s="171" t="n">
        <x:f>'Assumptions'!D74</x:f>
        <x:v>4</x:v>
      </x:c>
      <x:c r="D28" s="146"/>
    </x:row>
    <x:row r="29">
      <x:c r="A29" s="146" t="str">
        <x:v>Factory overhead</x:v>
      </x:c>
      <x:c r="B29" s="171" t="n">
        <x:f>'Assumptions'!C75</x:f>
        <x:v>3</x:v>
      </x:c>
      <x:c r="C29" s="171" t="n">
        <x:f>'Assumptions'!D75</x:f>
        <x:v>3</x:v>
      </x:c>
      <x:c r="D29" s="146"/>
    </x:row>
    <x:row r="30">
      <x:c r="A30" s="146" t="str">
        <x:v>Depreciation</x:v>
      </x:c>
      <x:c r="B30" s="171" t="n">
        <x:f>'Assumptions'!C76</x:f>
        <x:v>10</x:v>
      </x:c>
      <x:c r="C30" s="171" t="n">
        <x:f>'Assumptions'!D76</x:f>
        <x:v>12</x:v>
      </x:c>
      <x:c r="D30" s="146"/>
    </x:row>
    <x:row r="31">
      <x:c r="A31" s="146" t="str">
        <x:v>Total fixed drug-substance cost ($m)</x:v>
      </x:c>
      <x:c r="B31" s="146" t="n">
        <x:f>SUM(B25:B30)</x:f>
        <x:v>35</x:v>
      </x:c>
      <x:c r="C31" s="146" t="n">
        <x:f>SUM(C25:C30)</x:f>
        <x:v>34</x:v>
      </x:c>
      <x:c r="D31" s="146"/>
    </x:row>
    <x:row r="32">
      <x:c r="A32" s="146" t="str">
        <x:v>Fixed drug-substance cost ($/g)</x:v>
      </x:c>
      <x:c r="B32" s="172" t="n">
        <x:f>B31*1000000/B20</x:f>
        <x:v>77.8089013383131</x:v>
      </x:c>
      <x:c r="C32" s="172" t="n">
        <x:f>C31*1000000/C20</x:f>
        <x:v>117.11860670194004</x:v>
      </x:c>
      <x:c r="D32" s="146"/>
    </x:row>
    <x:row r="33">
      <x:c r="A33" s="146" t="str">
        <x:v>Variable drug-substance cost ($/g)</x:v>
      </x:c>
      <x:c r="B33" s="149" t="n">
        <x:f>SUM('Assumptions'!C80:C85)</x:f>
        <x:v>16.5</x:v>
      </x:c>
      <x:c r="C33" s="149" t="n">
        <x:f>SUM('Assumptions'!D80:D85)</x:f>
        <x:v>16.5</x:v>
      </x:c>
      <x:c r="D33" s="146"/>
    </x:row>
    <x:row r="34">
      <x:c r="A34" s="173" t="str">
        <x:v>Fully loaded drug-substance cost ($/g)</x:v>
      </x:c>
      <x:c r="B34" s="174" t="n">
        <x:f>B32+B33</x:f>
        <x:v>94.3089013383131</x:v>
      </x:c>
      <x:c r="C34" s="174" t="n">
        <x:f>C32+C33</x:f>
        <x:v>133.61860670194005</x:v>
      </x:c>
      <x:c r="D34" s="146"/>
    </x:row>
    <x:row r="35">
      <x:c r="A35" s="146"/>
      <x:c r="B35" s="146"/>
      <x:c r="C35" s="146"/>
      <x:c r="D35" s="146"/>
    </x:row>
    <x:row r="36" ht="18" customHeight="1">
      <x:c r="A36" s="129" t="str">
        <x:v>DRUG-PRODUCT COST</x:v>
      </x:c>
      <x:c r="B36" s="129"/>
      <x:c r="C36" s="129"/>
      <x:c r="D36" s="129"/>
    </x:row>
    <x:row r="37">
      <x:c r="A37" s="132" t="str">
        <x:v>Cost item</x:v>
      </x:c>
      <x:c r="B37" s="132" t="str">
        <x:v>Efficient peer</x:v>
      </x:c>
      <x:c r="C37" s="132" t="str">
        <x:v>Biocon base</x:v>
      </x:c>
      <x:c r="D37" s="146"/>
    </x:row>
    <x:row r="38">
      <x:c r="A38" s="146" t="str">
        <x:v>Fill-line labour</x:v>
      </x:c>
      <x:c r="B38" s="171" t="n">
        <x:f>'Assumptions'!C89</x:f>
        <x:v>5</x:v>
      </x:c>
      <x:c r="C38" s="171" t="n">
        <x:f>'Assumptions'!D89</x:f>
        <x:v>4</x:v>
      </x:c>
      <x:c r="D38" s="146"/>
    </x:row>
    <x:row r="39">
      <x:c r="A39" s="146" t="str">
        <x:v>Utilities</x:v>
      </x:c>
      <x:c r="B39" s="171" t="n">
        <x:f>'Assumptions'!C90</x:f>
        <x:v>2</x:v>
      </x:c>
      <x:c r="C39" s="171" t="n">
        <x:f>'Assumptions'!D90</x:f>
        <x:v>2</x:v>
      </x:c>
      <x:c r="D39" s="146"/>
    </x:row>
    <x:row r="40">
      <x:c r="A40" s="146" t="str">
        <x:v>Maintenance and calibration</x:v>
      </x:c>
      <x:c r="B40" s="171" t="n">
        <x:f>'Assumptions'!C91</x:f>
        <x:v>2</x:v>
      </x:c>
      <x:c r="C40" s="171" t="n">
        <x:f>'Assumptions'!D91</x:f>
        <x:v>2</x:v>
      </x:c>
      <x:c r="D40" s="146"/>
    </x:row>
    <x:row r="41">
      <x:c r="A41" s="146" t="str">
        <x:v>Fixed QA/QC and release</x:v>
      </x:c>
      <x:c r="B41" s="171" t="n">
        <x:f>'Assumptions'!C92</x:f>
        <x:v>3</x:v>
      </x:c>
      <x:c r="C41" s="171" t="n">
        <x:f>'Assumptions'!D92</x:f>
        <x:v>3</x:v>
      </x:c>
      <x:c r="D41" s="146"/>
    </x:row>
    <x:row r="42">
      <x:c r="A42" s="146" t="str">
        <x:v>Factory overhead</x:v>
      </x:c>
      <x:c r="B42" s="171" t="n">
        <x:f>'Assumptions'!C93</x:f>
        <x:v>2</x:v>
      </x:c>
      <x:c r="C42" s="171" t="n">
        <x:f>'Assumptions'!D93</x:f>
        <x:v>2</x:v>
      </x:c>
      <x:c r="D42" s="146"/>
    </x:row>
    <x:row r="43">
      <x:c r="A43" s="146" t="str">
        <x:v>Depreciation</x:v>
      </x:c>
      <x:c r="B43" s="171" t="n">
        <x:f>'Assumptions'!C94</x:f>
        <x:v>8</x:v>
      </x:c>
      <x:c r="C43" s="171" t="n">
        <x:f>'Assumptions'!D94</x:f>
        <x:v>10</x:v>
      </x:c>
      <x:c r="D43" s="146"/>
    </x:row>
    <x:row r="44">
      <x:c r="A44" s="146" t="str">
        <x:v>Total fixed drug-product cost ($m)</x:v>
      </x:c>
      <x:c r="B44" s="146" t="n">
        <x:f>SUM(B38:B43)</x:f>
        <x:v>22</x:v>
      </x:c>
      <x:c r="C44" s="146" t="n">
        <x:f>SUM(C38:C43)</x:f>
        <x:v>23</x:v>
      </x:c>
      <x:c r="D44" s="146"/>
    </x:row>
    <x:row r="45">
      <x:c r="A45" s="146" t="str">
        <x:v>Fixed drug-product cost ($/presentation)</x:v>
      </x:c>
      <x:c r="B45" s="172" t="n">
        <x:f>B44*1000000/B21</x:f>
        <x:v>0.5135387488328665</x:v>
      </x:c>
      <x:c r="C45" s="172" t="n">
        <x:f>C44*1000000/C21</x:f>
        <x:v>0.8318865740740741</x:v>
      </x:c>
      <x:c r="D45" s="146"/>
    </x:row>
    <x:row r="46">
      <x:c r="A46" s="146" t="str">
        <x:v>Variable drug-product cost ($/presentation)</x:v>
      </x:c>
      <x:c r="B46" s="149" t="n">
        <x:f>SUM('Assumptions'!C95:C101)</x:f>
        <x:v>3.1</x:v>
      </x:c>
      <x:c r="C46" s="149" t="n">
        <x:f>SUM('Assumptions'!D95:D101)</x:f>
        <x:v>3.2200000000000006</x:v>
      </x:c>
      <x:c r="D46" s="146"/>
    </x:row>
    <x:row r="47">
      <x:c r="A47" s="173" t="str">
        <x:v>Total drug-product cost ($/presentation)</x:v>
      </x:c>
      <x:c r="B47" s="174" t="n">
        <x:f>B45+B46</x:f>
        <x:v>3.6135387488328665</x:v>
      </x:c>
      <x:c r="C47" s="174" t="n">
        <x:f>C45+C46</x:f>
        <x:v>4.051886574074075</x:v>
      </x:c>
      <x:c r="D47" s="146"/>
    </x:row>
    <x:row r="48">
      <x:c r="A48" s="146"/>
      <x:c r="B48" s="146"/>
      <x:c r="C48" s="146"/>
      <x:c r="D48" s="146"/>
    </x:row>
    <x:row r="49" ht="18" customHeight="1">
      <x:c r="A49" s="129" t="str">
        <x:v>FULLY LOADED UNIT COST</x:v>
      </x:c>
      <x:c r="B49" s="129"/>
      <x:c r="C49" s="129"/>
      <x:c r="D49" s="129"/>
    </x:row>
    <x:row r="50">
      <x:c r="A50" s="132" t="str">
        <x:v>Calculation</x:v>
      </x:c>
      <x:c r="B50" s="132" t="str">
        <x:v>Efficient peer</x:v>
      </x:c>
      <x:c r="C50" s="132" t="str">
        <x:v>Biocon base</x:v>
      </x:c>
      <x:c r="D50" s="146"/>
    </x:row>
    <x:row r="51">
      <x:c r="A51" s="146" t="str">
        <x:v>Drug-substance cost per presentation</x:v>
      </x:c>
      <x:c r="B51" s="172" t="n">
        <x:f>B34*B8/1000</x:f>
        <x:v>0.9902434640522877</x:v>
      </x:c>
      <x:c r="C51" s="172" t="n">
        <x:f>C34*C8/1000</x:f>
        <x:v>1.4029953703703704</x:v>
      </x:c>
      <x:c r="D51" s="146"/>
    </x:row>
    <x:row r="52">
      <x:c r="A52" s="146" t="str">
        <x:v>Drug-product cost per presentation</x:v>
      </x:c>
      <x:c r="B52" s="172" t="n">
        <x:f>B47</x:f>
        <x:v>3.6135387488328665</x:v>
      </x:c>
      <x:c r="C52" s="172" t="n">
        <x:f>C47</x:f>
        <x:v>4.051886574074075</x:v>
      </x:c>
      <x:c r="D52" s="146"/>
    </x:row>
    <x:row r="53">
      <x:c r="A53" s="146" t="str">
        <x:v>Cost before obsolescence</x:v>
      </x:c>
      <x:c r="B53" s="172" t="n">
        <x:f>SUM(B51:B52)</x:f>
        <x:v>4.603782212885154</x:v>
      </x:c>
      <x:c r="C53" s="172" t="n">
        <x:f>SUM(C51:C52)</x:f>
        <x:v>5.454881944444446</x:v>
      </x:c>
      <x:c r="D53" s="146"/>
    </x:row>
    <x:row r="54">
      <x:c r="A54" s="146" t="str">
        <x:v>Obsolescence / write-off</x:v>
      </x:c>
      <x:c r="B54" s="175" t="n">
        <x:f>B14</x:f>
        <x:v>0.015</x:v>
      </x:c>
      <x:c r="C54" s="175" t="n">
        <x:f>C14</x:f>
        <x:v>0.04</x:v>
      </x:c>
      <x:c r="D54" s="146"/>
    </x:row>
    <x:row r="55">
      <x:c r="A55" s="176" t="str">
        <x:v>Fully loaded cost per presentation</x:v>
      </x:c>
      <x:c r="B55" s="177" t="n">
        <x:f>B53*(1+B54)</x:f>
        <x:v>4.67283894607843</x:v>
      </x:c>
      <x:c r="C55" s="177" t="n">
        <x:f>C53*(1+C54)</x:f>
        <x:v>5.673077222222224</x:v>
      </x:c>
      <x:c r="D55" s="146"/>
    </x:row>
    <x:row r="56">
      <x:c r="A56" s="178" t="str">
        <x:v>Biocon premium to peer</x:v>
      </x:c>
      <x:c r="B56" s="179" t="n">
        <x:f>0</x:f>
        <x:v>0</x:v>
      </x:c>
      <x:c r="C56" s="179" t="n">
        <x:f>C55/B55-1</x:f>
        <x:v>0.21405365938905718</x:v>
      </x:c>
      <x:c r="D56" s="146"/>
    </x:row>
    <x:row r="57">
      <x:c r="A57" s="146" t="str">
        <x:v>Fixed-cost term at 100% utilisation</x:v>
      </x:c>
      <x:c r="B57" s="172" t="n">
        <x:f>((B31*1000000/(B19*B12))*B8/1000)+(B44*1000000/((B19*B12)*1000/B8))</x:f>
        <x:v>1.130952380952381</x:v>
      </x:c>
      <x:c r="C57" s="172" t="n">
        <x:f>((C31*1000000/(C19*C12))*C8/1000)+(C44*1000000/((C19*C12)*1000/C8))</x:f>
        <x:v>1.2369791666666667</x:v>
      </x:c>
      <x:c r="D57" s="146"/>
    </x:row>
    <x:row r="58">
      <x:c r="A58" s="146" t="str">
        <x:v>Variable-cost term before loss</x:v>
      </x:c>
      <x:c r="B58" s="172" t="n">
        <x:f>B33*B8/1000+B46</x:f>
        <x:v>3.27325</x:v>
      </x:c>
      <x:c r="C58" s="172" t="n">
        <x:f>C33*C8/1000+C46</x:f>
        <x:v>3.3932500000000005</x:v>
      </x:c>
      <x:c r="D58" s="146"/>
    </x:row>
    <x:row r="59">
      <x:c r="A59" s="146" t="str">
        <x:v>Biocon utilisation required for 30% premium</x:v>
      </x:c>
      <x:c r="B59" s="146"/>
      <x:c r="C59" s="175" t="n">
        <x:f>C57/(B55*1.3/(1+C54)-C58)</x:f>
        <x:v>0.5053435053546829</x:v>
      </x:c>
      <x:c r="D59" s="146"/>
    </x:row>
    <x:row r="60">
      <x:c r="A60" s="146"/>
      <x:c r="B60" s="146"/>
      <x:c r="C60" s="146"/>
      <x:c r="D60" s="146"/>
    </x:row>
    <x:row r="61">
      <x:c r="A61" s="146"/>
      <x:c r="B61" s="146"/>
      <x:c r="C61" s="146"/>
      <x:c r="D61" s="146"/>
    </x:row>
    <x:row r="62">
      <x:c r="A62" s="135" t="str">
        <x:v>Read-through: lower labour cost does not guarantee a lower finished-dose cost. Malaysia's depreciation, fill-line fixed cost and utilisation determine whether Biocon converts installed capacity into a cost advantage.</x:v>
      </x:c>
      <x:c r="B62" s="136"/>
      <x:c r="C62" s="136"/>
      <x:c r="D62" s="137"/>
    </x:row>
    <x:row r="63">
      <x:c r="A63" s="138"/>
      <x:c r="B63" s="139"/>
      <x:c r="C63" s="139"/>
      <x:c r="D63" s="140"/>
    </x:row>
    <x:row r="64">
      <x:c r="A64" s="138"/>
      <x:c r="B64" s="139"/>
      <x:c r="C64" s="139"/>
      <x:c r="D64" s="140"/>
    </x:row>
    <x:row r="65">
      <x:c r="A65" s="141"/>
      <x:c r="B65" s="142"/>
      <x:c r="C65" s="142"/>
      <x:c r="D65" s="143"/>
    </x:row>
  </x:sheetData>
  <x:mergeCells>
    <x:mergeCell ref="A1:D2"/>
    <x:mergeCell ref="A3:D4"/>
    <x:mergeCell ref="A6:D6"/>
    <x:mergeCell ref="A16:D16"/>
    <x:mergeCell ref="A23:D23"/>
    <x:mergeCell ref="A36:D36"/>
    <x:mergeCell ref="A49:D49"/>
    <x:mergeCell ref="A62:D6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6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45" hidden="0" customWidth="1"/>
  </x:cols>
  <x:sheetData>
    <x:row r="1" ht="24" customHeight="1">
      <x:c r="A1" s="129" t="str">
        <x:v>BIOCON PRODUCT-LEVEL COST COMPARISON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</x:row>
    <x:row r="2" ht="24" customHeight="1">
      <x:c r="A2" s="129"/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</x:row>
    <x:row r="3" ht="22" customHeight="1">
      <x:c r="A3" s="130" t="str">
        <x:v>Representative presentation costs use the two physical platform models. IQVIA value is used only to indicate portfolio relevance, not to infer manufacturing cost or net price.</x:v>
      </x:c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</x:row>
    <x:row r="4" ht="22" customHeight="1">
      <x:c r="A4" s="130"/>
      <x:c r="B4" s="130"/>
      <x:c r="C4" s="130"/>
      <x:c r="D4" s="130"/>
      <x:c r="E4" s="130"/>
      <x:c r="F4" s="130"/>
      <x:c r="G4" s="130"/>
      <x:c r="H4" s="130"/>
      <x:c r="I4" s="130"/>
      <x:c r="J4" s="130"/>
      <x:c r="K4" s="130"/>
    </x:row>
    <x:row r="5">
      <x:c r="A5" s="146"/>
      <x:c r="B5" s="146"/>
      <x:c r="C5" s="146"/>
      <x:c r="D5" s="146"/>
      <x:c r="E5" s="146"/>
      <x:c r="F5" s="146"/>
      <x:c r="G5" s="146"/>
      <x:c r="H5" s="146"/>
      <x:c r="I5" s="146"/>
      <x:c r="J5" s="146"/>
      <x:c r="K5" s="146"/>
    </x:row>
    <x:row r="6" ht="18" customHeight="1">
      <x:c r="A6" s="129" t="str">
        <x:v>REPRESENTATIVE U.S. PORTFOLIO</x:v>
      </x:c>
      <x:c r="B6" s="129"/>
      <x:c r="C6" s="129"/>
      <x:c r="D6" s="129"/>
      <x:c r="E6" s="129"/>
      <x:c r="F6" s="129"/>
      <x:c r="G6" s="129"/>
      <x:c r="H6" s="129"/>
      <x:c r="I6" s="129"/>
      <x:c r="J6" s="129"/>
      <x:c r="K6" s="129"/>
    </x:row>
    <x:row r="7">
      <x:c r="A7" s="132" t="str">
        <x:v>Product</x:v>
      </x:c>
      <x:c r="B7" s="132" t="str">
        <x:v>Platform</x:v>
      </x:c>
      <x:c r="C7" s="132" t="str">
        <x:v>Dose mg</x:v>
      </x:c>
      <x:c r="D7" s="132" t="str">
        <x:v>Presentation</x:v>
      </x:c>
      <x:c r="E7" s="132" t="str">
        <x:v>Jul-26 IQVIA value ($m)</x:v>
      </x:c>
      <x:c r="F7" s="132" t="str">
        <x:v>Jul-26 NSP units</x:v>
      </x:c>
      <x:c r="G7" s="132" t="str">
        <x:v>Peer unit cost ($)</x:v>
      </x:c>
      <x:c r="H7" s="132" t="str">
        <x:v>Biocon unit cost ($)</x:v>
      </x:c>
      <x:c r="I7" s="132" t="str">
        <x:v>Premium</x:v>
      </x:c>
      <x:c r="J7" s="132" t="str">
        <x:v>Value-weighted contribution</x:v>
      </x:c>
      <x:c r="K7" s="132" t="str">
        <x:v>Caveat</x:v>
      </x:c>
    </x:row>
    <x:row r="8">
      <x:c r="A8" s="146" t="str">
        <x:v>Insulin glargine</x:v>
      </x:c>
      <x:c r="B8" s="146" t="str">
        <x:v>Insulin</x:v>
      </x:c>
      <x:c r="C8" s="146" t="n">
        <x:v>10.5</x:v>
      </x:c>
      <x:c r="D8" s="146" t="str">
        <x:v>Pen</x:v>
      </x:c>
      <x:c r="E8" s="183" t="n">
        <x:v>23.4</x:v>
      </x:c>
      <x:c r="F8" s="170" t="n">
        <x:v>4180000</x:v>
      </x:c>
      <x:c r="G8" s="149" t="n">
        <x:f>IF(B8="Insulin",'Insulin Platform'!B55,('mAb Platform'!B36*C8/1000+'mAb Platform'!B47+IF(D8="PFS",'mAb Platform'!B49,'mAb Platform'!B48))*(1+'mAb Platform'!B15))</x:f>
        <x:v>4.67283894607843</x:v>
      </x:c>
      <x:c r="H8" s="149" t="n">
        <x:f>IF(B8="Insulin",'Insulin Platform'!C55,('mAb Platform'!C36*C8/1000+'mAb Platform'!C47+IF(D8="PFS",'mAb Platform'!C49,'mAb Platform'!C48))*(1+'mAb Platform'!C15))</x:f>
        <x:v>5.673077222222224</x:v>
      </x:c>
      <x:c r="I8" s="175" t="n">
        <x:f>H8/G8-1</x:f>
        <x:v>0.21405365938905718</x:v>
      </x:c>
      <x:c r="J8" s="184" t="n">
        <x:f>I8*E8</x:f>
        <x:v>5.0088556297039375</x:v>
      </x:c>
      <x:c r="K8" s="146" t="str">
        <x:v>300 IU cartridge-equivalent</x:v>
      </x:c>
    </x:row>
    <x:row r="9">
      <x:c r="A9" s="146" t="str">
        <x:v>Fulphila / pegfilgrastim</x:v>
      </x:c>
      <x:c r="B9" s="146" t="str">
        <x:v>mAb proxy</x:v>
      </x:c>
      <x:c r="C9" s="146" t="n">
        <x:v>6</x:v>
      </x:c>
      <x:c r="D9" s="146" t="str">
        <x:v>PFS</x:v>
      </x:c>
      <x:c r="E9" s="183" t="n">
        <x:v>23.15</x:v>
      </x:c>
      <x:c r="F9" s="170" t="n">
        <x:v>14200</x:v>
      </x:c>
      <x:c r="G9" s="149" t="n">
        <x:f>IF(B9="Insulin",'Insulin Platform'!B55,('mAb Platform'!B36*C9/1000+'mAb Platform'!B47+IF(D9="PFS",'mAb Platform'!B49,'mAb Platform'!B48))*(1+'mAb Platform'!B15))</x:f>
        <x:v>27.410823129251703</x:v>
      </x:c>
      <x:c r="H9" s="149" t="n">
        <x:f>IF(B9="Insulin",'Insulin Platform'!C55,('mAb Platform'!C36*C9/1000+'mAb Platform'!C47+IF(D9="PFS",'mAb Platform'!C49,'mAb Platform'!C48))*(1+'mAb Platform'!C15))</x:f>
        <x:v>30.798796721536355</x:v>
      </x:c>
      <x:c r="I9" s="175" t="n">
        <x:f>H9/G9-1</x:f>
        <x:v>0.12359984872796992</x:v>
      </x:c>
      <x:c r="J9" s="184" t="n">
        <x:f>I9*E9</x:f>
        <x:v>2.8613364980525033</x:v>
      </x:c>
      <x:c r="K9" s="146" t="str">
        <x:v>Pegylated protein; mAb DS is a conservative platform proxy</x:v>
      </x:c>
    </x:row>
    <x:row r="10">
      <x:c r="A10" s="146" t="str">
        <x:v>Ogivri / trastuzumab</x:v>
      </x:c>
      <x:c r="B10" s="146" t="str">
        <x:v>mAb</x:v>
      </x:c>
      <x:c r="C10" s="146" t="n">
        <x:v>420</x:v>
      </x:c>
      <x:c r="D10" s="146" t="str">
        <x:v>Vial</x:v>
      </x:c>
      <x:c r="E10" s="183" t="n">
        <x:v>15.57</x:v>
      </x:c>
      <x:c r="F10" s="170" t="n">
        <x:v>10800</x:v>
      </x:c>
      <x:c r="G10" s="149" t="n">
        <x:f>IF(B10="Insulin",'Insulin Platform'!B55,('mAb Platform'!B36*C10/1000+'mAb Platform'!B47+IF(D10="PFS",'mAb Platform'!B49,'mAb Platform'!B48))*(1+'mAb Platform'!B15))</x:f>
        <x:v>44.34995464852608</x:v>
      </x:c>
      <x:c r="H10" s="149" t="n">
        <x:f>IF(B10="Insulin",'Insulin Platform'!C55,('mAb Platform'!C36*C10/1000+'mAb Platform'!C47+IF(D10="PFS",'mAb Platform'!C49,'mAb Platform'!C48))*(1+'mAb Platform'!C15))</x:f>
        <x:v>58.46116659807956</x:v>
      </x:c>
      <x:c r="I10" s="175" t="n">
        <x:f>H10/G10-1</x:f>
        <x:v>0.31817872332418373</x:v>
      </x:c>
      <x:c r="J10" s="184" t="n">
        <x:f>I10*E10</x:f>
        <x:v>4.954042722157541</x:v>
      </x:c>
      <x:c r="K10" s="146" t="str">
        <x:v>Representative 420 mg vial</x:v>
      </x:c>
    </x:row>
    <x:row r="11">
      <x:c r="A11" s="146" t="str">
        <x:v>Yesintek / ustekinumab</x:v>
      </x:c>
      <x:c r="B11" s="146" t="str">
        <x:v>mAb</x:v>
      </x:c>
      <x:c r="C11" s="146" t="n">
        <x:v>90</x:v>
      </x:c>
      <x:c r="D11" s="146" t="str">
        <x:v>PFS</x:v>
      </x:c>
      <x:c r="E11" s="183" t="n">
        <x:v>25.77</x:v>
      </x:c>
      <x:c r="F11" s="170" t="n">
        <x:v>40500</x:v>
      </x:c>
      <x:c r="G11" s="149" t="n">
        <x:f>IF(B11="Insulin",'Insulin Platform'!B55,('mAb Platform'!B36*C11/1000+'mAb Platform'!B47+IF(D11="PFS",'mAb Platform'!B49,'mAb Platform'!B48))*(1+'mAb Platform'!B15))</x:f>
        <x:v>31.675574452003023</x:v>
      </x:c>
      <x:c r="H11" s="149" t="n">
        <x:f>IF(B11="Insulin",'Insulin Platform'!C55,('mAb Platform'!C36*C11/1000+'mAb Platform'!C47+IF(D11="PFS",'mAb Platform'!C49,'mAb Platform'!C48))*(1+'mAb Platform'!C15))</x:f>
        <x:v>37.3062340877915</x:v>
      </x:c>
      <x:c r="I11" s="175" t="n">
        <x:f>H11/G11-1</x:f>
        <x:v>0.17776030058493286</x:v>
      </x:c>
      <x:c r="J11" s="184" t="n">
        <x:f>I11*E11</x:f>
        <x:v>4.58088294607372</x:v>
      </x:c>
      <x:c r="K11" s="146" t="str">
        <x:v>Representative 90 mg PFS</x:v>
      </x:c>
    </x:row>
    <x:row r="12">
      <x:c r="A12" s="146" t="str">
        <x:v>Adalimumab family</x:v>
      </x:c>
      <x:c r="B12" s="146" t="str">
        <x:v>mAb</x:v>
      </x:c>
      <x:c r="C12" s="146" t="n">
        <x:v>40</x:v>
      </x:c>
      <x:c r="D12" s="146" t="str">
        <x:v>PFS</x:v>
      </x:c>
      <x:c r="E12" s="183" t="n">
        <x:v>1.85</x:v>
      </x:c>
      <x:c r="F12" s="170" t="n">
        <x:v>7100</x:v>
      </x:c>
      <x:c r="G12" s="149" t="n">
        <x:f>IF(B12="Insulin",'Insulin Platform'!B55,('mAb Platform'!B36*C12/1000+'mAb Platform'!B47+IF(D12="PFS",'mAb Platform'!B49,'mAb Platform'!B48))*(1+'mAb Platform'!B15))</x:f>
        <x:v>29.13703199798438</x:v>
      </x:c>
      <x:c r="H12" s="149" t="n">
        <x:f>IF(B12="Insulin",'Insulin Platform'!C55,('mAb Platform'!C36*C12/1000+'mAb Platform'!C47+IF(D12="PFS",'mAb Platform'!C49,'mAb Platform'!C48))*(1+'mAb Platform'!C15))</x:f>
        <x:v>33.43275946502058</x:v>
      </x:c>
      <x:c r="I12" s="175" t="n">
        <x:f>H12/G12-1</x:f>
        <x:v>0.14743188212627034</x:v>
      </x:c>
      <x:c r="J12" s="184" t="n">
        <x:f>I12*E12</x:f>
        <x:v>0.27274898193360014</x:v>
      </x:c>
      <x:c r="K12" s="146" t="str">
        <x:v>Representative 40 mg PFS</x:v>
      </x:c>
    </x:row>
    <x:row r="13">
      <x:c r="A13" s="146" t="str">
        <x:v>Bosaya / denosumab</x:v>
      </x:c>
      <x:c r="B13" s="146" t="str">
        <x:v>mAb</x:v>
      </x:c>
      <x:c r="C13" s="146" t="n">
        <x:v>60</x:v>
      </x:c>
      <x:c r="D13" s="146" t="str">
        <x:v>PFS</x:v>
      </x:c>
      <x:c r="E13" s="183" t="n">
        <x:v>0.04</x:v>
      </x:c>
      <x:c r="F13" s="170" t="n">
        <x:v>25</x:v>
      </x:c>
      <x:c r="G13" s="149" t="n">
        <x:f>IF(B13="Insulin",'Insulin Platform'!B55,('mAb Platform'!B36*C13/1000+'mAb Platform'!B47+IF(D13="PFS",'mAb Platform'!B49,'mAb Platform'!B48))*(1+'mAb Platform'!B15))</x:f>
        <x:v>30.15244897959184</x:v>
      </x:c>
      <x:c r="H13" s="149" t="n">
        <x:f>IF(B13="Insulin",'Insulin Platform'!C55,('mAb Platform'!C36*C13/1000+'mAb Platform'!C47+IF(D13="PFS",'mAb Platform'!C49,'mAb Platform'!C48))*(1+'mAb Platform'!C15))</x:f>
        <x:v>34.98214931412895</x:v>
      </x:c>
      <x:c r="I13" s="175" t="n">
        <x:f>H13/G13-1</x:f>
        <x:v>0.1601760552784952</x:v>
      </x:c>
      <x:c r="J13" s="184" t="n">
        <x:f>I13*E13</x:f>
        <x:v>0.006407042211139809</x:v>
      </x:c>
      <x:c r="K13" s="146" t="str">
        <x:v>Representative 60 mg PFS</x:v>
      </x:c>
    </x:row>
    <x:row r="14">
      <x:c r="A14" s="146" t="str">
        <x:v>Jobevne / bevacizumab</x:v>
      </x:c>
      <x:c r="B14" s="146" t="str">
        <x:v>mAb</x:v>
      </x:c>
      <x:c r="C14" s="146" t="n">
        <x:v>100</x:v>
      </x:c>
      <x:c r="D14" s="146" t="str">
        <x:v>Vial</x:v>
      </x:c>
      <x:c r="E14" s="183" t="n">
        <x:v>0.01</x:v>
      </x:c>
      <x:c r="F14" s="170" t="n">
        <x:v>250</x:v>
      </x:c>
      <x:c r="G14" s="149" t="n">
        <x:f>IF(B14="Insulin",'Insulin Platform'!B55,('mAb Platform'!B36*C14/1000+'mAb Platform'!B47+IF(D14="PFS",'mAb Platform'!B49,'mAb Platform'!B48))*(1+'mAb Platform'!B15))</x:f>
        <x:v>28.103282942806754</x:v>
      </x:c>
      <x:c r="H14" s="149" t="n">
        <x:f>IF(B14="Insulin",'Insulin Platform'!C55,('mAb Platform'!C36*C14/1000+'mAb Platform'!C47+IF(D14="PFS",'mAb Platform'!C49,'mAb Platform'!C48))*(1+'mAb Platform'!C15))</x:f>
        <x:v>33.67092901234568</x:v>
      </x:c>
      <x:c r="I14" s="175" t="n">
        <x:f>H14/G14-1</x:f>
        <x:v>0.19811372503595726</x:v>
      </x:c>
      <x:c r="J14" s="184" t="n">
        <x:f>I14*E14</x:f>
        <x:v>0.0019811372503595725</x:v>
      </x:c>
      <x:c r="K14" s="146" t="str">
        <x:v>Representative 100 mg vial</x:v>
      </x:c>
    </x:row>
    <x:row r="15">
      <x:c r="A15" s="146" t="str">
        <x:v>Kirsty / insulin aspart</x:v>
      </x:c>
      <x:c r="B15" s="146" t="str">
        <x:v>Insulin</x:v>
      </x:c>
      <x:c r="C15" s="146" t="n">
        <x:v>10.5</x:v>
      </x:c>
      <x:c r="D15" s="146" t="str">
        <x:v>Pen</x:v>
      </x:c>
      <x:c r="E15" s="183" t="n">
        <x:v>0.01</x:v>
      </x:c>
      <x:c r="F15" s="170" t="n">
        <x:v>135</x:v>
      </x:c>
      <x:c r="G15" s="149" t="n">
        <x:f>IF(B15="Insulin",'Insulin Platform'!B55,('mAb Platform'!B36*C15/1000+'mAb Platform'!B47+IF(D15="PFS",'mAb Platform'!B49,'mAb Platform'!B48))*(1+'mAb Platform'!B15))</x:f>
        <x:v>4.67283894607843</x:v>
      </x:c>
      <x:c r="H15" s="149" t="n">
        <x:f>IF(B15="Insulin",'Insulin Platform'!C55,('mAb Platform'!C36*C15/1000+'mAb Platform'!C47+IF(D15="PFS",'mAb Platform'!C49,'mAb Platform'!C48))*(1+'mAb Platform'!C15))</x:f>
        <x:v>5.673077222222224</x:v>
      </x:c>
      <x:c r="I15" s="175" t="n">
        <x:f>H15/G15-1</x:f>
        <x:v>0.21405365938905718</x:v>
      </x:c>
      <x:c r="J15" s="184" t="n">
        <x:f>I15*E15</x:f>
        <x:v>0.002140536593890572</x:v>
      </x:c>
      <x:c r="K15" s="146" t="str">
        <x:v>300 IU cartridge-equivalent</x:v>
      </x:c>
    </x:row>
    <x:row r="16">
      <x:c r="A16" s="146"/>
      <x:c r="B16" s="146"/>
      <x:c r="C16" s="146"/>
      <x:c r="D16" s="146"/>
      <x:c r="E16" s="146"/>
      <x:c r="F16" s="146"/>
      <x:c r="G16" s="146"/>
      <x:c r="H16" s="146"/>
      <x:c r="I16" s="146"/>
      <x:c r="J16" s="146"/>
      <x:c r="K16" s="146"/>
    </x:row>
    <x:row r="17">
      <x:c r="A17" s="176" t="str">
        <x:v>Covered July IQVIA value ($m)</x:v>
      </x:c>
      <x:c r="B17" s="176"/>
      <x:c r="C17" s="176"/>
      <x:c r="D17" s="176"/>
      <x:c r="E17" s="185" t="n">
        <x:f>SUM(E8:E15)</x:f>
        <x:v>89.80000000000001</x:v>
      </x:c>
      <x:c r="F17" s="146"/>
      <x:c r="G17" s="146"/>
      <x:c r="H17" s="146"/>
      <x:c r="I17" s="146"/>
      <x:c r="J17" s="146"/>
      <x:c r="K17" s="146"/>
    </x:row>
    <x:row r="18">
      <x:c r="A18" s="178" t="str">
        <x:v>Value-weighted portfolio premium</x:v>
      </x:c>
      <x:c r="B18" s="178"/>
      <x:c r="C18" s="178"/>
      <x:c r="D18" s="178"/>
      <x:c r="E18" s="179" t="n">
        <x:f>SUM(J8:J15)/E17</x:f>
        <x:v>0.19697545093515245</x:v>
      </x:c>
      <x:c r="F18" s="146"/>
      <x:c r="G18" s="146"/>
      <x:c r="H18" s="146"/>
      <x:c r="I18" s="146"/>
      <x:c r="J18" s="146"/>
      <x:c r="K18" s="146"/>
    </x:row>
    <x:row r="19">
      <x:c r="A19" s="146" t="str">
        <x:v>Evidence status</x:v>
      </x:c>
      <x:c r="B19" s="146"/>
      <x:c r="C19" s="146"/>
      <x:c r="D19" s="146"/>
      <x:c r="E19" s="146" t="str">
        <x:f>IF(E18&gt;=30%,"30% supported in base assumptions","Cost disadvantage supported; 30% requires lower utilisation")</x:f>
        <x:v>Cost disadvantage supported; 30% requires lower utilisation</x:v>
      </x:c>
      <x:c r="F19" s="146"/>
      <x:c r="G19" s="146"/>
      <x:c r="H19" s="146"/>
      <x:c r="I19" s="146"/>
      <x:c r="J19" s="146"/>
      <x:c r="K19" s="146"/>
    </x:row>
    <x:row r="20">
      <x:c r="A20" s="146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</x:row>
    <x:row r="21">
      <x:c r="A21" s="135" t="str">
        <x:v>The value-weighted premium is a portfolio relevance indicator. It is not a reported COGS ratio. NSP units differ by molecule and pack, so the model compares matched physical presentations rather than dividing IQVIA sales by units.</x:v>
      </x:c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7"/>
    </x:row>
    <x:row r="22">
      <x:c r="A22" s="138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40"/>
    </x:row>
    <x:row r="23">
      <x:c r="A23" s="138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40"/>
    </x:row>
    <x:row r="24">
      <x:c r="A24" s="141"/>
      <x:c r="B24" s="142"/>
      <x:c r="C24" s="142"/>
      <x:c r="D24" s="142"/>
      <x:c r="E24" s="142"/>
      <x:c r="F24" s="142"/>
      <x:c r="G24" s="142"/>
      <x:c r="H24" s="142"/>
      <x:c r="I24" s="142"/>
      <x:c r="J24" s="142"/>
      <x:c r="K24" s="143"/>
    </x:row>
  </x:sheetData>
  <x:mergeCells>
    <x:mergeCell ref="A1:K2"/>
    <x:mergeCell ref="A3:K4"/>
    <x:mergeCell ref="A6:K6"/>
    <x:mergeCell ref="A21:K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55" hidden="0" customWidth="1"/>
  </x:cols>
  <x:sheetData>
    <x:row r="1" ht="24" customHeight="1">
      <x:c r="A1" s="129" t="str">
        <x:v>FY26 ACCOUNTING CROSS-CHECK</x:v>
      </x:c>
      <x:c r="B1" s="129"/>
      <x:c r="C1" s="129"/>
      <x:c r="D1" s="129"/>
    </x:row>
    <x:row r="2" ht="24" customHeight="1">
      <x:c r="A2" s="129"/>
      <x:c r="B2" s="129"/>
      <x:c r="C2" s="129"/>
      <x:c r="D2" s="129"/>
    </x:row>
    <x:row r="3" ht="22" customHeight="1">
      <x:c r="A3" s="130" t="str">
        <x:v>The bridge tests how much manufacturing conversion cost must sit outside Biocon's narrow contribution-cost estimate for total COGS to be 30% above Celltrion's reported ratio.</x:v>
      </x:c>
      <x:c r="B3" s="130"/>
      <x:c r="C3" s="130"/>
      <x:c r="D3" s="130"/>
    </x:row>
    <x:row r="4" ht="22" customHeight="1">
      <x:c r="A4" s="130"/>
      <x:c r="B4" s="130"/>
      <x:c r="C4" s="130"/>
      <x:c r="D4" s="130"/>
    </x:row>
    <x:row r="5">
      <x:c r="A5" s="146"/>
      <x:c r="B5" s="146"/>
      <x:c r="C5" s="146"/>
      <x:c r="D5" s="146"/>
    </x:row>
    <x:row r="6" ht="18" customHeight="1">
      <x:c r="A6" s="129" t="str">
        <x:v>REPORTED AND MANAGER-MODEL INPUTS</x:v>
      </x:c>
      <x:c r="B6" s="129"/>
      <x:c r="C6" s="129"/>
      <x:c r="D6" s="129"/>
    </x:row>
    <x:row r="7">
      <x:c r="A7" s="132" t="str">
        <x:v>Input</x:v>
      </x:c>
      <x:c r="B7" s="132" t="str">
        <x:v>Value</x:v>
      </x:c>
      <x:c r="C7" s="132" t="str">
        <x:v>Unit</x:v>
      </x:c>
      <x:c r="D7" s="132" t="str">
        <x:v>Source / treatment</x:v>
      </x:c>
    </x:row>
    <x:row r="8">
      <x:c r="A8" s="146" t="str">
        <x:v>Biocon FY26 biosimilars revenue</x:v>
      </x:c>
      <x:c r="B8" s="170" t="n">
        <x:v>104312</x:v>
      </x:c>
      <x:c r="C8" s="146" t="str">
        <x:v>₹m</x:v>
      </x:c>
      <x:c r="D8" s="146" t="str">
        <x:v>Company FY26 results</x:v>
      </x:c>
    </x:row>
    <x:row r="9">
      <x:c r="A9" s="146" t="str">
        <x:v>Biocon FY26 contribution cost</x:v>
      </x:c>
      <x:c r="B9" s="190" t="n">
        <x:v>29400</x:v>
      </x:c>
      <x:c r="C9" s="146" t="str">
        <x:v>₹m</x:v>
      </x:c>
      <x:c r="D9" s="146" t="str">
        <x:v>Manager-model estimate; not separately reported</x:v>
      </x:c>
    </x:row>
    <x:row r="10">
      <x:c r="A10" s="146" t="str">
        <x:v>Biocon FY26 biosimilars EBITDA</x:v>
      </x:c>
      <x:c r="B10" s="170" t="n">
        <x:v>27508</x:v>
      </x:c>
      <x:c r="C10" s="146" t="str">
        <x:v>₹m</x:v>
      </x:c>
      <x:c r="D10" s="146" t="str">
        <x:v>Company FY26 results, like-for-like</x:v>
      </x:c>
    </x:row>
    <x:row r="11">
      <x:c r="A11" s="146" t="str">
        <x:v>Celltrion Q2-26 reported COGS ratio</x:v>
      </x:c>
      <x:c r="B11" s="175" t="n">
        <x:v>0.38</x:v>
      </x:c>
      <x:c r="C11" s="146" t="str">
        <x:v>% of revenue</x:v>
      </x:c>
      <x:c r="D11" s="146" t="str">
        <x:v>Reported integrated cost-of-sales ratio</x:v>
      </x:c>
    </x:row>
    <x:row r="12">
      <x:c r="A12" s="146" t="str">
        <x:v>Target premium to Celltrion</x:v>
      </x:c>
      <x:c r="B12" s="157" t="n">
        <x:v>0.3</x:v>
      </x:c>
      <x:c r="C12" s="146" t="str">
        <x:v>%</x:v>
      </x:c>
      <x:c r="D12" s="146" t="str">
        <x:v>Hypothesis to test</x:v>
      </x:c>
    </x:row>
    <x:row r="13">
      <x:c r="A13" s="146" t="str">
        <x:v>Biocon manufacturing conversion allocation</x:v>
      </x:c>
      <x:c r="B13" s="157" t="n">
        <x:v>0.3</x:v>
      </x:c>
      <x:c r="C13" s="146" t="str">
        <x:v>% of residual cash cost</x:v>
      </x:c>
      <x:c r="D13" s="146" t="str">
        <x:v>Editable analyst assumption</x:v>
      </x:c>
    </x:row>
    <x:row r="14">
      <x:c r="A14" s="146"/>
      <x:c r="B14" s="146"/>
      <x:c r="C14" s="146"/>
      <x:c r="D14" s="146"/>
    </x:row>
    <x:row r="15" ht="18" customHeight="1">
      <x:c r="A15" s="129" t="str">
        <x:v>THRESHOLD CALCULATION</x:v>
      </x:c>
      <x:c r="B15" s="129"/>
      <x:c r="C15" s="129"/>
      <x:c r="D15" s="129"/>
    </x:row>
    <x:row r="16">
      <x:c r="A16" s="132" t="str">
        <x:v>Calculation</x:v>
      </x:c>
      <x:c r="B16" s="132" t="str">
        <x:v>Value</x:v>
      </x:c>
      <x:c r="C16" s="132" t="str">
        <x:v>Unit</x:v>
      </x:c>
      <x:c r="D16" s="146"/>
    </x:row>
    <x:row r="17">
      <x:c r="A17" s="146" t="str">
        <x:v>Contribution cost ratio</x:v>
      </x:c>
      <x:c r="B17" s="175" t="n">
        <x:f>B9/B8</x:f>
        <x:v>0.28184676739013725</x:v>
      </x:c>
      <x:c r="C17" s="146" t="str">
        <x:v>% of revenue</x:v>
      </x:c>
      <x:c r="D17" s="146"/>
    </x:row>
    <x:row r="18">
      <x:c r="A18" s="146" t="str">
        <x:v>Contribution profit</x:v>
      </x:c>
      <x:c r="B18" s="170" t="n">
        <x:f>B8-B9</x:f>
        <x:v>74912</x:v>
      </x:c>
      <x:c r="C18" s="146" t="str">
        <x:v>₹m</x:v>
      </x:c>
      <x:c r="D18" s="146"/>
    </x:row>
    <x:row r="19">
      <x:c r="A19" s="146" t="str">
        <x:v>Residual cash operating cost to EBITDA</x:v>
      </x:c>
      <x:c r="B19" s="170" t="n">
        <x:f>B8-B9-B10</x:f>
        <x:v>47404</x:v>
      </x:c>
      <x:c r="C19" s="146" t="str">
        <x:v>₹m</x:v>
      </x:c>
      <x:c r="D19" s="146"/>
    </x:row>
    <x:row r="20">
      <x:c r="A20" s="176" t="str">
        <x:v>Target Biocon COGS ratio</x:v>
      </x:c>
      <x:c r="B20" s="191" t="n">
        <x:f>B11*(1+B12)</x:f>
        <x:v>0.49400000000000005</x:v>
      </x:c>
      <x:c r="C20" s="176" t="str">
        <x:v>% of revenue</x:v>
      </x:c>
      <x:c r="D20" s="146"/>
    </x:row>
    <x:row r="21">
      <x:c r="A21" s="192" t="str">
        <x:v>Target Biocon COGS</x:v>
      </x:c>
      <x:c r="B21" s="193" t="n">
        <x:f>B20*B8</x:f>
        <x:v>51530.128000000004</x:v>
      </x:c>
      <x:c r="C21" s="192" t="str">
        <x:v>₹m</x:v>
      </x:c>
      <x:c r="D21" s="146"/>
    </x:row>
    <x:row r="22">
      <x:c r="A22" s="192" t="str">
        <x:v>Incremental manufacturing cost required</x:v>
      </x:c>
      <x:c r="B22" s="193" t="n">
        <x:f>B21-B9</x:f>
        <x:v>22130.128000000004</x:v>
      </x:c>
      <x:c r="C22" s="192" t="str">
        <x:v>₹m</x:v>
      </x:c>
      <x:c r="D22" s="146"/>
    </x:row>
    <x:row r="23">
      <x:c r="A23" s="178" t="str">
        <x:v>Required share of residual cash cost</x:v>
      </x:c>
      <x:c r="B23" s="179" t="n">
        <x:f>B22/B19</x:f>
        <x:v>0.46684094169268425</x:v>
      </x:c>
      <x:c r="C23" s="178" t="str">
        <x:v>%</x:v>
      </x:c>
      <x:c r="D23" s="146"/>
    </x:row>
    <x:row r="24">
      <x:c r="A24" s="146" t="str">
        <x:v>Modeled Biocon cost ratio at selected allocation</x:v>
      </x:c>
      <x:c r="B24" s="175" t="n">
        <x:f>B17+B13*B19/B8</x:f>
        <x:v>0.4181800751591379</x:v>
      </x:c>
      <x:c r="C24" s="146" t="str">
        <x:v>% of revenue</x:v>
      </x:c>
      <x:c r="D24" s="146"/>
    </x:row>
    <x:row r="25">
      <x:c r="A25" s="146" t="str">
        <x:v>Modeled premium to Celltrion</x:v>
      </x:c>
      <x:c r="B25" s="175" t="n">
        <x:f>B24/B11-1</x:f>
        <x:v>0.10047388199773133</x:v>
      </x:c>
      <x:c r="C25" s="146" t="str">
        <x:v>%</x:v>
      </x:c>
      <x:c r="D25" s="146"/>
    </x:row>
    <x:row r="26">
      <x:c r="A26" s="146"/>
      <x:c r="B26" s="146"/>
      <x:c r="C26" s="146"/>
      <x:c r="D26" s="146"/>
    </x:row>
    <x:row r="27">
      <x:c r="A27" s="146"/>
      <x:c r="B27" s="146"/>
      <x:c r="C27" s="146"/>
      <x:c r="D27" s="146"/>
    </x:row>
    <x:row r="28">
      <x:c r="A28" s="135" t="str">
        <x:v>Interpretation: the FY26 accounts define the hurdle but do not prove it. The 30% hypothesis requires the incremental manufacturing cost shown above. The residual cash-cost pool also contains R&amp;D, commercial and corporate expenses, while plant depreciation sits below EBITDA. The physical platform models are therefore the primary test; this sheet is a consistency check.</x:v>
      </x:c>
      <x:c r="B28" s="136"/>
      <x:c r="C28" s="136"/>
      <x:c r="D28" s="137"/>
    </x:row>
    <x:row r="29">
      <x:c r="A29" s="138"/>
      <x:c r="B29" s="139"/>
      <x:c r="C29" s="139"/>
      <x:c r="D29" s="140"/>
    </x:row>
    <x:row r="30">
      <x:c r="A30" s="138"/>
      <x:c r="B30" s="139"/>
      <x:c r="C30" s="139"/>
      <x:c r="D30" s="140"/>
    </x:row>
    <x:row r="31">
      <x:c r="A31" s="138"/>
      <x:c r="B31" s="139"/>
      <x:c r="C31" s="139"/>
      <x:c r="D31" s="140"/>
    </x:row>
    <x:row r="32">
      <x:c r="A32" s="141"/>
      <x:c r="B32" s="142"/>
      <x:c r="C32" s="142"/>
      <x:c r="D32" s="143"/>
    </x:row>
  </x:sheetData>
  <x:mergeCells>
    <x:mergeCell ref="A1:D2"/>
    <x:mergeCell ref="A3:D4"/>
    <x:mergeCell ref="A6:D6"/>
    <x:mergeCell ref="A15:D15"/>
    <x:mergeCell ref="A28:D32"/>
  </x:mergeCells>
  <x:pageMargins left="0.7" right="0.7" top="0.75" bottom="0.75" header="0.3" footer="0.3"/>
  <x:legacyDrawing xmlns:r="http://schemas.openxmlformats.org/officeDocument/2006/relationships" r:id="Rf0641f52036d412f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9" hidden="0" customWidth="1"/>
    <x:col min="3" max="3" width="49" hidden="0" customWidth="1"/>
    <x:col min="4" max="4" width="49" hidden="0" customWidth="1"/>
    <x:col min="5" max="5" width="54" hidden="0" customWidth="1"/>
  </x:cols>
  <x:sheetData>
    <x:row r="1" ht="24" customHeight="1">
      <x:c r="A1" s="129" t="str">
        <x:v>SAMSUNG BIOEPIS VS CELLTRION VS BIOCON</x:v>
      </x:c>
      <x:c r="B1" s="129"/>
      <x:c r="C1" s="129"/>
      <x:c r="D1" s="129"/>
      <x:c r="E1" s="129"/>
    </x:row>
    <x:row r="2" ht="24" customHeight="1">
      <x:c r="A2" s="129"/>
      <x:c r="B2" s="129"/>
      <x:c r="C2" s="129"/>
      <x:c r="D2" s="129"/>
      <x:c r="E2" s="129"/>
    </x:row>
    <x:row r="3" ht="22" customHeight="1">
      <x:c r="A3" s="130" t="str">
        <x:v>The manager framework is translated into the model perimeter. Missing standalone disclosure remains explicitly unmodelled.</x:v>
      </x:c>
      <x:c r="B3" s="130"/>
      <x:c r="C3" s="130"/>
      <x:c r="D3" s="130"/>
      <x:c r="E3" s="130"/>
    </x:row>
    <x:row r="4" ht="22" customHeight="1">
      <x:c r="A4" s="130"/>
      <x:c r="B4" s="130"/>
      <x:c r="C4" s="130"/>
      <x:c r="D4" s="130"/>
      <x:c r="E4" s="130"/>
    </x:row>
    <x:row r="5">
      <x:c r="A5" s="146"/>
      <x:c r="B5" s="146"/>
      <x:c r="C5" s="146"/>
      <x:c r="D5" s="146"/>
      <x:c r="E5" s="146"/>
    </x:row>
    <x:row r="6" ht="18" customHeight="1">
      <x:c r="A6" s="129" t="str">
        <x:v>COMPARATIVE UNIT-ECONOMICS FRAMEWORK</x:v>
      </x:c>
      <x:c r="B6" s="129"/>
      <x:c r="C6" s="129"/>
      <x:c r="D6" s="129"/>
      <x:c r="E6" s="129"/>
    </x:row>
    <x:row r="7">
      <x:c r="A7" s="132" t="str">
        <x:v>Dimension</x:v>
      </x:c>
      <x:c r="B7" s="132" t="str">
        <x:v>Samsung Bioepis</x:v>
      </x:c>
      <x:c r="C7" s="132" t="str">
        <x:v>Celltrion</x:v>
      </x:c>
      <x:c r="D7" s="132" t="str">
        <x:v>Biocon Biologics</x:v>
      </x:c>
      <x:c r="E7" s="132" t="str">
        <x:v>Model treatment</x:v>
      </x:c>
    </x:row>
    <x:row r="8" ht="58" customHeight="1">
      <x:c r="A8" s="195" t="str">
        <x:v>Manufacturing model</x:v>
      </x:c>
      <x:c r="B8" s="195" t="str">
        <x:v>Development company supported by Samsung-group biologics manufacturing and external commercial partners</x:v>
      </x:c>
      <x:c r="C8" s="195" t="str">
        <x:v>Owned drug-substance and drug-product network; 316kL expanding to 571kL</x:v>
      </x:c>
      <x:c r="D8" s="195" t="str">
        <x:v>Owned biologics and insulin plants plus the acquired Viatris commercial infrastructure</x:v>
      </x:c>
      <x:c r="E8" s="195" t="str">
        <x:v>Physical platform model uses Celltrion as the efficient owned-manufacturing peer</x:v>
      </x:c>
    </x:row>
    <x:row r="9" ht="58" customHeight="1">
      <x:c r="A9" s="195" t="str">
        <x:v>Standalone COGS disclosure</x:v>
      </x:c>
      <x:c r="B9" s="195" t="str">
        <x:v>Not sufficiently disclosed for a clean standalone comparison</x:v>
      </x:c>
      <x:c r="C9" s="195" t="str">
        <x:v>Q2-26 reported COGS ratio of 38%; mix, yield and inventory are identified cost drivers</x:v>
      </x:c>
      <x:c r="D9" s="195" t="str">
        <x:v>Manager-estimated contribution cost of ₹29.4bn on FY26 revenue of ₹104.3bn; 28.2% ratio</x:v>
      </x:c>
      <x:c r="E9" s="195" t="str">
        <x:v>Accounting bridge tests the cost perimeter; Samsung is not assigned a fabricated COGS</x:v>
      </x:c>
    </x:row>
    <x:row r="10" ht="58" customHeight="1">
      <x:c r="A10" s="195" t="str">
        <x:v>Commercial economics</x:v>
      </x:c>
      <x:c r="B10" s="195" t="str">
        <x:v>Partner royalties, profit shares and affiliate manufacturing charges obscure product margin</x:v>
      </x:c>
      <x:c r="C10" s="195" t="str">
        <x:v>Increasing direct sales improve retention of product economics</x:v>
      </x:c>
      <x:c r="D10" s="195" t="str">
        <x:v>Direct US front end, with integration and commercial overhead after the Viatris acquisition</x:v>
      </x:c>
      <x:c r="E10" s="195" t="str">
        <x:v>Manufacturing cost and commercial cost are shown as separate layers</x:v>
      </x:c>
    </x:row>
    <x:row r="11" ht="58" customHeight="1">
      <x:c r="A11" s="195" t="str">
        <x:v>Latest profitability evidence</x:v>
      </x:c>
      <x:c r="B11" s="195" t="str">
        <x:v>No reliable standalone gross-margin figure available</x:v>
      </x:c>
      <x:c r="C11" s="195" t="str">
        <x:v>Q1-26 operating margin of 26.1%; manager framework indicates about 30% excluding US plant maintenance</x:v>
      </x:c>
      <x:c r="D11" s="195" t="str">
        <x:v>FY26 biosimilars EBITDA of ₹27.5bn, or 26.4% of revenue</x:v>
      </x:c>
      <x:c r="E11" s="195" t="str">
        <x:v>Profitability is a cross-check, not proof of physical manufacturing cost</x:v>
      </x:c>
    </x:row>
    <x:row r="12" ht="58" customHeight="1">
      <x:c r="A12" s="195" t="str">
        <x:v>Product-mix effect</x:v>
      </x:c>
      <x:c r="B12" s="195" t="str">
        <x:v>Milestones and partner mix can make annual margins uneven</x:v>
      </x:c>
      <x:c r="C12" s="195" t="str">
        <x:v>Newer, higher-margin products represent a growing share of the portfolio</x:v>
      </x:c>
      <x:c r="D12" s="195" t="str">
        <x:v>Insulin lowers value density; newer oncology and immunology launches require commercial investment</x:v>
      </x:c>
      <x:c r="E12" s="195" t="str">
        <x:v>Separate insulin and antibody models are weighted using July 2026 IQVIA portfolio value</x:v>
      </x:c>
    </x:row>
    <x:row r="13" ht="58" customHeight="1">
      <x:c r="A13" s="195" t="str">
        <x:v>Capital intensity</x:v>
      </x:c>
      <x:c r="B13" s="195" t="str">
        <x:v>Much of the biologics capex sits at Samsung Biologics rather than Bioepis</x:v>
      </x:c>
      <x:c r="C13" s="195" t="str">
        <x:v>High owned-capacity investment; economics improve when the network is utilised</x:v>
      </x:c>
      <x:c r="D13" s="195" t="str">
        <x:v>High owned manufacturing, acquired intangibles and financial leverage</x:v>
      </x:c>
      <x:c r="E13" s="195" t="str">
        <x:v>Depreciation and utilisation are included in physical cost; standalone ROIC is not estimated</x:v>
      </x:c>
    </x:row>
    <x:row r="14">
      <x:c r="A14" s="146"/>
      <x:c r="B14" s="146"/>
      <x:c r="C14" s="146"/>
      <x:c r="D14" s="146"/>
      <x:c r="E14" s="146"/>
    </x:row>
    <x:row r="15">
      <x:c r="A15" s="135" t="str">
        <x:v>Read-through: Celltrion is the only clean quantitative manufacturing comparator in this set. Samsung Bioepis remains strategically relevant, but its affiliate manufacturing and partner structure prevent a defensible standalone unit-cost estimate. Biocon is therefore tested against Celltrion and an efficient physical-process benchmark.</x:v>
      </x:c>
      <x:c r="B15" s="136"/>
      <x:c r="C15" s="136"/>
      <x:c r="D15" s="136"/>
      <x:c r="E15" s="137"/>
    </x:row>
    <x:row r="16">
      <x:c r="A16" s="138"/>
      <x:c r="B16" s="139"/>
      <x:c r="C16" s="139"/>
      <x:c r="D16" s="139"/>
      <x:c r="E16" s="140"/>
    </x:row>
    <x:row r="17">
      <x:c r="A17" s="138"/>
      <x:c r="B17" s="139"/>
      <x:c r="C17" s="139"/>
      <x:c r="D17" s="139"/>
      <x:c r="E17" s="140"/>
    </x:row>
    <x:row r="18">
      <x:c r="A18" s="141"/>
      <x:c r="B18" s="142"/>
      <x:c r="C18" s="142"/>
      <x:c r="D18" s="142"/>
      <x:c r="E18" s="143"/>
    </x:row>
  </x:sheetData>
  <x:mergeCells>
    <x:mergeCell ref="A1:E2"/>
    <x:mergeCell ref="A3:E4"/>
    <x:mergeCell ref="A6:E6"/>
    <x:mergeCell ref="A15:E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8" hidden="0" customWidth="1"/>
    <x:col min="4" max="4" width="18" hidden="0" customWidth="1"/>
    <x:col min="5" max="5" width="58" hidden="0" customWidth="1"/>
  </x:cols>
  <x:sheetData>
    <x:row r="1" ht="24" customHeight="1">
      <x:c r="A1" s="129" t="str">
        <x:v>FULL UNIT-ECONOMICS BRIDGE</x:v>
      </x:c>
      <x:c r="B1" s="129"/>
      <x:c r="C1" s="129"/>
      <x:c r="D1" s="129"/>
      <x:c r="E1" s="129"/>
    </x:row>
    <x:row r="2" ht="24" customHeight="1">
      <x:c r="A2" s="129"/>
      <x:c r="B2" s="129"/>
      <x:c r="C2" s="129"/>
      <x:c r="D2" s="129"/>
      <x:c r="E2" s="129"/>
    </x:row>
    <x:row r="3" ht="22" customHeight="1">
      <x:c r="A3" s="130" t="str">
        <x:v>The model separates physical manufacturing cost, landed manufacturing cost and fully burdened cash operating cost.</x:v>
      </x:c>
      <x:c r="B3" s="130"/>
      <x:c r="C3" s="130"/>
      <x:c r="D3" s="130"/>
      <x:c r="E3" s="130"/>
    </x:row>
    <x:row r="4" ht="22" customHeight="1">
      <x:c r="A4" s="130"/>
      <x:c r="B4" s="130"/>
      <x:c r="C4" s="130"/>
      <x:c r="D4" s="130"/>
      <x:c r="E4" s="130"/>
    </x:row>
    <x:row r="5">
      <x:c r="A5" s="146"/>
      <x:c r="B5" s="146"/>
      <x:c r="C5" s="146"/>
      <x:c r="D5" s="146"/>
      <x:c r="E5" s="146"/>
    </x:row>
    <x:row r="6" ht="18" customHeight="1">
      <x:c r="A6" s="129" t="str">
        <x:v>BIOCON FY26 CASH OPERATING-COST BRIDGE</x:v>
      </x:c>
      <x:c r="B6" s="129"/>
      <x:c r="C6" s="129"/>
      <x:c r="D6" s="129"/>
      <x:c r="E6" s="129"/>
    </x:row>
    <x:row r="7">
      <x:c r="A7" s="132" t="str">
        <x:v>Cost item</x:v>
      </x:c>
      <x:c r="B7" s="132" t="str">
        <x:v>₹m</x:v>
      </x:c>
      <x:c r="C7" s="132" t="str">
        <x:v>% of revenue</x:v>
      </x:c>
      <x:c r="D7" s="132" t="str">
        <x:v>Classification</x:v>
      </x:c>
      <x:c r="E7" s="132" t="str">
        <x:v>Treatment</x:v>
      </x:c>
    </x:row>
    <x:row r="8">
      <x:c r="A8" s="195" t="str">
        <x:v>FY26 biosimilars revenue</x:v>
      </x:c>
      <x:c r="B8" s="215" t="n">
        <x:f>'Accounting Check'!B8</x:f>
        <x:v>104312</x:v>
      </x:c>
      <x:c r="C8" s="216" t="n">
        <x:f>B8/B8</x:f>
        <x:v>1</x:v>
      </x:c>
      <x:c r="D8" s="195" t="str">
        <x:v>Revenue</x:v>
      </x:c>
      <x:c r="E8" s="195" t="str">
        <x:v>Company FY26 result</x:v>
      </x:c>
    </x:row>
    <x:row r="9">
      <x:c r="A9" s="195" t="str">
        <x:v>Manager-estimated contribution cost</x:v>
      </x:c>
      <x:c r="B9" s="215" t="n">
        <x:f>'Accounting Check'!B9</x:f>
        <x:v>29400</x:v>
      </x:c>
      <x:c r="C9" s="216" t="n">
        <x:f>B9/B8</x:f>
        <x:v>0.28184676739013725</x:v>
      </x:c>
      <x:c r="D9" s="195" t="str">
        <x:v>Manufacturing base</x:v>
      </x:c>
      <x:c r="E9" s="195" t="str">
        <x:v>Materials, external supply and contribution-cost perimeter</x:v>
      </x:c>
    </x:row>
    <x:row r="10">
      <x:c r="A10" s="195" t="str">
        <x:v>Residual cash operating cost to EBITDA</x:v>
      </x:c>
      <x:c r="B10" s="215" t="n">
        <x:f>'Accounting Check'!B19</x:f>
        <x:v>47404</x:v>
      </x:c>
      <x:c r="C10" s="216" t="n">
        <x:f>B10/B8</x:f>
        <x:v>0.4544443592300023</x:v>
      </x:c>
      <x:c r="D10" s="195" t="str">
        <x:v>Allocation pool</x:v>
      </x:c>
      <x:c r="E10" s="195" t="str">
        <x:v>Contains conversion, commercial, R&amp;D and corporate cash costs</x:v>
      </x:c>
    </x:row>
    <x:row r="11">
      <x:c r="A11" s="195" t="str">
        <x:v>FY26 biosimilars EBITDA</x:v>
      </x:c>
      <x:c r="B11" s="215" t="n">
        <x:f>'Accounting Check'!B10</x:f>
        <x:v>27508</x:v>
      </x:c>
      <x:c r="C11" s="216" t="n">
        <x:f>B11/B8</x:f>
        <x:v>0.26370887337986043</x:v>
      </x:c>
      <x:c r="D11" s="195" t="str">
        <x:v>Profit</x:v>
      </x:c>
      <x:c r="E11" s="195" t="str">
        <x:v>Like-for-like FY26 EBITDA</x:v>
      </x:c>
    </x:row>
    <x:row r="12">
      <x:c r="A12" s="195"/>
      <x:c r="B12" s="195"/>
      <x:c r="C12" s="195"/>
      <x:c r="D12" s="195"/>
      <x:c r="E12" s="195"/>
    </x:row>
    <x:row r="13" ht="18" customHeight="1">
      <x:c r="A13" s="198" t="str">
        <x:v>ALLOCATION OF RESIDUAL CASH OPERATING COST</x:v>
      </x:c>
      <x:c r="B13" s="198"/>
      <x:c r="C13" s="198"/>
      <x:c r="D13" s="198"/>
      <x:c r="E13" s="198"/>
    </x:row>
    <x:row r="14">
      <x:c r="A14" s="132" t="str">
        <x:v>Cost item</x:v>
      </x:c>
      <x:c r="B14" s="132" t="str">
        <x:v>% of residual pool</x:v>
      </x:c>
      <x:c r="C14" s="132" t="str">
        <x:v>₹m</x:v>
      </x:c>
      <x:c r="D14" s="132" t="str">
        <x:v>% of revenue</x:v>
      </x:c>
      <x:c r="E14" s="132" t="str">
        <x:v>Rationale</x:v>
      </x:c>
    </x:row>
    <x:row r="15">
      <x:c r="A15" s="195" t="str">
        <x:v>Manufacturing conversion and site overhead</x:v>
      </x:c>
      <x:c r="B15" s="217" t="n">
        <x:v>0.3</x:v>
      </x:c>
      <x:c r="C15" s="218" t="n">
        <x:f>$B$10*B15</x:f>
        <x:v>14221.199999999999</x:v>
      </x:c>
      <x:c r="D15" s="216" t="n">
        <x:f>C15/$B$8</x:f>
        <x:v>0.13633330776900068</x:v>
      </x:c>
      <x:c r="E15" s="195" t="str">
        <x:v>Plant labour, utilities, QA, maintenance and cash site overhead not captured in the narrow contribution-cost estimate</x:v>
      </x:c>
    </x:row>
    <x:row r="16">
      <x:c r="A16" s="195" t="str">
        <x:v>US commercial and integration overhead</x:v>
      </x:c>
      <x:c r="B16" s="217" t="n">
        <x:v>0.35</x:v>
      </x:c>
      <x:c r="C16" s="218" t="n">
        <x:f>$B$10*B16</x:f>
        <x:v>16591.399999999998</x:v>
      </x:c>
      <x:c r="D16" s="216" t="n">
        <x:f>C16/$B$8</x:f>
        <x:v>0.15905552573050077</x:v>
      </x:c>
      <x:c r="E16" s="195" t="str">
        <x:v>Direct US field force, contracting, distribution administration and integration burden</x:v>
      </x:c>
    </x:row>
    <x:row r="17">
      <x:c r="A17" s="195" t="str">
        <x:v>R&amp;D and regulatory maintenance</x:v>
      </x:c>
      <x:c r="B17" s="217" t="n">
        <x:v>0.2</x:v>
      </x:c>
      <x:c r="C17" s="218" t="n">
        <x:f>$B$10*B17</x:f>
        <x:v>9480.800000000001</x:v>
      </x:c>
      <x:c r="D17" s="216" t="n">
        <x:f>C17/$B$8</x:f>
        <x:v>0.09088887184600047</x:v>
      </x:c>
      <x:c r="E17" s="195" t="str">
        <x:v>Development, regulatory commitments and lifecycle management</x:v>
      </x:c>
    </x:row>
    <x:row r="18">
      <x:c r="A18" s="195" t="str">
        <x:v>Corporate and other operating cost</x:v>
      </x:c>
      <x:c r="B18" s="217" t="n">
        <x:v>0.15</x:v>
      </x:c>
      <x:c r="C18" s="218" t="n">
        <x:f>$B$10*B18</x:f>
        <x:v>7110.599999999999</x:v>
      </x:c>
      <x:c r="D18" s="216" t="n">
        <x:f>C18/$B$8</x:f>
        <x:v>0.06816665388450034</x:v>
      </x:c>
      <x:c r="E18" s="195" t="str">
        <x:v>Central functions and other cash operating expenses</x:v>
      </x:c>
    </x:row>
    <x:row r="19">
      <x:c r="A19" s="219" t="str">
        <x:v>Allocation check</x:v>
      </x:c>
      <x:c r="B19" s="220" t="n">
        <x:f>SUM(B15:B18)</x:f>
        <x:v>0.9999999999999999</x:v>
      </x:c>
      <x:c r="C19" s="219"/>
      <x:c r="D19" s="219"/>
      <x:c r="E19" s="219" t="str">
        <x:v>Must equal 100%</x:v>
      </x:c>
    </x:row>
    <x:row r="20">
      <x:c r="A20" s="195"/>
      <x:c r="B20" s="195"/>
      <x:c r="C20" s="195"/>
      <x:c r="D20" s="195"/>
      <x:c r="E20" s="195"/>
    </x:row>
    <x:row r="21" ht="18" customHeight="1">
      <x:c r="A21" s="198" t="str">
        <x:v>THREE COST LAYERS</x:v>
      </x:c>
      <x:c r="B21" s="198"/>
      <x:c r="C21" s="198"/>
      <x:c r="D21" s="198"/>
      <x:c r="E21" s="198"/>
    </x:row>
    <x:row r="22">
      <x:c r="A22" s="132" t="str">
        <x:v>Layer</x:v>
      </x:c>
      <x:c r="B22" s="132" t="str">
        <x:v>₹m</x:v>
      </x:c>
      <x:c r="C22" s="132" t="str">
        <x:v>% of revenue</x:v>
      </x:c>
      <x:c r="D22" s="132" t="str">
        <x:v>Peer reference</x:v>
      </x:c>
      <x:c r="E22" s="132" t="str">
        <x:v>Interpretation</x:v>
      </x:c>
    </x:row>
    <x:row r="23">
      <x:c r="A23" s="195" t="str">
        <x:v>1. Contribution-cost perimeter</x:v>
      </x:c>
      <x:c r="B23" s="218" t="n">
        <x:f>$B$9</x:f>
        <x:v>29400</x:v>
      </x:c>
      <x:c r="C23" s="216" t="n">
        <x:f>B23/$B$8</x:f>
        <x:v>0.28184676739013725</x:v>
      </x:c>
      <x:c r="D23" s="195" t="str">
        <x:v>No clean peer ratio</x:v>
      </x:c>
      <x:c r="E23" s="195" t="str">
        <x:v>Too narrow to compare with Celltrion reported COGS</x:v>
      </x:c>
    </x:row>
    <x:row r="24">
      <x:c r="A24" s="221" t="str">
        <x:v>2. Landed manufacturing cost</x:v>
      </x:c>
      <x:c r="B24" s="222" t="n">
        <x:f>$B$9+$C$15</x:f>
        <x:v>43621.2</x:v>
      </x:c>
      <x:c r="C24" s="223" t="n">
        <x:f>B24/$B$8</x:f>
        <x:v>0.41818007515913797</x:v>
      </x:c>
      <x:c r="D24" s="195" t="str">
        <x:v>Celltrion COGS: 38.0%</x:v>
      </x:c>
      <x:c r="E24" s="195" t="str">
        <x:v>Selected allocation gives Biocon 41.8%, or 10.0% above Celltrion</x:v>
      </x:c>
    </x:row>
    <x:row r="25">
      <x:c r="A25" s="224" t="str">
        <x:v>3. Fully burdened cash operating cost</x:v>
      </x:c>
      <x:c r="B25" s="225" t="n">
        <x:f>$B$9+SUM($C$15:$C$18)</x:f>
        <x:v>76804</x:v>
      </x:c>
      <x:c r="C25" s="226" t="n">
        <x:f>B25/$B$8</x:f>
        <x:v>0.7362911266201396</x:v>
      </x:c>
      <x:c r="D25" s="195" t="str">
        <x:v>Celltrion Q1-26 operating cost: 73.9%</x:v>
      </x:c>
      <x:c r="E25" s="195" t="str">
        <x:v>Biocon cash operating cost is 73.6%; EBITDA and operating margin are not perfectly comparable</x:v>
      </x:c>
    </x:row>
    <x:row r="26">
      <x:c r="A26" s="227" t="str">
        <x:v>FY26 EBITDA</x:v>
      </x:c>
      <x:c r="B26" s="228" t="n">
        <x:f>$B$11</x:f>
        <x:v>27508</x:v>
      </x:c>
      <x:c r="C26" s="229" t="n">
        <x:f>B26/$B$8</x:f>
        <x:v>0.26370887337986043</x:v>
      </x:c>
      <x:c r="D26" s="195" t="str">
        <x:v>Celltrion Q1-26 operating margin: 26.1%</x:v>
      </x:c>
      <x:c r="E26" s="195" t="str">
        <x:v>Biocon measure is EBITDA and excludes depreciation</x:v>
      </x:c>
    </x:row>
    <x:row r="27">
      <x:c r="A27" s="195" t="str">
        <x:v>Cash bridge check</x:v>
      </x:c>
      <x:c r="B27" s="218" t="n">
        <x:f>$B$25+$B$26-$B$8</x:f>
        <x:v>0</x:v>
      </x:c>
      <x:c r="C27" s="216" t="n">
        <x:f>B27/$B$8</x:f>
        <x:v>0</x:v>
      </x:c>
      <x:c r="D27" s="195" t="str">
        <x:v>Must equal zero</x:v>
      </x:c>
      <x:c r="E27" s="195" t="str">
        <x:v>Internal tie-out</x:v>
      </x:c>
    </x:row>
    <x:row r="28">
      <x:c r="A28" s="195"/>
      <x:c r="B28" s="195"/>
      <x:c r="C28" s="195"/>
      <x:c r="D28" s="195"/>
      <x:c r="E28" s="195"/>
    </x:row>
    <x:row r="29" ht="18" customHeight="1">
      <x:c r="A29" s="198" t="str">
        <x:v>PHYSICAL COST OUTPUT</x:v>
      </x:c>
      <x:c r="B29" s="198"/>
      <x:c r="C29" s="198"/>
      <x:c r="D29" s="198"/>
      <x:c r="E29" s="198"/>
    </x:row>
    <x:row r="30">
      <x:c r="A30" s="132" t="str">
        <x:v>Output</x:v>
      </x:c>
      <x:c r="B30" s="132" t="str">
        <x:v>Efficient peer</x:v>
      </x:c>
      <x:c r="C30" s="132" t="str">
        <x:v>Biocon</x:v>
      </x:c>
      <x:c r="D30" s="132" t="str">
        <x:v>Premium</x:v>
      </x:c>
      <x:c r="E30" s="132" t="str">
        <x:v>Evidence status</x:v>
      </x:c>
    </x:row>
    <x:row r="31">
      <x:c r="A31" s="195" t="str">
        <x:v>mAb 150 mg vial ($/presentation)</x:v>
      </x:c>
      <x:c r="B31" s="230" t="n">
        <x:f>'mAb Platform'!B58</x:f>
        <x:v>30.641825396825396</x:v>
      </x:c>
      <x:c r="C31" s="230" t="n">
        <x:f>'mAb Platform'!C58</x:f>
        <x:v>37.5444036351166</x:v>
      </x:c>
      <x:c r="D31" s="231" t="n">
        <x:f>'mAb Platform'!C59</x:f>
        <x:v>0.2252665482196219</x:v>
      </x:c>
      <x:c r="E31" s="195" t="str">
        <x:v>Base physical scenario</x:v>
      </x:c>
    </x:row>
    <x:row r="32">
      <x:c r="A32" s="195" t="str">
        <x:v>Insulin 300 IU ($/presentation)</x:v>
      </x:c>
      <x:c r="B32" s="230" t="n">
        <x:f>'Insulin Platform'!B55</x:f>
        <x:v>4.67283894607843</x:v>
      </x:c>
      <x:c r="C32" s="230" t="n">
        <x:f>'Insulin Platform'!C55</x:f>
        <x:v>5.673077222222224</x:v>
      </x:c>
      <x:c r="D32" s="231" t="n">
        <x:f>'Insulin Platform'!C56</x:f>
        <x:v>0.21405365938905718</x:v>
      </x:c>
      <x:c r="E32" s="195" t="str">
        <x:v>Base physical scenario</x:v>
      </x:c>
    </x:row>
    <x:row r="33">
      <x:c r="A33" s="195" t="str">
        <x:v>July-26 value-weighted portfolio</x:v>
      </x:c>
      <x:c r="B33" s="232" t="n">
        <x:f>1</x:f>
        <x:v>1</x:v>
      </x:c>
      <x:c r="C33" s="232" t="n">
        <x:f>1+'Product Costs'!E18</x:f>
        <x:v>1.1969754509351525</x:v>
      </x:c>
      <x:c r="D33" s="231" t="n">
        <x:f>'Product Costs'!E18</x:f>
        <x:v>0.19697545093515245</x:v>
      </x:c>
      <x:c r="E33" s="195" t="str">
        <x:v>Portfolio relevance weighting; not reported COGS</x:v>
      </x:c>
    </x:row>
    <x:row r="34">
      <x:c r="A34" s="195"/>
      <x:c r="B34" s="195"/>
      <x:c r="C34" s="195"/>
      <x:c r="D34" s="195"/>
      <x:c r="E34" s="195"/>
    </x:row>
    <x:row r="35">
      <x:c r="A35" s="135" t="str">
        <x:v>Conclusion: the physical model supports a roughly 20% unit-cost disadvantage for Biocon. The accounting bridge supports a 10% landed manufacturing-cost disadvantage under the selected residual-cost allocation. Neither route proves a blanket 30% base-case disadvantage. A 30% result requires the lower utilisation thresholds shown in the Sensitivity sheet.</x:v>
      </x:c>
      <x:c r="B35" s="136"/>
      <x:c r="C35" s="136"/>
      <x:c r="D35" s="136"/>
      <x:c r="E35" s="137"/>
    </x:row>
    <x:row r="36">
      <x:c r="A36" s="138"/>
      <x:c r="B36" s="139"/>
      <x:c r="C36" s="139"/>
      <x:c r="D36" s="139"/>
      <x:c r="E36" s="140"/>
    </x:row>
    <x:row r="37">
      <x:c r="A37" s="138"/>
      <x:c r="B37" s="139"/>
      <x:c r="C37" s="139"/>
      <x:c r="D37" s="139"/>
      <x:c r="E37" s="140"/>
    </x:row>
    <x:row r="38">
      <x:c r="A38" s="141"/>
      <x:c r="B38" s="142"/>
      <x:c r="C38" s="142"/>
      <x:c r="D38" s="142"/>
      <x:c r="E38" s="143"/>
    </x:row>
  </x:sheetData>
  <x:mergeCells>
    <x:mergeCell ref="A1:E2"/>
    <x:mergeCell ref="A3:E4"/>
    <x:mergeCell ref="A6:E6"/>
    <x:mergeCell ref="A13:E13"/>
    <x:mergeCell ref="A21:E21"/>
    <x:mergeCell ref="A29:E29"/>
    <x:mergeCell ref="A35:E3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129" t="str">
        <x:v>UTILISATION SENSITIVITY</x:v>
      </x:c>
      <x:c r="B1" s="129"/>
      <x:c r="C1" s="129"/>
      <x:c r="D1" s="129"/>
      <x:c r="E1" s="129"/>
      <x:c r="F1" s="129"/>
    </x:row>
    <x:row r="2" ht="24" customHeight="1">
      <x:c r="A2" s="129"/>
      <x:c r="B2" s="129"/>
      <x:c r="C2" s="129"/>
      <x:c r="D2" s="129"/>
      <x:c r="E2" s="129"/>
      <x:c r="F2" s="129"/>
    </x:row>
    <x:row r="3" ht="22" customHeight="1">
      <x:c r="A3" s="130" t="str">
        <x:v>Each row recalculates the same physical cost stack. Only Biocon utilisation changes; peer cost, process yield and all line-item assumptions remain constant.</x:v>
      </x:c>
      <x:c r="B3" s="130"/>
      <x:c r="C3" s="130"/>
      <x:c r="D3" s="130"/>
      <x:c r="E3" s="130"/>
      <x:c r="F3" s="130"/>
    </x:row>
    <x:row r="4" ht="22" customHeight="1">
      <x:c r="A4" s="130"/>
      <x:c r="B4" s="130"/>
      <x:c r="C4" s="130"/>
      <x:c r="D4" s="130"/>
      <x:c r="E4" s="130"/>
      <x:c r="F4" s="130"/>
    </x:row>
    <x:row r="5">
      <x:c r="A5" s="146"/>
      <x:c r="B5" s="146"/>
      <x:c r="C5" s="146"/>
      <x:c r="D5" s="146"/>
      <x:c r="E5" s="146"/>
      <x:c r="F5" s="146"/>
    </x:row>
    <x:row r="6" ht="18" customHeight="1">
      <x:c r="A6" s="129" t="str">
        <x:v>mAb STANDARD 150 mg VIAL</x:v>
      </x:c>
      <x:c r="B6" s="129"/>
      <x:c r="C6" s="129"/>
      <x:c r="D6" s="129"/>
      <x:c r="E6" s="129"/>
      <x:c r="F6" s="129"/>
    </x:row>
    <x:row r="7">
      <x:c r="A7" s="132" t="str">
        <x:v>Biocon utilisation</x:v>
      </x:c>
      <x:c r="B7" s="132" t="str">
        <x:v>Biocon unit cost ($)</x:v>
      </x:c>
      <x:c r="C7" s="132" t="str">
        <x:v>Premium to peer</x:v>
      </x:c>
      <x:c r="D7" s="146"/>
      <x:c r="E7" s="146"/>
      <x:c r="F7" s="146"/>
    </x:row>
    <x:row r="8">
      <x:c r="A8" s="175" t="n">
        <x:v>0.3</x:v>
      </x:c>
      <x:c r="B8" s="172" t="n">
        <x:f>('mAb Platform'!$C$60/A8+'mAb Platform'!$C$61)*(1+'mAb Platform'!$C$57)</x:f>
        <x:v>43.036730452674895</x:v>
      </x:c>
      <x:c r="C8" s="175" t="n">
        <x:f>B8/'mAb Platform'!$B$58-1</x:f>
        <x:v>0.4045093559319628</x:v>
      </x:c>
      <x:c r="D8" s="146"/>
      <x:c r="E8" s="146"/>
      <x:c r="F8" s="146"/>
    </x:row>
    <x:row r="9">
      <x:c r="A9" s="175" t="n">
        <x:v>0.35</x:v>
      </x:c>
      <x:c r="B9" s="172" t="n">
        <x:f>('mAb Platform'!$C$60/A9+'mAb Platform'!$C$61)*(1+'mAb Platform'!$C$57)</x:f>
        <x:v>40.682876102292774</x:v>
      </x:c>
      <x:c r="C9" s="175" t="n">
        <x:f>B9/'mAb Platform'!$B$58-1</x:f>
        <x:v>0.32769100976953114</x:v>
      </x:c>
      <x:c r="D9" s="146"/>
      <x:c r="E9" s="146"/>
      <x:c r="F9" s="146"/>
    </x:row>
    <x:row r="10">
      <x:c r="A10" s="175" t="n">
        <x:v>0.4</x:v>
      </x:c>
      <x:c r="B10" s="172" t="n">
        <x:f>('mAb Platform'!$C$60/A10+'mAb Platform'!$C$61)*(1+'mAb Platform'!$C$57)</x:f>
        <x:v>38.91748533950617</x:v>
      </x:c>
      <x:c r="C10" s="175" t="n">
        <x:f>B10/'mAb Platform'!$B$58-1</x:f>
        <x:v>0.2700772501477071</x:v>
      </x:c>
      <x:c r="D10" s="146"/>
      <x:c r="E10" s="146"/>
      <x:c r="F10" s="146"/>
    </x:row>
    <x:row r="11">
      <x:c r="A11" s="175" t="n">
        <x:v>0.45</x:v>
      </x:c>
      <x:c r="B11" s="172" t="n">
        <x:f>('mAb Platform'!$C$60/A11+'mAb Platform'!$C$61)*(1+'mAb Platform'!$C$57)</x:f>
        <x:v>37.5444036351166</x:v>
      </x:c>
      <x:c r="C11" s="175" t="n">
        <x:f>B11/'mAb Platform'!$B$58-1</x:f>
        <x:v>0.2252665482196219</x:v>
      </x:c>
      <x:c r="D11" s="146"/>
      <x:c r="E11" s="146"/>
      <x:c r="F11" s="146"/>
    </x:row>
    <x:row r="12">
      <x:c r="A12" s="175" t="n">
        <x:v>0.5</x:v>
      </x:c>
      <x:c r="B12" s="172" t="n">
        <x:f>('mAb Platform'!$C$60/A12+'mAb Platform'!$C$61)*(1+'mAb Platform'!$C$57)</x:f>
        <x:v>36.445938271604945</x:v>
      </x:c>
      <x:c r="C12" s="175" t="n">
        <x:f>B12/'mAb Platform'!$B$58-1</x:f>
        <x:v>0.18941798667715393</x:v>
      </x:c>
      <x:c r="D12" s="146"/>
      <x:c r="E12" s="146"/>
      <x:c r="F12" s="146"/>
    </x:row>
    <x:row r="13">
      <x:c r="A13" s="175" t="n">
        <x:v>0.55</x:v>
      </x:c>
      <x:c r="B13" s="172" t="n">
        <x:f>('mAb Platform'!$C$60/A13+'mAb Platform'!$C$61)*(1+'mAb Platform'!$C$57)</x:f>
        <x:v>35.54719388327722</x:v>
      </x:c>
      <x:c r="C13" s="175" t="n">
        <x:f>B13/'mAb Platform'!$B$58-1</x:f>
        <x:v>0.16008734541513414</x:v>
      </x:c>
      <x:c r="D13" s="146"/>
      <x:c r="E13" s="146"/>
      <x:c r="F13" s="146"/>
    </x:row>
    <x:row r="14">
      <x:c r="A14" s="175" t="n">
        <x:v>0.6</x:v>
      </x:c>
      <x:c r="B14" s="172" t="n">
        <x:f>('mAb Platform'!$C$60/A14+'mAb Platform'!$C$61)*(1+'mAb Platform'!$C$57)</x:f>
        <x:v>34.798240226337455</x:v>
      </x:c>
      <x:c r="C14" s="175" t="n">
        <x:f>B14/'mAb Platform'!$B$58-1</x:f>
        <x:v>0.13564514436345165</x:v>
      </x:c>
      <x:c r="D14" s="146"/>
      <x:c r="E14" s="146"/>
      <x:c r="F14" s="146"/>
    </x:row>
    <x:row r="15">
      <x:c r="A15" s="175" t="n">
        <x:v>0.65</x:v>
      </x:c>
      <x:c r="B15" s="172" t="n">
        <x:f>('mAb Platform'!$C$60/A15+'mAb Platform'!$C$61)*(1+'mAb Platform'!$C$57)</x:f>
        <x:v>34.16451020892688</x:v>
      </x:c>
      <x:c r="C15" s="175" t="n">
        <x:f>B15/'mAb Platform'!$B$58-1</x:f>
        <x:v>0.11496328193510452</x:v>
      </x:c>
      <x:c r="D15" s="146"/>
      <x:c r="E15" s="146"/>
      <x:c r="F15" s="146"/>
    </x:row>
    <x:row r="16">
      <x:c r="A16" s="175" t="n">
        <x:v>0.7</x:v>
      </x:c>
      <x:c r="B16" s="172" t="n">
        <x:f>('mAb Platform'!$C$60/A16+'mAb Platform'!$C$61)*(1+'mAb Platform'!$C$57)</x:f>
        <x:v>33.62131305114638</x:v>
      </x:c>
      <x:c r="C16" s="175" t="n">
        <x:f>B16/'mAb Platform'!$B$58-1</x:f>
        <x:v>0.09723597128223527</x:v>
      </x:c>
      <x:c r="D16" s="146"/>
      <x:c r="E16" s="146"/>
      <x:c r="F16" s="146"/>
    </x:row>
    <x:row r="17">
      <x:c r="A17" s="175" t="n">
        <x:v>0.75</x:v>
      </x:c>
      <x:c r="B17" s="172" t="n">
        <x:f>('mAb Platform'!$C$60/A17+'mAb Platform'!$C$61)*(1+'mAb Platform'!$C$57)</x:f>
        <x:v>33.15054218106996</x:v>
      </x:c>
      <x:c r="C17" s="175" t="n">
        <x:f>B17/'mAb Platform'!$B$58-1</x:f>
        <x:v>0.08187230204974916</x:v>
      </x:c>
      <x:c r="D17" s="146"/>
      <x:c r="E17" s="146"/>
      <x:c r="F17" s="146"/>
    </x:row>
    <x:row r="18">
      <x:c r="A18" s="175" t="n">
        <x:v>0.8</x:v>
      </x:c>
      <x:c r="B18" s="172" t="n">
        <x:f>('mAb Platform'!$C$60/A18+'mAb Platform'!$C$61)*(1+'mAb Platform'!$C$57)</x:f>
        <x:v>32.73861766975309</x:v>
      </x:c>
      <x:c r="C18" s="175" t="n">
        <x:f>B18/'mAb Platform'!$B$58-1</x:f>
        <x:v>0.0684290914713237</x:v>
      </x:c>
      <x:c r="D18" s="146"/>
      <x:c r="E18" s="146"/>
      <x:c r="F18" s="146"/>
    </x:row>
    <x:row r="19">
      <x:c r="A19" s="146"/>
      <x:c r="B19" s="146"/>
      <x:c r="C19" s="146"/>
      <x:c r="D19" s="146"/>
      <x:c r="E19" s="146"/>
      <x:c r="F19" s="146"/>
    </x:row>
    <x:row r="20">
      <x:c r="A20" s="146"/>
      <x:c r="B20" s="146"/>
      <x:c r="C20" s="146"/>
      <x:c r="D20" s="146"/>
      <x:c r="E20" s="146"/>
      <x:c r="F20" s="146"/>
    </x:row>
    <x:row r="21" ht="18" customHeight="1">
      <x:c r="A21" s="129" t="str">
        <x:v>INSULIN 300 IU PRESENTATION</x:v>
      </x:c>
      <x:c r="B21" s="129"/>
      <x:c r="C21" s="129"/>
      <x:c r="D21" s="129"/>
      <x:c r="E21" s="129"/>
      <x:c r="F21" s="129"/>
    </x:row>
    <x:row r="22">
      <x:c r="A22" s="132" t="str">
        <x:v>Biocon utilisation</x:v>
      </x:c>
      <x:c r="B22" s="132" t="str">
        <x:v>Biocon unit cost ($)</x:v>
      </x:c>
      <x:c r="C22" s="132" t="str">
        <x:v>Premium to peer</x:v>
      </x:c>
      <x:c r="D22" s="146"/>
      <x:c r="E22" s="146"/>
      <x:c r="F22" s="146"/>
    </x:row>
    <x:row r="23">
      <x:c r="A23" s="175" t="n">
        <x:v>0.4</x:v>
      </x:c>
      <x:c r="B23" s="172" t="n">
        <x:f>('Insulin Platform'!$C$57/A23+'Insulin Platform'!$C$58)*(1+'Insulin Platform'!$C$54)</x:f>
        <x:v>6.745125833333334</x:v>
      </x:c>
      <x:c r="C23" s="175" t="n">
        <x:f>B23/'Insulin Platform'!$B$55-1</x:f>
        <x:v>0.44347492202658123</x:v>
      </x:c>
      <x:c r="D23" s="146"/>
      <x:c r="E23" s="146"/>
      <x:c r="F23" s="146"/>
    </x:row>
    <x:row r="24">
      <x:c r="A24" s="175" t="n">
        <x:v>0.45</x:v>
      </x:c>
      <x:c r="B24" s="172" t="n">
        <x:f>('Insulin Platform'!$C$57/A24+'Insulin Platform'!$C$58)*(1+'Insulin Platform'!$C$54)</x:f>
        <x:v>6.387776296296297</x:v>
      </x:c>
      <x:c r="C24" s="175" t="n">
        <x:f>B24/'Insulin Platform'!$B$55-1</x:f>
        <x:v>0.3670011678140732</x:v>
      </x:c>
      <x:c r="D24" s="146"/>
      <x:c r="E24" s="146"/>
      <x:c r="F24" s="146"/>
    </x:row>
    <x:row r="25">
      <x:c r="A25" s="175" t="n">
        <x:v>0.5</x:v>
      </x:c>
      <x:c r="B25" s="172" t="n">
        <x:f>('Insulin Platform'!$C$57/A25+'Insulin Platform'!$C$58)*(1+'Insulin Platform'!$C$54)</x:f>
        <x:v>6.101896666666668</x:v>
      </x:c>
      <x:c r="C25" s="175" t="n">
        <x:f>B25/'Insulin Platform'!$B$55-1</x:f>
        <x:v>0.30582216444406685</x:v>
      </x:c>
      <x:c r="D25" s="146"/>
      <x:c r="E25" s="146"/>
      <x:c r="F25" s="146"/>
    </x:row>
    <x:row r="26">
      <x:c r="A26" s="175" t="n">
        <x:v>0.55</x:v>
      </x:c>
      <x:c r="B26" s="172" t="n">
        <x:f>('Insulin Platform'!$C$57/A26+'Insulin Platform'!$C$58)*(1+'Insulin Platform'!$C$54)</x:f>
        <x:v>5.867995151515153</x:v>
      </x:c>
      <x:c r="C26" s="175" t="n">
        <x:f>B26/'Insulin Platform'!$B$55-1</x:f>
        <x:v>0.2557666162322434</x:v>
      </x:c>
      <x:c r="D26" s="146"/>
      <x:c r="E26" s="146"/>
      <x:c r="F26" s="146"/>
    </x:row>
    <x:row r="27">
      <x:c r="A27" s="175" t="n">
        <x:v>0.6</x:v>
      </x:c>
      <x:c r="B27" s="172" t="n">
        <x:f>('Insulin Platform'!$C$57/A27+'Insulin Platform'!$C$58)*(1+'Insulin Platform'!$C$54)</x:f>
        <x:v>5.673077222222223</x:v>
      </x:c>
      <x:c r="C27" s="175" t="n">
        <x:f>B27/'Insulin Platform'!$B$55-1</x:f>
        <x:v>0.21405365938905696</x:v>
      </x:c>
      <x:c r="D27" s="146"/>
      <x:c r="E27" s="146"/>
      <x:c r="F27" s="146"/>
    </x:row>
    <x:row r="28">
      <x:c r="A28" s="175" t="n">
        <x:v>0.65</x:v>
      </x:c>
      <x:c r="B28" s="172" t="n">
        <x:f>('Insulin Platform'!$C$57/A28+'Insulin Platform'!$C$58)*(1+'Insulin Platform'!$C$54)</x:f>
        <x:v>5.508146666666668</x:v>
      </x:c>
      <x:c r="C28" s="175" t="n">
        <x:f>B28/'Insulin Platform'!$B$55-1</x:f>
        <x:v>0.1787580805217457</x:v>
      </x:c>
      <x:c r="D28" s="146"/>
      <x:c r="E28" s="146"/>
      <x:c r="F28" s="146"/>
    </x:row>
    <x:row r="29">
      <x:c r="A29" s="175" t="n">
        <x:v>0.7</x:v>
      </x:c>
      <x:c r="B29" s="172" t="n">
        <x:f>('Insulin Platform'!$C$57/A29+'Insulin Platform'!$C$58)*(1+'Insulin Platform'!$C$54)</x:f>
        <x:v>5.36677761904762</x:v>
      </x:c>
      <x:c r="C29" s="175" t="n">
        <x:f>B29/'Insulin Platform'!$B$55-1</x:f>
        <x:v>0.14850472720690733</x:v>
      </x:c>
      <x:c r="D29" s="146"/>
      <x:c r="E29" s="146"/>
      <x:c r="F29" s="146"/>
    </x:row>
    <x:row r="30">
      <x:c r="A30" s="175" t="n">
        <x:v>0.75</x:v>
      </x:c>
      <x:c r="B30" s="172" t="n">
        <x:f>('Insulin Platform'!$C$57/A30+'Insulin Platform'!$C$58)*(1+'Insulin Platform'!$C$54)</x:f>
        <x:v>5.244257777777778</x:v>
      </x:c>
      <x:c r="C30" s="175" t="n">
        <x:f>B30/'Insulin Platform'!$B$55-1</x:f>
        <x:v>0.1222851543340473</x:v>
      </x:c>
      <x:c r="D30" s="146"/>
      <x:c r="E30" s="146"/>
      <x:c r="F30" s="146"/>
    </x:row>
    <x:row r="31">
      <x:c r="A31" s="175" t="n">
        <x:v>0.8</x:v>
      </x:c>
      <x:c r="B31" s="172" t="n">
        <x:f>('Insulin Platform'!$C$57/A31+'Insulin Platform'!$C$58)*(1+'Insulin Platform'!$C$54)</x:f>
        <x:v>5.137052916666668</x:v>
      </x:c>
      <x:c r="C31" s="175" t="n">
        <x:f>B31/'Insulin Platform'!$B$55-1</x:f>
        <x:v>0.09934302807029494</x:v>
      </x:c>
      <x:c r="D31" s="146"/>
      <x:c r="E31" s="146"/>
      <x:c r="F31" s="146"/>
    </x:row>
    <x:row r="32">
      <x:c r="A32" s="175" t="n">
        <x:v>0.85</x:v>
      </x:c>
      <x:c r="B32" s="172" t="n">
        <x:f>('Insulin Platform'!$C$57/A32+'Insulin Platform'!$C$58)*(1+'Insulin Platform'!$C$54)</x:f>
        <x:v>5.042460392156864</x:v>
      </x:c>
      <x:c r="C32" s="175" t="n">
        <x:f>B32/'Insulin Platform'!$B$55-1</x:f>
        <x:v>0.0790999754846311</x:v>
      </x:c>
      <x:c r="D32" s="146"/>
      <x:c r="E32" s="146"/>
      <x:c r="F32" s="146"/>
    </x:row>
    <x:row r="33">
      <x:c r="A33" s="175" t="n">
        <x:v>0.9</x:v>
      </x:c>
      <x:c r="B33" s="172" t="n">
        <x:f>('Insulin Platform'!$C$57/A33+'Insulin Platform'!$C$58)*(1+'Insulin Platform'!$C$54)</x:f>
        <x:v>4.958378148148149</x:v>
      </x:c>
      <x:c r="C33" s="175" t="n">
        <x:f>B33/'Insulin Platform'!$B$55-1</x:f>
        <x:v>0.06110615096404093</x:v>
      </x:c>
      <x:c r="D33" s="146"/>
      <x:c r="E33" s="146"/>
      <x:c r="F33" s="146"/>
    </x:row>
    <x:row r="34">
      <x:c r="A34" s="146"/>
      <x:c r="B34" s="146"/>
      <x:c r="C34" s="146"/>
      <x:c r="D34" s="146"/>
      <x:c r="E34" s="146"/>
      <x:c r="F34" s="146"/>
    </x:row>
    <x:row r="35">
      <x:c r="A35" s="146"/>
      <x:c r="B35" s="146"/>
      <x:c r="C35" s="146"/>
      <x:c r="D35" s="146"/>
      <x:c r="E35" s="146"/>
      <x:c r="F35" s="146"/>
    </x:row>
    <x:row r="36" ht="18" customHeight="1">
      <x:c r="A36" s="129" t="str">
        <x:v>THRESHOLD OUTPUT</x:v>
      </x:c>
      <x:c r="B36" s="129"/>
      <x:c r="C36" s="129"/>
      <x:c r="D36" s="129"/>
      <x:c r="E36" s="129"/>
      <x:c r="F36" s="129"/>
    </x:row>
    <x:row r="37">
      <x:c r="A37" s="132" t="str">
        <x:v>Platform</x:v>
      </x:c>
      <x:c r="B37" s="132" t="str">
        <x:v>Base utilisation</x:v>
      </x:c>
      <x:c r="C37" s="132" t="str">
        <x:v>Utilisation for 30% premium</x:v>
      </x:c>
      <x:c r="D37" s="146"/>
      <x:c r="E37" s="146"/>
      <x:c r="F37" s="146"/>
    </x:row>
    <x:row r="38">
      <x:c r="A38" s="176" t="str">
        <x:v>mAb</x:v>
      </x:c>
      <x:c r="B38" s="237" t="n">
        <x:f>'mAb Platform'!C14</x:f>
        <x:v>0.45</x:v>
      </x:c>
      <x:c r="C38" s="237" t="n">
        <x:f>'mAb Platform'!C62</x:f>
        <x:v>0.37237171480439074</x:v>
      </x:c>
      <x:c r="D38" s="146"/>
      <x:c r="E38" s="146"/>
      <x:c r="F38" s="146"/>
    </x:row>
    <x:row r="39">
      <x:c r="A39" s="178" t="str">
        <x:v>Insulin</x:v>
      </x:c>
      <x:c r="B39" s="238" t="n">
        <x:f>'Insulin Platform'!C13</x:f>
        <x:v>0.6</x:v>
      </x:c>
      <x:c r="C39" s="238" t="n">
        <x:f>'Insulin Platform'!C59</x:f>
        <x:v>0.5053435053546829</x:v>
      </x:c>
      <x:c r="D39" s="146"/>
      <x:c r="E39" s="146"/>
      <x:c r="F39" s="146"/>
    </x:row>
  </x:sheetData>
  <x:mergeCells>
    <x:mergeCell ref="A1:F2"/>
    <x:mergeCell ref="A3:F4"/>
    <x:mergeCell ref="A6:F6"/>
    <x:mergeCell ref="A21:F21"/>
    <x:mergeCell ref="A36:F36"/>
  </x:mergeCells>
  <x:conditionalFormatting sqref="C8:C18">
    <x:cfRule type="colorScale" priority="1">
      <x:colorScale>
        <x:cfvo type="min"/>
        <x:cfvo type="percentile" val="50"/>
        <x:cfvo type="max"/>
        <x:color rgb="FFE2F0D9"/>
        <x:color rgb="FFFFF2CC"/>
        <x:color rgb="FFFCE4E4"/>
      </x:colorScale>
    </x:cfRule>
  </x:conditionalFormatting>
  <x:conditionalFormatting sqref="C23:C33">
    <x:cfRule type="colorScale" priority="2">
      <x:colorScale>
        <x:cfvo type="min"/>
        <x:cfvo type="percentile" val="50"/>
        <x:cfvo type="max"/>
        <x:color rgb="FFE2F0D9"/>
        <x:color rgb="FFFFF2CC"/>
        <x:color rgb="FFFCE4E4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50" hidden="0" customWidth="1"/>
  </x:cols>
  <x:sheetData>
    <x:row r="1" ht="24" customHeight="1">
      <x:c r="A1" s="129" t="str">
        <x:v>MODEL CHECKS</x:v>
      </x:c>
      <x:c r="B1" s="129"/>
      <x:c r="C1" s="129"/>
      <x:c r="D1" s="129"/>
      <x:c r="E1" s="129"/>
      <x:c r="F1" s="129"/>
      <x:c r="G1" s="129"/>
    </x:row>
    <x:row r="2" ht="24" customHeight="1">
      <x:c r="A2" s="129"/>
      <x:c r="B2" s="129"/>
      <x:c r="C2" s="129"/>
      <x:c r="D2" s="129"/>
      <x:c r="E2" s="129"/>
      <x:c r="F2" s="129"/>
      <x:c r="G2" s="129"/>
    </x:row>
    <x:row r="3" ht="22" customHeight="1">
      <x:c r="A3" s="130" t="str">
        <x:v>One assertion per row. All checks must read OK before the workbook is used in published research.</x:v>
      </x:c>
      <x:c r="B3" s="130"/>
      <x:c r="C3" s="130"/>
      <x:c r="D3" s="130"/>
      <x:c r="E3" s="130"/>
      <x:c r="F3" s="130"/>
      <x:c r="G3" s="130"/>
    </x:row>
    <x:row r="4" ht="22" customHeight="1">
      <x:c r="A4" s="130"/>
      <x:c r="B4" s="130"/>
      <x:c r="C4" s="130"/>
      <x:c r="D4" s="130"/>
      <x:c r="E4" s="130"/>
      <x:c r="F4" s="130"/>
      <x:c r="G4" s="130"/>
    </x:row>
    <x:row r="5">
      <x:c r="A5" s="146"/>
      <x:c r="B5" s="146"/>
      <x:c r="C5" s="146"/>
      <x:c r="D5" s="146"/>
      <x:c r="E5" s="146"/>
      <x:c r="F5" s="146"/>
      <x:c r="G5" s="146"/>
    </x:row>
    <x:row r="6">
      <x:c r="A6" s="132" t="str">
        <x:v>Check</x:v>
      </x:c>
      <x:c r="B6" s="132" t="str">
        <x:v>Actual</x:v>
      </x:c>
      <x:c r="C6" s="132" t="str">
        <x:v>Expected</x:v>
      </x:c>
      <x:c r="D6" s="132" t="str">
        <x:v>Difference</x:v>
      </x:c>
      <x:c r="E6" s="132" t="str">
        <x:v>Tolerance</x:v>
      </x:c>
      <x:c r="F6" s="132" t="str">
        <x:v>Status</x:v>
      </x:c>
      <x:c r="G6" s="132" t="str">
        <x:v>Notes</x:v>
      </x:c>
    </x:row>
    <x:row r="7">
      <x:c r="A7" s="146" t="str">
        <x:v>mAb fixed DS cost sum</x:v>
      </x:c>
      <x:c r="B7" s="234" t="n">
        <x:f>'mAb Platform'!C33</x:f>
        <x:v>28.5</x:v>
      </x:c>
      <x:c r="C7" s="234" t="n">
        <x:f>SUM('Assumptions'!D19:D24)</x:f>
        <x:v>28.5</x:v>
      </x:c>
      <x:c r="D7" s="184" t="n">
        <x:f>B7-C7</x:f>
        <x:v>0</x:v>
      </x:c>
      <x:c r="E7" s="184" t="n">
        <x:v>0.0001</x:v>
      </x:c>
      <x:c r="F7" s="146" t="str">
        <x:f>IF(ABS(D7)&lt;=E7,"OK","CHECK")</x:f>
        <x:v>OK</x:v>
      </x:c>
      <x:c r="G7" s="146" t="str">
        <x:v>Total equals components</x:v>
      </x:c>
    </x:row>
    <x:row r="8">
      <x:c r="A8" s="146" t="str">
        <x:v>mAb variable DS cost sum</x:v>
      </x:c>
      <x:c r="B8" s="234" t="n">
        <x:f>'mAb Platform'!C35</x:f>
        <x:v>25.3</x:v>
      </x:c>
      <x:c r="C8" s="234" t="n">
        <x:f>SUM('Assumptions'!D28:D33)</x:f>
        <x:v>25.3</x:v>
      </x:c>
      <x:c r="D8" s="184" t="n">
        <x:f>B8-C8</x:f>
        <x:v>0</x:v>
      </x:c>
      <x:c r="E8" s="184" t="n">
        <x:v>0.0001</x:v>
      </x:c>
      <x:c r="F8" s="146" t="str">
        <x:f>IF(ABS(D8)&lt;=E8,"OK","CHECK")</x:f>
        <x:v>OK</x:v>
      </x:c>
      <x:c r="G8" s="146" t="str">
        <x:v>Total equals components</x:v>
      </x:c>
    </x:row>
    <x:row r="9">
      <x:c r="A9" s="146" t="str">
        <x:v>mAb fixed DP cost sum</x:v>
      </x:c>
      <x:c r="B9" s="234" t="n">
        <x:f>'mAb Platform'!C46</x:f>
        <x:v>12.5</x:v>
      </x:c>
      <x:c r="C9" s="234" t="n">
        <x:f>SUM('Assumptions'!D37:D42)</x:f>
        <x:v>12.5</x:v>
      </x:c>
      <x:c r="D9" s="184" t="n">
        <x:f>B9-C9</x:f>
        <x:v>0</x:v>
      </x:c>
      <x:c r="E9" s="184" t="n">
        <x:v>0.0001</x:v>
      </x:c>
      <x:c r="F9" s="146" t="str">
        <x:f>IF(ABS(D9)&lt;=E9,"OK","CHECK")</x:f>
        <x:v>OK</x:v>
      </x:c>
      <x:c r="G9" s="146" t="str">
        <x:v>Total equals components</x:v>
      </x:c>
    </x:row>
    <x:row r="10">
      <x:c r="A10" s="146" t="str">
        <x:v>Insulin fixed DS cost sum</x:v>
      </x:c>
      <x:c r="B10" s="234" t="n">
        <x:f>'Insulin Platform'!C31</x:f>
        <x:v>34</x:v>
      </x:c>
      <x:c r="C10" s="234" t="n">
        <x:f>SUM('Assumptions'!D71:D76)</x:f>
        <x:v>34</x:v>
      </x:c>
      <x:c r="D10" s="184" t="n">
        <x:f>B10-C10</x:f>
        <x:v>0</x:v>
      </x:c>
      <x:c r="E10" s="184" t="n">
        <x:v>0.0001</x:v>
      </x:c>
      <x:c r="F10" s="146" t="str">
        <x:f>IF(ABS(D10)&lt;=E10,"OK","CHECK")</x:f>
        <x:v>OK</x:v>
      </x:c>
      <x:c r="G10" s="146" t="str">
        <x:v>Total equals components</x:v>
      </x:c>
    </x:row>
    <x:row r="11">
      <x:c r="A11" s="146" t="str">
        <x:v>Insulin variable DS cost sum</x:v>
      </x:c>
      <x:c r="B11" s="234" t="n">
        <x:f>'Insulin Platform'!C33</x:f>
        <x:v>16.5</x:v>
      </x:c>
      <x:c r="C11" s="234" t="n">
        <x:f>SUM('Assumptions'!D80:D85)</x:f>
        <x:v>16.5</x:v>
      </x:c>
      <x:c r="D11" s="184" t="n">
        <x:f>B11-C11</x:f>
        <x:v>0</x:v>
      </x:c>
      <x:c r="E11" s="184" t="n">
        <x:v>0.0001</x:v>
      </x:c>
      <x:c r="F11" s="146" t="str">
        <x:f>IF(ABS(D11)&lt;=E11,"OK","CHECK")</x:f>
        <x:v>OK</x:v>
      </x:c>
      <x:c r="G11" s="146" t="str">
        <x:v>Total equals components</x:v>
      </x:c>
    </x:row>
    <x:row r="12">
      <x:c r="A12" s="146" t="str">
        <x:v>Insulin fixed DP cost sum</x:v>
      </x:c>
      <x:c r="B12" s="234" t="n">
        <x:f>'Insulin Platform'!C44</x:f>
        <x:v>23</x:v>
      </x:c>
      <x:c r="C12" s="234" t="n">
        <x:f>SUM('Assumptions'!D89:D94)</x:f>
        <x:v>23</x:v>
      </x:c>
      <x:c r="D12" s="184" t="n">
        <x:f>B12-C12</x:f>
        <x:v>0</x:v>
      </x:c>
      <x:c r="E12" s="184" t="n">
        <x:v>0.0001</x:v>
      </x:c>
      <x:c r="F12" s="146" t="str">
        <x:f>IF(ABS(D12)&lt;=E12,"OK","CHECK")</x:f>
        <x:v>OK</x:v>
      </x:c>
      <x:c r="G12" s="146" t="str">
        <x:v>Total equals components</x:v>
      </x:c>
    </x:row>
    <x:row r="13">
      <x:c r="A13" s="146" t="str">
        <x:v>Accounting target premium</x:v>
      </x:c>
      <x:c r="B13" s="147" t="n">
        <x:f>'Accounting Check'!B25</x:f>
        <x:v>0.10047388199773133</x:v>
      </x:c>
      <x:c r="C13" s="147" t="n">
        <x:f>'Accounting Check'!B24/'Accounting Check'!B11-1</x:f>
        <x:v>0.10047388199773133</x:v>
      </x:c>
      <x:c r="D13" s="175" t="n">
        <x:f>B13-C13</x:f>
        <x:v>0</x:v>
      </x:c>
      <x:c r="E13" s="175" t="n">
        <x:v>0.0001</x:v>
      </x:c>
      <x:c r="F13" s="146" t="str">
        <x:f>IF(ABS(D13)&lt;=E13,"OK","CHECK")</x:f>
        <x:v>OK</x:v>
      </x:c>
      <x:c r="G13" s="146" t="str">
        <x:v>Selected allocation formula reconciles</x:v>
      </x:c>
    </x:row>
    <x:row r="14">
      <x:c r="A14" s="146" t="str">
        <x:v>Product coverage value tie-out</x:v>
      </x:c>
      <x:c r="B14" s="234" t="n">
        <x:f>'Product Costs'!E17</x:f>
        <x:v>89.80000000000001</x:v>
      </x:c>
      <x:c r="C14" s="234" t="n">
        <x:f>SUM('Product Costs'!E8:E15)</x:f>
        <x:v>89.80000000000001</x:v>
      </x:c>
      <x:c r="D14" s="184" t="n">
        <x:f>B14-C14</x:f>
        <x:v>0</x:v>
      </x:c>
      <x:c r="E14" s="184" t="n">
        <x:v>0.0001</x:v>
      </x:c>
      <x:c r="F14" s="146" t="str">
        <x:f>IF(ABS(D14)&lt;=E14,"OK","CHECK")</x:f>
        <x:v>OK</x:v>
      </x:c>
      <x:c r="G14" s="146" t="str">
        <x:v>Portfolio values sum correctly</x:v>
      </x:c>
    </x:row>
    <x:row r="15">
      <x:c r="A15" s="146" t="str">
        <x:v>Residual-cost allocation</x:v>
      </x:c>
      <x:c r="B15" s="147" t="n">
        <x:f>'Full Economics'!B19</x:f>
        <x:v>0.9999999999999999</x:v>
      </x:c>
      <x:c r="C15" s="147" t="n">
        <x:f>100%</x:f>
        <x:v>1</x:v>
      </x:c>
      <x:c r="D15" s="175" t="n">
        <x:f>B15-C15</x:f>
        <x:v>-1.1102230246251565e-16</x:v>
      </x:c>
      <x:c r="E15" s="175" t="n">
        <x:v>0.0001</x:v>
      </x:c>
      <x:c r="F15" s="146" t="str">
        <x:f>IF(ABS(D15)&lt;=E15,"OK","CHECK")</x:f>
        <x:v>OK</x:v>
      </x:c>
      <x:c r="G15" s="146" t="str">
        <x:v>Residual-cost shares sum to 100%</x:v>
      </x:c>
    </x:row>
    <x:row r="16">
      <x:c r="A16" s="146" t="str">
        <x:v>FY26 cash bridge</x:v>
      </x:c>
      <x:c r="B16" s="234" t="n">
        <x:f>'Full Economics'!B27</x:f>
        <x:v>0</x:v>
      </x:c>
      <x:c r="C16" s="234" t="n">
        <x:f>0</x:f>
        <x:v>0</x:v>
      </x:c>
      <x:c r="D16" s="184" t="n">
        <x:f>B16-C16</x:f>
        <x:v>0</x:v>
      </x:c>
      <x:c r="E16" s="184" t="n">
        <x:v>0.0001</x:v>
      </x:c>
      <x:c r="F16" s="146" t="str">
        <x:f>IF(ABS(D16)&lt;=E16,"OK","CHECK")</x:f>
        <x:v>OK</x:v>
      </x:c>
      <x:c r="G16" s="146" t="str">
        <x:v>Operating cost plus EBITDA equals revenue</x:v>
      </x:c>
    </x:row>
    <x:row r="17">
      <x:c r="A17" s="146" t="str">
        <x:v>Landed manufacturing tie-out</x:v>
      </x:c>
      <x:c r="B17" s="234" t="n">
        <x:f>'Full Economics'!B24</x:f>
        <x:v>43621.2</x:v>
      </x:c>
      <x:c r="C17" s="234" t="n">
        <x:f>'Accounting Check'!B24*'Accounting Check'!B8</x:f>
        <x:v>43621.2</x:v>
      </x:c>
      <x:c r="D17" s="184" t="n">
        <x:f>B17-C17</x:f>
        <x:v>0</x:v>
      </x:c>
      <x:c r="E17" s="184" t="n">
        <x:v>0.0001</x:v>
      </x:c>
      <x:c r="F17" s="146" t="str">
        <x:f>IF(ABS(D17)&lt;=E17,"OK","CHECK")</x:f>
        <x:v>OK</x:v>
      </x:c>
      <x:c r="G17" s="146" t="str">
        <x:v>Full-economics layer ties to accounting check</x:v>
      </x:c>
    </x:row>
    <x:row r="18">
      <x:c r="A18" s="146"/>
      <x:c r="B18" s="146"/>
      <x:c r="C18" s="146"/>
      <x:c r="D18" s="146"/>
      <x:c r="E18" s="146"/>
      <x:c r="F18" s="146"/>
      <x:c r="G18" s="146"/>
    </x:row>
    <x:row r="19">
      <x:c r="A19" s="146"/>
      <x:c r="B19" s="146"/>
      <x:c r="C19" s="146"/>
      <x:c r="D19" s="146"/>
      <x:c r="E19" s="146"/>
      <x:c r="F19" s="146"/>
      <x:c r="G19" s="146"/>
    </x:row>
    <x:row r="20">
      <x:c r="A20" s="173" t="str">
        <x:v>Overall model status</x:v>
      </x:c>
      <x:c r="B20" s="173" t="str">
        <x:f>IF(COUNTIF(F7:F17,"CHECK")=0,"OK","CHECK")</x:f>
        <x:v>OK</x:v>
      </x:c>
      <x:c r="C20" s="146"/>
      <x:c r="D20" s="146"/>
      <x:c r="E20" s="146"/>
      <x:c r="F20" s="146"/>
      <x:c r="G20" s="146"/>
    </x:row>
  </x:sheetData>
  <x:mergeCells>
    <x:mergeCell ref="A1:G2"/>
    <x:mergeCell ref="A3:G4"/>
  </x:mergeCells>
  <x:conditionalFormatting sqref="F7:F17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28" hidden="0" customWidth="1"/>
    <x:col min="5" max="5" width="70" hidden="0" customWidth="1"/>
    <x:col min="6" max="6" width="70" hidden="0" customWidth="1"/>
  </x:cols>
  <x:sheetData>
    <x:row r="1" ht="24" customHeight="1">
      <x:c r="A1" s="129" t="str">
        <x:v>SOURCES AND AUDIT TRAIL</x:v>
      </x:c>
      <x:c r="B1" s="129"/>
      <x:c r="C1" s="129"/>
      <x:c r="D1" s="129"/>
      <x:c r="E1" s="129"/>
      <x:c r="F1" s="129"/>
    </x:row>
    <x:row r="2" ht="24" customHeight="1">
      <x:c r="A2" s="129"/>
      <x:c r="B2" s="129"/>
      <x:c r="C2" s="129"/>
      <x:c r="D2" s="129"/>
      <x:c r="E2" s="129"/>
      <x:c r="F2" s="129"/>
    </x:row>
    <x:row r="3" ht="22" customHeight="1">
      <x:c r="A3" s="130" t="str">
        <x:v>Primary sources, uploaded manager analysis and process-cost references used to anchor the model. Company-specific operating assumptions remain editable scenarios.</x:v>
      </x:c>
      <x:c r="B3" s="130"/>
      <x:c r="C3" s="130"/>
      <x:c r="D3" s="130"/>
      <x:c r="E3" s="130"/>
      <x:c r="F3" s="130"/>
    </x:row>
    <x:row r="4" ht="22" customHeight="1">
      <x:c r="A4" s="130"/>
      <x:c r="B4" s="130"/>
      <x:c r="C4" s="130"/>
      <x:c r="D4" s="130"/>
      <x:c r="E4" s="130"/>
      <x:c r="F4" s="130"/>
    </x:row>
    <x:row r="5">
      <x:c r="A5" s="146"/>
      <x:c r="B5" s="146"/>
      <x:c r="C5" s="146"/>
      <x:c r="D5" s="146"/>
      <x:c r="E5" s="146"/>
      <x:c r="F5" s="146"/>
    </x:row>
    <x:row r="6">
      <x:c r="A6" s="132" t="str">
        <x:v>ID</x:v>
      </x:c>
      <x:c r="B6" s="132" t="str">
        <x:v>Item</x:v>
      </x:c>
      <x:c r="C6" s="132" t="str">
        <x:v>Period / date</x:v>
      </x:c>
      <x:c r="D6" s="132" t="str">
        <x:v>Source</x:v>
      </x:c>
      <x:c r="E6" s="132" t="str">
        <x:v>URL / attachment</x:v>
      </x:c>
      <x:c r="F6" s="132" t="str">
        <x:v>Use and caveat</x:v>
      </x:c>
    </x:row>
    <x:row r="7" ht="42" customHeight="1">
      <x:c r="A7" s="195" t="str">
        <x:v>S1</x:v>
      </x:c>
      <x:c r="B7" s="195" t="str">
        <x:v>Manager unit-economics framework</x:v>
      </x:c>
      <x:c r="C7" s="195" t="str">
        <x:v>Sep 2026</x:v>
      </x:c>
      <x:c r="D7" s="195" t="str">
        <x:v>Manager email</x:v>
      </x:c>
      <x:c r="E7" s="236" t="str">
        <x:v>Uploaded image: WhatsApp Image 2026-09-08 at 11.25.13 (12).jpeg</x:v>
      </x:c>
      <x:c r="F7" s="195" t="str">
        <x:v>Manufacturing ownership, COGS perimeter, product mix, capital intensity and ₹29.4bn FY26 contribution-cost estimate</x:v>
      </x:c>
    </x:row>
    <x:row r="8" ht="42" customHeight="1">
      <x:c r="A8" s="195" t="str">
        <x:v>S2</x:v>
      </x:c>
      <x:c r="B8" s="195" t="str">
        <x:v>Biocon FY26 results</x:v>
      </x:c>
      <x:c r="C8" s="195" t="str">
        <x:v>7 May 2026</x:v>
      </x:c>
      <x:c r="D8" s="195" t="str">
        <x:v>Biocon</x:v>
      </x:c>
      <x:c r="E8" s="236" t="str">
        <x:v>https://www.biocon.com/biocon-q4fy26-revenue/</x:v>
      </x:c>
      <x:c r="F8" s="195" t="str">
        <x:v>Biosimilars revenue ₹104,312m and EBITDA ₹27,508m on a like-for-like basis</x:v>
      </x:c>
    </x:row>
    <x:row r="9" ht="42" customHeight="1">
      <x:c r="A9" s="195" t="str">
        <x:v>S3</x:v>
      </x:c>
      <x:c r="B9" s="195" t="str">
        <x:v>Biocon FY26 annual report</x:v>
      </x:c>
      <x:c r="C9" s="195" t="str">
        <x:v>FY26</x:v>
      </x:c>
      <x:c r="D9" s="195" t="str">
        <x:v>Biocon</x:v>
      </x:c>
      <x:c r="E9" s="236" t="str">
        <x:v>https://www.biocon.com/docs/Biocon_Integrated_Annual_Report_2026.pdf</x:v>
      </x:c>
      <x:c r="F9" s="195" t="str">
        <x:v>Facilities, group cost classification and entity perimeter</x:v>
      </x:c>
    </x:row>
    <x:row r="10" ht="42" customHeight="1">
      <x:c r="A10" s="195" t="str">
        <x:v>S4</x:v>
      </x:c>
      <x:c r="B10" s="195" t="str">
        <x:v>Celltrion Q2 2026 results</x:v>
      </x:c>
      <x:c r="C10" s="195" t="str">
        <x:v>27 Jul 2026</x:v>
      </x:c>
      <x:c r="D10" s="195" t="str">
        <x:v>Celltrion</x:v>
      </x:c>
      <x:c r="E10" s="236" t="str">
        <x:v>https://www.celltrion.com/en-us/company/media-center/press-release/4865</x:v>
      </x:c>
      <x:c r="F10" s="195" t="str">
        <x:v>COGS 38%; yield, process, mix and inventory identified as cost drivers</x:v>
      </x:c>
    </x:row>
    <x:row r="11" ht="42" customHeight="1">
      <x:c r="A11" s="195" t="str">
        <x:v>S5</x:v>
      </x:c>
      <x:c r="B11" s="195" t="str">
        <x:v>Celltrion manufacturing expansion</x:v>
      </x:c>
      <x:c r="C11" s="195" t="str">
        <x:v>24 Mar 2026</x:v>
      </x:c>
      <x:c r="D11" s="195" t="str">
        <x:v>Celltrion</x:v>
      </x:c>
      <x:c r="E11" s="236" t="str">
        <x:v>https://www.celltrion.com/en-us/company/media-center/press-release/4671</x:v>
      </x:c>
      <x:c r="F11" s="195" t="str">
        <x:v>316kL current DS capacity, 571kL planned; DS and DP internalisation objectives</x:v>
      </x:c>
    </x:row>
    <x:row r="12" ht="42" customHeight="1">
      <x:c r="A12" s="195" t="str">
        <x:v>S6</x:v>
      </x:c>
      <x:c r="B12" s="195" t="str">
        <x:v>mAb manufacturing economics</x:v>
      </x:c>
      <x:c r="C12" s="195" t="str">
        <x:v>2009</x:v>
      </x:c>
      <x:c r="D12" s="195" t="str">
        <x:v>Kelley</x:v>
      </x:c>
      <x:c r="E12" s="236" t="str">
        <x:v>https://pmc.ncbi.nlm.nih.gov/articles/PMC2759494/</x:v>
      </x:c>
      <x:c r="F12" s="195" t="str">
        <x:v>Reference process relationships and approximately $10 per vial fill-finish benchmark</x:v>
      </x:c>
    </x:row>
    <x:row r="13" ht="42" customHeight="1">
      <x:c r="A13" s="195" t="str">
        <x:v>S7</x:v>
      </x:c>
      <x:c r="B13" s="195" t="str">
        <x:v>Biopharma manufacturing cost benchmark</x:v>
      </x:c>
      <x:c r="C13" s="195" t="str">
        <x:v>2020</x:v>
      </x:c>
      <x:c r="D13" s="195" t="str">
        <x:v>Farid et al.</x:v>
      </x:c>
      <x:c r="E13" s="236" t="str">
        <x:v>https://pmc.ncbi.nlm.nih.gov/articles/PMC7531566/</x:v>
      </x:c>
      <x:c r="F13" s="195" t="str">
        <x:v>Process development and manufacturing cost framework</x:v>
      </x:c>
    </x:row>
    <x:row r="14" ht="42" customHeight="1">
      <x:c r="A14" s="195" t="str">
        <x:v>S8</x:v>
      </x:c>
      <x:c r="B14" s="195" t="str">
        <x:v>IQVIA July 2026 product data</x:v>
      </x:c>
      <x:c r="C14" s="195" t="str">
        <x:v>Jul 2026</x:v>
      </x:c>
      <x:c r="D14" s="195" t="str">
        <x:v>IQVIA via uploaded screenshots</x:v>
      </x:c>
      <x:c r="E14" s="236" t="str">
        <x:v>Uploaded images in conversation</x:v>
      </x:c>
      <x:c r="F14" s="195" t="str">
        <x:v>Used for portfolio relevance only; NSP units are not standardized doses</x:v>
      </x:c>
    </x:row>
    <x:row r="15" ht="42" customHeight="1">
      <x:c r="A15" s="195" t="str">
        <x:v>S9</x:v>
      </x:c>
      <x:c r="B15" s="195" t="str">
        <x:v>Biocon Malaysia expansion</x:v>
      </x:c>
      <x:c r="C15" s="195" t="str">
        <x:v>Company disclosure</x:v>
      </x:c>
      <x:c r="D15" s="195" t="str">
        <x:v>Biocon</x:v>
      </x:c>
      <x:c r="E15" s="236" t="str">
        <x:v>https://www.biocon.com/more/biocon-malaysia/</x:v>
      </x:c>
      <x:c r="F15" s="195" t="str">
        <x:v>US$250m Phase II expansion and increased insulin DS/DP capacity; utilisation undisclosed</x:v>
      </x:c>
    </x:row>
  </x:sheetData>
  <x:mergeCells>
    <x:mergeCell ref="A1:F2"/>
    <x:mergeCell ref="A3:F4"/>
  </x:mergeCells>
  <x:pageMargins left="0.7" right="0.7" top="0.75" bottom="0.75" header="0.3" footer="0.3"/>
</x:worksheet>
</file>