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f085c74b0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d6a8215429f4fd7"/>
    <x:sheet xmlns:r="http://schemas.openxmlformats.org/officeDocument/2006/relationships" name="Locations" sheetId="2" r:id="Ref3bb6c76a1e40e2"/>
    <x:sheet xmlns:r="http://schemas.openxmlformats.org/officeDocument/2006/relationships" name="Claim Reconciliation" sheetId="3" r:id="R4a27c5e1fc294e55"/>
    <x:sheet xmlns:r="http://schemas.openxmlformats.org/officeDocument/2006/relationships" name="Data Dictionary" sheetId="4" r:id="Rd99e9513c13e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20"/>
      <x:color rgb="FF17365D"/>
      <x:name val="Carlito"/>
    </x:font>
    <x:font>
      <x:sz val="11"/>
      <x:color rgb="FF17365D"/>
      <x:name val="Carlito"/>
    </x:font>
    <x:font>
      <x:sz val="11"/>
      <x:color rgb="FF6B7280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8" fillId="6" borderId="0" xfId="0" applyNumberFormat="1" applyFont="1" applyFill="1" applyBorder="1" applyAlignment="1">
      <x:alignment wrapText="1"/>
    </x:xf>
    <x:xf numFmtId="201" fontId="8" fillId="6" borderId="0" xfId="0" applyNumberFormat="1" applyFont="1" applyFill="1" applyBorder="1" applyAlignment="1">
      <x:alignment horizontal="center" wrapText="1"/>
    </x:xf>
    <x:xf numFmtId="201" fontId="0" fillId="6" borderId="1" xfId="0" applyNumberFormat="1" applyFont="1" applyFill="1" applyBorder="1" applyAlignment="1">
      <x:alignment wrapText="1"/>
    </x:xf>
    <x:xf numFmtId="201" fontId="8" fillId="6" borderId="1" xfId="0" applyNumberFormat="1" applyFont="1" applyFill="1" applyBorder="1" applyAlignment="1">
      <x:alignment wrapText="1"/>
    </x:xf>
    <x:xf numFmtId="201" fontId="8" fillId="6" borderId="1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C62828"/>
      </x:font>
    </x:dxf>
    <x:dxf>
      <x:font>
        <x:b/>
        <x:color rgb="FF6D28D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6509e40524be2" /><Relationship Type="http://schemas.openxmlformats.org/officeDocument/2006/relationships/theme" Target="/xl/theme/theme1.xml" Id="Rfc2b47c96cb04da8" /><Relationship Type="http://schemas.openxmlformats.org/officeDocument/2006/relationships/sharedStrings" Target="/xl/sharedStrings.xml" Id="R8c029ada0a024d23" /><Relationship Type="http://schemas.openxmlformats.org/officeDocument/2006/relationships/worksheet" Target="/xl/worksheets/sheet1.xml" Id="Rcd6a8215429f4fd7" /><Relationship Type="http://schemas.openxmlformats.org/officeDocument/2006/relationships/worksheet" Target="/xl/worksheets/sheet2.xml" Id="Ref3bb6c76a1e40e2" /><Relationship Type="http://schemas.openxmlformats.org/officeDocument/2006/relationships/worksheet" Target="/xl/worksheets/sheet3.xml" Id="R4a27c5e1fc294e55" /><Relationship Type="http://schemas.openxmlformats.org/officeDocument/2006/relationships/worksheet" Target="/xl/worksheets/sheet4.xml" Id="Rd99e9513c13e4771" /></Relationships>
</file>

<file path=xl/tables/table1.xml><?xml version="1.0" encoding="utf-8"?>
<x:table xmlns:x="http://schemas.openxmlformats.org/spreadsheetml/2006/main" id="2" name="StateCoverageTable" displayName="StateCoverageTable" ref="A10:D33" headerRowCount="1">
  <x:tableColumns count="4">
    <x:tableColumn id="1" name="State / UT"/>
    <x:tableColumn id="2" name="Indira IVF"/>
    <x:tableColumn id="3" name="Gaudium IVF"/>
    <x:tableColumn id="4" name="Total Publicly Disclosed"/>
  </x:tableColumns>
  <x:tableStyleInfo name="TableStyleMedium2" showRowStripes="1"/>
</x:table>
</file>

<file path=xl/tables/table2.xml><?xml version="1.0" encoding="utf-8"?>
<x:table xmlns:x="http://schemas.openxmlformats.org/spreadsheetml/2006/main" id="1" name="IVFCentreLocations" displayName="IVFCentreLocations" ref="A1:N207" headerRowCount="1">
  <x:tableColumns count="14">
    <x:tableColumn id="1" name="Brand"/>
    <x:tableColumn id="2" name="Centre / Locality"/>
    <x:tableColumn id="3" name="Parent City"/>
    <x:tableColumn id="4" name="State / UT"/>
    <x:tableColumn id="5" name="Normalized Address / Location"/>
    <x:tableColumn id="6" name="Address Precision"/>
    <x:tableColumn id="7" name="Latitude"/>
    <x:tableColumn id="8" name="Longitude"/>
    <x:tableColumn id="9" name="Coordinate Precision"/>
    <x:tableColumn id="10" name="Verification Status"/>
    <x:tableColumn id="11" name="Official Source URL"/>
    <x:tableColumn id="12" name="Official Directory URL"/>
    <x:tableColumn id="13" name="Google Maps Search URL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f6e5539d7046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8e9f3f8dff4a3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0" t="str">
        <x:v>India IVF Centre Network Map: Indira IVF and Gaudium IVF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6" t="str">
        <x:v>Public web disclosure captured and normalized as of 16 July 2026. Headline network claims are shown separately from centre-level locations that can be individually verified.</x:v>
      </x:c>
      <x:c r="B2" s="26"/>
      <x:c r="C2" s="26"/>
      <x:c r="D2" s="26"/>
      <x:c r="E2" s="26"/>
      <x:c r="F2" s="26"/>
      <x:c r="G2" s="26"/>
      <x:c r="H2" s="26"/>
    </x:row>
    <x:row r="4" ht="28" customHeight="1">
      <x:c r="A4" s="34" t="str">
        <x:v>Publicly disclosed locations</x:v>
      </x:c>
      <x:c r="B4" s="34"/>
      <x:c r="C4" s="34" t="str">
        <x:v>Indira IVF centre pages</x:v>
      </x:c>
      <x:c r="D4" s="34"/>
      <x:c r="E4" s="34" t="str">
        <x:v>Gaudium named locations</x:v>
      </x:c>
      <x:c r="F4" s="34"/>
      <x:c r="G4" s="34" t="str">
        <x:v>States / UTs represented</x:v>
      </x:c>
      <x:c r="H4" s="34"/>
    </x:row>
    <x:row r="5">
      <x:c r="A5" s="43" t="n">
        <x:f>COUNTA(Locations!A2:A207)</x:f>
        <x:v>206</x:v>
      </x:c>
      <x:c r="B5" s="43"/>
      <x:c r="C5" s="43" t="n">
        <x:f>COUNTIF(Locations!A2:A207,"Indira IVF")</x:f>
        <x:v>199</x:v>
      </x:c>
      <x:c r="D5" s="43"/>
      <x:c r="E5" s="43" t="n">
        <x:f>COUNTIF(Locations!A2:A207,"Gaudium IVF")</x:f>
        <x:v>7</x:v>
      </x:c>
      <x:c r="F5" s="43"/>
      <x:c r="G5" s="43" t="n">
        <x:f>COUNTIF(D11:D33,"&gt;0")</x:f>
        <x:v>23</x:v>
      </x:c>
      <x:c r="H5" s="43"/>
    </x:row>
    <x:row r="6">
      <x:c r="A6" s="43"/>
      <x:c r="B6" s="43"/>
      <x:c r="C6" s="43"/>
      <x:c r="D6" s="43"/>
      <x:c r="E6" s="43"/>
      <x:c r="F6" s="43"/>
      <x:c r="G6" s="43"/>
      <x:c r="H6" s="43"/>
    </x:row>
    <x:row r="10">
      <x:c r="A10" s="49" t="str">
        <x:v>State / UT</x:v>
      </x:c>
      <x:c r="B10" s="49" t="str">
        <x:v>Indira IVF</x:v>
      </x:c>
      <x:c r="C10" s="49" t="str">
        <x:v>Gaudium IVF</x:v>
      </x:c>
      <x:c r="D10" s="49" t="str">
        <x:v>Total Publicly Disclosed</x:v>
      </x:c>
      <x:c r="F10" s="56" t="str">
        <x:v>Key interpretation</x:v>
      </x:c>
      <x:c r="G10" s="56"/>
      <x:c r="H10" s="56"/>
    </x:row>
    <x:row r="11">
      <x:c r="A11" s="52" t="str">
        <x:v>Andhra Pradesh</x:v>
      </x:c>
      <x:c r="B11" s="54" t="n">
        <x:f>COUNTIFS(Locations!$A$2:$A$207,"Indira IVF",Locations!$D$2:$D$207,A11)</x:f>
        <x:v>2</x:v>
      </x:c>
      <x:c r="C11" s="54" t="n">
        <x:f>COUNTIFS(Locations!$A$2:$A$207,"Gaudium IVF",Locations!$D$2:$D$207,A11)</x:f>
        <x:v>0</x:v>
      </x:c>
      <x:c r="D11" s="54" t="n">
        <x:f>B11+C11</x:f>
        <x:v>2</x:v>
      </x:c>
      <x:c r="F11" s="61" t="str">
        <x:v>The centre-level database contains 199 Indira IVF locations and seven Gaudium IVF locations. This should not be read as the full economic network for either chain: Indira's directory headline reports 210 centres, while Gaudium's homepage reports 36 centres across six states/UTs. The difference is a disclosure and website-reconciliation gap, not evidence that the remaining centres do not exist.</x:v>
      </x:c>
      <x:c r="G11" s="61"/>
      <x:c r="H11" s="61"/>
    </x:row>
    <x:row r="12">
      <x:c r="A12" s="52" t="str">
        <x:v>Assam</x:v>
      </x:c>
      <x:c r="B12" s="54" t="n">
        <x:f>COUNTIFS(Locations!$A$2:$A$207,"Indira IVF",Locations!$D$2:$D$207,A12)</x:f>
        <x:v>3</x:v>
      </x:c>
      <x:c r="C12" s="54" t="n">
        <x:f>COUNTIFS(Locations!$A$2:$A$207,"Gaudium IVF",Locations!$D$2:$D$207,A12)</x:f>
        <x:v>0</x:v>
      </x:c>
      <x:c r="D12" s="54" t="n">
        <x:f>B12+C12</x:f>
        <x:v>3</x:v>
      </x:c>
      <x:c r="F12" s="61"/>
      <x:c r="G12" s="61"/>
      <x:c r="H12" s="61"/>
    </x:row>
    <x:row r="13">
      <x:c r="A13" s="52" t="str">
        <x:v>Bihar</x:v>
      </x:c>
      <x:c r="B13" s="54" t="n">
        <x:f>COUNTIFS(Locations!$A$2:$A$207,"Indira IVF",Locations!$D$2:$D$207,A13)</x:f>
        <x:v>14</x:v>
      </x:c>
      <x:c r="C13" s="54" t="n">
        <x:f>COUNTIFS(Locations!$A$2:$A$207,"Gaudium IVF",Locations!$D$2:$D$207,A13)</x:f>
        <x:v>1</x:v>
      </x:c>
      <x:c r="D13" s="54" t="n">
        <x:f>B13+C13</x:f>
        <x:v>15</x:v>
      </x:c>
      <x:c r="F13" s="61"/>
      <x:c r="G13" s="61"/>
      <x:c r="H13" s="61"/>
    </x:row>
    <x:row r="14">
      <x:c r="A14" s="52" t="str">
        <x:v>Chandigarh</x:v>
      </x:c>
      <x:c r="B14" s="54" t="n">
        <x:f>COUNTIFS(Locations!$A$2:$A$207,"Indira IVF",Locations!$D$2:$D$207,A14)</x:f>
        <x:v>1</x:v>
      </x:c>
      <x:c r="C14" s="54" t="n">
        <x:f>COUNTIFS(Locations!$A$2:$A$207,"Gaudium IVF",Locations!$D$2:$D$207,A14)</x:f>
        <x:v>0</x:v>
      </x:c>
      <x:c r="D14" s="54" t="n">
        <x:f>B14+C14</x:f>
        <x:v>1</x:v>
      </x:c>
      <x:c r="F14" s="61"/>
      <x:c r="G14" s="61"/>
      <x:c r="H14" s="61"/>
    </x:row>
    <x:row r="15">
      <x:c r="A15" s="52" t="str">
        <x:v>Chhattisgarh</x:v>
      </x:c>
      <x:c r="B15" s="54" t="n">
        <x:f>COUNTIFS(Locations!$A$2:$A$207,"Indira IVF",Locations!$D$2:$D$207,A15)</x:f>
        <x:v>2</x:v>
      </x:c>
      <x:c r="C15" s="54" t="n">
        <x:f>COUNTIFS(Locations!$A$2:$A$207,"Gaudium IVF",Locations!$D$2:$D$207,A15)</x:f>
        <x:v>0</x:v>
      </x:c>
      <x:c r="D15" s="54" t="n">
        <x:f>B15+C15</x:f>
        <x:v>2</x:v>
      </x:c>
      <x:c r="F15" s="61"/>
      <x:c r="G15" s="61"/>
      <x:c r="H15" s="61"/>
    </x:row>
    <x:row r="16">
      <x:c r="A16" s="52" t="str">
        <x:v>Delhi</x:v>
      </x:c>
      <x:c r="B16" s="54" t="n">
        <x:f>COUNTIFS(Locations!$A$2:$A$207,"Indira IVF",Locations!$D$2:$D$207,A16)</x:f>
        <x:v>12</x:v>
      </x:c>
      <x:c r="C16" s="54" t="n">
        <x:f>COUNTIFS(Locations!$A$2:$A$207,"Gaudium IVF",Locations!$D$2:$D$207,A16)</x:f>
        <x:v>2</x:v>
      </x:c>
      <x:c r="D16" s="54" t="n">
        <x:f>B16+C16</x:f>
        <x:v>14</x:v>
      </x:c>
    </x:row>
    <x:row r="17">
      <x:c r="A17" s="52" t="str">
        <x:v>Goa</x:v>
      </x:c>
      <x:c r="B17" s="54" t="n">
        <x:f>COUNTIFS(Locations!$A$2:$A$207,"Indira IVF",Locations!$D$2:$D$207,A17)</x:f>
        <x:v>1</x:v>
      </x:c>
      <x:c r="C17" s="54" t="n">
        <x:f>COUNTIFS(Locations!$A$2:$A$207,"Gaudium IVF",Locations!$D$2:$D$207,A17)</x:f>
        <x:v>0</x:v>
      </x:c>
      <x:c r="D17" s="54" t="n">
        <x:f>B17+C17</x:f>
        <x:v>1</x:v>
      </x:c>
      <x:c r="F17" s="3" t="str">
        <x:v>Mapping methodology</x:v>
      </x:c>
      <x:c r="G17" s="3"/>
      <x:c r="H17" s="3"/>
    </x:row>
    <x:row r="18">
      <x:c r="A18" s="52" t="str">
        <x:v>Gujarat</x:v>
      </x:c>
      <x:c r="B18" s="54" t="n">
        <x:f>COUNTIFS(Locations!$A$2:$A$207,"Indira IVF",Locations!$D$2:$D$207,A18)</x:f>
        <x:v>9</x:v>
      </x:c>
      <x:c r="C18" s="54" t="n">
        <x:f>COUNTIFS(Locations!$A$2:$A$207,"Gaudium IVF",Locations!$D$2:$D$207,A18)</x:f>
        <x:v>0</x:v>
      </x:c>
      <x:c r="D18" s="54" t="n">
        <x:f>B18+C18</x:f>
        <x:v>9</x:v>
      </x:c>
      <x:c r="F18" s="68" t="str">
        <x:v>Indira centre names were scraped from its official sitemap and normalized to city and state/UT. Gaudium's seven locations use full addresses from its official contact page. Latitude and longitude are parent-city centroids used only for national network visualization; the Google Maps search link in the Locations sheet should be used for clinic-level navigation.</x:v>
      </x:c>
      <x:c r="G18" s="68"/>
      <x:c r="H18" s="68"/>
    </x:row>
    <x:row r="19">
      <x:c r="A19" s="52" t="str">
        <x:v>Haryana</x:v>
      </x:c>
      <x:c r="B19" s="54" t="n">
        <x:f>COUNTIFS(Locations!$A$2:$A$207,"Indira IVF",Locations!$D$2:$D$207,A19)</x:f>
        <x:v>9</x:v>
      </x:c>
      <x:c r="C19" s="54" t="n">
        <x:f>COUNTIFS(Locations!$A$2:$A$207,"Gaudium IVF",Locations!$D$2:$D$207,A19)</x:f>
        <x:v>0</x:v>
      </x:c>
      <x:c r="D19" s="54" t="n">
        <x:f>B19+C19</x:f>
        <x:v>9</x:v>
      </x:c>
      <x:c r="F19" s="68"/>
      <x:c r="G19" s="68"/>
      <x:c r="H19" s="68"/>
    </x:row>
    <x:row r="20">
      <x:c r="A20" s="52" t="str">
        <x:v>Himachal Pradesh</x:v>
      </x:c>
      <x:c r="B20" s="54" t="n">
        <x:f>COUNTIFS(Locations!$A$2:$A$207,"Indira IVF",Locations!$D$2:$D$207,A20)</x:f>
        <x:v>2</x:v>
      </x:c>
      <x:c r="C20" s="54" t="n">
        <x:f>COUNTIFS(Locations!$A$2:$A$207,"Gaudium IVF",Locations!$D$2:$D$207,A20)</x:f>
        <x:v>0</x:v>
      </x:c>
      <x:c r="D20" s="54" t="n">
        <x:f>B20+C20</x:f>
        <x:v>2</x:v>
      </x:c>
      <x:c r="F20" s="68"/>
      <x:c r="G20" s="68"/>
      <x:c r="H20" s="68"/>
    </x:row>
    <x:row r="21">
      <x:c r="A21" s="52" t="str">
        <x:v>Jammu and Kashmir</x:v>
      </x:c>
      <x:c r="B21" s="54" t="n">
        <x:f>COUNTIFS(Locations!$A$2:$A$207,"Indira IVF",Locations!$D$2:$D$207,A21)</x:f>
        <x:v>2</x:v>
      </x:c>
      <x:c r="C21" s="54" t="n">
        <x:f>COUNTIFS(Locations!$A$2:$A$207,"Gaudium IVF",Locations!$D$2:$D$207,A21)</x:f>
        <x:v>1</x:v>
      </x:c>
      <x:c r="D21" s="54" t="n">
        <x:f>B21+C21</x:f>
        <x:v>3</x:v>
      </x:c>
      <x:c r="F21" s="68"/>
      <x:c r="G21" s="68"/>
      <x:c r="H21" s="68"/>
    </x:row>
    <x:row r="22">
      <x:c r="A22" s="52" t="str">
        <x:v>Jharkhand</x:v>
      </x:c>
      <x:c r="B22" s="54" t="n">
        <x:f>COUNTIFS(Locations!$A$2:$A$207,"Indira IVF",Locations!$D$2:$D$207,A22)</x:f>
        <x:v>4</x:v>
      </x:c>
      <x:c r="C22" s="54" t="n">
        <x:f>COUNTIFS(Locations!$A$2:$A$207,"Gaudium IVF",Locations!$D$2:$D$207,A22)</x:f>
        <x:v>0</x:v>
      </x:c>
      <x:c r="D22" s="54" t="n">
        <x:f>B22+C22</x:f>
        <x:v>4</x:v>
      </x:c>
      <x:c r="F22" s="68"/>
      <x:c r="G22" s="68"/>
      <x:c r="H22" s="68"/>
    </x:row>
    <x:row r="23">
      <x:c r="A23" s="52" t="str">
        <x:v>Karnataka</x:v>
      </x:c>
      <x:c r="B23" s="54" t="n">
        <x:f>COUNTIFS(Locations!$A$2:$A$207,"Indira IVF",Locations!$D$2:$D$207,A23)</x:f>
        <x:v>23</x:v>
      </x:c>
      <x:c r="C23" s="54" t="n">
        <x:f>COUNTIFS(Locations!$A$2:$A$207,"Gaudium IVF",Locations!$D$2:$D$207,A23)</x:f>
        <x:v>1</x:v>
      </x:c>
      <x:c r="D23" s="54" t="n">
        <x:f>B23+C23</x:f>
        <x:v>24</x:v>
      </x:c>
      <x:c r="F23" s="68"/>
      <x:c r="G23" s="68"/>
      <x:c r="H23" s="68"/>
    </x:row>
    <x:row r="24">
      <x:c r="A24" s="52" t="str">
        <x:v>Madhya Pradesh</x:v>
      </x:c>
      <x:c r="B24" s="54" t="n">
        <x:f>COUNTIFS(Locations!$A$2:$A$207,"Indira IVF",Locations!$D$2:$D$207,A24)</x:f>
        <x:v>9</x:v>
      </x:c>
      <x:c r="C24" s="54" t="n">
        <x:f>COUNTIFS(Locations!$A$2:$A$207,"Gaudium IVF",Locations!$D$2:$D$207,A24)</x:f>
        <x:v>0</x:v>
      </x:c>
      <x:c r="D24" s="54" t="n">
        <x:f>B24+C24</x:f>
        <x:v>9</x:v>
      </x:c>
    </x:row>
    <x:row r="25">
      <x:c r="A25" s="52" t="str">
        <x:v>Maharashtra</x:v>
      </x:c>
      <x:c r="B25" s="54" t="n">
        <x:f>COUNTIFS(Locations!$A$2:$A$207,"Indira IVF",Locations!$D$2:$D$207,A25)</x:f>
        <x:v>31</x:v>
      </x:c>
      <x:c r="C25" s="54" t="n">
        <x:f>COUNTIFS(Locations!$A$2:$A$207,"Gaudium IVF",Locations!$D$2:$D$207,A25)</x:f>
        <x:v>1</x:v>
      </x:c>
      <x:c r="D25" s="54" t="n">
        <x:f>B25+C25</x:f>
        <x:v>32</x:v>
      </x:c>
    </x:row>
    <x:row r="26">
      <x:c r="A26" s="52" t="str">
        <x:v>Odisha</x:v>
      </x:c>
      <x:c r="B26" s="54" t="n">
        <x:f>COUNTIFS(Locations!$A$2:$A$207,"Indira IVF",Locations!$D$2:$D$207,A26)</x:f>
        <x:v>3</x:v>
      </x:c>
      <x:c r="C26" s="54" t="n">
        <x:f>COUNTIFS(Locations!$A$2:$A$207,"Gaudium IVF",Locations!$D$2:$D$207,A26)</x:f>
        <x:v>0</x:v>
      </x:c>
      <x:c r="D26" s="54" t="n">
        <x:f>B26+C26</x:f>
        <x:v>3</x:v>
      </x:c>
    </x:row>
    <x:row r="27">
      <x:c r="A27" s="52" t="str">
        <x:v>Punjab</x:v>
      </x:c>
      <x:c r="B27" s="54" t="n">
        <x:f>COUNTIFS(Locations!$A$2:$A$207,"Indira IVF",Locations!$D$2:$D$207,A27)</x:f>
        <x:v>5</x:v>
      </x:c>
      <x:c r="C27" s="54" t="n">
        <x:f>COUNTIFS(Locations!$A$2:$A$207,"Gaudium IVF",Locations!$D$2:$D$207,A27)</x:f>
        <x:v>1</x:v>
      </x:c>
      <x:c r="D27" s="54" t="n">
        <x:f>B27+C27</x:f>
        <x:v>6</x:v>
      </x:c>
    </x:row>
    <x:row r="28">
      <x:c r="A28" s="52" t="str">
        <x:v>Rajasthan</x:v>
      </x:c>
      <x:c r="B28" s="54" t="n">
        <x:f>COUNTIFS(Locations!$A$2:$A$207,"Indira IVF",Locations!$D$2:$D$207,A28)</x:f>
        <x:v>12</x:v>
      </x:c>
      <x:c r="C28" s="54" t="n">
        <x:f>COUNTIFS(Locations!$A$2:$A$207,"Gaudium IVF",Locations!$D$2:$D$207,A28)</x:f>
        <x:v>0</x:v>
      </x:c>
      <x:c r="D28" s="54" t="n">
        <x:f>B28+C28</x:f>
        <x:v>12</x:v>
      </x:c>
    </x:row>
    <x:row r="29">
      <x:c r="A29" s="52" t="str">
        <x:v>Tamil Nadu</x:v>
      </x:c>
      <x:c r="B29" s="54" t="n">
        <x:f>COUNTIFS(Locations!$A$2:$A$207,"Indira IVF",Locations!$D$2:$D$207,A29)</x:f>
        <x:v>2</x:v>
      </x:c>
      <x:c r="C29" s="54" t="n">
        <x:f>COUNTIFS(Locations!$A$2:$A$207,"Gaudium IVF",Locations!$D$2:$D$207,A29)</x:f>
        <x:v>0</x:v>
      </x:c>
      <x:c r="D29" s="54" t="n">
        <x:f>B29+C29</x:f>
        <x:v>2</x:v>
      </x:c>
    </x:row>
    <x:row r="30">
      <x:c r="A30" s="52" t="str">
        <x:v>Telangana</x:v>
      </x:c>
      <x:c r="B30" s="54" t="n">
        <x:f>COUNTIFS(Locations!$A$2:$A$207,"Indira IVF",Locations!$D$2:$D$207,A30)</x:f>
        <x:v>12</x:v>
      </x:c>
      <x:c r="C30" s="54" t="n">
        <x:f>COUNTIFS(Locations!$A$2:$A$207,"Gaudium IVF",Locations!$D$2:$D$207,A30)</x:f>
        <x:v>0</x:v>
      </x:c>
      <x:c r="D30" s="54" t="n">
        <x:f>B30+C30</x:f>
        <x:v>12</x:v>
      </x:c>
    </x:row>
    <x:row r="31">
      <x:c r="A31" s="52" t="str">
        <x:v>Uttar Pradesh</x:v>
      </x:c>
      <x:c r="B31" s="54" t="n">
        <x:f>COUNTIFS(Locations!$A$2:$A$207,"Indira IVF",Locations!$D$2:$D$207,A31)</x:f>
        <x:v>32</x:v>
      </x:c>
      <x:c r="C31" s="54" t="n">
        <x:f>COUNTIFS(Locations!$A$2:$A$207,"Gaudium IVF",Locations!$D$2:$D$207,A31)</x:f>
        <x:v>0</x:v>
      </x:c>
      <x:c r="D31" s="54" t="n">
        <x:f>B31+C31</x:f>
        <x:v>32</x:v>
      </x:c>
    </x:row>
    <x:row r="32">
      <x:c r="A32" s="52" t="str">
        <x:v>Uttarakhand</x:v>
      </x:c>
      <x:c r="B32" s="54" t="n">
        <x:f>COUNTIFS(Locations!$A$2:$A$207,"Indira IVF",Locations!$D$2:$D$207,A32)</x:f>
        <x:v>2</x:v>
      </x:c>
      <x:c r="C32" s="54" t="n">
        <x:f>COUNTIFS(Locations!$A$2:$A$207,"Gaudium IVF",Locations!$D$2:$D$207,A32)</x:f>
        <x:v>0</x:v>
      </x:c>
      <x:c r="D32" s="54" t="n">
        <x:f>B32+C32</x:f>
        <x:v>2</x:v>
      </x:c>
    </x:row>
    <x:row r="33">
      <x:c r="A33" s="52" t="str">
        <x:v>West Bengal</x:v>
      </x:c>
      <x:c r="B33" s="54" t="n">
        <x:f>COUNTIFS(Locations!$A$2:$A$207,"Indira IVF",Locations!$D$2:$D$207,A33)</x:f>
        <x:v>7</x:v>
      </x:c>
      <x:c r="C33" s="54" t="n">
        <x:f>COUNTIFS(Locations!$A$2:$A$207,"Gaudium IVF",Locations!$D$2:$D$207,A33)</x:f>
        <x:v>0</x:v>
      </x:c>
      <x:c r="D33" s="54" t="n">
        <x:f>B33+C33</x:f>
        <x:v>7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F10:H10"/>
    <x:mergeCell ref="F11:H15"/>
    <x:mergeCell ref="F17:H17"/>
    <x:mergeCell ref="F18:H23"/>
  </x:mergeCells>
  <x:conditionalFormatting sqref="D11:D33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{CE9F357E-FCC1-3751-A6B2-C6CA6A8C6E73}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df6e5539d7046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E9F357E-FCC1-3751-A6B2-C6CA6A8C6E73}">
            <x14:dataBar gradient="1">
              <x14:cfvo type="min"/>
              <x14:cfvo type="max"/>
              <x14:fillColor rgb="FF2F75B5"/>
            </x14:dataBar>
          </x14:cfRule>
          <xm:sqref>D11:D33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1" hidden="0" customWidth="1"/>
    <x:col min="5" max="5" width="42" hidden="0" customWidth="1"/>
    <x:col min="6" max="6" width="30" hidden="0" customWidth="1"/>
    <x:col min="7" max="7" width="13" hidden="0" customWidth="1"/>
    <x:col min="8" max="8" width="13" hidden="0" customWidth="1"/>
    <x:col min="9" max="9" width="34" hidden="0" customWidth="1"/>
    <x:col min="10" max="10" width="25" hidden="0" customWidth="1"/>
    <x:col min="11" max="11" width="36" hidden="0" customWidth="1"/>
    <x:col min="12" max="12" width="36" hidden="0" customWidth="1"/>
    <x:col min="13" max="13" width="36" hidden="0" customWidth="1"/>
    <x:col min="14" max="14" width="44" hidden="0" customWidth="1"/>
  </x:cols>
  <x:sheetData>
    <x:row r="1" ht="32" customHeight="1">
      <x:c r="A1" s="6" t="str">
        <x:v>Brand</x:v>
      </x:c>
      <x:c r="B1" s="6" t="str">
        <x:v>Centre / Locality</x:v>
      </x:c>
      <x:c r="C1" s="6" t="str">
        <x:v>Parent City</x:v>
      </x:c>
      <x:c r="D1" s="6" t="str">
        <x:v>State / UT</x:v>
      </x:c>
      <x:c r="E1" s="6" t="str">
        <x:v>Normalized Address / Location</x:v>
      </x:c>
      <x:c r="F1" s="6" t="str">
        <x:v>Address Precision</x:v>
      </x:c>
      <x:c r="G1" s="6" t="str">
        <x:v>Latitude</x:v>
      </x:c>
      <x:c r="H1" s="6" t="str">
        <x:v>Longitude</x:v>
      </x:c>
      <x:c r="I1" s="6" t="str">
        <x:v>Coordinate Precision</x:v>
      </x:c>
      <x:c r="J1" s="6" t="str">
        <x:v>Verification Status</x:v>
      </x:c>
      <x:c r="K1" s="6" t="str">
        <x:v>Official Source URL</x:v>
      </x:c>
      <x:c r="L1" s="6" t="str">
        <x:v>Official Directory URL</x:v>
      </x:c>
      <x:c r="M1" s="6" t="str">
        <x:v>Google Maps Search URL</x:v>
      </x:c>
      <x:c r="N1" s="6" t="str">
        <x:v>Notes</x:v>
      </x:c>
    </x:row>
    <x:row r="2">
      <x:c r="A2" s="13" t="str">
        <x:v>Indira IVF</x:v>
      </x:c>
      <x:c r="B2" s="13" t="str">
        <x:v>Tinsukia</x:v>
      </x:c>
      <x:c r="C2" s="13" t="str">
        <x:v>Tinsukia</x:v>
      </x:c>
      <x:c r="D2" s="13" t="str">
        <x:v>Assam</x:v>
      </x:c>
      <x:c r="E2" s="13" t="str">
        <x:v>Tinsukia, Assam, India</x:v>
      </x:c>
      <x:c r="F2" s="13" t="str">
        <x:v>Locality/city normalized from official centre-page title</x:v>
      </x:c>
      <x:c r="G2" s="16" t="n">
        <x:v>27.48905</x:v>
      </x:c>
      <x:c r="H2" s="16" t="n">
        <x:v>95.35992</x:v>
      </x:c>
      <x:c r="I2" s="13" t="str">
        <x:v>Parent-city centroid (map visualization; not clinic-door geocode)</x:v>
      </x:c>
      <x:c r="J2" s="13" t="str">
        <x:v>Official sitemap-listed</x:v>
      </x:c>
      <x:c r="K2" s="13" t="str">
        <x:v>https://www.indiraivf.com/sitemap</x:v>
      </x:c>
      <x:c r="L2" s="13" t="str">
        <x:v>https://www.indiraivf.com/ivf-center-in-india</x:v>
      </x:c>
      <x:c r="M2" s="13" t="str">
        <x:v>https://www.google.com/maps/search/?api=1&amp;query=Indira%20IVF%20Tinsukia%2C%20Tinsukia%2C%20Assam%2C%20India</x:v>
      </x:c>
      <x:c r="N2" s="13" t="str">
        <x:v>Public centre page listed in official sitemap. Directory headline reports 210 centres; sitemap exposes 199 centre pages.</x:v>
      </x:c>
    </x:row>
    <x:row r="3">
      <x:c r="A3" s="13" t="str">
        <x:v>Indira IVF</x:v>
      </x:c>
      <x:c r="B3" s="13" t="str">
        <x:v>Dasarahalli</x:v>
      </x:c>
      <x:c r="C3" s="13" t="str">
        <x:v>Bengaluru</x:v>
      </x:c>
      <x:c r="D3" s="13" t="str">
        <x:v>Karnataka</x:v>
      </x:c>
      <x:c r="E3" s="13" t="str">
        <x:v>Dasarahalli, Bengaluru, Karnataka, India</x:v>
      </x:c>
      <x:c r="F3" s="13" t="str">
        <x:v>Locality/city normalized from official centre-page title</x:v>
      </x:c>
      <x:c r="G3" s="16" t="n">
        <x:v>12.97194</x:v>
      </x:c>
      <x:c r="H3" s="16" t="n">
        <x:v>77.59369</x:v>
      </x:c>
      <x:c r="I3" s="13" t="str">
        <x:v>Parent-city centroid (map visualization; not clinic-door geocode)</x:v>
      </x:c>
      <x:c r="J3" s="13" t="str">
        <x:v>Official sitemap-listed</x:v>
      </x:c>
      <x:c r="K3" s="13" t="str">
        <x:v>https://www.indiraivf.com/sitemap</x:v>
      </x:c>
      <x:c r="L3" s="13" t="str">
        <x:v>https://www.indiraivf.com/ivf-center-in-india</x:v>
      </x:c>
      <x:c r="M3" s="13" t="str">
        <x:v>https://www.google.com/maps/search/?api=1&amp;query=Indira%20IVF%20Dasarahalli%2C%20Bengaluru%2C%20Karnataka%2C%20India</x:v>
      </x:c>
      <x:c r="N3" s="13" t="str">
        <x:v>Public centre page listed in official sitemap. Directory headline reports 210 centres; sitemap exposes 199 centre pages.</x:v>
      </x:c>
    </x:row>
    <x:row r="4">
      <x:c r="A4" s="13" t="str">
        <x:v>Indira IVF</x:v>
      </x:c>
      <x:c r="B4" s="13" t="str">
        <x:v>Kukatpally</x:v>
      </x:c>
      <x:c r="C4" s="13" t="str">
        <x:v>Hyderabad</x:v>
      </x:c>
      <x:c r="D4" s="13" t="str">
        <x:v>Telangana</x:v>
      </x:c>
      <x:c r="E4" s="13" t="str">
        <x:v>Kukatpally, Hyderabad, Telangana, India</x:v>
      </x:c>
      <x:c r="F4" s="13" t="str">
        <x:v>Locality/city normalized from official centre-page title</x:v>
      </x:c>
      <x:c r="G4" s="16" t="n">
        <x:v>17.38405</x:v>
      </x:c>
      <x:c r="H4" s="16" t="n">
        <x:v>78.45636</x:v>
      </x:c>
      <x:c r="I4" s="13" t="str">
        <x:v>Parent-city centroid (map visualization; not clinic-door geocode)</x:v>
      </x:c>
      <x:c r="J4" s="13" t="str">
        <x:v>Official sitemap-listed</x:v>
      </x:c>
      <x:c r="K4" s="13" t="str">
        <x:v>https://www.indiraivf.com/sitemap</x:v>
      </x:c>
      <x:c r="L4" s="13" t="str">
        <x:v>https://www.indiraivf.com/ivf-center-in-india</x:v>
      </x:c>
      <x:c r="M4" s="13" t="str">
        <x:v>https://www.google.com/maps/search/?api=1&amp;query=Indira%20IVF%20Kukatpally%2C%20Hyderabad%2C%20Telangana%2C%20India</x:v>
      </x:c>
      <x:c r="N4" s="13" t="str">
        <x:v>Public centre page listed in official sitemap. Directory headline reports 210 centres; sitemap exposes 199 centre pages.</x:v>
      </x:c>
    </x:row>
    <x:row r="5">
      <x:c r="A5" s="13" t="str">
        <x:v>Indira IVF</x:v>
      </x:c>
      <x:c r="B5" s="13" t="str">
        <x:v>Barasat</x:v>
      </x:c>
      <x:c r="C5" s="13" t="str">
        <x:v>Kolkata</x:v>
      </x:c>
      <x:c r="D5" s="13" t="str">
        <x:v>West Bengal</x:v>
      </x:c>
      <x:c r="E5" s="13" t="str">
        <x:v>Barasat, Kolkata, West Bengal, India</x:v>
      </x:c>
      <x:c r="F5" s="13" t="str">
        <x:v>Locality/city normalized from official centre-page title</x:v>
      </x:c>
      <x:c r="G5" s="16" t="n">
        <x:v>22.56263</x:v>
      </x:c>
      <x:c r="H5" s="16" t="n">
        <x:v>88.36304</x:v>
      </x:c>
      <x:c r="I5" s="13" t="str">
        <x:v>Parent-city centroid (map visualization; not clinic-door geocode)</x:v>
      </x:c>
      <x:c r="J5" s="13" t="str">
        <x:v>Official sitemap-listed</x:v>
      </x:c>
      <x:c r="K5" s="13" t="str">
        <x:v>https://www.indiraivf.com/sitemap</x:v>
      </x:c>
      <x:c r="L5" s="13" t="str">
        <x:v>https://www.indiraivf.com/ivf-center-in-india</x:v>
      </x:c>
      <x:c r="M5" s="13" t="str">
        <x:v>https://www.google.com/maps/search/?api=1&amp;query=Indira%20IVF%20Barasat%2C%20Kolkata%2C%20West%20Bengal%2C%20India</x:v>
      </x:c>
      <x:c r="N5" s="13" t="str">
        <x:v>Public centre page listed in official sitemap. Directory headline reports 210 centres; sitemap exposes 199 centre pages.</x:v>
      </x:c>
    </x:row>
    <x:row r="6">
      <x:c r="A6" s="13" t="str">
        <x:v>Indira IVF</x:v>
      </x:c>
      <x:c r="B6" s="13" t="str">
        <x:v>Saket Nagar</x:v>
      </x:c>
      <x:c r="C6" s="13" t="str">
        <x:v>Kanpur</x:v>
      </x:c>
      <x:c r="D6" s="13" t="str">
        <x:v>Uttar Pradesh</x:v>
      </x:c>
      <x:c r="E6" s="13" t="str">
        <x:v>Saket Nagar, Kanpur, Uttar Pradesh, India</x:v>
      </x:c>
      <x:c r="F6" s="13" t="str">
        <x:v>Locality/city normalized from official centre-page title</x:v>
      </x:c>
      <x:c r="G6" s="16" t="n">
        <x:v>26.46523</x:v>
      </x:c>
      <x:c r="H6" s="16" t="n">
        <x:v>80.34975</x:v>
      </x:c>
      <x:c r="I6" s="13" t="str">
        <x:v>Parent-city centroid (map visualization; not clinic-door geocode)</x:v>
      </x:c>
      <x:c r="J6" s="13" t="str">
        <x:v>Official sitemap-listed</x:v>
      </x:c>
      <x:c r="K6" s="13" t="str">
        <x:v>https://www.indiraivf.com/sitemap</x:v>
      </x:c>
      <x:c r="L6" s="13" t="str">
        <x:v>https://www.indiraivf.com/ivf-center-in-india</x:v>
      </x:c>
      <x:c r="M6" s="13" t="str">
        <x:v>https://www.google.com/maps/search/?api=1&amp;query=Indira%20IVF%20Saket%20Nagar%2C%20Kanpur%2C%20Uttar%20Pradesh%2C%20India</x:v>
      </x:c>
      <x:c r="N6" s="13" t="str">
        <x:v>Public centre page listed in official sitemap. Directory headline reports 210 centres; sitemap exposes 199 centre pages.</x:v>
      </x:c>
    </x:row>
    <x:row r="7">
      <x:c r="A7" s="13" t="str">
        <x:v>Indira IVF</x:v>
      </x:c>
      <x:c r="B7" s="13" t="str">
        <x:v>Electronic City</x:v>
      </x:c>
      <x:c r="C7" s="13" t="str">
        <x:v>Bengaluru</x:v>
      </x:c>
      <x:c r="D7" s="13" t="str">
        <x:v>Karnataka</x:v>
      </x:c>
      <x:c r="E7" s="13" t="str">
        <x:v>Electronic City, Bengaluru, Karnataka, India</x:v>
      </x:c>
      <x:c r="F7" s="13" t="str">
        <x:v>Locality/city normalized from official centre-page title</x:v>
      </x:c>
      <x:c r="G7" s="16" t="n">
        <x:v>12.97194</x:v>
      </x:c>
      <x:c r="H7" s="16" t="n">
        <x:v>77.59369</x:v>
      </x:c>
      <x:c r="I7" s="13" t="str">
        <x:v>Parent-city centroid (map visualization; not clinic-door geocode)</x:v>
      </x:c>
      <x:c r="J7" s="13" t="str">
        <x:v>Official sitemap-listed</x:v>
      </x:c>
      <x:c r="K7" s="13" t="str">
        <x:v>https://www.indiraivf.com/sitemap</x:v>
      </x:c>
      <x:c r="L7" s="13" t="str">
        <x:v>https://www.indiraivf.com/ivf-center-in-india</x:v>
      </x:c>
      <x:c r="M7" s="13" t="str">
        <x:v>https://www.google.com/maps/search/?api=1&amp;query=Indira%20IVF%20Electronic%20City%2C%20Bengaluru%2C%20Karnataka%2C%20India</x:v>
      </x:c>
      <x:c r="N7" s="13" t="str">
        <x:v>Public centre page listed in official sitemap. Directory headline reports 210 centres; sitemap exposes 199 centre pages.</x:v>
      </x:c>
    </x:row>
    <x:row r="8">
      <x:c r="A8" s="13" t="str">
        <x:v>Indira IVF</x:v>
      </x:c>
      <x:c r="B8" s="13" t="str">
        <x:v>Bijapur</x:v>
      </x:c>
      <x:c r="C8" s="13" t="str">
        <x:v>Bijapur</x:v>
      </x:c>
      <x:c r="D8" s="13" t="str">
        <x:v>Karnataka</x:v>
      </x:c>
      <x:c r="E8" s="13" t="str">
        <x:v>Bijapur, Karnataka, India</x:v>
      </x:c>
      <x:c r="F8" s="13" t="str">
        <x:v>Locality/city normalized from official centre-page title</x:v>
      </x:c>
      <x:c r="G8" s="16" t="n">
        <x:v>16.82442</x:v>
      </x:c>
      <x:c r="H8" s="16" t="n">
        <x:v>75.71537</x:v>
      </x:c>
      <x:c r="I8" s="13" t="str">
        <x:v>Parent-city centroid (map visualization; not clinic-door geocode)</x:v>
      </x:c>
      <x:c r="J8" s="13" t="str">
        <x:v>Official sitemap-listed</x:v>
      </x:c>
      <x:c r="K8" s="13" t="str">
        <x:v>https://www.indiraivf.com/sitemap</x:v>
      </x:c>
      <x:c r="L8" s="13" t="str">
        <x:v>https://www.indiraivf.com/ivf-center-in-india</x:v>
      </x:c>
      <x:c r="M8" s="13" t="str">
        <x:v>https://www.google.com/maps/search/?api=1&amp;query=Indira%20IVF%20Bijapur%2C%20Bijapur%2C%20Karnataka%2C%20India</x:v>
      </x:c>
      <x:c r="N8" s="13" t="str">
        <x:v>Public centre page listed in official sitemap. Directory headline reports 210 centres; sitemap exposes 199 centre pages.</x:v>
      </x:c>
    </x:row>
    <x:row r="9">
      <x:c r="A9" s="13" t="str">
        <x:v>Indira IVF</x:v>
      </x:c>
      <x:c r="B9" s="13" t="str">
        <x:v>Annapurna Road</x:v>
      </x:c>
      <x:c r="C9" s="13" t="str">
        <x:v>Indore</x:v>
      </x:c>
      <x:c r="D9" s="13" t="str">
        <x:v>Madhya Pradesh</x:v>
      </x:c>
      <x:c r="E9" s="13" t="str">
        <x:v>Annapurna Road, Indore, Madhya Pradesh, India</x:v>
      </x:c>
      <x:c r="F9" s="13" t="str">
        <x:v>Locality/city normalized from official centre-page title</x:v>
      </x:c>
      <x:c r="G9" s="16" t="n">
        <x:v>22.71792</x:v>
      </x:c>
      <x:c r="H9" s="16" t="n">
        <x:v>75.8333</x:v>
      </x:c>
      <x:c r="I9" s="13" t="str">
        <x:v>Parent-city centroid (map visualization; not clinic-door geocode)</x:v>
      </x:c>
      <x:c r="J9" s="13" t="str">
        <x:v>Official sitemap-listed</x:v>
      </x:c>
      <x:c r="K9" s="13" t="str">
        <x:v>https://www.indiraivf.com/sitemap</x:v>
      </x:c>
      <x:c r="L9" s="13" t="str">
        <x:v>https://www.indiraivf.com/ivf-center-in-india</x:v>
      </x:c>
      <x:c r="M9" s="13" t="str">
        <x:v>https://www.google.com/maps/search/?api=1&amp;query=Indira%20IVF%20Annapurna%20Road%2C%20Indore%2C%20Madhya%20Pradesh%2C%20India</x:v>
      </x:c>
      <x:c r="N9" s="13" t="str">
        <x:v>Public centre page listed in official sitemap. Directory headline reports 210 centres; sitemap exposes 199 centre pages.</x:v>
      </x:c>
    </x:row>
    <x:row r="10">
      <x:c r="A10" s="13" t="str">
        <x:v>Indira IVF</x:v>
      </x:c>
      <x:c r="B10" s="13" t="str">
        <x:v>Chandrayangutta</x:v>
      </x:c>
      <x:c r="C10" s="13" t="str">
        <x:v>Hyderabad</x:v>
      </x:c>
      <x:c r="D10" s="13" t="str">
        <x:v>Telangana</x:v>
      </x:c>
      <x:c r="E10" s="13" t="str">
        <x:v>Chandrayangutta, Hyderabad, Telangana, India</x:v>
      </x:c>
      <x:c r="F10" s="13" t="str">
        <x:v>Locality/city normalized from official centre-page title</x:v>
      </x:c>
      <x:c r="G10" s="16" t="n">
        <x:v>17.38405</x:v>
      </x:c>
      <x:c r="H10" s="16" t="n">
        <x:v>78.45636</x:v>
      </x:c>
      <x:c r="I10" s="13" t="str">
        <x:v>Parent-city centroid (map visualization; not clinic-door geocode)</x:v>
      </x:c>
      <x:c r="J10" s="13" t="str">
        <x:v>Official sitemap-listed</x:v>
      </x:c>
      <x:c r="K10" s="13" t="str">
        <x:v>https://www.indiraivf.com/sitemap</x:v>
      </x:c>
      <x:c r="L10" s="13" t="str">
        <x:v>https://www.indiraivf.com/ivf-center-in-india</x:v>
      </x:c>
      <x:c r="M10" s="13" t="str">
        <x:v>https://www.google.com/maps/search/?api=1&amp;query=Indira%20IVF%20Chandrayangutta%2C%20Hyderabad%2C%20Telangana%2C%20India</x:v>
      </x:c>
      <x:c r="N10" s="13" t="str">
        <x:v>Public centre page listed in official sitemap. Directory headline reports 210 centres; sitemap exposes 199 centre pages.</x:v>
      </x:c>
    </x:row>
    <x:row r="11">
      <x:c r="A11" s="13" t="str">
        <x:v>Indira IVF</x:v>
      </x:c>
      <x:c r="B11" s="13" t="str">
        <x:v>Fort</x:v>
      </x:c>
      <x:c r="C11" s="13" t="str">
        <x:v>Mumbai</x:v>
      </x:c>
      <x:c r="D11" s="13" t="str">
        <x:v>Maharashtra</x:v>
      </x:c>
      <x:c r="E11" s="13" t="str">
        <x:v>Fort, Mumbai, Maharashtra, India</x:v>
      </x:c>
      <x:c r="F11" s="13" t="str">
        <x:v>Locality/city normalized from official centre-page title</x:v>
      </x:c>
      <x:c r="G11" s="16" t="n">
        <x:v>19.07283</x:v>
      </x:c>
      <x:c r="H11" s="16" t="n">
        <x:v>72.88261</x:v>
      </x:c>
      <x:c r="I11" s="13" t="str">
        <x:v>Parent-city centroid (map visualization; not clinic-door geocode)</x:v>
      </x:c>
      <x:c r="J11" s="13" t="str">
        <x:v>Official sitemap-listed</x:v>
      </x:c>
      <x:c r="K11" s="13" t="str">
        <x:v>https://www.indiraivf.com/sitemap</x:v>
      </x:c>
      <x:c r="L11" s="13" t="str">
        <x:v>https://www.indiraivf.com/ivf-center-in-india</x:v>
      </x:c>
      <x:c r="M11" s="13" t="str">
        <x:v>https://www.google.com/maps/search/?api=1&amp;query=Indira%20IVF%20Fort%2C%20Mumbai%2C%20Maharashtra%2C%20India</x:v>
      </x:c>
      <x:c r="N11" s="13" t="str">
        <x:v>Public centre page listed in official sitemap. Directory headline reports 210 centres; sitemap exposes 199 centre pages.</x:v>
      </x:c>
    </x:row>
    <x:row r="12">
      <x:c r="A12" s="13" t="str">
        <x:v>Indira IVF</x:v>
      </x:c>
      <x:c r="B12" s="13" t="str">
        <x:v>Hajipur</x:v>
      </x:c>
      <x:c r="C12" s="13" t="str">
        <x:v>Hajipur</x:v>
      </x:c>
      <x:c r="D12" s="13" t="str">
        <x:v>Bihar</x:v>
      </x:c>
      <x:c r="E12" s="13" t="str">
        <x:v>Hajipur, Bihar, India</x:v>
      </x:c>
      <x:c r="F12" s="13" t="str">
        <x:v>Locality/city normalized from official centre-page title</x:v>
      </x:c>
      <x:c r="G12" s="16" t="n">
        <x:v>25.68544</x:v>
      </x:c>
      <x:c r="H12" s="16" t="n">
        <x:v>85.20981</x:v>
      </x:c>
      <x:c r="I12" s="13" t="str">
        <x:v>Parent-city centroid (map visualization; not clinic-door geocode)</x:v>
      </x:c>
      <x:c r="J12" s="13" t="str">
        <x:v>Official sitemap-listed</x:v>
      </x:c>
      <x:c r="K12" s="13" t="str">
        <x:v>https://www.indiraivf.com/sitemap</x:v>
      </x:c>
      <x:c r="L12" s="13" t="str">
        <x:v>https://www.indiraivf.com/ivf-center-in-india</x:v>
      </x:c>
      <x:c r="M12" s="13" t="str">
        <x:v>https://www.google.com/maps/search/?api=1&amp;query=Indira%20IVF%20Hajipur%2C%20Hajipur%2C%20Bihar%2C%20India</x:v>
      </x:c>
      <x:c r="N12" s="13" t="str">
        <x:v>Public centre page listed in official sitemap. Directory headline reports 210 centres; sitemap exposes 199 centre pages.</x:v>
      </x:c>
    </x:row>
    <x:row r="13">
      <x:c r="A13" s="13" t="str">
        <x:v>Indira IVF</x:v>
      </x:c>
      <x:c r="B13" s="13" t="str">
        <x:v>Ayodhya</x:v>
      </x:c>
      <x:c r="C13" s="13" t="str">
        <x:v>Ayodhya</x:v>
      </x:c>
      <x:c r="D13" s="13" t="str">
        <x:v>Uttar Pradesh</x:v>
      </x:c>
      <x:c r="E13" s="13" t="str">
        <x:v>Ayodhya, Uttar Pradesh, India</x:v>
      </x:c>
      <x:c r="F13" s="13" t="str">
        <x:v>Locality/city normalized from official centre-page title</x:v>
      </x:c>
      <x:c r="G13" s="16" t="n">
        <x:v>26.79909</x:v>
      </x:c>
      <x:c r="H13" s="16" t="n">
        <x:v>82.2047</x:v>
      </x:c>
      <x:c r="I13" s="13" t="str">
        <x:v>Parent-city centroid (map visualization; not clinic-door geocode)</x:v>
      </x:c>
      <x:c r="J13" s="13" t="str">
        <x:v>Official sitemap-listed</x:v>
      </x:c>
      <x:c r="K13" s="13" t="str">
        <x:v>https://www.indiraivf.com/sitemap</x:v>
      </x:c>
      <x:c r="L13" s="13" t="str">
        <x:v>https://www.indiraivf.com/ivf-center-in-india</x:v>
      </x:c>
      <x:c r="M13" s="13" t="str">
        <x:v>https://www.google.com/maps/search/?api=1&amp;query=Indira%20IVF%20Ayodhya%2C%20Ayodhya%2C%20Uttar%20Pradesh%2C%20India</x:v>
      </x:c>
      <x:c r="N13" s="13" t="str">
        <x:v>Public centre page listed in official sitemap. Directory headline reports 210 centres; sitemap exposes 199 centre pages.</x:v>
      </x:c>
    </x:row>
    <x:row r="14">
      <x:c r="A14" s="13" t="str">
        <x:v>Indira IVF</x:v>
      </x:c>
      <x:c r="B14" s="13" t="str">
        <x:v>Ambala</x:v>
      </x:c>
      <x:c r="C14" s="13" t="str">
        <x:v>Ambala</x:v>
      </x:c>
      <x:c r="D14" s="13" t="str">
        <x:v>Haryana</x:v>
      </x:c>
      <x:c r="E14" s="13" t="str">
        <x:v>Ambala, Haryana, India</x:v>
      </x:c>
      <x:c r="F14" s="13" t="str">
        <x:v>Locality/city normalized from official centre-page title</x:v>
      </x:c>
      <x:c r="G14" s="16" t="n">
        <x:v>30.36099</x:v>
      </x:c>
      <x:c r="H14" s="16" t="n">
        <x:v>76.79782</x:v>
      </x:c>
      <x:c r="I14" s="13" t="str">
        <x:v>Parent-city centroid (map visualization; not clinic-door geocode)</x:v>
      </x:c>
      <x:c r="J14" s="13" t="str">
        <x:v>Official sitemap-listed</x:v>
      </x:c>
      <x:c r="K14" s="13" t="str">
        <x:v>https://www.indiraivf.com/sitemap</x:v>
      </x:c>
      <x:c r="L14" s="13" t="str">
        <x:v>https://www.indiraivf.com/ivf-center-in-india</x:v>
      </x:c>
      <x:c r="M14" s="13" t="str">
        <x:v>https://www.google.com/maps/search/?api=1&amp;query=Indira%20IVF%20Ambala%2C%20Ambala%2C%20Haryana%2C%20India</x:v>
      </x:c>
      <x:c r="N14" s="13" t="str">
        <x:v>Public centre page listed in official sitemap. Directory headline reports 210 centres; sitemap exposes 199 centre pages.</x:v>
      </x:c>
    </x:row>
    <x:row r="15">
      <x:c r="A15" s="13" t="str">
        <x:v>Indira IVF</x:v>
      </x:c>
      <x:c r="B15" s="13" t="str">
        <x:v>Yamuna Nagar</x:v>
      </x:c>
      <x:c r="C15" s="13" t="str">
        <x:v>Yamuna Nagar</x:v>
      </x:c>
      <x:c r="D15" s="13" t="str">
        <x:v>Haryana</x:v>
      </x:c>
      <x:c r="E15" s="13" t="str">
        <x:v>Yamuna Nagar, Haryana, India</x:v>
      </x:c>
      <x:c r="F15" s="13" t="str">
        <x:v>Locality/city normalized from official centre-page title</x:v>
      </x:c>
      <x:c r="G15" s="16" t="n">
        <x:v>30.12796</x:v>
      </x:c>
      <x:c r="H15" s="16" t="n">
        <x:v>77.28371</x:v>
      </x:c>
      <x:c r="I15" s="13" t="str">
        <x:v>Parent-city centroid (map visualization; not clinic-door geocode)</x:v>
      </x:c>
      <x:c r="J15" s="13" t="str">
        <x:v>Official sitemap-listed</x:v>
      </x:c>
      <x:c r="K15" s="13" t="str">
        <x:v>https://www.indiraivf.com/sitemap</x:v>
      </x:c>
      <x:c r="L15" s="13" t="str">
        <x:v>https://www.indiraivf.com/ivf-center-in-india</x:v>
      </x:c>
      <x:c r="M15" s="13" t="str">
        <x:v>https://www.google.com/maps/search/?api=1&amp;query=Indira%20IVF%20Yamuna%20Nagar%2C%20Yamuna%20Nagar%2C%20Haryana%2C%20India</x:v>
      </x:c>
      <x:c r="N15" s="13" t="str">
        <x:v>Public centre page listed in official sitemap. Directory headline reports 210 centres; sitemap exposes 199 centre pages.</x:v>
      </x:c>
    </x:row>
    <x:row r="16">
      <x:c r="A16" s="13" t="str">
        <x:v>Indira IVF</x:v>
      </x:c>
      <x:c r="B16" s="13" t="str">
        <x:v>Tambaram</x:v>
      </x:c>
      <x:c r="C16" s="13" t="str">
        <x:v>Chennai</x:v>
      </x:c>
      <x:c r="D16" s="13" t="str">
        <x:v>Tamil Nadu</x:v>
      </x:c>
      <x:c r="E16" s="13" t="str">
        <x:v>Tambaram, Chennai, Tamil Nadu, India</x:v>
      </x:c>
      <x:c r="F16" s="13" t="str">
        <x:v>Locality/city normalized from official centre-page title</x:v>
      </x:c>
      <x:c r="G16" s="16" t="n">
        <x:v>13.08784</x:v>
      </x:c>
      <x:c r="H16" s="16" t="n">
        <x:v>80.27847</x:v>
      </x:c>
      <x:c r="I16" s="13" t="str">
        <x:v>Parent-city centroid (map visualization; not clinic-door geocode)</x:v>
      </x:c>
      <x:c r="J16" s="13" t="str">
        <x:v>Official sitemap-listed</x:v>
      </x:c>
      <x:c r="K16" s="13" t="str">
        <x:v>https://www.indiraivf.com/sitemap</x:v>
      </x:c>
      <x:c r="L16" s="13" t="str">
        <x:v>https://www.indiraivf.com/ivf-center-in-india</x:v>
      </x:c>
      <x:c r="M16" s="13" t="str">
        <x:v>https://www.google.com/maps/search/?api=1&amp;query=Indira%20IVF%20Tambaram%2C%20Chennai%2C%20Tamil%20Nadu%2C%20India</x:v>
      </x:c>
      <x:c r="N16" s="13" t="str">
        <x:v>Public centre page listed in official sitemap. Directory headline reports 210 centres; sitemap exposes 199 centre pages.</x:v>
      </x:c>
    </x:row>
    <x:row r="17">
      <x:c r="A17" s="13" t="str">
        <x:v>Indira IVF</x:v>
      </x:c>
      <x:c r="B17" s="13" t="str">
        <x:v>Shivamogga</x:v>
      </x:c>
      <x:c r="C17" s="13" t="str">
        <x:v>Shivamogga</x:v>
      </x:c>
      <x:c r="D17" s="13" t="str">
        <x:v>Karnataka</x:v>
      </x:c>
      <x:c r="E17" s="13" t="str">
        <x:v>Shivamogga, Karnataka, India</x:v>
      </x:c>
      <x:c r="F17" s="13" t="str">
        <x:v>Locality/city normalized from official centre-page title</x:v>
      </x:c>
      <x:c r="G17" s="16" t="n">
        <x:v>13.93157</x:v>
      </x:c>
      <x:c r="H17" s="16" t="n">
        <x:v>75.56791</x:v>
      </x:c>
      <x:c r="I17" s="13" t="str">
        <x:v>Parent-city centroid (map visualization; not clinic-door geocode)</x:v>
      </x:c>
      <x:c r="J17" s="13" t="str">
        <x:v>Official sitemap-listed</x:v>
      </x:c>
      <x:c r="K17" s="13" t="str">
        <x:v>https://www.indiraivf.com/sitemap</x:v>
      </x:c>
      <x:c r="L17" s="13" t="str">
        <x:v>https://www.indiraivf.com/ivf-center-in-india</x:v>
      </x:c>
      <x:c r="M17" s="13" t="str">
        <x:v>https://www.google.com/maps/search/?api=1&amp;query=Indira%20IVF%20Shivamogga%2C%20Shivamogga%2C%20Karnataka%2C%20India</x:v>
      </x:c>
      <x:c r="N17" s="13" t="str">
        <x:v>Public centre page listed in official sitemap. Directory headline reports 210 centres; sitemap exposes 199 centre pages.</x:v>
      </x:c>
    </x:row>
    <x:row r="18">
      <x:c r="A18" s="13" t="str">
        <x:v>Indira IVF</x:v>
      </x:c>
      <x:c r="B18" s="13" t="str">
        <x:v>Gurugram Sec-83</x:v>
      </x:c>
      <x:c r="C18" s="13" t="str">
        <x:v>Gurugram</x:v>
      </x:c>
      <x:c r="D18" s="13" t="str">
        <x:v>Haryana</x:v>
      </x:c>
      <x:c r="E18" s="13" t="str">
        <x:v>Gurugram Sec-83, Gurugram, Haryana, India</x:v>
      </x:c>
      <x:c r="F18" s="13" t="str">
        <x:v>Locality/city normalized from official centre-page title</x:v>
      </x:c>
      <x:c r="G18" s="16" t="n">
        <x:v>28.4601</x:v>
      </x:c>
      <x:c r="H18" s="16" t="n">
        <x:v>77.02635</x:v>
      </x:c>
      <x:c r="I18" s="13" t="str">
        <x:v>Parent-city centroid (map visualization; not clinic-door geocode)</x:v>
      </x:c>
      <x:c r="J18" s="13" t="str">
        <x:v>Official sitemap-listed</x:v>
      </x:c>
      <x:c r="K18" s="13" t="str">
        <x:v>https://www.indiraivf.com/sitemap</x:v>
      </x:c>
      <x:c r="L18" s="13" t="str">
        <x:v>https://www.indiraivf.com/ivf-center-in-india</x:v>
      </x:c>
      <x:c r="M18" s="13" t="str">
        <x:v>https://www.google.com/maps/search/?api=1&amp;query=Indira%20IVF%20Gurugram%20Sec-83%2C%20Gurugram%2C%20Haryana%2C%20India</x:v>
      </x:c>
      <x:c r="N18" s="13" t="str">
        <x:v>Public centre page listed in official sitemap. Directory headline reports 210 centres; sitemap exposes 199 centre pages.</x:v>
      </x:c>
    </x:row>
    <x:row r="19">
      <x:c r="A19" s="13" t="str">
        <x:v>Indira IVF</x:v>
      </x:c>
      <x:c r="B19" s="13" t="str">
        <x:v>Roorkee</x:v>
      </x:c>
      <x:c r="C19" s="13" t="str">
        <x:v>Roorkee</x:v>
      </x:c>
      <x:c r="D19" s="13" t="str">
        <x:v>Uttarakhand</x:v>
      </x:c>
      <x:c r="E19" s="13" t="str">
        <x:v>Roorkee, Uttarakhand, India</x:v>
      </x:c>
      <x:c r="F19" s="13" t="str">
        <x:v>Locality/city normalized from official centre-page title</x:v>
      </x:c>
      <x:c r="G19" s="16" t="n">
        <x:v>29.86632</x:v>
      </x:c>
      <x:c r="H19" s="16" t="n">
        <x:v>77.89118</x:v>
      </x:c>
      <x:c r="I19" s="13" t="str">
        <x:v>Parent-city centroid (map visualization; not clinic-door geocode)</x:v>
      </x:c>
      <x:c r="J19" s="13" t="str">
        <x:v>Official sitemap-listed</x:v>
      </x:c>
      <x:c r="K19" s="13" t="str">
        <x:v>https://www.indiraivf.com/sitemap</x:v>
      </x:c>
      <x:c r="L19" s="13" t="str">
        <x:v>https://www.indiraivf.com/ivf-center-in-india</x:v>
      </x:c>
      <x:c r="M19" s="13" t="str">
        <x:v>https://www.google.com/maps/search/?api=1&amp;query=Indira%20IVF%20Roorkee%2C%20Roorkee%2C%20Uttarakhand%2C%20India</x:v>
      </x:c>
      <x:c r="N19" s="13" t="str">
        <x:v>Public centre page listed in official sitemap. Directory headline reports 210 centres; sitemap exposes 199 centre pages.</x:v>
      </x:c>
    </x:row>
    <x:row r="20">
      <x:c r="A20" s="13" t="str">
        <x:v>Indira IVF</x:v>
      </x:c>
      <x:c r="B20" s="13" t="str">
        <x:v>Gandhinagar</x:v>
      </x:c>
      <x:c r="C20" s="13" t="str">
        <x:v>Gandhinagar</x:v>
      </x:c>
      <x:c r="D20" s="13" t="str">
        <x:v>Gujarat</x:v>
      </x:c>
      <x:c r="E20" s="13" t="str">
        <x:v>Gandhinagar, Gujarat, India</x:v>
      </x:c>
      <x:c r="F20" s="13" t="str">
        <x:v>Locality/city normalized from official centre-page title</x:v>
      </x:c>
      <x:c r="G20" s="16" t="n">
        <x:v>23.21667</x:v>
      </x:c>
      <x:c r="H20" s="16" t="n">
        <x:v>72.68333</x:v>
      </x:c>
      <x:c r="I20" s="13" t="str">
        <x:v>Parent-city centroid (map visualization; not clinic-door geocode)</x:v>
      </x:c>
      <x:c r="J20" s="13" t="str">
        <x:v>Official sitemap-listed</x:v>
      </x:c>
      <x:c r="K20" s="13" t="str">
        <x:v>https://www.indiraivf.com/sitemap</x:v>
      </x:c>
      <x:c r="L20" s="13" t="str">
        <x:v>https://www.indiraivf.com/ivf-center-in-india</x:v>
      </x:c>
      <x:c r="M20" s="13" t="str">
        <x:v>https://www.google.com/maps/search/?api=1&amp;query=Indira%20IVF%20Gandhinagar%2C%20Gandhinagar%2C%20Gujarat%2C%20India</x:v>
      </x:c>
      <x:c r="N20" s="13" t="str">
        <x:v>Public centre page listed in official sitemap. Directory headline reports 210 centres; sitemap exposes 199 centre pages.</x:v>
      </x:c>
    </x:row>
    <x:row r="21">
      <x:c r="A21" s="13" t="str">
        <x:v>Indira IVF</x:v>
      </x:c>
      <x:c r="B21" s="13" t="str">
        <x:v>Uttam Nagar</x:v>
      </x:c>
      <x:c r="C21" s="13" t="str">
        <x:v>New Delhi</x:v>
      </x:c>
      <x:c r="D21" s="13" t="str">
        <x:v>Delhi</x:v>
      </x:c>
      <x:c r="E21" s="13" t="str">
        <x:v>Uttam Nagar, New Delhi, Delhi, India</x:v>
      </x:c>
      <x:c r="F21" s="13" t="str">
        <x:v>Locality/city normalized from official centre-page title</x:v>
      </x:c>
      <x:c r="G21" s="16" t="n">
        <x:v>28.65195</x:v>
      </x:c>
      <x:c r="H21" s="16" t="n">
        <x:v>77.23149</x:v>
      </x:c>
      <x:c r="I21" s="13" t="str">
        <x:v>Parent-city centroid (map visualization; not clinic-door geocode)</x:v>
      </x:c>
      <x:c r="J21" s="13" t="str">
        <x:v>Official sitemap-listed</x:v>
      </x:c>
      <x:c r="K21" s="13" t="str">
        <x:v>https://www.indiraivf.com/sitemap</x:v>
      </x:c>
      <x:c r="L21" s="13" t="str">
        <x:v>https://www.indiraivf.com/ivf-center-in-india</x:v>
      </x:c>
      <x:c r="M21" s="13" t="str">
        <x:v>https://www.google.com/maps/search/?api=1&amp;query=Indira%20IVF%20Uttam%20Nagar%2C%20New%20Delhi%2C%20Delhi%2C%20India</x:v>
      </x:c>
      <x:c r="N21" s="13" t="str">
        <x:v>Public centre page listed in official sitemap. Directory headline reports 210 centres; sitemap exposes 199 centre pages.</x:v>
      </x:c>
    </x:row>
    <x:row r="22">
      <x:c r="A22" s="13" t="str">
        <x:v>Indira IVF</x:v>
      </x:c>
      <x:c r="B22" s="13" t="str">
        <x:v>Uppal</x:v>
      </x:c>
      <x:c r="C22" s="13" t="str">
        <x:v>Hyderabad</x:v>
      </x:c>
      <x:c r="D22" s="13" t="str">
        <x:v>Telangana</x:v>
      </x:c>
      <x:c r="E22" s="13" t="str">
        <x:v>Uppal, Hyderabad, Telangana, India</x:v>
      </x:c>
      <x:c r="F22" s="13" t="str">
        <x:v>Locality/city normalized from official centre-page title</x:v>
      </x:c>
      <x:c r="G22" s="16" t="n">
        <x:v>17.38405</x:v>
      </x:c>
      <x:c r="H22" s="16" t="n">
        <x:v>78.45636</x:v>
      </x:c>
      <x:c r="I22" s="13" t="str">
        <x:v>Parent-city centroid (map visualization; not clinic-door geocode)</x:v>
      </x:c>
      <x:c r="J22" s="13" t="str">
        <x:v>Official sitemap-listed</x:v>
      </x:c>
      <x:c r="K22" s="13" t="str">
        <x:v>https://www.indiraivf.com/sitemap</x:v>
      </x:c>
      <x:c r="L22" s="13" t="str">
        <x:v>https://www.indiraivf.com/ivf-center-in-india</x:v>
      </x:c>
      <x:c r="M22" s="13" t="str">
        <x:v>https://www.google.com/maps/search/?api=1&amp;query=Indira%20IVF%20Uppal%2C%20Hyderabad%2C%20Telangana%2C%20India</x:v>
      </x:c>
      <x:c r="N22" s="13" t="str">
        <x:v>Public centre page listed in official sitemap. Directory headline reports 210 centres; sitemap exposes 199 centre pages.</x:v>
      </x:c>
    </x:row>
    <x:row r="23">
      <x:c r="A23" s="13" t="str">
        <x:v>Indira IVF</x:v>
      </x:c>
      <x:c r="B23" s="13" t="str">
        <x:v>Bandlaguda</x:v>
      </x:c>
      <x:c r="C23" s="13" t="str">
        <x:v>Hyderabad</x:v>
      </x:c>
      <x:c r="D23" s="13" t="str">
        <x:v>Telangana</x:v>
      </x:c>
      <x:c r="E23" s="13" t="str">
        <x:v>Bandlaguda, Hyderabad, Telangana, India</x:v>
      </x:c>
      <x:c r="F23" s="13" t="str">
        <x:v>Locality/city normalized from official centre-page title</x:v>
      </x:c>
      <x:c r="G23" s="16" t="n">
        <x:v>17.38405</x:v>
      </x:c>
      <x:c r="H23" s="16" t="n">
        <x:v>78.45636</x:v>
      </x:c>
      <x:c r="I23" s="13" t="str">
        <x:v>Parent-city centroid (map visualization; not clinic-door geocode)</x:v>
      </x:c>
      <x:c r="J23" s="13" t="str">
        <x:v>Official sitemap-listed</x:v>
      </x:c>
      <x:c r="K23" s="13" t="str">
        <x:v>https://www.indiraivf.com/sitemap</x:v>
      </x:c>
      <x:c r="L23" s="13" t="str">
        <x:v>https://www.indiraivf.com/ivf-center-in-india</x:v>
      </x:c>
      <x:c r="M23" s="13" t="str">
        <x:v>https://www.google.com/maps/search/?api=1&amp;query=Indira%20IVF%20Bandlaguda%2C%20Hyderabad%2C%20Telangana%2C%20India</x:v>
      </x:c>
      <x:c r="N23" s="13" t="str">
        <x:v>Public centre page listed in official sitemap. Directory headline reports 210 centres; sitemap exposes 199 centre pages.</x:v>
      </x:c>
    </x:row>
    <x:row r="24">
      <x:c r="A24" s="13" t="str">
        <x:v>Indira IVF</x:v>
      </x:c>
      <x:c r="B24" s="13" t="str">
        <x:v>Azamgarh</x:v>
      </x:c>
      <x:c r="C24" s="13" t="str">
        <x:v>Azamgarh</x:v>
      </x:c>
      <x:c r="D24" s="13" t="str">
        <x:v>Uttar Pradesh</x:v>
      </x:c>
      <x:c r="E24" s="13" t="str">
        <x:v>Azamgarh, Uttar Pradesh, India</x:v>
      </x:c>
      <x:c r="F24" s="13" t="str">
        <x:v>Locality/city normalized from official centre-page title</x:v>
      </x:c>
      <x:c r="G24" s="16" t="n">
        <x:v>26.06832</x:v>
      </x:c>
      <x:c r="H24" s="16" t="n">
        <x:v>83.18358</x:v>
      </x:c>
      <x:c r="I24" s="13" t="str">
        <x:v>Parent-city centroid (map visualization; not clinic-door geocode)</x:v>
      </x:c>
      <x:c r="J24" s="13" t="str">
        <x:v>Official sitemap-listed</x:v>
      </x:c>
      <x:c r="K24" s="13" t="str">
        <x:v>https://www.indiraivf.com/sitemap</x:v>
      </x:c>
      <x:c r="L24" s="13" t="str">
        <x:v>https://www.indiraivf.com/ivf-center-in-india</x:v>
      </x:c>
      <x:c r="M24" s="13" t="str">
        <x:v>https://www.google.com/maps/search/?api=1&amp;query=Indira%20IVF%20Azamgarh%2C%20Azamgarh%2C%20Uttar%20Pradesh%2C%20India</x:v>
      </x:c>
      <x:c r="N24" s="13" t="str">
        <x:v>Public centre page listed in official sitemap. Directory headline reports 210 centres; sitemap exposes 199 centre pages.</x:v>
      </x:c>
    </x:row>
    <x:row r="25">
      <x:c r="A25" s="13" t="str">
        <x:v>Indira IVF</x:v>
      </x:c>
      <x:c r="B25" s="13" t="str">
        <x:v>Srinagar</x:v>
      </x:c>
      <x:c r="C25" s="13" t="str">
        <x:v>Srinagar</x:v>
      </x:c>
      <x:c r="D25" s="13" t="str">
        <x:v>Jammu and Kashmir</x:v>
      </x:c>
      <x:c r="E25" s="13" t="str">
        <x:v>Srinagar, Jammu and Kashmir, India</x:v>
      </x:c>
      <x:c r="F25" s="13" t="str">
        <x:v>Locality/city normalized from official centre-page title</x:v>
      </x:c>
      <x:c r="G25" s="16" t="n">
        <x:v>34.08565</x:v>
      </x:c>
      <x:c r="H25" s="16" t="n">
        <x:v>74.80555</x:v>
      </x:c>
      <x:c r="I25" s="13" t="str">
        <x:v>Parent-city centroid (map visualization; not clinic-door geocode)</x:v>
      </x:c>
      <x:c r="J25" s="13" t="str">
        <x:v>Official sitemap-listed</x:v>
      </x:c>
      <x:c r="K25" s="13" t="str">
        <x:v>https://www.indiraivf.com/sitemap</x:v>
      </x:c>
      <x:c r="L25" s="13" t="str">
        <x:v>https://www.indiraivf.com/ivf-center-in-india</x:v>
      </x:c>
      <x:c r="M25" s="13" t="str">
        <x:v>https://www.google.com/maps/search/?api=1&amp;query=Indira%20IVF%20Srinagar%2C%20Srinagar%2C%20Jammu%20and%20Kashmir%2C%20India</x:v>
      </x:c>
      <x:c r="N25" s="13" t="str">
        <x:v>Public centre page listed in official sitemap. Directory headline reports 210 centres; sitemap exposes 199 centre pages.</x:v>
      </x:c>
    </x:row>
    <x:row r="26">
      <x:c r="A26" s="13" t="str">
        <x:v>Indira IVF</x:v>
      </x:c>
      <x:c r="B26" s="13" t="str">
        <x:v>Sikar</x:v>
      </x:c>
      <x:c r="C26" s="13" t="str">
        <x:v>Sikar</x:v>
      </x:c>
      <x:c r="D26" s="13" t="str">
        <x:v>Rajasthan</x:v>
      </x:c>
      <x:c r="E26" s="13" t="str">
        <x:v>Sikar, Rajasthan, India</x:v>
      </x:c>
      <x:c r="F26" s="13" t="str">
        <x:v>Locality/city normalized from official centre-page title</x:v>
      </x:c>
      <x:c r="G26" s="16" t="n">
        <x:v>27.61206</x:v>
      </x:c>
      <x:c r="H26" s="16" t="n">
        <x:v>75.13996</x:v>
      </x:c>
      <x:c r="I26" s="13" t="str">
        <x:v>Parent-city centroid (map visualization; not clinic-door geocode)</x:v>
      </x:c>
      <x:c r="J26" s="13" t="str">
        <x:v>Official sitemap-listed</x:v>
      </x:c>
      <x:c r="K26" s="13" t="str">
        <x:v>https://www.indiraivf.com/sitemap</x:v>
      </x:c>
      <x:c r="L26" s="13" t="str">
        <x:v>https://www.indiraivf.com/ivf-center-in-india</x:v>
      </x:c>
      <x:c r="M26" s="13" t="str">
        <x:v>https://www.google.com/maps/search/?api=1&amp;query=Indira%20IVF%20Sikar%2C%20Sikar%2C%20Rajasthan%2C%20India</x:v>
      </x:c>
      <x:c r="N26" s="13" t="str">
        <x:v>Public centre page listed in official sitemap. Directory headline reports 210 centres; sitemap exposes 199 centre pages.</x:v>
      </x:c>
    </x:row>
    <x:row r="27">
      <x:c r="A27" s="13" t="str">
        <x:v>Indira IVF</x:v>
      </x:c>
      <x:c r="B27" s="13" t="str">
        <x:v>Dibrugarh</x:v>
      </x:c>
      <x:c r="C27" s="13" t="str">
        <x:v>Dibrugarh</x:v>
      </x:c>
      <x:c r="D27" s="13" t="str">
        <x:v>Assam</x:v>
      </x:c>
      <x:c r="E27" s="13" t="str">
        <x:v>Dibrugarh, Assam, India</x:v>
      </x:c>
      <x:c r="F27" s="13" t="str">
        <x:v>Locality/city normalized from official centre-page title</x:v>
      </x:c>
      <x:c r="G27" s="16" t="n">
        <x:v>27.47989</x:v>
      </x:c>
      <x:c r="H27" s="16" t="n">
        <x:v>94.90837</x:v>
      </x:c>
      <x:c r="I27" s="13" t="str">
        <x:v>Parent-city centroid (map visualization; not clinic-door geocode)</x:v>
      </x:c>
      <x:c r="J27" s="13" t="str">
        <x:v>Official sitemap-listed</x:v>
      </x:c>
      <x:c r="K27" s="13" t="str">
        <x:v>https://www.indiraivf.com/sitemap</x:v>
      </x:c>
      <x:c r="L27" s="13" t="str">
        <x:v>https://www.indiraivf.com/ivf-center-in-india</x:v>
      </x:c>
      <x:c r="M27" s="13" t="str">
        <x:v>https://www.google.com/maps/search/?api=1&amp;query=Indira%20IVF%20Dibrugarh%2C%20Dibrugarh%2C%20Assam%2C%20India</x:v>
      </x:c>
      <x:c r="N27" s="13" t="str">
        <x:v>Public centre page listed in official sitemap. Directory headline reports 210 centres; sitemap exposes 199 centre pages.</x:v>
      </x:c>
    </x:row>
    <x:row r="28">
      <x:c r="A28" s="13" t="str">
        <x:v>Indira IVF</x:v>
      </x:c>
      <x:c r="B28" s="13" t="str">
        <x:v>Vanasthalipuram</x:v>
      </x:c>
      <x:c r="C28" s="13" t="str">
        <x:v>Hyderabad</x:v>
      </x:c>
      <x:c r="D28" s="13" t="str">
        <x:v>Telangana</x:v>
      </x:c>
      <x:c r="E28" s="13" t="str">
        <x:v>Vanasthalipuram, Hyderabad, Telangana, India</x:v>
      </x:c>
      <x:c r="F28" s="13" t="str">
        <x:v>Locality/city normalized from official centre-page title</x:v>
      </x:c>
      <x:c r="G28" s="16" t="n">
        <x:v>17.38405</x:v>
      </x:c>
      <x:c r="H28" s="16" t="n">
        <x:v>78.45636</x:v>
      </x:c>
      <x:c r="I28" s="13" t="str">
        <x:v>Parent-city centroid (map visualization; not clinic-door geocode)</x:v>
      </x:c>
      <x:c r="J28" s="13" t="str">
        <x:v>Official sitemap-listed</x:v>
      </x:c>
      <x:c r="K28" s="13" t="str">
        <x:v>https://www.indiraivf.com/sitemap</x:v>
      </x:c>
      <x:c r="L28" s="13" t="str">
        <x:v>https://www.indiraivf.com/ivf-center-in-india</x:v>
      </x:c>
      <x:c r="M28" s="13" t="str">
        <x:v>https://www.google.com/maps/search/?api=1&amp;query=Indira%20IVF%20Vanasthalipuram%2C%20Hyderabad%2C%20Telangana%2C%20India</x:v>
      </x:c>
      <x:c r="N28" s="13" t="str">
        <x:v>Public centre page listed in official sitemap. Directory headline reports 210 centres; sitemap exposes 199 centre pages.</x:v>
      </x:c>
    </x:row>
    <x:row r="29">
      <x:c r="A29" s="13" t="str">
        <x:v>Indira IVF</x:v>
      </x:c>
      <x:c r="B29" s="13" t="str">
        <x:v>ECIL</x:v>
      </x:c>
      <x:c r="C29" s="13" t="str">
        <x:v>Hyderabad</x:v>
      </x:c>
      <x:c r="D29" s="13" t="str">
        <x:v>Telangana</x:v>
      </x:c>
      <x:c r="E29" s="13" t="str">
        <x:v>ECIL, Hyderabad, Telangana, India</x:v>
      </x:c>
      <x:c r="F29" s="13" t="str">
        <x:v>Locality/city normalized from official centre-page title</x:v>
      </x:c>
      <x:c r="G29" s="16" t="n">
        <x:v>17.38405</x:v>
      </x:c>
      <x:c r="H29" s="16" t="n">
        <x:v>78.45636</x:v>
      </x:c>
      <x:c r="I29" s="13" t="str">
        <x:v>Parent-city centroid (map visualization; not clinic-door geocode)</x:v>
      </x:c>
      <x:c r="J29" s="13" t="str">
        <x:v>Official sitemap-listed</x:v>
      </x:c>
      <x:c r="K29" s="13" t="str">
        <x:v>https://www.indiraivf.com/sitemap</x:v>
      </x:c>
      <x:c r="L29" s="13" t="str">
        <x:v>https://www.indiraivf.com/ivf-center-in-india</x:v>
      </x:c>
      <x:c r="M29" s="13" t="str">
        <x:v>https://www.google.com/maps/search/?api=1&amp;query=Indira%20IVF%20ECIL%2C%20Hyderabad%2C%20Telangana%2C%20India</x:v>
      </x:c>
      <x:c r="N29" s="13" t="str">
        <x:v>Public centre page listed in official sitemap. Directory headline reports 210 centres; sitemap exposes 199 centre pages.</x:v>
      </x:c>
    </x:row>
    <x:row r="30">
      <x:c r="A30" s="13" t="str">
        <x:v>Indira IVF</x:v>
      </x:c>
      <x:c r="B30" s="13" t="str">
        <x:v>Rohini</x:v>
      </x:c>
      <x:c r="C30" s="13" t="str">
        <x:v>New Delhi</x:v>
      </x:c>
      <x:c r="D30" s="13" t="str">
        <x:v>Delhi</x:v>
      </x:c>
      <x:c r="E30" s="13" t="str">
        <x:v>Rohini, New Delhi, Delhi, India</x:v>
      </x:c>
      <x:c r="F30" s="13" t="str">
        <x:v>Locality/city normalized from official centre-page title</x:v>
      </x:c>
      <x:c r="G30" s="16" t="n">
        <x:v>28.65195</x:v>
      </x:c>
      <x:c r="H30" s="16" t="n">
        <x:v>77.23149</x:v>
      </x:c>
      <x:c r="I30" s="13" t="str">
        <x:v>Parent-city centroid (map visualization; not clinic-door geocode)</x:v>
      </x:c>
      <x:c r="J30" s="13" t="str">
        <x:v>Official sitemap-listed</x:v>
      </x:c>
      <x:c r="K30" s="13" t="str">
        <x:v>https://www.indiraivf.com/sitemap</x:v>
      </x:c>
      <x:c r="L30" s="13" t="str">
        <x:v>https://www.indiraivf.com/ivf-center-in-india</x:v>
      </x:c>
      <x:c r="M30" s="13" t="str">
        <x:v>https://www.google.com/maps/search/?api=1&amp;query=Indira%20IVF%20Rohini%2C%20New%20Delhi%2C%20Delhi%2C%20India</x:v>
      </x:c>
      <x:c r="N30" s="13" t="str">
        <x:v>Public centre page listed in official sitemap. Directory headline reports 210 centres; sitemap exposes 199 centre pages.</x:v>
      </x:c>
    </x:row>
    <x:row r="31">
      <x:c r="A31" s="13" t="str">
        <x:v>Indira IVF</x:v>
      </x:c>
      <x:c r="B31" s="13" t="str">
        <x:v>Mathura</x:v>
      </x:c>
      <x:c r="C31" s="13" t="str">
        <x:v>Mathura</x:v>
      </x:c>
      <x:c r="D31" s="13" t="str">
        <x:v>Uttar Pradesh</x:v>
      </x:c>
      <x:c r="E31" s="13" t="str">
        <x:v>Mathura, Uttar Pradesh, India</x:v>
      </x:c>
      <x:c r="F31" s="13" t="str">
        <x:v>Locality/city normalized from official centre-page title</x:v>
      </x:c>
      <x:c r="G31" s="16" t="n">
        <x:v>27.5035</x:v>
      </x:c>
      <x:c r="H31" s="16" t="n">
        <x:v>77.67215</x:v>
      </x:c>
      <x:c r="I31" s="13" t="str">
        <x:v>Parent-city centroid (map visualization; not clinic-door geocode)</x:v>
      </x:c>
      <x:c r="J31" s="13" t="str">
        <x:v>Official sitemap-listed</x:v>
      </x:c>
      <x:c r="K31" s="13" t="str">
        <x:v>https://www.indiraivf.com/sitemap</x:v>
      </x:c>
      <x:c r="L31" s="13" t="str">
        <x:v>https://www.indiraivf.com/ivf-center-in-india</x:v>
      </x:c>
      <x:c r="M31" s="13" t="str">
        <x:v>https://www.google.com/maps/search/?api=1&amp;query=Indira%20IVF%20Mathura%2C%20Mathura%2C%20Uttar%20Pradesh%2C%20India</x:v>
      </x:c>
      <x:c r="N31" s="13" t="str">
        <x:v>Public centre page listed in official sitemap. Directory headline reports 210 centres; sitemap exposes 199 centre pages.</x:v>
      </x:c>
    </x:row>
    <x:row r="32">
      <x:c r="A32" s="13" t="str">
        <x:v>Indira IVF</x:v>
      </x:c>
      <x:c r="B32" s="13" t="str">
        <x:v>Palanpur</x:v>
      </x:c>
      <x:c r="C32" s="13" t="str">
        <x:v>Palanpur</x:v>
      </x:c>
      <x:c r="D32" s="13" t="str">
        <x:v>Gujarat</x:v>
      </x:c>
      <x:c r="E32" s="13" t="str">
        <x:v>Palanpur, Gujarat, India</x:v>
      </x:c>
      <x:c r="F32" s="13" t="str">
        <x:v>Locality/city normalized from official centre-page title</x:v>
      </x:c>
      <x:c r="G32" s="16" t="n">
        <x:v>24.17128</x:v>
      </x:c>
      <x:c r="H32" s="16" t="n">
        <x:v>72.43827</x:v>
      </x:c>
      <x:c r="I32" s="13" t="str">
        <x:v>Parent-city centroid (map visualization; not clinic-door geocode)</x:v>
      </x:c>
      <x:c r="J32" s="13" t="str">
        <x:v>Official sitemap-listed</x:v>
      </x:c>
      <x:c r="K32" s="13" t="str">
        <x:v>https://www.indiraivf.com/sitemap</x:v>
      </x:c>
      <x:c r="L32" s="13" t="str">
        <x:v>https://www.indiraivf.com/ivf-center-in-india</x:v>
      </x:c>
      <x:c r="M32" s="13" t="str">
        <x:v>https://www.google.com/maps/search/?api=1&amp;query=Indira%20IVF%20Palanpur%2C%20Palanpur%2C%20Gujarat%2C%20India</x:v>
      </x:c>
      <x:c r="N32" s="13" t="str">
        <x:v>Public centre page listed in official sitemap. Directory headline reports 210 centres; sitemap exposes 199 centre pages.</x:v>
      </x:c>
    </x:row>
    <x:row r="33">
      <x:c r="A33" s="13" t="str">
        <x:v>Indira IVF</x:v>
      </x:c>
      <x:c r="B33" s="13" t="str">
        <x:v>Sri Ganganagar</x:v>
      </x:c>
      <x:c r="C33" s="13" t="str">
        <x:v>Sri Ganganagar</x:v>
      </x:c>
      <x:c r="D33" s="13" t="str">
        <x:v>Rajasthan</x:v>
      </x:c>
      <x:c r="E33" s="13" t="str">
        <x:v>Sri Ganganagar, Rajasthan, India</x:v>
      </x:c>
      <x:c r="F33" s="13" t="str">
        <x:v>Locality/city normalized from official centre-page title</x:v>
      </x:c>
      <x:c r="G33" s="16" t="n">
        <x:v>29.92009</x:v>
      </x:c>
      <x:c r="H33" s="16" t="n">
        <x:v>73.87496</x:v>
      </x:c>
      <x:c r="I33" s="13" t="str">
        <x:v>Parent-city centroid (map visualization; not clinic-door geocode)</x:v>
      </x:c>
      <x:c r="J33" s="13" t="str">
        <x:v>Official sitemap-listed</x:v>
      </x:c>
      <x:c r="K33" s="13" t="str">
        <x:v>https://www.indiraivf.com/sitemap</x:v>
      </x:c>
      <x:c r="L33" s="13" t="str">
        <x:v>https://www.indiraivf.com/ivf-center-in-india</x:v>
      </x:c>
      <x:c r="M33" s="13" t="str">
        <x:v>https://www.google.com/maps/search/?api=1&amp;query=Indira%20IVF%20Sri%20Ganganagar%2C%20Sri%20Ganganagar%2C%20Rajasthan%2C%20India</x:v>
      </x:c>
      <x:c r="N33" s="13" t="str">
        <x:v>Public centre page listed in official sitemap. Directory headline reports 210 centres; sitemap exposes 199 centre pages.</x:v>
      </x:c>
    </x:row>
    <x:row r="34">
      <x:c r="A34" s="13" t="str">
        <x:v>Indira IVF</x:v>
      </x:c>
      <x:c r="B34" s="13" t="str">
        <x:v>Najafgarh</x:v>
      </x:c>
      <x:c r="C34" s="13" t="str">
        <x:v>New Delhi</x:v>
      </x:c>
      <x:c r="D34" s="13" t="str">
        <x:v>Delhi</x:v>
      </x:c>
      <x:c r="E34" s="13" t="str">
        <x:v>Najafgarh, New Delhi, Delhi, India</x:v>
      </x:c>
      <x:c r="F34" s="13" t="str">
        <x:v>Locality/city normalized from official centre-page title</x:v>
      </x:c>
      <x:c r="G34" s="16" t="n">
        <x:v>28.65195</x:v>
      </x:c>
      <x:c r="H34" s="16" t="n">
        <x:v>77.23149</x:v>
      </x:c>
      <x:c r="I34" s="13" t="str">
        <x:v>Parent-city centroid (map visualization; not clinic-door geocode)</x:v>
      </x:c>
      <x:c r="J34" s="13" t="str">
        <x:v>Official sitemap-listed</x:v>
      </x:c>
      <x:c r="K34" s="13" t="str">
        <x:v>https://www.indiraivf.com/sitemap</x:v>
      </x:c>
      <x:c r="L34" s="13" t="str">
        <x:v>https://www.indiraivf.com/ivf-center-in-india</x:v>
      </x:c>
      <x:c r="M34" s="13" t="str">
        <x:v>https://www.google.com/maps/search/?api=1&amp;query=Indira%20IVF%20Najafgarh%2C%20New%20Delhi%2C%20Delhi%2C%20India</x:v>
      </x:c>
      <x:c r="N34" s="13" t="str">
        <x:v>Public centre page listed in official sitemap. Directory headline reports 210 centres; sitemap exposes 199 centre pages.</x:v>
      </x:c>
    </x:row>
    <x:row r="35">
      <x:c r="A35" s="13" t="str">
        <x:v>Indira IVF</x:v>
      </x:c>
      <x:c r="B35" s="13" t="str">
        <x:v>Thanisandra</x:v>
      </x:c>
      <x:c r="C35" s="13" t="str">
        <x:v>Bengaluru</x:v>
      </x:c>
      <x:c r="D35" s="13" t="str">
        <x:v>Karnataka</x:v>
      </x:c>
      <x:c r="E35" s="13" t="str">
        <x:v>Thanisandra, Bengaluru, Karnataka, India</x:v>
      </x:c>
      <x:c r="F35" s="13" t="str">
        <x:v>Locality/city normalized from official centre-page title</x:v>
      </x:c>
      <x:c r="G35" s="16" t="n">
        <x:v>12.97194</x:v>
      </x:c>
      <x:c r="H35" s="16" t="n">
        <x:v>77.59369</x:v>
      </x:c>
      <x:c r="I35" s="13" t="str">
        <x:v>Parent-city centroid (map visualization; not clinic-door geocode)</x:v>
      </x:c>
      <x:c r="J35" s="13" t="str">
        <x:v>Official sitemap-listed</x:v>
      </x:c>
      <x:c r="K35" s="13" t="str">
        <x:v>https://www.indiraivf.com/sitemap</x:v>
      </x:c>
      <x:c r="L35" s="13" t="str">
        <x:v>https://www.indiraivf.com/ivf-center-in-india</x:v>
      </x:c>
      <x:c r="M35" s="13" t="str">
        <x:v>https://www.google.com/maps/search/?api=1&amp;query=Indira%20IVF%20Thanisandra%2C%20Bengaluru%2C%20Karnataka%2C%20India</x:v>
      </x:c>
      <x:c r="N35" s="13" t="str">
        <x:v>Public centre page listed in official sitemap. Directory headline reports 210 centres; sitemap exposes 199 centre pages.</x:v>
      </x:c>
    </x:row>
    <x:row r="36">
      <x:c r="A36" s="13" t="str">
        <x:v>Indira IVF</x:v>
      </x:c>
      <x:c r="B36" s="13" t="str">
        <x:v>Patna Sahib</x:v>
      </x:c>
      <x:c r="C36" s="13" t="str">
        <x:v>Patna</x:v>
      </x:c>
      <x:c r="D36" s="13" t="str">
        <x:v>Bihar</x:v>
      </x:c>
      <x:c r="E36" s="13" t="str">
        <x:v>Patna Sahib, Patna, Bihar, India</x:v>
      </x:c>
      <x:c r="F36" s="13" t="str">
        <x:v>Locality/city normalized from official centre-page title</x:v>
      </x:c>
      <x:c r="G36" s="16" t="n">
        <x:v>25.59408</x:v>
      </x:c>
      <x:c r="H36" s="16" t="n">
        <x:v>85.13563</x:v>
      </x:c>
      <x:c r="I36" s="13" t="str">
        <x:v>Parent-city centroid (map visualization; not clinic-door geocode)</x:v>
      </x:c>
      <x:c r="J36" s="13" t="str">
        <x:v>Official sitemap-listed</x:v>
      </x:c>
      <x:c r="K36" s="13" t="str">
        <x:v>https://www.indiraivf.com/sitemap</x:v>
      </x:c>
      <x:c r="L36" s="13" t="str">
        <x:v>https://www.indiraivf.com/ivf-center-in-india</x:v>
      </x:c>
      <x:c r="M36" s="13" t="str">
        <x:v>https://www.google.com/maps/search/?api=1&amp;query=Indira%20IVF%20Patna%20Sahib%2C%20Patna%2C%20Bihar%2C%20India</x:v>
      </x:c>
      <x:c r="N36" s="13" t="str">
        <x:v>Public centre page listed in official sitemap. Directory headline reports 210 centres; sitemap exposes 199 centre pages.</x:v>
      </x:c>
    </x:row>
    <x:row r="37">
      <x:c r="A37" s="13" t="str">
        <x:v>Indira IVF</x:v>
      </x:c>
      <x:c r="B37" s="13" t="str">
        <x:v>Sitapur</x:v>
      </x:c>
      <x:c r="C37" s="13" t="str">
        <x:v>Sitapur</x:v>
      </x:c>
      <x:c r="D37" s="13" t="str">
        <x:v>Uttar Pradesh</x:v>
      </x:c>
      <x:c r="E37" s="13" t="str">
        <x:v>Sitapur, Uttar Pradesh, India</x:v>
      </x:c>
      <x:c r="F37" s="13" t="str">
        <x:v>Locality/city normalized from official centre-page title</x:v>
      </x:c>
      <x:c r="G37" s="16" t="n">
        <x:v>27.56192</x:v>
      </x:c>
      <x:c r="H37" s="16" t="n">
        <x:v>80.68265</x:v>
      </x:c>
      <x:c r="I37" s="13" t="str">
        <x:v>Parent-city centroid (map visualization; not clinic-door geocode)</x:v>
      </x:c>
      <x:c r="J37" s="13" t="str">
        <x:v>Official sitemap-listed</x:v>
      </x:c>
      <x:c r="K37" s="13" t="str">
        <x:v>https://www.indiraivf.com/sitemap</x:v>
      </x:c>
      <x:c r="L37" s="13" t="str">
        <x:v>https://www.indiraivf.com/ivf-center-in-india</x:v>
      </x:c>
      <x:c r="M37" s="13" t="str">
        <x:v>https://www.google.com/maps/search/?api=1&amp;query=Indira%20IVF%20Sitapur%2C%20Sitapur%2C%20Uttar%20Pradesh%2C%20India</x:v>
      </x:c>
      <x:c r="N37" s="13" t="str">
        <x:v>Public centre page listed in official sitemap. Directory headline reports 210 centres; sitemap exposes 199 centre pages.</x:v>
      </x:c>
    </x:row>
    <x:row r="38">
      <x:c r="A38" s="13" t="str">
        <x:v>Indira IVF</x:v>
      </x:c>
      <x:c r="B38" s="13" t="str">
        <x:v>Nangloi</x:v>
      </x:c>
      <x:c r="C38" s="13" t="str">
        <x:v>New Delhi</x:v>
      </x:c>
      <x:c r="D38" s="13" t="str">
        <x:v>Delhi</x:v>
      </x:c>
      <x:c r="E38" s="13" t="str">
        <x:v>Nangloi, New Delhi, Delhi, India</x:v>
      </x:c>
      <x:c r="F38" s="13" t="str">
        <x:v>Locality/city normalized from official centre-page title</x:v>
      </x:c>
      <x:c r="G38" s="16" t="n">
        <x:v>28.65195</x:v>
      </x:c>
      <x:c r="H38" s="16" t="n">
        <x:v>77.23149</x:v>
      </x:c>
      <x:c r="I38" s="13" t="str">
        <x:v>Parent-city centroid (map visualization; not clinic-door geocode)</x:v>
      </x:c>
      <x:c r="J38" s="13" t="str">
        <x:v>Official sitemap-listed</x:v>
      </x:c>
      <x:c r="K38" s="13" t="str">
        <x:v>https://www.indiraivf.com/sitemap</x:v>
      </x:c>
      <x:c r="L38" s="13" t="str">
        <x:v>https://www.indiraivf.com/ivf-center-in-india</x:v>
      </x:c>
      <x:c r="M38" s="13" t="str">
        <x:v>https://www.google.com/maps/search/?api=1&amp;query=Indira%20IVF%20Nangloi%2C%20New%20Delhi%2C%20Delhi%2C%20India</x:v>
      </x:c>
      <x:c r="N38" s="13" t="str">
        <x:v>Public centre page listed in official sitemap. Directory headline reports 210 centres; sitemap exposes 199 centre pages.</x:v>
      </x:c>
    </x:row>
    <x:row r="39">
      <x:c r="A39" s="13" t="str">
        <x:v>Indira IVF</x:v>
      </x:c>
      <x:c r="B39" s="13" t="str">
        <x:v>Nashik Road</x:v>
      </x:c>
      <x:c r="C39" s="13" t="str">
        <x:v>Nashik</x:v>
      </x:c>
      <x:c r="D39" s="13" t="str">
        <x:v>Maharashtra</x:v>
      </x:c>
      <x:c r="E39" s="13" t="str">
        <x:v>Nashik Road, Nashik, Maharashtra, India</x:v>
      </x:c>
      <x:c r="F39" s="13" t="str">
        <x:v>Locality/city normalized from official centre-page title</x:v>
      </x:c>
      <x:c r="G39" s="16" t="n">
        <x:v>19.99727</x:v>
      </x:c>
      <x:c r="H39" s="16" t="n">
        <x:v>73.79096</x:v>
      </x:c>
      <x:c r="I39" s="13" t="str">
        <x:v>Parent-city centroid (map visualization; not clinic-door geocode)</x:v>
      </x:c>
      <x:c r="J39" s="13" t="str">
        <x:v>Official sitemap-listed</x:v>
      </x:c>
      <x:c r="K39" s="13" t="str">
        <x:v>https://www.indiraivf.com/sitemap</x:v>
      </x:c>
      <x:c r="L39" s="13" t="str">
        <x:v>https://www.indiraivf.com/ivf-center-in-india</x:v>
      </x:c>
      <x:c r="M39" s="13" t="str">
        <x:v>https://www.google.com/maps/search/?api=1&amp;query=Indira%20IVF%20Nashik%20Road%2C%20Nashik%2C%20Maharashtra%2C%20India</x:v>
      </x:c>
      <x:c r="N39" s="13" t="str">
        <x:v>Public centre page listed in official sitemap. Directory headline reports 210 centres; sitemap exposes 199 centre pages.</x:v>
      </x:c>
    </x:row>
    <x:row r="40">
      <x:c r="A40" s="13" t="str">
        <x:v>Indira IVF</x:v>
      </x:c>
      <x:c r="B40" s="13" t="str">
        <x:v>Buldhana</x:v>
      </x:c>
      <x:c r="C40" s="13" t="str">
        <x:v>Buldhana</x:v>
      </x:c>
      <x:c r="D40" s="13" t="str">
        <x:v>Maharashtra</x:v>
      </x:c>
      <x:c r="E40" s="13" t="str">
        <x:v>Buldhana, Maharashtra, India</x:v>
      </x:c>
      <x:c r="F40" s="13" t="str">
        <x:v>Locality/city normalized from official centre-page title</x:v>
      </x:c>
      <x:c r="G40" s="16" t="n">
        <x:v>20.5293</x:v>
      </x:c>
      <x:c r="H40" s="16" t="n">
        <x:v>76.1843</x:v>
      </x:c>
      <x:c r="I40" s="13" t="str">
        <x:v>Parent-city centroid (map visualization; not clinic-door geocode)</x:v>
      </x:c>
      <x:c r="J40" s="13" t="str">
        <x:v>Official sitemap-listed</x:v>
      </x:c>
      <x:c r="K40" s="13" t="str">
        <x:v>https://www.indiraivf.com/sitemap</x:v>
      </x:c>
      <x:c r="L40" s="13" t="str">
        <x:v>https://www.indiraivf.com/ivf-center-in-india</x:v>
      </x:c>
      <x:c r="M40" s="13" t="str">
        <x:v>https://www.google.com/maps/search/?api=1&amp;query=Indira%20IVF%20Buldhana%2C%20Buldhana%2C%20Maharashtra%2C%20India</x:v>
      </x:c>
      <x:c r="N40" s="13" t="str">
        <x:v>Public centre page listed in official sitemap. Directory headline reports 210 centres; sitemap exposes 199 centre pages.</x:v>
      </x:c>
    </x:row>
    <x:row r="41">
      <x:c r="A41" s="13" t="str">
        <x:v>Indira IVF</x:v>
      </x:c>
      <x:c r="B41" s="13" t="str">
        <x:v>Gachibowli</x:v>
      </x:c>
      <x:c r="C41" s="13" t="str">
        <x:v>Hyderabad</x:v>
      </x:c>
      <x:c r="D41" s="13" t="str">
        <x:v>Telangana</x:v>
      </x:c>
      <x:c r="E41" s="13" t="str">
        <x:v>Gachibowli, Hyderabad, Telangana, India</x:v>
      </x:c>
      <x:c r="F41" s="13" t="str">
        <x:v>Locality/city normalized from official centre-page title</x:v>
      </x:c>
      <x:c r="G41" s="16" t="n">
        <x:v>17.38405</x:v>
      </x:c>
      <x:c r="H41" s="16" t="n">
        <x:v>78.45636</x:v>
      </x:c>
      <x:c r="I41" s="13" t="str">
        <x:v>Parent-city centroid (map visualization; not clinic-door geocode)</x:v>
      </x:c>
      <x:c r="J41" s="13" t="str">
        <x:v>Official sitemap-listed</x:v>
      </x:c>
      <x:c r="K41" s="13" t="str">
        <x:v>https://www.indiraivf.com/sitemap</x:v>
      </x:c>
      <x:c r="L41" s="13" t="str">
        <x:v>https://www.indiraivf.com/ivf-center-in-india</x:v>
      </x:c>
      <x:c r="M41" s="13" t="str">
        <x:v>https://www.google.com/maps/search/?api=1&amp;query=Indira%20IVF%20Gachibowli%2C%20Hyderabad%2C%20Telangana%2C%20India</x:v>
      </x:c>
      <x:c r="N41" s="13" t="str">
        <x:v>Public centre page listed in official sitemap. Directory headline reports 210 centres; sitemap exposes 199 centre pages.</x:v>
      </x:c>
    </x:row>
    <x:row r="42">
      <x:c r="A42" s="13" t="str">
        <x:v>Indira IVF</x:v>
      </x:c>
      <x:c r="B42" s="13" t="str">
        <x:v>Chandauli</x:v>
      </x:c>
      <x:c r="C42" s="13" t="str">
        <x:v>Chandauli</x:v>
      </x:c>
      <x:c r="D42" s="13" t="str">
        <x:v>Uttar Pradesh</x:v>
      </x:c>
      <x:c r="E42" s="13" t="str">
        <x:v>Chandauli, Uttar Pradesh, India</x:v>
      </x:c>
      <x:c r="F42" s="13" t="str">
        <x:v>Locality/city normalized from official centre-page title</x:v>
      </x:c>
      <x:c r="G42" s="16" t="n">
        <x:v>25.25803</x:v>
      </x:c>
      <x:c r="H42" s="16" t="n">
        <x:v>83.26825</x:v>
      </x:c>
      <x:c r="I42" s="13" t="str">
        <x:v>Parent-city centroid (map visualization; not clinic-door geocode)</x:v>
      </x:c>
      <x:c r="J42" s="13" t="str">
        <x:v>Official sitemap-listed</x:v>
      </x:c>
      <x:c r="K42" s="13" t="str">
        <x:v>https://www.indiraivf.com/sitemap</x:v>
      </x:c>
      <x:c r="L42" s="13" t="str">
        <x:v>https://www.indiraivf.com/ivf-center-in-india</x:v>
      </x:c>
      <x:c r="M42" s="13" t="str">
        <x:v>https://www.google.com/maps/search/?api=1&amp;query=Indira%20IVF%20Chandauli%2C%20Chandauli%2C%20Uttar%20Pradesh%2C%20India</x:v>
      </x:c>
      <x:c r="N42" s="13" t="str">
        <x:v>Public centre page listed in official sitemap. Directory headline reports 210 centres; sitemap exposes 199 centre pages.</x:v>
      </x:c>
    </x:row>
    <x:row r="43">
      <x:c r="A43" s="13" t="str">
        <x:v>Indira IVF</x:v>
      </x:c>
      <x:c r="B43" s="13" t="str">
        <x:v>Phulwari Sharif</x:v>
      </x:c>
      <x:c r="C43" s="13" t="str">
        <x:v>Patna</x:v>
      </x:c>
      <x:c r="D43" s="13" t="str">
        <x:v>Bihar</x:v>
      </x:c>
      <x:c r="E43" s="13" t="str">
        <x:v>Phulwari Sharif, Patna, Bihar, India</x:v>
      </x:c>
      <x:c r="F43" s="13" t="str">
        <x:v>Locality/city normalized from official centre-page title</x:v>
      </x:c>
      <x:c r="G43" s="16" t="n">
        <x:v>25.59408</x:v>
      </x:c>
      <x:c r="H43" s="16" t="n">
        <x:v>85.13563</x:v>
      </x:c>
      <x:c r="I43" s="13" t="str">
        <x:v>Parent-city centroid (map visualization; not clinic-door geocode)</x:v>
      </x:c>
      <x:c r="J43" s="13" t="str">
        <x:v>Official sitemap-listed</x:v>
      </x:c>
      <x:c r="K43" s="13" t="str">
        <x:v>https://www.indiraivf.com/sitemap</x:v>
      </x:c>
      <x:c r="L43" s="13" t="str">
        <x:v>https://www.indiraivf.com/ivf-center-in-india</x:v>
      </x:c>
      <x:c r="M43" s="13" t="str">
        <x:v>https://www.google.com/maps/search/?api=1&amp;query=Indira%20IVF%20Phulwari%20Sharif%2C%20Patna%2C%20Bihar%2C%20India</x:v>
      </x:c>
      <x:c r="N43" s="13" t="str">
        <x:v>Public centre page listed in official sitemap. Directory headline reports 210 centres; sitemap exposes 199 centre pages.</x:v>
      </x:c>
    </x:row>
    <x:row r="44">
      <x:c r="A44" s="13" t="str">
        <x:v>Indira IVF</x:v>
      </x:c>
      <x:c r="B44" s="13" t="str">
        <x:v>Mirzapur</x:v>
      </x:c>
      <x:c r="C44" s="13" t="str">
        <x:v>Mirzapur</x:v>
      </x:c>
      <x:c r="D44" s="13" t="str">
        <x:v>Uttar Pradesh</x:v>
      </x:c>
      <x:c r="E44" s="13" t="str">
        <x:v>Mirzapur, Uttar Pradesh, India</x:v>
      </x:c>
      <x:c r="F44" s="13" t="str">
        <x:v>Locality/city normalized from official centre-page title</x:v>
      </x:c>
      <x:c r="G44" s="16" t="n">
        <x:v>25.1449</x:v>
      </x:c>
      <x:c r="H44" s="16" t="n">
        <x:v>82.56534</x:v>
      </x:c>
      <x:c r="I44" s="13" t="str">
        <x:v>Parent-city centroid (map visualization; not clinic-door geocode)</x:v>
      </x:c>
      <x:c r="J44" s="13" t="str">
        <x:v>Official sitemap-listed</x:v>
      </x:c>
      <x:c r="K44" s="13" t="str">
        <x:v>https://www.indiraivf.com/sitemap</x:v>
      </x:c>
      <x:c r="L44" s="13" t="str">
        <x:v>https://www.indiraivf.com/ivf-center-in-india</x:v>
      </x:c>
      <x:c r="M44" s="13" t="str">
        <x:v>https://www.google.com/maps/search/?api=1&amp;query=Indira%20IVF%20Mirzapur%2C%20Mirzapur%2C%20Uttar%20Pradesh%2C%20India</x:v>
      </x:c>
      <x:c r="N44" s="13" t="str">
        <x:v>Public centre page listed in official sitemap. Directory headline reports 210 centres; sitemap exposes 199 centre pages.</x:v>
      </x:c>
    </x:row>
    <x:row r="45">
      <x:c r="A45" s="13" t="str">
        <x:v>Indira IVF</x:v>
      </x:c>
      <x:c r="B45" s="13" t="str">
        <x:v>Jalna</x:v>
      </x:c>
      <x:c r="C45" s="13" t="str">
        <x:v>Jalna</x:v>
      </x:c>
      <x:c r="D45" s="13" t="str">
        <x:v>Maharashtra</x:v>
      </x:c>
      <x:c r="E45" s="13" t="str">
        <x:v>Jalna, Maharashtra, India</x:v>
      </x:c>
      <x:c r="F45" s="13" t="str">
        <x:v>Locality/city normalized from official centre-page title</x:v>
      </x:c>
      <x:c r="G45" s="16" t="n">
        <x:v>19.84102</x:v>
      </x:c>
      <x:c r="H45" s="16" t="n">
        <x:v>75.88636</x:v>
      </x:c>
      <x:c r="I45" s="13" t="str">
        <x:v>Parent-city centroid (map visualization; not clinic-door geocode)</x:v>
      </x:c>
      <x:c r="J45" s="13" t="str">
        <x:v>Official sitemap-listed</x:v>
      </x:c>
      <x:c r="K45" s="13" t="str">
        <x:v>https://www.indiraivf.com/sitemap</x:v>
      </x:c>
      <x:c r="L45" s="13" t="str">
        <x:v>https://www.indiraivf.com/ivf-center-in-india</x:v>
      </x:c>
      <x:c r="M45" s="13" t="str">
        <x:v>https://www.google.com/maps/search/?api=1&amp;query=Indira%20IVF%20Jalna%2C%20Jalna%2C%20Maharashtra%2C%20India</x:v>
      </x:c>
      <x:c r="N45" s="13" t="str">
        <x:v>Public centre page listed in official sitemap. Directory headline reports 210 centres; sitemap exposes 199 centre pages.</x:v>
      </x:c>
    </x:row>
    <x:row r="46">
      <x:c r="A46" s="13" t="str">
        <x:v>Indira IVF</x:v>
      </x:c>
      <x:c r="B46" s="13" t="str">
        <x:v>Jankipuram</x:v>
      </x:c>
      <x:c r="C46" s="13" t="str">
        <x:v>Lucknow</x:v>
      </x:c>
      <x:c r="D46" s="13" t="str">
        <x:v>Uttar Pradesh</x:v>
      </x:c>
      <x:c r="E46" s="13" t="str">
        <x:v>Jankipuram, Lucknow, Uttar Pradesh, India</x:v>
      </x:c>
      <x:c r="F46" s="13" t="str">
        <x:v>Locality/city normalized from official centre-page title</x:v>
      </x:c>
      <x:c r="G46" s="16" t="n">
        <x:v>26.83928</x:v>
      </x:c>
      <x:c r="H46" s="16" t="n">
        <x:v>80.92313</x:v>
      </x:c>
      <x:c r="I46" s="13" t="str">
        <x:v>Parent-city centroid (map visualization; not clinic-door geocode)</x:v>
      </x:c>
      <x:c r="J46" s="13" t="str">
        <x:v>Official sitemap-listed</x:v>
      </x:c>
      <x:c r="K46" s="13" t="str">
        <x:v>https://www.indiraivf.com/sitemap</x:v>
      </x:c>
      <x:c r="L46" s="13" t="str">
        <x:v>https://www.indiraivf.com/ivf-center-in-india</x:v>
      </x:c>
      <x:c r="M46" s="13" t="str">
        <x:v>https://www.google.com/maps/search/?api=1&amp;query=Indira%20IVF%20Jankipuram%2C%20Lucknow%2C%20Uttar%20Pradesh%2C%20India</x:v>
      </x:c>
      <x:c r="N46" s="13" t="str">
        <x:v>Public centre page listed in official sitemap. Directory headline reports 210 centres; sitemap exposes 199 centre pages.</x:v>
      </x:c>
    </x:row>
    <x:row r="47">
      <x:c r="A47" s="13" t="str">
        <x:v>Indira IVF</x:v>
      </x:c>
      <x:c r="B47" s="13" t="str">
        <x:v>Sarjapur Road, Bangalore</x:v>
      </x:c>
      <x:c r="C47" s="13" t="str">
        <x:v>Bengaluru</x:v>
      </x:c>
      <x:c r="D47" s="13" t="str">
        <x:v>Karnataka</x:v>
      </x:c>
      <x:c r="E47" s="13" t="str">
        <x:v>Sarjapur Road, Bangalore, Bengaluru, Karnataka, India</x:v>
      </x:c>
      <x:c r="F47" s="13" t="str">
        <x:v>Locality/city normalized from official centre-page title</x:v>
      </x:c>
      <x:c r="G47" s="16" t="n">
        <x:v>12.97194</x:v>
      </x:c>
      <x:c r="H47" s="16" t="n">
        <x:v>77.59369</x:v>
      </x:c>
      <x:c r="I47" s="13" t="str">
        <x:v>Parent-city centroid (map visualization; not clinic-door geocode)</x:v>
      </x:c>
      <x:c r="J47" s="13" t="str">
        <x:v>Official sitemap-listed</x:v>
      </x:c>
      <x:c r="K47" s="13" t="str">
        <x:v>https://www.indiraivf.com/sitemap</x:v>
      </x:c>
      <x:c r="L47" s="13" t="str">
        <x:v>https://www.indiraivf.com/ivf-center-in-india</x:v>
      </x:c>
      <x:c r="M47" s="13" t="str">
        <x:v>https://www.google.com/maps/search/?api=1&amp;query=Indira%20IVF%20Sarjapur%20Road%2C%20Bangalore%2C%20Bengaluru%2C%20Karnataka%2C%20India</x:v>
      </x:c>
      <x:c r="N47" s="13" t="str">
        <x:v>Public centre page listed in official sitemap. Directory headline reports 210 centres; sitemap exposes 199 centre pages.</x:v>
      </x:c>
    </x:row>
    <x:row r="48">
      <x:c r="A48" s="13" t="str">
        <x:v>Indira IVF</x:v>
      </x:c>
      <x:c r="B48" s="13" t="str">
        <x:v>Bariatu, Ranchi</x:v>
      </x:c>
      <x:c r="C48" s="13" t="str">
        <x:v>Ranchi</x:v>
      </x:c>
      <x:c r="D48" s="13" t="str">
        <x:v>Jharkhand</x:v>
      </x:c>
      <x:c r="E48" s="13" t="str">
        <x:v>Bariatu, Ranchi, Ranchi, Jharkhand, India</x:v>
      </x:c>
      <x:c r="F48" s="13" t="str">
        <x:v>Locality/city normalized from official centre-page title</x:v>
      </x:c>
      <x:c r="G48" s="16" t="n">
        <x:v>23.34316</x:v>
      </x:c>
      <x:c r="H48" s="16" t="n">
        <x:v>85.3094</x:v>
      </x:c>
      <x:c r="I48" s="13" t="str">
        <x:v>Parent-city centroid (map visualization; not clinic-door geocode)</x:v>
      </x:c>
      <x:c r="J48" s="13" t="str">
        <x:v>Official sitemap-listed</x:v>
      </x:c>
      <x:c r="K48" s="13" t="str">
        <x:v>https://www.indiraivf.com/sitemap</x:v>
      </x:c>
      <x:c r="L48" s="13" t="str">
        <x:v>https://www.indiraivf.com/ivf-center-in-india</x:v>
      </x:c>
      <x:c r="M48" s="13" t="str">
        <x:v>https://www.google.com/maps/search/?api=1&amp;query=Indira%20IVF%20Bariatu%2C%20Ranchi%2C%20Ranchi%2C%20Jharkhand%2C%20India</x:v>
      </x:c>
      <x:c r="N48" s="13" t="str">
        <x:v>Public centre page listed in official sitemap. Directory headline reports 210 centres; sitemap exposes 199 centre pages.</x:v>
      </x:c>
    </x:row>
    <x:row r="49">
      <x:c r="A49" s="13" t="str">
        <x:v>Indira IVF</x:v>
      </x:c>
      <x:c r="B49" s="13" t="str">
        <x:v>Bhiwandi</x:v>
      </x:c>
      <x:c r="C49" s="13" t="str">
        <x:v>Bhiwandi</x:v>
      </x:c>
      <x:c r="D49" s="13" t="str">
        <x:v>Maharashtra</x:v>
      </x:c>
      <x:c r="E49" s="13" t="str">
        <x:v>Bhiwandi, Maharashtra, India</x:v>
      </x:c>
      <x:c r="F49" s="13" t="str">
        <x:v>Locality/city normalized from official centre-page title</x:v>
      </x:c>
      <x:c r="G49" s="16" t="n">
        <x:v>19.30023</x:v>
      </x:c>
      <x:c r="H49" s="16" t="n">
        <x:v>73.05881</x:v>
      </x:c>
      <x:c r="I49" s="13" t="str">
        <x:v>Parent-city centroid (map visualization; not clinic-door geocode)</x:v>
      </x:c>
      <x:c r="J49" s="13" t="str">
        <x:v>Official sitemap-listed</x:v>
      </x:c>
      <x:c r="K49" s="13" t="str">
        <x:v>https://www.indiraivf.com/sitemap</x:v>
      </x:c>
      <x:c r="L49" s="13" t="str">
        <x:v>https://www.indiraivf.com/ivf-center-in-india</x:v>
      </x:c>
      <x:c r="M49" s="13" t="str">
        <x:v>https://www.google.com/maps/search/?api=1&amp;query=Indira%20IVF%20Bhiwandi%2C%20Bhiwandi%2C%20Maharashtra%2C%20India</x:v>
      </x:c>
      <x:c r="N49" s="13" t="str">
        <x:v>Public centre page listed in official sitemap. Directory headline reports 210 centres; sitemap exposes 199 centre pages.</x:v>
      </x:c>
    </x:row>
    <x:row r="50">
      <x:c r="A50" s="13" t="str">
        <x:v>Indira IVF</x:v>
      </x:c>
      <x:c r="B50" s="13" t="str">
        <x:v>Nikol</x:v>
      </x:c>
      <x:c r="C50" s="13" t="str">
        <x:v>Ahmedabad</x:v>
      </x:c>
      <x:c r="D50" s="13" t="str">
        <x:v>Gujarat</x:v>
      </x:c>
      <x:c r="E50" s="13" t="str">
        <x:v>Nikol, Ahmedabad, Gujarat, India</x:v>
      </x:c>
      <x:c r="F50" s="13" t="str">
        <x:v>Locality/city normalized from official centre-page title</x:v>
      </x:c>
      <x:c r="G50" s="16" t="n">
        <x:v>23.02579</x:v>
      </x:c>
      <x:c r="H50" s="16" t="n">
        <x:v>72.58727</x:v>
      </x:c>
      <x:c r="I50" s="13" t="str">
        <x:v>Parent-city centroid (map visualization; not clinic-door geocode)</x:v>
      </x:c>
      <x:c r="J50" s="13" t="str">
        <x:v>Official sitemap-listed</x:v>
      </x:c>
      <x:c r="K50" s="13" t="str">
        <x:v>https://www.indiraivf.com/sitemap</x:v>
      </x:c>
      <x:c r="L50" s="13" t="str">
        <x:v>https://www.indiraivf.com/ivf-center-in-india</x:v>
      </x:c>
      <x:c r="M50" s="13" t="str">
        <x:v>https://www.google.com/maps/search/?api=1&amp;query=Indira%20IVF%20Nikol%2C%20Ahmedabad%2C%20Gujarat%2C%20India</x:v>
      </x:c>
      <x:c r="N50" s="13" t="str">
        <x:v>Public centre page listed in official sitemap. Directory headline reports 210 centres; sitemap exposes 199 centre pages.</x:v>
      </x:c>
    </x:row>
    <x:row r="51">
      <x:c r="A51" s="13" t="str">
        <x:v>Indira IVF</x:v>
      </x:c>
      <x:c r="B51" s="13" t="str">
        <x:v>Kangra</x:v>
      </x:c>
      <x:c r="C51" s="13" t="str">
        <x:v>Kangra</x:v>
      </x:c>
      <x:c r="D51" s="13" t="str">
        <x:v>Himachal Pradesh</x:v>
      </x:c>
      <x:c r="E51" s="13" t="str">
        <x:v>Kangra, Himachal Pradesh, India</x:v>
      </x:c>
      <x:c r="F51" s="13" t="str">
        <x:v>Locality/city normalized from official centre-page title</x:v>
      </x:c>
      <x:c r="G51" s="16" t="n">
        <x:v>32.0998</x:v>
      </x:c>
      <x:c r="H51" s="16" t="n">
        <x:v>76.2691</x:v>
      </x:c>
      <x:c r="I51" s="13" t="str">
        <x:v>Parent-city centroid (map visualization; not clinic-door geocode)</x:v>
      </x:c>
      <x:c r="J51" s="13" t="str">
        <x:v>Official sitemap-listed</x:v>
      </x:c>
      <x:c r="K51" s="13" t="str">
        <x:v>https://www.indiraivf.com/sitemap</x:v>
      </x:c>
      <x:c r="L51" s="13" t="str">
        <x:v>https://www.indiraivf.com/ivf-center-in-india</x:v>
      </x:c>
      <x:c r="M51" s="13" t="str">
        <x:v>https://www.google.com/maps/search/?api=1&amp;query=Indira%20IVF%20Kangra%2C%20Kangra%2C%20Himachal%20Pradesh%2C%20India</x:v>
      </x:c>
      <x:c r="N51" s="13" t="str">
        <x:v>Public centre page listed in official sitemap. Directory headline reports 210 centres; sitemap exposes 199 centre pages.</x:v>
      </x:c>
    </x:row>
    <x:row r="52">
      <x:c r="A52" s="13" t="str">
        <x:v>Indira IVF</x:v>
      </x:c>
      <x:c r="B52" s="13" t="str">
        <x:v>Munger</x:v>
      </x:c>
      <x:c r="C52" s="13" t="str">
        <x:v>Munger</x:v>
      </x:c>
      <x:c r="D52" s="13" t="str">
        <x:v>Bihar</x:v>
      </x:c>
      <x:c r="E52" s="13" t="str">
        <x:v>Munger, Bihar, India</x:v>
      </x:c>
      <x:c r="F52" s="13" t="str">
        <x:v>Locality/city normalized from official centre-page title</x:v>
      </x:c>
      <x:c r="G52" s="16" t="n">
        <x:v>25.37459</x:v>
      </x:c>
      <x:c r="H52" s="16" t="n">
        <x:v>86.47455</x:v>
      </x:c>
      <x:c r="I52" s="13" t="str">
        <x:v>Parent-city centroid (map visualization; not clinic-door geocode)</x:v>
      </x:c>
      <x:c r="J52" s="13" t="str">
        <x:v>Official sitemap-listed</x:v>
      </x:c>
      <x:c r="K52" s="13" t="str">
        <x:v>https://www.indiraivf.com/sitemap</x:v>
      </x:c>
      <x:c r="L52" s="13" t="str">
        <x:v>https://www.indiraivf.com/ivf-center-in-india</x:v>
      </x:c>
      <x:c r="M52" s="13" t="str">
        <x:v>https://www.google.com/maps/search/?api=1&amp;query=Indira%20IVF%20Munger%2C%20Munger%2C%20Bihar%2C%20India</x:v>
      </x:c>
      <x:c r="N52" s="13" t="str">
        <x:v>Public centre page listed in official sitemap. Directory headline reports 210 centres; sitemap exposes 199 centre pages.</x:v>
      </x:c>
    </x:row>
    <x:row r="53">
      <x:c r="A53" s="13" t="str">
        <x:v>Indira IVF</x:v>
      </x:c>
      <x:c r="B53" s="13" t="str">
        <x:v>Andheri (West), Mumbai</x:v>
      </x:c>
      <x:c r="C53" s="13" t="str">
        <x:v>Mumbai</x:v>
      </x:c>
      <x:c r="D53" s="13" t="str">
        <x:v>Maharashtra</x:v>
      </x:c>
      <x:c r="E53" s="13" t="str">
        <x:v>Andheri (West), Mumbai, Mumbai, Maharashtra, India</x:v>
      </x:c>
      <x:c r="F53" s="13" t="str">
        <x:v>Locality/city normalized from official centre-page title</x:v>
      </x:c>
      <x:c r="G53" s="16" t="n">
        <x:v>19.07283</x:v>
      </x:c>
      <x:c r="H53" s="16" t="n">
        <x:v>72.88261</x:v>
      </x:c>
      <x:c r="I53" s="13" t="str">
        <x:v>Parent-city centroid (map visualization; not clinic-door geocode)</x:v>
      </x:c>
      <x:c r="J53" s="13" t="str">
        <x:v>Official sitemap-listed</x:v>
      </x:c>
      <x:c r="K53" s="13" t="str">
        <x:v>https://www.indiraivf.com/sitemap</x:v>
      </x:c>
      <x:c r="L53" s="13" t="str">
        <x:v>https://www.indiraivf.com/ivf-center-in-india</x:v>
      </x:c>
      <x:c r="M53" s="13" t="str">
        <x:v>https://www.google.com/maps/search/?api=1&amp;query=Indira%20IVF%20Andheri%20%28West%29%2C%20Mumbai%2C%20Mumbai%2C%20Maharashtra%2C%20India</x:v>
      </x:c>
      <x:c r="N53" s="13" t="str">
        <x:v>Public centre page listed in official sitemap. Directory headline reports 210 centres; sitemap exposes 199 centre pages.</x:v>
      </x:c>
    </x:row>
    <x:row r="54">
      <x:c r="A54" s="13" t="str">
        <x:v>Indira IVF</x:v>
      </x:c>
      <x:c r="B54" s="13" t="str">
        <x:v>Baguiati</x:v>
      </x:c>
      <x:c r="C54" s="13" t="str">
        <x:v>Kolkata</x:v>
      </x:c>
      <x:c r="D54" s="13" t="str">
        <x:v>West Bengal</x:v>
      </x:c>
      <x:c r="E54" s="13" t="str">
        <x:v>Baguiati, Kolkata, West Bengal, India</x:v>
      </x:c>
      <x:c r="F54" s="13" t="str">
        <x:v>Locality/city normalized from official centre-page title</x:v>
      </x:c>
      <x:c r="G54" s="16" t="n">
        <x:v>22.56263</x:v>
      </x:c>
      <x:c r="H54" s="16" t="n">
        <x:v>88.36304</x:v>
      </x:c>
      <x:c r="I54" s="13" t="str">
        <x:v>Parent-city centroid (map visualization; not clinic-door geocode)</x:v>
      </x:c>
      <x:c r="J54" s="13" t="str">
        <x:v>Official sitemap-listed</x:v>
      </x:c>
      <x:c r="K54" s="13" t="str">
        <x:v>https://www.indiraivf.com/sitemap</x:v>
      </x:c>
      <x:c r="L54" s="13" t="str">
        <x:v>https://www.indiraivf.com/ivf-center-in-india</x:v>
      </x:c>
      <x:c r="M54" s="13" t="str">
        <x:v>https://www.google.com/maps/search/?api=1&amp;query=Indira%20IVF%20Baguiati%2C%20Kolkata%2C%20West%20Bengal%2C%20India</x:v>
      </x:c>
      <x:c r="N54" s="13" t="str">
        <x:v>Public centre page listed in official sitemap. Directory headline reports 210 centres; sitemap exposes 199 centre pages.</x:v>
      </x:c>
    </x:row>
    <x:row r="55">
      <x:c r="A55" s="13" t="str">
        <x:v>Indira IVF</x:v>
      </x:c>
      <x:c r="B55" s="13" t="str">
        <x:v>Basti</x:v>
      </x:c>
      <x:c r="C55" s="13" t="str">
        <x:v>Basti</x:v>
      </x:c>
      <x:c r="D55" s="13" t="str">
        <x:v>Uttar Pradesh</x:v>
      </x:c>
      <x:c r="E55" s="13" t="str">
        <x:v>Basti, Uttar Pradesh, India</x:v>
      </x:c>
      <x:c r="F55" s="13" t="str">
        <x:v>Locality/city normalized from official centre-page title</x:v>
      </x:c>
      <x:c r="G55" s="16" t="n">
        <x:v>26.78817</x:v>
      </x:c>
      <x:c r="H55" s="16" t="n">
        <x:v>82.71617</x:v>
      </x:c>
      <x:c r="I55" s="13" t="str">
        <x:v>Parent-city centroid (map visualization; not clinic-door geocode)</x:v>
      </x:c>
      <x:c r="J55" s="13" t="str">
        <x:v>Official sitemap-listed</x:v>
      </x:c>
      <x:c r="K55" s="13" t="str">
        <x:v>https://www.indiraivf.com/sitemap</x:v>
      </x:c>
      <x:c r="L55" s="13" t="str">
        <x:v>https://www.indiraivf.com/ivf-center-in-india</x:v>
      </x:c>
      <x:c r="M55" s="13" t="str">
        <x:v>https://www.google.com/maps/search/?api=1&amp;query=Indira%20IVF%20Basti%2C%20Basti%2C%20Uttar%20Pradesh%2C%20India</x:v>
      </x:c>
      <x:c r="N55" s="13" t="str">
        <x:v>Public centre page listed in official sitemap. Directory headline reports 210 centres; sitemap exposes 199 centre pages.</x:v>
      </x:c>
    </x:row>
    <x:row r="56">
      <x:c r="A56" s="13" t="str">
        <x:v>Indira IVF</x:v>
      </x:c>
      <x:c r="B56" s="13" t="str">
        <x:v>Vasai (West)</x:v>
      </x:c>
      <x:c r="C56" s="13" t="str">
        <x:v>Vasai-Virar</x:v>
      </x:c>
      <x:c r="D56" s="13" t="str">
        <x:v>Maharashtra</x:v>
      </x:c>
      <x:c r="E56" s="13" t="str">
        <x:v>Vasai (West), Vasai-Virar, Maharashtra, India</x:v>
      </x:c>
      <x:c r="F56" s="13" t="str">
        <x:v>Locality/city normalized from official centre-page title</x:v>
      </x:c>
      <x:c r="G56" s="16" t="n">
        <x:v>19.3919</x:v>
      </x:c>
      <x:c r="H56" s="16" t="n">
        <x:v>72.8397</x:v>
      </x:c>
      <x:c r="I56" s="13" t="str">
        <x:v>Parent-city centroid (map visualization; not clinic-door geocode)</x:v>
      </x:c>
      <x:c r="J56" s="13" t="str">
        <x:v>Official sitemap-listed</x:v>
      </x:c>
      <x:c r="K56" s="13" t="str">
        <x:v>https://www.indiraivf.com/sitemap</x:v>
      </x:c>
      <x:c r="L56" s="13" t="str">
        <x:v>https://www.indiraivf.com/ivf-center-in-india</x:v>
      </x:c>
      <x:c r="M56" s="13" t="str">
        <x:v>https://www.google.com/maps/search/?api=1&amp;query=Indira%20IVF%20Vasai%20%28West%29%2C%20Vasai-Virar%2C%20Maharashtra%2C%20India</x:v>
      </x:c>
      <x:c r="N56" s="13" t="str">
        <x:v>Public centre page listed in official sitemap. Directory headline reports 210 centres; sitemap exposes 199 centre pages.</x:v>
      </x:c>
    </x:row>
    <x:row r="57">
      <x:c r="A57" s="13" t="str">
        <x:v>Indira IVF</x:v>
      </x:c>
      <x:c r="B57" s="13" t="str">
        <x:v>Anantapur</x:v>
      </x:c>
      <x:c r="C57" s="13" t="str">
        <x:v>Anantapur</x:v>
      </x:c>
      <x:c r="D57" s="13" t="str">
        <x:v>Andhra Pradesh</x:v>
      </x:c>
      <x:c r="E57" s="13" t="str">
        <x:v>Anantapur, Andhra Pradesh, India</x:v>
      </x:c>
      <x:c r="F57" s="13" t="str">
        <x:v>Locality/city normalized from official centre-page title</x:v>
      </x:c>
      <x:c r="G57" s="16" t="n">
        <x:v>14.67784</x:v>
      </x:c>
      <x:c r="H57" s="16" t="n">
        <x:v>77.60813</x:v>
      </x:c>
      <x:c r="I57" s="13" t="str">
        <x:v>Parent-city centroid (map visualization; not clinic-door geocode)</x:v>
      </x:c>
      <x:c r="J57" s="13" t="str">
        <x:v>Official sitemap-listed</x:v>
      </x:c>
      <x:c r="K57" s="13" t="str">
        <x:v>https://www.indiraivf.com/sitemap</x:v>
      </x:c>
      <x:c r="L57" s="13" t="str">
        <x:v>https://www.indiraivf.com/ivf-center-in-india</x:v>
      </x:c>
      <x:c r="M57" s="13" t="str">
        <x:v>https://www.google.com/maps/search/?api=1&amp;query=Indira%20IVF%20Anantapur%2C%20Anantapur%2C%20Andhra%20Pradesh%2C%20India</x:v>
      </x:c>
      <x:c r="N57" s="13" t="str">
        <x:v>Public centre page listed in official sitemap. Directory headline reports 210 centres; sitemap exposes 199 centre pages.</x:v>
      </x:c>
    </x:row>
    <x:row r="58">
      <x:c r="A58" s="13" t="str">
        <x:v>Indira IVF</x:v>
      </x:c>
      <x:c r="B58" s="13" t="str">
        <x:v>Soyepur</x:v>
      </x:c>
      <x:c r="C58" s="13" t="str">
        <x:v>Varanasi</x:v>
      </x:c>
      <x:c r="D58" s="13" t="str">
        <x:v>Uttar Pradesh</x:v>
      </x:c>
      <x:c r="E58" s="13" t="str">
        <x:v>Soyepur, Varanasi, Uttar Pradesh, India</x:v>
      </x:c>
      <x:c r="F58" s="13" t="str">
        <x:v>Locality/city normalized from official centre-page title</x:v>
      </x:c>
      <x:c r="G58" s="16" t="n">
        <x:v>25.31668</x:v>
      </x:c>
      <x:c r="H58" s="16" t="n">
        <x:v>83.01041</x:v>
      </x:c>
      <x:c r="I58" s="13" t="str">
        <x:v>Parent-city centroid (map visualization; not clinic-door geocode)</x:v>
      </x:c>
      <x:c r="J58" s="13" t="str">
        <x:v>Official sitemap-listed</x:v>
      </x:c>
      <x:c r="K58" s="13" t="str">
        <x:v>https://www.indiraivf.com/sitemap</x:v>
      </x:c>
      <x:c r="L58" s="13" t="str">
        <x:v>https://www.indiraivf.com/ivf-center-in-india</x:v>
      </x:c>
      <x:c r="M58" s="13" t="str">
        <x:v>https://www.google.com/maps/search/?api=1&amp;query=Indira%20IVF%20Soyepur%2C%20Varanasi%2C%20Uttar%20Pradesh%2C%20India</x:v>
      </x:c>
      <x:c r="N58" s="13" t="str">
        <x:v>Public centre page listed in official sitemap. Directory headline reports 210 centres; sitemap exposes 199 centre pages.</x:v>
      </x:c>
    </x:row>
    <x:row r="59">
      <x:c r="A59" s="13" t="str">
        <x:v>Indira IVF</x:v>
      </x:c>
      <x:c r="B59" s="13" t="str">
        <x:v>Chamrajpet</x:v>
      </x:c>
      <x:c r="C59" s="13" t="str">
        <x:v>Bengaluru</x:v>
      </x:c>
      <x:c r="D59" s="13" t="str">
        <x:v>Karnataka</x:v>
      </x:c>
      <x:c r="E59" s="13" t="str">
        <x:v>Chamrajpet, Bengaluru, Karnataka, India</x:v>
      </x:c>
      <x:c r="F59" s="13" t="str">
        <x:v>Locality/city normalized from official centre-page title</x:v>
      </x:c>
      <x:c r="G59" s="16" t="n">
        <x:v>12.97194</x:v>
      </x:c>
      <x:c r="H59" s="16" t="n">
        <x:v>77.59369</x:v>
      </x:c>
      <x:c r="I59" s="13" t="str">
        <x:v>Parent-city centroid (map visualization; not clinic-door geocode)</x:v>
      </x:c>
      <x:c r="J59" s="13" t="str">
        <x:v>Official sitemap-listed</x:v>
      </x:c>
      <x:c r="K59" s="13" t="str">
        <x:v>https://www.indiraivf.com/sitemap</x:v>
      </x:c>
      <x:c r="L59" s="13" t="str">
        <x:v>https://www.indiraivf.com/ivf-center-in-india</x:v>
      </x:c>
      <x:c r="M59" s="13" t="str">
        <x:v>https://www.google.com/maps/search/?api=1&amp;query=Indira%20IVF%20Chamrajpet%2C%20Bengaluru%2C%20Karnataka%2C%20India</x:v>
      </x:c>
      <x:c r="N59" s="13" t="str">
        <x:v>Public centre page listed in official sitemap. Directory headline reports 210 centres; sitemap exposes 199 centre pages.</x:v>
      </x:c>
    </x:row>
    <x:row r="60">
      <x:c r="A60" s="13" t="str">
        <x:v>Indira IVF</x:v>
      </x:c>
      <x:c r="B60" s="13" t="str">
        <x:v>Murlipura</x:v>
      </x:c>
      <x:c r="C60" s="13" t="str">
        <x:v>Jaipur</x:v>
      </x:c>
      <x:c r="D60" s="13" t="str">
        <x:v>Rajasthan</x:v>
      </x:c>
      <x:c r="E60" s="13" t="str">
        <x:v>Murlipura, Jaipur, Rajasthan, India</x:v>
      </x:c>
      <x:c r="F60" s="13" t="str">
        <x:v>Locality/city normalized from official centre-page title</x:v>
      </x:c>
      <x:c r="G60" s="16" t="n">
        <x:v>26.91962</x:v>
      </x:c>
      <x:c r="H60" s="16" t="n">
        <x:v>75.78781</x:v>
      </x:c>
      <x:c r="I60" s="13" t="str">
        <x:v>Parent-city centroid (map visualization; not clinic-door geocode)</x:v>
      </x:c>
      <x:c r="J60" s="13" t="str">
        <x:v>Official sitemap-listed</x:v>
      </x:c>
      <x:c r="K60" s="13" t="str">
        <x:v>https://www.indiraivf.com/sitemap</x:v>
      </x:c>
      <x:c r="L60" s="13" t="str">
        <x:v>https://www.indiraivf.com/ivf-center-in-india</x:v>
      </x:c>
      <x:c r="M60" s="13" t="str">
        <x:v>https://www.google.com/maps/search/?api=1&amp;query=Indira%20IVF%20Murlipura%2C%20Jaipur%2C%20Rajasthan%2C%20India</x:v>
      </x:c>
      <x:c r="N60" s="13" t="str">
        <x:v>Public centre page listed in official sitemap. Directory headline reports 210 centres; sitemap exposes 199 centre pages.</x:v>
      </x:c>
    </x:row>
    <x:row r="61">
      <x:c r="A61" s="13" t="str">
        <x:v>Indira IVF</x:v>
      </x:c>
      <x:c r="B61" s="13" t="str">
        <x:v>Dubagga</x:v>
      </x:c>
      <x:c r="C61" s="13" t="str">
        <x:v>Lucknow</x:v>
      </x:c>
      <x:c r="D61" s="13" t="str">
        <x:v>Uttar Pradesh</x:v>
      </x:c>
      <x:c r="E61" s="13" t="str">
        <x:v>Dubagga, Lucknow, Uttar Pradesh, India</x:v>
      </x:c>
      <x:c r="F61" s="13" t="str">
        <x:v>Locality/city normalized from official centre-page title</x:v>
      </x:c>
      <x:c r="G61" s="16" t="n">
        <x:v>26.83928</x:v>
      </x:c>
      <x:c r="H61" s="16" t="n">
        <x:v>80.92313</x:v>
      </x:c>
      <x:c r="I61" s="13" t="str">
        <x:v>Parent-city centroid (map visualization; not clinic-door geocode)</x:v>
      </x:c>
      <x:c r="J61" s="13" t="str">
        <x:v>Official sitemap-listed</x:v>
      </x:c>
      <x:c r="K61" s="13" t="str">
        <x:v>https://www.indiraivf.com/sitemap</x:v>
      </x:c>
      <x:c r="L61" s="13" t="str">
        <x:v>https://www.indiraivf.com/ivf-center-in-india</x:v>
      </x:c>
      <x:c r="M61" s="13" t="str">
        <x:v>https://www.google.com/maps/search/?api=1&amp;query=Indira%20IVF%20Dubagga%2C%20Lucknow%2C%20Uttar%20Pradesh%2C%20India</x:v>
      </x:c>
      <x:c r="N61" s="13" t="str">
        <x:v>Public centre page listed in official sitemap. Directory headline reports 210 centres; sitemap exposes 199 centre pages.</x:v>
      </x:c>
    </x:row>
    <x:row r="62">
      <x:c r="A62" s="13" t="str">
        <x:v>Indira IVF</x:v>
      </x:c>
      <x:c r="B62" s="13" t="str">
        <x:v>Mukherjee Nagar</x:v>
      </x:c>
      <x:c r="C62" s="13" t="str">
        <x:v>New Delhi</x:v>
      </x:c>
      <x:c r="D62" s="13" t="str">
        <x:v>Delhi</x:v>
      </x:c>
      <x:c r="E62" s="13" t="str">
        <x:v>Mukherjee Nagar, New Delhi, Delhi, India</x:v>
      </x:c>
      <x:c r="F62" s="13" t="str">
        <x:v>Locality/city normalized from official centre-page title</x:v>
      </x:c>
      <x:c r="G62" s="16" t="n">
        <x:v>28.65195</x:v>
      </x:c>
      <x:c r="H62" s="16" t="n">
        <x:v>77.23149</x:v>
      </x:c>
      <x:c r="I62" s="13" t="str">
        <x:v>Parent-city centroid (map visualization; not clinic-door geocode)</x:v>
      </x:c>
      <x:c r="J62" s="13" t="str">
        <x:v>Official sitemap-listed</x:v>
      </x:c>
      <x:c r="K62" s="13" t="str">
        <x:v>https://www.indiraivf.com/sitemap</x:v>
      </x:c>
      <x:c r="L62" s="13" t="str">
        <x:v>https://www.indiraivf.com/ivf-center-in-india</x:v>
      </x:c>
      <x:c r="M62" s="13" t="str">
        <x:v>https://www.google.com/maps/search/?api=1&amp;query=Indira%20IVF%20Mukherjee%20Nagar%2C%20New%20Delhi%2C%20Delhi%2C%20India</x:v>
      </x:c>
      <x:c r="N62" s="13" t="str">
        <x:v>Public centre page listed in official sitemap. Directory headline reports 210 centres; sitemap exposes 199 centre pages.</x:v>
      </x:c>
    </x:row>
    <x:row r="63">
      <x:c r="A63" s="13" t="str">
        <x:v>Indira IVF</x:v>
      </x:c>
      <x:c r="B63" s="13" t="str">
        <x:v>Daryaganj</x:v>
      </x:c>
      <x:c r="C63" s="13" t="str">
        <x:v>New Delhi</x:v>
      </x:c>
      <x:c r="D63" s="13" t="str">
        <x:v>Delhi</x:v>
      </x:c>
      <x:c r="E63" s="13" t="str">
        <x:v>Daryaganj, New Delhi, Delhi, India</x:v>
      </x:c>
      <x:c r="F63" s="13" t="str">
        <x:v>Locality/city normalized from official centre-page title</x:v>
      </x:c>
      <x:c r="G63" s="16" t="n">
        <x:v>28.65195</x:v>
      </x:c>
      <x:c r="H63" s="16" t="n">
        <x:v>77.23149</x:v>
      </x:c>
      <x:c r="I63" s="13" t="str">
        <x:v>Parent-city centroid (map visualization; not clinic-door geocode)</x:v>
      </x:c>
      <x:c r="J63" s="13" t="str">
        <x:v>Official sitemap-listed</x:v>
      </x:c>
      <x:c r="K63" s="13" t="str">
        <x:v>https://www.indiraivf.com/sitemap</x:v>
      </x:c>
      <x:c r="L63" s="13" t="str">
        <x:v>https://www.indiraivf.com/ivf-center-in-india</x:v>
      </x:c>
      <x:c r="M63" s="13" t="str">
        <x:v>https://www.google.com/maps/search/?api=1&amp;query=Indira%20IVF%20Daryaganj%2C%20New%20Delhi%2C%20Delhi%2C%20India</x:v>
      </x:c>
      <x:c r="N63" s="13" t="str">
        <x:v>Public centre page listed in official sitemap. Directory headline reports 210 centres; sitemap exposes 199 centre pages.</x:v>
      </x:c>
    </x:row>
    <x:row r="64">
      <x:c r="A64" s="13" t="str">
        <x:v>Indira IVF</x:v>
      </x:c>
      <x:c r="B64" s="13" t="str">
        <x:v>Jaunpur</x:v>
      </x:c>
      <x:c r="C64" s="13" t="str">
        <x:v>Jaunpur</x:v>
      </x:c>
      <x:c r="D64" s="13" t="str">
        <x:v>Uttar Pradesh</x:v>
      </x:c>
      <x:c r="E64" s="13" t="str">
        <x:v>Jaunpur, Uttar Pradesh, India</x:v>
      </x:c>
      <x:c r="F64" s="13" t="str">
        <x:v>Locality/city normalized from official centre-page title</x:v>
      </x:c>
      <x:c r="G64" s="16" t="n">
        <x:v>25.75356</x:v>
      </x:c>
      <x:c r="H64" s="16" t="n">
        <x:v>82.68689</x:v>
      </x:c>
      <x:c r="I64" s="13" t="str">
        <x:v>Parent-city centroid (map visualization; not clinic-door geocode)</x:v>
      </x:c>
      <x:c r="J64" s="13" t="str">
        <x:v>Official sitemap-listed</x:v>
      </x:c>
      <x:c r="K64" s="13" t="str">
        <x:v>https://www.indiraivf.com/sitemap</x:v>
      </x:c>
      <x:c r="L64" s="13" t="str">
        <x:v>https://www.indiraivf.com/ivf-center-in-india</x:v>
      </x:c>
      <x:c r="M64" s="13" t="str">
        <x:v>https://www.google.com/maps/search/?api=1&amp;query=Indira%20IVF%20Jaunpur%2C%20Jaunpur%2C%20Uttar%20Pradesh%2C%20India</x:v>
      </x:c>
      <x:c r="N64" s="13" t="str">
        <x:v>Public centre page listed in official sitemap. Directory headline reports 210 centres; sitemap exposes 199 centre pages.</x:v>
      </x:c>
    </x:row>
    <x:row r="65">
      <x:c r="A65" s="13" t="str">
        <x:v>Indira IVF</x:v>
      </x:c>
      <x:c r="B65" s="13" t="str">
        <x:v>Raichur</x:v>
      </x:c>
      <x:c r="C65" s="13" t="str">
        <x:v>Raichur</x:v>
      </x:c>
      <x:c r="D65" s="13" t="str">
        <x:v>Karnataka</x:v>
      </x:c>
      <x:c r="E65" s="13" t="str">
        <x:v>Raichur, Karnataka, India</x:v>
      </x:c>
      <x:c r="F65" s="13" t="str">
        <x:v>Locality/city normalized from official centre-page title</x:v>
      </x:c>
      <x:c r="G65" s="16" t="n">
        <x:v>16.20546</x:v>
      </x:c>
      <x:c r="H65" s="16" t="n">
        <x:v>77.35567</x:v>
      </x:c>
      <x:c r="I65" s="13" t="str">
        <x:v>Parent-city centroid (map visualization; not clinic-door geocode)</x:v>
      </x:c>
      <x:c r="J65" s="13" t="str">
        <x:v>Official sitemap-listed</x:v>
      </x:c>
      <x:c r="K65" s="13" t="str">
        <x:v>https://www.indiraivf.com/sitemap</x:v>
      </x:c>
      <x:c r="L65" s="13" t="str">
        <x:v>https://www.indiraivf.com/ivf-center-in-india</x:v>
      </x:c>
      <x:c r="M65" s="13" t="str">
        <x:v>https://www.google.com/maps/search/?api=1&amp;query=Indira%20IVF%20Raichur%2C%20Raichur%2C%20Karnataka%2C%20India</x:v>
      </x:c>
      <x:c r="N65" s="13" t="str">
        <x:v>Public centre page listed in official sitemap. Directory headline reports 210 centres; sitemap exposes 199 centre pages.</x:v>
      </x:c>
    </x:row>
    <x:row r="66">
      <x:c r="A66" s="13" t="str">
        <x:v>Indira IVF</x:v>
      </x:c>
      <x:c r="B66" s="13" t="str">
        <x:v>Saharsa</x:v>
      </x:c>
      <x:c r="C66" s="13" t="str">
        <x:v>Saharsa</x:v>
      </x:c>
      <x:c r="D66" s="13" t="str">
        <x:v>Bihar</x:v>
      </x:c>
      <x:c r="E66" s="13" t="str">
        <x:v>Saharsa, Bihar, India</x:v>
      </x:c>
      <x:c r="F66" s="13" t="str">
        <x:v>Locality/city normalized from official centre-page title</x:v>
      </x:c>
      <x:c r="G66" s="16" t="n">
        <x:v>25.87498</x:v>
      </x:c>
      <x:c r="H66" s="16" t="n">
        <x:v>86.59611</x:v>
      </x:c>
      <x:c r="I66" s="13" t="str">
        <x:v>Parent-city centroid (map visualization; not clinic-door geocode)</x:v>
      </x:c>
      <x:c r="J66" s="13" t="str">
        <x:v>Official sitemap-listed</x:v>
      </x:c>
      <x:c r="K66" s="13" t="str">
        <x:v>https://www.indiraivf.com/sitemap</x:v>
      </x:c>
      <x:c r="L66" s="13" t="str">
        <x:v>https://www.indiraivf.com/ivf-center-in-india</x:v>
      </x:c>
      <x:c r="M66" s="13" t="str">
        <x:v>https://www.google.com/maps/search/?api=1&amp;query=Indira%20IVF%20Saharsa%2C%20Saharsa%2C%20Bihar%2C%20India</x:v>
      </x:c>
      <x:c r="N66" s="13" t="str">
        <x:v>Public centre page listed in official sitemap. Directory headline reports 210 centres; sitemap exposes 199 centre pages.</x:v>
      </x:c>
    </x:row>
    <x:row r="67">
      <x:c r="A67" s="13" t="str">
        <x:v>Indira IVF</x:v>
      </x:c>
      <x:c r="B67" s="13" t="str">
        <x:v>Kharar</x:v>
      </x:c>
      <x:c r="C67" s="13" t="str">
        <x:v>Kharar</x:v>
      </x:c>
      <x:c r="D67" s="13" t="str">
        <x:v>Punjab</x:v>
      </x:c>
      <x:c r="E67" s="13" t="str">
        <x:v>Kharar, Punjab, India</x:v>
      </x:c>
      <x:c r="F67" s="13" t="str">
        <x:v>Locality/city normalized from official centre-page title</x:v>
      </x:c>
      <x:c r="G67" s="16" t="n">
        <x:v>30.74632</x:v>
      </x:c>
      <x:c r="H67" s="16" t="n">
        <x:v>76.64689</x:v>
      </x:c>
      <x:c r="I67" s="13" t="str">
        <x:v>Parent-city centroid (map visualization; not clinic-door geocode)</x:v>
      </x:c>
      <x:c r="J67" s="13" t="str">
        <x:v>Official sitemap-listed</x:v>
      </x:c>
      <x:c r="K67" s="13" t="str">
        <x:v>https://www.indiraivf.com/sitemap</x:v>
      </x:c>
      <x:c r="L67" s="13" t="str">
        <x:v>https://www.indiraivf.com/ivf-center-in-india</x:v>
      </x:c>
      <x:c r="M67" s="13" t="str">
        <x:v>https://www.google.com/maps/search/?api=1&amp;query=Indira%20IVF%20Kharar%2C%20Kharar%2C%20Punjab%2C%20India</x:v>
      </x:c>
      <x:c r="N67" s="13" t="str">
        <x:v>Public centre page listed in official sitemap. Directory headline reports 210 centres; sitemap exposes 199 centre pages.</x:v>
      </x:c>
    </x:row>
    <x:row r="68">
      <x:c r="A68" s="13" t="str">
        <x:v>Indira IVF</x:v>
      </x:c>
      <x:c r="B68" s="13" t="str">
        <x:v>Nellore</x:v>
      </x:c>
      <x:c r="C68" s="13" t="str">
        <x:v>Nellore</x:v>
      </x:c>
      <x:c r="D68" s="13" t="str">
        <x:v>Andhra Pradesh</x:v>
      </x:c>
      <x:c r="E68" s="13" t="str">
        <x:v>Nellore, Andhra Pradesh, India</x:v>
      </x:c>
      <x:c r="F68" s="13" t="str">
        <x:v>Locality/city normalized from official centre-page title</x:v>
      </x:c>
      <x:c r="G68" s="16" t="n">
        <x:v>14.44992</x:v>
      </x:c>
      <x:c r="H68" s="16" t="n">
        <x:v>79.98697</x:v>
      </x:c>
      <x:c r="I68" s="13" t="str">
        <x:v>Parent-city centroid (map visualization; not clinic-door geocode)</x:v>
      </x:c>
      <x:c r="J68" s="13" t="str">
        <x:v>Official sitemap-listed</x:v>
      </x:c>
      <x:c r="K68" s="13" t="str">
        <x:v>https://www.indiraivf.com/sitemap</x:v>
      </x:c>
      <x:c r="L68" s="13" t="str">
        <x:v>https://www.indiraivf.com/ivf-center-in-india</x:v>
      </x:c>
      <x:c r="M68" s="13" t="str">
        <x:v>https://www.google.com/maps/search/?api=1&amp;query=Indira%20IVF%20Nellore%2C%20Nellore%2C%20Andhra%20Pradesh%2C%20India</x:v>
      </x:c>
      <x:c r="N68" s="13" t="str">
        <x:v>Public centre page listed in official sitemap. Directory headline reports 210 centres; sitemap exposes 199 centre pages.</x:v>
      </x:c>
    </x:row>
    <x:row r="69">
      <x:c r="A69" s="13" t="str">
        <x:v>Indira IVF</x:v>
      </x:c>
      <x:c r="B69" s="13" t="str">
        <x:v>Purnia</x:v>
      </x:c>
      <x:c r="C69" s="13" t="str">
        <x:v>Purnia</x:v>
      </x:c>
      <x:c r="D69" s="13" t="str">
        <x:v>Bihar</x:v>
      </x:c>
      <x:c r="E69" s="13" t="str">
        <x:v>Purnia, Bihar, India</x:v>
      </x:c>
      <x:c r="F69" s="13" t="str">
        <x:v>Locality/city normalized from official centre-page title</x:v>
      </x:c>
      <x:c r="G69" s="16" t="n">
        <x:v>25.77895</x:v>
      </x:c>
      <x:c r="H69" s="16" t="n">
        <x:v>87.47422</x:v>
      </x:c>
      <x:c r="I69" s="13" t="str">
        <x:v>Parent-city centroid (map visualization; not clinic-door geocode)</x:v>
      </x:c>
      <x:c r="J69" s="13" t="str">
        <x:v>Official sitemap-listed</x:v>
      </x:c>
      <x:c r="K69" s="13" t="str">
        <x:v>https://www.indiraivf.com/sitemap</x:v>
      </x:c>
      <x:c r="L69" s="13" t="str">
        <x:v>https://www.indiraivf.com/ivf-center-in-india</x:v>
      </x:c>
      <x:c r="M69" s="13" t="str">
        <x:v>https://www.google.com/maps/search/?api=1&amp;query=Indira%20IVF%20Purnia%2C%20Purnia%2C%20Bihar%2C%20India</x:v>
      </x:c>
      <x:c r="N69" s="13" t="str">
        <x:v>Public centre page listed in official sitemap. Directory headline reports 210 centres; sitemap exposes 199 centre pages.</x:v>
      </x:c>
    </x:row>
    <x:row r="70">
      <x:c r="A70" s="13" t="str">
        <x:v>Indira IVF</x:v>
      </x:c>
      <x:c r="B70" s="13" t="str">
        <x:v>Valsad</x:v>
      </x:c>
      <x:c r="C70" s="13" t="str">
        <x:v>Valsad</x:v>
      </x:c>
      <x:c r="D70" s="13" t="str">
        <x:v>Gujarat</x:v>
      </x:c>
      <x:c r="E70" s="13" t="str">
        <x:v>Valsad, Gujarat, India</x:v>
      </x:c>
      <x:c r="F70" s="13" t="str">
        <x:v>Locality/city normalized from official centre-page title</x:v>
      </x:c>
      <x:c r="G70" s="16" t="n">
        <x:v>20.61013</x:v>
      </x:c>
      <x:c r="H70" s="16" t="n">
        <x:v>72.93428</x:v>
      </x:c>
      <x:c r="I70" s="13" t="str">
        <x:v>Parent-city centroid (map visualization; not clinic-door geocode)</x:v>
      </x:c>
      <x:c r="J70" s="13" t="str">
        <x:v>Official sitemap-listed</x:v>
      </x:c>
      <x:c r="K70" s="13" t="str">
        <x:v>https://www.indiraivf.com/sitemap</x:v>
      </x:c>
      <x:c r="L70" s="13" t="str">
        <x:v>https://www.indiraivf.com/ivf-center-in-india</x:v>
      </x:c>
      <x:c r="M70" s="13" t="str">
        <x:v>https://www.google.com/maps/search/?api=1&amp;query=Indira%20IVF%20Valsad%2C%20Valsad%2C%20Gujarat%2C%20India</x:v>
      </x:c>
      <x:c r="N70" s="13" t="str">
        <x:v>Public centre page listed in official sitemap. Directory headline reports 210 centres; sitemap exposes 199 centre pages.</x:v>
      </x:c>
    </x:row>
    <x:row r="71">
      <x:c r="A71" s="13" t="str">
        <x:v>Indira IVF</x:v>
      </x:c>
      <x:c r="B71" s="13" t="str">
        <x:v>Kalyanpur</x:v>
      </x:c>
      <x:c r="C71" s="13" t="str">
        <x:v>Kanpur</x:v>
      </x:c>
      <x:c r="D71" s="13" t="str">
        <x:v>Uttar Pradesh</x:v>
      </x:c>
      <x:c r="E71" s="13" t="str">
        <x:v>Kalyanpur, Kanpur, Uttar Pradesh, India</x:v>
      </x:c>
      <x:c r="F71" s="13" t="str">
        <x:v>Locality/city normalized from official centre-page title</x:v>
      </x:c>
      <x:c r="G71" s="16" t="n">
        <x:v>26.46523</x:v>
      </x:c>
      <x:c r="H71" s="16" t="n">
        <x:v>80.34975</x:v>
      </x:c>
      <x:c r="I71" s="13" t="str">
        <x:v>Parent-city centroid (map visualization; not clinic-door geocode)</x:v>
      </x:c>
      <x:c r="J71" s="13" t="str">
        <x:v>Official sitemap-listed</x:v>
      </x:c>
      <x:c r="K71" s="13" t="str">
        <x:v>https://www.indiraivf.com/sitemap</x:v>
      </x:c>
      <x:c r="L71" s="13" t="str">
        <x:v>https://www.indiraivf.com/ivf-center-in-india</x:v>
      </x:c>
      <x:c r="M71" s="13" t="str">
        <x:v>https://www.google.com/maps/search/?api=1&amp;query=Indira%20IVF%20Kalyanpur%2C%20Kanpur%2C%20Uttar%20Pradesh%2C%20India</x:v>
      </x:c>
      <x:c r="N71" s="13" t="str">
        <x:v>Public centre page listed in official sitemap. Directory headline reports 210 centres; sitemap exposes 199 centre pages.</x:v>
      </x:c>
    </x:row>
    <x:row r="72">
      <x:c r="A72" s="13" t="str">
        <x:v>Indira IVF</x:v>
      </x:c>
      <x:c r="B72" s="13" t="str">
        <x:v>Dhule</x:v>
      </x:c>
      <x:c r="C72" s="13" t="str">
        <x:v>Dhule</x:v>
      </x:c>
      <x:c r="D72" s="13" t="str">
        <x:v>Maharashtra</x:v>
      </x:c>
      <x:c r="E72" s="13" t="str">
        <x:v>Dhule, Maharashtra, India</x:v>
      </x:c>
      <x:c r="F72" s="13" t="str">
        <x:v>Locality/city normalized from official centre-page title</x:v>
      </x:c>
      <x:c r="G72" s="16" t="n">
        <x:v>20.9013</x:v>
      </x:c>
      <x:c r="H72" s="16" t="n">
        <x:v>74.77737</x:v>
      </x:c>
      <x:c r="I72" s="13" t="str">
        <x:v>Parent-city centroid (map visualization; not clinic-door geocode)</x:v>
      </x:c>
      <x:c r="J72" s="13" t="str">
        <x:v>Official sitemap-listed</x:v>
      </x:c>
      <x:c r="K72" s="13" t="str">
        <x:v>https://www.indiraivf.com/sitemap</x:v>
      </x:c>
      <x:c r="L72" s="13" t="str">
        <x:v>https://www.indiraivf.com/ivf-center-in-india</x:v>
      </x:c>
      <x:c r="M72" s="13" t="str">
        <x:v>https://www.google.com/maps/search/?api=1&amp;query=Indira%20IVF%20Dhule%2C%20Dhule%2C%20Maharashtra%2C%20India</x:v>
      </x:c>
      <x:c r="N72" s="13" t="str">
        <x:v>Public centre page listed in official sitemap. Directory headline reports 210 centres; sitemap exposes 199 centre pages.</x:v>
      </x:c>
    </x:row>
    <x:row r="73">
      <x:c r="A73" s="13" t="str">
        <x:v>Indira IVF</x:v>
      </x:c>
      <x:c r="B73" s="13" t="str">
        <x:v>Swargate</x:v>
      </x:c>
      <x:c r="C73" s="13" t="str">
        <x:v>Pune</x:v>
      </x:c>
      <x:c r="D73" s="13" t="str">
        <x:v>Maharashtra</x:v>
      </x:c>
      <x:c r="E73" s="13" t="str">
        <x:v>Swargate, Pune, Maharashtra, India</x:v>
      </x:c>
      <x:c r="F73" s="13" t="str">
        <x:v>Locality/city normalized from official centre-page title</x:v>
      </x:c>
      <x:c r="G73" s="16" t="n">
        <x:v>18.51957</x:v>
      </x:c>
      <x:c r="H73" s="16" t="n">
        <x:v>73.85535</x:v>
      </x:c>
      <x:c r="I73" s="13" t="str">
        <x:v>Parent-city centroid (map visualization; not clinic-door geocode)</x:v>
      </x:c>
      <x:c r="J73" s="13" t="str">
        <x:v>Official sitemap-listed</x:v>
      </x:c>
      <x:c r="K73" s="13" t="str">
        <x:v>https://www.indiraivf.com/sitemap</x:v>
      </x:c>
      <x:c r="L73" s="13" t="str">
        <x:v>https://www.indiraivf.com/ivf-center-in-india</x:v>
      </x:c>
      <x:c r="M73" s="13" t="str">
        <x:v>https://www.google.com/maps/search/?api=1&amp;query=Indira%20IVF%20Swargate%2C%20Pune%2C%20Maharashtra%2C%20India</x:v>
      </x:c>
      <x:c r="N73" s="13" t="str">
        <x:v>Public centre page listed in official sitemap. Directory headline reports 210 centres; sitemap exposes 199 centre pages.</x:v>
      </x:c>
    </x:row>
    <x:row r="74">
      <x:c r="A74" s="13" t="str">
        <x:v>Indira IVF</x:v>
      </x:c>
      <x:c r="B74" s="13" t="str">
        <x:v>Bopal</x:v>
      </x:c>
      <x:c r="C74" s="13" t="str">
        <x:v>Ahmedabad</x:v>
      </x:c>
      <x:c r="D74" s="13" t="str">
        <x:v>Gujarat</x:v>
      </x:c>
      <x:c r="E74" s="13" t="str">
        <x:v>Bopal, Ahmedabad, Gujarat, India</x:v>
      </x:c>
      <x:c r="F74" s="13" t="str">
        <x:v>Locality/city normalized from official centre-page title</x:v>
      </x:c>
      <x:c r="G74" s="16" t="n">
        <x:v>23.02579</x:v>
      </x:c>
      <x:c r="H74" s="16" t="n">
        <x:v>72.58727</x:v>
      </x:c>
      <x:c r="I74" s="13" t="str">
        <x:v>Parent-city centroid (map visualization; not clinic-door geocode)</x:v>
      </x:c>
      <x:c r="J74" s="13" t="str">
        <x:v>Official sitemap-listed</x:v>
      </x:c>
      <x:c r="K74" s="13" t="str">
        <x:v>https://www.indiraivf.com/sitemap</x:v>
      </x:c>
      <x:c r="L74" s="13" t="str">
        <x:v>https://www.indiraivf.com/ivf-center-in-india</x:v>
      </x:c>
      <x:c r="M74" s="13" t="str">
        <x:v>https://www.google.com/maps/search/?api=1&amp;query=Indira%20IVF%20Bopal%2C%20Ahmedabad%2C%20Gujarat%2C%20India</x:v>
      </x:c>
      <x:c r="N74" s="13" t="str">
        <x:v>Public centre page listed in official sitemap. Directory headline reports 210 centres; sitemap exposes 199 centre pages.</x:v>
      </x:c>
    </x:row>
    <x:row r="75">
      <x:c r="A75" s="13" t="str">
        <x:v>Indira IVF</x:v>
      </x:c>
      <x:c r="B75" s="13" t="str">
        <x:v>Jagatpura</x:v>
      </x:c>
      <x:c r="C75" s="13" t="str">
        <x:v>Jaipur</x:v>
      </x:c>
      <x:c r="D75" s="13" t="str">
        <x:v>Rajasthan</x:v>
      </x:c>
      <x:c r="E75" s="13" t="str">
        <x:v>Jagatpura, Jaipur, Rajasthan, India</x:v>
      </x:c>
      <x:c r="F75" s="13" t="str">
        <x:v>Locality/city normalized from official centre-page title</x:v>
      </x:c>
      <x:c r="G75" s="16" t="n">
        <x:v>26.91962</x:v>
      </x:c>
      <x:c r="H75" s="16" t="n">
        <x:v>75.78781</x:v>
      </x:c>
      <x:c r="I75" s="13" t="str">
        <x:v>Parent-city centroid (map visualization; not clinic-door geocode)</x:v>
      </x:c>
      <x:c r="J75" s="13" t="str">
        <x:v>Official sitemap-listed</x:v>
      </x:c>
      <x:c r="K75" s="13" t="str">
        <x:v>https://www.indiraivf.com/sitemap</x:v>
      </x:c>
      <x:c r="L75" s="13" t="str">
        <x:v>https://www.indiraivf.com/ivf-center-in-india</x:v>
      </x:c>
      <x:c r="M75" s="13" t="str">
        <x:v>https://www.google.com/maps/search/?api=1&amp;query=Indira%20IVF%20Jagatpura%2C%20Jaipur%2C%20Rajasthan%2C%20India</x:v>
      </x:c>
      <x:c r="N75" s="13" t="str">
        <x:v>Public centre page listed in official sitemap. Directory headline reports 210 centres; sitemap exposes 199 centre pages.</x:v>
      </x:c>
    </x:row>
    <x:row r="76">
      <x:c r="A76" s="13" t="str">
        <x:v>Indira IVF</x:v>
      </x:c>
      <x:c r="B76" s="13" t="str">
        <x:v>Ambegaon Budruk</x:v>
      </x:c>
      <x:c r="C76" s="13" t="str">
        <x:v>Pune</x:v>
      </x:c>
      <x:c r="D76" s="13" t="str">
        <x:v>Maharashtra</x:v>
      </x:c>
      <x:c r="E76" s="13" t="str">
        <x:v>Ambegaon Budruk, Pune, Maharashtra, India</x:v>
      </x:c>
      <x:c r="F76" s="13" t="str">
        <x:v>Locality/city normalized from official centre-page title</x:v>
      </x:c>
      <x:c r="G76" s="16" t="n">
        <x:v>18.51957</x:v>
      </x:c>
      <x:c r="H76" s="16" t="n">
        <x:v>73.85535</x:v>
      </x:c>
      <x:c r="I76" s="13" t="str">
        <x:v>Parent-city centroid (map visualization; not clinic-door geocode)</x:v>
      </x:c>
      <x:c r="J76" s="13" t="str">
        <x:v>Official sitemap-listed</x:v>
      </x:c>
      <x:c r="K76" s="13" t="str">
        <x:v>https://www.indiraivf.com/sitemap</x:v>
      </x:c>
      <x:c r="L76" s="13" t="str">
        <x:v>https://www.indiraivf.com/ivf-center-in-india</x:v>
      </x:c>
      <x:c r="M76" s="13" t="str">
        <x:v>https://www.google.com/maps/search/?api=1&amp;query=Indira%20IVF%20Ambegaon%20Budruk%2C%20Pune%2C%20Maharashtra%2C%20India</x:v>
      </x:c>
      <x:c r="N76" s="13" t="str">
        <x:v>Public centre page listed in official sitemap. Directory headline reports 210 centres; sitemap exposes 199 centre pages.</x:v>
      </x:c>
    </x:row>
    <x:row r="77">
      <x:c r="A77" s="13" t="str">
        <x:v>Indira IVF</x:v>
      </x:c>
      <x:c r="B77" s="13" t="str">
        <x:v>Yelahanka</x:v>
      </x:c>
      <x:c r="C77" s="13" t="str">
        <x:v>Bengaluru</x:v>
      </x:c>
      <x:c r="D77" s="13" t="str">
        <x:v>Karnataka</x:v>
      </x:c>
      <x:c r="E77" s="13" t="str">
        <x:v>Yelahanka, Bengaluru, Karnataka, India</x:v>
      </x:c>
      <x:c r="F77" s="13" t="str">
        <x:v>Locality/city normalized from official centre-page title</x:v>
      </x:c>
      <x:c r="G77" s="16" t="n">
        <x:v>12.97194</x:v>
      </x:c>
      <x:c r="H77" s="16" t="n">
        <x:v>77.59369</x:v>
      </x:c>
      <x:c r="I77" s="13" t="str">
        <x:v>Parent-city centroid (map visualization; not clinic-door geocode)</x:v>
      </x:c>
      <x:c r="J77" s="13" t="str">
        <x:v>Official sitemap-listed</x:v>
      </x:c>
      <x:c r="K77" s="13" t="str">
        <x:v>https://www.indiraivf.com/sitemap</x:v>
      </x:c>
      <x:c r="L77" s="13" t="str">
        <x:v>https://www.indiraivf.com/ivf-center-in-india</x:v>
      </x:c>
      <x:c r="M77" s="13" t="str">
        <x:v>https://www.google.com/maps/search/?api=1&amp;query=Indira%20IVF%20Yelahanka%2C%20Bengaluru%2C%20Karnataka%2C%20India</x:v>
      </x:c>
      <x:c r="N77" s="13" t="str">
        <x:v>Public centre page listed in official sitemap. Directory headline reports 210 centres; sitemap exposes 199 centre pages.</x:v>
      </x:c>
    </x:row>
    <x:row r="78">
      <x:c r="A78" s="13" t="str">
        <x:v>Indira IVF</x:v>
      </x:c>
      <x:c r="B78" s="13" t="str">
        <x:v>Nagarbhavi</x:v>
      </x:c>
      <x:c r="C78" s="13" t="str">
        <x:v>Bengaluru</x:v>
      </x:c>
      <x:c r="D78" s="13" t="str">
        <x:v>Karnataka</x:v>
      </x:c>
      <x:c r="E78" s="13" t="str">
        <x:v>Nagarbhavi, Bengaluru, Karnataka, India</x:v>
      </x:c>
      <x:c r="F78" s="13" t="str">
        <x:v>Locality/city normalized from official centre-page title</x:v>
      </x:c>
      <x:c r="G78" s="16" t="n">
        <x:v>12.97194</x:v>
      </x:c>
      <x:c r="H78" s="16" t="n">
        <x:v>77.59369</x:v>
      </x:c>
      <x:c r="I78" s="13" t="str">
        <x:v>Parent-city centroid (map visualization; not clinic-door geocode)</x:v>
      </x:c>
      <x:c r="J78" s="13" t="str">
        <x:v>Official sitemap-listed</x:v>
      </x:c>
      <x:c r="K78" s="13" t="str">
        <x:v>https://www.indiraivf.com/sitemap</x:v>
      </x:c>
      <x:c r="L78" s="13" t="str">
        <x:v>https://www.indiraivf.com/ivf-center-in-india</x:v>
      </x:c>
      <x:c r="M78" s="13" t="str">
        <x:v>https://www.google.com/maps/search/?api=1&amp;query=Indira%20IVF%20Nagarbhavi%2C%20Bengaluru%2C%20Karnataka%2C%20India</x:v>
      </x:c>
      <x:c r="N78" s="13" t="str">
        <x:v>Public centre page listed in official sitemap. Directory headline reports 210 centres; sitemap exposes 199 centre pages.</x:v>
      </x:c>
    </x:row>
    <x:row r="79">
      <x:c r="A79" s="13" t="str">
        <x:v>Indira IVF</x:v>
      </x:c>
      <x:c r="B79" s="13" t="str">
        <x:v>Baramati</x:v>
      </x:c>
      <x:c r="C79" s="13" t="str">
        <x:v>Baramati</x:v>
      </x:c>
      <x:c r="D79" s="13" t="str">
        <x:v>Maharashtra</x:v>
      </x:c>
      <x:c r="E79" s="13" t="str">
        <x:v>Baramati, Maharashtra, India</x:v>
      </x:c>
      <x:c r="F79" s="13" t="str">
        <x:v>Locality/city normalized from official centre-page title</x:v>
      </x:c>
      <x:c r="G79" s="16" t="n">
        <x:v>18.15174</x:v>
      </x:c>
      <x:c r="H79" s="16" t="n">
        <x:v>74.57767</x:v>
      </x:c>
      <x:c r="I79" s="13" t="str">
        <x:v>Parent-city centroid (map visualization; not clinic-door geocode)</x:v>
      </x:c>
      <x:c r="J79" s="13" t="str">
        <x:v>Official sitemap-listed</x:v>
      </x:c>
      <x:c r="K79" s="13" t="str">
        <x:v>https://www.indiraivf.com/sitemap</x:v>
      </x:c>
      <x:c r="L79" s="13" t="str">
        <x:v>https://www.indiraivf.com/ivf-center-in-india</x:v>
      </x:c>
      <x:c r="M79" s="13" t="str">
        <x:v>https://www.google.com/maps/search/?api=1&amp;query=Indira%20IVF%20Baramati%2C%20Baramati%2C%20Maharashtra%2C%20India</x:v>
      </x:c>
      <x:c r="N79" s="13" t="str">
        <x:v>Public centre page listed in official sitemap. Directory headline reports 210 centres; sitemap exposes 199 centre pages.</x:v>
      </x:c>
    </x:row>
    <x:row r="80">
      <x:c r="A80" s="13" t="str">
        <x:v>Indira IVF</x:v>
      </x:c>
      <x:c r="B80" s="13" t="str">
        <x:v>Alambagh</x:v>
      </x:c>
      <x:c r="C80" s="13" t="str">
        <x:v>Lucknow</x:v>
      </x:c>
      <x:c r="D80" s="13" t="str">
        <x:v>Uttar Pradesh</x:v>
      </x:c>
      <x:c r="E80" s="13" t="str">
        <x:v>Alambagh, Lucknow, Uttar Pradesh, India</x:v>
      </x:c>
      <x:c r="F80" s="13" t="str">
        <x:v>Locality/city normalized from official centre-page title</x:v>
      </x:c>
      <x:c r="G80" s="16" t="n">
        <x:v>26.83928</x:v>
      </x:c>
      <x:c r="H80" s="16" t="n">
        <x:v>80.92313</x:v>
      </x:c>
      <x:c r="I80" s="13" t="str">
        <x:v>Parent-city centroid (map visualization; not clinic-door geocode)</x:v>
      </x:c>
      <x:c r="J80" s="13" t="str">
        <x:v>Official sitemap-listed</x:v>
      </x:c>
      <x:c r="K80" s="13" t="str">
        <x:v>https://www.indiraivf.com/sitemap</x:v>
      </x:c>
      <x:c r="L80" s="13" t="str">
        <x:v>https://www.indiraivf.com/ivf-center-in-india</x:v>
      </x:c>
      <x:c r="M80" s="13" t="str">
        <x:v>https://www.google.com/maps/search/?api=1&amp;query=Indira%20IVF%20Alambagh%2C%20Lucknow%2C%20Uttar%20Pradesh%2C%20India</x:v>
      </x:c>
      <x:c r="N80" s="13" t="str">
        <x:v>Public centre page listed in official sitemap. Directory headline reports 210 centres; sitemap exposes 199 centre pages.</x:v>
      </x:c>
    </x:row>
    <x:row r="81">
      <x:c r="A81" s="13" t="str">
        <x:v>Indira IVF</x:v>
      </x:c>
      <x:c r="B81" s="13" t="str">
        <x:v>Bilaspur, Haryana</x:v>
      </x:c>
      <x:c r="C81" s="13" t="str">
        <x:v>Bilaspur</x:v>
      </x:c>
      <x:c r="D81" s="13" t="str">
        <x:v>Haryana</x:v>
      </x:c>
      <x:c r="E81" s="13" t="str">
        <x:v>Bilaspur, Haryana, Bilaspur, Haryana, India</x:v>
      </x:c>
      <x:c r="F81" s="13" t="str">
        <x:v>Locality/city normalized from official centre-page title</x:v>
      </x:c>
      <x:c r="G81" s="16" t="n">
        <x:v>30.304</x:v>
      </x:c>
      <x:c r="H81" s="16" t="n">
        <x:v>77.304</x:v>
      </x:c>
      <x:c r="I81" s="13" t="str">
        <x:v>Parent-city centroid (map visualization; not clinic-door geocode)</x:v>
      </x:c>
      <x:c r="J81" s="13" t="str">
        <x:v>Official sitemap-listed</x:v>
      </x:c>
      <x:c r="K81" s="13" t="str">
        <x:v>https://www.indiraivf.com/sitemap</x:v>
      </x:c>
      <x:c r="L81" s="13" t="str">
        <x:v>https://www.indiraivf.com/ivf-center-in-india</x:v>
      </x:c>
      <x:c r="M81" s="13" t="str">
        <x:v>https://www.google.com/maps/search/?api=1&amp;query=Indira%20IVF%20Bilaspur%2C%20Haryana%2C%20Bilaspur%2C%20Haryana%2C%20India</x:v>
      </x:c>
      <x:c r="N81" s="13" t="str">
        <x:v>Public centre page listed in official sitemap. Directory headline reports 210 centres; sitemap exposes 199 centre pages.</x:v>
      </x:c>
    </x:row>
    <x:row r="82">
      <x:c r="A82" s="13" t="str">
        <x:v>Indira IVF</x:v>
      </x:c>
      <x:c r="B82" s="13" t="str">
        <x:v>Ballia</x:v>
      </x:c>
      <x:c r="C82" s="13" t="str">
        <x:v>Ballia</x:v>
      </x:c>
      <x:c r="D82" s="13" t="str">
        <x:v>Uttar Pradesh</x:v>
      </x:c>
      <x:c r="E82" s="13" t="str">
        <x:v>Ballia, Uttar Pradesh, India</x:v>
      </x:c>
      <x:c r="F82" s="13" t="str">
        <x:v>Locality/city normalized from official centre-page title</x:v>
      </x:c>
      <x:c r="G82" s="16" t="n">
        <x:v>25.7607</x:v>
      </x:c>
      <x:c r="H82" s="16" t="n">
        <x:v>84.1471</x:v>
      </x:c>
      <x:c r="I82" s="13" t="str">
        <x:v>Parent-city centroid (map visualization; not clinic-door geocode)</x:v>
      </x:c>
      <x:c r="J82" s="13" t="str">
        <x:v>Official sitemap-listed</x:v>
      </x:c>
      <x:c r="K82" s="13" t="str">
        <x:v>https://www.indiraivf.com/sitemap</x:v>
      </x:c>
      <x:c r="L82" s="13" t="str">
        <x:v>https://www.indiraivf.com/ivf-center-in-india</x:v>
      </x:c>
      <x:c r="M82" s="13" t="str">
        <x:v>https://www.google.com/maps/search/?api=1&amp;query=Indira%20IVF%20Ballia%2C%20Ballia%2C%20Uttar%20Pradesh%2C%20India</x:v>
      </x:c>
      <x:c r="N82" s="13" t="str">
        <x:v>Public centre page listed in official sitemap. Directory headline reports 210 centres; sitemap exposes 199 centre pages.</x:v>
      </x:c>
    </x:row>
    <x:row r="83">
      <x:c r="A83" s="13" t="str">
        <x:v>Indira IVF</x:v>
      </x:c>
      <x:c r="B83" s="13" t="str">
        <x:v>Jalgaon</x:v>
      </x:c>
      <x:c r="C83" s="13" t="str">
        <x:v>Jalgaon</x:v>
      </x:c>
      <x:c r="D83" s="13" t="str">
        <x:v>Maharashtra</x:v>
      </x:c>
      <x:c r="E83" s="13" t="str">
        <x:v>Jalgaon, Maharashtra, India</x:v>
      </x:c>
      <x:c r="F83" s="13" t="str">
        <x:v>Locality/city normalized from official centre-page title</x:v>
      </x:c>
      <x:c r="G83" s="16" t="n">
        <x:v>21.00292</x:v>
      </x:c>
      <x:c r="H83" s="16" t="n">
        <x:v>75.56602</x:v>
      </x:c>
      <x:c r="I83" s="13" t="str">
        <x:v>Parent-city centroid (map visualization; not clinic-door geocode)</x:v>
      </x:c>
      <x:c r="J83" s="13" t="str">
        <x:v>Official sitemap-listed</x:v>
      </x:c>
      <x:c r="K83" s="13" t="str">
        <x:v>https://www.indiraivf.com/sitemap</x:v>
      </x:c>
      <x:c r="L83" s="13" t="str">
        <x:v>https://www.indiraivf.com/ivf-center-in-india</x:v>
      </x:c>
      <x:c r="M83" s="13" t="str">
        <x:v>https://www.google.com/maps/search/?api=1&amp;query=Indira%20IVF%20Jalgaon%2C%20Jalgaon%2C%20Maharashtra%2C%20India</x:v>
      </x:c>
      <x:c r="N83" s="13" t="str">
        <x:v>Public centre page listed in official sitemap. Directory headline reports 210 centres; sitemap exposes 199 centre pages.</x:v>
      </x:c>
    </x:row>
    <x:row r="84">
      <x:c r="A84" s="13" t="str">
        <x:v>Indira IVF</x:v>
      </x:c>
      <x:c r="B84" s="13" t="str">
        <x:v>Hanamkonda (Warangal)</x:v>
      </x:c>
      <x:c r="C84" s="13" t="str">
        <x:v>Warangal</x:v>
      </x:c>
      <x:c r="D84" s="13" t="str">
        <x:v>Telangana</x:v>
      </x:c>
      <x:c r="E84" s="13" t="str">
        <x:v>Hanamkonda (Warangal), Warangal, Telangana, India</x:v>
      </x:c>
      <x:c r="F84" s="13" t="str">
        <x:v>Locality/city normalized from official centre-page title</x:v>
      </x:c>
      <x:c r="G84" s="16" t="n">
        <x:v>18</x:v>
      </x:c>
      <x:c r="H84" s="16" t="n">
        <x:v>79.58333</x:v>
      </x:c>
      <x:c r="I84" s="13" t="str">
        <x:v>Parent-city centroid (map visualization; not clinic-door geocode)</x:v>
      </x:c>
      <x:c r="J84" s="13" t="str">
        <x:v>Official sitemap-listed</x:v>
      </x:c>
      <x:c r="K84" s="13" t="str">
        <x:v>https://www.indiraivf.com/sitemap</x:v>
      </x:c>
      <x:c r="L84" s="13" t="str">
        <x:v>https://www.indiraivf.com/ivf-center-in-india</x:v>
      </x:c>
      <x:c r="M84" s="13" t="str">
        <x:v>https://www.google.com/maps/search/?api=1&amp;query=Indira%20IVF%20Hanamkonda%20%28Warangal%29%2C%20Warangal%2C%20Telangana%2C%20India</x:v>
      </x:c>
      <x:c r="N84" s="13" t="str">
        <x:v>Public centre page listed in official sitemap. Directory headline reports 210 centres; sitemap exposes 199 centre pages.</x:v>
      </x:c>
    </x:row>
    <x:row r="85">
      <x:c r="A85" s="13" t="str">
        <x:v>Indira IVF</x:v>
      </x:c>
      <x:c r="B85" s="13" t="str">
        <x:v>Darbhanga</x:v>
      </x:c>
      <x:c r="C85" s="13" t="str">
        <x:v>Darbhanga</x:v>
      </x:c>
      <x:c r="D85" s="13" t="str">
        <x:v>Bihar</x:v>
      </x:c>
      <x:c r="E85" s="13" t="str">
        <x:v>Darbhanga, Bihar, India</x:v>
      </x:c>
      <x:c r="F85" s="13" t="str">
        <x:v>Locality/city normalized from official centre-page title</x:v>
      </x:c>
      <x:c r="G85" s="16" t="n">
        <x:v>26.15216</x:v>
      </x:c>
      <x:c r="H85" s="16" t="n">
        <x:v>85.89707</x:v>
      </x:c>
      <x:c r="I85" s="13" t="str">
        <x:v>Parent-city centroid (map visualization; not clinic-door geocode)</x:v>
      </x:c>
      <x:c r="J85" s="13" t="str">
        <x:v>Official sitemap-listed</x:v>
      </x:c>
      <x:c r="K85" s="13" t="str">
        <x:v>https://www.indiraivf.com/sitemap</x:v>
      </x:c>
      <x:c r="L85" s="13" t="str">
        <x:v>https://www.indiraivf.com/ivf-center-in-india</x:v>
      </x:c>
      <x:c r="M85" s="13" t="str">
        <x:v>https://www.google.com/maps/search/?api=1&amp;query=Indira%20IVF%20Darbhanga%2C%20Darbhanga%2C%20Bihar%2C%20India</x:v>
      </x:c>
      <x:c r="N85" s="13" t="str">
        <x:v>Public centre page listed in official sitemap. Directory headline reports 210 centres; sitemap exposes 199 centre pages.</x:v>
      </x:c>
    </x:row>
    <x:row r="86">
      <x:c r="A86" s="13" t="str">
        <x:v>Indira IVF</x:v>
      </x:c>
      <x:c r="B86" s="13" t="str">
        <x:v>Dhanbad</x:v>
      </x:c>
      <x:c r="C86" s="13" t="str">
        <x:v>Dhanbad</x:v>
      </x:c>
      <x:c r="D86" s="13" t="str">
        <x:v>Jharkhand</x:v>
      </x:c>
      <x:c r="E86" s="13" t="str">
        <x:v>Dhanbad, Jharkhand, India</x:v>
      </x:c>
      <x:c r="F86" s="13" t="str">
        <x:v>Locality/city normalized from official centre-page title</x:v>
      </x:c>
      <x:c r="G86" s="16" t="n">
        <x:v>23.79759</x:v>
      </x:c>
      <x:c r="H86" s="16" t="n">
        <x:v>86.42992</x:v>
      </x:c>
      <x:c r="I86" s="13" t="str">
        <x:v>Parent-city centroid (map visualization; not clinic-door geocode)</x:v>
      </x:c>
      <x:c r="J86" s="13" t="str">
        <x:v>Official sitemap-listed</x:v>
      </x:c>
      <x:c r="K86" s="13" t="str">
        <x:v>https://www.indiraivf.com/sitemap</x:v>
      </x:c>
      <x:c r="L86" s="13" t="str">
        <x:v>https://www.indiraivf.com/ivf-center-in-india</x:v>
      </x:c>
      <x:c r="M86" s="13" t="str">
        <x:v>https://www.google.com/maps/search/?api=1&amp;query=Indira%20IVF%20Dhanbad%2C%20Dhanbad%2C%20Jharkhand%2C%20India</x:v>
      </x:c>
      <x:c r="N86" s="13" t="str">
        <x:v>Public centre page listed in official sitemap. Directory headline reports 210 centres; sitemap exposes 199 centre pages.</x:v>
      </x:c>
    </x:row>
    <x:row r="87">
      <x:c r="A87" s="13" t="str">
        <x:v>Indira IVF</x:v>
      </x:c>
      <x:c r="B87" s="13" t="str">
        <x:v>Kota</x:v>
      </x:c>
      <x:c r="C87" s="13" t="str">
        <x:v>Kota</x:v>
      </x:c>
      <x:c r="D87" s="13" t="str">
        <x:v>Rajasthan</x:v>
      </x:c>
      <x:c r="E87" s="13" t="str">
        <x:v>Kota, Rajasthan, India</x:v>
      </x:c>
      <x:c r="F87" s="13" t="str">
        <x:v>Locality/city normalized from official centre-page title</x:v>
      </x:c>
      <x:c r="G87" s="16" t="n">
        <x:v>25.18254</x:v>
      </x:c>
      <x:c r="H87" s="16" t="n">
        <x:v>75.83907</x:v>
      </x:c>
      <x:c r="I87" s="13" t="str">
        <x:v>Parent-city centroid (map visualization; not clinic-door geocode)</x:v>
      </x:c>
      <x:c r="J87" s="13" t="str">
        <x:v>Official sitemap-listed</x:v>
      </x:c>
      <x:c r="K87" s="13" t="str">
        <x:v>https://www.indiraivf.com/sitemap</x:v>
      </x:c>
      <x:c r="L87" s="13" t="str">
        <x:v>https://www.indiraivf.com/ivf-center-in-india</x:v>
      </x:c>
      <x:c r="M87" s="13" t="str">
        <x:v>https://www.google.com/maps/search/?api=1&amp;query=Indira%20IVF%20Kota%2C%20Kota%2C%20Rajasthan%2C%20India</x:v>
      </x:c>
      <x:c r="N87" s="13" t="str">
        <x:v>Public centre page listed in official sitemap. Directory headline reports 210 centres; sitemap exposes 199 centre pages.</x:v>
      </x:c>
    </x:row>
    <x:row r="88">
      <x:c r="A88" s="13" t="str">
        <x:v>Indira IVF</x:v>
      </x:c>
      <x:c r="B88" s="13" t="str">
        <x:v>Noida (Sector 35)</x:v>
      </x:c>
      <x:c r="C88" s="13" t="str">
        <x:v>Noida</x:v>
      </x:c>
      <x:c r="D88" s="13" t="str">
        <x:v>Uttar Pradesh</x:v>
      </x:c>
      <x:c r="E88" s="13" t="str">
        <x:v>Noida (Sector 35), Uttar Pradesh, India</x:v>
      </x:c>
      <x:c r="F88" s="13" t="str">
        <x:v>Locality/city normalized from official centre-page title</x:v>
      </x:c>
      <x:c r="G88" s="16" t="n">
        <x:v>28.58</x:v>
      </x:c>
      <x:c r="H88" s="16" t="n">
        <x:v>77.33</x:v>
      </x:c>
      <x:c r="I88" s="13" t="str">
        <x:v>Parent-city centroid (map visualization; not clinic-door geocode)</x:v>
      </x:c>
      <x:c r="J88" s="13" t="str">
        <x:v>Official sitemap-listed</x:v>
      </x:c>
      <x:c r="K88" s="13" t="str">
        <x:v>https://www.indiraivf.com/sitemap</x:v>
      </x:c>
      <x:c r="L88" s="13" t="str">
        <x:v>https://www.indiraivf.com/ivf-center-in-india</x:v>
      </x:c>
      <x:c r="M88" s="13" t="str">
        <x:v>https://www.google.com/maps/search/?api=1&amp;query=Indira%20IVF%20Noida%20%28Sector%2035%29%2C%20Noida%2C%20Uttar%20Pradesh%2C%20India</x:v>
      </x:c>
      <x:c r="N88" s="13" t="str">
        <x:v>Public centre page listed in official sitemap. Directory headline reports 210 centres; sitemap exposes 199 centre pages.</x:v>
      </x:c>
    </x:row>
    <x:row r="89">
      <x:c r="A89" s="13" t="str">
        <x:v>Indira IVF</x:v>
      </x:c>
      <x:c r="B89" s="13" t="str">
        <x:v>Amravati</x:v>
      </x:c>
      <x:c r="C89" s="13" t="str">
        <x:v>Amravati</x:v>
      </x:c>
      <x:c r="D89" s="13" t="str">
        <x:v>Maharashtra</x:v>
      </x:c>
      <x:c r="E89" s="13" t="str">
        <x:v>Amravati, Maharashtra, India</x:v>
      </x:c>
      <x:c r="F89" s="13" t="str">
        <x:v>Locality/city normalized from official centre-page title</x:v>
      </x:c>
      <x:c r="G89" s="16" t="n">
        <x:v>20.93333</x:v>
      </x:c>
      <x:c r="H89" s="16" t="n">
        <x:v>77.75</x:v>
      </x:c>
      <x:c r="I89" s="13" t="str">
        <x:v>Parent-city centroid (map visualization; not clinic-door geocode)</x:v>
      </x:c>
      <x:c r="J89" s="13" t="str">
        <x:v>Official sitemap-listed</x:v>
      </x:c>
      <x:c r="K89" s="13" t="str">
        <x:v>https://www.indiraivf.com/sitemap</x:v>
      </x:c>
      <x:c r="L89" s="13" t="str">
        <x:v>https://www.indiraivf.com/ivf-center-in-india</x:v>
      </x:c>
      <x:c r="M89" s="13" t="str">
        <x:v>https://www.google.com/maps/search/?api=1&amp;query=Indira%20IVF%20Amravati%2C%20Amravati%2C%20Maharashtra%2C%20India</x:v>
      </x:c>
      <x:c r="N89" s="13" t="str">
        <x:v>Public centre page listed in official sitemap. Directory headline reports 210 centres; sitemap exposes 199 centre pages.</x:v>
      </x:c>
    </x:row>
    <x:row r="90">
      <x:c r="A90" s="13" t="str">
        <x:v>Indira IVF</x:v>
      </x:c>
      <x:c r="B90" s="13" t="str">
        <x:v>Pimpri-Chinchwad</x:v>
      </x:c>
      <x:c r="C90" s="13" t="str">
        <x:v>Pune</x:v>
      </x:c>
      <x:c r="D90" s="13" t="str">
        <x:v>Maharashtra</x:v>
      </x:c>
      <x:c r="E90" s="13" t="str">
        <x:v>Pimpri-Chinchwad, Pune, Maharashtra, India</x:v>
      </x:c>
      <x:c r="F90" s="13" t="str">
        <x:v>Locality/city normalized from official centre-page title</x:v>
      </x:c>
      <x:c r="G90" s="16" t="n">
        <x:v>18.51957</x:v>
      </x:c>
      <x:c r="H90" s="16" t="n">
        <x:v>73.85535</x:v>
      </x:c>
      <x:c r="I90" s="13" t="str">
        <x:v>Parent-city centroid (map visualization; not clinic-door geocode)</x:v>
      </x:c>
      <x:c r="J90" s="13" t="str">
        <x:v>Official sitemap-listed</x:v>
      </x:c>
      <x:c r="K90" s="13" t="str">
        <x:v>https://www.indiraivf.com/sitemap</x:v>
      </x:c>
      <x:c r="L90" s="13" t="str">
        <x:v>https://www.indiraivf.com/ivf-center-in-india</x:v>
      </x:c>
      <x:c r="M90" s="13" t="str">
        <x:v>https://www.google.com/maps/search/?api=1&amp;query=Indira%20IVF%20Pimpri-Chinchwad%2C%20Pune%2C%20Maharashtra%2C%20India</x:v>
      </x:c>
      <x:c r="N90" s="13" t="str">
        <x:v>Public centre page listed in official sitemap. Directory headline reports 210 centres; sitemap exposes 199 centre pages.</x:v>
      </x:c>
    </x:row>
    <x:row r="91">
      <x:c r="A91" s="13" t="str">
        <x:v>Indira IVF</x:v>
      </x:c>
      <x:c r="B91" s="13" t="str">
        <x:v>Latur</x:v>
      </x:c>
      <x:c r="C91" s="13" t="str">
        <x:v>Latur</x:v>
      </x:c>
      <x:c r="D91" s="13" t="str">
        <x:v>Maharashtra</x:v>
      </x:c>
      <x:c r="E91" s="13" t="str">
        <x:v>Latur, Maharashtra, India</x:v>
      </x:c>
      <x:c r="F91" s="13" t="str">
        <x:v>Locality/city normalized from official centre-page title</x:v>
      </x:c>
      <x:c r="G91" s="16" t="n">
        <x:v>18.39721</x:v>
      </x:c>
      <x:c r="H91" s="16" t="n">
        <x:v>76.56784</x:v>
      </x:c>
      <x:c r="I91" s="13" t="str">
        <x:v>Parent-city centroid (map visualization; not clinic-door geocode)</x:v>
      </x:c>
      <x:c r="J91" s="13" t="str">
        <x:v>Official sitemap-listed</x:v>
      </x:c>
      <x:c r="K91" s="13" t="str">
        <x:v>https://www.indiraivf.com/sitemap</x:v>
      </x:c>
      <x:c r="L91" s="13" t="str">
        <x:v>https://www.indiraivf.com/ivf-center-in-india</x:v>
      </x:c>
      <x:c r="M91" s="13" t="str">
        <x:v>https://www.google.com/maps/search/?api=1&amp;query=Indira%20IVF%20Latur%2C%20Latur%2C%20Maharashtra%2C%20India</x:v>
      </x:c>
      <x:c r="N91" s="13" t="str">
        <x:v>Public centre page listed in official sitemap. Directory headline reports 210 centres; sitemap exposes 199 centre pages.</x:v>
      </x:c>
    </x:row>
    <x:row r="92">
      <x:c r="A92" s="13" t="str">
        <x:v>Indira IVF</x:v>
      </x:c>
      <x:c r="B92" s="13" t="str">
        <x:v>Ballari</x:v>
      </x:c>
      <x:c r="C92" s="13" t="str">
        <x:v>Ballari</x:v>
      </x:c>
      <x:c r="D92" s="13" t="str">
        <x:v>Karnataka</x:v>
      </x:c>
      <x:c r="E92" s="13" t="str">
        <x:v>Ballari, Karnataka, India</x:v>
      </x:c>
      <x:c r="F92" s="13" t="str">
        <x:v>Locality/city normalized from official centre-page title</x:v>
      </x:c>
      <x:c r="G92" s="16" t="n">
        <x:v>15.14205</x:v>
      </x:c>
      <x:c r="H92" s="16" t="n">
        <x:v>76.92398</x:v>
      </x:c>
      <x:c r="I92" s="13" t="str">
        <x:v>Parent-city centroid (map visualization; not clinic-door geocode)</x:v>
      </x:c>
      <x:c r="J92" s="13" t="str">
        <x:v>Official sitemap-listed</x:v>
      </x:c>
      <x:c r="K92" s="13" t="str">
        <x:v>https://www.indiraivf.com/sitemap</x:v>
      </x:c>
      <x:c r="L92" s="13" t="str">
        <x:v>https://www.indiraivf.com/ivf-center-in-india</x:v>
      </x:c>
      <x:c r="M92" s="13" t="str">
        <x:v>https://www.google.com/maps/search/?api=1&amp;query=Indira%20IVF%20Ballari%2C%20Ballari%2C%20Karnataka%2C%20India</x:v>
      </x:c>
      <x:c r="N92" s="13" t="str">
        <x:v>Public centre page listed in official sitemap. Directory headline reports 210 centres; sitemap exposes 199 centre pages.</x:v>
      </x:c>
    </x:row>
    <x:row r="93">
      <x:c r="A93" s="13" t="str">
        <x:v>Indira IVF</x:v>
      </x:c>
      <x:c r="B93" s="13" t="str">
        <x:v>Vasant Kunj</x:v>
      </x:c>
      <x:c r="C93" s="13" t="str">
        <x:v>New Delhi</x:v>
      </x:c>
      <x:c r="D93" s="13" t="str">
        <x:v>Delhi</x:v>
      </x:c>
      <x:c r="E93" s="13" t="str">
        <x:v>Vasant Kunj, New Delhi, Delhi, India</x:v>
      </x:c>
      <x:c r="F93" s="13" t="str">
        <x:v>Locality/city normalized from official centre-page title</x:v>
      </x:c>
      <x:c r="G93" s="16" t="n">
        <x:v>28.65195</x:v>
      </x:c>
      <x:c r="H93" s="16" t="n">
        <x:v>77.23149</x:v>
      </x:c>
      <x:c r="I93" s="13" t="str">
        <x:v>Parent-city centroid (map visualization; not clinic-door geocode)</x:v>
      </x:c>
      <x:c r="J93" s="13" t="str">
        <x:v>Official sitemap-listed</x:v>
      </x:c>
      <x:c r="K93" s="13" t="str">
        <x:v>https://www.indiraivf.com/sitemap</x:v>
      </x:c>
      <x:c r="L93" s="13" t="str">
        <x:v>https://www.indiraivf.com/ivf-center-in-india</x:v>
      </x:c>
      <x:c r="M93" s="13" t="str">
        <x:v>https://www.google.com/maps/search/?api=1&amp;query=Indira%20IVF%20Vasant%20Kunj%2C%20New%20Delhi%2C%20Delhi%2C%20India</x:v>
      </x:c>
      <x:c r="N93" s="13" t="str">
        <x:v>Public centre page listed in official sitemap. Directory headline reports 210 centres; sitemap exposes 199 centre pages.</x:v>
      </x:c>
    </x:row>
    <x:row r="94">
      <x:c r="A94" s="13" t="str">
        <x:v>Indira IVF</x:v>
      </x:c>
      <x:c r="B94" s="13" t="str">
        <x:v>Mehsana</x:v>
      </x:c>
      <x:c r="C94" s="13" t="str">
        <x:v>Mehsana</x:v>
      </x:c>
      <x:c r="D94" s="13" t="str">
        <x:v>Gujarat</x:v>
      </x:c>
      <x:c r="E94" s="13" t="str">
        <x:v>Mehsana, Gujarat, India</x:v>
      </x:c>
      <x:c r="F94" s="13" t="str">
        <x:v>Locality/city normalized from official centre-page title</x:v>
      </x:c>
      <x:c r="G94" s="16" t="n">
        <x:v>23.59864</x:v>
      </x:c>
      <x:c r="H94" s="16" t="n">
        <x:v>72.38472</x:v>
      </x:c>
      <x:c r="I94" s="13" t="str">
        <x:v>Parent-city centroid (map visualization; not clinic-door geocode)</x:v>
      </x:c>
      <x:c r="J94" s="13" t="str">
        <x:v>Official sitemap-listed</x:v>
      </x:c>
      <x:c r="K94" s="13" t="str">
        <x:v>https://www.indiraivf.com/sitemap</x:v>
      </x:c>
      <x:c r="L94" s="13" t="str">
        <x:v>https://www.indiraivf.com/ivf-center-in-india</x:v>
      </x:c>
      <x:c r="M94" s="13" t="str">
        <x:v>https://www.google.com/maps/search/?api=1&amp;query=Indira%20IVF%20Mehsana%2C%20Mehsana%2C%20Gujarat%2C%20India</x:v>
      </x:c>
      <x:c r="N94" s="13" t="str">
        <x:v>Public centre page listed in official sitemap. Directory headline reports 210 centres; sitemap exposes 199 centre pages.</x:v>
      </x:c>
    </x:row>
    <x:row r="95">
      <x:c r="A95" s="13" t="str">
        <x:v>Indira IVF</x:v>
      </x:c>
      <x:c r="B95" s="13" t="str">
        <x:v>Davanagere</x:v>
      </x:c>
      <x:c r="C95" s="13" t="str">
        <x:v>Davanagere</x:v>
      </x:c>
      <x:c r="D95" s="13" t="str">
        <x:v>Karnataka</x:v>
      </x:c>
      <x:c r="E95" s="13" t="str">
        <x:v>Davanagere, Karnataka, India</x:v>
      </x:c>
      <x:c r="F95" s="13" t="str">
        <x:v>Locality/city normalized from official centre-page title</x:v>
      </x:c>
      <x:c r="G95" s="16" t="n">
        <x:v>14.46693</x:v>
      </x:c>
      <x:c r="H95" s="16" t="n">
        <x:v>75.92694</x:v>
      </x:c>
      <x:c r="I95" s="13" t="str">
        <x:v>Parent-city centroid (map visualization; not clinic-door geocode)</x:v>
      </x:c>
      <x:c r="J95" s="13" t="str">
        <x:v>Official sitemap-listed</x:v>
      </x:c>
      <x:c r="K95" s="13" t="str">
        <x:v>https://www.indiraivf.com/sitemap</x:v>
      </x:c>
      <x:c r="L95" s="13" t="str">
        <x:v>https://www.indiraivf.com/ivf-center-in-india</x:v>
      </x:c>
      <x:c r="M95" s="13" t="str">
        <x:v>https://www.google.com/maps/search/?api=1&amp;query=Indira%20IVF%20Davanagere%2C%20Davanagere%2C%20Karnataka%2C%20India</x:v>
      </x:c>
      <x:c r="N95" s="13" t="str">
        <x:v>Public centre page listed in official sitemap. Directory headline reports 210 centres; sitemap exposes 199 centre pages.</x:v>
      </x:c>
    </x:row>
    <x:row r="96">
      <x:c r="A96" s="13" t="str">
        <x:v>Indira IVF</x:v>
      </x:c>
      <x:c r="B96" s="13" t="str">
        <x:v>Sambalpur</x:v>
      </x:c>
      <x:c r="C96" s="13" t="str">
        <x:v>Sambalpur</x:v>
      </x:c>
      <x:c r="D96" s="13" t="str">
        <x:v>Odisha</x:v>
      </x:c>
      <x:c r="E96" s="13" t="str">
        <x:v>Sambalpur, Odisha, India</x:v>
      </x:c>
      <x:c r="F96" s="13" t="str">
        <x:v>Locality/city normalized from official centre-page title</x:v>
      </x:c>
      <x:c r="G96" s="16" t="n">
        <x:v>21.46527</x:v>
      </x:c>
      <x:c r="H96" s="16" t="n">
        <x:v>83.97573</x:v>
      </x:c>
      <x:c r="I96" s="13" t="str">
        <x:v>Parent-city centroid (map visualization; not clinic-door geocode)</x:v>
      </x:c>
      <x:c r="J96" s="13" t="str">
        <x:v>Official sitemap-listed</x:v>
      </x:c>
      <x:c r="K96" s="13" t="str">
        <x:v>https://www.indiraivf.com/sitemap</x:v>
      </x:c>
      <x:c r="L96" s="13" t="str">
        <x:v>https://www.indiraivf.com/ivf-center-in-india</x:v>
      </x:c>
      <x:c r="M96" s="13" t="str">
        <x:v>https://www.google.com/maps/search/?api=1&amp;query=Indira%20IVF%20Sambalpur%2C%20Sambalpur%2C%20Odisha%2C%20India</x:v>
      </x:c>
      <x:c r="N96" s="13" t="str">
        <x:v>Public centre page listed in official sitemap. Directory headline reports 210 centres; sitemap exposes 199 centre pages.</x:v>
      </x:c>
    </x:row>
    <x:row r="97">
      <x:c r="A97" s="13" t="str">
        <x:v>Indira IVF</x:v>
      </x:c>
      <x:c r="B97" s="13" t="str">
        <x:v>Moradabad</x:v>
      </x:c>
      <x:c r="C97" s="13" t="str">
        <x:v>Moradabad</x:v>
      </x:c>
      <x:c r="D97" s="13" t="str">
        <x:v>Uttar Pradesh</x:v>
      </x:c>
      <x:c r="E97" s="13" t="str">
        <x:v>Moradabad, Uttar Pradesh, India</x:v>
      </x:c>
      <x:c r="F97" s="13" t="str">
        <x:v>Locality/city normalized from official centre-page title</x:v>
      </x:c>
      <x:c r="G97" s="16" t="n">
        <x:v>28.83893</x:v>
      </x:c>
      <x:c r="H97" s="16" t="n">
        <x:v>78.77684</x:v>
      </x:c>
      <x:c r="I97" s="13" t="str">
        <x:v>Parent-city centroid (map visualization; not clinic-door geocode)</x:v>
      </x:c>
      <x:c r="J97" s="13" t="str">
        <x:v>Official sitemap-listed</x:v>
      </x:c>
      <x:c r="K97" s="13" t="str">
        <x:v>https://www.indiraivf.com/sitemap</x:v>
      </x:c>
      <x:c r="L97" s="13" t="str">
        <x:v>https://www.indiraivf.com/ivf-center-in-india</x:v>
      </x:c>
      <x:c r="M97" s="13" t="str">
        <x:v>https://www.google.com/maps/search/?api=1&amp;query=Indira%20IVF%20Moradabad%2C%20Moradabad%2C%20Uttar%20Pradesh%2C%20India</x:v>
      </x:c>
      <x:c r="N97" s="13" t="str">
        <x:v>Public centre page listed in official sitemap. Directory headline reports 210 centres; sitemap exposes 199 centre pages.</x:v>
      </x:c>
    </x:row>
    <x:row r="98">
      <x:c r="A98" s="13" t="str">
        <x:v>Indira IVF</x:v>
      </x:c>
      <x:c r="B98" s="13" t="str">
        <x:v>Bagalkote</x:v>
      </x:c>
      <x:c r="C98" s="13" t="str">
        <x:v>Bagalkote</x:v>
      </x:c>
      <x:c r="D98" s="13" t="str">
        <x:v>Karnataka</x:v>
      </x:c>
      <x:c r="E98" s="13" t="str">
        <x:v>Bagalkote, Karnataka, India</x:v>
      </x:c>
      <x:c r="F98" s="13" t="str">
        <x:v>Locality/city normalized from official centre-page title</x:v>
      </x:c>
      <x:c r="G98" s="16" t="n">
        <x:v>16.18673</x:v>
      </x:c>
      <x:c r="H98" s="16" t="n">
        <x:v>75.69614</x:v>
      </x:c>
      <x:c r="I98" s="13" t="str">
        <x:v>Parent-city centroid (map visualization; not clinic-door geocode)</x:v>
      </x:c>
      <x:c r="J98" s="13" t="str">
        <x:v>Official sitemap-listed</x:v>
      </x:c>
      <x:c r="K98" s="13" t="str">
        <x:v>https://www.indiraivf.com/sitemap</x:v>
      </x:c>
      <x:c r="L98" s="13" t="str">
        <x:v>https://www.indiraivf.com/ivf-center-in-india</x:v>
      </x:c>
      <x:c r="M98" s="13" t="str">
        <x:v>https://www.google.com/maps/search/?api=1&amp;query=Indira%20IVF%20Bagalkote%2C%20Bagalkote%2C%20Karnataka%2C%20India</x:v>
      </x:c>
      <x:c r="N98" s="13" t="str">
        <x:v>Public centre page listed in official sitemap. Directory headline reports 210 centres; sitemap exposes 199 centre pages.</x:v>
      </x:c>
    </x:row>
    <x:row r="99">
      <x:c r="A99" s="13" t="str">
        <x:v>Indira IVF</x:v>
      </x:c>
      <x:c r="B99" s="13" t="str">
        <x:v>Kalyan</x:v>
      </x:c>
      <x:c r="C99" s="13" t="str">
        <x:v>Kalyan</x:v>
      </x:c>
      <x:c r="D99" s="13" t="str">
        <x:v>Maharashtra</x:v>
      </x:c>
      <x:c r="E99" s="13" t="str">
        <x:v>Kalyan, Maharashtra, India</x:v>
      </x:c>
      <x:c r="F99" s="13" t="str">
        <x:v>Locality/city normalized from official centre-page title</x:v>
      </x:c>
      <x:c r="G99" s="16" t="n">
        <x:v>19.2437</x:v>
      </x:c>
      <x:c r="H99" s="16" t="n">
        <x:v>73.13554</x:v>
      </x:c>
      <x:c r="I99" s="13" t="str">
        <x:v>Parent-city centroid (map visualization; not clinic-door geocode)</x:v>
      </x:c>
      <x:c r="J99" s="13" t="str">
        <x:v>Official sitemap-listed</x:v>
      </x:c>
      <x:c r="K99" s="13" t="str">
        <x:v>https://www.indiraivf.com/sitemap</x:v>
      </x:c>
      <x:c r="L99" s="13" t="str">
        <x:v>https://www.indiraivf.com/ivf-center-in-india</x:v>
      </x:c>
      <x:c r="M99" s="13" t="str">
        <x:v>https://www.google.com/maps/search/?api=1&amp;query=Indira%20IVF%20Kalyan%2C%20Kalyan%2C%20Maharashtra%2C%20India</x:v>
      </x:c>
      <x:c r="N99" s="13" t="str">
        <x:v>Public centre page listed in official sitemap. Directory headline reports 210 centres; sitemap exposes 199 centre pages.</x:v>
      </x:c>
    </x:row>
    <x:row r="100">
      <x:c r="A100" s="13" t="str">
        <x:v>Indira IVF</x:v>
      </x:c>
      <x:c r="B100" s="13" t="str">
        <x:v>Virar</x:v>
      </x:c>
      <x:c r="C100" s="13" t="str">
        <x:v>Virar</x:v>
      </x:c>
      <x:c r="D100" s="13" t="str">
        <x:v>Maharashtra</x:v>
      </x:c>
      <x:c r="E100" s="13" t="str">
        <x:v>Virar, Maharashtra, India</x:v>
      </x:c>
      <x:c r="F100" s="13" t="str">
        <x:v>Locality/city normalized from official centre-page title</x:v>
      </x:c>
      <x:c r="G100" s="16" t="n">
        <x:v>19.45591</x:v>
      </x:c>
      <x:c r="H100" s="16" t="n">
        <x:v>72.81136</x:v>
      </x:c>
      <x:c r="I100" s="13" t="str">
        <x:v>Parent-city centroid (map visualization; not clinic-door geocode)</x:v>
      </x:c>
      <x:c r="J100" s="13" t="str">
        <x:v>Official sitemap-listed</x:v>
      </x:c>
      <x:c r="K100" s="13" t="str">
        <x:v>https://www.indiraivf.com/sitemap</x:v>
      </x:c>
      <x:c r="L100" s="13" t="str">
        <x:v>https://www.indiraivf.com/ivf-center-in-india</x:v>
      </x:c>
      <x:c r="M100" s="13" t="str">
        <x:v>https://www.google.com/maps/search/?api=1&amp;query=Indira%20IVF%20Virar%2C%20Virar%2C%20Maharashtra%2C%20India</x:v>
      </x:c>
      <x:c r="N100" s="13" t="str">
        <x:v>Public centre page listed in official sitemap. Directory headline reports 210 centres; sitemap exposes 199 centre pages.</x:v>
      </x:c>
    </x:row>
    <x:row r="101">
      <x:c r="A101" s="13" t="str">
        <x:v>Indira IVF</x:v>
      </x:c>
      <x:c r="B101" s="13" t="str">
        <x:v>Tumkur</x:v>
      </x:c>
      <x:c r="C101" s="13" t="str">
        <x:v>Tumkur</x:v>
      </x:c>
      <x:c r="D101" s="13" t="str">
        <x:v>Karnataka</x:v>
      </x:c>
      <x:c r="E101" s="13" t="str">
        <x:v>Tumkur, Karnataka, India</x:v>
      </x:c>
      <x:c r="F101" s="13" t="str">
        <x:v>Locality/city normalized from official centre-page title</x:v>
      </x:c>
      <x:c r="G101" s="16" t="n">
        <x:v>13.34136</x:v>
      </x:c>
      <x:c r="H101" s="16" t="n">
        <x:v>77.1022</x:v>
      </x:c>
      <x:c r="I101" s="13" t="str">
        <x:v>Parent-city centroid (map visualization; not clinic-door geocode)</x:v>
      </x:c>
      <x:c r="J101" s="13" t="str">
        <x:v>Official sitemap-listed</x:v>
      </x:c>
      <x:c r="K101" s="13" t="str">
        <x:v>https://www.indiraivf.com/sitemap</x:v>
      </x:c>
      <x:c r="L101" s="13" t="str">
        <x:v>https://www.indiraivf.com/ivf-center-in-india</x:v>
      </x:c>
      <x:c r="M101" s="13" t="str">
        <x:v>https://www.google.com/maps/search/?api=1&amp;query=Indira%20IVF%20Tumkur%2C%20Tumkur%2C%20Karnataka%2C%20India</x:v>
      </x:c>
      <x:c r="N101" s="13" t="str">
        <x:v>Public centre page listed in official sitemap. Directory headline reports 210 centres; sitemap exposes 199 centre pages.</x:v>
      </x:c>
    </x:row>
    <x:row r="102">
      <x:c r="A102" s="13" t="str">
        <x:v>Indira IVF</x:v>
      </x:c>
      <x:c r="B102" s="13" t="str">
        <x:v>Tilak Nagar</x:v>
      </x:c>
      <x:c r="C102" s="13" t="str">
        <x:v>New Delhi</x:v>
      </x:c>
      <x:c r="D102" s="13" t="str">
        <x:v>Delhi</x:v>
      </x:c>
      <x:c r="E102" s="13" t="str">
        <x:v>Tilak Nagar, New Delhi, Delhi, India</x:v>
      </x:c>
      <x:c r="F102" s="13" t="str">
        <x:v>Locality/city normalized from official centre-page title</x:v>
      </x:c>
      <x:c r="G102" s="16" t="n">
        <x:v>28.65195</x:v>
      </x:c>
      <x:c r="H102" s="16" t="n">
        <x:v>77.23149</x:v>
      </x:c>
      <x:c r="I102" s="13" t="str">
        <x:v>Parent-city centroid (map visualization; not clinic-door geocode)</x:v>
      </x:c>
      <x:c r="J102" s="13" t="str">
        <x:v>Official sitemap-listed</x:v>
      </x:c>
      <x:c r="K102" s="13" t="str">
        <x:v>https://www.indiraivf.com/sitemap</x:v>
      </x:c>
      <x:c r="L102" s="13" t="str">
        <x:v>https://www.indiraivf.com/ivf-center-in-india</x:v>
      </x:c>
      <x:c r="M102" s="13" t="str">
        <x:v>https://www.google.com/maps/search/?api=1&amp;query=Indira%20IVF%20Tilak%20Nagar%2C%20New%20Delhi%2C%20Delhi%2C%20India</x:v>
      </x:c>
      <x:c r="N102" s="13" t="str">
        <x:v>Public centre page listed in official sitemap. Directory headline reports 210 centres; sitemap exposes 199 centre pages.</x:v>
      </x:c>
    </x:row>
    <x:row r="103">
      <x:c r="A103" s="13" t="str">
        <x:v>Indira IVF</x:v>
      </x:c>
      <x:c r="B103" s="13" t="str">
        <x:v>Sagar</x:v>
      </x:c>
      <x:c r="C103" s="13" t="str">
        <x:v>Sagar</x:v>
      </x:c>
      <x:c r="D103" s="13" t="str">
        <x:v>Madhya Pradesh</x:v>
      </x:c>
      <x:c r="E103" s="13" t="str">
        <x:v>Sagar, Madhya Pradesh, India</x:v>
      </x:c>
      <x:c r="F103" s="13" t="str">
        <x:v>Locality/city normalized from official centre-page title</x:v>
      </x:c>
      <x:c r="G103" s="16" t="n">
        <x:v>23.83877</x:v>
      </x:c>
      <x:c r="H103" s="16" t="n">
        <x:v>78.73874</x:v>
      </x:c>
      <x:c r="I103" s="13" t="str">
        <x:v>Parent-city centroid (map visualization; not clinic-door geocode)</x:v>
      </x:c>
      <x:c r="J103" s="13" t="str">
        <x:v>Official sitemap-listed</x:v>
      </x:c>
      <x:c r="K103" s="13" t="str">
        <x:v>https://www.indiraivf.com/sitemap</x:v>
      </x:c>
      <x:c r="L103" s="13" t="str">
        <x:v>https://www.indiraivf.com/ivf-center-in-india</x:v>
      </x:c>
      <x:c r="M103" s="13" t="str">
        <x:v>https://www.google.com/maps/search/?api=1&amp;query=Indira%20IVF%20Sagar%2C%20Sagar%2C%20Madhya%20Pradesh%2C%20India</x:v>
      </x:c>
      <x:c r="N103" s="13" t="str">
        <x:v>Public centre page listed in official sitemap. Directory headline reports 210 centres; sitemap exposes 199 centre pages.</x:v>
      </x:c>
    </x:row>
    <x:row r="104">
      <x:c r="A104" s="13" t="str">
        <x:v>Indira IVF</x:v>
      </x:c>
      <x:c r="B104" s="13" t="str">
        <x:v>Motihari</x:v>
      </x:c>
      <x:c r="C104" s="13" t="str">
        <x:v>Motihari</x:v>
      </x:c>
      <x:c r="D104" s="13" t="str">
        <x:v>Bihar</x:v>
      </x:c>
      <x:c r="E104" s="13" t="str">
        <x:v>Motihari, Bihar, India</x:v>
      </x:c>
      <x:c r="F104" s="13" t="str">
        <x:v>Locality/city normalized from official centre-page title</x:v>
      </x:c>
      <x:c r="G104" s="16" t="n">
        <x:v>26.64862</x:v>
      </x:c>
      <x:c r="H104" s="16" t="n">
        <x:v>84.91656</x:v>
      </x:c>
      <x:c r="I104" s="13" t="str">
        <x:v>Parent-city centroid (map visualization; not clinic-door geocode)</x:v>
      </x:c>
      <x:c r="J104" s="13" t="str">
        <x:v>Official sitemap-listed</x:v>
      </x:c>
      <x:c r="K104" s="13" t="str">
        <x:v>https://www.indiraivf.com/sitemap</x:v>
      </x:c>
      <x:c r="L104" s="13" t="str">
        <x:v>https://www.indiraivf.com/ivf-center-in-india</x:v>
      </x:c>
      <x:c r="M104" s="13" t="str">
        <x:v>https://www.google.com/maps/search/?api=1&amp;query=Indira%20IVF%20Motihari%2C%20Motihari%2C%20Bihar%2C%20India</x:v>
      </x:c>
      <x:c r="N104" s="13" t="str">
        <x:v>Public centre page listed in official sitemap. Directory headline reports 210 centres; sitemap exposes 199 centre pages.</x:v>
      </x:c>
    </x:row>
    <x:row r="105">
      <x:c r="A105" s="13" t="str">
        <x:v>Indira IVF</x:v>
      </x:c>
      <x:c r="B105" s="13" t="str">
        <x:v>Meerut</x:v>
      </x:c>
      <x:c r="C105" s="13" t="str">
        <x:v>Meerut</x:v>
      </x:c>
      <x:c r="D105" s="13" t="str">
        <x:v>Uttar Pradesh</x:v>
      </x:c>
      <x:c r="E105" s="13" t="str">
        <x:v>Meerut, Uttar Pradesh, India</x:v>
      </x:c>
      <x:c r="F105" s="13" t="str">
        <x:v>Locality/city normalized from official centre-page title</x:v>
      </x:c>
      <x:c r="G105" s="16" t="n">
        <x:v>28.98002</x:v>
      </x:c>
      <x:c r="H105" s="16" t="n">
        <x:v>77.70636</x:v>
      </x:c>
      <x:c r="I105" s="13" t="str">
        <x:v>Parent-city centroid (map visualization; not clinic-door geocode)</x:v>
      </x:c>
      <x:c r="J105" s="13" t="str">
        <x:v>Official sitemap-listed</x:v>
      </x:c>
      <x:c r="K105" s="13" t="str">
        <x:v>https://www.indiraivf.com/sitemap</x:v>
      </x:c>
      <x:c r="L105" s="13" t="str">
        <x:v>https://www.indiraivf.com/ivf-center-in-india</x:v>
      </x:c>
      <x:c r="M105" s="13" t="str">
        <x:v>https://www.google.com/maps/search/?api=1&amp;query=Indira%20IVF%20Meerut%2C%20Meerut%2C%20Uttar%20Pradesh%2C%20India</x:v>
      </x:c>
      <x:c r="N105" s="13" t="str">
        <x:v>Public centre page listed in official sitemap. Directory headline reports 210 centres; sitemap exposes 199 centre pages.</x:v>
      </x:c>
    </x:row>
    <x:row r="106">
      <x:c r="A106" s="13" t="str">
        <x:v>Indira IVF</x:v>
      </x:c>
      <x:c r="B106" s="13" t="str">
        <x:v>Mau</x:v>
      </x:c>
      <x:c r="C106" s="13" t="str">
        <x:v>Mau</x:v>
      </x:c>
      <x:c r="D106" s="13" t="str">
        <x:v>Uttar Pradesh</x:v>
      </x:c>
      <x:c r="E106" s="13" t="str">
        <x:v>Mau, Uttar Pradesh, India</x:v>
      </x:c>
      <x:c r="F106" s="13" t="str">
        <x:v>Locality/city normalized from official centre-page title</x:v>
      </x:c>
      <x:c r="G106" s="16" t="n">
        <x:v>25.94167</x:v>
      </x:c>
      <x:c r="H106" s="16" t="n">
        <x:v>83.56111</x:v>
      </x:c>
      <x:c r="I106" s="13" t="str">
        <x:v>Parent-city centroid (map visualization; not clinic-door geocode)</x:v>
      </x:c>
      <x:c r="J106" s="13" t="str">
        <x:v>Official sitemap-listed</x:v>
      </x:c>
      <x:c r="K106" s="13" t="str">
        <x:v>https://www.indiraivf.com/sitemap</x:v>
      </x:c>
      <x:c r="L106" s="13" t="str">
        <x:v>https://www.indiraivf.com/ivf-center-in-india</x:v>
      </x:c>
      <x:c r="M106" s="13" t="str">
        <x:v>https://www.google.com/maps/search/?api=1&amp;query=Indira%20IVF%20Mau%2C%20Mau%2C%20Uttar%20Pradesh%2C%20India</x:v>
      </x:c>
      <x:c r="N106" s="13" t="str">
        <x:v>Public centre page listed in official sitemap. Directory headline reports 210 centres; sitemap exposes 199 centre pages.</x:v>
      </x:c>
    </x:row>
    <x:row r="107">
      <x:c r="A107" s="13" t="str">
        <x:v>Indira IVF</x:v>
      </x:c>
      <x:c r="B107" s="13" t="str">
        <x:v>Dadar, Mumbai</x:v>
      </x:c>
      <x:c r="C107" s="13" t="str">
        <x:v>Mumbai</x:v>
      </x:c>
      <x:c r="D107" s="13" t="str">
        <x:v>Maharashtra</x:v>
      </x:c>
      <x:c r="E107" s="13" t="str">
        <x:v>Dadar, Mumbai, Mumbai, Maharashtra, India</x:v>
      </x:c>
      <x:c r="F107" s="13" t="str">
        <x:v>Locality/city normalized from official centre-page title</x:v>
      </x:c>
      <x:c r="G107" s="16" t="n">
        <x:v>19.07283</x:v>
      </x:c>
      <x:c r="H107" s="16" t="n">
        <x:v>72.88261</x:v>
      </x:c>
      <x:c r="I107" s="13" t="str">
        <x:v>Parent-city centroid (map visualization; not clinic-door geocode)</x:v>
      </x:c>
      <x:c r="J107" s="13" t="str">
        <x:v>Official sitemap-listed</x:v>
      </x:c>
      <x:c r="K107" s="13" t="str">
        <x:v>https://www.indiraivf.com/sitemap</x:v>
      </x:c>
      <x:c r="L107" s="13" t="str">
        <x:v>https://www.indiraivf.com/ivf-center-in-india</x:v>
      </x:c>
      <x:c r="M107" s="13" t="str">
        <x:v>https://www.google.com/maps/search/?api=1&amp;query=Indira%20IVF%20Dadar%2C%20Mumbai%2C%20Mumbai%2C%20Maharashtra%2C%20India</x:v>
      </x:c>
      <x:c r="N107" s="13" t="str">
        <x:v>Public centre page listed in official sitemap. Directory headline reports 210 centres; sitemap exposes 199 centre pages.</x:v>
      </x:c>
    </x:row>
    <x:row r="108">
      <x:c r="A108" s="13" t="str">
        <x:v>Indira IVF</x:v>
      </x:c>
      <x:c r="B108" s="13" t="str">
        <x:v>Aligarh</x:v>
      </x:c>
      <x:c r="C108" s="13" t="str">
        <x:v>Aligarh</x:v>
      </x:c>
      <x:c r="D108" s="13" t="str">
        <x:v>Uttar Pradesh</x:v>
      </x:c>
      <x:c r="E108" s="13" t="str">
        <x:v>Aligarh, Uttar Pradesh, India</x:v>
      </x:c>
      <x:c r="F108" s="13" t="str">
        <x:v>Locality/city normalized from official centre-page title</x:v>
      </x:c>
      <x:c r="G108" s="16" t="n">
        <x:v>27.88145</x:v>
      </x:c>
      <x:c r="H108" s="16" t="n">
        <x:v>78.07464</x:v>
      </x:c>
      <x:c r="I108" s="13" t="str">
        <x:v>Parent-city centroid (map visualization; not clinic-door geocode)</x:v>
      </x:c>
      <x:c r="J108" s="13" t="str">
        <x:v>Official sitemap-listed</x:v>
      </x:c>
      <x:c r="K108" s="13" t="str">
        <x:v>https://www.indiraivf.com/sitemap</x:v>
      </x:c>
      <x:c r="L108" s="13" t="str">
        <x:v>https://www.indiraivf.com/ivf-center-in-india</x:v>
      </x:c>
      <x:c r="M108" s="13" t="str">
        <x:v>https://www.google.com/maps/search/?api=1&amp;query=Indira%20IVF%20Aligarh%2C%20Aligarh%2C%20Uttar%20Pradesh%2C%20India</x:v>
      </x:c>
      <x:c r="N108" s="13" t="str">
        <x:v>Public centre page listed in official sitemap. Directory headline reports 210 centres; sitemap exposes 199 centre pages.</x:v>
      </x:c>
    </x:row>
    <x:row r="109">
      <x:c r="A109" s="13" t="str">
        <x:v>Indira IVF</x:v>
      </x:c>
      <x:c r="B109" s="13" t="str">
        <x:v>Bhagalpur</x:v>
      </x:c>
      <x:c r="C109" s="13" t="str">
        <x:v>Bhagalpur</x:v>
      </x:c>
      <x:c r="D109" s="13" t="str">
        <x:v>Bihar</x:v>
      </x:c>
      <x:c r="E109" s="13" t="str">
        <x:v>Bhagalpur, Bihar, India</x:v>
      </x:c>
      <x:c r="F109" s="13" t="str">
        <x:v>Locality/city normalized from official centre-page title</x:v>
      </x:c>
      <x:c r="G109" s="16" t="n">
        <x:v>25.24446</x:v>
      </x:c>
      <x:c r="H109" s="16" t="n">
        <x:v>86.97183</x:v>
      </x:c>
      <x:c r="I109" s="13" t="str">
        <x:v>Parent-city centroid (map visualization; not clinic-door geocode)</x:v>
      </x:c>
      <x:c r="J109" s="13" t="str">
        <x:v>Official sitemap-listed</x:v>
      </x:c>
      <x:c r="K109" s="13" t="str">
        <x:v>https://www.indiraivf.com/sitemap</x:v>
      </x:c>
      <x:c r="L109" s="13" t="str">
        <x:v>https://www.indiraivf.com/ivf-center-in-india</x:v>
      </x:c>
      <x:c r="M109" s="13" t="str">
        <x:v>https://www.google.com/maps/search/?api=1&amp;query=Indira%20IVF%20Bhagalpur%2C%20Bhagalpur%2C%20Bihar%2C%20India</x:v>
      </x:c>
      <x:c r="N109" s="13" t="str">
        <x:v>Public centre page listed in official sitemap. Directory headline reports 210 centres; sitemap exposes 199 centre pages.</x:v>
      </x:c>
    </x:row>
    <x:row r="110">
      <x:c r="A110" s="13" t="str">
        <x:v>Indira IVF</x:v>
      </x:c>
      <x:c r="B110" s="13" t="str">
        <x:v>Vaishali Nagar, Jaipur</x:v>
      </x:c>
      <x:c r="C110" s="13" t="str">
        <x:v>Jaipur</x:v>
      </x:c>
      <x:c r="D110" s="13" t="str">
        <x:v>Rajasthan</x:v>
      </x:c>
      <x:c r="E110" s="13" t="str">
        <x:v>Vaishali Nagar, Jaipur, Jaipur, Rajasthan, India</x:v>
      </x:c>
      <x:c r="F110" s="13" t="str">
        <x:v>Locality/city normalized from official centre-page title</x:v>
      </x:c>
      <x:c r="G110" s="16" t="n">
        <x:v>26.91962</x:v>
      </x:c>
      <x:c r="H110" s="16" t="n">
        <x:v>75.78781</x:v>
      </x:c>
      <x:c r="I110" s="13" t="str">
        <x:v>Parent-city centroid (map visualization; not clinic-door geocode)</x:v>
      </x:c>
      <x:c r="J110" s="13" t="str">
        <x:v>Official sitemap-listed</x:v>
      </x:c>
      <x:c r="K110" s="13" t="str">
        <x:v>https://www.indiraivf.com/sitemap</x:v>
      </x:c>
      <x:c r="L110" s="13" t="str">
        <x:v>https://www.indiraivf.com/ivf-center-in-india</x:v>
      </x:c>
      <x:c r="M110" s="13" t="str">
        <x:v>https://www.google.com/maps/search/?api=1&amp;query=Indira%20IVF%20Vaishali%20Nagar%2C%20Jaipur%2C%20Jaipur%2C%20Rajasthan%2C%20India</x:v>
      </x:c>
      <x:c r="N110" s="13" t="str">
        <x:v>Public centre page listed in official sitemap. Directory headline reports 210 centres; sitemap exposes 199 centre pages.</x:v>
      </x:c>
    </x:row>
    <x:row r="111">
      <x:c r="A111" s="13" t="str">
        <x:v>Indira IVF</x:v>
      </x:c>
      <x:c r="B111" s="13" t="str">
        <x:v>Kankarbagh</x:v>
      </x:c>
      <x:c r="C111" s="13" t="str">
        <x:v>Patna</x:v>
      </x:c>
      <x:c r="D111" s="13" t="str">
        <x:v>Bihar</x:v>
      </x:c>
      <x:c r="E111" s="13" t="str">
        <x:v>Kankarbagh, Patna, Bihar, India</x:v>
      </x:c>
      <x:c r="F111" s="13" t="str">
        <x:v>Locality/city normalized from official centre-page title</x:v>
      </x:c>
      <x:c r="G111" s="16" t="n">
        <x:v>25.59408</x:v>
      </x:c>
      <x:c r="H111" s="16" t="n">
        <x:v>85.13563</x:v>
      </x:c>
      <x:c r="I111" s="13" t="str">
        <x:v>Parent-city centroid (map visualization; not clinic-door geocode)</x:v>
      </x:c>
      <x:c r="J111" s="13" t="str">
        <x:v>Official sitemap-listed</x:v>
      </x:c>
      <x:c r="K111" s="13" t="str">
        <x:v>https://www.indiraivf.com/sitemap</x:v>
      </x:c>
      <x:c r="L111" s="13" t="str">
        <x:v>https://www.indiraivf.com/ivf-center-in-india</x:v>
      </x:c>
      <x:c r="M111" s="13" t="str">
        <x:v>https://www.google.com/maps/search/?api=1&amp;query=Indira%20IVF%20Kankarbagh%2C%20Patna%2C%20Bihar%2C%20India</x:v>
      </x:c>
      <x:c r="N111" s="13" t="str">
        <x:v>Public centre page listed in official sitemap. Directory headline reports 210 centres; sitemap exposes 199 centre pages.</x:v>
      </x:c>
    </x:row>
    <x:row r="112">
      <x:c r="A112" s="13" t="str">
        <x:v>Indira IVF</x:v>
      </x:c>
      <x:c r="B112" s="13" t="str">
        <x:v>Karimnagar</x:v>
      </x:c>
      <x:c r="C112" s="13" t="str">
        <x:v>Karimnagar</x:v>
      </x:c>
      <x:c r="D112" s="13" t="str">
        <x:v>Telangana</x:v>
      </x:c>
      <x:c r="E112" s="13" t="str">
        <x:v>Karimnagar, Telangana, India</x:v>
      </x:c>
      <x:c r="F112" s="13" t="str">
        <x:v>Locality/city normalized from official centre-page title</x:v>
      </x:c>
      <x:c r="G112" s="16" t="n">
        <x:v>18.43915</x:v>
      </x:c>
      <x:c r="H112" s="16" t="n">
        <x:v>79.12856</x:v>
      </x:c>
      <x:c r="I112" s="13" t="str">
        <x:v>Parent-city centroid (map visualization; not clinic-door geocode)</x:v>
      </x:c>
      <x:c r="J112" s="13" t="str">
        <x:v>Official sitemap-listed</x:v>
      </x:c>
      <x:c r="K112" s="13" t="str">
        <x:v>https://www.indiraivf.com/sitemap</x:v>
      </x:c>
      <x:c r="L112" s="13" t="str">
        <x:v>https://www.indiraivf.com/ivf-center-in-india</x:v>
      </x:c>
      <x:c r="M112" s="13" t="str">
        <x:v>https://www.google.com/maps/search/?api=1&amp;query=Indira%20IVF%20Karimnagar%2C%20Karimnagar%2C%20Telangana%2C%20India</x:v>
      </x:c>
      <x:c r="N112" s="13" t="str">
        <x:v>Public centre page listed in official sitemap. Directory headline reports 210 centres; sitemap exposes 199 centre pages.</x:v>
      </x:c>
    </x:row>
    <x:row r="113">
      <x:c r="A113" s="13" t="str">
        <x:v>Indira IVF</x:v>
      </x:c>
      <x:c r="B113" s="13" t="str">
        <x:v>Karnal</x:v>
      </x:c>
      <x:c r="C113" s="13" t="str">
        <x:v>Karnal</x:v>
      </x:c>
      <x:c r="D113" s="13" t="str">
        <x:v>Haryana</x:v>
      </x:c>
      <x:c r="E113" s="13" t="str">
        <x:v>Karnal, Haryana, India</x:v>
      </x:c>
      <x:c r="F113" s="13" t="str">
        <x:v>Locality/city normalized from official centre-page title</x:v>
      </x:c>
      <x:c r="G113" s="16" t="n">
        <x:v>29.69197</x:v>
      </x:c>
      <x:c r="H113" s="16" t="n">
        <x:v>76.98448</x:v>
      </x:c>
      <x:c r="I113" s="13" t="str">
        <x:v>Parent-city centroid (map visualization; not clinic-door geocode)</x:v>
      </x:c>
      <x:c r="J113" s="13" t="str">
        <x:v>Official sitemap-listed</x:v>
      </x:c>
      <x:c r="K113" s="13" t="str">
        <x:v>https://www.indiraivf.com/sitemap</x:v>
      </x:c>
      <x:c r="L113" s="13" t="str">
        <x:v>https://www.indiraivf.com/ivf-center-in-india</x:v>
      </x:c>
      <x:c r="M113" s="13" t="str">
        <x:v>https://www.google.com/maps/search/?api=1&amp;query=Indira%20IVF%20Karnal%2C%20Karnal%2C%20Haryana%2C%20India</x:v>
      </x:c>
      <x:c r="N113" s="13" t="str">
        <x:v>Public centre page listed in official sitemap. Directory headline reports 210 centres; sitemap exposes 199 centre pages.</x:v>
      </x:c>
    </x:row>
    <x:row r="114">
      <x:c r="A114" s="13" t="str">
        <x:v>Indira IVF</x:v>
      </x:c>
      <x:c r="B114" s="13" t="str">
        <x:v>Lajpat Nagar</x:v>
      </x:c>
      <x:c r="C114" s="13" t="str">
        <x:v>New Delhi</x:v>
      </x:c>
      <x:c r="D114" s="13" t="str">
        <x:v>Delhi</x:v>
      </x:c>
      <x:c r="E114" s="13" t="str">
        <x:v>Lajpat Nagar, New Delhi, Delhi, India</x:v>
      </x:c>
      <x:c r="F114" s="13" t="str">
        <x:v>Locality/city normalized from official centre-page title</x:v>
      </x:c>
      <x:c r="G114" s="16" t="n">
        <x:v>28.65195</x:v>
      </x:c>
      <x:c r="H114" s="16" t="n">
        <x:v>77.23149</x:v>
      </x:c>
      <x:c r="I114" s="13" t="str">
        <x:v>Parent-city centroid (map visualization; not clinic-door geocode)</x:v>
      </x:c>
      <x:c r="J114" s="13" t="str">
        <x:v>Official sitemap-listed</x:v>
      </x:c>
      <x:c r="K114" s="13" t="str">
        <x:v>https://www.indiraivf.com/sitemap</x:v>
      </x:c>
      <x:c r="L114" s="13" t="str">
        <x:v>https://www.indiraivf.com/ivf-center-in-india</x:v>
      </x:c>
      <x:c r="M114" s="13" t="str">
        <x:v>https://www.google.com/maps/search/?api=1&amp;query=Indira%20IVF%20Lajpat%20Nagar%2C%20New%20Delhi%2C%20Delhi%2C%20India</x:v>
      </x:c>
      <x:c r="N114" s="13" t="str">
        <x:v>Public centre page listed in official sitemap. Directory headline reports 210 centres; sitemap exposes 199 centre pages.</x:v>
      </x:c>
    </x:row>
    <x:row r="115">
      <x:c r="A115" s="13" t="str">
        <x:v>Indira IVF</x:v>
      </x:c>
      <x:c r="B115" s="13" t="str">
        <x:v>Mysore</x:v>
      </x:c>
      <x:c r="C115" s="13" t="str">
        <x:v>Mysore</x:v>
      </x:c>
      <x:c r="D115" s="13" t="str">
        <x:v>Karnataka</x:v>
      </x:c>
      <x:c r="E115" s="13" t="str">
        <x:v>Mysore, Karnataka, India</x:v>
      </x:c>
      <x:c r="F115" s="13" t="str">
        <x:v>Locality/city normalized from official centre-page title</x:v>
      </x:c>
      <x:c r="G115" s="16" t="n">
        <x:v>12.29791</x:v>
      </x:c>
      <x:c r="H115" s="16" t="n">
        <x:v>76.63925</x:v>
      </x:c>
      <x:c r="I115" s="13" t="str">
        <x:v>Parent-city centroid (map visualization; not clinic-door geocode)</x:v>
      </x:c>
      <x:c r="J115" s="13" t="str">
        <x:v>Official sitemap-listed</x:v>
      </x:c>
      <x:c r="K115" s="13" t="str">
        <x:v>https://www.indiraivf.com/sitemap</x:v>
      </x:c>
      <x:c r="L115" s="13" t="str">
        <x:v>https://www.indiraivf.com/ivf-center-in-india</x:v>
      </x:c>
      <x:c r="M115" s="13" t="str">
        <x:v>https://www.google.com/maps/search/?api=1&amp;query=Indira%20IVF%20Mysore%2C%20Mysore%2C%20Karnataka%2C%20India</x:v>
      </x:c>
      <x:c r="N115" s="13" t="str">
        <x:v>Public centre page listed in official sitemap. Directory headline reports 210 centres; sitemap exposes 199 centre pages.</x:v>
      </x:c>
    </x:row>
    <x:row r="116">
      <x:c r="A116" s="13" t="str">
        <x:v>Indira IVF</x:v>
      </x:c>
      <x:c r="B116" s="13" t="str">
        <x:v>Nanded</x:v>
      </x:c>
      <x:c r="C116" s="13" t="str">
        <x:v>Nanded</x:v>
      </x:c>
      <x:c r="D116" s="13" t="str">
        <x:v>Maharashtra</x:v>
      </x:c>
      <x:c r="E116" s="13" t="str">
        <x:v>Nanded, Maharashtra, India</x:v>
      </x:c>
      <x:c r="F116" s="13" t="str">
        <x:v>Locality/city normalized from official centre-page title</x:v>
      </x:c>
      <x:c r="G116" s="16" t="n">
        <x:v>19.16023</x:v>
      </x:c>
      <x:c r="H116" s="16" t="n">
        <x:v>77.31497</x:v>
      </x:c>
      <x:c r="I116" s="13" t="str">
        <x:v>Parent-city centroid (map visualization; not clinic-door geocode)</x:v>
      </x:c>
      <x:c r="J116" s="13" t="str">
        <x:v>Official sitemap-listed</x:v>
      </x:c>
      <x:c r="K116" s="13" t="str">
        <x:v>https://www.indiraivf.com/sitemap</x:v>
      </x:c>
      <x:c r="L116" s="13" t="str">
        <x:v>https://www.indiraivf.com/ivf-center-in-india</x:v>
      </x:c>
      <x:c r="M116" s="13" t="str">
        <x:v>https://www.google.com/maps/search/?api=1&amp;query=Indira%20IVF%20Nanded%2C%20Nanded%2C%20Maharashtra%2C%20India</x:v>
      </x:c>
      <x:c r="N116" s="13" t="str">
        <x:v>Public centre page listed in official sitemap. Directory headline reports 210 centres; sitemap exposes 199 centre pages.</x:v>
      </x:c>
    </x:row>
    <x:row r="117">
      <x:c r="A117" s="13" t="str">
        <x:v>Indira IVF</x:v>
      </x:c>
      <x:c r="B117" s="13" t="str">
        <x:v>Noida (Sec 18)</x:v>
      </x:c>
      <x:c r="C117" s="13" t="str">
        <x:v>Noida</x:v>
      </x:c>
      <x:c r="D117" s="13" t="str">
        <x:v>Uttar Pradesh</x:v>
      </x:c>
      <x:c r="E117" s="13" t="str">
        <x:v>Noida (Sec 18), Uttar Pradesh, India</x:v>
      </x:c>
      <x:c r="F117" s="13" t="str">
        <x:v>Locality/city normalized from official centre-page title</x:v>
      </x:c>
      <x:c r="G117" s="16" t="n">
        <x:v>28.58</x:v>
      </x:c>
      <x:c r="H117" s="16" t="n">
        <x:v>77.33</x:v>
      </x:c>
      <x:c r="I117" s="13" t="str">
        <x:v>Parent-city centroid (map visualization; not clinic-door geocode)</x:v>
      </x:c>
      <x:c r="J117" s="13" t="str">
        <x:v>Official sitemap-listed</x:v>
      </x:c>
      <x:c r="K117" s="13" t="str">
        <x:v>https://www.indiraivf.com/sitemap</x:v>
      </x:c>
      <x:c r="L117" s="13" t="str">
        <x:v>https://www.indiraivf.com/ivf-center-in-india</x:v>
      </x:c>
      <x:c r="M117" s="13" t="str">
        <x:v>https://www.google.com/maps/search/?api=1&amp;query=Indira%20IVF%20Noida%20%28Sec%2018%29%2C%20Noida%2C%20Uttar%20Pradesh%2C%20India</x:v>
      </x:c>
      <x:c r="N117" s="13" t="str">
        <x:v>Public centre page listed in official sitemap. Directory headline reports 210 centres; sitemap exposes 199 centre pages.</x:v>
      </x:c>
    </x:row>
    <x:row r="118">
      <x:c r="A118" s="13" t="str">
        <x:v>Indira IVF</x:v>
      </x:c>
      <x:c r="B118" s="13" t="str">
        <x:v>Panjim</x:v>
      </x:c>
      <x:c r="C118" s="13" t="str">
        <x:v>Panaji</x:v>
      </x:c>
      <x:c r="D118" s="13" t="str">
        <x:v>Goa</x:v>
      </x:c>
      <x:c r="E118" s="13" t="str">
        <x:v>Panjim, Panaji, Goa, India</x:v>
      </x:c>
      <x:c r="F118" s="13" t="str">
        <x:v>Locality/city normalized from official centre-page title</x:v>
      </x:c>
      <x:c r="G118" s="16" t="n">
        <x:v>15.49574</x:v>
      </x:c>
      <x:c r="H118" s="16" t="n">
        <x:v>73.82624</x:v>
      </x:c>
      <x:c r="I118" s="13" t="str">
        <x:v>Parent-city centroid (map visualization; not clinic-door geocode)</x:v>
      </x:c>
      <x:c r="J118" s="13" t="str">
        <x:v>Official sitemap-listed</x:v>
      </x:c>
      <x:c r="K118" s="13" t="str">
        <x:v>https://www.indiraivf.com/sitemap</x:v>
      </x:c>
      <x:c r="L118" s="13" t="str">
        <x:v>https://www.indiraivf.com/ivf-center-in-india</x:v>
      </x:c>
      <x:c r="M118" s="13" t="str">
        <x:v>https://www.google.com/maps/search/?api=1&amp;query=Indira%20IVF%20Panjim%2C%20Panaji%2C%20Goa%2C%20India</x:v>
      </x:c>
      <x:c r="N118" s="13" t="str">
        <x:v>Public centre page listed in official sitemap. Directory headline reports 210 centres; sitemap exposes 199 centre pages.</x:v>
      </x:c>
    </x:row>
    <x:row r="119">
      <x:c r="A119" s="13" t="str">
        <x:v>Indira IVF</x:v>
      </x:c>
      <x:c r="B119" s="13" t="str">
        <x:v>Panvel</x:v>
      </x:c>
      <x:c r="C119" s="13" t="str">
        <x:v>Panvel</x:v>
      </x:c>
      <x:c r="D119" s="13" t="str">
        <x:v>Maharashtra</x:v>
      </x:c>
      <x:c r="E119" s="13" t="str">
        <x:v>Panvel, Maharashtra, India</x:v>
      </x:c>
      <x:c r="F119" s="13" t="str">
        <x:v>Locality/city normalized from official centre-page title</x:v>
      </x:c>
      <x:c r="G119" s="16" t="n">
        <x:v>18.98878</x:v>
      </x:c>
      <x:c r="H119" s="16" t="n">
        <x:v>73.11013</x:v>
      </x:c>
      <x:c r="I119" s="13" t="str">
        <x:v>Parent-city centroid (map visualization; not clinic-door geocode)</x:v>
      </x:c>
      <x:c r="J119" s="13" t="str">
        <x:v>Official sitemap-listed</x:v>
      </x:c>
      <x:c r="K119" s="13" t="str">
        <x:v>https://www.indiraivf.com/sitemap</x:v>
      </x:c>
      <x:c r="L119" s="13" t="str">
        <x:v>https://www.indiraivf.com/ivf-center-in-india</x:v>
      </x:c>
      <x:c r="M119" s="13" t="str">
        <x:v>https://www.google.com/maps/search/?api=1&amp;query=Indira%20IVF%20Panvel%2C%20Panvel%2C%20Maharashtra%2C%20India</x:v>
      </x:c>
      <x:c r="N119" s="13" t="str">
        <x:v>Public centre page listed in official sitemap. Directory headline reports 210 centres; sitemap exposes 199 centre pages.</x:v>
      </x:c>
    </x:row>
    <x:row r="120">
      <x:c r="A120" s="13" t="str">
        <x:v>Indira IVF</x:v>
      </x:c>
      <x:c r="B120" s="13" t="str">
        <x:v>Rajnagar</x:v>
      </x:c>
      <x:c r="C120" s="13" t="str">
        <x:v>Ghaziabad</x:v>
      </x:c>
      <x:c r="D120" s="13" t="str">
        <x:v>Uttar Pradesh</x:v>
      </x:c>
      <x:c r="E120" s="13" t="str">
        <x:v>Rajnagar, Ghaziabad, Uttar Pradesh, India</x:v>
      </x:c>
      <x:c r="F120" s="13" t="str">
        <x:v>Locality/city normalized from official centre-page title</x:v>
      </x:c>
      <x:c r="G120" s="16" t="n">
        <x:v>28.66535</x:v>
      </x:c>
      <x:c r="H120" s="16" t="n">
        <x:v>77.43915</x:v>
      </x:c>
      <x:c r="I120" s="13" t="str">
        <x:v>Parent-city centroid (map visualization; not clinic-door geocode)</x:v>
      </x:c>
      <x:c r="J120" s="13" t="str">
        <x:v>Official sitemap-listed</x:v>
      </x:c>
      <x:c r="K120" s="13" t="str">
        <x:v>https://www.indiraivf.com/sitemap</x:v>
      </x:c>
      <x:c r="L120" s="13" t="str">
        <x:v>https://www.indiraivf.com/ivf-center-in-india</x:v>
      </x:c>
      <x:c r="M120" s="13" t="str">
        <x:v>https://www.google.com/maps/search/?api=1&amp;query=Indira%20IVF%20Rajnagar%2C%20Ghaziabad%2C%20Uttar%20Pradesh%2C%20India</x:v>
      </x:c>
      <x:c r="N120" s="13" t="str">
        <x:v>Public centre page listed in official sitemap. Directory headline reports 210 centres; sitemap exposes 199 centre pages.</x:v>
      </x:c>
    </x:row>
    <x:row r="121">
      <x:c r="A121" s="13" t="str">
        <x:v>Indira IVF</x:v>
      </x:c>
      <x:c r="B121" s="13" t="str">
        <x:v>Ratlam</x:v>
      </x:c>
      <x:c r="C121" s="13" t="str">
        <x:v>Ratlam</x:v>
      </x:c>
      <x:c r="D121" s="13" t="str">
        <x:v>Madhya Pradesh</x:v>
      </x:c>
      <x:c r="E121" s="13" t="str">
        <x:v>Ratlam, Madhya Pradesh, India</x:v>
      </x:c>
      <x:c r="F121" s="13" t="str">
        <x:v>Locality/city normalized from official centre-page title</x:v>
      </x:c>
      <x:c r="G121" s="16" t="n">
        <x:v>23.33033</x:v>
      </x:c>
      <x:c r="H121" s="16" t="n">
        <x:v>75.04032</x:v>
      </x:c>
      <x:c r="I121" s="13" t="str">
        <x:v>Parent-city centroid (map visualization; not clinic-door geocode)</x:v>
      </x:c>
      <x:c r="J121" s="13" t="str">
        <x:v>Official sitemap-listed</x:v>
      </x:c>
      <x:c r="K121" s="13" t="str">
        <x:v>https://www.indiraivf.com/sitemap</x:v>
      </x:c>
      <x:c r="L121" s="13" t="str">
        <x:v>https://www.indiraivf.com/ivf-center-in-india</x:v>
      </x:c>
      <x:c r="M121" s="13" t="str">
        <x:v>https://www.google.com/maps/search/?api=1&amp;query=Indira%20IVF%20Ratlam%2C%20Ratlam%2C%20Madhya%20Pradesh%2C%20India</x:v>
      </x:c>
      <x:c r="N121" s="13" t="str">
        <x:v>Public centre page listed in official sitemap. Directory headline reports 210 centres; sitemap exposes 199 centre pages.</x:v>
      </x:c>
    </x:row>
    <x:row r="122">
      <x:c r="A122" s="13" t="str">
        <x:v>Indira IVF</x:v>
      </x:c>
      <x:c r="B122" s="13" t="str">
        <x:v>Rewa</x:v>
      </x:c>
      <x:c r="C122" s="13" t="str">
        <x:v>Rewa</x:v>
      </x:c>
      <x:c r="D122" s="13" t="str">
        <x:v>Madhya Pradesh</x:v>
      </x:c>
      <x:c r="E122" s="13" t="str">
        <x:v>Rewa, Madhya Pradesh, India</x:v>
      </x:c>
      <x:c r="F122" s="13" t="str">
        <x:v>Locality/city normalized from official centre-page title</x:v>
      </x:c>
      <x:c r="G122" s="16" t="n">
        <x:v>24.53256</x:v>
      </x:c>
      <x:c r="H122" s="16" t="n">
        <x:v>81.29234</x:v>
      </x:c>
      <x:c r="I122" s="13" t="str">
        <x:v>Parent-city centroid (map visualization; not clinic-door geocode)</x:v>
      </x:c>
      <x:c r="J122" s="13" t="str">
        <x:v>Official sitemap-listed</x:v>
      </x:c>
      <x:c r="K122" s="13" t="str">
        <x:v>https://www.indiraivf.com/sitemap</x:v>
      </x:c>
      <x:c r="L122" s="13" t="str">
        <x:v>https://www.indiraivf.com/ivf-center-in-india</x:v>
      </x:c>
      <x:c r="M122" s="13" t="str">
        <x:v>https://www.google.com/maps/search/?api=1&amp;query=Indira%20IVF%20Rewa%2C%20Rewa%2C%20Madhya%20Pradesh%2C%20India</x:v>
      </x:c>
      <x:c r="N122" s="13" t="str">
        <x:v>Public centre page listed in official sitemap. Directory headline reports 210 centres; sitemap exposes 199 centre pages.</x:v>
      </x:c>
    </x:row>
    <x:row r="123">
      <x:c r="A123" s="13" t="str">
        <x:v>Indira IVF</x:v>
      </x:c>
      <x:c r="B123" s="13" t="str">
        <x:v>Shahdara</x:v>
      </x:c>
      <x:c r="C123" s="13" t="str">
        <x:v>New Delhi</x:v>
      </x:c>
      <x:c r="D123" s="13" t="str">
        <x:v>Delhi</x:v>
      </x:c>
      <x:c r="E123" s="13" t="str">
        <x:v>Shahdara, New Delhi, Delhi, India</x:v>
      </x:c>
      <x:c r="F123" s="13" t="str">
        <x:v>Locality/city normalized from official centre-page title</x:v>
      </x:c>
      <x:c r="G123" s="16" t="n">
        <x:v>28.65195</x:v>
      </x:c>
      <x:c r="H123" s="16" t="n">
        <x:v>77.23149</x:v>
      </x:c>
      <x:c r="I123" s="13" t="str">
        <x:v>Parent-city centroid (map visualization; not clinic-door geocode)</x:v>
      </x:c>
      <x:c r="J123" s="13" t="str">
        <x:v>Official sitemap-listed</x:v>
      </x:c>
      <x:c r="K123" s="13" t="str">
        <x:v>https://www.indiraivf.com/sitemap</x:v>
      </x:c>
      <x:c r="L123" s="13" t="str">
        <x:v>https://www.indiraivf.com/ivf-center-in-india</x:v>
      </x:c>
      <x:c r="M123" s="13" t="str">
        <x:v>https://www.google.com/maps/search/?api=1&amp;query=Indira%20IVF%20Shahdara%2C%20New%20Delhi%2C%20Delhi%2C%20India</x:v>
      </x:c>
      <x:c r="N123" s="13" t="str">
        <x:v>Public centre page listed in official sitemap. Directory headline reports 210 centres; sitemap exposes 199 centre pages.</x:v>
      </x:c>
    </x:row>
    <x:row r="124">
      <x:c r="A124" s="13" t="str">
        <x:v>Indira IVF</x:v>
      </x:c>
      <x:c r="B124" s="13" t="str">
        <x:v>Shimla</x:v>
      </x:c>
      <x:c r="C124" s="13" t="str">
        <x:v>Shimla</x:v>
      </x:c>
      <x:c r="D124" s="13" t="str">
        <x:v>Himachal Pradesh</x:v>
      </x:c>
      <x:c r="E124" s="13" t="str">
        <x:v>Shimla, Himachal Pradesh, India</x:v>
      </x:c>
      <x:c r="F124" s="13" t="str">
        <x:v>Locality/city normalized from official centre-page title</x:v>
      </x:c>
      <x:c r="G124" s="16" t="n">
        <x:v>31.10442</x:v>
      </x:c>
      <x:c r="H124" s="16" t="n">
        <x:v>77.16662</x:v>
      </x:c>
      <x:c r="I124" s="13" t="str">
        <x:v>Parent-city centroid (map visualization; not clinic-door geocode)</x:v>
      </x:c>
      <x:c r="J124" s="13" t="str">
        <x:v>Official sitemap-listed</x:v>
      </x:c>
      <x:c r="K124" s="13" t="str">
        <x:v>https://www.indiraivf.com/sitemap</x:v>
      </x:c>
      <x:c r="L124" s="13" t="str">
        <x:v>https://www.indiraivf.com/ivf-center-in-india</x:v>
      </x:c>
      <x:c r="M124" s="13" t="str">
        <x:v>https://www.google.com/maps/search/?api=1&amp;query=Indira%20IVF%20Shimla%2C%20Shimla%2C%20Himachal%20Pradesh%2C%20India</x:v>
      </x:c>
      <x:c r="N124" s="13" t="str">
        <x:v>Public centre page listed in official sitemap. Directory headline reports 210 centres; sitemap exposes 199 centre pages.</x:v>
      </x:c>
    </x:row>
    <x:row r="125">
      <x:c r="A125" s="13" t="str">
        <x:v>Indira IVF</x:v>
      </x:c>
      <x:c r="B125" s="13" t="str">
        <x:v>Siliguri</x:v>
      </x:c>
      <x:c r="C125" s="13" t="str">
        <x:v>Siliguri</x:v>
      </x:c>
      <x:c r="D125" s="13" t="str">
        <x:v>West Bengal</x:v>
      </x:c>
      <x:c r="E125" s="13" t="str">
        <x:v>Siliguri, West Bengal, India</x:v>
      </x:c>
      <x:c r="F125" s="13" t="str">
        <x:v>Locality/city normalized from official centre-page title</x:v>
      </x:c>
      <x:c r="G125" s="16" t="n">
        <x:v>26.71004</x:v>
      </x:c>
      <x:c r="H125" s="16" t="n">
        <x:v>88.42851</x:v>
      </x:c>
      <x:c r="I125" s="13" t="str">
        <x:v>Parent-city centroid (map visualization; not clinic-door geocode)</x:v>
      </x:c>
      <x:c r="J125" s="13" t="str">
        <x:v>Official sitemap-listed</x:v>
      </x:c>
      <x:c r="K125" s="13" t="str">
        <x:v>https://www.indiraivf.com/sitemap</x:v>
      </x:c>
      <x:c r="L125" s="13" t="str">
        <x:v>https://www.indiraivf.com/ivf-center-in-india</x:v>
      </x:c>
      <x:c r="M125" s="13" t="str">
        <x:v>https://www.google.com/maps/search/?api=1&amp;query=Indira%20IVF%20Siliguri%2C%20Siliguri%2C%20West%20Bengal%2C%20India</x:v>
      </x:c>
      <x:c r="N125" s="13" t="str">
        <x:v>Public centre page listed in official sitemap. Directory headline reports 210 centres; sitemap exposes 199 centre pages.</x:v>
      </x:c>
    </x:row>
    <x:row r="126">
      <x:c r="A126" s="13" t="str">
        <x:v>Indira IVF</x:v>
      </x:c>
      <x:c r="B126" s="13" t="str">
        <x:v>Sultanpur</x:v>
      </x:c>
      <x:c r="C126" s="13" t="str">
        <x:v>Sultanpur</x:v>
      </x:c>
      <x:c r="D126" s="13" t="str">
        <x:v>Uttar Pradesh</x:v>
      </x:c>
      <x:c r="E126" s="13" t="str">
        <x:v>Sultanpur, Uttar Pradesh, India</x:v>
      </x:c>
      <x:c r="F126" s="13" t="str">
        <x:v>Locality/city normalized from official centre-page title</x:v>
      </x:c>
      <x:c r="G126" s="16" t="n">
        <x:v>26.25788</x:v>
      </x:c>
      <x:c r="H126" s="16" t="n">
        <x:v>82.07269</x:v>
      </x:c>
      <x:c r="I126" s="13" t="str">
        <x:v>Parent-city centroid (map visualization; not clinic-door geocode)</x:v>
      </x:c>
      <x:c r="J126" s="13" t="str">
        <x:v>Official sitemap-listed</x:v>
      </x:c>
      <x:c r="K126" s="13" t="str">
        <x:v>https://www.indiraivf.com/sitemap</x:v>
      </x:c>
      <x:c r="L126" s="13" t="str">
        <x:v>https://www.indiraivf.com/ivf-center-in-india</x:v>
      </x:c>
      <x:c r="M126" s="13" t="str">
        <x:v>https://www.google.com/maps/search/?api=1&amp;query=Indira%20IVF%20Sultanpur%2C%20Sultanpur%2C%20Uttar%20Pradesh%2C%20India</x:v>
      </x:c>
      <x:c r="N126" s="13" t="str">
        <x:v>Public centre page listed in official sitemap. Directory headline reports 210 centres; sitemap exposes 199 centre pages.</x:v>
      </x:c>
    </x:row>
    <x:row r="127">
      <x:c r="A127" s="13" t="str">
        <x:v>Indira IVF</x:v>
      </x:c>
      <x:c r="B127" s="13" t="str">
        <x:v>Ujjain</x:v>
      </x:c>
      <x:c r="C127" s="13" t="str">
        <x:v>Ujjain</x:v>
      </x:c>
      <x:c r="D127" s="13" t="str">
        <x:v>Madhya Pradesh</x:v>
      </x:c>
      <x:c r="E127" s="13" t="str">
        <x:v>Ujjain, Madhya Pradesh, India</x:v>
      </x:c>
      <x:c r="F127" s="13" t="str">
        <x:v>Locality/city normalized from official centre-page title</x:v>
      </x:c>
      <x:c r="G127" s="16" t="n">
        <x:v>23.18239</x:v>
      </x:c>
      <x:c r="H127" s="16" t="n">
        <x:v>75.77643</x:v>
      </x:c>
      <x:c r="I127" s="13" t="str">
        <x:v>Parent-city centroid (map visualization; not clinic-door geocode)</x:v>
      </x:c>
      <x:c r="J127" s="13" t="str">
        <x:v>Official sitemap-listed</x:v>
      </x:c>
      <x:c r="K127" s="13" t="str">
        <x:v>https://www.indiraivf.com/sitemap</x:v>
      </x:c>
      <x:c r="L127" s="13" t="str">
        <x:v>https://www.indiraivf.com/ivf-center-in-india</x:v>
      </x:c>
      <x:c r="M127" s="13" t="str">
        <x:v>https://www.google.com/maps/search/?api=1&amp;query=Indira%20IVF%20Ujjain%2C%20Ujjain%2C%20Madhya%20Pradesh%2C%20India</x:v>
      </x:c>
      <x:c r="N127" s="13" t="str">
        <x:v>Public centre page listed in official sitemap. Directory headline reports 210 centres; sitemap exposes 199 centre pages.</x:v>
      </x:c>
    </x:row>
    <x:row r="128">
      <x:c r="A128" s="13" t="str">
        <x:v>Indira IVF</x:v>
      </x:c>
      <x:c r="B128" s="13" t="str">
        <x:v>Vashi, Navi Mumbai</x:v>
      </x:c>
      <x:c r="C128" s="13" t="str">
        <x:v>Navi Mumbai</x:v>
      </x:c>
      <x:c r="D128" s="13" t="str">
        <x:v>Maharashtra</x:v>
      </x:c>
      <x:c r="E128" s="13" t="str">
        <x:v>Vashi, Navi Mumbai, Navi Mumbai, Maharashtra, India</x:v>
      </x:c>
      <x:c r="F128" s="13" t="str">
        <x:v>Locality/city normalized from official centre-page title</x:v>
      </x:c>
      <x:c r="G128" s="16" t="n">
        <x:v>19.03681</x:v>
      </x:c>
      <x:c r="H128" s="16" t="n">
        <x:v>73.01582</x:v>
      </x:c>
      <x:c r="I128" s="13" t="str">
        <x:v>Parent-city centroid (map visualization; not clinic-door geocode)</x:v>
      </x:c>
      <x:c r="J128" s="13" t="str">
        <x:v>Official sitemap-listed</x:v>
      </x:c>
      <x:c r="K128" s="13" t="str">
        <x:v>https://www.indiraivf.com/sitemap</x:v>
      </x:c>
      <x:c r="L128" s="13" t="str">
        <x:v>https://www.indiraivf.com/ivf-center-in-india</x:v>
      </x:c>
      <x:c r="M128" s="13" t="str">
        <x:v>https://www.google.com/maps/search/?api=1&amp;query=Indira%20IVF%20Vashi%2C%20Navi%20Mumbai%2C%20Navi%20Mumbai%2C%20Maharashtra%2C%20India</x:v>
      </x:c>
      <x:c r="N128" s="13" t="str">
        <x:v>Public centre page listed in official sitemap. Directory headline reports 210 centres; sitemap exposes 199 centre pages.</x:v>
      </x:c>
    </x:row>
    <x:row r="129">
      <x:c r="A129" s="13" t="str">
        <x:v>Indira IVF</x:v>
      </x:c>
      <x:c r="B129" s="13" t="str">
        <x:v>Whitefield, Bengaluru</x:v>
      </x:c>
      <x:c r="C129" s="13" t="str">
        <x:v>Bengaluru</x:v>
      </x:c>
      <x:c r="D129" s="13" t="str">
        <x:v>Karnataka</x:v>
      </x:c>
      <x:c r="E129" s="13" t="str">
        <x:v>Whitefield, Bengaluru, Bengaluru, Karnataka, India</x:v>
      </x:c>
      <x:c r="F129" s="13" t="str">
        <x:v>Locality/city normalized from official centre-page title</x:v>
      </x:c>
      <x:c r="G129" s="16" t="n">
        <x:v>12.97194</x:v>
      </x:c>
      <x:c r="H129" s="16" t="n">
        <x:v>77.59369</x:v>
      </x:c>
      <x:c r="I129" s="13" t="str">
        <x:v>Parent-city centroid (map visualization; not clinic-door geocode)</x:v>
      </x:c>
      <x:c r="J129" s="13" t="str">
        <x:v>Official sitemap-listed</x:v>
      </x:c>
      <x:c r="K129" s="13" t="str">
        <x:v>https://www.indiraivf.com/sitemap</x:v>
      </x:c>
      <x:c r="L129" s="13" t="str">
        <x:v>https://www.indiraivf.com/ivf-center-in-india</x:v>
      </x:c>
      <x:c r="M129" s="13" t="str">
        <x:v>https://www.google.com/maps/search/?api=1&amp;query=Indira%20IVF%20Whitefield%2C%20Bengaluru%2C%20Bengaluru%2C%20Karnataka%2C%20India</x:v>
      </x:c>
      <x:c r="N129" s="13" t="str">
        <x:v>Public centre page listed in official sitemap. Directory headline reports 210 centres; sitemap exposes 199 centre pages.</x:v>
      </x:c>
    </x:row>
    <x:row r="130">
      <x:c r="A130" s="13" t="str">
        <x:v>Indira IVF</x:v>
      </x:c>
      <x:c r="B130" s="13" t="str">
        <x:v>Ajmer</x:v>
      </x:c>
      <x:c r="C130" s="13" t="str">
        <x:v>Ajmer</x:v>
      </x:c>
      <x:c r="D130" s="13" t="str">
        <x:v>Rajasthan</x:v>
      </x:c>
      <x:c r="E130" s="13" t="str">
        <x:v>Ajmer, Rajasthan, India</x:v>
      </x:c>
      <x:c r="F130" s="13" t="str">
        <x:v>Locality/city normalized from official centre-page title</x:v>
      </x:c>
      <x:c r="G130" s="16" t="n">
        <x:v>26.4521</x:v>
      </x:c>
      <x:c r="H130" s="16" t="n">
        <x:v>74.63867</x:v>
      </x:c>
      <x:c r="I130" s="13" t="str">
        <x:v>Parent-city centroid (map visualization; not clinic-door geocode)</x:v>
      </x:c>
      <x:c r="J130" s="13" t="str">
        <x:v>Official sitemap-listed</x:v>
      </x:c>
      <x:c r="K130" s="13" t="str">
        <x:v>https://www.indiraivf.com/sitemap</x:v>
      </x:c>
      <x:c r="L130" s="13" t="str">
        <x:v>https://www.indiraivf.com/ivf-center-in-india</x:v>
      </x:c>
      <x:c r="M130" s="13" t="str">
        <x:v>https://www.google.com/maps/search/?api=1&amp;query=Indira%20IVF%20Ajmer%2C%20Ajmer%2C%20Rajasthan%2C%20India</x:v>
      </x:c>
      <x:c r="N130" s="13" t="str">
        <x:v>Public centre page listed in official sitemap. Directory headline reports 210 centres; sitemap exposes 199 centre pages.</x:v>
      </x:c>
    </x:row>
    <x:row r="131">
      <x:c r="A131" s="13" t="str">
        <x:v>Indira IVF</x:v>
      </x:c>
      <x:c r="B131" s="13" t="str">
        <x:v>Amritsar</x:v>
      </x:c>
      <x:c r="C131" s="13" t="str">
        <x:v>Amritsar</x:v>
      </x:c>
      <x:c r="D131" s="13" t="str">
        <x:v>Punjab</x:v>
      </x:c>
      <x:c r="E131" s="13" t="str">
        <x:v>Amritsar, Punjab, India</x:v>
      </x:c>
      <x:c r="F131" s="13" t="str">
        <x:v>Locality/city normalized from official centre-page title</x:v>
      </x:c>
      <x:c r="G131" s="16" t="n">
        <x:v>31.62234</x:v>
      </x:c>
      <x:c r="H131" s="16" t="n">
        <x:v>74.87534</x:v>
      </x:c>
      <x:c r="I131" s="13" t="str">
        <x:v>Parent-city centroid (map visualization; not clinic-door geocode)</x:v>
      </x:c>
      <x:c r="J131" s="13" t="str">
        <x:v>Official sitemap-listed</x:v>
      </x:c>
      <x:c r="K131" s="13" t="str">
        <x:v>https://www.indiraivf.com/sitemap</x:v>
      </x:c>
      <x:c r="L131" s="13" t="str">
        <x:v>https://www.indiraivf.com/ivf-center-in-india</x:v>
      </x:c>
      <x:c r="M131" s="13" t="str">
        <x:v>https://www.google.com/maps/search/?api=1&amp;query=Indira%20IVF%20Amritsar%2C%20Amritsar%2C%20Punjab%2C%20India</x:v>
      </x:c>
      <x:c r="N131" s="13" t="str">
        <x:v>Public centre page listed in official sitemap. Directory headline reports 210 centres; sitemap exposes 199 centre pages.</x:v>
      </x:c>
    </x:row>
    <x:row r="132">
      <x:c r="A132" s="13" t="str">
        <x:v>Indira IVF</x:v>
      </x:c>
      <x:c r="B132" s="13" t="str">
        <x:v>Chhatrapati Sambhajinagar (Aurangabad)</x:v>
      </x:c>
      <x:c r="C132" s="13" t="str">
        <x:v>Chhatrapati Sambhajinagar (Aurangabad)</x:v>
      </x:c>
      <x:c r="D132" s="13" t="str">
        <x:v>Maharashtra</x:v>
      </x:c>
      <x:c r="E132" s="13" t="str">
        <x:v>Chhatrapati Sambhajinagar (Aurangabad), Maharashtra, India</x:v>
      </x:c>
      <x:c r="F132" s="13" t="str">
        <x:v>Locality/city normalized from official centre-page title</x:v>
      </x:c>
      <x:c r="G132" s="16" t="n">
        <x:v>19.87757</x:v>
      </x:c>
      <x:c r="H132" s="16" t="n">
        <x:v>75.34226</x:v>
      </x:c>
      <x:c r="I132" s="13" t="str">
        <x:v>Parent-city centroid (map visualization; not clinic-door geocode)</x:v>
      </x:c>
      <x:c r="J132" s="13" t="str">
        <x:v>Official sitemap-listed</x:v>
      </x:c>
      <x:c r="K132" s="13" t="str">
        <x:v>https://www.indiraivf.com/sitemap</x:v>
      </x:c>
      <x:c r="L132" s="13" t="str">
        <x:v>https://www.indiraivf.com/ivf-center-in-india</x:v>
      </x:c>
      <x:c r="M132" s="13" t="str">
        <x:v>https://www.google.com/maps/search/?api=1&amp;query=Indira%20IVF%20Chhatrapati%20Sambhajinagar%20%28Aurangabad%29%2C%20Chhatrapati%20Sambhajinagar%20%28Aurangabad%29%2C%20Maharashtra%2C%20India</x:v>
      </x:c>
      <x:c r="N132" s="13" t="str">
        <x:v>Public centre page listed in official sitemap. Directory headline reports 210 centres; sitemap exposes 199 centre pages.</x:v>
      </x:c>
    </x:row>
    <x:row r="133">
      <x:c r="A133" s="13" t="str">
        <x:v>Indira IVF</x:v>
      </x:c>
      <x:c r="B133" s="13" t="str">
        <x:v>Bathinda</x:v>
      </x:c>
      <x:c r="C133" s="13" t="str">
        <x:v>Bathinda</x:v>
      </x:c>
      <x:c r="D133" s="13" t="str">
        <x:v>Punjab</x:v>
      </x:c>
      <x:c r="E133" s="13" t="str">
        <x:v>Bathinda, Punjab, India</x:v>
      </x:c>
      <x:c r="F133" s="13" t="str">
        <x:v>Locality/city normalized from official centre-page title</x:v>
      </x:c>
      <x:c r="G133" s="16" t="n">
        <x:v>30.20747</x:v>
      </x:c>
      <x:c r="H133" s="16" t="n">
        <x:v>74.93893</x:v>
      </x:c>
      <x:c r="I133" s="13" t="str">
        <x:v>Parent-city centroid (map visualization; not clinic-door geocode)</x:v>
      </x:c>
      <x:c r="J133" s="13" t="str">
        <x:v>Official sitemap-listed</x:v>
      </x:c>
      <x:c r="K133" s="13" t="str">
        <x:v>https://www.indiraivf.com/sitemap</x:v>
      </x:c>
      <x:c r="L133" s="13" t="str">
        <x:v>https://www.indiraivf.com/ivf-center-in-india</x:v>
      </x:c>
      <x:c r="M133" s="13" t="str">
        <x:v>https://www.google.com/maps/search/?api=1&amp;query=Indira%20IVF%20Bathinda%2C%20Bathinda%2C%20Punjab%2C%20India</x:v>
      </x:c>
      <x:c r="N133" s="13" t="str">
        <x:v>Public centre page listed in official sitemap. Directory headline reports 210 centres; sitemap exposes 199 centre pages.</x:v>
      </x:c>
    </x:row>
    <x:row r="134">
      <x:c r="A134" s="13" t="str">
        <x:v>Indira IVF</x:v>
      </x:c>
      <x:c r="B134" s="13" t="str">
        <x:v>Belgaum</x:v>
      </x:c>
      <x:c r="C134" s="13" t="str">
        <x:v>Belgaum</x:v>
      </x:c>
      <x:c r="D134" s="13" t="str">
        <x:v>Karnataka</x:v>
      </x:c>
      <x:c r="E134" s="13" t="str">
        <x:v>Belgaum, Karnataka, India</x:v>
      </x:c>
      <x:c r="F134" s="13" t="str">
        <x:v>Locality/city normalized from official centre-page title</x:v>
      </x:c>
      <x:c r="G134" s="16" t="n">
        <x:v>15.85212</x:v>
      </x:c>
      <x:c r="H134" s="16" t="n">
        <x:v>74.50447</x:v>
      </x:c>
      <x:c r="I134" s="13" t="str">
        <x:v>Parent-city centroid (map visualization; not clinic-door geocode)</x:v>
      </x:c>
      <x:c r="J134" s="13" t="str">
        <x:v>Official sitemap-listed</x:v>
      </x:c>
      <x:c r="K134" s="13" t="str">
        <x:v>https://www.indiraivf.com/sitemap</x:v>
      </x:c>
      <x:c r="L134" s="13" t="str">
        <x:v>https://www.indiraivf.com/ivf-center-in-india</x:v>
      </x:c>
      <x:c r="M134" s="13" t="str">
        <x:v>https://www.google.com/maps/search/?api=1&amp;query=Indira%20IVF%20Belgaum%2C%20Belgaum%2C%20Karnataka%2C%20India</x:v>
      </x:c>
      <x:c r="N134" s="13" t="str">
        <x:v>Public centre page listed in official sitemap. Directory headline reports 210 centres; sitemap exposes 199 centre pages.</x:v>
      </x:c>
    </x:row>
    <x:row r="135">
      <x:c r="A135" s="13" t="str">
        <x:v>Indira IVF</x:v>
      </x:c>
      <x:c r="B135" s="13" t="str">
        <x:v>Bhopal</x:v>
      </x:c>
      <x:c r="C135" s="13" t="str">
        <x:v>Bhopal</x:v>
      </x:c>
      <x:c r="D135" s="13" t="str">
        <x:v>Madhya Pradesh</x:v>
      </x:c>
      <x:c r="E135" s="13" t="str">
        <x:v>Bhopal, Madhya Pradesh, India</x:v>
      </x:c>
      <x:c r="F135" s="13" t="str">
        <x:v>Locality/city normalized from official centre-page title</x:v>
      </x:c>
      <x:c r="G135" s="16" t="n">
        <x:v>23.25469</x:v>
      </x:c>
      <x:c r="H135" s="16" t="n">
        <x:v>77.40289</x:v>
      </x:c>
      <x:c r="I135" s="13" t="str">
        <x:v>Parent-city centroid (map visualization; not clinic-door geocode)</x:v>
      </x:c>
      <x:c r="J135" s="13" t="str">
        <x:v>Official sitemap-listed</x:v>
      </x:c>
      <x:c r="K135" s="13" t="str">
        <x:v>https://www.indiraivf.com/sitemap</x:v>
      </x:c>
      <x:c r="L135" s="13" t="str">
        <x:v>https://www.indiraivf.com/ivf-center-in-india</x:v>
      </x:c>
      <x:c r="M135" s="13" t="str">
        <x:v>https://www.google.com/maps/search/?api=1&amp;query=Indira%20IVF%20Bhopal%2C%20Bhopal%2C%20Madhya%20Pradesh%2C%20India</x:v>
      </x:c>
      <x:c r="N135" s="13" t="str">
        <x:v>Public centre page listed in official sitemap. Directory headline reports 210 centres; sitemap exposes 199 centre pages.</x:v>
      </x:c>
    </x:row>
    <x:row r="136">
      <x:c r="A136" s="13" t="str">
        <x:v>Indira IVF</x:v>
      </x:c>
      <x:c r="B136" s="13" t="str">
        <x:v>Bilaspur, Chhattisgarh</x:v>
      </x:c>
      <x:c r="C136" s="13" t="str">
        <x:v>Bilaspur</x:v>
      </x:c>
      <x:c r="D136" s="13" t="str">
        <x:v>Chhattisgarh</x:v>
      </x:c>
      <x:c r="E136" s="13" t="str">
        <x:v>Bilaspur, Chhattisgarh, Bilaspur, Chhattisgarh, India</x:v>
      </x:c>
      <x:c r="F136" s="13" t="str">
        <x:v>Locality/city normalized from official centre-page title</x:v>
      </x:c>
      <x:c r="G136" s="16" t="n">
        <x:v>22.08005</x:v>
      </x:c>
      <x:c r="H136" s="16" t="n">
        <x:v>82.15543</x:v>
      </x:c>
      <x:c r="I136" s="13" t="str">
        <x:v>Parent-city centroid (map visualization; not clinic-door geocode)</x:v>
      </x:c>
      <x:c r="J136" s="13" t="str">
        <x:v>Official sitemap-listed</x:v>
      </x:c>
      <x:c r="K136" s="13" t="str">
        <x:v>https://www.indiraivf.com/sitemap</x:v>
      </x:c>
      <x:c r="L136" s="13" t="str">
        <x:v>https://www.indiraivf.com/ivf-center-in-india</x:v>
      </x:c>
      <x:c r="M136" s="13" t="str">
        <x:v>https://www.google.com/maps/search/?api=1&amp;query=Indira%20IVF%20Bilaspur%2C%20Chhattisgarh%2C%20Bilaspur%2C%20Chhattisgarh%2C%20India</x:v>
      </x:c>
      <x:c r="N136" s="13" t="str">
        <x:v>Public centre page listed in official sitemap. Directory headline reports 210 centres; sitemap exposes 199 centre pages.</x:v>
      </x:c>
    </x:row>
    <x:row r="137">
      <x:c r="A137" s="13" t="str">
        <x:v>Indira IVF</x:v>
      </x:c>
      <x:c r="B137" s="13" t="str">
        <x:v>Cuttack</x:v>
      </x:c>
      <x:c r="C137" s="13" t="str">
        <x:v>Cuttack</x:v>
      </x:c>
      <x:c r="D137" s="13" t="str">
        <x:v>Odisha</x:v>
      </x:c>
      <x:c r="E137" s="13" t="str">
        <x:v>Cuttack, Odisha, India</x:v>
      </x:c>
      <x:c r="F137" s="13" t="str">
        <x:v>Locality/city normalized from official centre-page title</x:v>
      </x:c>
      <x:c r="G137" s="16" t="n">
        <x:v>20.46497</x:v>
      </x:c>
      <x:c r="H137" s="16" t="n">
        <x:v>85.87927</x:v>
      </x:c>
      <x:c r="I137" s="13" t="str">
        <x:v>Parent-city centroid (map visualization; not clinic-door geocode)</x:v>
      </x:c>
      <x:c r="J137" s="13" t="str">
        <x:v>Official sitemap-listed</x:v>
      </x:c>
      <x:c r="K137" s="13" t="str">
        <x:v>https://www.indiraivf.com/sitemap</x:v>
      </x:c>
      <x:c r="L137" s="13" t="str">
        <x:v>https://www.indiraivf.com/ivf-center-in-india</x:v>
      </x:c>
      <x:c r="M137" s="13" t="str">
        <x:v>https://www.google.com/maps/search/?api=1&amp;query=Indira%20IVF%20Cuttack%2C%20Cuttack%2C%20Odisha%2C%20India</x:v>
      </x:c>
      <x:c r="N137" s="13" t="str">
        <x:v>Public centre page listed in official sitemap. Directory headline reports 210 centres; sitemap exposes 199 centre pages.</x:v>
      </x:c>
    </x:row>
    <x:row r="138">
      <x:c r="A138" s="13" t="str">
        <x:v>Indira IVF</x:v>
      </x:c>
      <x:c r="B138" s="13" t="str">
        <x:v>Dwarka</x:v>
      </x:c>
      <x:c r="C138" s="13" t="str">
        <x:v>New Delhi</x:v>
      </x:c>
      <x:c r="D138" s="13" t="str">
        <x:v>Delhi</x:v>
      </x:c>
      <x:c r="E138" s="13" t="str">
        <x:v>Dwarka, New Delhi, Delhi, India</x:v>
      </x:c>
      <x:c r="F138" s="13" t="str">
        <x:v>Locality/city normalized from official centre-page title</x:v>
      </x:c>
      <x:c r="G138" s="16" t="n">
        <x:v>28.65195</x:v>
      </x:c>
      <x:c r="H138" s="16" t="n">
        <x:v>77.23149</x:v>
      </x:c>
      <x:c r="I138" s="13" t="str">
        <x:v>Parent-city centroid (map visualization; not clinic-door geocode)</x:v>
      </x:c>
      <x:c r="J138" s="13" t="str">
        <x:v>Official sitemap-listed</x:v>
      </x:c>
      <x:c r="K138" s="13" t="str">
        <x:v>https://www.indiraivf.com/sitemap</x:v>
      </x:c>
      <x:c r="L138" s="13" t="str">
        <x:v>https://www.indiraivf.com/ivf-center-in-india</x:v>
      </x:c>
      <x:c r="M138" s="13" t="str">
        <x:v>https://www.google.com/maps/search/?api=1&amp;query=Indira%20IVF%20Dwarka%2C%20New%20Delhi%2C%20Delhi%2C%20India</x:v>
      </x:c>
      <x:c r="N138" s="13" t="str">
        <x:v>Public centre page listed in official sitemap. Directory headline reports 210 centres; sitemap exposes 199 centre pages.</x:v>
      </x:c>
    </x:row>
    <x:row r="139">
      <x:c r="A139" s="13" t="str">
        <x:v>Indira IVF</x:v>
      </x:c>
      <x:c r="B139" s="13" t="str">
        <x:v>Gaya</x:v>
      </x:c>
      <x:c r="C139" s="13" t="str">
        <x:v>Gaya</x:v>
      </x:c>
      <x:c r="D139" s="13" t="str">
        <x:v>Bihar</x:v>
      </x:c>
      <x:c r="E139" s="13" t="str">
        <x:v>Gaya, Bihar, India</x:v>
      </x:c>
      <x:c r="F139" s="13" t="str">
        <x:v>Locality/city normalized from official centre-page title</x:v>
      </x:c>
      <x:c r="G139" s="16" t="n">
        <x:v>24.79686</x:v>
      </x:c>
      <x:c r="H139" s="16" t="n">
        <x:v>85.00385</x:v>
      </x:c>
      <x:c r="I139" s="13" t="str">
        <x:v>Parent-city centroid (map visualization; not clinic-door geocode)</x:v>
      </x:c>
      <x:c r="J139" s="13" t="str">
        <x:v>Official sitemap-listed</x:v>
      </x:c>
      <x:c r="K139" s="13" t="str">
        <x:v>https://www.indiraivf.com/sitemap</x:v>
      </x:c>
      <x:c r="L139" s="13" t="str">
        <x:v>https://www.indiraivf.com/ivf-center-in-india</x:v>
      </x:c>
      <x:c r="M139" s="13" t="str">
        <x:v>https://www.google.com/maps/search/?api=1&amp;query=Indira%20IVF%20Gaya%2C%20Gaya%2C%20Bihar%2C%20India</x:v>
      </x:c>
      <x:c r="N139" s="13" t="str">
        <x:v>Public centre page listed in official sitemap. Directory headline reports 210 centres; sitemap exposes 199 centre pages.</x:v>
      </x:c>
    </x:row>
    <x:row r="140">
      <x:c r="A140" s="13" t="str">
        <x:v>Indira IVF</x:v>
      </x:c>
      <x:c r="B140" s="13" t="str">
        <x:v>Ghatkopar, Mumbai</x:v>
      </x:c>
      <x:c r="C140" s="13" t="str">
        <x:v>Mumbai</x:v>
      </x:c>
      <x:c r="D140" s="13" t="str">
        <x:v>Maharashtra</x:v>
      </x:c>
      <x:c r="E140" s="13" t="str">
        <x:v>Ghatkopar, Mumbai, Mumbai, Maharashtra, India</x:v>
      </x:c>
      <x:c r="F140" s="13" t="str">
        <x:v>Locality/city normalized from official centre-page title</x:v>
      </x:c>
      <x:c r="G140" s="16" t="n">
        <x:v>19.07283</x:v>
      </x:c>
      <x:c r="H140" s="16" t="n">
        <x:v>72.88261</x:v>
      </x:c>
      <x:c r="I140" s="13" t="str">
        <x:v>Parent-city centroid (map visualization; not clinic-door geocode)</x:v>
      </x:c>
      <x:c r="J140" s="13" t="str">
        <x:v>Official sitemap-listed</x:v>
      </x:c>
      <x:c r="K140" s="13" t="str">
        <x:v>https://www.indiraivf.com/sitemap</x:v>
      </x:c>
      <x:c r="L140" s="13" t="str">
        <x:v>https://www.indiraivf.com/ivf-center-in-india</x:v>
      </x:c>
      <x:c r="M140" s="13" t="str">
        <x:v>https://www.google.com/maps/search/?api=1&amp;query=Indira%20IVF%20Ghatkopar%2C%20Mumbai%2C%20Mumbai%2C%20Maharashtra%2C%20India</x:v>
      </x:c>
      <x:c r="N140" s="13" t="str">
        <x:v>Public centre page listed in official sitemap. Directory headline reports 210 centres; sitemap exposes 199 centre pages.</x:v>
      </x:c>
    </x:row>
    <x:row r="141">
      <x:c r="A141" s="13" t="str">
        <x:v>Indira IVF</x:v>
      </x:c>
      <x:c r="B141" s="13" t="str">
        <x:v>Jabalpur</x:v>
      </x:c>
      <x:c r="C141" s="13" t="str">
        <x:v>Jabalpur</x:v>
      </x:c>
      <x:c r="D141" s="13" t="str">
        <x:v>Madhya Pradesh</x:v>
      </x:c>
      <x:c r="E141" s="13" t="str">
        <x:v>Jabalpur, Madhya Pradesh, India</x:v>
      </x:c>
      <x:c r="F141" s="13" t="str">
        <x:v>Locality/city normalized from official centre-page title</x:v>
      </x:c>
      <x:c r="G141" s="16" t="n">
        <x:v>23.16697</x:v>
      </x:c>
      <x:c r="H141" s="16" t="n">
        <x:v>79.95006</x:v>
      </x:c>
      <x:c r="I141" s="13" t="str">
        <x:v>Parent-city centroid (map visualization; not clinic-door geocode)</x:v>
      </x:c>
      <x:c r="J141" s="13" t="str">
        <x:v>Official sitemap-listed</x:v>
      </x:c>
      <x:c r="K141" s="13" t="str">
        <x:v>https://www.indiraivf.com/sitemap</x:v>
      </x:c>
      <x:c r="L141" s="13" t="str">
        <x:v>https://www.indiraivf.com/ivf-center-in-india</x:v>
      </x:c>
      <x:c r="M141" s="13" t="str">
        <x:v>https://www.google.com/maps/search/?api=1&amp;query=Indira%20IVF%20Jabalpur%2C%20Jabalpur%2C%20Madhya%20Pradesh%2C%20India</x:v>
      </x:c>
      <x:c r="N141" s="13" t="str">
        <x:v>Public centre page listed in official sitemap. Directory headline reports 210 centres; sitemap exposes 199 centre pages.</x:v>
      </x:c>
    </x:row>
    <x:row r="142">
      <x:c r="A142" s="13" t="str">
        <x:v>Indira IVF</x:v>
      </x:c>
      <x:c r="B142" s="13" t="str">
        <x:v>Jammu</x:v>
      </x:c>
      <x:c r="C142" s="13" t="str">
        <x:v>Jammu</x:v>
      </x:c>
      <x:c r="D142" s="13" t="str">
        <x:v>Jammu and Kashmir</x:v>
      </x:c>
      <x:c r="E142" s="13" t="str">
        <x:v>Jammu, Jammu and Kashmir, India</x:v>
      </x:c>
      <x:c r="F142" s="13" t="str">
        <x:v>Locality/city normalized from official centre-page title</x:v>
      </x:c>
      <x:c r="G142" s="16" t="n">
        <x:v>32.73528</x:v>
      </x:c>
      <x:c r="H142" s="16" t="n">
        <x:v>74.86167</x:v>
      </x:c>
      <x:c r="I142" s="13" t="str">
        <x:v>Parent-city centroid (map visualization; not clinic-door geocode)</x:v>
      </x:c>
      <x:c r="J142" s="13" t="str">
        <x:v>Official sitemap-listed</x:v>
      </x:c>
      <x:c r="K142" s="13" t="str">
        <x:v>https://www.indiraivf.com/sitemap</x:v>
      </x:c>
      <x:c r="L142" s="13" t="str">
        <x:v>https://www.indiraivf.com/ivf-center-in-india</x:v>
      </x:c>
      <x:c r="M142" s="13" t="str">
        <x:v>https://www.google.com/maps/search/?api=1&amp;query=Indira%20IVF%20Jammu%2C%20Jammu%2C%20Jammu%20and%20Kashmir%2C%20India</x:v>
      </x:c>
      <x:c r="N142" s="13" t="str">
        <x:v>Public centre page listed in official sitemap. Directory headline reports 210 centres; sitemap exposes 199 centre pages.</x:v>
      </x:c>
    </x:row>
    <x:row r="143">
      <x:c r="A143" s="13" t="str">
        <x:v>Indira IVF</x:v>
      </x:c>
      <x:c r="B143" s="13" t="str">
        <x:v>Kolhapur</x:v>
      </x:c>
      <x:c r="C143" s="13" t="str">
        <x:v>Kolhapur</x:v>
      </x:c>
      <x:c r="D143" s="13" t="str">
        <x:v>Maharashtra</x:v>
      </x:c>
      <x:c r="E143" s="13" t="str">
        <x:v>Kolhapur, Maharashtra, India</x:v>
      </x:c>
      <x:c r="F143" s="13" t="str">
        <x:v>Locality/city normalized from official centre-page title</x:v>
      </x:c>
      <x:c r="G143" s="16" t="n">
        <x:v>16.69563</x:v>
      </x:c>
      <x:c r="H143" s="16" t="n">
        <x:v>74.23167</x:v>
      </x:c>
      <x:c r="I143" s="13" t="str">
        <x:v>Parent-city centroid (map visualization; not clinic-door geocode)</x:v>
      </x:c>
      <x:c r="J143" s="13" t="str">
        <x:v>Official sitemap-listed</x:v>
      </x:c>
      <x:c r="K143" s="13" t="str">
        <x:v>https://www.indiraivf.com/sitemap</x:v>
      </x:c>
      <x:c r="L143" s="13" t="str">
        <x:v>https://www.indiraivf.com/ivf-center-in-india</x:v>
      </x:c>
      <x:c r="M143" s="13" t="str">
        <x:v>https://www.google.com/maps/search/?api=1&amp;query=Indira%20IVF%20Kolhapur%2C%20Kolhapur%2C%20Maharashtra%2C%20India</x:v>
      </x:c>
      <x:c r="N143" s="13" t="str">
        <x:v>Public centre page listed in official sitemap. Directory headline reports 210 centres; sitemap exposes 199 centre pages.</x:v>
      </x:c>
    </x:row>
    <x:row r="144">
      <x:c r="A144" s="13" t="str">
        <x:v>Indira IVF</x:v>
      </x:c>
      <x:c r="B144" s="13" t="str">
        <x:v>Park Street</x:v>
      </x:c>
      <x:c r="C144" s="13" t="str">
        <x:v>Kolkata</x:v>
      </x:c>
      <x:c r="D144" s="13" t="str">
        <x:v>West Bengal</x:v>
      </x:c>
      <x:c r="E144" s="13" t="str">
        <x:v>Park Street, Kolkata, West Bengal, India</x:v>
      </x:c>
      <x:c r="F144" s="13" t="str">
        <x:v>Locality/city normalized from official centre-page title</x:v>
      </x:c>
      <x:c r="G144" s="16" t="n">
        <x:v>22.56263</x:v>
      </x:c>
      <x:c r="H144" s="16" t="n">
        <x:v>88.36304</x:v>
      </x:c>
      <x:c r="I144" s="13" t="str">
        <x:v>Parent-city centroid (map visualization; not clinic-door geocode)</x:v>
      </x:c>
      <x:c r="J144" s="13" t="str">
        <x:v>Official sitemap-listed</x:v>
      </x:c>
      <x:c r="K144" s="13" t="str">
        <x:v>https://www.indiraivf.com/sitemap</x:v>
      </x:c>
      <x:c r="L144" s="13" t="str">
        <x:v>https://www.indiraivf.com/ivf-center-in-india</x:v>
      </x:c>
      <x:c r="M144" s="13" t="str">
        <x:v>https://www.google.com/maps/search/?api=1&amp;query=Indira%20IVF%20Park%20Street%2C%20Kolkata%2C%20West%20Bengal%2C%20India</x:v>
      </x:c>
      <x:c r="N144" s="13" t="str">
        <x:v>Public centre page listed in official sitemap. Directory headline reports 210 centres; sitemap exposes 199 centre pages.</x:v>
      </x:c>
    </x:row>
    <x:row r="145">
      <x:c r="A145" s="13" t="str">
        <x:v>Indira IVF</x:v>
      </x:c>
      <x:c r="B145" s="13" t="str">
        <x:v>Viman Nagar</x:v>
      </x:c>
      <x:c r="C145" s="13" t="str">
        <x:v>Pune</x:v>
      </x:c>
      <x:c r="D145" s="13" t="str">
        <x:v>Maharashtra</x:v>
      </x:c>
      <x:c r="E145" s="13" t="str">
        <x:v>Viman Nagar, Pune, Maharashtra, India</x:v>
      </x:c>
      <x:c r="F145" s="13" t="str">
        <x:v>Locality/city normalized from official centre-page title</x:v>
      </x:c>
      <x:c r="G145" s="16" t="n">
        <x:v>18.51957</x:v>
      </x:c>
      <x:c r="H145" s="16" t="n">
        <x:v>73.85535</x:v>
      </x:c>
      <x:c r="I145" s="13" t="str">
        <x:v>Parent-city centroid (map visualization; not clinic-door geocode)</x:v>
      </x:c>
      <x:c r="J145" s="13" t="str">
        <x:v>Official sitemap-listed</x:v>
      </x:c>
      <x:c r="K145" s="13" t="str">
        <x:v>https://www.indiraivf.com/sitemap</x:v>
      </x:c>
      <x:c r="L145" s="13" t="str">
        <x:v>https://www.indiraivf.com/ivf-center-in-india</x:v>
      </x:c>
      <x:c r="M145" s="13" t="str">
        <x:v>https://www.google.com/maps/search/?api=1&amp;query=Indira%20IVF%20Viman%20Nagar%2C%20Pune%2C%20Maharashtra%2C%20India</x:v>
      </x:c>
      <x:c r="N145" s="13" t="str">
        <x:v>Public centre page listed in official sitemap. Directory headline reports 210 centres; sitemap exposes 199 centre pages.</x:v>
      </x:c>
    </x:row>
    <x:row r="146">
      <x:c r="A146" s="13" t="str">
        <x:v>Indira IVF</x:v>
      </x:c>
      <x:c r="B146" s="13" t="str">
        <x:v>Raipur</x:v>
      </x:c>
      <x:c r="C146" s="13" t="str">
        <x:v>Raipur</x:v>
      </x:c>
      <x:c r="D146" s="13" t="str">
        <x:v>Chhattisgarh</x:v>
      </x:c>
      <x:c r="E146" s="13" t="str">
        <x:v>Raipur, Chhattisgarh, India</x:v>
      </x:c>
      <x:c r="F146" s="13" t="str">
        <x:v>Locality/city normalized from official centre-page title</x:v>
      </x:c>
      <x:c r="G146" s="16" t="n">
        <x:v>21.23333</x:v>
      </x:c>
      <x:c r="H146" s="16" t="n">
        <x:v>81.63333</x:v>
      </x:c>
      <x:c r="I146" s="13" t="str">
        <x:v>Parent-city centroid (map visualization; not clinic-door geocode)</x:v>
      </x:c>
      <x:c r="J146" s="13" t="str">
        <x:v>Official sitemap-listed</x:v>
      </x:c>
      <x:c r="K146" s="13" t="str">
        <x:v>https://www.indiraivf.com/sitemap</x:v>
      </x:c>
      <x:c r="L146" s="13" t="str">
        <x:v>https://www.indiraivf.com/ivf-center-in-india</x:v>
      </x:c>
      <x:c r="M146" s="13" t="str">
        <x:v>https://www.google.com/maps/search/?api=1&amp;query=Indira%20IVF%20Raipur%2C%20Raipur%2C%20Chhattisgarh%2C%20India</x:v>
      </x:c>
      <x:c r="N146" s="13" t="str">
        <x:v>Public centre page listed in official sitemap. Directory headline reports 210 centres; sitemap exposes 199 centre pages.</x:v>
      </x:c>
    </x:row>
    <x:row r="147">
      <x:c r="A147" s="13" t="str">
        <x:v>Indira IVF</x:v>
      </x:c>
      <x:c r="B147" s="13" t="str">
        <x:v>Akola</x:v>
      </x:c>
      <x:c r="C147" s="13" t="str">
        <x:v>Akola</x:v>
      </x:c>
      <x:c r="D147" s="13" t="str">
        <x:v>Maharashtra</x:v>
      </x:c>
      <x:c r="E147" s="13" t="str">
        <x:v>Akola, Maharashtra, India</x:v>
      </x:c>
      <x:c r="F147" s="13" t="str">
        <x:v>Locality/city normalized from official centre-page title</x:v>
      </x:c>
      <x:c r="G147" s="16" t="n">
        <x:v>20.70957</x:v>
      </x:c>
      <x:c r="H147" s="16" t="n">
        <x:v>76.9981</x:v>
      </x:c>
      <x:c r="I147" s="13" t="str">
        <x:v>Parent-city centroid (map visualization; not clinic-door geocode)</x:v>
      </x:c>
      <x:c r="J147" s="13" t="str">
        <x:v>Official sitemap-listed</x:v>
      </x:c>
      <x:c r="K147" s="13" t="str">
        <x:v>https://www.indiraivf.com/sitemap</x:v>
      </x:c>
      <x:c r="L147" s="13" t="str">
        <x:v>https://www.indiraivf.com/ivf-center-in-india</x:v>
      </x:c>
      <x:c r="M147" s="13" t="str">
        <x:v>https://www.google.com/maps/search/?api=1&amp;query=Indira%20IVF%20Akola%2C%20Akola%2C%20Maharashtra%2C%20India</x:v>
      </x:c>
      <x:c r="N147" s="13" t="str">
        <x:v>Public centre page listed in official sitemap. Directory headline reports 210 centres; sitemap exposes 199 centre pages.</x:v>
      </x:c>
    </x:row>
    <x:row r="148">
      <x:c r="A148" s="13" t="str">
        <x:v>Indira IVF</x:v>
      </x:c>
      <x:c r="B148" s="13" t="str">
        <x:v>Alwar</x:v>
      </x:c>
      <x:c r="C148" s="13" t="str">
        <x:v>Alwar</x:v>
      </x:c>
      <x:c r="D148" s="13" t="str">
        <x:v>Rajasthan</x:v>
      </x:c>
      <x:c r="E148" s="13" t="str">
        <x:v>Alwar, Rajasthan, India</x:v>
      </x:c>
      <x:c r="F148" s="13" t="str">
        <x:v>Locality/city normalized from official centre-page title</x:v>
      </x:c>
      <x:c r="G148" s="16" t="n">
        <x:v>27.56246</x:v>
      </x:c>
      <x:c r="H148" s="16" t="n">
        <x:v>76.625</x:v>
      </x:c>
      <x:c r="I148" s="13" t="str">
        <x:v>Parent-city centroid (map visualization; not clinic-door geocode)</x:v>
      </x:c>
      <x:c r="J148" s="13" t="str">
        <x:v>Official sitemap-listed</x:v>
      </x:c>
      <x:c r="K148" s="13" t="str">
        <x:v>https://www.indiraivf.com/sitemap</x:v>
      </x:c>
      <x:c r="L148" s="13" t="str">
        <x:v>https://www.indiraivf.com/ivf-center-in-india</x:v>
      </x:c>
      <x:c r="M148" s="13" t="str">
        <x:v>https://www.google.com/maps/search/?api=1&amp;query=Indira%20IVF%20Alwar%2C%20Alwar%2C%20Rajasthan%2C%20India</x:v>
      </x:c>
      <x:c r="N148" s="13" t="str">
        <x:v>Public centre page listed in official sitemap. Directory headline reports 210 centres; sitemap exposes 199 centre pages.</x:v>
      </x:c>
    </x:row>
    <x:row r="149">
      <x:c r="A149" s="13" t="str">
        <x:v>Indira IVF</x:v>
      </x:c>
      <x:c r="B149" s="13" t="str">
        <x:v>Bikaner</x:v>
      </x:c>
      <x:c r="C149" s="13" t="str">
        <x:v>Bikaner</x:v>
      </x:c>
      <x:c r="D149" s="13" t="str">
        <x:v>Rajasthan</x:v>
      </x:c>
      <x:c r="E149" s="13" t="str">
        <x:v>Bikaner, Rajasthan, India</x:v>
      </x:c>
      <x:c r="F149" s="13" t="str">
        <x:v>Locality/city normalized from official centre-page title</x:v>
      </x:c>
      <x:c r="G149" s="16" t="n">
        <x:v>28.01762</x:v>
      </x:c>
      <x:c r="H149" s="16" t="n">
        <x:v>73.31495</x:v>
      </x:c>
      <x:c r="I149" s="13" t="str">
        <x:v>Parent-city centroid (map visualization; not clinic-door geocode)</x:v>
      </x:c>
      <x:c r="J149" s="13" t="str">
        <x:v>Official sitemap-listed</x:v>
      </x:c>
      <x:c r="K149" s="13" t="str">
        <x:v>https://www.indiraivf.com/sitemap</x:v>
      </x:c>
      <x:c r="L149" s="13" t="str">
        <x:v>https://www.indiraivf.com/ivf-center-in-india</x:v>
      </x:c>
      <x:c r="M149" s="13" t="str">
        <x:v>https://www.google.com/maps/search/?api=1&amp;query=Indira%20IVF%20Bikaner%2C%20Bikaner%2C%20Rajasthan%2C%20India</x:v>
      </x:c>
      <x:c r="N149" s="13" t="str">
        <x:v>Public centre page listed in official sitemap. Directory headline reports 210 centres; sitemap exposes 199 centre pages.</x:v>
      </x:c>
    </x:row>
    <x:row r="150">
      <x:c r="A150" s="13" t="str">
        <x:v>Indira IVF</x:v>
      </x:c>
      <x:c r="B150" s="13" t="str">
        <x:v>Patel Nagar</x:v>
      </x:c>
      <x:c r="C150" s="13" t="str">
        <x:v>New Delhi</x:v>
      </x:c>
      <x:c r="D150" s="13" t="str">
        <x:v>Delhi</x:v>
      </x:c>
      <x:c r="E150" s="13" t="str">
        <x:v>Patel Nagar, New Delhi, Delhi, India</x:v>
      </x:c>
      <x:c r="F150" s="13" t="str">
        <x:v>Locality/city normalized from official centre-page title</x:v>
      </x:c>
      <x:c r="G150" s="16" t="n">
        <x:v>28.65195</x:v>
      </x:c>
      <x:c r="H150" s="16" t="n">
        <x:v>77.23149</x:v>
      </x:c>
      <x:c r="I150" s="13" t="str">
        <x:v>Parent-city centroid (map visualization; not clinic-door geocode)</x:v>
      </x:c>
      <x:c r="J150" s="13" t="str">
        <x:v>Official sitemap-listed</x:v>
      </x:c>
      <x:c r="K150" s="13" t="str">
        <x:v>https://www.indiraivf.com/sitemap</x:v>
      </x:c>
      <x:c r="L150" s="13" t="str">
        <x:v>https://www.indiraivf.com/ivf-center-in-india</x:v>
      </x:c>
      <x:c r="M150" s="13" t="str">
        <x:v>https://www.google.com/maps/search/?api=1&amp;query=Indira%20IVF%20Patel%20Nagar%2C%20New%20Delhi%2C%20Delhi%2C%20India</x:v>
      </x:c>
      <x:c r="N150" s="13" t="str">
        <x:v>Public centre page listed in official sitemap. Directory headline reports 210 centres; sitemap exposes 199 centre pages.</x:v>
      </x:c>
    </x:row>
    <x:row r="151">
      <x:c r="A151" s="13" t="str">
        <x:v>Indira IVF</x:v>
      </x:c>
      <x:c r="B151" s="13" t="str">
        <x:v>Faridabad, Haryana</x:v>
      </x:c>
      <x:c r="C151" s="13" t="str">
        <x:v>Faridabad</x:v>
      </x:c>
      <x:c r="D151" s="13" t="str">
        <x:v>Haryana</x:v>
      </x:c>
      <x:c r="E151" s="13" t="str">
        <x:v>Faridabad, Haryana, Faridabad, Haryana, India</x:v>
      </x:c>
      <x:c r="F151" s="13" t="str">
        <x:v>Locality/city normalized from official centre-page title</x:v>
      </x:c>
      <x:c r="G151" s="16" t="n">
        <x:v>28.41124</x:v>
      </x:c>
      <x:c r="H151" s="16" t="n">
        <x:v>77.31316</x:v>
      </x:c>
      <x:c r="I151" s="13" t="str">
        <x:v>Parent-city centroid (map visualization; not clinic-door geocode)</x:v>
      </x:c>
      <x:c r="J151" s="13" t="str">
        <x:v>Official sitemap-listed</x:v>
      </x:c>
      <x:c r="K151" s="13" t="str">
        <x:v>https://www.indiraivf.com/sitemap</x:v>
      </x:c>
      <x:c r="L151" s="13" t="str">
        <x:v>https://www.indiraivf.com/ivf-center-in-india</x:v>
      </x:c>
      <x:c r="M151" s="13" t="str">
        <x:v>https://www.google.com/maps/search/?api=1&amp;query=Indira%20IVF%20Faridabad%2C%20Haryana%2C%20Faridabad%2C%20Haryana%2C%20India</x:v>
      </x:c>
      <x:c r="N151" s="13" t="str">
        <x:v>Public centre page listed in official sitemap. Directory headline reports 210 centres; sitemap exposes 199 centre pages.</x:v>
      </x:c>
    </x:row>
    <x:row r="152">
      <x:c r="A152" s="13" t="str">
        <x:v>Indira IVF</x:v>
      </x:c>
      <x:c r="B152" s="13" t="str">
        <x:v>Kaushambi, Ghaziabad</x:v>
      </x:c>
      <x:c r="C152" s="13" t="str">
        <x:v>Ghaziabad</x:v>
      </x:c>
      <x:c r="D152" s="13" t="str">
        <x:v>Uttar Pradesh</x:v>
      </x:c>
      <x:c r="E152" s="13" t="str">
        <x:v>Kaushambi, Ghaziabad, Ghaziabad, Uttar Pradesh, India</x:v>
      </x:c>
      <x:c r="F152" s="13" t="str">
        <x:v>Locality/city normalized from official centre-page title</x:v>
      </x:c>
      <x:c r="G152" s="16" t="n">
        <x:v>28.66535</x:v>
      </x:c>
      <x:c r="H152" s="16" t="n">
        <x:v>77.43915</x:v>
      </x:c>
      <x:c r="I152" s="13" t="str">
        <x:v>Parent-city centroid (map visualization; not clinic-door geocode)</x:v>
      </x:c>
      <x:c r="J152" s="13" t="str">
        <x:v>Official sitemap-listed</x:v>
      </x:c>
      <x:c r="K152" s="13" t="str">
        <x:v>https://www.indiraivf.com/sitemap</x:v>
      </x:c>
      <x:c r="L152" s="13" t="str">
        <x:v>https://www.indiraivf.com/ivf-center-in-india</x:v>
      </x:c>
      <x:c r="M152" s="13" t="str">
        <x:v>https://www.google.com/maps/search/?api=1&amp;query=Indira%20IVF%20Kaushambi%2C%20Ghaziabad%2C%20Ghaziabad%2C%20Uttar%20Pradesh%2C%20India</x:v>
      </x:c>
      <x:c r="N152" s="13" t="str">
        <x:v>Public centre page listed in official sitemap. Directory headline reports 210 centres; sitemap exposes 199 centre pages.</x:v>
      </x:c>
    </x:row>
    <x:row r="153">
      <x:c r="A153" s="13" t="str">
        <x:v>Indira IVF</x:v>
      </x:c>
      <x:c r="B153" s="13" t="str">
        <x:v>Gulbarga</x:v>
      </x:c>
      <x:c r="C153" s="13" t="str">
        <x:v>Gulbarga</x:v>
      </x:c>
      <x:c r="D153" s="13" t="str">
        <x:v>Karnataka</x:v>
      </x:c>
      <x:c r="E153" s="13" t="str">
        <x:v>Gulbarga, Karnataka, India</x:v>
      </x:c>
      <x:c r="F153" s="13" t="str">
        <x:v>Locality/city normalized from official centre-page title</x:v>
      </x:c>
      <x:c r="G153" s="16" t="n">
        <x:v>17.33583</x:v>
      </x:c>
      <x:c r="H153" s="16" t="n">
        <x:v>76.83757</x:v>
      </x:c>
      <x:c r="I153" s="13" t="str">
        <x:v>Parent-city centroid (map visualization; not clinic-door geocode)</x:v>
      </x:c>
      <x:c r="J153" s="13" t="str">
        <x:v>Official sitemap-listed</x:v>
      </x:c>
      <x:c r="K153" s="13" t="str">
        <x:v>https://www.indiraivf.com/sitemap</x:v>
      </x:c>
      <x:c r="L153" s="13" t="str">
        <x:v>https://www.indiraivf.com/ivf-center-in-india</x:v>
      </x:c>
      <x:c r="M153" s="13" t="str">
        <x:v>https://www.google.com/maps/search/?api=1&amp;query=Indira%20IVF%20Gulbarga%2C%20Gulbarga%2C%20Karnataka%2C%20India</x:v>
      </x:c>
      <x:c r="N153" s="13" t="str">
        <x:v>Public centre page listed in official sitemap. Directory headline reports 210 centres; sitemap exposes 199 centre pages.</x:v>
      </x:c>
    </x:row>
    <x:row r="154">
      <x:c r="A154" s="13" t="str">
        <x:v>Indira IVF</x:v>
      </x:c>
      <x:c r="B154" s="13" t="str">
        <x:v>Gurugram Sec-14</x:v>
      </x:c>
      <x:c r="C154" s="13" t="str">
        <x:v>Gurugram</x:v>
      </x:c>
      <x:c r="D154" s="13" t="str">
        <x:v>Haryana</x:v>
      </x:c>
      <x:c r="E154" s="13" t="str">
        <x:v>Gurugram Sec-14, Gurugram, Haryana, India</x:v>
      </x:c>
      <x:c r="F154" s="13" t="str">
        <x:v>Locality/city normalized from official centre-page title</x:v>
      </x:c>
      <x:c r="G154" s="16" t="n">
        <x:v>28.4601</x:v>
      </x:c>
      <x:c r="H154" s="16" t="n">
        <x:v>77.02635</x:v>
      </x:c>
      <x:c r="I154" s="13" t="str">
        <x:v>Parent-city centroid (map visualization; not clinic-door geocode)</x:v>
      </x:c>
      <x:c r="J154" s="13" t="str">
        <x:v>Official sitemap-listed</x:v>
      </x:c>
      <x:c r="K154" s="13" t="str">
        <x:v>https://www.indiraivf.com/sitemap</x:v>
      </x:c>
      <x:c r="L154" s="13" t="str">
        <x:v>https://www.indiraivf.com/ivf-center-in-india</x:v>
      </x:c>
      <x:c r="M154" s="13" t="str">
        <x:v>https://www.google.com/maps/search/?api=1&amp;query=Indira%20IVF%20Gurugram%20Sec-14%2C%20Gurugram%2C%20Haryana%2C%20India</x:v>
      </x:c>
      <x:c r="N154" s="13" t="str">
        <x:v>Public centre page listed in official sitemap. Directory headline reports 210 centres; sitemap exposes 199 centre pages.</x:v>
      </x:c>
    </x:row>
    <x:row r="155">
      <x:c r="A155" s="13" t="str">
        <x:v>Indira IVF</x:v>
      </x:c>
      <x:c r="B155" s="13" t="str">
        <x:v>Guwahati</x:v>
      </x:c>
      <x:c r="C155" s="13" t="str">
        <x:v>Guwahati</x:v>
      </x:c>
      <x:c r="D155" s="13" t="str">
        <x:v>Assam</x:v>
      </x:c>
      <x:c r="E155" s="13" t="str">
        <x:v>Guwahati, Assam, India</x:v>
      </x:c>
      <x:c r="F155" s="13" t="str">
        <x:v>Locality/city normalized from official centre-page title</x:v>
      </x:c>
      <x:c r="G155" s="16" t="n">
        <x:v>26.1844</x:v>
      </x:c>
      <x:c r="H155" s="16" t="n">
        <x:v>91.7458</x:v>
      </x:c>
      <x:c r="I155" s="13" t="str">
        <x:v>Parent-city centroid (map visualization; not clinic-door geocode)</x:v>
      </x:c>
      <x:c r="J155" s="13" t="str">
        <x:v>Official sitemap-listed</x:v>
      </x:c>
      <x:c r="K155" s="13" t="str">
        <x:v>https://www.indiraivf.com/sitemap</x:v>
      </x:c>
      <x:c r="L155" s="13" t="str">
        <x:v>https://www.indiraivf.com/ivf-center-in-india</x:v>
      </x:c>
      <x:c r="M155" s="13" t="str">
        <x:v>https://www.google.com/maps/search/?api=1&amp;query=Indira%20IVF%20Guwahati%2C%20Guwahati%2C%20Assam%2C%20India</x:v>
      </x:c>
      <x:c r="N155" s="13" t="str">
        <x:v>Public centre page listed in official sitemap. Directory headline reports 210 centres; sitemap exposes 199 centre pages.</x:v>
      </x:c>
    </x:row>
    <x:row r="156">
      <x:c r="A156" s="13" t="str">
        <x:v>Indira IVF</x:v>
      </x:c>
      <x:c r="B156" s="13" t="str">
        <x:v>Gwalior</x:v>
      </x:c>
      <x:c r="C156" s="13" t="str">
        <x:v>Gwalior</x:v>
      </x:c>
      <x:c r="D156" s="13" t="str">
        <x:v>Madhya Pradesh</x:v>
      </x:c>
      <x:c r="E156" s="13" t="str">
        <x:v>Gwalior, Madhya Pradesh, India</x:v>
      </x:c>
      <x:c r="F156" s="13" t="str">
        <x:v>Locality/city normalized from official centre-page title</x:v>
      </x:c>
      <x:c r="G156" s="16" t="n">
        <x:v>26.22983</x:v>
      </x:c>
      <x:c r="H156" s="16" t="n">
        <x:v>78.17337</x:v>
      </x:c>
      <x:c r="I156" s="13" t="str">
        <x:v>Parent-city centroid (map visualization; not clinic-door geocode)</x:v>
      </x:c>
      <x:c r="J156" s="13" t="str">
        <x:v>Official sitemap-listed</x:v>
      </x:c>
      <x:c r="K156" s="13" t="str">
        <x:v>https://www.indiraivf.com/sitemap</x:v>
      </x:c>
      <x:c r="L156" s="13" t="str">
        <x:v>https://www.indiraivf.com/ivf-center-in-india</x:v>
      </x:c>
      <x:c r="M156" s="13" t="str">
        <x:v>https://www.google.com/maps/search/?api=1&amp;query=Indira%20IVF%20Gwalior%2C%20Gwalior%2C%20Madhya%20Pradesh%2C%20India</x:v>
      </x:c>
      <x:c r="N156" s="13" t="str">
        <x:v>Public centre page listed in official sitemap. Directory headline reports 210 centres; sitemap exposes 199 centre pages.</x:v>
      </x:c>
    </x:row>
    <x:row r="157">
      <x:c r="A157" s="13" t="str">
        <x:v>Indira IVF</x:v>
      </x:c>
      <x:c r="B157" s="13" t="str">
        <x:v>Hisar</x:v>
      </x:c>
      <x:c r="C157" s="13" t="str">
        <x:v>Hisar</x:v>
      </x:c>
      <x:c r="D157" s="13" t="str">
        <x:v>Haryana</x:v>
      </x:c>
      <x:c r="E157" s="13" t="str">
        <x:v>Hisar, Haryana, India</x:v>
      </x:c>
      <x:c r="F157" s="13" t="str">
        <x:v>Locality/city normalized from official centre-page title</x:v>
      </x:c>
      <x:c r="G157" s="16" t="n">
        <x:v>29.15394</x:v>
      </x:c>
      <x:c r="H157" s="16" t="n">
        <x:v>75.72294</x:v>
      </x:c>
      <x:c r="I157" s="13" t="str">
        <x:v>Parent-city centroid (map visualization; not clinic-door geocode)</x:v>
      </x:c>
      <x:c r="J157" s="13" t="str">
        <x:v>Official sitemap-listed</x:v>
      </x:c>
      <x:c r="K157" s="13" t="str">
        <x:v>https://www.indiraivf.com/sitemap</x:v>
      </x:c>
      <x:c r="L157" s="13" t="str">
        <x:v>https://www.indiraivf.com/ivf-center-in-india</x:v>
      </x:c>
      <x:c r="M157" s="13" t="str">
        <x:v>https://www.google.com/maps/search/?api=1&amp;query=Indira%20IVF%20Hisar%2C%20Hisar%2C%20Haryana%2C%20India</x:v>
      </x:c>
      <x:c r="N157" s="13" t="str">
        <x:v>Public centre page listed in official sitemap. Directory headline reports 210 centres; sitemap exposes 199 centre pages.</x:v>
      </x:c>
    </x:row>
    <x:row r="158">
      <x:c r="A158" s="13" t="str">
        <x:v>Indira IVF</x:v>
      </x:c>
      <x:c r="B158" s="13" t="str">
        <x:v>Hubli</x:v>
      </x:c>
      <x:c r="C158" s="13" t="str">
        <x:v>Hubli</x:v>
      </x:c>
      <x:c r="D158" s="13" t="str">
        <x:v>Karnataka</x:v>
      </x:c>
      <x:c r="E158" s="13" t="str">
        <x:v>Hubli, Karnataka, India</x:v>
      </x:c>
      <x:c r="F158" s="13" t="str">
        <x:v>Locality/city normalized from official centre-page title</x:v>
      </x:c>
      <x:c r="G158" s="16" t="n">
        <x:v>15.34776</x:v>
      </x:c>
      <x:c r="H158" s="16" t="n">
        <x:v>75.13378</x:v>
      </x:c>
      <x:c r="I158" s="13" t="str">
        <x:v>Parent-city centroid (map visualization; not clinic-door geocode)</x:v>
      </x:c>
      <x:c r="J158" s="13" t="str">
        <x:v>Official sitemap-listed</x:v>
      </x:c>
      <x:c r="K158" s="13" t="str">
        <x:v>https://www.indiraivf.com/sitemap</x:v>
      </x:c>
      <x:c r="L158" s="13" t="str">
        <x:v>https://www.indiraivf.com/ivf-center-in-india</x:v>
      </x:c>
      <x:c r="M158" s="13" t="str">
        <x:v>https://www.google.com/maps/search/?api=1&amp;query=Indira%20IVF%20Hubli%2C%20Hubli%2C%20Karnataka%2C%20India</x:v>
      </x:c>
      <x:c r="N158" s="13" t="str">
        <x:v>Public centre page listed in official sitemap. Directory headline reports 210 centres; sitemap exposes 199 centre pages.</x:v>
      </x:c>
    </x:row>
    <x:row r="159">
      <x:c r="A159" s="13" t="str">
        <x:v>Indira IVF</x:v>
      </x:c>
      <x:c r="B159" s="13" t="str">
        <x:v>Indira Nagar, Bengaluru</x:v>
      </x:c>
      <x:c r="C159" s="13" t="str">
        <x:v>Bengaluru</x:v>
      </x:c>
      <x:c r="D159" s="13" t="str">
        <x:v>Karnataka</x:v>
      </x:c>
      <x:c r="E159" s="13" t="str">
        <x:v>Indira Nagar, Bengaluru, Bengaluru, Karnataka, India</x:v>
      </x:c>
      <x:c r="F159" s="13" t="str">
        <x:v>Locality/city normalized from official centre-page title</x:v>
      </x:c>
      <x:c r="G159" s="16" t="n">
        <x:v>12.97194</x:v>
      </x:c>
      <x:c r="H159" s="16" t="n">
        <x:v>77.59369</x:v>
      </x:c>
      <x:c r="I159" s="13" t="str">
        <x:v>Parent-city centroid (map visualization; not clinic-door geocode)</x:v>
      </x:c>
      <x:c r="J159" s="13" t="str">
        <x:v>Official sitemap-listed</x:v>
      </x:c>
      <x:c r="K159" s="13" t="str">
        <x:v>https://www.indiraivf.com/sitemap</x:v>
      </x:c>
      <x:c r="L159" s="13" t="str">
        <x:v>https://www.indiraivf.com/ivf-center-in-india</x:v>
      </x:c>
      <x:c r="M159" s="13" t="str">
        <x:v>https://www.google.com/maps/search/?api=1&amp;query=Indira%20IVF%20Indira%20Nagar%2C%20Bengaluru%2C%20Bengaluru%2C%20Karnataka%2C%20India</x:v>
      </x:c>
      <x:c r="N159" s="13" t="str">
        <x:v>Public centre page listed in official sitemap. Directory headline reports 210 centres; sitemap exposes 199 centre pages.</x:v>
      </x:c>
    </x:row>
    <x:row r="160">
      <x:c r="A160" s="13" t="str">
        <x:v>Indira IVF</x:v>
      </x:c>
      <x:c r="B160" s="13" t="str">
        <x:v>Indore</x:v>
      </x:c>
      <x:c r="C160" s="13" t="str">
        <x:v>Indore</x:v>
      </x:c>
      <x:c r="D160" s="13" t="str">
        <x:v>Madhya Pradesh</x:v>
      </x:c>
      <x:c r="E160" s="13" t="str">
        <x:v>Indore, Madhya Pradesh, India</x:v>
      </x:c>
      <x:c r="F160" s="13" t="str">
        <x:v>Locality/city normalized from official centre-page title</x:v>
      </x:c>
      <x:c r="G160" s="16" t="n">
        <x:v>22.71792</x:v>
      </x:c>
      <x:c r="H160" s="16" t="n">
        <x:v>75.8333</x:v>
      </x:c>
      <x:c r="I160" s="13" t="str">
        <x:v>Parent-city centroid (map visualization; not clinic-door geocode)</x:v>
      </x:c>
      <x:c r="J160" s="13" t="str">
        <x:v>Official sitemap-listed</x:v>
      </x:c>
      <x:c r="K160" s="13" t="str">
        <x:v>https://www.indiraivf.com/sitemap</x:v>
      </x:c>
      <x:c r="L160" s="13" t="str">
        <x:v>https://www.indiraivf.com/ivf-center-in-india</x:v>
      </x:c>
      <x:c r="M160" s="13" t="str">
        <x:v>https://www.google.com/maps/search/?api=1&amp;query=Indira%20IVF%20Indore%2C%20Indore%2C%20Madhya%20Pradesh%2C%20India</x:v>
      </x:c>
      <x:c r="N160" s="13" t="str">
        <x:v>Public centre page listed in official sitemap. Directory headline reports 210 centres; sitemap exposes 199 centre pages.</x:v>
      </x:c>
    </x:row>
    <x:row r="161">
      <x:c r="A161" s="13" t="str">
        <x:v>Indira IVF</x:v>
      </x:c>
      <x:c r="B161" s="13" t="str">
        <x:v>Jalandhar</x:v>
      </x:c>
      <x:c r="C161" s="13" t="str">
        <x:v>Jalandhar</x:v>
      </x:c>
      <x:c r="D161" s="13" t="str">
        <x:v>Punjab</x:v>
      </x:c>
      <x:c r="E161" s="13" t="str">
        <x:v>Jalandhar, Punjab, India</x:v>
      </x:c>
      <x:c r="F161" s="13" t="str">
        <x:v>Locality/city normalized from official centre-page title</x:v>
      </x:c>
      <x:c r="G161" s="16" t="n">
        <x:v>31.32556</x:v>
      </x:c>
      <x:c r="H161" s="16" t="n">
        <x:v>75.57917</x:v>
      </x:c>
      <x:c r="I161" s="13" t="str">
        <x:v>Parent-city centroid (map visualization; not clinic-door geocode)</x:v>
      </x:c>
      <x:c r="J161" s="13" t="str">
        <x:v>Official sitemap-listed</x:v>
      </x:c>
      <x:c r="K161" s="13" t="str">
        <x:v>https://www.indiraivf.com/sitemap</x:v>
      </x:c>
      <x:c r="L161" s="13" t="str">
        <x:v>https://www.indiraivf.com/ivf-center-in-india</x:v>
      </x:c>
      <x:c r="M161" s="13" t="str">
        <x:v>https://www.google.com/maps/search/?api=1&amp;query=Indira%20IVF%20Jalandhar%2C%20Jalandhar%2C%20Punjab%2C%20India</x:v>
      </x:c>
      <x:c r="N161" s="13" t="str">
        <x:v>Public centre page listed in official sitemap. Directory headline reports 210 centres; sitemap exposes 199 centre pages.</x:v>
      </x:c>
    </x:row>
    <x:row r="162">
      <x:c r="A162" s="13" t="str">
        <x:v>Indira IVF</x:v>
      </x:c>
      <x:c r="B162" s="13" t="str">
        <x:v>Adarsh Nagar, Jaipur</x:v>
      </x:c>
      <x:c r="C162" s="13" t="str">
        <x:v>Jaipur</x:v>
      </x:c>
      <x:c r="D162" s="13" t="str">
        <x:v>Rajasthan</x:v>
      </x:c>
      <x:c r="E162" s="13" t="str">
        <x:v>Adarsh Nagar, Jaipur, Jaipur, Rajasthan, India</x:v>
      </x:c>
      <x:c r="F162" s="13" t="str">
        <x:v>Locality/city normalized from official centre-page title</x:v>
      </x:c>
      <x:c r="G162" s="16" t="n">
        <x:v>26.91962</x:v>
      </x:c>
      <x:c r="H162" s="16" t="n">
        <x:v>75.78781</x:v>
      </x:c>
      <x:c r="I162" s="13" t="str">
        <x:v>Parent-city centroid (map visualization; not clinic-door geocode)</x:v>
      </x:c>
      <x:c r="J162" s="13" t="str">
        <x:v>Official sitemap-listed</x:v>
      </x:c>
      <x:c r="K162" s="13" t="str">
        <x:v>https://www.indiraivf.com/sitemap</x:v>
      </x:c>
      <x:c r="L162" s="13" t="str">
        <x:v>https://www.indiraivf.com/ivf-center-in-india</x:v>
      </x:c>
      <x:c r="M162" s="13" t="str">
        <x:v>https://www.google.com/maps/search/?api=1&amp;query=Indira%20IVF%20Adarsh%20Nagar%2C%20Jaipur%2C%20Jaipur%2C%20Rajasthan%2C%20India</x:v>
      </x:c>
      <x:c r="N162" s="13" t="str">
        <x:v>Public centre page listed in official sitemap. Directory headline reports 210 centres; sitemap exposes 199 centre pages.</x:v>
      </x:c>
    </x:row>
    <x:row r="163">
      <x:c r="A163" s="13" t="str">
        <x:v>Indira IVF</x:v>
      </x:c>
      <x:c r="B163" s="13" t="str">
        <x:v>Kalyan Nagar, Bengaluru</x:v>
      </x:c>
      <x:c r="C163" s="13" t="str">
        <x:v>Bengaluru</x:v>
      </x:c>
      <x:c r="D163" s="13" t="str">
        <x:v>Karnataka</x:v>
      </x:c>
      <x:c r="E163" s="13" t="str">
        <x:v>Kalyan Nagar, Bengaluru, Bengaluru, Karnataka, India</x:v>
      </x:c>
      <x:c r="F163" s="13" t="str">
        <x:v>Locality/city normalized from official centre-page title</x:v>
      </x:c>
      <x:c r="G163" s="16" t="n">
        <x:v>12.97194</x:v>
      </x:c>
      <x:c r="H163" s="16" t="n">
        <x:v>77.59369</x:v>
      </x:c>
      <x:c r="I163" s="13" t="str">
        <x:v>Parent-city centroid (map visualization; not clinic-door geocode)</x:v>
      </x:c>
      <x:c r="J163" s="13" t="str">
        <x:v>Official sitemap-listed</x:v>
      </x:c>
      <x:c r="K163" s="13" t="str">
        <x:v>https://www.indiraivf.com/sitemap</x:v>
      </x:c>
      <x:c r="L163" s="13" t="str">
        <x:v>https://www.indiraivf.com/ivf-center-in-india</x:v>
      </x:c>
      <x:c r="M163" s="13" t="str">
        <x:v>https://www.google.com/maps/search/?api=1&amp;query=Indira%20IVF%20Kalyan%20Nagar%2C%20Bengaluru%2C%20Bengaluru%2C%20Karnataka%2C%20India</x:v>
      </x:c>
      <x:c r="N163" s="13" t="str">
        <x:v>Public centre page listed in official sitemap. Directory headline reports 210 centres; sitemap exposes 199 centre pages.</x:v>
      </x:c>
    </x:row>
    <x:row r="164">
      <x:c r="A164" s="13" t="str">
        <x:v>Indira IVF</x:v>
      </x:c>
      <x:c r="B164" s="13" t="str">
        <x:v>Agra</x:v>
      </x:c>
      <x:c r="C164" s="13" t="str">
        <x:v>Agra</x:v>
      </x:c>
      <x:c r="D164" s="13" t="str">
        <x:v>Uttar Pradesh</x:v>
      </x:c>
      <x:c r="E164" s="13" t="str">
        <x:v>Agra, Uttar Pradesh, India</x:v>
      </x:c>
      <x:c r="F164" s="13" t="str">
        <x:v>Locality/city normalized from official centre-page title</x:v>
      </x:c>
      <x:c r="G164" s="16" t="n">
        <x:v>27.18333</x:v>
      </x:c>
      <x:c r="H164" s="16" t="n">
        <x:v>78.01667</x:v>
      </x:c>
      <x:c r="I164" s="13" t="str">
        <x:v>Parent-city centroid (map visualization; not clinic-door geocode)</x:v>
      </x:c>
      <x:c r="J164" s="13" t="str">
        <x:v>Official sitemap-listed</x:v>
      </x:c>
      <x:c r="K164" s="13" t="str">
        <x:v>https://www.indiraivf.com/sitemap</x:v>
      </x:c>
      <x:c r="L164" s="13" t="str">
        <x:v>https://www.indiraivf.com/ivf-center-in-india</x:v>
      </x:c>
      <x:c r="M164" s="13" t="str">
        <x:v>https://www.google.com/maps/search/?api=1&amp;query=Indira%20IVF%20Agra%2C%20Agra%2C%20Uttar%20Pradesh%2C%20India</x:v>
      </x:c>
      <x:c r="N164" s="13" t="str">
        <x:v>Public centre page listed in official sitemap. Directory headline reports 210 centres; sitemap exposes 199 centre pages.</x:v>
      </x:c>
    </x:row>
    <x:row r="165">
      <x:c r="A165" s="13" t="str">
        <x:v>Indira IVF</x:v>
      </x:c>
      <x:c r="B165" s="13" t="str">
        <x:v>Bhandup, Mumbai</x:v>
      </x:c>
      <x:c r="C165" s="13" t="str">
        <x:v>Mumbai</x:v>
      </x:c>
      <x:c r="D165" s="13" t="str">
        <x:v>Maharashtra</x:v>
      </x:c>
      <x:c r="E165" s="13" t="str">
        <x:v>Bhandup, Mumbai, Mumbai, Maharashtra, India</x:v>
      </x:c>
      <x:c r="F165" s="13" t="str">
        <x:v>Locality/city normalized from official centre-page title</x:v>
      </x:c>
      <x:c r="G165" s="16" t="n">
        <x:v>19.07283</x:v>
      </x:c>
      <x:c r="H165" s="16" t="n">
        <x:v>72.88261</x:v>
      </x:c>
      <x:c r="I165" s="13" t="str">
        <x:v>Parent-city centroid (map visualization; not clinic-door geocode)</x:v>
      </x:c>
      <x:c r="J165" s="13" t="str">
        <x:v>Official sitemap-listed</x:v>
      </x:c>
      <x:c r="K165" s="13" t="str">
        <x:v>https://www.indiraivf.com/sitemap</x:v>
      </x:c>
      <x:c r="L165" s="13" t="str">
        <x:v>https://www.indiraivf.com/ivf-center-in-india</x:v>
      </x:c>
      <x:c r="M165" s="13" t="str">
        <x:v>https://www.google.com/maps/search/?api=1&amp;query=Indira%20IVF%20Bhandup%2C%20Mumbai%2C%20Mumbai%2C%20Maharashtra%2C%20India</x:v>
      </x:c>
      <x:c r="N165" s="13" t="str">
        <x:v>Public centre page listed in official sitemap. Directory headline reports 210 centres; sitemap exposes 199 centre pages.</x:v>
      </x:c>
    </x:row>
    <x:row r="166">
      <x:c r="A166" s="13" t="str">
        <x:v>Indira IVF</x:v>
      </x:c>
      <x:c r="B166" s="13" t="str">
        <x:v>Navrangpura</x:v>
      </x:c>
      <x:c r="C166" s="13" t="str">
        <x:v>Ahmedabad</x:v>
      </x:c>
      <x:c r="D166" s="13" t="str">
        <x:v>Gujarat</x:v>
      </x:c>
      <x:c r="E166" s="13" t="str">
        <x:v>Navrangpura, Ahmedabad, Gujarat, India</x:v>
      </x:c>
      <x:c r="F166" s="13" t="str">
        <x:v>Locality/city normalized from official centre-page title</x:v>
      </x:c>
      <x:c r="G166" s="16" t="n">
        <x:v>23.02579</x:v>
      </x:c>
      <x:c r="H166" s="16" t="n">
        <x:v>72.58727</x:v>
      </x:c>
      <x:c r="I166" s="13" t="str">
        <x:v>Parent-city centroid (map visualization; not clinic-door geocode)</x:v>
      </x:c>
      <x:c r="J166" s="13" t="str">
        <x:v>Official sitemap-listed</x:v>
      </x:c>
      <x:c r="K166" s="13" t="str">
        <x:v>https://www.indiraivf.com/sitemap</x:v>
      </x:c>
      <x:c r="L166" s="13" t="str">
        <x:v>https://www.indiraivf.com/ivf-center-in-india</x:v>
      </x:c>
      <x:c r="M166" s="13" t="str">
        <x:v>https://www.google.com/maps/search/?api=1&amp;query=Indira%20IVF%20Navrangpura%2C%20Ahmedabad%2C%20Gujarat%2C%20India</x:v>
      </x:c>
      <x:c r="N166" s="13" t="str">
        <x:v>Public centre page listed in official sitemap. Directory headline reports 210 centres; sitemap exposes 199 centre pages.</x:v>
      </x:c>
    </x:row>
    <x:row r="167">
      <x:c r="A167" s="13" t="str">
        <x:v>Indira IVF</x:v>
      </x:c>
      <x:c r="B167" s="13" t="str">
        <x:v>Prayagraj (Allahabad)</x:v>
      </x:c>
      <x:c r="C167" s="13" t="str">
        <x:v>Prayagraj (Allahabad)</x:v>
      </x:c>
      <x:c r="D167" s="13" t="str">
        <x:v>Uttar Pradesh</x:v>
      </x:c>
      <x:c r="E167" s="13" t="str">
        <x:v>Prayagraj (Allahabad), Uttar Pradesh, India</x:v>
      </x:c>
      <x:c r="F167" s="13" t="str">
        <x:v>Locality/city normalized from official centre-page title</x:v>
      </x:c>
      <x:c r="G167" s="16" t="n">
        <x:v>25.44478</x:v>
      </x:c>
      <x:c r="H167" s="16" t="n">
        <x:v>81.84322</x:v>
      </x:c>
      <x:c r="I167" s="13" t="str">
        <x:v>Parent-city centroid (map visualization; not clinic-door geocode)</x:v>
      </x:c>
      <x:c r="J167" s="13" t="str">
        <x:v>Official sitemap-listed</x:v>
      </x:c>
      <x:c r="K167" s="13" t="str">
        <x:v>https://www.indiraivf.com/sitemap</x:v>
      </x:c>
      <x:c r="L167" s="13" t="str">
        <x:v>https://www.indiraivf.com/ivf-center-in-india</x:v>
      </x:c>
      <x:c r="M167" s="13" t="str">
        <x:v>https://www.google.com/maps/search/?api=1&amp;query=Indira%20IVF%20Prayagraj%20%28Allahabad%29%2C%20Prayagraj%20%28Allahabad%29%2C%20Uttar%20Pradesh%2C%20India</x:v>
      </x:c>
      <x:c r="N167" s="13" t="str">
        <x:v>Public centre page listed in official sitemap. Directory headline reports 210 centres; sitemap exposes 199 centre pages.</x:v>
      </x:c>
    </x:row>
    <x:row r="168">
      <x:c r="A168" s="13" t="str">
        <x:v>Indira IVF</x:v>
      </x:c>
      <x:c r="B168" s="13" t="str">
        <x:v>Asansol</x:v>
      </x:c>
      <x:c r="C168" s="13" t="str">
        <x:v>Asansol</x:v>
      </x:c>
      <x:c r="D168" s="13" t="str">
        <x:v>West Bengal</x:v>
      </x:c>
      <x:c r="E168" s="13" t="str">
        <x:v>Asansol, West Bengal, India</x:v>
      </x:c>
      <x:c r="F168" s="13" t="str">
        <x:v>Locality/city normalized from official centre-page title</x:v>
      </x:c>
      <x:c r="G168" s="16" t="n">
        <x:v>23.68333</x:v>
      </x:c>
      <x:c r="H168" s="16" t="n">
        <x:v>86.98333</x:v>
      </x:c>
      <x:c r="I168" s="13" t="str">
        <x:v>Parent-city centroid (map visualization; not clinic-door geocode)</x:v>
      </x:c>
      <x:c r="J168" s="13" t="str">
        <x:v>Official sitemap-listed</x:v>
      </x:c>
      <x:c r="K168" s="13" t="str">
        <x:v>https://www.indiraivf.com/sitemap</x:v>
      </x:c>
      <x:c r="L168" s="13" t="str">
        <x:v>https://www.indiraivf.com/ivf-center-in-india</x:v>
      </x:c>
      <x:c r="M168" s="13" t="str">
        <x:v>https://www.google.com/maps/search/?api=1&amp;query=Indira%20IVF%20Asansol%2C%20Asansol%2C%20West%20Bengal%2C%20India</x:v>
      </x:c>
      <x:c r="N168" s="13" t="str">
        <x:v>Public centre page listed in official sitemap. Directory headline reports 210 centres; sitemap exposes 199 centre pages.</x:v>
      </x:c>
    </x:row>
    <x:row r="169">
      <x:c r="A169" s="13" t="str">
        <x:v>Indira IVF</x:v>
      </x:c>
      <x:c r="B169" s="13" t="str">
        <x:v>Bareilly</x:v>
      </x:c>
      <x:c r="C169" s="13" t="str">
        <x:v>Bareilly</x:v>
      </x:c>
      <x:c r="D169" s="13" t="str">
        <x:v>Uttar Pradesh</x:v>
      </x:c>
      <x:c r="E169" s="13" t="str">
        <x:v>Bareilly, Uttar Pradesh, India</x:v>
      </x:c>
      <x:c r="F169" s="13" t="str">
        <x:v>Locality/city normalized from official centre-page title</x:v>
      </x:c>
      <x:c r="G169" s="16" t="n">
        <x:v>28.36678</x:v>
      </x:c>
      <x:c r="H169" s="16" t="n">
        <x:v>79.43167</x:v>
      </x:c>
      <x:c r="I169" s="13" t="str">
        <x:v>Parent-city centroid (map visualization; not clinic-door geocode)</x:v>
      </x:c>
      <x:c r="J169" s="13" t="str">
        <x:v>Official sitemap-listed</x:v>
      </x:c>
      <x:c r="K169" s="13" t="str">
        <x:v>https://www.indiraivf.com/sitemap</x:v>
      </x:c>
      <x:c r="L169" s="13" t="str">
        <x:v>https://www.indiraivf.com/ivf-center-in-india</x:v>
      </x:c>
      <x:c r="M169" s="13" t="str">
        <x:v>https://www.google.com/maps/search/?api=1&amp;query=Indira%20IVF%20Bareilly%2C%20Bareilly%2C%20Uttar%20Pradesh%2C%20India</x:v>
      </x:c>
      <x:c r="N169" s="13" t="str">
        <x:v>Public centre page listed in official sitemap. Directory headline reports 210 centres; sitemap exposes 199 centre pages.</x:v>
      </x:c>
    </x:row>
    <x:row r="170">
      <x:c r="A170" s="13" t="str">
        <x:v>Indira IVF</x:v>
      </x:c>
      <x:c r="B170" s="13" t="str">
        <x:v>Begusarai</x:v>
      </x:c>
      <x:c r="C170" s="13" t="str">
        <x:v>Begusarai</x:v>
      </x:c>
      <x:c r="D170" s="13" t="str">
        <x:v>Bihar</x:v>
      </x:c>
      <x:c r="E170" s="13" t="str">
        <x:v>Begusarai, Bihar, India</x:v>
      </x:c>
      <x:c r="F170" s="13" t="str">
        <x:v>Locality/city normalized from official centre-page title</x:v>
      </x:c>
      <x:c r="G170" s="16" t="n">
        <x:v>25.41853</x:v>
      </x:c>
      <x:c r="H170" s="16" t="n">
        <x:v>86.13389</x:v>
      </x:c>
      <x:c r="I170" s="13" t="str">
        <x:v>Parent-city centroid (map visualization; not clinic-door geocode)</x:v>
      </x:c>
      <x:c r="J170" s="13" t="str">
        <x:v>Official sitemap-listed</x:v>
      </x:c>
      <x:c r="K170" s="13" t="str">
        <x:v>https://www.indiraivf.com/sitemap</x:v>
      </x:c>
      <x:c r="L170" s="13" t="str">
        <x:v>https://www.indiraivf.com/ivf-center-in-india</x:v>
      </x:c>
      <x:c r="M170" s="13" t="str">
        <x:v>https://www.google.com/maps/search/?api=1&amp;query=Indira%20IVF%20Begusarai%2C%20Begusarai%2C%20Bihar%2C%20India</x:v>
      </x:c>
      <x:c r="N170" s="13" t="str">
        <x:v>Public centre page listed in official sitemap. Directory headline reports 210 centres; sitemap exposes 199 centre pages.</x:v>
      </x:c>
    </x:row>
    <x:row r="171">
      <x:c r="A171" s="13" t="str">
        <x:v>Indira IVF</x:v>
      </x:c>
      <x:c r="B171" s="13" t="str">
        <x:v>JP Nagar, Bengaluru</x:v>
      </x:c>
      <x:c r="C171" s="13" t="str">
        <x:v>Bengaluru</x:v>
      </x:c>
      <x:c r="D171" s="13" t="str">
        <x:v>Karnataka</x:v>
      </x:c>
      <x:c r="E171" s="13" t="str">
        <x:v>JP Nagar, Bengaluru, Bengaluru, Karnataka, India</x:v>
      </x:c>
      <x:c r="F171" s="13" t="str">
        <x:v>Locality/city normalized from official centre-page title</x:v>
      </x:c>
      <x:c r="G171" s="16" t="n">
        <x:v>12.97194</x:v>
      </x:c>
      <x:c r="H171" s="16" t="n">
        <x:v>77.59369</x:v>
      </x:c>
      <x:c r="I171" s="13" t="str">
        <x:v>Parent-city centroid (map visualization; not clinic-door geocode)</x:v>
      </x:c>
      <x:c r="J171" s="13" t="str">
        <x:v>Official sitemap-listed</x:v>
      </x:c>
      <x:c r="K171" s="13" t="str">
        <x:v>https://www.indiraivf.com/sitemap</x:v>
      </x:c>
      <x:c r="L171" s="13" t="str">
        <x:v>https://www.indiraivf.com/ivf-center-in-india</x:v>
      </x:c>
      <x:c r="M171" s="13" t="str">
        <x:v>https://www.google.com/maps/search/?api=1&amp;query=Indira%20IVF%20JP%20Nagar%2C%20Bengaluru%2C%20Bengaluru%2C%20Karnataka%2C%20India</x:v>
      </x:c>
      <x:c r="N171" s="13" t="str">
        <x:v>Public centre page listed in official sitemap. Directory headline reports 210 centres; sitemap exposes 199 centre pages.</x:v>
      </x:c>
    </x:row>
    <x:row r="172">
      <x:c r="A172" s="13" t="str">
        <x:v>Indira IVF</x:v>
      </x:c>
      <x:c r="B172" s="13" t="str">
        <x:v>Bhubaneswar</x:v>
      </x:c>
      <x:c r="C172" s="13" t="str">
        <x:v>Bhubaneswar</x:v>
      </x:c>
      <x:c r="D172" s="13" t="str">
        <x:v>Odisha</x:v>
      </x:c>
      <x:c r="E172" s="13" t="str">
        <x:v>Bhubaneswar, Odisha, India</x:v>
      </x:c>
      <x:c r="F172" s="13" t="str">
        <x:v>Locality/city normalized from official centre-page title</x:v>
      </x:c>
      <x:c r="G172" s="16" t="n">
        <x:v>20.27241</x:v>
      </x:c>
      <x:c r="H172" s="16" t="n">
        <x:v>85.83385</x:v>
      </x:c>
      <x:c r="I172" s="13" t="str">
        <x:v>Parent-city centroid (map visualization; not clinic-door geocode)</x:v>
      </x:c>
      <x:c r="J172" s="13" t="str">
        <x:v>Official sitemap-listed</x:v>
      </x:c>
      <x:c r="K172" s="13" t="str">
        <x:v>https://www.indiraivf.com/sitemap</x:v>
      </x:c>
      <x:c r="L172" s="13" t="str">
        <x:v>https://www.indiraivf.com/ivf-center-in-india</x:v>
      </x:c>
      <x:c r="M172" s="13" t="str">
        <x:v>https://www.google.com/maps/search/?api=1&amp;query=Indira%20IVF%20Bhubaneswar%2C%20Bhubaneswar%2C%20Odisha%2C%20India</x:v>
      </x:c>
      <x:c r="N172" s="13" t="str">
        <x:v>Public centre page listed in official sitemap. Directory headline reports 210 centres; sitemap exposes 199 centre pages.</x:v>
      </x:c>
    </x:row>
    <x:row r="173">
      <x:c r="A173" s="13" t="str">
        <x:v>Indira IVF</x:v>
      </x:c>
      <x:c r="B173" s="13" t="str">
        <x:v>Borivali, Mumbai</x:v>
      </x:c>
      <x:c r="C173" s="13" t="str">
        <x:v>Mumbai</x:v>
      </x:c>
      <x:c r="D173" s="13" t="str">
        <x:v>Maharashtra</x:v>
      </x:c>
      <x:c r="E173" s="13" t="str">
        <x:v>Borivali, Mumbai, Mumbai, Maharashtra, India</x:v>
      </x:c>
      <x:c r="F173" s="13" t="str">
        <x:v>Locality/city normalized from official centre-page title</x:v>
      </x:c>
      <x:c r="G173" s="16" t="n">
        <x:v>19.07283</x:v>
      </x:c>
      <x:c r="H173" s="16" t="n">
        <x:v>72.88261</x:v>
      </x:c>
      <x:c r="I173" s="13" t="str">
        <x:v>Parent-city centroid (map visualization; not clinic-door geocode)</x:v>
      </x:c>
      <x:c r="J173" s="13" t="str">
        <x:v>Official sitemap-listed</x:v>
      </x:c>
      <x:c r="K173" s="13" t="str">
        <x:v>https://www.indiraivf.com/sitemap</x:v>
      </x:c>
      <x:c r="L173" s="13" t="str">
        <x:v>https://www.indiraivf.com/ivf-center-in-india</x:v>
      </x:c>
      <x:c r="M173" s="13" t="str">
        <x:v>https://www.google.com/maps/search/?api=1&amp;query=Indira%20IVF%20Borivali%2C%20Mumbai%2C%20Mumbai%2C%20Maharashtra%2C%20India</x:v>
      </x:c>
      <x:c r="N173" s="13" t="str">
        <x:v>Public centre page listed in official sitemap. Directory headline reports 210 centres; sitemap exposes 199 centre pages.</x:v>
      </x:c>
    </x:row>
    <x:row r="174">
      <x:c r="A174" s="13" t="str">
        <x:v>Indira IVF</x:v>
      </x:c>
      <x:c r="B174" s="13" t="str">
        <x:v>Chandigarh</x:v>
      </x:c>
      <x:c r="C174" s="13" t="str">
        <x:v>Chandigarh</x:v>
      </x:c>
      <x:c r="D174" s="13" t="str">
        <x:v>Chandigarh</x:v>
      </x:c>
      <x:c r="E174" s="13" t="str">
        <x:v>Chandigarh, Chandigarh, India</x:v>
      </x:c>
      <x:c r="F174" s="13" t="str">
        <x:v>Locality/city normalized from official centre-page title</x:v>
      </x:c>
      <x:c r="G174" s="16" t="n">
        <x:v>30.73629</x:v>
      </x:c>
      <x:c r="H174" s="16" t="n">
        <x:v>76.7884</x:v>
      </x:c>
      <x:c r="I174" s="13" t="str">
        <x:v>Parent-city centroid (map visualization; not clinic-door geocode)</x:v>
      </x:c>
      <x:c r="J174" s="13" t="str">
        <x:v>Official sitemap-listed</x:v>
      </x:c>
      <x:c r="K174" s="13" t="str">
        <x:v>https://www.indiraivf.com/sitemap</x:v>
      </x:c>
      <x:c r="L174" s="13" t="str">
        <x:v>https://www.indiraivf.com/ivf-center-in-india</x:v>
      </x:c>
      <x:c r="M174" s="13" t="str">
        <x:v>https://www.google.com/maps/search/?api=1&amp;query=Indira%20IVF%20Chandigarh%2C%20Chandigarh%2C%20Chandigarh%2C%20India</x:v>
      </x:c>
      <x:c r="N174" s="13" t="str">
        <x:v>Public centre page listed in official sitemap. Directory headline reports 210 centres; sitemap exposes 199 centre pages.</x:v>
      </x:c>
    </x:row>
    <x:row r="175">
      <x:c r="A175" s="13" t="str">
        <x:v>Indira IVF</x:v>
      </x:c>
      <x:c r="B175" s="13" t="str">
        <x:v>Nungambakkam</x:v>
      </x:c>
      <x:c r="C175" s="13" t="str">
        <x:v>Chennai</x:v>
      </x:c>
      <x:c r="D175" s="13" t="str">
        <x:v>Tamil Nadu</x:v>
      </x:c>
      <x:c r="E175" s="13" t="str">
        <x:v>Nungambakkam, Chennai, Tamil Nadu, India</x:v>
      </x:c>
      <x:c r="F175" s="13" t="str">
        <x:v>Locality/city normalized from official centre-page title</x:v>
      </x:c>
      <x:c r="G175" s="16" t="n">
        <x:v>13.08784</x:v>
      </x:c>
      <x:c r="H175" s="16" t="n">
        <x:v>80.27847</x:v>
      </x:c>
      <x:c r="I175" s="13" t="str">
        <x:v>Parent-city centroid (map visualization; not clinic-door geocode)</x:v>
      </x:c>
      <x:c r="J175" s="13" t="str">
        <x:v>Official sitemap-listed</x:v>
      </x:c>
      <x:c r="K175" s="13" t="str">
        <x:v>https://www.indiraivf.com/sitemap</x:v>
      </x:c>
      <x:c r="L175" s="13" t="str">
        <x:v>https://www.indiraivf.com/ivf-center-in-india</x:v>
      </x:c>
      <x:c r="M175" s="13" t="str">
        <x:v>https://www.google.com/maps/search/?api=1&amp;query=Indira%20IVF%20Nungambakkam%2C%20Chennai%2C%20Tamil%20Nadu%2C%20India</x:v>
      </x:c>
      <x:c r="N175" s="13" t="str">
        <x:v>Public centre page listed in official sitemap. Directory headline reports 210 centres; sitemap exposes 199 centre pages.</x:v>
      </x:c>
    </x:row>
    <x:row r="176">
      <x:c r="A176" s="13" t="str">
        <x:v>Indira IVF</x:v>
      </x:c>
      <x:c r="B176" s="13" t="str">
        <x:v>Dehradun</x:v>
      </x:c>
      <x:c r="C176" s="13" t="str">
        <x:v>Dehradun</x:v>
      </x:c>
      <x:c r="D176" s="13" t="str">
        <x:v>Uttarakhand</x:v>
      </x:c>
      <x:c r="E176" s="13" t="str">
        <x:v>Dehradun, Uttarakhand, India</x:v>
      </x:c>
      <x:c r="F176" s="13" t="str">
        <x:v>Locality/city normalized from official centre-page title</x:v>
      </x:c>
      <x:c r="G176" s="16" t="n">
        <x:v>30.32443</x:v>
      </x:c>
      <x:c r="H176" s="16" t="n">
        <x:v>78.03392</x:v>
      </x:c>
      <x:c r="I176" s="13" t="str">
        <x:v>Parent-city centroid (map visualization; not clinic-door geocode)</x:v>
      </x:c>
      <x:c r="J176" s="13" t="str">
        <x:v>Official sitemap-listed</x:v>
      </x:c>
      <x:c r="K176" s="13" t="str">
        <x:v>https://www.indiraivf.com/sitemap</x:v>
      </x:c>
      <x:c r="L176" s="13" t="str">
        <x:v>https://www.indiraivf.com/ivf-center-in-india</x:v>
      </x:c>
      <x:c r="M176" s="13" t="str">
        <x:v>https://www.google.com/maps/search/?api=1&amp;query=Indira%20IVF%20Dehradun%2C%20Dehradun%2C%20Uttarakhand%2C%20India</x:v>
      </x:c>
      <x:c r="N176" s="13" t="str">
        <x:v>Public centre page listed in official sitemap. Directory headline reports 210 centres; sitemap exposes 199 centre pages.</x:v>
      </x:c>
    </x:row>
    <x:row r="177">
      <x:c r="A177" s="13" t="str">
        <x:v>Indira IVF</x:v>
      </x:c>
      <x:c r="B177" s="13" t="str">
        <x:v>Dilsukh Nagar, Hyderabad</x:v>
      </x:c>
      <x:c r="C177" s="13" t="str">
        <x:v>Hyderabad</x:v>
      </x:c>
      <x:c r="D177" s="13" t="str">
        <x:v>Telangana</x:v>
      </x:c>
      <x:c r="E177" s="13" t="str">
        <x:v>Dilsukh Nagar, Hyderabad, Hyderabad, Telangana, India</x:v>
      </x:c>
      <x:c r="F177" s="13" t="str">
        <x:v>Locality/city normalized from official centre-page title</x:v>
      </x:c>
      <x:c r="G177" s="16" t="n">
        <x:v>17.38405</x:v>
      </x:c>
      <x:c r="H177" s="16" t="n">
        <x:v>78.45636</x:v>
      </x:c>
      <x:c r="I177" s="13" t="str">
        <x:v>Parent-city centroid (map visualization; not clinic-door geocode)</x:v>
      </x:c>
      <x:c r="J177" s="13" t="str">
        <x:v>Official sitemap-listed</x:v>
      </x:c>
      <x:c r="K177" s="13" t="str">
        <x:v>https://www.indiraivf.com/sitemap</x:v>
      </x:c>
      <x:c r="L177" s="13" t="str">
        <x:v>https://www.indiraivf.com/ivf-center-in-india</x:v>
      </x:c>
      <x:c r="M177" s="13" t="str">
        <x:v>https://www.google.com/maps/search/?api=1&amp;query=Indira%20IVF%20Dilsukh%20Nagar%2C%20Hyderabad%2C%20Hyderabad%2C%20Telangana%2C%20India</x:v>
      </x:c>
      <x:c r="N177" s="13" t="str">
        <x:v>Public centre page listed in official sitemap. Directory headline reports 210 centres; sitemap exposes 199 centre pages.</x:v>
      </x:c>
    </x:row>
    <x:row r="178">
      <x:c r="A178" s="13" t="str">
        <x:v>Indira IVF</x:v>
      </x:c>
      <x:c r="B178" s="13" t="str">
        <x:v>Gorakhpur</x:v>
      </x:c>
      <x:c r="C178" s="13" t="str">
        <x:v>Gorakhpur</x:v>
      </x:c>
      <x:c r="D178" s="13" t="str">
        <x:v>Uttar Pradesh</x:v>
      </x:c>
      <x:c r="E178" s="13" t="str">
        <x:v>Gorakhpur, Uttar Pradesh, India</x:v>
      </x:c>
      <x:c r="F178" s="13" t="str">
        <x:v>Locality/city normalized from official centre-page title</x:v>
      </x:c>
      <x:c r="G178" s="16" t="n">
        <x:v>26.76628</x:v>
      </x:c>
      <x:c r="H178" s="16" t="n">
        <x:v>83.36889</x:v>
      </x:c>
      <x:c r="I178" s="13" t="str">
        <x:v>Parent-city centroid (map visualization; not clinic-door geocode)</x:v>
      </x:c>
      <x:c r="J178" s="13" t="str">
        <x:v>Official sitemap-listed</x:v>
      </x:c>
      <x:c r="K178" s="13" t="str">
        <x:v>https://www.indiraivf.com/sitemap</x:v>
      </x:c>
      <x:c r="L178" s="13" t="str">
        <x:v>https://www.indiraivf.com/ivf-center-in-india</x:v>
      </x:c>
      <x:c r="M178" s="13" t="str">
        <x:v>https://www.google.com/maps/search/?api=1&amp;query=Indira%20IVF%20Gorakhpur%2C%20Gorakhpur%2C%20Uttar%20Pradesh%2C%20India</x:v>
      </x:c>
      <x:c r="N178" s="13" t="str">
        <x:v>Public centre page listed in official sitemap. Directory headline reports 210 centres; sitemap exposes 199 centre pages.</x:v>
      </x:c>
    </x:row>
    <x:row r="179">
      <x:c r="A179" s="13" t="str">
        <x:v>Indira IVF</x:v>
      </x:c>
      <x:c r="B179" s="13" t="str">
        <x:v>Howrah</x:v>
      </x:c>
      <x:c r="C179" s="13" t="str">
        <x:v>Kolkata</x:v>
      </x:c>
      <x:c r="D179" s="13" t="str">
        <x:v>West Bengal</x:v>
      </x:c>
      <x:c r="E179" s="13" t="str">
        <x:v>Howrah, Kolkata, West Bengal, India</x:v>
      </x:c>
      <x:c r="F179" s="13" t="str">
        <x:v>Locality/city normalized from official centre-page title</x:v>
      </x:c>
      <x:c r="G179" s="16" t="n">
        <x:v>22.56263</x:v>
      </x:c>
      <x:c r="H179" s="16" t="n">
        <x:v>88.36304</x:v>
      </x:c>
      <x:c r="I179" s="13" t="str">
        <x:v>Parent-city centroid (map visualization; not clinic-door geocode)</x:v>
      </x:c>
      <x:c r="J179" s="13" t="str">
        <x:v>Official sitemap-listed</x:v>
      </x:c>
      <x:c r="K179" s="13" t="str">
        <x:v>https://www.indiraivf.com/sitemap</x:v>
      </x:c>
      <x:c r="L179" s="13" t="str">
        <x:v>https://www.indiraivf.com/ivf-center-in-india</x:v>
      </x:c>
      <x:c r="M179" s="13" t="str">
        <x:v>https://www.google.com/maps/search/?api=1&amp;query=Indira%20IVF%20Howrah%2C%20Kolkata%2C%20West%20Bengal%2C%20India</x:v>
      </x:c>
      <x:c r="N179" s="13" t="str">
        <x:v>Public centre page listed in official sitemap. Directory headline reports 210 centres; sitemap exposes 199 centre pages.</x:v>
      </x:c>
    </x:row>
    <x:row r="180">
      <x:c r="A180" s="13" t="str">
        <x:v>Indira IVF</x:v>
      </x:c>
      <x:c r="B180" s="13" t="str">
        <x:v>Banjara Hills, Hyderabad</x:v>
      </x:c>
      <x:c r="C180" s="13" t="str">
        <x:v>Hyderabad</x:v>
      </x:c>
      <x:c r="D180" s="13" t="str">
        <x:v>Telangana</x:v>
      </x:c>
      <x:c r="E180" s="13" t="str">
        <x:v>Banjara Hills, Hyderabad, Hyderabad, Telangana, India</x:v>
      </x:c>
      <x:c r="F180" s="13" t="str">
        <x:v>Locality/city normalized from official centre-page title</x:v>
      </x:c>
      <x:c r="G180" s="16" t="n">
        <x:v>17.38405</x:v>
      </x:c>
      <x:c r="H180" s="16" t="n">
        <x:v>78.45636</x:v>
      </x:c>
      <x:c r="I180" s="13" t="str">
        <x:v>Parent-city centroid (map visualization; not clinic-door geocode)</x:v>
      </x:c>
      <x:c r="J180" s="13" t="str">
        <x:v>Official sitemap-listed</x:v>
      </x:c>
      <x:c r="K180" s="13" t="str">
        <x:v>https://www.indiraivf.com/sitemap</x:v>
      </x:c>
      <x:c r="L180" s="13" t="str">
        <x:v>https://www.indiraivf.com/ivf-center-in-india</x:v>
      </x:c>
      <x:c r="M180" s="13" t="str">
        <x:v>https://www.google.com/maps/search/?api=1&amp;query=Indira%20IVF%20Banjara%20Hills%2C%20Hyderabad%2C%20Hyderabad%2C%20Telangana%2C%20India</x:v>
      </x:c>
      <x:c r="N180" s="13" t="str">
        <x:v>Public centre page listed in official sitemap. Directory headline reports 210 centres; sitemap exposes 199 centre pages.</x:v>
      </x:c>
    </x:row>
    <x:row r="181">
      <x:c r="A181" s="13" t="str">
        <x:v>Indira IVF</x:v>
      </x:c>
      <x:c r="B181" s="13" t="str">
        <x:v>Jamshedpur</x:v>
      </x:c>
      <x:c r="C181" s="13" t="str">
        <x:v>Jamshedpur</x:v>
      </x:c>
      <x:c r="D181" s="13" t="str">
        <x:v>Jharkhand</x:v>
      </x:c>
      <x:c r="E181" s="13" t="str">
        <x:v>Jamshedpur, Jharkhand, India</x:v>
      </x:c>
      <x:c r="F181" s="13" t="str">
        <x:v>Locality/city normalized from official centre-page title</x:v>
      </x:c>
      <x:c r="G181" s="16" t="n">
        <x:v>22.80278</x:v>
      </x:c>
      <x:c r="H181" s="16" t="n">
        <x:v>86.18545</x:v>
      </x:c>
      <x:c r="I181" s="13" t="str">
        <x:v>Parent-city centroid (map visualization; not clinic-door geocode)</x:v>
      </x:c>
      <x:c r="J181" s="13" t="str">
        <x:v>Official sitemap-listed</x:v>
      </x:c>
      <x:c r="K181" s="13" t="str">
        <x:v>https://www.indiraivf.com/sitemap</x:v>
      </x:c>
      <x:c r="L181" s="13" t="str">
        <x:v>https://www.indiraivf.com/ivf-center-in-india</x:v>
      </x:c>
      <x:c r="M181" s="13" t="str">
        <x:v>https://www.google.com/maps/search/?api=1&amp;query=Indira%20IVF%20Jamshedpur%2C%20Jamshedpur%2C%20Jharkhand%2C%20India</x:v>
      </x:c>
      <x:c r="N181" s="13" t="str">
        <x:v>Public centre page listed in official sitemap. Directory headline reports 210 centres; sitemap exposes 199 centre pages.</x:v>
      </x:c>
    </x:row>
    <x:row r="182">
      <x:c r="A182" s="13" t="str">
        <x:v>Indira IVF</x:v>
      </x:c>
      <x:c r="B182" s="13" t="str">
        <x:v>Jhansi</x:v>
      </x:c>
      <x:c r="C182" s="13" t="str">
        <x:v>Jhansi</x:v>
      </x:c>
      <x:c r="D182" s="13" t="str">
        <x:v>Uttar Pradesh</x:v>
      </x:c>
      <x:c r="E182" s="13" t="str">
        <x:v>Jhansi, Uttar Pradesh, India</x:v>
      </x:c>
      <x:c r="F182" s="13" t="str">
        <x:v>Locality/city normalized from official centre-page title</x:v>
      </x:c>
      <x:c r="G182" s="16" t="n">
        <x:v>25.45887</x:v>
      </x:c>
      <x:c r="H182" s="16" t="n">
        <x:v>78.57994</x:v>
      </x:c>
      <x:c r="I182" s="13" t="str">
        <x:v>Parent-city centroid (map visualization; not clinic-door geocode)</x:v>
      </x:c>
      <x:c r="J182" s="13" t="str">
        <x:v>Official sitemap-listed</x:v>
      </x:c>
      <x:c r="K182" s="13" t="str">
        <x:v>https://www.indiraivf.com/sitemap</x:v>
      </x:c>
      <x:c r="L182" s="13" t="str">
        <x:v>https://www.indiraivf.com/ivf-center-in-india</x:v>
      </x:c>
      <x:c r="M182" s="13" t="str">
        <x:v>https://www.google.com/maps/search/?api=1&amp;query=Indira%20IVF%20Jhansi%2C%20Jhansi%2C%20Uttar%20Pradesh%2C%20India</x:v>
      </x:c>
      <x:c r="N182" s="13" t="str">
        <x:v>Public centre page listed in official sitemap. Directory headline reports 210 centres; sitemap exposes 199 centre pages.</x:v>
      </x:c>
    </x:row>
    <x:row r="183">
      <x:c r="A183" s="13" t="str">
        <x:v>Indira IVF</x:v>
      </x:c>
      <x:c r="B183" s="13" t="str">
        <x:v>Jodhpur</x:v>
      </x:c>
      <x:c r="C183" s="13" t="str">
        <x:v>Jodhpur</x:v>
      </x:c>
      <x:c r="D183" s="13" t="str">
        <x:v>Rajasthan</x:v>
      </x:c>
      <x:c r="E183" s="13" t="str">
        <x:v>Jodhpur, Rajasthan, India</x:v>
      </x:c>
      <x:c r="F183" s="13" t="str">
        <x:v>Locality/city normalized from official centre-page title</x:v>
      </x:c>
      <x:c r="G183" s="16" t="n">
        <x:v>26.26841</x:v>
      </x:c>
      <x:c r="H183" s="16" t="n">
        <x:v>73.00594</x:v>
      </x:c>
      <x:c r="I183" s="13" t="str">
        <x:v>Parent-city centroid (map visualization; not clinic-door geocode)</x:v>
      </x:c>
      <x:c r="J183" s="13" t="str">
        <x:v>Official sitemap-listed</x:v>
      </x:c>
      <x:c r="K183" s="13" t="str">
        <x:v>https://www.indiraivf.com/sitemap</x:v>
      </x:c>
      <x:c r="L183" s="13" t="str">
        <x:v>https://www.indiraivf.com/ivf-center-in-india</x:v>
      </x:c>
      <x:c r="M183" s="13" t="str">
        <x:v>https://www.google.com/maps/search/?api=1&amp;query=Indira%20IVF%20Jodhpur%2C%20Jodhpur%2C%20Rajasthan%2C%20India</x:v>
      </x:c>
      <x:c r="N183" s="13" t="str">
        <x:v>Public centre page listed in official sitemap. Directory headline reports 210 centres; sitemap exposes 199 centre pages.</x:v>
      </x:c>
    </x:row>
    <x:row r="184">
      <x:c r="A184" s="13" t="str">
        <x:v>Indira IVF</x:v>
      </x:c>
      <x:c r="B184" s="13" t="str">
        <x:v>Mall Road</x:v>
      </x:c>
      <x:c r="C184" s="13" t="str">
        <x:v>Kanpur</x:v>
      </x:c>
      <x:c r="D184" s="13" t="str">
        <x:v>Uttar Pradesh</x:v>
      </x:c>
      <x:c r="E184" s="13" t="str">
        <x:v>Mall Road, Kanpur, Uttar Pradesh, India</x:v>
      </x:c>
      <x:c r="F184" s="13" t="str">
        <x:v>Locality/city normalized from official centre-page title</x:v>
      </x:c>
      <x:c r="G184" s="16" t="n">
        <x:v>26.46523</x:v>
      </x:c>
      <x:c r="H184" s="16" t="n">
        <x:v>80.34975</x:v>
      </x:c>
      <x:c r="I184" s="13" t="str">
        <x:v>Parent-city centroid (map visualization; not clinic-door geocode)</x:v>
      </x:c>
      <x:c r="J184" s="13" t="str">
        <x:v>Official sitemap-listed</x:v>
      </x:c>
      <x:c r="K184" s="13" t="str">
        <x:v>https://www.indiraivf.com/sitemap</x:v>
      </x:c>
      <x:c r="L184" s="13" t="str">
        <x:v>https://www.indiraivf.com/ivf-center-in-india</x:v>
      </x:c>
      <x:c r="M184" s="13" t="str">
        <x:v>https://www.google.com/maps/search/?api=1&amp;query=Indira%20IVF%20Mall%20Road%2C%20Kanpur%2C%20Uttar%20Pradesh%2C%20India</x:v>
      </x:c>
      <x:c r="N184" s="13" t="str">
        <x:v>Public centre page listed in official sitemap. Directory headline reports 210 centres; sitemap exposes 199 centre pages.</x:v>
      </x:c>
    </x:row>
    <x:row r="185">
      <x:c r="A185" s="13" t="str">
        <x:v>Indira IVF</x:v>
      </x:c>
      <x:c r="B185" s="13" t="str">
        <x:v>Hazratganj</x:v>
      </x:c>
      <x:c r="C185" s="13" t="str">
        <x:v>Lucknow</x:v>
      </x:c>
      <x:c r="D185" s="13" t="str">
        <x:v>Uttar Pradesh</x:v>
      </x:c>
      <x:c r="E185" s="13" t="str">
        <x:v>Hazratganj, Lucknow, Uttar Pradesh, India</x:v>
      </x:c>
      <x:c r="F185" s="13" t="str">
        <x:v>Locality/city normalized from official centre-page title</x:v>
      </x:c>
      <x:c r="G185" s="16" t="n">
        <x:v>26.83928</x:v>
      </x:c>
      <x:c r="H185" s="16" t="n">
        <x:v>80.92313</x:v>
      </x:c>
      <x:c r="I185" s="13" t="str">
        <x:v>Parent-city centroid (map visualization; not clinic-door geocode)</x:v>
      </x:c>
      <x:c r="J185" s="13" t="str">
        <x:v>Official sitemap-listed</x:v>
      </x:c>
      <x:c r="K185" s="13" t="str">
        <x:v>https://www.indiraivf.com/sitemap</x:v>
      </x:c>
      <x:c r="L185" s="13" t="str">
        <x:v>https://www.indiraivf.com/ivf-center-in-india</x:v>
      </x:c>
      <x:c r="M185" s="13" t="str">
        <x:v>https://www.google.com/maps/search/?api=1&amp;query=Indira%20IVF%20Hazratganj%2C%20Lucknow%2C%20Uttar%20Pradesh%2C%20India</x:v>
      </x:c>
      <x:c r="N185" s="13" t="str">
        <x:v>Public centre page listed in official sitemap. Directory headline reports 210 centres; sitemap exposes 199 centre pages.</x:v>
      </x:c>
    </x:row>
    <x:row r="186">
      <x:c r="A186" s="13" t="str">
        <x:v>Indira IVF</x:v>
      </x:c>
      <x:c r="B186" s="13" t="str">
        <x:v>Ludhiana</x:v>
      </x:c>
      <x:c r="C186" s="13" t="str">
        <x:v>Ludhiana</x:v>
      </x:c>
      <x:c r="D186" s="13" t="str">
        <x:v>Punjab</x:v>
      </x:c>
      <x:c r="E186" s="13" t="str">
        <x:v>Ludhiana, Punjab, India</x:v>
      </x:c>
      <x:c r="F186" s="13" t="str">
        <x:v>Locality/city normalized from official centre-page title</x:v>
      </x:c>
      <x:c r="G186" s="16" t="n">
        <x:v>30.91204</x:v>
      </x:c>
      <x:c r="H186" s="16" t="n">
        <x:v>75.85379</x:v>
      </x:c>
      <x:c r="I186" s="13" t="str">
        <x:v>Parent-city centroid (map visualization; not clinic-door geocode)</x:v>
      </x:c>
      <x:c r="J186" s="13" t="str">
        <x:v>Official sitemap-listed</x:v>
      </x:c>
      <x:c r="K186" s="13" t="str">
        <x:v>https://www.indiraivf.com/sitemap</x:v>
      </x:c>
      <x:c r="L186" s="13" t="str">
        <x:v>https://www.indiraivf.com/ivf-center-in-india</x:v>
      </x:c>
      <x:c r="M186" s="13" t="str">
        <x:v>https://www.google.com/maps/search/?api=1&amp;query=Indira%20IVF%20Ludhiana%2C%20Ludhiana%2C%20Punjab%2C%20India</x:v>
      </x:c>
      <x:c r="N186" s="13" t="str">
        <x:v>Public centre page listed in official sitemap. Directory headline reports 210 centres; sitemap exposes 199 centre pages.</x:v>
      </x:c>
    </x:row>
    <x:row r="187">
      <x:c r="A187" s="13" t="str">
        <x:v>Indira IVF</x:v>
      </x:c>
      <x:c r="B187" s="13" t="str">
        <x:v>Muzaffarpur</x:v>
      </x:c>
      <x:c r="C187" s="13" t="str">
        <x:v>Muzaffarpur</x:v>
      </x:c>
      <x:c r="D187" s="13" t="str">
        <x:v>Bihar</x:v>
      </x:c>
      <x:c r="E187" s="13" t="str">
        <x:v>Muzaffarpur, Bihar, India</x:v>
      </x:c>
      <x:c r="F187" s="13" t="str">
        <x:v>Locality/city normalized from official centre-page title</x:v>
      </x:c>
      <x:c r="G187" s="16" t="n">
        <x:v>26.12259</x:v>
      </x:c>
      <x:c r="H187" s="16" t="n">
        <x:v>85.39055</x:v>
      </x:c>
      <x:c r="I187" s="13" t="str">
        <x:v>Parent-city centroid (map visualization; not clinic-door geocode)</x:v>
      </x:c>
      <x:c r="J187" s="13" t="str">
        <x:v>Official sitemap-listed</x:v>
      </x:c>
      <x:c r="K187" s="13" t="str">
        <x:v>https://www.indiraivf.com/sitemap</x:v>
      </x:c>
      <x:c r="L187" s="13" t="str">
        <x:v>https://www.indiraivf.com/ivf-center-in-india</x:v>
      </x:c>
      <x:c r="M187" s="13" t="str">
        <x:v>https://www.google.com/maps/search/?api=1&amp;query=Indira%20IVF%20Muzaffarpur%2C%20Muzaffarpur%2C%20Bihar%2C%20India</x:v>
      </x:c>
      <x:c r="N187" s="13" t="str">
        <x:v>Public centre page listed in official sitemap. Directory headline reports 210 centres; sitemap exposes 199 centre pages.</x:v>
      </x:c>
    </x:row>
    <x:row r="188">
      <x:c r="A188" s="13" t="str">
        <x:v>Indira IVF</x:v>
      </x:c>
      <x:c r="B188" s="13" t="str">
        <x:v>Nagpur</x:v>
      </x:c>
      <x:c r="C188" s="13" t="str">
        <x:v>Nagpur</x:v>
      </x:c>
      <x:c r="D188" s="13" t="str">
        <x:v>Maharashtra</x:v>
      </x:c>
      <x:c r="E188" s="13" t="str">
        <x:v>Nagpur, Maharashtra, India</x:v>
      </x:c>
      <x:c r="F188" s="13" t="str">
        <x:v>Locality/city normalized from official centre-page title</x:v>
      </x:c>
      <x:c r="G188" s="16" t="n">
        <x:v>21.14631</x:v>
      </x:c>
      <x:c r="H188" s="16" t="n">
        <x:v>79.08491</x:v>
      </x:c>
      <x:c r="I188" s="13" t="str">
        <x:v>Parent-city centroid (map visualization; not clinic-door geocode)</x:v>
      </x:c>
      <x:c r="J188" s="13" t="str">
        <x:v>Official sitemap-listed</x:v>
      </x:c>
      <x:c r="K188" s="13" t="str">
        <x:v>https://www.indiraivf.com/sitemap</x:v>
      </x:c>
      <x:c r="L188" s="13" t="str">
        <x:v>https://www.indiraivf.com/ivf-center-in-india</x:v>
      </x:c>
      <x:c r="M188" s="13" t="str">
        <x:v>https://www.google.com/maps/search/?api=1&amp;query=Indira%20IVF%20Nagpur%2C%20Nagpur%2C%20Maharashtra%2C%20India</x:v>
      </x:c>
      <x:c r="N188" s="13" t="str">
        <x:v>Public centre page listed in official sitemap. Directory headline reports 210 centres; sitemap exposes 199 centre pages.</x:v>
      </x:c>
    </x:row>
    <x:row r="189">
      <x:c r="A189" s="13" t="str">
        <x:v>Indira IVF</x:v>
      </x:c>
      <x:c r="B189" s="13" t="str">
        <x:v>Gangapur Road</x:v>
      </x:c>
      <x:c r="C189" s="13" t="str">
        <x:v>Nashik</x:v>
      </x:c>
      <x:c r="D189" s="13" t="str">
        <x:v>Maharashtra</x:v>
      </x:c>
      <x:c r="E189" s="13" t="str">
        <x:v>Gangapur Road, Nashik, Maharashtra, India</x:v>
      </x:c>
      <x:c r="F189" s="13" t="str">
        <x:v>Locality/city normalized from official centre-page title</x:v>
      </x:c>
      <x:c r="G189" s="16" t="n">
        <x:v>19.99727</x:v>
      </x:c>
      <x:c r="H189" s="16" t="n">
        <x:v>73.79096</x:v>
      </x:c>
      <x:c r="I189" s="13" t="str">
        <x:v>Parent-city centroid (map visualization; not clinic-door geocode)</x:v>
      </x:c>
      <x:c r="J189" s="13" t="str">
        <x:v>Official sitemap-listed</x:v>
      </x:c>
      <x:c r="K189" s="13" t="str">
        <x:v>https://www.indiraivf.com/sitemap</x:v>
      </x:c>
      <x:c r="L189" s="13" t="str">
        <x:v>https://www.indiraivf.com/ivf-center-in-india</x:v>
      </x:c>
      <x:c r="M189" s="13" t="str">
        <x:v>https://www.google.com/maps/search/?api=1&amp;query=Indira%20IVF%20Gangapur%20Road%2C%20Nashik%2C%20Maharashtra%2C%20India</x:v>
      </x:c>
      <x:c r="N189" s="13" t="str">
        <x:v>Public centre page listed in official sitemap. Directory headline reports 210 centres; sitemap exposes 199 centre pages.</x:v>
      </x:c>
    </x:row>
    <x:row r="190">
      <x:c r="A190" s="13" t="str">
        <x:v>Indira IVF</x:v>
      </x:c>
      <x:c r="B190" s="13" t="str">
        <x:v>Khajpura</x:v>
      </x:c>
      <x:c r="C190" s="13" t="str">
        <x:v>Patna</x:v>
      </x:c>
      <x:c r="D190" s="13" t="str">
        <x:v>Bihar</x:v>
      </x:c>
      <x:c r="E190" s="13" t="str">
        <x:v>Khajpura, Patna, Bihar, India</x:v>
      </x:c>
      <x:c r="F190" s="13" t="str">
        <x:v>Locality/city normalized from official centre-page title</x:v>
      </x:c>
      <x:c r="G190" s="16" t="n">
        <x:v>25.59408</x:v>
      </x:c>
      <x:c r="H190" s="16" t="n">
        <x:v>85.13563</x:v>
      </x:c>
      <x:c r="I190" s="13" t="str">
        <x:v>Parent-city centroid (map visualization; not clinic-door geocode)</x:v>
      </x:c>
      <x:c r="J190" s="13" t="str">
        <x:v>Official sitemap-listed</x:v>
      </x:c>
      <x:c r="K190" s="13" t="str">
        <x:v>https://www.indiraivf.com/sitemap</x:v>
      </x:c>
      <x:c r="L190" s="13" t="str">
        <x:v>https://www.indiraivf.com/ivf-center-in-india</x:v>
      </x:c>
      <x:c r="M190" s="13" t="str">
        <x:v>https://www.google.com/maps/search/?api=1&amp;query=Indira%20IVF%20Khajpura%2C%20Patna%2C%20Bihar%2C%20India</x:v>
      </x:c>
      <x:c r="N190" s="13" t="str">
        <x:v>Public centre page listed in official sitemap. Directory headline reports 210 centres; sitemap exposes 199 centre pages.</x:v>
      </x:c>
    </x:row>
    <x:row r="191">
      <x:c r="A191" s="13" t="str">
        <x:v>Indira IVF</x:v>
      </x:c>
      <x:c r="B191" s="13" t="str">
        <x:v>Rajaji Nagar, Bengaluru</x:v>
      </x:c>
      <x:c r="C191" s="13" t="str">
        <x:v>Bengaluru</x:v>
      </x:c>
      <x:c r="D191" s="13" t="str">
        <x:v>Karnataka</x:v>
      </x:c>
      <x:c r="E191" s="13" t="str">
        <x:v>Rajaji Nagar, Bengaluru, Bengaluru, Karnataka, India</x:v>
      </x:c>
      <x:c r="F191" s="13" t="str">
        <x:v>Locality/city normalized from official centre-page title</x:v>
      </x:c>
      <x:c r="G191" s="16" t="n">
        <x:v>12.97194</x:v>
      </x:c>
      <x:c r="H191" s="16" t="n">
        <x:v>77.59369</x:v>
      </x:c>
      <x:c r="I191" s="13" t="str">
        <x:v>Parent-city centroid (map visualization; not clinic-door geocode)</x:v>
      </x:c>
      <x:c r="J191" s="13" t="str">
        <x:v>Official sitemap-listed</x:v>
      </x:c>
      <x:c r="K191" s="13" t="str">
        <x:v>https://www.indiraivf.com/sitemap</x:v>
      </x:c>
      <x:c r="L191" s="13" t="str">
        <x:v>https://www.indiraivf.com/ivf-center-in-india</x:v>
      </x:c>
      <x:c r="M191" s="13" t="str">
        <x:v>https://www.google.com/maps/search/?api=1&amp;query=Indira%20IVF%20Rajaji%20Nagar%2C%20Bengaluru%2C%20Bengaluru%2C%20Karnataka%2C%20India</x:v>
      </x:c>
      <x:c r="N191" s="13" t="str">
        <x:v>Public centre page listed in official sitemap. Directory headline reports 210 centres; sitemap exposes 199 centre pages.</x:v>
      </x:c>
    </x:row>
    <x:row r="192">
      <x:c r="A192" s="13" t="str">
        <x:v>Indira IVF</x:v>
      </x:c>
      <x:c r="B192" s="13" t="str">
        <x:v>Rajkot</x:v>
      </x:c>
      <x:c r="C192" s="13" t="str">
        <x:v>Rajkot</x:v>
      </x:c>
      <x:c r="D192" s="13" t="str">
        <x:v>Gujarat</x:v>
      </x:c>
      <x:c r="E192" s="13" t="str">
        <x:v>Rajkot, Gujarat, India</x:v>
      </x:c>
      <x:c r="F192" s="13" t="str">
        <x:v>Locality/city normalized from official centre-page title</x:v>
      </x:c>
      <x:c r="G192" s="16" t="n">
        <x:v>22.29161</x:v>
      </x:c>
      <x:c r="H192" s="16" t="n">
        <x:v>70.79322</x:v>
      </x:c>
      <x:c r="I192" s="13" t="str">
        <x:v>Parent-city centroid (map visualization; not clinic-door geocode)</x:v>
      </x:c>
      <x:c r="J192" s="13" t="str">
        <x:v>Official sitemap-listed</x:v>
      </x:c>
      <x:c r="K192" s="13" t="str">
        <x:v>https://www.indiraivf.com/sitemap</x:v>
      </x:c>
      <x:c r="L192" s="13" t="str">
        <x:v>https://www.indiraivf.com/ivf-center-in-india</x:v>
      </x:c>
      <x:c r="M192" s="13" t="str">
        <x:v>https://www.google.com/maps/search/?api=1&amp;query=Indira%20IVF%20Rajkot%2C%20Rajkot%2C%20Gujarat%2C%20India</x:v>
      </x:c>
      <x:c r="N192" s="13" t="str">
        <x:v>Public centre page listed in official sitemap. Directory headline reports 210 centres; sitemap exposes 199 centre pages.</x:v>
      </x:c>
    </x:row>
    <x:row r="193">
      <x:c r="A193" s="13" t="str">
        <x:v>Indira IVF</x:v>
      </x:c>
      <x:c r="B193" s="13" t="str">
        <x:v>Delatoli</x:v>
      </x:c>
      <x:c r="C193" s="13" t="str">
        <x:v>Ranchi</x:v>
      </x:c>
      <x:c r="D193" s="13" t="str">
        <x:v>Jharkhand</x:v>
      </x:c>
      <x:c r="E193" s="13" t="str">
        <x:v>Delatoli, Ranchi, Jharkhand, India</x:v>
      </x:c>
      <x:c r="F193" s="13" t="str">
        <x:v>Locality/city normalized from official centre-page title</x:v>
      </x:c>
      <x:c r="G193" s="16" t="n">
        <x:v>23.34316</x:v>
      </x:c>
      <x:c r="H193" s="16" t="n">
        <x:v>85.3094</x:v>
      </x:c>
      <x:c r="I193" s="13" t="str">
        <x:v>Parent-city centroid (map visualization; not clinic-door geocode)</x:v>
      </x:c>
      <x:c r="J193" s="13" t="str">
        <x:v>Official sitemap-listed</x:v>
      </x:c>
      <x:c r="K193" s="13" t="str">
        <x:v>https://www.indiraivf.com/sitemap</x:v>
      </x:c>
      <x:c r="L193" s="13" t="str">
        <x:v>https://www.indiraivf.com/ivf-center-in-india</x:v>
      </x:c>
      <x:c r="M193" s="13" t="str">
        <x:v>https://www.google.com/maps/search/?api=1&amp;query=Indira%20IVF%20Delatoli%2C%20Ranchi%2C%20Jharkhand%2C%20India</x:v>
      </x:c>
      <x:c r="N193" s="13" t="str">
        <x:v>Public centre page listed in official sitemap. Directory headline reports 210 centres; sitemap exposes 199 centre pages.</x:v>
      </x:c>
    </x:row>
    <x:row r="194">
      <x:c r="A194" s="13" t="str">
        <x:v>Indira IVF</x:v>
      </x:c>
      <x:c r="B194" s="13" t="str">
        <x:v>Rohtak</x:v>
      </x:c>
      <x:c r="C194" s="13" t="str">
        <x:v>Rohtak</x:v>
      </x:c>
      <x:c r="D194" s="13" t="str">
        <x:v>Haryana</x:v>
      </x:c>
      <x:c r="E194" s="13" t="str">
        <x:v>Rohtak, Haryana, India</x:v>
      </x:c>
      <x:c r="F194" s="13" t="str">
        <x:v>Locality/city normalized from official centre-page title</x:v>
      </x:c>
      <x:c r="G194" s="16" t="n">
        <x:v>28.89447</x:v>
      </x:c>
      <x:c r="H194" s="16" t="n">
        <x:v>76.58917</x:v>
      </x:c>
      <x:c r="I194" s="13" t="str">
        <x:v>Parent-city centroid (map visualization; not clinic-door geocode)</x:v>
      </x:c>
      <x:c r="J194" s="13" t="str">
        <x:v>Official sitemap-listed</x:v>
      </x:c>
      <x:c r="K194" s="13" t="str">
        <x:v>https://www.indiraivf.com/sitemap</x:v>
      </x:c>
      <x:c r="L194" s="13" t="str">
        <x:v>https://www.indiraivf.com/ivf-center-in-india</x:v>
      </x:c>
      <x:c r="M194" s="13" t="str">
        <x:v>https://www.google.com/maps/search/?api=1&amp;query=Indira%20IVF%20Rohtak%2C%20Rohtak%2C%20Haryana%2C%20India</x:v>
      </x:c>
      <x:c r="N194" s="13" t="str">
        <x:v>Public centre page listed in official sitemap. Directory headline reports 210 centres; sitemap exposes 199 centre pages.</x:v>
      </x:c>
    </x:row>
    <x:row r="195">
      <x:c r="A195" s="13" t="str">
        <x:v>Indira IVF</x:v>
      </x:c>
      <x:c r="B195" s="13" t="str">
        <x:v>Secunderabad</x:v>
      </x:c>
      <x:c r="C195" s="13" t="str">
        <x:v>Hyderabad</x:v>
      </x:c>
      <x:c r="D195" s="13" t="str">
        <x:v>Telangana</x:v>
      </x:c>
      <x:c r="E195" s="13" t="str">
        <x:v>Secunderabad, Hyderabad, Telangana, India</x:v>
      </x:c>
      <x:c r="F195" s="13" t="str">
        <x:v>Locality/city normalized from official centre-page title</x:v>
      </x:c>
      <x:c r="G195" s="16" t="n">
        <x:v>17.38405</x:v>
      </x:c>
      <x:c r="H195" s="16" t="n">
        <x:v>78.45636</x:v>
      </x:c>
      <x:c r="I195" s="13" t="str">
        <x:v>Parent-city centroid (map visualization; not clinic-door geocode)</x:v>
      </x:c>
      <x:c r="J195" s="13" t="str">
        <x:v>Official sitemap-listed</x:v>
      </x:c>
      <x:c r="K195" s="13" t="str">
        <x:v>https://www.indiraivf.com/sitemap</x:v>
      </x:c>
      <x:c r="L195" s="13" t="str">
        <x:v>https://www.indiraivf.com/ivf-center-in-india</x:v>
      </x:c>
      <x:c r="M195" s="13" t="str">
        <x:v>https://www.google.com/maps/search/?api=1&amp;query=Indira%20IVF%20Secunderabad%2C%20Hyderabad%2C%20Telangana%2C%20India</x:v>
      </x:c>
      <x:c r="N195" s="13" t="str">
        <x:v>Public centre page listed in official sitemap. Directory headline reports 210 centres; sitemap exposes 199 centre pages.</x:v>
      </x:c>
    </x:row>
    <x:row r="196">
      <x:c r="A196" s="13" t="str">
        <x:v>Indira IVF</x:v>
      </x:c>
      <x:c r="B196" s="13" t="str">
        <x:v>Hiland Park</x:v>
      </x:c>
      <x:c r="C196" s="13" t="str">
        <x:v>Kolkata</x:v>
      </x:c>
      <x:c r="D196" s="13" t="str">
        <x:v>West Bengal</x:v>
      </x:c>
      <x:c r="E196" s="13" t="str">
        <x:v>Hiland Park, Kolkata, West Bengal, India</x:v>
      </x:c>
      <x:c r="F196" s="13" t="str">
        <x:v>Locality/city normalized from official centre-page title</x:v>
      </x:c>
      <x:c r="G196" s="16" t="n">
        <x:v>22.56263</x:v>
      </x:c>
      <x:c r="H196" s="16" t="n">
        <x:v>88.36304</x:v>
      </x:c>
      <x:c r="I196" s="13" t="str">
        <x:v>Parent-city centroid (map visualization; not clinic-door geocode)</x:v>
      </x:c>
      <x:c r="J196" s="13" t="str">
        <x:v>Official sitemap-listed</x:v>
      </x:c>
      <x:c r="K196" s="13" t="str">
        <x:v>https://www.indiraivf.com/sitemap</x:v>
      </x:c>
      <x:c r="L196" s="13" t="str">
        <x:v>https://www.indiraivf.com/ivf-center-in-india</x:v>
      </x:c>
      <x:c r="M196" s="13" t="str">
        <x:v>https://www.google.com/maps/search/?api=1&amp;query=Indira%20IVF%20Hiland%20Park%2C%20Kolkata%2C%20West%20Bengal%2C%20India</x:v>
      </x:c>
      <x:c r="N196" s="13" t="str">
        <x:v>Public centre page listed in official sitemap. Directory headline reports 210 centres; sitemap exposes 199 centre pages.</x:v>
      </x:c>
    </x:row>
    <x:row r="197">
      <x:c r="A197" s="13" t="str">
        <x:v>Indira IVF</x:v>
      </x:c>
      <x:c r="B197" s="13" t="str">
        <x:v>Udaipur</x:v>
      </x:c>
      <x:c r="C197" s="13" t="str">
        <x:v>Udaipur</x:v>
      </x:c>
      <x:c r="D197" s="13" t="str">
        <x:v>Rajasthan</x:v>
      </x:c>
      <x:c r="E197" s="13" t="str">
        <x:v>Udaipur, Rajasthan, India</x:v>
      </x:c>
      <x:c r="F197" s="13" t="str">
        <x:v>Locality/city normalized from official centre-page title</x:v>
      </x:c>
      <x:c r="G197" s="16" t="n">
        <x:v>24.58584</x:v>
      </x:c>
      <x:c r="H197" s="16" t="n">
        <x:v>73.71346</x:v>
      </x:c>
      <x:c r="I197" s="13" t="str">
        <x:v>Parent-city centroid (map visualization; not clinic-door geocode)</x:v>
      </x:c>
      <x:c r="J197" s="13" t="str">
        <x:v>Official sitemap-listed</x:v>
      </x:c>
      <x:c r="K197" s="13" t="str">
        <x:v>https://www.indiraivf.com/sitemap</x:v>
      </x:c>
      <x:c r="L197" s="13" t="str">
        <x:v>https://www.indiraivf.com/ivf-center-in-india</x:v>
      </x:c>
      <x:c r="M197" s="13" t="str">
        <x:v>https://www.google.com/maps/search/?api=1&amp;query=Indira%20IVF%20Udaipur%2C%20Udaipur%2C%20Rajasthan%2C%20India</x:v>
      </x:c>
      <x:c r="N197" s="13" t="str">
        <x:v>Public centre page listed in official sitemap. Directory headline reports 210 centres; sitemap exposes 199 centre pages.</x:v>
      </x:c>
    </x:row>
    <x:row r="198">
      <x:c r="A198" s="13" t="str">
        <x:v>Indira IVF</x:v>
      </x:c>
      <x:c r="B198" s="13" t="str">
        <x:v>Vadodara</x:v>
      </x:c>
      <x:c r="C198" s="13" t="str">
        <x:v>Vadodara</x:v>
      </x:c>
      <x:c r="D198" s="13" t="str">
        <x:v>Gujarat</x:v>
      </x:c>
      <x:c r="E198" s="13" t="str">
        <x:v>Vadodara, Gujarat, India</x:v>
      </x:c>
      <x:c r="F198" s="13" t="str">
        <x:v>Locality/city normalized from official centre-page title</x:v>
      </x:c>
      <x:c r="G198" s="16" t="n">
        <x:v>22.29941</x:v>
      </x:c>
      <x:c r="H198" s="16" t="n">
        <x:v>73.20812</x:v>
      </x:c>
      <x:c r="I198" s="13" t="str">
        <x:v>Parent-city centroid (map visualization; not clinic-door geocode)</x:v>
      </x:c>
      <x:c r="J198" s="13" t="str">
        <x:v>Official sitemap-listed</x:v>
      </x:c>
      <x:c r="K198" s="13" t="str">
        <x:v>https://www.indiraivf.com/sitemap</x:v>
      </x:c>
      <x:c r="L198" s="13" t="str">
        <x:v>https://www.indiraivf.com/ivf-center-in-india</x:v>
      </x:c>
      <x:c r="M198" s="13" t="str">
        <x:v>https://www.google.com/maps/search/?api=1&amp;query=Indira%20IVF%20Vadodara%2C%20Vadodara%2C%20Gujarat%2C%20India</x:v>
      </x:c>
      <x:c r="N198" s="13" t="str">
        <x:v>Public centre page listed in official sitemap. Directory headline reports 210 centres; sitemap exposes 199 centre pages.</x:v>
      </x:c>
    </x:row>
    <x:row r="199">
      <x:c r="A199" s="13" t="str">
        <x:v>Indira IVF</x:v>
      </x:c>
      <x:c r="B199" s="13" t="str">
        <x:v>Mahmoorganj</x:v>
      </x:c>
      <x:c r="C199" s="13" t="str">
        <x:v>Varanasi</x:v>
      </x:c>
      <x:c r="D199" s="13" t="str">
        <x:v>Uttar Pradesh</x:v>
      </x:c>
      <x:c r="E199" s="13" t="str">
        <x:v>Mahmoorganj, Varanasi, Uttar Pradesh, India</x:v>
      </x:c>
      <x:c r="F199" s="13" t="str">
        <x:v>Locality/city normalized from official centre-page title</x:v>
      </x:c>
      <x:c r="G199" s="16" t="n">
        <x:v>25.31668</x:v>
      </x:c>
      <x:c r="H199" s="16" t="n">
        <x:v>83.01041</x:v>
      </x:c>
      <x:c r="I199" s="13" t="str">
        <x:v>Parent-city centroid (map visualization; not clinic-door geocode)</x:v>
      </x:c>
      <x:c r="J199" s="13" t="str">
        <x:v>Official sitemap-listed</x:v>
      </x:c>
      <x:c r="K199" s="13" t="str">
        <x:v>https://www.indiraivf.com/sitemap</x:v>
      </x:c>
      <x:c r="L199" s="13" t="str">
        <x:v>https://www.indiraivf.com/ivf-center-in-india</x:v>
      </x:c>
      <x:c r="M199" s="13" t="str">
        <x:v>https://www.google.com/maps/search/?api=1&amp;query=Indira%20IVF%20Mahmoorganj%2C%20Varanasi%2C%20Uttar%20Pradesh%2C%20India</x:v>
      </x:c>
      <x:c r="N199" s="13" t="str">
        <x:v>Public centre page listed in official sitemap. Directory headline reports 210 centres; sitemap exposes 199 centre pages.</x:v>
      </x:c>
    </x:row>
    <x:row r="200">
      <x:c r="A200" s="13" t="str">
        <x:v>Indira IVF</x:v>
      </x:c>
      <x:c r="B200" s="13" t="str">
        <x:v>Thane</x:v>
      </x:c>
      <x:c r="C200" s="13" t="str">
        <x:v>Thane</x:v>
      </x:c>
      <x:c r="D200" s="13" t="str">
        <x:v>Maharashtra</x:v>
      </x:c>
      <x:c r="E200" s="13" t="str">
        <x:v>Thane, Maharashtra, India</x:v>
      </x:c>
      <x:c r="F200" s="13" t="str">
        <x:v>Locality/city normalized from official centre-page title</x:v>
      </x:c>
      <x:c r="G200" s="16" t="n">
        <x:v>19.19704</x:v>
      </x:c>
      <x:c r="H200" s="16" t="n">
        <x:v>72.96355</x:v>
      </x:c>
      <x:c r="I200" s="13" t="str">
        <x:v>Parent-city centroid (map visualization; not clinic-door geocode)</x:v>
      </x:c>
      <x:c r="J200" s="13" t="str">
        <x:v>Official sitemap-listed</x:v>
      </x:c>
      <x:c r="K200" s="13" t="str">
        <x:v>https://www.indiraivf.com/sitemap</x:v>
      </x:c>
      <x:c r="L200" s="13" t="str">
        <x:v>https://www.indiraivf.com/ivf-center-in-india</x:v>
      </x:c>
      <x:c r="M200" s="13" t="str">
        <x:v>https://www.google.com/maps/search/?api=1&amp;query=Indira%20IVF%20Thane%2C%20Thane%2C%20Maharashtra%2C%20India</x:v>
      </x:c>
      <x:c r="N200" s="13" t="str">
        <x:v>Public centre page listed in official sitemap. Directory headline reports 210 centres; sitemap exposes 199 centre pages.</x:v>
      </x:c>
    </x:row>
    <x:row r="201">
      <x:c r="A201" s="13" t="str">
        <x:v>Gaudium IVF</x:v>
      </x:c>
      <x:c r="B201" s="13" t="str">
        <x:v>Janakpuri</x:v>
      </x:c>
      <x:c r="C201" s="13" t="str">
        <x:v>New Delhi</x:v>
      </x:c>
      <x:c r="D201" s="13" t="str">
        <x:v>Delhi</x:v>
      </x:c>
      <x:c r="E201" s="13" t="str">
        <x:v>B1/51, Janakpuri East, Near Janakpuri East Metro Station, New Delhi - 110058, India</x:v>
      </x:c>
      <x:c r="F201" s="13" t="str">
        <x:v>Full street address from official contact page</x:v>
      </x:c>
      <x:c r="G201" s="16" t="n">
        <x:v>28.65195</x:v>
      </x:c>
      <x:c r="H201" s="16" t="n">
        <x:v>77.23149</x:v>
      </x:c>
      <x:c r="I201" s="13" t="str">
        <x:v>Parent-city centroid (map visualization; use Maps search for clinic door)</x:v>
      </x:c>
      <x:c r="J201" s="13" t="str">
        <x:v>Official contact-page-listed</x:v>
      </x:c>
      <x:c r="K201" s="13" t="str">
        <x:v>https://www.gaudiumivfcentre.com/contact</x:v>
      </x:c>
      <x:c r="L201" s="13" t="str">
        <x:v>https://www.gaudiumivfcentre.com/</x:v>
      </x:c>
      <x:c r="M201" s="13" t="str">
        <x:v>https://www.google.com/maps/search/?api=1&amp;query=Gaudium%20IVF%20B1/51%2C%20Janakpuri%20East%2C%20Near%20Janakpuri%20East%20Metro%20Station%2C%20New%20Delhi%20-%20110058%2C%20India</x:v>
      </x:c>
      <x:c r="N201" s="13" t="str">
        <x:v>One of seven Indian locations explicitly named on the official site. Homepage claims 36 centres across six states/UTs.</x:v>
      </x:c>
    </x:row>
    <x:row r="202">
      <x:c r="A202" s="13" t="str">
        <x:v>Gaudium IVF</x:v>
      </x:c>
      <x:c r="B202" s="13" t="str">
        <x:v>Kailash Colony</x:v>
      </x:c>
      <x:c r="C202" s="13" t="str">
        <x:v>New Delhi</x:v>
      </x:c>
      <x:c r="D202" s="13" t="str">
        <x:v>Delhi</x:v>
      </x:c>
      <x:c r="E202" s="13" t="str">
        <x:v>A-19, Ground Floor, Kailash Colony, Near Kailash Colony Metro Station, South Delhi - 110048, India</x:v>
      </x:c>
      <x:c r="F202" s="13" t="str">
        <x:v>Full street address from official contact page</x:v>
      </x:c>
      <x:c r="G202" s="16" t="n">
        <x:v>28.65195</x:v>
      </x:c>
      <x:c r="H202" s="16" t="n">
        <x:v>77.23149</x:v>
      </x:c>
      <x:c r="I202" s="13" t="str">
        <x:v>Parent-city centroid (map visualization; use Maps search for clinic door)</x:v>
      </x:c>
      <x:c r="J202" s="13" t="str">
        <x:v>Official contact-page-listed</x:v>
      </x:c>
      <x:c r="K202" s="13" t="str">
        <x:v>https://www.gaudiumivfcentre.com/contact</x:v>
      </x:c>
      <x:c r="L202" s="13" t="str">
        <x:v>https://www.gaudiumivfcentre.com/</x:v>
      </x:c>
      <x:c r="M202" s="13" t="str">
        <x:v>https://www.google.com/maps/search/?api=1&amp;query=Gaudium%20IVF%20A-19%2C%20Ground%20Floor%2C%20Kailash%20Colony%2C%20Near%20Kailash%20Colony%20Metro%20Station%2C%20South%20Delhi%20-%20110048%2C%20India</x:v>
      </x:c>
      <x:c r="N202" s="13" t="str">
        <x:v>One of seven Indian locations explicitly named on the official site. Homepage claims 36 centres across six states/UTs.</x:v>
      </x:c>
    </x:row>
    <x:row r="203">
      <x:c r="A203" s="13" t="str">
        <x:v>Gaudium IVF</x:v>
      </x:c>
      <x:c r="B203" s="13" t="str">
        <x:v>Khar West</x:v>
      </x:c>
      <x:c r="C203" s="13" t="str">
        <x:v>Mumbai</x:v>
      </x:c>
      <x:c r="D203" s="13" t="str">
        <x:v>Maharashtra</x:v>
      </x:c>
      <x:c r="E203" s="13" t="str">
        <x:v>4th Floor, Samaj Kendra Building, Anand Vihar Society, 20th Road, Chitrakar Dhurandhar Marg, Khar West, Mumbai - 400052, India</x:v>
      </x:c>
      <x:c r="F203" s="13" t="str">
        <x:v>Full street address from official contact page</x:v>
      </x:c>
      <x:c r="G203" s="16" t="n">
        <x:v>19.07283</x:v>
      </x:c>
      <x:c r="H203" s="16" t="n">
        <x:v>72.88261</x:v>
      </x:c>
      <x:c r="I203" s="13" t="str">
        <x:v>Parent-city centroid (map visualization; use Maps search for clinic door)</x:v>
      </x:c>
      <x:c r="J203" s="13" t="str">
        <x:v>Official contact-page-listed</x:v>
      </x:c>
      <x:c r="K203" s="13" t="str">
        <x:v>https://www.gaudiumivfcentre.com/contact</x:v>
      </x:c>
      <x:c r="L203" s="13" t="str">
        <x:v>https://www.gaudiumivfcentre.com/</x:v>
      </x:c>
      <x:c r="M203" s="13" t="str">
        <x:v>https://www.google.com/maps/search/?api=1&amp;query=Gaudium%20IVF%204th%20Floor%2C%20Samaj%20Kendra%20Building%2C%20Anand%20Vihar%20Society%2C%2020th%20Road%2C%20Chitrakar%20Dhurandhar%20Marg%2C%20Khar%20West%2C%20Mumbai%20-%20400052%2C%20India</x:v>
      </x:c>
      <x:c r="N203" s="13" t="str">
        <x:v>One of seven Indian locations explicitly named on the official site. Homepage claims 36 centres across six states/UTs.</x:v>
      </x:c>
    </x:row>
    <x:row r="204">
      <x:c r="A204" s="13" t="str">
        <x:v>Gaudium IVF</x:v>
      </x:c>
      <x:c r="B204" s="13" t="str">
        <x:v>Indira Nagar</x:v>
      </x:c>
      <x:c r="C204" s="13" t="str">
        <x:v>Bengaluru</x:v>
      </x:c>
      <x:c r="D204" s="13" t="str">
        <x:v>Karnataka</x:v>
      </x:c>
      <x:c r="E204" s="13" t="str">
        <x:v>No-764, Janson Avenue, 1st Floor, 100 Feet Road, Indira Nagar, Bengaluru - 560038, India</x:v>
      </x:c>
      <x:c r="F204" s="13" t="str">
        <x:v>Full street address from official contact page</x:v>
      </x:c>
      <x:c r="G204" s="16" t="n">
        <x:v>12.97194</x:v>
      </x:c>
      <x:c r="H204" s="16" t="n">
        <x:v>77.59369</x:v>
      </x:c>
      <x:c r="I204" s="13" t="str">
        <x:v>Parent-city centroid (map visualization; use Maps search for clinic door)</x:v>
      </x:c>
      <x:c r="J204" s="13" t="str">
        <x:v>Official contact-page-listed</x:v>
      </x:c>
      <x:c r="K204" s="13" t="str">
        <x:v>https://www.gaudiumivfcentre.com/contact</x:v>
      </x:c>
      <x:c r="L204" s="13" t="str">
        <x:v>https://www.gaudiumivfcentre.com/</x:v>
      </x:c>
      <x:c r="M204" s="13" t="str">
        <x:v>https://www.google.com/maps/search/?api=1&amp;query=Gaudium%20IVF%20No-764%2C%20Janson%20Avenue%2C%201st%20Floor%2C%20100%20Feet%20Road%2C%20Indira%20Nagar%2C%20Bengaluru%20-%20560038%2C%20India</x:v>
      </x:c>
      <x:c r="N204" s="13" t="str">
        <x:v>One of seven Indian locations explicitly named on the official site. Homepage claims 36 centres across six states/UTs.</x:v>
      </x:c>
    </x:row>
    <x:row r="205">
      <x:c r="A205" s="13" t="str">
        <x:v>Gaudium IVF</x:v>
      </x:c>
      <x:c r="B205" s="13" t="str">
        <x:v>Orchid Mall</x:v>
      </x:c>
      <x:c r="C205" s="13" t="str">
        <x:v>Patna</x:v>
      </x:c>
      <x:c r="D205" s="13" t="str">
        <x:v>Bihar</x:v>
      </x:c>
      <x:c r="E205" s="13" t="str">
        <x:v>Orchid Mall, No-3-B, 3rd Floor, Opposite A N College, Boring Patliputra Road, Patna - 800013, India</x:v>
      </x:c>
      <x:c r="F205" s="13" t="str">
        <x:v>Full street address from official contact page</x:v>
      </x:c>
      <x:c r="G205" s="16" t="n">
        <x:v>25.59408</x:v>
      </x:c>
      <x:c r="H205" s="16" t="n">
        <x:v>85.13563</x:v>
      </x:c>
      <x:c r="I205" s="13" t="str">
        <x:v>Parent-city centroid (map visualization; use Maps search for clinic door)</x:v>
      </x:c>
      <x:c r="J205" s="13" t="str">
        <x:v>Official contact-page-listed</x:v>
      </x:c>
      <x:c r="K205" s="13" t="str">
        <x:v>https://www.gaudiumivfcentre.com/contact</x:v>
      </x:c>
      <x:c r="L205" s="13" t="str">
        <x:v>https://www.gaudiumivfcentre.com/</x:v>
      </x:c>
      <x:c r="M205" s="13" t="str">
        <x:v>https://www.google.com/maps/search/?api=1&amp;query=Gaudium%20IVF%20Orchid%20Mall%2C%20No-3-B%2C%203rd%20Floor%2C%20Opposite%20A%20N%20College%2C%20Boring%20Patliputra%20Road%2C%20Patna%20-%20800013%2C%20India</x:v>
      </x:c>
      <x:c r="N205" s="13" t="str">
        <x:v>One of seven Indian locations explicitly named on the official site. Homepage claims 36 centres across six states/UTs.</x:v>
      </x:c>
    </x:row>
    <x:row r="206">
      <x:c r="A206" s="13" t="str">
        <x:v>Gaudium IVF</x:v>
      </x:c>
      <x:c r="B206" s="13" t="str">
        <x:v>Civil Lines</x:v>
      </x:c>
      <x:c r="C206" s="13" t="str">
        <x:v>Ludhiana</x:v>
      </x:c>
      <x:c r="D206" s="13" t="str">
        <x:v>Punjab</x:v>
      </x:c>
      <x:c r="E206" s="13" t="str">
        <x:v>Gaudium Bawa IVF Centre, Bawa Hospital Premises, Near Old Dandi Swami Mandir, Civil Lines, Ludhiana - 141001, India</x:v>
      </x:c>
      <x:c r="F206" s="13" t="str">
        <x:v>Full street address from official contact page</x:v>
      </x:c>
      <x:c r="G206" s="16" t="n">
        <x:v>30.91204</x:v>
      </x:c>
      <x:c r="H206" s="16" t="n">
        <x:v>75.85379</x:v>
      </x:c>
      <x:c r="I206" s="13" t="str">
        <x:v>Parent-city centroid (map visualization; use Maps search for clinic door)</x:v>
      </x:c>
      <x:c r="J206" s="13" t="str">
        <x:v>Official contact-page-listed</x:v>
      </x:c>
      <x:c r="K206" s="13" t="str">
        <x:v>https://www.gaudiumivfcentre.com/contact</x:v>
      </x:c>
      <x:c r="L206" s="13" t="str">
        <x:v>https://www.gaudiumivfcentre.com/</x:v>
      </x:c>
      <x:c r="M206" s="13" t="str">
        <x:v>https://www.google.com/maps/search/?api=1&amp;query=Gaudium%20IVF%20Gaudium%20Bawa%20IVF%20Centre%2C%20Bawa%20Hospital%20Premises%2C%20Near%20Old%20Dandi%20Swami%20Mandir%2C%20Civil%20Lines%2C%20Ludhiana%20-%20141001%2C%20India</x:v>
      </x:c>
      <x:c r="N206" s="13" t="str">
        <x:v>One of seven Indian locations explicitly named on the official site. Homepage claims 36 centres across six states/UTs.</x:v>
      </x:c>
    </x:row>
    <x:row r="207">
      <x:c r="A207" s="13" t="str">
        <x:v>Gaudium IVF</x:v>
      </x:c>
      <x:c r="B207" s="13" t="str">
        <x:v>Hyderpora</x:v>
      </x:c>
      <x:c r="C207" s="13" t="str">
        <x:v>Srinagar</x:v>
      </x:c>
      <x:c r="D207" s="13" t="str">
        <x:v>Jammu and Kashmir</x:v>
      </x:c>
      <x:c r="E207" s="13" t="str">
        <x:v>M A Plaza, Ground Floor, IG Road Main Chowk, Hyderpora, Opposite Jamia Masjid, Srinagar, Kashmir - 190014, India</x:v>
      </x:c>
      <x:c r="F207" s="13" t="str">
        <x:v>Full street address from official contact page</x:v>
      </x:c>
      <x:c r="G207" s="16" t="n">
        <x:v>34.08565</x:v>
      </x:c>
      <x:c r="H207" s="16" t="n">
        <x:v>74.80555</x:v>
      </x:c>
      <x:c r="I207" s="13" t="str">
        <x:v>Parent-city centroid (map visualization; use Maps search for clinic door)</x:v>
      </x:c>
      <x:c r="J207" s="13" t="str">
        <x:v>Official contact-page-listed</x:v>
      </x:c>
      <x:c r="K207" s="13" t="str">
        <x:v>https://www.gaudiumivfcentre.com/contact</x:v>
      </x:c>
      <x:c r="L207" s="13" t="str">
        <x:v>https://www.gaudiumivfcentre.com/</x:v>
      </x:c>
      <x:c r="M207" s="13" t="str">
        <x:v>https://www.google.com/maps/search/?api=1&amp;query=Gaudium%20IVF%20M%20A%20Plaza%2C%20Ground%20Floor%2C%20IG%20Road%20Main%20Chowk%2C%20Hyderpora%2C%20Opposite%20Jamia%20Masjid%2C%20Srinagar%2C%20Kashmir%20-%20190014%2C%20India</x:v>
      </x:c>
      <x:c r="N207" s="13" t="str">
        <x:v>One of seven Indian locations explicitly named on the official site. Homepage claims 36 centres across six states/UTs.</x:v>
      </x:c>
    </x:row>
  </x:sheetData>
  <x:conditionalFormatting sqref="A2:A207">
    <x:cfRule type="expression" dxfId="0" priority="1">
      <x:formula>A2="Indira IVF"</x:formula>
    </x:cfRule>
    <x:cfRule type="expression" dxfId="1" priority="2">
      <x:formula>A2="Gaudium IVF"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8e9f3f8dff4a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48" hidden="0" customWidth="1"/>
    <x:col min="6" max="6" width="62" hidden="0" customWidth="1"/>
  </x:cols>
  <x:sheetData>
    <x:row r="1" ht="28" customHeight="1">
      <x:c r="A1" s="72" t="str">
        <x:v>Website Claim vs Public Location-Level Disclosure</x:v>
      </x:c>
      <x:c r="B1" s="72"/>
      <x:c r="C1" s="72"/>
      <x:c r="D1" s="72"/>
      <x:c r="E1" s="72"/>
      <x:c r="F1" s="72"/>
    </x:row>
    <x:row r="3">
      <x:c r="A3" s="33" t="str">
        <x:v>Brand</x:v>
      </x:c>
      <x:c r="B3" s="33" t="str">
        <x:v>Headline Network Claim</x:v>
      </x:c>
      <x:c r="C3" s="33" t="str">
        <x:v>Publicly Named / Sitemap-Listed</x:v>
      </x:c>
      <x:c r="D3" s="33" t="str">
        <x:v>Disclosure Gap</x:v>
      </x:c>
      <x:c r="E3" s="33" t="str">
        <x:v>Primary Evidence</x:v>
      </x:c>
      <x:c r="F3" s="33" t="str">
        <x:v>Analytical Note</x:v>
      </x:c>
    </x:row>
    <x:row r="4">
      <x:c r="A4" s="12" t="str">
        <x:v>Indira IVF</x:v>
      </x:c>
      <x:c r="B4" s="74" t="n">
        <x:v>210</x:v>
      </x:c>
      <x:c r="C4" s="74" t="n">
        <x:v>199</x:v>
      </x:c>
      <x:c r="D4" s="78" t="n">
        <x:f>B4-C4</x:f>
        <x:v>11</x:v>
      </x:c>
      <x:c r="E4" s="12" t="str">
        <x:v>https://www.indiraivf.com/ivf-center-in-india | https://www.indiraivf.com/sitemap</x:v>
      </x:c>
      <x:c r="F4" s="12" t="str">
        <x:v>The directory states 210 centres, while the official sitemap exposes 199 centre-specific pages. The workbook maps the 199 individually disclosed pages.</x:v>
      </x:c>
    </x:row>
    <x:row r="5">
      <x:c r="A5" s="12" t="str">
        <x:v>Gaudium IVF</x:v>
      </x:c>
      <x:c r="B5" s="74" t="n">
        <x:v>36</x:v>
      </x:c>
      <x:c r="C5" s="74" t="n">
        <x:v>7</x:v>
      </x:c>
      <x:c r="D5" s="78" t="n">
        <x:f>B5-C5</x:f>
        <x:v>29</x:v>
      </x:c>
      <x:c r="E5" s="12" t="str">
        <x:v>https://www.gaudiumivfcentre.com/ | https://www.gaudiumivfcentre.com/contact</x:v>
      </x:c>
      <x:c r="F5" s="12" t="str">
        <x:v>The homepage claims 36 centres across six states/UTs, but the official site explicitly names seven Indian clinic locations. The workbook maps those seven.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8" hidden="0" customWidth="1"/>
    <x:col min="4" max="4" width="48" hidden="0" customWidth="1"/>
  </x:cols>
  <x:sheetData>
    <x:row r="1" ht="28" customHeight="1">
      <x:c r="A1" s="72" t="str">
        <x:v>Data Dictionary and Audit Trail</x:v>
      </x:c>
      <x:c r="B1" s="72"/>
      <x:c r="C1" s="72"/>
      <x:c r="D1" s="72"/>
    </x:row>
    <x:row r="3">
      <x:c r="A3" s="82" t="str">
        <x:v>Field</x:v>
      </x:c>
      <x:c r="B3" s="82" t="str">
        <x:v>Definition</x:v>
      </x:c>
      <x:c r="C3" s="82" t="str">
        <x:v>Method / Source</x:v>
      </x:c>
      <x:c r="D3" s="82" t="str">
        <x:v>Limitations</x:v>
      </x:c>
    </x:row>
    <x:row r="4">
      <x:c r="A4" s="13" t="str">
        <x:v>Brand</x:v>
      </x:c>
      <x:c r="B4" s="13" t="str">
        <x:v>Clinic chain</x:v>
      </x:c>
      <x:c r="C4" s="13" t="str">
        <x:v>Official brand website</x:v>
      </x:c>
      <x:c r="D4" s="13" t="str">
        <x:v>None</x:v>
      </x:c>
    </x:row>
    <x:row r="5">
      <x:c r="A5" s="13" t="str">
        <x:v>Centre / Locality</x:v>
      </x:c>
      <x:c r="B5" s="13" t="str">
        <x:v>Centre-page title or named clinic locality</x:v>
      </x:c>
      <x:c r="C5" s="13" t="str">
        <x:v>Indira official sitemap; Gaudium official contact page</x:v>
      </x:c>
      <x:c r="D5" s="13" t="str">
        <x:v>May not equal legal entity or hospital name</x:v>
      </x:c>
    </x:row>
    <x:row r="6">
      <x:c r="A6" s="13" t="str">
        <x:v>Parent City</x:v>
      </x:c>
      <x:c r="B6" s="13" t="str">
        <x:v>Normalized city used for aggregation</x:v>
      </x:c>
      <x:c r="C6" s="13" t="str">
        <x:v>Manual geographic normalization</x:v>
      </x:c>
      <x:c r="D6" s="13" t="str">
        <x:v>Suburban/locality centres are rolled into the parent city</x:v>
      </x:c>
    </x:row>
    <x:row r="7">
      <x:c r="A7" s="13" t="str">
        <x:v>State / UT</x:v>
      </x:c>
      <x:c r="B7" s="13" t="str">
        <x:v>Indian state or union territory</x:v>
      </x:c>
      <x:c r="C7" s="13" t="str">
        <x:v>Manual geographic normalization</x:v>
      </x:c>
      <x:c r="D7" s="13" t="str">
        <x:v>Delhi and Jammu &amp; Kashmir treated as UT-level geographies</x:v>
      </x:c>
    </x:row>
    <x:row r="8">
      <x:c r="A8" s="13" t="str">
        <x:v>Normalized Address / Location</x:v>
      </x:c>
      <x:c r="B8" s="13" t="str">
        <x:v>Best structured location string available</x:v>
      </x:c>
      <x:c r="C8" s="13" t="str">
        <x:v>Full official address for Gaudium; locality/city normalization for Indira</x:v>
      </x:c>
      <x:c r="D8" s="13" t="str">
        <x:v>Indira's sitemap does not bulk-publish all street addresses</x:v>
      </x:c>
    </x:row>
    <x:row r="9">
      <x:c r="A9" s="13" t="str">
        <x:v>Latitude / Longitude</x:v>
      </x:c>
      <x:c r="B9" s="13" t="str">
        <x:v>Coordinate used in the national map</x:v>
      </x:c>
      <x:c r="C9" s="13" t="str">
        <x:v>Parent-city centroid</x:v>
      </x:c>
      <x:c r="D9" s="13" t="str">
        <x:v>Not a clinic-door geocode; overlapping centres share the same city centroid</x:v>
      </x:c>
    </x:row>
    <x:row r="10">
      <x:c r="A10" s="13" t="str">
        <x:v>Official Source URL</x:v>
      </x:c>
      <x:c r="B10" s="13" t="str">
        <x:v>Page supporting the row's inclusion</x:v>
      </x:c>
      <x:c r="C10" s="13" t="str">
        <x:v>Official brand website</x:v>
      </x:c>
      <x:c r="D10" s="13" t="str">
        <x:v>Indira rows cite the common official sitemap</x:v>
      </x:c>
    </x:row>
    <x:row r="11">
      <x:c r="A11" s="13" t="str">
        <x:v>Google Maps Search URL</x:v>
      </x:c>
      <x:c r="B11" s="13" t="str">
        <x:v>Search query for door-level navigation</x:v>
      </x:c>
      <x:c r="C11" s="13" t="str">
        <x:v>Generated from brand, locality, city and state/address</x:v>
      </x:c>
      <x:c r="D11" s="13" t="str">
        <x:v>Search results should be checked before travel</x:v>
      </x:c>
    </x:row>
    <x:row r="12">
      <x:c r="A12" s="13" t="str">
        <x:v>Verification Status</x:v>
      </x:c>
      <x:c r="B12" s="13" t="str">
        <x:v>Level of website evidence</x:v>
      </x:c>
      <x:c r="C12" s="13" t="str">
        <x:v>Official sitemap-listed or official contact-page-listed</x:v>
      </x:c>
      <x:c r="D12" s="13" t="str">
        <x:v>Does not confirm current operating status on the date of visit</x:v>
      </x:c>
    </x:row>
  </x:sheetData>
  <x:mergeCells>
    <x:mergeCell ref="A1:D1"/>
  </x:mergeCells>
  <x:pageMargins left="0.7" right="0.7" top="0.75" bottom="0.75" header="0.3" footer="0.3"/>
</x:worksheet>
</file>