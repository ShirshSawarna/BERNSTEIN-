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29eccba3c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Model" sheetId="1" r:id="Rd1acd0ac8f45465b"/>
    <x:sheet xmlns:r="http://schemas.openxmlformats.org/officeDocument/2006/relationships" name="Assumptions" sheetId="2" r:id="R9346e27734044cb1"/>
    <x:sheet xmlns:r="http://schemas.openxmlformats.org/officeDocument/2006/relationships" name="Drug Primer" sheetId="3" r:id="R775890ce8abe40d6"/>
    <x:sheet xmlns:r="http://schemas.openxmlformats.org/officeDocument/2006/relationships" name="Schedules" sheetId="4" r:id="Rc9a52766d1a64e5d"/>
    <x:sheet xmlns:r="http://schemas.openxmlformats.org/officeDocument/2006/relationships" name="P&amp;L" sheetId="6" r:id="Rf16d6de6cae74066"/>
    <x:sheet xmlns:r="http://schemas.openxmlformats.org/officeDocument/2006/relationships" name="Cash Flow" sheetId="7" r:id="R8384bbc7bd684296"/>
    <x:sheet xmlns:r="http://schemas.openxmlformats.org/officeDocument/2006/relationships" name="Balance Sheet" sheetId="8" r:id="R6ebdb48e8ed94d25"/>
  </x:sheets>
</x:workbook>
</file>

<file path=xl/sharedStrings.xml><?xml version="1.0" encoding="utf-8"?>
<x:sst xmlns:x="http://schemas.openxmlformats.org/spreadsheetml/2006/main">
  <x:si>
    <x:t xml:space="preserve">Pfizer Limited bottoms-up revenue model</x:t>
  </x:si>
  <x:si>
    <x:t xml:space="preserve">INR million. FY23-FY26 are historical estimates reconciled to reported totals. FY27 Q1 is reported at company level and estimated by product.</x:t>
  </x:si>
  <x:si>
    <x:t xml:space="preserve">Blue: hardcodes</x:t>
  </x:si>
  <x:si>
    <x:t xml:space="preserve">Black: formulas</x:t>
  </x:si>
  <x:si>
    <x:t xml:space="preserve">Green: cross-sheet</x:t>
  </x:si>
  <x:si>
    <x:t xml:space="preserve">Company revenue summary</x:t>
  </x:si>
  <x:si>
    <x:t xml:space="preserve">Therapy / line item</x:t>
  </x:si>
  <x:si>
    <x:t xml:space="preserve">Brand</x:t>
  </x:si>
  <x:si>
    <x:t xml:space="preserve">FY23A</x:t>
  </x:si>
  <x:si>
    <x:t xml:space="preserve">FY24A</x:t>
  </x:si>
  <x:si>
    <x:t xml:space="preserve">FY25A</x:t>
  </x:si>
  <x:si>
    <x:t xml:space="preserve">FY26A</x:t>
  </x:si>
  <x:si>
    <x:t xml:space="preserve">Q1 FY27</x:t>
  </x:si>
  <x:si>
    <x:t xml:space="preserve">Q2 FY27E</x:t>
  </x:si>
  <x:si>
    <x:t xml:space="preserve">Q3 FY27E</x:t>
  </x:si>
  <x:si>
    <x:t xml:space="preserve">Q4 FY27E</x:t>
  </x:si>
  <x:si>
    <x:t xml:space="preserve">FY27E</x:t>
  </x:si>
  <x:si>
    <x:t xml:space="preserve">Q1 FY28E</x:t>
  </x:si>
  <x:si>
    <x:t xml:space="preserve">Q2 FY28E</x:t>
  </x:si>
  <x:si>
    <x:t xml:space="preserve">Q3 FY28E</x:t>
  </x:si>
  <x:si>
    <x:t xml:space="preserve">Q4 FY28E</x:t>
  </x:si>
  <x:si>
    <x:t xml:space="preserve">FY28E</x:t>
  </x:si>
  <x:si>
    <x:t xml:space="preserve">FY29E</x:t>
  </x:si>
  <x:si>
    <x:t xml:space="preserve">FY30E</x:t>
  </x:si>
  <x:si>
    <x:t xml:space="preserve">FY31E</x:t>
  </x:si>
  <x:si>
    <x:t xml:space="preserve">FY32E</x:t>
  </x:si>
  <x:si>
    <x:t xml:space="preserve">FY33E</x:t>
  </x:si>
  <x:si>
    <x:t xml:space="preserve">FY34E</x:t>
  </x:si>
  <x:si>
    <x:t xml:space="preserve">FY35E</x:t>
  </x:si>
  <x:si>
    <x:t xml:space="preserve">Product revenue</x:t>
  </x:si>
  <x:si>
    <x:t xml:space="preserve">Service revenue</x:t>
  </x:si>
  <x:si>
    <x:t xml:space="preserve">Other operating revenue</x:t>
  </x:si>
  <x:si>
    <x:t xml:space="preserve">Revenue from operations</x:t>
  </x:si>
  <x:si>
    <x:t xml:space="preserve">Growth</x:t>
  </x:si>
  <x:si>
    <x:t xml:space="preserve">Product revenue by therapy and brand</x:t>
  </x:si>
  <x:si>
    <x:t xml:space="preserve">Vaccines</x:t>
  </x:si>
  <x:si>
    <x:t xml:space="preserve">Prevenar 13</x:t>
  </x:si>
  <x:si>
    <x:t xml:space="preserve">Prevenar 20</x:t>
  </x:si>
  <x:si>
    <x:t xml:space="preserve">Other vaccines</x:t>
  </x:si>
  <x:si>
    <x:t xml:space="preserve">Abrysvo (pipeline)</x:t>
  </x:si>
  <x:si>
    <x:t xml:space="preserve">Subtotal</x:t>
  </x:si>
  <x:si>
    <x:t xml:space="preserve">Anti-infectives and hospital products</x:t>
  </x:si>
  <x:si>
    <x:t xml:space="preserve">Magnex</x:t>
  </x:si>
  <x:si>
    <x:t xml:space="preserve">Meronem</x:t>
  </x:si>
  <x:si>
    <x:t xml:space="preserve">Zavicefta</x:t>
  </x:si>
  <x:si>
    <x:t xml:space="preserve">Zithromax</x:t>
  </x:si>
  <x:si>
    <x:t xml:space="preserve">Emblaveo</x:t>
  </x:si>
  <x:si>
    <x:t xml:space="preserve">Other hospital and anti-infective products</x:t>
  </x:si>
  <x:si>
    <x:t xml:space="preserve">Cardiovascular and anticoagulation</x:t>
  </x:si>
  <x:si>
    <x:t xml:space="preserve">Eliquis</x:t>
  </x:si>
  <x:si>
    <x:t xml:space="preserve">Minipress XL</x:t>
  </x:si>
  <x:si>
    <x:t xml:space="preserve">Amlogard</x:t>
  </x:si>
  <x:si>
    <x:t xml:space="preserve">Other cardiovascular products</x:t>
  </x:si>
  <x:si>
    <x:t xml:space="preserve">Vitamins and nutritional products</x:t>
  </x:si>
  <x:si>
    <x:t xml:space="preserve">Becosules</x:t>
  </x:si>
  <x:si>
    <x:t xml:space="preserve">Other nutritional products</x:t>
  </x:si>
  <x:si>
    <x:t xml:space="preserve">Gastrointestinal</x:t>
  </x:si>
  <x:si>
    <x:t xml:space="preserve">Mucaine</x:t>
  </x:si>
  <x:si>
    <x:t xml:space="preserve">Gelusil-MPS</x:t>
  </x:si>
  <x:si>
    <x:t xml:space="preserve">Neksium</x:t>
  </x:si>
  <x:si>
    <x:t xml:space="preserve">Other gastrointestinal products</x:t>
  </x:si>
  <x:si>
    <x:t xml:space="preserve">Respiratory and cough</x:t>
  </x:si>
  <x:si>
    <x:t xml:space="preserve">Corex DX</x:t>
  </x:si>
  <x:si>
    <x:t xml:space="preserve">Corex LS</x:t>
  </x:si>
  <x:si>
    <x:t xml:space="preserve">Other respiratory products</x:t>
  </x:si>
  <x:si>
    <x:t xml:space="preserve">Pain, inflammation and immunology</x:t>
  </x:si>
  <x:si>
    <x:t xml:space="preserve">Dolonex</x:t>
  </x:si>
  <x:si>
    <x:t xml:space="preserve">Enbrel</x:t>
  </x:si>
  <x:si>
    <x:t xml:space="preserve">Betrecep</x:t>
  </x:si>
  <x:si>
    <x:t xml:space="preserve">Other pain and immunology products</x:t>
  </x:si>
  <x:si>
    <x:t xml:space="preserve">Women's health and endocrine</x:t>
  </x:si>
  <x:si>
    <x:t xml:space="preserve">Premarin franchise</x:t>
  </x:si>
  <x:si>
    <x:t xml:space="preserve">Folvite / folic-acid combinations</x:t>
  </x:si>
  <x:si>
    <x:t xml:space="preserve">Oral contraceptive brands</x:t>
  </x:si>
  <x:si>
    <x:t xml:space="preserve">Other women’s-health products</x:t>
  </x:si>
  <x:si>
    <x:t xml:space="preserve">CNS and migraine</x:t>
  </x:si>
  <x:si>
    <x:t xml:space="preserve">Nurtec</x:t>
  </x:si>
  <x:si>
    <x:t xml:space="preserve">Other CNS products</x:t>
  </x:si>
  <x:si>
    <x:t xml:space="preserve">Other established products</x:t>
  </x:si>
  <x:si>
    <x:t xml:space="preserve">Total pharmaceutical product revenue</x:t>
  </x:si>
  <x:si>
    <x:t xml:space="preserve">Model checks</x:t>
  </x:si>
  <x:si>
    <x:t xml:space="preserve">Historical product-revenue difference</x:t>
  </x:si>
  <x:si>
    <x:t xml:space="preserve">FY27 annual less quarters</x:t>
  </x:si>
  <x:si>
    <x:t xml:space="preserve">FY28 annual less quarters</x:t>
  </x:si>
  <x:si>
    <x:t xml:space="preserve">PPIPL products included</x:t>
  </x:si>
  <x:si>
    <x:t xml:space="preserve">Pfizer Limited revenue assumptions</x:t>
  </x:si>
  <x:si>
    <x:t xml:space="preserve">INR million unless stated. Blue font and pale-yellow fill are editable inputs. Black cells are same-sheet formulas.</x:t>
  </x:si>
  <x:si>
    <x:t xml:space="preserve">Legend</x:t>
  </x:si>
  <x:si>
    <x:t xml:space="preserve">Hardcode</x:t>
  </x:si>
  <x:si>
    <x:t xml:space="preserve">Formula</x:t>
  </x:si>
  <x:si>
    <x:t xml:space="preserve">Cross-sheet link</x:t>
  </x:si>
  <x:si>
    <x:t xml:space="preserve">Reported company revenue anchors</x:t>
  </x:si>
  <x:si>
    <x:t xml:space="preserve">Metric</x:t>
  </x:si>
  <x:si>
    <x:t xml:space="preserve">Product forecast drivers</x:t>
  </x:si>
  <x:si>
    <x:t xml:space="preserve">Therapy</x:t>
  </x:si>
  <x:si>
    <x:t xml:space="preserve">Net growth FY27-FY30</x:t>
  </x:si>
  <x:si>
    <x:t xml:space="preserve">Net growth FY31-FY35</x:t>
  </x:si>
  <x:si>
    <x:t xml:space="preserve">FY27 factor</x:t>
  </x:si>
  <x:si>
    <x:t xml:space="preserve">FY28+ factor</x:t>
  </x:si>
  <x:si>
    <x:t xml:space="preserve">FY27 Q1 estimate</x:t>
  </x:si>
  <x:si>
    <x:t xml:space="preserve">Quarterly profile</x:t>
  </x:si>
  <x:si>
    <x:t xml:space="preserve">Q1 %</x:t>
  </x:si>
  <x:si>
    <x:t xml:space="preserve">Q2 %</x:t>
  </x:si>
  <x:si>
    <x:t xml:space="preserve">Q3 %</x:t>
  </x:si>
  <x:si>
    <x:t xml:space="preserve">Q4 %</x:t>
  </x:si>
  <x:si>
    <x:t xml:space="preserve">Rationale</x:t>
  </x:si>
  <x:si>
    <x:t xml:space="preserve">Mature PCV franchise; modelled with cannibalisation from Prevenar 20.</x:t>
  </x:si>
  <x:si>
    <x:t xml:space="preserve">Launch ramp; adult immunisation, affordability and internal franchise cannibalisation.</x:t>
  </x:si>
  <x:si>
    <x:t xml:space="preserve">Residual vaccine portfolio.</x:t>
  </x:si>
  <x:si>
    <x:t xml:space="preserve">Only future pipeline line included in the base case; linked to the pipeline assumptions below.</x:t>
  </x:si>
  <x:si>
    <x:t xml:space="preserve">Hospital</x:t>
  </x:si>
  <x:si>
    <x:t xml:space="preserve">FY24 historical estimate reflects voluntary recall/supply disruption; subsequent recovery.</x:t>
  </x:si>
  <x:si>
    <x:t xml:space="preserve">Hospital anti-infective; institutional exposure.</x:t>
  </x:si>
  <x:si>
    <x:t xml:space="preserve">42% market share MAT Mar-26 in represented ceftazidime-avibactam market.</x:t>
  </x:si>
  <x:si>
    <x:t xml:space="preserve">Mature anti-infective; generic pressure. Azithromycin formulations are scheduled under NLEM 2022, limiting unrestricted price/mix.</x:t>
  </x:si>
  <x:si>
    <x:t xml:space="preserve">ICU launch ramp; MDR Gram-negative infections.</x:t>
  </x:si>
  <x:si>
    <x:t xml:space="preserve">Residual hospital portfolio; includes smaller anti-infectives.</x:t>
  </x:si>
  <x:si>
    <x:t xml:space="preserve">Chronic</x:t>
  </x:si>
  <x:si>
    <x:t xml:space="preserve">FY26 estimate anchored to company-disclosed 30% YoY growth; post-2022 LOE/generic pressure incorporated in forecast.</x:t>
  </x:si>
  <x:si>
    <x:t xml:space="preserve">Exit</x:t>
  </x:si>
  <x:si>
    <x:t xml:space="preserve">FY27 Q2 prorated to 7-Sep-26; zero from FY28. Compensation excluded from operating revenue.</x:t>
  </x:si>
  <x:si>
    <x:t xml:space="preserve">Historical FY23 estimate covers only Apr-Jul 2022 pre-transfer; no revenue thereafter.</x:t>
  </x:si>
  <x:si>
    <x:t xml:space="preserve">Residual listed-company cardiovascular portfolio.</x:t>
  </x:si>
  <x:si>
    <x:t xml:space="preserve">Primary</x:t>
  </x:si>
  <x:si>
    <x:t xml:space="preserve">Mature brand with distribution/packaging support; no innovation-like growth.</x:t>
  </x:si>
  <x:si>
    <x:t xml:space="preserve">Residual nutritional portfolio.</x:t>
  </x:si>
  <x:si>
    <x:t xml:space="preserve">Mature GI franchise.</x:t>
  </x:si>
  <x:si>
    <x:t xml:space="preserve">Mature OTC-oriented GI brand.</x:t>
  </x:si>
  <x:si>
    <x:t xml:space="preserve">Cipla transition factor applied in FY27; volume growth assumption captures broader reach.</x:t>
  </x:si>
  <x:si>
    <x:t xml:space="preserve">Residual listed-company GI portfolio.</x:t>
  </x:si>
  <x:si>
    <x:t xml:space="preserve">Cipla transition factor applied in FY27.</x:t>
  </x:si>
  <x:si>
    <x:t xml:space="preserve">Residual respiratory portfolio.</x:t>
  </x:si>
  <x:si>
    <x:t xml:space="preserve">Mature TNF inhibitor with competitive/biosimilar pressure.</x:t>
  </x:si>
  <x:si>
    <x:t xml:space="preserve">India-specific access launch; ranked #6 in &gt;85-brand market MAT Mar-26.</x:t>
  </x:si>
  <x:si>
    <x:t xml:space="preserve">Includes smaller listed-company I&amp;I/pain products; Cibinqo is not separately material in available data.</x:t>
  </x:si>
  <x:si>
    <x:t xml:space="preserve">Mature women’s-health franchise.</x:t>
  </x:si>
  <x:si>
    <x:t xml:space="preserve">Market-leading represented folic-acid category positioning.</x:t>
  </x:si>
  <x:si>
    <x:t xml:space="preserve">Ovral L plus other listed-company oral contraceptives.</x:t>
  </x:si>
  <x:si>
    <x:t xml:space="preserve">Residual women’s-health portfolio.</x:t>
  </x:si>
  <x:si>
    <x:t xml:space="preserve">FY26 launch; specialist adoption ramp from low base.</x:t>
  </x:si>
  <x:si>
    <x:t xml:space="preserve">Residual CNS products; excludes transferred Upjohn brands after Aug-22.</x:t>
  </x:si>
  <x:si>
    <x:t xml:space="preserve">Balancing row captures &gt;150-product long tail and pre-Aug-22 Upjohn revenue in FY23; historical formula reconciles exactly to audited product revenue.</x:t>
  </x:si>
  <x:si>
    <x:t xml:space="preserve">Quarterly profiles</x:t>
  </x:si>
  <x:si>
    <x:t xml:space="preserve">Profile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</x:si>
  <x:si>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</x:si>
  <x:si>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</x:si>
  <x:si>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</x:si>
  <x:si>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</x:si>
  <x:si>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Services</x:t>
  </x:si>
  <x:si>
    <x:t xml:space="preserve">Service and other operating revenue</x:t>
  </x:si>
  <x:si>
    <x:t xml:space="preserve">Line item</x:t>
  </x:si>
  <x:si>
    <x:t xml:space="preserve">FY27-FY35 growth</x:t>
  </x:si>
  <x:si>
    <x:t xml:space="preserve">Pipeline included in the base case</x:t>
  </x:si>
  <x:si>
    <x:t xml:space="preserve">Candidate</x:t>
  </x:si>
  <x:si>
    <x:t xml:space="preserve">Launch year</x:t>
  </x:si>
  <x:si>
    <x:t xml:space="preserve">Risk-adjusted peak sales</x:t>
  </x:si>
  <x:si>
    <x:t xml:space="preserve">FY29</x:t>
  </x:si>
  <x:si>
    <x:t xml:space="preserve">FY30</x:t>
  </x:si>
  <x:si>
    <x:t xml:space="preserve">FY31</x:t>
  </x:si>
  <x:si>
    <x:t xml:space="preserve">FY32</x:t>
  </x:si>
  <x:si>
    <x:t xml:space="preserve">FY33</x:t>
  </x:si>
  <x:si>
    <x:t xml:space="preserve">FY34</x:t>
  </x:si>
  <x:si>
    <x:t xml:space="preserve">FY35</x:t>
  </x:si>
  <x:si>
    <x:t xml:space="preserve">Listed economics probability</x:t>
  </x:si>
  <x:si>
    <x:t xml:space="preserve">Basis</x:t>
  </x:si>
  <x:si>
    <x:t xml:space="preserve">Abrysvo</x:t>
  </x:si>
  <x:si>
    <x:t xml:space="preserve">India Phase 3 sponsored by Pfizer Limited; launch timing remains an analyst estimate.</x:t>
  </x:si>
  <x:si>
    <x:t xml:space="preserve">Key sources and modelling conventions</x:t>
  </x:si>
  <x:si>
    <x:t xml:space="preserve">Source</x:t>
  </x:si>
  <x:si>
    <x:t xml:space="preserve">Use in model</x:t>
  </x:si>
  <x:si>
    <x:t xml:space="preserve">Reference</x:t>
  </x:si>
  <x:si>
    <x:t xml:space="preserve">FY26 Annual Report</x:t>
  </x:si>
  <x:si>
    <x:t xml:space="preserve">Audited product, service and operating revenue; product launches and portfolio commentary.</x:t>
  </x:si>
  <x:si>
    <x:t xml:space="preserve">https://www.pfizerltd.co.in/files/Pfizer_Limited_-_Annual_Report_FY_2026.pdf</x:t>
  </x:si>
  <x:si>
    <x:t xml:space="preserve">Q1 FY27 result</x:t>
  </x:si>
  <x:si>
    <x:t xml:space="preserve">Reported revenue from operations of INR6,531.7 million.</x:t>
  </x:si>
  <x:si>
    <x:t xml:space="preserve">https://www.pfizerltd.co.in/files/Stock_Exchange_Intimation_-Outcome_of_the_Board_Meeting_28072026_final.pdf</x:t>
  </x:si>
  <x:si>
    <x:t xml:space="preserve">IQVIA MAT June 2026</x:t>
  </x:si>
  <x:si>
    <x:t xml:space="preserve">Market sell-out anchors. Brand revenue is converted to estimated manufacturer net revenue and reconciled to audited totals.</x:t>
  </x:si>
  <x:si>
    <x:t xml:space="preserve">Uploaded / task-provided market data</x:t>
  </x:si>
  <x:si>
    <x:t xml:space="preserve">Minipress filing</x:t>
  </x:si>
  <x:si>
    <x:t xml:space="preserve">Marketing discontinued from 7 September 2026. Compensation is excluded from operating revenue.</x:t>
  </x:si>
  <x:si>
    <x:t xml:space="preserve">https://www.pfizerltd.co.in/files/Stock_Exchange_Intimation_-_Outcome_of_the_Board_Meeting_07092026.pdf</x:t>
  </x:si>
  <x:si>
    <x:t xml:space="preserve">Cipla arrangement</x:t>
  </x:si>
  <x:si>
    <x:t xml:space="preserve">Corex DX, Corex LS, Dolonex and Neksium remain in listed-company supply economics under an undisclosed commercial structure.</x:t>
  </x:si>
  <x:si>
    <x:t xml:space="preserve">Pfizer FY26 Annual Report and Cipla filing dated 19 December 2025</x:t>
  </x:si>
  <x:si>
    <x:t xml:space="preserve">Pipeline rule</x:t>
  </x:si>
  <x:si>
    <x:t xml:space="preserve">Only products with credible listed-company economics enter the model. PPIPL products and uncertain global assets are excluded.</x:t>
  </x:si>
  <x:si>
    <x:t xml:space="preserve">CTRI, CDSCO, ClinicalTrials.gov and Pfizer disclosures</x:t>
  </x:si>
  <x:si>
    <x:t xml:space="preserve">Pfizer India drug primer</x:t>
  </x:si>
  <x:si>
    <x:t xml:space="preserve">Reference sheet only. It does not feed the revenue model. Listed and private-entity products are separated below.</x:t>
  </x:si>
  <x:si>
    <x:t xml:space="preserve">Products included in the listed-company model</x:t>
  </x:si>
  <x:si>
    <x:t xml:space="preserve">Molecule</x:t>
  </x:si>
  <x:si>
    <x:t xml:space="preserve">What it is</x:t>
  </x:si>
  <x:si>
    <x:t xml:space="preserve">What it treats</x:t>
  </x:si>
  <x:si>
    <x:t xml:space="preserve">Typical prescriber / patient</x:t>
  </x:si>
  <x:si>
    <x:t xml:space="preserve">Use</x:t>
  </x:si>
  <x:si>
    <x:t xml:space="preserve">Channel</x:t>
  </x:si>
  <x:si>
    <x:t xml:space="preserve">Portfolio role</x:t>
  </x:si>
  <x:si>
    <x:t xml:space="preserve">Ownership note</x:t>
  </x:si>
  <x:si>
    <x:t xml:space="preserve">13-valent pneumococcal conjugate vaccine</x:t>
  </x:si>
  <x:si>
    <x:t xml:space="preserve">Conjugate vaccine covering 13 pneumococcal serotypes</x:t>
  </x:si>
  <x:si>
    <x:t xml:space="preserve">Pneumococcal disease prevention</x:t>
  </x:si>
  <x:si>
    <x:t xml:space="preserve">Paediatricians and physicians; children and adults</x:t>
  </x:si>
  <x:si>
    <x:t xml:space="preserve">Short vaccination schedule</x:t>
  </x:si>
  <x:si>
    <x:t xml:space="preserve">Private clinics and hospitals</x:t>
  </x:si>
  <x:si>
    <x:t xml:space="preserve">Mature vaccine franchise</x:t>
  </x:si>
  <x:si>
    <x:t xml:space="preserve">Listed Pfizer marketer</x:t>
  </x:si>
  <x:si>
    <x:t xml:space="preserve">20-valent pneumococcal conjugate vaccine</x:t>
  </x:si>
  <x:si>
    <x:t xml:space="preserve">Broader-valency pneumococcal conjugate vaccine</x:t>
  </x:si>
  <x:si>
    <x:t xml:space="preserve">Physicians; mainly adult private-pay patients</x:t>
  </x:si>
  <x:si>
    <x:t xml:space="preserve">Core vaccine growth product</x:t>
  </x:si>
  <x:si>
    <x:t xml:space="preserve">Listed Pfizer launch</x:t>
  </x:si>
  <x:si>
    <x:t xml:space="preserve">Multiple</x:t>
  </x:si>
  <x:si>
    <x:t xml:space="preserve">Portfolio line or residual grouping</x:t>
  </x:si>
  <x:si>
    <x:t xml:space="preserve">Products within Vaccines</x:t>
  </x:si>
  <x:si>
    <x:t xml:space="preserve">Varies by product</x:t>
  </x:si>
  <x:si>
    <x:t xml:space="preserve">Varies</x:t>
  </x:si>
  <x:si>
    <x:t xml:space="preserve">Retail and/or hospitals</x:t>
  </x:si>
  <x:si>
    <x:t xml:space="preserve">Residual portfolio</x:t>
  </x:si>
  <x:si>
    <x:t xml:space="preserve">Included in listed-company model</x:t>
  </x:si>
  <x:si>
    <x:t xml:space="preserve">RSV prefusion F vaccine</x:t>
  </x:si>
  <x:si>
    <x:t xml:space="preserve">Bivalent RSV prefusion F protein vaccine</x:t>
  </x:si>
  <x:si>
    <x:t xml:space="preserve">RSV lower-respiratory-tract disease prevention</x:t>
  </x:si>
  <x:si>
    <x:t xml:space="preserve">Adult physicians; older and at-risk adults</x:t>
  </x:si>
  <x:si>
    <x:t xml:space="preserve">Single vaccination course</x:t>
  </x:si>
  <x:si>
    <x:t xml:space="preserve">Risk-adjusted pipeline</x:t>
  </x:si>
  <x:si>
    <x:t xml:space="preserve">Listed economics plausible but unconfirmed</x:t>
  </x:si>
  <x:si>
    <x:t xml:space="preserve">Cefoperazone + sulbactam</x:t>
  </x:si>
  <x:si>
    <x:t xml:space="preserve">Injectable cephalosporin plus beta-lactamase inhibitor</x:t>
  </x:si>
  <x:si>
    <x:t xml:space="preserve">Serious bacterial infections</x:t>
  </x:si>
  <x:si>
    <x:t xml:space="preserve">Hospital physicians; admitted patients</x:t>
  </x:si>
  <x:si>
    <x:t xml:space="preserve">Acute</x:t>
  </x:si>
  <x:si>
    <x:t xml:space="preserve">Hospitals</x:t>
  </x:si>
  <x:si>
    <x:t xml:space="preserve">Hospital growth franchise</x:t>
  </x:si>
  <x:si>
    <x:t xml:space="preserve">Meropenem</x:t>
  </x:si>
  <x:si>
    <x:t xml:space="preserve">Broad-spectrum carbapenem antibiotic</x:t>
  </x:si>
  <x:si>
    <x:t xml:space="preserve">Serious and resistant bacterial infections</x:t>
  </x:si>
  <x:si>
    <x:t xml:space="preserve">Intensivists and hospital physicians</x:t>
  </x:si>
  <x:si>
    <x:t xml:space="preserve">Established hospital brand</x:t>
  </x:si>
  <x:si>
    <x:t xml:space="preserve">Ceftazidime + avibactam</x:t>
  </x:si>
  <x:si>
    <x:t xml:space="preserve">Cephalosporin plus beta-lactamase inhibitor</x:t>
  </x:si>
  <x:si>
    <x:t xml:space="preserve">Resistant Gram-negative infections</x:t>
  </x:si>
  <x:si>
    <x:t xml:space="preserve">Intensivists and infectious-disease specialists</x:t>
  </x:si>
  <x:si>
    <x:t xml:space="preserve">Higher-value hospital growth brand</x:t>
  </x:si>
  <x:si>
    <x:t xml:space="preserve">Azithromycin</x:t>
  </x:si>
  <x:si>
    <x:t xml:space="preserve">Macrolide antibiotic</x:t>
  </x:si>
  <x:si>
    <x:t xml:space="preserve">Selected bacterial respiratory and other infections</x:t>
  </x:si>
  <x:si>
    <x:t xml:space="preserve">General physicians and specialists</x:t>
  </x:si>
  <x:si>
    <x:t xml:space="preserve">Retail and hospitals</x:t>
  </x:si>
  <x:si>
    <x:t xml:space="preserve">Mature anti-infective</x:t>
  </x:si>
  <x:si>
    <x:t xml:space="preserve">Aztreonam + avibactam</x:t>
  </x:si>
  <x:si>
    <x:t xml:space="preserve">Monobactam plus beta-lactamase inhibitor</x:t>
  </x:si>
  <x:si>
    <x:t xml:space="preserve">Difficult multidrug-resistant Gram-negative infections</x:t>
  </x:si>
  <x:si>
    <x:t xml:space="preserve">Infectious-disease specialists and intensivists</x:t>
  </x:si>
  <x:si>
    <x:t xml:space="preserve">Tertiary hospitals</x:t>
  </x:si>
  <x:si>
    <x:t xml:space="preserve">New hospital launch</x:t>
  </x:si>
  <x:si>
    <x:t xml:space="preserve">Products within Anti-infectives and hospital products</x:t>
  </x:si>
  <x:si>
    <x:t xml:space="preserve">Apixaban</x:t>
  </x:si>
  <x:si>
    <x:t xml:space="preserve">Oral factor Xa anticoagulant</x:t>
  </x:si>
  <x:si>
    <x:t xml:space="preserve">Atrial fibrillation and venous thromboembolism</x:t>
  </x:si>
  <x:si>
    <x:t xml:space="preserve">Cardiologists and physicians; chronic patients</x:t>
  </x:si>
  <x:si>
    <x:t xml:space="preserve">Core cardiovascular growth brand</x:t>
  </x:si>
  <x:si>
    <x:t xml:space="preserve">Prazosin extended release</x:t>
  </x:si>
  <x:si>
    <x:t xml:space="preserve">Alpha-1 adrenergic blocker</x:t>
  </x:si>
  <x:si>
    <x:t xml:space="preserve">Hypertension and selected urological symptoms</x:t>
  </x:si>
  <x:si>
    <x:t xml:space="preserve">Physicians and urologists</x:t>
  </x:si>
  <x:si>
    <x:t xml:space="preserve">Retail</x:t>
  </x:si>
  <x:si>
    <x:t xml:space="preserve">Discontinued brand</x:t>
  </x:si>
  <x:si>
    <x:t xml:space="preserve">Listed sales ended 7 September 2026</x:t>
  </x:si>
  <x:si>
    <x:t xml:space="preserve">Amlodipine</x:t>
  </x:si>
  <x:si>
    <x:t xml:space="preserve">Calcium-channel blocker</x:t>
  </x:si>
  <x:si>
    <x:t xml:space="preserve">Hypertension and angina</x:t>
  </x:si>
  <x:si>
    <x:t xml:space="preserve">Physicians and cardiologists</x:t>
  </x:si>
  <x:si>
    <x:t xml:space="preserve">Transferred brand</x:t>
  </x:si>
  <x:si>
    <x:t xml:space="preserve">Transferred to Mylan in August 2022</x:t>
  </x:si>
  <x:si>
    <x:t xml:space="preserve">Products within Cardiovascular and anticoagulation</x:t>
  </x:si>
  <x:si>
    <x:t xml:space="preserve">Vitamin B-complex franchise</x:t>
  </x:si>
  <x:si>
    <x:t xml:space="preserve">Combination vitamin supplement</x:t>
  </x:si>
  <x:si>
    <x:t xml:space="preserve">Vitamin deficiency and supportive care</x:t>
  </x:si>
  <x:si>
    <x:t xml:space="preserve">General physicians and retail consumers</x:t>
  </x:si>
  <x:si>
    <x:t xml:space="preserve">Acute or supportive</x:t>
  </x:si>
  <x:si>
    <x:t xml:space="preserve">Mature cash-generative brand</x:t>
  </x:si>
  <x:si>
    <x:t xml:space="preserve">Products within Vitamins and nutritional products</x:t>
  </x:si>
  <x:si>
    <x:t xml:space="preserve">Oxetacaine + antacid combinations</x:t>
  </x:si>
  <x:si>
    <x:t xml:space="preserve">Antacid with local anaesthetic</x:t>
  </x:si>
  <x:si>
    <x:t xml:space="preserve">Acidity and painful dyspepsia</x:t>
  </x:si>
  <x:si>
    <x:t xml:space="preserve">General physicians and gastroenterologists</x:t>
  </x:si>
  <x:si>
    <x:t xml:space="preserve">Mature gastrointestinal brand</x:t>
  </x:si>
  <x:si>
    <x:t xml:space="preserve">Antacid + simethicone</x:t>
  </x:si>
  <x:si>
    <x:t xml:space="preserve">Antacid and antiflatulent combination</x:t>
  </x:si>
  <x:si>
    <x:t xml:space="preserve">Acidity, indigestion and gas</x:t>
  </x:si>
  <x:si>
    <x:t xml:space="preserve">General physicians and consumers</x:t>
  </x:si>
  <x:si>
    <x:t xml:space="preserve">Esomeprazole</x:t>
  </x:si>
  <x:si>
    <x:t xml:space="preserve">Proton-pump inhibitor</x:t>
  </x:si>
  <x:si>
    <x:t xml:space="preserve">Acid-peptic disease and reflux</x:t>
  </x:si>
  <x:si>
    <x:t xml:space="preserve">Acute or chronic</x:t>
  </x:si>
  <x:si>
    <x:t xml:space="preserve">Cipla-commercialised mature brand</x:t>
  </x:si>
  <x:si>
    <x:t xml:space="preserve">Listed Pfizer supply economics estimated</x:t>
  </x:si>
  <x:si>
    <x:t xml:space="preserve">Products within Gastrointestinal</x:t>
  </x:si>
  <x:si>
    <x:t xml:space="preserve">Dextromethorphan-based cough preparation</x:t>
  </x:si>
  <x:si>
    <x:t xml:space="preserve">Non-opioid antitussive combination</x:t>
  </x:si>
  <x:si>
    <x:t xml:space="preserve">Dry cough</x:t>
  </x:si>
  <x:si>
    <x:t xml:space="preserve">General physicians and retail patients</x:t>
  </x:si>
  <x:si>
    <x:t xml:space="preserve">Ambroxol + guaifenesin + levosalbutamol</x:t>
  </x:si>
  <x:si>
    <x:t xml:space="preserve">Mucolytic, expectorant and bronchodilator combination</x:t>
  </x:si>
  <x:si>
    <x:t xml:space="preserve">Productive cough with bronchospasm</x:t>
  </x:si>
  <x:si>
    <x:t xml:space="preserve">General physicians and pulmonologists</x:t>
  </x:si>
  <x:si>
    <x:t xml:space="preserve">Products within Respiratory and cough</x:t>
  </x:si>
  <x:si>
    <x:t xml:space="preserve">Piroxicam</x:t>
  </x:si>
  <x:si>
    <x:t xml:space="preserve">Non-steroidal anti-inflammatory drug</x:t>
  </x:si>
  <x:si>
    <x:t xml:space="preserve">Pain and inflammatory musculoskeletal conditions</x:t>
  </x:si>
  <x:si>
    <x:t xml:space="preserve">Orthopaedists and general physicians</x:t>
  </x:si>
  <x:si>
    <x:t xml:space="preserve">Acute or episodic</x:t>
  </x:si>
  <x:si>
    <x:t xml:space="preserve">Etanercept</x:t>
  </x:si>
  <x:si>
    <x:t xml:space="preserve">TNF inhibitor biologic</x:t>
  </x:si>
  <x:si>
    <x:t xml:space="preserve">Rheumatoid arthritis, psoriasis and related inflammatory disease</x:t>
  </x:si>
  <x:si>
    <x:t xml:space="preserve">Rheumatologists and dermatologists</x:t>
  </x:si>
  <x:si>
    <x:t xml:space="preserve">Specialty retail and hospitals</x:t>
  </x:si>
  <x:si>
    <x:t xml:space="preserve">Mature immunology biologic</x:t>
  </x:si>
  <x:si>
    <x:t xml:space="preserve">Tofacitinib</x:t>
  </x:si>
  <x:si>
    <x:t xml:space="preserve">Oral JAK inhibitor</x:t>
  </x:si>
  <x:si>
    <x:t xml:space="preserve">Rheumatoid arthritis and selected inflammatory disease</x:t>
  </x:si>
  <x:si>
    <x:t xml:space="preserve">Rheumatologists</x:t>
  </x:si>
  <x:si>
    <x:t xml:space="preserve">Specialty retail</x:t>
  </x:si>
  <x:si>
    <x:t xml:space="preserve">Newer immunology growth product</x:t>
  </x:si>
  <x:si>
    <x:t xml:space="preserve">Multiple (incl. Cibinqo/Wysolone)</x:t>
  </x:si>
  <x:si>
    <x:t xml:space="preserve">Products within Pain, inflammation and immunology</x:t>
  </x:si>
  <x:si>
    <x:t xml:space="preserve">Conjugated estrogens</x:t>
  </x:si>
  <x:si>
    <x:t xml:space="preserve">Estrogen-replacement therapy</x:t>
  </x:si>
  <x:si>
    <x:t xml:space="preserve">Menopausal symptoms and selected women’s-health uses</x:t>
  </x:si>
  <x:si>
    <x:t xml:space="preserve">Gynaecologists</x:t>
  </x:si>
  <x:si>
    <x:t xml:space="preserve">Chronic or episodic</x:t>
  </x:si>
  <x:si>
    <x:t xml:space="preserve">Mature women’s-health franchise</x:t>
  </x:si>
  <x:si>
    <x:t xml:space="preserve">Folic acid and combinations</x:t>
  </x:si>
  <x:si>
    <x:t xml:space="preserve">Vitamin B9 replacement and combination therapy</x:t>
  </x:si>
  <x:si>
    <x:t xml:space="preserve">Folate deficiency and pregnancy support</x:t>
  </x:si>
  <x:si>
    <x:t xml:space="preserve">Gynaecologists and general physicians</x:t>
  </x:si>
  <x:si>
    <x:t xml:space="preserve">Chronic or supportive</x:t>
  </x:si>
  <x:si>
    <x:t xml:space="preserve">Established women’s-health brand</x:t>
  </x:si>
  <x:si>
    <x:t xml:space="preserve">Combined hormonal contraceptives</x:t>
  </x:si>
  <x:si>
    <x:t xml:space="preserve">Hormonal contraception</x:t>
  </x:si>
  <x:si>
    <x:t xml:space="preserve">Pregnancy prevention and selected cycle disorders</x:t>
  </x:si>
  <x:si>
    <x:t xml:space="preserve">Established women’s-health portfolio</x:t>
  </x:si>
  <x:si>
    <x:t xml:space="preserve">Products within Women's health and endocrine</x:t>
  </x:si>
  <x:si>
    <x:t xml:space="preserve">Rimegepant</x:t>
  </x:si>
  <x:si>
    <x:t xml:space="preserve">Oral CGRP-receptor antagonist</x:t>
  </x:si>
  <x:si>
    <x:t xml:space="preserve">Acute migraine and migraine prevention</x:t>
  </x:si>
  <x:si>
    <x:t xml:space="preserve">Neurologists and physicians</x:t>
  </x:si>
  <x:si>
    <x:t xml:space="preserve">Acute or preventive</x:t>
  </x:si>
  <x:si>
    <x:t xml:space="preserve">New CNS launch</x:t>
  </x:si>
  <x:si>
    <x:t xml:space="preserve">Products within CNS and migraine</x:t>
  </x:si>
  <x:si>
    <x:t xml:space="preserve">Products within Other established products</x:t>
  </x:si>
  <x:si>
    <x:t xml:space="preserve">Private-entity products excluded from the listed-company model</x:t>
  </x:si>
  <x:si>
    <x:t xml:space="preserve">Oncology</x:t>
  </x:si>
  <x:si>
    <x:t xml:space="preserve">Palbace</x:t>
  </x:si>
  <x:si>
    <x:t xml:space="preserve">Palbociclib</x:t>
  </x:si>
  <x:si>
    <x:t xml:space="preserve">Oral CDK4/6 inhibitor</x:t>
  </x:si>
  <x:si>
    <x:t xml:space="preserve">HR-positive, HER2-negative advanced breast cancer</x:t>
  </x:si>
  <x:si>
    <x:t xml:space="preserve">Oncologists; biomarker-selected patients</x:t>
  </x:si>
  <x:si>
    <x:t xml:space="preserve">Chronic cycles</x:t>
  </x:si>
  <x:si>
    <x:t xml:space="preserve">Established targeted therapy</x:t>
  </x:si>
  <x:si>
    <x:t xml:space="preserve">PPIPL; excluded</x:t>
  </x:si>
  <x:si>
    <x:t xml:space="preserve">Hospital / inflammation</x:t>
  </x:si>
  <x:si>
    <x:t xml:space="preserve">Solu-Medrol</x:t>
  </x:si>
  <x:si>
    <x:t xml:space="preserve">Methylprednisolone sodium succinate</x:t>
  </x:si>
  <x:si>
    <x:t xml:space="preserve">Intravenous corticosteroid</x:t>
  </x:si>
  <x:si>
    <x:t xml:space="preserve">Severe inflammatory, allergic and autoimmune conditions</x:t>
  </x:si>
  <x:si>
    <x:t xml:space="preserve">Hospital physicians</x:t>
  </x:si>
  <x:si>
    <x:t xml:space="preserve">Established hospital product</x:t>
  </x:si>
  <x:si>
    <x:t xml:space="preserve">Rare disease</x:t>
  </x:si>
  <x:si>
    <x:t xml:space="preserve">Xyntha</x:t>
  </x:si>
  <x:si>
    <x:t xml:space="preserve">Recombinant factor VIII</x:t>
  </x:si>
  <x:si>
    <x:t xml:space="preserve">Clotting-factor replacement</x:t>
  </x:si>
  <x:si>
    <x:t xml:space="preserve">Haemophilia A</x:t>
  </x:si>
  <x:si>
    <x:t xml:space="preserve">Haematologists; haemophilia patients</x:t>
  </x:si>
  <x:si>
    <x:t xml:space="preserve">Repeated prophylaxis or on demand</x:t>
  </x:si>
  <x:si>
    <x:t xml:space="preserve">Specialty hospitals</x:t>
  </x:si>
  <x:si>
    <x:t xml:space="preserve">Rare-disease product</x:t>
  </x:si>
  <x:si>
    <x:t xml:space="preserve">Anti-infectives</x:t>
  </x:si>
  <x:si>
    <x:t xml:space="preserve">Dalacin C</x:t>
  </x:si>
  <x:si>
    <x:t xml:space="preserve">Clindamycin</x:t>
  </x:si>
  <x:si>
    <x:t xml:space="preserve">Lincosamide antibiotic</x:t>
  </x:si>
  <x:si>
    <x:t xml:space="preserve">Susceptible bacterial infections</x:t>
  </x:si>
  <x:si>
    <x:t xml:space="preserve">Cipla-commercialised private brand</x:t>
  </x:si>
  <x:si>
    <x:t xml:space="preserve">Endocrine</x:t>
  </x:si>
  <x:si>
    <x:t xml:space="preserve">Genotropin</x:t>
  </x:si>
  <x:si>
    <x:t xml:space="preserve">Somatropin</x:t>
  </x:si>
  <x:si>
    <x:t xml:space="preserve">Recombinant human growth hormone</x:t>
  </x:si>
  <x:si>
    <x:t xml:space="preserve">Growth-hormone deficiency and related conditions</x:t>
  </x:si>
  <x:si>
    <x:t xml:space="preserve">Paediatric endocrinologists</x:t>
  </x:si>
  <x:si>
    <x:t xml:space="preserve">Rare endocrine product</x:t>
  </x:si>
  <x:si>
    <x:t xml:space="preserve">VFEND</x:t>
  </x:si>
  <x:si>
    <x:t xml:space="preserve">Voriconazole</x:t>
  </x:si>
  <x:si>
    <x:t xml:space="preserve">Triazole antifungal</x:t>
  </x:si>
  <x:si>
    <x:t xml:space="preserve">Serious invasive fungal infections</x:t>
  </x:si>
  <x:si>
    <x:t xml:space="preserve">Infectious-disease specialists</x:t>
  </x:si>
  <x:si>
    <x:t xml:space="preserve">Acute or extended</x:t>
  </x:si>
  <x:si>
    <x:t xml:space="preserve">Specialty hospital product</x:t>
  </x:si>
  <x:si>
    <x:t xml:space="preserve">Crizalk</x:t>
  </x:si>
  <x:si>
    <x:t xml:space="preserve">Crizotinib</x:t>
  </x:si>
  <x:si>
    <x:t xml:space="preserve">ALK and ROS1 tyrosine-kinase inhibitor</x:t>
  </x:si>
  <x:si>
    <x:t xml:space="preserve">Molecularly selected lung cancer</x:t>
  </x:si>
  <x:si>
    <x:t xml:space="preserve">Oncologists</x:t>
  </x:si>
  <x:si>
    <x:t xml:space="preserve">Targeted therapy</x:t>
  </x:si>
  <x:si>
    <x:t xml:space="preserve">Inlyta</x:t>
  </x:si>
  <x:si>
    <x:t xml:space="preserve">Axitinib</x:t>
  </x:si>
  <x:si>
    <x:t xml:space="preserve">VEGFR tyrosine-kinase inhibitor</x:t>
  </x:si>
  <x:si>
    <x:t xml:space="preserve">Advanced renal-cell carcinoma</x:t>
  </x:si>
  <x:si>
    <x:t xml:space="preserve">Inflammation</x:t>
  </x:si>
  <x:si>
    <x:t xml:space="preserve">Depo-Medrol</x:t>
  </x:si>
  <x:si>
    <x:t xml:space="preserve">Methylprednisolone acetate</x:t>
  </x:si>
  <x:si>
    <x:t xml:space="preserve">Depot corticosteroid injection</x:t>
  </x:si>
  <x:si>
    <x:t xml:space="preserve">Inflammatory and allergic conditions</x:t>
  </x:si>
  <x:si>
    <x:t xml:space="preserve">Physicians and specialists</x:t>
  </x:si>
  <x:si>
    <x:t xml:space="preserve">Clinics and hospitals</x:t>
  </x:si>
  <x:si>
    <x:t xml:space="preserve">Established injectable</x:t>
  </x:si>
  <x:si>
    <x:t xml:space="preserve">Rare disease / hospital</x:t>
  </x:si>
  <x:si>
    <x:t xml:space="preserve">Atgam</x:t>
  </x:si>
  <x:si>
    <x:t xml:space="preserve">Equine antithymocyte globulin</x:t>
  </x:si>
  <x:si>
    <x:t xml:space="preserve">Polyclonal immunosuppressive antibody</x:t>
  </x:si>
  <x:si>
    <x:t xml:space="preserve">Severe aplastic anaemia and selected transplant use</x:t>
  </x:si>
  <x:si>
    <x:t xml:space="preserve">Haematologists and transplant specialists</x:t>
  </x:si>
  <x:si>
    <x:t xml:space="preserve">Acute course</x:t>
  </x:si>
  <x:si>
    <x:t xml:space="preserve">Rare hospital therapy</x:t>
  </x:si>
</x:sst>
</file>

<file path=xl/styles.xml><?xml version="1.0" encoding="utf-8"?>
<x:styleSheet xmlns:x="http://schemas.openxmlformats.org/spreadsheetml/2006/main">
  <x:numFmts count="8">
    <x:numFmt numFmtId="164" formatCode="#,##0;\(#,##0\);\-"/>
    <x:numFmt numFmtId="165" formatCode="0.0%;\(0.0%\);\-"/>
    <x:numFmt numFmtId="166" formatCode="0.00;\(0.00\);\-"/>
    <x:numFmt numFmtId="200" formatCode="0.0%;(0.0%);-"/>
    <x:numFmt numFmtId="201" formatCode="0.0"/>
    <x:numFmt numFmtId="202" formatCode="0.00;(0.00);-"/>
    <x:numFmt numFmtId="203" formatCode="0.000"/>
    <x:numFmt numFmtId="204" formatCode="#,##0;(#,##0);-"/>
  </x:numFmts>
  <x:fonts count="23">
    <x:font>
      <x:sz val="11"/>
      <x:name val="Carlito"/>
    </x:font>
    <x:font>
      <x:b/>
      <x:sz val="15"/>
      <x:color rgb="FF1F1F1F"/>
      <x:name val="Arial"/>
    </x:font>
    <x:font>
      <x:i/>
      <x:sz val="9"/>
      <x:color rgb="FF666666"/>
      <x:name val="Arial"/>
    </x:font>
    <x:font>
      <x:b/>
      <x:sz val="9"/>
      <x:color rgb="FF1F1F1F"/>
      <x:name val="Arial"/>
    </x:font>
    <x:font>
      <x:b/>
      <x:sz val="9"/>
      <x:color rgb="FF0000FF"/>
      <x:name val="Arial"/>
    </x:font>
    <x:font>
      <x:b/>
      <x:sz val="9"/>
      <x:color rgb="FF008000"/>
      <x:name val="Arial"/>
    </x:font>
    <x:font>
      <x:b/>
      <x:sz val="10"/>
      <x:color rgb="FF1F4E78"/>
      <x:name val="Arial"/>
    </x:font>
    <x:font>
      <x:b/>
      <x:sz val="9"/>
      <x:color rgb="FFFFFFFF"/>
      <x:name val="Arial"/>
    </x:font>
    <x:font>
      <x:sz val="9"/>
      <x:color rgb="FF1F1F1F"/>
      <x:name val="Arial"/>
    </x:font>
    <x:font>
      <x:sz val="9"/>
      <x:color rgb="FF0000FF"/>
      <x:name val="Arial"/>
    </x:font>
    <x:font>
      <x:i/>
      <x:sz val="8"/>
      <x:color rgb="FF666666"/>
      <x:name val="Arial"/>
    </x:font>
    <x:font>
      <x:b/>
      <x:sz val="8"/>
      <x:color rgb="FF0000FF"/>
      <x:name val="Arial"/>
    </x:font>
    <x:font>
      <x:b/>
      <x:sz val="8"/>
      <x:color rgb="FF1F1F1F"/>
      <x:name val="Arial"/>
    </x:font>
    <x:font>
      <x:b/>
      <x:sz val="8"/>
      <x:color rgb="FF008000"/>
      <x:name val="Arial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9"/>
      <x:color rgb="FF000000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00"/>
      <x:name val="Arial"/>
    </x:font>
    <x:font>
      <x:sz val="9"/>
      <x:color rgb="FF666666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7F8C8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8C8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8C8D"/>
      </x:patternFill>
    </x:fill>
  </x:fills>
  <x:borders count="41">
    <x:border/>
    <x:border>
      <x:top style="thin">
        <x:color rgb="FF1F4E78"/>
      </x:top>
      <x:bottom style="thin">
        <x:color rgb="FF1F4E78"/>
      </x:bottom>
    </x:border>
    <x:border>
      <x:bottom style="medium">
        <x:color rgb="FF1F4E78"/>
      </x:bottom>
    </x:border>
    <x:border>
      <x:top style="thin">
        <x:color rgb="FF1F1F1F"/>
      </x:top>
      <x:bottom style="double">
        <x:color rgb="FF1F1F1F"/>
      </x:bottom>
    </x:border>
    <x:border>
      <x:bottom style="thin">
        <x:color rgb="FFB4C7E7"/>
      </x:bottom>
    </x:border>
    <x:border>
      <x:top style="thin">
        <x:color rgb="FF7F8C8D"/>
      </x:top>
      <x:bottom style="thin">
        <x:color rgb="FF7F8C8D"/>
      </x:bottom>
    </x:border>
    <x:border>
      <x:top style="medium">
        <x:color rgb="FF1F1F1F"/>
      </x:top>
      <x:bottom style="double">
        <x:color rgb="FF1F1F1F"/>
      </x:bottom>
    </x:border>
    <x:border>
      <x:left style="medium">
        <x:color rgb="FF1F4E78"/>
      </x:left>
      <x:bottom style="medium">
        <x:color rgb="FF1F4E78"/>
      </x:bottom>
    </x:border>
    <x:border>
      <x:left style="medium">
        <x:color rgb="FF1F4E78"/>
      </x:left>
    </x:border>
    <x:border>
      <x:left style="medium">
        <x:color rgb="FF1F4E78"/>
      </x:left>
      <x:top style="thin">
        <x:color rgb="FF1F1F1F"/>
      </x:top>
      <x:bottom style="double">
        <x:color rgb="FF1F1F1F"/>
      </x:bottom>
    </x:border>
    <x:border>
      <x:left style="medium">
        <x:color rgb="FF1F4E78"/>
      </x:left>
      <x:top style="thin">
        <x:color rgb="FF1F4E78"/>
      </x:top>
      <x:bottom style="thin">
        <x:color rgb="FF1F4E78"/>
      </x:bottom>
    </x:border>
    <x:border>
      <x:left style="medium">
        <x:color rgb="FF1F4E78"/>
      </x:left>
      <x:bottom style="thin">
        <x:color rgb="FFB4C7E7"/>
      </x:bottom>
    </x:border>
    <x:border>
      <x:left style="medium">
        <x:color rgb="FF1F4E78"/>
      </x:left>
      <x:top style="thin">
        <x:color rgb="FF7F8C8D"/>
      </x:top>
      <x:bottom style="thin">
        <x:color rgb="FF7F8C8D"/>
      </x:bottom>
    </x:border>
    <x:border>
      <x:left style="medium">
        <x:color rgb="FF1F4E78"/>
      </x:left>
      <x:top style="medium">
        <x:color rgb="FF1F1F1F"/>
      </x:top>
      <x:bottom style="double">
        <x:color rgb="FF1F1F1F"/>
      </x:bottom>
    </x:border>
    <x:border>
      <x:left style="medium">
        <x:color rgb="FF1F4E78"/>
      </x:left>
      <x:top style="thin">
        <x:color rgb="FF1F1F1F"/>
      </x:top>
      <x:bottom style="medium">
        <x:color rgb="FF1F4E78"/>
      </x:bottom>
    </x:border>
    <x:border>
      <x:left style="thin">
        <x:color rgb="FF7F8C8D"/>
      </x:left>
      <x:bottom style="medium">
        <x:color rgb="FF1F4E78"/>
      </x:bottom>
    </x:border>
    <x:border>
      <x:left style="thin">
        <x:color rgb="FF7F8C8D"/>
      </x:left>
    </x:border>
    <x:border>
      <x:left style="thin">
        <x:color rgb="FF7F8C8D"/>
      </x:left>
      <x:top style="thin">
        <x:color rgb="FF1F1F1F"/>
      </x:top>
      <x:bottom style="double">
        <x:color rgb="FF1F1F1F"/>
      </x:bottom>
    </x:border>
    <x:border>
      <x:left style="thin">
        <x:color rgb="FF7F8C8D"/>
      </x:left>
      <x:top style="thin">
        <x:color rgb="FF1F4E78"/>
      </x:top>
      <x:bottom style="thin">
        <x:color rgb="FF1F4E78"/>
      </x:bottom>
    </x:border>
    <x:border>
      <x:left style="thin">
        <x:color rgb="FF7F8C8D"/>
      </x:left>
      <x:bottom style="thin">
        <x:color rgb="FFB4C7E7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left style="thin">
        <x:color rgb="FF7F8C8D"/>
      </x:left>
      <x:top style="medium">
        <x:color rgb="FF1F1F1F"/>
      </x:top>
      <x:bottom style="double">
        <x:color rgb="FF1F1F1F"/>
      </x:bottom>
    </x:border>
    <x:border>
      <x:left style="thin">
        <x:color rgb="FF7F8C8D"/>
      </x:left>
      <x:top style="thin">
        <x:color rgb="FF1F1F1F"/>
      </x:top>
      <x:bottom style="medium">
        <x:color rgb="FF1F4E78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7F8C8D"/>
      </x:bottom>
    </x:border>
    <x:border>
      <x:bottom style="double">
        <x:color rgb="FF7F8C8D"/>
      </x:bottom>
    </x:border>
    <x:border>
      <x:left style="medium">
        <x:color rgb="FF7F8C8D"/>
      </x:left>
      <x:top style="thin">
        <x:color rgb="FFFFFFFF"/>
      </x:top>
      <x:bottom style="thin">
        <x:color rgb="FFFFFFFF"/>
      </x:bottom>
    </x:border>
    <x:border>
      <x:left style="medium">
        <x:color rgb="FF7F8C8D"/>
      </x:left>
    </x:border>
    <x:border>
      <x:left style="medium">
        <x:color rgb="FF7F8C8D"/>
      </x:left>
      <x:top style="thin">
        <x:color rgb="FF9EADBA"/>
      </x:top>
      <x:bottom style="thin">
        <x:color rgb="FF9EADBA"/>
      </x:bottom>
    </x:border>
    <x:border>
      <x:left style="medium">
        <x:color rgb="FF7F8C8D"/>
      </x:left>
      <x:bottom style="thin">
        <x:color rgb="FF7F8C8D"/>
      </x:bottom>
    </x:border>
    <x:border>
      <x:left style="medium">
        <x:color rgb="FF7F8C8D"/>
      </x:left>
      <x:bottom style="double">
        <x:color rgb="FF7F8C8D"/>
      </x:bottom>
    </x:border>
    <x:border>
      <x:left style="medium">
        <x:color rgb="FF7F8C8D"/>
      </x:left>
      <x:bottom style="thin">
        <x:color rgb="FFFFFFFF"/>
      </x:bottom>
    </x:border>
    <x:border>
      <x:left style="medium">
        <x:color rgb="FFA6A6A6"/>
      </x:left>
    </x:border>
    <x:border>
      <x:left style="medium">
        <x:color rgb="FFA6A6A6"/>
      </x:left>
      <x:bottom style="thin">
        <x:color rgb="FF7F8C8D"/>
      </x:bottom>
    </x:border>
    <x:border>
      <x:left style="medium">
        <x:color rgb="FFA6A6A6"/>
      </x:left>
      <x:bottom style="double">
        <x:color rgb="FF7F8C8D"/>
      </x:bottom>
    </x:border>
    <x:border>
      <x:left style="medium">
        <x:color rgb="FFA6A6A6"/>
      </x:lef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236">
    <x:xf numFmtId="0" fontId="0" fillId="0" borderId="0" xfId="0"/>
    <x:xf numFmtId="0" fontId="7" fillId="3" borderId="2" xfId="0" applyFont="1" applyFill="1" applyBorder="1" applyAlignment="1">
      <x:alignment horizontal="center" vertical="center" wrapText="1"/>
    </x:xf>
    <x:xf numFmtId="0" fontId="8" fillId="0" borderId="0" xfId="0" applyFont="1" applyAlignment="1">
      <x:alignment vertical="center"/>
    </x:xf>
    <x:xf numFmtId="0" fontId="9" fillId="4" borderId="0" xfId="0" applyFont="1" applyFill="1" applyAlignment="1">
      <x:alignment vertical="center"/>
    </x:xf>
    <x:xf numFmtId="164" fontId="9" fillId="4" borderId="0" xfId="0" applyNumberFormat="1" applyFont="1" applyFill="1" applyAlignment="1">
      <x:alignment vertical="center"/>
    </x:xf>
    <x:xf numFmtId="0" fontId="3" fillId="0" borderId="0" xfId="0" applyFont="1" applyAlignment="1">
      <x:alignment vertical="center"/>
    </x:xf>
    <x:xf numFmtId="0" fontId="3" fillId="0" borderId="3" xfId="0" applyFont="1" applyBorder="1" applyAlignment="1">
      <x:alignment vertical="center"/>
    </x:xf>
    <x:xf numFmtId="164" fontId="3" fillId="4" borderId="3" xfId="0" applyNumberFormat="1" applyFont="1" applyFill="1" applyBorder="1" applyAlignment="1">
      <x:alignment vertical="center"/>
    </x:xf>
    <x:xf numFmtId="0" fontId="7" fillId="5" borderId="2" xfId="0" applyFont="1" applyFill="1" applyBorder="1" applyAlignment="1">
      <x:alignment horizontal="center" vertical="center" wrapText="1"/>
    </x:xf>
    <x:xf numFmtId="165" fontId="9" fillId="4" borderId="0" xfId="0" applyNumberFormat="1" applyFont="1" applyFill="1" applyAlignment="1">
      <x:alignment vertical="center"/>
    </x:xf>
    <x:xf numFmtId="165" fontId="8" fillId="0" borderId="0" xfId="0" applyNumberFormat="1" applyFont="1" applyAlignment="1">
      <x:alignment vertical="center"/>
    </x:xf>
    <x:xf numFmtId="0" fontId="10" fillId="0" borderId="0" xfId="0" applyFont="1" applyAlignment="1">
      <x:alignment vertical="center"/>
    </x:xf>
    <x:xf numFmtId="0" fontId="10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164" fontId="8" fillId="0" borderId="0" xfId="0" applyNumberFormat="1" applyFont="1" applyAlignment="1">
      <x:alignment vertical="center"/>
    </x:xf>
    <x:xf numFmtId="164" fontId="3" fillId="0" borderId="3" xfId="0" applyNumberFormat="1" applyFont="1" applyBorder="1" applyAlignment="1">
      <x:alignment vertical="center"/>
    </x:xf>
    <x:xf numFmtId="0" fontId="3" fillId="6" borderId="4" xfId="0" applyFont="1" applyFill="1" applyBorder="1" applyAlignment="1">
      <x:alignment vertical="center"/>
    </x:xf>
    <x:xf numFmtId="0" fontId="3" fillId="7" borderId="5" xfId="0" applyFont="1" applyFill="1" applyBorder="1" applyAlignment="1">
      <x:alignment vertical="center"/>
    </x:xf>
    <x:xf numFmtId="164" fontId="3" fillId="7" borderId="5" xfId="0" applyNumberFormat="1" applyFont="1" applyFill="1" applyBorder="1" applyAlignment="1">
      <x:alignment vertical="center"/>
    </x:xf>
    <x:xf numFmtId="0" fontId="3" fillId="0" borderId="6" xfId="0" applyFont="1" applyBorder="1" applyAlignment="1">
      <x:alignment vertical="center"/>
    </x:xf>
    <x:xf numFmtId="164" fontId="3" fillId="0" borderId="6" xfId="0" applyNumberFormat="1" applyFont="1" applyBorder="1" applyAlignment="1">
      <x:alignment vertical="center"/>
    </x:xf>
    <x:xf numFmtId="0" fontId="3" fillId="2" borderId="1" xfId="0" applyFont="1" applyFill="1" applyBorder="1" applyAlignment="1">
      <x:alignment vertical="center"/>
    </x:xf>
    <x:xf numFmtId="166" fontId="8" fillId="0" borderId="0" xfId="0" applyNumberFormat="1" applyFont="1" applyAlignment="1">
      <x:alignment vertical="center"/>
    </x:xf>
    <x:xf numFmtId="164" fontId="3" fillId="6" borderId="4" xfId="0" applyNumberFormat="1" applyFont="1" applyFill="1" applyBorder="1" applyAlignment="1">
      <x:alignment vertical="center"/>
    </x:xf>
    <x:xf numFmtId="0" fontId="7" fillId="5" borderId="7" xfId="0" applyFont="1" applyFill="1" applyBorder="1" applyAlignment="1">
      <x:alignment horizontal="center" vertical="center" wrapText="1"/>
    </x:xf>
    <x:xf numFmtId="164" fontId="8" fillId="0" borderId="8" xfId="0" applyNumberFormat="1" applyFont="1" applyBorder="1" applyAlignment="1">
      <x:alignment vertical="center"/>
    </x:xf>
    <x:xf numFmtId="164" fontId="3" fillId="0" borderId="9" xfId="0" applyNumberFormat="1" applyFont="1" applyBorder="1" applyAlignment="1">
      <x:alignment vertical="center"/>
    </x:xf>
    <x:xf numFmtId="165" fontId="8" fillId="0" borderId="8" xfId="0" applyNumberFormat="1" applyFont="1" applyBorder="1" applyAlignment="1">
      <x:alignment vertical="center"/>
    </x:xf>
    <x:xf numFmtId="164" fontId="3" fillId="6" borderId="11" xfId="0" applyNumberFormat="1" applyFont="1" applyFill="1" applyBorder="1" applyAlignment="1">
      <x:alignment vertical="center"/>
    </x:xf>
    <x:xf numFmtId="164" fontId="3" fillId="7" borderId="12" xfId="0" applyNumberFormat="1" applyFont="1" applyFill="1" applyBorder="1" applyAlignment="1">
      <x:alignment vertical="center"/>
    </x:xf>
    <x:xf numFmtId="164" fontId="3" fillId="0" borderId="13" xfId="0" applyNumberFormat="1" applyFont="1" applyBorder="1" applyAlignment="1">
      <x:alignment vertical="center"/>
    </x:xf>
    <x:xf numFmtId="164" fontId="3" fillId="0" borderId="14" xfId="0" applyNumberFormat="1" applyFont="1" applyBorder="1" applyAlignment="1">
      <x:alignment vertical="center"/>
    </x:xf>
    <x:xf numFmtId="0" fontId="7" fillId="5" borderId="15" xfId="0" applyFont="1" applyFill="1" applyBorder="1" applyAlignment="1">
      <x:alignment horizontal="center" vertical="center" wrapText="1"/>
    </x:xf>
    <x:xf numFmtId="164" fontId="8" fillId="0" borderId="16" xfId="0" applyNumberFormat="1" applyFont="1" applyBorder="1" applyAlignment="1">
      <x:alignment vertical="center"/>
    </x:xf>
    <x:xf numFmtId="164" fontId="3" fillId="0" borderId="17" xfId="0" applyNumberFormat="1" applyFont="1" applyBorder="1" applyAlignment="1">
      <x:alignment vertical="center"/>
    </x:xf>
    <x:xf numFmtId="165" fontId="8" fillId="0" borderId="16" xfId="0" applyNumberFormat="1" applyFont="1" applyBorder="1" applyAlignment="1">
      <x:alignment vertical="center"/>
    </x:xf>
    <x:xf numFmtId="164" fontId="3" fillId="6" borderId="19" xfId="0" applyNumberFormat="1" applyFont="1" applyFill="1" applyBorder="1" applyAlignment="1">
      <x:alignment vertical="center"/>
    </x:xf>
    <x:xf numFmtId="164" fontId="3" fillId="7" borderId="20" xfId="0" applyNumberFormat="1" applyFont="1" applyFill="1" applyBorder="1" applyAlignment="1">
      <x:alignment vertical="center"/>
    </x:xf>
    <x:xf numFmtId="164" fontId="3" fillId="0" borderId="21" xfId="0" applyNumberFormat="1" applyFont="1" applyBorder="1" applyAlignment="1">
      <x:alignment vertical="center"/>
    </x:xf>
    <x:xf numFmtId="164" fontId="3" fillId="0" borderId="22" xfId="0" applyNumberFormat="1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1" fillId="0" borderId="0" xfId="0" applyFont="1" applyAlignment="1">
      <x:alignment vertical="center"/>
    </x:xf>
    <x:xf numFmtId="0" fontId="12" fillId="0" borderId="0" xfId="0" applyFont="1" applyAlignment="1">
      <x:alignment vertical="center"/>
    </x:xf>
    <x:xf numFmtId="0" fontId="13" fillId="0" borderId="0" xfId="0" applyFont="1" applyAlignment="1">
      <x:alignment vertical="center"/>
    </x:xf>
    <x:xf numFmtId="0" fontId="6" fillId="2" borderId="1" xfId="0" applyFont="1" applyFill="1" applyBorder="1" applyAlignment="1">
      <x:alignment vertical="center"/>
    </x:xf>
    <x:xf numFmtId="0" fontId="0" fillId="0" borderId="8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6" fillId="2" borderId="10" xfId="0" applyFont="1" applyFill="1" applyBorder="1" applyAlignment="1">
      <x:alignment vertical="center"/>
    </x:xf>
    <x:xf numFmtId="0" fontId="6" fillId="2" borderId="18" xfId="0" applyFont="1" applyFill="1" applyBorder="1" applyAlignment="1">
      <x:alignment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23" xfId="0" applyNumberFormat="1" applyFont="1" applyFill="1" applyBorder="1" applyAlignment="1">
      <x:alignment vertical="center"/>
    </x:xf>
    <x:xf numFmtId="0" fontId="6" fillId="8" borderId="24" xfId="0" applyNumberFormat="1" applyFont="1" applyFill="1" applyBorder="1" applyAlignment="1">
      <x:alignment vertical="center"/>
    </x:xf>
    <x:xf numFmtId="0" fontId="6" fillId="8" borderId="2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7" fillId="9" borderId="26" xfId="0" applyNumberFormat="1" applyFont="1" applyFill="1" applyBorder="1" applyAlignment="1">
      <x:alignment horizontal="center" vertical="center"/>
    </x:xf>
    <x:xf numFmtId="0" fontId="7" fillId="10" borderId="27" xfId="0" applyNumberFormat="1" applyFont="1" applyFill="1" applyBorder="1" applyAlignment="1">
      <x:alignment horizontal="center" vertical="center"/>
    </x:xf>
    <x:xf numFmtId="0" fontId="7" fillId="9" borderId="27" xfId="0" applyNumberFormat="1" applyFont="1" applyFill="1" applyBorder="1" applyAlignment="1">
      <x:alignment horizontal="center" vertical="center"/>
    </x:xf>
    <x:xf numFmtId="0" fontId="7" fillId="9" borderId="28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center"/>
    </x:xf>
    <x:xf numFmtId="0" fontId="18" fillId="11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0" fontId="18" fillId="11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1" fontId="18" fillId="11" borderId="0" xfId="0" applyNumberFormat="1" applyFont="1" applyFill="1" applyBorder="1" applyAlignment="1">
      <x:alignment vertical="center"/>
    </x:xf>
    <x:xf numFmtId="202" fontId="18" fillId="0" borderId="0" xfId="0" applyNumberFormat="1" applyFont="1" applyFill="1" applyBorder="1" applyAlignment="1">
      <x:alignment vertical="center"/>
    </x:xf>
    <x:xf numFmtId="202" fontId="18" fillId="11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203" fontId="18" fillId="0" borderId="0" xfId="0" applyNumberFormat="1" applyFont="1" applyFill="1" applyBorder="1" applyAlignment="1">
      <x:alignment vertical="center"/>
    </x:xf>
    <x:xf numFmtId="203" fontId="18" fillId="11" borderId="0" xfId="0" applyNumberFormat="1" applyFont="1" applyFill="1" applyBorder="1" applyAlignment="1">
      <x:alignment vertical="center"/>
    </x:xf>
    <x:xf numFmtId="204" fontId="17" fillId="0" borderId="0" xfId="0" applyNumberFormat="1" applyFont="1" applyFill="1" applyBorder="1" applyAlignment="1">
      <x:alignment vertical="center"/>
    </x:xf>
    <x:xf numFmtId="204" fontId="18" fillId="0" borderId="0" xfId="0" applyNumberFormat="1" applyFont="1" applyFill="1" applyBorder="1" applyAlignment="1">
      <x:alignment vertical="center"/>
    </x:xf>
    <x:xf numFmtId="204" fontId="18" fillId="11" borderId="0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vertical="center"/>
    </x:xf>
    <x:xf numFmtId="200" fontId="20" fillId="11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204" fontId="21" fillId="0" borderId="0" xfId="0" applyNumberFormat="1" applyFont="1" applyFill="1" applyBorder="1" applyAlignment="1">
      <x:alignment vertical="center"/>
    </x:xf>
    <x:xf numFmtId="0" fontId="21" fillId="0" borderId="29" xfId="0" applyNumberFormat="1" applyFont="1" applyFill="1" applyBorder="1" applyAlignment="1">
      <x:alignment vertical="center"/>
    </x:xf>
    <x:xf numFmtId="204" fontId="21" fillId="0" borderId="29" xfId="0" applyNumberFormat="1" applyFont="1" applyFill="1" applyBorder="1" applyAlignment="1">
      <x:alignment vertical="center"/>
    </x:xf>
    <x:xf numFmtId="0" fontId="21" fillId="0" borderId="30" xfId="0" applyNumberFormat="1" applyFont="1" applyFill="1" applyBorder="1" applyAlignment="1">
      <x:alignment vertical="center"/>
    </x:xf>
    <x:xf numFmtId="204" fontId="21" fillId="0" borderId="3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7" fillId="9" borderId="31" xfId="0" applyNumberFormat="1" applyFont="1" applyFill="1" applyBorder="1" applyAlignment="1">
      <x:alignment horizontal="center" vertical="center"/>
    </x:xf>
    <x:xf numFmtId="204" fontId="17" fillId="0" borderId="32" xfId="0" applyNumberFormat="1" applyFont="1" applyFill="1" applyBorder="1" applyAlignment="1">
      <x:alignment vertical="center"/>
    </x:xf>
    <x:xf numFmtId="200" fontId="20" fillId="11" borderId="32" xfId="0" applyNumberFormat="1" applyFont="1" applyFill="1" applyBorder="1" applyAlignment="1">
      <x:alignment vertical="center"/>
    </x:xf>
    <x:xf numFmtId="201" fontId="18" fillId="11" borderId="32" xfId="0" applyNumberFormat="1" applyFont="1" applyFill="1" applyBorder="1" applyAlignment="1">
      <x:alignment vertical="center"/>
    </x:xf>
    <x:xf numFmtId="202" fontId="18" fillId="11" borderId="32" xfId="0" applyNumberFormat="1" applyFont="1" applyFill="1" applyBorder="1" applyAlignment="1">
      <x:alignment vertical="center"/>
    </x:xf>
    <x:xf numFmtId="203" fontId="18" fillId="11" borderId="32" xfId="0" applyNumberFormat="1" applyFont="1" applyFill="1" applyBorder="1" applyAlignment="1">
      <x:alignment vertical="center"/>
    </x:xf>
    <x:xf numFmtId="204" fontId="18" fillId="11" borderId="32" xfId="0" applyNumberFormat="1" applyFont="1" applyFill="1" applyBorder="1" applyAlignment="1">
      <x:alignment vertical="center"/>
    </x:xf>
    <x:xf numFmtId="204" fontId="14" fillId="0" borderId="32" xfId="0" applyNumberFormat="1" applyFont="1" applyFill="1" applyBorder="1" applyAlignment="1">
      <x:alignment vertical="center"/>
    </x:xf>
    <x:xf numFmtId="0" fontId="6" fillId="8" borderId="33" xfId="0" applyNumberFormat="1" applyFont="1" applyFill="1" applyBorder="1" applyAlignment="1">
      <x:alignment vertical="center"/>
    </x:xf>
    <x:xf numFmtId="204" fontId="21" fillId="0" borderId="34" xfId="0" applyNumberFormat="1" applyFont="1" applyFill="1" applyBorder="1" applyAlignment="1">
      <x:alignment vertical="center"/>
    </x:xf>
    <x:xf numFmtId="204" fontId="21" fillId="0" borderId="35" xfId="0" applyNumberFormat="1" applyFont="1" applyFill="1" applyBorder="1" applyAlignment="1">
      <x:alignment vertical="center"/>
    </x:xf>
    <x:xf numFmtId="202" fontId="14" fillId="0" borderId="32" xfId="0" applyNumberFormat="1" applyFont="1" applyFill="1" applyBorder="1" applyAlignment="1">
      <x:alignment vertical="center"/>
    </x:xf>
    <x:xf numFmtId="0" fontId="14" fillId="0" borderId="32" xfId="0" applyNumberFormat="1" applyFont="1" applyFill="1" applyBorder="1" applyAlignment="1">
      <x:alignment vertical="center"/>
    </x:xf>
    <x:xf numFmtId="202" fontId="14" fillId="0" borderId="36" xfId="0" applyNumberFormat="1" applyFont="1" applyFill="1" applyBorder="1" applyAlignment="1">
      <x:alignment vertical="center"/>
    </x:xf>
    <x:xf numFmtId="202" fontId="17" fillId="0" borderId="0" xfId="0" applyNumberFormat="1" applyFont="1" applyFill="1" applyBorder="1" applyAlignment="1">
      <x:alignment vertical="center"/>
    </x:xf>
    <x:xf numFmtId="200" fontId="19" fillId="0" borderId="32" xfId="0" applyNumberFormat="1" applyFont="1" applyFill="1" applyBorder="1" applyAlignment="1">
      <x:alignment vertical="center"/>
    </x:xf>
    <x:xf numFmtId="202" fontId="17" fillId="0" borderId="32" xfId="0" applyNumberFormat="1" applyFont="1" applyFill="1" applyBorder="1" applyAlignment="1">
      <x:alignment vertical="center"/>
    </x:xf>
    <x:xf numFmtId="200" fontId="14" fillId="0" borderId="32" xfId="0" applyNumberFormat="1" applyFont="1" applyFill="1" applyBorder="1" applyAlignment="1">
      <x:alignment vertical="center"/>
    </x:xf>
    <x:xf numFmtId="200" fontId="14" fillId="0" borderId="36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6" fillId="8" borderId="23" xfId="0" applyNumberFormat="1" applyFont="1" applyFill="1" applyBorder="1" applyAlignment="1">
      <x:alignment horizontal="left" vertical="center"/>
    </x:xf>
    <x:xf numFmtId="0" fontId="7" fillId="9" borderId="26" xfId="0" applyNumberFormat="1" applyFont="1" applyFill="1" applyBorder="1" applyAlignment="1">
      <x:alignment horizontal="left" vertical="center"/>
    </x:xf>
    <x:xf numFmtId="0" fontId="19" fillId="0" borderId="0" xfId="0" applyNumberFormat="1" applyFont="1" applyFill="1" applyBorder="1" applyAlignment="1">
      <x:alignment horizontal="left" vertical="center"/>
    </x:xf>
    <x:xf numFmtId="0" fontId="21" fillId="0" borderId="29" xfId="0" applyNumberFormat="1" applyFont="1" applyFill="1" applyBorder="1" applyAlignment="1">
      <x:alignment horizontal="left" vertical="center"/>
    </x:xf>
    <x:xf numFmtId="0" fontId="21" fillId="0" borderId="30" xfId="0" applyNumberFormat="1" applyFont="1" applyFill="1" applyBorder="1" applyAlignment="1">
      <x:alignment horizontal="left" vertical="center"/>
    </x:xf>
    <x:xf numFmtId="0" fontId="16" fillId="0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 applyAlignment="1">
      <x:alignment horizontal="right" vertical="center"/>
    </x:xf>
    <x:xf numFmtId="0" fontId="15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6" fillId="8" borderId="24" xfId="0" applyNumberFormat="1" applyFont="1" applyFill="1" applyBorder="1" applyAlignment="1">
      <x:alignment horizontal="right" vertical="center"/>
    </x:xf>
    <x:xf numFmtId="0" fontId="6" fillId="8" borderId="25" xfId="0" applyNumberFormat="1" applyFont="1" applyFill="1" applyBorder="1" applyAlignment="1">
      <x:alignment horizontal="right" vertical="center"/>
    </x:xf>
    <x:xf numFmtId="0" fontId="7" fillId="10" borderId="27" xfId="0" applyNumberFormat="1" applyFont="1" applyFill="1" applyBorder="1" applyAlignment="1">
      <x:alignment horizontal="right" vertical="center"/>
    </x:xf>
    <x:xf numFmtId="0" fontId="7" fillId="9" borderId="31" xfId="0" applyNumberFormat="1" applyFont="1" applyFill="1" applyBorder="1" applyAlignment="1">
      <x:alignment horizontal="right" vertical="center"/>
    </x:xf>
    <x:xf numFmtId="0" fontId="7" fillId="9" borderId="27" xfId="0" applyNumberFormat="1" applyFont="1" applyFill="1" applyBorder="1" applyAlignment="1">
      <x:alignment horizontal="right" vertical="center"/>
    </x:xf>
    <x:xf numFmtId="0" fontId="7" fillId="9" borderId="28" xfId="0" applyNumberFormat="1" applyFont="1" applyFill="1" applyBorder="1" applyAlignment="1">
      <x:alignment horizontal="right" vertical="center"/>
    </x:xf>
    <x:xf numFmtId="204" fontId="17" fillId="0" borderId="0" xfId="0" applyNumberFormat="1" applyFont="1" applyFill="1" applyBorder="1" applyAlignment="1">
      <x:alignment horizontal="right" vertical="center"/>
    </x:xf>
    <x:xf numFmtId="204" fontId="17" fillId="0" borderId="32" xfId="0" applyNumberFormat="1" applyFont="1" applyFill="1" applyBorder="1" applyAlignment="1">
      <x:alignment horizontal="right" vertical="center"/>
    </x:xf>
    <x:xf numFmtId="200" fontId="19" fillId="0" borderId="0" xfId="0" applyNumberFormat="1" applyFont="1" applyFill="1" applyBorder="1" applyAlignment="1">
      <x:alignment horizontal="right" vertical="center"/>
    </x:xf>
    <x:xf numFmtId="200" fontId="20" fillId="11" borderId="32" xfId="0" applyNumberFormat="1" applyFont="1" applyFill="1" applyBorder="1" applyAlignment="1">
      <x:alignment horizontal="right" vertical="center"/>
    </x:xf>
    <x:xf numFmtId="200" fontId="20" fillId="11" borderId="0" xfId="0" applyNumberFormat="1" applyFont="1" applyFill="1" applyBorder="1" applyAlignment="1">
      <x:alignment horizontal="right" vertical="center"/>
    </x:xf>
    <x:xf numFmtId="201" fontId="14" fillId="0" borderId="0" xfId="0" applyNumberFormat="1" applyFont="1" applyFill="1" applyBorder="1" applyAlignment="1">
      <x:alignment horizontal="right" vertical="center"/>
    </x:xf>
    <x:xf numFmtId="201" fontId="18" fillId="11" borderId="32" xfId="0" applyNumberFormat="1" applyFont="1" applyFill="1" applyBorder="1" applyAlignment="1">
      <x:alignment horizontal="right" vertical="center"/>
    </x:xf>
    <x:xf numFmtId="201" fontId="18" fillId="11" borderId="0" xfId="0" applyNumberFormat="1" applyFont="1" applyFill="1" applyBorder="1" applyAlignment="1">
      <x:alignment horizontal="right" vertical="center"/>
    </x:xf>
    <x:xf numFmtId="202" fontId="18" fillId="0" borderId="0" xfId="0" applyNumberFormat="1" applyFont="1" applyFill="1" applyBorder="1" applyAlignment="1">
      <x:alignment horizontal="right" vertical="center"/>
    </x:xf>
    <x:xf numFmtId="202" fontId="18" fillId="11" borderId="32" xfId="0" applyNumberFormat="1" applyFont="1" applyFill="1" applyBorder="1" applyAlignment="1">
      <x:alignment horizontal="right" vertical="center"/>
    </x:xf>
    <x:xf numFmtId="202" fontId="14" fillId="0" borderId="0" xfId="0" applyNumberFormat="1" applyFont="1" applyFill="1" applyBorder="1" applyAlignment="1">
      <x:alignment horizontal="right" vertical="center"/>
    </x:xf>
    <x:xf numFmtId="203" fontId="18" fillId="0" borderId="0" xfId="0" applyNumberFormat="1" applyFont="1" applyFill="1" applyBorder="1" applyAlignment="1">
      <x:alignment horizontal="right" vertical="center"/>
    </x:xf>
    <x:xf numFmtId="203" fontId="18" fillId="11" borderId="32" xfId="0" applyNumberFormat="1" applyFont="1" applyFill="1" applyBorder="1" applyAlignment="1">
      <x:alignment horizontal="right" vertical="center"/>
    </x:xf>
    <x:xf numFmtId="203" fontId="18" fillId="11" borderId="0" xfId="0" applyNumberFormat="1" applyFont="1" applyFill="1" applyBorder="1" applyAlignment="1">
      <x:alignment horizontal="right" vertical="center"/>
    </x:xf>
    <x:xf numFmtId="204" fontId="18" fillId="0" borderId="0" xfId="0" applyNumberFormat="1" applyFont="1" applyFill="1" applyBorder="1" applyAlignment="1">
      <x:alignment horizontal="right" vertical="center"/>
    </x:xf>
    <x:xf numFmtId="204" fontId="18" fillId="11" borderId="32" xfId="0" applyNumberFormat="1" applyFont="1" applyFill="1" applyBorder="1" applyAlignment="1">
      <x:alignment horizontal="right" vertical="center"/>
    </x:xf>
    <x:xf numFmtId="204" fontId="18" fillId="11" borderId="0" xfId="0" applyNumberFormat="1" applyFont="1" applyFill="1" applyBorder="1" applyAlignment="1">
      <x:alignment horizontal="right" vertical="center"/>
    </x:xf>
    <x:xf numFmtId="204" fontId="14" fillId="0" borderId="32" xfId="0" applyNumberFormat="1" applyFont="1" applyFill="1" applyBorder="1" applyAlignment="1">
      <x:alignment horizontal="right" vertical="center"/>
    </x:xf>
    <x:xf numFmtId="204" fontId="14" fillId="0" borderId="0" xfId="0" applyNumberFormat="1" applyFont="1" applyFill="1" applyBorder="1" applyAlignment="1">
      <x:alignment horizontal="right" vertical="center"/>
    </x:xf>
    <x:xf numFmtId="0" fontId="6" fillId="8" borderId="33" xfId="0" applyNumberFormat="1" applyFont="1" applyFill="1" applyBorder="1" applyAlignment="1">
      <x:alignment horizontal="right" vertical="center"/>
    </x:xf>
    <x:xf numFmtId="204" fontId="21" fillId="0" borderId="29" xfId="0" applyNumberFormat="1" applyFont="1" applyFill="1" applyBorder="1" applyAlignment="1">
      <x:alignment horizontal="right" vertical="center"/>
    </x:xf>
    <x:xf numFmtId="204" fontId="21" fillId="0" borderId="34" xfId="0" applyNumberFormat="1" applyFont="1" applyFill="1" applyBorder="1" applyAlignment="1">
      <x:alignment horizontal="right" vertical="center"/>
    </x:xf>
    <x:xf numFmtId="204" fontId="21" fillId="0" borderId="30" xfId="0" applyNumberFormat="1" applyFont="1" applyFill="1" applyBorder="1" applyAlignment="1">
      <x:alignment horizontal="right" vertical="center"/>
    </x:xf>
    <x:xf numFmtId="204" fontId="21" fillId="0" borderId="35" xfId="0" applyNumberFormat="1" applyFont="1" applyFill="1" applyBorder="1" applyAlignment="1">
      <x:alignment horizontal="right" vertical="center"/>
    </x:xf>
    <x:xf numFmtId="202" fontId="14" fillId="0" borderId="32" xfId="0" applyNumberFormat="1" applyFont="1" applyFill="1" applyBorder="1" applyAlignment="1">
      <x:alignment horizontal="right" vertical="center"/>
    </x:xf>
    <x:xf numFmtId="0" fontId="14" fillId="0" borderId="32" xfId="0" applyNumberFormat="1" applyFont="1" applyFill="1" applyBorder="1" applyAlignment="1">
      <x:alignment horizontal="right" vertical="center"/>
    </x:xf>
    <x:xf numFmtId="202" fontId="14" fillId="0" borderId="36" xfId="0" applyNumberFormat="1" applyFont="1" applyFill="1" applyBorder="1" applyAlignment="1">
      <x:alignment horizontal="right" vertical="center"/>
    </x:xf>
    <x:xf numFmtId="0" fontId="22" fillId="0" borderId="0" xfId="0" applyNumberFormat="1" applyFont="1" applyFill="1" applyBorder="1" applyAlignment="1">
      <x:alignment horizontal="right" vertical="center" wrapText="1"/>
    </x:xf>
    <x:xf numFmtId="200" fontId="19" fillId="0" borderId="32" xfId="0" applyNumberFormat="1" applyFont="1" applyFill="1" applyBorder="1" applyAlignment="1">
      <x:alignment horizontal="right" vertical="center"/>
    </x:xf>
    <x:xf numFmtId="202" fontId="17" fillId="0" borderId="0" xfId="0" applyNumberFormat="1" applyFont="1" applyFill="1" applyBorder="1" applyAlignment="1">
      <x:alignment horizontal="right" vertical="center"/>
    </x:xf>
    <x:xf numFmtId="202" fontId="17" fillId="0" borderId="32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right" vertical="center"/>
    </x:xf>
    <x:xf numFmtId="200" fontId="14" fillId="0" borderId="32" xfId="0" applyNumberFormat="1" applyFont="1" applyFill="1" applyBorder="1" applyAlignment="1">
      <x:alignment horizontal="right" vertical="center"/>
    </x:xf>
    <x:xf numFmtId="200" fontId="14" fillId="0" borderId="36" xfId="0" applyNumberFormat="1" applyFont="1" applyFill="1" applyBorder="1" applyAlignment="1">
      <x:alignment horizontal="right" vertical="center"/>
    </x:xf>
    <x:xf numFmtId="0" fontId="14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23" xfId="0" applyNumberFormat="1" applyFont="1" applyFill="1" applyBorder="1" applyAlignment="1">
      <x:alignment vertical="center"/>
    </x:xf>
    <x:xf numFmtId="0" fontId="6" fillId="12" borderId="24" xfId="0" applyNumberFormat="1" applyFont="1" applyFill="1" applyBorder="1" applyAlignment="1">
      <x:alignment vertical="center"/>
    </x:xf>
    <x:xf numFmtId="0" fontId="6" fillId="12" borderId="25" xfId="0" applyNumberFormat="1" applyFont="1" applyFill="1" applyBorder="1" applyAlignment="1">
      <x:alignment vertical="center"/>
    </x:xf>
    <x:xf numFmtId="0" fontId="7" fillId="13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7" fillId="13" borderId="0" xfId="0" applyNumberFormat="1" applyFont="1" applyFill="1" applyBorder="1" applyAlignment="1">
      <x:alignment horizontal="center" vertical="center"/>
    </x:xf>
    <x:xf numFmtId="0" fontId="7" fillId="14" borderId="0" xfId="0" applyNumberFormat="1" applyFont="1" applyFill="1" applyBorder="1" applyAlignment="1">
      <x:alignment horizontal="center" vertical="center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7" fillId="14" borderId="37" xfId="0" applyNumberFormat="1" applyFont="1" applyFill="1" applyBorder="1" applyAlignment="1">
      <x:alignment horizontal="center" vertical="center" wrapText="1"/>
    </x:xf>
    <x:xf numFmtId="204" fontId="17" fillId="0" borderId="37" xfId="0" applyNumberFormat="1" applyFont="1" applyFill="1" applyBorder="1" applyAlignment="1">
      <x:alignment vertical="center"/>
    </x:xf>
    <x:xf numFmtId="200" fontId="19" fillId="0" borderId="37" xfId="0" applyNumberFormat="1" applyFont="1" applyFill="1" applyBorder="1" applyAlignment="1">
      <x:alignment vertical="center"/>
    </x:xf>
    <x:xf numFmtId="204" fontId="18" fillId="0" borderId="37" xfId="0" applyNumberFormat="1" applyFont="1" applyFill="1" applyBorder="1" applyAlignment="1">
      <x:alignment vertical="center"/>
    </x:xf>
    <x:xf numFmtId="204" fontId="21" fillId="0" borderId="38" xfId="0" applyNumberFormat="1" applyFont="1" applyFill="1" applyBorder="1" applyAlignment="1">
      <x:alignment vertical="center"/>
    </x:xf>
    <x:xf numFmtId="204" fontId="14" fillId="0" borderId="37" xfId="0" applyNumberFormat="1" applyFont="1" applyFill="1" applyBorder="1" applyAlignment="1">
      <x:alignment vertical="center"/>
    </x:xf>
    <x:xf numFmtId="204" fontId="21" fillId="0" borderId="39" xfId="0" applyNumberFormat="1" applyFont="1" applyFill="1" applyBorder="1" applyAlignment="1">
      <x:alignment vertical="center"/>
    </x:xf>
    <x:xf numFmtId="202" fontId="14" fillId="0" borderId="37" xfId="0" applyNumberFormat="1" applyFont="1" applyFill="1" applyBorder="1" applyAlignment="1">
      <x:alignment vertical="center"/>
    </x:xf>
    <x:xf numFmtId="0" fontId="7" fillId="13" borderId="37" xfId="0" applyNumberFormat="1" applyFont="1" applyFill="1" applyBorder="1" applyAlignment="1">
      <x:alignment horizontal="center" vertical="center" wrapText="1"/>
    </x:xf>
    <x:xf numFmtId="202" fontId="17" fillId="0" borderId="37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 applyAlignment="1">
      <x:alignment vertical="center"/>
    </x:xf>
    <x:xf numFmtId="0" fontId="7" fillId="13" borderId="37" xfId="0" applyNumberFormat="1" applyFont="1" applyFill="1" applyBorder="1" applyAlignment="1">
      <x:alignment horizontal="center" vertical="center"/>
    </x:xf>
    <x:xf numFmtId="0" fontId="14" fillId="0" borderId="37" xfId="0" applyNumberFormat="1" applyFont="1" applyFill="1" applyBorder="1" applyAlignment="1">
      <x:alignment vertical="center"/>
    </x:xf>
    <x:xf numFmtId="200" fontId="14" fillId="0" borderId="37" xfId="0" applyNumberFormat="1" applyFont="1" applyFill="1" applyBorder="1" applyAlignment="1">
      <x:alignment vertical="center"/>
    </x:xf>
    <x:xf numFmtId="204" fontId="21" fillId="0" borderId="37" xfId="0" applyNumberFormat="1" applyFont="1" applyFill="1" applyBorder="1" applyAlignment="1">
      <x:alignment vertical="center"/>
    </x:xf>
    <x:xf numFmtId="0" fontId="14" fillId="12" borderId="37" xfId="0" applyNumberFormat="1" applyFont="1" applyFill="1" applyBorder="1" applyAlignment="1">
      <x:alignment vertical="center"/>
    </x:xf>
    <x:xf numFmtId="0" fontId="6" fillId="12" borderId="37" xfId="0" applyNumberFormat="1" applyFont="1" applyFill="1" applyBorder="1" applyAlignment="1">
      <x:alignment vertical="center"/>
    </x:xf>
    <x:xf numFmtId="0" fontId="6" fillId="12" borderId="4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37" xfId="0" applyNumberFormat="1" applyFont="1" applyFill="1" applyBorder="1" applyAlignment="1">
      <x:alignment vertical="center" wrapText="1"/>
    </x:xf>
    <x:xf numFmtId="0" fontId="6" fillId="12" borderId="23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7" fillId="13" borderId="0" xfId="0" applyNumberFormat="1" applyFont="1" applyFill="1" applyBorder="1" applyAlignment="1">
      <x:alignment horizontal="left" vertical="center"/>
    </x:xf>
    <x:xf numFmtId="0" fontId="6" fillId="12" borderId="24" xfId="0" applyNumberFormat="1" applyFont="1" applyFill="1" applyBorder="1" applyAlignment="1">
      <x:alignment horizontal="right" vertical="center"/>
    </x:xf>
    <x:xf numFmtId="0" fontId="6" fillId="12" borderId="25" xfId="0" applyNumberFormat="1" applyFont="1" applyFill="1" applyBorder="1" applyAlignment="1">
      <x:alignment horizontal="right" vertical="center"/>
    </x:xf>
    <x:xf numFmtId="0" fontId="7" fillId="14" borderId="0" xfId="0" applyNumberFormat="1" applyFont="1" applyFill="1" applyBorder="1" applyAlignment="1">
      <x:alignment horizontal="right" vertical="center" wrapText="1"/>
    </x:xf>
    <x:xf numFmtId="0" fontId="7" fillId="14" borderId="37" xfId="0" applyNumberFormat="1" applyFont="1" applyFill="1" applyBorder="1" applyAlignment="1">
      <x:alignment horizontal="right" vertical="center" wrapText="1"/>
    </x:xf>
    <x:xf numFmtId="0" fontId="7" fillId="13" borderId="0" xfId="0" applyNumberFormat="1" applyFont="1" applyFill="1" applyBorder="1" applyAlignment="1">
      <x:alignment horizontal="right" vertical="center" wrapText="1"/>
    </x:xf>
    <x:xf numFmtId="0" fontId="7" fillId="13" borderId="37" xfId="0" applyNumberFormat="1" applyFont="1" applyFill="1" applyBorder="1" applyAlignment="1">
      <x:alignment horizontal="right" vertical="center" wrapText="1"/>
    </x:xf>
    <x:xf numFmtId="204" fontId="17" fillId="0" borderId="37" xfId="0" applyNumberFormat="1" applyFont="1" applyFill="1" applyBorder="1" applyAlignment="1">
      <x:alignment horizontal="right" vertical="center"/>
    </x:xf>
    <x:xf numFmtId="200" fontId="19" fillId="0" borderId="37" xfId="0" applyNumberFormat="1" applyFont="1" applyFill="1" applyBorder="1" applyAlignment="1">
      <x:alignment horizontal="right" vertical="center"/>
    </x:xf>
    <x:xf numFmtId="204" fontId="18" fillId="0" borderId="37" xfId="0" applyNumberFormat="1" applyFont="1" applyFill="1" applyBorder="1" applyAlignment="1">
      <x:alignment horizontal="right" vertical="center"/>
    </x:xf>
    <x:xf numFmtId="204" fontId="14" fillId="0" borderId="37" xfId="0" applyNumberFormat="1" applyFont="1" applyFill="1" applyBorder="1" applyAlignment="1">
      <x:alignment horizontal="right" vertical="center"/>
    </x:xf>
    <x:xf numFmtId="204" fontId="21" fillId="0" borderId="38" xfId="0" applyNumberFormat="1" applyFont="1" applyFill="1" applyBorder="1" applyAlignment="1">
      <x:alignment horizontal="right" vertical="center"/>
    </x:xf>
    <x:xf numFmtId="204" fontId="21" fillId="0" borderId="39" xfId="0" applyNumberFormat="1" applyFont="1" applyFill="1" applyBorder="1" applyAlignment="1">
      <x:alignment horizontal="right" vertical="center"/>
    </x:xf>
    <x:xf numFmtId="202" fontId="14" fillId="0" borderId="37" xfId="0" applyNumberFormat="1" applyFont="1" applyFill="1" applyBorder="1" applyAlignment="1">
      <x:alignment horizontal="right" vertical="center"/>
    </x:xf>
    <x:xf numFmtId="202" fontId="17" fillId="0" borderId="37" xfId="0" applyNumberFormat="1" applyFont="1" applyFill="1" applyBorder="1" applyAlignment="1">
      <x:alignment horizontal="right" vertical="center"/>
    </x:xf>
    <x:xf numFmtId="0" fontId="7" fillId="13" borderId="0" xfId="0" applyNumberFormat="1" applyFont="1" applyFill="1" applyBorder="1" applyAlignment="1">
      <x:alignment horizontal="right" vertical="center"/>
    </x:xf>
    <x:xf numFmtId="0" fontId="7" fillId="14" borderId="0" xfId="0" applyNumberFormat="1" applyFont="1" applyFill="1" applyBorder="1" applyAlignment="1">
      <x:alignment horizontal="right" vertical="center"/>
    </x:xf>
    <x:xf numFmtId="0" fontId="7" fillId="13" borderId="37" xfId="0" applyNumberFormat="1" applyFont="1" applyFill="1" applyBorder="1" applyAlignment="1">
      <x:alignment horizontal="right" vertical="center"/>
    </x:xf>
    <x:xf numFmtId="200" fontId="14" fillId="0" borderId="37" xfId="0" applyNumberFormat="1" applyFont="1" applyFill="1" applyBorder="1" applyAlignment="1">
      <x:alignment horizontal="right" vertical="center"/>
    </x:xf>
    <x:xf numFmtId="0" fontId="14" fillId="0" borderId="37" xfId="0" applyNumberFormat="1" applyFont="1" applyFill="1" applyBorder="1" applyAlignment="1">
      <x:alignment horizontal="right" vertical="center"/>
    </x:xf>
    <x:xf numFmtId="0" fontId="6" fillId="12" borderId="4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horizontal="right" vertical="center" wrapText="1"/>
    </x:xf>
    <x:xf numFmtId="0" fontId="14" fillId="0" borderId="37" xfId="0" applyNumberFormat="1" applyFont="1" applyFill="1" applyBorder="1" applyAlignment="1">
      <x:alignment horizontal="right" vertical="center" wrapText="1"/>
    </x:xf>
    <x:xf numFmtId="0" fontId="22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14" fillId="0" borderId="37" xfId="0" applyNumberFormat="1" applyFont="1" applyFill="1" applyBorder="1" applyAlignment="1">
      <x:alignment horizontal="left" vertical="center" wrapText="1"/>
    </x:xf>
    <x:xf numFmtId="0" fontId="14" fillId="0" borderId="37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7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61700d916495f" /><Relationship Type="http://schemas.openxmlformats.org/officeDocument/2006/relationships/theme" Target="/xl/theme/theme1.xml" Id="R59a58f3cfb5b4157" /><Relationship Type="http://schemas.openxmlformats.org/officeDocument/2006/relationships/sharedStrings" Target="/xl/sharedStrings.xml" Id="Raf51aaded88345be" /><Relationship Type="http://schemas.openxmlformats.org/officeDocument/2006/relationships/worksheet" Target="/xl/worksheets/sheet1.xml" Id="Rd1acd0ac8f45465b" /><Relationship Type="http://schemas.openxmlformats.org/officeDocument/2006/relationships/worksheet" Target="/xl/worksheets/sheet2.xml" Id="R9346e27734044cb1" /><Relationship Type="http://schemas.openxmlformats.org/officeDocument/2006/relationships/worksheet" Target="/xl/worksheets/sheet3.xml" Id="R775890ce8abe40d6" /><Relationship Type="http://schemas.openxmlformats.org/officeDocument/2006/relationships/worksheet" Target="/xl/worksheets/sheet4.xml" Id="Rc9a52766d1a64e5d" /><Relationship Type="http://schemas.openxmlformats.org/officeDocument/2006/relationships/worksheet" Target="/xl/worksheets/sheet5.xml" Id="Rf16d6de6cae74066" /><Relationship Type="http://schemas.openxmlformats.org/officeDocument/2006/relationships/worksheet" Target="/xl/worksheets/sheet6.xml" Id="R8384bbc7bd684296" /><Relationship Type="http://schemas.openxmlformats.org/officeDocument/2006/relationships/worksheet" Target="/xl/worksheets/sheet7.xml" Id="R6ebdb48e8ed9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6" topLeftCell="C17" activePane="bottomRight" state="frozen"/>
    </x:sheetView>
  </x:sheetViews>
  <x:sheetFormatPr baseColWidth="10" defaultColWidth="8.83203125" defaultRowHeight="14"/>
  <x:cols>
    <x:col min="1" max="1" width="35" customWidth="1"/>
    <x:col min="2" max="2" width="27" customWidth="1"/>
    <x:col min="3" max="23" width="11" customWidth="1"/>
  </x:cols>
  <x:sheetData>
    <x:row r="1" ht="3" customHeight="1"/>
    <x:row r="2" ht="3" customHeight="1">
      <x:c r="A2" s="40" t="s">
        <x:v>0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</x:row>
    <x:row r="3" ht="3" customHeight="1">
      <x:c r="A3" s="41" t="s">
        <x:v>1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</x:row>
    <x:row r="4" ht="3" customHeight="1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 t="s">
        <x:v>2</x:v>
      </x:c>
      <x:c r="T4" s="44" t="s">
        <x:v>3</x:v>
      </x:c>
      <x:c r="U4" s="45" t="s">
        <x:v>4</x:v>
      </x:c>
      <x:c r="V4" s="42"/>
      <x:c r="W4" s="42"/>
    </x:row>
    <x:row r="5" ht="3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</x:row>
    <x:row r="6" ht="18" customHeight="1">
      <x:c r="A6" s="46" t="s">
        <x:v>5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</x:row>
    <x:row r="7" ht="30" customHeight="1">
      <x:c r="A7" s="8" t="s">
        <x:v>6</x:v>
      </x:c>
      <x:c r="B7" s="8" t="s">
        <x:v>7</x:v>
      </x:c>
      <x:c r="C7" s="1" t="s">
        <x:v>8</x:v>
      </x:c>
      <x:c r="D7" s="1" t="s">
        <x:v>9</x:v>
      </x:c>
      <x:c r="E7" s="1" t="s">
        <x:v>10</x:v>
      </x:c>
      <x:c r="F7" s="1" t="s">
        <x:v>11</x:v>
      </x:c>
      <x:c r="G7" s="24" t="s">
        <x:v>12</x:v>
      </x:c>
      <x:c r="H7" s="8" t="s">
        <x:v>13</x:v>
      </x:c>
      <x:c r="I7" s="8" t="s">
        <x:v>14</x:v>
      </x:c>
      <x:c r="J7" s="8" t="s">
        <x:v>15</x:v>
      </x:c>
      <x:c r="K7" s="8" t="s">
        <x:v>16</x:v>
      </x:c>
      <x:c r="L7" s="32" t="s">
        <x:v>17</x:v>
      </x:c>
      <x:c r="M7" s="8" t="s">
        <x:v>18</x:v>
      </x:c>
      <x:c r="N7" s="8" t="s">
        <x:v>19</x:v>
      </x:c>
      <x:c r="O7" s="8" t="s">
        <x:v>20</x:v>
      </x:c>
      <x:c r="P7" s="8" t="s">
        <x:v>21</x:v>
      </x:c>
      <x:c r="Q7" s="32" t="s">
        <x:v>22</x:v>
      </x:c>
      <x:c r="R7" s="8" t="s">
        <x:v>23</x:v>
      </x:c>
      <x:c r="S7" s="8" t="s">
        <x:v>24</x:v>
      </x:c>
      <x:c r="T7" s="8" t="s">
        <x:v>25</x:v>
      </x:c>
      <x:c r="U7" s="8" t="s">
        <x:v>26</x:v>
      </x:c>
      <x:c r="V7" s="8" t="s">
        <x:v>27</x:v>
      </x:c>
      <x:c r="W7" s="8" t="s">
        <x:v>28</x:v>
      </x:c>
    </x:row>
    <x:row r="8" ht="16" customHeight="1">
      <x:c r="A8" s="2" t="s">
        <x:v>29</x:v>
      </x:c>
      <x:c r="B8" s="2"/>
      <x:c r="C8" s="14" t="n">
        <x:f t="shared" ref="C8:W8" si="0">C81</x:f>
        <x:v>23376.3</x:v>
      </x:c>
      <x:c r="D8" s="14">
        <x:f t="shared" si="0"/>
        <x:v>20810.400000000001</x:v>
      </x:c>
      <x:c r="E8" s="14">
        <x:f t="shared" si="0"/>
        <x:v>21283.599999999999</x:v>
      </x:c>
      <x:c r="F8" s="14">
        <x:f t="shared" si="0"/>
        <x:v>23771.1</x:v>
      </x:c>
      <x:c r="G8" s="25">
        <x:f t="shared" si="0"/>
        <x:v>6175.35</x:v>
      </x:c>
      <x:c r="H8" s="14">
        <x:f t="shared" si="0"/>
        <x:v>6277.5878232974419</x:v>
      </x:c>
      <x:c r="I8" s="14">
        <x:f t="shared" si="0"/>
        <x:v>6016.6719509119994</x:v>
      </x:c>
      <x:c r="J8" s="14">
        <x:f t="shared" si="0"/>
        <x:v>6142.8537992162437</x:v>
      </x:c>
      <x:c r="K8" s="14">
        <x:f t="shared" si="0"/>
        <x:v>24612.463573425684</x:v>
      </x:c>
      <x:c r="L8" s="33">
        <x:f t="shared" si="0"/>
        <x:v>6157.3044428824378</x:v>
      </x:c>
      <x:c r="M8" s="14">
        <x:f t="shared" si="0"/>
        <x:v>6533.321103756125</x:v>
      </x:c>
      <x:c r="N8" s="14">
        <x:f t="shared" si="0"/>
        <x:v>6623.9220061921242</x:v>
      </x:c>
      <x:c r="O8" s="14">
        <x:f t="shared" si="0"/>
        <x:v>6769.5880575255615</x:v>
      </x:c>
      <x:c r="P8" s="14">
        <x:f t="shared" si="0"/>
        <x:v>26084.13561035625</x:v>
      </x:c>
      <x:c r="Q8" s="33">
        <x:f t="shared" si="0"/>
        <x:v>28940.989466143837</x:v>
      </x:c>
      <x:c r="R8" s="14">
        <x:f t="shared" si="0"/>
        <x:v>32416.18491646945</x:v>
      </x:c>
      <x:c r="S8" s="14">
        <x:f t="shared" si="0"/>
        <x:v>34557.362278823595</x:v>
      </x:c>
      <x:c r="T8" s="14">
        <x:f t="shared" si="0"/>
        <x:v>36846.751901875818</x:v>
      </x:c>
      <x:c r="U8" s="14">
        <x:f t="shared" si="0"/>
        <x:v>39266.14297744818</x:v>
      </x:c>
      <x:c r="V8" s="14">
        <x:f t="shared" si="0"/>
        <x:v>41840.892447805316</x:v>
      </x:c>
      <x:c r="W8" s="14">
        <x:f t="shared" si="0"/>
        <x:v>44680.882687733108</x:v>
      </x:c>
    </x:row>
    <x:row r="9" ht="16" customHeight="1">
      <x:c r="A9" s="2" t="s">
        <x:v>30</x:v>
      </x:c>
      <x:c r="B9" s="2"/>
      <x:c r="C9" s="14" t="n">
        <x:f t="shared" ref="C9:W9" si="1">C83</x:f>
        <x:v>846.9</x:v>
      </x:c>
      <x:c r="D9" s="14">
        <x:f t="shared" si="1"/>
        <x:v>1116.5</x:v>
      </x:c>
      <x:c r="E9" s="14">
        <x:f t="shared" si="1"/>
        <x:v>1526.4</x:v>
      </x:c>
      <x:c r="F9" s="14">
        <x:f t="shared" si="1"/>
        <x:v>1421.6</x:v>
      </x:c>
      <x:c r="G9" s="25">
        <x:f t="shared" si="1"/>
        <x:v>355.4</x:v>
      </x:c>
      <x:c r="H9" s="14">
        <x:f t="shared" si="1"/>
        <x:v>355.39999999999992</x:v>
      </x:c>
      <x:c r="I9" s="14">
        <x:f t="shared" si="1"/>
        <x:v>355.39999999999992</x:v>
      </x:c>
      <x:c r="J9" s="14">
        <x:f t="shared" si="1"/>
        <x:v>355.39999999999992</x:v>
      </x:c>
      <x:c r="K9" s="14">
        <x:f t="shared" si="1"/>
        <x:v>1421.5999999999997</x:v>
      </x:c>
      <x:c r="L9" s="33">
        <x:f t="shared" si="1"/>
        <x:v>355.39999999999992</x:v>
      </x:c>
      <x:c r="M9" s="14">
        <x:f t="shared" si="1"/>
        <x:v>355.39999999999992</x:v>
      </x:c>
      <x:c r="N9" s="14">
        <x:f t="shared" si="1"/>
        <x:v>355.39999999999992</x:v>
      </x:c>
      <x:c r="O9" s="14">
        <x:f t="shared" si="1"/>
        <x:v>355.39999999999992</x:v>
      </x:c>
      <x:c r="P9" s="14">
        <x:f t="shared" si="1"/>
        <x:v>1421.5999999999997</x:v>
      </x:c>
      <x:c r="Q9" s="33">
        <x:f t="shared" si="1"/>
        <x:v>1421.5999999999997</x:v>
      </x:c>
      <x:c r="R9" s="14">
        <x:f t="shared" si="1"/>
        <x:v>1421.5999999999997</x:v>
      </x:c>
      <x:c r="S9" s="14">
        <x:f t="shared" si="1"/>
        <x:v>1421.5999999999997</x:v>
      </x:c>
      <x:c r="T9" s="14">
        <x:f t="shared" si="1"/>
        <x:v>1421.5999999999997</x:v>
      </x:c>
      <x:c r="U9" s="14">
        <x:f t="shared" si="1"/>
        <x:v>1421.5999999999997</x:v>
      </x:c>
      <x:c r="V9" s="14">
        <x:f t="shared" si="1"/>
        <x:v>1421.5999999999997</x:v>
      </x:c>
      <x:c r="W9" s="14">
        <x:f t="shared" si="1"/>
        <x:v>1421.5999999999997</x:v>
      </x:c>
    </x:row>
    <x:row r="10" ht="16" customHeight="1">
      <x:c r="A10" s="2" t="s">
        <x:v>31</x:v>
      </x:c>
      <x:c r="B10" s="2"/>
      <x:c r="C10" s="14" t="n">
        <x:f t="shared" ref="C10:W10" si="2">C84</x:f>
        <x:v>24.4</x:v>
      </x:c>
      <x:c r="D10" s="14">
        <x:f t="shared" si="2"/>
        <x:v>4.8</x:v>
      </x:c>
      <x:c r="E10" s="14">
        <x:f t="shared" si="2"/>
        <x:v>3.5</x:v>
      </x:c>
      <x:c r="F10" s="14">
        <x:f t="shared" si="2"/>
        <x:v>3.8</x:v>
      </x:c>
      <x:c r="G10" s="25">
        <x:f t="shared" si="2"/>
        <x:v>0.95</x:v>
      </x:c>
      <x:c r="H10" s="14">
        <x:f t="shared" si="2"/>
        <x:v>0.94999999999999984</x:v>
      </x:c>
      <x:c r="I10" s="14">
        <x:f t="shared" si="2"/>
        <x:v>0.94999999999999984</x:v>
      </x:c>
      <x:c r="J10" s="14">
        <x:f t="shared" si="2"/>
        <x:v>0.94999999999999984</x:v>
      </x:c>
      <x:c r="K10" s="14">
        <x:f t="shared" si="2"/>
        <x:v>3.7999999999999994</x:v>
      </x:c>
      <x:c r="L10" s="33">
        <x:f t="shared" si="2"/>
        <x:v>0.94999999999999984</x:v>
      </x:c>
      <x:c r="M10" s="14">
        <x:f t="shared" si="2"/>
        <x:v>0.94999999999999984</x:v>
      </x:c>
      <x:c r="N10" s="14">
        <x:f t="shared" si="2"/>
        <x:v>0.94999999999999984</x:v>
      </x:c>
      <x:c r="O10" s="14">
        <x:f t="shared" si="2"/>
        <x:v>0.94999999999999984</x:v>
      </x:c>
      <x:c r="P10" s="14">
        <x:f t="shared" si="2"/>
        <x:v>3.7999999999999994</x:v>
      </x:c>
      <x:c r="Q10" s="33">
        <x:f t="shared" si="2"/>
        <x:v>3.7999999999999994</x:v>
      </x:c>
      <x:c r="R10" s="14">
        <x:f t="shared" si="2"/>
        <x:v>3.7999999999999994</x:v>
      </x:c>
      <x:c r="S10" s="14">
        <x:f t="shared" si="2"/>
        <x:v>3.7999999999999994</x:v>
      </x:c>
      <x:c r="T10" s="14">
        <x:f t="shared" si="2"/>
        <x:v>3.7999999999999994</x:v>
      </x:c>
      <x:c r="U10" s="14">
        <x:f t="shared" si="2"/>
        <x:v>3.7999999999999994</x:v>
      </x:c>
      <x:c r="V10" s="14">
        <x:f t="shared" si="2"/>
        <x:v>3.7999999999999994</x:v>
      </x:c>
      <x:c r="W10" s="14">
        <x:f t="shared" si="2"/>
        <x:v>3.7999999999999994</x:v>
      </x:c>
    </x:row>
    <x:row r="11" ht="16" customHeight="1">
      <x:c r="A11" s="6" t="s">
        <x:v>32</x:v>
      </x:c>
      <x:c r="B11" s="6"/>
      <x:c r="C11" s="15" t="n">
        <x:f t="shared" ref="C11:W11" si="3">C85</x:f>
        <x:v>24247.600000000002</x:v>
      </x:c>
      <x:c r="D11" s="15">
        <x:f t="shared" si="3"/>
        <x:v>21931.7</x:v>
      </x:c>
      <x:c r="E11" s="15">
        <x:f t="shared" si="3"/>
        <x:v>22813.5</x:v>
      </x:c>
      <x:c r="F11" s="15">
        <x:f t="shared" si="3"/>
        <x:v>25196.499999999996</x:v>
      </x:c>
      <x:c r="G11" s="26">
        <x:f t="shared" si="3"/>
        <x:v>6531.7</x:v>
      </x:c>
      <x:c r="H11" s="15">
        <x:f t="shared" si="3"/>
        <x:v>6633.9378232974414</x:v>
      </x:c>
      <x:c r="I11" s="15">
        <x:f t="shared" si="3"/>
        <x:v>6373.0219509119988</x:v>
      </x:c>
      <x:c r="J11" s="15">
        <x:f t="shared" si="3"/>
        <x:v>6499.2037992162432</x:v>
      </x:c>
      <x:c r="K11" s="15">
        <x:f t="shared" si="3"/>
        <x:v>26037.863573425682</x:v>
      </x:c>
      <x:c r="L11" s="34">
        <x:f t="shared" si="3"/>
        <x:v>6513.6544428824373</x:v>
      </x:c>
      <x:c r="M11" s="15">
        <x:f t="shared" si="3"/>
        <x:v>6889.6711037561245</x:v>
      </x:c>
      <x:c r="N11" s="15">
        <x:f t="shared" si="3"/>
        <x:v>6980.2720061921236</x:v>
      </x:c>
      <x:c r="O11" s="15">
        <x:f t="shared" si="3"/>
        <x:v>7125.9380575255609</x:v>
      </x:c>
      <x:c r="P11" s="15">
        <x:f t="shared" si="3"/>
        <x:v>27509.535610356248</x:v>
      </x:c>
      <x:c r="Q11" s="34">
        <x:f t="shared" si="3"/>
        <x:v>30366.389466143835</x:v>
      </x:c>
      <x:c r="R11" s="15">
        <x:f t="shared" si="3"/>
        <x:v>33841.584916469452</x:v>
      </x:c>
      <x:c r="S11" s="15">
        <x:f t="shared" si="3"/>
        <x:v>35982.762278823597</x:v>
      </x:c>
      <x:c r="T11" s="15">
        <x:f t="shared" si="3"/>
        <x:v>38272.151901875819</x:v>
      </x:c>
      <x:c r="U11" s="15">
        <x:f t="shared" si="3"/>
        <x:v>40691.542977448182</x:v>
      </x:c>
      <x:c r="V11" s="15">
        <x:f t="shared" si="3"/>
        <x:v>43266.292447805317</x:v>
      </x:c>
      <x:c r="W11" s="15">
        <x:f t="shared" si="3"/>
        <x:v>46106.28268773311</x:v>
      </x:c>
    </x:row>
    <x:row r="12" ht="16" customHeight="1">
      <x:c r="A12" s="2" t="s">
        <x:v>33</x:v>
      </x:c>
      <x:c r="B12" s="2"/>
      <x:c r="C12" s="10"/>
      <x:c r="D12" s="10" t="n">
        <x:f>D11/C11-1</x:f>
        <x:v>-0.09551048351177027</x:v>
      </x:c>
      <x:c r="E12" s="10" t="n">
        <x:f>E11/D11-1</x:f>
        <x:v>0.04020664152801645</x:v>
      </x:c>
      <x:c r="F12" s="10" t="n">
        <x:f>F11/E11-1</x:f>
        <x:v>0.10445569509281771</x:v>
      </x:c>
      <x:c r="G12" s="27"/>
      <x:c r="H12" s="10"/>
      <x:c r="I12" s="10"/>
      <x:c r="J12" s="10"/>
      <x:c r="K12" s="10" t="n">
        <x:f>K11/F11-1</x:f>
        <x:v>0.03339208117896075</x:v>
      </x:c>
      <x:c r="L12" s="35"/>
      <x:c r="M12" s="10"/>
      <x:c r="N12" s="10"/>
      <x:c r="O12" s="10"/>
      <x:c r="P12" s="10" t="n">
        <x:f>P11/K11-1</x:f>
        <x:v>0.0565204603972409</x:v>
      </x:c>
      <x:c r="Q12" s="35" t="n">
        <x:f t="shared" ref="Q12:W12" si="4">Q11/P11-1</x:f>
        <x:v>0.10384958496762464</x:v>
      </x:c>
      <x:c r="R12" s="10">
        <x:f t="shared" si="4"/>
        <x:v>0.11444216818071795</x:v>
      </x:c>
      <x:c r="S12" s="10">
        <x:f t="shared" si="4"/>
        <x:v>6.327059940127433E-2</x:v>
      </x:c>
      <x:c r="T12" s="10">
        <x:f t="shared" si="4"/>
        <x:v>6.3624621292611705E-2</x:v>
      </x:c>
      <x:c r="U12" s="10">
        <x:f t="shared" si="4"/>
        <x:v>6.3215444006789134E-2</x:v>
      </x:c>
      <x:c r="V12" s="10">
        <x:f t="shared" si="4"/>
        <x:v>6.3274805572845816E-2</x:v>
      </x:c>
      <x:c r="W12" s="10">
        <x:f t="shared" si="4"/>
        <x:v>6.5639787447788311E-2</x:v>
      </x:c>
    </x:row>
    <x:row r="13" ht="13">
      <x:c r="A13" s="42"/>
      <x:c r="B13" s="42"/>
      <x:c r="C13" s="42"/>
      <x:c r="D13" s="42"/>
      <x:c r="E13" s="42"/>
      <x:c r="F13" s="42"/>
      <x:c r="G13" s="47"/>
      <x:c r="H13" s="42"/>
      <x:c r="I13" s="42"/>
      <x:c r="J13" s="42"/>
      <x:c r="K13" s="42"/>
      <x:c r="L13" s="48"/>
      <x:c r="M13" s="42"/>
      <x:c r="N13" s="42"/>
      <x:c r="O13" s="42"/>
      <x:c r="P13" s="42"/>
      <x:c r="Q13" s="48"/>
      <x:c r="R13" s="42"/>
      <x:c r="S13" s="42"/>
      <x:c r="T13" s="42"/>
      <x:c r="U13" s="42"/>
      <x:c r="V13" s="42"/>
      <x:c r="W13" s="42"/>
    </x:row>
    <x:row r="14" ht="1" customHeight="1">
      <x:c r="A14" s="42"/>
      <x:c r="B14" s="42"/>
      <x:c r="C14" s="42"/>
      <x:c r="D14" s="42"/>
      <x:c r="E14" s="42"/>
      <x:c r="F14" s="42"/>
      <x:c r="G14" s="47"/>
      <x:c r="H14" s="42"/>
      <x:c r="I14" s="42"/>
      <x:c r="J14" s="42"/>
      <x:c r="K14" s="42"/>
      <x:c r="L14" s="48"/>
      <x:c r="M14" s="42"/>
      <x:c r="N14" s="42"/>
      <x:c r="O14" s="42"/>
      <x:c r="P14" s="42"/>
      <x:c r="Q14" s="48"/>
      <x:c r="R14" s="42"/>
      <x:c r="S14" s="42"/>
      <x:c r="T14" s="42"/>
      <x:c r="U14" s="42"/>
      <x:c r="V14" s="42"/>
      <x:c r="W14" s="42"/>
    </x:row>
    <x:row r="15" ht="18" customHeight="1">
      <x:c r="A15" s="46" t="s">
        <x:v>34</x:v>
      </x:c>
      <x:c r="B15" s="46"/>
      <x:c r="C15" s="46"/>
      <x:c r="D15" s="46"/>
      <x:c r="E15" s="46"/>
      <x:c r="F15" s="46"/>
      <x:c r="G15" s="49"/>
      <x:c r="H15" s="46"/>
      <x:c r="I15" s="46"/>
      <x:c r="J15" s="46"/>
      <x:c r="K15" s="46"/>
      <x:c r="L15" s="50"/>
      <x:c r="M15" s="46"/>
      <x:c r="N15" s="46"/>
      <x:c r="O15" s="46"/>
      <x:c r="P15" s="46"/>
      <x:c r="Q15" s="50"/>
      <x:c r="R15" s="46"/>
      <x:c r="S15" s="46"/>
      <x:c r="T15" s="46"/>
      <x:c r="U15" s="46"/>
      <x:c r="V15" s="46"/>
      <x:c r="W15" s="46"/>
    </x:row>
    <x:row r="16" ht="30" customHeight="1">
      <x:c r="A16" s="8" t="s">
        <x:v>6</x:v>
      </x:c>
      <x:c r="B16" s="8" t="s">
        <x:v>7</x:v>
      </x:c>
      <x:c r="C16" s="1" t="s">
        <x:v>8</x:v>
      </x:c>
      <x:c r="D16" s="1" t="s">
        <x:v>9</x:v>
      </x:c>
      <x:c r="E16" s="1" t="s">
        <x:v>10</x:v>
      </x:c>
      <x:c r="F16" s="1" t="s">
        <x:v>11</x:v>
      </x:c>
      <x:c r="G16" s="24" t="s">
        <x:v>12</x:v>
      </x:c>
      <x:c r="H16" s="8" t="s">
        <x:v>13</x:v>
      </x:c>
      <x:c r="I16" s="8" t="s">
        <x:v>14</x:v>
      </x:c>
      <x:c r="J16" s="8" t="s">
        <x:v>15</x:v>
      </x:c>
      <x:c r="K16" s="8" t="s">
        <x:v>16</x:v>
      </x:c>
      <x:c r="L16" s="32" t="s">
        <x:v>17</x:v>
      </x:c>
      <x:c r="M16" s="8" t="s">
        <x:v>18</x:v>
      </x:c>
      <x:c r="N16" s="8" t="s">
        <x:v>19</x:v>
      </x:c>
      <x:c r="O16" s="8" t="s">
        <x:v>20</x:v>
      </x:c>
      <x:c r="P16" s="8" t="s">
        <x:v>21</x:v>
      </x:c>
      <x:c r="Q16" s="32" t="s">
        <x:v>22</x:v>
      </x:c>
      <x:c r="R16" s="8" t="s">
        <x:v>23</x:v>
      </x:c>
      <x:c r="S16" s="8" t="s">
        <x:v>24</x:v>
      </x:c>
      <x:c r="T16" s="8" t="s">
        <x:v>25</x:v>
      </x:c>
      <x:c r="U16" s="8" t="s">
        <x:v>26</x:v>
      </x:c>
      <x:c r="V16" s="8" t="s">
        <x:v>27</x:v>
      </x:c>
      <x:c r="W16" s="8" t="s">
        <x:v>28</x:v>
      </x:c>
    </x:row>
    <x:row r="17" ht="16" customHeight="1">
      <x:c r="A17" s="16" t="s">
        <x:v>35</x:v>
      </x:c>
      <x:c r="B17" s="16"/>
      <x:c r="C17" s="23"/>
      <x:c r="D17" s="23"/>
      <x:c r="E17" s="23"/>
      <x:c r="F17" s="23"/>
      <x:c r="G17" s="28"/>
      <x:c r="H17" s="23"/>
      <x:c r="I17" s="23"/>
      <x:c r="J17" s="23"/>
      <x:c r="K17" s="23"/>
      <x:c r="L17" s="36"/>
      <x:c r="M17" s="23"/>
      <x:c r="N17" s="23"/>
      <x:c r="O17" s="23"/>
      <x:c r="P17" s="23"/>
      <x:c r="Q17" s="36"/>
      <x:c r="R17" s="23"/>
      <x:c r="S17" s="23"/>
      <x:c r="T17" s="23"/>
      <x:c r="U17" s="23"/>
      <x:c r="V17" s="23"/>
      <x:c r="W17" s="23"/>
    </x:row>
    <x:row r="18" ht="16" customHeight="1">
      <x:c r="A18" s="2"/>
      <x:c r="B18" s="2" t="s">
        <x:v>36</x:v>
      </x:c>
      <x:c r="C18" s="14">
        <x:v>2350</x:v>
      </x:c>
      <x:c r="D18" s="14">
        <x:v>2450</x:v>
      </x:c>
      <x:c r="E18" s="14">
        <x:v>2600</x:v>
      </x:c>
      <x:c r="F18" s="14">
        <x:v>2760</x:v>
      </x:c>
      <x:c r="G18" s="25" t="n">
        <x:f>Assumptions!$G$16</x:f>
        <x:v>681.4606901770477</x:v>
      </x:c>
      <x:c r="H18" s="14" t="n">
        <x:f>(($F18*(1+Assumptions!$C$16)*Assumptions!$E$16)-$G18)*Assumptions!$J$16/SUM(Assumptions!$J$16:$L$16)</x:f>
        <x:v>636.8831069201042</x:v>
      </x:c>
      <x:c r="I18" s="14" t="n">
        <x:f>(($F18*(1+Assumptions!$C$16)*Assumptions!$E$16)-$G18)*Assumptions!$K$16/SUM(Assumptions!$J$16:$L$16)</x:f>
        <x:v>692.264246652287</x:v>
      </x:c>
      <x:c r="J18" s="14" t="n">
        <x:f>(($F18*(1+Assumptions!$C$16)*Assumptions!$E$16)-$G18)*Assumptions!$L$16/SUM(Assumptions!$J$16:$L$16)</x:f>
        <x:v>775.3359562505617</x:v>
      </x:c>
      <x:c r="K18" s="14" t="n">
        <x:f>SUM(G18:J18)</x:f>
        <x:v>2785.9440000000004</x:v>
      </x:c>
      <x:c r="L18" s="33" t="n">
        <x:f>($K18*(1+Assumptions!$C$16)*Assumptions!$F$16)*Assumptions!$I$16</x:f>
        <x:v>674.9116496640003</x:v>
      </x:c>
      <x:c r="M18" s="14" t="n">
        <x:f>($K18*(1+Assumptions!$C$16)*Assumptions!$F$16)*Assumptions!$J$16</x:f>
        <x:v>646.7903309280003</x:v>
      </x:c>
      <x:c r="N18" s="14" t="n">
        <x:f>($K18*(1+Assumptions!$C$16)*Assumptions!$F$16)*Assumptions!$K$16</x:f>
        <x:v>703.0329684000003</x:v>
      </x:c>
      <x:c r="O18" s="14" t="n">
        <x:f>($K18*(1+Assumptions!$C$16)*Assumptions!$F$16)*Assumptions!$L$16</x:f>
        <x:v>787.3969246080004</x:v>
      </x:c>
      <x:c r="P18" s="14" t="n">
        <x:f>SUM(L18:O18)</x:f>
        <x:v>2812.131873600001</x:v>
      </x:c>
      <x:c r="Q18" s="33" t="n">
        <x:f>$P18*(1+Assumptions!$C$16)*Assumptions!$F$16</x:f>
        <x:v>2838.5659132118417</x:v>
      </x:c>
      <x:c r="R18" s="14" t="n">
        <x:f>$Q18*(1+Assumptions!$C$16)*Assumptions!$F$16</x:f>
        <x:v>2865.2484327960337</x:v>
      </x:c>
      <x:c r="S18" s="14" t="n">
        <x:f>$R18*(1+Assumptions!$D$16)*Assumptions!$F$16</x:f>
        <x:v>2819.4044578712974</x:v>
      </x:c>
      <x:c r="T18" s="14" t="n">
        <x:f>$S18*(1+Assumptions!$D$16)*Assumptions!$F$16</x:f>
        <x:v>2774.293986545357</x:v>
      </x:c>
      <x:c r="U18" s="14" t="n">
        <x:f>$T18*(1+Assumptions!$D$16)*Assumptions!$F$16</x:f>
        <x:v>2729.905282760631</x:v>
      </x:c>
      <x:c r="V18" s="14" t="n">
        <x:f>$U18*(1+Assumptions!$D$16)*Assumptions!$F$16</x:f>
        <x:v>2686.226798236461</x:v>
      </x:c>
      <x:c r="W18" s="14" t="n">
        <x:f>$V18*(1+Assumptions!$D$16)*Assumptions!$F$16</x:f>
        <x:v>2643.247169464678</x:v>
      </x:c>
    </x:row>
    <x:row r="19" ht="16" customHeight="1">
      <x:c r="A19" s="2"/>
      <x:c r="B19" s="2" t="s">
        <x:v>37</x:v>
      </x:c>
      <x:c r="C19" s="14">
        <x:v>0</x:v>
      </x:c>
      <x:c r="D19" s="14">
        <x:v>0</x:v>
      </x:c>
      <x:c r="E19" s="14">
        <x:v>0</x:v>
      </x:c>
      <x:c r="F19" s="14">
        <x:v>820</x:v>
      </x:c>
      <x:c r="G19" s="25" t="n">
        <x:f>Assumptions!$G$17</x:f>
        <x:v>278.90305531868967</x:v>
      </x:c>
      <x:c r="H19" s="14" t="n">
        <x:f>(($F19*(1+Assumptions!$C$17)*Assumptions!$E$17)-$G19)*Assumptions!$J$17/SUM(Assumptions!$J$17:$L$17)</x:f>
        <x:v>260.65868062723865</x:v>
      </x:c>
      <x:c r="I19" s="14" t="n">
        <x:f>(($F19*(1+Assumptions!$C$17)*Assumptions!$E$17)-$G19)*Assumptions!$K$17/SUM(Assumptions!$J$17:$L$17)</x:f>
        <x:v>283.3246528556942</x:v>
      </x:c>
      <x:c r="J19" s="14" t="n">
        <x:f>(($F19*(1+Assumptions!$C$17)*Assumptions!$E$17)-$G19)*Assumptions!$L$17/SUM(Assumptions!$J$17:$L$17)</x:f>
        <x:v>317.32361119837753</x:v>
      </x:c>
      <x:c r="K19" s="14" t="n">
        <x:f>SUM(G19:J19)</x:f>
        <x:v>1140.21</x:v>
      </x:c>
      <x:c r="L19" s="33" t="n">
        <x:f>($K19*(1+Assumptions!$C$17)*Assumptions!$F$17)*Assumptions!$I$17</x:f>
        <x:v>380.51088120000014</x:v>
      </x:c>
      <x:c r="M19" s="14" t="n">
        <x:f>($K19*(1+Assumptions!$C$17)*Assumptions!$F$17)*Assumptions!$J$17</x:f>
        <x:v>364.65626115000015</x:v>
      </x:c>
      <x:c r="N19" s="14" t="n">
        <x:f>($K19*(1+Assumptions!$C$17)*Assumptions!$F$17)*Assumptions!$K$17</x:f>
        <x:v>396.36550125000014</x:v>
      </x:c>
      <x:c r="O19" s="14" t="n">
        <x:f>($K19*(1+Assumptions!$C$17)*Assumptions!$F$17)*Assumptions!$L$17</x:f>
        <x:v>443.9293614000002</x:v>
      </x:c>
      <x:c r="P19" s="14" t="n">
        <x:f>SUM(L19:O19)</x:f>
        <x:v>1585.4620050000008</x:v>
      </x:c>
      <x:c r="Q19" s="33" t="n">
        <x:f>$P19*(1+Assumptions!$C$17)*Assumptions!$F$17</x:f>
        <x:v>2204.5849179525017</x:v>
      </x:c>
      <x:c r="R19" s="14" t="n">
        <x:f>$Q19*(1+Assumptions!$C$17)*Assumptions!$F$17</x:f>
        <x:v>3065.4753284129542</x:v>
      </x:c>
      <x:c r="S19" s="14" t="n">
        <x:f>$R19*(1+Assumptions!$D$17)*Assumptions!$F$17</x:f>
        <x:v>3519.165677018072</x:v>
      </x:c>
      <x:c r="T19" s="14" t="n">
        <x:f>$S19*(1+Assumptions!$D$17)*Assumptions!$F$17</x:f>
        <x:v>4040.0021972167474</x:v>
      </x:c>
      <x:c r="U19" s="14" t="n">
        <x:f>$T19*(1+Assumptions!$D$17)*Assumptions!$F$17</x:f>
        <x:v>4637.922522404827</x:v>
      </x:c>
      <x:c r="V19" s="14" t="n">
        <x:f>$U19*(1+Assumptions!$D$17)*Assumptions!$F$17</x:f>
        <x:v>5324.335055720741</x:v>
      </x:c>
      <x:c r="W19" s="14" t="n">
        <x:f>$V19*(1+Assumptions!$D$17)*Assumptions!$F$17</x:f>
        <x:v>6112.336643967412</x:v>
      </x:c>
    </x:row>
    <x:row r="20" ht="16" customHeight="1">
      <x:c r="A20" s="2"/>
      <x:c r="B20" s="2" t="s">
        <x:v>38</x:v>
      </x:c>
      <x:c r="C20" s="14">
        <x:v>130</x:v>
      </x:c>
      <x:c r="D20" s="14">
        <x:v>125</x:v>
      </x:c>
      <x:c r="E20" s="14">
        <x:v>120</x:v>
      </x:c>
      <x:c r="F20" s="14">
        <x:v>120</x:v>
      </x:c>
      <x:c r="G20" s="25" t="n">
        <x:f>Assumptions!$G$18</x:f>
        <x:v>30.83806140109089</x:v>
      </x:c>
      <x:c r="H20" s="14" t="n">
        <x:f>(($F20*(1+Assumptions!$C$18)*Assumptions!$E$18)-$G20)*Assumptions!$J$18/SUM(Assumptions!$J$18:$L$18)</x:f>
        <x:v>28.8207972075646</x:v>
      </x:c>
      <x:c r="I20" s="14" t="n">
        <x:f>(($F20*(1+Assumptions!$C$18)*Assumptions!$E$18)-$G20)*Assumptions!$K$18/SUM(Assumptions!$J$18:$L$18)</x:f>
        <x:v>31.32695348648326</x:v>
      </x:c>
      <x:c r="J20" s="14" t="n">
        <x:f>(($F20*(1+Assumptions!$C$18)*Assumptions!$E$18)-$G20)*Assumptions!$L$18/SUM(Assumptions!$J$18:$L$18)</x:f>
        <x:v>35.08618790486125</x:v>
      </x:c>
      <x:c r="K20" s="14" t="n">
        <x:f>SUM(G20:J20)</x:f>
        <x:v>126.072</x:v>
      </x:c>
      <x:c r="L20" s="33" t="n">
        <x:f>($K20*(1+Assumptions!$C$18)*Assumptions!$F$18)*Assumptions!$I$18</x:f>
        <x:v>31.788298368000003</x:v>
      </x:c>
      <x:c r="M20" s="14" t="n">
        <x:f>($K20*(1+Assumptions!$C$18)*Assumptions!$F$18)*Assumptions!$J$18</x:f>
        <x:v>30.463785936000008</x:v>
      </x:c>
      <x:c r="N20" s="14" t="n">
        <x:f>($K20*(1+Assumptions!$C$18)*Assumptions!$F$18)*Assumptions!$K$18</x:f>
        <x:v>33.112810800000005</x:v>
      </x:c>
      <x:c r="O20" s="14" t="n">
        <x:f>($K20*(1+Assumptions!$C$18)*Assumptions!$F$18)*Assumptions!$L$18</x:f>
        <x:v>37.08634809600001</x:v>
      </x:c>
      <x:c r="P20" s="14" t="n">
        <x:f>SUM(L20:O20)</x:f>
        <x:v>132.45124320000002</x:v>
      </x:c>
      <x:c r="Q20" s="33" t="n">
        <x:f>$P20*(1+Assumptions!$C$18)*Assumptions!$F$18</x:f>
        <x:v>139.15327610592004</x:v>
      </x:c>
      <x:c r="R20" s="14" t="n">
        <x:f>$Q20*(1+Assumptions!$C$18)*Assumptions!$F$18</x:f>
        <x:v>146.19443187687963</x:v>
      </x:c>
      <x:c r="S20" s="14" t="n">
        <x:f>$R20*(1+Assumptions!$D$18)*Assumptions!$F$18</x:f>
        <x:v>151.34778560053968</x:v>
      </x:c>
      <x:c r="T20" s="14" t="n">
        <x:f>$S20*(1+Assumptions!$D$18)*Assumptions!$F$18</x:f>
        <x:v>156.68279504295873</x:v>
      </x:c>
      <x:c r="U20" s="14" t="n">
        <x:f>$T20*(1+Assumptions!$D$18)*Assumptions!$F$18</x:f>
        <x:v>162.20586356822307</x:v>
      </x:c>
      <x:c r="V20" s="14" t="n">
        <x:f>$U20*(1+Assumptions!$D$18)*Assumptions!$F$18</x:f>
        <x:v>167.92362025900294</x:v>
      </x:c>
      <x:c r="W20" s="14" t="n">
        <x:f>$V20*(1+Assumptions!$D$18)*Assumptions!$F$18</x:f>
        <x:v>173.84292787313282</x:v>
      </x:c>
    </x:row>
    <x:row r="21" ht="16" customHeight="1">
      <x:c r="A21" s="2"/>
      <x:c r="B21" s="2" t="s">
        <x:v>39</x:v>
      </x:c>
      <x:c r="C21" s="14">
        <x:v>0</x:v>
      </x:c>
      <x:c r="D21" s="14">
        <x:v>0</x:v>
      </x:c>
      <x:c r="E21" s="14">
        <x:v>0</x:v>
      </x:c>
      <x:c r="F21" s="14">
        <x:v>0</x:v>
      </x:c>
      <x:c r="G21" s="25">
        <x:v>0</x:v>
      </x:c>
      <x:c r="H21" s="14">
        <x:v>0</x:v>
      </x:c>
      <x:c r="I21" s="14">
        <x:v>0</x:v>
      </x:c>
      <x:c r="J21" s="14">
        <x:v>0</x:v>
      </x:c>
      <x:c r="K21" s="14">
        <x:v>0</x:v>
      </x:c>
      <x:c r="L21" s="33">
        <x:v>0</x:v>
      </x:c>
      <x:c r="M21" s="14">
        <x:v>0</x:v>
      </x:c>
      <x:c r="N21" s="14">
        <x:v>0</x:v>
      </x:c>
      <x:c r="O21" s="14">
        <x:v>0</x:v>
      </x:c>
      <x:c r="P21" s="14">
        <x:v>0</x:v>
      </x:c>
      <x:c r="Q21" s="33" t="n">
        <x:f>Assumptions!$C$72*Assumptions!$D$72</x:f>
        <x:v>162</x:v>
      </x:c>
      <x:c r="R21" s="14" t="n">
        <x:f>Assumptions!$C$72*Assumptions!$E$72</x:f>
        <x:v>364.5</x:v>
      </x:c>
      <x:c r="S21" s="14" t="n">
        <x:f>Assumptions!$C$72*Assumptions!$F$72</x:f>
        <x:v>567</x:v>
      </x:c>
      <x:c r="T21" s="14" t="n">
        <x:f>Assumptions!$C$72*Assumptions!$G$72</x:f>
        <x:v>729</x:v>
      </x:c>
      <x:c r="U21" s="14" t="n">
        <x:f>Assumptions!$C$72*Assumptions!$H$72</x:f>
        <x:v>810</x:v>
      </x:c>
      <x:c r="V21" s="14" t="n">
        <x:f>Assumptions!$C$72*Assumptions!$I$72</x:f>
        <x:v>810</x:v>
      </x:c>
      <x:c r="W21" s="14" t="n">
        <x:f>Assumptions!$C$72*Assumptions!$J$72</x:f>
        <x:v>810</x:v>
      </x:c>
    </x:row>
    <x:row r="22" ht="16" customHeight="1">
      <x:c r="A22" s="17" t="s">
        <x:v>35</x:v>
      </x:c>
      <x:c r="B22" s="17" t="s">
        <x:v>40</x:v>
      </x:c>
      <x:c r="C22" s="18" t="n">
        <x:f t="shared" ref="C22:W22" si="5">SUM(C18:C21)</x:f>
        <x:v>2480</x:v>
      </x:c>
      <x:c r="D22" s="18">
        <x:f t="shared" si="5"/>
        <x:v>2575</x:v>
      </x:c>
      <x:c r="E22" s="18">
        <x:f t="shared" si="5"/>
        <x:v>2720</x:v>
      </x:c>
      <x:c r="F22" s="18">
        <x:f t="shared" si="5"/>
        <x:v>3700</x:v>
      </x:c>
      <x:c r="G22" s="29">
        <x:f t="shared" si="5"/>
        <x:v>991.2018068968282</x:v>
      </x:c>
      <x:c r="H22" s="18">
        <x:f t="shared" si="5"/>
        <x:v>926.36258475490752</x:v>
      </x:c>
      <x:c r="I22" s="18">
        <x:f t="shared" si="5"/>
        <x:v>1006.9158529944646</x:v>
      </x:c>
      <x:c r="J22" s="18">
        <x:f t="shared" si="5"/>
        <x:v>1127.7457553538004</x:v>
      </x:c>
      <x:c r="K22" s="18">
        <x:f t="shared" si="5"/>
        <x:v>4052.2260000000006</x:v>
      </x:c>
      <x:c r="L22" s="37">
        <x:f t="shared" si="5"/>
        <x:v>1087.2108292320004</x:v>
      </x:c>
      <x:c r="M22" s="18">
        <x:f t="shared" si="5"/>
        <x:v>1041.9103780140006</x:v>
      </x:c>
      <x:c r="N22" s="18">
        <x:f t="shared" si="5"/>
        <x:v>1132.5112804500004</x:v>
      </x:c>
      <x:c r="O22" s="18">
        <x:f t="shared" si="5"/>
        <x:v>1268.4126341040005</x:v>
      </x:c>
      <x:c r="P22" s="18">
        <x:f t="shared" si="5"/>
        <x:v>4530.0451218000026</x:v>
      </x:c>
      <x:c r="Q22" s="37">
        <x:f t="shared" si="5"/>
        <x:v>5344.3041072702626</x:v>
      </x:c>
      <x:c r="R22" s="18">
        <x:f t="shared" si="5"/>
        <x:v>6441.4181930858676</x:v>
      </x:c>
      <x:c r="S22" s="18">
        <x:f t="shared" si="5"/>
        <x:v>7056.9179204899083</x:v>
      </x:c>
      <x:c r="T22" s="18">
        <x:f t="shared" si="5"/>
        <x:v>7699.978978805063</x:v>
      </x:c>
      <x:c r="U22" s="18">
        <x:f t="shared" si="5"/>
        <x:v>8340.0336687336821</x:v>
      </x:c>
      <x:c r="V22" s="18">
        <x:f t="shared" si="5"/>
        <x:v>8988.4854742162061</x:v>
      </x:c>
      <x:c r="W22" s="18">
        <x:f t="shared" si="5"/>
        <x:v>9739.4267413052221</x:v>
      </x:c>
    </x:row>
    <x:row r="23" ht="16" customHeight="1">
      <x:c r="A23" s="2"/>
      <x:c r="B23" s="2"/>
      <x:c r="C23" s="14"/>
      <x:c r="D23" s="14"/>
      <x:c r="E23" s="14"/>
      <x:c r="F23" s="14"/>
      <x:c r="G23" s="25"/>
      <x:c r="H23" s="14"/>
      <x:c r="I23" s="14"/>
      <x:c r="J23" s="14"/>
      <x:c r="K23" s="14"/>
      <x:c r="L23" s="33"/>
      <x:c r="M23" s="14"/>
      <x:c r="N23" s="14"/>
      <x:c r="O23" s="14"/>
      <x:c r="P23" s="14"/>
      <x:c r="Q23" s="33"/>
      <x:c r="R23" s="14"/>
      <x:c r="S23" s="14"/>
      <x:c r="T23" s="14"/>
      <x:c r="U23" s="14"/>
      <x:c r="V23" s="14"/>
      <x:c r="W23" s="14"/>
    </x:row>
    <x:row r="24" ht="16" customHeight="1">
      <x:c r="A24" s="16" t="s">
        <x:v>41</x:v>
      </x:c>
      <x:c r="B24" s="16"/>
      <x:c r="C24" s="23"/>
      <x:c r="D24" s="23"/>
      <x:c r="E24" s="23"/>
      <x:c r="F24" s="23"/>
      <x:c r="G24" s="28"/>
      <x:c r="H24" s="23"/>
      <x:c r="I24" s="23"/>
      <x:c r="J24" s="23"/>
      <x:c r="K24" s="23"/>
      <x:c r="L24" s="36"/>
      <x:c r="M24" s="23"/>
      <x:c r="N24" s="23"/>
      <x:c r="O24" s="23"/>
      <x:c r="P24" s="23"/>
      <x:c r="Q24" s="36"/>
      <x:c r="R24" s="23"/>
      <x:c r="S24" s="23"/>
      <x:c r="T24" s="23"/>
      <x:c r="U24" s="23"/>
      <x:c r="V24" s="23"/>
      <x:c r="W24" s="23"/>
    </x:row>
    <x:row r="25" ht="16" customHeight="1">
      <x:c r="A25" s="2"/>
      <x:c r="B25" s="2" t="s">
        <x:v>42</x:v>
      </x:c>
      <x:c r="C25" s="14">
        <x:v>1700</x:v>
      </x:c>
      <x:c r="D25" s="14">
        <x:v>650</x:v>
      </x:c>
      <x:c r="E25" s="14">
        <x:v>1050</x:v>
      </x:c>
      <x:c r="F25" s="14">
        <x:v>1400</x:v>
      </x:c>
      <x:c r="G25" s="25" t="n">
        <x:f>Assumptions!$G$20</x:f>
        <x:v>379.0915315011316</x:v>
      </x:c>
      <x:c r="H25" s="14" t="n">
        <x:f>(($F25*(1+Assumptions!$C$20)*Assumptions!$E$20)-$G25)*Assumptions!$J$20/SUM(Assumptions!$J$20:$L$20)</x:f>
        <x:v>385.1014699009435</x:v>
      </x:c>
      <x:c r="I25" s="14" t="n">
        <x:f>(($F25*(1+Assumptions!$C$20)*Assumptions!$E$20)-$G25)*Assumptions!$K$20/SUM(Assumptions!$J$20:$L$20)</x:f>
        <x:v>385.1014699009435</x:v>
      </x:c>
      <x:c r="J25" s="14" t="n">
        <x:f>(($F25*(1+Assumptions!$C$20)*Assumptions!$E$20)-$G25)*Assumptions!$L$20/SUM(Assumptions!$J$20:$L$20)</x:f>
        <x:v>400.50552869698123</x:v>
      </x:c>
      <x:c r="K25" s="14" t="n">
        <x:f t="shared" ref="K25:K30" si="6">SUM(G25:J25)</x:f>
        <x:v>1549.8</x:v>
      </x:c>
      <x:c r="L25" s="33" t="n">
        <x:f>($K25*(1+Assumptions!$C$20)*Assumptions!$F$20)*Assumptions!$I$20</x:f>
        <x:v>411.750864</x:v>
      </x:c>
      <x:c r="M25" s="14" t="n">
        <x:f>($K25*(1+Assumptions!$C$20)*Assumptions!$F$20)*Assumptions!$J$20</x:f>
        <x:v>428.90715</x:v>
      </x:c>
      <x:c r="N25" s="14" t="n">
        <x:f>($K25*(1+Assumptions!$C$20)*Assumptions!$F$20)*Assumptions!$K$20</x:f>
        <x:v>428.90715</x:v>
      </x:c>
      <x:c r="O25" s="14" t="n">
        <x:f>($K25*(1+Assumptions!$C$20)*Assumptions!$F$20)*Assumptions!$L$20</x:f>
        <x:v>446.063436</x:v>
      </x:c>
      <x:c r="P25" s="14" t="n">
        <x:f t="shared" ref="P25:P30" si="7">SUM(L25:O25)</x:f>
        <x:v>1715.6286</x:v>
      </x:c>
      <x:c r="Q25" s="33" t="n">
        <x:f>$P25*(1+Assumptions!$C$20)*Assumptions!$F$20</x:f>
        <x:v>1899.2008602</x:v>
      </x:c>
      <x:c r="R25" s="14" t="n">
        <x:f>$Q25*(1+Assumptions!$C$20)*Assumptions!$F$20</x:f>
        <x:v>2102.4153522414</x:v>
      </x:c>
      <x:c r="S25" s="14" t="n">
        <x:f>$R25*(1+Assumptions!$D$20)*Assumptions!$F$20</x:f>
        <x:v>2251.6868422505395</x:v>
      </x:c>
      <x:c r="T25" s="14" t="n">
        <x:f>$S25*(1+Assumptions!$D$20)*Assumptions!$F$20</x:f>
        <x:v>2411.556608050328</x:v>
      </x:c>
      <x:c r="U25" s="14" t="n">
        <x:f>$T25*(1+Assumptions!$D$20)*Assumptions!$F$20</x:f>
        <x:v>2582.777127221902</x:v>
      </x:c>
      <x:c r="V25" s="14" t="n">
        <x:f>$U25*(1+Assumptions!$D$20)*Assumptions!$F$20</x:f>
        <x:v>2766.1543032546574</x:v>
      </x:c>
      <x:c r="W25" s="14" t="n">
        <x:f>$V25*(1+Assumptions!$D$20)*Assumptions!$F$20</x:f>
        <x:v>2962.5512587857384</x:v>
      </x:c>
    </x:row>
    <x:row r="26" ht="16" customHeight="1">
      <x:c r="A26" s="2"/>
      <x:c r="B26" s="2" t="s">
        <x:v>43</x:v>
      </x:c>
      <x:c r="C26" s="14">
        <x:v>880</x:v>
      </x:c>
      <x:c r="D26" s="14">
        <x:v>820</x:v>
      </x:c>
      <x:c r="E26" s="14">
        <x:v>870</x:v>
      </x:c>
      <x:c r="F26" s="14">
        <x:v>920</x:v>
      </x:c>
      <x:c r="G26" s="25" t="n">
        <x:f>Assumptions!$G$21</x:f>
        <x:v>242.19736734794517</x:v>
      </x:c>
      <x:c r="H26" s="14" t="n">
        <x:f>(($F26*(1+Assumptions!$C$21)*Assumptions!$E$21)-$G26)*Assumptions!$J$21/SUM(Assumptions!$J$21:$L$21)</x:f>
        <x:v>246.03705021449173</x:v>
      </x:c>
      <x:c r="I26" s="14" t="n">
        <x:f>(($F26*(1+Assumptions!$C$21)*Assumptions!$E$21)-$G26)*Assumptions!$K$21/SUM(Assumptions!$J$21:$L$21)</x:f>
        <x:v>246.03705021449173</x:v>
      </x:c>
      <x:c r="J26" s="14" t="n">
        <x:f>(($F26*(1+Assumptions!$C$21)*Assumptions!$E$21)-$G26)*Assumptions!$L$21/SUM(Assumptions!$J$21:$L$21)</x:f>
        <x:v>255.8785322230714</x:v>
      </x:c>
      <x:c r="K26" s="14">
        <x:f t="shared" si="6"/>
        <x:v>990.15</x:v>
      </x:c>
      <x:c r="L26" s="33" t="n">
        <x:f>($K26*(1+Assumptions!$C$21)*Assumptions!$F$21)*Assumptions!$I$21</x:f>
        <x:v>255.75574500000002</x:v>
      </x:c>
      <x:c r="M26" s="14" t="n">
        <x:f>($K26*(1+Assumptions!$C$21)*Assumptions!$F$21)*Assumptions!$J$21</x:f>
        <x:v>266.412234375</x:v>
      </x:c>
      <x:c r="N26" s="14" t="n">
        <x:f>($K26*(1+Assumptions!$C$21)*Assumptions!$F$21)*Assumptions!$K$21</x:f>
        <x:v>266.412234375</x:v>
      </x:c>
      <x:c r="O26" s="14" t="n">
        <x:f>($K26*(1+Assumptions!$C$21)*Assumptions!$F$21)*Assumptions!$L$21</x:f>
        <x:v>277.06872375000006</x:v>
      </x:c>
      <x:c r="P26" s="14">
        <x:f t="shared" si="7"/>
        <x:v>1065.6489375000001</x:v>
      </x:c>
      <x:c r="Q26" s="33" t="n">
        <x:f>$P26*(1+Assumptions!$C$21)*Assumptions!$F$21</x:f>
        <x:v>1146.9046689843753</x:v>
      </x:c>
      <x:c r="R26" s="14" t="n">
        <x:f>$Q26*(1+Assumptions!$C$21)*Assumptions!$F$21</x:f>
        <x:v>1234.3561499944342</x:v>
      </x:c>
      <x:c r="S26" s="14" t="n">
        <x:f>$R26*(1+Assumptions!$D$21)*Assumptions!$F$21</x:f>
        <x:v>1296.8145711841528</x:v>
      </x:c>
      <x:c r="T26" s="14" t="n">
        <x:f>$S26*(1+Assumptions!$D$21)*Assumptions!$F$21</x:f>
        <x:v>1362.4333884860712</x:v>
      </x:c>
      <x:c r="U26" s="14" t="n">
        <x:f>$T26*(1+Assumptions!$D$21)*Assumptions!$F$21</x:f>
        <x:v>1431.3725179434666</x:v>
      </x:c>
      <x:c r="V26" s="14" t="n">
        <x:f>$U26*(1+Assumptions!$D$21)*Assumptions!$F$21</x:f>
        <x:v>1503.7999673514062</x:v>
      </x:c>
      <x:c r="W26" s="14" t="n">
        <x:f>$V26*(1+Assumptions!$D$21)*Assumptions!$F$21</x:f>
        <x:v>1579.8922456993878</x:v>
      </x:c>
    </x:row>
    <x:row r="27" ht="16" customHeight="1">
      <x:c r="A27" s="2"/>
      <x:c r="B27" s="2" t="s">
        <x:v>44</x:v>
      </x:c>
      <x:c r="C27" s="14">
        <x:v>650</x:v>
      </x:c>
      <x:c r="D27" s="14">
        <x:v>720</x:v>
      </x:c>
      <x:c r="E27" s="14">
        <x:v>800</x:v>
      </x:c>
      <x:c r="F27" s="14">
        <x:v>880</x:v>
      </x:c>
      <x:c r="G27" s="25" t="n">
        <x:f>Assumptions!$G$22</x:f>
        <x:v>238.286105514997</x:v>
      </x:c>
      <x:c r="H27" s="14" t="n">
        <x:f>(($F27*(1+Assumptions!$C$22)*Assumptions!$E$22)-$G27)*Assumptions!$J$22/SUM(Assumptions!$J$22:$L$22)</x:f>
        <x:v>242.06378108059317</x:v>
      </x:c>
      <x:c r="I27" s="14" t="n">
        <x:f>(($F27*(1+Assumptions!$C$22)*Assumptions!$E$22)-$G27)*Assumptions!$K$22/SUM(Assumptions!$J$22:$L$22)</x:f>
        <x:v>242.06378108059317</x:v>
      </x:c>
      <x:c r="J27" s="14" t="n">
        <x:f>(($F27*(1+Assumptions!$C$22)*Assumptions!$E$22)-$G27)*Assumptions!$L$22/SUM(Assumptions!$J$22:$L$22)</x:f>
        <x:v>251.74633232381692</x:v>
      </x:c>
      <x:c r="K27" s="14">
        <x:f t="shared" si="6"/>
        <x:v>974.16000000000031</x:v>
      </x:c>
      <x:c r="L27" s="33" t="n">
        <x:f>($K27*(1+Assumptions!$C$22)*Assumptions!$F$22)*Assumptions!$I$22</x:f>
        <x:v>258.8148288000001</x:v>
      </x:c>
      <x:c r="M27" s="14" t="n">
        <x:f>($K27*(1+Assumptions!$C$22)*Assumptions!$F$22)*Assumptions!$J$22</x:f>
        <x:v>269.5987800000001</x:v>
      </x:c>
      <x:c r="N27" s="14" t="n">
        <x:f>($K27*(1+Assumptions!$C$22)*Assumptions!$F$22)*Assumptions!$K$22</x:f>
        <x:v>269.5987800000001</x:v>
      </x:c>
      <x:c r="O27" s="14" t="n">
        <x:f>($K27*(1+Assumptions!$C$22)*Assumptions!$F$22)*Assumptions!$L$22</x:f>
        <x:v>280.3827312000001</x:v>
      </x:c>
      <x:c r="P27" s="14">
        <x:f t="shared" si="7"/>
        <x:v>1078.3951200000004</x:v>
      </x:c>
      <x:c r="Q27" s="33" t="n">
        <x:f>$P27*(1+Assumptions!$C$22)*Assumptions!$F$22</x:f>
        <x:v>1193.7833978400004</x:v>
      </x:c>
      <x:c r="R27" s="14" t="n">
        <x:f>$Q27*(1+Assumptions!$C$22)*Assumptions!$F$22</x:f>
        <x:v>1321.5182214088804</x:v>
      </x:c>
      <x:c r="S27" s="14" t="n">
        <x:f>$R27*(1+Assumptions!$D$22)*Assumptions!$F$22</x:f>
        <x:v>1415.3460151289112</x:v>
      </x:c>
      <x:c r="T27" s="14" t="n">
        <x:f>$S27*(1+Assumptions!$D$22)*Assumptions!$F$22</x:f>
        <x:v>1515.8355822030642</x:v>
      </x:c>
      <x:c r="U27" s="14" t="n">
        <x:f>$T27*(1+Assumptions!$D$22)*Assumptions!$F$22</x:f>
        <x:v>1623.459908539482</x:v>
      </x:c>
      <x:c r="V27" s="14" t="n">
        <x:f>$U27*(1+Assumptions!$D$22)*Assumptions!$F$22</x:f>
        <x:v>1738.7255620457856</x:v>
      </x:c>
      <x:c r="W27" s="14" t="n">
        <x:f>$V27*(1+Assumptions!$D$22)*Assumptions!$F$22</x:f>
        <x:v>1862.1750769510368</x:v>
      </x:c>
    </x:row>
    <x:row r="28" ht="16" customHeight="1">
      <x:c r="A28" s="2"/>
      <x:c r="B28" s="2" t="s">
        <x:v>45</x:v>
      </x:c>
      <x:c r="C28" s="14">
        <x:v>350</x:v>
      </x:c>
      <x:c r="D28" s="14">
        <x:v>330</x:v>
      </x:c>
      <x:c r="E28" s="14">
        <x:v>315</x:v>
      </x:c>
      <x:c r="F28" s="14">
        <x:v>300</x:v>
      </x:c>
      <x:c r="G28" s="25" t="n">
        <x:f>Assumptions!$G$23</x:f>
        <x:v>75.21657371054198</x:v>
      </x:c>
      <x:c r="H28" s="14" t="n">
        <x:f>(($F28*(1+Assumptions!$C$23)*Assumptions!$E$23)-$G28)*Assumptions!$J$23/SUM(Assumptions!$J$23:$L$23)</x:f>
        <x:v>76.40902180574277</x:v>
      </x:c>
      <x:c r="I28" s="14" t="n">
        <x:f>(($F28*(1+Assumptions!$C$23)*Assumptions!$E$23)-$G28)*Assumptions!$K$23/SUM(Assumptions!$J$23:$L$23)</x:f>
        <x:v>76.40902180574277</x:v>
      </x:c>
      <x:c r="J28" s="14" t="n">
        <x:f>(($F28*(1+Assumptions!$C$23)*Assumptions!$E$23)-$G28)*Assumptions!$L$23/SUM(Assumptions!$J$23:$L$23)</x:f>
        <x:v>79.46538267797249</x:v>
      </x:c>
      <x:c r="K28" s="14">
        <x:f t="shared" si="6"/>
        <x:v>307.5</x:v>
      </x:c>
      <x:c r="L28" s="33" t="n">
        <x:f>($K28*(1+Assumptions!$C$23)*Assumptions!$F$23)*Assumptions!$I$23</x:f>
        <x:v>75.645</x:v>
      </x:c>
      <x:c r="M28" s="14" t="n">
        <x:f>($K28*(1+Assumptions!$C$23)*Assumptions!$F$23)*Assumptions!$J$23</x:f>
        <x:v>78.796875</x:v>
      </x:c>
      <x:c r="N28" s="14" t="n">
        <x:f>($K28*(1+Assumptions!$C$23)*Assumptions!$F$23)*Assumptions!$K$23</x:f>
        <x:v>78.796875</x:v>
      </x:c>
      <x:c r="O28" s="14" t="n">
        <x:f>($K28*(1+Assumptions!$C$23)*Assumptions!$F$23)*Assumptions!$L$23</x:f>
        <x:v>81.94875</x:v>
      </x:c>
      <x:c r="P28" s="14">
        <x:f t="shared" si="7"/>
        <x:v>315.1875</x:v>
      </x:c>
      <x:c r="Q28" s="33" t="n">
        <x:f>$P28*(1+Assumptions!$C$23)*Assumptions!$F$23</x:f>
        <x:v>323.0671875</x:v>
      </x:c>
      <x:c r="R28" s="14" t="n">
        <x:f>$Q28*(1+Assumptions!$C$23)*Assumptions!$F$23</x:f>
        <x:v>331.14386718749995</x:v>
      </x:c>
      <x:c r="S28" s="14" t="n">
        <x:f>$R28*(1+Assumptions!$D$23)*Assumptions!$F$23</x:f>
        <x:v>331.01140964062495</x:v>
      </x:c>
      <x:c r="T28" s="14" t="n">
        <x:f>$S28*(1+Assumptions!$D$23)*Assumptions!$F$23</x:f>
        <x:v>330.8790050767687</x:v>
      </x:c>
      <x:c r="U28" s="14" t="n">
        <x:f>$T28*(1+Assumptions!$D$23)*Assumptions!$F$23</x:f>
        <x:v>330.746653474738</x:v>
      </x:c>
      <x:c r="V28" s="14" t="n">
        <x:f>$U28*(1+Assumptions!$D$23)*Assumptions!$F$23</x:f>
        <x:v>330.61435481334814</x:v>
      </x:c>
      <x:c r="W28" s="14" t="n">
        <x:f>$V28*(1+Assumptions!$D$23)*Assumptions!$F$23</x:f>
        <x:v>330.4821090714228</x:v>
      </x:c>
    </x:row>
    <x:row r="29" ht="16" customHeight="1">
      <x:c r="A29" s="2"/>
      <x:c r="B29" s="2" t="s">
        <x:v>46</x:v>
      </x:c>
      <x:c r="C29" s="14">
        <x:v>0</x:v>
      </x:c>
      <x:c r="D29" s="14">
        <x:v>0</x:v>
      </x:c>
      <x:c r="E29" s="14">
        <x:v>0</x:v>
      </x:c>
      <x:c r="F29" s="14">
        <x:v>180</x:v>
      </x:c>
      <x:c r="G29" s="25" t="n">
        <x:f>Assumptions!$G$24</x:f>
        <x:v>65.43841912817152</x:v>
      </x:c>
      <x:c r="H29" s="14" t="n">
        <x:f>(($F29*(1+Assumptions!$C$24)*Assumptions!$E$24)-$G29)*Assumptions!$J$24/SUM(Assumptions!$J$24:$L$24)</x:f>
        <x:v>66.4758489709962</x:v>
      </x:c>
      <x:c r="I29" s="14" t="n">
        <x:f>(($F29*(1+Assumptions!$C$24)*Assumptions!$E$24)-$G29)*Assumptions!$K$24/SUM(Assumptions!$J$24:$L$24)</x:f>
        <x:v>66.4758489709962</x:v>
      </x:c>
      <x:c r="J29" s="14" t="n">
        <x:f>(($F29*(1+Assumptions!$C$24)*Assumptions!$E$24)-$G29)*Assumptions!$L$24/SUM(Assumptions!$J$24:$L$24)</x:f>
        <x:v>69.13488292983605</x:v>
      </x:c>
      <x:c r="K29" s="14">
        <x:f t="shared" si="6"/>
        <x:v>267.52499999999998</x:v>
      </x:c>
      <x:c r="L29" s="33" t="n">
        <x:f>($K29*(1+Assumptions!$C$24)*Assumptions!$F$24)*Assumptions!$I$24</x:f>
        <x:v>95.42616749999998</x:v>
      </x:c>
      <x:c r="M29" s="14" t="n">
        <x:f>($K29*(1+Assumptions!$C$24)*Assumptions!$F$24)*Assumptions!$J$24</x:f>
        <x:v>99.40225781249998</x:v>
      </x:c>
      <x:c r="N29" s="14" t="n">
        <x:f>($K29*(1+Assumptions!$C$24)*Assumptions!$F$24)*Assumptions!$K$24</x:f>
        <x:v>99.40225781249998</x:v>
      </x:c>
      <x:c r="O29" s="14" t="n">
        <x:f>($K29*(1+Assumptions!$C$24)*Assumptions!$F$24)*Assumptions!$L$24</x:f>
        <x:v>103.37834812499999</x:v>
      </x:c>
      <x:c r="P29" s="14">
        <x:f t="shared" si="7"/>
        <x:v>397.60903124999993</x:v>
      </x:c>
      <x:c r="Q29" s="33" t="n">
        <x:f>$P29*(1+Assumptions!$C$24)*Assumptions!$F$24</x:f>
        <x:v>590.9464226953123</x:v>
      </x:c>
      <x:c r="R29" s="14" t="n">
        <x:f>$Q29*(1+Assumptions!$C$24)*Assumptions!$F$24</x:f>
        <x:v>878.2941207309078</x:v>
      </x:c>
      <x:c r="S29" s="14" t="n">
        <x:f>$R29*(1+Assumptions!$D$24)*Assumptions!$F$24</x:f>
        <x:v>1030.2390036173547</x:v>
      </x:c>
      <x:c r="T29" s="14" t="n">
        <x:f>$S29*(1+Assumptions!$D$24)*Assumptions!$F$24</x:f>
        <x:v>1208.4703512431568</x:v>
      </x:c>
      <x:c r="U29" s="14" t="n">
        <x:f>$T29*(1+Assumptions!$D$24)*Assumptions!$F$24</x:f>
        <x:v>1417.5357220082226</x:v>
      </x:c>
      <x:c r="V29" s="14" t="n">
        <x:f>$U29*(1+Assumptions!$D$24)*Assumptions!$F$24</x:f>
        <x:v>1662.769401915645</x:v>
      </x:c>
      <x:c r="W29" s="14" t="n">
        <x:f>$V29*(1+Assumptions!$D$24)*Assumptions!$F$24</x:f>
        <x:v>1950.4285084470512</x:v>
      </x:c>
    </x:row>
    <x:row r="30" ht="16" customHeight="1">
      <x:c r="A30" s="2"/>
      <x:c r="B30" s="2" t="s">
        <x:v>47</x:v>
      </x:c>
      <x:c r="C30" s="14">
        <x:v>680</x:v>
      </x:c>
      <x:c r="D30" s="14">
        <x:v>480</x:v>
      </x:c>
      <x:c r="E30" s="14">
        <x:v>540</x:v>
      </x:c>
      <x:c r="F30" s="14">
        <x:v>600</x:v>
      </x:c>
      <x:c r="G30" s="25" t="n">
        <x:f>Assumptions!$G$25</x:f>
        <x:v>154.94614184371648</x:v>
      </x:c>
      <x:c r="H30" s="14" t="n">
        <x:f>(($F30*(1+Assumptions!$C$25)*Assumptions!$E$25)-$G30)*Assumptions!$J$25/SUM(Assumptions!$J$25:$L$25)</x:f>
        <x:v>157.40258491983008</x:v>
      </x:c>
      <x:c r="I30" s="14" t="n">
        <x:f>(($F30*(1+Assumptions!$C$25)*Assumptions!$E$25)-$G30)*Assumptions!$K$25/SUM(Assumptions!$J$25:$L$25)</x:f>
        <x:v>157.40258491983008</x:v>
      </x:c>
      <x:c r="J30" s="14" t="n">
        <x:f>(($F30*(1+Assumptions!$C$25)*Assumptions!$E$25)-$G30)*Assumptions!$L$25/SUM(Assumptions!$J$25:$L$25)</x:f>
        <x:v>163.6986883166233</x:v>
      </x:c>
      <x:c r="K30" s="14">
        <x:f t="shared" si="6"/>
        <x:v>633.44999999999993</x:v>
      </x:c>
      <x:c r="L30" s="33" t="n">
        <x:f>($K30*(1+Assumptions!$C$25)*Assumptions!$F$25)*Assumptions!$I$25</x:f>
        <x:v>160.50356099999996</x:v>
      </x:c>
      <x:c r="M30" s="14" t="n">
        <x:f>($K30*(1+Assumptions!$C$25)*Assumptions!$F$25)*Assumptions!$J$25</x:f>
        <x:v>167.19120937499997</x:v>
      </x:c>
      <x:c r="N30" s="14" t="n">
        <x:f>($K30*(1+Assumptions!$C$25)*Assumptions!$F$25)*Assumptions!$K$25</x:f>
        <x:v>167.19120937499997</x:v>
      </x:c>
      <x:c r="O30" s="14" t="n">
        <x:f>($K30*(1+Assumptions!$C$25)*Assumptions!$F$25)*Assumptions!$L$25</x:f>
        <x:v>173.87885774999998</x:v>
      </x:c>
      <x:c r="P30" s="14">
        <x:f t="shared" si="7"/>
        <x:v>668.76483749999989</x:v>
      </x:c>
      <x:c r="Q30" s="33" t="n">
        <x:f>$P30*(1+Assumptions!$C$25)*Assumptions!$F$25</x:f>
        <x:v>706.0484771906249</x:v>
      </x:c>
      <x:c r="R30" s="14" t="n">
        <x:f>$Q30*(1+Assumptions!$C$25)*Assumptions!$F$25</x:f>
        <x:v>745.4106797940022</x:v>
      </x:c>
      <x:c r="S30" s="14" t="n">
        <x:f>$R30*(1+Assumptions!$D$25)*Assumptions!$F$25</x:f>
        <x:v>775.52527125768</x:v>
      </x:c>
      <x:c r="T30" s="14" t="n">
        <x:f>$S30*(1+Assumptions!$D$25)*Assumptions!$F$25</x:f>
        <x:v>806.8564922164902</x:v>
      </x:c>
      <x:c r="U30" s="14" t="n">
        <x:f>$T30*(1+Assumptions!$D$25)*Assumptions!$F$25</x:f>
        <x:v>839.4534945020364</x:v>
      </x:c>
      <x:c r="V30" s="14" t="n">
        <x:f>$U30*(1+Assumptions!$D$25)*Assumptions!$F$25</x:f>
        <x:v>873.3674156799186</x:v>
      </x:c>
      <x:c r="W30" s="14" t="n">
        <x:f>$V30*(1+Assumptions!$D$25)*Assumptions!$F$25</x:f>
        <x:v>908.6514592733873</x:v>
      </x:c>
    </x:row>
    <x:row r="31" ht="16" customHeight="1">
      <x:c r="A31" s="17" t="s">
        <x:v>41</x:v>
      </x:c>
      <x:c r="B31" s="17" t="s">
        <x:v>40</x:v>
      </x:c>
      <x:c r="C31" s="18" t="n">
        <x:f t="shared" ref="C31:W31" si="8">SUM(C25:C30)</x:f>
        <x:v>4260</x:v>
      </x:c>
      <x:c r="D31" s="18">
        <x:f t="shared" si="8"/>
        <x:v>3000</x:v>
      </x:c>
      <x:c r="E31" s="18">
        <x:f t="shared" si="8"/>
        <x:v>3575</x:v>
      </x:c>
      <x:c r="F31" s="18">
        <x:f t="shared" si="8"/>
        <x:v>4280</x:v>
      </x:c>
      <x:c r="G31" s="29">
        <x:f t="shared" si="8"/>
        <x:v>1155.1761390465037</x:v>
      </x:c>
      <x:c r="H31" s="18">
        <x:f t="shared" si="8"/>
        <x:v>1173.4897568925976</x:v>
      </x:c>
      <x:c r="I31" s="18">
        <x:f t="shared" si="8"/>
        <x:v>1173.4897568925976</x:v>
      </x:c>
      <x:c r="J31" s="18">
        <x:f t="shared" si="8"/>
        <x:v>1220.4293471683013</x:v>
      </x:c>
      <x:c r="K31" s="18">
        <x:f t="shared" si="8"/>
        <x:v>4722.585</x:v>
      </x:c>
      <x:c r="L31" s="37">
        <x:f t="shared" si="8"/>
        <x:v>1257.8961663</x:v>
      </x:c>
      <x:c r="M31" s="18">
        <x:f t="shared" si="8"/>
        <x:v>1310.3085065625</x:v>
      </x:c>
      <x:c r="N31" s="18">
        <x:f t="shared" si="8"/>
        <x:v>1310.3085065625</x:v>
      </x:c>
      <x:c r="O31" s="18">
        <x:f t="shared" si="8"/>
        <x:v>1362.7208468250001</x:v>
      </x:c>
      <x:c r="P31" s="18">
        <x:f t="shared" si="8"/>
        <x:v>5241.2340262500002</x:v>
      </x:c>
      <x:c r="Q31" s="37">
        <x:f t="shared" si="8"/>
        <x:v>5859.9510144103133</x:v>
      </x:c>
      <x:c r="R31" s="18">
        <x:f t="shared" si="8"/>
        <x:v>6613.1383913571253</x:v>
      </x:c>
      <x:c r="S31" s="18">
        <x:f t="shared" si="8"/>
        <x:v>7100.623113079263</x:v>
      </x:c>
      <x:c r="T31" s="18">
        <x:f t="shared" si="8"/>
        <x:v>7636.0314272758797</x:v>
      </x:c>
      <x:c r="U31" s="18">
        <x:f t="shared" si="8"/>
        <x:v>8225.3454236898469</x:v>
      </x:c>
      <x:c r="V31" s="18">
        <x:f t="shared" si="8"/>
        <x:v>8875.4310050607601</x:v>
      </x:c>
      <x:c r="W31" s="18">
        <x:f t="shared" si="8"/>
        <x:v>9594.180658228026</x:v>
      </x:c>
    </x:row>
    <x:row r="32" ht="16" customHeight="1">
      <x:c r="A32" s="2"/>
      <x:c r="B32" s="2"/>
      <x:c r="C32" s="14"/>
      <x:c r="D32" s="14"/>
      <x:c r="E32" s="14"/>
      <x:c r="F32" s="14"/>
      <x:c r="G32" s="25"/>
      <x:c r="H32" s="14"/>
      <x:c r="I32" s="14"/>
      <x:c r="J32" s="14"/>
      <x:c r="K32" s="14"/>
      <x:c r="L32" s="33"/>
      <x:c r="M32" s="14"/>
      <x:c r="N32" s="14"/>
      <x:c r="O32" s="14"/>
      <x:c r="P32" s="14"/>
      <x:c r="Q32" s="33"/>
      <x:c r="R32" s="14"/>
      <x:c r="S32" s="14"/>
      <x:c r="T32" s="14"/>
      <x:c r="U32" s="14"/>
      <x:c r="V32" s="14"/>
      <x:c r="W32" s="14"/>
    </x:row>
    <x:row r="33" ht="16" customHeight="1">
      <x:c r="A33" s="16" t="s">
        <x:v>48</x:v>
      </x:c>
      <x:c r="B33" s="16"/>
      <x:c r="C33" s="23"/>
      <x:c r="D33" s="23"/>
      <x:c r="E33" s="23"/>
      <x:c r="F33" s="23"/>
      <x:c r="G33" s="28"/>
      <x:c r="H33" s="23"/>
      <x:c r="I33" s="23"/>
      <x:c r="J33" s="23"/>
      <x:c r="K33" s="23"/>
      <x:c r="L33" s="36"/>
      <x:c r="M33" s="23"/>
      <x:c r="N33" s="23"/>
      <x:c r="O33" s="23"/>
      <x:c r="P33" s="23"/>
      <x:c r="Q33" s="36"/>
      <x:c r="R33" s="23"/>
      <x:c r="S33" s="23"/>
      <x:c r="T33" s="23"/>
      <x:c r="U33" s="23"/>
      <x:c r="V33" s="23"/>
      <x:c r="W33" s="23"/>
    </x:row>
    <x:row r="34" ht="16" customHeight="1">
      <x:c r="A34" s="2"/>
      <x:c r="B34" s="2" t="s">
        <x:v>49</x:v>
      </x:c>
      <x:c r="C34" s="14">
        <x:v>1150</x:v>
      </x:c>
      <x:c r="D34" s="14">
        <x:v>1300</x:v>
      </x:c>
      <x:c r="E34" s="14">
        <x:v>1446</x:v>
      </x:c>
      <x:c r="F34" s="14">
        <x:v>1880</x:v>
      </x:c>
      <x:c r="G34" s="25" t="n">
        <x:f>Assumptions!$G$26</x:f>
        <x:v>527.9200586830574</x:v>
      </x:c>
      <x:c r="H34" s="14" t="n">
        <x:f>(($F34*(1+Assumptions!$C$26)*Assumptions!$E$26)-$G34)*Assumptions!$J$26/SUM(Assumptions!$J$26:$L$26)</x:f>
        <x:v>536.2894543805733</x:v>
      </x:c>
      <x:c r="I34" s="14" t="n">
        <x:f>(($F34*(1+Assumptions!$C$26)*Assumptions!$E$26)-$G34)*Assumptions!$K$26/SUM(Assumptions!$J$26:$L$26)</x:f>
        <x:v>536.2894543805733</x:v>
      </x:c>
      <x:c r="J34" s="14" t="n">
        <x:f>(($F34*(1+Assumptions!$C$26)*Assumptions!$E$26)-$G34)*Assumptions!$L$26/SUM(Assumptions!$J$26:$L$26)</x:f>
        <x:v>557.7410325557962</x:v>
      </x:c>
      <x:c r="K34" s="14" t="n">
        <x:f>SUM(G34:J34)</x:f>
        <x:v>2158.2400000000002</x:v>
      </x:c>
      <x:c r="L34" s="33" t="n">
        <x:f>($K34*(1+Assumptions!$C$26)*Assumptions!$F$26)*Assumptions!$I$26</x:f>
        <x:v>594.6382848000001</x:v>
      </x:c>
      <x:c r="M34" s="14" t="n">
        <x:f>($K34*(1+Assumptions!$C$26)*Assumptions!$F$26)*Assumptions!$J$26</x:f>
        <x:v>619.41488</x:v>
      </x:c>
      <x:c r="N34" s="14" t="n">
        <x:f>($K34*(1+Assumptions!$C$26)*Assumptions!$F$26)*Assumptions!$K$26</x:f>
        <x:v>619.41488</x:v>
      </x:c>
      <x:c r="O34" s="14" t="n">
        <x:f>($K34*(1+Assumptions!$C$26)*Assumptions!$F$26)*Assumptions!$L$26</x:f>
        <x:v>644.1914752</x:v>
      </x:c>
      <x:c r="P34" s="14" t="n">
        <x:f>SUM(L34:O34)</x:f>
        <x:v>2477.65952</x:v>
      </x:c>
      <x:c r="Q34" s="33" t="n">
        <x:f>$P34*(1+Assumptions!$C$26)*Assumptions!$F$26</x:f>
        <x:v>2844.35312896</x:v>
      </x:c>
      <x:c r="R34" s="14" t="n">
        <x:f>$Q34*(1+Assumptions!$C$26)*Assumptions!$F$26</x:f>
        <x:v>3265.31739204608</x:v>
      </x:c>
      <x:c r="S34" s="14" t="n">
        <x:f>$R34*(1+Assumptions!$D$26)*Assumptions!$F$26</x:f>
        <x:v>3530.461164280222</x:v>
      </x:c>
      <x:c r="T34" s="14" t="n">
        <x:f>$S34*(1+Assumptions!$D$26)*Assumptions!$F$26</x:f>
        <x:v>3817.1346108197768</x:v>
      </x:c>
      <x:c r="U34" s="14" t="n">
        <x:f>$T34*(1+Assumptions!$D$26)*Assumptions!$F$26</x:f>
        <x:v>4127.085941218344</x:v>
      </x:c>
      <x:c r="V34" s="14" t="n">
        <x:f>$U34*(1+Assumptions!$D$26)*Assumptions!$F$26</x:f>
        <x:v>4462.205319645273</x:v>
      </x:c>
      <x:c r="W34" s="14" t="n">
        <x:f>$V34*(1+Assumptions!$D$26)*Assumptions!$F$26</x:f>
        <x:v>4824.536391600471</x:v>
      </x:c>
    </x:row>
    <x:row r="35" ht="16" customHeight="1">
      <x:c r="A35" s="2"/>
      <x:c r="B35" s="2" t="s">
        <x:v>50</x:v>
      </x:c>
      <x:c r="C35" s="14">
        <x:v>1400</x:v>
      </x:c>
      <x:c r="D35" s="14">
        <x:v>1500</x:v>
      </x:c>
      <x:c r="E35" s="14">
        <x:v>1600</x:v>
      </x:c>
      <x:c r="F35" s="14">
        <x:v>1725</x:v>
      </x:c>
      <x:c r="G35" s="25" t="n">
        <x:f>Assumptions!$G$27</x:f>
        <x:v>445.47015780068483</x:v>
      </x:c>
      <x:c r="H35" s="14" t="n">
        <x:f>(($F35*(1+Assumptions!$C$27)*Assumptions!$E$27)-$G35)*Assumptions!$J$27/SUM(Assumptions!$J$27:$L$27)</x:f>
        <x:v>341.46914062499997</x:v>
      </x:c>
      <x:c r="I35" s="14" t="n">
        <x:f>(($F35*(1+Assumptions!$C$27)*Assumptions!$E$27)-$G35)*Assumptions!$K$27/SUM(Assumptions!$J$27:$L$27)</x:f>
        <x:v>0</x:v>
      </x:c>
      <x:c r="J35" s="14" t="n">
        <x:f>(($F35*(1+Assumptions!$C$27)*Assumptions!$E$27)-$G35)*Assumptions!$L$27/SUM(Assumptions!$J$27:$L$27)</x:f>
        <x:v>0</x:v>
      </x:c>
      <x:c r="K35" s="14" t="n">
        <x:f>SUM(G35:J35)</x:f>
        <x:v>786.9392984256848</x:v>
      </x:c>
      <x:c r="L35" s="33" t="n">
        <x:f>($K35*(1+Assumptions!$C$27)*Assumptions!$F$27)*Assumptions!$I$27</x:f>
        <x:v>0</x:v>
      </x:c>
      <x:c r="M35" s="14" t="n">
        <x:f>($K35*(1+Assumptions!$C$27)*Assumptions!$F$27)*Assumptions!$J$27</x:f>
        <x:v>0</x:v>
      </x:c>
      <x:c r="N35" s="14" t="n">
        <x:f>($K35*(1+Assumptions!$C$27)*Assumptions!$F$27)*Assumptions!$K$27</x:f>
        <x:v>0</x:v>
      </x:c>
      <x:c r="O35" s="14" t="n">
        <x:f>($K35*(1+Assumptions!$C$27)*Assumptions!$F$27)*Assumptions!$L$27</x:f>
        <x:v>0</x:v>
      </x:c>
      <x:c r="P35" s="14" t="n">
        <x:f>SUM(L35:O35)</x:f>
        <x:v>0</x:v>
      </x:c>
      <x:c r="Q35" s="33" t="n">
        <x:f>$P35*(1+Assumptions!$C$27)*Assumptions!$F$27</x:f>
        <x:v>0</x:v>
      </x:c>
      <x:c r="R35" s="14" t="n">
        <x:f>$Q35*(1+Assumptions!$C$27)*Assumptions!$F$27</x:f>
        <x:v>0</x:v>
      </x:c>
      <x:c r="S35" s="14" t="n">
        <x:f>$R35*(1+Assumptions!$D$27)*Assumptions!$F$27</x:f>
        <x:v>0</x:v>
      </x:c>
      <x:c r="T35" s="14" t="n">
        <x:f>$S35*(1+Assumptions!$D$27)*Assumptions!$F$27</x:f>
        <x:v>0</x:v>
      </x:c>
      <x:c r="U35" s="14" t="n">
        <x:f>$T35*(1+Assumptions!$D$27)*Assumptions!$F$27</x:f>
        <x:v>0</x:v>
      </x:c>
      <x:c r="V35" s="14" t="n">
        <x:f>$U35*(1+Assumptions!$D$27)*Assumptions!$F$27</x:f>
        <x:v>0</x:v>
      </x:c>
      <x:c r="W35" s="14" t="n">
        <x:f>$V35*(1+Assumptions!$D$27)*Assumptions!$F$27</x:f>
        <x:v>0</x:v>
      </x:c>
    </x:row>
    <x:row r="36" ht="16" customHeight="1">
      <x:c r="A36" s="2"/>
      <x:c r="B36" s="2" t="s">
        <x:v>51</x:v>
      </x:c>
      <x:c r="C36" s="14">
        <x:v>250</x:v>
      </x:c>
      <x:c r="D36" s="14">
        <x:v>0</x:v>
      </x:c>
      <x:c r="E36" s="14">
        <x:v>0</x:v>
      </x:c>
      <x:c r="F36" s="14">
        <x:v>0</x:v>
      </x:c>
      <x:c r="G36" s="25" t="n">
        <x:f>Assumptions!$G$28</x:f>
        <x:v>0</x:v>
      </x:c>
      <x:c r="H36" s="14" t="n">
        <x:f>(($F36*(1+Assumptions!$C$28)*Assumptions!$E$28)-$G36)*Assumptions!$J$28/SUM(Assumptions!$J$28:$L$28)</x:f>
        <x:v>0</x:v>
      </x:c>
      <x:c r="I36" s="14" t="n">
        <x:f>(($F36*(1+Assumptions!$C$28)*Assumptions!$E$28)-$G36)*Assumptions!$K$28/SUM(Assumptions!$J$28:$L$28)</x:f>
        <x:v>0</x:v>
      </x:c>
      <x:c r="J36" s="14" t="n">
        <x:f>(($F36*(1+Assumptions!$C$28)*Assumptions!$E$28)-$G36)*Assumptions!$L$28/SUM(Assumptions!$J$28:$L$28)</x:f>
        <x:v>0</x:v>
      </x:c>
      <x:c r="K36" s="14" t="n">
        <x:f>SUM(G36:J36)</x:f>
        <x:v>0</x:v>
      </x:c>
      <x:c r="L36" s="33" t="n">
        <x:f>($K36*(1+Assumptions!$C$28)*Assumptions!$F$28)*Assumptions!$I$28</x:f>
        <x:v>0</x:v>
      </x:c>
      <x:c r="M36" s="14" t="n">
        <x:f>($K36*(1+Assumptions!$C$28)*Assumptions!$F$28)*Assumptions!$J$28</x:f>
        <x:v>0</x:v>
      </x:c>
      <x:c r="N36" s="14" t="n">
        <x:f>($K36*(1+Assumptions!$C$28)*Assumptions!$F$28)*Assumptions!$K$28</x:f>
        <x:v>0</x:v>
      </x:c>
      <x:c r="O36" s="14" t="n">
        <x:f>($K36*(1+Assumptions!$C$28)*Assumptions!$F$28)*Assumptions!$L$28</x:f>
        <x:v>0</x:v>
      </x:c>
      <x:c r="P36" s="14" t="n">
        <x:f>SUM(L36:O36)</x:f>
        <x:v>0</x:v>
      </x:c>
      <x:c r="Q36" s="33" t="n">
        <x:f>$P36*(1+Assumptions!$C$28)*Assumptions!$F$28</x:f>
        <x:v>0</x:v>
      </x:c>
      <x:c r="R36" s="14" t="n">
        <x:f>$Q36*(1+Assumptions!$C$28)*Assumptions!$F$28</x:f>
        <x:v>0</x:v>
      </x:c>
      <x:c r="S36" s="14" t="n">
        <x:f>$R36*(1+Assumptions!$D$28)*Assumptions!$F$28</x:f>
        <x:v>0</x:v>
      </x:c>
      <x:c r="T36" s="14" t="n">
        <x:f>$S36*(1+Assumptions!$D$28)*Assumptions!$F$28</x:f>
        <x:v>0</x:v>
      </x:c>
      <x:c r="U36" s="14" t="n">
        <x:f>$T36*(1+Assumptions!$D$28)*Assumptions!$F$28</x:f>
        <x:v>0</x:v>
      </x:c>
      <x:c r="V36" s="14" t="n">
        <x:f>$U36*(1+Assumptions!$D$28)*Assumptions!$F$28</x:f>
        <x:v>0</x:v>
      </x:c>
      <x:c r="W36" s="14" t="n">
        <x:f>$V36*(1+Assumptions!$D$28)*Assumptions!$F$28</x:f>
        <x:v>0</x:v>
      </x:c>
    </x:row>
    <x:row r="37" ht="16" customHeight="1">
      <x:c r="A37" s="2"/>
      <x:c r="B37" s="2" t="s">
        <x:v>52</x:v>
      </x:c>
      <x:c r="C37" s="14">
        <x:v>350</x:v>
      </x:c>
      <x:c r="D37" s="14">
        <x:v>320</x:v>
      </x:c>
      <x:c r="E37" s="14">
        <x:v>310</x:v>
      </x:c>
      <x:c r="F37" s="14">
        <x:v>300</x:v>
      </x:c>
      <x:c r="G37" s="25" t="n">
        <x:f>Assumptions!$G$29</x:f>
        <x:v>76.72090518475282</x:v>
      </x:c>
      <x:c r="H37" s="14" t="n">
        <x:f>(($F37*(1+Assumptions!$C$29)*Assumptions!$E$29)-$G37)*Assumptions!$J$29/SUM(Assumptions!$J$29:$L$29)</x:f>
        <x:v>77.93720224185759</x:v>
      </x:c>
      <x:c r="I37" s="14" t="n">
        <x:f>(($F37*(1+Assumptions!$C$29)*Assumptions!$E$29)-$G37)*Assumptions!$K$29/SUM(Assumptions!$J$29:$L$29)</x:f>
        <x:v>77.93720224185759</x:v>
      </x:c>
      <x:c r="J37" s="14" t="n">
        <x:f>(($F37*(1+Assumptions!$C$29)*Assumptions!$E$29)-$G37)*Assumptions!$L$29/SUM(Assumptions!$J$29:$L$29)</x:f>
        <x:v>81.0546903315319</x:v>
      </x:c>
      <x:c r="K37" s="14" t="n">
        <x:f>SUM(G37:J37)</x:f>
        <x:v>313.64999999999986</x:v>
      </x:c>
      <x:c r="L37" s="33" t="n">
        <x:f>($K37*(1+Assumptions!$C$29)*Assumptions!$F$29)*Assumptions!$I$29</x:f>
        <x:v>78.70105799999996</x:v>
      </x:c>
      <x:c r="M37" s="14" t="n">
        <x:f>($K37*(1+Assumptions!$C$29)*Assumptions!$F$29)*Assumptions!$J$29</x:f>
        <x:v>81.98026874999996</x:v>
      </x:c>
      <x:c r="N37" s="14" t="n">
        <x:f>($K37*(1+Assumptions!$C$29)*Assumptions!$F$29)*Assumptions!$K$29</x:f>
        <x:v>81.98026874999996</x:v>
      </x:c>
      <x:c r="O37" s="14" t="n">
        <x:f>($K37*(1+Assumptions!$C$29)*Assumptions!$F$29)*Assumptions!$L$29</x:f>
        <x:v>85.25947949999997</x:v>
      </x:c>
      <x:c r="P37" s="14" t="n">
        <x:f>SUM(L37:O37)</x:f>
        <x:v>327.92107499999986</x:v>
      </x:c>
      <x:c r="Q37" s="33" t="n">
        <x:f>$P37*(1+Assumptions!$C$29)*Assumptions!$F$29</x:f>
        <x:v>342.8414839124999</x:v>
      </x:c>
      <x:c r="R37" s="14" t="n">
        <x:f>$Q37*(1+Assumptions!$C$29)*Assumptions!$F$29</x:f>
        <x:v>358.4407714305186</x:v>
      </x:c>
      <x:c r="S37" s="14" t="n">
        <x:f>$R37*(1+Assumptions!$D$29)*Assumptions!$F$29</x:f>
        <x:v>369.26568272772033</x:v>
      </x:c>
      <x:c r="T37" s="14" t="n">
        <x:f>$S37*(1+Assumptions!$D$29)*Assumptions!$F$29</x:f>
        <x:v>380.4175063460975</x:v>
      </x:c>
      <x:c r="U37" s="14" t="n">
        <x:f>$T37*(1+Assumptions!$D$29)*Assumptions!$F$29</x:f>
        <x:v>391.90611503774977</x:v>
      </x:c>
      <x:c r="V37" s="14" t="n">
        <x:f>$U37*(1+Assumptions!$D$29)*Assumptions!$F$29</x:f>
        <x:v>403.74167971188996</x:v>
      </x:c>
      <x:c r="W37" s="14" t="n">
        <x:f>$V37*(1+Assumptions!$D$29)*Assumptions!$F$29</x:f>
        <x:v>415.93467843918916</x:v>
      </x:c>
    </x:row>
    <x:row r="38" ht="16" customHeight="1">
      <x:c r="A38" s="17" t="s">
        <x:v>48</x:v>
      </x:c>
      <x:c r="B38" s="17" t="s">
        <x:v>40</x:v>
      </x:c>
      <x:c r="C38" s="18" t="n">
        <x:f t="shared" ref="C38:W38" si="9">SUM(C34:C37)</x:f>
        <x:v>3150</x:v>
      </x:c>
      <x:c r="D38" s="18">
        <x:f t="shared" si="9"/>
        <x:v>3120</x:v>
      </x:c>
      <x:c r="E38" s="18">
        <x:f t="shared" si="9"/>
        <x:v>3356</x:v>
      </x:c>
      <x:c r="F38" s="18">
        <x:f t="shared" si="9"/>
        <x:v>3905</x:v>
      </x:c>
      <x:c r="G38" s="29">
        <x:f t="shared" si="9"/>
        <x:v>1050.1111216684951</x:v>
      </x:c>
      <x:c r="H38" s="18">
        <x:f t="shared" si="9"/>
        <x:v>955.69579724743073</x:v>
      </x:c>
      <x:c r="I38" s="18">
        <x:f t="shared" si="9"/>
        <x:v>614.22665662243082</x:v>
      </x:c>
      <x:c r="J38" s="18">
        <x:f t="shared" si="9"/>
        <x:v>638.79572288732811</x:v>
      </x:c>
      <x:c r="K38" s="18">
        <x:f t="shared" si="9"/>
        <x:v>3258.829298425685</x:v>
      </x:c>
      <x:c r="L38" s="37">
        <x:f t="shared" si="9"/>
        <x:v>673.33934280000005</x:v>
      </x:c>
      <x:c r="M38" s="18">
        <x:f t="shared" si="9"/>
        <x:v>701.39514874999998</x:v>
      </x:c>
      <x:c r="N38" s="18">
        <x:f t="shared" si="9"/>
        <x:v>701.39514874999998</x:v>
      </x:c>
      <x:c r="O38" s="18">
        <x:f t="shared" si="9"/>
        <x:v>729.45095470000001</x:v>
      </x:c>
      <x:c r="P38" s="18">
        <x:f t="shared" si="9"/>
        <x:v>2805.5805949999999</x:v>
      </x:c>
      <x:c r="Q38" s="37">
        <x:f t="shared" si="9"/>
        <x:v>3187.1946128724999</x:v>
      </x:c>
      <x:c r="R38" s="18">
        <x:f t="shared" si="9"/>
        <x:v>3623.7581634765984</x:v>
      </x:c>
      <x:c r="S38" s="18">
        <x:f t="shared" si="9"/>
        <x:v>3899.7268470079425</x:v>
      </x:c>
      <x:c r="T38" s="18">
        <x:f t="shared" si="9"/>
        <x:v>4197.5521171658747</x:v>
      </x:c>
      <x:c r="U38" s="18">
        <x:f t="shared" si="9"/>
        <x:v>4518.9920562560937</x:v>
      </x:c>
      <x:c r="V38" s="18">
        <x:f t="shared" si="9"/>
        <x:v>4865.9469993571638</x:v>
      </x:c>
      <x:c r="W38" s="18">
        <x:f t="shared" si="9"/>
        <x:v>5240.4710700396599</x:v>
      </x:c>
    </x:row>
    <x:row r="39" ht="16" customHeight="1">
      <x:c r="A39" s="2"/>
      <x:c r="B39" s="2"/>
      <x:c r="C39" s="14"/>
      <x:c r="D39" s="14"/>
      <x:c r="E39" s="14"/>
      <x:c r="F39" s="14"/>
      <x:c r="G39" s="25"/>
      <x:c r="H39" s="14"/>
      <x:c r="I39" s="14"/>
      <x:c r="J39" s="14"/>
      <x:c r="K39" s="14"/>
      <x:c r="L39" s="33"/>
      <x:c r="M39" s="14"/>
      <x:c r="N39" s="14"/>
      <x:c r="O39" s="14"/>
      <x:c r="P39" s="14"/>
      <x:c r="Q39" s="33"/>
      <x:c r="R39" s="14"/>
      <x:c r="S39" s="14"/>
      <x:c r="T39" s="14"/>
      <x:c r="U39" s="14"/>
      <x:c r="V39" s="14"/>
      <x:c r="W39" s="14"/>
    </x:row>
    <x:row r="40" ht="16" customHeight="1">
      <x:c r="A40" s="16" t="s">
        <x:v>53</x:v>
      </x:c>
      <x:c r="B40" s="16"/>
      <x:c r="C40" s="23"/>
      <x:c r="D40" s="23"/>
      <x:c r="E40" s="23"/>
      <x:c r="F40" s="23"/>
      <x:c r="G40" s="28"/>
      <x:c r="H40" s="23"/>
      <x:c r="I40" s="23"/>
      <x:c r="J40" s="23"/>
      <x:c r="K40" s="23"/>
      <x:c r="L40" s="36"/>
      <x:c r="M40" s="23"/>
      <x:c r="N40" s="23"/>
      <x:c r="O40" s="23"/>
      <x:c r="P40" s="23"/>
      <x:c r="Q40" s="36"/>
      <x:c r="R40" s="23"/>
      <x:c r="S40" s="23"/>
      <x:c r="T40" s="23"/>
      <x:c r="U40" s="23"/>
      <x:c r="V40" s="23"/>
      <x:c r="W40" s="23"/>
    </x:row>
    <x:row r="41" ht="16" customHeight="1">
      <x:c r="A41" s="2"/>
      <x:c r="B41" s="2" t="s">
        <x:v>54</x:v>
      </x:c>
      <x:c r="C41" s="14">
        <x:v>1900</x:v>
      </x:c>
      <x:c r="D41" s="14">
        <x:v>1980</x:v>
      </x:c>
      <x:c r="E41" s="14">
        <x:v>2100</x:v>
      </x:c>
      <x:c r="F41" s="14">
        <x:v>2230</x:v>
      </x:c>
      <x:c r="G41" s="25" t="n">
        <x:f>Assumptions!$G$30</x:f>
        <x:v>565.3487124608693</x:v>
      </x:c>
      <x:c r="H41" s="14" t="n">
        <x:f>(($F41*(1+Assumptions!$C$30)*Assumptions!$E$30)-$G41)*Assumptions!$J$30/SUM(Assumptions!$J$30:$L$30)</x:f>
        <x:v>623.4584867015246</x:v>
      </x:c>
      <x:c r="I41" s="14" t="n">
        <x:f>(($F41*(1+Assumptions!$C$30)*Assumptions!$E$30)-$G41)*Assumptions!$K$30/SUM(Assumptions!$J$30:$L$30)</x:f>
        <x:v>623.4584867015246</x:v>
      </x:c>
      <x:c r="J41" s="14" t="n">
        <x:f>(($F41*(1+Assumptions!$C$30)*Assumptions!$E$30)-$G41)*Assumptions!$L$30/SUM(Assumptions!$J$30:$L$30)</x:f>
        <x:v>599.4793141360814</x:v>
      </x:c>
      <x:c r="K41" s="14" t="n">
        <x:f>SUM(G41:J41)</x:f>
        <x:v>2411.745</x:v>
      </x:c>
      <x:c r="L41" s="33" t="n">
        <x:f>($K41*(1+Assumptions!$C$30)*Assumptions!$F$30)*Assumptions!$I$30</x:f>
        <x:v>599.909510025</x:v>
      </x:c>
      <x:c r="M41" s="14" t="n">
        <x:f>($K41*(1+Assumptions!$C$30)*Assumptions!$F$30)*Assumptions!$J$30</x:f>
        <x:v>678.15857655</x:v>
      </x:c>
      <x:c r="N41" s="14" t="n">
        <x:f>($K41*(1+Assumptions!$C$30)*Assumptions!$F$30)*Assumptions!$K$30</x:f>
        <x:v>678.15857655</x:v>
      </x:c>
      <x:c r="O41" s="14" t="n">
        <x:f>($K41*(1+Assumptions!$C$30)*Assumptions!$F$30)*Assumptions!$L$30</x:f>
        <x:v>652.075554375</x:v>
      </x:c>
      <x:c r="P41" s="14" t="n">
        <x:f>SUM(L41:O41)</x:f>
        <x:v>2608.3022175</x:v>
      </x:c>
      <x:c r="Q41" s="33" t="n">
        <x:f>$P41*(1+Assumptions!$C$30)*Assumptions!$F$30</x:f>
        <x:v>2820.8788482262503</x:v>
      </x:c>
      <x:c r="R41" s="14" t="n">
        <x:f>$Q41*(1+Assumptions!$C$30)*Assumptions!$F$30</x:f>
        <x:v>3050.78047435669</x:v>
      </x:c>
      <x:c r="S41" s="14" t="n">
        <x:f>$R41*(1+Assumptions!$D$30)*Assumptions!$F$30</x:f>
        <x:v>3220.861485802075</x:v>
      </x:c>
      <x:c r="T41" s="14" t="n">
        <x:f>$S41*(1+Assumptions!$D$30)*Assumptions!$F$30</x:f>
        <x:v>3400.4245136355407</x:v>
      </x:c>
      <x:c r="U41" s="14" t="n">
        <x:f>$T41*(1+Assumptions!$D$30)*Assumptions!$F$30</x:f>
        <x:v>3589.998180270722</x:v>
      </x:c>
      <x:c r="V41" s="14" t="n">
        <x:f>$U41*(1+Assumptions!$D$30)*Assumptions!$F$30</x:f>
        <x:v>3790.140578820815</x:v>
      </x:c>
      <x:c r="W41" s="14" t="n">
        <x:f>$V41*(1+Assumptions!$D$30)*Assumptions!$F$30</x:f>
        <x:v>4001.440916090075</x:v>
      </x:c>
    </x:row>
    <x:row r="42" ht="16" customHeight="1">
      <x:c r="A42" s="2"/>
      <x:c r="B42" s="2" t="s">
        <x:v>55</x:v>
      </x:c>
      <x:c r="C42" s="14">
        <x:v>170</x:v>
      </x:c>
      <x:c r="D42" s="14">
        <x:v>160</x:v>
      </x:c>
      <x:c r="E42" s="14">
        <x:v>155</x:v>
      </x:c>
      <x:c r="F42" s="14">
        <x:v>150</x:v>
      </x:c>
      <x:c r="G42" s="25" t="n">
        <x:f>Assumptions!$G$31</x:f>
        <x:v>36.941427720056794</x:v>
      </x:c>
      <x:c r="H42" s="14" t="n">
        <x:f>(($F42*(1+Assumptions!$C$31)*Assumptions!$E$31)-$G42)*Assumptions!$J$31/SUM(Assumptions!$J$31:$L$31)</x:f>
        <x:v>40.73847895166914</x:v>
      </x:c>
      <x:c r="I42" s="14" t="n">
        <x:f>(($F42*(1+Assumptions!$C$31)*Assumptions!$E$31)-$G42)*Assumptions!$K$31/SUM(Assumptions!$J$31:$L$31)</x:f>
        <x:v>40.73847895166914</x:v>
      </x:c>
      <x:c r="J42" s="14" t="n">
        <x:f>(($F42*(1+Assumptions!$C$31)*Assumptions!$E$31)-$G42)*Assumptions!$L$31/SUM(Assumptions!$J$31:$L$31)</x:f>
        <x:v>39.171614376604936</x:v>
      </x:c>
      <x:c r="K42" s="14" t="n">
        <x:f>SUM(G42:J42)</x:f>
        <x:v>157.59</x:v>
      </x:c>
      <x:c r="L42" s="33" t="n">
        <x:f>($K42*(1+Assumptions!$C$31)*Assumptions!$F$31)*Assumptions!$I$31</x:f>
        <x:v>38.079732420000006</x:v>
      </x:c>
      <x:c r="M42" s="14" t="n">
        <x:f>($K42*(1+Assumptions!$C$31)*Assumptions!$F$31)*Assumptions!$J$31</x:f>
        <x:v>43.04665404000001</x:v>
      </x:c>
      <x:c r="N42" s="14" t="n">
        <x:f>($K42*(1+Assumptions!$C$31)*Assumptions!$F$31)*Assumptions!$K$31</x:f>
        <x:v>43.04665404000001</x:v>
      </x:c>
      <x:c r="O42" s="14" t="n">
        <x:f>($K42*(1+Assumptions!$C$31)*Assumptions!$F$31)*Assumptions!$L$31</x:f>
        <x:v>41.39101350000001</x:v>
      </x:c>
      <x:c r="P42" s="14" t="n">
        <x:f>SUM(L42:O42)</x:f>
        <x:v>165.56405400000003</x:v>
      </x:c>
      <x:c r="Q42" s="33" t="n">
        <x:f>$P42*(1+Assumptions!$C$31)*Assumptions!$F$31</x:f>
        <x:v>173.94159513240007</x:v>
      </x:c>
      <x:c r="R42" s="14" t="n">
        <x:f>$Q42*(1+Assumptions!$C$31)*Assumptions!$F$31</x:f>
        <x:v>182.74303984609955</x:v>
      </x:c>
      <x:c r="S42" s="14" t="n">
        <x:f>$R42*(1+Assumptions!$D$31)*Assumptions!$F$31</x:f>
        <x:v>189.1847320006746</x:v>
      </x:c>
      <x:c r="T42" s="14" t="n">
        <x:f>$S42*(1+Assumptions!$D$31)*Assumptions!$F$31</x:f>
        <x:v>195.85349380369843</x:v>
      </x:c>
      <x:c r="U42" s="14" t="n">
        <x:f>$T42*(1+Assumptions!$D$31)*Assumptions!$F$31</x:f>
        <x:v>202.75732946027887</x:v>
      </x:c>
      <x:c r="V42" s="14" t="n">
        <x:f>$U42*(1+Assumptions!$D$31)*Assumptions!$F$31</x:f>
        <x:v>209.90452532375375</x:v>
      </x:c>
      <x:c r="W42" s="14" t="n">
        <x:f>$V42*(1+Assumptions!$D$31)*Assumptions!$F$31</x:f>
        <x:v>217.30365984141613</x:v>
      </x:c>
    </x:row>
    <x:row r="43" ht="16" customHeight="1">
      <x:c r="A43" s="17" t="s">
        <x:v>53</x:v>
      </x:c>
      <x:c r="B43" s="17" t="s">
        <x:v>40</x:v>
      </x:c>
      <x:c r="C43" s="18" t="n">
        <x:f t="shared" ref="C43:W43" si="10">SUM(C41:C42)</x:f>
        <x:v>2070</x:v>
      </x:c>
      <x:c r="D43" s="18">
        <x:f t="shared" si="10"/>
        <x:v>2140</x:v>
      </x:c>
      <x:c r="E43" s="18">
        <x:f t="shared" si="10"/>
        <x:v>2255</x:v>
      </x:c>
      <x:c r="F43" s="18">
        <x:f t="shared" si="10"/>
        <x:v>2380</x:v>
      </x:c>
      <x:c r="G43" s="29">
        <x:f t="shared" si="10"/>
        <x:v>602.29014018092607</x:v>
      </x:c>
      <x:c r="H43" s="18">
        <x:f t="shared" si="10"/>
        <x:v>664.19696565319373</x:v>
      </x:c>
      <x:c r="I43" s="18">
        <x:f t="shared" si="10"/>
        <x:v>664.19696565319373</x:v>
      </x:c>
      <x:c r="J43" s="18">
        <x:f t="shared" si="10"/>
        <x:v>638.65092851268628</x:v>
      </x:c>
      <x:c r="K43" s="18">
        <x:f t="shared" si="10"/>
        <x:v>2569.335</x:v>
      </x:c>
      <x:c r="L43" s="37">
        <x:f t="shared" si="10"/>
        <x:v>637.98924244500006</x:v>
      </x:c>
      <x:c r="M43" s="18">
        <x:f t="shared" si="10"/>
        <x:v>721.20523059000004</x:v>
      </x:c>
      <x:c r="N43" s="18">
        <x:f t="shared" si="10"/>
        <x:v>721.20523059000004</x:v>
      </x:c>
      <x:c r="O43" s="18">
        <x:f t="shared" si="10"/>
        <x:v>693.46656787500001</x:v>
      </x:c>
      <x:c r="P43" s="18">
        <x:f t="shared" si="10"/>
        <x:v>2773.8662715</x:v>
      </x:c>
      <x:c r="Q43" s="37">
        <x:f t="shared" si="10"/>
        <x:v>2994.8204433586502</x:v>
      </x:c>
      <x:c r="R43" s="18">
        <x:f t="shared" si="10"/>
        <x:v>3233.5235142027896</x:v>
      </x:c>
      <x:c r="S43" s="18">
        <x:f t="shared" si="10"/>
        <x:v>3410.0462178027497</x:v>
      </x:c>
      <x:c r="T43" s="18">
        <x:f t="shared" si="10"/>
        <x:v>3596.278007439239</x:v>
      </x:c>
      <x:c r="U43" s="18">
        <x:f t="shared" si="10"/>
        <x:v>3792.755509731001</x:v>
      </x:c>
      <x:c r="V43" s="18">
        <x:f t="shared" si="10"/>
        <x:v>4000.0451041445685</x:v>
      </x:c>
      <x:c r="W43" s="18">
        <x:f t="shared" si="10"/>
        <x:v>4218.7445759314915</x:v>
      </x:c>
    </x:row>
    <x:row r="44" ht="16" customHeight="1">
      <x:c r="A44" s="2"/>
      <x:c r="B44" s="2"/>
      <x:c r="C44" s="14"/>
      <x:c r="D44" s="14"/>
      <x:c r="E44" s="14"/>
      <x:c r="F44" s="14"/>
      <x:c r="G44" s="25"/>
      <x:c r="H44" s="14"/>
      <x:c r="I44" s="14"/>
      <x:c r="J44" s="14"/>
      <x:c r="K44" s="14"/>
      <x:c r="L44" s="33"/>
      <x:c r="M44" s="14"/>
      <x:c r="N44" s="14"/>
      <x:c r="O44" s="14"/>
      <x:c r="P44" s="14"/>
      <x:c r="Q44" s="33"/>
      <x:c r="R44" s="14"/>
      <x:c r="S44" s="14"/>
      <x:c r="T44" s="14"/>
      <x:c r="U44" s="14"/>
      <x:c r="V44" s="14"/>
      <x:c r="W44" s="14"/>
    </x:row>
    <x:row r="45" ht="16" customHeight="1">
      <x:c r="A45" s="16" t="s">
        <x:v>56</x:v>
      </x:c>
      <x:c r="B45" s="16"/>
      <x:c r="C45" s="23"/>
      <x:c r="D45" s="23"/>
      <x:c r="E45" s="23"/>
      <x:c r="F45" s="23"/>
      <x:c r="G45" s="28"/>
      <x:c r="H45" s="23"/>
      <x:c r="I45" s="23"/>
      <x:c r="J45" s="23"/>
      <x:c r="K45" s="23"/>
      <x:c r="L45" s="36"/>
      <x:c r="M45" s="23"/>
      <x:c r="N45" s="23"/>
      <x:c r="O45" s="23"/>
      <x:c r="P45" s="23"/>
      <x:c r="Q45" s="36"/>
      <x:c r="R45" s="23"/>
      <x:c r="S45" s="23"/>
      <x:c r="T45" s="23"/>
      <x:c r="U45" s="23"/>
      <x:c r="V45" s="23"/>
      <x:c r="W45" s="23"/>
    </x:row>
    <x:row r="46" ht="16" customHeight="1">
      <x:c r="A46" s="2"/>
      <x:c r="B46" s="2" t="s">
        <x:v>57</x:v>
      </x:c>
      <x:c r="C46" s="14">
        <x:v>1100</x:v>
      </x:c>
      <x:c r="D46" s="14">
        <x:v>1150</x:v>
      </x:c>
      <x:c r="E46" s="14">
        <x:v>1220</x:v>
      </x:c>
      <x:c r="F46" s="14">
        <x:v>1310</x:v>
      </x:c>
      <x:c r="G46" s="25" t="n">
        <x:f>Assumptions!$G$32</x:f>
        <x:v>332.11067862051067</x:v>
      </x:c>
      <x:c r="H46" s="14" t="n">
        <x:f>(($F46*(1+Assumptions!$C$32)*Assumptions!$E$32)-$G46)*Assumptions!$J$32/SUM(Assumptions!$J$32:$L$32)</x:f>
        <x:v>366.2469137125549</x:v>
      </x:c>
      <x:c r="I46" s="14" t="n">
        <x:f>(($F46*(1+Assumptions!$C$32)*Assumptions!$E$32)-$G46)*Assumptions!$K$32/SUM(Assumptions!$J$32:$L$32)</x:f>
        <x:v>366.2469137125549</x:v>
      </x:c>
      <x:c r="J46" s="14" t="n">
        <x:f>(($F46*(1+Assumptions!$C$32)*Assumptions!$E$32)-$G46)*Assumptions!$L$32/SUM(Assumptions!$J$32:$L$32)</x:f>
        <x:v>352.16049395437966</x:v>
      </x:c>
      <x:c r="K46" s="14" t="n">
        <x:f>SUM(G46:J46)</x:f>
        <x:v>1416.765</x:v>
      </x:c>
      <x:c r="L46" s="33" t="n">
        <x:f>($K46*(1+Assumptions!$C$32)*Assumptions!$F$32)*Assumptions!$I$32</x:f>
        <x:v>352.41320992500005</x:v>
      </x:c>
      <x:c r="M46" s="14" t="n">
        <x:f>($K46*(1+Assumptions!$C$32)*Assumptions!$F$32)*Assumptions!$J$32</x:f>
        <x:v>398.38015035</x:v>
      </x:c>
      <x:c r="N46" s="14" t="n">
        <x:f>($K46*(1+Assumptions!$C$32)*Assumptions!$F$32)*Assumptions!$K$32</x:f>
        <x:v>398.38015035</x:v>
      </x:c>
      <x:c r="O46" s="14" t="n">
        <x:f>($K46*(1+Assumptions!$C$32)*Assumptions!$F$32)*Assumptions!$L$32</x:f>
        <x:v>383.057836875</x:v>
      </x:c>
      <x:c r="P46" s="14" t="n">
        <x:f>SUM(L46:O46)</x:f>
        <x:v>1532.2313475</x:v>
      </x:c>
      <x:c r="Q46" s="33" t="n">
        <x:f>$P46*(1+Assumptions!$C$32)*Assumptions!$F$32</x:f>
        <x:v>1657.10820232125</x:v>
      </x:c>
      <x:c r="R46" s="14" t="n">
        <x:f>$Q46*(1+Assumptions!$C$32)*Assumptions!$F$32</x:f>
        <x:v>1792.162520810432</x:v>
      </x:c>
      <x:c r="S46" s="14" t="n">
        <x:f>$R46*(1+Assumptions!$D$32)*Assumptions!$F$32</x:f>
        <x:v>1892.0755813456133</x:v>
      </x:c>
      <x:c r="T46" s="14" t="n">
        <x:f>$S46*(1+Assumptions!$D$32)*Assumptions!$F$32</x:f>
        <x:v>1997.5587950056308</x:v>
      </x:c>
      <x:c r="U46" s="14" t="n">
        <x:f>$T46*(1+Assumptions!$D$32)*Assumptions!$F$32</x:f>
        <x:v>2108.922697827194</x:v>
      </x:c>
      <x:c r="V46" s="14" t="n">
        <x:f>$U46*(1+Assumptions!$D$32)*Assumptions!$F$32</x:f>
        <x:v>2226.4951382310596</x:v>
      </x:c>
      <x:c r="W46" s="14" t="n">
        <x:f>$V46*(1+Assumptions!$D$32)*Assumptions!$F$32</x:f>
        <x:v>2350.622242187441</x:v>
      </x:c>
    </x:row>
    <x:row r="47" ht="16" customHeight="1">
      <x:c r="A47" s="2"/>
      <x:c r="B47" s="2" t="s">
        <x:v>58</x:v>
      </x:c>
      <x:c r="C47" s="14">
        <x:v>800</x:v>
      </x:c>
      <x:c r="D47" s="14">
        <x:v>820</x:v>
      </x:c>
      <x:c r="E47" s="14">
        <x:v>850</x:v>
      </x:c>
      <x:c r="F47" s="14">
        <x:v>900</x:v>
      </x:c>
      <x:c r="G47" s="25" t="n">
        <x:f>Assumptions!$G$33</x:f>
        <x:v>225.9946166403475</x:v>
      </x:c>
      <x:c r="H47" s="14" t="n">
        <x:f>(($F47*(1+Assumptions!$C$33)*Assumptions!$E$33)-$G47)*Assumptions!$J$33/SUM(Assumptions!$J$33:$L$33)</x:f>
        <x:v>249.2236359396229</x:v>
      </x:c>
      <x:c r="I47" s="14" t="n">
        <x:f>(($F47*(1+Assumptions!$C$33)*Assumptions!$E$33)-$G47)*Assumptions!$K$33/SUM(Assumptions!$J$33:$L$33)</x:f>
        <x:v>249.2236359396229</x:v>
      </x:c>
      <x:c r="J47" s="14" t="n">
        <x:f>(($F47*(1+Assumptions!$C$33)*Assumptions!$E$33)-$G47)*Assumptions!$L$33/SUM(Assumptions!$J$33:$L$33)</x:f>
        <x:v>239.63811148040665</x:v>
      </x:c>
      <x:c r="K47" s="14" t="n">
        <x:f>SUM(G47:J47)</x:f>
        <x:v>964.0799999999999</x:v>
      </x:c>
      <x:c r="L47" s="33" t="n">
        <x:f>($K47*(1+Assumptions!$C$33)*Assumptions!$F$33)*Assumptions!$I$33</x:f>
        <x:v>237.52617408000003</x:v>
      </x:c>
      <x:c r="M47" s="14" t="n">
        <x:f>($K47*(1+Assumptions!$C$33)*Assumptions!$F$33)*Assumptions!$J$33</x:f>
        <x:v>268.50784896000005</x:v>
      </x:c>
      <x:c r="N47" s="14" t="n">
        <x:f>($K47*(1+Assumptions!$C$33)*Assumptions!$F$33)*Assumptions!$K$33</x:f>
        <x:v>268.50784896000005</x:v>
      </x:c>
      <x:c r="O47" s="14" t="n">
        <x:f>($K47*(1+Assumptions!$C$33)*Assumptions!$F$33)*Assumptions!$L$33</x:f>
        <x:v>258.180624</x:v>
      </x:c>
      <x:c r="P47" s="14" t="n">
        <x:f>SUM(L47:O47)</x:f>
        <x:v>1032.722496</x:v>
      </x:c>
      <x:c r="Q47" s="33" t="n">
        <x:f>$P47*(1+Assumptions!$C$33)*Assumptions!$F$33</x:f>
        <x:v>1106.2523377152002</x:v>
      </x:c>
      <x:c r="R47" s="14" t="n">
        <x:f>$Q47*(1+Assumptions!$C$33)*Assumptions!$F$33</x:f>
        <x:v>1185.0175041605225</x:v>
      </x:c>
      <x:c r="S47" s="14" t="n">
        <x:f>$R47*(1+Assumptions!$D$33)*Assumptions!$F$33</x:f>
        <x:v>1238.9358005998263</x:v>
      </x:c>
      <x:c r="T47" s="14" t="n">
        <x:f>$S47*(1+Assumptions!$D$33)*Assumptions!$F$33</x:f>
        <x:v>1295.3073795271182</x:v>
      </x:c>
      <x:c r="U47" s="14" t="n">
        <x:f>$T47*(1+Assumptions!$D$33)*Assumptions!$F$33</x:f>
        <x:v>1354.2438652956018</x:v>
      </x:c>
      <x:c r="V47" s="14" t="n">
        <x:f>$U47*(1+Assumptions!$D$33)*Assumptions!$F$33</x:f>
        <x:v>1415.8619611665515</x:v>
      </x:c>
      <x:c r="W47" s="14" t="n">
        <x:f>$V47*(1+Assumptions!$D$33)*Assumptions!$F$33</x:f>
        <x:v>1480.2836803996295</x:v>
      </x:c>
    </x:row>
    <x:row r="48" ht="16" customHeight="1">
      <x:c r="A48" s="2"/>
      <x:c r="B48" s="2" t="s">
        <x:v>59</x:v>
      </x:c>
      <x:c r="C48" s="14">
        <x:v>360</x:v>
      </x:c>
      <x:c r="D48" s="14">
        <x:v>350</x:v>
      </x:c>
      <x:c r="E48" s="14">
        <x:v>345</x:v>
      </x:c>
      <x:c r="F48" s="14">
        <x:v>350</x:v>
      </x:c>
      <x:c r="G48" s="25" t="n">
        <x:f>Assumptions!$G$34</x:f>
        <x:v>83.05302161532771</x:v>
      </x:c>
      <x:c r="H48" s="14" t="n">
        <x:f>(($F48*(1+Assumptions!$C$34)*Assumptions!$E$34)-$G48)*Assumptions!$J$34/SUM(Assumptions!$J$34:$L$34)</x:f>
        <x:v>91.58968620781144</x:v>
      </x:c>
      <x:c r="I48" s="14" t="n">
        <x:f>(($F48*(1+Assumptions!$C$34)*Assumptions!$E$34)-$G48)*Assumptions!$K$34/SUM(Assumptions!$J$34:$L$34)</x:f>
        <x:v>91.58968620781144</x:v>
      </x:c>
      <x:c r="J48" s="14" t="n">
        <x:f>(($F48*(1+Assumptions!$C$34)*Assumptions!$E$34)-$G48)*Assumptions!$L$34/SUM(Assumptions!$J$34:$L$34)</x:f>
        <x:v>88.06700596904945</x:v>
      </x:c>
      <x:c r="K48" s="14" t="n">
        <x:f>SUM(G48:J48)</x:f>
        <x:v>354.2994</x:v>
      </x:c>
      <x:c r="L48" s="33" t="n">
        <x:f>($K48*(1+Assumptions!$C$34)*Assumptions!$F$34)*Assumptions!$I$34</x:f>
        <x:v>90.6482100888</x:v>
      </x:c>
      <x:c r="M48" s="14" t="n">
        <x:f>($K48*(1+Assumptions!$C$34)*Assumptions!$F$34)*Assumptions!$J$34</x:f>
        <x:v>102.4718896656</x:v>
      </x:c>
      <x:c r="N48" s="14" t="n">
        <x:f>($K48*(1+Assumptions!$C$34)*Assumptions!$F$34)*Assumptions!$K$34</x:f>
        <x:v>102.4718896656</x:v>
      </x:c>
      <x:c r="O48" s="14" t="n">
        <x:f>($K48*(1+Assumptions!$C$34)*Assumptions!$F$34)*Assumptions!$L$34</x:f>
        <x:v>98.53066314</x:v>
      </x:c>
      <x:c r="P48" s="14" t="n">
        <x:f>SUM(L48:O48)</x:f>
        <x:v>394.12265256</x:v>
      </x:c>
      <x:c r="Q48" s="33" t="n">
        <x:f>$P48*(1+Assumptions!$C$34)*Assumptions!$F$34</x:f>
        <x:v>438.42203870774404</x:v>
      </x:c>
      <x:c r="R48" s="14" t="n">
        <x:f>$Q48*(1+Assumptions!$C$34)*Assumptions!$F$34</x:f>
        <x:v>487.7006758584945</x:v>
      </x:c>
      <x:c r="S48" s="14" t="n">
        <x:f>$R48*(1+Assumptions!$D$34)*Assumptions!$F$34</x:f>
        <x:v>519.888920465155</x:v>
      </x:c>
      <x:c r="T48" s="14" t="n">
        <x:f>$S48*(1+Assumptions!$D$34)*Assumptions!$F$34</x:f>
        <x:v>554.2015892158552</x:v>
      </x:c>
      <x:c r="U48" s="14" t="n">
        <x:f>$T48*(1+Assumptions!$D$34)*Assumptions!$F$34</x:f>
        <x:v>590.7788941041015</x:v>
      </x:c>
      <x:c r="V48" s="14" t="n">
        <x:f>$U48*(1+Assumptions!$D$34)*Assumptions!$F$34</x:f>
        <x:v>629.7703011149721</x:v>
      </x:c>
      <x:c r="W48" s="14" t="n">
        <x:f>$V48*(1+Assumptions!$D$34)*Assumptions!$F$34</x:f>
        <x:v>671.3351409885602</x:v>
      </x:c>
    </x:row>
    <x:row r="49" ht="16" customHeight="1">
      <x:c r="A49" s="2"/>
      <x:c r="B49" s="2" t="s">
        <x:v>60</x:v>
      </x:c>
      <x:c r="C49" s="14">
        <x:v>190</x:v>
      </x:c>
      <x:c r="D49" s="14">
        <x:v>180</x:v>
      </x:c>
      <x:c r="E49" s="14">
        <x:v>175</x:v>
      </x:c>
      <x:c r="F49" s="14">
        <x:v>180</x:v>
      </x:c>
      <x:c r="G49" s="25" t="n">
        <x:f>Assumptions!$G$35</x:f>
        <x:v>44.32971326406816</x:v>
      </x:c>
      <x:c r="H49" s="14" t="n">
        <x:f>(($F49*(1+Assumptions!$C$35)*Assumptions!$E$35)-$G49)*Assumptions!$J$35/SUM(Assumptions!$J$35:$L$35)</x:f>
        <x:v>48.88617474200296</x:v>
      </x:c>
      <x:c r="I49" s="14" t="n">
        <x:f>(($F49*(1+Assumptions!$C$35)*Assumptions!$E$35)-$G49)*Assumptions!$K$35/SUM(Assumptions!$J$35:$L$35)</x:f>
        <x:v>48.88617474200296</x:v>
      </x:c>
      <x:c r="J49" s="14" t="n">
        <x:f>(($F49*(1+Assumptions!$C$35)*Assumptions!$E$35)-$G49)*Assumptions!$L$35/SUM(Assumptions!$J$35:$L$35)</x:f>
        <x:v>47.005937251925914</x:v>
      </x:c>
      <x:c r="K49" s="14" t="n">
        <x:f>SUM(G49:J49)</x:f>
        <x:v>189.108</x:v>
      </x:c>
      <x:c r="L49" s="33" t="n">
        <x:f>($K49*(1+Assumptions!$C$35)*Assumptions!$F$35)*Assumptions!$I$35</x:f>
        <x:v>45.695678904000005</x:v>
      </x:c>
      <x:c r="M49" s="14" t="n">
        <x:f>($K49*(1+Assumptions!$C$35)*Assumptions!$F$35)*Assumptions!$J$35</x:f>
        <x:v>51.655984848</x:v>
      </x:c>
      <x:c r="N49" s="14" t="n">
        <x:f>($K49*(1+Assumptions!$C$35)*Assumptions!$F$35)*Assumptions!$K$35</x:f>
        <x:v>51.655984848</x:v>
      </x:c>
      <x:c r="O49" s="14" t="n">
        <x:f>($K49*(1+Assumptions!$C$35)*Assumptions!$F$35)*Assumptions!$L$35</x:f>
        <x:v>49.6692162</x:v>
      </x:c>
      <x:c r="P49" s="14" t="n">
        <x:f>SUM(L49:O49)</x:f>
        <x:v>198.6768648</x:v>
      </x:c>
      <x:c r="Q49" s="33" t="n">
        <x:f>$P49*(1+Assumptions!$C$35)*Assumptions!$F$35</x:f>
        <x:v>208.72991415888</x:v>
      </x:c>
      <x:c r="R49" s="14" t="n">
        <x:f>$Q49*(1+Assumptions!$C$35)*Assumptions!$F$35</x:f>
        <x:v>219.29164781531932</x:v>
      </x:c>
      <x:c r="S49" s="14" t="n">
        <x:f>$R49*(1+Assumptions!$D$35)*Assumptions!$F$35</x:f>
        <x:v>227.02167840080932</x:v>
      </x:c>
      <x:c r="T49" s="14" t="n">
        <x:f>$S49*(1+Assumptions!$D$35)*Assumptions!$F$35</x:f>
        <x:v>235.02419256443784</x:v>
      </x:c>
      <x:c r="U49" s="14" t="n">
        <x:f>$T49*(1+Assumptions!$D$35)*Assumptions!$F$35</x:f>
        <x:v>243.30879535233427</x:v>
      </x:c>
      <x:c r="V49" s="14" t="n">
        <x:f>$U49*(1+Assumptions!$D$35)*Assumptions!$F$35</x:f>
        <x:v>251.88543038850406</x:v>
      </x:c>
      <x:c r="W49" s="14" t="n">
        <x:f>$V49*(1+Assumptions!$D$35)*Assumptions!$F$35</x:f>
        <x:v>260.76439180969885</x:v>
      </x:c>
    </x:row>
    <x:row r="50" ht="16" customHeight="1">
      <x:c r="A50" s="17" t="s">
        <x:v>56</x:v>
      </x:c>
      <x:c r="B50" s="17" t="s">
        <x:v>40</x:v>
      </x:c>
      <x:c r="C50" s="18" t="n">
        <x:f t="shared" ref="C50:W50" si="11">SUM(C46:C49)</x:f>
        <x:v>2450</x:v>
      </x:c>
      <x:c r="D50" s="18">
        <x:f t="shared" si="11"/>
        <x:v>2500</x:v>
      </x:c>
      <x:c r="E50" s="18">
        <x:f t="shared" si="11"/>
        <x:v>2590</x:v>
      </x:c>
      <x:c r="F50" s="18">
        <x:f t="shared" si="11"/>
        <x:v>2740</x:v>
      </x:c>
      <x:c r="G50" s="29">
        <x:f t="shared" si="11"/>
        <x:v>685.48803014025395</x:v>
      </x:c>
      <x:c r="H50" s="18">
        <x:f t="shared" si="11"/>
        <x:v>755.94641060199217</x:v>
      </x:c>
      <x:c r="I50" s="18">
        <x:f t="shared" si="11"/>
        <x:v>755.94641060199217</x:v>
      </x:c>
      <x:c r="J50" s="18">
        <x:f t="shared" si="11"/>
        <x:v>726.87154865576167</x:v>
      </x:c>
      <x:c r="K50" s="18">
        <x:f t="shared" si="11"/>
        <x:v>2924.2524000000003</x:v>
      </x:c>
      <x:c r="L50" s="37">
        <x:f t="shared" si="11"/>
        <x:v>726.28327299780017</x:v>
      </x:c>
      <x:c r="M50" s="18">
        <x:f t="shared" si="11"/>
        <x:v>821.01587382360003</x:v>
      </x:c>
      <x:c r="N50" s="18">
        <x:f t="shared" si="11"/>
        <x:v>821.01587382360003</x:v>
      </x:c>
      <x:c r="O50" s="18">
        <x:f t="shared" si="11"/>
        <x:v>789.43834021500015</x:v>
      </x:c>
      <x:c r="P50" s="18">
        <x:f t="shared" si="11"/>
        <x:v>3157.7533608600006</x:v>
      </x:c>
      <x:c r="Q50" s="37">
        <x:f t="shared" si="11"/>
        <x:v>3410.5124929030744</x:v>
      </x:c>
      <x:c r="R50" s="18">
        <x:f t="shared" si="11"/>
        <x:v>3684.1723486447681</x:v>
      </x:c>
      <x:c r="S50" s="18">
        <x:f t="shared" si="11"/>
        <x:v>3877.921980811404</x:v>
      </x:c>
      <x:c r="T50" s="18">
        <x:f t="shared" si="11"/>
        <x:v>4082.0919563130419</x:v>
      </x:c>
      <x:c r="U50" s="18">
        <x:f t="shared" si="11"/>
        <x:v>4297.2542525792323</x:v>
      </x:c>
      <x:c r="V50" s="18">
        <x:f t="shared" si="11"/>
        <x:v>4524.012830901087</x:v>
      </x:c>
      <x:c r="W50" s="18">
        <x:f t="shared" si="11"/>
        <x:v>4763.0054553853297</x:v>
      </x:c>
    </x:row>
    <x:row r="51" ht="16" customHeight="1">
      <x:c r="A51" s="2"/>
      <x:c r="B51" s="2"/>
      <x:c r="C51" s="14"/>
      <x:c r="D51" s="14"/>
      <x:c r="E51" s="14"/>
      <x:c r="F51" s="14"/>
      <x:c r="G51" s="25"/>
      <x:c r="H51" s="14"/>
      <x:c r="I51" s="14"/>
      <x:c r="J51" s="14"/>
      <x:c r="K51" s="14"/>
      <x:c r="L51" s="33"/>
      <x:c r="M51" s="14"/>
      <x:c r="N51" s="14"/>
      <x:c r="O51" s="14"/>
      <x:c r="P51" s="14"/>
      <x:c r="Q51" s="33"/>
      <x:c r="R51" s="14"/>
      <x:c r="S51" s="14"/>
      <x:c r="T51" s="14"/>
      <x:c r="U51" s="14"/>
      <x:c r="V51" s="14"/>
      <x:c r="W51" s="14"/>
    </x:row>
    <x:row r="52" ht="16" customHeight="1">
      <x:c r="A52" s="16" t="s">
        <x:v>61</x:v>
      </x:c>
      <x:c r="B52" s="16"/>
      <x:c r="C52" s="23"/>
      <x:c r="D52" s="23"/>
      <x:c r="E52" s="23"/>
      <x:c r="F52" s="23"/>
      <x:c r="G52" s="28"/>
      <x:c r="H52" s="23"/>
      <x:c r="I52" s="23"/>
      <x:c r="J52" s="23"/>
      <x:c r="K52" s="23"/>
      <x:c r="L52" s="36"/>
      <x:c r="M52" s="23"/>
      <x:c r="N52" s="23"/>
      <x:c r="O52" s="23"/>
      <x:c r="P52" s="23"/>
      <x:c r="Q52" s="36"/>
      <x:c r="R52" s="23"/>
      <x:c r="S52" s="23"/>
      <x:c r="T52" s="23"/>
      <x:c r="U52" s="23"/>
      <x:c r="V52" s="23"/>
      <x:c r="W52" s="23"/>
    </x:row>
    <x:row r="53" ht="16" customHeight="1">
      <x:c r="A53" s="2"/>
      <x:c r="B53" s="2" t="s">
        <x:v>62</x:v>
      </x:c>
      <x:c r="C53" s="14">
        <x:v>520</x:v>
      </x:c>
      <x:c r="D53" s="14">
        <x:v>510</x:v>
      </x:c>
      <x:c r="E53" s="14">
        <x:v>500</x:v>
      </x:c>
      <x:c r="F53" s="14">
        <x:v>500</x:v>
      </x:c>
      <x:c r="G53" s="25" t="n">
        <x:f>Assumptions!$G$36</x:f>
        <x:v>118.64717373618244</x:v>
      </x:c>
      <x:c r="H53" s="14" t="n">
        <x:f>(($F53*(1+Assumptions!$C$36)*Assumptions!$E$36)-$G53)*Assumptions!$J$36/SUM(Assumptions!$J$36:$L$36)</x:f>
        <x:v>130.84240886830207</x:v>
      </x:c>
      <x:c r="I53" s="14" t="n">
        <x:f>(($F53*(1+Assumptions!$C$36)*Assumptions!$E$36)-$G53)*Assumptions!$K$36/SUM(Assumptions!$J$36:$L$36)</x:f>
        <x:v>130.84240886830207</x:v>
      </x:c>
      <x:c r="J53" s="14" t="n">
        <x:f>(($F53*(1+Assumptions!$C$36)*Assumptions!$E$36)-$G53)*Assumptions!$L$36/SUM(Assumptions!$J$36:$L$36)</x:f>
        <x:v>125.81000852721351</x:v>
      </x:c>
      <x:c r="K53" s="14" t="n">
        <x:f>SUM(G53:J53)</x:f>
        <x:v>506.14200000000005</x:v>
      </x:c>
      <x:c r="L53" s="33" t="n">
        <x:f>($K53*(1+Assumptions!$C$36)*Assumptions!$F$36)*Assumptions!$I$36</x:f>
        <x:v>129.49744298400003</x:v>
      </x:c>
      <x:c r="M53" s="14" t="n">
        <x:f>($K53*(1+Assumptions!$C$36)*Assumptions!$F$36)*Assumptions!$J$36</x:f>
        <x:v>146.38841380800002</x:v>
      </x:c>
      <x:c r="N53" s="14" t="n">
        <x:f>($K53*(1+Assumptions!$C$36)*Assumptions!$F$36)*Assumptions!$K$36</x:f>
        <x:v>146.38841380800002</x:v>
      </x:c>
      <x:c r="O53" s="14" t="n">
        <x:f>($K53*(1+Assumptions!$C$36)*Assumptions!$F$36)*Assumptions!$L$36</x:f>
        <x:v>140.75809020000003</x:v>
      </x:c>
      <x:c r="P53" s="14" t="n">
        <x:f>SUM(L53:O53)</x:f>
        <x:v>563.0323608000001</x:v>
      </x:c>
      <x:c r="Q53" s="33" t="n">
        <x:f>$P53*(1+Assumptions!$C$36)*Assumptions!$F$36</x:f>
        <x:v>626.3171981539201</x:v>
      </x:c>
      <x:c r="R53" s="14" t="n">
        <x:f>$Q53*(1+Assumptions!$C$36)*Assumptions!$F$36</x:f>
        <x:v>696.7152512264207</x:v>
      </x:c>
      <x:c r="S53" s="14" t="n">
        <x:f>$R53*(1+Assumptions!$D$36)*Assumptions!$F$36</x:f>
        <x:v>742.6984578073643</x:v>
      </x:c>
      <x:c r="T53" s="14" t="n">
        <x:f>$S53*(1+Assumptions!$D$36)*Assumptions!$F$36</x:f>
        <x:v>791.7165560226503</x:v>
      </x:c>
      <x:c r="U53" s="14" t="n">
        <x:f>$T53*(1+Assumptions!$D$36)*Assumptions!$F$36</x:f>
        <x:v>843.969848720145</x:v>
      </x:c>
      <x:c r="V53" s="14" t="n">
        <x:f>$U53*(1+Assumptions!$D$36)*Assumptions!$F$36</x:f>
        <x:v>899.6718587356745</x:v>
      </x:c>
      <x:c r="W53" s="14" t="n">
        <x:f>$V53*(1+Assumptions!$D$36)*Assumptions!$F$36</x:f>
        <x:v>959.0502014122288</x:v>
      </x:c>
    </x:row>
    <x:row r="54" ht="16" customHeight="1">
      <x:c r="A54" s="2"/>
      <x:c r="B54" s="2" t="s">
        <x:v>63</x:v>
      </x:c>
      <x:c r="C54" s="14">
        <x:v>360</x:v>
      </x:c>
      <x:c r="D54" s="14">
        <x:v>370</x:v>
      </x:c>
      <x:c r="E54" s="14">
        <x:v>380</x:v>
      </x:c>
      <x:c r="F54" s="14">
        <x:v>400</x:v>
      </x:c>
      <x:c r="G54" s="25" t="n">
        <x:f>Assumptions!$G$37</x:f>
        <x:v>94.91773898894596</x:v>
      </x:c>
      <x:c r="H54" s="14" t="n">
        <x:f>(($F54*(1+Assumptions!$C$37)*Assumptions!$E$37)-$G54)*Assumptions!$J$37/SUM(Assumptions!$J$37:$L$37)</x:f>
        <x:v>104.67392709464166</x:v>
      </x:c>
      <x:c r="I54" s="14" t="n">
        <x:f>(($F54*(1+Assumptions!$C$37)*Assumptions!$E$37)-$G54)*Assumptions!$K$37/SUM(Assumptions!$J$37:$L$37)</x:f>
        <x:v>104.67392709464166</x:v>
      </x:c>
      <x:c r="J54" s="14" t="n">
        <x:f>(($F54*(1+Assumptions!$C$37)*Assumptions!$E$37)-$G54)*Assumptions!$L$37/SUM(Assumptions!$J$37:$L$37)</x:f>
        <x:v>100.6480068217708</x:v>
      </x:c>
      <x:c r="K54" s="14" t="n">
        <x:f>SUM(G54:J54)</x:f>
        <x:v>404.9136000000001</x:v>
      </x:c>
      <x:c r="L54" s="33" t="n">
        <x:f>($K54*(1+Assumptions!$C$37)*Assumptions!$F$37)*Assumptions!$I$37</x:f>
        <x:v>103.59795438720005</x:v>
      </x:c>
      <x:c r="M54" s="14" t="n">
        <x:f>($K54*(1+Assumptions!$C$37)*Assumptions!$F$37)*Assumptions!$J$37</x:f>
        <x:v>117.11073104640006</x:v>
      </x:c>
      <x:c r="N54" s="14" t="n">
        <x:f>($K54*(1+Assumptions!$C$37)*Assumptions!$F$37)*Assumptions!$K$37</x:f>
        <x:v>117.11073104640006</x:v>
      </x:c>
      <x:c r="O54" s="14" t="n">
        <x:f>($K54*(1+Assumptions!$C$37)*Assumptions!$F$37)*Assumptions!$L$37</x:f>
        <x:v>112.60647216000005</x:v>
      </x:c>
      <x:c r="P54" s="14" t="n">
        <x:f>SUM(L54:O54)</x:f>
        <x:v>450.42588864000027</x:v>
      </x:c>
      <x:c r="Q54" s="33" t="n">
        <x:f>$P54*(1+Assumptions!$C$37)*Assumptions!$F$37</x:f>
        <x:v>501.0537585231364</x:v>
      </x:c>
      <x:c r="R54" s="14" t="n">
        <x:f>$Q54*(1+Assumptions!$C$37)*Assumptions!$F$37</x:f>
        <x:v>557.3722009811371</x:v>
      </x:c>
      <x:c r="S54" s="14" t="n">
        <x:f>$R54*(1+Assumptions!$D$37)*Assumptions!$F$37</x:f>
        <x:v>594.1587662458921</x:v>
      </x:c>
      <x:c r="T54" s="14" t="n">
        <x:f>$S54*(1+Assumptions!$D$37)*Assumptions!$F$37</x:f>
        <x:v>633.3732448181211</x:v>
      </x:c>
      <x:c r="U54" s="14" t="n">
        <x:f>$T54*(1+Assumptions!$D$37)*Assumptions!$F$37</x:f>
        <x:v>675.175878976117</x:v>
      </x:c>
      <x:c r="V54" s="14" t="n">
        <x:f>$U54*(1+Assumptions!$D$37)*Assumptions!$F$37</x:f>
        <x:v>719.7374869885407</x:v>
      </x:c>
      <x:c r="W54" s="14" t="n">
        <x:f>$V54*(1+Assumptions!$D$37)*Assumptions!$F$37</x:f>
        <x:v>767.2401611297844</x:v>
      </x:c>
    </x:row>
    <x:row r="55" ht="16" customHeight="1">
      <x:c r="A55" s="2"/>
      <x:c r="B55" s="2" t="s">
        <x:v>64</x:v>
      </x:c>
      <x:c r="C55" s="14">
        <x:v>120</x:v>
      </x:c>
      <x:c r="D55" s="14">
        <x:v>110</x:v>
      </x:c>
      <x:c r="E55" s="14">
        <x:v>100</x:v>
      </x:c>
      <x:c r="F55" s="14">
        <x:v>100</x:v>
      </x:c>
      <x:c r="G55" s="25" t="n">
        <x:f>Assumptions!$G$38</x:f>
        <x:v>24.627618480037867</x:v>
      </x:c>
      <x:c r="H55" s="14" t="n">
        <x:f>(($F55*(1+Assumptions!$C$38)*Assumptions!$E$38)-$G55)*Assumptions!$J$38/SUM(Assumptions!$J$38:$L$38)</x:f>
        <x:v>27.158985967779433</x:v>
      </x:c>
      <x:c r="I55" s="14" t="n">
        <x:f>(($F55*(1+Assumptions!$C$38)*Assumptions!$E$38)-$G55)*Assumptions!$K$38/SUM(Assumptions!$J$38:$L$38)</x:f>
        <x:v>27.158985967779433</x:v>
      </x:c>
      <x:c r="J55" s="14" t="n">
        <x:f>(($F55*(1+Assumptions!$C$38)*Assumptions!$E$38)-$G55)*Assumptions!$L$38/SUM(Assumptions!$J$38:$L$38)</x:f>
        <x:v>26.114409584403298</x:v>
      </x:c>
      <x:c r="K55" s="14" t="n">
        <x:f>SUM(G55:J55)</x:f>
        <x:v>105.06000000000003</x:v>
      </x:c>
      <x:c r="L55" s="33" t="n">
        <x:f>($K55*(1+Assumptions!$C$38)*Assumptions!$F$38)*Assumptions!$I$38</x:f>
        <x:v>25.386488280000012</x:v>
      </x:c>
      <x:c r="M55" s="14" t="n">
        <x:f>($K55*(1+Assumptions!$C$38)*Assumptions!$F$38)*Assumptions!$J$38</x:f>
        <x:v>28.697769360000017</x:v>
      </x:c>
      <x:c r="N55" s="14" t="n">
        <x:f>($K55*(1+Assumptions!$C$38)*Assumptions!$F$38)*Assumptions!$K$38</x:f>
        <x:v>28.697769360000017</x:v>
      </x:c>
      <x:c r="O55" s="14" t="n">
        <x:f>($K55*(1+Assumptions!$C$38)*Assumptions!$F$38)*Assumptions!$L$38</x:f>
        <x:v>27.594009000000014</x:v>
      </x:c>
      <x:c r="P55" s="14" t="n">
        <x:f>SUM(L55:O55)</x:f>
        <x:v>110.37603600000007</x:v>
      </x:c>
      <x:c r="Q55" s="33" t="n">
        <x:f>$P55*(1+Assumptions!$C$38)*Assumptions!$F$38</x:f>
        <x:v>115.9610634216001</x:v>
      </x:c>
      <x:c r="R55" s="14" t="n">
        <x:f>$Q55*(1+Assumptions!$C$38)*Assumptions!$F$38</x:f>
        <x:v>121.8286932307331</x:v>
      </x:c>
      <x:c r="S55" s="14" t="n">
        <x:f>$R55*(1+Assumptions!$D$38)*Assumptions!$F$38</x:f>
        <x:v>126.12315466711647</x:v>
      </x:c>
      <x:c r="T55" s="14" t="n">
        <x:f>$S55*(1+Assumptions!$D$38)*Assumptions!$F$38</x:f>
        <x:v>130.56899586913235</x:v>
      </x:c>
      <x:c r="U55" s="14" t="n">
        <x:f>$T55*(1+Assumptions!$D$38)*Assumptions!$F$38</x:f>
        <x:v>135.17155297351928</x:v>
      </x:c>
      <x:c r="V55" s="14" t="n">
        <x:f>$U55*(1+Assumptions!$D$38)*Assumptions!$F$38</x:f>
        <x:v>139.93635021583586</x:v>
      </x:c>
      <x:c r="W55" s="14" t="n">
        <x:f>$V55*(1+Assumptions!$D$38)*Assumptions!$F$38</x:f>
        <x:v>144.8691065609441</x:v>
      </x:c>
    </x:row>
    <x:row r="56" ht="16" customHeight="1">
      <x:c r="A56" s="17" t="s">
        <x:v>61</x:v>
      </x:c>
      <x:c r="B56" s="17" t="s">
        <x:v>40</x:v>
      </x:c>
      <x:c r="C56" s="18" t="n">
        <x:f t="shared" ref="C56:W56" si="12">SUM(C53:C55)</x:f>
        <x:v>1000</x:v>
      </x:c>
      <x:c r="D56" s="18">
        <x:f t="shared" si="12"/>
        <x:v>990</x:v>
      </x:c>
      <x:c r="E56" s="18">
        <x:f t="shared" si="12"/>
        <x:v>980</x:v>
      </x:c>
      <x:c r="F56" s="18">
        <x:f t="shared" si="12"/>
        <x:v>1000</x:v>
      </x:c>
      <x:c r="G56" s="29">
        <x:f t="shared" si="12"/>
        <x:v>238.19253120516629</x:v>
      </x:c>
      <x:c r="H56" s="18">
        <x:f t="shared" si="12"/>
        <x:v>262.67532193072316</x:v>
      </x:c>
      <x:c r="I56" s="18">
        <x:f t="shared" si="12"/>
        <x:v>262.67532193072316</x:v>
      </x:c>
      <x:c r="J56" s="18">
        <x:f t="shared" si="12"/>
        <x:v>252.57242493338759</x:v>
      </x:c>
      <x:c r="K56" s="18">
        <x:f t="shared" si="12"/>
        <x:v>1016.1156000000002</x:v>
      </x:c>
      <x:c r="L56" s="37">
        <x:f t="shared" si="12"/>
        <x:v>258.48188565120012</x:v>
      </x:c>
      <x:c r="M56" s="18">
        <x:f t="shared" si="12"/>
        <x:v>292.19691421440007</x:v>
      </x:c>
      <x:c r="N56" s="18">
        <x:f t="shared" si="12"/>
        <x:v>292.19691421440007</x:v>
      </x:c>
      <x:c r="O56" s="18">
        <x:f t="shared" si="12"/>
        <x:v>280.95857136000012</x:v>
      </x:c>
      <x:c r="P56" s="18">
        <x:f t="shared" si="12"/>
        <x:v>1123.8342854400005</x:v>
      </x:c>
      <x:c r="Q56" s="37">
        <x:f t="shared" si="12"/>
        <x:v>1243.3320200986566</x:v>
      </x:c>
      <x:c r="R56" s="18">
        <x:f t="shared" si="12"/>
        <x:v>1375.9161454382909</x:v>
      </x:c>
      <x:c r="S56" s="18">
        <x:f t="shared" si="12"/>
        <x:v>1462.980378720373</x:v>
      </x:c>
      <x:c r="T56" s="18">
        <x:f t="shared" si="12"/>
        <x:v>1555.6587967099035</x:v>
      </x:c>
      <x:c r="U56" s="18">
        <x:f t="shared" si="12"/>
        <x:v>1654.3172806697812</x:v>
      </x:c>
      <x:c r="V56" s="18">
        <x:f t="shared" si="12"/>
        <x:v>1759.345695940051</x:v>
      </x:c>
      <x:c r="W56" s="18">
        <x:f t="shared" si="12"/>
        <x:v>1871.1594691029572</x:v>
      </x:c>
    </x:row>
    <x:row r="57" ht="16" customHeight="1">
      <x:c r="A57" s="2"/>
      <x:c r="B57" s="2"/>
      <x:c r="C57" s="14"/>
      <x:c r="D57" s="14"/>
      <x:c r="E57" s="14"/>
      <x:c r="F57" s="14"/>
      <x:c r="G57" s="25"/>
      <x:c r="H57" s="14"/>
      <x:c r="I57" s="14"/>
      <x:c r="J57" s="14"/>
      <x:c r="K57" s="14"/>
      <x:c r="L57" s="33"/>
      <x:c r="M57" s="14"/>
      <x:c r="N57" s="14"/>
      <x:c r="O57" s="14"/>
      <x:c r="P57" s="14"/>
      <x:c r="Q57" s="33"/>
      <x:c r="R57" s="14"/>
      <x:c r="S57" s="14"/>
      <x:c r="T57" s="14"/>
      <x:c r="U57" s="14"/>
      <x:c r="V57" s="14"/>
      <x:c r="W57" s="14"/>
    </x:row>
    <x:row r="58" ht="16" customHeight="1">
      <x:c r="A58" s="16" t="s">
        <x:v>65</x:v>
      </x:c>
      <x:c r="B58" s="16"/>
      <x:c r="C58" s="23"/>
      <x:c r="D58" s="23"/>
      <x:c r="E58" s="23"/>
      <x:c r="F58" s="23"/>
      <x:c r="G58" s="28"/>
      <x:c r="H58" s="23"/>
      <x:c r="I58" s="23"/>
      <x:c r="J58" s="23"/>
      <x:c r="K58" s="23"/>
      <x:c r="L58" s="36"/>
      <x:c r="M58" s="23"/>
      <x:c r="N58" s="23"/>
      <x:c r="O58" s="23"/>
      <x:c r="P58" s="23"/>
      <x:c r="Q58" s="36"/>
      <x:c r="R58" s="23"/>
      <x:c r="S58" s="23"/>
      <x:c r="T58" s="23"/>
      <x:c r="U58" s="23"/>
      <x:c r="V58" s="23"/>
      <x:c r="W58" s="23"/>
    </x:row>
    <x:row r="59" ht="16" customHeight="1">
      <x:c r="A59" s="2"/>
      <x:c r="B59" s="2" t="s">
        <x:v>66</x:v>
      </x:c>
      <x:c r="C59" s="14">
        <x:v>380</x:v>
      </x:c>
      <x:c r="D59" s="14">
        <x:v>370</x:v>
      </x:c>
      <x:c r="E59" s="14">
        <x:v>360</x:v>
      </x:c>
      <x:c r="F59" s="14">
        <x:v>350</x:v>
      </x:c>
      <x:c r="G59" s="25" t="n">
        <x:f>Assumptions!$G$39</x:f>
        <x:v>81.11929879994027</x:v>
      </x:c>
      <x:c r="H59" s="14" t="n">
        <x:f>(($F59*(1+Assumptions!$C$39)*Assumptions!$E$39)-$G59)*Assumptions!$J$39/SUM(Assumptions!$J$39:$L$39)</x:f>
        <x:v>89.45720430131887</x:v>
      </x:c>
      <x:c r="I59" s="14" t="n">
        <x:f>(($F59*(1+Assumptions!$C$39)*Assumptions!$E$39)-$G59)*Assumptions!$K$39/SUM(Assumptions!$J$39:$L$39)</x:f>
        <x:v>89.45720430131887</x:v>
      </x:c>
      <x:c r="J59" s="14" t="n">
        <x:f>(($F59*(1+Assumptions!$C$39)*Assumptions!$E$39)-$G59)*Assumptions!$L$39/SUM(Assumptions!$J$39:$L$39)</x:f>
        <x:v>86.01654259742199</x:v>
      </x:c>
      <x:c r="K59" s="14" t="n">
        <x:f>SUM(G59:J59)</x:f>
        <x:v>346.05025</x:v>
      </x:c>
      <x:c r="L59" s="33" t="n">
        <x:f>($K59*(1+Assumptions!$C$39)*Assumptions!$F$39)*Assumptions!$I$39</x:f>
        <x:v>86.47622722375</x:v>
      </x:c>
      <x:c r="M59" s="14" t="n">
        <x:f>($K59*(1+Assumptions!$C$39)*Assumptions!$F$39)*Assumptions!$J$39</x:f>
        <x:v>97.7557351225</x:v>
      </x:c>
      <x:c r="N59" s="14" t="n">
        <x:f>($K59*(1+Assumptions!$C$39)*Assumptions!$F$39)*Assumptions!$K$39</x:f>
        <x:v>97.7557351225</x:v>
      </x:c>
      <x:c r="O59" s="14" t="n">
        <x:f>($K59*(1+Assumptions!$C$39)*Assumptions!$F$39)*Assumptions!$L$39</x:f>
        <x:v>93.99589915624999</x:v>
      </x:c>
      <x:c r="P59" s="14" t="n">
        <x:f>SUM(L59:O59)</x:f>
        <x:v>375.98359662499996</x:v>
      </x:c>
      <x:c r="Q59" s="33" t="n">
        <x:f>$P59*(1+Assumptions!$C$39)*Assumptions!$F$39</x:f>
        <x:v>408.50617773306243</x:v>
      </x:c>
      <x:c r="R59" s="14" t="n">
        <x:f>$Q59*(1+Assumptions!$C$39)*Assumptions!$F$39</x:f>
        <x:v>443.8419621069723</x:v>
      </x:c>
      <x:c r="S59" s="14" t="n">
        <x:f>$R59*(1+Assumptions!$D$39)*Assumptions!$F$39</x:f>
        <x:v>466.300365389585</x:v>
      </x:c>
      <x:c r="T59" s="14" t="n">
        <x:f>$S59*(1+Assumptions!$D$39)*Assumptions!$F$39</x:f>
        <x:v>489.8951638782979</x:v>
      </x:c>
      <x:c r="U59" s="14" t="n">
        <x:f>$T59*(1+Assumptions!$D$39)*Assumptions!$F$39</x:f>
        <x:v>514.6838591705397</x:v>
      </x:c>
      <x:c r="V59" s="14" t="n">
        <x:f>$U59*(1+Assumptions!$D$39)*Assumptions!$F$39</x:f>
        <x:v>540.7268624445688</x:v>
      </x:c>
      <x:c r="W59" s="14" t="n">
        <x:f>$V59*(1+Assumptions!$D$39)*Assumptions!$F$39</x:f>
        <x:v>568.0876416842639</x:v>
      </x:c>
    </x:row>
    <x:row r="60" ht="16" customHeight="1">
      <x:c r="A60" s="2"/>
      <x:c r="B60" s="2" t="s">
        <x:v>67</x:v>
      </x:c>
      <x:c r="C60" s="14">
        <x:v>600</x:v>
      </x:c>
      <x:c r="D60" s="14">
        <x:v>590</x:v>
      </x:c>
      <x:c r="E60" s="14">
        <x:v>570</x:v>
      </x:c>
      <x:c r="F60" s="14">
        <x:v>550</x:v>
      </x:c>
      <x:c r="G60" s="25" t="n">
        <x:f>Assumptions!$G$40</x:f>
        <x:v>135.13911076660708</x:v>
      </x:c>
      <x:c r="H60" s="14" t="n">
        <x:f>(($F60*(1+Assumptions!$C$40)*Assumptions!$E$40)-$G60)*Assumptions!$J$40/SUM(Assumptions!$J$40:$L$40)</x:f>
        <x:v>137.28154251098448</x:v>
      </x:c>
      <x:c r="I60" s="14" t="n">
        <x:f>(($F60*(1+Assumptions!$C$40)*Assumptions!$E$40)-$G60)*Assumptions!$K$40/SUM(Assumptions!$J$40:$L$40)</x:f>
        <x:v>137.28154251098448</x:v>
      </x:c>
      <x:c r="J60" s="14" t="n">
        <x:f>(($F60*(1+Assumptions!$C$40)*Assumptions!$E$40)-$G60)*Assumptions!$L$40/SUM(Assumptions!$J$40:$L$40)</x:f>
        <x:v>142.77280421142387</x:v>
      </x:c>
      <x:c r="K60" s="14" t="n">
        <x:f>SUM(G60:J60)</x:f>
        <x:v>552.4749999999999</x:v>
      </x:c>
      <x:c r="L60" s="33" t="n">
        <x:f>($K60*(1+Assumptions!$C$40)*Assumptions!$F$40)*Assumptions!$I$40</x:f>
        <x:v>133.19067299999998</x:v>
      </x:c>
      <x:c r="M60" s="14" t="n">
        <x:f>($K60*(1+Assumptions!$C$40)*Assumptions!$F$40)*Assumptions!$J$40</x:f>
        <x:v>138.740284375</x:v>
      </x:c>
      <x:c r="N60" s="14" t="n">
        <x:f>($K60*(1+Assumptions!$C$40)*Assumptions!$F$40)*Assumptions!$K$40</x:f>
        <x:v>138.740284375</x:v>
      </x:c>
      <x:c r="O60" s="14" t="n">
        <x:f>($K60*(1+Assumptions!$C$40)*Assumptions!$F$40)*Assumptions!$L$40</x:f>
        <x:v>144.28989575</x:v>
      </x:c>
      <x:c r="P60" s="14" t="n">
        <x:f>SUM(L60:O60)</x:f>
        <x:v>554.9611375</x:v>
      </x:c>
      <x:c r="Q60" s="33" t="n">
        <x:f>$P60*(1+Assumptions!$C$40)*Assumptions!$F$40</x:f>
        <x:v>557.45846261875</x:v>
      </x:c>
      <x:c r="R60" s="14" t="n">
        <x:f>$Q60*(1+Assumptions!$C$40)*Assumptions!$F$40</x:f>
        <x:v>559.9670257005345</x:v>
      </x:c>
      <x:c r="S60" s="14" t="n">
        <x:f>$R60*(1+Assumptions!$D$40)*Assumptions!$F$40</x:f>
        <x:v>554.0313752281089</x:v>
      </x:c>
      <x:c r="T60" s="14" t="n">
        <x:f>$S60*(1+Assumptions!$D$40)*Assumptions!$F$40</x:f>
        <x:v>548.158642650691</x:v>
      </x:c>
      <x:c r="U60" s="14" t="n">
        <x:f>$T60*(1+Assumptions!$D$40)*Assumptions!$F$40</x:f>
        <x:v>542.3481610385938</x:v>
      </x:c>
      <x:c r="V60" s="14" t="n">
        <x:f>$U60*(1+Assumptions!$D$40)*Assumptions!$F$40</x:f>
        <x:v>536.5992705315848</x:v>
      </x:c>
      <x:c r="W60" s="14" t="n">
        <x:f>$V60*(1+Assumptions!$D$40)*Assumptions!$F$40</x:f>
        <x:v>530.9113182639501</x:v>
      </x:c>
    </x:row>
    <x:row r="61" ht="16" customHeight="1">
      <x:c r="A61" s="2"/>
      <x:c r="B61" s="2" t="s">
        <x:v>68</x:v>
      </x:c>
      <x:c r="C61" s="14">
        <x:v>0</x:v>
      </x:c>
      <x:c r="D61" s="14">
        <x:v>100</x:v>
      </x:c>
      <x:c r="E61" s="14">
        <x:v>180</x:v>
      </x:c>
      <x:c r="F61" s="14">
        <x:v>250</x:v>
      </x:c>
      <x:c r="G61" s="25" t="n">
        <x:f>Assumptions!$G$41</x:f>
        <x:v>70.20213546317251</x:v>
      </x:c>
      <x:c r="H61" s="14" t="n">
        <x:f>(($F61*(1+Assumptions!$C$41)*Assumptions!$E$41)-$G61)*Assumptions!$J$41/SUM(Assumptions!$J$41:$L$41)</x:f>
        <x:v>71.31508701869325</x:v>
      </x:c>
      <x:c r="I61" s="14" t="n">
        <x:f>(($F61*(1+Assumptions!$C$41)*Assumptions!$E$41)-$G61)*Assumptions!$K$41/SUM(Assumptions!$J$41:$L$41)</x:f>
        <x:v>71.31508701869325</x:v>
      </x:c>
      <x:c r="J61" s="14" t="n">
        <x:f>(($F61*(1+Assumptions!$C$41)*Assumptions!$E$41)-$G61)*Assumptions!$L$41/SUM(Assumptions!$J$41:$L$41)</x:f>
        <x:v>74.167690499441</x:v>
      </x:c>
      <x:c r="K61" s="14" t="n">
        <x:f>SUM(G61:J61)</x:f>
        <x:v>287</x:v>
      </x:c>
      <x:c r="L61" s="33" t="n">
        <x:f>($K61*(1+Assumptions!$C$41)*Assumptions!$F$41)*Assumptions!$I$41</x:f>
        <x:v>79.07424</x:v>
      </x:c>
      <x:c r="M61" s="14" t="n">
        <x:f>($K61*(1+Assumptions!$C$41)*Assumptions!$F$41)*Assumptions!$J$41</x:f>
        <x:v>82.369</x:v>
      </x:c>
      <x:c r="N61" s="14" t="n">
        <x:f>($K61*(1+Assumptions!$C$41)*Assumptions!$F$41)*Assumptions!$K$41</x:f>
        <x:v>82.369</x:v>
      </x:c>
      <x:c r="O61" s="14" t="n">
        <x:f>($K61*(1+Assumptions!$C$41)*Assumptions!$F$41)*Assumptions!$L$41</x:f>
        <x:v>85.66376</x:v>
      </x:c>
      <x:c r="P61" s="14" t="n">
        <x:f>SUM(L61:O61)</x:f>
        <x:v>329.476</x:v>
      </x:c>
      <x:c r="Q61" s="33" t="n">
        <x:f>$P61*(1+Assumptions!$C$41)*Assumptions!$F$41</x:f>
        <x:v>378.23844799999995</x:v>
      </x:c>
      <x:c r="R61" s="14" t="n">
        <x:f>$Q61*(1+Assumptions!$C$41)*Assumptions!$F$41</x:f>
        <x:v>434.2177383039999</x:v>
      </x:c>
      <x:c r="S61" s="14" t="n">
        <x:f>$R61*(1+Assumptions!$D$41)*Assumptions!$F$41</x:f>
        <x:v>465.04719772358396</x:v>
      </x:c>
      <x:c r="T61" s="14" t="n">
        <x:f>$S61*(1+Assumptions!$D$41)*Assumptions!$F$41</x:f>
        <x:v>498.0655487619585</x:v>
      </x:c>
      <x:c r="U61" s="14" t="n">
        <x:f>$T61*(1+Assumptions!$D$41)*Assumptions!$F$41</x:f>
        <x:v>533.4282027240577</x:v>
      </x:c>
      <x:c r="V61" s="14" t="n">
        <x:f>$U61*(1+Assumptions!$D$41)*Assumptions!$F$41</x:f>
        <x:v>571.3016051174659</x:v>
      </x:c>
      <x:c r="W61" s="14" t="n">
        <x:f>$V61*(1+Assumptions!$D$41)*Assumptions!$F$41</x:f>
        <x:v>611.8640190808061</x:v>
      </x:c>
    </x:row>
    <x:row r="62" ht="16" customHeight="1">
      <x:c r="A62" s="2"/>
      <x:c r="B62" s="2" t="s">
        <x:v>69</x:v>
      </x:c>
      <x:c r="C62" s="14">
        <x:v>220</x:v>
      </x:c>
      <x:c r="D62" s="14">
        <x:v>230</x:v>
      </x:c>
      <x:c r="E62" s="14">
        <x:v>240</x:v>
      </x:c>
      <x:c r="F62" s="14">
        <x:v>250</x:v>
      </x:c>
      <x:c r="G62" s="25" t="n">
        <x:f>Assumptions!$G$42</x:f>
        <x:v>66.44130677764542</x:v>
      </x:c>
      <x:c r="H62" s="14" t="n">
        <x:f>(($F62*(1+Assumptions!$C$42)*Assumptions!$E$42)-$G62)*Assumptions!$J$42/SUM(Assumptions!$J$42:$L$42)</x:f>
        <x:v>67.49463592840611</x:v>
      </x:c>
      <x:c r="I62" s="14" t="n">
        <x:f>(($F62*(1+Assumptions!$C$42)*Assumptions!$E$42)-$G62)*Assumptions!$K$42/SUM(Assumptions!$J$42:$L$42)</x:f>
        <x:v>67.49463592840611</x:v>
      </x:c>
      <x:c r="J62" s="14" t="n">
        <x:f>(($F62*(1+Assumptions!$C$42)*Assumptions!$E$42)-$G62)*Assumptions!$L$42/SUM(Assumptions!$J$42:$L$42)</x:f>
        <x:v>70.19442136554235</x:v>
      </x:c>
      <x:c r="K62" s="14" t="n">
        <x:f>SUM(G62:J62)</x:f>
        <x:v>271.625</x:v>
      </x:c>
      <x:c r="L62" s="33" t="n">
        <x:f>($K62*(1+Assumptions!$C$42)*Assumptions!$F$42)*Assumptions!$I$42</x:f>
        <x:v>70.828935</x:v>
      </x:c>
      <x:c r="M62" s="14" t="n">
        <x:f>($K62*(1+Assumptions!$C$42)*Assumptions!$F$42)*Assumptions!$J$42</x:f>
        <x:v>73.780140625</x:v>
      </x:c>
      <x:c r="N62" s="14" t="n">
        <x:f>($K62*(1+Assumptions!$C$42)*Assumptions!$F$42)*Assumptions!$K$42</x:f>
        <x:v>73.780140625</x:v>
      </x:c>
      <x:c r="O62" s="14" t="n">
        <x:f>($K62*(1+Assumptions!$C$42)*Assumptions!$F$42)*Assumptions!$L$42</x:f>
        <x:v>76.73134625</x:v>
      </x:c>
      <x:c r="P62" s="14" t="n">
        <x:f>SUM(L62:O62)</x:f>
        <x:v>295.1205625</x:v>
      </x:c>
      <x:c r="Q62" s="33" t="n">
        <x:f>$P62*(1+Assumptions!$C$42)*Assumptions!$F$42</x:f>
        <x:v>320.64849115625003</x:v>
      </x:c>
      <x:c r="R62" s="14" t="n">
        <x:f>$Q62*(1+Assumptions!$C$42)*Assumptions!$F$42</x:f>
        <x:v>348.3845856412657</x:v>
      </x:c>
      <x:c r="S62" s="14" t="n">
        <x:f>$R62*(1+Assumptions!$D$42)*Assumptions!$F$42</x:f>
        <x:v>366.01284567471373</x:v>
      </x:c>
      <x:c r="T62" s="14" t="n">
        <x:f>$S62*(1+Assumptions!$D$42)*Assumptions!$F$42</x:f>
        <x:v>384.53309566585426</x:v>
      </x:c>
      <x:c r="U62" s="14" t="n">
        <x:f>$T62*(1+Assumptions!$D$42)*Assumptions!$F$42</x:f>
        <x:v>403.99047030654646</x:v>
      </x:c>
      <x:c r="V62" s="14" t="n">
        <x:f>$U62*(1+Assumptions!$D$42)*Assumptions!$F$42</x:f>
        <x:v>424.4323881040577</x:v>
      </x:c>
      <x:c r="W62" s="14" t="n">
        <x:f>$V62*(1+Assumptions!$D$42)*Assumptions!$F$42</x:f>
        <x:v>445.908666942123</x:v>
      </x:c>
    </x:row>
    <x:row r="63" ht="16" customHeight="1">
      <x:c r="A63" s="17" t="s">
        <x:v>65</x:v>
      </x:c>
      <x:c r="B63" s="17" t="s">
        <x:v>40</x:v>
      </x:c>
      <x:c r="C63" s="18" t="n">
        <x:f t="shared" ref="C63:W63" si="13">SUM(C59:C62)</x:f>
        <x:v>1200</x:v>
      </x:c>
      <x:c r="D63" s="18">
        <x:f t="shared" si="13"/>
        <x:v>1290</x:v>
      </x:c>
      <x:c r="E63" s="18">
        <x:f t="shared" si="13"/>
        <x:v>1350</x:v>
      </x:c>
      <x:c r="F63" s="18">
        <x:f t="shared" si="13"/>
        <x:v>1400</x:v>
      </x:c>
      <x:c r="G63" s="29">
        <x:f t="shared" si="13"/>
        <x:v>352.90185180736529</x:v>
      </x:c>
      <x:c r="H63" s="18">
        <x:f t="shared" si="13"/>
        <x:v>365.54846975940274</x:v>
      </x:c>
      <x:c r="I63" s="18">
        <x:f t="shared" si="13"/>
        <x:v>365.54846975940274</x:v>
      </x:c>
      <x:c r="J63" s="18">
        <x:f t="shared" si="13"/>
        <x:v>373.15145867382921</x:v>
      </x:c>
      <x:c r="K63" s="18">
        <x:f t="shared" si="13"/>
        <x:v>1457.1502499999999</x:v>
      </x:c>
      <x:c r="L63" s="37">
        <x:f t="shared" si="13"/>
        <x:v>369.57007522375</x:v>
      </x:c>
      <x:c r="M63" s="18">
        <x:f t="shared" si="13"/>
        <x:v>392.64516012249999</x:v>
      </x:c>
      <x:c r="N63" s="18">
        <x:f t="shared" si="13"/>
        <x:v>392.64516012249999</x:v>
      </x:c>
      <x:c r="O63" s="18">
        <x:f t="shared" si="13"/>
        <x:v>400.68090115625</x:v>
      </x:c>
      <x:c r="P63" s="18">
        <x:f t="shared" si="13"/>
        <x:v>1555.5412966249999</x:v>
      </x:c>
      <x:c r="Q63" s="37">
        <x:f t="shared" si="13"/>
        <x:v>1664.8515795080623</x:v>
      </x:c>
      <x:c r="R63" s="18">
        <x:f t="shared" si="13"/>
        <x:v>1786.4113117527725</x:v>
      </x:c>
      <x:c r="S63" s="18">
        <x:f t="shared" si="13"/>
        <x:v>1851.3917840159916</x:v>
      </x:c>
      <x:c r="T63" s="18">
        <x:f t="shared" si="13"/>
        <x:v>1920.6524509568017</x:v>
      </x:c>
      <x:c r="U63" s="18">
        <x:f t="shared" si="13"/>
        <x:v>1994.4506932397376</x:v>
      </x:c>
      <x:c r="V63" s="18">
        <x:f t="shared" si="13"/>
        <x:v>2073.0601261976772</x:v>
      </x:c>
      <x:c r="W63" s="18">
        <x:f t="shared" si="13"/>
        <x:v>2156.7716459711432</x:v>
      </x:c>
    </x:row>
    <x:row r="64" ht="16" customHeight="1">
      <x:c r="A64" s="2"/>
      <x:c r="B64" s="2"/>
      <x:c r="C64" s="14"/>
      <x:c r="D64" s="14"/>
      <x:c r="E64" s="14"/>
      <x:c r="F64" s="14"/>
      <x:c r="G64" s="25"/>
      <x:c r="H64" s="14"/>
      <x:c r="I64" s="14"/>
      <x:c r="J64" s="14"/>
      <x:c r="K64" s="14"/>
      <x:c r="L64" s="33"/>
      <x:c r="M64" s="14"/>
      <x:c r="N64" s="14"/>
      <x:c r="O64" s="14"/>
      <x:c r="P64" s="14"/>
      <x:c r="Q64" s="33"/>
      <x:c r="R64" s="14"/>
      <x:c r="S64" s="14"/>
      <x:c r="T64" s="14"/>
      <x:c r="U64" s="14"/>
      <x:c r="V64" s="14"/>
      <x:c r="W64" s="14"/>
    </x:row>
    <x:row r="65" ht="16" customHeight="1">
      <x:c r="A65" s="16" t="s">
        <x:v>70</x:v>
      </x:c>
      <x:c r="B65" s="16"/>
      <x:c r="C65" s="23"/>
      <x:c r="D65" s="23"/>
      <x:c r="E65" s="23"/>
      <x:c r="F65" s="23"/>
      <x:c r="G65" s="28"/>
      <x:c r="H65" s="23"/>
      <x:c r="I65" s="23"/>
      <x:c r="J65" s="23"/>
      <x:c r="K65" s="23"/>
      <x:c r="L65" s="36"/>
      <x:c r="M65" s="23"/>
      <x:c r="N65" s="23"/>
      <x:c r="O65" s="23"/>
      <x:c r="P65" s="23"/>
      <x:c r="Q65" s="36"/>
      <x:c r="R65" s="23"/>
      <x:c r="S65" s="23"/>
      <x:c r="T65" s="23"/>
      <x:c r="U65" s="23"/>
      <x:c r="V65" s="23"/>
      <x:c r="W65" s="23"/>
    </x:row>
    <x:row r="66" ht="16" customHeight="1">
      <x:c r="A66" s="2"/>
      <x:c r="B66" s="2" t="s">
        <x:v>71</x:v>
      </x:c>
      <x:c r="C66" s="14">
        <x:v>330</x:v>
      </x:c>
      <x:c r="D66" s="14">
        <x:v>320</x:v>
      </x:c>
      <x:c r="E66" s="14">
        <x:v>310</x:v>
      </x:c>
      <x:c r="F66" s="14">
        <x:v>300</x:v>
      </x:c>
      <x:c r="G66" s="25" t="n">
        <x:f>Assumptions!$G$43</x:f>
        <x:v>75.58348382620316</x:v>
      </x:c>
      <x:c r="H66" s="14" t="n">
        <x:f>(($F66*(1+Assumptions!$C$43)*Assumptions!$E$43)-$G66)*Assumptions!$J$43/SUM(Assumptions!$J$43:$L$43)</x:f>
        <x:v>76.78174874138054</x:v>
      </x:c>
      <x:c r="I66" s="14" t="n">
        <x:f>(($F66*(1+Assumptions!$C$43)*Assumptions!$E$43)-$G66)*Assumptions!$K$43/SUM(Assumptions!$J$43:$L$43)</x:f>
        <x:v>76.78174874138054</x:v>
      </x:c>
      <x:c r="J66" s="14" t="n">
        <x:f>(($F66*(1+Assumptions!$C$43)*Assumptions!$E$43)-$G66)*Assumptions!$L$43/SUM(Assumptions!$J$43:$L$43)</x:f>
        <x:v>79.85301869103576</x:v>
      </x:c>
      <x:c r="K66" s="14" t="n">
        <x:f>SUM(G66:J66)</x:f>
        <x:v>309</x:v>
      </x:c>
      <x:c r="L66" s="33" t="n">
        <x:f>($K66*(1+Assumptions!$C$43)*Assumptions!$F$43)*Assumptions!$I$43</x:f>
        <x:v>76.3848</x:v>
      </x:c>
      <x:c r="M66" s="14" t="n">
        <x:f>($K66*(1+Assumptions!$C$43)*Assumptions!$F$43)*Assumptions!$J$43</x:f>
        <x:v>79.5675</x:v>
      </x:c>
      <x:c r="N66" s="14" t="n">
        <x:f>($K66*(1+Assumptions!$C$43)*Assumptions!$F$43)*Assumptions!$K$43</x:f>
        <x:v>79.5675</x:v>
      </x:c>
      <x:c r="O66" s="14" t="n">
        <x:f>($K66*(1+Assumptions!$C$43)*Assumptions!$F$43)*Assumptions!$L$43</x:f>
        <x:v>82.75019999999999</x:v>
      </x:c>
      <x:c r="P66" s="14" t="n">
        <x:f>SUM(L66:O66)</x:f>
        <x:v>318.27</x:v>
      </x:c>
      <x:c r="Q66" s="33" t="n">
        <x:f>$P66*(1+Assumptions!$C$43)*Assumptions!$F$43</x:f>
        <x:v>327.8181</x:v>
      </x:c>
      <x:c r="R66" s="14" t="n">
        <x:f>$Q66*(1+Assumptions!$C$43)*Assumptions!$F$43</x:f>
        <x:v>337.652643</x:v>
      </x:c>
      <x:c r="S66" s="14" t="n">
        <x:f>$R66*(1+Assumptions!$D$43)*Assumptions!$F$43</x:f>
        <x:v>342.6330194842499</x:v>
      </x:c>
      <x:c r="T66" s="14" t="n">
        <x:f>$S66*(1+Assumptions!$D$43)*Assumptions!$F$43</x:f>
        <x:v>347.68685652164254</x:v>
      </x:c>
      <x:c r="U66" s="14" t="n">
        <x:f>$T66*(1+Assumptions!$D$43)*Assumptions!$F$43</x:f>
        <x:v>352.8152376553367</x:v>
      </x:c>
      <x:c r="V66" s="14" t="n">
        <x:f>$U66*(1+Assumptions!$D$43)*Assumptions!$F$43</x:f>
        <x:v>358.01926241075284</x:v>
      </x:c>
      <x:c r="W66" s="14" t="n">
        <x:f>$V66*(1+Assumptions!$D$43)*Assumptions!$F$43</x:f>
        <x:v>363.3000465313114</x:v>
      </x:c>
    </x:row>
    <x:row r="67" ht="16" customHeight="1">
      <x:c r="A67" s="2"/>
      <x:c r="B67" s="2" t="s">
        <x:v>72</x:v>
      </x:c>
      <x:c r="C67" s="14">
        <x:v>580</x:v>
      </x:c>
      <x:c r="D67" s="14">
        <x:v>600</x:v>
      </x:c>
      <x:c r="E67" s="14">
        <x:v>620</x:v>
      </x:c>
      <x:c r="F67" s="14">
        <x:v>650</x:v>
      </x:c>
      <x:c r="G67" s="25" t="n">
        <x:f>Assumptions!$G$44</x:f>
        <x:v>171.9524257046122</x:v>
      </x:c>
      <x:c r="H67" s="14" t="n">
        <x:f>(($F67*(1+Assumptions!$C$44)*Assumptions!$E$44)-$G67)*Assumptions!$J$44/SUM(Assumptions!$J$44:$L$44)</x:f>
        <x:v>174.67847838664073</x:v>
      </x:c>
      <x:c r="I67" s="14" t="n">
        <x:f>(($F67*(1+Assumptions!$C$44)*Assumptions!$E$44)-$G67)*Assumptions!$K$44/SUM(Assumptions!$J$44:$L$44)</x:f>
        <x:v>174.67847838664073</x:v>
      </x:c>
      <x:c r="J67" s="14" t="n">
        <x:f>(($F67*(1+Assumptions!$C$44)*Assumptions!$E$44)-$G67)*Assumptions!$L$44/SUM(Assumptions!$J$44:$L$44)</x:f>
        <x:v>181.66561752210637</x:v>
      </x:c>
      <x:c r="K67" s="14" t="n">
        <x:f>SUM(G67:J67)</x:f>
        <x:v>702.975</x:v>
      </x:c>
      <x:c r="L67" s="33" t="n">
        <x:f>($K67*(1+Assumptions!$C$44)*Assumptions!$F$44)*Assumptions!$I$44</x:f>
        <x:v>182.464191</x:v>
      </x:c>
      <x:c r="M67" s="14" t="n">
        <x:f>($K67*(1+Assumptions!$C$44)*Assumptions!$F$44)*Assumptions!$J$44</x:f>
        <x:v>190.06686562500002</x:v>
      </x:c>
      <x:c r="N67" s="14" t="n">
        <x:f>($K67*(1+Assumptions!$C$44)*Assumptions!$F$44)*Assumptions!$K$44</x:f>
        <x:v>190.06686562500002</x:v>
      </x:c>
      <x:c r="O67" s="14" t="n">
        <x:f>($K67*(1+Assumptions!$C$44)*Assumptions!$F$44)*Assumptions!$L$44</x:f>
        <x:v>197.66954025000004</x:v>
      </x:c>
      <x:c r="P67" s="14" t="n">
        <x:f>SUM(L67:O67)</x:f>
        <x:v>760.2674625000001</x:v>
      </x:c>
      <x:c r="Q67" s="33" t="n">
        <x:f>$P67*(1+Assumptions!$C$44)*Assumptions!$F$44</x:f>
        <x:v>822.2292606937502</x:v>
      </x:c>
      <x:c r="R67" s="14" t="n">
        <x:f>$Q67*(1+Assumptions!$C$44)*Assumptions!$F$44</x:f>
        <x:v>889.240945440291</x:v>
      </x:c>
      <x:c r="S67" s="14" t="n">
        <x:f>$R67*(1+Assumptions!$D$44)*Assumptions!$F$44</x:f>
        <x:v>938.8161281485872</x:v>
      </x:c>
      <x:c r="T67" s="14" t="n">
        <x:f>$S67*(1+Assumptions!$D$44)*Assumptions!$F$44</x:f>
        <x:v>991.1551272928708</x:v>
      </x:c>
      <x:c r="U67" s="14" t="n">
        <x:f>$T67*(1+Assumptions!$D$44)*Assumptions!$F$44</x:f>
        <x:v>1046.4120256394483</x:v>
      </x:c>
      <x:c r="V67" s="14" t="n">
        <x:f>$U67*(1+Assumptions!$D$44)*Assumptions!$F$44</x:f>
        <x:v>1104.7494960688475</x:v>
      </x:c>
      <x:c r="W67" s="14" t="n">
        <x:f>$V67*(1+Assumptions!$D$44)*Assumptions!$F$44</x:f>
        <x:v>1166.3392804746857</x:v>
      </x:c>
    </x:row>
    <x:row r="68" ht="16" customHeight="1">
      <x:c r="A68" s="2"/>
      <x:c r="B68" s="2" t="s">
        <x:v>73</x:v>
      </x:c>
      <x:c r="C68" s="14">
        <x:v>400</x:v>
      </x:c>
      <x:c r="D68" s="14">
        <x:v>410</x:v>
      </x:c>
      <x:c r="E68" s="14">
        <x:v>430</x:v>
      </x:c>
      <x:c r="F68" s="14">
        <x:v>450</x:v>
      </x:c>
      <x:c r="G68" s="25" t="n">
        <x:f>Assumptions!$G$45</x:f>
        <x:v>117.91023476887693</x:v>
      </x:c>
      <x:c r="H68" s="14" t="n">
        <x:f>(($F68*(1+Assumptions!$C$45)*Assumptions!$E$45)-$G68)*Assumptions!$J$45/SUM(Assumptions!$J$45:$L$45)</x:f>
        <x:v>119.77952803655364</x:v>
      </x:c>
      <x:c r="I68" s="14" t="n">
        <x:f>(($F68*(1+Assumptions!$C$45)*Assumptions!$E$45)-$G68)*Assumptions!$K$45/SUM(Assumptions!$J$45:$L$45)</x:f>
        <x:v>119.77952803655364</x:v>
      </x:c>
      <x:c r="J68" s="14" t="n">
        <x:f>(($F68*(1+Assumptions!$C$45)*Assumptions!$E$45)-$G68)*Assumptions!$L$45/SUM(Assumptions!$J$45:$L$45)</x:f>
        <x:v>124.5707091580158</x:v>
      </x:c>
      <x:c r="K68" s="14" t="n">
        <x:f>SUM(G68:J68)</x:f>
        <x:v>482.04</x:v>
      </x:c>
      <x:c r="L68" s="33" t="n">
        <x:f>($K68*(1+Assumptions!$C$45)*Assumptions!$F$45)*Assumptions!$I$45</x:f>
        <x:v>123.92669952</x:v>
      </x:c>
      <x:c r="M68" s="14" t="n">
        <x:f>($K68*(1+Assumptions!$C$45)*Assumptions!$F$45)*Assumptions!$J$45</x:f>
        <x:v>129.090312</x:v>
      </x:c>
      <x:c r="N68" s="14" t="n">
        <x:f>($K68*(1+Assumptions!$C$45)*Assumptions!$F$45)*Assumptions!$K$45</x:f>
        <x:v>129.090312</x:v>
      </x:c>
      <x:c r="O68" s="14" t="n">
        <x:f>($K68*(1+Assumptions!$C$45)*Assumptions!$F$45)*Assumptions!$L$45</x:f>
        <x:v>134.25392448000002</x:v>
      </x:c>
      <x:c r="P68" s="14" t="n">
        <x:f>SUM(L68:O68)</x:f>
        <x:v>516.361248</x:v>
      </x:c>
      <x:c r="Q68" s="33" t="n">
        <x:f>$P68*(1+Assumptions!$C$45)*Assumptions!$F$45</x:f>
        <x:v>553.1261688576001</x:v>
      </x:c>
      <x:c r="R68" s="14" t="n">
        <x:f>$Q68*(1+Assumptions!$C$45)*Assumptions!$F$45</x:f>
        <x:v>592.5087520802613</x:v>
      </x:c>
      <x:c r="S68" s="14" t="n">
        <x:f>$R68*(1+Assumptions!$D$45)*Assumptions!$F$45</x:f>
        <x:v>619.4679002999131</x:v>
      </x:c>
      <x:c r="T68" s="14" t="n">
        <x:f>$S68*(1+Assumptions!$D$45)*Assumptions!$F$45</x:f>
        <x:v>647.6536897635591</x:v>
      </x:c>
      <x:c r="U68" s="14" t="n">
        <x:f>$T68*(1+Assumptions!$D$45)*Assumptions!$F$45</x:f>
        <x:v>677.1219326478009</x:v>
      </x:c>
      <x:c r="V68" s="14" t="n">
        <x:f>$U68*(1+Assumptions!$D$45)*Assumptions!$F$45</x:f>
        <x:v>707.9309805832758</x:v>
      </x:c>
      <x:c r="W68" s="14" t="n">
        <x:f>$V68*(1+Assumptions!$D$45)*Assumptions!$F$45</x:f>
        <x:v>740.1418401998147</x:v>
      </x:c>
    </x:row>
    <x:row r="69" ht="16" customHeight="1">
      <x:c r="A69" s="2"/>
      <x:c r="B69" s="2" t="s">
        <x:v>74</x:v>
      </x:c>
      <x:c r="C69" s="14">
        <x:v>140</x:v>
      </x:c>
      <x:c r="D69" s="14">
        <x:v>145</x:v>
      </x:c>
      <x:c r="E69" s="14">
        <x:v>145</x:v>
      </x:c>
      <x:c r="F69" s="14">
        <x:v>150</x:v>
      </x:c>
      <x:c r="G69" s="25" t="n">
        <x:f>Assumptions!$G$46</x:f>
        <x:v>38.547576751363614</x:v>
      </x:c>
      <x:c r="H69" s="14" t="n">
        <x:f>(($F69*(1+Assumptions!$C$46)*Assumptions!$E$46)-$G69)*Assumptions!$J$46/SUM(Assumptions!$J$46:$L$46)</x:f>
        <x:v>39.15869185810408</x:v>
      </x:c>
      <x:c r="I69" s="14" t="n">
        <x:f>(($F69*(1+Assumptions!$C$46)*Assumptions!$E$46)-$G69)*Assumptions!$K$46/SUM(Assumptions!$J$46:$L$46)</x:f>
        <x:v>39.15869185810408</x:v>
      </x:c>
      <x:c r="J69" s="14" t="n">
        <x:f>(($F69*(1+Assumptions!$C$46)*Assumptions!$E$46)-$G69)*Assumptions!$L$46/SUM(Assumptions!$J$46:$L$46)</x:f>
        <x:v>40.72503953242824</x:v>
      </x:c>
      <x:c r="K69" s="14" t="n">
        <x:f>SUM(G69:J69)</x:f>
        <x:v>157.59</x:v>
      </x:c>
      <x:c r="L69" s="33" t="n">
        <x:f>($K69*(1+Assumptions!$C$46)*Assumptions!$F$46)*Assumptions!$I$46</x:f>
        <x:v>39.73537296000002</x:v>
      </x:c>
      <x:c r="M69" s="14" t="n">
        <x:f>($K69*(1+Assumptions!$C$46)*Assumptions!$F$46)*Assumptions!$J$46</x:f>
        <x:v>41.39101350000002</x:v>
      </x:c>
      <x:c r="N69" s="14" t="n">
        <x:f>($K69*(1+Assumptions!$C$46)*Assumptions!$F$46)*Assumptions!$K$46</x:f>
        <x:v>41.39101350000002</x:v>
      </x:c>
      <x:c r="O69" s="14" t="n">
        <x:f>($K69*(1+Assumptions!$C$46)*Assumptions!$F$46)*Assumptions!$L$46</x:f>
        <x:v>43.04665404000002</x:v>
      </x:c>
      <x:c r="P69" s="14" t="n">
        <x:f>SUM(L69:O69)</x:f>
        <x:v>165.56405400000008</x:v>
      </x:c>
      <x:c r="Q69" s="33" t="n">
        <x:f>$P69*(1+Assumptions!$C$46)*Assumptions!$F$46</x:f>
        <x:v>173.94159513240018</x:v>
      </x:c>
      <x:c r="R69" s="14" t="n">
        <x:f>$Q69*(1+Assumptions!$C$46)*Assumptions!$F$46</x:f>
        <x:v>182.74303984609972</x:v>
      </x:c>
      <x:c r="S69" s="14" t="n">
        <x:f>$R69*(1+Assumptions!$D$46)*Assumptions!$F$46</x:f>
        <x:v>189.1847320006748</x:v>
      </x:c>
      <x:c r="T69" s="14" t="n">
        <x:f>$S69*(1+Assumptions!$D$46)*Assumptions!$F$46</x:f>
        <x:v>195.85349380369868</x:v>
      </x:c>
      <x:c r="U69" s="14" t="n">
        <x:f>$T69*(1+Assumptions!$D$46)*Assumptions!$F$46</x:f>
        <x:v>202.75732946027915</x:v>
      </x:c>
      <x:c r="V69" s="14" t="n">
        <x:f>$U69*(1+Assumptions!$D$46)*Assumptions!$F$46</x:f>
        <x:v>209.9045253237541</x:v>
      </x:c>
      <x:c r="W69" s="14" t="n">
        <x:f>$V69*(1+Assumptions!$D$46)*Assumptions!$F$46</x:f>
        <x:v>217.3036598414165</x:v>
      </x:c>
    </x:row>
    <x:row r="70" ht="16" customHeight="1">
      <x:c r="A70" s="17" t="s">
        <x:v>70</x:v>
      </x:c>
      <x:c r="B70" s="17" t="s">
        <x:v>40</x:v>
      </x:c>
      <x:c r="C70" s="18" t="n">
        <x:f t="shared" ref="C70:W70" si="14">SUM(C66:C69)</x:f>
        <x:v>1450</x:v>
      </x:c>
      <x:c r="D70" s="18">
        <x:f t="shared" si="14"/>
        <x:v>1475</x:v>
      </x:c>
      <x:c r="E70" s="18">
        <x:f t="shared" si="14"/>
        <x:v>1505</x:v>
      </x:c>
      <x:c r="F70" s="18">
        <x:f t="shared" si="14"/>
        <x:v>1550</x:v>
      </x:c>
      <x:c r="G70" s="29">
        <x:f t="shared" si="14"/>
        <x:v>403.99372105105596</x:v>
      </x:c>
      <x:c r="H70" s="18">
        <x:f t="shared" si="14"/>
        <x:v>410.39844702267902</x:v>
      </x:c>
      <x:c r="I70" s="18">
        <x:f t="shared" si="14"/>
        <x:v>410.39844702267902</x:v>
      </x:c>
      <x:c r="J70" s="18">
        <x:f t="shared" si="14"/>
        <x:v>426.81438490358619</x:v>
      </x:c>
      <x:c r="K70" s="18">
        <x:f t="shared" si="14"/>
        <x:v>1651.605</x:v>
      </x:c>
      <x:c r="L70" s="37">
        <x:f t="shared" si="14"/>
        <x:v>422.51106348000002</x:v>
      </x:c>
      <x:c r="M70" s="18">
        <x:f t="shared" si="14"/>
        <x:v>440.11569112500007</x:v>
      </x:c>
      <x:c r="N70" s="18">
        <x:f t="shared" si="14"/>
        <x:v>440.11569112500007</x:v>
      </x:c>
      <x:c r="O70" s="18">
        <x:f t="shared" si="14"/>
        <x:v>457.72031877000006</x:v>
      </x:c>
      <x:c r="P70" s="18">
        <x:f t="shared" si="14"/>
        <x:v>1760.4627645000003</x:v>
      </x:c>
      <x:c r="Q70" s="37">
        <x:f t="shared" si="14"/>
        <x:v>1877.1151246837505</x:v>
      </x:c>
      <x:c r="R70" s="18">
        <x:f t="shared" si="14"/>
        <x:v>2002.1453803666518</x:v>
      </x:c>
      <x:c r="S70" s="18">
        <x:f t="shared" si="14"/>
        <x:v>2090.1017799334254</x:v>
      </x:c>
      <x:c r="T70" s="18">
        <x:f t="shared" si="14"/>
        <x:v>2182.3491673817712</x:v>
      </x:c>
      <x:c r="U70" s="18">
        <x:f t="shared" si="14"/>
        <x:v>2279.1065254028654</x:v>
      </x:c>
      <x:c r="V70" s="18">
        <x:f t="shared" si="14"/>
        <x:v>2380.6042643866303</x:v>
      </x:c>
      <x:c r="W70" s="18">
        <x:f t="shared" si="14"/>
        <x:v>2487.0848270472284</x:v>
      </x:c>
    </x:row>
    <x:row r="71" ht="16" customHeight="1">
      <x:c r="A71" s="2"/>
      <x:c r="B71" s="2"/>
      <x:c r="C71" s="14"/>
      <x:c r="D71" s="14"/>
      <x:c r="E71" s="14"/>
      <x:c r="F71" s="14"/>
      <x:c r="G71" s="25"/>
      <x:c r="H71" s="14"/>
      <x:c r="I71" s="14"/>
      <x:c r="J71" s="14"/>
      <x:c r="K71" s="14"/>
      <x:c r="L71" s="33"/>
      <x:c r="M71" s="14"/>
      <x:c r="N71" s="14"/>
      <x:c r="O71" s="14"/>
      <x:c r="P71" s="14"/>
      <x:c r="Q71" s="33"/>
      <x:c r="R71" s="14"/>
      <x:c r="S71" s="14"/>
      <x:c r="T71" s="14"/>
      <x:c r="U71" s="14"/>
      <x:c r="V71" s="14"/>
      <x:c r="W71" s="14"/>
    </x:row>
    <x:row r="72" ht="16" customHeight="1">
      <x:c r="A72" s="16" t="s">
        <x:v>75</x:v>
      </x:c>
      <x:c r="B72" s="16"/>
      <x:c r="C72" s="23"/>
      <x:c r="D72" s="23"/>
      <x:c r="E72" s="23"/>
      <x:c r="F72" s="23"/>
      <x:c r="G72" s="28"/>
      <x:c r="H72" s="23"/>
      <x:c r="I72" s="23"/>
      <x:c r="J72" s="23"/>
      <x:c r="K72" s="23"/>
      <x:c r="L72" s="36"/>
      <x:c r="M72" s="23"/>
      <x:c r="N72" s="23"/>
      <x:c r="O72" s="23"/>
      <x:c r="P72" s="23"/>
      <x:c r="Q72" s="36"/>
      <x:c r="R72" s="23"/>
      <x:c r="S72" s="23"/>
      <x:c r="T72" s="23"/>
      <x:c r="U72" s="23"/>
      <x:c r="V72" s="23"/>
      <x:c r="W72" s="23"/>
    </x:row>
    <x:row r="73" ht="16" customHeight="1">
      <x:c r="A73" s="2"/>
      <x:c r="B73" s="2" t="s">
        <x:v>76</x:v>
      </x:c>
      <x:c r="C73" s="14">
        <x:v>0</x:v>
      </x:c>
      <x:c r="D73" s="14">
        <x:v>0</x:v>
      </x:c>
      <x:c r="E73" s="14">
        <x:v>0</x:v>
      </x:c>
      <x:c r="F73" s="14">
        <x:v>80</x:v>
      </x:c>
      <x:c r="G73" s="25" t="n">
        <x:f>Assumptions!$G$47</x:f>
        <x:v>31.089517133690684</x:v>
      </x:c>
      <x:c r="H73" s="14" t="n">
        <x:f>(($F73*(1+Assumptions!$C$47)*Assumptions!$E$47)-$G73)*Assumptions!$J$47/SUM(Assumptions!$J$47:$L$47)</x:f>
        <x:v>31.58239567970701</x:v>
      </x:c>
      <x:c r="I73" s="14" t="n">
        <x:f>(($F73*(1+Assumptions!$C$47)*Assumptions!$E$47)-$G73)*Assumptions!$K$47/SUM(Assumptions!$J$47:$L$47)</x:f>
        <x:v>31.58239567970701</x:v>
      </x:c>
      <x:c r="J73" s="14" t="n">
        <x:f>(($F73*(1+Assumptions!$C$47)*Assumptions!$E$47)-$G73)*Assumptions!$L$47/SUM(Assumptions!$J$47:$L$47)</x:f>
        <x:v>32.84569150689529</x:v>
      </x:c>
      <x:c r="K73" s="14" t="n">
        <x:f>SUM(G73:J73)</x:f>
        <x:v>127.1</x:v>
      </x:c>
      <x:c r="L73" s="33" t="n">
        <x:f>($K73*(1+Assumptions!$C$47)*Assumptions!$F$47)*Assumptions!$I$47</x:f>
        <x:v>48.463229999999996</x:v>
      </x:c>
      <x:c r="M73" s="14" t="n">
        <x:f>($K73*(1+Assumptions!$C$47)*Assumptions!$F$47)*Assumptions!$J$47</x:f>
        <x:v>50.482531249999994</x:v>
      </x:c>
      <x:c r="N73" s="14" t="n">
        <x:f>($K73*(1+Assumptions!$C$47)*Assumptions!$F$47)*Assumptions!$K$47</x:f>
        <x:v>50.482531249999994</x:v>
      </x:c>
      <x:c r="O73" s="14" t="n">
        <x:f>($K73*(1+Assumptions!$C$47)*Assumptions!$F$47)*Assumptions!$L$47</x:f>
        <x:v>52.50183249999999</x:v>
      </x:c>
      <x:c r="P73" s="14" t="n">
        <x:f>SUM(L73:O73)</x:f>
        <x:v>201.93012499999998</x:v>
      </x:c>
      <x:c r="Q73" s="33" t="n">
        <x:f>$P73*(1+Assumptions!$C$47)*Assumptions!$F$47</x:f>
        <x:v>320.8164860937499</x:v>
      </x:c>
      <x:c r="R73" s="14" t="n">
        <x:f>$Q73*(1+Assumptions!$C$47)*Assumptions!$F$47</x:f>
        <x:v>509.69719228144515</x:v>
      </x:c>
      <x:c r="S73" s="14" t="n">
        <x:f>$R73*(1+Assumptions!$D$47)*Assumptions!$F$47</x:f>
        <x:v>597.8748065461351</x:v>
      </x:c>
      <x:c r="T73" s="14" t="n">
        <x:f>$S73*(1+Assumptions!$D$47)*Assumptions!$F$47</x:f>
        <x:v>701.3071480786164</x:v>
      </x:c>
      <x:c r="U73" s="14" t="n">
        <x:f>$T73*(1+Assumptions!$D$47)*Assumptions!$F$47</x:f>
        <x:v>822.6332846962168</x:v>
      </x:c>
      <x:c r="V73" s="14" t="n">
        <x:f>$U73*(1+Assumptions!$D$47)*Assumptions!$F$47</x:f>
        <x:v>964.9488429486622</x:v>
      </x:c>
      <x:c r="W73" s="14" t="n">
        <x:f>$V73*(1+Assumptions!$D$47)*Assumptions!$F$47</x:f>
        <x:v>1131.8849927787805</x:v>
      </x:c>
    </x:row>
    <x:row r="74" ht="16" customHeight="1">
      <x:c r="A74" s="2"/>
      <x:c r="B74" s="2" t="s">
        <x:v>77</x:v>
      </x:c>
      <x:c r="C74" s="14">
        <x:v>80</x:v>
      </x:c>
      <x:c r="D74" s="14">
        <x:v>75</x:v>
      </x:c>
      <x:c r="E74" s="14">
        <x:v>70</x:v>
      </x:c>
      <x:c r="F74" s="14">
        <x:v>70</x:v>
      </x:c>
      <x:c r="G74" s="25" t="n">
        <x:f>Assumptions!$G$48</x:f>
        <x:v>17.90154454310899</x:v>
      </x:c>
      <x:c r="H74" s="14" t="n">
        <x:f>(($F74*(1+Assumptions!$C$48)*Assumptions!$E$48)-$G74)*Assumptions!$J$48/SUM(Assumptions!$J$48:$L$48)</x:f>
        <x:v>18.18534718976678</x:v>
      </x:c>
      <x:c r="I74" s="14" t="n">
        <x:f>(($F74*(1+Assumptions!$C$48)*Assumptions!$E$48)-$G74)*Assumptions!$K$48/SUM(Assumptions!$J$48:$L$48)</x:f>
        <x:v>18.18534718976678</x:v>
      </x:c>
      <x:c r="J74" s="14" t="n">
        <x:f>(($F74*(1+Assumptions!$C$48)*Assumptions!$E$48)-$G74)*Assumptions!$L$48/SUM(Assumptions!$J$48:$L$48)</x:f>
        <x:v>18.91276107735745</x:v>
      </x:c>
      <x:c r="K74" s="14" t="n">
        <x:f>SUM(G74:J74)</x:f>
        <x:v>73.185</x:v>
      </x:c>
      <x:c r="L74" s="33" t="n">
        <x:f>($K74*(1+Assumptions!$C$48)*Assumptions!$F$48)*Assumptions!$I$48</x:f>
        <x:v>18.363580199999998</x:v>
      </x:c>
      <x:c r="M74" s="14" t="n">
        <x:f>($K74*(1+Assumptions!$C$48)*Assumptions!$F$48)*Assumptions!$J$48</x:f>
        <x:v>19.128729375</x:v>
      </x:c>
      <x:c r="N74" s="14" t="n">
        <x:f>($K74*(1+Assumptions!$C$48)*Assumptions!$F$48)*Assumptions!$K$48</x:f>
        <x:v>19.128729375</x:v>
      </x:c>
      <x:c r="O74" s="14" t="n">
        <x:f>($K74*(1+Assumptions!$C$48)*Assumptions!$F$48)*Assumptions!$L$48</x:f>
        <x:v>19.89387855</x:v>
      </x:c>
      <x:c r="P74" s="14" t="n">
        <x:f>SUM(L74:O74)</x:f>
        <x:v>76.5149175</x:v>
      </x:c>
      <x:c r="Q74" s="33" t="n">
        <x:f>$P74*(1+Assumptions!$C$48)*Assumptions!$F$48</x:f>
        <x:v>79.99634624624998</x:v>
      </x:c>
      <x:c r="R74" s="14" t="n">
        <x:f>$Q74*(1+Assumptions!$C$48)*Assumptions!$F$48</x:f>
        <x:v>83.63618000045435</x:v>
      </x:c>
      <x:c r="S74" s="14" t="n">
        <x:f>$R74*(1+Assumptions!$D$48)*Assumptions!$F$48</x:f>
        <x:v>86.16199263646807</x:v>
      </x:c>
      <x:c r="T74" s="14" t="n">
        <x:f>$S74*(1+Assumptions!$D$48)*Assumptions!$F$48</x:f>
        <x:v>88.7640848140894</x:v>
      </x:c>
      <x:c r="U74" s="14" t="n">
        <x:f>$T74*(1+Assumptions!$D$48)*Assumptions!$F$48</x:f>
        <x:v>91.4447601754749</x:v>
      </x:c>
      <x:c r="V74" s="14" t="n">
        <x:f>$U74*(1+Assumptions!$D$48)*Assumptions!$F$48</x:f>
        <x:v>94.20639193277424</x:v>
      </x:c>
      <x:c r="W74" s="14" t="n">
        <x:f>$V74*(1+Assumptions!$D$48)*Assumptions!$F$48</x:f>
        <x:v>97.05142496914402</x:v>
      </x:c>
    </x:row>
    <x:row r="75" ht="16" customHeight="1">
      <x:c r="A75" s="17" t="s">
        <x:v>75</x:v>
      </x:c>
      <x:c r="B75" s="17" t="s">
        <x:v>40</x:v>
      </x:c>
      <x:c r="C75" s="18" t="n">
        <x:f t="shared" ref="C75:W75" si="15">SUM(C73:C74)</x:f>
        <x:v>80</x:v>
      </x:c>
      <x:c r="D75" s="18">
        <x:f t="shared" si="15"/>
        <x:v>75</x:v>
      </x:c>
      <x:c r="E75" s="18">
        <x:f t="shared" si="15"/>
        <x:v>70</x:v>
      </x:c>
      <x:c r="F75" s="18">
        <x:f t="shared" si="15"/>
        <x:v>150</x:v>
      </x:c>
      <x:c r="G75" s="29">
        <x:f t="shared" si="15"/>
        <x:v>48.991061676799674</x:v>
      </x:c>
      <x:c r="H75" s="18">
        <x:f t="shared" si="15"/>
        <x:v>49.767742869473793</x:v>
      </x:c>
      <x:c r="I75" s="18">
        <x:f t="shared" si="15"/>
        <x:v>49.767742869473793</x:v>
      </x:c>
      <x:c r="J75" s="18">
        <x:f t="shared" si="15"/>
        <x:v>51.758452584252744</x:v>
      </x:c>
      <x:c r="K75" s="18">
        <x:f t="shared" si="15"/>
        <x:v>200.285</x:v>
      </x:c>
      <x:c r="L75" s="37">
        <x:f t="shared" si="15"/>
        <x:v>66.826810199999997</x:v>
      </x:c>
      <x:c r="M75" s="18">
        <x:f t="shared" si="15"/>
        <x:v>69.611260625</x:v>
      </x:c>
      <x:c r="N75" s="18">
        <x:f t="shared" si="15"/>
        <x:v>69.611260625</x:v>
      </x:c>
      <x:c r="O75" s="18">
        <x:f t="shared" si="15"/>
        <x:v>72.395711049999989</x:v>
      </x:c>
      <x:c r="P75" s="18">
        <x:f t="shared" si="15"/>
        <x:v>278.4450425</x:v>
      </x:c>
      <x:c r="Q75" s="37">
        <x:f t="shared" si="15"/>
        <x:v>400.81283233999989</x:v>
      </x:c>
      <x:c r="R75" s="18">
        <x:f t="shared" si="15"/>
        <x:v>593.33337228189953</x:v>
      </x:c>
      <x:c r="S75" s="18">
        <x:f t="shared" si="15"/>
        <x:v>684.0367991826032</x:v>
      </x:c>
      <x:c r="T75" s="18">
        <x:f t="shared" si="15"/>
        <x:v>790.07123289270578</x:v>
      </x:c>
      <x:c r="U75" s="18">
        <x:f t="shared" si="15"/>
        <x:v>914.07804487169176</x:v>
      </x:c>
      <x:c r="V75" s="18">
        <x:f t="shared" si="15"/>
        <x:v>1059.1552348814364</x:v>
      </x:c>
      <x:c r="W75" s="18">
        <x:f t="shared" si="15"/>
        <x:v>1228.9364177479247</x:v>
      </x:c>
    </x:row>
    <x:row r="76" ht="16" customHeight="1">
      <x:c r="A76" s="2"/>
      <x:c r="B76" s="2"/>
      <x:c r="C76" s="14"/>
      <x:c r="D76" s="14"/>
      <x:c r="E76" s="14"/>
      <x:c r="F76" s="14"/>
      <x:c r="G76" s="25"/>
      <x:c r="H76" s="14"/>
      <x:c r="I76" s="14"/>
      <x:c r="J76" s="14"/>
      <x:c r="K76" s="14"/>
      <x:c r="L76" s="33"/>
      <x:c r="M76" s="14"/>
      <x:c r="N76" s="14"/>
      <x:c r="O76" s="14"/>
      <x:c r="P76" s="14"/>
      <x:c r="Q76" s="33"/>
      <x:c r="R76" s="14"/>
      <x:c r="S76" s="14"/>
      <x:c r="T76" s="14"/>
      <x:c r="U76" s="14"/>
      <x:c r="V76" s="14"/>
      <x:c r="W76" s="14"/>
    </x:row>
    <x:row r="77" ht="16" customHeight="1">
      <x:c r="A77" s="16" t="s">
        <x:v>78</x:v>
      </x:c>
      <x:c r="B77" s="16"/>
      <x:c r="C77" s="23"/>
      <x:c r="D77" s="23"/>
      <x:c r="E77" s="23"/>
      <x:c r="F77" s="23"/>
      <x:c r="G77" s="28"/>
      <x:c r="H77" s="23"/>
      <x:c r="I77" s="23"/>
      <x:c r="J77" s="23"/>
      <x:c r="K77" s="23"/>
      <x:c r="L77" s="36"/>
      <x:c r="M77" s="23"/>
      <x:c r="N77" s="23"/>
      <x:c r="O77" s="23"/>
      <x:c r="P77" s="23"/>
      <x:c r="Q77" s="36"/>
      <x:c r="R77" s="23"/>
      <x:c r="S77" s="23"/>
      <x:c r="T77" s="23"/>
      <x:c r="U77" s="23"/>
      <x:c r="V77" s="23"/>
      <x:c r="W77" s="23"/>
    </x:row>
    <x:row r="78" ht="16" customHeight="1">
      <x:c r="A78" s="2"/>
      <x:c r="B78" s="2" t="s">
        <x:v>78</x:v>
      </x:c>
      <x:c r="C78" s="14">
        <x:v>5236.2999999999993</x:v>
      </x:c>
      <x:c r="D78" s="14">
        <x:v>3645.4000000000015</x:v>
      </x:c>
      <x:c r="E78" s="14">
        <x:v>2882.5999999999985</x:v>
      </x:c>
      <x:c r="F78" s="14">
        <x:v>2666.0999999999985</x:v>
      </x:c>
      <x:c r="G78" s="25" t="n">
        <x:f>Assumptions!$G$49</x:f>
        <x:v>647.0035963266071</x:v>
      </x:c>
      <x:c r="H78" s="14" t="n">
        <x:f>(($F78*(1+Assumptions!$C$49)*Assumptions!$E$49)-$G78)*Assumptions!$J$49/SUM(Assumptions!$J$49:$L$49)</x:f>
        <x:v>713.5063265650411</x:v>
      </x:c>
      <x:c r="I78" s="14" t="n">
        <x:f>(($F78*(1+Assumptions!$C$49)*Assumptions!$E$49)-$G78)*Assumptions!$K$49/SUM(Assumptions!$J$49:$L$49)</x:f>
        <x:v>713.5063265650411</x:v>
      </x:c>
      <x:c r="J78" s="14" t="n">
        <x:f>(($F78*(1+Assumptions!$C$49)*Assumptions!$E$49)-$G78)*Assumptions!$L$49/SUM(Assumptions!$J$49:$L$49)</x:f>
        <x:v>686.0637755433088</x:v>
      </x:c>
      <x:c r="K78" s="14" t="n">
        <x:f>SUM(G78:J78)</x:f>
        <x:v>2760.0800249999984</x:v>
      </x:c>
      <x:c r="L78" s="33" t="n">
        <x:f>($K78*(1+Assumptions!$C$49)*Assumptions!$F$49)*Assumptions!$I$49</x:f>
        <x:v>657.195754552687</x:v>
      </x:c>
      <x:c r="M78" s="14" t="n">
        <x:f>($K78*(1+Assumptions!$C$49)*Assumptions!$F$49)*Assumptions!$J$49</x:f>
        <x:v>742.9169399291245</x:v>
      </x:c>
      <x:c r="N78" s="14" t="n">
        <x:f>($K78*(1+Assumptions!$C$49)*Assumptions!$F$49)*Assumptions!$K$49</x:f>
        <x:v>742.9169399291245</x:v>
      </x:c>
      <x:c r="O78" s="14" t="n">
        <x:f>($K78*(1+Assumptions!$C$49)*Assumptions!$F$49)*Assumptions!$L$49</x:f>
        <x:v>714.343211470312</x:v>
      </x:c>
      <x:c r="P78" s="14" t="n">
        <x:f>SUM(L78:O78)</x:f>
        <x:v>2857.372845881248</x:v>
      </x:c>
      <x:c r="Q78" s="33" t="n">
        <x:f>$P78*(1+Assumptions!$C$49)*Assumptions!$F$49</x:f>
        <x:v>2958.0952386985614</x:v>
      </x:c>
      <x:c r="R78" s="14" t="n">
        <x:f>$Q78*(1+Assumptions!$C$49)*Assumptions!$F$49</x:f>
        <x:v>3062.368095862685</x:v>
      </x:c>
      <x:c r="S78" s="14" t="n">
        <x:f>$R78*(1+Assumptions!$D$49)*Assumptions!$F$49</x:f>
        <x:v>3123.6154577799384</x:v>
      </x:c>
      <x:c r="T78" s="14" t="n">
        <x:f>$S78*(1+Assumptions!$D$49)*Assumptions!$F$49</x:f>
        <x:v>3186.087766935537</x:v>
      </x:c>
      <x:c r="U78" s="14" t="n">
        <x:f>$T78*(1+Assumptions!$D$49)*Assumptions!$F$49</x:f>
        <x:v>3249.8095222742472</x:v>
      </x:c>
      <x:c r="V78" s="14" t="n">
        <x:f>$U78*(1+Assumptions!$D$49)*Assumptions!$F$49</x:f>
        <x:v>3314.8057127197317</x:v>
      </x:c>
      <x:c r="W78" s="14" t="n">
        <x:f>$V78*(1+Assumptions!$D$49)*Assumptions!$F$49</x:f>
        <x:v>3381.1018269741257</x:v>
      </x:c>
    </x:row>
    <x:row r="79" ht="16" customHeight="1">
      <x:c r="A79" s="17" t="s">
        <x:v>78</x:v>
      </x:c>
      <x:c r="B79" s="17" t="s">
        <x:v>40</x:v>
      </x:c>
      <x:c r="C79" s="18" t="n">
        <x:f t="shared" ref="C79:W79" si="16">SUM(C78:C78)</x:f>
        <x:v>5236.299999999999</x:v>
      </x:c>
      <x:c r="D79" s="18">
        <x:f t="shared" si="16"/>
        <x:v>3645.4000000000015</x:v>
      </x:c>
      <x:c r="E79" s="18">
        <x:f t="shared" si="16"/>
        <x:v>2882.5999999999985</x:v>
      </x:c>
      <x:c r="F79" s="18">
        <x:f t="shared" si="16"/>
        <x:v>2666.0999999999985</x:v>
      </x:c>
      <x:c r="G79" s="29">
        <x:f t="shared" si="16"/>
        <x:v>647.00359632660707</x:v>
      </x:c>
      <x:c r="H79" s="18">
        <x:f t="shared" si="16"/>
        <x:v>713.50632656504115</x:v>
      </x:c>
      <x:c r="I79" s="18">
        <x:f t="shared" si="16"/>
        <x:v>713.50632656504115</x:v>
      </x:c>
      <x:c r="J79" s="18">
        <x:f t="shared" si="16"/>
        <x:v>686.06377554330879</x:v>
      </x:c>
      <x:c r="K79" s="18">
        <x:f t="shared" si="16"/>
        <x:v>2760.0800249999984</x:v>
      </x:c>
      <x:c r="L79" s="37">
        <x:f t="shared" si="16"/>
        <x:v>657.19575455268705</x:v>
      </x:c>
      <x:c r="M79" s="18">
        <x:f t="shared" si="16"/>
        <x:v>742.91693992912451</x:v>
      </x:c>
      <x:c r="N79" s="18">
        <x:f t="shared" si="16"/>
        <x:v>742.91693992912451</x:v>
      </x:c>
      <x:c r="O79" s="18">
        <x:f t="shared" si="16"/>
        <x:v>714.34321147031199</x:v>
      </x:c>
      <x:c r="P79" s="18">
        <x:f t="shared" si="16"/>
        <x:v>2857.3728458812479</x:v>
      </x:c>
      <x:c r="Q79" s="37">
        <x:f t="shared" si="16"/>
        <x:v>2958.0952386985614</x:v>
      </x:c>
      <x:c r="R79" s="18">
        <x:f t="shared" si="16"/>
        <x:v>3062.3680958626851</x:v>
      </x:c>
      <x:c r="S79" s="18">
        <x:f t="shared" si="16"/>
        <x:v>3123.6154577799384</x:v>
      </x:c>
      <x:c r="T79" s="18">
        <x:f t="shared" si="16"/>
        <x:v>3186.0877669355368</x:v>
      </x:c>
      <x:c r="U79" s="18">
        <x:f t="shared" si="16"/>
        <x:v>3249.8095222742472</x:v>
      </x:c>
      <x:c r="V79" s="18">
        <x:f t="shared" si="16"/>
        <x:v>3314.8057127197317</x:v>
      </x:c>
      <x:c r="W79" s="18">
        <x:f t="shared" si="16"/>
        <x:v>3381.1018269741257</x:v>
      </x:c>
    </x:row>
    <x:row r="80" ht="16" customHeight="1">
      <x:c r="A80" s="2"/>
      <x:c r="B80" s="2"/>
      <x:c r="C80" s="14"/>
      <x:c r="D80" s="14"/>
      <x:c r="E80" s="14"/>
      <x:c r="F80" s="14"/>
      <x:c r="G80" s="25"/>
      <x:c r="H80" s="14"/>
      <x:c r="I80" s="14"/>
      <x:c r="J80" s="14"/>
      <x:c r="K80" s="14"/>
      <x:c r="L80" s="33"/>
      <x:c r="M80" s="14"/>
      <x:c r="N80" s="14"/>
      <x:c r="O80" s="14"/>
      <x:c r="P80" s="14"/>
      <x:c r="Q80" s="33"/>
      <x:c r="R80" s="14"/>
      <x:c r="S80" s="14"/>
      <x:c r="T80" s="14"/>
      <x:c r="U80" s="14"/>
      <x:c r="V80" s="14"/>
      <x:c r="W80" s="14"/>
    </x:row>
    <x:row r="81" ht="16" customHeight="1">
      <x:c r="A81" s="19" t="s">
        <x:v>79</x:v>
      </x:c>
      <x:c r="B81" s="19"/>
      <x:c r="C81" s="20" t="n">
        <x:f t="shared" ref="C81:W81" si="17">SUM(C22,C31,C38,C43,C50,C56,C63,C70,C75,C79)</x:f>
        <x:v>23376.3</x:v>
      </x:c>
      <x:c r="D81" s="20">
        <x:f t="shared" si="17"/>
        <x:v>20810.400000000001</x:v>
      </x:c>
      <x:c r="E81" s="20">
        <x:f t="shared" si="17"/>
        <x:v>21283.599999999999</x:v>
      </x:c>
      <x:c r="F81" s="20">
        <x:f t="shared" si="17"/>
        <x:v>23771.1</x:v>
      </x:c>
      <x:c r="G81" s="30">
        <x:f t="shared" si="17"/>
        <x:v>6175.35</x:v>
      </x:c>
      <x:c r="H81" s="20">
        <x:f t="shared" si="17"/>
        <x:v>6277.5878232974419</x:v>
      </x:c>
      <x:c r="I81" s="20">
        <x:f t="shared" si="17"/>
        <x:v>6016.6719509119994</x:v>
      </x:c>
      <x:c r="J81" s="20">
        <x:f t="shared" si="17"/>
        <x:v>6142.8537992162437</x:v>
      </x:c>
      <x:c r="K81" s="20">
        <x:f t="shared" si="17"/>
        <x:v>24612.463573425684</x:v>
      </x:c>
      <x:c r="L81" s="38">
        <x:f t="shared" si="17"/>
        <x:v>6157.3044428824378</x:v>
      </x:c>
      <x:c r="M81" s="20">
        <x:f t="shared" si="17"/>
        <x:v>6533.321103756125</x:v>
      </x:c>
      <x:c r="N81" s="20">
        <x:f t="shared" si="17"/>
        <x:v>6623.9220061921242</x:v>
      </x:c>
      <x:c r="O81" s="20">
        <x:f t="shared" si="17"/>
        <x:v>6769.5880575255615</x:v>
      </x:c>
      <x:c r="P81" s="20">
        <x:f t="shared" si="17"/>
        <x:v>26084.13561035625</x:v>
      </x:c>
      <x:c r="Q81" s="38">
        <x:f t="shared" si="17"/>
        <x:v>28940.989466143837</x:v>
      </x:c>
      <x:c r="R81" s="20">
        <x:f t="shared" si="17"/>
        <x:v>32416.18491646945</x:v>
      </x:c>
      <x:c r="S81" s="20">
        <x:f t="shared" si="17"/>
        <x:v>34557.362278823595</x:v>
      </x:c>
      <x:c r="T81" s="20">
        <x:f t="shared" si="17"/>
        <x:v>36846.751901875818</x:v>
      </x:c>
      <x:c r="U81" s="20">
        <x:f t="shared" si="17"/>
        <x:v>39266.14297744818</x:v>
      </x:c>
      <x:c r="V81" s="20">
        <x:f t="shared" si="17"/>
        <x:v>41840.892447805316</x:v>
      </x:c>
      <x:c r="W81" s="20">
        <x:f t="shared" si="17"/>
        <x:v>44680.882687733108</x:v>
      </x:c>
    </x:row>
    <x:row r="82" ht="16" customHeight="1">
      <x:c r="A82" s="2"/>
      <x:c r="B82" s="2"/>
      <x:c r="C82" s="14"/>
      <x:c r="D82" s="14"/>
      <x:c r="E82" s="14"/>
      <x:c r="F82" s="14"/>
      <x:c r="G82" s="25"/>
      <x:c r="H82" s="14"/>
      <x:c r="I82" s="14"/>
      <x:c r="J82" s="14"/>
      <x:c r="K82" s="14"/>
      <x:c r="L82" s="33"/>
      <x:c r="M82" s="14"/>
      <x:c r="N82" s="14"/>
      <x:c r="O82" s="14"/>
      <x:c r="P82" s="14"/>
      <x:c r="Q82" s="33"/>
      <x:c r="R82" s="14"/>
      <x:c r="S82" s="14"/>
      <x:c r="T82" s="14"/>
      <x:c r="U82" s="14"/>
      <x:c r="V82" s="14"/>
      <x:c r="W82" s="14"/>
    </x:row>
    <x:row r="83" ht="16" customHeight="1">
      <x:c r="A83" s="14" t="s">
        <x:v>30</x:v>
      </x:c>
      <x:c r="B83" s="14"/>
      <x:c r="C83" s="14">
        <x:v>846.9</x:v>
      </x:c>
      <x:c r="D83" s="14">
        <x:v>1116.5</x:v>
      </x:c>
      <x:c r="E83" s="14">
        <x:v>1526.4</x:v>
      </x:c>
      <x:c r="F83" s="14">
        <x:v>1421.6</x:v>
      </x:c>
      <x:c r="G83" s="25" t="n">
        <x:f>Assumptions!$C$66</x:f>
        <x:v>355.4</x:v>
      </x:c>
      <x:c r="H83" s="14" t="n">
        <x:f>($F83*(1+Assumptions!$B$66)-$G83)/3</x:f>
        <x:v>355.3999999999999</x:v>
      </x:c>
      <x:c r="I83" s="14" t="n">
        <x:f>H83</x:f>
        <x:v>355.3999999999999</x:v>
      </x:c>
      <x:c r="J83" s="14" t="n">
        <x:f>H83</x:f>
        <x:v>355.3999999999999</x:v>
      </x:c>
      <x:c r="K83" s="14" t="n">
        <x:f>SUM(G83:J83)</x:f>
        <x:v>1421.5999999999997</x:v>
      </x:c>
      <x:c r="L83" s="33" t="n">
        <x:f>$K83*(1+Assumptions!$B$66)/4</x:f>
        <x:v>355.3999999999999</x:v>
      </x:c>
      <x:c r="M83" s="14" t="n">
        <x:f>L83</x:f>
        <x:v>355.3999999999999</x:v>
      </x:c>
      <x:c r="N83" s="14" t="n">
        <x:f>L83</x:f>
        <x:v>355.3999999999999</x:v>
      </x:c>
      <x:c r="O83" s="14" t="n">
        <x:f>L83</x:f>
        <x:v>355.3999999999999</x:v>
      </x:c>
      <x:c r="P83" s="14" t="n">
        <x:f>SUM(L83:O83)</x:f>
        <x:v>1421.5999999999997</x:v>
      </x:c>
      <x:c r="Q83" s="33" t="n">
        <x:f>$P83*(1+Assumptions!$B$66)</x:f>
        <x:v>1421.5999999999997</x:v>
      </x:c>
      <x:c r="R83" s="14" t="n">
        <x:f>$Q83*(1+Assumptions!$B$66)</x:f>
        <x:v>1421.5999999999997</x:v>
      </x:c>
      <x:c r="S83" s="14" t="n">
        <x:f>$R83*(1+Assumptions!$B$66)</x:f>
        <x:v>1421.5999999999997</x:v>
      </x:c>
      <x:c r="T83" s="14" t="n">
        <x:f>$S83*(1+Assumptions!$B$66)</x:f>
        <x:v>1421.5999999999997</x:v>
      </x:c>
      <x:c r="U83" s="14" t="n">
        <x:f>$T83*(1+Assumptions!$B$66)</x:f>
        <x:v>1421.5999999999997</x:v>
      </x:c>
      <x:c r="V83" s="14" t="n">
        <x:f>$U83*(1+Assumptions!$B$66)</x:f>
        <x:v>1421.5999999999997</x:v>
      </x:c>
      <x:c r="W83" s="14" t="n">
        <x:f>$V83*(1+Assumptions!$B$66)</x:f>
        <x:v>1421.5999999999997</x:v>
      </x:c>
    </x:row>
    <x:row r="84" ht="16" customHeight="1">
      <x:c r="A84" s="14" t="s">
        <x:v>31</x:v>
      </x:c>
      <x:c r="B84" s="14"/>
      <x:c r="C84" s="14">
        <x:v>24.4</x:v>
      </x:c>
      <x:c r="D84" s="14">
        <x:v>4.8</x:v>
      </x:c>
      <x:c r="E84" s="14">
        <x:v>3.5</x:v>
      </x:c>
      <x:c r="F84" s="14">
        <x:v>3.8</x:v>
      </x:c>
      <x:c r="G84" s="25" t="n">
        <x:f>Assumptions!$C$67</x:f>
        <x:v>0.95</x:v>
      </x:c>
      <x:c r="H84" s="14" t="n">
        <x:f>($F84*(1+Assumptions!$B$67)-$G84)/3</x:f>
        <x:v>0.9499999999999998</x:v>
      </x:c>
      <x:c r="I84" s="14" t="n">
        <x:f>H84</x:f>
        <x:v>0.9499999999999998</x:v>
      </x:c>
      <x:c r="J84" s="14" t="n">
        <x:f>H84</x:f>
        <x:v>0.9499999999999998</x:v>
      </x:c>
      <x:c r="K84" s="14" t="n">
        <x:f>SUM(G84:J84)</x:f>
        <x:v>3.7999999999999994</x:v>
      </x:c>
      <x:c r="L84" s="33" t="n">
        <x:f>$K84*(1+Assumptions!$B$67)/4</x:f>
        <x:v>0.9499999999999998</x:v>
      </x:c>
      <x:c r="M84" s="14" t="n">
        <x:f>L84</x:f>
        <x:v>0.9499999999999998</x:v>
      </x:c>
      <x:c r="N84" s="14" t="n">
        <x:f>L84</x:f>
        <x:v>0.9499999999999998</x:v>
      </x:c>
      <x:c r="O84" s="14" t="n">
        <x:f>L84</x:f>
        <x:v>0.9499999999999998</x:v>
      </x:c>
      <x:c r="P84" s="14" t="n">
        <x:f>SUM(L84:O84)</x:f>
        <x:v>3.7999999999999994</x:v>
      </x:c>
      <x:c r="Q84" s="33" t="n">
        <x:f>$P84*(1+Assumptions!$B$67)</x:f>
        <x:v>3.7999999999999994</x:v>
      </x:c>
      <x:c r="R84" s="14" t="n">
        <x:f>$Q84*(1+Assumptions!$B$67)</x:f>
        <x:v>3.7999999999999994</x:v>
      </x:c>
      <x:c r="S84" s="14" t="n">
        <x:f>$R84*(1+Assumptions!$B$67)</x:f>
        <x:v>3.7999999999999994</x:v>
      </x:c>
      <x:c r="T84" s="14" t="n">
        <x:f>$S84*(1+Assumptions!$B$67)</x:f>
        <x:v>3.7999999999999994</x:v>
      </x:c>
      <x:c r="U84" s="14" t="n">
        <x:f>$T84*(1+Assumptions!$B$67)</x:f>
        <x:v>3.7999999999999994</x:v>
      </x:c>
      <x:c r="V84" s="14" t="n">
        <x:f>$U84*(1+Assumptions!$B$67)</x:f>
        <x:v>3.7999999999999994</x:v>
      </x:c>
      <x:c r="W84" s="14" t="n">
        <x:f>$V84*(1+Assumptions!$B$67)</x:f>
        <x:v>3.7999999999999994</x:v>
      </x:c>
    </x:row>
    <x:row r="85" ht="16" customHeight="1">
      <x:c r="A85" s="15" t="s">
        <x:v>32</x:v>
      </x:c>
      <x:c r="B85" s="15"/>
      <x:c r="C85" s="15" t="n">
        <x:f t="shared" ref="C85:W85" si="18">SUM(C81,C83,C84)</x:f>
        <x:v>24247.600000000002</x:v>
      </x:c>
      <x:c r="D85" s="15">
        <x:f t="shared" si="18"/>
        <x:v>21931.7</x:v>
      </x:c>
      <x:c r="E85" s="15">
        <x:f t="shared" si="18"/>
        <x:v>22813.5</x:v>
      </x:c>
      <x:c r="F85" s="15">
        <x:f t="shared" si="18"/>
        <x:v>25196.499999999996</x:v>
      </x:c>
      <x:c r="G85" s="31">
        <x:f t="shared" si="18"/>
        <x:v>6531.7</x:v>
      </x:c>
      <x:c r="H85" s="15">
        <x:f t="shared" si="18"/>
        <x:v>6633.9378232974414</x:v>
      </x:c>
      <x:c r="I85" s="15">
        <x:f t="shared" si="18"/>
        <x:v>6373.0219509119988</x:v>
      </x:c>
      <x:c r="J85" s="15">
        <x:f t="shared" si="18"/>
        <x:v>6499.2037992162432</x:v>
      </x:c>
      <x:c r="K85" s="15">
        <x:f t="shared" si="18"/>
        <x:v>26037.863573425682</x:v>
      </x:c>
      <x:c r="L85" s="39">
        <x:f t="shared" si="18"/>
        <x:v>6513.6544428824373</x:v>
      </x:c>
      <x:c r="M85" s="15">
        <x:f t="shared" si="18"/>
        <x:v>6889.6711037561245</x:v>
      </x:c>
      <x:c r="N85" s="15">
        <x:f t="shared" si="18"/>
        <x:v>6980.2720061921236</x:v>
      </x:c>
      <x:c r="O85" s="15">
        <x:f t="shared" si="18"/>
        <x:v>7125.9380575255609</x:v>
      </x:c>
      <x:c r="P85" s="15">
        <x:f t="shared" si="18"/>
        <x:v>27509.535610356248</x:v>
      </x:c>
      <x:c r="Q85" s="39">
        <x:f t="shared" si="18"/>
        <x:v>30366.389466143835</x:v>
      </x:c>
      <x:c r="R85" s="15">
        <x:f t="shared" si="18"/>
        <x:v>33841.584916469452</x:v>
      </x:c>
      <x:c r="S85" s="15">
        <x:f t="shared" si="18"/>
        <x:v>35982.762278823597</x:v>
      </x:c>
      <x:c r="T85" s="15">
        <x:f t="shared" si="18"/>
        <x:v>38272.151901875819</x:v>
      </x:c>
      <x:c r="U85" s="15">
        <x:f t="shared" si="18"/>
        <x:v>40691.542977448182</x:v>
      </x:c>
      <x:c r="V85" s="15">
        <x:f t="shared" si="18"/>
        <x:v>43266.292447805317</x:v>
      </x:c>
      <x:c r="W85" s="15">
        <x:f t="shared" si="18"/>
        <x:v>46106.28268773311</x:v>
      </x:c>
    </x:row>
    <x:row r="86" ht="1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6" customHeight="1">
      <x:c r="A88" s="21" t="s">
        <x:v>80</x:v>
      </x:c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</x:row>
    <x:row r="89" ht="16" customHeight="1">
      <x:c r="A89" s="2" t="s">
        <x:v>81</x:v>
      </x:c>
      <x:c r="B89" s="2"/>
      <x:c r="C89" s="22" t="n">
        <x:f>ROUND(C81-Assumptions!B9,2)</x:f>
        <x:v>0</x:v>
      </x:c>
      <x:c r="D89" s="22" t="n">
        <x:f>ROUND(D81-Assumptions!C9,2)</x:f>
        <x:v>0</x:v>
      </x:c>
      <x:c r="E89" s="22" t="n">
        <x:f>ROUND(E81-Assumptions!D9,2)</x:f>
        <x:v>0</x:v>
      </x:c>
      <x:c r="F89" s="22" t="n">
        <x:f>ROUND(F81-Assumptions!E9,2)</x:f>
        <x:v>0</x:v>
      </x:c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</x:row>
    <x:row r="90" ht="16" customHeight="1">
      <x:c r="A90" s="2" t="s">
        <x:v>82</x:v>
      </x:c>
      <x:c r="B90" s="2"/>
      <x:c r="C90" s="22"/>
      <x:c r="D90" s="22"/>
      <x:c r="E90" s="22"/>
      <x:c r="F90" s="22"/>
      <x:c r="G90" s="22"/>
      <x:c r="H90" s="22"/>
      <x:c r="I90" s="22"/>
      <x:c r="J90" s="22"/>
      <x:c r="K90" s="22" t="n">
        <x:f>ROUND(K85-SUM(G85:J85),2)</x:f>
        <x:v>0</x:v>
      </x:c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</x:row>
    <x:row r="91" ht="16" customHeight="1">
      <x:c r="A91" s="2" t="s">
        <x:v>83</x:v>
      </x:c>
      <x:c r="B91" s="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 t="n">
        <x:f>ROUND(P85-SUM(L85:O85),2)</x:f>
        <x:v>0</x:v>
      </x:c>
      <x:c r="Q91" s="22"/>
      <x:c r="R91" s="22"/>
      <x:c r="S91" s="22"/>
      <x:c r="T91" s="22"/>
      <x:c r="U91" s="22"/>
      <x:c r="V91" s="22"/>
      <x:c r="W91" s="22"/>
    </x:row>
    <x:row r="92" ht="16" customHeight="1">
      <x:c r="A92" s="2" t="s">
        <x:v>84</x:v>
      </x:c>
      <x:c r="B92" s="2"/>
      <x:c r="C92" s="22">
        <x:v>0</x:v>
      </x:c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</x:row>
  </x:sheetData>
  <x:conditionalFormatting sqref="C89:W92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15" topLeftCell="C16" activePane="bottomRight" state="frozen"/>
    </x:sheetView>
  </x:sheetViews>
  <x:sheetFormatPr baseColWidth="10" defaultColWidth="8.83203125" defaultRowHeight="14"/>
  <x:cols>
    <x:col min="1" max="1" width="28" customWidth="1"/>
    <x:col min="2" max="2" width="25" customWidth="1"/>
    <x:col min="3" max="6" width="13" customWidth="1"/>
    <x:col min="7" max="7" width="14" customWidth="1"/>
    <x:col min="8" max="8" width="15" customWidth="1"/>
    <x:col min="9" max="12" width="9" customWidth="1"/>
    <x:col min="13" max="13" width="52" customWidth="1"/>
  </x:cols>
  <x:sheetData>
    <x:row r="2" ht="24" customHeight="1">
      <x:c r="A2" s="40" t="s">
        <x:v>85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</x:row>
    <x:row r="3">
      <x:c r="A3" s="41" t="s">
        <x:v>86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</x:row>
    <x:row r="5">
      <x:c r="A5" s="5" t="s">
        <x:v>87</x:v>
      </x:c>
      <x:c r="B5" s="51" t="s">
        <x:v>88</x:v>
      </x:c>
      <x:c r="C5" s="5" t="s">
        <x:v>89</x:v>
      </x:c>
      <x:c r="D5" s="52" t="s">
        <x:v>90</x:v>
      </x:c>
      <x:c r="E5" s="42"/>
      <x:c r="F5" s="42"/>
      <x:c r="G5" s="42"/>
      <x:c r="H5" s="42"/>
      <x:c r="I5" s="42"/>
      <x:c r="J5" s="42"/>
      <x:c r="K5" s="42"/>
      <x:c r="L5" s="42"/>
      <x:c r="M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</x:row>
    <x:row r="7" ht="18" customHeight="1">
      <x:c r="A7" s="46" t="s">
        <x:v>91</x:v>
      </x:c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</x:row>
    <x:row r="8" ht="30" customHeight="1">
      <x:c r="A8" s="1" t="s">
        <x:v>92</x:v>
      </x:c>
      <x:c r="B8" s="1" t="s">
        <x:v>8</x:v>
      </x:c>
      <x:c r="C8" s="1" t="s">
        <x:v>9</x:v>
      </x:c>
      <x:c r="D8" s="1" t="s">
        <x:v>10</x:v>
      </x:c>
      <x:c r="E8" s="1" t="s">
        <x:v>11</x:v>
      </x:c>
      <x:c r="F8" s="42"/>
      <x:c r="G8" s="42"/>
      <x:c r="H8" s="42"/>
      <x:c r="I8" s="42"/>
      <x:c r="J8" s="42"/>
      <x:c r="K8" s="42"/>
      <x:c r="L8" s="42"/>
      <x:c r="M8" s="42"/>
    </x:row>
    <x:row r="9" ht="16" customHeight="1">
      <x:c r="A9" s="2" t="s">
        <x:v>29</x:v>
      </x:c>
      <x:c r="B9" s="4">
        <x:v>23376.3</x:v>
      </x:c>
      <x:c r="C9" s="4">
        <x:v>20810.400000000001</x:v>
      </x:c>
      <x:c r="D9" s="4">
        <x:v>21283.599999999999</x:v>
      </x:c>
      <x:c r="E9" s="4">
        <x:v>23771.1</x:v>
      </x:c>
      <x:c r="F9" s="42"/>
      <x:c r="G9" s="42"/>
      <x:c r="H9" s="42"/>
      <x:c r="I9" s="42"/>
      <x:c r="J9" s="42"/>
      <x:c r="K9" s="42"/>
      <x:c r="L9" s="42"/>
      <x:c r="M9" s="42"/>
    </x:row>
    <x:row r="10" ht="16" customHeight="1">
      <x:c r="A10" s="2" t="s">
        <x:v>30</x:v>
      </x:c>
      <x:c r="B10" s="4">
        <x:v>846.9</x:v>
      </x:c>
      <x:c r="C10" s="4">
        <x:v>1116.5</x:v>
      </x:c>
      <x:c r="D10" s="4">
        <x:v>1526.4</x:v>
      </x:c>
      <x:c r="E10" s="4">
        <x:v>1421.6</x:v>
      </x:c>
      <x:c r="F10" s="42"/>
      <x:c r="G10" s="42"/>
      <x:c r="H10" s="42"/>
      <x:c r="I10" s="42"/>
      <x:c r="J10" s="42"/>
      <x:c r="K10" s="42"/>
      <x:c r="L10" s="42"/>
      <x:c r="M10" s="42"/>
    </x:row>
    <x:row r="11" ht="16" customHeight="1">
      <x:c r="A11" s="2" t="s">
        <x:v>31</x:v>
      </x:c>
      <x:c r="B11" s="4">
        <x:v>24.4</x:v>
      </x:c>
      <x:c r="C11" s="4">
        <x:v>4.8</x:v>
      </x:c>
      <x:c r="D11" s="4">
        <x:v>3.5</x:v>
      </x:c>
      <x:c r="E11" s="4">
        <x:v>3.8</x:v>
      </x:c>
      <x:c r="F11" s="42"/>
      <x:c r="G11" s="42"/>
      <x:c r="H11" s="42"/>
      <x:c r="I11" s="42"/>
      <x:c r="J11" s="42"/>
      <x:c r="K11" s="42"/>
      <x:c r="L11" s="42"/>
      <x:c r="M11" s="42"/>
    </x:row>
    <x:row r="12" ht="16" customHeight="1">
      <x:c r="A12" s="6" t="s">
        <x:v>32</x:v>
      </x:c>
      <x:c r="B12" s="7">
        <x:v>24247.599999999999</x:v>
      </x:c>
      <x:c r="C12" s="7">
        <x:v>21931.7</x:v>
      </x:c>
      <x:c r="D12" s="7">
        <x:v>22813.5</x:v>
      </x:c>
      <x:c r="E12" s="7">
        <x:v>25196.5</x:v>
      </x:c>
      <x:c r="F12" s="42"/>
      <x:c r="G12" s="42"/>
      <x:c r="H12" s="42"/>
      <x:c r="I12" s="42"/>
      <x:c r="J12" s="42"/>
      <x:c r="K12" s="42"/>
      <x:c r="L12" s="42"/>
      <x:c r="M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</x:row>
    <x:row r="14" ht="18" customHeight="1">
      <x:c r="A14" s="46" t="s">
        <x:v>93</x:v>
      </x:c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</x:row>
    <x:row r="15" ht="30" customHeight="1">
      <x:c r="A15" s="8" t="s">
        <x:v>94</x:v>
      </x:c>
      <x:c r="B15" s="8" t="s">
        <x:v>7</x:v>
      </x:c>
      <x:c r="C15" s="8" t="s">
        <x:v>95</x:v>
      </x:c>
      <x:c r="D15" s="8" t="s">
        <x:v>96</x:v>
      </x:c>
      <x:c r="E15" s="8" t="s">
        <x:v>97</x:v>
      </x:c>
      <x:c r="F15" s="8" t="s">
        <x:v>98</x:v>
      </x:c>
      <x:c r="G15" s="8" t="s">
        <x:v>99</x:v>
      </x:c>
      <x:c r="H15" s="8" t="s">
        <x:v>100</x:v>
      </x:c>
      <x:c r="I15" s="8" t="s">
        <x:v>101</x:v>
      </x:c>
      <x:c r="J15" s="8" t="s">
        <x:v>102</x:v>
      </x:c>
      <x:c r="K15" s="8" t="s">
        <x:v>103</x:v>
      </x:c>
      <x:c r="L15" s="8" t="s">
        <x:v>104</x:v>
      </x:c>
      <x:c r="M15" s="8" t="s">
        <x:v>105</x:v>
      </x:c>
    </x:row>
    <x:row r="16" ht="30" customHeight="1">
      <x:c r="A16" s="2" t="s">
        <x:v>35</x:v>
      </x:c>
      <x:c r="B16" s="2" t="s">
        <x:v>36</x:v>
      </x:c>
      <x:c r="C16" s="9">
        <x:v>9.400000000000075E-3</x:v>
      </x:c>
      <x:c r="D16" s="9">
        <x:v>-1.6000000000000125E-2</x:v>
      </x:c>
      <x:c r="E16" s="9">
        <x:v>1</x:v>
      </x:c>
      <x:c r="F16" s="9">
        <x:v>1.0000000000000002</x:v>
      </x:c>
      <x:c r="G16" s="4">
        <x:v>681.4606901770477</x:v>
      </x:c>
      <x:c r="H16" s="3" t="s">
        <x:v>35</x:v>
      </x:c>
      <x:c r="I16" s="10" t="n">
        <x:f>$B$56</x:f>
        <x:v>0.24</x:v>
      </x:c>
      <x:c r="J16" s="10" t="n">
        <x:f>$C$56</x:f>
        <x:v>0.23</x:v>
      </x:c>
      <x:c r="K16" s="10" t="n">
        <x:f>$D$56</x:f>
        <x:v>0.25</x:v>
      </x:c>
      <x:c r="L16" s="10" t="n">
        <x:f>$E$56</x:f>
        <x:v>0.28</x:v>
      </x:c>
      <x:c r="M16" s="12" t="s">
        <x:v>106</x:v>
      </x:c>
    </x:row>
    <x:row r="17" ht="30" customHeight="1">
      <x:c r="A17" s="2" t="s">
        <x:v>35</x:v>
      </x:c>
      <x:c r="B17" s="2" t="s">
        <x:v>37</x:v>
      </x:c>
      <x:c r="C17" s="9">
        <x:v>0.39050000000000007</x:v>
      </x:c>
      <x:c r="D17" s="9">
        <x:v>0.14799999999999991</x:v>
      </x:c>
      <x:c r="E17" s="9">
        <x:v>1</x:v>
      </x:c>
      <x:c r="F17" s="9">
        <x:v>1.0000000000000002</x:v>
      </x:c>
      <x:c r="G17" s="4">
        <x:v>278.90305531868967</x:v>
      </x:c>
      <x:c r="H17" s="3" t="s">
        <x:v>35</x:v>
      </x:c>
      <x:c r="I17" s="10" t="n">
        <x:f>$B$56</x:f>
        <x:v>0.24</x:v>
      </x:c>
      <x:c r="J17" s="10" t="n">
        <x:f>$C$56</x:f>
        <x:v>0.23</x:v>
      </x:c>
      <x:c r="K17" s="10" t="n">
        <x:f>$D$56</x:f>
        <x:v>0.25</x:v>
      </x:c>
      <x:c r="L17" s="10" t="n">
        <x:f>$E$56</x:f>
        <x:v>0.28</x:v>
      </x:c>
      <x:c r="M17" s="12" t="s">
        <x:v>107</x:v>
      </x:c>
    </x:row>
    <x:row r="18" ht="30" customHeight="1">
      <x:c r="A18" s="2" t="s">
        <x:v>35</x:v>
      </x:c>
      <x:c r="B18" s="2" t="s">
        <x:v>38</x:v>
      </x:c>
      <x:c r="C18" s="9">
        <x:v>5.0599999999999978E-2</x:v>
      </x:c>
      <x:c r="D18" s="9">
        <x:v>3.5250000000000004E-2</x:v>
      </x:c>
      <x:c r="E18" s="9">
        <x:v>1</x:v>
      </x:c>
      <x:c r="F18" s="9">
        <x:v>1.0000000000000002</x:v>
      </x:c>
      <x:c r="G18" s="4">
        <x:v>30.83806140109089</x:v>
      </x:c>
      <x:c r="H18" s="3" t="s">
        <x:v>35</x:v>
      </x:c>
      <x:c r="I18" s="10" t="n">
        <x:f>$B$56</x:f>
        <x:v>0.24</x:v>
      </x:c>
      <x:c r="J18" s="10" t="n">
        <x:f>$C$56</x:f>
        <x:v>0.23</x:v>
      </x:c>
      <x:c r="K18" s="10" t="n">
        <x:f>$D$56</x:f>
        <x:v>0.25</x:v>
      </x:c>
      <x:c r="L18" s="10" t="n">
        <x:f>$E$56</x:f>
        <x:v>0.28</x:v>
      </x:c>
      <x:c r="M18" s="12" t="s">
        <x:v>108</x:v>
      </x:c>
    </x:row>
    <x:row r="19" ht="30" customHeight="1">
      <x:c r="A19" s="2" t="s">
        <x:v>35</x:v>
      </x:c>
      <x:c r="B19" s="2" t="s">
        <x:v>39</x:v>
      </x:c>
      <x:c r="C19" s="9">
        <x:v>3.0000000000000027E-2</x:v>
      </x:c>
      <x:c r="D19" s="9">
        <x:v>2.4999999999999911E-2</x:v>
      </x:c>
      <x:c r="E19" s="9">
        <x:v>0</x:v>
      </x:c>
      <x:c r="F19" s="9">
        <x:v>0</x:v>
      </x:c>
      <x:c r="G19" s="4">
        <x:v>0</x:v>
      </x:c>
      <x:c r="H19" s="3" t="s">
        <x:v>35</x:v>
      </x:c>
      <x:c r="I19" s="10" t="n">
        <x:f>$B$56</x:f>
        <x:v>0.24</x:v>
      </x:c>
      <x:c r="J19" s="10" t="n">
        <x:f>$C$56</x:f>
        <x:v>0.23</x:v>
      </x:c>
      <x:c r="K19" s="10" t="n">
        <x:f>$D$56</x:f>
        <x:v>0.25</x:v>
      </x:c>
      <x:c r="L19" s="10" t="n">
        <x:f>$E$56</x:f>
        <x:v>0.28</x:v>
      </x:c>
      <x:c r="M19" s="12" t="s">
        <x:v>109</x:v>
      </x:c>
    </x:row>
    <x:row r="20" ht="30" customHeight="1">
      <x:c r="A20" s="2" t="s">
        <x:v>41</x:v>
      </x:c>
      <x:c r="B20" s="2" t="s">
        <x:v>42</x:v>
      </x:c>
      <x:c r="C20" s="9">
        <x:v>0.10699999999999998</x:v>
      </x:c>
      <x:c r="D20" s="9">
        <x:v>7.1000000000000174E-2</x:v>
      </x:c>
      <x:c r="E20" s="9">
        <x:v>1</x:v>
      </x:c>
      <x:c r="F20" s="9">
        <x:v>1</x:v>
      </x:c>
      <x:c r="G20" s="4">
        <x:v>379.09153150113161</x:v>
      </x:c>
      <x:c r="H20" s="3" t="s">
        <x:v>110</x:v>
      </x:c>
      <x:c r="I20" s="10" t="n">
        <x:f t="shared" ref="I20:I25" si="0">$B$57</x:f>
        <x:v>0.24</x:v>
      </x:c>
      <x:c r="J20" s="10" t="n">
        <x:f t="shared" ref="J20:J25" si="1">$C$57</x:f>
        <x:v>0.25</x:v>
      </x:c>
      <x:c r="K20" s="10" t="n">
        <x:f t="shared" ref="K20:K25" si="2">$D$57</x:f>
        <x:v>0.25</x:v>
      </x:c>
      <x:c r="L20" s="10" t="n">
        <x:f t="shared" ref="L20:L25" si="3">$E$57</x:f>
        <x:v>0.26</x:v>
      </x:c>
      <x:c r="M20" s="12" t="s">
        <x:v>111</x:v>
      </x:c>
    </x:row>
    <x:row r="21" ht="30" customHeight="1">
      <x:c r="A21" s="2" t="s">
        <x:v>41</x:v>
      </x:c>
      <x:c r="B21" s="2" t="s">
        <x:v>43</x:v>
      </x:c>
      <x:c r="C21" s="9">
        <x:v>7.6249999999999929E-2</x:v>
      </x:c>
      <x:c r="D21" s="9">
        <x:v>5.0599999999999978E-2</x:v>
      </x:c>
      <x:c r="E21" s="9">
        <x:v>1</x:v>
      </x:c>
      <x:c r="F21" s="9">
        <x:v>1.0000000000000002</x:v>
      </x:c>
      <x:c r="G21" s="4">
        <x:v>242.19736734794517</x:v>
      </x:c>
      <x:c r="H21" s="3" t="s">
        <x:v>110</x:v>
      </x:c>
      <x:c r="I21" s="10">
        <x:f t="shared" si="0"/>
        <x:v>0.24</x:v>
      </x:c>
      <x:c r="J21" s="10">
        <x:f t="shared" si="1"/>
        <x:v>0.25</x:v>
      </x:c>
      <x:c r="K21" s="10">
        <x:f t="shared" si="2"/>
        <x:v>0.25</x:v>
      </x:c>
      <x:c r="L21" s="10">
        <x:f t="shared" si="3"/>
        <x:v>0.26</x:v>
      </x:c>
      <x:c r="M21" s="12" t="s">
        <x:v>112</x:v>
      </x:c>
    </x:row>
    <x:row r="22" ht="30" customHeight="1">
      <x:c r="A22" s="2" t="s">
        <x:v>41</x:v>
      </x:c>
      <x:c r="B22" s="2" t="s">
        <x:v>44</x:v>
      </x:c>
      <x:c r="C22" s="9">
        <x:v>0.10699999999999998</x:v>
      </x:c>
      <x:c r="D22" s="9">
        <x:v>7.1000000000000174E-2</x:v>
      </x:c>
      <x:c r="E22" s="9">
        <x:v>1.0000000000000002</x:v>
      </x:c>
      <x:c r="F22" s="9">
        <x:v>1</x:v>
      </x:c>
      <x:c r="G22" s="4">
        <x:v>238.28610551499699</x:v>
      </x:c>
      <x:c r="H22" s="3" t="s">
        <x:v>110</x:v>
      </x:c>
      <x:c r="I22" s="10">
        <x:f t="shared" si="0"/>
        <x:v>0.24</x:v>
      </x:c>
      <x:c r="J22" s="10">
        <x:f t="shared" si="1"/>
        <x:v>0.25</x:v>
      </x:c>
      <x:c r="K22" s="10">
        <x:f t="shared" si="2"/>
        <x:v>0.25</x:v>
      </x:c>
      <x:c r="L22" s="10">
        <x:f t="shared" si="3"/>
        <x:v>0.26</x:v>
      </x:c>
      <x:c r="M22" s="12" t="s">
        <x:v>113</x:v>
      </x:c>
    </x:row>
    <x:row r="23" ht="30" customHeight="1">
      <x:c r="A23" s="2" t="s">
        <x:v>41</x:v>
      </x:c>
      <x:c r="B23" s="2" t="s">
        <x:v>45</x:v>
      </x:c>
      <x:c r="C23" s="9">
        <x:v>2.4999999999999911E-2</x:v>
      </x:c>
      <x:c r="D23" s="9">
        <x:v>-3.9999999999995595E-4</x:v>
      </x:c>
      <x:c r="E23" s="9">
        <x:v>1</x:v>
      </x:c>
      <x:c r="F23" s="9">
        <x:v>1</x:v>
      </x:c>
      <x:c r="G23" s="4">
        <x:v>75.216573710541979</x:v>
      </x:c>
      <x:c r="H23" s="3" t="s">
        <x:v>110</x:v>
      </x:c>
      <x:c r="I23" s="10">
        <x:f t="shared" si="0"/>
        <x:v>0.24</x:v>
      </x:c>
      <x:c r="J23" s="10">
        <x:f t="shared" si="1"/>
        <x:v>0.25</x:v>
      </x:c>
      <x:c r="K23" s="10">
        <x:f t="shared" si="2"/>
        <x:v>0.25</x:v>
      </x:c>
      <x:c r="L23" s="10">
        <x:f t="shared" si="3"/>
        <x:v>0.26</x:v>
      </x:c>
      <x:c r="M23" s="12" t="s">
        <x:v>114</x:v>
      </x:c>
    </x:row>
    <x:row r="24" ht="30" customHeight="1">
      <x:c r="A24" s="2" t="s">
        <x:v>41</x:v>
      </x:c>
      <x:c r="B24" s="2" t="s">
        <x:v>46</x:v>
      </x:c>
      <x:c r="C24" s="9">
        <x:v>0.48624999999999985</x:v>
      </x:c>
      <x:c r="D24" s="9">
        <x:v>0.17299999999999982</x:v>
      </x:c>
      <x:c r="E24" s="9">
        <x:v>1</x:v>
      </x:c>
      <x:c r="F24" s="9">
        <x:v>1</x:v>
      </x:c>
      <x:c r="G24" s="4">
        <x:v>65.438419128171518</x:v>
      </x:c>
      <x:c r="H24" s="3" t="s">
        <x:v>110</x:v>
      </x:c>
      <x:c r="I24" s="10">
        <x:f t="shared" si="0"/>
        <x:v>0.24</x:v>
      </x:c>
      <x:c r="J24" s="10">
        <x:f t="shared" si="1"/>
        <x:v>0.25</x:v>
      </x:c>
      <x:c r="K24" s="10">
        <x:f t="shared" si="2"/>
        <x:v>0.25</x:v>
      </x:c>
      <x:c r="L24" s="10">
        <x:f t="shared" si="3"/>
        <x:v>0.26</x:v>
      </x:c>
      <x:c r="M24" s="12" t="s">
        <x:v>115</x:v>
      </x:c>
    </x:row>
    <x:row r="25" ht="30" customHeight="1">
      <x:c r="A25" s="2" t="s">
        <x:v>41</x:v>
      </x:c>
      <x:c r="B25" s="2" t="s">
        <x:v>47</x:v>
      </x:c>
      <x:c r="C25" s="9">
        <x:v>5.5749999999999966E-2</x:v>
      </x:c>
      <x:c r="D25" s="9">
        <x:v>4.0399999999999991E-2</x:v>
      </x:c>
      <x:c r="E25" s="9">
        <x:v>1</x:v>
      </x:c>
      <x:c r="F25" s="9">
        <x:v>1</x:v>
      </x:c>
      <x:c r="G25" s="4">
        <x:v>154.94614184371648</x:v>
      </x:c>
      <x:c r="H25" s="3" t="s">
        <x:v>110</x:v>
      </x:c>
      <x:c r="I25" s="10">
        <x:f t="shared" si="0"/>
        <x:v>0.24</x:v>
      </x:c>
      <x:c r="J25" s="10">
        <x:f t="shared" si="1"/>
        <x:v>0.25</x:v>
      </x:c>
      <x:c r="K25" s="10">
        <x:f t="shared" si="2"/>
        <x:v>0.25</x:v>
      </x:c>
      <x:c r="L25" s="10">
        <x:f t="shared" si="3"/>
        <x:v>0.26</x:v>
      </x:c>
      <x:c r="M25" s="12" t="s">
        <x:v>116</x:v>
      </x:c>
    </x:row>
    <x:row r="26" ht="30" customHeight="1">
      <x:c r="A26" s="2" t="s">
        <x:v>48</x:v>
      </x:c>
      <x:c r="B26" s="2" t="s">
        <x:v>49</x:v>
      </x:c>
      <x:c r="C26" s="9">
        <x:v>0.14799999999999991</x:v>
      </x:c>
      <x:c r="D26" s="9">
        <x:v>8.1200000000000161E-2</x:v>
      </x:c>
      <x:c r="E26" s="9">
        <x:v>1.0000000000000002</x:v>
      </x:c>
      <x:c r="F26" s="9">
        <x:v>1</x:v>
      </x:c>
      <x:c r="G26" s="4">
        <x:v>527.92005868305739</x:v>
      </x:c>
      <x:c r="H26" s="3" t="s">
        <x:v>117</x:v>
      </x:c>
      <x:c r="I26" s="10" t="n">
        <x:f>$B$58</x:f>
        <x:v>0.24</x:v>
      </x:c>
      <x:c r="J26" s="10" t="n">
        <x:f>$C$58</x:f>
        <x:v>0.25</x:v>
      </x:c>
      <x:c r="K26" s="10" t="n">
        <x:f>$D$58</x:f>
        <x:v>0.25</x:v>
      </x:c>
      <x:c r="L26" s="10" t="n">
        <x:f>$E$58</x:f>
        <x:v>0.26</x:v>
      </x:c>
      <x:c r="M26" s="12" t="s">
        <x:v>118</x:v>
      </x:c>
    </x:row>
    <x:row r="27" ht="30" customHeight="1">
      <x:c r="A27" s="2" t="s">
        <x:v>48</x:v>
      </x:c>
      <x:c r="B27" s="2" t="s">
        <x:v>50</x:v>
      </x:c>
      <x:c r="C27" s="9">
        <x:v>5.5749999999999966E-2</x:v>
      </x:c>
      <x:c r="D27" s="9">
        <x:v>2.0000000000000018E-2</x:v>
      </x:c>
      <x:c r="E27" s="9">
        <x:v>0.43210674377412023</x:v>
      </x:c>
      <x:c r="F27" s="9">
        <x:v>0</x:v>
      </x:c>
      <x:c r="G27" s="4">
        <x:v>445.47015780068483</x:v>
      </x:c>
      <x:c r="H27" s="3" t="s">
        <x:v>119</x:v>
      </x:c>
      <x:c r="I27" s="10" t="n">
        <x:f>$B$61</x:f>
        <x:v>0</x:v>
      </x:c>
      <x:c r="J27" s="10" t="n">
        <x:f>$C$61</x:f>
        <x:v>1</x:v>
      </x:c>
      <x:c r="K27" s="10" t="n">
        <x:f>$D$61</x:f>
        <x:v>0</x:v>
      </x:c>
      <x:c r="L27" s="10" t="n">
        <x:f>$E$61</x:f>
        <x:v>0</x:v>
      </x:c>
      <x:c r="M27" s="12" t="s">
        <x:v>120</x:v>
      </x:c>
    </x:row>
    <x:row r="28" ht="30" customHeight="1">
      <x:c r="A28" s="2" t="s">
        <x:v>48</x:v>
      </x:c>
      <x:c r="B28" s="2" t="s">
        <x:v>51</x:v>
      </x:c>
      <x:c r="C28" s="9">
        <x:v>2.4999999999999911E-2</x:v>
      </x:c>
      <x:c r="D28" s="9">
        <x:v>2.0000000000000018E-2</x:v>
      </x:c>
      <x:c r="E28" s="9">
        <x:v>0</x:v>
      </x:c>
      <x:c r="F28" s="9">
        <x:v>0</x:v>
      </x:c>
      <x:c r="G28" s="4">
        <x:v>0</x:v>
      </x:c>
      <x:c r="H28" s="3" t="s">
        <x:v>117</x:v>
      </x:c>
      <x:c r="I28" s="10" t="n">
        <x:f>$B$58</x:f>
        <x:v>0.24</x:v>
      </x:c>
      <x:c r="J28" s="10" t="n">
        <x:f>$C$58</x:f>
        <x:v>0.25</x:v>
      </x:c>
      <x:c r="K28" s="10" t="n">
        <x:f>$D$58</x:f>
        <x:v>0.25</x:v>
      </x:c>
      <x:c r="L28" s="10" t="n">
        <x:f>$E$58</x:f>
        <x:v>0.26</x:v>
      </x:c>
      <x:c r="M28" s="12" t="s">
        <x:v>121</x:v>
      </x:c>
    </x:row>
    <x:row r="29" ht="30" customHeight="1">
      <x:c r="A29" s="2" t="s">
        <x:v>48</x:v>
      </x:c>
      <x:c r="B29" s="2" t="s">
        <x:v>52</x:v>
      </x:c>
      <x:c r="C29" s="9">
        <x:v>4.5499999999999874E-2</x:v>
      </x:c>
      <x:c r="D29" s="9">
        <x:v>3.0200000000000005E-2</x:v>
      </x:c>
      <x:c r="E29" s="9">
        <x:v>0.99999999999999978</x:v>
      </x:c>
      <x:c r="F29" s="9">
        <x:v>1.0000000000000002</x:v>
      </x:c>
      <x:c r="G29" s="4">
        <x:v>76.720905184752823</x:v>
      </x:c>
      <x:c r="H29" s="3" t="s">
        <x:v>117</x:v>
      </x:c>
      <x:c r="I29" s="10" t="n">
        <x:f>$B$58</x:f>
        <x:v>0.24</x:v>
      </x:c>
      <x:c r="J29" s="10" t="n">
        <x:f>$C$58</x:f>
        <x:v>0.25</x:v>
      </x:c>
      <x:c r="K29" s="10" t="n">
        <x:f>$D$58</x:f>
        <x:v>0.25</x:v>
      </x:c>
      <x:c r="L29" s="10" t="n">
        <x:f>$E$58</x:f>
        <x:v>0.26</x:v>
      </x:c>
      <x:c r="M29" s="12" t="s">
        <x:v>122</x:v>
      </x:c>
    </x:row>
    <x:row r="30" ht="30" customHeight="1">
      <x:c r="A30" s="2" t="s">
        <x:v>53</x:v>
      </x:c>
      <x:c r="B30" s="2" t="s">
        <x:v>54</x:v>
      </x:c>
      <x:c r="C30" s="9">
        <x:v>8.1500000000000128E-2</x:v>
      </x:c>
      <x:c r="D30" s="9">
        <x:v>5.5749999999999966E-2</x:v>
      </x:c>
      <x:c r="E30" s="9">
        <x:v>0.99999999999999978</x:v>
      </x:c>
      <x:c r="F30" s="9">
        <x:v>1</x:v>
      </x:c>
      <x:c r="G30" s="4">
        <x:v>565.34871246086925</x:v>
      </x:c>
      <x:c r="H30" s="3" t="s">
        <x:v>123</x:v>
      </x:c>
      <x:c r="I30" s="10" t="n">
        <x:f t="shared" ref="I30:I39" si="4">$B$59</x:f>
        <x:v>0.23</x:v>
      </x:c>
      <x:c r="J30" s="10" t="n">
        <x:f t="shared" ref="J30:J39" si="5">$C$59</x:f>
        <x:v>0.26</x:v>
      </x:c>
      <x:c r="K30" s="10" t="n">
        <x:f t="shared" ref="K30:K39" si="6">$D$59</x:f>
        <x:v>0.26</x:v>
      </x:c>
      <x:c r="L30" s="10" t="n">
        <x:f t="shared" ref="L30:L39" si="7">$E$59</x:f>
        <x:v>0.25</x:v>
      </x:c>
      <x:c r="M30" s="12" t="s">
        <x:v>124</x:v>
      </x:c>
    </x:row>
    <x:row r="31" ht="30" customHeight="1">
      <x:c r="A31" s="2" t="s">
        <x:v>53</x:v>
      </x:c>
      <x:c r="B31" s="2" t="s">
        <x:v>55</x:v>
      </x:c>
      <x:c r="C31" s="9">
        <x:v>5.0599999999999978E-2</x:v>
      </x:c>
      <x:c r="D31" s="9">
        <x:v>3.5250000000000004E-2</x:v>
      </x:c>
      <x:c r="E31" s="9">
        <x:v>1</x:v>
      </x:c>
      <x:c r="F31" s="9">
        <x:v>1.0000000000000002</x:v>
      </x:c>
      <x:c r="G31" s="4">
        <x:v>36.941427720056794</x:v>
      </x:c>
      <x:c r="H31" s="3" t="s">
        <x:v>123</x:v>
      </x:c>
      <x:c r="I31" s="10">
        <x:f t="shared" si="4"/>
        <x:v>0.23</x:v>
      </x:c>
      <x:c r="J31" s="10">
        <x:f t="shared" si="5"/>
        <x:v>0.26</x:v>
      </x:c>
      <x:c r="K31" s="10">
        <x:f t="shared" si="6"/>
        <x:v>0.26</x:v>
      </x:c>
      <x:c r="L31" s="10">
        <x:f t="shared" si="7"/>
        <x:v>0.25</x:v>
      </x:c>
      <x:c r="M31" s="12" t="s">
        <x:v>125</x:v>
      </x:c>
    </x:row>
    <x:row r="32" ht="30" customHeight="1">
      <x:c r="A32" s="2" t="s">
        <x:v>56</x:v>
      </x:c>
      <x:c r="B32" s="2" t="s">
        <x:v>57</x:v>
      </x:c>
      <x:c r="C32" s="9">
        <x:v>8.1500000000000128E-2</x:v>
      </x:c>
      <x:c r="D32" s="9">
        <x:v>5.5749999999999966E-2</x:v>
      </x:c>
      <x:c r="E32" s="9">
        <x:v>1</x:v>
      </x:c>
      <x:c r="F32" s="9">
        <x:v>0.99999999999999989</x:v>
      </x:c>
      <x:c r="G32" s="4">
        <x:v>332.11067862051067</x:v>
      </x:c>
      <x:c r="H32" s="3" t="s">
        <x:v>123</x:v>
      </x:c>
      <x:c r="I32" s="10">
        <x:f t="shared" si="4"/>
        <x:v>0.23</x:v>
      </x:c>
      <x:c r="J32" s="10">
        <x:f t="shared" si="5"/>
        <x:v>0.26</x:v>
      </x:c>
      <x:c r="K32" s="10">
        <x:f t="shared" si="6"/>
        <x:v>0.26</x:v>
      </x:c>
      <x:c r="L32" s="10">
        <x:f t="shared" si="7"/>
        <x:v>0.25</x:v>
      </x:c>
      <x:c r="M32" s="12" t="s">
        <x:v>126</x:v>
      </x:c>
    </x:row>
    <x:row r="33" ht="30" customHeight="1">
      <x:c r="A33" s="2" t="s">
        <x:v>56</x:v>
      </x:c>
      <x:c r="B33" s="2" t="s">
        <x:v>58</x:v>
      </x:c>
      <x:c r="C33" s="9">
        <x:v>7.1200000000000152E-2</x:v>
      </x:c>
      <x:c r="D33" s="9">
        <x:v>4.5499999999999874E-2</x:v>
      </x:c>
      <x:c r="E33" s="9">
        <x:v>0.99999999999999978</x:v>
      </x:c>
      <x:c r="F33" s="9">
        <x:v>1</x:v>
      </x:c>
      <x:c r="G33" s="4">
        <x:v>225.99461664034749</x:v>
      </x:c>
      <x:c r="H33" s="3" t="s">
        <x:v>123</x:v>
      </x:c>
      <x:c r="I33" s="10">
        <x:f t="shared" si="4"/>
        <x:v>0.23</x:v>
      </x:c>
      <x:c r="J33" s="10">
        <x:f t="shared" si="5"/>
        <x:v>0.26</x:v>
      </x:c>
      <x:c r="K33" s="10">
        <x:f t="shared" si="6"/>
        <x:v>0.26</x:v>
      </x:c>
      <x:c r="L33" s="10">
        <x:f t="shared" si="7"/>
        <x:v>0.25</x:v>
      </x:c>
      <x:c r="M33" s="12" t="s">
        <x:v>127</x:v>
      </x:c>
    </x:row>
    <x:row r="34" ht="30" customHeight="1">
      <x:c r="A34" s="2" t="s">
        <x:v>56</x:v>
      </x:c>
      <x:c r="B34" s="2" t="s">
        <x:v>59</x:v>
      </x:c>
      <x:c r="C34" s="9">
        <x:v>0.11240000000000006</x:v>
      </x:c>
      <x:c r="D34" s="9">
        <x:v>6.5999999999999837E-2</x:v>
      </x:c>
      <x:c r="E34" s="9">
        <x:v>0.90999999999999992</x:v>
      </x:c>
      <x:c r="F34" s="9">
        <x:v>1</x:v>
      </x:c>
      <x:c r="G34" s="4">
        <x:v>83.053021615327708</x:v>
      </x:c>
      <x:c r="H34" s="3" t="s">
        <x:v>123</x:v>
      </x:c>
      <x:c r="I34" s="10">
        <x:f t="shared" si="4"/>
        <x:v>0.23</x:v>
      </x:c>
      <x:c r="J34" s="10">
        <x:f t="shared" si="5"/>
        <x:v>0.26</x:v>
      </x:c>
      <x:c r="K34" s="10">
        <x:f t="shared" si="6"/>
        <x:v>0.26</x:v>
      </x:c>
      <x:c r="L34" s="10">
        <x:f t="shared" si="7"/>
        <x:v>0.25</x:v>
      </x:c>
      <x:c r="M34" s="12" t="s">
        <x:v>128</x:v>
      </x:c>
    </x:row>
    <x:row r="35" ht="30" customHeight="1">
      <x:c r="A35" s="2" t="s">
        <x:v>56</x:v>
      </x:c>
      <x:c r="B35" s="2" t="s">
        <x:v>60</x:v>
      </x:c>
      <x:c r="C35" s="9">
        <x:v>5.0599999999999978E-2</x:v>
      </x:c>
      <x:c r="D35" s="9">
        <x:v>3.5250000000000004E-2</x:v>
      </x:c>
      <x:c r="E35" s="9">
        <x:v>1</x:v>
      </x:c>
      <x:c r="F35" s="9">
        <x:v>1</x:v>
      </x:c>
      <x:c r="G35" s="4">
        <x:v>44.329713264068161</x:v>
      </x:c>
      <x:c r="H35" s="3" t="s">
        <x:v>123</x:v>
      </x:c>
      <x:c r="I35" s="10">
        <x:f t="shared" si="4"/>
        <x:v>0.23</x:v>
      </x:c>
      <x:c r="J35" s="10">
        <x:f t="shared" si="5"/>
        <x:v>0.26</x:v>
      </x:c>
      <x:c r="K35" s="10">
        <x:f t="shared" si="6"/>
        <x:v>0.26</x:v>
      </x:c>
      <x:c r="L35" s="10">
        <x:f t="shared" si="7"/>
        <x:v>0.25</x:v>
      </x:c>
      <x:c r="M35" s="12" t="s">
        <x:v>129</x:v>
      </x:c>
    </x:row>
    <x:row r="36" ht="30" customHeight="1">
      <x:c r="A36" s="2" t="s">
        <x:v>61</x:v>
      </x:c>
      <x:c r="B36" s="2" t="s">
        <x:v>62</x:v>
      </x:c>
      <x:c r="C36" s="9">
        <x:v>0.11240000000000006</x:v>
      </x:c>
      <x:c r="D36" s="9">
        <x:v>6.5999999999999837E-2</x:v>
      </x:c>
      <x:c r="E36" s="9">
        <x:v>0.91</x:v>
      </x:c>
      <x:c r="F36" s="9">
        <x:v>1</x:v>
      </x:c>
      <x:c r="G36" s="4">
        <x:v>118.64717373618244</x:v>
      </x:c>
      <x:c r="H36" s="3" t="s">
        <x:v>123</x:v>
      </x:c>
      <x:c r="I36" s="10">
        <x:f t="shared" si="4"/>
        <x:v>0.23</x:v>
      </x:c>
      <x:c r="J36" s="10">
        <x:f t="shared" si="5"/>
        <x:v>0.26</x:v>
      </x:c>
      <x:c r="K36" s="10">
        <x:f t="shared" si="6"/>
        <x:v>0.26</x:v>
      </x:c>
      <x:c r="L36" s="10">
        <x:f t="shared" si="7"/>
        <x:v>0.25</x:v>
      </x:c>
      <x:c r="M36" s="12" t="s">
        <x:v>130</x:v>
      </x:c>
    </x:row>
    <x:row r="37" ht="30" customHeight="1">
      <x:c r="A37" s="2" t="s">
        <x:v>61</x:v>
      </x:c>
      <x:c r="B37" s="2" t="s">
        <x:v>63</x:v>
      </x:c>
      <x:c r="C37" s="9">
        <x:v>0.11240000000000006</x:v>
      </x:c>
      <x:c r="D37" s="9">
        <x:v>6.5999999999999837E-2</x:v>
      </x:c>
      <x:c r="E37" s="9">
        <x:v>0.91000000000000014</x:v>
      </x:c>
      <x:c r="F37" s="9">
        <x:v>1.0000000000000002</x:v>
      </x:c>
      <x:c r="G37" s="4">
        <x:v>94.917738988945956</x:v>
      </x:c>
      <x:c r="H37" s="3" t="s">
        <x:v>123</x:v>
      </x:c>
      <x:c r="I37" s="10">
        <x:f t="shared" si="4"/>
        <x:v>0.23</x:v>
      </x:c>
      <x:c r="J37" s="10">
        <x:f t="shared" si="5"/>
        <x:v>0.26</x:v>
      </x:c>
      <x:c r="K37" s="10">
        <x:f t="shared" si="6"/>
        <x:v>0.26</x:v>
      </x:c>
      <x:c r="L37" s="10">
        <x:f t="shared" si="7"/>
        <x:v>0.25</x:v>
      </x:c>
      <x:c r="M37" s="12" t="s">
        <x:v>130</x:v>
      </x:c>
    </x:row>
    <x:row r="38" ht="30" customHeight="1">
      <x:c r="A38" s="2" t="s">
        <x:v>61</x:v>
      </x:c>
      <x:c r="B38" s="2" t="s">
        <x:v>64</x:v>
      </x:c>
      <x:c r="C38" s="9">
        <x:v>5.0599999999999978E-2</x:v>
      </x:c>
      <x:c r="D38" s="9">
        <x:v>3.5250000000000004E-2</x:v>
      </x:c>
      <x:c r="E38" s="9">
        <x:v>1.0000000000000002</x:v>
      </x:c>
      <x:c r="F38" s="9">
        <x:v>1.0000000000000002</x:v>
      </x:c>
      <x:c r="G38" s="4">
        <x:v>24.627618480037867</x:v>
      </x:c>
      <x:c r="H38" s="3" t="s">
        <x:v>123</x:v>
      </x:c>
      <x:c r="I38" s="10">
        <x:f t="shared" si="4"/>
        <x:v>0.23</x:v>
      </x:c>
      <x:c r="J38" s="10">
        <x:f t="shared" si="5"/>
        <x:v>0.26</x:v>
      </x:c>
      <x:c r="K38" s="10">
        <x:f t="shared" si="6"/>
        <x:v>0.26</x:v>
      </x:c>
      <x:c r="L38" s="10">
        <x:f t="shared" si="7"/>
        <x:v>0.25</x:v>
      </x:c>
      <x:c r="M38" s="12" t="s">
        <x:v>131</x:v>
      </x:c>
    </x:row>
    <x:row r="39" ht="30" customHeight="1">
      <x:c r="A39" s="2" t="s">
        <x:v>65</x:v>
      </x:c>
      <x:c r="B39" s="2" t="s">
        <x:v>66</x:v>
      </x:c>
      <x:c r="C39" s="9">
        <x:v>8.6500000000000021E-2</x:v>
      </x:c>
      <x:c r="D39" s="9">
        <x:v>5.0599999999999978E-2</x:v>
      </x:c>
      <x:c r="E39" s="9">
        <x:v>0.90999999999999992</x:v>
      </x:c>
      <x:c r="F39" s="9">
        <x:v>0.99999999999999989</x:v>
      </x:c>
      <x:c r="G39" s="4">
        <x:v>81.119298799940267</x:v>
      </x:c>
      <x:c r="H39" s="3" t="s">
        <x:v>123</x:v>
      </x:c>
      <x:c r="I39" s="10">
        <x:f t="shared" si="4"/>
        <x:v>0.23</x:v>
      </x:c>
      <x:c r="J39" s="10">
        <x:f t="shared" si="5"/>
        <x:v>0.26</x:v>
      </x:c>
      <x:c r="K39" s="10">
        <x:f t="shared" si="6"/>
        <x:v>0.26</x:v>
      </x:c>
      <x:c r="L39" s="10">
        <x:f t="shared" si="7"/>
        <x:v>0.25</x:v>
      </x:c>
      <x:c r="M39" s="12" t="s">
        <x:v>130</x:v>
      </x:c>
    </x:row>
    <x:row r="40" ht="30" customHeight="1">
      <x:c r="A40" s="2" t="s">
        <x:v>65</x:v>
      </x:c>
      <x:c r="B40" s="2" t="s">
        <x:v>67</x:v>
      </x:c>
      <x:c r="C40" s="9">
        <x:v>4.4999999999999485E-3</x:v>
      </x:c>
      <x:c r="D40" s="9">
        <x:v>-1.0600000000000054E-2</x:v>
      </x:c>
      <x:c r="E40" s="9">
        <x:v>0.99999999999999978</x:v>
      </x:c>
      <x:c r="F40" s="9">
        <x:v>1.0000000000000002</x:v>
      </x:c>
      <x:c r="G40" s="4">
        <x:v>135.13911076660708</x:v>
      </x:c>
      <x:c r="H40" s="3" t="s">
        <x:v>117</x:v>
      </x:c>
      <x:c r="I40" s="10" t="n">
        <x:f t="shared" ref="I40:I48" si="8">$B$58</x:f>
        <x:v>0.24</x:v>
      </x:c>
      <x:c r="J40" s="10" t="n">
        <x:f t="shared" ref="J40:J48" si="9">$C$58</x:f>
        <x:v>0.25</x:v>
      </x:c>
      <x:c r="K40" s="10" t="n">
        <x:f t="shared" ref="K40:K48" si="10">$D$58</x:f>
        <x:v>0.25</x:v>
      </x:c>
      <x:c r="L40" s="10" t="n">
        <x:f t="shared" ref="L40:L48" si="11">$E$58</x:f>
        <x:v>0.26</x:v>
      </x:c>
      <x:c r="M40" s="12" t="s">
        <x:v>132</x:v>
      </x:c>
    </x:row>
    <x:row r="41" ht="30" customHeight="1">
      <x:c r="A41" s="2" t="s">
        <x:v>65</x:v>
      </x:c>
      <x:c r="B41" s="2" t="s">
        <x:v>68</x:v>
      </x:c>
      <x:c r="C41" s="9">
        <x:v>0.14799999999999991</x:v>
      </x:c>
      <x:c r="D41" s="9">
        <x:v>7.1000000000000174E-2</x:v>
      </x:c>
      <x:c r="E41" s="9">
        <x:v>1</x:v>
      </x:c>
      <x:c r="F41" s="9">
        <x:v>1</x:v>
      </x:c>
      <x:c r="G41" s="4">
        <x:v>70.20213546317251</x:v>
      </x:c>
      <x:c r="H41" s="3" t="s">
        <x:v>117</x:v>
      </x:c>
      <x:c r="I41" s="10">
        <x:f t="shared" si="8"/>
        <x:v>0.24</x:v>
      </x:c>
      <x:c r="J41" s="10">
        <x:f t="shared" si="9"/>
        <x:v>0.25</x:v>
      </x:c>
      <x:c r="K41" s="10">
        <x:f t="shared" si="10"/>
        <x:v>0.25</x:v>
      </x:c>
      <x:c r="L41" s="10">
        <x:f t="shared" si="11"/>
        <x:v>0.26</x:v>
      </x:c>
      <x:c r="M41" s="12" t="s">
        <x:v>133</x:v>
      </x:c>
    </x:row>
    <x:row r="42" ht="30" customHeight="1">
      <x:c r="A42" s="2" t="s">
        <x:v>65</x:v>
      </x:c>
      <x:c r="B42" s="2" t="s">
        <x:v>69</x:v>
      </x:c>
      <x:c r="C42" s="9">
        <x:v>8.6500000000000021E-2</x:v>
      </x:c>
      <x:c r="D42" s="9">
        <x:v>5.0599999999999978E-2</x:v>
      </x:c>
      <x:c r="E42" s="9">
        <x:v>1</x:v>
      </x:c>
      <x:c r="F42" s="9">
        <x:v>1</x:v>
      </x:c>
      <x:c r="G42" s="4">
        <x:v>66.441306777645423</x:v>
      </x:c>
      <x:c r="H42" s="3" t="s">
        <x:v>117</x:v>
      </x:c>
      <x:c r="I42" s="10">
        <x:f t="shared" si="8"/>
        <x:v>0.24</x:v>
      </x:c>
      <x:c r="J42" s="10">
        <x:f t="shared" si="9"/>
        <x:v>0.25</x:v>
      </x:c>
      <x:c r="K42" s="10">
        <x:f t="shared" si="10"/>
        <x:v>0.25</x:v>
      </x:c>
      <x:c r="L42" s="10">
        <x:f t="shared" si="11"/>
        <x:v>0.26</x:v>
      </x:c>
      <x:c r="M42" s="12" t="s">
        <x:v>134</x:v>
      </x:c>
    </x:row>
    <x:row r="43" ht="30" customHeight="1">
      <x:c r="A43" s="2" t="s">
        <x:v>70</x:v>
      </x:c>
      <x:c r="B43" s="2" t="s">
        <x:v>71</x:v>
      </x:c>
      <x:c r="C43" s="9">
        <x:v>3.0000000000000027E-2</x:v>
      </x:c>
      <x:c r="D43" s="9">
        <x:v>1.4749999999999819E-2</x:v>
      </x:c>
      <x:c r="E43" s="9">
        <x:v>1</x:v>
      </x:c>
      <x:c r="F43" s="9">
        <x:v>1</x:v>
      </x:c>
      <x:c r="G43" s="4">
        <x:v>75.583483826203164</x:v>
      </x:c>
      <x:c r="H43" s="3" t="s">
        <x:v>117</x:v>
      </x:c>
      <x:c r="I43" s="10">
        <x:f t="shared" si="8"/>
        <x:v>0.24</x:v>
      </x:c>
      <x:c r="J43" s="10">
        <x:f t="shared" si="9"/>
        <x:v>0.25</x:v>
      </x:c>
      <x:c r="K43" s="10">
        <x:f t="shared" si="10"/>
        <x:v>0.25</x:v>
      </x:c>
      <x:c r="L43" s="10">
        <x:f t="shared" si="11"/>
        <x:v>0.26</x:v>
      </x:c>
      <x:c r="M43" s="12" t="s">
        <x:v>135</x:v>
      </x:c>
    </x:row>
    <x:row r="44" ht="30" customHeight="1">
      <x:c r="A44" s="2" t="s">
        <x:v>70</x:v>
      </x:c>
      <x:c r="B44" s="2" t="s">
        <x:v>72</x:v>
      </x:c>
      <x:c r="C44" s="9">
        <x:v>8.1500000000000128E-2</x:v>
      </x:c>
      <x:c r="D44" s="9">
        <x:v>5.5749999999999966E-2</x:v>
      </x:c>
      <x:c r="E44" s="9">
        <x:v>0.99999999999999989</x:v>
      </x:c>
      <x:c r="F44" s="9">
        <x:v>1</x:v>
      </x:c>
      <x:c r="G44" s="4">
        <x:v>171.95242570461221</x:v>
      </x:c>
      <x:c r="H44" s="3" t="s">
        <x:v>117</x:v>
      </x:c>
      <x:c r="I44" s="10">
        <x:f t="shared" si="8"/>
        <x:v>0.24</x:v>
      </x:c>
      <x:c r="J44" s="10">
        <x:f t="shared" si="9"/>
        <x:v>0.25</x:v>
      </x:c>
      <x:c r="K44" s="10">
        <x:f t="shared" si="10"/>
        <x:v>0.25</x:v>
      </x:c>
      <x:c r="L44" s="10">
        <x:f t="shared" si="11"/>
        <x:v>0.26</x:v>
      </x:c>
      <x:c r="M44" s="12" t="s">
        <x:v>136</x:v>
      </x:c>
    </x:row>
    <x:row r="45" ht="30" customHeight="1">
      <x:c r="A45" s="2" t="s">
        <x:v>70</x:v>
      </x:c>
      <x:c r="B45" s="2" t="s">
        <x:v>73</x:v>
      </x:c>
      <x:c r="C45" s="9">
        <x:v>7.1200000000000152E-2</x:v>
      </x:c>
      <x:c r="D45" s="9">
        <x:v>4.5499999999999874E-2</x:v>
      </x:c>
      <x:c r="E45" s="9">
        <x:v>0.99999999999999989</x:v>
      </x:c>
      <x:c r="F45" s="9">
        <x:v>1</x:v>
      </x:c>
      <x:c r="G45" s="4">
        <x:v>117.91023476887693</x:v>
      </x:c>
      <x:c r="H45" s="3" t="s">
        <x:v>117</x:v>
      </x:c>
      <x:c r="I45" s="10">
        <x:f t="shared" si="8"/>
        <x:v>0.24</x:v>
      </x:c>
      <x:c r="J45" s="10">
        <x:f t="shared" si="9"/>
        <x:v>0.25</x:v>
      </x:c>
      <x:c r="K45" s="10">
        <x:f t="shared" si="10"/>
        <x:v>0.25</x:v>
      </x:c>
      <x:c r="L45" s="10">
        <x:f t="shared" si="11"/>
        <x:v>0.26</x:v>
      </x:c>
      <x:c r="M45" s="12" t="s">
        <x:v>137</x:v>
      </x:c>
    </x:row>
    <x:row r="46" ht="30" customHeight="1">
      <x:c r="A46" s="2" t="s">
        <x:v>70</x:v>
      </x:c>
      <x:c r="B46" s="2" t="s">
        <x:v>74</x:v>
      </x:c>
      <x:c r="C46" s="9">
        <x:v>5.0599999999999978E-2</x:v>
      </x:c>
      <x:c r="D46" s="9">
        <x:v>3.5250000000000004E-2</x:v>
      </x:c>
      <x:c r="E46" s="9">
        <x:v>1</x:v>
      </x:c>
      <x:c r="F46" s="9">
        <x:v>1.0000000000000004</x:v>
      </x:c>
      <x:c r="G46" s="4">
        <x:v>38.547576751363614</x:v>
      </x:c>
      <x:c r="H46" s="3" t="s">
        <x:v>117</x:v>
      </x:c>
      <x:c r="I46" s="10">
        <x:f t="shared" si="8"/>
        <x:v>0.24</x:v>
      </x:c>
      <x:c r="J46" s="10">
        <x:f t="shared" si="9"/>
        <x:v>0.25</x:v>
      </x:c>
      <x:c r="K46" s="10">
        <x:f t="shared" si="10"/>
        <x:v>0.25</x:v>
      </x:c>
      <x:c r="L46" s="10">
        <x:f t="shared" si="11"/>
        <x:v>0.26</x:v>
      </x:c>
      <x:c r="M46" s="12" t="s">
        <x:v>138</x:v>
      </x:c>
    </x:row>
    <x:row r="47" ht="30" customHeight="1">
      <x:c r="A47" s="2" t="s">
        <x:v>75</x:v>
      </x:c>
      <x:c r="B47" s="2" t="s">
        <x:v>76</x:v>
      </x:c>
      <x:c r="C47" s="9">
        <x:v>0.58874999999999988</x:v>
      </x:c>
      <x:c r="D47" s="9">
        <x:v>0.17299999999999982</x:v>
      </x:c>
      <x:c r="E47" s="9">
        <x:v>1</x:v>
      </x:c>
      <x:c r="F47" s="9">
        <x:v>1</x:v>
      </x:c>
      <x:c r="G47" s="4">
        <x:v>31.089517133690684</x:v>
      </x:c>
      <x:c r="H47" s="3" t="s">
        <x:v>117</x:v>
      </x:c>
      <x:c r="I47" s="10">
        <x:f t="shared" si="8"/>
        <x:v>0.24</x:v>
      </x:c>
      <x:c r="J47" s="10">
        <x:f t="shared" si="9"/>
        <x:v>0.25</x:v>
      </x:c>
      <x:c r="K47" s="10">
        <x:f t="shared" si="10"/>
        <x:v>0.25</x:v>
      </x:c>
      <x:c r="L47" s="10">
        <x:f t="shared" si="11"/>
        <x:v>0.26</x:v>
      </x:c>
      <x:c r="M47" s="12" t="s">
        <x:v>139</x:v>
      </x:c>
    </x:row>
    <x:row r="48" ht="30" customHeight="1">
      <x:c r="A48" s="2" t="s">
        <x:v>75</x:v>
      </x:c>
      <x:c r="B48" s="2" t="s">
        <x:v>77</x:v>
      </x:c>
      <x:c r="C48" s="9">
        <x:v>4.5499999999999874E-2</x:v>
      </x:c>
      <x:c r="D48" s="9">
        <x:v>3.0200000000000005E-2</x:v>
      </x:c>
      <x:c r="E48" s="9">
        <x:v>1.0000000000000002</x:v>
      </x:c>
      <x:c r="F48" s="9">
        <x:v>1</x:v>
      </x:c>
      <x:c r="G48" s="4">
        <x:v>17.90154454310899</x:v>
      </x:c>
      <x:c r="H48" s="3" t="s">
        <x:v>117</x:v>
      </x:c>
      <x:c r="I48" s="10">
        <x:f t="shared" si="8"/>
        <x:v>0.24</x:v>
      </x:c>
      <x:c r="J48" s="10">
        <x:f t="shared" si="9"/>
        <x:v>0.25</x:v>
      </x:c>
      <x:c r="K48" s="10">
        <x:f t="shared" si="10"/>
        <x:v>0.25</x:v>
      </x:c>
      <x:c r="L48" s="10">
        <x:f t="shared" si="11"/>
        <x:v>0.26</x:v>
      </x:c>
      <x:c r="M48" s="12" t="s">
        <x:v>140</x:v>
      </x:c>
    </x:row>
    <x:row r="49" ht="30" customHeight="1">
      <x:c r="A49" s="2" t="s">
        <x:v>78</x:v>
      </x:c>
      <x:c r="B49" s="2" t="s">
        <x:v>78</x:v>
      </x:c>
      <x:c r="C49" s="9">
        <x:v>3.5250000000000004E-2</x:v>
      </x:c>
      <x:c r="D49" s="9">
        <x:v>2.0000000000000018E-2</x:v>
      </x:c>
      <x:c r="E49" s="9">
        <x:v>1</x:v>
      </x:c>
      <x:c r="F49" s="9">
        <x:v>0.99999999999999989</x:v>
      </x:c>
      <x:c r="G49" s="4">
        <x:v>647.00359632660707</x:v>
      </x:c>
      <x:c r="H49" s="3" t="s">
        <x:v>123</x:v>
      </x:c>
      <x:c r="I49" s="10" t="n">
        <x:f>$B$59</x:f>
        <x:v>0.23</x:v>
      </x:c>
      <x:c r="J49" s="10" t="n">
        <x:f>$C$59</x:f>
        <x:v>0.26</x:v>
      </x:c>
      <x:c r="K49" s="10" t="n">
        <x:f>$D$59</x:f>
        <x:v>0.26</x:v>
      </x:c>
      <x:c r="L49" s="10" t="n">
        <x:f>$E$59</x:f>
        <x:v>0.25</x:v>
      </x:c>
      <x:c r="M49" s="12" t="s">
        <x:v>141</x:v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</x:row>
    <x:row r="54" ht="18" customHeight="1">
      <x:c r="A54" s="46" t="s">
        <x:v>142</x:v>
      </x:c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</x:row>
    <x:row r="55" ht="30" customHeight="1">
      <x:c r="A55" s="1" t="s">
        <x:v>143</x:v>
      </x:c>
      <x:c r="B55" s="1" t="s">
        <x:v>144</x:v>
      </x:c>
      <x:c r="C55" s="1" t="s">
        <x:v>145</x:v>
      </x:c>
      <x:c r="D55" s="1" t="s">
        <x:v>146</x:v>
      </x:c>
      <x:c r="E55" s="1" t="s">
        <x:v>147</x:v>
      </x:c>
      <x:c r="F55" s="42"/>
      <x:c r="G55" s="42"/>
      <x:c r="H55" s="42"/>
      <x:c r="I55" s="42"/>
      <x:c r="J55" s="42"/>
      <x:c r="K55" s="42"/>
      <x:c r="L55" s="42"/>
      <x:c r="M55" s="42"/>
    </x:row>
    <x:row r="56" ht="16" customHeight="1">
      <x:c r="A56" s="2" t="s">
        <x:v>35</x:v>
      </x:c>
      <x:c r="B56" s="9">
        <x:v>0.24</x:v>
      </x:c>
      <x:c r="C56" s="9">
        <x:v>0.23</x:v>
      </x:c>
      <x:c r="D56" s="9">
        <x:v>0.25</x:v>
      </x:c>
      <x:c r="E56" s="9">
        <x:v>0.28000000000000003</x:v>
      </x:c>
      <x:c r="F56" s="42"/>
      <x:c r="G56" s="42"/>
      <x:c r="H56" s="42"/>
      <x:c r="I56" s="42"/>
      <x:c r="J56" s="42"/>
      <x:c r="K56" s="42"/>
      <x:c r="L56" s="42"/>
      <x:c r="M56" s="42"/>
    </x:row>
    <x:row r="57" ht="16" customHeight="1">
      <x:c r="A57" s="2" t="s">
        <x:v>110</x:v>
      </x:c>
      <x:c r="B57" s="9">
        <x:v>0.24</x:v>
      </x:c>
      <x:c r="C57" s="9">
        <x:v>0.25</x:v>
      </x:c>
      <x:c r="D57" s="9">
        <x:v>0.25</x:v>
      </x:c>
      <x:c r="E57" s="9">
        <x:v>0.26</x:v>
      </x:c>
      <x:c r="F57" s="42"/>
      <x:c r="G57" s="42"/>
      <x:c r="H57" s="42"/>
      <x:c r="I57" s="42"/>
      <x:c r="J57" s="42"/>
      <x:c r="K57" s="42"/>
      <x:c r="L57" s="42"/>
      <x:c r="M57" s="42"/>
    </x:row>
    <x:row r="58" ht="16" customHeight="1">
      <x:c r="A58" s="2" t="s">
        <x:v>117</x:v>
      </x:c>
      <x:c r="B58" s="9">
        <x:v>0.24</x:v>
      </x:c>
      <x:c r="C58" s="9">
        <x:v>0.25</x:v>
      </x:c>
      <x:c r="D58" s="9">
        <x:v>0.25</x:v>
      </x:c>
      <x:c r="E58" s="9">
        <x:v>0.26</x:v>
      </x:c>
      <x:c r="F58" s="42"/>
      <x:c r="G58" s="42"/>
      <x:c r="H58" s="42"/>
      <x:c r="I58" s="42"/>
      <x:c r="J58" s="42"/>
      <x:c r="K58" s="42"/>
      <x:c r="L58" s="42"/>
      <x:c r="M58" s="42"/>
    </x:row>
    <x:row r="59" ht="16" customHeight="1">
      <x:c r="A59" s="2" t="s">
        <x:v>123</x:v>
      </x:c>
      <x:c r="B59" s="9">
        <x:v>0.23</x:v>
      </x:c>
      <x:c r="C59" s="9">
        <x:v>0.26</x:v>
      </x:c>
      <x:c r="D59" s="9">
        <x:v>0.26</x:v>
      </x:c>
      <x:c r="E59" s="9">
        <x:v>0.25</x:v>
      </x:c>
      <x:c r="F59" s="42"/>
      <x:c r="G59" s="42"/>
      <x:c r="H59" s="42"/>
      <x:c r="I59" s="42"/>
      <x:c r="J59" s="42"/>
      <x:c r="K59" s="42"/>
      <x:c r="L59" s="42"/>
      <x:c r="M59" s="42"/>
    </x:row>
    <x:row r="60" ht="16" customHeight="1">
      <x:c r="A60" s="2" t="s">
        <x:v>148</x:v>
      </x:c>
      <x:c r="B60" s="9">
        <x:v>0.25</x:v>
      </x:c>
      <x:c r="C60" s="9">
        <x:v>0.25</x:v>
      </x:c>
      <x:c r="D60" s="9">
        <x:v>0.25</x:v>
      </x:c>
      <x:c r="E60" s="9">
        <x:v>0.25</x:v>
      </x:c>
      <x:c r="F60" s="42"/>
      <x:c r="G60" s="42"/>
      <x:c r="H60" s="42"/>
      <x:c r="I60" s="42"/>
      <x:c r="J60" s="42"/>
      <x:c r="K60" s="42"/>
      <x:c r="L60" s="42"/>
      <x:c r="M60" s="42"/>
    </x:row>
    <x:row r="61" ht="16" customHeight="1">
      <x:c r="A61" s="2" t="s">
        <x:v>119</x:v>
      </x:c>
      <x:c r="B61" s="9">
        <x:v>0</x:v>
      </x:c>
      <x:c r="C61" s="9">
        <x:v>1</x:v>
      </x:c>
      <x:c r="D61" s="9">
        <x:v>0</x:v>
      </x:c>
      <x:c r="E61" s="9">
        <x:v>0</x:v>
      </x:c>
      <x:c r="F61" s="42"/>
      <x:c r="G61" s="42"/>
      <x:c r="H61" s="42"/>
      <x:c r="I61" s="42"/>
      <x:c r="J61" s="42"/>
      <x:c r="K61" s="42"/>
      <x:c r="L61" s="42"/>
      <x:c r="M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</x:row>
    <x:row r="64" ht="18" customHeight="1">
      <x:c r="A64" s="46" t="s">
        <x:v>149</x:v>
      </x:c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</x:row>
    <x:row r="65" ht="30" customHeight="1">
      <x:c r="A65" s="1" t="s">
        <x:v>150</x:v>
      </x:c>
      <x:c r="B65" s="1" t="s">
        <x:v>151</x:v>
      </x:c>
      <x:c r="C65" s="1" t="s">
        <x:v>99</x:v>
      </x:c>
      <x:c r="D65" s="1" t="s">
        <x:v>100</x:v>
      </x:c>
      <x:c r="E65" s="42"/>
      <x:c r="F65" s="42"/>
      <x:c r="G65" s="42"/>
      <x:c r="H65" s="42"/>
      <x:c r="I65" s="42"/>
      <x:c r="J65" s="42"/>
      <x:c r="K65" s="42"/>
      <x:c r="L65" s="42"/>
      <x:c r="M65" s="42"/>
    </x:row>
    <x:row r="66" ht="16" customHeight="1">
      <x:c r="A66" s="2" t="s">
        <x:v>30</x:v>
      </x:c>
      <x:c r="B66" s="9">
        <x:v>0</x:v>
      </x:c>
      <x:c r="C66" s="4">
        <x:v>355.4</x:v>
      </x:c>
      <x:c r="D66" s="3" t="s">
        <x:v>148</x:v>
      </x:c>
      <x:c r="E66" s="42"/>
      <x:c r="F66" s="42"/>
      <x:c r="G66" s="42"/>
      <x:c r="H66" s="42"/>
      <x:c r="I66" s="42"/>
      <x:c r="J66" s="42"/>
      <x:c r="K66" s="42"/>
      <x:c r="L66" s="42"/>
      <x:c r="M66" s="42"/>
    </x:row>
    <x:row r="67" ht="16" customHeight="1">
      <x:c r="A67" s="2" t="s">
        <x:v>31</x:v>
      </x:c>
      <x:c r="B67" s="9">
        <x:v>0</x:v>
      </x:c>
      <x:c r="C67" s="4">
        <x:v>0.95</x:v>
      </x:c>
      <x:c r="D67" s="3" t="s">
        <x:v>148</x:v>
      </x:c>
      <x:c r="E67" s="42"/>
      <x:c r="F67" s="42"/>
      <x:c r="G67" s="42"/>
      <x:c r="H67" s="42"/>
      <x:c r="I67" s="42"/>
      <x:c r="J67" s="42"/>
      <x:c r="K67" s="42"/>
      <x:c r="L67" s="42"/>
      <x:c r="M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</x:row>
    <x:row r="70" ht="18" customHeight="1">
      <x:c r="A70" s="46" t="s">
        <x:v>152</x:v>
      </x:c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</x:row>
    <x:row r="71" ht="30" customHeight="1">
      <x:c r="A71" s="1" t="s">
        <x:v>153</x:v>
      </x:c>
      <x:c r="B71" s="1" t="s">
        <x:v>154</x:v>
      </x:c>
      <x:c r="C71" s="1" t="s">
        <x:v>155</x:v>
      </x:c>
      <x:c r="D71" s="1" t="s">
        <x:v>156</x:v>
      </x:c>
      <x:c r="E71" s="1" t="s">
        <x:v>157</x:v>
      </x:c>
      <x:c r="F71" s="1" t="s">
        <x:v>158</x:v>
      </x:c>
      <x:c r="G71" s="1" t="s">
        <x:v>159</x:v>
      </x:c>
      <x:c r="H71" s="1" t="s">
        <x:v>160</x:v>
      </x:c>
      <x:c r="I71" s="1" t="s">
        <x:v>161</x:v>
      </x:c>
      <x:c r="J71" s="1" t="s">
        <x:v>162</x:v>
      </x:c>
      <x:c r="K71" s="1" t="s">
        <x:v>163</x:v>
      </x:c>
      <x:c r="L71" s="1" t="s">
        <x:v>164</x:v>
      </x:c>
      <x:c r="M71" s="42"/>
    </x:row>
    <x:row r="72" ht="16" customHeight="1">
      <x:c r="A72" s="2" t="s">
        <x:v>165</x:v>
      </x:c>
      <x:c r="B72" s="3">
        <x:v>2029</x:v>
      </x:c>
      <x:c r="C72" s="4">
        <x:v>810</x:v>
      </x:c>
      <x:c r="D72" s="9">
        <x:v>0.2</x:v>
      </x:c>
      <x:c r="E72" s="9">
        <x:v>0.45</x:v>
      </x:c>
      <x:c r="F72" s="9">
        <x:v>0.7</x:v>
      </x:c>
      <x:c r="G72" s="9">
        <x:v>0.9</x:v>
      </x:c>
      <x:c r="H72" s="9">
        <x:v>1</x:v>
      </x:c>
      <x:c r="I72" s="9">
        <x:v>1</x:v>
      </x:c>
      <x:c r="J72" s="9">
        <x:v>1</x:v>
      </x:c>
      <x:c r="K72" s="9">
        <x:v>0.9</x:v>
      </x:c>
      <x:c r="L72" s="11" t="s">
        <x:v>166</x:v>
      </x:c>
      <x:c r="M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</x:row>
    <x:row r="75" ht="18" customHeight="1">
      <x:c r="A75" s="46" t="s">
        <x:v>167</x:v>
      </x:c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</x:row>
    <x:row r="76" ht="30" customHeight="1">
      <x:c r="A76" s="1" t="s">
        <x:v>168</x:v>
      </x:c>
      <x:c r="B76" s="1" t="s">
        <x:v>169</x:v>
      </x:c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1" t="s">
        <x:v>170</x:v>
      </x:c>
    </x:row>
    <x:row r="77" ht="32" customHeight="1">
      <x:c r="A77" s="2" t="s">
        <x:v>171</x:v>
      </x:c>
      <x:c r="B77" s="13" t="s">
        <x:v>172</x:v>
      </x:c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13" t="s">
        <x:v>173</x:v>
      </x:c>
    </x:row>
    <x:row r="78" ht="32" customHeight="1">
      <x:c r="A78" s="2" t="s">
        <x:v>174</x:v>
      </x:c>
      <x:c r="B78" s="13" t="s">
        <x:v>175</x:v>
      </x:c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13" t="s">
        <x:v>176</x:v>
      </x:c>
    </x:row>
    <x:row r="79" ht="32" customHeight="1">
      <x:c r="A79" s="2" t="s">
        <x:v>177</x:v>
      </x:c>
      <x:c r="B79" s="13" t="s">
        <x:v>178</x:v>
      </x:c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13" t="s">
        <x:v>179</x:v>
      </x:c>
    </x:row>
    <x:row r="80" ht="32" customHeight="1">
      <x:c r="A80" s="2" t="s">
        <x:v>180</x:v>
      </x:c>
      <x:c r="B80" s="13" t="s">
        <x:v>181</x:v>
      </x:c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13" t="s">
        <x:v>182</x:v>
      </x:c>
    </x:row>
    <x:row r="81" ht="32" customHeight="1">
      <x:c r="A81" s="2" t="s">
        <x:v>183</x:v>
      </x:c>
      <x:c r="B81" s="13" t="s">
        <x:v>184</x:v>
      </x:c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13" t="s">
        <x:v>185</x:v>
      </x:c>
    </x:row>
    <x:row r="82" ht="32" customHeight="1">
      <x:c r="A82" s="2" t="s">
        <x:v>186</x:v>
      </x:c>
      <x:c r="B82" s="13" t="s">
        <x:v>187</x:v>
      </x:c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13" t="s">
        <x:v>188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baseColWidth="10" defaultColWidth="8.83203125" defaultRowHeight="14"/>
  <x:cols>
    <x:col min="1" max="1" width="27" customWidth="1"/>
    <x:col min="2" max="2" width="22" customWidth="1"/>
    <x:col min="3" max="3" width="29" customWidth="1"/>
    <x:col min="4" max="6" width="31" customWidth="1"/>
    <x:col min="7" max="9" width="20" customWidth="1"/>
    <x:col min="10" max="10" width="27" customWidth="1"/>
  </x:cols>
  <x:sheetData>
    <x:row r="2" ht="24" customHeight="1">
      <x:c r="A2" s="40" t="s">
        <x:v>189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1" t="s">
        <x:v>190</x:v>
      </x:c>
      <x:c r="B3" s="41"/>
      <x:c r="C3" s="41"/>
      <x:c r="D3" s="41"/>
      <x:c r="E3" s="41"/>
      <x:c r="F3" s="41"/>
      <x:c r="G3" s="41"/>
      <x:c r="H3" s="41"/>
      <x:c r="I3" s="41"/>
      <x:c r="J3" s="41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 ht="18" customHeight="1">
      <x:c r="A5" s="46" t="s">
        <x:v>191</x:v>
      </x:c>
      <x:c r="B5" s="46"/>
      <x:c r="C5" s="46"/>
      <x:c r="D5" s="46"/>
      <x:c r="E5" s="46"/>
      <x:c r="F5" s="46"/>
      <x:c r="G5" s="46"/>
      <x:c r="H5" s="46"/>
      <x:c r="I5" s="46"/>
      <x:c r="J5" s="46"/>
    </x:row>
    <x:row r="6" ht="30" customHeight="1">
      <x:c r="A6" s="8" t="s">
        <x:v>94</x:v>
      </x:c>
      <x:c r="B6" s="8" t="s">
        <x:v>7</x:v>
      </x:c>
      <x:c r="C6" s="8" t="s">
        <x:v>192</x:v>
      </x:c>
      <x:c r="D6" s="8" t="s">
        <x:v>193</x:v>
      </x:c>
      <x:c r="E6" s="8" t="s">
        <x:v>194</x:v>
      </x:c>
      <x:c r="F6" s="8" t="s">
        <x:v>195</x:v>
      </x:c>
      <x:c r="G6" s="8" t="s">
        <x:v>196</x:v>
      </x:c>
      <x:c r="H6" s="8" t="s">
        <x:v>197</x:v>
      </x:c>
      <x:c r="I6" s="8" t="s">
        <x:v>198</x:v>
      </x:c>
      <x:c r="J6" s="8" t="s">
        <x:v>199</x:v>
      </x:c>
    </x:row>
    <x:row r="7" ht="36" customHeight="1">
      <x:c r="A7" s="13" t="s">
        <x:v>35</x:v>
      </x:c>
      <x:c r="B7" s="13" t="s">
        <x:v>36</x:v>
      </x:c>
      <x:c r="C7" s="13" t="s">
        <x:v>200</x:v>
      </x:c>
      <x:c r="D7" s="13" t="s">
        <x:v>201</x:v>
      </x:c>
      <x:c r="E7" s="13" t="s">
        <x:v>202</x:v>
      </x:c>
      <x:c r="F7" s="13" t="s">
        <x:v>203</x:v>
      </x:c>
      <x:c r="G7" s="13" t="s">
        <x:v>204</x:v>
      </x:c>
      <x:c r="H7" s="13" t="s">
        <x:v>205</x:v>
      </x:c>
      <x:c r="I7" s="13" t="s">
        <x:v>206</x:v>
      </x:c>
      <x:c r="J7" s="13" t="s">
        <x:v>207</x:v>
      </x:c>
    </x:row>
    <x:row r="8" ht="36" customHeight="1">
      <x:c r="A8" s="13" t="s">
        <x:v>35</x:v>
      </x:c>
      <x:c r="B8" s="13" t="s">
        <x:v>37</x:v>
      </x:c>
      <x:c r="C8" s="13" t="s">
        <x:v>208</x:v>
      </x:c>
      <x:c r="D8" s="13" t="s">
        <x:v>209</x:v>
      </x:c>
      <x:c r="E8" s="13" t="s">
        <x:v>202</x:v>
      </x:c>
      <x:c r="F8" s="13" t="s">
        <x:v>210</x:v>
      </x:c>
      <x:c r="G8" s="13" t="s">
        <x:v>204</x:v>
      </x:c>
      <x:c r="H8" s="13" t="s">
        <x:v>205</x:v>
      </x:c>
      <x:c r="I8" s="13" t="s">
        <x:v>211</x:v>
      </x:c>
      <x:c r="J8" s="13" t="s">
        <x:v>212</x:v>
      </x:c>
    </x:row>
    <x:row r="9" ht="36" customHeight="1">
      <x:c r="A9" s="13" t="s">
        <x:v>35</x:v>
      </x:c>
      <x:c r="B9" s="13" t="s">
        <x:v>38</x:v>
      </x:c>
      <x:c r="C9" s="13" t="s">
        <x:v>213</x:v>
      </x:c>
      <x:c r="D9" s="13" t="s">
        <x:v>214</x:v>
      </x:c>
      <x:c r="E9" s="13" t="s">
        <x:v>215</x:v>
      </x:c>
      <x:c r="F9" s="13" t="s">
        <x:v>216</x:v>
      </x:c>
      <x:c r="G9" s="13" t="s">
        <x:v>217</x:v>
      </x:c>
      <x:c r="H9" s="13" t="s">
        <x:v>218</x:v>
      </x:c>
      <x:c r="I9" s="13" t="s">
        <x:v>219</x:v>
      </x:c>
      <x:c r="J9" s="13" t="s">
        <x:v>220</x:v>
      </x:c>
    </x:row>
    <x:row r="10" ht="36" customHeight="1">
      <x:c r="A10" s="13" t="s">
        <x:v>35</x:v>
      </x:c>
      <x:c r="B10" s="13" t="s">
        <x:v>39</x:v>
      </x:c>
      <x:c r="C10" s="13" t="s">
        <x:v>221</x:v>
      </x:c>
      <x:c r="D10" s="13" t="s">
        <x:v>222</x:v>
      </x:c>
      <x:c r="E10" s="13" t="s">
        <x:v>223</x:v>
      </x:c>
      <x:c r="F10" s="13" t="s">
        <x:v>224</x:v>
      </x:c>
      <x:c r="G10" s="13" t="s">
        <x:v>225</x:v>
      </x:c>
      <x:c r="H10" s="13" t="s">
        <x:v>205</x:v>
      </x:c>
      <x:c r="I10" s="13" t="s">
        <x:v>226</x:v>
      </x:c>
      <x:c r="J10" s="13" t="s">
        <x:v>227</x:v>
      </x:c>
    </x:row>
    <x:row r="11" ht="36" customHeight="1">
      <x:c r="A11" s="13" t="s">
        <x:v>41</x:v>
      </x:c>
      <x:c r="B11" s="13" t="s">
        <x:v>42</x:v>
      </x:c>
      <x:c r="C11" s="13" t="s">
        <x:v>228</x:v>
      </x:c>
      <x:c r="D11" s="13" t="s">
        <x:v>229</x:v>
      </x:c>
      <x:c r="E11" s="13" t="s">
        <x:v>230</x:v>
      </x:c>
      <x:c r="F11" s="13" t="s">
        <x:v>231</x:v>
      </x:c>
      <x:c r="G11" s="13" t="s">
        <x:v>232</x:v>
      </x:c>
      <x:c r="H11" s="13" t="s">
        <x:v>233</x:v>
      </x:c>
      <x:c r="I11" s="13" t="s">
        <x:v>234</x:v>
      </x:c>
      <x:c r="J11" s="13" t="s">
        <x:v>207</x:v>
      </x:c>
    </x:row>
    <x:row r="12" ht="36" customHeight="1">
      <x:c r="A12" s="13" t="s">
        <x:v>41</x:v>
      </x:c>
      <x:c r="B12" s="13" t="s">
        <x:v>43</x:v>
      </x:c>
      <x:c r="C12" s="13" t="s">
        <x:v>235</x:v>
      </x:c>
      <x:c r="D12" s="13" t="s">
        <x:v>236</x:v>
      </x:c>
      <x:c r="E12" s="13" t="s">
        <x:v>237</x:v>
      </x:c>
      <x:c r="F12" s="13" t="s">
        <x:v>238</x:v>
      </x:c>
      <x:c r="G12" s="13" t="s">
        <x:v>232</x:v>
      </x:c>
      <x:c r="H12" s="13" t="s">
        <x:v>233</x:v>
      </x:c>
      <x:c r="I12" s="13" t="s">
        <x:v>239</x:v>
      </x:c>
      <x:c r="J12" s="13" t="s">
        <x:v>207</x:v>
      </x:c>
    </x:row>
    <x:row r="13" ht="36" customHeight="1">
      <x:c r="A13" s="13" t="s">
        <x:v>41</x:v>
      </x:c>
      <x:c r="B13" s="13" t="s">
        <x:v>44</x:v>
      </x:c>
      <x:c r="C13" s="13" t="s">
        <x:v>240</x:v>
      </x:c>
      <x:c r="D13" s="13" t="s">
        <x:v>241</x:v>
      </x:c>
      <x:c r="E13" s="13" t="s">
        <x:v>242</x:v>
      </x:c>
      <x:c r="F13" s="13" t="s">
        <x:v>243</x:v>
      </x:c>
      <x:c r="G13" s="13" t="s">
        <x:v>232</x:v>
      </x:c>
      <x:c r="H13" s="13" t="s">
        <x:v>233</x:v>
      </x:c>
      <x:c r="I13" s="13" t="s">
        <x:v>244</x:v>
      </x:c>
      <x:c r="J13" s="13" t="s">
        <x:v>207</x:v>
      </x:c>
    </x:row>
    <x:row r="14" ht="36" customHeight="1">
      <x:c r="A14" s="13" t="s">
        <x:v>41</x:v>
      </x:c>
      <x:c r="B14" s="13" t="s">
        <x:v>45</x:v>
      </x:c>
      <x:c r="C14" s="13" t="s">
        <x:v>245</x:v>
      </x:c>
      <x:c r="D14" s="13" t="s">
        <x:v>246</x:v>
      </x:c>
      <x:c r="E14" s="13" t="s">
        <x:v>247</x:v>
      </x:c>
      <x:c r="F14" s="13" t="s">
        <x:v>248</x:v>
      </x:c>
      <x:c r="G14" s="13" t="s">
        <x:v>232</x:v>
      </x:c>
      <x:c r="H14" s="13" t="s">
        <x:v>249</x:v>
      </x:c>
      <x:c r="I14" s="13" t="s">
        <x:v>250</x:v>
      </x:c>
      <x:c r="J14" s="13" t="s">
        <x:v>207</x:v>
      </x:c>
    </x:row>
    <x:row r="15" ht="36" customHeight="1">
      <x:c r="A15" s="13" t="s">
        <x:v>41</x:v>
      </x:c>
      <x:c r="B15" s="13" t="s">
        <x:v>46</x:v>
      </x:c>
      <x:c r="C15" s="13" t="s">
        <x:v>251</x:v>
      </x:c>
      <x:c r="D15" s="13" t="s">
        <x:v>252</x:v>
      </x:c>
      <x:c r="E15" s="13" t="s">
        <x:v>253</x:v>
      </x:c>
      <x:c r="F15" s="13" t="s">
        <x:v>254</x:v>
      </x:c>
      <x:c r="G15" s="13" t="s">
        <x:v>232</x:v>
      </x:c>
      <x:c r="H15" s="13" t="s">
        <x:v>255</x:v>
      </x:c>
      <x:c r="I15" s="13" t="s">
        <x:v>256</x:v>
      </x:c>
      <x:c r="J15" s="13" t="s">
        <x:v>212</x:v>
      </x:c>
    </x:row>
    <x:row r="16" ht="36" customHeight="1">
      <x:c r="A16" s="13" t="s">
        <x:v>41</x:v>
      </x:c>
      <x:c r="B16" s="13" t="s">
        <x:v>47</x:v>
      </x:c>
      <x:c r="C16" s="13" t="s">
        <x:v>213</x:v>
      </x:c>
      <x:c r="D16" s="13" t="s">
        <x:v>214</x:v>
      </x:c>
      <x:c r="E16" s="13" t="s">
        <x:v>257</x:v>
      </x:c>
      <x:c r="F16" s="13" t="s">
        <x:v>216</x:v>
      </x:c>
      <x:c r="G16" s="13" t="s">
        <x:v>217</x:v>
      </x:c>
      <x:c r="H16" s="13" t="s">
        <x:v>218</x:v>
      </x:c>
      <x:c r="I16" s="13" t="s">
        <x:v>219</x:v>
      </x:c>
      <x:c r="J16" s="13" t="s">
        <x:v>220</x:v>
      </x:c>
    </x:row>
    <x:row r="17" ht="36" customHeight="1">
      <x:c r="A17" s="13" t="s">
        <x:v>48</x:v>
      </x:c>
      <x:c r="B17" s="13" t="s">
        <x:v>49</x:v>
      </x:c>
      <x:c r="C17" s="13" t="s">
        <x:v>258</x:v>
      </x:c>
      <x:c r="D17" s="13" t="s">
        <x:v>259</x:v>
      </x:c>
      <x:c r="E17" s="13" t="s">
        <x:v>260</x:v>
      </x:c>
      <x:c r="F17" s="13" t="s">
        <x:v>261</x:v>
      </x:c>
      <x:c r="G17" s="13" t="s">
        <x:v>117</x:v>
      </x:c>
      <x:c r="H17" s="13" t="s">
        <x:v>249</x:v>
      </x:c>
      <x:c r="I17" s="13" t="s">
        <x:v>262</x:v>
      </x:c>
      <x:c r="J17" s="13" t="s">
        <x:v>207</x:v>
      </x:c>
    </x:row>
    <x:row r="18" ht="36" customHeight="1">
      <x:c r="A18" s="13" t="s">
        <x:v>48</x:v>
      </x:c>
      <x:c r="B18" s="13" t="s">
        <x:v>50</x:v>
      </x:c>
      <x:c r="C18" s="13" t="s">
        <x:v>263</x:v>
      </x:c>
      <x:c r="D18" s="13" t="s">
        <x:v>264</x:v>
      </x:c>
      <x:c r="E18" s="13" t="s">
        <x:v>265</x:v>
      </x:c>
      <x:c r="F18" s="13" t="s">
        <x:v>266</x:v>
      </x:c>
      <x:c r="G18" s="13" t="s">
        <x:v>117</x:v>
      </x:c>
      <x:c r="H18" s="13" t="s">
        <x:v>267</x:v>
      </x:c>
      <x:c r="I18" s="13" t="s">
        <x:v>268</x:v>
      </x:c>
      <x:c r="J18" s="13" t="s">
        <x:v>269</x:v>
      </x:c>
    </x:row>
    <x:row r="19" ht="36" customHeight="1">
      <x:c r="A19" s="13" t="s">
        <x:v>48</x:v>
      </x:c>
      <x:c r="B19" s="13" t="s">
        <x:v>51</x:v>
      </x:c>
      <x:c r="C19" s="13" t="s">
        <x:v>270</x:v>
      </x:c>
      <x:c r="D19" s="13" t="s">
        <x:v>271</x:v>
      </x:c>
      <x:c r="E19" s="13" t="s">
        <x:v>272</x:v>
      </x:c>
      <x:c r="F19" s="13" t="s">
        <x:v>273</x:v>
      </x:c>
      <x:c r="G19" s="13" t="s">
        <x:v>117</x:v>
      </x:c>
      <x:c r="H19" s="13" t="s">
        <x:v>267</x:v>
      </x:c>
      <x:c r="I19" s="13" t="s">
        <x:v>274</x:v>
      </x:c>
      <x:c r="J19" s="13" t="s">
        <x:v>275</x:v>
      </x:c>
    </x:row>
    <x:row r="20" ht="36" customHeight="1">
      <x:c r="A20" s="13" t="s">
        <x:v>48</x:v>
      </x:c>
      <x:c r="B20" s="13" t="s">
        <x:v>52</x:v>
      </x:c>
      <x:c r="C20" s="13" t="s">
        <x:v>213</x:v>
      </x:c>
      <x:c r="D20" s="13" t="s">
        <x:v>214</x:v>
      </x:c>
      <x:c r="E20" s="13" t="s">
        <x:v>276</x:v>
      </x:c>
      <x:c r="F20" s="13" t="s">
        <x:v>216</x:v>
      </x:c>
      <x:c r="G20" s="13" t="s">
        <x:v>217</x:v>
      </x:c>
      <x:c r="H20" s="13" t="s">
        <x:v>218</x:v>
      </x:c>
      <x:c r="I20" s="13" t="s">
        <x:v>219</x:v>
      </x:c>
      <x:c r="J20" s="13" t="s">
        <x:v>220</x:v>
      </x:c>
    </x:row>
    <x:row r="21" ht="36" customHeight="1">
      <x:c r="A21" s="13" t="s">
        <x:v>53</x:v>
      </x:c>
      <x:c r="B21" s="13" t="s">
        <x:v>54</x:v>
      </x:c>
      <x:c r="C21" s="13" t="s">
        <x:v>277</x:v>
      </x:c>
      <x:c r="D21" s="13" t="s">
        <x:v>278</x:v>
      </x:c>
      <x:c r="E21" s="13" t="s">
        <x:v>279</x:v>
      </x:c>
      <x:c r="F21" s="13" t="s">
        <x:v>280</x:v>
      </x:c>
      <x:c r="G21" s="13" t="s">
        <x:v>281</x:v>
      </x:c>
      <x:c r="H21" s="13" t="s">
        <x:v>267</x:v>
      </x:c>
      <x:c r="I21" s="13" t="s">
        <x:v>282</x:v>
      </x:c>
      <x:c r="J21" s="13" t="s">
        <x:v>207</x:v>
      </x:c>
    </x:row>
    <x:row r="22" ht="36" customHeight="1">
      <x:c r="A22" s="13" t="s">
        <x:v>53</x:v>
      </x:c>
      <x:c r="B22" s="13" t="s">
        <x:v>55</x:v>
      </x:c>
      <x:c r="C22" s="13" t="s">
        <x:v>213</x:v>
      </x:c>
      <x:c r="D22" s="13" t="s">
        <x:v>214</x:v>
      </x:c>
      <x:c r="E22" s="13" t="s">
        <x:v>283</x:v>
      </x:c>
      <x:c r="F22" s="13" t="s">
        <x:v>216</x:v>
      </x:c>
      <x:c r="G22" s="13" t="s">
        <x:v>217</x:v>
      </x:c>
      <x:c r="H22" s="13" t="s">
        <x:v>218</x:v>
      </x:c>
      <x:c r="I22" s="13" t="s">
        <x:v>219</x:v>
      </x:c>
      <x:c r="J22" s="13" t="s">
        <x:v>220</x:v>
      </x:c>
    </x:row>
    <x:row r="23" ht="36" customHeight="1">
      <x:c r="A23" s="13" t="s">
        <x:v>56</x:v>
      </x:c>
      <x:c r="B23" s="13" t="s">
        <x:v>57</x:v>
      </x:c>
      <x:c r="C23" s="13" t="s">
        <x:v>284</x:v>
      </x:c>
      <x:c r="D23" s="13" t="s">
        <x:v>285</x:v>
      </x:c>
      <x:c r="E23" s="13" t="s">
        <x:v>286</x:v>
      </x:c>
      <x:c r="F23" s="13" t="s">
        <x:v>287</x:v>
      </x:c>
      <x:c r="G23" s="13" t="s">
        <x:v>232</x:v>
      </x:c>
      <x:c r="H23" s="13" t="s">
        <x:v>267</x:v>
      </x:c>
      <x:c r="I23" s="13" t="s">
        <x:v>288</x:v>
      </x:c>
      <x:c r="J23" s="13" t="s">
        <x:v>207</x:v>
      </x:c>
    </x:row>
    <x:row r="24" ht="36" customHeight="1">
      <x:c r="A24" s="13" t="s">
        <x:v>56</x:v>
      </x:c>
      <x:c r="B24" s="13" t="s">
        <x:v>58</x:v>
      </x:c>
      <x:c r="C24" s="13" t="s">
        <x:v>289</x:v>
      </x:c>
      <x:c r="D24" s="13" t="s">
        <x:v>290</x:v>
      </x:c>
      <x:c r="E24" s="13" t="s">
        <x:v>291</x:v>
      </x:c>
      <x:c r="F24" s="13" t="s">
        <x:v>292</x:v>
      </x:c>
      <x:c r="G24" s="13" t="s">
        <x:v>232</x:v>
      </x:c>
      <x:c r="H24" s="13" t="s">
        <x:v>267</x:v>
      </x:c>
      <x:c r="I24" s="13" t="s">
        <x:v>288</x:v>
      </x:c>
      <x:c r="J24" s="13" t="s">
        <x:v>207</x:v>
      </x:c>
    </x:row>
    <x:row r="25" ht="36" customHeight="1">
      <x:c r="A25" s="13" t="s">
        <x:v>56</x:v>
      </x:c>
      <x:c r="B25" s="13" t="s">
        <x:v>59</x:v>
      </x:c>
      <x:c r="C25" s="13" t="s">
        <x:v>293</x:v>
      </x:c>
      <x:c r="D25" s="13" t="s">
        <x:v>294</x:v>
      </x:c>
      <x:c r="E25" s="13" t="s">
        <x:v>295</x:v>
      </x:c>
      <x:c r="F25" s="13" t="s">
        <x:v>287</x:v>
      </x:c>
      <x:c r="G25" s="13" t="s">
        <x:v>296</x:v>
      </x:c>
      <x:c r="H25" s="13" t="s">
        <x:v>267</x:v>
      </x:c>
      <x:c r="I25" s="13" t="s">
        <x:v>297</x:v>
      </x:c>
      <x:c r="J25" s="13" t="s">
        <x:v>298</x:v>
      </x:c>
    </x:row>
    <x:row r="26" ht="36" customHeight="1">
      <x:c r="A26" s="13" t="s">
        <x:v>56</x:v>
      </x:c>
      <x:c r="B26" s="13" t="s">
        <x:v>60</x:v>
      </x:c>
      <x:c r="C26" s="13" t="s">
        <x:v>213</x:v>
      </x:c>
      <x:c r="D26" s="13" t="s">
        <x:v>214</x:v>
      </x:c>
      <x:c r="E26" s="13" t="s">
        <x:v>299</x:v>
      </x:c>
      <x:c r="F26" s="13" t="s">
        <x:v>216</x:v>
      </x:c>
      <x:c r="G26" s="13" t="s">
        <x:v>217</x:v>
      </x:c>
      <x:c r="H26" s="13" t="s">
        <x:v>218</x:v>
      </x:c>
      <x:c r="I26" s="13" t="s">
        <x:v>219</x:v>
      </x:c>
      <x:c r="J26" s="13" t="s">
        <x:v>220</x:v>
      </x:c>
    </x:row>
    <x:row r="27" ht="36" customHeight="1">
      <x:c r="A27" s="13" t="s">
        <x:v>61</x:v>
      </x:c>
      <x:c r="B27" s="13" t="s">
        <x:v>62</x:v>
      </x:c>
      <x:c r="C27" s="13" t="s">
        <x:v>300</x:v>
      </x:c>
      <x:c r="D27" s="13" t="s">
        <x:v>301</x:v>
      </x:c>
      <x:c r="E27" s="13" t="s">
        <x:v>302</x:v>
      </x:c>
      <x:c r="F27" s="13" t="s">
        <x:v>303</x:v>
      </x:c>
      <x:c r="G27" s="13" t="s">
        <x:v>232</x:v>
      </x:c>
      <x:c r="H27" s="13" t="s">
        <x:v>267</x:v>
      </x:c>
      <x:c r="I27" s="13" t="s">
        <x:v>297</x:v>
      </x:c>
      <x:c r="J27" s="13" t="s">
        <x:v>298</x:v>
      </x:c>
    </x:row>
    <x:row r="28" ht="36" customHeight="1">
      <x:c r="A28" s="13" t="s">
        <x:v>61</x:v>
      </x:c>
      <x:c r="B28" s="13" t="s">
        <x:v>63</x:v>
      </x:c>
      <x:c r="C28" s="13" t="s">
        <x:v>304</x:v>
      </x:c>
      <x:c r="D28" s="13" t="s">
        <x:v>305</x:v>
      </x:c>
      <x:c r="E28" s="13" t="s">
        <x:v>306</x:v>
      </x:c>
      <x:c r="F28" s="13" t="s">
        <x:v>307</x:v>
      </x:c>
      <x:c r="G28" s="13" t="s">
        <x:v>232</x:v>
      </x:c>
      <x:c r="H28" s="13" t="s">
        <x:v>267</x:v>
      </x:c>
      <x:c r="I28" s="13" t="s">
        <x:v>297</x:v>
      </x:c>
      <x:c r="J28" s="13" t="s">
        <x:v>298</x:v>
      </x:c>
    </x:row>
    <x:row r="29" ht="36" customHeight="1">
      <x:c r="A29" s="13" t="s">
        <x:v>61</x:v>
      </x:c>
      <x:c r="B29" s="13" t="s">
        <x:v>64</x:v>
      </x:c>
      <x:c r="C29" s="13" t="s">
        <x:v>213</x:v>
      </x:c>
      <x:c r="D29" s="13" t="s">
        <x:v>214</x:v>
      </x:c>
      <x:c r="E29" s="13" t="s">
        <x:v>308</x:v>
      </x:c>
      <x:c r="F29" s="13" t="s">
        <x:v>216</x:v>
      </x:c>
      <x:c r="G29" s="13" t="s">
        <x:v>217</x:v>
      </x:c>
      <x:c r="H29" s="13" t="s">
        <x:v>218</x:v>
      </x:c>
      <x:c r="I29" s="13" t="s">
        <x:v>219</x:v>
      </x:c>
      <x:c r="J29" s="13" t="s">
        <x:v>220</x:v>
      </x:c>
    </x:row>
    <x:row r="30" ht="36" customHeight="1">
      <x:c r="A30" s="13" t="s">
        <x:v>65</x:v>
      </x:c>
      <x:c r="B30" s="13" t="s">
        <x:v>66</x:v>
      </x:c>
      <x:c r="C30" s="13" t="s">
        <x:v>309</x:v>
      </x:c>
      <x:c r="D30" s="13" t="s">
        <x:v>310</x:v>
      </x:c>
      <x:c r="E30" s="13" t="s">
        <x:v>311</x:v>
      </x:c>
      <x:c r="F30" s="13" t="s">
        <x:v>312</x:v>
      </x:c>
      <x:c r="G30" s="13" t="s">
        <x:v>313</x:v>
      </x:c>
      <x:c r="H30" s="13" t="s">
        <x:v>267</x:v>
      </x:c>
      <x:c r="I30" s="13" t="s">
        <x:v>297</x:v>
      </x:c>
      <x:c r="J30" s="13" t="s">
        <x:v>298</x:v>
      </x:c>
    </x:row>
    <x:row r="31" ht="36" customHeight="1">
      <x:c r="A31" s="13" t="s">
        <x:v>65</x:v>
      </x:c>
      <x:c r="B31" s="13" t="s">
        <x:v>67</x:v>
      </x:c>
      <x:c r="C31" s="13" t="s">
        <x:v>314</x:v>
      </x:c>
      <x:c r="D31" s="13" t="s">
        <x:v>315</x:v>
      </x:c>
      <x:c r="E31" s="13" t="s">
        <x:v>316</x:v>
      </x:c>
      <x:c r="F31" s="13" t="s">
        <x:v>317</x:v>
      </x:c>
      <x:c r="G31" s="13" t="s">
        <x:v>117</x:v>
      </x:c>
      <x:c r="H31" s="13" t="s">
        <x:v>318</x:v>
      </x:c>
      <x:c r="I31" s="13" t="s">
        <x:v>319</x:v>
      </x:c>
      <x:c r="J31" s="13" t="s">
        <x:v>207</x:v>
      </x:c>
    </x:row>
    <x:row r="32" ht="36" customHeight="1">
      <x:c r="A32" s="13" t="s">
        <x:v>65</x:v>
      </x:c>
      <x:c r="B32" s="13" t="s">
        <x:v>68</x:v>
      </x:c>
      <x:c r="C32" s="13" t="s">
        <x:v>320</x:v>
      </x:c>
      <x:c r="D32" s="13" t="s">
        <x:v>321</x:v>
      </x:c>
      <x:c r="E32" s="13" t="s">
        <x:v>322</x:v>
      </x:c>
      <x:c r="F32" s="13" t="s">
        <x:v>323</x:v>
      </x:c>
      <x:c r="G32" s="13" t="s">
        <x:v>117</x:v>
      </x:c>
      <x:c r="H32" s="13" t="s">
        <x:v>324</x:v>
      </x:c>
      <x:c r="I32" s="13" t="s">
        <x:v>325</x:v>
      </x:c>
      <x:c r="J32" s="13" t="s">
        <x:v>207</x:v>
      </x:c>
    </x:row>
    <x:row r="33" ht="36" customHeight="1">
      <x:c r="A33" s="13" t="s">
        <x:v>65</x:v>
      </x:c>
      <x:c r="B33" s="13" t="s">
        <x:v>69</x:v>
      </x:c>
      <x:c r="C33" s="13" t="s">
        <x:v>326</x:v>
      </x:c>
      <x:c r="D33" s="13" t="s">
        <x:v>214</x:v>
      </x:c>
      <x:c r="E33" s="13" t="s">
        <x:v>327</x:v>
      </x:c>
      <x:c r="F33" s="13" t="s">
        <x:v>216</x:v>
      </x:c>
      <x:c r="G33" s="13" t="s">
        <x:v>217</x:v>
      </x:c>
      <x:c r="H33" s="13" t="s">
        <x:v>218</x:v>
      </x:c>
      <x:c r="I33" s="13" t="s">
        <x:v>219</x:v>
      </x:c>
      <x:c r="J33" s="13" t="s">
        <x:v>220</x:v>
      </x:c>
    </x:row>
    <x:row r="34" ht="36" customHeight="1">
      <x:c r="A34" s="13" t="s">
        <x:v>70</x:v>
      </x:c>
      <x:c r="B34" s="13" t="s">
        <x:v>71</x:v>
      </x:c>
      <x:c r="C34" s="13" t="s">
        <x:v>328</x:v>
      </x:c>
      <x:c r="D34" s="13" t="s">
        <x:v>329</x:v>
      </x:c>
      <x:c r="E34" s="13" t="s">
        <x:v>330</x:v>
      </x:c>
      <x:c r="F34" s="13" t="s">
        <x:v>331</x:v>
      </x:c>
      <x:c r="G34" s="13" t="s">
        <x:v>332</x:v>
      </x:c>
      <x:c r="H34" s="13" t="s">
        <x:v>267</x:v>
      </x:c>
      <x:c r="I34" s="13" t="s">
        <x:v>333</x:v>
      </x:c>
      <x:c r="J34" s="13" t="s">
        <x:v>207</x:v>
      </x:c>
    </x:row>
    <x:row r="35" ht="36" customHeight="1">
      <x:c r="A35" s="13" t="s">
        <x:v>70</x:v>
      </x:c>
      <x:c r="B35" s="13" t="s">
        <x:v>72</x:v>
      </x:c>
      <x:c r="C35" s="13" t="s">
        <x:v>334</x:v>
      </x:c>
      <x:c r="D35" s="13" t="s">
        <x:v>335</x:v>
      </x:c>
      <x:c r="E35" s="13" t="s">
        <x:v>336</x:v>
      </x:c>
      <x:c r="F35" s="13" t="s">
        <x:v>337</x:v>
      </x:c>
      <x:c r="G35" s="13" t="s">
        <x:v>338</x:v>
      </x:c>
      <x:c r="H35" s="13" t="s">
        <x:v>267</x:v>
      </x:c>
      <x:c r="I35" s="13" t="s">
        <x:v>339</x:v>
      </x:c>
      <x:c r="J35" s="13" t="s">
        <x:v>207</x:v>
      </x:c>
    </x:row>
    <x:row r="36" ht="36" customHeight="1">
      <x:c r="A36" s="13" t="s">
        <x:v>70</x:v>
      </x:c>
      <x:c r="B36" s="13" t="s">
        <x:v>73</x:v>
      </x:c>
      <x:c r="C36" s="13" t="s">
        <x:v>340</x:v>
      </x:c>
      <x:c r="D36" s="13" t="s">
        <x:v>341</x:v>
      </x:c>
      <x:c r="E36" s="13" t="s">
        <x:v>342</x:v>
      </x:c>
      <x:c r="F36" s="13" t="s">
        <x:v>331</x:v>
      </x:c>
      <x:c r="G36" s="13" t="s">
        <x:v>117</x:v>
      </x:c>
      <x:c r="H36" s="13" t="s">
        <x:v>267</x:v>
      </x:c>
      <x:c r="I36" s="13" t="s">
        <x:v>343</x:v>
      </x:c>
      <x:c r="J36" s="13" t="s">
        <x:v>207</x:v>
      </x:c>
    </x:row>
    <x:row r="37" ht="36" customHeight="1">
      <x:c r="A37" s="13" t="s">
        <x:v>70</x:v>
      </x:c>
      <x:c r="B37" s="13" t="s">
        <x:v>74</x:v>
      </x:c>
      <x:c r="C37" s="13" t="s">
        <x:v>213</x:v>
      </x:c>
      <x:c r="D37" s="13" t="s">
        <x:v>214</x:v>
      </x:c>
      <x:c r="E37" s="13" t="s">
        <x:v>344</x:v>
      </x:c>
      <x:c r="F37" s="13" t="s">
        <x:v>216</x:v>
      </x:c>
      <x:c r="G37" s="13" t="s">
        <x:v>217</x:v>
      </x:c>
      <x:c r="H37" s="13" t="s">
        <x:v>218</x:v>
      </x:c>
      <x:c r="I37" s="13" t="s">
        <x:v>219</x:v>
      </x:c>
      <x:c r="J37" s="13" t="s">
        <x:v>220</x:v>
      </x:c>
    </x:row>
    <x:row r="38" ht="36" customHeight="1">
      <x:c r="A38" s="13" t="s">
        <x:v>75</x:v>
      </x:c>
      <x:c r="B38" s="13" t="s">
        <x:v>76</x:v>
      </x:c>
      <x:c r="C38" s="13" t="s">
        <x:v>345</x:v>
      </x:c>
      <x:c r="D38" s="13" t="s">
        <x:v>346</x:v>
      </x:c>
      <x:c r="E38" s="13" t="s">
        <x:v>347</x:v>
      </x:c>
      <x:c r="F38" s="13" t="s">
        <x:v>348</x:v>
      </x:c>
      <x:c r="G38" s="13" t="s">
        <x:v>349</x:v>
      </x:c>
      <x:c r="H38" s="13" t="s">
        <x:v>324</x:v>
      </x:c>
      <x:c r="I38" s="13" t="s">
        <x:v>350</x:v>
      </x:c>
      <x:c r="J38" s="13" t="s">
        <x:v>212</x:v>
      </x:c>
    </x:row>
    <x:row r="39" ht="36" customHeight="1">
      <x:c r="A39" s="13" t="s">
        <x:v>75</x:v>
      </x:c>
      <x:c r="B39" s="13" t="s">
        <x:v>77</x:v>
      </x:c>
      <x:c r="C39" s="13" t="s">
        <x:v>213</x:v>
      </x:c>
      <x:c r="D39" s="13" t="s">
        <x:v>214</x:v>
      </x:c>
      <x:c r="E39" s="13" t="s">
        <x:v>351</x:v>
      </x:c>
      <x:c r="F39" s="13" t="s">
        <x:v>216</x:v>
      </x:c>
      <x:c r="G39" s="13" t="s">
        <x:v>217</x:v>
      </x:c>
      <x:c r="H39" s="13" t="s">
        <x:v>218</x:v>
      </x:c>
      <x:c r="I39" s="13" t="s">
        <x:v>219</x:v>
      </x:c>
      <x:c r="J39" s="13" t="s">
        <x:v>220</x:v>
      </x:c>
    </x:row>
    <x:row r="40" ht="36" customHeight="1">
      <x:c r="A40" s="13" t="s">
        <x:v>78</x:v>
      </x:c>
      <x:c r="B40" s="13" t="s">
        <x:v>78</x:v>
      </x:c>
      <x:c r="C40" s="13" t="s">
        <x:v>213</x:v>
      </x:c>
      <x:c r="D40" s="13" t="s">
        <x:v>214</x:v>
      </x:c>
      <x:c r="E40" s="13" t="s">
        <x:v>352</x:v>
      </x:c>
      <x:c r="F40" s="13" t="s">
        <x:v>216</x:v>
      </x:c>
      <x:c r="G40" s="13" t="s">
        <x:v>217</x:v>
      </x:c>
      <x:c r="H40" s="13" t="s">
        <x:v>218</x:v>
      </x:c>
      <x:c r="I40" s="13" t="s">
        <x:v>219</x:v>
      </x:c>
      <x:c r="J40" s="13" t="s">
        <x:v>220</x:v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</x:row>
    <x:row r="43" ht="18" customHeight="1">
      <x:c r="A43" s="46" t="s">
        <x:v>353</x:v>
      </x:c>
      <x:c r="B43" s="46"/>
      <x:c r="C43" s="46"/>
      <x:c r="D43" s="46"/>
      <x:c r="E43" s="46"/>
      <x:c r="F43" s="46"/>
      <x:c r="G43" s="46"/>
      <x:c r="H43" s="46"/>
      <x:c r="I43" s="46"/>
      <x:c r="J43" s="46"/>
    </x:row>
    <x:row r="44" ht="30" customHeight="1">
      <x:c r="A44" s="8" t="s">
        <x:v>94</x:v>
      </x:c>
      <x:c r="B44" s="8" t="s">
        <x:v>7</x:v>
      </x:c>
      <x:c r="C44" s="8" t="s">
        <x:v>192</x:v>
      </x:c>
      <x:c r="D44" s="8" t="s">
        <x:v>193</x:v>
      </x:c>
      <x:c r="E44" s="8" t="s">
        <x:v>194</x:v>
      </x:c>
      <x:c r="F44" s="8" t="s">
        <x:v>195</x:v>
      </x:c>
      <x:c r="G44" s="8" t="s">
        <x:v>196</x:v>
      </x:c>
      <x:c r="H44" s="8" t="s">
        <x:v>197</x:v>
      </x:c>
      <x:c r="I44" s="8" t="s">
        <x:v>198</x:v>
      </x:c>
      <x:c r="J44" s="8" t="s">
        <x:v>199</x:v>
      </x:c>
    </x:row>
    <x:row r="45" ht="42" customHeight="1">
      <x:c r="A45" s="13" t="s">
        <x:v>354</x:v>
      </x:c>
      <x:c r="B45" s="13" t="s">
        <x:v>355</x:v>
      </x:c>
      <x:c r="C45" s="13" t="s">
        <x:v>356</x:v>
      </x:c>
      <x:c r="D45" s="13" t="s">
        <x:v>357</x:v>
      </x:c>
      <x:c r="E45" s="13" t="s">
        <x:v>358</x:v>
      </x:c>
      <x:c r="F45" s="13" t="s">
        <x:v>359</x:v>
      </x:c>
      <x:c r="G45" s="13" t="s">
        <x:v>360</x:v>
      </x:c>
      <x:c r="H45" s="13" t="s">
        <x:v>354</x:v>
      </x:c>
      <x:c r="I45" s="13" t="s">
        <x:v>361</x:v>
      </x:c>
      <x:c r="J45" s="13" t="s">
        <x:v>362</x:v>
      </x:c>
    </x:row>
    <x:row r="46" ht="42" customHeight="1">
      <x:c r="A46" s="13" t="s">
        <x:v>363</x:v>
      </x:c>
      <x:c r="B46" s="13" t="s">
        <x:v>364</x:v>
      </x:c>
      <x:c r="C46" s="13" t="s">
        <x:v>365</x:v>
      </x:c>
      <x:c r="D46" s="13" t="s">
        <x:v>366</x:v>
      </x:c>
      <x:c r="E46" s="13" t="s">
        <x:v>367</x:v>
      </x:c>
      <x:c r="F46" s="13" t="s">
        <x:v>368</x:v>
      </x:c>
      <x:c r="G46" s="13" t="s">
        <x:v>232</x:v>
      </x:c>
      <x:c r="H46" s="13" t="s">
        <x:v>233</x:v>
      </x:c>
      <x:c r="I46" s="13" t="s">
        <x:v>369</x:v>
      </x:c>
      <x:c r="J46" s="13" t="s">
        <x:v>362</x:v>
      </x:c>
    </x:row>
    <x:row r="47" ht="42" customHeight="1">
      <x:c r="A47" s="13" t="s">
        <x:v>370</x:v>
      </x:c>
      <x:c r="B47" s="13" t="s">
        <x:v>371</x:v>
      </x:c>
      <x:c r="C47" s="13" t="s">
        <x:v>372</x:v>
      </x:c>
      <x:c r="D47" s="13" t="s">
        <x:v>373</x:v>
      </x:c>
      <x:c r="E47" s="13" t="s">
        <x:v>374</x:v>
      </x:c>
      <x:c r="F47" s="13" t="s">
        <x:v>375</x:v>
      </x:c>
      <x:c r="G47" s="13" t="s">
        <x:v>376</x:v>
      </x:c>
      <x:c r="H47" s="13" t="s">
        <x:v>377</x:v>
      </x:c>
      <x:c r="I47" s="13" t="s">
        <x:v>378</x:v>
      </x:c>
      <x:c r="J47" s="13" t="s">
        <x:v>362</x:v>
      </x:c>
    </x:row>
    <x:row r="48" ht="42" customHeight="1">
      <x:c r="A48" s="13" t="s">
        <x:v>379</x:v>
      </x:c>
      <x:c r="B48" s="13" t="s">
        <x:v>380</x:v>
      </x:c>
      <x:c r="C48" s="13" t="s">
        <x:v>381</x:v>
      </x:c>
      <x:c r="D48" s="13" t="s">
        <x:v>382</x:v>
      </x:c>
      <x:c r="E48" s="13" t="s">
        <x:v>383</x:v>
      </x:c>
      <x:c r="F48" s="13" t="s">
        <x:v>248</x:v>
      </x:c>
      <x:c r="G48" s="13" t="s">
        <x:v>232</x:v>
      </x:c>
      <x:c r="H48" s="13" t="s">
        <x:v>249</x:v>
      </x:c>
      <x:c r="I48" s="13" t="s">
        <x:v>384</x:v>
      </x:c>
      <x:c r="J48" s="13" t="s">
        <x:v>362</x:v>
      </x:c>
    </x:row>
    <x:row r="49" ht="42" customHeight="1">
      <x:c r="A49" s="13" t="s">
        <x:v>385</x:v>
      </x:c>
      <x:c r="B49" s="13" t="s">
        <x:v>386</x:v>
      </x:c>
      <x:c r="C49" s="13" t="s">
        <x:v>387</x:v>
      </x:c>
      <x:c r="D49" s="13" t="s">
        <x:v>388</x:v>
      </x:c>
      <x:c r="E49" s="13" t="s">
        <x:v>389</x:v>
      </x:c>
      <x:c r="F49" s="13" t="s">
        <x:v>390</x:v>
      </x:c>
      <x:c r="G49" s="13" t="s">
        <x:v>117</x:v>
      </x:c>
      <x:c r="H49" s="13" t="s">
        <x:v>324</x:v>
      </x:c>
      <x:c r="I49" s="13" t="s">
        <x:v>391</x:v>
      </x:c>
      <x:c r="J49" s="13" t="s">
        <x:v>362</x:v>
      </x:c>
    </x:row>
    <x:row r="50" ht="42" customHeight="1">
      <x:c r="A50" s="13" t="s">
        <x:v>379</x:v>
      </x:c>
      <x:c r="B50" s="13" t="s">
        <x:v>392</x:v>
      </x:c>
      <x:c r="C50" s="13" t="s">
        <x:v>393</x:v>
      </x:c>
      <x:c r="D50" s="13" t="s">
        <x:v>394</x:v>
      </x:c>
      <x:c r="E50" s="13" t="s">
        <x:v>395</x:v>
      </x:c>
      <x:c r="F50" s="13" t="s">
        <x:v>396</x:v>
      </x:c>
      <x:c r="G50" s="13" t="s">
        <x:v>397</x:v>
      </x:c>
      <x:c r="H50" s="13" t="s">
        <x:v>233</x:v>
      </x:c>
      <x:c r="I50" s="13" t="s">
        <x:v>398</x:v>
      </x:c>
      <x:c r="J50" s="13" t="s">
        <x:v>362</x:v>
      </x:c>
    </x:row>
    <x:row r="51" ht="42" customHeight="1">
      <x:c r="A51" s="13" t="s">
        <x:v>354</x:v>
      </x:c>
      <x:c r="B51" s="13" t="s">
        <x:v>399</x:v>
      </x:c>
      <x:c r="C51" s="13" t="s">
        <x:v>400</x:v>
      </x:c>
      <x:c r="D51" s="13" t="s">
        <x:v>401</x:v>
      </x:c>
      <x:c r="E51" s="13" t="s">
        <x:v>402</x:v>
      </x:c>
      <x:c r="F51" s="13" t="s">
        <x:v>403</x:v>
      </x:c>
      <x:c r="G51" s="13" t="s">
        <x:v>117</x:v>
      </x:c>
      <x:c r="H51" s="13" t="s">
        <x:v>354</x:v>
      </x:c>
      <x:c r="I51" s="13" t="s">
        <x:v>404</x:v>
      </x:c>
      <x:c r="J51" s="13" t="s">
        <x:v>362</x:v>
      </x:c>
    </x:row>
    <x:row r="52" ht="42" customHeight="1">
      <x:c r="A52" s="13" t="s">
        <x:v>354</x:v>
      </x:c>
      <x:c r="B52" s="13" t="s">
        <x:v>405</x:v>
      </x:c>
      <x:c r="C52" s="13" t="s">
        <x:v>406</x:v>
      </x:c>
      <x:c r="D52" s="13" t="s">
        <x:v>407</x:v>
      </x:c>
      <x:c r="E52" s="13" t="s">
        <x:v>408</x:v>
      </x:c>
      <x:c r="F52" s="13" t="s">
        <x:v>403</x:v>
      </x:c>
      <x:c r="G52" s="13" t="s">
        <x:v>117</x:v>
      </x:c>
      <x:c r="H52" s="13" t="s">
        <x:v>354</x:v>
      </x:c>
      <x:c r="I52" s="13" t="s">
        <x:v>404</x:v>
      </x:c>
      <x:c r="J52" s="13" t="s">
        <x:v>362</x:v>
      </x:c>
    </x:row>
    <x:row r="53" ht="42" customHeight="1">
      <x:c r="A53" s="13" t="s">
        <x:v>409</x:v>
      </x:c>
      <x:c r="B53" s="13" t="s">
        <x:v>410</x:v>
      </x:c>
      <x:c r="C53" s="13" t="s">
        <x:v>411</x:v>
      </x:c>
      <x:c r="D53" s="13" t="s">
        <x:v>412</x:v>
      </x:c>
      <x:c r="E53" s="13" t="s">
        <x:v>413</x:v>
      </x:c>
      <x:c r="F53" s="13" t="s">
        <x:v>414</x:v>
      </x:c>
      <x:c r="G53" s="13" t="s">
        <x:v>313</x:v>
      </x:c>
      <x:c r="H53" s="13" t="s">
        <x:v>415</x:v>
      </x:c>
      <x:c r="I53" s="13" t="s">
        <x:v>416</x:v>
      </x:c>
      <x:c r="J53" s="13" t="s">
        <x:v>362</x:v>
      </x:c>
    </x:row>
    <x:row r="54" ht="42" customHeight="1">
      <x:c r="A54" s="13" t="s">
        <x:v>417</x:v>
      </x:c>
      <x:c r="B54" s="13" t="s">
        <x:v>418</x:v>
      </x:c>
      <x:c r="C54" s="13" t="s">
        <x:v>419</x:v>
      </x:c>
      <x:c r="D54" s="13" t="s">
        <x:v>420</x:v>
      </x:c>
      <x:c r="E54" s="13" t="s">
        <x:v>421</x:v>
      </x:c>
      <x:c r="F54" s="13" t="s">
        <x:v>422</x:v>
      </x:c>
      <x:c r="G54" s="13" t="s">
        <x:v>423</x:v>
      </x:c>
      <x:c r="H54" s="13" t="s">
        <x:v>255</x:v>
      </x:c>
      <x:c r="I54" s="13" t="s">
        <x:v>424</x:v>
      </x:c>
      <x:c r="J54" s="13" t="s">
        <x:v>362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34" hidden="0" customWidth="1"/>
    <x:col min="4" max="4" width="90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</x:cols>
  <x:sheetData>
    <x:row r="1">
      <x:c r="A1" s="54"/>
      <x:c r="B1" s="54"/>
      <x:c r="C1" s="121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</x:row>
    <x:row r="2" ht="22" customHeight="1">
      <x:c r="A2" s="54"/>
      <x:c r="B2" s="54"/>
      <x:c r="C2" s="122" t="str">
        <x:v>Pfizer Limited financial model assumptions and schedules</x:v>
      </x:c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</x:row>
    <x:row r="3">
      <x:c r="A3" s="54"/>
      <x:c r="B3" s="54"/>
      <x:c r="C3" s="123" t="str">
        <x:v>Information cut-off: 18 September 2026. Forecasts are analyst estimates. Existing revenue model retained without modification.</x:v>
      </x:c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</x:row>
    <x:row r="4">
      <x:c r="A4" s="54"/>
      <x:c r="B4" s="54"/>
      <x:c r="C4" s="121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  <x:c r="N4" s="130"/>
      <x:c r="O4" s="130"/>
      <x:c r="P4" s="130"/>
    </x:row>
    <x:row r="5">
      <x:c r="A5" s="54"/>
      <x:c r="B5" s="54"/>
      <x:c r="C5" s="121" t="str">
        <x:v>Legend</x:v>
      </x:c>
      <x:c r="D5" s="133" t="str">
        <x:v>Hardcode / editable input</x:v>
      </x:c>
      <x:c r="E5" s="134" t="str">
        <x:v>Same-sheet formula</x:v>
      </x:c>
      <x:c r="F5" s="135" t="str">
        <x:v>Cross-sheet link</x:v>
      </x:c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</x:row>
    <x:row r="6">
      <x:c r="A6" s="54"/>
      <x:c r="B6" s="54"/>
      <x:c r="C6" s="121"/>
      <x:c r="D6" s="130"/>
      <x:c r="E6" s="130"/>
      <x:c r="F6" s="130"/>
      <x:c r="G6" s="130"/>
      <x:c r="H6" s="130"/>
      <x:c r="I6" s="130"/>
      <x:c r="J6" s="130"/>
      <x:c r="K6" s="130"/>
      <x:c r="L6" s="130"/>
      <x:c r="M6" s="130"/>
      <x:c r="N6" s="130"/>
      <x:c r="O6" s="130"/>
      <x:c r="P6" s="130"/>
    </x:row>
    <x:row r="7" ht="18" customHeight="1">
      <x:c r="A7" s="54"/>
      <x:c r="B7" s="54"/>
      <x:c r="C7" s="124" t="str">
        <x:v>Forecast assumptions and historical reference</x:v>
      </x:c>
      <x:c r="D7" s="136"/>
      <x:c r="E7" s="136"/>
      <x:c r="F7" s="136"/>
      <x:c r="G7" s="136"/>
      <x:c r="H7" s="136"/>
      <x:c r="I7" s="136"/>
      <x:c r="J7" s="136"/>
      <x:c r="K7" s="136"/>
      <x:c r="L7" s="136"/>
      <x:c r="M7" s="136"/>
      <x:c r="N7" s="136"/>
      <x:c r="O7" s="136"/>
      <x:c r="P7" s="137"/>
    </x:row>
    <x:row r="8" ht="23" customHeight="1">
      <x:c r="A8" s="54"/>
      <x:c r="B8" s="54"/>
      <x:c r="C8" s="125" t="str">
        <x:v>INR million unless stated</x:v>
      </x:c>
      <x:c r="D8" s="138" t="str">
        <x:v>FY23A</x:v>
      </x:c>
      <x:c r="E8" s="138" t="str">
        <x:v>FY24A</x:v>
      </x:c>
      <x:c r="F8" s="138" t="str">
        <x:v>FY25A</x:v>
      </x:c>
      <x:c r="G8" s="138" t="str">
        <x:v>FY26A</x:v>
      </x:c>
      <x:c r="H8" s="139" t="str">
        <x:v>FY27E</x:v>
      </x:c>
      <x:c r="I8" s="140" t="str">
        <x:v>FY28E</x:v>
      </x:c>
      <x:c r="J8" s="140" t="str">
        <x:v>FY29E</x:v>
      </x:c>
      <x:c r="K8" s="140" t="str">
        <x:v>FY30E</x:v>
      </x:c>
      <x:c r="L8" s="140" t="str">
        <x:v>FY31E</x:v>
      </x:c>
      <x:c r="M8" s="140" t="str">
        <x:v>FY32E</x:v>
      </x:c>
      <x:c r="N8" s="140" t="str">
        <x:v>FY33E</x:v>
      </x:c>
      <x:c r="O8" s="140" t="str">
        <x:v>FY34E</x:v>
      </x:c>
      <x:c r="P8" s="141" t="str">
        <x:v>FY35E</x:v>
      </x:c>
    </x:row>
    <x:row r="9">
      <x:c r="A9" s="54"/>
      <x:c r="B9" s="54"/>
      <x:c r="C9" s="121" t="str">
        <x:v>Revenue from operations</x:v>
      </x:c>
      <x:c r="D9" s="142" t="n">
        <x:f>'Revenue Model'!C11</x:f>
        <x:v>24247.600000000002</x:v>
      </x:c>
      <x:c r="E9" s="142" t="n">
        <x:f>'Revenue Model'!D11</x:f>
        <x:v>21931.7</x:v>
      </x:c>
      <x:c r="F9" s="142" t="n">
        <x:f>'Revenue Model'!E11</x:f>
        <x:v>22813.5</x:v>
      </x:c>
      <x:c r="G9" s="142" t="n">
        <x:f>'Revenue Model'!F11</x:f>
        <x:v>25196.499999999996</x:v>
      </x:c>
      <x:c r="H9" s="143" t="n">
        <x:f>'Revenue Model'!K11</x:f>
        <x:v>26037.863573425682</x:v>
      </x:c>
      <x:c r="I9" s="142" t="n">
        <x:f>'Revenue Model'!P11</x:f>
        <x:v>27509.535610356248</x:v>
      </x:c>
      <x:c r="J9" s="142" t="n">
        <x:f>'Revenue Model'!Q11</x:f>
        <x:v>30366.389466143835</x:v>
      </x:c>
      <x:c r="K9" s="142" t="n">
        <x:f>'Revenue Model'!R11</x:f>
        <x:v>33841.58491646945</x:v>
      </x:c>
      <x:c r="L9" s="142" t="n">
        <x:f>'Revenue Model'!S11</x:f>
        <x:v>35982.7622788236</x:v>
      </x:c>
      <x:c r="M9" s="142" t="n">
        <x:f>'Revenue Model'!T11</x:f>
        <x:v>38272.15190187582</x:v>
      </x:c>
      <x:c r="N9" s="142" t="n">
        <x:f>'Revenue Model'!U11</x:f>
        <x:v>40691.54297744818</x:v>
      </x:c>
      <x:c r="O9" s="142" t="n">
        <x:f>'Revenue Model'!V11</x:f>
        <x:v>43266.29244780532</x:v>
      </x:c>
      <x:c r="P9" s="142" t="n">
        <x:f>'Revenue Model'!W11</x:f>
        <x:v>46106.28268773311</x:v>
      </x:c>
    </x:row>
    <x:row r="10">
      <x:c r="A10" s="54"/>
      <x:c r="B10" s="54"/>
      <x:c r="C10" s="126" t="str">
        <x:v>Gross margin</x:v>
      </x:c>
      <x:c r="D10" s="144" t="n">
        <x:f>1-D40/D39</x:f>
        <x:v>0.6396880516009832</x:v>
      </x:c>
      <x:c r="E10" s="144" t="n">
        <x:f>1-E40/E39</x:f>
        <x:v>0.6386189853043768</x:v>
      </x:c>
      <x:c r="F10" s="144" t="n">
        <x:f>1-F40/F39</x:f>
        <x:v>0.6447498191860083</x:v>
      </x:c>
      <x:c r="G10" s="144" t="n">
        <x:f>1-G40/G39</x:f>
        <x:v>0.6490345881372412</x:v>
      </x:c>
      <x:c r="H10" s="145" t="n">
        <x:v>0.64</x:v>
      </x:c>
      <x:c r="I10" s="146" t="n">
        <x:v>0.645</x:v>
      </x:c>
      <x:c r="J10" s="146" t="n">
        <x:v>0.648</x:v>
      </x:c>
      <x:c r="K10" s="146" t="n">
        <x:v>0.65</x:v>
      </x:c>
      <x:c r="L10" s="146" t="n">
        <x:v>0.652</x:v>
      </x:c>
      <x:c r="M10" s="146" t="n">
        <x:v>0.653</x:v>
      </x:c>
      <x:c r="N10" s="146" t="n">
        <x:v>0.654</x:v>
      </x:c>
      <x:c r="O10" s="146" t="n">
        <x:v>0.655</x:v>
      </x:c>
      <x:c r="P10" s="146" t="n">
        <x:v>0.655</x:v>
      </x:c>
    </x:row>
    <x:row r="11">
      <x:c r="A11" s="54"/>
      <x:c r="B11" s="54"/>
      <x:c r="C11" s="126" t="str">
        <x:v>Employee expense / revenue</x:v>
      </x:c>
      <x:c r="D11" s="144" t="n">
        <x:f>D42/D39</x:f>
        <x:v>0.13678879559214108</x:v>
      </x:c>
      <x:c r="E11" s="144" t="n">
        <x:f>E42/E39</x:f>
        <x:v>0.15858323796148951</x:v>
      </x:c>
      <x:c r="F11" s="144" t="n">
        <x:f>F42/F39</x:f>
        <x:v>0.16276765949985755</x:v>
      </x:c>
      <x:c r="G11" s="144" t="n">
        <x:f>G42/G39</x:f>
        <x:v>0.14604012462048302</x:v>
      </x:c>
      <x:c r="H11" s="145" t="n">
        <x:v>0.133</x:v>
      </x:c>
      <x:c r="I11" s="146" t="n">
        <x:v>0.132</x:v>
      </x:c>
      <x:c r="J11" s="146" t="n">
        <x:v>0.131</x:v>
      </x:c>
      <x:c r="K11" s="146" t="n">
        <x:v>0.13</x:v>
      </x:c>
      <x:c r="L11" s="146" t="n">
        <x:v>0.13</x:v>
      </x:c>
      <x:c r="M11" s="146" t="n">
        <x:v>0.129</x:v>
      </x:c>
      <x:c r="N11" s="146" t="n">
        <x:v>0.129</x:v>
      </x:c>
      <x:c r="O11" s="146" t="n">
        <x:v>0.128</x:v>
      </x:c>
      <x:c r="P11" s="146" t="n">
        <x:v>0.128</x:v>
      </x:c>
    </x:row>
    <x:row r="12">
      <x:c r="A12" s="54"/>
      <x:c r="B12" s="54"/>
      <x:c r="C12" s="126" t="str">
        <x:v>Other operating expense / revenue</x:v>
      </x:c>
      <x:c r="D12" s="144" t="n">
        <x:f>D43/D39</x:f>
        <x:v>0.16931572609247925</x:v>
      </x:c>
      <x:c r="E12" s="144" t="n">
        <x:f>E43/E39</x:f>
        <x:v>0.1903637200946575</x:v>
      </x:c>
      <x:c r="F12" s="144" t="n">
        <x:f>F43/F39</x:f>
        <x:v>0.15751199947399566</x:v>
      </x:c>
      <x:c r="G12" s="144" t="n">
        <x:f>G43/G39</x:f>
        <x:v>0.14417875498581154</x:v>
      </x:c>
      <x:c r="H12" s="145" t="n">
        <x:v>0.135</x:v>
      </x:c>
      <x:c r="I12" s="146" t="n">
        <x:v>0.133</x:v>
      </x:c>
      <x:c r="J12" s="146" t="n">
        <x:v>0.132</x:v>
      </x:c>
      <x:c r="K12" s="146" t="n">
        <x:v>0.131</x:v>
      </x:c>
      <x:c r="L12" s="146" t="n">
        <x:v>0.13</x:v>
      </x:c>
      <x:c r="M12" s="146" t="n">
        <x:v>0.13</x:v>
      </x:c>
      <x:c r="N12" s="146" t="n">
        <x:v>0.129</x:v>
      </x:c>
      <x:c r="O12" s="146" t="n">
        <x:v>0.128</x:v>
      </x:c>
      <x:c r="P12" s="146" t="n">
        <x:v>0.128</x:v>
      </x:c>
    </x:row>
    <x:row r="13">
      <x:c r="A13" s="54"/>
      <x:c r="B13" s="54"/>
      <x:c r="C13" s="126" t="str">
        <x:v>Depreciation / revenue</x:v>
      </x:c>
      <x:c r="D13" s="144" t="n">
        <x:f>D46/D39</x:f>
        <x:v>0.04351358484963459</x:v>
      </x:c>
      <x:c r="E13" s="144" t="n">
        <x:f>E46/E39</x:f>
        <x:v>0.028397251467054536</x:v>
      </x:c>
      <x:c r="F13" s="144" t="n">
        <x:f>F46/F39</x:f>
        <x:v>0.02664650316698446</x:v>
      </x:c>
      <x:c r="G13" s="144" t="n">
        <x:f>G46/G39</x:f>
        <x:v>0.02291191236878138</x:v>
      </x:c>
      <x:c r="H13" s="145" t="n">
        <x:v>0.022</x:v>
      </x:c>
      <x:c r="I13" s="146" t="n">
        <x:v>0.021</x:v>
      </x:c>
      <x:c r="J13" s="146" t="n">
        <x:v>0.0205</x:v>
      </x:c>
      <x:c r="K13" s="146" t="n">
        <x:v>0.02</x:v>
      </x:c>
      <x:c r="L13" s="146" t="n">
        <x:v>0.0195</x:v>
      </x:c>
      <x:c r="M13" s="146" t="n">
        <x:v>0.019</x:v>
      </x:c>
      <x:c r="N13" s="146" t="n">
        <x:v>0.019</x:v>
      </x:c>
      <x:c r="O13" s="146" t="n">
        <x:v>0.0185</x:v>
      </x:c>
      <x:c r="P13" s="146" t="n">
        <x:v>0.0185</x:v>
      </x:c>
    </x:row>
    <x:row r="14">
      <x:c r="A14" s="54"/>
      <x:c r="B14" s="54"/>
      <x:c r="C14" s="126" t="str">
        <x:v>Treasury yield on opening liquidity</x:v>
      </x:c>
      <x:c r="D14" s="144" t="n">
        <x:f>D45/D85</x:f>
        <x:v>0.05434198072620891</x:v>
      </x:c>
      <x:c r="E14" s="144" t="n">
        <x:f>E45/AVERAGE(D85,E85)</x:f>
        <x:v>0.09242159319855717</x:v>
      </x:c>
      <x:c r="F14" s="144" t="n">
        <x:f>F45/AVERAGE(E85,F85)</x:f>
        <x:v>0.07106477518158134</x:v>
      </x:c>
      <x:c r="G14" s="144" t="n">
        <x:f>G45/AVERAGE(F85,G85)</x:f>
        <x:v>0.06358534035664627</x:v>
      </x:c>
      <x:c r="H14" s="145" t="n">
        <x:v>0.06</x:v>
      </x:c>
      <x:c r="I14" s="146" t="n">
        <x:v>0.06</x:v>
      </x:c>
      <x:c r="J14" s="146" t="n">
        <x:v>0.06</x:v>
      </x:c>
      <x:c r="K14" s="146" t="n">
        <x:v>0.06</x:v>
      </x:c>
      <x:c r="L14" s="146" t="n">
        <x:v>0.06</x:v>
      </x:c>
      <x:c r="M14" s="146" t="n">
        <x:v>0.06</x:v>
      </x:c>
      <x:c r="N14" s="146" t="n">
        <x:v>0.06</x:v>
      </x:c>
      <x:c r="O14" s="146" t="n">
        <x:v>0.06</x:v>
      </x:c>
      <x:c r="P14" s="146" t="n">
        <x:v>0.06</x:v>
      </x:c>
    </x:row>
    <x:row r="15">
      <x:c r="A15" s="54"/>
      <x:c r="B15" s="54"/>
      <x:c r="C15" s="126" t="str">
        <x:v>Finance cost / opening lease and borrowings</x:v>
      </x:c>
      <x:c r="D15" s="144" t="n">
        <x:f>D48/(D68+D35)</x:f>
        <x:v>0.09957611363129322</x:v>
      </x:c>
      <x:c r="E15" s="144" t="n">
        <x:f>E48/(D68+D35)</x:f>
        <x:v>0.11459805161002454</x:v>
      </x:c>
      <x:c r="F15" s="144" t="n">
        <x:f>F48/(E68+E35)</x:f>
        <x:v>0.08895705521472393</x:v>
      </x:c>
      <x:c r="G15" s="144" t="n">
        <x:f>G48/(F68+F35)</x:f>
        <x:v>0.08745387453874538</x:v>
      </x:c>
      <x:c r="H15" s="145" t="n">
        <x:v>0.12</x:v>
      </x:c>
      <x:c r="I15" s="146" t="n">
        <x:v>0.12</x:v>
      </x:c>
      <x:c r="J15" s="146" t="n">
        <x:v>0.12</x:v>
      </x:c>
      <x:c r="K15" s="146" t="n">
        <x:v>0.12</x:v>
      </x:c>
      <x:c r="L15" s="146" t="n">
        <x:v>0.12</x:v>
      </x:c>
      <x:c r="M15" s="146" t="n">
        <x:v>0.12</x:v>
      </x:c>
      <x:c r="N15" s="146" t="n">
        <x:v>0.12</x:v>
      </x:c>
      <x:c r="O15" s="146" t="n">
        <x:v>0.12</x:v>
      </x:c>
      <x:c r="P15" s="146" t="n">
        <x:v>0.12</x:v>
      </x:c>
    </x:row>
    <x:row r="16">
      <x:c r="A16" s="54"/>
      <x:c r="B16" s="54"/>
      <x:c r="C16" s="126" t="str">
        <x:v>Effective tax rate</x:v>
      </x:c>
      <x:c r="D16" s="144" t="n">
        <x:f>D52/D51</x:f>
        <x:v>0.24281258722588311</x:v>
      </x:c>
      <x:c r="E16" s="144" t="n">
        <x:f>E52/E51</x:f>
        <x:v>0.26102108381251093</x:v>
      </x:c>
      <x:c r="F16" s="144" t="n">
        <x:f>F52/F51</x:f>
        <x:v>0.24455510830733496</x:v>
      </x:c>
      <x:c r="G16" s="144" t="n">
        <x:f>G52/G51</x:f>
        <x:v>0.2595549724804494</x:v>
      </x:c>
      <x:c r="H16" s="145" t="n">
        <x:v>0.255</x:v>
      </x:c>
      <x:c r="I16" s="146" t="n">
        <x:v>0.255</x:v>
      </x:c>
      <x:c r="J16" s="146" t="n">
        <x:v>0.255</x:v>
      </x:c>
      <x:c r="K16" s="146" t="n">
        <x:v>0.255</x:v>
      </x:c>
      <x:c r="L16" s="146" t="n">
        <x:v>0.255</x:v>
      </x:c>
      <x:c r="M16" s="146" t="n">
        <x:v>0.255</x:v>
      </x:c>
      <x:c r="N16" s="146" t="n">
        <x:v>0.255</x:v>
      </x:c>
      <x:c r="O16" s="146" t="n">
        <x:v>0.255</x:v>
      </x:c>
      <x:c r="P16" s="146" t="n">
        <x:v>0.255</x:v>
      </x:c>
    </x:row>
    <x:row r="17">
      <x:c r="A17" s="54"/>
      <x:c r="B17" s="54"/>
      <x:c r="C17" s="126" t="str">
        <x:v>Cash capital expenditure / revenue</x:v>
      </x:c>
      <x:c r="D17" s="144" t="n">
        <x:f>D61/D39</x:f>
        <x:v>0.026798528514162222</x:v>
      </x:c>
      <x:c r="E17" s="144" t="n">
        <x:f>E61/E39</x:f>
        <x:v>0.008631341847645189</x:v>
      </x:c>
      <x:c r="F17" s="144" t="n">
        <x:f>F61/F39</x:f>
        <x:v>0.01233918513161067</x:v>
      </x:c>
      <x:c r="G17" s="144" t="n">
        <x:f>G61/G39</x:f>
        <x:v>0.010013295497390513</x:v>
      </x:c>
      <x:c r="H17" s="145" t="n">
        <x:v>0.018</x:v>
      </x:c>
      <x:c r="I17" s="146" t="n">
        <x:v>0.018</x:v>
      </x:c>
      <x:c r="J17" s="146" t="n">
        <x:v>0.018</x:v>
      </x:c>
      <x:c r="K17" s="146" t="n">
        <x:v>0.018</x:v>
      </x:c>
      <x:c r="L17" s="146" t="n">
        <x:v>0.018</x:v>
      </x:c>
      <x:c r="M17" s="146" t="n">
        <x:v>0.018</x:v>
      </x:c>
      <x:c r="N17" s="146" t="n">
        <x:v>0.0175</x:v>
      </x:c>
      <x:c r="O17" s="146" t="n">
        <x:v>0.0175</x:v>
      </x:c>
      <x:c r="P17" s="146" t="n">
        <x:v>0.0175</x:v>
      </x:c>
    </x:row>
    <x:row r="18">
      <x:c r="A18" s="54"/>
      <x:c r="B18" s="54"/>
      <x:c r="C18" s="126" t="str">
        <x:v>New lease additions / revenue</x:v>
      </x:c>
      <x:c r="D18" s="144"/>
      <x:c r="E18" s="144"/>
      <x:c r="F18" s="144"/>
      <x:c r="G18" s="144"/>
      <x:c r="H18" s="145" t="n">
        <x:v>0.003</x:v>
      </x:c>
      <x:c r="I18" s="146" t="n">
        <x:v>0.003</x:v>
      </x:c>
      <x:c r="J18" s="146" t="n">
        <x:v>0.003</x:v>
      </x:c>
      <x:c r="K18" s="146" t="n">
        <x:v>0.003</x:v>
      </x:c>
      <x:c r="L18" s="146" t="n">
        <x:v>0.003</x:v>
      </x:c>
      <x:c r="M18" s="146" t="n">
        <x:v>0.003</x:v>
      </x:c>
      <x:c r="N18" s="146" t="n">
        <x:v>0.003</x:v>
      </x:c>
      <x:c r="O18" s="146" t="n">
        <x:v>0.003</x:v>
      </x:c>
      <x:c r="P18" s="146" t="n">
        <x:v>0.003</x:v>
      </x:c>
    </x:row>
    <x:row r="19">
      <x:c r="A19" s="54"/>
      <x:c r="B19" s="54"/>
      <x:c r="C19" s="126" t="str">
        <x:v>Lease principal / opening lease liability</x:v>
      </x:c>
      <x:c r="D19" s="144"/>
      <x:c r="E19" s="144" t="n">
        <x:f>E66/D67</x:f>
        <x:v>0</x:v>
      </x:c>
      <x:c r="F19" s="144" t="n">
        <x:f>F66/E67</x:f>
        <x:v>0</x:v>
      </x:c>
      <x:c r="G19" s="144" t="n">
        <x:f>G66/F67</x:f>
        <x:v>0</x:v>
      </x:c>
      <x:c r="H19" s="145" t="n">
        <x:v>0.5</x:v>
      </x:c>
      <x:c r="I19" s="146" t="n">
        <x:v>0.5</x:v>
      </x:c>
      <x:c r="J19" s="146" t="n">
        <x:v>0.5</x:v>
      </x:c>
      <x:c r="K19" s="146" t="n">
        <x:v>0.5</x:v>
      </x:c>
      <x:c r="L19" s="146" t="n">
        <x:v>0.5</x:v>
      </x:c>
      <x:c r="M19" s="146" t="n">
        <x:v>0.5</x:v>
      </x:c>
      <x:c r="N19" s="146" t="n">
        <x:v>0.5</x:v>
      </x:c>
      <x:c r="O19" s="146" t="n">
        <x:v>0.5</x:v>
      </x:c>
      <x:c r="P19" s="146" t="n">
        <x:v>0.5</x:v>
      </x:c>
    </x:row>
    <x:row r="20">
      <x:c r="A20" s="54"/>
      <x:c r="B20" s="54"/>
      <x:c r="C20" s="121" t="str">
        <x:v>Inventory days</x:v>
      </x:c>
      <x:c r="D20" s="147" t="n">
        <x:f>D72/D40*365</x:f>
        <x:v>174.50582027539</x:v>
      </x:c>
      <x:c r="E20" s="147" t="n">
        <x:f>E72/E40*365</x:f>
        <x:v>199.7260178911642</x:v>
      </x:c>
      <x:c r="F20" s="147" t="n">
        <x:f>F72/F40*365</x:f>
        <x:v>214.3387007218212</x:v>
      </x:c>
      <x:c r="G20" s="147" t="n">
        <x:f>G72/G40*365</x:f>
        <x:v>195.09097488437314</x:v>
      </x:c>
      <x:c r="H20" s="148" t="n">
        <x:v>195</x:v>
      </x:c>
      <x:c r="I20" s="149" t="n">
        <x:v>192</x:v>
      </x:c>
      <x:c r="J20" s="149" t="n">
        <x:v>190</x:v>
      </x:c>
      <x:c r="K20" s="149" t="n">
        <x:v>188</x:v>
      </x:c>
      <x:c r="L20" s="149" t="n">
        <x:v>187</x:v>
      </x:c>
      <x:c r="M20" s="149" t="n">
        <x:v>186</x:v>
      </x:c>
      <x:c r="N20" s="149" t="n">
        <x:v>185</x:v>
      </x:c>
      <x:c r="O20" s="149" t="n">
        <x:v>185</x:v>
      </x:c>
      <x:c r="P20" s="149" t="n">
        <x:v>185</x:v>
      </x:c>
    </x:row>
    <x:row r="21">
      <x:c r="A21" s="54"/>
      <x:c r="B21" s="54"/>
      <x:c r="C21" s="121" t="str">
        <x:v>Trade receivable days</x:v>
      </x:c>
      <x:c r="D21" s="147" t="n">
        <x:f>D73/D39*365</x:f>
        <x:v>22.839971791022613</x:v>
      </x:c>
      <x:c r="E21" s="147" t="n">
        <x:f>E73/E39*365</x:f>
        <x:v>31.22313819722137</x:v>
      </x:c>
      <x:c r="F21" s="147" t="n">
        <x:f>F73/F39*365</x:f>
        <x:v>30.89304578429439</x:v>
      </x:c>
      <x:c r="G21" s="147" t="n">
        <x:f>G73/G39*365</x:f>
        <x:v>26.3358006072272</x:v>
      </x:c>
      <x:c r="H21" s="148" t="n">
        <x:v>27</x:v>
      </x:c>
      <x:c r="I21" s="149" t="n">
        <x:v>27</x:v>
      </x:c>
      <x:c r="J21" s="149" t="n">
        <x:v>26.5</x:v>
      </x:c>
      <x:c r="K21" s="149" t="n">
        <x:v>26</x:v>
      </x:c>
      <x:c r="L21" s="149" t="n">
        <x:v>26</x:v>
      </x:c>
      <x:c r="M21" s="149" t="n">
        <x:v>25.5</x:v>
      </x:c>
      <x:c r="N21" s="149" t="n">
        <x:v>25.5</x:v>
      </x:c>
      <x:c r="O21" s="149" t="n">
        <x:v>25</x:v>
      </x:c>
      <x:c r="P21" s="149" t="n">
        <x:v>25</x:v>
      </x:c>
    </x:row>
    <x:row r="22">
      <x:c r="A22" s="54"/>
      <x:c r="B22" s="54"/>
      <x:c r="C22" s="121" t="str">
        <x:v>Trade payable days</x:v>
      </x:c>
      <x:c r="D22" s="147" t="n">
        <x:f>D76/D40*365</x:f>
        <x:v>90.68286652855195</x:v>
      </x:c>
      <x:c r="E22" s="147" t="n">
        <x:f>E76/E40*365</x:f>
        <x:v>76.55342745751163</x:v>
      </x:c>
      <x:c r="F22" s="147" t="n">
        <x:f>F76/F40*365</x:f>
        <x:v>68.27564933061879</x:v>
      </x:c>
      <x:c r="G22" s="147" t="n">
        <x:f>G76/G40*365</x:f>
        <x:v>89.12949078942904</x:v>
      </x:c>
      <x:c r="H22" s="148" t="n">
        <x:v>85</x:v>
      </x:c>
      <x:c r="I22" s="149" t="n">
        <x:v>85</x:v>
      </x:c>
      <x:c r="J22" s="149" t="n">
        <x:v>85</x:v>
      </x:c>
      <x:c r="K22" s="149" t="n">
        <x:v>85</x:v>
      </x:c>
      <x:c r="L22" s="149" t="n">
        <x:v>85</x:v>
      </x:c>
      <x:c r="M22" s="149" t="n">
        <x:v>85</x:v>
      </x:c>
      <x:c r="N22" s="149" t="n">
        <x:v>85</x:v>
      </x:c>
      <x:c r="O22" s="149" t="n">
        <x:v>85</x:v>
      </x:c>
      <x:c r="P22" s="149" t="n">
        <x:v>85</x:v>
      </x:c>
    </x:row>
    <x:row r="23">
      <x:c r="A23" s="54"/>
      <x:c r="B23" s="54"/>
      <x:c r="C23" s="126" t="str">
        <x:v>Cash and equivalents / revenue</x:v>
      </x:c>
      <x:c r="D23" s="144" t="n">
        <x:f>D83/D39</x:f>
        <x:v>0.015094277371781123</x:v>
      </x:c>
      <x:c r="E23" s="144" t="n">
        <x:f>E83/E39</x:f>
        <x:v>0.05106763269605183</x:v>
      </x:c>
      <x:c r="F23" s="144" t="n">
        <x:f>F83/F39</x:f>
        <x:v>0.2170074736449909</x:v>
      </x:c>
      <x:c r="G23" s="144" t="n">
        <x:f>G83/G39</x:f>
        <x:v>0.040743754092830355</x:v>
      </x:c>
      <x:c r="H23" s="145" t="n">
        <x:v>0.02</x:v>
      </x:c>
      <x:c r="I23" s="146" t="n">
        <x:v>0.02</x:v>
      </x:c>
      <x:c r="J23" s="146" t="n">
        <x:v>0.02</x:v>
      </x:c>
      <x:c r="K23" s="146" t="n">
        <x:v>0.02</x:v>
      </x:c>
      <x:c r="L23" s="146" t="n">
        <x:v>0.02</x:v>
      </x:c>
      <x:c r="M23" s="146" t="n">
        <x:v>0.02</x:v>
      </x:c>
      <x:c r="N23" s="146" t="n">
        <x:v>0.02</x:v>
      </x:c>
      <x:c r="O23" s="146" t="n">
        <x:v>0.02</x:v>
      </x:c>
      <x:c r="P23" s="146" t="n">
        <x:v>0.02</x:v>
      </x:c>
    </x:row>
    <x:row r="24">
      <x:c r="A24" s="54"/>
      <x:c r="B24" s="54"/>
      <x:c r="C24" s="126" t="str">
        <x:v>Other assets / revenue</x:v>
      </x:c>
      <x:c r="D24" s="144" t="n">
        <x:f>D74/D39</x:f>
        <x:v>0.12045315825071345</x:v>
      </x:c>
      <x:c r="E24" s="144" t="n">
        <x:f>E74/E39</x:f>
        <x:v>0.15023003232763535</x:v>
      </x:c>
      <x:c r="F24" s="144" t="n">
        <x:f>F74/F39</x:f>
        <x:v>0.09786749074013193</x:v>
      </x:c>
      <x:c r="G24" s="144" t="n">
        <x:f>G74/G39</x:f>
        <x:v>0.08733355823229418</x:v>
      </x:c>
      <x:c r="H24" s="145" t="n">
        <x:v>0.085</x:v>
      </x:c>
      <x:c r="I24" s="146" t="n">
        <x:v>0.084</x:v>
      </x:c>
      <x:c r="J24" s="146" t="n">
        <x:v>0.083</x:v>
      </x:c>
      <x:c r="K24" s="146" t="n">
        <x:v>0.082</x:v>
      </x:c>
      <x:c r="L24" s="146" t="n">
        <x:v>0.082</x:v>
      </x:c>
      <x:c r="M24" s="146" t="n">
        <x:v>0.081</x:v>
      </x:c>
      <x:c r="N24" s="146" t="n">
        <x:v>0.081</x:v>
      </x:c>
      <x:c r="O24" s="146" t="n">
        <x:v>0.08</x:v>
      </x:c>
      <x:c r="P24" s="146" t="n">
        <x:v>0.08</x:v>
      </x:c>
    </x:row>
    <x:row r="25">
      <x:c r="A25" s="54"/>
      <x:c r="B25" s="54"/>
      <x:c r="C25" s="126" t="str">
        <x:v>Other liabilities / revenue</x:v>
      </x:c>
      <x:c r="D25" s="144" t="n">
        <x:f>D77/D39</x:f>
        <x:v>0.05684686319470793</x:v>
      </x:c>
      <x:c r="E25" s="144" t="n">
        <x:f>E77/E39</x:f>
        <x:v>0.06160489154967467</x:v>
      </x:c>
      <x:c r="F25" s="144" t="n">
        <x:f>F77/F39</x:f>
        <x:v>0.04595086242794836</x:v>
      </x:c>
      <x:c r="G25" s="144" t="n">
        <x:f>G77/G39</x:f>
        <x:v>0.04860992598178319</x:v>
      </x:c>
      <x:c r="H25" s="145" t="n">
        <x:v>0.048</x:v>
      </x:c>
      <x:c r="I25" s="146" t="n">
        <x:v>0.048</x:v>
      </x:c>
      <x:c r="J25" s="146" t="n">
        <x:v>0.048</x:v>
      </x:c>
      <x:c r="K25" s="146" t="n">
        <x:v>0.048</x:v>
      </x:c>
      <x:c r="L25" s="146" t="n">
        <x:v>0.048</x:v>
      </x:c>
      <x:c r="M25" s="146" t="n">
        <x:v>0.048</x:v>
      </x:c>
      <x:c r="N25" s="146" t="n">
        <x:v>0.048</x:v>
      </x:c>
      <x:c r="O25" s="146" t="n">
        <x:v>0.048</x:v>
      </x:c>
      <x:c r="P25" s="146" t="n">
        <x:v>0.048</x:v>
      </x:c>
    </x:row>
    <x:row r="26">
      <x:c r="A26" s="54"/>
      <x:c r="B26" s="54"/>
      <x:c r="C26" s="126" t="str">
        <x:v>Provisions / revenue</x:v>
      </x:c>
      <x:c r="D26" s="144" t="n">
        <x:f>D78/D39</x:f>
        <x:v>0.059090384202972655</x:v>
      </x:c>
      <x:c r="E26" s="144" t="n">
        <x:f>E78/E39</x:f>
        <x:v>0.03525034539046221</x:v>
      </x:c>
      <x:c r="F26" s="144" t="n">
        <x:f>F78/F39</x:f>
        <x:v>0.04730094023275692</x:v>
      </x:c>
      <x:c r="G26" s="144" t="n">
        <x:f>G78/G39</x:f>
        <x:v>0.031099557478221188</x:v>
      </x:c>
      <x:c r="H26" s="145" t="n">
        <x:v>0.03</x:v>
      </x:c>
      <x:c r="I26" s="146" t="n">
        <x:v>0.03</x:v>
      </x:c>
      <x:c r="J26" s="146" t="n">
        <x:v>0.03</x:v>
      </x:c>
      <x:c r="K26" s="146" t="n">
        <x:v>0.03</x:v>
      </x:c>
      <x:c r="L26" s="146" t="n">
        <x:v>0.03</x:v>
      </x:c>
      <x:c r="M26" s="146" t="n">
        <x:v>0.03</x:v>
      </x:c>
      <x:c r="N26" s="146" t="n">
        <x:v>0.03</x:v>
      </x:c>
      <x:c r="O26" s="146" t="n">
        <x:v>0.03</x:v>
      </x:c>
      <x:c r="P26" s="146" t="n">
        <x:v>0.03</x:v>
      </x:c>
    </x:row>
    <x:row r="27">
      <x:c r="A27" s="54"/>
      <x:c r="B27" s="54"/>
      <x:c r="C27" s="126" t="str">
        <x:v>Tax assets / tax expense</x:v>
      </x:c>
      <x:c r="D27" s="144" t="n">
        <x:f>D75/D52</x:f>
        <x:v>2.6116053578568574</x:v>
      </x:c>
      <x:c r="E27" s="144" t="n">
        <x:f>E75/E52</x:f>
        <x:v>2.6608811748998664</x:v>
      </x:c>
      <x:c r="F27" s="144" t="n">
        <x:f>F75/F52</x:f>
        <x:v>1.9581874522113565</x:v>
      </x:c>
      <x:c r="G27" s="144" t="n">
        <x:f>G75/G52</x:f>
        <x:v>0.9423471805401991</x:v>
      </x:c>
      <x:c r="H27" s="145" t="n">
        <x:v>0.9</x:v>
      </x:c>
      <x:c r="I27" s="146" t="n">
        <x:v>0.9</x:v>
      </x:c>
      <x:c r="J27" s="146" t="n">
        <x:v>0.9</x:v>
      </x:c>
      <x:c r="K27" s="146" t="n">
        <x:v>0.9</x:v>
      </x:c>
      <x:c r="L27" s="146" t="n">
        <x:v>0.9</x:v>
      </x:c>
      <x:c r="M27" s="146" t="n">
        <x:v>0.9</x:v>
      </x:c>
      <x:c r="N27" s="146" t="n">
        <x:v>0.9</x:v>
      </x:c>
      <x:c r="O27" s="146" t="n">
        <x:v>0.9</x:v>
      </x:c>
      <x:c r="P27" s="146" t="n">
        <x:v>0.9</x:v>
      </x:c>
    </x:row>
    <x:row r="28">
      <x:c r="A28" s="54"/>
      <x:c r="B28" s="54"/>
      <x:c r="C28" s="126" t="str">
        <x:v>Tax liabilities / tax expense</x:v>
      </x:c>
      <x:c r="D28" s="144" t="n">
        <x:f>D79/D52</x:f>
        <x:v>0.8035785685725709</x:v>
      </x:c>
      <x:c r="E28" s="144" t="n">
        <x:f>E79/E52</x:f>
        <x:v>0.8218650508370134</x:v>
      </x:c>
      <x:c r="F28" s="144" t="n">
        <x:f>F79/F52</x:f>
        <x:v>0.8892108334339409</x:v>
      </x:c>
      <x:c r="G28" s="144" t="n">
        <x:f>G79/G52</x:f>
        <x:v>0.9160085294582213</x:v>
      </x:c>
      <x:c r="H28" s="145" t="n">
        <x:v>0.9</x:v>
      </x:c>
      <x:c r="I28" s="146" t="n">
        <x:v>0.9</x:v>
      </x:c>
      <x:c r="J28" s="146" t="n">
        <x:v>0.9</x:v>
      </x:c>
      <x:c r="K28" s="146" t="n">
        <x:v>0.9</x:v>
      </x:c>
      <x:c r="L28" s="146" t="n">
        <x:v>0.9</x:v>
      </x:c>
      <x:c r="M28" s="146" t="n">
        <x:v>0.9</x:v>
      </x:c>
      <x:c r="N28" s="146" t="n">
        <x:v>0.9</x:v>
      </x:c>
      <x:c r="O28" s="146" t="n">
        <x:v>0.9</x:v>
      </x:c>
      <x:c r="P28" s="146" t="n">
        <x:v>0.9</x:v>
      </x:c>
    </x:row>
    <x:row r="29">
      <x:c r="A29" s="54"/>
      <x:c r="B29" s="54"/>
      <x:c r="C29" s="126" t="str">
        <x:v>Target dividend payout</x:v>
      </x:c>
      <x:c r="D29" s="144" t="n">
        <x:f>D82/D53</x:f>
        <x:v>0.47635151379161106</x:v>
      </x:c>
      <x:c r="E29" s="144" t="n">
        <x:f>E82/E53</x:f>
        <x:v>0.33270455081348743</x:v>
      </x:c>
      <x:c r="F29" s="144" t="n">
        <x:f>F82/F53</x:f>
        <x:v>0.20876758728504424</x:v>
      </x:c>
      <x:c r="G29" s="144" t="n">
        <x:f>G82/G53</x:f>
        <x:v>1.040432983126393</x:v>
      </x:c>
      <x:c r="H29" s="145" t="n">
        <x:v>0.5</x:v>
      </x:c>
      <x:c r="I29" s="146" t="n">
        <x:v>0.5</x:v>
      </x:c>
      <x:c r="J29" s="146" t="n">
        <x:v>0.5</x:v>
      </x:c>
      <x:c r="K29" s="146" t="n">
        <x:v>0.5</x:v>
      </x:c>
      <x:c r="L29" s="146" t="n">
        <x:v>0.5</x:v>
      </x:c>
      <x:c r="M29" s="146" t="n">
        <x:v>0.5</x:v>
      </x:c>
      <x:c r="N29" s="146" t="n">
        <x:v>0.5</x:v>
      </x:c>
      <x:c r="O29" s="146" t="n">
        <x:v>0.5</x:v>
      </x:c>
      <x:c r="P29" s="146" t="n">
        <x:v>0.5</x:v>
      </x:c>
    </x:row>
    <x:row r="30">
      <x:c r="A30" s="54"/>
      <x:c r="B30" s="54"/>
      <x:c r="C30" s="121" t="str">
        <x:v>Cash dividend per share</x:v>
      </x:c>
      <x:c r="D30" s="150" t="n">
        <x:v>64.96340619918894</x:v>
      </x:c>
      <x:c r="E30" s="150" t="n">
        <x:v>40.093663063548426</x:v>
      </x:c>
      <x:c r="F30" s="150" t="n">
        <x:v>35.02703759436098</x:v>
      </x:c>
      <x:c r="G30" s="150" t="n">
        <x:v>164.29156029594688</x:v>
      </x:c>
      <x:c r="H30" s="151" t="n">
        <x:v>75</x:v>
      </x:c>
      <x:c r="I30" s="152" t="n">
        <x:f>H53*H29/I31</x:f>
        <x:v>99.40769472618437</x:v>
      </x:c>
      <x:c r="J30" s="152" t="n">
        <x:f>I53*I29/J31</x:f>
        <x:v>97.68634747478151</x:v>
      </x:c>
      <x:c r="K30" s="152" t="n">
        <x:f>J53*J29/K31</x:f>
        <x:v>109.5397045721678</x:v>
      </x:c>
      <x:c r="L30" s="152" t="n">
        <x:f>K53*K29/L31</x:f>
        <x:v>123.6454164290909</x:v>
      </x:c>
      <x:c r="M30" s="152" t="n">
        <x:f>L53*L29/M31</x:f>
        <x:v>133.9509052309415</x:v>
      </x:c>
      <x:c r="N30" s="152" t="n">
        <x:f>M53*M29/N31</x:f>
        <x:v>144.71681474689356</x:v>
      </x:c>
      <x:c r="O30" s="152" t="n">
        <x:f>N53*N29/O31</x:f>
        <x:v>156.07562069702382</x:v>
      </x:c>
      <x:c r="P30" s="152" t="n">
        <x:f>O53*O29/P31</x:f>
        <x:v>168.74396827083905</x:v>
      </x:c>
    </x:row>
    <x:row r="31">
      <x:c r="A31" s="54"/>
      <x:c r="B31" s="54"/>
      <x:c r="C31" s="121" t="str">
        <x:v>Shares outstanding (million)</x:v>
      </x:c>
      <x:c r="D31" s="153" t="n">
        <x:v>45.750372</x:v>
      </x:c>
      <x:c r="E31" s="153" t="n">
        <x:v>45.750372</x:v>
      </x:c>
      <x:c r="F31" s="153" t="n">
        <x:v>45.750372</x:v>
      </x:c>
      <x:c r="G31" s="153" t="n">
        <x:v>45.750372</x:v>
      </x:c>
      <x:c r="H31" s="154" t="n">
        <x:v>45.750372</x:v>
      </x:c>
      <x:c r="I31" s="155" t="n">
        <x:v>45.750372</x:v>
      </x:c>
      <x:c r="J31" s="155" t="n">
        <x:v>45.750372</x:v>
      </x:c>
      <x:c r="K31" s="155" t="n">
        <x:v>45.750372</x:v>
      </x:c>
      <x:c r="L31" s="155" t="n">
        <x:v>45.750372</x:v>
      </x:c>
      <x:c r="M31" s="155" t="n">
        <x:v>45.750372</x:v>
      </x:c>
      <x:c r="N31" s="155" t="n">
        <x:v>45.750372</x:v>
      </x:c>
      <x:c r="O31" s="155" t="n">
        <x:v>45.750372</x:v>
      </x:c>
      <x:c r="P31" s="155" t="n">
        <x:v>45.750372</x:v>
      </x:c>
    </x:row>
    <x:row r="32">
      <x:c r="A32" s="54"/>
      <x:c r="B32" s="54"/>
      <x:c r="C32" s="121" t="str">
        <x:v>Exceptional items</x:v>
      </x:c>
      <x:c r="D32" s="156" t="n">
        <x:v>330</x:v>
      </x:c>
      <x:c r="E32" s="156" t="n">
        <x:v>79.5</x:v>
      </x:c>
      <x:c r="F32" s="156" t="n">
        <x:v>1728.1</x:v>
      </x:c>
      <x:c r="G32" s="156" t="n">
        <x:v>-491.6</x:v>
      </x:c>
      <x:c r="H32" s="157" t="n">
        <x:v>1313.8</x:v>
      </x:c>
      <x:c r="I32" s="158" t="n">
        <x:v>0</x:v>
      </x:c>
      <x:c r="J32" s="158" t="n">
        <x:v>0</x:v>
      </x:c>
      <x:c r="K32" s="158" t="n">
        <x:v>0</x:v>
      </x:c>
      <x:c r="L32" s="158" t="n">
        <x:v>0</x:v>
      </x:c>
      <x:c r="M32" s="158" t="n">
        <x:v>0</x:v>
      </x:c>
      <x:c r="N32" s="158" t="n">
        <x:v>0</x:v>
      </x:c>
      <x:c r="O32" s="158" t="n">
        <x:v>0</x:v>
      </x:c>
      <x:c r="P32" s="158" t="n">
        <x:v>0</x:v>
      </x:c>
    </x:row>
    <x:row r="33">
      <x:c r="A33" s="54"/>
      <x:c r="B33" s="54"/>
      <x:c r="C33" s="121" t="str">
        <x:v>Exceptional / disposal cash receipts</x:v>
      </x:c>
      <x:c r="D33" s="156" t="n">
        <x:v>1817</x:v>
      </x:c>
      <x:c r="E33" s="156" t="n">
        <x:v>529</x:v>
      </x:c>
      <x:c r="F33" s="156" t="n">
        <x:v>1518.8</x:v>
      </x:c>
      <x:c r="G33" s="156" t="n">
        <x:v>11.6</x:v>
      </x:c>
      <x:c r="H33" s="157" t="n">
        <x:v>1313.8</x:v>
      </x:c>
      <x:c r="I33" s="158" t="n">
        <x:v>0</x:v>
      </x:c>
      <x:c r="J33" s="158" t="n">
        <x:v>0</x:v>
      </x:c>
      <x:c r="K33" s="158" t="n">
        <x:v>0</x:v>
      </x:c>
      <x:c r="L33" s="158" t="n">
        <x:v>0</x:v>
      </x:c>
      <x:c r="M33" s="158" t="n">
        <x:v>0</x:v>
      </x:c>
      <x:c r="N33" s="158" t="n">
        <x:v>0</x:v>
      </x:c>
      <x:c r="O33" s="158" t="n">
        <x:v>0</x:v>
      </x:c>
      <x:c r="P33" s="158" t="n">
        <x:v>0</x:v>
      </x:c>
    </x:row>
    <x:row r="34">
      <x:c r="A34" s="54"/>
      <x:c r="B34" s="54"/>
      <x:c r="C34" s="121" t="str">
        <x:v>Goodwill</x:v>
      </x:c>
      <x:c r="D34" s="156" t="n">
        <x:v>5274.9</x:v>
      </x:c>
      <x:c r="E34" s="156" t="n">
        <x:v>5274.9</x:v>
      </x:c>
      <x:c r="F34" s="156" t="n">
        <x:v>5274.9</x:v>
      </x:c>
      <x:c r="G34" s="156" t="n">
        <x:v>5274.9</x:v>
      </x:c>
      <x:c r="H34" s="159" t="n">
        <x:f>G34</x:f>
        <x:v>5274.9</x:v>
      </x:c>
      <x:c r="I34" s="160" t="n">
        <x:f>H34</x:f>
        <x:v>5274.9</x:v>
      </x:c>
      <x:c r="J34" s="160" t="n">
        <x:f>I34</x:f>
        <x:v>5274.9</x:v>
      </x:c>
      <x:c r="K34" s="160" t="n">
        <x:f>J34</x:f>
        <x:v>5274.9</x:v>
      </x:c>
      <x:c r="L34" s="160" t="n">
        <x:f>K34</x:f>
        <x:v>5274.9</x:v>
      </x:c>
      <x:c r="M34" s="160" t="n">
        <x:f>L34</x:f>
        <x:v>5274.9</x:v>
      </x:c>
      <x:c r="N34" s="160" t="n">
        <x:f>M34</x:f>
        <x:v>5274.9</x:v>
      </x:c>
      <x:c r="O34" s="160" t="n">
        <x:f>N34</x:f>
        <x:v>5274.9</x:v>
      </x:c>
      <x:c r="P34" s="160" t="n">
        <x:f>O34</x:f>
        <x:v>5274.9</x:v>
      </x:c>
    </x:row>
    <x:row r="35">
      <x:c r="A35" s="54"/>
      <x:c r="B35" s="54"/>
      <x:c r="C35" s="121" t="str">
        <x:v>Borrowings</x:v>
      </x:c>
      <x:c r="D35" s="156" t="n">
        <x:v>25</x:v>
      </x:c>
      <x:c r="E35" s="156" t="n">
        <x:v>25</x:v>
      </x:c>
      <x:c r="F35" s="156" t="n">
        <x:v>25</x:v>
      </x:c>
      <x:c r="G35" s="156" t="n">
        <x:v>25</x:v>
      </x:c>
      <x:c r="H35" s="159" t="n">
        <x:f>G35</x:f>
        <x:v>25</x:v>
      </x:c>
      <x:c r="I35" s="160" t="n">
        <x:f>H35</x:f>
        <x:v>25</x:v>
      </x:c>
      <x:c r="J35" s="160" t="n">
        <x:f>I35</x:f>
        <x:v>25</x:v>
      </x:c>
      <x:c r="K35" s="160" t="n">
        <x:f>J35</x:f>
        <x:v>25</x:v>
      </x:c>
      <x:c r="L35" s="160" t="n">
        <x:f>K35</x:f>
        <x:v>25</x:v>
      </x:c>
      <x:c r="M35" s="160" t="n">
        <x:f>L35</x:f>
        <x:v>25</x:v>
      </x:c>
      <x:c r="N35" s="160" t="n">
        <x:f>M35</x:f>
        <x:v>25</x:v>
      </x:c>
      <x:c r="O35" s="160" t="n">
        <x:f>N35</x:f>
        <x:v>25</x:v>
      </x:c>
      <x:c r="P35" s="160" t="n">
        <x:f>O35</x:f>
        <x:v>25</x:v>
      </x:c>
    </x:row>
    <x:row r="36">
      <x:c r="A36" s="54"/>
      <x:c r="B36" s="54"/>
      <x:c r="C36" s="121" t="str">
        <x:v>Equity share capital</x:v>
      </x:c>
      <x:c r="D36" s="156" t="n">
        <x:v>457.5</x:v>
      </x:c>
      <x:c r="E36" s="156" t="n">
        <x:v>457.5</x:v>
      </x:c>
      <x:c r="F36" s="156" t="n">
        <x:v>457.5</x:v>
      </x:c>
      <x:c r="G36" s="156" t="n">
        <x:v>457.5</x:v>
      </x:c>
      <x:c r="H36" s="159" t="n">
        <x:f>G36</x:f>
        <x:v>457.5</x:v>
      </x:c>
      <x:c r="I36" s="160" t="n">
        <x:f>H36</x:f>
        <x:v>457.5</x:v>
      </x:c>
      <x:c r="J36" s="160" t="n">
        <x:f>I36</x:f>
        <x:v>457.5</x:v>
      </x:c>
      <x:c r="K36" s="160" t="n">
        <x:f>J36</x:f>
        <x:v>457.5</x:v>
      </x:c>
      <x:c r="L36" s="160" t="n">
        <x:f>K36</x:f>
        <x:v>457.5</x:v>
      </x:c>
      <x:c r="M36" s="160" t="n">
        <x:f>L36</x:f>
        <x:v>457.5</x:v>
      </x:c>
      <x:c r="N36" s="160" t="n">
        <x:f>M36</x:f>
        <x:v>457.5</x:v>
      </x:c>
      <x:c r="O36" s="160" t="n">
        <x:f>N36</x:f>
        <x:v>457.5</x:v>
      </x:c>
      <x:c r="P36" s="160" t="n">
        <x:f>O36</x:f>
        <x:v>457.5</x:v>
      </x:c>
    </x:row>
    <x:row r="37" ht="18" customHeight="1">
      <x:c r="A37" s="54"/>
      <x:c r="B37" s="54"/>
      <x:c r="C37" s="124" t="str">
        <x:v>Profit and loss schedule</x:v>
      </x:c>
      <x:c r="D37" s="136"/>
      <x:c r="E37" s="136"/>
      <x:c r="F37" s="136"/>
      <x:c r="G37" s="136"/>
      <x:c r="H37" s="161"/>
      <x:c r="I37" s="136"/>
      <x:c r="J37" s="136"/>
      <x:c r="K37" s="136"/>
      <x:c r="L37" s="136"/>
      <x:c r="M37" s="136"/>
      <x:c r="N37" s="136"/>
      <x:c r="O37" s="136"/>
      <x:c r="P37" s="137"/>
    </x:row>
    <x:row r="38" ht="23" customHeight="1">
      <x:c r="A38" s="54"/>
      <x:c r="B38" s="54"/>
      <x:c r="C38" s="125" t="str">
        <x:v>INR million unless stated</x:v>
      </x:c>
      <x:c r="D38" s="138" t="str">
        <x:v>FY23A</x:v>
      </x:c>
      <x:c r="E38" s="138" t="str">
        <x:v>FY24A</x:v>
      </x:c>
      <x:c r="F38" s="138" t="str">
        <x:v>FY25A</x:v>
      </x:c>
      <x:c r="G38" s="138" t="str">
        <x:v>FY26A</x:v>
      </x:c>
      <x:c r="H38" s="139" t="str">
        <x:v>FY27E</x:v>
      </x:c>
      <x:c r="I38" s="140" t="str">
        <x:v>FY28E</x:v>
      </x:c>
      <x:c r="J38" s="140" t="str">
        <x:v>FY29E</x:v>
      </x:c>
      <x:c r="K38" s="140" t="str">
        <x:v>FY30E</x:v>
      </x:c>
      <x:c r="L38" s="140" t="str">
        <x:v>FY31E</x:v>
      </x:c>
      <x:c r="M38" s="140" t="str">
        <x:v>FY32E</x:v>
      </x:c>
      <x:c r="N38" s="140" t="str">
        <x:v>FY33E</x:v>
      </x:c>
      <x:c r="O38" s="140" t="str">
        <x:v>FY34E</x:v>
      </x:c>
      <x:c r="P38" s="141" t="str">
        <x:v>FY35E</x:v>
      </x:c>
    </x:row>
    <x:row r="39">
      <x:c r="A39" s="54"/>
      <x:c r="B39" s="54"/>
      <x:c r="C39" s="121" t="str">
        <x:v>Revenue from operations</x:v>
      </x:c>
      <x:c r="D39" s="142" t="n">
        <x:f>D9</x:f>
        <x:v>24247.600000000002</x:v>
      </x:c>
      <x:c r="E39" s="142" t="n">
        <x:f>E9</x:f>
        <x:v>21931.7</x:v>
      </x:c>
      <x:c r="F39" s="142" t="n">
        <x:f>F9</x:f>
        <x:v>22813.5</x:v>
      </x:c>
      <x:c r="G39" s="142" t="n">
        <x:f>G9</x:f>
        <x:v>25196.499999999996</x:v>
      </x:c>
      <x:c r="H39" s="159" t="n">
        <x:f>H9</x:f>
        <x:v>26037.863573425682</x:v>
      </x:c>
      <x:c r="I39" s="160" t="n">
        <x:f>I9</x:f>
        <x:v>27509.535610356248</x:v>
      </x:c>
      <x:c r="J39" s="160" t="n">
        <x:f>J9</x:f>
        <x:v>30366.389466143835</x:v>
      </x:c>
      <x:c r="K39" s="160" t="n">
        <x:f>K9</x:f>
        <x:v>33841.58491646945</x:v>
      </x:c>
      <x:c r="L39" s="160" t="n">
        <x:f>L9</x:f>
        <x:v>35982.7622788236</x:v>
      </x:c>
      <x:c r="M39" s="160" t="n">
        <x:f>M9</x:f>
        <x:v>38272.15190187582</x:v>
      </x:c>
      <x:c r="N39" s="160" t="n">
        <x:f>N9</x:f>
        <x:v>40691.54297744818</x:v>
      </x:c>
      <x:c r="O39" s="160" t="n">
        <x:f>O9</x:f>
        <x:v>43266.29244780532</x:v>
      </x:c>
      <x:c r="P39" s="160" t="n">
        <x:f>P9</x:f>
        <x:v>46106.28268773311</x:v>
      </x:c>
    </x:row>
    <x:row r="40">
      <x:c r="A40" s="54"/>
      <x:c r="B40" s="54"/>
      <x:c r="C40" s="121" t="str">
        <x:v>Cost of goods sold</x:v>
      </x:c>
      <x:c r="D40" s="156" t="n">
        <x:v>8736.7</x:v>
      </x:c>
      <x:c r="E40" s="156" t="n">
        <x:v>7925.7</x:v>
      </x:c>
      <x:c r="F40" s="156" t="n">
        <x:v>8104.5</x:v>
      </x:c>
      <x:c r="G40" s="156" t="n">
        <x:v>8843.1</x:v>
      </x:c>
      <x:c r="H40" s="159" t="n">
        <x:f>H39*(1-H10)</x:f>
        <x:v>9373.630886433246</x:v>
      </x:c>
      <x:c r="I40" s="160" t="n">
        <x:f>I39*(1-I10)</x:f>
        <x:v>9765.885141676468</x:v>
      </x:c>
      <x:c r="J40" s="160" t="n">
        <x:f>J39*(1-J10)</x:f>
        <x:v>10688.969092082629</x:v>
      </x:c>
      <x:c r="K40" s="160" t="n">
        <x:f>K39*(1-K10)</x:f>
        <x:v>11844.554720764307</x:v>
      </x:c>
      <x:c r="L40" s="160" t="n">
        <x:f>L39*(1-L10)</x:f>
        <x:v>12522.001273030612</x:v>
      </x:c>
      <x:c r="M40" s="160" t="n">
        <x:f>M39*(1-M10)</x:f>
        <x:v>13280.436709950909</x:v>
      </x:c>
      <x:c r="N40" s="160" t="n">
        <x:f>N39*(1-N10)</x:f>
        <x:v>14079.27387019707</x:v>
      </x:c>
      <x:c r="O40" s="160" t="n">
        <x:f>O39*(1-O10)</x:f>
        <x:v>14926.870894492833</x:v>
      </x:c>
      <x:c r="P40" s="160" t="n">
        <x:f>P39*(1-P10)</x:f>
        <x:v>15906.667527267922</x:v>
      </x:c>
    </x:row>
    <x:row r="41">
      <x:c r="A41" s="54"/>
      <x:c r="B41" s="54"/>
      <x:c r="C41" s="127" t="str">
        <x:v>Gross profit</x:v>
      </x:c>
      <x:c r="D41" s="162" t="n">
        <x:f>D39-D40</x:f>
        <x:v>15510.900000000001</x:v>
      </x:c>
      <x:c r="E41" s="162" t="n">
        <x:f>E39-E40</x:f>
        <x:v>14006</x:v>
      </x:c>
      <x:c r="F41" s="162" t="n">
        <x:f>F39-F40</x:f>
        <x:v>14709</x:v>
      </x:c>
      <x:c r="G41" s="162" t="n">
        <x:f>G39-G40</x:f>
        <x:v>16353.399999999996</x:v>
      </x:c>
      <x:c r="H41" s="163" t="n">
        <x:f>H39-H40</x:f>
        <x:v>16664.232686992436</x:v>
      </x:c>
      <x:c r="I41" s="162" t="n">
        <x:f>I39-I40</x:f>
        <x:v>17743.650468679778</x:v>
      </x:c>
      <x:c r="J41" s="162" t="n">
        <x:f>J39-J40</x:f>
        <x:v>19677.420374061207</x:v>
      </x:c>
      <x:c r="K41" s="162" t="n">
        <x:f>K39-K40</x:f>
        <x:v>21997.030195705145</x:v>
      </x:c>
      <x:c r="L41" s="162" t="n">
        <x:f>L39-L40</x:f>
        <x:v>23460.761005792985</x:v>
      </x:c>
      <x:c r="M41" s="162" t="n">
        <x:f>M39-M40</x:f>
        <x:v>24991.715191924908</x:v>
      </x:c>
      <x:c r="N41" s="162" t="n">
        <x:f>N39-N40</x:f>
        <x:v>26612.26910725111</x:v>
      </x:c>
      <x:c r="O41" s="162" t="n">
        <x:f>O39-O40</x:f>
        <x:v>28339.421553312484</x:v>
      </x:c>
      <x:c r="P41" s="162" t="n">
        <x:f>P39-P40</x:f>
        <x:v>30199.61516046519</x:v>
      </x:c>
    </x:row>
    <x:row r="42">
      <x:c r="A42" s="54"/>
      <x:c r="B42" s="54"/>
      <x:c r="C42" s="121" t="str">
        <x:v>Employee benefits expense</x:v>
      </x:c>
      <x:c r="D42" s="156" t="n">
        <x:v>3316.8</x:v>
      </x:c>
      <x:c r="E42" s="156" t="n">
        <x:v>3478</x:v>
      </x:c>
      <x:c r="F42" s="156" t="n">
        <x:v>3713.3</x:v>
      </x:c>
      <x:c r="G42" s="156" t="n">
        <x:v>3679.7</x:v>
      </x:c>
      <x:c r="H42" s="159" t="n">
        <x:f>H39*H11</x:f>
        <x:v>3463.0358552656157</x:v>
      </x:c>
      <x:c r="I42" s="160" t="n">
        <x:f>I39*I11</x:f>
        <x:v>3631.258700567025</x:v>
      </x:c>
      <x:c r="J42" s="160" t="n">
        <x:f>J39*J11</x:f>
        <x:v>3977.9970200648427</x:v>
      </x:c>
      <x:c r="K42" s="160" t="n">
        <x:f>K39*K11</x:f>
        <x:v>4399.4060391410285</x:v>
      </x:c>
      <x:c r="L42" s="160" t="n">
        <x:f>L39*L11</x:f>
        <x:v>4677.759096247068</x:v>
      </x:c>
      <x:c r="M42" s="160" t="n">
        <x:f>M39*M11</x:f>
        <x:v>4937.10759534198</x:v>
      </x:c>
      <x:c r="N42" s="160" t="n">
        <x:f>N39*N11</x:f>
        <x:v>5249.209044090816</x:v>
      </x:c>
      <x:c r="O42" s="160" t="n">
        <x:f>O39*O11</x:f>
        <x:v>5538.085433319081</x:v>
      </x:c>
      <x:c r="P42" s="160" t="n">
        <x:f>P39*P11</x:f>
        <x:v>5901.6041840298385</x:v>
      </x:c>
    </x:row>
    <x:row r="43">
      <x:c r="A43" s="54"/>
      <x:c r="B43" s="54"/>
      <x:c r="C43" s="121" t="str">
        <x:v>Other operating expenses</x:v>
      </x:c>
      <x:c r="D43" s="156" t="n">
        <x:v>4105.5</x:v>
      </x:c>
      <x:c r="E43" s="156" t="n">
        <x:v>4175</x:v>
      </x:c>
      <x:c r="F43" s="156" t="n">
        <x:v>3593.4</x:v>
      </x:c>
      <x:c r="G43" s="156" t="n">
        <x:v>3632.8</x:v>
      </x:c>
      <x:c r="H43" s="159" t="n">
        <x:f>H39*H12</x:f>
        <x:v>3515.111582412467</x:v>
      </x:c>
      <x:c r="I43" s="160" t="n">
        <x:f>I39*I12</x:f>
        <x:v>3658.7682361773814</x:v>
      </x:c>
      <x:c r="J43" s="160" t="n">
        <x:f>J39*J12</x:f>
        <x:v>4008.3634095309862</x:v>
      </x:c>
      <x:c r="K43" s="160" t="n">
        <x:f>K39*K12</x:f>
        <x:v>4433.247624057499</x:v>
      </x:c>
      <x:c r="L43" s="160" t="n">
        <x:f>L39*L12</x:f>
        <x:v>4677.759096247068</x:v>
      </x:c>
      <x:c r="M43" s="160" t="n">
        <x:f>M39*M12</x:f>
        <x:v>4975.379747243856</x:v>
      </x:c>
      <x:c r="N43" s="160" t="n">
        <x:f>N39*N12</x:f>
        <x:v>5249.209044090816</x:v>
      </x:c>
      <x:c r="O43" s="160" t="n">
        <x:f>O39*O12</x:f>
        <x:v>5538.085433319081</x:v>
      </x:c>
      <x:c r="P43" s="160" t="n">
        <x:f>P39*P12</x:f>
        <x:v>5901.6041840298385</x:v>
      </x:c>
    </x:row>
    <x:row r="44">
      <x:c r="A44" s="54"/>
      <x:c r="B44" s="54"/>
      <x:c r="C44" s="127" t="str">
        <x:v>EBITDA</x:v>
      </x:c>
      <x:c r="D44" s="162" t="n">
        <x:f>D41-D42-D43</x:f>
        <x:v>8088.600000000002</x:v>
      </x:c>
      <x:c r="E44" s="162" t="n">
        <x:f>E41-E42-E43</x:f>
        <x:v>6353</x:v>
      </x:c>
      <x:c r="F44" s="162" t="n">
        <x:f>F41-F42-F43</x:f>
        <x:v>7402.300000000001</x:v>
      </x:c>
      <x:c r="G44" s="162" t="n">
        <x:f>G41-G42-G43</x:f>
        <x:v>9040.899999999998</x:v>
      </x:c>
      <x:c r="H44" s="163" t="n">
        <x:f>H41-H42-H43</x:f>
        <x:v>9686.085249314354</x:v>
      </x:c>
      <x:c r="I44" s="162" t="n">
        <x:f>I41-I42-I43</x:f>
        <x:v>10453.623531935373</x:v>
      </x:c>
      <x:c r="J44" s="162" t="n">
        <x:f>J41-J42-J43</x:f>
        <x:v>11691.059944465378</x:v>
      </x:c>
      <x:c r="K44" s="162" t="n">
        <x:f>K41-K42-K43</x:f>
        <x:v>13164.37653250662</x:v>
      </x:c>
      <x:c r="L44" s="162" t="n">
        <x:f>L41-L42-L43</x:f>
        <x:v>14105.24281329885</x:v>
      </x:c>
      <x:c r="M44" s="162" t="n">
        <x:f>M41-M42-M43</x:f>
        <x:v>15079.227849339073</x:v>
      </x:c>
      <x:c r="N44" s="162" t="n">
        <x:f>N41-N42-N43</x:f>
        <x:v>16113.851019069478</x:v>
      </x:c>
      <x:c r="O44" s="162" t="n">
        <x:f>O41-O42-O43</x:f>
        <x:v>17263.250686674324</x:v>
      </x:c>
      <x:c r="P44" s="162" t="n">
        <x:f>P41-P42-P43</x:f>
        <x:v>18396.406792405513</x:v>
      </x:c>
    </x:row>
    <x:row r="45">
      <x:c r="A45" s="54"/>
      <x:c r="B45" s="54"/>
      <x:c r="C45" s="121" t="str">
        <x:v>Other income</x:v>
      </x:c>
      <x:c r="D45" s="156" t="n">
        <x:v>1010.5</x:v>
      </x:c>
      <x:c r="E45" s="156" t="n">
        <x:v>1805.1</x:v>
      </x:c>
      <x:c r="F45" s="156" t="n">
        <x:v>1722.5</x:v>
      </x:c>
      <x:c r="G45" s="156" t="n">
        <x:v>1879.5</x:v>
      </x:c>
      <x:c r="H45" s="159" t="n">
        <x:f>G85*H14</x:f>
        <x:v>1866.456</x:v>
      </x:c>
      <x:c r="I45" s="160" t="n">
        <x:f>H85*I14</x:f>
        <x:v>2174.9050884934145</x:v>
      </x:c>
      <x:c r="J45" s="160" t="n">
        <x:f>I85*J14</x:f>
        <x:v>2423.0038662341276</x:v>
      </x:c>
      <x:c r="K45" s="160" t="n">
        <x:f>J85*K14</x:f>
        <x:v>2729.9458451307005</x:v>
      </x:c>
      <x:c r="L45" s="160" t="n">
        <x:f>K85*L14</x:f>
        <x:v>3077.6194155618564</x:v>
      </x:c>
      <x:c r="M45" s="160" t="n">
        <x:f>L85*M14</x:f>
        <x:v>3451.173831681941</x:v>
      </x:c>
      <x:c r="N45" s="160" t="n">
        <x:f>M85*N14</x:f>
        <x:v>3858.3122799837765</x:v>
      </x:c>
      <x:c r="O45" s="160" t="n">
        <x:f>N85*O14</x:f>
        <x:v>4293.347992838838</x:v>
      </x:c>
      <x:c r="P45" s="160" t="n">
        <x:f>O85*P14</x:f>
        <x:v>4767.869240421952</x:v>
      </x:c>
    </x:row>
    <x:row r="46">
      <x:c r="A46" s="54"/>
      <x:c r="B46" s="54"/>
      <x:c r="C46" s="121" t="str">
        <x:v>Depreciation and amortisation</x:v>
      </x:c>
      <x:c r="D46" s="156" t="n">
        <x:v>1055.1</x:v>
      </x:c>
      <x:c r="E46" s="156" t="n">
        <x:v>622.8</x:v>
      </x:c>
      <x:c r="F46" s="156" t="n">
        <x:v>607.9</x:v>
      </x:c>
      <x:c r="G46" s="156" t="n">
        <x:v>577.3</x:v>
      </x:c>
      <x:c r="H46" s="159" t="n">
        <x:f>H39*H13</x:f>
        <x:v>572.832998615365</x:v>
      </x:c>
      <x:c r="I46" s="160" t="n">
        <x:f>I39*I13</x:f>
        <x:v>577.7002478174812</x:v>
      </x:c>
      <x:c r="J46" s="160" t="n">
        <x:f>J39*J13</x:f>
        <x:v>622.5109840559486</x:v>
      </x:c>
      <x:c r="K46" s="160" t="n">
        <x:f>K39*K13</x:f>
        <x:v>676.831698329389</x:v>
      </x:c>
      <x:c r="L46" s="160" t="n">
        <x:f>L39*L13</x:f>
        <x:v>701.6638644370602</x:v>
      </x:c>
      <x:c r="M46" s="160" t="n">
        <x:f>M39*M13</x:f>
        <x:v>727.1708861356406</x:v>
      </x:c>
      <x:c r="N46" s="160" t="n">
        <x:f>N39*N13</x:f>
        <x:v>773.1393165715155</x:v>
      </x:c>
      <x:c r="O46" s="160" t="n">
        <x:f>O39*O13</x:f>
        <x:v>800.4264102843983</x:v>
      </x:c>
      <x:c r="P46" s="160" t="n">
        <x:f>P39*P13</x:f>
        <x:v>852.9662297230625</x:v>
      </x:c>
    </x:row>
    <x:row r="47">
      <x:c r="A47" s="54"/>
      <x:c r="B47" s="54"/>
      <x:c r="C47" s="121" t="str">
        <x:v>EBIT</x:v>
      </x:c>
      <x:c r="D47" s="160" t="n">
        <x:f>D44-D46</x:f>
        <x:v>7033.500000000002</x:v>
      </x:c>
      <x:c r="E47" s="160" t="n">
        <x:f>E44-E46</x:f>
        <x:v>5730.2</x:v>
      </x:c>
      <x:c r="F47" s="160" t="n">
        <x:f>F44-F46</x:f>
        <x:v>6794.4000000000015</x:v>
      </x:c>
      <x:c r="G47" s="160" t="n">
        <x:f>G44-G46</x:f>
        <x:v>8463.599999999999</x:v>
      </x:c>
      <x:c r="H47" s="159" t="n">
        <x:f>H44-H46</x:f>
        <x:v>9113.252250698988</x:v>
      </x:c>
      <x:c r="I47" s="160" t="n">
        <x:f>I44-I46</x:f>
        <x:v>9875.923284117891</x:v>
      </x:c>
      <x:c r="J47" s="160" t="n">
        <x:f>J44-J46</x:f>
        <x:v>11068.54896040943</x:v>
      </x:c>
      <x:c r="K47" s="160" t="n">
        <x:f>K44-K46</x:f>
        <x:v>12487.54483417723</x:v>
      </x:c>
      <x:c r="L47" s="160" t="n">
        <x:f>L44-L46</x:f>
        <x:v>13403.57894886179</x:v>
      </x:c>
      <x:c r="M47" s="160" t="n">
        <x:f>M44-M46</x:f>
        <x:v>14352.056963203433</x:v>
      </x:c>
      <x:c r="N47" s="160" t="n">
        <x:f>N44-N46</x:f>
        <x:v>15340.711702497962</x:v>
      </x:c>
      <x:c r="O47" s="160" t="n">
        <x:f>O44-O46</x:f>
        <x:v>16462.824276389925</x:v>
      </x:c>
      <x:c r="P47" s="160" t="n">
        <x:f>P44-P46</x:f>
        <x:v>17543.440562682452</x:v>
      </x:c>
    </x:row>
    <x:row r="48">
      <x:c r="A48" s="54"/>
      <x:c r="B48" s="54"/>
      <x:c r="C48" s="121" t="str">
        <x:v>Finance costs</x:v>
      </x:c>
      <x:c r="D48" s="156" t="n">
        <x:v>133.9</x:v>
      </x:c>
      <x:c r="E48" s="156" t="n">
        <x:v>154.1</x:v>
      </x:c>
      <x:c r="F48" s="156" t="n">
        <x:v>84.1</x:v>
      </x:c>
      <x:c r="G48" s="156" t="n">
        <x:v>94.8</x:v>
      </x:c>
      <x:c r="H48" s="159" t="n">
        <x:f>(H65+H35)*H15</x:f>
        <x:v>84.276</x:v>
      </x:c>
      <x:c r="I48" s="160" t="n">
        <x:f>(I65+I35)*I15</x:f>
        <x:v>53.01163088643323</x:v>
      </x:c>
      <x:c r="J48" s="160" t="n">
        <x:f>(J65+J35)*J15</x:f>
        <x:v>37.909248262944864</x:v>
      </x:c>
      <x:c r="K48" s="160" t="n">
        <x:f>(K65+K35)*K15</x:f>
        <x:v>31.386524339284207</x:v>
      </x:c>
      <x:c r="L48" s="160" t="n">
        <x:f>(L65+L35)*L15</x:f>
        <x:v>29.37623273957111</x:v>
      </x:c>
      <x:c r="M48" s="160" t="n">
        <x:f>(M65+M35)*M15</x:f>
        <x:v>29.14191079016205</x:v>
      </x:c>
      <x:c r="N48" s="160" t="n">
        <x:f>(N65+N35)*N15</x:f>
        <x:v>29.848930079756318</x:v>
      </x:c>
      <x:c r="O48" s="160" t="n">
        <x:f>(O65+O35)*O15</x:f>
        <x:v>31.073420511759508</x:v>
      </x:c>
      <x:c r="P48" s="160" t="n">
        <x:f>(P65+P35)*P15</x:f>
        <x:v>32.61257553708967</x:v>
      </x:c>
    </x:row>
    <x:row r="49">
      <x:c r="A49" s="54"/>
      <x:c r="B49" s="54"/>
      <x:c r="C49" s="127" t="str">
        <x:v>PBT before exceptional items</x:v>
      </x:c>
      <x:c r="D49" s="162" t="n">
        <x:f>D47+D45-D48</x:f>
        <x:v>7910.100000000002</x:v>
      </x:c>
      <x:c r="E49" s="162" t="n">
        <x:f>E47+E45-E48</x:f>
        <x:v>7381.199999999999</x:v>
      </x:c>
      <x:c r="F49" s="162" t="n">
        <x:f>F47+F45-F48</x:f>
        <x:v>8432.800000000001</x:v>
      </x:c>
      <x:c r="G49" s="162" t="n">
        <x:f>G47+G45-G48</x:f>
        <x:v>10248.3</x:v>
      </x:c>
      <x:c r="H49" s="163" t="n">
        <x:f>H47+H45-H48</x:f>
        <x:v>10895.432250698988</x:v>
      </x:c>
      <x:c r="I49" s="162" t="n">
        <x:f>I47+I45-I48</x:f>
        <x:v>11997.816741724873</x:v>
      </x:c>
      <x:c r="J49" s="162" t="n">
        <x:f>J47+J45-J48</x:f>
        <x:v>13453.643578380612</x:v>
      </x:c>
      <x:c r="K49" s="162" t="n">
        <x:f>K47+K45-K48</x:f>
        <x:v>15186.104154968645</x:v>
      </x:c>
      <x:c r="L49" s="162" t="n">
        <x:f>L47+L45-L48</x:f>
        <x:v>16451.822131684075</x:v>
      </x:c>
      <x:c r="M49" s="162" t="n">
        <x:f>M47+M45-M48</x:f>
        <x:v>17774.08888409521</x:v>
      </x:c>
      <x:c r="N49" s="162" t="n">
        <x:f>N47+N45-N48</x:f>
        <x:v>19169.175052401984</x:v>
      </x:c>
      <x:c r="O49" s="162" t="n">
        <x:f>O47+O45-O48</x:f>
        <x:v>20725.098848717003</x:v>
      </x:c>
      <x:c r="P49" s="162" t="n">
        <x:f>P47+P45-P48</x:f>
        <x:v>22278.697227567314</x:v>
      </x:c>
    </x:row>
    <x:row r="50">
      <x:c r="A50" s="54"/>
      <x:c r="B50" s="54"/>
      <x:c r="C50" s="121" t="str">
        <x:v>Exceptional items</x:v>
      </x:c>
      <x:c r="D50" s="160" t="n">
        <x:f>D32</x:f>
        <x:v>330</x:v>
      </x:c>
      <x:c r="E50" s="160" t="n">
        <x:f>E32</x:f>
        <x:v>79.5</x:v>
      </x:c>
      <x:c r="F50" s="160" t="n">
        <x:f>F32</x:f>
        <x:v>1728.1</x:v>
      </x:c>
      <x:c r="G50" s="160" t="n">
        <x:f>G32</x:f>
        <x:v>-491.6</x:v>
      </x:c>
      <x:c r="H50" s="159" t="n">
        <x:f>H32</x:f>
        <x:v>1313.8</x:v>
      </x:c>
      <x:c r="I50" s="160" t="n">
        <x:f>I32</x:f>
        <x:v>0</x:v>
      </x:c>
      <x:c r="J50" s="160" t="n">
        <x:f>J32</x:f>
        <x:v>0</x:v>
      </x:c>
      <x:c r="K50" s="160" t="n">
        <x:f>K32</x:f>
        <x:v>0</x:v>
      </x:c>
      <x:c r="L50" s="160" t="n">
        <x:f>L32</x:f>
        <x:v>0</x:v>
      </x:c>
      <x:c r="M50" s="160" t="n">
        <x:f>M32</x:f>
        <x:v>0</x:v>
      </x:c>
      <x:c r="N50" s="160" t="n">
        <x:f>N32</x:f>
        <x:v>0</x:v>
      </x:c>
      <x:c r="O50" s="160" t="n">
        <x:f>O32</x:f>
        <x:v>0</x:v>
      </x:c>
      <x:c r="P50" s="160" t="n">
        <x:f>P32</x:f>
        <x:v>0</x:v>
      </x:c>
    </x:row>
    <x:row r="51">
      <x:c r="A51" s="54"/>
      <x:c r="B51" s="54"/>
      <x:c r="C51" s="121" t="str">
        <x:v>Profit before tax</x:v>
      </x:c>
      <x:c r="D51" s="160" t="n">
        <x:f>D49+D50</x:f>
        <x:v>8240.100000000002</x:v>
      </x:c>
      <x:c r="E51" s="160" t="n">
        <x:f>E49+E50</x:f>
        <x:v>7460.699999999999</x:v>
      </x:c>
      <x:c r="F51" s="160" t="n">
        <x:f>F49+F50</x:f>
        <x:v>10160.900000000001</x:v>
      </x:c>
      <x:c r="G51" s="160" t="n">
        <x:f>G49+G50</x:f>
        <x:v>9756.699999999999</x:v>
      </x:c>
      <x:c r="H51" s="159" t="n">
        <x:f>H49+H50</x:f>
        <x:v>12209.232250698988</x:v>
      </x:c>
      <x:c r="I51" s="160" t="n">
        <x:f>I49+I50</x:f>
        <x:v>11997.816741724873</x:v>
      </x:c>
      <x:c r="J51" s="160" t="n">
        <x:f>J49+J50</x:f>
        <x:v>13453.643578380612</x:v>
      </x:c>
      <x:c r="K51" s="160" t="n">
        <x:f>K49+K50</x:f>
        <x:v>15186.104154968645</x:v>
      </x:c>
      <x:c r="L51" s="160" t="n">
        <x:f>L49+L50</x:f>
        <x:v>16451.822131684075</x:v>
      </x:c>
      <x:c r="M51" s="160" t="n">
        <x:f>M49+M50</x:f>
        <x:v>17774.08888409521</x:v>
      </x:c>
      <x:c r="N51" s="160" t="n">
        <x:f>N49+N50</x:f>
        <x:v>19169.175052401984</x:v>
      </x:c>
      <x:c r="O51" s="160" t="n">
        <x:f>O49+O50</x:f>
        <x:v>20725.098848717003</x:v>
      </x:c>
      <x:c r="P51" s="160" t="n">
        <x:f>P49+P50</x:f>
        <x:v>22278.697227567314</x:v>
      </x:c>
    </x:row>
    <x:row r="52">
      <x:c r="A52" s="54"/>
      <x:c r="B52" s="54"/>
      <x:c r="C52" s="121" t="str">
        <x:v>Income tax expense</x:v>
      </x:c>
      <x:c r="D52" s="156" t="n">
        <x:v>2000.8</x:v>
      </x:c>
      <x:c r="E52" s="156" t="n">
        <x:v>1947.4</x:v>
      </x:c>
      <x:c r="F52" s="156" t="n">
        <x:v>2484.9</x:v>
      </x:c>
      <x:c r="G52" s="156" t="n">
        <x:v>2532.4</x:v>
      </x:c>
      <x:c r="H52" s="159" t="n">
        <x:f>H51*H16</x:f>
        <x:v>3113.354223928242</x:v>
      </x:c>
      <x:c r="I52" s="160" t="n">
        <x:f>I51*I16</x:f>
        <x:v>3059.443269139843</x:v>
      </x:c>
      <x:c r="J52" s="160" t="n">
        <x:f>J51*J16</x:f>
        <x:v>3430.679112487056</x:v>
      </x:c>
      <x:c r="K52" s="160" t="n">
        <x:f>K51*K16</x:f>
        <x:v>3872.4565595170047</x:v>
      </x:c>
      <x:c r="L52" s="160" t="n">
        <x:f>L51*L16</x:f>
        <x:v>4195.214643579439</x:v>
      </x:c>
      <x:c r="M52" s="160" t="n">
        <x:f>M51*M16</x:f>
        <x:v>4532.3926654442785</x:v>
      </x:c>
      <x:c r="N52" s="160" t="n">
        <x:f>N51*N16</x:f>
        <x:v>4888.139638362506</x:v>
      </x:c>
      <x:c r="O52" s="160" t="n">
        <x:f>O51*O16</x:f>
        <x:v>5284.900206422836</x:v>
      </x:c>
      <x:c r="P52" s="160" t="n">
        <x:f>P51*P16</x:f>
        <x:v>5681.067793029665</x:v>
      </x:c>
    </x:row>
    <x:row r="53">
      <x:c r="A53" s="54"/>
      <x:c r="B53" s="54"/>
      <x:c r="C53" s="128" t="str">
        <x:v>Profit after tax</x:v>
      </x:c>
      <x:c r="D53" s="164" t="n">
        <x:f>D51-D52</x:f>
        <x:v>6239.300000000002</x:v>
      </x:c>
      <x:c r="E53" s="164" t="n">
        <x:f>E51-E52</x:f>
        <x:v>5513.299999999999</x:v>
      </x:c>
      <x:c r="F53" s="164" t="n">
        <x:f>F51-F52</x:f>
        <x:v>7676.000000000002</x:v>
      </x:c>
      <x:c r="G53" s="164" t="n">
        <x:f>G51-G52</x:f>
        <x:v>7224.299999999999</x:v>
      </x:c>
      <x:c r="H53" s="165" t="n">
        <x:f>H51-H52</x:f>
        <x:v>9095.878026770746</x:v>
      </x:c>
      <x:c r="I53" s="164" t="n">
        <x:f>I51-I52</x:f>
        <x:v>8938.37347258503</x:v>
      </x:c>
      <x:c r="J53" s="164" t="n">
        <x:f>J51-J52</x:f>
        <x:v>10022.964465893556</x:v>
      </x:c>
      <x:c r="K53" s="164" t="n">
        <x:f>K51-K52</x:f>
        <x:v>11313.64759545164</x:v>
      </x:c>
      <x:c r="L53" s="164" t="n">
        <x:f>L51-L52</x:f>
        <x:v>12256.607488104637</x:v>
      </x:c>
      <x:c r="M53" s="164" t="n">
        <x:f>M51-M52</x:f>
        <x:v>13241.696218650932</x:v>
      </x:c>
      <x:c r="N53" s="164" t="n">
        <x:f>N51-N52</x:f>
        <x:v>14281.035414039477</x:v>
      </x:c>
      <x:c r="O53" s="164" t="n">
        <x:f>O51-O52</x:f>
        <x:v>15440.198642294166</x:v>
      </x:c>
      <x:c r="P53" s="164" t="n">
        <x:f>P51-P52</x:f>
        <x:v>16597.62943453765</x:v>
      </x:c>
    </x:row>
    <x:row r="54">
      <x:c r="A54" s="54"/>
      <x:c r="B54" s="54"/>
      <x:c r="C54" s="121" t="str">
        <x:v>Core profit after tax</x:v>
      </x:c>
      <x:c r="D54" s="160" t="n">
        <x:f>D56*D31</x:f>
        <x:v>5878.922802</x:v>
      </x:c>
      <x:c r="E54" s="160" t="n">
        <x:f>E56*E31</x:f>
        <x:v>5454.35934984</x:v>
      </x:c>
      <x:c r="F54" s="160" t="n">
        <x:f>F56*F31</x:f>
        <x:v>6243.09576312</x:v>
      </x:c>
      <x:c r="G54" s="160" t="n">
        <x:f>G56*G31</x:f>
        <x:v>7589.07170736</x:v>
      </x:c>
      <x:c r="H54" s="159" t="n">
        <x:f>H49*(1-H16)</x:f>
        <x:v>8117.097026770746</x:v>
      </x:c>
      <x:c r="I54" s="160" t="n">
        <x:f>I49*(1-I16)</x:f>
        <x:v>8938.37347258503</x:v>
      </x:c>
      <x:c r="J54" s="160" t="n">
        <x:f>J49*(1-J16)</x:f>
        <x:v>10022.964465893556</x:v>
      </x:c>
      <x:c r="K54" s="160" t="n">
        <x:f>K49*(1-K16)</x:f>
        <x:v>11313.64759545164</x:v>
      </x:c>
      <x:c r="L54" s="160" t="n">
        <x:f>L49*(1-L16)</x:f>
        <x:v>12256.607488104637</x:v>
      </x:c>
      <x:c r="M54" s="160" t="n">
        <x:f>M49*(1-M16)</x:f>
        <x:v>13241.696218650932</x:v>
      </x:c>
      <x:c r="N54" s="160" t="n">
        <x:f>N49*(1-N16)</x:f>
        <x:v>14281.035414039477</x:v>
      </x:c>
      <x:c r="O54" s="160" t="n">
        <x:f>O49*(1-O16)</x:f>
        <x:v>15440.198642294168</x:v>
      </x:c>
      <x:c r="P54" s="160" t="n">
        <x:f>P49*(1-P16)</x:f>
        <x:v>16597.62943453765</x:v>
      </x:c>
    </x:row>
    <x:row r="55">
      <x:c r="A55" s="54"/>
      <x:c r="B55" s="54"/>
      <x:c r="C55" s="121" t="str">
        <x:v>EPS</x:v>
      </x:c>
      <x:c r="D55" s="150" t="n">
        <x:v>136.38</x:v>
      </x:c>
      <x:c r="E55" s="150" t="n">
        <x:v>120.51</x:v>
      </x:c>
      <x:c r="F55" s="150" t="n">
        <x:v>167.79</x:v>
      </x:c>
      <x:c r="G55" s="150" t="n">
        <x:v>157.92</x:v>
      </x:c>
      <x:c r="H55" s="166" t="n">
        <x:f>H53/H31</x:f>
        <x:v>198.81538945236875</x:v>
      </x:c>
      <x:c r="I55" s="152" t="n">
        <x:f>I53/I31</x:f>
        <x:v>195.37269494956303</x:v>
      </x:c>
      <x:c r="J55" s="152" t="n">
        <x:f>J53/J31</x:f>
        <x:v>219.0794091443356</x:v>
      </x:c>
      <x:c r="K55" s="152" t="n">
        <x:f>K53/K31</x:f>
        <x:v>247.2908328581818</x:v>
      </x:c>
      <x:c r="L55" s="152" t="n">
        <x:f>L53/L31</x:f>
        <x:v>267.901810461883</x:v>
      </x:c>
      <x:c r="M55" s="152" t="n">
        <x:f>M53/M31</x:f>
        <x:v>289.4336294937871</x:v>
      </x:c>
      <x:c r="N55" s="152" t="n">
        <x:f>N53/N31</x:f>
        <x:v>312.15124139404764</x:v>
      </x:c>
      <x:c r="O55" s="152" t="n">
        <x:f>O53/O31</x:f>
        <x:v>337.4879365416781</x:v>
      </x:c>
      <x:c r="P55" s="152" t="n">
        <x:f>P53/P31</x:f>
        <x:v>362.7867645434151</x:v>
      </x:c>
    </x:row>
    <x:row r="56">
      <x:c r="A56" s="54"/>
      <x:c r="B56" s="54"/>
      <x:c r="C56" s="121" t="str">
        <x:v>Core EPS</x:v>
      </x:c>
      <x:c r="D56" s="150" t="n">
        <x:v>128.5</x:v>
      </x:c>
      <x:c r="E56" s="150" t="n">
        <x:v>119.22</x:v>
      </x:c>
      <x:c r="F56" s="150" t="n">
        <x:v>136.46</x:v>
      </x:c>
      <x:c r="G56" s="150" t="n">
        <x:v>165.88</x:v>
      </x:c>
      <x:c r="H56" s="166" t="n">
        <x:f>H54/H31</x:f>
        <x:v>177.42144319112305</x:v>
      </x:c>
      <x:c r="I56" s="152" t="n">
        <x:f>I54/I31</x:f>
        <x:v>195.37269494956303</x:v>
      </x:c>
      <x:c r="J56" s="152" t="n">
        <x:f>J54/J31</x:f>
        <x:v>219.0794091443356</x:v>
      </x:c>
      <x:c r="K56" s="152" t="n">
        <x:f>K54/K31</x:f>
        <x:v>247.2908328581818</x:v>
      </x:c>
      <x:c r="L56" s="152" t="n">
        <x:f>L54/L31</x:f>
        <x:v>267.901810461883</x:v>
      </x:c>
      <x:c r="M56" s="152" t="n">
        <x:f>M54/M31</x:f>
        <x:v>289.4336294937871</x:v>
      </x:c>
      <x:c r="N56" s="152" t="n">
        <x:f>N54/N31</x:f>
        <x:v>312.15124139404764</x:v>
      </x:c>
      <x:c r="O56" s="152" t="n">
        <x:f>O54/O31</x:f>
        <x:v>337.48793654167815</x:v>
      </x:c>
      <x:c r="P56" s="152" t="n">
        <x:f>P54/P31</x:f>
        <x:v>362.7867645434151</x:v>
      </x:c>
    </x:row>
    <x:row r="57">
      <x:c r="A57" s="54"/>
      <x:c r="B57" s="54"/>
      <x:c r="C57" s="121"/>
      <x:c r="D57" s="130"/>
      <x:c r="E57" s="130"/>
      <x:c r="F57" s="130"/>
      <x:c r="G57" s="130"/>
      <x:c r="H57" s="167"/>
      <x:c r="I57" s="130"/>
      <x:c r="J57" s="130"/>
      <x:c r="K57" s="130"/>
      <x:c r="L57" s="130"/>
      <x:c r="M57" s="130"/>
      <x:c r="N57" s="130"/>
      <x:c r="O57" s="130"/>
      <x:c r="P57" s="130"/>
    </x:row>
    <x:row r="58" ht="18" customHeight="1">
      <x:c r="A58" s="54"/>
      <x:c r="B58" s="54"/>
      <x:c r="C58" s="124" t="str">
        <x:v>Fixed assets and lease liabilities</x:v>
      </x:c>
      <x:c r="D58" s="136"/>
      <x:c r="E58" s="136"/>
      <x:c r="F58" s="136"/>
      <x:c r="G58" s="136"/>
      <x:c r="H58" s="161"/>
      <x:c r="I58" s="136"/>
      <x:c r="J58" s="136"/>
      <x:c r="K58" s="136"/>
      <x:c r="L58" s="136"/>
      <x:c r="M58" s="136"/>
      <x:c r="N58" s="136"/>
      <x:c r="O58" s="136"/>
      <x:c r="P58" s="137"/>
    </x:row>
    <x:row r="59" ht="23" customHeight="1">
      <x:c r="A59" s="54"/>
      <x:c r="B59" s="54"/>
      <x:c r="C59" s="125" t="str">
        <x:v>INR million unless stated</x:v>
      </x:c>
      <x:c r="D59" s="138" t="str">
        <x:v>FY23A</x:v>
      </x:c>
      <x:c r="E59" s="138" t="str">
        <x:v>FY24A</x:v>
      </x:c>
      <x:c r="F59" s="138" t="str">
        <x:v>FY25A</x:v>
      </x:c>
      <x:c r="G59" s="138" t="str">
        <x:v>FY26A</x:v>
      </x:c>
      <x:c r="H59" s="139" t="str">
        <x:v>FY27E</x:v>
      </x:c>
      <x:c r="I59" s="140" t="str">
        <x:v>FY28E</x:v>
      </x:c>
      <x:c r="J59" s="140" t="str">
        <x:v>FY29E</x:v>
      </x:c>
      <x:c r="K59" s="140" t="str">
        <x:v>FY30E</x:v>
      </x:c>
      <x:c r="L59" s="140" t="str">
        <x:v>FY31E</x:v>
      </x:c>
      <x:c r="M59" s="140" t="str">
        <x:v>FY32E</x:v>
      </x:c>
      <x:c r="N59" s="140" t="str">
        <x:v>FY33E</x:v>
      </x:c>
      <x:c r="O59" s="140" t="str">
        <x:v>FY34E</x:v>
      </x:c>
      <x:c r="P59" s="141" t="str">
        <x:v>FY35E</x:v>
      </x:c>
    </x:row>
    <x:row r="60">
      <x:c r="A60" s="54"/>
      <x:c r="B60" s="54"/>
      <x:c r="C60" s="121" t="str">
        <x:v>Opening net fixed assets</x:v>
      </x:c>
      <x:c r="D60" s="160"/>
      <x:c r="E60" s="160" t="n">
        <x:f>D64</x:f>
        <x:v>2296.9</x:v>
      </x:c>
      <x:c r="F60" s="160" t="n">
        <x:f>E64</x:f>
        <x:v>1856.2</x:v>
      </x:c>
      <x:c r="G60" s="160" t="n">
        <x:f>F64</x:f>
        <x:v>2037.7</x:v>
      </x:c>
      <x:c r="H60" s="159" t="n">
        <x:f>G64</x:f>
        <x:v>1704.8</x:v>
      </x:c>
      <x:c r="I60" s="160" t="n">
        <x:f>H64</x:f>
        <x:v>1678.7621364265742</x:v>
      </x:c>
      <x:c r="J60" s="160" t="n">
        <x:f>I64</x:f>
        <x:v>1678.7621364265742</x:v>
      </x:c>
      <x:c r="K60" s="160" t="n">
        <x:f>J64</x:f>
        <x:v>1693.9453311596462</x:v>
      </x:c>
      <x:c r="L60" s="160" t="n">
        <x:f>K64</x:f>
        <x:v>1727.7869160761156</x:v>
      </x:c>
      <x:c r="M60" s="160" t="n">
        <x:f>L64</x:f>
        <x:v>1781.7610594943508</x:v>
      </x:c>
      <x:c r="N60" s="160" t="n">
        <x:f>M64</x:f>
        <x:v>1858.3053632981023</x:v>
      </x:c>
      <x:c r="O60" s="160" t="n">
        <x:f>N64</x:f>
        <x:v>1919.3426777642749</x:v>
      </x:c>
      <x:c r="P60" s="160" t="n">
        <x:f>O64</x:f>
        <x:v>2005.8752626598855</x:v>
      </x:c>
    </x:row>
    <x:row r="61">
      <x:c r="A61" s="54"/>
      <x:c r="B61" s="54"/>
      <x:c r="C61" s="121" t="str">
        <x:v>Cash capital expenditure</x:v>
      </x:c>
      <x:c r="D61" s="156" t="n">
        <x:v>649.8</x:v>
      </x:c>
      <x:c r="E61" s="156" t="n">
        <x:v>189.3</x:v>
      </x:c>
      <x:c r="F61" s="156" t="n">
        <x:v>281.5</x:v>
      </x:c>
      <x:c r="G61" s="156" t="n">
        <x:v>252.3</x:v>
      </x:c>
      <x:c r="H61" s="159" t="n">
        <x:f>H39*H17</x:f>
        <x:v>468.6815443216623</x:v>
      </x:c>
      <x:c r="I61" s="160" t="n">
        <x:f>I39*I17</x:f>
        <x:v>495.17164098641246</x:v>
      </x:c>
      <x:c r="J61" s="160" t="n">
        <x:f>J39*J17</x:f>
        <x:v>546.595010390589</x:v>
      </x:c>
      <x:c r="K61" s="160" t="n">
        <x:f>K39*K17</x:f>
        <x:v>609.1485284964501</x:v>
      </x:c>
      <x:c r="L61" s="160" t="n">
        <x:f>L39*L17</x:f>
        <x:v>647.6897210188247</x:v>
      </x:c>
      <x:c r="M61" s="160" t="n">
        <x:f>M39*M17</x:f>
        <x:v>688.8987342337647</x:v>
      </x:c>
      <x:c r="N61" s="160" t="n">
        <x:f>N39*N17</x:f>
        <x:v>712.1020021053432</x:v>
      </x:c>
      <x:c r="O61" s="160" t="n">
        <x:f>O39*O17</x:f>
        <x:v>757.1601178365931</x:v>
      </x:c>
      <x:c r="P61" s="160" t="n">
        <x:f>P39*P17</x:f>
        <x:v>806.8599470353295</x:v>
      </x:c>
    </x:row>
    <x:row r="62">
      <x:c r="A62" s="54"/>
      <x:c r="B62" s="54"/>
      <x:c r="C62" s="121" t="str">
        <x:v>New lease assets</x:v>
      </x:c>
      <x:c r="D62" s="160"/>
      <x:c r="E62" s="160"/>
      <x:c r="F62" s="160"/>
      <x:c r="G62" s="160"/>
      <x:c r="H62" s="159" t="n">
        <x:f>H39*H18</x:f>
        <x:v>78.11359072027705</x:v>
      </x:c>
      <x:c r="I62" s="160" t="n">
        <x:f>I39*I18</x:f>
        <x:v>82.52860683106874</x:v>
      </x:c>
      <x:c r="J62" s="160" t="n">
        <x:f>J39*J18</x:f>
        <x:v>91.0991683984315</x:v>
      </x:c>
      <x:c r="K62" s="160" t="n">
        <x:f>K39*K18</x:f>
        <x:v>101.52475474940836</x:v>
      </x:c>
      <x:c r="L62" s="160" t="n">
        <x:f>L39*L18</x:f>
        <x:v>107.94828683647079</x:v>
      </x:c>
      <x:c r="M62" s="160" t="n">
        <x:f>M39*M18</x:f>
        <x:v>114.81645570562746</x:v>
      </x:c>
      <x:c r="N62" s="160" t="n">
        <x:f>N39*N18</x:f>
        <x:v>122.07462893234455</x:v>
      </x:c>
      <x:c r="O62" s="160" t="n">
        <x:f>O39*O18</x:f>
        <x:v>129.79887734341597</x:v>
      </x:c>
      <x:c r="P62" s="160" t="n">
        <x:f>P39*P18</x:f>
        <x:v>138.31884806319934</x:v>
      </x:c>
    </x:row>
    <x:row r="63">
      <x:c r="A63" s="54"/>
      <x:c r="B63" s="54"/>
      <x:c r="C63" s="121" t="str">
        <x:v>Depreciation and amortisation</x:v>
      </x:c>
      <x:c r="D63" s="160" t="n">
        <x:f>D46</x:f>
        <x:v>1055.1</x:v>
      </x:c>
      <x:c r="E63" s="160" t="n">
        <x:f>E46</x:f>
        <x:v>622.8</x:v>
      </x:c>
      <x:c r="F63" s="160" t="n">
        <x:f>F46</x:f>
        <x:v>607.9</x:v>
      </x:c>
      <x:c r="G63" s="160" t="n">
        <x:f>G46</x:f>
        <x:v>577.3</x:v>
      </x:c>
      <x:c r="H63" s="159" t="n">
        <x:f>H46</x:f>
        <x:v>572.832998615365</x:v>
      </x:c>
      <x:c r="I63" s="160" t="n">
        <x:f>I46</x:f>
        <x:v>577.7002478174812</x:v>
      </x:c>
      <x:c r="J63" s="160" t="n">
        <x:f>J46</x:f>
        <x:v>622.5109840559486</x:v>
      </x:c>
      <x:c r="K63" s="160" t="n">
        <x:f>K46</x:f>
        <x:v>676.831698329389</x:v>
      </x:c>
      <x:c r="L63" s="160" t="n">
        <x:f>L46</x:f>
        <x:v>701.6638644370602</x:v>
      </x:c>
      <x:c r="M63" s="160" t="n">
        <x:f>M46</x:f>
        <x:v>727.1708861356406</x:v>
      </x:c>
      <x:c r="N63" s="160" t="n">
        <x:f>N46</x:f>
        <x:v>773.1393165715155</x:v>
      </x:c>
      <x:c r="O63" s="160" t="n">
        <x:f>O46</x:f>
        <x:v>800.4264102843983</x:v>
      </x:c>
      <x:c r="P63" s="160" t="n">
        <x:f>P46</x:f>
        <x:v>852.9662297230625</x:v>
      </x:c>
    </x:row>
    <x:row r="64">
      <x:c r="A64" s="54"/>
      <x:c r="B64" s="54"/>
      <x:c r="C64" s="127" t="str">
        <x:v>Closing net fixed assets</x:v>
      </x:c>
      <x:c r="D64" s="162" t="n">
        <x:v>2296.9</x:v>
      </x:c>
      <x:c r="E64" s="162" t="n">
        <x:v>1856.2</x:v>
      </x:c>
      <x:c r="F64" s="162" t="n">
        <x:v>2037.7</x:v>
      </x:c>
      <x:c r="G64" s="162" t="n">
        <x:v>1704.8</x:v>
      </x:c>
      <x:c r="H64" s="163" t="n">
        <x:f>H60+H61+H62-H63</x:f>
        <x:v>1678.7621364265742</x:v>
      </x:c>
      <x:c r="I64" s="162" t="n">
        <x:f>I60+I61+I62-I63</x:f>
        <x:v>1678.7621364265742</x:v>
      </x:c>
      <x:c r="J64" s="162" t="n">
        <x:f>J60+J61+J62-J63</x:f>
        <x:v>1693.9453311596462</x:v>
      </x:c>
      <x:c r="K64" s="162" t="n">
        <x:f>K60+K61+K62-K63</x:f>
        <x:v>1727.7869160761156</x:v>
      </x:c>
      <x:c r="L64" s="162" t="n">
        <x:f>L60+L61+L62-L63</x:f>
        <x:v>1781.7610594943508</x:v>
      </x:c>
      <x:c r="M64" s="162" t="n">
        <x:f>M60+M61+M62-M63</x:f>
        <x:v>1858.3053632981023</x:v>
      </x:c>
      <x:c r="N64" s="162" t="n">
        <x:f>N60+N61+N62-N63</x:f>
        <x:v>1919.3426777642749</x:v>
      </x:c>
      <x:c r="O64" s="162" t="n">
        <x:f>O60+O61+O62-O63</x:f>
        <x:v>2005.8752626598855</x:v>
      </x:c>
      <x:c r="P64" s="162" t="n">
        <x:f>P60+P61+P62-P63</x:f>
        <x:v>2098.087828035352</x:v>
      </x:c>
    </x:row>
    <x:row r="65">
      <x:c r="A65" s="54"/>
      <x:c r="B65" s="54"/>
      <x:c r="C65" s="121" t="str">
        <x:v>Opening lease liabilities</x:v>
      </x:c>
      <x:c r="D65" s="160"/>
      <x:c r="E65" s="160" t="n">
        <x:f>D68</x:f>
        <x:v>1319.7</x:v>
      </x:c>
      <x:c r="F65" s="160" t="n">
        <x:f>E68</x:f>
        <x:v>920.4</x:v>
      </x:c>
      <x:c r="G65" s="160" t="n">
        <x:f>F68</x:f>
        <x:v>1059</x:v>
      </x:c>
      <x:c r="H65" s="159" t="n">
        <x:f>G68</x:f>
        <x:v>677.3</x:v>
      </x:c>
      <x:c r="I65" s="160" t="n">
        <x:f>H68</x:f>
        <x:v>416.76359072027697</x:v>
      </x:c>
      <x:c r="J65" s="160" t="n">
        <x:f>I68</x:f>
        <x:v>290.9104021912072</x:v>
      </x:c>
      <x:c r="K65" s="160" t="n">
        <x:f>J68</x:f>
        <x:v>236.55436949403511</x:v>
      </x:c>
      <x:c r="L65" s="160" t="n">
        <x:f>K68</x:f>
        <x:v>219.80193949642592</x:v>
      </x:c>
      <x:c r="M65" s="160" t="n">
        <x:f>L68</x:f>
        <x:v>217.84925658468376</x:v>
      </x:c>
      <x:c r="N65" s="160" t="n">
        <x:f>M68</x:f>
        <x:v>223.74108399796933</x:v>
      </x:c>
      <x:c r="O65" s="160" t="n">
        <x:f>N68</x:f>
        <x:v>233.94517093132924</x:v>
      </x:c>
      <x:c r="P65" s="160" t="n">
        <x:f>O68</x:f>
        <x:v>246.77146280908056</x:v>
      </x:c>
    </x:row>
    <x:row r="66">
      <x:c r="A66" s="54"/>
      <x:c r="B66" s="54"/>
      <x:c r="C66" s="121" t="str">
        <x:v>New lease liabilities</x:v>
      </x:c>
      <x:c r="D66" s="160"/>
      <x:c r="E66" s="160"/>
      <x:c r="F66" s="160"/>
      <x:c r="G66" s="160"/>
      <x:c r="H66" s="159" t="n">
        <x:f>H62</x:f>
        <x:v>78.11359072027705</x:v>
      </x:c>
      <x:c r="I66" s="160" t="n">
        <x:f>I62</x:f>
        <x:v>82.52860683106874</x:v>
      </x:c>
      <x:c r="J66" s="160" t="n">
        <x:f>J62</x:f>
        <x:v>91.0991683984315</x:v>
      </x:c>
      <x:c r="K66" s="160" t="n">
        <x:f>K62</x:f>
        <x:v>101.52475474940836</x:v>
      </x:c>
      <x:c r="L66" s="160" t="n">
        <x:f>L62</x:f>
        <x:v>107.94828683647079</x:v>
      </x:c>
      <x:c r="M66" s="160" t="n">
        <x:f>M62</x:f>
        <x:v>114.81645570562746</x:v>
      </x:c>
      <x:c r="N66" s="160" t="n">
        <x:f>N62</x:f>
        <x:v>122.07462893234455</x:v>
      </x:c>
      <x:c r="O66" s="160" t="n">
        <x:f>O62</x:f>
        <x:v>129.79887734341597</x:v>
      </x:c>
      <x:c r="P66" s="160" t="n">
        <x:f>P62</x:f>
        <x:v>138.31884806319934</x:v>
      </x:c>
    </x:row>
    <x:row r="67">
      <x:c r="A67" s="54"/>
      <x:c r="B67" s="54"/>
      <x:c r="C67" s="121" t="str">
        <x:v>Lease principal repayment</x:v>
      </x:c>
      <x:c r="D67" s="156" t="n">
        <x:v>352</x:v>
      </x:c>
      <x:c r="E67" s="156" t="n">
        <x:v>410.5</x:v>
      </x:c>
      <x:c r="F67" s="156" t="n">
        <x:v>373.1</x:v>
      </x:c>
      <x:c r="G67" s="156" t="n">
        <x:v>381.7</x:v>
      </x:c>
      <x:c r="H67" s="159" t="n">
        <x:f>H65*H19</x:f>
        <x:v>338.65</x:v>
      </x:c>
      <x:c r="I67" s="160" t="n">
        <x:f>I65*I19</x:f>
        <x:v>208.38179536013848</x:v>
      </x:c>
      <x:c r="J67" s="160" t="n">
        <x:f>J65*J19</x:f>
        <x:v>145.4552010956036</x:v>
      </x:c>
      <x:c r="K67" s="160" t="n">
        <x:f>K65*K19</x:f>
        <x:v>118.27718474701756</x:v>
      </x:c>
      <x:c r="L67" s="160" t="n">
        <x:f>L65*L19</x:f>
        <x:v>109.90096974821296</x:v>
      </x:c>
      <x:c r="M67" s="160" t="n">
        <x:f>M65*M19</x:f>
        <x:v>108.92462829234188</x:v>
      </x:c>
      <x:c r="N67" s="160" t="n">
        <x:f>N65*N19</x:f>
        <x:v>111.87054199898466</x:v>
      </x:c>
      <x:c r="O67" s="160" t="n">
        <x:f>O65*O19</x:f>
        <x:v>116.97258546566462</x:v>
      </x:c>
      <x:c r="P67" s="160" t="n">
        <x:f>P65*P19</x:f>
        <x:v>123.38573140454028</x:v>
      </x:c>
    </x:row>
    <x:row r="68">
      <x:c r="A68" s="54"/>
      <x:c r="B68" s="54"/>
      <x:c r="C68" s="127" t="str">
        <x:v>Closing lease liabilities</x:v>
      </x:c>
      <x:c r="D68" s="162" t="n">
        <x:v>1319.7</x:v>
      </x:c>
      <x:c r="E68" s="162" t="n">
        <x:v>920.4</x:v>
      </x:c>
      <x:c r="F68" s="162" t="n">
        <x:v>1059</x:v>
      </x:c>
      <x:c r="G68" s="162" t="n">
        <x:v>677.3</x:v>
      </x:c>
      <x:c r="H68" s="163" t="n">
        <x:f>H65+H66-H67</x:f>
        <x:v>416.76359072027697</x:v>
      </x:c>
      <x:c r="I68" s="162" t="n">
        <x:f>I65+I66-I67</x:f>
        <x:v>290.9104021912072</x:v>
      </x:c>
      <x:c r="J68" s="162" t="n">
        <x:f>J65+J66-J67</x:f>
        <x:v>236.55436949403511</x:v>
      </x:c>
      <x:c r="K68" s="162" t="n">
        <x:f>K65+K66-K67</x:f>
        <x:v>219.80193949642592</x:v>
      </x:c>
      <x:c r="L68" s="162" t="n">
        <x:f>L65+L66-L67</x:f>
        <x:v>217.84925658468376</x:v>
      </x:c>
      <x:c r="M68" s="162" t="n">
        <x:f>M65+M66-M67</x:f>
        <x:v>223.74108399796933</x:v>
      </x:c>
      <x:c r="N68" s="162" t="n">
        <x:f>N65+N66-N67</x:f>
        <x:v>233.94517093132924</x:v>
      </x:c>
      <x:c r="O68" s="162" t="n">
        <x:f>O65+O66-O67</x:f>
        <x:v>246.77146280908056</x:v>
      </x:c>
      <x:c r="P68" s="162" t="n">
        <x:f>P65+P66-P67</x:f>
        <x:v>261.7045794677397</x:v>
      </x:c>
    </x:row>
    <x:row r="69">
      <x:c r="A69" s="54"/>
      <x:c r="B69" s="54"/>
      <x:c r="C69" s="121"/>
      <x:c r="D69" s="130"/>
      <x:c r="E69" s="130"/>
      <x:c r="F69" s="130"/>
      <x:c r="G69" s="130"/>
      <x:c r="H69" s="167"/>
      <x:c r="I69" s="130"/>
      <x:c r="J69" s="130"/>
      <x:c r="K69" s="130"/>
      <x:c r="L69" s="130"/>
      <x:c r="M69" s="130"/>
      <x:c r="N69" s="130"/>
      <x:c r="O69" s="130"/>
      <x:c r="P69" s="130"/>
    </x:row>
    <x:row r="70" ht="18" customHeight="1">
      <x:c r="A70" s="54"/>
      <x:c r="B70" s="54"/>
      <x:c r="C70" s="124" t="str">
        <x:v>Working capital, liquidity and equity schedules</x:v>
      </x:c>
      <x:c r="D70" s="136"/>
      <x:c r="E70" s="136"/>
      <x:c r="F70" s="136"/>
      <x:c r="G70" s="136"/>
      <x:c r="H70" s="161"/>
      <x:c r="I70" s="136"/>
      <x:c r="J70" s="136"/>
      <x:c r="K70" s="136"/>
      <x:c r="L70" s="136"/>
      <x:c r="M70" s="136"/>
      <x:c r="N70" s="136"/>
      <x:c r="O70" s="136"/>
      <x:c r="P70" s="137"/>
    </x:row>
    <x:row r="71" ht="23" customHeight="1">
      <x:c r="A71" s="54"/>
      <x:c r="B71" s="54"/>
      <x:c r="C71" s="125" t="str">
        <x:v>INR million unless stated</x:v>
      </x:c>
      <x:c r="D71" s="138" t="str">
        <x:v>FY23A</x:v>
      </x:c>
      <x:c r="E71" s="138" t="str">
        <x:v>FY24A</x:v>
      </x:c>
      <x:c r="F71" s="138" t="str">
        <x:v>FY25A</x:v>
      </x:c>
      <x:c r="G71" s="138" t="str">
        <x:v>FY26A</x:v>
      </x:c>
      <x:c r="H71" s="139" t="str">
        <x:v>FY27E</x:v>
      </x:c>
      <x:c r="I71" s="140" t="str">
        <x:v>FY28E</x:v>
      </x:c>
      <x:c r="J71" s="140" t="str">
        <x:v>FY29E</x:v>
      </x:c>
      <x:c r="K71" s="140" t="str">
        <x:v>FY30E</x:v>
      </x:c>
      <x:c r="L71" s="140" t="str">
        <x:v>FY31E</x:v>
      </x:c>
      <x:c r="M71" s="140" t="str">
        <x:v>FY32E</x:v>
      </x:c>
      <x:c r="N71" s="140" t="str">
        <x:v>FY33E</x:v>
      </x:c>
      <x:c r="O71" s="140" t="str">
        <x:v>FY34E</x:v>
      </x:c>
      <x:c r="P71" s="141" t="str">
        <x:v>FY35E</x:v>
      </x:c>
    </x:row>
    <x:row r="72">
      <x:c r="A72" s="54"/>
      <x:c r="B72" s="54"/>
      <x:c r="C72" s="121" t="str">
        <x:v>Inventories</x:v>
      </x:c>
      <x:c r="D72" s="156" t="n">
        <x:v>4177</x:v>
      </x:c>
      <x:c r="E72" s="156" t="n">
        <x:v>4336.9</x:v>
      </x:c>
      <x:c r="F72" s="156" t="n">
        <x:v>4759.2</x:v>
      </x:c>
      <x:c r="G72" s="156" t="n">
        <x:v>4726.6</x:v>
      </x:c>
      <x:c r="H72" s="159" t="n">
        <x:f>H40*H20/365</x:f>
        <x:v>5007.830199601323</x:v>
      </x:c>
      <x:c r="I72" s="160" t="n">
        <x:f>I40*I20/365</x:f>
        <x:v>5137.1231430188545</x:v>
      </x:c>
      <x:c r="J72" s="160" t="n">
        <x:f>J40*J20/365</x:f>
        <x:v>5564.120897248492</x:v>
      </x:c>
      <x:c r="K72" s="160" t="n">
        <x:f>K40*K20/365</x:f>
        <x:v>6100.756952064903</x:v>
      </x:c>
      <x:c r="L72" s="160" t="n">
        <x:f>L40*L20/365</x:f>
        <x:v>6415.381474128012</x:v>
      </x:c>
      <x:c r="M72" s="160" t="n">
        <x:f>M40*M20/365</x:f>
        <x:v>6767.565008358545</x:v>
      </x:c>
      <x:c r="N72" s="160" t="n">
        <x:f>N40*N20/365</x:f>
        <x:v>7136.0703177711175</x:v>
      </x:c>
      <x:c r="O72" s="160" t="n">
        <x:f>O40*O20/365</x:f>
        <x:v>7565.674288989518</x:v>
      </x:c>
      <x:c r="P72" s="160" t="n">
        <x:f>P40*P20/365</x:f>
        <x:v>8062.283541217988</x:v>
      </x:c>
    </x:row>
    <x:row r="73">
      <x:c r="A73" s="54"/>
      <x:c r="B73" s="54"/>
      <x:c r="C73" s="121" t="str">
        <x:v>Trade receivables</x:v>
      </x:c>
      <x:c r="D73" s="156" t="n">
        <x:v>1517.3</x:v>
      </x:c>
      <x:c r="E73" s="156" t="n">
        <x:v>1876.1</x:v>
      </x:c>
      <x:c r="F73" s="156" t="n">
        <x:v>1930.9</x:v>
      </x:c>
      <x:c r="G73" s="156" t="n">
        <x:v>1818</x:v>
      </x:c>
      <x:c r="H73" s="159" t="n">
        <x:f>H39*H21/365</x:f>
        <x:v>1926.0885383082011</x:v>
      </x:c>
      <x:c r="I73" s="160" t="n">
        <x:f>I39*I21/365</x:f>
        <x:v>2034.9519492592292</x:v>
      </x:c>
      <x:c r="J73" s="160" t="n">
        <x:f>J39*J21/365</x:f>
        <x:v>2204.683070829621</x:v>
      </x:c>
      <x:c r="K73" s="160" t="n">
        <x:f>K39*K21/365</x:f>
        <x:v>2410.6334461046736</x:v>
      </x:c>
      <x:c r="L73" s="160" t="n">
        <x:f>L39*L21/365</x:f>
        <x:v>2563.1556691764754</x:v>
      </x:c>
      <x:c r="M73" s="160" t="n">
        <x:f>M39*M21/365</x:f>
        <x:v>2673.807872596804</x:v>
      </x:c>
      <x:c r="N73" s="160" t="n">
        <x:f>N39*N21/365</x:f>
        <x:v>2842.8338244518595</x:v>
      </x:c>
      <x:c r="O73" s="160" t="n">
        <x:f>O39*O21/365</x:f>
        <x:v>2963.4446882058437</x:v>
      </x:c>
      <x:c r="P73" s="160" t="n">
        <x:f>P39*P21/365</x:f>
        <x:v>3157.9645676529526</x:v>
      </x:c>
    </x:row>
    <x:row r="74">
      <x:c r="A74" s="54"/>
      <x:c r="B74" s="54"/>
      <x:c r="C74" s="121" t="str">
        <x:v>Other assets</x:v>
      </x:c>
      <x:c r="D74" s="156" t="n">
        <x:v>2920.7</x:v>
      </x:c>
      <x:c r="E74" s="156" t="n">
        <x:v>3294.8</x:v>
      </x:c>
      <x:c r="F74" s="156" t="n">
        <x:v>2232.7</x:v>
      </x:c>
      <x:c r="G74" s="156" t="n">
        <x:v>2200.5</x:v>
      </x:c>
      <x:c r="H74" s="159" t="n">
        <x:f>H39*H24</x:f>
        <x:v>2213.218403741183</x:v>
      </x:c>
      <x:c r="I74" s="160" t="n">
        <x:f>I39*I24</x:f>
        <x:v>2310.800991269925</x:v>
      </x:c>
      <x:c r="J74" s="160" t="n">
        <x:f>J39*J24</x:f>
        <x:v>2520.4103256899384</x:v>
      </x:c>
      <x:c r="K74" s="160" t="n">
        <x:f>K39*K24</x:f>
        <x:v>2775.009963150495</x:v>
      </x:c>
      <x:c r="L74" s="160" t="n">
        <x:f>L39*L24</x:f>
        <x:v>2950.586506863535</x:v>
      </x:c>
      <x:c r="M74" s="160" t="n">
        <x:f>M39*M24</x:f>
        <x:v>3100.0443040519413</x:v>
      </x:c>
      <x:c r="N74" s="160" t="n">
        <x:f>N39*N24</x:f>
        <x:v>3296.0149811733027</x:v>
      </x:c>
      <x:c r="O74" s="160" t="n">
        <x:f>O39*O24</x:f>
        <x:v>3461.3033958244255</x:v>
      </x:c>
      <x:c r="P74" s="160" t="n">
        <x:f>P39*P24</x:f>
        <x:v>3688.502615018649</x:v>
      </x:c>
    </x:row>
    <x:row r="75">
      <x:c r="A75" s="54"/>
      <x:c r="B75" s="54"/>
      <x:c r="C75" s="121" t="str">
        <x:v>Tax assets</x:v>
      </x:c>
      <x:c r="D75" s="156" t="n">
        <x:v>5225.3</x:v>
      </x:c>
      <x:c r="E75" s="156" t="n">
        <x:v>5181.8</x:v>
      </x:c>
      <x:c r="F75" s="156" t="n">
        <x:v>4865.9</x:v>
      </x:c>
      <x:c r="G75" s="156" t="n">
        <x:v>2386.4</x:v>
      </x:c>
      <x:c r="H75" s="159" t="n">
        <x:f>H52*H27</x:f>
        <x:v>2802.018801535418</x:v>
      </x:c>
      <x:c r="I75" s="160" t="n">
        <x:f>I52*I27</x:f>
        <x:v>2753.4989422258586</x:v>
      </x:c>
      <x:c r="J75" s="160" t="n">
        <x:f>J52*J27</x:f>
        <x:v>3087.6112012383505</x:v>
      </x:c>
      <x:c r="K75" s="160" t="n">
        <x:f>K52*K27</x:f>
        <x:v>3485.2109035653043</x:v>
      </x:c>
      <x:c r="L75" s="160" t="n">
        <x:f>L52*L27</x:f>
        <x:v>3775.6931792214955</x:v>
      </x:c>
      <x:c r="M75" s="160" t="n">
        <x:f>M52*M27</x:f>
        <x:v>4079.153398899851</x:v>
      </x:c>
      <x:c r="N75" s="160" t="n">
        <x:f>N52*N27</x:f>
        <x:v>4399.325674526255</x:v>
      </x:c>
      <x:c r="O75" s="160" t="n">
        <x:f>O52*O27</x:f>
        <x:v>4756.410185780553</x:v>
      </x:c>
      <x:c r="P75" s="160" t="n">
        <x:f>P52*P27</x:f>
        <x:v>5112.961013726699</x:v>
      </x:c>
    </x:row>
    <x:row r="76">
      <x:c r="A76" s="54"/>
      <x:c r="B76" s="54"/>
      <x:c r="C76" s="121" t="str">
        <x:v>Trade payables</x:v>
      </x:c>
      <x:c r="D76" s="156" t="n">
        <x:v>2170.6</x:v>
      </x:c>
      <x:c r="E76" s="156" t="n">
        <x:v>1662.3</x:v>
      </x:c>
      <x:c r="F76" s="156" t="n">
        <x:v>1516</x:v>
      </x:c>
      <x:c r="G76" s="156" t="n">
        <x:v>2159.4</x:v>
      </x:c>
      <x:c r="H76" s="159" t="n">
        <x:f>H40*H22/365</x:f>
        <x:v>2182.9003434159613</x:v>
      </x:c>
      <x:c r="I76" s="160" t="n">
        <x:f>I40*I22/365</x:f>
        <x:v>2274.247224773972</x:v>
      </x:c>
      <x:c r="J76" s="160" t="n">
        <x:f>J40*J22/365</x:f>
        <x:v>2489.2119803480095</x:v>
      </x:c>
      <x:c r="K76" s="160" t="n">
        <x:f>K40*K22/365</x:f>
        <x:v>2758.3209623697703</x:v>
      </x:c>
      <x:c r="L76" s="160" t="n">
        <x:f>L40*L22/365</x:f>
        <x:v>2916.0824882400057</x:v>
      </x:c>
      <x:c r="M76" s="160" t="n">
        <x:f>M40*M22/365</x:f>
        <x:v>3092.7044393036363</x:v>
      </x:c>
      <x:c r="N76" s="160" t="n">
        <x:f>N40*N22/365</x:f>
        <x:v>3278.7350108678106</x:v>
      </x:c>
      <x:c r="O76" s="160" t="n">
        <x:f>O40*O22/365</x:f>
        <x:v>3476.1206192654545</x:v>
      </x:c>
      <x:c r="P76" s="160" t="n">
        <x:f>P40*P22/365</x:f>
        <x:v>3704.2924378569137</x:v>
      </x:c>
    </x:row>
    <x:row r="77">
      <x:c r="A77" s="54"/>
      <x:c r="B77" s="54"/>
      <x:c r="C77" s="121" t="str">
        <x:v>Other liabilities</x:v>
      </x:c>
      <x:c r="D77" s="156" t="n">
        <x:v>1378.4</x:v>
      </x:c>
      <x:c r="E77" s="156" t="n">
        <x:v>1351.1</x:v>
      </x:c>
      <x:c r="F77" s="156" t="n">
        <x:v>1048.3</x:v>
      </x:c>
      <x:c r="G77" s="156" t="n">
        <x:v>1224.8</x:v>
      </x:c>
      <x:c r="H77" s="159" t="n">
        <x:f>H39*H25</x:f>
        <x:v>1249.8174515244327</x:v>
      </x:c>
      <x:c r="I77" s="160" t="n">
        <x:f>I39*I25</x:f>
        <x:v>1320.4577092970999</x:v>
      </x:c>
      <x:c r="J77" s="160" t="n">
        <x:f>J39*J25</x:f>
        <x:v>1457.586694374904</x:v>
      </x:c>
      <x:c r="K77" s="160" t="n">
        <x:f>K39*K25</x:f>
        <x:v>1624.3960759905337</x:v>
      </x:c>
      <x:c r="L77" s="160" t="n">
        <x:f>L39*L25</x:f>
        <x:v>1727.1725893835326</x:v>
      </x:c>
      <x:c r="M77" s="160" t="n">
        <x:f>M39*M25</x:f>
        <x:v>1837.0632912900394</x:v>
      </x:c>
      <x:c r="N77" s="160" t="n">
        <x:f>N39*N25</x:f>
        <x:v>1953.1940629175128</x:v>
      </x:c>
      <x:c r="O77" s="160" t="n">
        <x:f>O39*O25</x:f>
        <x:v>2076.7820374946555</x:v>
      </x:c>
      <x:c r="P77" s="160" t="n">
        <x:f>P39*P25</x:f>
        <x:v>2213.1015690111894</x:v>
      </x:c>
    </x:row>
    <x:row r="78">
      <x:c r="A78" s="54"/>
      <x:c r="B78" s="54"/>
      <x:c r="C78" s="121" t="str">
        <x:v>Provisions</x:v>
      </x:c>
      <x:c r="D78" s="156" t="n">
        <x:v>1432.8</x:v>
      </x:c>
      <x:c r="E78" s="156" t="n">
        <x:v>773.1</x:v>
      </x:c>
      <x:c r="F78" s="156" t="n">
        <x:v>1079.1</x:v>
      </x:c>
      <x:c r="G78" s="156" t="n">
        <x:v>783.6</x:v>
      </x:c>
      <x:c r="H78" s="159" t="n">
        <x:f>H39*H26</x:f>
        <x:v>781.1359072027705</x:v>
      </x:c>
      <x:c r="I78" s="160" t="n">
        <x:f>I39*I26</x:f>
        <x:v>825.2860683106874</x:v>
      </x:c>
      <x:c r="J78" s="160" t="n">
        <x:f>J39*J26</x:f>
        <x:v>910.991683984315</x:v>
      </x:c>
      <x:c r="K78" s="160" t="n">
        <x:f>K39*K26</x:f>
        <x:v>1015.2475474940835</x:v>
      </x:c>
      <x:c r="L78" s="160" t="n">
        <x:f>L39*L26</x:f>
        <x:v>1079.4828683647079</x:v>
      </x:c>
      <x:c r="M78" s="160" t="n">
        <x:f>M39*M26</x:f>
        <x:v>1148.1645570562746</x:v>
      </x:c>
      <x:c r="N78" s="160" t="n">
        <x:f>N39*N26</x:f>
        <x:v>1220.7462893234454</x:v>
      </x:c>
      <x:c r="O78" s="160" t="n">
        <x:f>O39*O26</x:f>
        <x:v>1297.9887734341594</x:v>
      </x:c>
      <x:c r="P78" s="160" t="n">
        <x:f>P39*P26</x:f>
        <x:v>1383.1884806319933</x:v>
      </x:c>
    </x:row>
    <x:row r="79">
      <x:c r="A79" s="54"/>
      <x:c r="B79" s="54"/>
      <x:c r="C79" s="121" t="str">
        <x:v>Tax liabilities</x:v>
      </x:c>
      <x:c r="D79" s="156" t="n">
        <x:v>1607.8</x:v>
      </x:c>
      <x:c r="E79" s="156" t="n">
        <x:v>1600.5</x:v>
      </x:c>
      <x:c r="F79" s="156" t="n">
        <x:v>2209.6</x:v>
      </x:c>
      <x:c r="G79" s="156" t="n">
        <x:v>2319.7</x:v>
      </x:c>
      <x:c r="H79" s="159" t="n">
        <x:f>H52*H28</x:f>
        <x:v>2802.018801535418</x:v>
      </x:c>
      <x:c r="I79" s="160" t="n">
        <x:f>I52*I28</x:f>
        <x:v>2753.4989422258586</x:v>
      </x:c>
      <x:c r="J79" s="160" t="n">
        <x:f>J52*J28</x:f>
        <x:v>3087.6112012383505</x:v>
      </x:c>
      <x:c r="K79" s="160" t="n">
        <x:f>K52*K28</x:f>
        <x:v>3485.2109035653043</x:v>
      </x:c>
      <x:c r="L79" s="160" t="n">
        <x:f>L52*L28</x:f>
        <x:v>3775.6931792214955</x:v>
      </x:c>
      <x:c r="M79" s="160" t="n">
        <x:f>M52*M28</x:f>
        <x:v>4079.153398899851</x:v>
      </x:c>
      <x:c r="N79" s="160" t="n">
        <x:f>N52*N28</x:f>
        <x:v>4399.325674526255</x:v>
      </x:c>
      <x:c r="O79" s="160" t="n">
        <x:f>O52*O28</x:f>
        <x:v>4756.410185780553</x:v>
      </x:c>
      <x:c r="P79" s="160" t="n">
        <x:f>P52*P28</x:f>
        <x:v>5112.961013726699</x:v>
      </x:c>
    </x:row>
    <x:row r="80">
      <x:c r="A80" s="54"/>
      <x:c r="B80" s="54"/>
      <x:c r="C80" s="121" t="str">
        <x:v>Working capital cash change</x:v>
      </x:c>
      <x:c r="D80" s="156" t="n">
        <x:v>-344.9</x:v>
      </x:c>
      <x:c r="E80" s="156" t="n">
        <x:v>-2460.9</x:v>
      </x:c>
      <x:c r="F80" s="156" t="n">
        <x:v>454.5</x:v>
      </x:c>
      <x:c r="G80" s="156" t="n">
        <x:v>401.9</x:v>
      </x:c>
      <x:c r="H80" s="159" t="n">
        <x:f>(G72-H72)+(G73-H73)+(G74-H74)+(H76-G76)+(H77-G77)+(H78-G78)</x:f>
        <x:v>-355.9834395075427</x:v>
      </x:c>
      <x:c r="I80" s="160" t="n">
        <x:f>(H72-I72)+(H73-I73)+(H74-I74)+(I76-H76)+(I77-H77)+(I78-H78)</x:f>
        <x:v>-129.6016416587064</x:v>
      </x:c>
      <x:c r="J80" s="160" t="n">
        <x:f>(I72-J72)+(I73-J73)+(I74-J74)+(J76-I76)+(J77-I77)+(J78-I78)</x:f>
        <x:v>-368.53885389457344</x:v>
      </x:c>
      <x:c r="K80" s="160" t="n">
        <x:f>(J72-K72)+(J73-K73)+(J74-K74)+(K76-J76)+(K77-J77)+(K78-J78)</x:f>
        <x:v>-457.01184040486123</x:v>
      </x:c>
      <x:c r="L80" s="160" t="n">
        <x:f>(K72-L72)+(K73-L73)+(K74-L74)+(L76-K76)+(L77-K77)+(L78-K78)</x:f>
        <x:v>-317.94992871409215</x:v>
      </x:c>
      <x:c r="M80" s="160" t="n">
        <x:f>(L72-M72)+(L73-M73)+(L74-M74)+(M76-L76)+(M77-L77)+(M78-L78)</x:f>
        <x:v>-257.09919317756385</x:v>
      </x:c>
      <x:c r="N80" s="160" t="n">
        <x:f>(M72-N72)+(M73-N73)+(M74-N74)+(N76-M76)+(N77-M77)+(N78-M78)</x:f>
        <x:v>-358.75886293017084</x:v>
      </x:c>
      <x:c r="O80" s="160" t="n">
        <x:f>(N72-O72)+(N73-O73)+(N74-O74)+(O76-N76)+(O77-N77)+(O78-N78)</x:f>
        <x:v>-317.2871825380066</x:v>
      </x:c>
      <x:c r="P80" s="160" t="n">
        <x:f>(O72-P72)+(O73-P73)+(O74-P74)+(P76-O76)+(P77-O77)+(P78-O78)</x:f>
        <x:v>-468.6372935639761</x:v>
      </x:c>
    </x:row>
    <x:row r="81">
      <x:c r="A81" s="54"/>
      <x:c r="B81" s="54"/>
      <x:c r="C81" s="121" t="str">
        <x:v>Cash taxes paid / (refund)</x:v>
      </x:c>
      <x:c r="D81" s="156" t="n">
        <x:v>3025.8</x:v>
      </x:c>
      <x:c r="E81" s="156" t="n">
        <x:v>1538.2</x:v>
      </x:c>
      <x:c r="F81" s="156" t="n">
        <x:v>1562.2</x:v>
      </x:c>
      <x:c r="G81" s="156" t="n">
        <x:v>-145.3</x:v>
      </x:c>
      <x:c r="H81" s="159" t="n">
        <x:f>H52+(H75-G75)-(H79-G79)</x:f>
        <x:v>3046.6542239282417</x:v>
      </x:c>
      <x:c r="I81" s="160" t="n">
        <x:f>I52+(I75-H75)-(I79-H79)</x:f>
        <x:v>3059.443269139843</x:v>
      </x:c>
      <x:c r="J81" s="160" t="n">
        <x:f>J52+(J75-I75)-(J79-I79)</x:f>
        <x:v>3430.679112487056</x:v>
      </x:c>
      <x:c r="K81" s="160" t="n">
        <x:f>K52+(K75-J75)-(K79-J79)</x:f>
        <x:v>3872.4565595170043</x:v>
      </x:c>
      <x:c r="L81" s="160" t="n">
        <x:f>L52+(L75-K75)-(L79-K79)</x:f>
        <x:v>4195.214643579438</x:v>
      </x:c>
      <x:c r="M81" s="160" t="n">
        <x:f>M52+(M75-L75)-(M79-L79)</x:f>
        <x:v>4532.3926654442785</x:v>
      </x:c>
      <x:c r="N81" s="160" t="n">
        <x:f>N52+(N75-M75)-(N79-M79)</x:f>
        <x:v>4888.139638362506</x:v>
      </x:c>
      <x:c r="O81" s="160" t="n">
        <x:f>O52+(O75-N75)-(O79-N79)</x:f>
        <x:v>5284.900206422836</x:v>
      </x:c>
      <x:c r="P81" s="160" t="n">
        <x:f>P52+(P75-O75)-(P79-O79)</x:f>
        <x:v>5681.067793029665</x:v>
      </x:c>
    </x:row>
    <x:row r="82">
      <x:c r="A82" s="54"/>
      <x:c r="B82" s="54"/>
      <x:c r="C82" s="121" t="str">
        <x:v>Dividends paid</x:v>
      </x:c>
      <x:c r="D82" s="156" t="n">
        <x:v>2972.1</x:v>
      </x:c>
      <x:c r="E82" s="156" t="n">
        <x:v>1834.3</x:v>
      </x:c>
      <x:c r="F82" s="156" t="n">
        <x:v>1602.5</x:v>
      </x:c>
      <x:c r="G82" s="156" t="n">
        <x:v>7516.4</x:v>
      </x:c>
      <x:c r="H82" s="159" t="n">
        <x:f>H30*H31</x:f>
        <x:v>3431.2779</x:v>
      </x:c>
      <x:c r="I82" s="160" t="n">
        <x:f>I30*I31</x:f>
        <x:v>4547.939013385373</x:v>
      </x:c>
      <x:c r="J82" s="160" t="n">
        <x:f>J30*J31</x:f>
        <x:v>4469.186736292515</x:v>
      </x:c>
      <x:c r="K82" s="160" t="n">
        <x:f>K30*K31</x:f>
        <x:v>5011.482232946778</x:v>
      </x:c>
      <x:c r="L82" s="160" t="n">
        <x:f>L30*L31</x:f>
        <x:v>5656.82379772582</x:v>
      </x:c>
      <x:c r="M82" s="160" t="n">
        <x:f>M30*M31</x:f>
        <x:v>6128.3037440523185</x:v>
      </x:c>
      <x:c r="N82" s="160" t="n">
        <x:f>N30*N31</x:f>
        <x:v>6620.848109325466</x:v>
      </x:c>
      <x:c r="O82" s="160" t="n">
        <x:f>O30*O31</x:f>
        <x:v>7140.517707019739</x:v>
      </x:c>
      <x:c r="P82" s="160" t="n">
        <x:f>P30*P31</x:f>
        <x:v>7720.099321147083</x:v>
      </x:c>
    </x:row>
    <x:row r="83">
      <x:c r="A83" s="54"/>
      <x:c r="B83" s="54"/>
      <x:c r="C83" s="121" t="str">
        <x:v>Cash and cash equivalents</x:v>
      </x:c>
      <x:c r="D83" s="156" t="n">
        <x:v>366</x:v>
      </x:c>
      <x:c r="E83" s="156" t="n">
        <x:v>1120</x:v>
      </x:c>
      <x:c r="F83" s="156" t="n">
        <x:v>4950.7</x:v>
      </x:c>
      <x:c r="G83" s="156" t="n">
        <x:v>1026.6</x:v>
      </x:c>
      <x:c r="H83" s="159" t="n">
        <x:f>H39*H23</x:f>
        <x:v>520.7572714685136</x:v>
      </x:c>
      <x:c r="I83" s="160" t="n">
        <x:f>I39*I23</x:f>
        <x:v>550.190712207125</x:v>
      </x:c>
      <x:c r="J83" s="160" t="n">
        <x:f>J39*J23</x:f>
        <x:v>607.3277893228767</x:v>
      </x:c>
      <x:c r="K83" s="160" t="n">
        <x:f>K39*K23</x:f>
        <x:v>676.831698329389</x:v>
      </x:c>
      <x:c r="L83" s="160" t="n">
        <x:f>L39*L23</x:f>
        <x:v>719.655245576472</x:v>
      </x:c>
      <x:c r="M83" s="160" t="n">
        <x:f>M39*M23</x:f>
        <x:v>765.4430380375164</x:v>
      </x:c>
      <x:c r="N83" s="160" t="n">
        <x:f>N39*N23</x:f>
        <x:v>813.8308595489636</x:v>
      </x:c>
      <x:c r="O83" s="160" t="n">
        <x:f>O39*O23</x:f>
        <x:v>865.3258489561064</x:v>
      </x:c>
      <x:c r="P83" s="160" t="n">
        <x:f>P39*P23</x:f>
        <x:v>922.1256537546623</x:v>
      </x:c>
    </x:row>
    <x:row r="84">
      <x:c r="A84" s="54"/>
      <x:c r="B84" s="54"/>
      <x:c r="C84" s="121" t="str">
        <x:v>Term deposits and other bank balances</x:v>
      </x:c>
      <x:c r="D84" s="156" t="n">
        <x:v>18229.2</x:v>
      </x:c>
      <x:c r="E84" s="156" t="n">
        <x:v>19347.1</x:v>
      </x:c>
      <x:c r="F84" s="156" t="n">
        <x:v>23059.1</x:v>
      </x:c>
      <x:c r="G84" s="156" t="n">
        <x:v>30081</x:v>
      </x:c>
      <x:c r="H84" s="159" t="n">
        <x:f>G84-H106</x:f>
        <x:v>35727.660870088395</x:v>
      </x:c>
      <x:c r="I84" s="160" t="n">
        <x:f>H84-I106</x:f>
        <x:v>39833.207058361666</x:v>
      </x:c>
      <x:c r="J84" s="160" t="n">
        <x:f>I84-J106</x:f>
        <x:v>44891.76962952214</x:v>
      </x:c>
      <x:c r="K84" s="160" t="n">
        <x:f>J84-K106</x:f>
        <x:v>50616.82522770155</x:v>
      </x:c>
      <x:c r="L84" s="160" t="n">
        <x:f>K84-L106</x:f>
        <x:v>56799.908615789216</x:v>
      </x:c>
      <x:c r="M84" s="160" t="n">
        <x:f>L84-M106</x:f>
        <x:v>63539.761628358756</x:v>
      </x:c>
      <x:c r="N84" s="160" t="n">
        <x:f>M84-N106</x:f>
        <x:v>70741.96902109834</x:v>
      </x:c>
      <x:c r="O84" s="160" t="n">
        <x:f>N84-O106</x:f>
        <x:v>78599.16149140976</x:v>
      </x:c>
      <x:c r="P84" s="160" t="n">
        <x:f>O84-P106</x:f>
        <x:v>86873.97505772098</x:v>
      </x:c>
    </x:row>
    <x:row r="85">
      <x:c r="A85" s="54"/>
      <x:c r="B85" s="54"/>
      <x:c r="C85" s="127" t="str">
        <x:v>Total liquidity</x:v>
      </x:c>
      <x:c r="D85" s="162" t="n">
        <x:f>D83+D84</x:f>
        <x:v>18595.2</x:v>
      </x:c>
      <x:c r="E85" s="162" t="n">
        <x:f>E83+E84</x:f>
        <x:v>20467.1</x:v>
      </x:c>
      <x:c r="F85" s="162" t="n">
        <x:f>F83+F84</x:f>
        <x:v>28009.8</x:v>
      </x:c>
      <x:c r="G85" s="162" t="n">
        <x:f>G83+G84</x:f>
        <x:v>31107.6</x:v>
      </x:c>
      <x:c r="H85" s="163" t="n">
        <x:f>H83+H84</x:f>
        <x:v>36248.41814155691</x:v>
      </x:c>
      <x:c r="I85" s="162" t="n">
        <x:f>I83+I84</x:f>
        <x:v>40383.397770568794</x:v>
      </x:c>
      <x:c r="J85" s="162" t="n">
        <x:f>J83+J84</x:f>
        <x:v>45499.09741884501</x:v>
      </x:c>
      <x:c r="K85" s="162" t="n">
        <x:f>K83+K84</x:f>
        <x:v>51293.65692603094</x:v>
      </x:c>
      <x:c r="L85" s="162" t="n">
        <x:f>L83+L84</x:f>
        <x:v>57519.563861365685</x:v>
      </x:c>
      <x:c r="M85" s="162" t="n">
        <x:f>M83+M84</x:f>
        <x:v>64305.204666396276</x:v>
      </x:c>
      <x:c r="N85" s="162" t="n">
        <x:f>N83+N84</x:f>
        <x:v>71555.7998806473</x:v>
      </x:c>
      <x:c r="O85" s="162" t="n">
        <x:f>O83+O84</x:f>
        <x:v>79464.48734036587</x:v>
      </x:c>
      <x:c r="P85" s="162" t="n">
        <x:f>P83+P84</x:f>
        <x:v>87796.10071147564</x:v>
      </x:c>
    </x:row>
    <x:row r="86">
      <x:c r="A86" s="54"/>
      <x:c r="B86" s="54"/>
      <x:c r="C86" s="121" t="str">
        <x:v>Other equity</x:v>
      </x:c>
      <x:c r="D86" s="156" t="n">
        <x:v>31615.5</x:v>
      </x:c>
      <x:c r="E86" s="156" t="n">
        <x:v>35497.9</x:v>
      </x:c>
      <x:c r="F86" s="156" t="n">
        <x:v>41716.6</x:v>
      </x:c>
      <x:c r="G86" s="156" t="n">
        <x:v>41571.5</x:v>
      </x:c>
      <x:c r="H86" s="159" t="n">
        <x:f>G86+H53-H82</x:f>
        <x:v>47236.10012677075</x:v>
      </x:c>
      <x:c r="I86" s="160" t="n">
        <x:f>H86+I53-I82</x:f>
        <x:v>51626.5345859704</x:v>
      </x:c>
      <x:c r="J86" s="160" t="n">
        <x:f>I86+J53-J82</x:f>
        <x:v>57180.31231557144</x:v>
      </x:c>
      <x:c r="K86" s="160" t="n">
        <x:f>J86+K53-K82</x:f>
        <x:v>63482.4776780763</x:v>
      </x:c>
      <x:c r="L86" s="160" t="n">
        <x:f>K86+L53-L82</x:f>
        <x:v>70082.26136845512</x:v>
      </x:c>
      <x:c r="M86" s="160" t="n">
        <x:f>L86+M53-M82</x:f>
        <x:v>77195.65384305373</x:v>
      </x:c>
      <x:c r="N86" s="160" t="n">
        <x:f>M86+N53-N82</x:f>
        <x:v>84855.84114776774</x:v>
      </x:c>
      <x:c r="O86" s="160" t="n">
        <x:f>N86+O53-O82</x:f>
        <x:v>93155.52208304217</x:v>
      </x:c>
      <x:c r="P86" s="160" t="n">
        <x:f>O86+P53-P82</x:f>
        <x:v>102033.05219643275</x:v>
      </x:c>
    </x:row>
    <x:row r="87">
      <x:c r="A87" s="54"/>
      <x:c r="B87" s="54"/>
      <x:c r="C87" s="127" t="str">
        <x:v>Total equity</x:v>
      </x:c>
      <x:c r="D87" s="162" t="n">
        <x:f>D36+D86</x:f>
        <x:v>32073</x:v>
      </x:c>
      <x:c r="E87" s="162" t="n">
        <x:f>E36+E86</x:f>
        <x:v>35955.4</x:v>
      </x:c>
      <x:c r="F87" s="162" t="n">
        <x:f>F36+F86</x:f>
        <x:v>42174.1</x:v>
      </x:c>
      <x:c r="G87" s="162" t="n">
        <x:f>G36+G86</x:f>
        <x:v>42029</x:v>
      </x:c>
      <x:c r="H87" s="163" t="n">
        <x:f>H36+H86</x:f>
        <x:v>47693.60012677075</x:v>
      </x:c>
      <x:c r="I87" s="162" t="n">
        <x:f>I36+I86</x:f>
        <x:v>52084.0345859704</x:v>
      </x:c>
      <x:c r="J87" s="162" t="n">
        <x:f>J36+J86</x:f>
        <x:v>57637.81231557144</x:v>
      </x:c>
      <x:c r="K87" s="162" t="n">
        <x:f>K36+K86</x:f>
        <x:v>63939.9776780763</x:v>
      </x:c>
      <x:c r="L87" s="162" t="n">
        <x:f>L36+L86</x:f>
        <x:v>70539.76136845512</x:v>
      </x:c>
      <x:c r="M87" s="162" t="n">
        <x:f>M36+M86</x:f>
        <x:v>77653.15384305373</x:v>
      </x:c>
      <x:c r="N87" s="162" t="n">
        <x:f>N36+N86</x:f>
        <x:v>85313.34114776774</x:v>
      </x:c>
      <x:c r="O87" s="162" t="n">
        <x:f>O36+O86</x:f>
        <x:v>93613.02208304217</x:v>
      </x:c>
      <x:c r="P87" s="162" t="n">
        <x:f>P36+P86</x:f>
        <x:v>102490.55219643275</x:v>
      </x:c>
    </x:row>
    <x:row r="88">
      <x:c r="A88" s="54"/>
      <x:c r="B88" s="54"/>
      <x:c r="C88" s="121"/>
      <x:c r="D88" s="160"/>
      <x:c r="E88" s="160"/>
      <x:c r="F88" s="160"/>
      <x:c r="G88" s="160"/>
      <x:c r="H88" s="159"/>
      <x:c r="I88" s="160"/>
      <x:c r="J88" s="160"/>
      <x:c r="K88" s="160"/>
      <x:c r="L88" s="160"/>
      <x:c r="M88" s="160"/>
      <x:c r="N88" s="160"/>
      <x:c r="O88" s="160"/>
      <x:c r="P88" s="160"/>
    </x:row>
    <x:row r="89">
      <x:c r="A89" s="54"/>
      <x:c r="B89" s="54"/>
      <x:c r="C89" s="127" t="str">
        <x:v>Total assets</x:v>
      </x:c>
      <x:c r="D89" s="162" t="n">
        <x:f>D64+D34+D75+D72+D73+D83+D84+D74</x:f>
        <x:v>40007.299999999996</x:v>
      </x:c>
      <x:c r="E89" s="162" t="n">
        <x:f>E64+E34+E75+E72+E73+E83+E84+E74</x:f>
        <x:v>42287.8</x:v>
      </x:c>
      <x:c r="F89" s="162" t="n">
        <x:f>F64+F34+F75+F72+F73+F83+F84+F74</x:f>
        <x:v>49111.1</x:v>
      </x:c>
      <x:c r="G89" s="162" t="n">
        <x:f>G64+G34+G75+G72+G73+G83+G84+G74</x:f>
        <x:v>49218.8</x:v>
      </x:c>
      <x:c r="H89" s="163" t="n">
        <x:f>H64+H34+H75+H72+H73+H83+H84+H74</x:f>
        <x:v>55151.23622116961</x:v>
      </x:c>
      <x:c r="I89" s="162" t="n">
        <x:f>I64+I34+I75+I72+I73+I83+I84+I74</x:f>
        <x:v>59573.43493276923</x:v>
      </x:c>
      <x:c r="J89" s="162" t="n">
        <x:f>J64+J34+J75+J72+J73+J83+J84+J74</x:f>
        <x:v>65844.76824501106</x:v>
      </x:c>
      <x:c r="K89" s="162" t="n">
        <x:f>K64+K34+K75+K72+K73+K83+K84+K74</x:f>
        <x:v>73067.95510699243</x:v>
      </x:c>
      <x:c r="L89" s="162" t="n">
        <x:f>L64+L34+L75+L72+L73+L83+L84+L74</x:f>
        <x:v>80281.04175024955</x:v>
      </x:c>
      <x:c r="M89" s="162" t="n">
        <x:f>M64+M34+M75+M72+M73+M83+M84+M74</x:f>
        <x:v>88058.98061360152</x:v>
      </x:c>
      <x:c r="N89" s="162" t="n">
        <x:f>N64+N34+N75+N72+N73+N83+N84+N74</x:f>
        <x:v>96424.28735633411</x:v>
      </x:c>
      <x:c r="O89" s="162" t="n">
        <x:f>O64+O34+O75+O72+O73+O83+O84+O74</x:f>
        <x:v>105492.09516182609</x:v>
      </x:c>
      <x:c r="P89" s="162" t="n">
        <x:f>P64+P34+P75+P72+P73+P83+P84+P74</x:f>
        <x:v>115190.80027712727</x:v>
      </x:c>
    </x:row>
    <x:row r="90">
      <x:c r="A90" s="54"/>
      <x:c r="B90" s="54"/>
      <x:c r="C90" s="127" t="str">
        <x:v>Total liabilities and equity</x:v>
      </x:c>
      <x:c r="D90" s="162" t="n">
        <x:f>D87+D68+D35+D76+D77+D78+D79</x:f>
        <x:v>40007.3</x:v>
      </x:c>
      <x:c r="E90" s="162" t="n">
        <x:f>E87+E68+E35+E76+E77+E78+E79</x:f>
        <x:v>42287.8</x:v>
      </x:c>
      <x:c r="F90" s="162" t="n">
        <x:f>F87+F68+F35+F76+F77+F78+F79</x:f>
        <x:v>49111.1</x:v>
      </x:c>
      <x:c r="G90" s="162" t="n">
        <x:f>G87+G68+G35+G76+G77+G78+G79</x:f>
        <x:v>49218.8</x:v>
      </x:c>
      <x:c r="H90" s="163" t="n">
        <x:f>H87+H68+H35+H76+H77+H78+H79</x:f>
        <x:v>55151.2362211696</x:v>
      </x:c>
      <x:c r="I90" s="162" t="n">
        <x:f>I87+I68+I35+I76+I77+I78+I79</x:f>
        <x:v>59573.434932769225</x:v>
      </x:c>
      <x:c r="J90" s="162" t="n">
        <x:f>J87+J68+J35+J76+J77+J78+J79</x:f>
        <x:v>65844.76824501106</x:v>
      </x:c>
      <x:c r="K90" s="162" t="n">
        <x:f>K87+K68+K35+K76+K77+K78+K79</x:f>
        <x:v>73067.95510699242</x:v>
      </x:c>
      <x:c r="L90" s="162" t="n">
        <x:f>L87+L68+L35+L76+L77+L78+L79</x:f>
        <x:v>80281.04175024954</x:v>
      </x:c>
      <x:c r="M90" s="162" t="n">
        <x:f>M87+M68+M35+M76+M77+M78+M79</x:f>
        <x:v>88058.9806136015</x:v>
      </x:c>
      <x:c r="N90" s="162" t="n">
        <x:f>N87+N68+N35+N76+N77+N78+N79</x:f>
        <x:v>96424.2873563341</x:v>
      </x:c>
      <x:c r="O90" s="162" t="n">
        <x:f>O87+O68+O35+O76+O77+O78+O79</x:f>
        <x:v>105492.09516182607</x:v>
      </x:c>
      <x:c r="P90" s="162" t="n">
        <x:f>P87+P68+P35+P76+P77+P78+P79</x:f>
        <x:v>115190.80027712729</x:v>
      </x:c>
    </x:row>
    <x:row r="91">
      <x:c r="A91" s="54"/>
      <x:c r="B91" s="54"/>
      <x:c r="C91" s="121" t="str">
        <x:v>Balance sheet check</x:v>
      </x:c>
      <x:c r="D91" s="152" t="n">
        <x:f>D89-D90</x:f>
        <x:v>-7.275957614183426e-12</x:v>
      </x:c>
      <x:c r="E91" s="152" t="n">
        <x:f>E89-E90</x:f>
        <x:v>0</x:v>
      </x:c>
      <x:c r="F91" s="152" t="n">
        <x:f>F89-F90</x:f>
        <x:v>0</x:v>
      </x:c>
      <x:c r="G91" s="152" t="n">
        <x:f>G89-G90</x:f>
        <x:v>0</x:v>
      </x:c>
      <x:c r="H91" s="166" t="n">
        <x:f>H89-H90</x:f>
        <x:v>7.275957614183426e-12</x:v>
      </x:c>
      <x:c r="I91" s="152" t="n">
        <x:f>I89-I90</x:f>
        <x:v>7.275957614183426e-12</x:v>
      </x:c>
      <x:c r="J91" s="152" t="n">
        <x:f>J89-J90</x:f>
        <x:v>0</x:v>
      </x:c>
      <x:c r="K91" s="152" t="n">
        <x:f>K89-K90</x:f>
        <x:v>1.4551915228366852e-11</x:v>
      </x:c>
      <x:c r="L91" s="152" t="n">
        <x:f>L89-L90</x:f>
        <x:v>1.4551915228366852e-11</x:v>
      </x:c>
      <x:c r="M91" s="152" t="n">
        <x:f>M89-M90</x:f>
        <x:v>2.9103830456733704e-11</x:v>
      </x:c>
      <x:c r="N91" s="152" t="n">
        <x:f>N89-N90</x:f>
        <x:v>1.4551915228366852e-11</x:v>
      </x:c>
      <x:c r="O91" s="152" t="n">
        <x:f>O89-O90</x:f>
        <x:v>1.4551915228366852e-11</x:v>
      </x:c>
      <x:c r="P91" s="152" t="n">
        <x:f>P89-P90</x:f>
        <x:v>-1.4551915228366852e-11</x:v>
      </x:c>
    </x:row>
    <x:row r="92">
      <x:c r="A92" s="54"/>
      <x:c r="B92" s="54"/>
      <x:c r="C92" s="121" t="str">
        <x:v>Cash flow closing cash check</x:v>
      </x:c>
      <x:c r="D92" s="152" t="n">
        <x:f>D114-D83</x:f>
        <x:v>0</x:v>
      </x:c>
      <x:c r="E92" s="152" t="n">
        <x:f>E114-E83</x:f>
        <x:v>0</x:v>
      </x:c>
      <x:c r="F92" s="152" t="n">
        <x:f>F114-F83</x:f>
        <x:v>0</x:v>
      </x:c>
      <x:c r="G92" s="152" t="n">
        <x:f>G114-G83</x:f>
        <x:v>0</x:v>
      </x:c>
      <x:c r="H92" s="166" t="n">
        <x:f>H114-H83</x:f>
        <x:v>1.1368683772161603e-12</x:v>
      </x:c>
      <x:c r="I92" s="152" t="n">
        <x:f>I114-I83</x:f>
        <x:v>1.1368683772161603e-12</x:v>
      </x:c>
      <x:c r="J92" s="152" t="n">
        <x:f>J114-J83</x:f>
        <x:v>-6.821210263296962e-13</x:v>
      </x:c>
      <x:c r="K92" s="152" t="n">
        <x:f>K114-K83</x:f>
        <x:v>-1.1368683772161603e-13</x:v>
      </x:c>
      <x:c r="L92" s="152" t="n">
        <x:f>L114-L83</x:f>
        <x:v>-1.5916157281026244e-12</x:v>
      </x:c>
      <x:c r="M92" s="152" t="n">
        <x:f>M114-M83</x:f>
        <x:v>-1.2505552149377763e-12</x:v>
      </x:c>
      <x:c r="N92" s="152" t="n">
        <x:f>N114-N83</x:f>
        <x:v>-2.0463630789890885e-12</x:v>
      </x:c>
      <x:c r="O92" s="152" t="n">
        <x:f>O114-O83</x:f>
        <x:v>-5.684341886080801e-13</x:v>
      </x:c>
      <x:c r="P92" s="152" t="n">
        <x:f>P114-P83</x:f>
        <x:v>1.0231815394945443e-12</x:v>
      </x:c>
    </x:row>
    <x:row r="93">
      <x:c r="A93" s="54"/>
      <x:c r="B93" s="54"/>
      <x:c r="C93" s="121"/>
      <x:c r="D93" s="130"/>
      <x:c r="E93" s="130"/>
      <x:c r="F93" s="130"/>
      <x:c r="G93" s="130"/>
      <x:c r="H93" s="167"/>
      <x:c r="I93" s="130"/>
      <x:c r="J93" s="130"/>
      <x:c r="K93" s="130"/>
      <x:c r="L93" s="130"/>
      <x:c r="M93" s="130"/>
      <x:c r="N93" s="130"/>
      <x:c r="O93" s="130"/>
      <x:c r="P93" s="130"/>
    </x:row>
    <x:row r="94" ht="18" customHeight="1">
      <x:c r="A94" s="54"/>
      <x:c r="B94" s="54"/>
      <x:c r="C94" s="124" t="str">
        <x:v>Cash flow schedule</x:v>
      </x:c>
      <x:c r="D94" s="136"/>
      <x:c r="E94" s="136"/>
      <x:c r="F94" s="136"/>
      <x:c r="G94" s="136"/>
      <x:c r="H94" s="161"/>
      <x:c r="I94" s="136"/>
      <x:c r="J94" s="136"/>
      <x:c r="K94" s="136"/>
      <x:c r="L94" s="136"/>
      <x:c r="M94" s="136"/>
      <x:c r="N94" s="136"/>
      <x:c r="O94" s="136"/>
      <x:c r="P94" s="137"/>
    </x:row>
    <x:row r="95" ht="23" customHeight="1">
      <x:c r="A95" s="54"/>
      <x:c r="B95" s="54"/>
      <x:c r="C95" s="125" t="str">
        <x:v>INR million unless stated</x:v>
      </x:c>
      <x:c r="D95" s="138" t="str">
        <x:v>FY23A</x:v>
      </x:c>
      <x:c r="E95" s="138" t="str">
        <x:v>FY24A</x:v>
      </x:c>
      <x:c r="F95" s="138" t="str">
        <x:v>FY25A</x:v>
      </x:c>
      <x:c r="G95" s="138" t="str">
        <x:v>FY26A</x:v>
      </x:c>
      <x:c r="H95" s="139" t="str">
        <x:v>FY27E</x:v>
      </x:c>
      <x:c r="I95" s="140" t="str">
        <x:v>FY28E</x:v>
      </x:c>
      <x:c r="J95" s="140" t="str">
        <x:v>FY29E</x:v>
      </x:c>
      <x:c r="K95" s="140" t="str">
        <x:v>FY30E</x:v>
      </x:c>
      <x:c r="L95" s="140" t="str">
        <x:v>FY31E</x:v>
      </x:c>
      <x:c r="M95" s="140" t="str">
        <x:v>FY32E</x:v>
      </x:c>
      <x:c r="N95" s="140" t="str">
        <x:v>FY33E</x:v>
      </x:c>
      <x:c r="O95" s="140" t="str">
        <x:v>FY34E</x:v>
      </x:c>
      <x:c r="P95" s="141" t="str">
        <x:v>FY35E</x:v>
      </x:c>
    </x:row>
    <x:row r="96">
      <x:c r="A96" s="54"/>
      <x:c r="B96" s="54"/>
      <x:c r="C96" s="121" t="str">
        <x:v>Profit before tax</x:v>
      </x:c>
      <x:c r="D96" s="160" t="n">
        <x:f>D51</x:f>
        <x:v>8240.100000000002</x:v>
      </x:c>
      <x:c r="E96" s="160" t="n">
        <x:f>E51</x:f>
        <x:v>7460.699999999999</x:v>
      </x:c>
      <x:c r="F96" s="160" t="n">
        <x:f>F51</x:f>
        <x:v>10160.900000000001</x:v>
      </x:c>
      <x:c r="G96" s="160" t="n">
        <x:f>G51</x:f>
        <x:v>9756.699999999999</x:v>
      </x:c>
      <x:c r="H96" s="159" t="n">
        <x:f>H51</x:f>
        <x:v>12209.232250698988</x:v>
      </x:c>
      <x:c r="I96" s="160" t="n">
        <x:f>I51</x:f>
        <x:v>11997.816741724873</x:v>
      </x:c>
      <x:c r="J96" s="160" t="n">
        <x:f>J51</x:f>
        <x:v>13453.643578380612</x:v>
      </x:c>
      <x:c r="K96" s="160" t="n">
        <x:f>K51</x:f>
        <x:v>15186.104154968645</x:v>
      </x:c>
      <x:c r="L96" s="160" t="n">
        <x:f>L51</x:f>
        <x:v>16451.822131684075</x:v>
      </x:c>
      <x:c r="M96" s="160" t="n">
        <x:f>M51</x:f>
        <x:v>17774.08888409521</x:v>
      </x:c>
      <x:c r="N96" s="160" t="n">
        <x:f>N51</x:f>
        <x:v>19169.175052401984</x:v>
      </x:c>
      <x:c r="O96" s="160" t="n">
        <x:f>O51</x:f>
        <x:v>20725.098848717003</x:v>
      </x:c>
      <x:c r="P96" s="160" t="n">
        <x:f>P51</x:f>
        <x:v>22278.697227567314</x:v>
      </x:c>
    </x:row>
    <x:row r="97">
      <x:c r="A97" s="54"/>
      <x:c r="B97" s="54"/>
      <x:c r="C97" s="121" t="str">
        <x:v>Non-cash and non-operating adjustments</x:v>
      </x:c>
      <x:c r="D97" s="156" t="n">
        <x:v>-1312.6</x:v>
      </x:c>
      <x:c r="E97" s="156" t="n">
        <x:v>-893.2</x:v>
      </x:c>
      <x:c r="F97" s="156" t="n">
        <x:v>-2455.7</x:v>
      </x:c>
      <x:c r="G97" s="156" t="n">
        <x:v>-628.2</x:v>
      </x:c>
      <x:c r="H97" s="159" t="n">
        <x:f>H46+H48-H45-H33</x:f>
        <x:v>-2523.1470013846347</x:v>
      </x:c>
      <x:c r="I97" s="160" t="n">
        <x:f>I46+I48-I45-I33</x:f>
        <x:v>-1544.1932097895</x:v>
      </x:c>
      <x:c r="J97" s="160" t="n">
        <x:f>J46+J48-J45-J33</x:f>
        <x:v>-1762.5836339152343</x:v>
      </x:c>
      <x:c r="K97" s="160" t="n">
        <x:f>K46+K48-K45-K33</x:f>
        <x:v>-2021.7276224620273</x:v>
      </x:c>
      <x:c r="L97" s="160" t="n">
        <x:f>L46+L48-L45-L33</x:f>
        <x:v>-2346.579318385225</x:v>
      </x:c>
      <x:c r="M97" s="160" t="n">
        <x:f>M46+M48-M45-M33</x:f>
        <x:v>-2694.8610347561385</x:v>
      </x:c>
      <x:c r="N97" s="160" t="n">
        <x:f>N46+N48-N45-N33</x:f>
        <x:v>-3055.3240333325048</x:v>
      </x:c>
      <x:c r="O97" s="160" t="n">
        <x:f>O46+O48-O45-O33</x:f>
        <x:v>-3461.84816204268</x:v>
      </x:c>
      <x:c r="P97" s="160" t="n">
        <x:f>P46+P48-P45-P33</x:f>
        <x:v>-3882.2904351618</x:v>
      </x:c>
    </x:row>
    <x:row r="98">
      <x:c r="A98" s="54"/>
      <x:c r="B98" s="54"/>
      <x:c r="C98" s="121" t="str">
        <x:v>Operating cash before working capital</x:v>
      </x:c>
      <x:c r="D98" s="160" t="n">
        <x:f>D96+D97</x:f>
        <x:v>6927.500000000002</x:v>
      </x:c>
      <x:c r="E98" s="160" t="n">
        <x:f>E96+E97</x:f>
        <x:v>6567.499999999999</x:v>
      </x:c>
      <x:c r="F98" s="160" t="n">
        <x:f>F96+F97</x:f>
        <x:v>7705.200000000002</x:v>
      </x:c>
      <x:c r="G98" s="160" t="n">
        <x:f>G96+G97</x:f>
        <x:v>9128.499999999998</x:v>
      </x:c>
      <x:c r="H98" s="159" t="n">
        <x:f>H96+H97</x:f>
        <x:v>9686.085249314354</x:v>
      </x:c>
      <x:c r="I98" s="160" t="n">
        <x:f>I96+I97</x:f>
        <x:v>10453.623531935373</x:v>
      </x:c>
      <x:c r="J98" s="160" t="n">
        <x:f>J96+J97</x:f>
        <x:v>11691.059944465378</x:v>
      </x:c>
      <x:c r="K98" s="160" t="n">
        <x:f>K96+K97</x:f>
        <x:v>13164.376532506618</x:v>
      </x:c>
      <x:c r="L98" s="160" t="n">
        <x:f>L96+L97</x:f>
        <x:v>14105.24281329885</x:v>
      </x:c>
      <x:c r="M98" s="160" t="n">
        <x:f>M96+M97</x:f>
        <x:v>15079.227849339071</x:v>
      </x:c>
      <x:c r="N98" s="160" t="n">
        <x:f>N96+N97</x:f>
        <x:v>16113.85101906948</x:v>
      </x:c>
      <x:c r="O98" s="160" t="n">
        <x:f>O96+O97</x:f>
        <x:v>17263.250686674324</x:v>
      </x:c>
      <x:c r="P98" s="160" t="n">
        <x:f>P96+P97</x:f>
        <x:v>18396.406792405513</x:v>
      </x:c>
    </x:row>
    <x:row r="99">
      <x:c r="A99" s="54"/>
      <x:c r="B99" s="54"/>
      <x:c r="C99" s="121" t="str">
        <x:v>Working capital change</x:v>
      </x:c>
      <x:c r="D99" s="156" t="n">
        <x:f>D80</x:f>
        <x:v>-344.9</x:v>
      </x:c>
      <x:c r="E99" s="156" t="n">
        <x:f>E80</x:f>
        <x:v>-2460.9</x:v>
      </x:c>
      <x:c r="F99" s="156" t="n">
        <x:f>F80</x:f>
        <x:v>454.5</x:v>
      </x:c>
      <x:c r="G99" s="156" t="n">
        <x:f>G80</x:f>
        <x:v>401.9</x:v>
      </x:c>
      <x:c r="H99" s="159" t="n">
        <x:f>H80</x:f>
        <x:v>-355.9834395075427</x:v>
      </x:c>
      <x:c r="I99" s="160" t="n">
        <x:f>I80</x:f>
        <x:v>-129.6016416587064</x:v>
      </x:c>
      <x:c r="J99" s="160" t="n">
        <x:f>J80</x:f>
        <x:v>-368.53885389457344</x:v>
      </x:c>
      <x:c r="K99" s="160" t="n">
        <x:f>K80</x:f>
        <x:v>-457.01184040486123</x:v>
      </x:c>
      <x:c r="L99" s="160" t="n">
        <x:f>L80</x:f>
        <x:v>-317.94992871409215</x:v>
      </x:c>
      <x:c r="M99" s="160" t="n">
        <x:f>M80</x:f>
        <x:v>-257.09919317756385</x:v>
      </x:c>
      <x:c r="N99" s="160" t="n">
        <x:f>N80</x:f>
        <x:v>-358.75886293017084</x:v>
      </x:c>
      <x:c r="O99" s="160" t="n">
        <x:f>O80</x:f>
        <x:v>-317.2871825380066</x:v>
      </x:c>
      <x:c r="P99" s="160" t="n">
        <x:f>P80</x:f>
        <x:v>-468.6372935639761</x:v>
      </x:c>
    </x:row>
    <x:row r="100">
      <x:c r="A100" s="54"/>
      <x:c r="B100" s="54"/>
      <x:c r="C100" s="121" t="str">
        <x:v>Cash taxes paid / (refund)</x:v>
      </x:c>
      <x:c r="D100" s="156" t="n">
        <x:v>-3025.8</x:v>
      </x:c>
      <x:c r="E100" s="156" t="n">
        <x:v>-1538.2</x:v>
      </x:c>
      <x:c r="F100" s="156" t="n">
        <x:v>-1562.2</x:v>
      </x:c>
      <x:c r="G100" s="156" t="n">
        <x:v>145.3</x:v>
      </x:c>
      <x:c r="H100" s="159" t="n">
        <x:f>-H81</x:f>
        <x:v>-3046.6542239282417</x:v>
      </x:c>
      <x:c r="I100" s="160" t="n">
        <x:f>-I81</x:f>
        <x:v>-3059.443269139843</x:v>
      </x:c>
      <x:c r="J100" s="160" t="n">
        <x:f>-J81</x:f>
        <x:v>-3430.679112487056</x:v>
      </x:c>
      <x:c r="K100" s="160" t="n">
        <x:f>-K81</x:f>
        <x:v>-3872.4565595170043</x:v>
      </x:c>
      <x:c r="L100" s="160" t="n">
        <x:f>-L81</x:f>
        <x:v>-4195.214643579438</x:v>
      </x:c>
      <x:c r="M100" s="160" t="n">
        <x:f>-M81</x:f>
        <x:v>-4532.3926654442785</x:v>
      </x:c>
      <x:c r="N100" s="160" t="n">
        <x:f>-N81</x:f>
        <x:v>-4888.139638362506</x:v>
      </x:c>
      <x:c r="O100" s="160" t="n">
        <x:f>-O81</x:f>
        <x:v>-5284.900206422836</x:v>
      </x:c>
      <x:c r="P100" s="160" t="n">
        <x:f>-P81</x:f>
        <x:v>-5681.067793029665</x:v>
      </x:c>
    </x:row>
    <x:row r="101">
      <x:c r="A101" s="54"/>
      <x:c r="B101" s="54"/>
      <x:c r="C101" s="127" t="str">
        <x:v>Cash flow from operations</x:v>
      </x:c>
      <x:c r="D101" s="162" t="n">
        <x:f>SUM(D98:D100)</x:f>
        <x:v>3556.800000000002</x:v>
      </x:c>
      <x:c r="E101" s="162" t="n">
        <x:f>SUM(E98:E100)</x:f>
        <x:v>2568.3999999999987</x:v>
      </x:c>
      <x:c r="F101" s="162" t="n">
        <x:f>SUM(F98:F100)</x:f>
        <x:v>6597.500000000002</x:v>
      </x:c>
      <x:c r="G101" s="162" t="n">
        <x:f>SUM(G98:G100)</x:f>
        <x:v>9675.699999999997</x:v>
      </x:c>
      <x:c r="H101" s="163" t="n">
        <x:f>SUM(H98:H100)</x:f>
        <x:v>6283.447585878569</x:v>
      </x:c>
      <x:c r="I101" s="162" t="n">
        <x:f>SUM(I98:I100)</x:f>
        <x:v>7264.578621136823</x:v>
      </x:c>
      <x:c r="J101" s="162" t="n">
        <x:f>SUM(J98:J100)</x:f>
        <x:v>7891.8419780837485</x:v>
      </x:c>
      <x:c r="K101" s="162" t="n">
        <x:f>SUM(K98:K100)</x:f>
        <x:v>8834.908132584753</x:v>
      </x:c>
      <x:c r="L101" s="162" t="n">
        <x:f>SUM(L98:L100)</x:f>
        <x:v>9592.07824100532</x:v>
      </x:c>
      <x:c r="M101" s="162" t="n">
        <x:f>SUM(M98:M100)</x:f>
        <x:v>10289.735990717229</x:v>
      </x:c>
      <x:c r="N101" s="162" t="n">
        <x:f>SUM(N98:N100)</x:f>
        <x:v>10866.952517776801</x:v>
      </x:c>
      <x:c r="O101" s="162" t="n">
        <x:f>SUM(O98:O100)</x:f>
        <x:v>11661.063297713481</x:v>
      </x:c>
      <x:c r="P101" s="162" t="n">
        <x:f>SUM(P98:P100)</x:f>
        <x:v>12246.701705811869</x:v>
      </x:c>
    </x:row>
    <x:row r="102">
      <x:c r="A102" s="54"/>
      <x:c r="B102" s="54"/>
      <x:c r="C102" s="121" t="str">
        <x:v>Cash capital expenditure</x:v>
      </x:c>
      <x:c r="D102" s="160" t="n">
        <x:f>-D61</x:f>
        <x:v>-649.8</x:v>
      </x:c>
      <x:c r="E102" s="160" t="n">
        <x:f>-E61</x:f>
        <x:v>-189.3</x:v>
      </x:c>
      <x:c r="F102" s="160" t="n">
        <x:f>-F61</x:f>
        <x:v>-281.5</x:v>
      </x:c>
      <x:c r="G102" s="160" t="n">
        <x:f>-G61</x:f>
        <x:v>-252.3</x:v>
      </x:c>
      <x:c r="H102" s="159" t="n">
        <x:f>-H61</x:f>
        <x:v>-468.6815443216623</x:v>
      </x:c>
      <x:c r="I102" s="160" t="n">
        <x:f>-I61</x:f>
        <x:v>-495.17164098641246</x:v>
      </x:c>
      <x:c r="J102" s="160" t="n">
        <x:f>-J61</x:f>
        <x:v>-546.595010390589</x:v>
      </x:c>
      <x:c r="K102" s="160" t="n">
        <x:f>-K61</x:f>
        <x:v>-609.1485284964501</x:v>
      </x:c>
      <x:c r="L102" s="160" t="n">
        <x:f>-L61</x:f>
        <x:v>-647.6897210188247</x:v>
      </x:c>
      <x:c r="M102" s="160" t="n">
        <x:f>-M61</x:f>
        <x:v>-688.8987342337647</x:v>
      </x:c>
      <x:c r="N102" s="160" t="n">
        <x:f>-N61</x:f>
        <x:v>-712.1020021053432</x:v>
      </x:c>
      <x:c r="O102" s="160" t="n">
        <x:f>-O61</x:f>
        <x:v>-757.1601178365931</x:v>
      </x:c>
      <x:c r="P102" s="160" t="n">
        <x:f>-P61</x:f>
        <x:v>-806.8599470353295</x:v>
      </x:c>
    </x:row>
    <x:row r="103">
      <x:c r="A103" s="54"/>
      <x:c r="B103" s="54"/>
      <x:c r="C103" s="121" t="str">
        <x:v>Interest and other income received</x:v>
      </x:c>
      <x:c r="D103" s="156" t="n">
        <x:v>765.2</x:v>
      </x:c>
      <x:c r="E103" s="156" t="n">
        <x:v>1289.8</x:v>
      </x:c>
      <x:c r="F103" s="156" t="n">
        <x:v>1592</x:v>
      </x:c>
      <x:c r="G103" s="156" t="n">
        <x:v>1769.9</x:v>
      </x:c>
      <x:c r="H103" s="159" t="n">
        <x:f>H45</x:f>
        <x:v>1866.456</x:v>
      </x:c>
      <x:c r="I103" s="160" t="n">
        <x:f>I45</x:f>
        <x:v>2174.9050884934145</x:v>
      </x:c>
      <x:c r="J103" s="160" t="n">
        <x:f>J45</x:f>
        <x:v>2423.0038662341276</x:v>
      </x:c>
      <x:c r="K103" s="160" t="n">
        <x:f>K45</x:f>
        <x:v>2729.9458451307005</x:v>
      </x:c>
      <x:c r="L103" s="160" t="n">
        <x:f>L45</x:f>
        <x:v>3077.6194155618564</x:v>
      </x:c>
      <x:c r="M103" s="160" t="n">
        <x:f>M45</x:f>
        <x:v>3451.173831681941</x:v>
      </x:c>
      <x:c r="N103" s="160" t="n">
        <x:f>N45</x:f>
        <x:v>3858.3122799837765</x:v>
      </x:c>
      <x:c r="O103" s="160" t="n">
        <x:f>O45</x:f>
        <x:v>4293.347992838838</x:v>
      </x:c>
      <x:c r="P103" s="160" t="n">
        <x:f>P45</x:f>
        <x:v>4767.869240421952</x:v>
      </x:c>
    </x:row>
    <x:row r="104">
      <x:c r="A104" s="54"/>
      <x:c r="B104" s="54"/>
      <x:c r="C104" s="121" t="str">
        <x:v>Exceptional / disposal cash receipts</x:v>
      </x:c>
      <x:c r="D104" s="160" t="n">
        <x:f>D33</x:f>
        <x:v>1817</x:v>
      </x:c>
      <x:c r="E104" s="160" t="n">
        <x:f>E33</x:f>
        <x:v>529</x:v>
      </x:c>
      <x:c r="F104" s="160" t="n">
        <x:f>F33</x:f>
        <x:v>1518.8</x:v>
      </x:c>
      <x:c r="G104" s="160" t="n">
        <x:f>G33</x:f>
        <x:v>11.6</x:v>
      </x:c>
      <x:c r="H104" s="159" t="n">
        <x:f>H33</x:f>
        <x:v>1313.8</x:v>
      </x:c>
      <x:c r="I104" s="160" t="n">
        <x:f>I33</x:f>
        <x:v>0</x:v>
      </x:c>
      <x:c r="J104" s="160" t="n">
        <x:f>J33</x:f>
        <x:v>0</x:v>
      </x:c>
      <x:c r="K104" s="160" t="n">
        <x:f>K33</x:f>
        <x:v>0</x:v>
      </x:c>
      <x:c r="L104" s="160" t="n">
        <x:f>L33</x:f>
        <x:v>0</x:v>
      </x:c>
      <x:c r="M104" s="160" t="n">
        <x:f>M33</x:f>
        <x:v>0</x:v>
      </x:c>
      <x:c r="N104" s="160" t="n">
        <x:f>N33</x:f>
        <x:v>0</x:v>
      </x:c>
      <x:c r="O104" s="160" t="n">
        <x:f>O33</x:f>
        <x:v>0</x:v>
      </x:c>
      <x:c r="P104" s="160" t="n">
        <x:f>P33</x:f>
        <x:v>0</x:v>
      </x:c>
    </x:row>
    <x:row r="105">
      <x:c r="A105" s="54"/>
      <x:c r="B105" s="54"/>
      <x:c r="C105" s="121" t="str">
        <x:v>Other investing cash flow</x:v>
      </x:c>
      <x:c r="D105" s="156" t="n">
        <x:v>0</x:v>
      </x:c>
      <x:c r="E105" s="156" t="n">
        <x:v>0</x:v>
      </x:c>
      <x:c r="F105" s="156" t="n">
        <x:v>0</x:v>
      </x:c>
      <x:c r="G105" s="156" t="n">
        <x:v>0</x:v>
      </x:c>
      <x:c r="H105" s="159"/>
      <x:c r="I105" s="160"/>
      <x:c r="J105" s="160"/>
      <x:c r="K105" s="160"/>
      <x:c r="L105" s="160"/>
      <x:c r="M105" s="160"/>
      <x:c r="N105" s="160"/>
      <x:c r="O105" s="160"/>
      <x:c r="P105" s="160"/>
    </x:row>
    <x:row r="106">
      <x:c r="A106" s="54"/>
      <x:c r="B106" s="54"/>
      <x:c r="C106" s="121" t="str">
        <x:v>Term deposits placed / (redeemed)</x:v>
      </x:c>
      <x:c r="D106" s="156" t="n">
        <x:v>-2292.9</x:v>
      </x:c>
      <x:c r="E106" s="156" t="n">
        <x:v>-1092.5</x:v>
      </x:c>
      <x:c r="F106" s="156" t="n">
        <x:v>-3542.7</x:v>
      </x:c>
      <x:c r="G106" s="156" t="n">
        <x:v>-7145.9</x:v>
      </x:c>
      <x:c r="H106" s="159" t="n">
        <x:f>H83-(H113+H101+SUM(H102:H105)+H111)</x:f>
        <x:v>-5646.660870088392</x:v>
      </x:c>
      <x:c r="I106" s="160" t="n">
        <x:f>I83-(I113+I101+SUM(I102:I105)+I111)</x:f>
        <x:v>-4105.546188273269</x:v>
      </x:c>
      <x:c r="J106" s="160" t="n">
        <x:f>J83-(J113+J101+SUM(J102:J105)+J111)</x:f>
        <x:v>-5058.562571160473</x:v>
      </x:c>
      <x:c r="K106" s="160" t="n">
        <x:f>K83-(K113+K101+SUM(K102:K105)+K111)</x:f>
        <x:v>-5725.0555981794105</x:v>
      </x:c>
      <x:c r="L106" s="160" t="n">
        <x:f>L83-(L113+L101+SUM(L102:L105)+L111)</x:f>
        <x:v>-6183.083388087665</x:v>
      </x:c>
      <x:c r="M106" s="160" t="n">
        <x:f>M83-(M113+M101+SUM(M102:M105)+M111)</x:f>
        <x:v>-6739.853012569537</x:v>
      </x:c>
      <x:c r="N106" s="160" t="n">
        <x:f>N83-(N113+N101+SUM(N102:N105)+N111)</x:f>
        <x:v>-7202.20739273958</x:v>
      </x:c>
      <x:c r="O106" s="160" t="n">
        <x:f>O83-(O113+O101+SUM(O102:O105)+O111)</x:f>
        <x:v>-7857.192470311418</x:v>
      </x:c>
      <x:c r="P106" s="160" t="n">
        <x:f>P83-(P113+P101+SUM(P102:P105)+P111)</x:f>
        <x:v>-8274.81356631122</x:v>
      </x:c>
    </x:row>
    <x:row r="107">
      <x:c r="A107" s="54"/>
      <x:c r="B107" s="54"/>
      <x:c r="C107" s="127" t="str">
        <x:v>Cash flow from investing</x:v>
      </x:c>
      <x:c r="D107" s="162" t="n">
        <x:f>SUM(D102:D106)</x:f>
        <x:v>-360.5</x:v>
      </x:c>
      <x:c r="E107" s="162" t="n">
        <x:f>SUM(E102:E106)</x:f>
        <x:v>537</x:v>
      </x:c>
      <x:c r="F107" s="162" t="n">
        <x:f>SUM(F102:F106)</x:f>
        <x:v>-713.3999999999996</x:v>
      </x:c>
      <x:c r="G107" s="162" t="n">
        <x:f>SUM(G102:G106)</x:f>
        <x:v>-5616.7</x:v>
      </x:c>
      <x:c r="H107" s="163" t="n">
        <x:f>SUM(H102:H106)</x:f>
        <x:v>-2935.086414410054</x:v>
      </x:c>
      <x:c r="I107" s="162" t="n">
        <x:f>SUM(I102:I106)</x:f>
        <x:v>-2425.812740766267</x:v>
      </x:c>
      <x:c r="J107" s="162" t="n">
        <x:f>SUM(J102:J106)</x:f>
        <x:v>-3182.1537153169347</x:v>
      </x:c>
      <x:c r="K107" s="162" t="n">
        <x:f>SUM(K102:K106)</x:f>
        <x:v>-3604.25828154516</x:v>
      </x:c>
      <x:c r="L107" s="162" t="n">
        <x:f>SUM(L102:L106)</x:f>
        <x:v>-3753.153693544634</x:v>
      </x:c>
      <x:c r="M107" s="162" t="n">
        <x:f>SUM(M102:M106)</x:f>
        <x:v>-3977.5779151213605</x:v>
      </x:c>
      <x:c r="N107" s="162" t="n">
        <x:f>SUM(N102:N106)</x:f>
        <x:v>-4055.997114861147</x:v>
      </x:c>
      <x:c r="O107" s="162" t="n">
        <x:f>SUM(O102:O106)</x:f>
        <x:v>-4321.004595309174</x:v>
      </x:c>
      <x:c r="P107" s="162" t="n">
        <x:f>SUM(P102:P106)</x:f>
        <x:v>-4313.804272924598</x:v>
      </x:c>
    </x:row>
    <x:row r="108">
      <x:c r="A108" s="54"/>
      <x:c r="B108" s="54"/>
      <x:c r="C108" s="121" t="str">
        <x:v>Dividends paid</x:v>
      </x:c>
      <x:c r="D108" s="160" t="n">
        <x:f>-D82</x:f>
        <x:v>-2972.1</x:v>
      </x:c>
      <x:c r="E108" s="160" t="n">
        <x:f>-E82</x:f>
        <x:v>-1834.3</x:v>
      </x:c>
      <x:c r="F108" s="160" t="n">
        <x:f>-F82</x:f>
        <x:v>-1602.5</x:v>
      </x:c>
      <x:c r="G108" s="160" t="n">
        <x:f>-G82</x:f>
        <x:v>-7516.4</x:v>
      </x:c>
      <x:c r="H108" s="159" t="n">
        <x:f>-H82</x:f>
        <x:v>-3431.2779</x:v>
      </x:c>
      <x:c r="I108" s="160" t="n">
        <x:f>-I82</x:f>
        <x:v>-4547.939013385373</x:v>
      </x:c>
      <x:c r="J108" s="160" t="n">
        <x:f>-J82</x:f>
        <x:v>-4469.186736292515</x:v>
      </x:c>
      <x:c r="K108" s="160" t="n">
        <x:f>-K82</x:f>
        <x:v>-5011.482232946778</x:v>
      </x:c>
      <x:c r="L108" s="160" t="n">
        <x:f>-L82</x:f>
        <x:v>-5656.82379772582</x:v>
      </x:c>
      <x:c r="M108" s="160" t="n">
        <x:f>-M82</x:f>
        <x:v>-6128.3037440523185</x:v>
      </x:c>
      <x:c r="N108" s="160" t="n">
        <x:f>-N82</x:f>
        <x:v>-6620.848109325466</x:v>
      </x:c>
      <x:c r="O108" s="160" t="n">
        <x:f>-O82</x:f>
        <x:v>-7140.517707019739</x:v>
      </x:c>
      <x:c r="P108" s="160" t="n">
        <x:f>-P82</x:f>
        <x:v>-7720.099321147083</x:v>
      </x:c>
    </x:row>
    <x:row r="109">
      <x:c r="A109" s="54"/>
      <x:c r="B109" s="54"/>
      <x:c r="C109" s="121" t="str">
        <x:v>Lease principal and finance costs</x:v>
      </x:c>
      <x:c r="D109" s="156" t="n">
        <x:v>-485.8</x:v>
      </x:c>
      <x:c r="E109" s="156" t="n">
        <x:v>-517.1</x:v>
      </x:c>
      <x:c r="F109" s="156" t="n">
        <x:v>-450.9</x:v>
      </x:c>
      <x:c r="G109" s="156" t="n">
        <x:v>-466.7</x:v>
      </x:c>
      <x:c r="H109" s="159" t="n">
        <x:f>-(H67+H48)</x:f>
        <x:v>-422.926</x:v>
      </x:c>
      <x:c r="I109" s="160" t="n">
        <x:f>-(I67+I48)</x:f>
        <x:v>-261.3934262465717</x:v>
      </x:c>
      <x:c r="J109" s="160" t="n">
        <x:f>-(J67+J48)</x:f>
        <x:v>-183.36444935854846</x:v>
      </x:c>
      <x:c r="K109" s="160" t="n">
        <x:f>-(K67+K48)</x:f>
        <x:v>-149.66370908630176</x:v>
      </x:c>
      <x:c r="L109" s="160" t="n">
        <x:f>-(L67+L48)</x:f>
        <x:v>-139.27720248778405</x:v>
      </x:c>
      <x:c r="M109" s="160" t="n">
        <x:f>-(M67+M48)</x:f>
        <x:v>-138.06653908250394</x:v>
      </x:c>
      <x:c r="N109" s="160" t="n">
        <x:f>-(N67+N48)</x:f>
        <x:v>-141.71947207874098</x:v>
      </x:c>
      <x:c r="O109" s="160" t="n">
        <x:f>-(O67+O48)</x:f>
        <x:v>-148.04600597742413</x:v>
      </x:c>
      <x:c r="P109" s="160" t="n">
        <x:f>-(P67+P48)</x:f>
        <x:v>-155.99830694162995</x:v>
      </x:c>
    </x:row>
    <x:row r="110">
      <x:c r="A110" s="54"/>
      <x:c r="B110" s="54"/>
      <x:c r="C110" s="121" t="str">
        <x:v>Other financing cash flow</x:v>
      </x:c>
      <x:c r="D110" s="156" t="n">
        <x:v>0</x:v>
      </x:c>
      <x:c r="E110" s="156" t="n">
        <x:v>0</x:v>
      </x:c>
      <x:c r="F110" s="156" t="n">
        <x:v>0</x:v>
      </x:c>
      <x:c r="G110" s="156" t="n">
        <x:v>0</x:v>
      </x:c>
      <x:c r="H110" s="159" t="n">
        <x:v>0</x:v>
      </x:c>
      <x:c r="I110" s="160" t="n">
        <x:v>0</x:v>
      </x:c>
      <x:c r="J110" s="160" t="n">
        <x:v>0</x:v>
      </x:c>
      <x:c r="K110" s="160" t="n">
        <x:v>0</x:v>
      </x:c>
      <x:c r="L110" s="160" t="n">
        <x:v>0</x:v>
      </x:c>
      <x:c r="M110" s="160" t="n">
        <x:v>0</x:v>
      </x:c>
      <x:c r="N110" s="160" t="n">
        <x:v>0</x:v>
      </x:c>
      <x:c r="O110" s="160" t="n">
        <x:v>0</x:v>
      </x:c>
      <x:c r="P110" s="160" t="n">
        <x:v>0</x:v>
      </x:c>
    </x:row>
    <x:row r="111">
      <x:c r="A111" s="54"/>
      <x:c r="B111" s="54"/>
      <x:c r="C111" s="127" t="str">
        <x:v>Cash flow from financing</x:v>
      </x:c>
      <x:c r="D111" s="162" t="n">
        <x:f>SUM(D108:D110)</x:f>
        <x:v>-3457.9</x:v>
      </x:c>
      <x:c r="E111" s="162" t="n">
        <x:f>SUM(E108:E110)</x:f>
        <x:v>-2351.4</x:v>
      </x:c>
      <x:c r="F111" s="162" t="n">
        <x:f>SUM(F108:F110)</x:f>
        <x:v>-2053.4</x:v>
      </x:c>
      <x:c r="G111" s="162" t="n">
        <x:f>SUM(G108:G110)</x:f>
        <x:v>-7983.099999999999</x:v>
      </x:c>
      <x:c r="H111" s="163" t="n">
        <x:f>SUM(H108:H110)</x:f>
        <x:v>-3854.2039</x:v>
      </x:c>
      <x:c r="I111" s="162" t="n">
        <x:f>SUM(I108:I110)</x:f>
        <x:v>-4809.332439631945</x:v>
      </x:c>
      <x:c r="J111" s="162" t="n">
        <x:f>SUM(J108:J110)</x:f>
        <x:v>-4652.551185651064</x:v>
      </x:c>
      <x:c r="K111" s="162" t="n">
        <x:f>SUM(K108:K110)</x:f>
        <x:v>-5161.145942033079</x:v>
      </x:c>
      <x:c r="L111" s="162" t="n">
        <x:f>SUM(L108:L110)</x:f>
        <x:v>-5796.1010002136045</x:v>
      </x:c>
      <x:c r="M111" s="162" t="n">
        <x:f>SUM(M108:M110)</x:f>
        <x:v>-6266.370283134823</x:v>
      </x:c>
      <x:c r="N111" s="162" t="n">
        <x:f>SUM(N108:N110)</x:f>
        <x:v>-6762.567581404207</x:v>
      </x:c>
      <x:c r="O111" s="162" t="n">
        <x:f>SUM(O108:O110)</x:f>
        <x:v>-7288.563712997163</x:v>
      </x:c>
      <x:c r="P111" s="162" t="n">
        <x:f>SUM(P108:P110)</x:f>
        <x:v>-7876.0976280887135</x:v>
      </x:c>
    </x:row>
    <x:row r="112">
      <x:c r="A112" s="54"/>
      <x:c r="B112" s="54"/>
      <x:c r="C112" s="121" t="str">
        <x:v>Net change in cash</x:v>
      </x:c>
      <x:c r="D112" s="160" t="n">
        <x:f>D101+D107+D111</x:f>
        <x:v>-261.5999999999981</x:v>
      </x:c>
      <x:c r="E112" s="160" t="n">
        <x:f>E101+E107+E111</x:f>
        <x:v>753.9999999999986</x:v>
      </x:c>
      <x:c r="F112" s="160" t="n">
        <x:f>F101+F107+F111</x:f>
        <x:v>3830.700000000002</x:v>
      </x:c>
      <x:c r="G112" s="160" t="n">
        <x:f>G101+G107+G111</x:f>
        <x:v>-3924.100000000002</x:v>
      </x:c>
      <x:c r="H112" s="159" t="n">
        <x:f>H101+H107+H111</x:f>
        <x:v>-505.84272853148514</x:v>
      </x:c>
      <x:c r="I112" s="160" t="n">
        <x:f>I101+I107+I111</x:f>
        <x:v>29.433440738611353</x:v>
      </x:c>
      <x:c r="J112" s="160" t="n">
        <x:f>J101+J107+J111</x:f>
        <x:v>57.13707711574989</x:v>
      </x:c>
      <x:c r="K112" s="160" t="n">
        <x:f>K101+K107+K111</x:f>
        <x:v>69.50390900651291</x:v>
      </x:c>
      <x:c r="L112" s="160" t="n">
        <x:f>L101+L107+L111</x:f>
        <x:v>42.82354724708148</x:v>
      </x:c>
      <x:c r="M112" s="160" t="n">
        <x:f>M101+M107+M111</x:f>
        <x:v>45.78779246104477</x:v>
      </x:c>
      <x:c r="N112" s="160" t="n">
        <x:f>N101+N107+N111</x:f>
        <x:v>48.38782151144642</x:v>
      </x:c>
      <x:c r="O112" s="160" t="n">
        <x:f>O101+O107+O111</x:f>
        <x:v>51.4949894071442</x:v>
      </x:c>
      <x:c r="P112" s="160" t="n">
        <x:f>P101+P107+P111</x:f>
        <x:v>56.79980479855749</x:v>
      </x:c>
    </x:row>
    <x:row r="113">
      <x:c r="A113" s="54"/>
      <x:c r="B113" s="54"/>
      <x:c r="C113" s="121" t="str">
        <x:v>Opening cash and cash equivalents</x:v>
      </x:c>
      <x:c r="D113" s="156" t="n">
        <x:v>627.6</x:v>
      </x:c>
      <x:c r="E113" s="156" t="n">
        <x:v>366</x:v>
      </x:c>
      <x:c r="F113" s="156" t="n">
        <x:v>1120</x:v>
      </x:c>
      <x:c r="G113" s="156" t="n">
        <x:v>4950.7</x:v>
      </x:c>
      <x:c r="H113" s="159" t="n">
        <x:f>G114</x:f>
        <x:v>1026.6</x:v>
      </x:c>
      <x:c r="I113" s="160" t="n">
        <x:f>H114</x:f>
        <x:v>520.7572714685148</x:v>
      </x:c>
      <x:c r="J113" s="160" t="n">
        <x:f>I114</x:f>
        <x:v>550.1907122071261</x:v>
      </x:c>
      <x:c r="K113" s="160" t="n">
        <x:f>J114</x:f>
        <x:v>607.327789322876</x:v>
      </x:c>
      <x:c r="L113" s="160" t="n">
        <x:f>K114</x:f>
        <x:v>676.8316983293889</x:v>
      </x:c>
      <x:c r="M113" s="160" t="n">
        <x:f>L114</x:f>
        <x:v>719.6552455764704</x:v>
      </x:c>
      <x:c r="N113" s="160" t="n">
        <x:f>M114</x:f>
        <x:v>765.4430380375152</x:v>
      </x:c>
      <x:c r="O113" s="160" t="n">
        <x:f>N114</x:f>
        <x:v>813.8308595489616</x:v>
      </x:c>
      <x:c r="P113" s="160" t="n">
        <x:f>O114</x:f>
        <x:v>865.3258489561058</x:v>
      </x:c>
    </x:row>
    <x:row r="114">
      <x:c r="A114" s="54"/>
      <x:c r="B114" s="54"/>
      <x:c r="C114" s="128" t="str">
        <x:v>Closing cash and cash equivalents</x:v>
      </x:c>
      <x:c r="D114" s="164" t="n">
        <x:v>366</x:v>
      </x:c>
      <x:c r="E114" s="164" t="n">
        <x:v>1120</x:v>
      </x:c>
      <x:c r="F114" s="164" t="n">
        <x:v>4950.7</x:v>
      </x:c>
      <x:c r="G114" s="164" t="n">
        <x:v>1026.6</x:v>
      </x:c>
      <x:c r="H114" s="165" t="n">
        <x:f>H113+H112</x:f>
        <x:v>520.7572714685148</x:v>
      </x:c>
      <x:c r="I114" s="164" t="n">
        <x:f>I113+I112</x:f>
        <x:v>550.1907122071261</x:v>
      </x:c>
      <x:c r="J114" s="164" t="n">
        <x:f>J113+J112</x:f>
        <x:v>607.327789322876</x:v>
      </x:c>
      <x:c r="K114" s="164" t="n">
        <x:f>K113+K112</x:f>
        <x:v>676.8316983293889</x:v>
      </x:c>
      <x:c r="L114" s="164" t="n">
        <x:f>L113+L112</x:f>
        <x:v>719.6552455764704</x:v>
      </x:c>
      <x:c r="M114" s="164" t="n">
        <x:f>M113+M112</x:f>
        <x:v>765.4430380375152</x:v>
      </x:c>
      <x:c r="N114" s="164" t="n">
        <x:f>N113+N112</x:f>
        <x:v>813.8308595489616</x:v>
      </x:c>
      <x:c r="O114" s="164" t="n">
        <x:f>O113+O112</x:f>
        <x:v>865.3258489561058</x:v>
      </x:c>
      <x:c r="P114" s="164" t="n">
        <x:f>P113+P112</x:f>
        <x:v>922.1256537546633</x:v>
      </x:c>
    </x:row>
    <x:row r="115">
      <x:c r="A115" s="54"/>
      <x:c r="B115" s="54"/>
      <x:c r="C115" s="121"/>
      <x:c r="D115" s="130"/>
      <x:c r="E115" s="130"/>
      <x:c r="F115" s="130"/>
      <x:c r="G115" s="130"/>
      <x:c r="H115" s="167"/>
      <x:c r="I115" s="130"/>
      <x:c r="J115" s="130"/>
      <x:c r="K115" s="130"/>
      <x:c r="L115" s="130"/>
      <x:c r="M115" s="130"/>
      <x:c r="N115" s="130"/>
      <x:c r="O115" s="130"/>
      <x:c r="P115" s="130"/>
    </x:row>
    <x:row r="116" ht="18" customHeight="1">
      <x:c r="A116" s="54"/>
      <x:c r="B116" s="54"/>
      <x:c r="C116" s="124" t="str">
        <x:v>Model checks</x:v>
      </x:c>
      <x:c r="D116" s="136"/>
      <x:c r="E116" s="136"/>
      <x:c r="F116" s="136"/>
      <x:c r="G116" s="136"/>
      <x:c r="H116" s="161"/>
      <x:c r="I116" s="136"/>
      <x:c r="J116" s="136"/>
      <x:c r="K116" s="136"/>
      <x:c r="L116" s="136"/>
      <x:c r="M116" s="136"/>
      <x:c r="N116" s="136"/>
      <x:c r="O116" s="136"/>
      <x:c r="P116" s="137"/>
    </x:row>
    <x:row r="117" ht="23" customHeight="1">
      <x:c r="A117" s="54"/>
      <x:c r="B117" s="54"/>
      <x:c r="C117" s="125" t="str">
        <x:v>INR million unless stated</x:v>
      </x:c>
      <x:c r="D117" s="138" t="str">
        <x:v>FY23A</x:v>
      </x:c>
      <x:c r="E117" s="138" t="str">
        <x:v>FY24A</x:v>
      </x:c>
      <x:c r="F117" s="138" t="str">
        <x:v>FY25A</x:v>
      </x:c>
      <x:c r="G117" s="138" t="str">
        <x:v>FY26A</x:v>
      </x:c>
      <x:c r="H117" s="139" t="str">
        <x:v>FY27E</x:v>
      </x:c>
      <x:c r="I117" s="140" t="str">
        <x:v>FY28E</x:v>
      </x:c>
      <x:c r="J117" s="140" t="str">
        <x:v>FY29E</x:v>
      </x:c>
      <x:c r="K117" s="140" t="str">
        <x:v>FY30E</x:v>
      </x:c>
      <x:c r="L117" s="140" t="str">
        <x:v>FY31E</x:v>
      </x:c>
      <x:c r="M117" s="140" t="str">
        <x:v>FY32E</x:v>
      </x:c>
      <x:c r="N117" s="140" t="str">
        <x:v>FY33E</x:v>
      </x:c>
      <x:c r="O117" s="140" t="str">
        <x:v>FY34E</x:v>
      </x:c>
      <x:c r="P117" s="141" t="str">
        <x:v>FY35E</x:v>
      </x:c>
    </x:row>
    <x:row r="118">
      <x:c r="A118" s="54"/>
      <x:c r="B118" s="54"/>
      <x:c r="C118" s="121" t="str">
        <x:v>Balance sheet check</x:v>
      </x:c>
      <x:c r="D118" s="152" t="n">
        <x:f>D91</x:f>
        <x:v>-7.275957614183426e-12</x:v>
      </x:c>
      <x:c r="E118" s="152" t="n">
        <x:f>E91</x:f>
        <x:v>0</x:v>
      </x:c>
      <x:c r="F118" s="152" t="n">
        <x:f>F91</x:f>
        <x:v>0</x:v>
      </x:c>
      <x:c r="G118" s="152" t="n">
        <x:f>G91</x:f>
        <x:v>0</x:v>
      </x:c>
      <x:c r="H118" s="166" t="n">
        <x:f>H91</x:f>
        <x:v>7.275957614183426e-12</x:v>
      </x:c>
      <x:c r="I118" s="152" t="n">
        <x:f>I91</x:f>
        <x:v>7.275957614183426e-12</x:v>
      </x:c>
      <x:c r="J118" s="152" t="n">
        <x:f>J91</x:f>
        <x:v>0</x:v>
      </x:c>
      <x:c r="K118" s="152" t="n">
        <x:f>K91</x:f>
        <x:v>1.4551915228366852e-11</x:v>
      </x:c>
      <x:c r="L118" s="152" t="n">
        <x:f>L91</x:f>
        <x:v>1.4551915228366852e-11</x:v>
      </x:c>
      <x:c r="M118" s="152" t="n">
        <x:f>M91</x:f>
        <x:v>2.9103830456733704e-11</x:v>
      </x:c>
      <x:c r="N118" s="152" t="n">
        <x:f>N91</x:f>
        <x:v>1.4551915228366852e-11</x:v>
      </x:c>
      <x:c r="O118" s="152" t="n">
        <x:f>O91</x:f>
        <x:v>1.4551915228366852e-11</x:v>
      </x:c>
      <x:c r="P118" s="152" t="n">
        <x:f>P91</x:f>
        <x:v>-1.4551915228366852e-11</x:v>
      </x:c>
    </x:row>
    <x:row r="119">
      <x:c r="A119" s="54"/>
      <x:c r="B119" s="54"/>
      <x:c r="C119" s="121" t="str">
        <x:v>Cash flow closing cash check</x:v>
      </x:c>
      <x:c r="D119" s="152" t="n">
        <x:f>D92</x:f>
        <x:v>0</x:v>
      </x:c>
      <x:c r="E119" s="152" t="n">
        <x:f>E92</x:f>
        <x:v>0</x:v>
      </x:c>
      <x:c r="F119" s="152" t="n">
        <x:f>F92</x:f>
        <x:v>0</x:v>
      </x:c>
      <x:c r="G119" s="152" t="n">
        <x:f>G92</x:f>
        <x:v>0</x:v>
      </x:c>
      <x:c r="H119" s="166" t="n">
        <x:f>H92</x:f>
        <x:v>1.1368683772161603e-12</x:v>
      </x:c>
      <x:c r="I119" s="152" t="n">
        <x:f>I92</x:f>
        <x:v>1.1368683772161603e-12</x:v>
      </x:c>
      <x:c r="J119" s="152" t="n">
        <x:f>J92</x:f>
        <x:v>-6.821210263296962e-13</x:v>
      </x:c>
      <x:c r="K119" s="152" t="n">
        <x:f>K92</x:f>
        <x:v>-1.1368683772161603e-13</x:v>
      </x:c>
      <x:c r="L119" s="152" t="n">
        <x:f>L92</x:f>
        <x:v>-1.5916157281026244e-12</x:v>
      </x:c>
      <x:c r="M119" s="152" t="n">
        <x:f>M92</x:f>
        <x:v>-1.2505552149377763e-12</x:v>
      </x:c>
      <x:c r="N119" s="152" t="n">
        <x:f>N92</x:f>
        <x:v>-2.0463630789890885e-12</x:v>
      </x:c>
      <x:c r="O119" s="152" t="n">
        <x:f>O92</x:f>
        <x:v>-5.684341886080801e-13</x:v>
      </x:c>
      <x:c r="P119" s="152" t="n">
        <x:f>P92</x:f>
        <x:v>1.0231815394945443e-12</x:v>
      </x:c>
    </x:row>
    <x:row r="120">
      <x:c r="A120" s="54"/>
      <x:c r="B120" s="54"/>
      <x:c r="C120" s="121" t="str">
        <x:v>Revenue linkage check</x:v>
      </x:c>
      <x:c r="D120" s="152" t="n">
        <x:f>D39-('Revenue Model'!C11)</x:f>
        <x:v>0</x:v>
      </x:c>
      <x:c r="E120" s="152" t="n">
        <x:f>E39-('Revenue Model'!D11)</x:f>
        <x:v>0</x:v>
      </x:c>
      <x:c r="F120" s="152" t="n">
        <x:f>F39-('Revenue Model'!E11)</x:f>
        <x:v>0</x:v>
      </x:c>
      <x:c r="G120" s="152" t="n">
        <x:f>G39-('Revenue Model'!F11)</x:f>
        <x:v>0</x:v>
      </x:c>
      <x:c r="H120" s="168" t="n">
        <x:f>H39-('Revenue Model'!K11)</x:f>
        <x:v>0</x:v>
      </x:c>
      <x:c r="I120" s="152" t="n">
        <x:f>I39-('Revenue Model'!P11)</x:f>
        <x:v>0</x:v>
      </x:c>
      <x:c r="J120" s="152" t="n">
        <x:f>J39-('Revenue Model'!Q11)</x:f>
        <x:v>0</x:v>
      </x:c>
      <x:c r="K120" s="152" t="n">
        <x:f>K39-('Revenue Model'!R11)</x:f>
        <x:v>0</x:v>
      </x:c>
      <x:c r="L120" s="152" t="n">
        <x:f>L39-('Revenue Model'!S11)</x:f>
        <x:v>0</x:v>
      </x:c>
      <x:c r="M120" s="152" t="n">
        <x:f>M39-('Revenue Model'!T11)</x:f>
        <x:v>0</x:v>
      </x:c>
      <x:c r="N120" s="152" t="n">
        <x:f>N39-('Revenue Model'!U11)</x:f>
        <x:v>0</x:v>
      </x:c>
      <x:c r="O120" s="152" t="n">
        <x:f>O39-('Revenue Model'!V11)</x:f>
        <x:v>0</x:v>
      </x:c>
      <x:c r="P120" s="152" t="n">
        <x:f>P39-('Revenue Model'!W11)</x:f>
        <x:v>0</x:v>
      </x:c>
    </x:row>
    <x:row r="121">
      <x:c r="A121" s="54"/>
      <x:c r="B121" s="54"/>
      <x:c r="C121" s="121"/>
      <x:c r="D121" s="130"/>
      <x:c r="E121" s="130"/>
      <x:c r="F121" s="130"/>
      <x:c r="G121" s="130"/>
      <x:c r="H121" s="130"/>
      <x:c r="I121" s="130"/>
      <x:c r="J121" s="130"/>
      <x:c r="K121" s="130"/>
      <x:c r="L121" s="130"/>
      <x:c r="M121" s="130"/>
      <x:c r="N121" s="130"/>
      <x:c r="O121" s="130"/>
      <x:c r="P121" s="130"/>
    </x:row>
    <x:row r="122" ht="18" customHeight="1">
      <x:c r="A122" s="54"/>
      <x:c r="B122" s="54"/>
      <x:c r="C122" s="124" t="str">
        <x:v>Key sources and modelling notes</x:v>
      </x:c>
      <x:c r="D122" s="136"/>
      <x:c r="E122" s="136"/>
      <x:c r="F122" s="136"/>
      <x:c r="G122" s="136"/>
      <x:c r="H122" s="136"/>
      <x:c r="I122" s="136"/>
      <x:c r="J122" s="136"/>
      <x:c r="K122" s="136"/>
      <x:c r="L122" s="136"/>
      <x:c r="M122" s="136"/>
      <x:c r="N122" s="136"/>
      <x:c r="O122" s="136"/>
      <x:c r="P122" s="137"/>
    </x:row>
    <x:row r="123" ht="30" customHeight="1">
      <x:c r="A123" s="54"/>
      <x:c r="B123" s="54"/>
      <x:c r="C123" s="129" t="str">
        <x:v>FY26 audited financial statements</x:v>
      </x:c>
      <x:c r="D123" s="169" t="str">
        <x:v>Pfizer Limited Annual Report 2025-26, pp. 170-173. Balance sheet, profit and loss, cash flow and changes in equity. https://www.pfizerltd.co.in/files/Pfizer_Limited_-_Annual_Report_FY_2026.pdf</x:v>
      </x:c>
      <x:c r="E123" s="130"/>
      <x:c r="F123" s="130"/>
      <x:c r="G123" s="130"/>
      <x:c r="H123" s="130"/>
      <x:c r="I123" s="130"/>
      <x:c r="J123" s="130"/>
      <x:c r="K123" s="130"/>
      <x:c r="L123" s="130"/>
      <x:c r="M123" s="130"/>
      <x:c r="N123" s="130"/>
      <x:c r="O123" s="130"/>
      <x:c r="P123" s="130"/>
    </x:row>
    <x:row r="124" ht="30" customHeight="1">
      <x:c r="A124" s="54"/>
      <x:c r="B124" s="54"/>
      <x:c r="C124" s="129" t="str">
        <x:v>FY24 audited financial statements</x:v>
      </x:c>
      <x:c r="D124" s="169" t="str">
        <x:v>Pfizer Limited Annual Report 2023-24, pp. 164-166. Used for FY23 and FY24 comparatives. https://www.pfizerltd.co.in/financial-information</x:v>
      </x:c>
      <x:c r="E124" s="130"/>
      <x:c r="F124" s="130"/>
      <x:c r="G124" s="130"/>
      <x:c r="H124" s="130"/>
      <x:c r="I124" s="130"/>
      <x:c r="J124" s="130"/>
      <x:c r="K124" s="130"/>
      <x:c r="L124" s="130"/>
      <x:c r="M124" s="130"/>
      <x:c r="N124" s="130"/>
      <x:c r="O124" s="130"/>
      <x:c r="P124" s="130"/>
    </x:row>
    <x:row r="125" ht="30" customHeight="1">
      <x:c r="A125" s="54"/>
      <x:c r="B125" s="54"/>
      <x:c r="C125" s="129" t="str">
        <x:v>Q1 FY27 calibration</x:v>
      </x:c>
      <x:c r="D125" s="169" t="str">
        <x:v>Pfizer Limited unaudited results dated 28 July 2026, p. 4. Revenue INR 6,531.7m and PAT INR 2,044.7m. https://www.pfizerltd.co.in/files/Stock_Exchange_Intimation_-Outcome_of_the_Board_Meeting_28072026_final.pdf</x:v>
      </x:c>
      <x:c r="E125" s="130"/>
      <x:c r="F125" s="130"/>
      <x:c r="G125" s="130"/>
      <x:c r="H125" s="130"/>
      <x:c r="I125" s="130"/>
      <x:c r="J125" s="130"/>
      <x:c r="K125" s="130"/>
      <x:c r="L125" s="130"/>
      <x:c r="M125" s="130"/>
      <x:c r="N125" s="130"/>
      <x:c r="O125" s="130"/>
      <x:c r="P125" s="130"/>
    </x:row>
    <x:row r="126" ht="30" customHeight="1">
      <x:c r="A126" s="54"/>
      <x:c r="B126" s="54"/>
      <x:c r="C126" s="129" t="str">
        <x:v>Minipress XL</x:v>
      </x:c>
      <x:c r="D126" s="169" t="str">
        <x:v>Pfizer Limited filing dated 7 September 2026. Marketing discontinued and USD 13.9m, approximately INR 1,313.8m, transition receipt assumed in FY27 investing cash flow. Accounting classification remains an analyst estimate. https://www.pfizerltd.co.in/files/Stock_Exchange_Intimation_-_Outcome_of_the_Board_Meeting_07092026.pdf</x:v>
      </x:c>
      <x:c r="E126" s="130"/>
      <x:c r="F126" s="130"/>
      <x:c r="G126" s="130"/>
      <x:c r="H126" s="130"/>
      <x:c r="I126" s="130"/>
      <x:c r="J126" s="130"/>
      <x:c r="K126" s="130"/>
      <x:c r="L126" s="130"/>
      <x:c r="M126" s="130"/>
      <x:c r="N126" s="130"/>
      <x:c r="O126" s="130"/>
      <x:c r="P126" s="130"/>
    </x:row>
    <x:row r="127" ht="30" customHeight="1">
      <x:c r="A127" s="54"/>
      <x:c r="B127" s="54"/>
      <x:c r="C127" s="129" t="str">
        <x:v>Revenue forecast</x:v>
      </x:c>
      <x:c r="D127" s="169" t="str">
        <x:v>Revenue is linked directly to the existing Revenue Model tab. No revenue values are re-entered in the financial model.</x:v>
      </x:c>
      <x:c r="E127" s="130"/>
      <x:c r="F127" s="130"/>
      <x:c r="G127" s="130"/>
      <x:c r="H127" s="130"/>
      <x:c r="I127" s="130"/>
      <x:c r="J127" s="130"/>
      <x:c r="K127" s="130"/>
      <x:c r="L127" s="130"/>
      <x:c r="M127" s="130"/>
      <x:c r="N127" s="130"/>
      <x:c r="O127" s="130"/>
      <x:c r="P127" s="130"/>
    </x:row>
    <x:row r="128" ht="30" customHeight="1">
      <x:c r="A128" s="54"/>
      <x:c r="B128" s="54"/>
      <x:c r="C128" s="129" t="str">
        <x:v>Liquidity convention</x:v>
      </x:c>
      <x:c r="D128" s="169" t="str">
        <x:v>Cash and equivalents are set at 2.0% of revenue in forecasts. Surplus cash is placed in term deposits. This avoids using cash as an unexplained balance-sheet plug.</x:v>
      </x:c>
      <x:c r="E128" s="130"/>
      <x:c r="F128" s="130"/>
      <x:c r="G128" s="130"/>
      <x:c r="H128" s="130"/>
      <x:c r="I128" s="130"/>
      <x:c r="J128" s="130"/>
      <x:c r="K128" s="130"/>
      <x:c r="L128" s="130"/>
      <x:c r="M128" s="130"/>
      <x:c r="N128" s="130"/>
      <x:c r="O128" s="130"/>
      <x:c r="P128" s="130"/>
    </x:row>
    <x:row r="129" ht="30" customHeight="1">
      <x:c r="A129" s="54"/>
      <x:c r="B129" s="54"/>
      <x:c r="C129" s="129" t="str">
        <x:v>Dividend timing</x:v>
      </x:c>
      <x:c r="D129" s="169" t="str">
        <x:v>FY27 cash dividend uses the approved FY26 dividend of INR 75 per share. Later cash dividends are based on the prior year's earnings and target payout ratio.</x:v>
      </x:c>
      <x:c r="E129" s="130"/>
      <x:c r="F129" s="130"/>
      <x:c r="G129" s="130"/>
      <x:c r="H129" s="130"/>
      <x:c r="I129" s="130"/>
      <x:c r="J129" s="130"/>
      <x:c r="K129" s="130"/>
      <x:c r="L129" s="130"/>
      <x:c r="M129" s="130"/>
      <x:c r="N129" s="130"/>
      <x:c r="O129" s="130"/>
      <x:c r="P129" s="130"/>
    </x:row>
    <x:row r="130" ht="30" customHeight="1">
      <x:c r="A130" s="54"/>
      <x:c r="B130" s="54"/>
      <x:c r="C130" s="129" t="str">
        <x:v>Forecast status</x:v>
      </x:c>
      <x:c r="D130" s="169" t="str">
        <x:v>FY27-FY35 figures are analyst estimates. Blue forecast cells are editable assumptions. All other forecast cells are formula-driven.</x:v>
      </x:c>
      <x:c r="E130" s="130"/>
      <x:c r="F130" s="130"/>
      <x:c r="G130" s="130"/>
      <x:c r="H130" s="130"/>
      <x:c r="I130" s="130"/>
      <x:c r="J130" s="130"/>
      <x:c r="K130" s="130"/>
      <x:c r="L130" s="130"/>
      <x:c r="M130" s="130"/>
      <x:c r="N130" s="130"/>
      <x:c r="O130" s="130"/>
      <x:c r="P130" s="130"/>
    </x:row>
    <x:row r="131">
      <x:c r="A131" s="54"/>
      <x:c r="B131" s="54"/>
      <x:c r="C131" s="121"/>
      <x:c r="D131" s="130"/>
      <x:c r="E131" s="130"/>
      <x:c r="F131" s="130"/>
      <x:c r="G131" s="130"/>
      <x:c r="H131" s="130"/>
      <x:c r="I131" s="130"/>
      <x:c r="J131" s="130"/>
      <x:c r="K131" s="130"/>
      <x:c r="L131" s="130"/>
      <x:c r="M131" s="130"/>
      <x:c r="N131" s="130"/>
      <x:c r="O131" s="130"/>
      <x:c r="P131" s="130"/>
    </x:row>
  </x:sheetData>
  <x:conditionalFormatting sqref="D118:P118">
    <x:cfRule type="cellIs" dxfId="1" priority="1" operator="greaterThan">
      <x:formula>1</x:formula>
    </x:cfRule>
    <x:cfRule type="cellIs" dxfId="2" priority="2" operator="lessThan">
      <x:formula>-1</x:formula>
    </x:cfRule>
  </x:conditionalFormatting>
  <x:conditionalFormatting sqref="D119:P119">
    <x:cfRule type="cellIs" dxfId="3" priority="3" operator="greaterThan">
      <x:formula>1</x:formula>
    </x:cfRule>
    <x:cfRule type="cellIs" dxfId="4" priority="4" operator="lessThan">
      <x:formula>-1</x:formula>
    </x:cfRule>
  </x:conditionalFormatting>
  <x:conditionalFormatting sqref="D120:P120">
    <x:cfRule type="cellIs" dxfId="5" priority="5" operator="greaterThan">
      <x:formula>1</x:formula>
    </x:cfRule>
    <x:cfRule type="cellIs" dxfId="6" priority="6" operator="lessThan">
      <x:formula>-1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34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</x:cols>
  <x:sheetData>
    <x:row r="1">
      <x:c r="A1" s="54"/>
      <x:c r="B1" s="54"/>
      <x:c r="C1" s="121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  <x:c r="S1" s="130"/>
      <x:c r="T1" s="130"/>
      <x:c r="U1" s="130"/>
      <x:c r="V1" s="130"/>
      <x:c r="W1" s="130"/>
      <x:c r="X1" s="130"/>
    </x:row>
    <x:row r="2" ht="22" customHeight="1">
      <x:c r="A2" s="54"/>
      <x:c r="B2" s="54"/>
      <x:c r="C2" s="122" t="str">
        <x:v>Pfizer Limited profit and loss statement</x:v>
      </x:c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</x:row>
    <x:row r="3">
      <x:c r="A3" s="54"/>
      <x:c r="B3" s="54"/>
      <x:c r="C3" s="123" t="str">
        <x:v>INR million. FY23-FY26 audited actuals; Q1 FY27 reported; Q2 FY27-FY35 analyst estimates. Quarterly forecasts reconcile to annual estimates.</x:v>
      </x:c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  <x:c r="Q3" s="132"/>
      <x:c r="R3" s="132"/>
      <x:c r="S3" s="132"/>
      <x:c r="T3" s="132"/>
      <x:c r="U3" s="132"/>
      <x:c r="V3" s="132"/>
      <x:c r="W3" s="132"/>
      <x:c r="X3" s="132"/>
    </x:row>
    <x:row r="4">
      <x:c r="A4" s="54"/>
      <x:c r="B4" s="54"/>
      <x:c r="C4" s="121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  <x:c r="N4" s="130"/>
      <x:c r="O4" s="130"/>
      <x:c r="P4" s="130"/>
      <x:c r="Q4" s="130"/>
      <x:c r="R4" s="130"/>
      <x:c r="S4" s="130"/>
      <x:c r="T4" s="130"/>
      <x:c r="U4" s="130"/>
      <x:c r="V4" s="130"/>
      <x:c r="W4" s="130"/>
      <x:c r="X4" s="130"/>
    </x:row>
    <x:row r="5">
      <x:c r="A5" s="54"/>
      <x:c r="B5" s="54"/>
      <x:c r="C5" s="121" t="str">
        <x:v>Legend</x:v>
      </x:c>
      <x:c r="D5" s="133" t="str">
        <x:v>Reported hardcode</x:v>
      </x:c>
      <x:c r="E5" s="134" t="str">
        <x:v>Formula</x:v>
      </x:c>
      <x:c r="F5" s="135" t="str">
        <x:v>Cross-sheet link</x:v>
      </x:c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  <x:c r="Q5" s="130"/>
      <x:c r="R5" s="130"/>
      <x:c r="S5" s="130"/>
      <x:c r="T5" s="130"/>
      <x:c r="U5" s="130"/>
      <x:c r="V5" s="130"/>
      <x:c r="W5" s="130"/>
      <x:c r="X5" s="130"/>
    </x:row>
    <x:row r="6">
      <x:c r="A6" s="54"/>
      <x:c r="B6" s="54"/>
      <x:c r="C6" s="121"/>
      <x:c r="D6" s="130"/>
      <x:c r="E6" s="130"/>
      <x:c r="F6" s="130"/>
      <x:c r="G6" s="130"/>
      <x:c r="H6" s="130"/>
      <x:c r="I6" s="130"/>
      <x:c r="J6" s="130"/>
      <x:c r="K6" s="130"/>
      <x:c r="L6" s="130"/>
      <x:c r="M6" s="130"/>
      <x:c r="N6" s="130"/>
      <x:c r="O6" s="130"/>
      <x:c r="P6" s="130"/>
      <x:c r="Q6" s="130"/>
      <x:c r="R6" s="130"/>
      <x:c r="S6" s="130"/>
      <x:c r="T6" s="130"/>
      <x:c r="U6" s="130"/>
      <x:c r="V6" s="130"/>
      <x:c r="W6" s="130"/>
      <x:c r="X6" s="130"/>
    </x:row>
    <x:row r="7" ht="18" customHeight="1">
      <x:c r="A7" s="54"/>
      <x:c r="B7" s="54"/>
      <x:c r="C7" s="207" t="str">
        <x:v>Profit and loss statement</x:v>
      </x:c>
      <x:c r="D7" s="210"/>
      <x:c r="E7" s="210"/>
      <x:c r="F7" s="210"/>
      <x:c r="G7" s="210"/>
      <x:c r="H7" s="210"/>
      <x:c r="I7" s="210"/>
      <x:c r="J7" s="210"/>
      <x:c r="K7" s="210"/>
      <x:c r="L7" s="210"/>
      <x:c r="M7" s="210"/>
      <x:c r="N7" s="210"/>
      <x:c r="O7" s="210"/>
      <x:c r="P7" s="210"/>
      <x:c r="Q7" s="210"/>
      <x:c r="R7" s="210"/>
      <x:c r="S7" s="210"/>
      <x:c r="T7" s="210"/>
      <x:c r="U7" s="210"/>
      <x:c r="V7" s="210"/>
      <x:c r="W7" s="210"/>
      <x:c r="X7" s="211"/>
    </x:row>
    <x:row r="8" ht="28" customHeight="1">
      <x:c r="A8" s="54"/>
      <x:c r="B8" s="54"/>
      <x:c r="C8" s="208" t="str">
        <x:v>INR million unless stated</x:v>
      </x:c>
      <x:c r="D8" s="212" t="str">
        <x:v>FY23A</x:v>
      </x:c>
      <x:c r="E8" s="212" t="str">
        <x:v>FY24A</x:v>
      </x:c>
      <x:c r="F8" s="212" t="str">
        <x:v>FY25A</x:v>
      </x:c>
      <x:c r="G8" s="212" t="str">
        <x:v>FY26A</x:v>
      </x:c>
      <x:c r="H8" s="213" t="str">
        <x:v>Q1 FY27A</x:v>
      </x:c>
      <x:c r="I8" s="214" t="str">
        <x:v>Q2 FY27E</x:v>
      </x:c>
      <x:c r="J8" s="214" t="str">
        <x:v>Q3 FY27E</x:v>
      </x:c>
      <x:c r="K8" s="214" t="str">
        <x:v>Q4 FY27E</x:v>
      </x:c>
      <x:c r="L8" s="215" t="str">
        <x:v>FY27E</x:v>
      </x:c>
      <x:c r="M8" s="215" t="str">
        <x:v>Q1 FY28E</x:v>
      </x:c>
      <x:c r="N8" s="214" t="str">
        <x:v>Q2 FY28E</x:v>
      </x:c>
      <x:c r="O8" s="214" t="str">
        <x:v>Q3 FY28E</x:v>
      </x:c>
      <x:c r="P8" s="214" t="str">
        <x:v>Q4 FY28E</x:v>
      </x:c>
      <x:c r="Q8" s="215" t="str">
        <x:v>FY28E</x:v>
      </x:c>
      <x:c r="R8" s="215" t="str">
        <x:v>FY29E</x:v>
      </x:c>
      <x:c r="S8" s="214" t="str">
        <x:v>FY30E</x:v>
      </x:c>
      <x:c r="T8" s="214" t="str">
        <x:v>FY31E</x:v>
      </x:c>
      <x:c r="U8" s="214" t="str">
        <x:v>FY32E</x:v>
      </x:c>
      <x:c r="V8" s="214" t="str">
        <x:v>FY33E</x:v>
      </x:c>
      <x:c r="W8" s="214" t="str">
        <x:v>FY34E</x:v>
      </x:c>
      <x:c r="X8" s="214" t="str">
        <x:v>FY35E</x:v>
      </x:c>
    </x:row>
    <x:row r="9">
      <x:c r="A9" s="54"/>
      <x:c r="B9" s="54"/>
      <x:c r="C9" s="121" t="str">
        <x:v>Revenue from operations</x:v>
      </x:c>
      <x:c r="D9" s="142" t="n">
        <x:f>'Schedules'!D39</x:f>
        <x:v>24247.600000000002</x:v>
      </x:c>
      <x:c r="E9" s="142" t="n">
        <x:f>'Schedules'!E39</x:f>
        <x:v>21931.7</x:v>
      </x:c>
      <x:c r="F9" s="142" t="n">
        <x:f>'Schedules'!F39</x:f>
        <x:v>22813.5</x:v>
      </x:c>
      <x:c r="G9" s="142" t="n">
        <x:f>'Schedules'!G39</x:f>
        <x:v>25196.499999999996</x:v>
      </x:c>
      <x:c r="H9" s="216" t="n">
        <x:f>'Revenue Model'!G11</x:f>
        <x:v>6531.7</x:v>
      </x:c>
      <x:c r="I9" s="142" t="n">
        <x:f>'Revenue Model'!H11</x:f>
        <x:v>6633.937823297441</x:v>
      </x:c>
      <x:c r="J9" s="142" t="n">
        <x:f>'Revenue Model'!I11</x:f>
        <x:v>6373.021950911999</x:v>
      </x:c>
      <x:c r="K9" s="142" t="n">
        <x:f>'Revenue Model'!J11</x:f>
        <x:v>6499.203799216243</x:v>
      </x:c>
      <x:c r="L9" s="216" t="n">
        <x:f>'Schedules'!H39</x:f>
        <x:v>26037.863573425682</x:v>
      </x:c>
      <x:c r="M9" s="216" t="n">
        <x:f>'Revenue Model'!L11</x:f>
        <x:v>6513.654442882437</x:v>
      </x:c>
      <x:c r="N9" s="142" t="n">
        <x:f>'Revenue Model'!M11</x:f>
        <x:v>6889.6711037561245</x:v>
      </x:c>
      <x:c r="O9" s="142" t="n">
        <x:f>'Revenue Model'!N11</x:f>
        <x:v>6980.272006192124</x:v>
      </x:c>
      <x:c r="P9" s="142" t="n">
        <x:f>'Revenue Model'!O11</x:f>
        <x:v>7125.938057525561</x:v>
      </x:c>
      <x:c r="Q9" s="216" t="n">
        <x:f>'Schedules'!I39</x:f>
        <x:v>27509.535610356248</x:v>
      </x:c>
      <x:c r="R9" s="216" t="n">
        <x:f>'Schedules'!J39</x:f>
        <x:v>30366.389466143835</x:v>
      </x:c>
      <x:c r="S9" s="142" t="n">
        <x:f>'Schedules'!K39</x:f>
        <x:v>33841.58491646945</x:v>
      </x:c>
      <x:c r="T9" s="142" t="n">
        <x:f>'Schedules'!L39</x:f>
        <x:v>35982.7622788236</x:v>
      </x:c>
      <x:c r="U9" s="142" t="n">
        <x:f>'Schedules'!M39</x:f>
        <x:v>38272.15190187582</x:v>
      </x:c>
      <x:c r="V9" s="142" t="n">
        <x:f>'Schedules'!N39</x:f>
        <x:v>40691.54297744818</x:v>
      </x:c>
      <x:c r="W9" s="142" t="n">
        <x:f>'Schedules'!O39</x:f>
        <x:v>43266.29244780532</x:v>
      </x:c>
      <x:c r="X9" s="142" t="n">
        <x:f>'Schedules'!P39</x:f>
        <x:v>46106.28268773311</x:v>
      </x:c>
    </x:row>
    <x:row r="10">
      <x:c r="A10" s="54"/>
      <x:c r="B10" s="54"/>
      <x:c r="C10" s="121" t="str">
        <x:v>Annual revenue growth</x:v>
      </x:c>
      <x:c r="D10" s="144"/>
      <x:c r="E10" s="144" t="n">
        <x:f>E9/D9-1</x:f>
        <x:v>-0.09551048351177027</x:v>
      </x:c>
      <x:c r="F10" s="144" t="n">
        <x:f>F9/E9-1</x:f>
        <x:v>0.04020664152801645</x:v>
      </x:c>
      <x:c r="G10" s="144" t="n">
        <x:f>G9/F9-1</x:f>
        <x:v>0.10445569509281771</x:v>
      </x:c>
      <x:c r="H10" s="217"/>
      <x:c r="I10" s="144"/>
      <x:c r="J10" s="144"/>
      <x:c r="K10" s="144"/>
      <x:c r="L10" s="217" t="n">
        <x:f>L9/G9-1</x:f>
        <x:v>0.03339208117896075</x:v>
      </x:c>
      <x:c r="M10" s="217"/>
      <x:c r="N10" s="144"/>
      <x:c r="O10" s="144"/>
      <x:c r="P10" s="144"/>
      <x:c r="Q10" s="217" t="n">
        <x:f>Q9/L9-1</x:f>
        <x:v>0.0565204603972409</x:v>
      </x:c>
      <x:c r="R10" s="217" t="n">
        <x:f>R9/Q9-1</x:f>
        <x:v>0.10384958496762464</x:v>
      </x:c>
      <x:c r="S10" s="144" t="n">
        <x:f>S9/R9-1</x:f>
        <x:v>0.11444216818071795</x:v>
      </x:c>
      <x:c r="T10" s="144" t="n">
        <x:f>T9/S9-1</x:f>
        <x:v>0.06327059940127433</x:v>
      </x:c>
      <x:c r="U10" s="144" t="n">
        <x:f>U9/T9-1</x:f>
        <x:v>0.0636246212926117</x:v>
      </x:c>
      <x:c r="V10" s="144" t="n">
        <x:f>V9/U9-1</x:f>
        <x:v>0.06321544400678913</x:v>
      </x:c>
      <x:c r="W10" s="144" t="n">
        <x:f>W9/V9-1</x:f>
        <x:v>0.06327480557284582</x:v>
      </x:c>
      <x:c r="X10" s="144" t="n">
        <x:f>X9/W9-1</x:f>
        <x:v>0.06563978744778831</x:v>
      </x:c>
    </x:row>
    <x:row r="11">
      <x:c r="A11" s="54"/>
      <x:c r="B11" s="54"/>
      <x:c r="C11" s="121" t="str">
        <x:v>Cost of goods sold</x:v>
      </x:c>
      <x:c r="D11" s="142" t="n">
        <x:f>'Schedules'!D40</x:f>
        <x:v>8736.7</x:v>
      </x:c>
      <x:c r="E11" s="142" t="n">
        <x:f>'Schedules'!E40</x:f>
        <x:v>7925.7</x:v>
      </x:c>
      <x:c r="F11" s="142" t="n">
        <x:f>'Schedules'!F40</x:f>
        <x:v>8104.5</x:v>
      </x:c>
      <x:c r="G11" s="142" t="n">
        <x:f>'Schedules'!G40</x:f>
        <x:v>8843.1</x:v>
      </x:c>
      <x:c r="H11" s="218" t="n">
        <x:v>2401.1</x:v>
      </x:c>
      <x:c r="I11" s="160" t="n">
        <x:f>('Schedules'!H40-$H$11)*I$9/SUM($I$9:$K$9)</x:f>
        <x:v>2371.319003734559</x:v>
      </x:c>
      <x:c r="J11" s="160" t="n">
        <x:f>('Schedules'!H40-$H$11)*J$9/SUM($I$9:$K$9)</x:f>
        <x:v>2278.053920002429</x:v>
      </x:c>
      <x:c r="K11" s="160" t="n">
        <x:f>('Schedules'!H40-$H$11)*K$9/SUM($I$9:$K$9)</x:f>
        <x:v>2323.1579626962566</x:v>
      </x:c>
      <x:c r="L11" s="216" t="n">
        <x:f>'Schedules'!H40</x:f>
        <x:v>9373.630886433246</x:v>
      </x:c>
      <x:c r="M11" s="219" t="n">
        <x:f>'Schedules'!I40*M$9/$Q$9</x:f>
        <x:v>2312.347327223265</x:v>
      </x:c>
      <x:c r="N11" s="160" t="n">
        <x:f>'Schedules'!I40*N$9/$Q$9</x:f>
        <x:v>2445.8332418334244</x:v>
      </x:c>
      <x:c r="O11" s="160" t="n">
        <x:f>'Schedules'!I40*O$9/$Q$9</x:f>
        <x:v>2477.9965621982037</x:v>
      </x:c>
      <x:c r="P11" s="160" t="n">
        <x:f>'Schedules'!I40*P$9/$Q$9</x:f>
        <x:v>2529.7080104215743</x:v>
      </x:c>
      <x:c r="Q11" s="216" t="n">
        <x:f>'Schedules'!I40</x:f>
        <x:v>9765.885141676468</x:v>
      </x:c>
      <x:c r="R11" s="216" t="n">
        <x:f>'Schedules'!J40</x:f>
        <x:v>10688.969092082629</x:v>
      </x:c>
      <x:c r="S11" s="142" t="n">
        <x:f>'Schedules'!K40</x:f>
        <x:v>11844.554720764307</x:v>
      </x:c>
      <x:c r="T11" s="142" t="n">
        <x:f>'Schedules'!L40</x:f>
        <x:v>12522.001273030612</x:v>
      </x:c>
      <x:c r="U11" s="142" t="n">
        <x:f>'Schedules'!M40</x:f>
        <x:v>13280.436709950909</x:v>
      </x:c>
      <x:c r="V11" s="142" t="n">
        <x:f>'Schedules'!N40</x:f>
        <x:v>14079.27387019707</x:v>
      </x:c>
      <x:c r="W11" s="142" t="n">
        <x:f>'Schedules'!O40</x:f>
        <x:v>14926.870894492833</x:v>
      </x:c>
      <x:c r="X11" s="142" t="n">
        <x:f>'Schedules'!P40</x:f>
        <x:v>15906.667527267922</x:v>
      </x:c>
    </x:row>
    <x:row r="12">
      <x:c r="A12" s="54"/>
      <x:c r="B12" s="54"/>
      <x:c r="C12" s="127" t="str">
        <x:v>Gross profit</x:v>
      </x:c>
      <x:c r="D12" s="162" t="n">
        <x:f>'Schedules'!D41</x:f>
        <x:v>15510.900000000001</x:v>
      </x:c>
      <x:c r="E12" s="162" t="n">
        <x:f>'Schedules'!E41</x:f>
        <x:v>14006</x:v>
      </x:c>
      <x:c r="F12" s="162" t="n">
        <x:f>'Schedules'!F41</x:f>
        <x:v>14709</x:v>
      </x:c>
      <x:c r="G12" s="162" t="n">
        <x:f>'Schedules'!G41</x:f>
        <x:v>16353.399999999996</x:v>
      </x:c>
      <x:c r="H12" s="220" t="n">
        <x:f>H9-H11</x:f>
        <x:v>4130.6</x:v>
      </x:c>
      <x:c r="I12" s="162" t="n">
        <x:f>I9-I11</x:f>
        <x:v>4262.618819562882</x:v>
      </x:c>
      <x:c r="J12" s="162" t="n">
        <x:f>J9-J11</x:f>
        <x:v>4094.9680309095697</x:v>
      </x:c>
      <x:c r="K12" s="162" t="n">
        <x:f>K9-K11</x:f>
        <x:v>4176.045836519987</x:v>
      </x:c>
      <x:c r="L12" s="220" t="n">
        <x:f>'Schedules'!H41</x:f>
        <x:v>16664.232686992436</x:v>
      </x:c>
      <x:c r="M12" s="220" t="n">
        <x:f>M9-M11</x:f>
        <x:v>4201.307115659172</x:v>
      </x:c>
      <x:c r="N12" s="162" t="n">
        <x:f>N9-N11</x:f>
        <x:v>4443.8378619227005</x:v>
      </x:c>
      <x:c r="O12" s="162" t="n">
        <x:f>O9-O11</x:f>
        <x:v>4502.27544399392</x:v>
      </x:c>
      <x:c r="P12" s="162" t="n">
        <x:f>P9-P11</x:f>
        <x:v>4596.230047103987</x:v>
      </x:c>
      <x:c r="Q12" s="220" t="n">
        <x:f>'Schedules'!I41</x:f>
        <x:v>17743.650468679778</x:v>
      </x:c>
      <x:c r="R12" s="220" t="n">
        <x:f>'Schedules'!J41</x:f>
        <x:v>19677.420374061207</x:v>
      </x:c>
      <x:c r="S12" s="162" t="n">
        <x:f>'Schedules'!K41</x:f>
        <x:v>21997.030195705145</x:v>
      </x:c>
      <x:c r="T12" s="162" t="n">
        <x:f>'Schedules'!L41</x:f>
        <x:v>23460.761005792985</x:v>
      </x:c>
      <x:c r="U12" s="162" t="n">
        <x:f>'Schedules'!M41</x:f>
        <x:v>24991.715191924908</x:v>
      </x:c>
      <x:c r="V12" s="162" t="n">
        <x:f>'Schedules'!N41</x:f>
        <x:v>26612.26910725111</x:v>
      </x:c>
      <x:c r="W12" s="162" t="n">
        <x:f>'Schedules'!O41</x:f>
        <x:v>28339.421553312484</x:v>
      </x:c>
      <x:c r="X12" s="162" t="n">
        <x:f>'Schedules'!P41</x:f>
        <x:v>30199.61516046519</x:v>
      </x:c>
    </x:row>
    <x:row r="13">
      <x:c r="A13" s="54"/>
      <x:c r="B13" s="54"/>
      <x:c r="C13" s="121" t="str">
        <x:v>Gross margin</x:v>
      </x:c>
      <x:c r="D13" s="144" t="n">
        <x:f>D12/D9</x:f>
        <x:v>0.6396880516009832</x:v>
      </x:c>
      <x:c r="E13" s="144" t="n">
        <x:f>E12/E9</x:f>
        <x:v>0.6386189853043768</x:v>
      </x:c>
      <x:c r="F13" s="144" t="n">
        <x:f>F12/F9</x:f>
        <x:v>0.6447498191860083</x:v>
      </x:c>
      <x:c r="G13" s="144" t="n">
        <x:f>G12/G9</x:f>
        <x:v>0.6490345881372412</x:v>
      </x:c>
      <x:c r="H13" s="217" t="n">
        <x:f>H12/H9</x:f>
        <x:v>0.63239279207557</x:v>
      </x:c>
      <x:c r="I13" s="144" t="n">
        <x:f>I12/I9</x:f>
        <x:v>0.6425472974125827</x:v>
      </x:c>
      <x:c r="J13" s="144" t="n">
        <x:f>J12/J9</x:f>
        <x:v>0.6425472974125827</x:v>
      </x:c>
      <x:c r="K13" s="144" t="n">
        <x:f>K12/K9</x:f>
        <x:v>0.6425472974125827</x:v>
      </x:c>
      <x:c r="L13" s="217" t="n">
        <x:f>L12/L9</x:f>
        <x:v>0.64</x:v>
      </x:c>
      <x:c r="M13" s="217" t="n">
        <x:f>M12/M9</x:f>
        <x:v>0.645</x:v>
      </x:c>
      <x:c r="N13" s="144" t="n">
        <x:f>N12/N9</x:f>
        <x:v>0.645</x:v>
      </x:c>
      <x:c r="O13" s="144" t="n">
        <x:f>O12/O9</x:f>
        <x:v>0.645</x:v>
      </x:c>
      <x:c r="P13" s="144" t="n">
        <x:f>P12/P9</x:f>
        <x:v>0.645</x:v>
      </x:c>
      <x:c r="Q13" s="217" t="n">
        <x:f>Q12/Q9</x:f>
        <x:v>0.6449999999999999</x:v>
      </x:c>
      <x:c r="R13" s="217" t="n">
        <x:f>R12/R9</x:f>
        <x:v>0.648</x:v>
      </x:c>
      <x:c r="S13" s="144" t="n">
        <x:f>S12/S9</x:f>
        <x:v>0.65</x:v>
      </x:c>
      <x:c r="T13" s="144" t="n">
        <x:f>T12/T9</x:f>
        <x:v>0.652</x:v>
      </x:c>
      <x:c r="U13" s="144" t="n">
        <x:f>U12/U9</x:f>
        <x:v>0.6529999999999999</x:v>
      </x:c>
      <x:c r="V13" s="144" t="n">
        <x:f>V12/V9</x:f>
        <x:v>0.654</x:v>
      </x:c>
      <x:c r="W13" s="144" t="n">
        <x:f>W12/W9</x:f>
        <x:v>0.655</x:v>
      </x:c>
      <x:c r="X13" s="144" t="n">
        <x:f>X12/X9</x:f>
        <x:v>0.655</x:v>
      </x:c>
    </x:row>
    <x:row r="14">
      <x:c r="A14" s="54"/>
      <x:c r="B14" s="54"/>
      <x:c r="C14" s="121" t="str">
        <x:v>Employee benefits expense</x:v>
      </x:c>
      <x:c r="D14" s="142" t="n">
        <x:f>'Schedules'!D42</x:f>
        <x:v>3316.8</x:v>
      </x:c>
      <x:c r="E14" s="142" t="n">
        <x:f>'Schedules'!E42</x:f>
        <x:v>3478</x:v>
      </x:c>
      <x:c r="F14" s="142" t="n">
        <x:f>'Schedules'!F42</x:f>
        <x:v>3713.3</x:v>
      </x:c>
      <x:c r="G14" s="142" t="n">
        <x:f>'Schedules'!G42</x:f>
        <x:v>3679.7</x:v>
      </x:c>
      <x:c r="H14" s="218" t="n">
        <x:v>820.8</x:v>
      </x:c>
      <x:c r="I14" s="160" t="n">
        <x:f>('Schedules'!H42-$H$14)*I$9/SUM($I$9:$K$9)</x:f>
        <x:v>898.6097298086422</x:v>
      </x:c>
      <x:c r="J14" s="160" t="n">
        <x:f>('Schedules'!H42-$H$14)*J$9/SUM($I$9:$K$9)</x:f>
        <x:v>863.2669895189047</x:v>
      </x:c>
      <x:c r="K14" s="160" t="n">
        <x:f>('Schedules'!H42-$H$14)*K$9/SUM($I$9:$K$9)</x:f>
        <x:v>880.359135938069</x:v>
      </x:c>
      <x:c r="L14" s="216" t="n">
        <x:f>'Schedules'!H42</x:f>
        <x:v>3463.0358552656157</x:v>
      </x:c>
      <x:c r="M14" s="219" t="n">
        <x:f>'Schedules'!I42*M$9/$Q$9</x:f>
        <x:v>859.8023864604818</x:v>
      </x:c>
      <x:c r="N14" s="160" t="n">
        <x:f>'Schedules'!I42*N$9/$Q$9</x:f>
        <x:v>909.4365856958085</x:v>
      </x:c>
      <x:c r="O14" s="160" t="n">
        <x:f>'Schedules'!I42*O$9/$Q$9</x:f>
        <x:v>921.3959048173604</x:v>
      </x:c>
      <x:c r="P14" s="160" t="n">
        <x:f>'Schedules'!I42*P$9/$Q$9</x:f>
        <x:v>940.623823593374</x:v>
      </x:c>
      <x:c r="Q14" s="216" t="n">
        <x:f>'Schedules'!I42</x:f>
        <x:v>3631.258700567025</x:v>
      </x:c>
      <x:c r="R14" s="216" t="n">
        <x:f>'Schedules'!J42</x:f>
        <x:v>3977.9970200648427</x:v>
      </x:c>
      <x:c r="S14" s="142" t="n">
        <x:f>'Schedules'!K42</x:f>
        <x:v>4399.4060391410285</x:v>
      </x:c>
      <x:c r="T14" s="142" t="n">
        <x:f>'Schedules'!L42</x:f>
        <x:v>4677.759096247068</x:v>
      </x:c>
      <x:c r="U14" s="142" t="n">
        <x:f>'Schedules'!M42</x:f>
        <x:v>4937.10759534198</x:v>
      </x:c>
      <x:c r="V14" s="142" t="n">
        <x:f>'Schedules'!N42</x:f>
        <x:v>5249.209044090816</x:v>
      </x:c>
      <x:c r="W14" s="142" t="n">
        <x:f>'Schedules'!O42</x:f>
        <x:v>5538.085433319081</x:v>
      </x:c>
      <x:c r="X14" s="142" t="n">
        <x:f>'Schedules'!P42</x:f>
        <x:v>5901.6041840298385</x:v>
      </x:c>
    </x:row>
    <x:row r="15">
      <x:c r="A15" s="54"/>
      <x:c r="B15" s="54"/>
      <x:c r="C15" s="121" t="str">
        <x:v>Other operating expenses</x:v>
      </x:c>
      <x:c r="D15" s="142" t="n">
        <x:f>'Schedules'!D43</x:f>
        <x:v>4105.5</x:v>
      </x:c>
      <x:c r="E15" s="142" t="n">
        <x:f>'Schedules'!E43</x:f>
        <x:v>4175</x:v>
      </x:c>
      <x:c r="F15" s="142" t="n">
        <x:f>'Schedules'!F43</x:f>
        <x:v>3593.4</x:v>
      </x:c>
      <x:c r="G15" s="142" t="n">
        <x:f>'Schedules'!G43</x:f>
        <x:v>3632.8</x:v>
      </x:c>
      <x:c r="H15" s="218" t="n">
        <x:v>834.2</x:v>
      </x:c>
      <x:c r="I15" s="160" t="n">
        <x:f>('Schedules'!H43-$H$15)*I$9/SUM($I$9:$K$9)</x:f>
        <x:v>911.763129665935</x:v>
      </x:c>
      <x:c r="J15" s="160" t="n">
        <x:f>('Schedules'!H43-$H$15)*J$9/SUM($I$9:$K$9)</x:f>
        <x:v>875.9030600176757</x:v>
      </x:c>
      <x:c r="K15" s="160" t="n">
        <x:f>('Schedules'!H43-$H$15)*K$9/SUM($I$9:$K$9)</x:f>
        <x:v>893.2453927288564</x:v>
      </x:c>
      <x:c r="L15" s="216" t="n">
        <x:f>'Schedules'!H43</x:f>
        <x:v>3515.111582412467</x:v>
      </x:c>
      <x:c r="M15" s="219" t="n">
        <x:f>'Schedules'!I43*M$9/$Q$9</x:f>
        <x:v>866.3160409033643</x:v>
      </x:c>
      <x:c r="N15" s="160" t="n">
        <x:f>'Schedules'!I43*N$9/$Q$9</x:f>
        <x:v>916.3262567995647</x:v>
      </x:c>
      <x:c r="O15" s="160" t="n">
        <x:f>'Schedules'!I43*O$9/$Q$9</x:f>
        <x:v>928.3761768235526</x:v>
      </x:c>
      <x:c r="P15" s="160" t="n">
        <x:f>'Schedules'!I43*P$9/$Q$9</x:f>
        <x:v>947.7497616508996</x:v>
      </x:c>
      <x:c r="Q15" s="216" t="n">
        <x:f>'Schedules'!I43</x:f>
        <x:v>3658.7682361773814</x:v>
      </x:c>
      <x:c r="R15" s="216" t="n">
        <x:f>'Schedules'!J43</x:f>
        <x:v>4008.3634095309862</x:v>
      </x:c>
      <x:c r="S15" s="142" t="n">
        <x:f>'Schedules'!K43</x:f>
        <x:v>4433.247624057499</x:v>
      </x:c>
      <x:c r="T15" s="142" t="n">
        <x:f>'Schedules'!L43</x:f>
        <x:v>4677.759096247068</x:v>
      </x:c>
      <x:c r="U15" s="142" t="n">
        <x:f>'Schedules'!M43</x:f>
        <x:v>4975.379747243856</x:v>
      </x:c>
      <x:c r="V15" s="142" t="n">
        <x:f>'Schedules'!N43</x:f>
        <x:v>5249.209044090816</x:v>
      </x:c>
      <x:c r="W15" s="142" t="n">
        <x:f>'Schedules'!O43</x:f>
        <x:v>5538.085433319081</x:v>
      </x:c>
      <x:c r="X15" s="142" t="n">
        <x:f>'Schedules'!P43</x:f>
        <x:v>5901.6041840298385</x:v>
      </x:c>
    </x:row>
    <x:row r="16">
      <x:c r="A16" s="54"/>
      <x:c r="B16" s="54"/>
      <x:c r="C16" s="127" t="str">
        <x:v>EBITDA</x:v>
      </x:c>
      <x:c r="D16" s="162" t="n">
        <x:f>'Schedules'!D44</x:f>
        <x:v>8088.600000000002</x:v>
      </x:c>
      <x:c r="E16" s="162" t="n">
        <x:f>'Schedules'!E44</x:f>
        <x:v>6353</x:v>
      </x:c>
      <x:c r="F16" s="162" t="n">
        <x:f>'Schedules'!F44</x:f>
        <x:v>7402.300000000001</x:v>
      </x:c>
      <x:c r="G16" s="162" t="n">
        <x:f>'Schedules'!G44</x:f>
        <x:v>9040.899999999998</x:v>
      </x:c>
      <x:c r="H16" s="220" t="n">
        <x:f>H12-H14-H15</x:f>
        <x:v>2475.6000000000004</x:v>
      </x:c>
      <x:c r="I16" s="162" t="n">
        <x:f>I12-I14-I15</x:f>
        <x:v>2452.2459600883044</x:v>
      </x:c>
      <x:c r="J16" s="162" t="n">
        <x:f>J12-J14-J15</x:f>
        <x:v>2355.7979813729894</x:v>
      </x:c>
      <x:c r="K16" s="162" t="n">
        <x:f>K12-K14-K15</x:f>
        <x:v>2402.4413078530615</x:v>
      </x:c>
      <x:c r="L16" s="220" t="n">
        <x:f>'Schedules'!H44</x:f>
        <x:v>9686.085249314354</x:v>
      </x:c>
      <x:c r="M16" s="220" t="n">
        <x:f>M12-M14-M15</x:f>
        <x:v>2475.188688295326</x:v>
      </x:c>
      <x:c r="N16" s="162" t="n">
        <x:f>N12-N14-N15</x:f>
        <x:v>2618.0750194273273</x:v>
      </x:c>
      <x:c r="O16" s="162" t="n">
        <x:f>O12-O14-O15</x:f>
        <x:v>2652.503362353007</x:v>
      </x:c>
      <x:c r="P16" s="162" t="n">
        <x:f>P12-P14-P15</x:f>
        <x:v>2707.8564618597134</x:v>
      </x:c>
      <x:c r="Q16" s="220" t="n">
        <x:f>'Schedules'!I44</x:f>
        <x:v>10453.623531935373</x:v>
      </x:c>
      <x:c r="R16" s="220" t="n">
        <x:f>'Schedules'!J44</x:f>
        <x:v>11691.059944465378</x:v>
      </x:c>
      <x:c r="S16" s="162" t="n">
        <x:f>'Schedules'!K44</x:f>
        <x:v>13164.37653250662</x:v>
      </x:c>
      <x:c r="T16" s="162" t="n">
        <x:f>'Schedules'!L44</x:f>
        <x:v>14105.24281329885</x:v>
      </x:c>
      <x:c r="U16" s="162" t="n">
        <x:f>'Schedules'!M44</x:f>
        <x:v>15079.227849339073</x:v>
      </x:c>
      <x:c r="V16" s="162" t="n">
        <x:f>'Schedules'!N44</x:f>
        <x:v>16113.851019069478</x:v>
      </x:c>
      <x:c r="W16" s="162" t="n">
        <x:f>'Schedules'!O44</x:f>
        <x:v>17263.250686674324</x:v>
      </x:c>
      <x:c r="X16" s="162" t="n">
        <x:f>'Schedules'!P44</x:f>
        <x:v>18396.406792405513</x:v>
      </x:c>
    </x:row>
    <x:row r="17">
      <x:c r="A17" s="54"/>
      <x:c r="B17" s="54"/>
      <x:c r="C17" s="121" t="str">
        <x:v>EBITDA margin</x:v>
      </x:c>
      <x:c r="D17" s="144" t="n">
        <x:f>D16/D9</x:f>
        <x:v>0.3335835299163629</x:v>
      </x:c>
      <x:c r="E17" s="144" t="n">
        <x:f>E16/E9</x:f>
        <x:v>0.2896720272482297</x:v>
      </x:c>
      <x:c r="F17" s="144" t="n">
        <x:f>F16/F9</x:f>
        <x:v>0.32447016021215513</x:v>
      </x:c>
      <x:c r="G17" s="144" t="n">
        <x:f>G16/G9</x:f>
        <x:v>0.35881570853094674</x:v>
      </x:c>
      <x:c r="H17" s="217" t="n">
        <x:f>H16/H9</x:f>
        <x:v>0.37901312062709563</x:v>
      </x:c>
      <x:c r="I17" s="144" t="n">
        <x:f>I16/I9</x:f>
        <x:v>0.36965163458065087</x:v>
      </x:c>
      <x:c r="J17" s="144" t="n">
        <x:f>J16/J9</x:f>
        <x:v>0.3696516345806509</x:v>
      </x:c>
      <x:c r="K17" s="144" t="n">
        <x:f>K16/K9</x:f>
        <x:v>0.36965163458065103</x:v>
      </x:c>
      <x:c r="L17" s="217" t="n">
        <x:f>L16/L9</x:f>
        <x:v>0.372</x:v>
      </x:c>
      <x:c r="M17" s="217" t="n">
        <x:f>M16/M9</x:f>
        <x:v>0.37999999999999995</x:v>
      </x:c>
      <x:c r="N17" s="144" t="n">
        <x:f>N16/N9</x:f>
        <x:v>0.38</x:v>
      </x:c>
      <x:c r="O17" s="144" t="n">
        <x:f>O16/O9</x:f>
        <x:v>0.38</x:v>
      </x:c>
      <x:c r="P17" s="144" t="n">
        <x:f>P16/P9</x:f>
        <x:v>0.38</x:v>
      </x:c>
      <x:c r="Q17" s="217" t="n">
        <x:f>Q16/Q9</x:f>
        <x:v>0.37999999999999995</x:v>
      </x:c>
      <x:c r="R17" s="217" t="n">
        <x:f>R16/R9</x:f>
        <x:v>0.38500000000000006</x:v>
      </x:c>
      <x:c r="S17" s="144" t="n">
        <x:f>S16/S9</x:f>
        <x:v>0.38900000000000007</x:v>
      </x:c>
      <x:c r="T17" s="144" t="n">
        <x:f>T16/T9</x:f>
        <x:v>0.392</x:v>
      </x:c>
      <x:c r="U17" s="144" t="n">
        <x:f>U16/U9</x:f>
        <x:v>0.394</x:v>
      </x:c>
      <x:c r="V17" s="144" t="n">
        <x:f>V16/V9</x:f>
        <x:v>0.39599999999999996</x:v>
      </x:c>
      <x:c r="W17" s="144" t="n">
        <x:f>W16/W9</x:f>
        <x:v>0.3990000000000001</x:v>
      </x:c>
      <x:c r="X17" s="144" t="n">
        <x:f>X16/X9</x:f>
        <x:v>0.399</x:v>
      </x:c>
    </x:row>
    <x:row r="18">
      <x:c r="A18" s="54"/>
      <x:c r="B18" s="54"/>
      <x:c r="C18" s="121" t="str">
        <x:v>Depreciation and amortisation</x:v>
      </x:c>
      <x:c r="D18" s="142" t="n">
        <x:f>'Schedules'!D46</x:f>
        <x:v>1055.1</x:v>
      </x:c>
      <x:c r="E18" s="142" t="n">
        <x:f>'Schedules'!E46</x:f>
        <x:v>622.8</x:v>
      </x:c>
      <x:c r="F18" s="142" t="n">
        <x:f>'Schedules'!F46</x:f>
        <x:v>607.9</x:v>
      </x:c>
      <x:c r="G18" s="142" t="n">
        <x:f>'Schedules'!G46</x:f>
        <x:v>577.3</x:v>
      </x:c>
      <x:c r="H18" s="218" t="n">
        <x:v>142.6</x:v>
      </x:c>
      <x:c r="I18" s="160" t="n">
        <x:f>('Schedules'!H46-$H$18)*I$9/SUM($I$9:$K$9)</x:f>
        <x:v>146.31985175360137</x:v>
      </x:c>
      <x:c r="J18" s="160" t="n">
        <x:f>('Schedules'!H46-$H$18)*J$9/SUM($I$9:$K$9)</x:f>
        <x:v>140.56502365835954</x:v>
      </x:c>
      <x:c r="K18" s="160" t="n">
        <x:f>('Schedules'!H46-$H$18)*K$9/SUM($I$9:$K$9)</x:f>
        <x:v>143.34812320340401</x:v>
      </x:c>
      <x:c r="L18" s="216" t="n">
        <x:f>'Schedules'!H46</x:f>
        <x:v>572.832998615365</x:v>
      </x:c>
      <x:c r="M18" s="219" t="n">
        <x:f>'Schedules'!I46*M$9/$Q$9</x:f>
        <x:v>136.78674330053119</x:v>
      </x:c>
      <x:c r="N18" s="160" t="n">
        <x:f>'Schedules'!I46*N$9/$Q$9</x:f>
        <x:v>144.68309317887864</x:v>
      </x:c>
      <x:c r="O18" s="160" t="n">
        <x:f>'Schedules'!I46*O$9/$Q$9</x:f>
        <x:v>146.5857121300346</x:v>
      </x:c>
      <x:c r="P18" s="160" t="n">
        <x:f>'Schedules'!I46*P$9/$Q$9</x:f>
        <x:v>149.6446992080368</x:v>
      </x:c>
      <x:c r="Q18" s="216" t="n">
        <x:f>'Schedules'!I46</x:f>
        <x:v>577.7002478174812</x:v>
      </x:c>
      <x:c r="R18" s="216" t="n">
        <x:f>'Schedules'!J46</x:f>
        <x:v>622.5109840559486</x:v>
      </x:c>
      <x:c r="S18" s="142" t="n">
        <x:f>'Schedules'!K46</x:f>
        <x:v>676.831698329389</x:v>
      </x:c>
      <x:c r="T18" s="142" t="n">
        <x:f>'Schedules'!L46</x:f>
        <x:v>701.6638644370602</x:v>
      </x:c>
      <x:c r="U18" s="142" t="n">
        <x:f>'Schedules'!M46</x:f>
        <x:v>727.1708861356406</x:v>
      </x:c>
      <x:c r="V18" s="142" t="n">
        <x:f>'Schedules'!N46</x:f>
        <x:v>773.1393165715155</x:v>
      </x:c>
      <x:c r="W18" s="142" t="n">
        <x:f>'Schedules'!O46</x:f>
        <x:v>800.4264102843983</x:v>
      </x:c>
      <x:c r="X18" s="142" t="n">
        <x:f>'Schedules'!P46</x:f>
        <x:v>852.9662297230625</x:v>
      </x:c>
    </x:row>
    <x:row r="19">
      <x:c r="A19" s="54"/>
      <x:c r="B19" s="54"/>
      <x:c r="C19" s="121" t="str">
        <x:v>EBIT</x:v>
      </x:c>
      <x:c r="D19" s="142" t="n">
        <x:f>'Schedules'!D47</x:f>
        <x:v>7033.500000000002</x:v>
      </x:c>
      <x:c r="E19" s="142" t="n">
        <x:f>'Schedules'!E47</x:f>
        <x:v>5730.2</x:v>
      </x:c>
      <x:c r="F19" s="142" t="n">
        <x:f>'Schedules'!F47</x:f>
        <x:v>6794.4000000000015</x:v>
      </x:c>
      <x:c r="G19" s="142" t="n">
        <x:f>'Schedules'!G47</x:f>
        <x:v>8463.599999999999</x:v>
      </x:c>
      <x:c r="H19" s="219" t="n">
        <x:f>H16-H18</x:f>
        <x:v>2333.0000000000005</x:v>
      </x:c>
      <x:c r="I19" s="160" t="n">
        <x:f>I16-I18</x:f>
        <x:v>2305.926108334703</x:v>
      </x:c>
      <x:c r="J19" s="160" t="n">
        <x:f>J16-J18</x:f>
        <x:v>2215.2329577146297</x:v>
      </x:c>
      <x:c r="K19" s="160" t="n">
        <x:f>K16-K18</x:f>
        <x:v>2259.0931846496574</x:v>
      </x:c>
      <x:c r="L19" s="216" t="n">
        <x:f>'Schedules'!H47</x:f>
        <x:v>9113.252250698988</x:v>
      </x:c>
      <x:c r="M19" s="219" t="n">
        <x:f>M16-M18</x:f>
        <x:v>2338.4019449947946</x:v>
      </x:c>
      <x:c r="N19" s="160" t="n">
        <x:f>N16-N18</x:f>
        <x:v>2473.3919262484487</x:v>
      </x:c>
      <x:c r="O19" s="160" t="n">
        <x:f>O16-O18</x:f>
        <x:v>2505.9176502229725</x:v>
      </x:c>
      <x:c r="P19" s="160" t="n">
        <x:f>P16-P18</x:f>
        <x:v>2558.2117626516765</x:v>
      </x:c>
      <x:c r="Q19" s="216" t="n">
        <x:f>'Schedules'!I47</x:f>
        <x:v>9875.923284117891</x:v>
      </x:c>
      <x:c r="R19" s="216" t="n">
        <x:f>'Schedules'!J47</x:f>
        <x:v>11068.54896040943</x:v>
      </x:c>
      <x:c r="S19" s="142" t="n">
        <x:f>'Schedules'!K47</x:f>
        <x:v>12487.54483417723</x:v>
      </x:c>
      <x:c r="T19" s="142" t="n">
        <x:f>'Schedules'!L47</x:f>
        <x:v>13403.57894886179</x:v>
      </x:c>
      <x:c r="U19" s="142" t="n">
        <x:f>'Schedules'!M47</x:f>
        <x:v>14352.056963203433</x:v>
      </x:c>
      <x:c r="V19" s="142" t="n">
        <x:f>'Schedules'!N47</x:f>
        <x:v>15340.711702497962</x:v>
      </x:c>
      <x:c r="W19" s="142" t="n">
        <x:f>'Schedules'!O47</x:f>
        <x:v>16462.824276389925</x:v>
      </x:c>
      <x:c r="X19" s="142" t="n">
        <x:f>'Schedules'!P47</x:f>
        <x:v>17543.440562682452</x:v>
      </x:c>
    </x:row>
    <x:row r="20">
      <x:c r="A20" s="54"/>
      <x:c r="B20" s="54"/>
      <x:c r="C20" s="121" t="str">
        <x:v>Other income</x:v>
      </x:c>
      <x:c r="D20" s="142" t="n">
        <x:f>'Schedules'!D45</x:f>
        <x:v>1010.5</x:v>
      </x:c>
      <x:c r="E20" s="142" t="n">
        <x:f>'Schedules'!E45</x:f>
        <x:v>1805.1</x:v>
      </x:c>
      <x:c r="F20" s="142" t="n">
        <x:f>'Schedules'!F45</x:f>
        <x:v>1722.5</x:v>
      </x:c>
      <x:c r="G20" s="142" t="n">
        <x:f>'Schedules'!G45</x:f>
        <x:v>1879.5</x:v>
      </x:c>
      <x:c r="H20" s="218" t="n">
        <x:v>448.4</x:v>
      </x:c>
      <x:c r="I20" s="160" t="n">
        <x:f>('Schedules'!H45-$H$20)*I$9/SUM($I$9:$K$9)</x:f>
        <x:v>482.2729645705396</x:v>
      </x:c>
      <x:c r="J20" s="160" t="n">
        <x:f>('Schedules'!H45-$H$20)*J$9/SUM($I$9:$K$9)</x:f>
        <x:v>463.30494367095724</x:v>
      </x:c>
      <x:c r="K20" s="160" t="n">
        <x:f>('Schedules'!H45-$H$20)*K$9/SUM($I$9:$K$9)</x:f>
        <x:v>472.478091758503</x:v>
      </x:c>
      <x:c r="L20" s="216" t="n">
        <x:f>'Schedules'!H45</x:f>
        <x:v>1866.456</x:v>
      </x:c>
      <x:c r="M20" s="219" t="n">
        <x:f>'Schedules'!I45*M$9/$Q$9</x:f>
        <x:v>514.9698051311194</x:v>
      </x:c>
      <x:c r="N20" s="160" t="n">
        <x:f>'Schedules'!I45*N$9/$Q$9</x:f>
        <x:v>544.6976987850064</x:v>
      </x:c>
      <x:c r="O20" s="160" t="n">
        <x:f>'Schedules'!I45*O$9/$Q$9</x:f>
        <x:v>551.8606100940569</x:v>
      </x:c>
      <x:c r="P20" s="160" t="n">
        <x:f>'Schedules'!I45*P$9/$Q$9</x:f>
        <x:v>563.3769744832315</x:v>
      </x:c>
      <x:c r="Q20" s="216" t="n">
        <x:f>'Schedules'!I45</x:f>
        <x:v>2174.9050884934145</x:v>
      </x:c>
      <x:c r="R20" s="216" t="n">
        <x:f>'Schedules'!J45</x:f>
        <x:v>2423.0038662341276</x:v>
      </x:c>
      <x:c r="S20" s="142" t="n">
        <x:f>'Schedules'!K45</x:f>
        <x:v>2729.9458451307005</x:v>
      </x:c>
      <x:c r="T20" s="142" t="n">
        <x:f>'Schedules'!L45</x:f>
        <x:v>3077.6194155618564</x:v>
      </x:c>
      <x:c r="U20" s="142" t="n">
        <x:f>'Schedules'!M45</x:f>
        <x:v>3451.173831681941</x:v>
      </x:c>
      <x:c r="V20" s="142" t="n">
        <x:f>'Schedules'!N45</x:f>
        <x:v>3858.3122799837765</x:v>
      </x:c>
      <x:c r="W20" s="142" t="n">
        <x:f>'Schedules'!O45</x:f>
        <x:v>4293.347992838838</x:v>
      </x:c>
      <x:c r="X20" s="142" t="n">
        <x:f>'Schedules'!P45</x:f>
        <x:v>4767.869240421952</x:v>
      </x:c>
    </x:row>
    <x:row r="21">
      <x:c r="A21" s="54"/>
      <x:c r="B21" s="54"/>
      <x:c r="C21" s="121" t="str">
        <x:v>Finance costs</x:v>
      </x:c>
      <x:c r="D21" s="142" t="n">
        <x:f>'Schedules'!D48</x:f>
        <x:v>133.9</x:v>
      </x:c>
      <x:c r="E21" s="142" t="n">
        <x:f>'Schedules'!E48</x:f>
        <x:v>154.1</x:v>
      </x:c>
      <x:c r="F21" s="142" t="n">
        <x:f>'Schedules'!F48</x:f>
        <x:v>84.1</x:v>
      </x:c>
      <x:c r="G21" s="142" t="n">
        <x:f>'Schedules'!G48</x:f>
        <x:v>94.8</x:v>
      </x:c>
      <x:c r="H21" s="218" t="n">
        <x:v>14.6</x:v>
      </x:c>
      <x:c r="I21" s="160" t="n">
        <x:f>('Schedules'!H48-$H$21)*I$9/SUM($I$9:$K$9)</x:f>
        <x:v>23.69642036662651</x:v>
      </x:c>
      <x:c r="J21" s="160" t="n">
        <x:f>('Schedules'!H48-$H$21)*J$9/SUM($I$9:$K$9)</x:f>
        <x:v>22.764429088285386</x:v>
      </x:c>
      <x:c r="K21" s="160" t="n">
        <x:f>('Schedules'!H48-$H$21)*K$9/SUM($I$9:$K$9)</x:f>
        <x:v>23.215150545088104</x:v>
      </x:c>
      <x:c r="L21" s="216" t="n">
        <x:f>'Schedules'!H48</x:f>
        <x:v>84.276</x:v>
      </x:c>
      <x:c r="M21" s="219" t="n">
        <x:f>'Schedules'!I48*M$9/$Q$9</x:f>
        <x:v>12.551991060069662</x:v>
      </x:c>
      <x:c r="N21" s="160" t="n">
        <x:f>'Schedules'!I48*N$9/$Q$9</x:f>
        <x:v>13.27658549582164</x:v>
      </x:c>
      <x:c r="O21" s="160" t="n">
        <x:f>'Schedules'!I48*O$9/$Q$9</x:f>
        <x:v>13.451175923880587</x:v>
      </x:c>
      <x:c r="P21" s="160" t="n">
        <x:f>'Schedules'!I48*P$9/$Q$9</x:f>
        <x:v>13.731878406661336</x:v>
      </x:c>
      <x:c r="Q21" s="216" t="n">
        <x:f>'Schedules'!I48</x:f>
        <x:v>53.01163088643323</x:v>
      </x:c>
      <x:c r="R21" s="216" t="n">
        <x:f>'Schedules'!J48</x:f>
        <x:v>37.909248262944864</x:v>
      </x:c>
      <x:c r="S21" s="142" t="n">
        <x:f>'Schedules'!K48</x:f>
        <x:v>31.386524339284207</x:v>
      </x:c>
      <x:c r="T21" s="142" t="n">
        <x:f>'Schedules'!L48</x:f>
        <x:v>29.37623273957111</x:v>
      </x:c>
      <x:c r="U21" s="142" t="n">
        <x:f>'Schedules'!M48</x:f>
        <x:v>29.14191079016205</x:v>
      </x:c>
      <x:c r="V21" s="142" t="n">
        <x:f>'Schedules'!N48</x:f>
        <x:v>29.848930079756318</x:v>
      </x:c>
      <x:c r="W21" s="142" t="n">
        <x:f>'Schedules'!O48</x:f>
        <x:v>31.073420511759508</x:v>
      </x:c>
      <x:c r="X21" s="142" t="n">
        <x:f>'Schedules'!P48</x:f>
        <x:v>32.61257553708967</x:v>
      </x:c>
    </x:row>
    <x:row r="22">
      <x:c r="A22" s="54"/>
      <x:c r="B22" s="54"/>
      <x:c r="C22" s="127" t="str">
        <x:v>PBT before exceptional items</x:v>
      </x:c>
      <x:c r="D22" s="162" t="n">
        <x:f>'Schedules'!D49</x:f>
        <x:v>7910.100000000002</x:v>
      </x:c>
      <x:c r="E22" s="162" t="n">
        <x:f>'Schedules'!E49</x:f>
        <x:v>7381.199999999999</x:v>
      </x:c>
      <x:c r="F22" s="162" t="n">
        <x:f>'Schedules'!F49</x:f>
        <x:v>8432.800000000001</x:v>
      </x:c>
      <x:c r="G22" s="162" t="n">
        <x:f>'Schedules'!G49</x:f>
        <x:v>10248.3</x:v>
      </x:c>
      <x:c r="H22" s="220" t="n">
        <x:f>H19+H20-H21</x:f>
        <x:v>2766.8000000000006</x:v>
      </x:c>
      <x:c r="I22" s="162" t="n">
        <x:f>I19+I20-I21</x:f>
        <x:v>2764.5026525386156</x:v>
      </x:c>
      <x:c r="J22" s="162" t="n">
        <x:f>J19+J20-J21</x:f>
        <x:v>2655.7734722973014</x:v>
      </x:c>
      <x:c r="K22" s="162" t="n">
        <x:f>K19+K20-K21</x:f>
        <x:v>2708.3561258630725</x:v>
      </x:c>
      <x:c r="L22" s="220" t="n">
        <x:f>'Schedules'!H49</x:f>
        <x:v>10895.432250698988</x:v>
      </x:c>
      <x:c r="M22" s="220" t="n">
        <x:f>M19+M20-M21</x:f>
        <x:v>2840.819759065844</x:v>
      </x:c>
      <x:c r="N22" s="162" t="n">
        <x:f>N19+N20-N21</x:f>
        <x:v>3004.813039537634</x:v>
      </x:c>
      <x:c r="O22" s="162" t="n">
        <x:f>O19+O20-O21</x:f>
        <x:v>3044.3270843931487</x:v>
      </x:c>
      <x:c r="P22" s="162" t="n">
        <x:f>P19+P20-P21</x:f>
        <x:v>3107.8568587282466</x:v>
      </x:c>
      <x:c r="Q22" s="220" t="n">
        <x:f>'Schedules'!I49</x:f>
        <x:v>11997.816741724873</x:v>
      </x:c>
      <x:c r="R22" s="220" t="n">
        <x:f>'Schedules'!J49</x:f>
        <x:v>13453.643578380612</x:v>
      </x:c>
      <x:c r="S22" s="162" t="n">
        <x:f>'Schedules'!K49</x:f>
        <x:v>15186.104154968645</x:v>
      </x:c>
      <x:c r="T22" s="162" t="n">
        <x:f>'Schedules'!L49</x:f>
        <x:v>16451.822131684075</x:v>
      </x:c>
      <x:c r="U22" s="162" t="n">
        <x:f>'Schedules'!M49</x:f>
        <x:v>17774.08888409521</x:v>
      </x:c>
      <x:c r="V22" s="162" t="n">
        <x:f>'Schedules'!N49</x:f>
        <x:v>19169.175052401984</x:v>
      </x:c>
      <x:c r="W22" s="162" t="n">
        <x:f>'Schedules'!O49</x:f>
        <x:v>20725.098848717003</x:v>
      </x:c>
      <x:c r="X22" s="162" t="n">
        <x:f>'Schedules'!P49</x:f>
        <x:v>22278.697227567314</x:v>
      </x:c>
    </x:row>
    <x:row r="23">
      <x:c r="A23" s="54"/>
      <x:c r="B23" s="54"/>
      <x:c r="C23" s="121" t="str">
        <x:v>Exceptional items</x:v>
      </x:c>
      <x:c r="D23" s="142" t="n">
        <x:f>'Schedules'!D50</x:f>
        <x:v>330</x:v>
      </x:c>
      <x:c r="E23" s="142" t="n">
        <x:f>'Schedules'!E50</x:f>
        <x:v>79.5</x:v>
      </x:c>
      <x:c r="F23" s="142" t="n">
        <x:f>'Schedules'!F50</x:f>
        <x:v>1728.1</x:v>
      </x:c>
      <x:c r="G23" s="142" t="n">
        <x:f>'Schedules'!G50</x:f>
        <x:v>-491.6</x:v>
      </x:c>
      <x:c r="H23" s="218" t="n">
        <x:v>0</x:v>
      </x:c>
      <x:c r="I23" s="160" t="n">
        <x:f>'Schedules'!H50</x:f>
        <x:v>1313.8</x:v>
      </x:c>
      <x:c r="J23" s="160" t="n">
        <x:f>0</x:f>
        <x:v>0</x:v>
      </x:c>
      <x:c r="K23" s="160" t="n">
        <x:f>0</x:f>
        <x:v>0</x:v>
      </x:c>
      <x:c r="L23" s="216" t="n">
        <x:f>'Schedules'!H50</x:f>
        <x:v>1313.8</x:v>
      </x:c>
      <x:c r="M23" s="219" t="n">
        <x:f>0</x:f>
        <x:v>0</x:v>
      </x:c>
      <x:c r="N23" s="160" t="n">
        <x:f>0</x:f>
        <x:v>0</x:v>
      </x:c>
      <x:c r="O23" s="160" t="n">
        <x:f>0</x:f>
        <x:v>0</x:v>
      </x:c>
      <x:c r="P23" s="160" t="n">
        <x:f>0</x:f>
        <x:v>0</x:v>
      </x:c>
      <x:c r="Q23" s="216" t="n">
        <x:f>'Schedules'!I50</x:f>
        <x:v>0</x:v>
      </x:c>
      <x:c r="R23" s="216" t="n">
        <x:f>'Schedules'!J50</x:f>
        <x:v>0</x:v>
      </x:c>
      <x:c r="S23" s="142" t="n">
        <x:f>'Schedules'!K50</x:f>
        <x:v>0</x:v>
      </x:c>
      <x:c r="T23" s="142" t="n">
        <x:f>'Schedules'!L50</x:f>
        <x:v>0</x:v>
      </x:c>
      <x:c r="U23" s="142" t="n">
        <x:f>'Schedules'!M50</x:f>
        <x:v>0</x:v>
      </x:c>
      <x:c r="V23" s="142" t="n">
        <x:f>'Schedules'!N50</x:f>
        <x:v>0</x:v>
      </x:c>
      <x:c r="W23" s="142" t="n">
        <x:f>'Schedules'!O50</x:f>
        <x:v>0</x:v>
      </x:c>
      <x:c r="X23" s="142" t="n">
        <x:f>'Schedules'!P50</x:f>
        <x:v>0</x:v>
      </x:c>
    </x:row>
    <x:row r="24">
      <x:c r="A24" s="54"/>
      <x:c r="B24" s="54"/>
      <x:c r="C24" s="121" t="str">
        <x:v>Profit before tax</x:v>
      </x:c>
      <x:c r="D24" s="142" t="n">
        <x:f>'Schedules'!D51</x:f>
        <x:v>8240.100000000002</x:v>
      </x:c>
      <x:c r="E24" s="142" t="n">
        <x:f>'Schedules'!E51</x:f>
        <x:v>7460.699999999999</x:v>
      </x:c>
      <x:c r="F24" s="142" t="n">
        <x:f>'Schedules'!F51</x:f>
        <x:v>10160.900000000001</x:v>
      </x:c>
      <x:c r="G24" s="142" t="n">
        <x:f>'Schedules'!G51</x:f>
        <x:v>9756.699999999999</x:v>
      </x:c>
      <x:c r="H24" s="219" t="n">
        <x:f>H22+H23</x:f>
        <x:v>2766.8000000000006</x:v>
      </x:c>
      <x:c r="I24" s="160" t="n">
        <x:f>I22+I23</x:f>
        <x:v>4078.302652538616</x:v>
      </x:c>
      <x:c r="J24" s="160" t="n">
        <x:f>J22+J23</x:f>
        <x:v>2655.7734722973014</x:v>
      </x:c>
      <x:c r="K24" s="160" t="n">
        <x:f>K22+K23</x:f>
        <x:v>2708.3561258630725</x:v>
      </x:c>
      <x:c r="L24" s="216" t="n">
        <x:f>'Schedules'!H51</x:f>
        <x:v>12209.232250698988</x:v>
      </x:c>
      <x:c r="M24" s="219" t="n">
        <x:f>M22+M23</x:f>
        <x:v>2840.819759065844</x:v>
      </x:c>
      <x:c r="N24" s="160" t="n">
        <x:f>N22+N23</x:f>
        <x:v>3004.813039537634</x:v>
      </x:c>
      <x:c r="O24" s="160" t="n">
        <x:f>O22+O23</x:f>
        <x:v>3044.3270843931487</x:v>
      </x:c>
      <x:c r="P24" s="160" t="n">
        <x:f>P22+P23</x:f>
        <x:v>3107.8568587282466</x:v>
      </x:c>
      <x:c r="Q24" s="216" t="n">
        <x:f>'Schedules'!I51</x:f>
        <x:v>11997.816741724873</x:v>
      </x:c>
      <x:c r="R24" s="216" t="n">
        <x:f>'Schedules'!J51</x:f>
        <x:v>13453.643578380612</x:v>
      </x:c>
      <x:c r="S24" s="142" t="n">
        <x:f>'Schedules'!K51</x:f>
        <x:v>15186.104154968645</x:v>
      </x:c>
      <x:c r="T24" s="142" t="n">
        <x:f>'Schedules'!L51</x:f>
        <x:v>16451.822131684075</x:v>
      </x:c>
      <x:c r="U24" s="142" t="n">
        <x:f>'Schedules'!M51</x:f>
        <x:v>17774.08888409521</x:v>
      </x:c>
      <x:c r="V24" s="142" t="n">
        <x:f>'Schedules'!N51</x:f>
        <x:v>19169.175052401984</x:v>
      </x:c>
      <x:c r="W24" s="142" t="n">
        <x:f>'Schedules'!O51</x:f>
        <x:v>20725.098848717003</x:v>
      </x:c>
      <x:c r="X24" s="142" t="n">
        <x:f>'Schedules'!P51</x:f>
        <x:v>22278.697227567314</x:v>
      </x:c>
    </x:row>
    <x:row r="25">
      <x:c r="A25" s="54"/>
      <x:c r="B25" s="54"/>
      <x:c r="C25" s="121" t="str">
        <x:v>Income tax expense</x:v>
      </x:c>
      <x:c r="D25" s="142" t="n">
        <x:f>'Schedules'!D52</x:f>
        <x:v>2000.8</x:v>
      </x:c>
      <x:c r="E25" s="142" t="n">
        <x:f>'Schedules'!E52</x:f>
        <x:v>1947.4</x:v>
      </x:c>
      <x:c r="F25" s="142" t="n">
        <x:f>'Schedules'!F52</x:f>
        <x:v>2484.9</x:v>
      </x:c>
      <x:c r="G25" s="142" t="n">
        <x:f>'Schedules'!G52</x:f>
        <x:v>2532.4</x:v>
      </x:c>
      <x:c r="H25" s="218" t="n">
        <x:v>722.1</x:v>
      </x:c>
      <x:c r="I25" s="160" t="n">
        <x:f>('Schedules'!H52-$H$25)*I24/SUM($I$24:$K$24)</x:f>
        <x:v>1032.8121171977477</x:v>
      </x:c>
      <x:c r="J25" s="160" t="n">
        <x:f>('Schedules'!H52-$H$25)*J24/SUM($I$24:$K$24)</x:f>
        <x:v>672.5628910874507</x:v>
      </x:c>
      <x:c r="K25" s="160" t="n">
        <x:f>('Schedules'!H52-$H$25)*K24/SUM($I$24:$K$24)</x:f>
        <x:v>685.8792156430435</x:v>
      </x:c>
      <x:c r="L25" s="216" t="n">
        <x:f>'Schedules'!H52</x:f>
        <x:v>3113.354223928242</x:v>
      </x:c>
      <x:c r="M25" s="219" t="n">
        <x:f>'Schedules'!I52*M24/SUM($M$24:$P$24)</x:f>
        <x:v>724.4090385617902</x:v>
      </x:c>
      <x:c r="N25" s="160" t="n">
        <x:f>'Schedules'!I52*N24/SUM($M$24:$P$24)</x:f>
        <x:v>766.2273250820966</x:v>
      </x:c>
      <x:c r="O25" s="160" t="n">
        <x:f>'Schedules'!I52*O24/SUM($M$24:$P$24)</x:f>
        <x:v>776.303406520253</x:v>
      </x:c>
      <x:c r="P25" s="160" t="n">
        <x:f>'Schedules'!I52*P24/SUM($M$24:$P$24)</x:f>
        <x:v>792.5034989757029</x:v>
      </x:c>
      <x:c r="Q25" s="216" t="n">
        <x:f>'Schedules'!I52</x:f>
        <x:v>3059.443269139843</x:v>
      </x:c>
      <x:c r="R25" s="216" t="n">
        <x:f>'Schedules'!J52</x:f>
        <x:v>3430.679112487056</x:v>
      </x:c>
      <x:c r="S25" s="142" t="n">
        <x:f>'Schedules'!K52</x:f>
        <x:v>3872.4565595170047</x:v>
      </x:c>
      <x:c r="T25" s="142" t="n">
        <x:f>'Schedules'!L52</x:f>
        <x:v>4195.214643579439</x:v>
      </x:c>
      <x:c r="U25" s="142" t="n">
        <x:f>'Schedules'!M52</x:f>
        <x:v>4532.3926654442785</x:v>
      </x:c>
      <x:c r="V25" s="142" t="n">
        <x:f>'Schedules'!N52</x:f>
        <x:v>4888.139638362506</x:v>
      </x:c>
      <x:c r="W25" s="142" t="n">
        <x:f>'Schedules'!O52</x:f>
        <x:v>5284.900206422836</x:v>
      </x:c>
      <x:c r="X25" s="142" t="n">
        <x:f>'Schedules'!P52</x:f>
        <x:v>5681.067793029665</x:v>
      </x:c>
    </x:row>
    <x:row r="26">
      <x:c r="A26" s="54"/>
      <x:c r="B26" s="54"/>
      <x:c r="C26" s="128" t="str">
        <x:v>Profit after tax</x:v>
      </x:c>
      <x:c r="D26" s="164" t="n">
        <x:f>'Schedules'!D53</x:f>
        <x:v>6239.300000000002</x:v>
      </x:c>
      <x:c r="E26" s="164" t="n">
        <x:f>'Schedules'!E53</x:f>
        <x:v>5513.299999999999</x:v>
      </x:c>
      <x:c r="F26" s="164" t="n">
        <x:f>'Schedules'!F53</x:f>
        <x:v>7676.000000000002</x:v>
      </x:c>
      <x:c r="G26" s="164" t="n">
        <x:f>'Schedules'!G53</x:f>
        <x:v>7224.299999999999</x:v>
      </x:c>
      <x:c r="H26" s="221" t="n">
        <x:f>H24-H25</x:f>
        <x:v>2044.7000000000007</x:v>
      </x:c>
      <x:c r="I26" s="164" t="n">
        <x:f>I24-I25</x:f>
        <x:v>3045.490535340868</x:v>
      </x:c>
      <x:c r="J26" s="164" t="n">
        <x:f>J24-J25</x:f>
        <x:v>1983.2105812098507</x:v>
      </x:c>
      <x:c r="K26" s="164" t="n">
        <x:f>K24-K25</x:f>
        <x:v>2022.476910220029</x:v>
      </x:c>
      <x:c r="L26" s="221" t="n">
        <x:f>'Schedules'!H53</x:f>
        <x:v>9095.878026770746</x:v>
      </x:c>
      <x:c r="M26" s="221" t="n">
        <x:f>M24-M25</x:f>
        <x:v>2116.410720504054</x:v>
      </x:c>
      <x:c r="N26" s="164" t="n">
        <x:f>N24-N25</x:f>
        <x:v>2238.585714455537</x:v>
      </x:c>
      <x:c r="O26" s="164" t="n">
        <x:f>O24-O25</x:f>
        <x:v>2268.023677872896</x:v>
      </x:c>
      <x:c r="P26" s="164" t="n">
        <x:f>P24-P25</x:f>
        <x:v>2315.353359752544</x:v>
      </x:c>
      <x:c r="Q26" s="221" t="n">
        <x:f>'Schedules'!I53</x:f>
        <x:v>8938.37347258503</x:v>
      </x:c>
      <x:c r="R26" s="221" t="n">
        <x:f>'Schedules'!J53</x:f>
        <x:v>10022.964465893556</x:v>
      </x:c>
      <x:c r="S26" s="164" t="n">
        <x:f>'Schedules'!K53</x:f>
        <x:v>11313.64759545164</x:v>
      </x:c>
      <x:c r="T26" s="164" t="n">
        <x:f>'Schedules'!L53</x:f>
        <x:v>12256.607488104637</x:v>
      </x:c>
      <x:c r="U26" s="164" t="n">
        <x:f>'Schedules'!M53</x:f>
        <x:v>13241.696218650932</x:v>
      </x:c>
      <x:c r="V26" s="164" t="n">
        <x:f>'Schedules'!N53</x:f>
        <x:v>14281.035414039477</x:v>
      </x:c>
      <x:c r="W26" s="164" t="n">
        <x:f>'Schedules'!O53</x:f>
        <x:v>15440.198642294166</x:v>
      </x:c>
      <x:c r="X26" s="164" t="n">
        <x:f>'Schedules'!P53</x:f>
        <x:v>16597.62943453765</x:v>
      </x:c>
    </x:row>
    <x:row r="27">
      <x:c r="A27" s="54"/>
      <x:c r="B27" s="54"/>
      <x:c r="C27" s="121" t="str">
        <x:v>EPS</x:v>
      </x:c>
      <x:c r="D27" s="171" t="n">
        <x:f>'Schedules'!D55</x:f>
        <x:v>136.38</x:v>
      </x:c>
      <x:c r="E27" s="171" t="n">
        <x:f>'Schedules'!E55</x:f>
        <x:v>120.51</x:v>
      </x:c>
      <x:c r="F27" s="171" t="n">
        <x:f>'Schedules'!F55</x:f>
        <x:v>167.79</x:v>
      </x:c>
      <x:c r="G27" s="171" t="n">
        <x:f>'Schedules'!G55</x:f>
        <x:v>157.92</x:v>
      </x:c>
      <x:c r="H27" s="222" t="n">
        <x:f>H26/'Schedules'!H31</x:f>
        <x:v>44.69253277328544</x:v>
      </x:c>
      <x:c r="I27" s="152" t="n">
        <x:f>I26/'Schedules'!H31</x:f>
        <x:v>66.56755786249931</x:v>
      </x:c>
      <x:c r="J27" s="152" t="n">
        <x:f>J26/'Schedules'!H31</x:f>
        <x:v>43.34851268990448</x:v>
      </x:c>
      <x:c r="K27" s="152" t="n">
        <x:f>K26/'Schedules'!H31</x:f>
        <x:v>44.20678612667956</x:v>
      </x:c>
      <x:c r="L27" s="223" t="n">
        <x:f>'Schedules'!H55</x:f>
        <x:v>198.81538945236875</x:v>
      </x:c>
      <x:c r="M27" s="222" t="n">
        <x:f>M26/'Schedules'!I31</x:f>
        <x:v>46.25996747095421</x:v>
      </x:c>
      <x:c r="N27" s="152" t="n">
        <x:f>N26/'Schedules'!I31</x:f>
        <x:v>48.930437428039646</x:v>
      </x:c>
      <x:c r="O27" s="152" t="n">
        <x:f>O26/'Schedules'!I31</x:f>
        <x:v>49.57388494836492</x:v>
      </x:c>
      <x:c r="P27" s="152" t="n">
        <x:f>P26/'Schedules'!I31</x:f>
        <x:v>50.60840510220428</x:v>
      </x:c>
      <x:c r="Q27" s="223" t="n">
        <x:f>'Schedules'!I55</x:f>
        <x:v>195.37269494956303</x:v>
      </x:c>
      <x:c r="R27" s="223" t="n">
        <x:f>'Schedules'!J55</x:f>
        <x:v>219.0794091443356</x:v>
      </x:c>
      <x:c r="S27" s="171" t="n">
        <x:f>'Schedules'!K55</x:f>
        <x:v>247.2908328581818</x:v>
      </x:c>
      <x:c r="T27" s="171" t="n">
        <x:f>'Schedules'!L55</x:f>
        <x:v>267.901810461883</x:v>
      </x:c>
      <x:c r="U27" s="171" t="n">
        <x:f>'Schedules'!M55</x:f>
        <x:v>289.4336294937871</x:v>
      </x:c>
      <x:c r="V27" s="171" t="n">
        <x:f>'Schedules'!N55</x:f>
        <x:v>312.15124139404764</x:v>
      </x:c>
      <x:c r="W27" s="171" t="n">
        <x:f>'Schedules'!O55</x:f>
        <x:v>337.4879365416781</x:v>
      </x:c>
      <x:c r="X27" s="171" t="n">
        <x:f>'Schedules'!P55</x:f>
        <x:v>362.7867645434151</x:v>
      </x:c>
    </x:row>
    <x:row r="28">
      <x:c r="A28" s="54"/>
      <x:c r="B28" s="54"/>
      <x:c r="C28" s="121" t="str">
        <x:v>Core profit after tax</x:v>
      </x:c>
      <x:c r="D28" s="142" t="n">
        <x:f>'Schedules'!D54</x:f>
        <x:v>5878.922802</x:v>
      </x:c>
      <x:c r="E28" s="142" t="n">
        <x:f>'Schedules'!E54</x:f>
        <x:v>5454.35934984</x:v>
      </x:c>
      <x:c r="F28" s="142" t="n">
        <x:f>'Schedules'!F54</x:f>
        <x:v>6243.09576312</x:v>
      </x:c>
      <x:c r="G28" s="142" t="n">
        <x:f>'Schedules'!G54</x:f>
        <x:v>7589.07170736</x:v>
      </x:c>
      <x:c r="H28" s="219" t="n">
        <x:f>H26</x:f>
        <x:v>2044.7000000000007</x:v>
      </x:c>
      <x:c r="I28" s="160" t="n">
        <x:f>('Schedules'!H54-$H$28)*I22/SUM($I$22:$K$22)</x:f>
        <x:v>2065.1884806735825</x:v>
      </x:c>
      <x:c r="J28" s="160" t="n">
        <x:f>('Schedules'!H54-$H$28)*J22/SUM($I$22:$K$22)</x:f>
        <x:v>1983.9636533646828</x:v>
      </x:c>
      <x:c r="K28" s="160" t="n">
        <x:f>('Schedules'!H54-$H$28)*K22/SUM($I$22:$K$22)</x:f>
        <x:v>2023.2448927324804</x:v>
      </x:c>
      <x:c r="L28" s="216" t="n">
        <x:f>'Schedules'!H54</x:f>
        <x:v>8117.097026770746</x:v>
      </x:c>
      <x:c r="M28" s="219" t="n">
        <x:f>M26</x:f>
        <x:v>2116.410720504054</x:v>
      </x:c>
      <x:c r="N28" s="160" t="n">
        <x:f>N26</x:f>
        <x:v>2238.585714455537</x:v>
      </x:c>
      <x:c r="O28" s="160" t="n">
        <x:f>O26</x:f>
        <x:v>2268.023677872896</x:v>
      </x:c>
      <x:c r="P28" s="160" t="n">
        <x:f>P26</x:f>
        <x:v>2315.353359752544</x:v>
      </x:c>
      <x:c r="Q28" s="216" t="n">
        <x:f>'Schedules'!I54</x:f>
        <x:v>8938.37347258503</x:v>
      </x:c>
      <x:c r="R28" s="216" t="n">
        <x:f>'Schedules'!J54</x:f>
        <x:v>10022.964465893556</x:v>
      </x:c>
      <x:c r="S28" s="142" t="n">
        <x:f>'Schedules'!K54</x:f>
        <x:v>11313.64759545164</x:v>
      </x:c>
      <x:c r="T28" s="142" t="n">
        <x:f>'Schedules'!L54</x:f>
        <x:v>12256.607488104637</x:v>
      </x:c>
      <x:c r="U28" s="142" t="n">
        <x:f>'Schedules'!M54</x:f>
        <x:v>13241.696218650932</x:v>
      </x:c>
      <x:c r="V28" s="142" t="n">
        <x:f>'Schedules'!N54</x:f>
        <x:v>14281.035414039477</x:v>
      </x:c>
      <x:c r="W28" s="142" t="n">
        <x:f>'Schedules'!O54</x:f>
        <x:v>15440.198642294168</x:v>
      </x:c>
      <x:c r="X28" s="142" t="n">
        <x:f>'Schedules'!P54</x:f>
        <x:v>16597.62943453765</x:v>
      </x:c>
    </x:row>
    <x:row r="29">
      <x:c r="A29" s="54"/>
      <x:c r="B29" s="54"/>
      <x:c r="C29" s="121" t="str">
        <x:v>Core EPS</x:v>
      </x:c>
      <x:c r="D29" s="171" t="n">
        <x:f>'Schedules'!D56</x:f>
        <x:v>128.5</x:v>
      </x:c>
      <x:c r="E29" s="171" t="n">
        <x:f>'Schedules'!E56</x:f>
        <x:v>119.22</x:v>
      </x:c>
      <x:c r="F29" s="171" t="n">
        <x:f>'Schedules'!F56</x:f>
        <x:v>136.46</x:v>
      </x:c>
      <x:c r="G29" s="171" t="n">
        <x:f>'Schedules'!G56</x:f>
        <x:v>165.88</x:v>
      </x:c>
      <x:c r="H29" s="222" t="n">
        <x:f>H28/'Schedules'!H31</x:f>
        <x:v>44.69253277328544</x:v>
      </x:c>
      <x:c r="I29" s="152" t="n">
        <x:f>I28/'Schedules'!H31</x:f>
        <x:v>45.14036477503576</x:v>
      </x:c>
      <x:c r="J29" s="152" t="n">
        <x:f>J28/'Schedules'!H31</x:f>
        <x:v>43.3649731496103</x:v>
      </x:c>
      <x:c r="K29" s="152" t="n">
        <x:f>K28/'Schedules'!H31</x:f>
        <x:v>44.22357249319154</x:v>
      </x:c>
      <x:c r="L29" s="223" t="n">
        <x:f>'Schedules'!H56</x:f>
        <x:v>177.42144319112305</x:v>
      </x:c>
      <x:c r="M29" s="222" t="n">
        <x:f>M28/'Schedules'!I31</x:f>
        <x:v>46.25996747095421</x:v>
      </x:c>
      <x:c r="N29" s="152" t="n">
        <x:f>N28/'Schedules'!I31</x:f>
        <x:v>48.930437428039646</x:v>
      </x:c>
      <x:c r="O29" s="152" t="n">
        <x:f>O28/'Schedules'!I31</x:f>
        <x:v>49.57388494836492</x:v>
      </x:c>
      <x:c r="P29" s="152" t="n">
        <x:f>P28/'Schedules'!I31</x:f>
        <x:v>50.60840510220428</x:v>
      </x:c>
      <x:c r="Q29" s="223" t="n">
        <x:f>'Schedules'!I56</x:f>
        <x:v>195.37269494956303</x:v>
      </x:c>
      <x:c r="R29" s="223" t="n">
        <x:f>'Schedules'!J56</x:f>
        <x:v>219.0794091443356</x:v>
      </x:c>
      <x:c r="S29" s="171" t="n">
        <x:f>'Schedules'!K56</x:f>
        <x:v>247.2908328581818</x:v>
      </x:c>
      <x:c r="T29" s="171" t="n">
        <x:f>'Schedules'!L56</x:f>
        <x:v>267.901810461883</x:v>
      </x:c>
      <x:c r="U29" s="171" t="n">
        <x:f>'Schedules'!M56</x:f>
        <x:v>289.4336294937871</x:v>
      </x:c>
      <x:c r="V29" s="171" t="n">
        <x:f>'Schedules'!N56</x:f>
        <x:v>312.15124139404764</x:v>
      </x:c>
      <x:c r="W29" s="171" t="n">
        <x:f>'Schedules'!O56</x:f>
        <x:v>337.48793654167815</x:v>
      </x:c>
      <x:c r="X29" s="171" t="n">
        <x:f>'Schedules'!P56</x:f>
        <x:v>362.7867645434151</x:v>
      </x:c>
    </x:row>
    <x:row r="30">
      <x:c r="A30" s="54"/>
      <x:c r="B30" s="54"/>
      <x:c r="C30" s="121"/>
      <x:c r="D30" s="130"/>
      <x:c r="E30" s="130"/>
      <x:c r="F30" s="130"/>
      <x:c r="G30" s="130"/>
      <x:c r="H30" s="130"/>
      <x:c r="I30" s="130"/>
      <x:c r="J30" s="130"/>
      <x:c r="K30" s="130"/>
      <x:c r="L30" s="130"/>
      <x:c r="M30" s="130"/>
      <x:c r="N30" s="130"/>
      <x:c r="O30" s="130"/>
      <x:c r="P30" s="130"/>
      <x:c r="Q30" s="130"/>
      <x:c r="R30" s="130"/>
      <x:c r="S30" s="130"/>
      <x:c r="T30" s="130"/>
      <x:c r="U30" s="130"/>
      <x:c r="V30" s="130"/>
      <x:c r="W30" s="130"/>
      <x:c r="X30" s="130"/>
    </x:row>
    <x:row r="31">
      <x:c r="A31" s="54"/>
      <x:c r="B31" s="54"/>
      <x:c r="C31" s="121"/>
      <x:c r="D31" s="130"/>
      <x:c r="E31" s="130"/>
      <x:c r="F31" s="130"/>
      <x:c r="G31" s="130"/>
      <x:c r="H31" s="130"/>
      <x:c r="I31" s="130"/>
      <x:c r="J31" s="130"/>
      <x:c r="K31" s="130"/>
      <x:c r="L31" s="130"/>
      <x:c r="M31" s="130"/>
      <x:c r="N31" s="130"/>
      <x:c r="O31" s="130"/>
      <x:c r="P31" s="130"/>
      <x:c r="Q31" s="130"/>
      <x:c r="R31" s="130"/>
      <x:c r="S31" s="130"/>
      <x:c r="T31" s="130"/>
      <x:c r="U31" s="130"/>
      <x:c r="V31" s="130"/>
      <x:c r="W31" s="130"/>
      <x:c r="X31" s="130"/>
    </x:row>
    <x:row r="32" ht="18" customHeight="1">
      <x:c r="A32" s="54"/>
      <x:c r="B32" s="54"/>
      <x:c r="C32" s="207" t="str">
        <x:v>Quarterly-to-annual reconciliation checks</x:v>
      </x:c>
      <x:c r="D32" s="210"/>
      <x:c r="E32" s="210"/>
      <x:c r="F32" s="210"/>
      <x:c r="G32" s="210"/>
      <x:c r="H32" s="210"/>
      <x:c r="I32" s="210"/>
      <x:c r="J32" s="210"/>
      <x:c r="K32" s="210"/>
      <x:c r="L32" s="210"/>
      <x:c r="M32" s="210"/>
      <x:c r="N32" s="210"/>
      <x:c r="O32" s="210"/>
      <x:c r="P32" s="210"/>
      <x:c r="Q32" s="210"/>
      <x:c r="R32" s="210"/>
      <x:c r="S32" s="210"/>
      <x:c r="T32" s="210"/>
      <x:c r="U32" s="210"/>
      <x:c r="V32" s="210"/>
      <x:c r="W32" s="210"/>
      <x:c r="X32" s="211"/>
    </x:row>
    <x:row r="33">
      <x:c r="A33" s="54"/>
      <x:c r="B33" s="54"/>
      <x:c r="C33" s="209" t="str">
        <x:v>Metric</x:v>
      </x:c>
      <x:c r="D33" s="224" t="str">
        <x:v>FY27 check</x:v>
      </x:c>
      <x:c r="E33" s="224" t="str">
        <x:v>FY28 check</x:v>
      </x:c>
      <x:c r="F33" s="130"/>
      <x:c r="G33" s="130"/>
      <x:c r="H33" s="130"/>
      <x:c r="I33" s="130"/>
      <x:c r="J33" s="130"/>
      <x:c r="K33" s="130"/>
      <x:c r="L33" s="130"/>
      <x:c r="M33" s="130"/>
      <x:c r="N33" s="130"/>
      <x:c r="O33" s="130"/>
      <x:c r="P33" s="130"/>
      <x:c r="Q33" s="130"/>
      <x:c r="R33" s="130"/>
      <x:c r="S33" s="130"/>
      <x:c r="T33" s="130"/>
      <x:c r="U33" s="130"/>
      <x:c r="V33" s="130"/>
      <x:c r="W33" s="130"/>
      <x:c r="X33" s="130"/>
    </x:row>
    <x:row r="34">
      <x:c r="A34" s="54"/>
      <x:c r="B34" s="54"/>
      <x:c r="C34" s="121" t="str">
        <x:v>Revenue</x:v>
      </x:c>
      <x:c r="D34" s="152" t="n">
        <x:f>L9-SUM(H9:K9)</x:f>
        <x:v>-3.637978807091713e-12</x:v>
      </x:c>
      <x:c r="E34" s="152" t="n">
        <x:f>Q9-SUM(M9:P9)</x:f>
        <x:v>3.637978807091713e-12</x:v>
      </x:c>
      <x:c r="F34" s="130"/>
      <x:c r="G34" s="130"/>
      <x:c r="H34" s="130"/>
      <x:c r="I34" s="130"/>
      <x:c r="J34" s="130"/>
      <x:c r="K34" s="130"/>
      <x:c r="L34" s="130"/>
      <x:c r="M34" s="130"/>
      <x:c r="N34" s="130"/>
      <x:c r="O34" s="130"/>
      <x:c r="P34" s="130"/>
      <x:c r="Q34" s="130"/>
      <x:c r="R34" s="130"/>
      <x:c r="S34" s="130"/>
      <x:c r="T34" s="130"/>
      <x:c r="U34" s="130"/>
      <x:c r="V34" s="130"/>
      <x:c r="W34" s="130"/>
      <x:c r="X34" s="130"/>
    </x:row>
    <x:row r="35">
      <x:c r="A35" s="54"/>
      <x:c r="B35" s="54"/>
      <x:c r="C35" s="121" t="str">
        <x:v>Cost of goods sold</x:v>
      </x:c>
      <x:c r="D35" s="152" t="n">
        <x:f>L11-SUM(H11:K11)</x:f>
        <x:v>0</x:v>
      </x:c>
      <x:c r="E35" s="152" t="n">
        <x:f>Q11-SUM(M11:P11)</x:f>
        <x:v>1.8189894035458565e-12</x:v>
      </x:c>
      <x:c r="F35" s="130"/>
      <x:c r="G35" s="130"/>
      <x:c r="H35" s="130"/>
      <x:c r="I35" s="130"/>
      <x:c r="J35" s="130"/>
      <x:c r="K35" s="130"/>
      <x:c r="L35" s="130"/>
      <x:c r="M35" s="130"/>
      <x:c r="N35" s="130"/>
      <x:c r="O35" s="130"/>
      <x:c r="P35" s="130"/>
      <x:c r="Q35" s="130"/>
      <x:c r="R35" s="130"/>
      <x:c r="S35" s="130"/>
      <x:c r="T35" s="130"/>
      <x:c r="U35" s="130"/>
      <x:c r="V35" s="130"/>
      <x:c r="W35" s="130"/>
      <x:c r="X35" s="130"/>
    </x:row>
    <x:row r="36">
      <x:c r="A36" s="54"/>
      <x:c r="B36" s="54"/>
      <x:c r="C36" s="121" t="str">
        <x:v>Employee expense</x:v>
      </x:c>
      <x:c r="D36" s="152" t="n">
        <x:f>L14-SUM(H14:K14)</x:f>
        <x:v>0</x:v>
      </x:c>
      <x:c r="E36" s="152" t="n">
        <x:f>Q14-SUM(M14:P14)</x:f>
        <x:v>0</x:v>
      </x:c>
      <x:c r="F36" s="130"/>
      <x:c r="G36" s="130"/>
      <x:c r="H36" s="130"/>
      <x:c r="I36" s="130"/>
      <x:c r="J36" s="130"/>
      <x:c r="K36" s="130"/>
      <x:c r="L36" s="130"/>
      <x:c r="M36" s="130"/>
      <x:c r="N36" s="130"/>
      <x:c r="O36" s="130"/>
      <x:c r="P36" s="130"/>
      <x:c r="Q36" s="130"/>
      <x:c r="R36" s="130"/>
      <x:c r="S36" s="130"/>
      <x:c r="T36" s="130"/>
      <x:c r="U36" s="130"/>
      <x:c r="V36" s="130"/>
      <x:c r="W36" s="130"/>
      <x:c r="X36" s="130"/>
    </x:row>
    <x:row r="37">
      <x:c r="A37" s="54"/>
      <x:c r="B37" s="54"/>
      <x:c r="C37" s="121" t="str">
        <x:v>Other operating expense</x:v>
      </x:c>
      <x:c r="D37" s="152" t="n">
        <x:f>L15-SUM(H15:K15)</x:f>
        <x:v>0</x:v>
      </x:c>
      <x:c r="E37" s="152" t="n">
        <x:f>Q15-SUM(M15:P15)</x:f>
        <x:v>4.547473508864641e-13</x:v>
      </x:c>
      <x:c r="F37" s="130"/>
      <x:c r="G37" s="130"/>
      <x:c r="H37" s="130"/>
      <x:c r="I37" s="130"/>
      <x:c r="J37" s="130"/>
      <x:c r="K37" s="130"/>
      <x:c r="L37" s="130"/>
      <x:c r="M37" s="130"/>
      <x:c r="N37" s="130"/>
      <x:c r="O37" s="130"/>
      <x:c r="P37" s="130"/>
      <x:c r="Q37" s="130"/>
      <x:c r="R37" s="130"/>
      <x:c r="S37" s="130"/>
      <x:c r="T37" s="130"/>
      <x:c r="U37" s="130"/>
      <x:c r="V37" s="130"/>
      <x:c r="W37" s="130"/>
      <x:c r="X37" s="130"/>
    </x:row>
    <x:row r="38">
      <x:c r="A38" s="54"/>
      <x:c r="B38" s="54"/>
      <x:c r="C38" s="121" t="str">
        <x:v>EBITDA</x:v>
      </x:c>
      <x:c r="D38" s="152" t="n">
        <x:f>L16-SUM(H16:K16)</x:f>
        <x:v>-1.8189894035458565e-12</x:v>
      </x:c>
      <x:c r="E38" s="152" t="n">
        <x:f>Q16-SUM(M16:P16)</x:f>
        <x:v>-1.8189894035458565e-12</x:v>
      </x:c>
      <x:c r="F38" s="130"/>
      <x:c r="G38" s="130"/>
      <x:c r="H38" s="130"/>
      <x:c r="I38" s="130"/>
      <x:c r="J38" s="130"/>
      <x:c r="K38" s="130"/>
      <x:c r="L38" s="130"/>
      <x:c r="M38" s="130"/>
      <x:c r="N38" s="130"/>
      <x:c r="O38" s="130"/>
      <x:c r="P38" s="130"/>
      <x:c r="Q38" s="130"/>
      <x:c r="R38" s="130"/>
      <x:c r="S38" s="130"/>
      <x:c r="T38" s="130"/>
      <x:c r="U38" s="130"/>
      <x:c r="V38" s="130"/>
      <x:c r="W38" s="130"/>
      <x:c r="X38" s="130"/>
    </x:row>
    <x:row r="39">
      <x:c r="A39" s="54"/>
      <x:c r="B39" s="54"/>
      <x:c r="C39" s="121" t="str">
        <x:v>D&amp;A</x:v>
      </x:c>
      <x:c r="D39" s="152" t="n">
        <x:f>L18-SUM(H18:K18)</x:f>
        <x:v>0</x:v>
      </x:c>
      <x:c r="E39" s="152" t="n">
        <x:f>Q18-SUM(M18:P18)</x:f>
        <x:v>0</x:v>
      </x:c>
      <x:c r="F39" s="130"/>
      <x:c r="G39" s="130"/>
      <x:c r="H39" s="130"/>
      <x:c r="I39" s="130"/>
      <x:c r="J39" s="130"/>
      <x:c r="K39" s="130"/>
      <x:c r="L39" s="130"/>
      <x:c r="M39" s="130"/>
      <x:c r="N39" s="130"/>
      <x:c r="O39" s="130"/>
      <x:c r="P39" s="130"/>
      <x:c r="Q39" s="130"/>
      <x:c r="R39" s="130"/>
      <x:c r="S39" s="130"/>
      <x:c r="T39" s="130"/>
      <x:c r="U39" s="130"/>
      <x:c r="V39" s="130"/>
      <x:c r="W39" s="130"/>
      <x:c r="X39" s="130"/>
    </x:row>
    <x:row r="40">
      <x:c r="A40" s="54"/>
      <x:c r="B40" s="54"/>
      <x:c r="C40" s="121" t="str">
        <x:v>Other income</x:v>
      </x:c>
      <x:c r="D40" s="152" t="n">
        <x:f>L20-SUM(H20:K20)</x:f>
        <x:v>0</x:v>
      </x:c>
      <x:c r="E40" s="152" t="n">
        <x:f>Q20-SUM(M20:P20)</x:f>
        <x:v>0</x:v>
      </x:c>
      <x:c r="F40" s="130"/>
      <x:c r="G40" s="130"/>
      <x:c r="H40" s="130"/>
      <x:c r="I40" s="130"/>
      <x:c r="J40" s="130"/>
      <x:c r="K40" s="130"/>
      <x:c r="L40" s="130"/>
      <x:c r="M40" s="130"/>
      <x:c r="N40" s="130"/>
      <x:c r="O40" s="130"/>
      <x:c r="P40" s="130"/>
      <x:c r="Q40" s="130"/>
      <x:c r="R40" s="130"/>
      <x:c r="S40" s="130"/>
      <x:c r="T40" s="130"/>
      <x:c r="U40" s="130"/>
      <x:c r="V40" s="130"/>
      <x:c r="W40" s="130"/>
      <x:c r="X40" s="130"/>
    </x:row>
    <x:row r="41">
      <x:c r="A41" s="54"/>
      <x:c r="B41" s="54"/>
      <x:c r="C41" s="121" t="str">
        <x:v>Finance costs</x:v>
      </x:c>
      <x:c r="D41" s="152" t="n">
        <x:f>L21-SUM(H21:K21)</x:f>
        <x:v>0</x:v>
      </x:c>
      <x:c r="E41" s="152" t="n">
        <x:f>Q21-SUM(M21:P21)</x:f>
        <x:v>7.105427357601002e-15</x:v>
      </x:c>
      <x:c r="F41" s="130"/>
      <x:c r="G41" s="130"/>
      <x:c r="H41" s="130"/>
      <x:c r="I41" s="130"/>
      <x:c r="J41" s="130"/>
      <x:c r="K41" s="130"/>
      <x:c r="L41" s="130"/>
      <x:c r="M41" s="130"/>
      <x:c r="N41" s="130"/>
      <x:c r="O41" s="130"/>
      <x:c r="P41" s="130"/>
      <x:c r="Q41" s="130"/>
      <x:c r="R41" s="130"/>
      <x:c r="S41" s="130"/>
      <x:c r="T41" s="130"/>
      <x:c r="U41" s="130"/>
      <x:c r="V41" s="130"/>
      <x:c r="W41" s="130"/>
      <x:c r="X41" s="130"/>
    </x:row>
    <x:row r="42">
      <x:c r="A42" s="54"/>
      <x:c r="B42" s="54"/>
      <x:c r="C42" s="121" t="str">
        <x:v>PBT before exceptional</x:v>
      </x:c>
      <x:c r="D42" s="152" t="n">
        <x:f>L22-SUM(H22:K22)</x:f>
        <x:v>-1.8189894035458565e-12</x:v>
      </x:c>
      <x:c r="E42" s="152" t="n">
        <x:f>Q22-SUM(M22:P22)</x:f>
        <x:v>0</x:v>
      </x:c>
      <x:c r="F42" s="130"/>
      <x:c r="G42" s="130"/>
      <x:c r="H42" s="130"/>
      <x:c r="I42" s="130"/>
      <x:c r="J42" s="130"/>
      <x:c r="K42" s="130"/>
      <x:c r="L42" s="130"/>
      <x:c r="M42" s="130"/>
      <x:c r="N42" s="130"/>
      <x:c r="O42" s="130"/>
      <x:c r="P42" s="130"/>
      <x:c r="Q42" s="130"/>
      <x:c r="R42" s="130"/>
      <x:c r="S42" s="130"/>
      <x:c r="T42" s="130"/>
      <x:c r="U42" s="130"/>
      <x:c r="V42" s="130"/>
      <x:c r="W42" s="130"/>
      <x:c r="X42" s="130"/>
    </x:row>
    <x:row r="43">
      <x:c r="A43" s="54"/>
      <x:c r="B43" s="54"/>
      <x:c r="C43" s="121" t="str">
        <x:v>Exceptional items</x:v>
      </x:c>
      <x:c r="D43" s="152" t="n">
        <x:f>L23-SUM(H23:K23)</x:f>
        <x:v>0</x:v>
      </x:c>
      <x:c r="E43" s="152" t="n">
        <x:f>Q23-SUM(M23:P23)</x:f>
        <x:v>0</x:v>
      </x:c>
      <x:c r="F43" s="130"/>
      <x:c r="G43" s="130"/>
      <x:c r="H43" s="130"/>
      <x:c r="I43" s="130"/>
      <x:c r="J43" s="130"/>
      <x:c r="K43" s="130"/>
      <x:c r="L43" s="130"/>
      <x:c r="M43" s="130"/>
      <x:c r="N43" s="130"/>
      <x:c r="O43" s="130"/>
      <x:c r="P43" s="130"/>
      <x:c r="Q43" s="130"/>
      <x:c r="R43" s="130"/>
      <x:c r="S43" s="130"/>
      <x:c r="T43" s="130"/>
      <x:c r="U43" s="130"/>
      <x:c r="V43" s="130"/>
      <x:c r="W43" s="130"/>
      <x:c r="X43" s="130"/>
    </x:row>
    <x:row r="44">
      <x:c r="A44" s="54"/>
      <x:c r="B44" s="54"/>
      <x:c r="C44" s="121" t="str">
        <x:v>PBT</x:v>
      </x:c>
      <x:c r="D44" s="152" t="n">
        <x:f>L24-SUM(H24:K24)</x:f>
        <x:v>-3.637978807091713e-12</x:v>
      </x:c>
      <x:c r="E44" s="152" t="n">
        <x:f>Q24-SUM(M24:P24)</x:f>
        <x:v>0</x:v>
      </x:c>
      <x:c r="F44" s="130"/>
      <x:c r="G44" s="130"/>
      <x:c r="H44" s="130"/>
      <x:c r="I44" s="130"/>
      <x:c r="J44" s="130"/>
      <x:c r="K44" s="130"/>
      <x:c r="L44" s="130"/>
      <x:c r="M44" s="130"/>
      <x:c r="N44" s="130"/>
      <x:c r="O44" s="130"/>
      <x:c r="P44" s="130"/>
      <x:c r="Q44" s="130"/>
      <x:c r="R44" s="130"/>
      <x:c r="S44" s="130"/>
      <x:c r="T44" s="130"/>
      <x:c r="U44" s="130"/>
      <x:c r="V44" s="130"/>
      <x:c r="W44" s="130"/>
      <x:c r="X44" s="130"/>
    </x:row>
    <x:row r="45">
      <x:c r="A45" s="54"/>
      <x:c r="B45" s="54"/>
      <x:c r="C45" s="121" t="str">
        <x:v>Tax</x:v>
      </x:c>
      <x:c r="D45" s="152" t="n">
        <x:f>L25-SUM(H25:K25)</x:f>
        <x:v>0</x:v>
      </x:c>
      <x:c r="E45" s="152" t="n">
        <x:f>Q25-SUM(M25:P25)</x:f>
        <x:v>0</x:v>
      </x:c>
      <x:c r="F45" s="130"/>
      <x:c r="G45" s="130"/>
      <x:c r="H45" s="130"/>
      <x:c r="I45" s="130"/>
      <x:c r="J45" s="130"/>
      <x:c r="K45" s="130"/>
      <x:c r="L45" s="130"/>
      <x:c r="M45" s="130"/>
      <x:c r="N45" s="130"/>
      <x:c r="O45" s="130"/>
      <x:c r="P45" s="130"/>
      <x:c r="Q45" s="130"/>
      <x:c r="R45" s="130"/>
      <x:c r="S45" s="130"/>
      <x:c r="T45" s="130"/>
      <x:c r="U45" s="130"/>
      <x:c r="V45" s="130"/>
      <x:c r="W45" s="130"/>
      <x:c r="X45" s="130"/>
    </x:row>
    <x:row r="46">
      <x:c r="A46" s="54"/>
      <x:c r="B46" s="54"/>
      <x:c r="C46" s="121" t="str">
        <x:v>PAT</x:v>
      </x:c>
      <x:c r="D46" s="152" t="n">
        <x:f>L26-SUM(H26:K26)</x:f>
        <x:v>-1.8189894035458565e-12</x:v>
      </x:c>
      <x:c r="E46" s="152" t="n">
        <x:f>Q26-SUM(M26:P26)</x:f>
        <x:v>0</x:v>
      </x:c>
      <x:c r="F46" s="130"/>
      <x:c r="G46" s="130"/>
      <x:c r="H46" s="130"/>
      <x:c r="I46" s="130"/>
      <x:c r="J46" s="130"/>
      <x:c r="K46" s="130"/>
      <x:c r="L46" s="130"/>
      <x:c r="M46" s="130"/>
      <x:c r="N46" s="130"/>
      <x:c r="O46" s="130"/>
      <x:c r="P46" s="130"/>
      <x:c r="Q46" s="130"/>
      <x:c r="R46" s="130"/>
      <x:c r="S46" s="130"/>
      <x:c r="T46" s="130"/>
      <x:c r="U46" s="130"/>
      <x:c r="V46" s="130"/>
      <x:c r="W46" s="130"/>
      <x:c r="X46" s="130"/>
    </x:row>
    <x:row r="47">
      <x:c r="A47" s="54"/>
      <x:c r="B47" s="54"/>
      <x:c r="C47" s="121" t="str">
        <x:v>Core PAT</x:v>
      </x:c>
      <x:c r="D47" s="152" t="n">
        <x:f>L28-SUM(H28:K28)</x:f>
        <x:v>0</x:v>
      </x:c>
      <x:c r="E47" s="152" t="n">
        <x:f>Q28-SUM(M28:P28)</x:f>
        <x:v>0</x:v>
      </x:c>
      <x:c r="F47" s="130"/>
      <x:c r="G47" s="130"/>
      <x:c r="H47" s="130"/>
      <x:c r="I47" s="130"/>
      <x:c r="J47" s="130"/>
      <x:c r="K47" s="130"/>
      <x:c r="L47" s="130"/>
      <x:c r="M47" s="130"/>
      <x:c r="N47" s="130"/>
      <x:c r="O47" s="130"/>
      <x:c r="P47" s="130"/>
      <x:c r="Q47" s="130"/>
      <x:c r="R47" s="130"/>
      <x:c r="S47" s="130"/>
      <x:c r="T47" s="130"/>
      <x:c r="U47" s="130"/>
      <x:c r="V47" s="130"/>
      <x:c r="W47" s="130"/>
      <x:c r="X47" s="130"/>
    </x:row>
    <x:row r="48">
      <x:c r="A48" s="54"/>
      <x:c r="B48" s="54"/>
      <x:c r="C48" s="121"/>
      <x:c r="D48" s="130"/>
      <x:c r="E48" s="130"/>
      <x:c r="F48" s="130"/>
      <x:c r="G48" s="130"/>
      <x:c r="H48" s="130"/>
      <x:c r="I48" s="130"/>
      <x:c r="J48" s="130"/>
      <x:c r="K48" s="130"/>
      <x:c r="L48" s="130"/>
      <x:c r="M48" s="130"/>
      <x:c r="N48" s="130"/>
      <x:c r="O48" s="130"/>
      <x:c r="P48" s="130"/>
      <x:c r="Q48" s="130"/>
      <x:c r="R48" s="130"/>
      <x:c r="S48" s="130"/>
      <x:c r="T48" s="130"/>
      <x:c r="U48" s="130"/>
      <x:c r="V48" s="130"/>
      <x:c r="W48" s="130"/>
      <x:c r="X48" s="130"/>
    </x:row>
    <x:row r="49">
      <x:c r="A49" s="54"/>
      <x:c r="B49" s="54"/>
      <x:c r="C49" s="121"/>
      <x:c r="D49" s="130"/>
      <x:c r="E49" s="130"/>
      <x:c r="F49" s="130"/>
      <x:c r="G49" s="130"/>
      <x:c r="H49" s="130"/>
      <x:c r="I49" s="130"/>
      <x:c r="J49" s="130"/>
      <x:c r="K49" s="130"/>
      <x:c r="L49" s="130"/>
      <x:c r="M49" s="130"/>
      <x:c r="N49" s="130"/>
      <x:c r="O49" s="130"/>
      <x:c r="P49" s="130"/>
      <x:c r="Q49" s="130"/>
      <x:c r="R49" s="130"/>
      <x:c r="S49" s="130"/>
      <x:c r="T49" s="130"/>
      <x:c r="U49" s="130"/>
      <x:c r="V49" s="130"/>
      <x:c r="W49" s="130"/>
      <x:c r="X49" s="130"/>
    </x:row>
    <x:row r="50" ht="18" customHeight="1">
      <x:c r="A50" s="54"/>
      <x:c r="B50" s="54"/>
      <x:c r="C50" s="207" t="str">
        <x:v>Sources and modelling notes</x:v>
      </x:c>
      <x:c r="D50" s="210"/>
      <x:c r="E50" s="210"/>
      <x:c r="F50" s="210"/>
      <x:c r="G50" s="210"/>
      <x:c r="H50" s="210"/>
      <x:c r="I50" s="210"/>
      <x:c r="J50" s="210"/>
      <x:c r="K50" s="210"/>
      <x:c r="L50" s="210"/>
      <x:c r="M50" s="210"/>
      <x:c r="N50" s="210"/>
      <x:c r="O50" s="210"/>
      <x:c r="P50" s="210"/>
      <x:c r="Q50" s="210"/>
      <x:c r="R50" s="210"/>
      <x:c r="S50" s="210"/>
      <x:c r="T50" s="210"/>
      <x:c r="U50" s="210"/>
      <x:c r="V50" s="210"/>
      <x:c r="W50" s="210"/>
      <x:c r="X50" s="211"/>
    </x:row>
    <x:row r="51" ht="26" customHeight="1">
      <x:c r="A51" s="54"/>
      <x:c r="B51" s="54"/>
      <x:c r="C51" s="129" t="str">
        <x:v>FY23-FY26</x:v>
      </x:c>
      <x:c r="D51" s="232" t="str">
        <x:v>Audited figures link to the Schedules tab, sourced from Pfizer Limited annual reports.</x:v>
      </x:c>
      <x:c r="E51" s="233"/>
      <x:c r="F51" s="233"/>
      <x:c r="G51" s="233"/>
      <x:c r="H51" s="233"/>
      <x:c r="I51" s="233"/>
      <x:c r="J51" s="233"/>
      <x:c r="K51" s="233"/>
      <x:c r="L51" s="233"/>
      <x:c r="M51" s="233"/>
      <x:c r="N51" s="233"/>
      <x:c r="O51" s="233"/>
      <x:c r="P51" s="233"/>
      <x:c r="Q51" s="233"/>
      <x:c r="R51" s="233"/>
      <x:c r="S51" s="233"/>
      <x:c r="T51" s="233"/>
      <x:c r="U51" s="233"/>
      <x:c r="V51" s="233"/>
      <x:c r="W51" s="233"/>
      <x:c r="X51" s="233"/>
    </x:row>
    <x:row r="52" ht="26" customHeight="1">
      <x:c r="A52" s="54"/>
      <x:c r="B52" s="54"/>
      <x:c r="C52" s="129" t="str">
        <x:v>Q1 FY27</x:v>
      </x:c>
      <x:c r="D52" s="232" t="str">
        <x:v>Pfizer Limited unaudited results dated 28 July 2026, p. 4. Revenue INR 6,531.7m, PBT INR 2,766.8m and PAT INR 2,044.7m.</x:v>
      </x:c>
      <x:c r="E52" s="233"/>
      <x:c r="F52" s="233"/>
      <x:c r="G52" s="233"/>
      <x:c r="H52" s="233"/>
      <x:c r="I52" s="233"/>
      <x:c r="J52" s="233"/>
      <x:c r="K52" s="233"/>
      <x:c r="L52" s="233"/>
      <x:c r="M52" s="233"/>
      <x:c r="N52" s="233"/>
      <x:c r="O52" s="233"/>
      <x:c r="P52" s="233"/>
      <x:c r="Q52" s="233"/>
      <x:c r="R52" s="233"/>
      <x:c r="S52" s="233"/>
      <x:c r="T52" s="233"/>
      <x:c r="U52" s="233"/>
      <x:c r="V52" s="233"/>
      <x:c r="W52" s="233"/>
      <x:c r="X52" s="233"/>
    </x:row>
    <x:row r="53" ht="26" customHeight="1">
      <x:c r="A53" s="54"/>
      <x:c r="B53" s="54"/>
      <x:c r="C53" s="129" t="str">
        <x:v>Q2-Q4 FY27</x:v>
      </x:c>
      <x:c r="D53" s="232" t="str">
        <x:v>Annual FY27 estimate less Q1 actual, allocated using quarterly revenue. The INR 1,313.8m Minipress exceptional item is placed in Q2 FY27.</x:v>
      </x:c>
      <x:c r="E53" s="233"/>
      <x:c r="F53" s="233"/>
      <x:c r="G53" s="233"/>
      <x:c r="H53" s="233"/>
      <x:c r="I53" s="233"/>
      <x:c r="J53" s="233"/>
      <x:c r="K53" s="233"/>
      <x:c r="L53" s="233"/>
      <x:c r="M53" s="233"/>
      <x:c r="N53" s="233"/>
      <x:c r="O53" s="233"/>
      <x:c r="P53" s="233"/>
      <x:c r="Q53" s="233"/>
      <x:c r="R53" s="233"/>
      <x:c r="S53" s="233"/>
      <x:c r="T53" s="233"/>
      <x:c r="U53" s="233"/>
      <x:c r="V53" s="233"/>
      <x:c r="W53" s="233"/>
      <x:c r="X53" s="233"/>
    </x:row>
    <x:row r="54" ht="26" customHeight="1">
      <x:c r="A54" s="54"/>
      <x:c r="B54" s="54"/>
      <x:c r="C54" s="129" t="str">
        <x:v>FY28 quarters</x:v>
      </x:c>
      <x:c r="D54" s="232" t="str">
        <x:v>Annual FY28 line items allocated by quarterly revenue; tax allocated by quarterly PBT. All quarterly totals reconcile to the annual model.</x:v>
      </x:c>
      <x:c r="E54" s="233"/>
      <x:c r="F54" s="233"/>
      <x:c r="G54" s="233"/>
      <x:c r="H54" s="233"/>
      <x:c r="I54" s="233"/>
      <x:c r="J54" s="233"/>
      <x:c r="K54" s="233"/>
      <x:c r="L54" s="233"/>
      <x:c r="M54" s="233"/>
      <x:c r="N54" s="233"/>
      <x:c r="O54" s="233"/>
      <x:c r="P54" s="233"/>
      <x:c r="Q54" s="233"/>
      <x:c r="R54" s="233"/>
      <x:c r="S54" s="233"/>
      <x:c r="T54" s="233"/>
      <x:c r="U54" s="233"/>
      <x:c r="V54" s="233"/>
      <x:c r="W54" s="233"/>
      <x:c r="X54" s="233"/>
    </x:row>
    <x:row r="55">
      <x:c r="A55" s="54"/>
      <x:c r="B55" s="54"/>
      <x:c r="C55" s="121"/>
      <x:c r="D55" s="130"/>
      <x:c r="E55" s="130"/>
      <x:c r="F55" s="130"/>
      <x:c r="G55" s="130"/>
      <x:c r="H55" s="130"/>
      <x:c r="I55" s="130"/>
      <x:c r="J55" s="130"/>
      <x:c r="K55" s="130"/>
      <x:c r="L55" s="130"/>
      <x:c r="M55" s="130"/>
      <x:c r="N55" s="130"/>
      <x:c r="O55" s="130"/>
      <x:c r="P55" s="130"/>
      <x:c r="Q55" s="130"/>
      <x:c r="R55" s="130"/>
      <x:c r="S55" s="130"/>
      <x:c r="T55" s="130"/>
      <x:c r="U55" s="130"/>
      <x:c r="V55" s="130"/>
      <x:c r="W55" s="130"/>
      <x:c r="X55" s="130"/>
    </x:row>
  </x:sheetData>
  <x:mergeCells>
    <x:mergeCell ref="D51:X51"/>
    <x:mergeCell ref="D52:X52"/>
    <x:mergeCell ref="D53:X53"/>
    <x:mergeCell ref="D54:X54"/>
  </x:mergeCells>
  <x:conditionalFormatting sqref="D34:E47">
    <x:cfRule type="cellIs" dxfId="11" priority="1" operator="greaterThan">
      <x:formula>0.1</x:formula>
    </x:cfRule>
    <x:cfRule type="cellIs" dxfId="12" priority="2" operator="lessThan">
      <x:formula>-0.1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34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</x:cols>
  <x:sheetData>
    <x:row r="1">
      <x:c r="A1" s="54"/>
      <x:c r="B1" s="54"/>
      <x:c r="C1" s="121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</x:row>
    <x:row r="2" ht="22" customHeight="1">
      <x:c r="A2" s="54"/>
      <x:c r="B2" s="54"/>
      <x:c r="C2" s="122" t="str">
        <x:v>Pfizer Limited cash flow statement</x:v>
      </x:c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</x:row>
    <x:row r="3">
      <x:c r="A3" s="54"/>
      <x:c r="B3" s="54"/>
      <x:c r="C3" s="123" t="str">
        <x:v>INR million. FY23-FY26 audited actuals; FY27-FY35 analyst estimates. Annual output links to the audited schedule build.</x:v>
      </x:c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</x:row>
    <x:row r="4">
      <x:c r="A4" s="54"/>
      <x:c r="B4" s="54"/>
      <x:c r="C4" s="121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  <x:c r="N4" s="130"/>
      <x:c r="O4" s="130"/>
      <x:c r="P4" s="130"/>
    </x:row>
    <x:row r="5">
      <x:c r="A5" s="54"/>
      <x:c r="B5" s="54"/>
      <x:c r="C5" s="121" t="str">
        <x:v>Legend</x:v>
      </x:c>
      <x:c r="D5" s="133" t="str">
        <x:v>Reported hardcode</x:v>
      </x:c>
      <x:c r="E5" s="134" t="str">
        <x:v>Formula</x:v>
      </x:c>
      <x:c r="F5" s="135" t="str">
        <x:v>Cross-sheet link</x:v>
      </x:c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</x:row>
    <x:row r="6">
      <x:c r="A6" s="54"/>
      <x:c r="B6" s="54"/>
      <x:c r="C6" s="121"/>
      <x:c r="D6" s="130"/>
      <x:c r="E6" s="130"/>
      <x:c r="F6" s="130"/>
      <x:c r="G6" s="130"/>
      <x:c r="H6" s="130"/>
      <x:c r="I6" s="130"/>
      <x:c r="J6" s="130"/>
      <x:c r="K6" s="130"/>
      <x:c r="L6" s="130"/>
      <x:c r="M6" s="130"/>
      <x:c r="N6" s="130"/>
      <x:c r="O6" s="130"/>
      <x:c r="P6" s="130"/>
    </x:row>
    <x:row r="7" ht="18" customHeight="1">
      <x:c r="A7" s="54"/>
      <x:c r="B7" s="54"/>
      <x:c r="C7" s="207" t="str">
        <x:v>cash flow statement</x:v>
      </x:c>
      <x:c r="D7" s="210"/>
      <x:c r="E7" s="210"/>
      <x:c r="F7" s="210"/>
      <x:c r="G7" s="210"/>
      <x:c r="H7" s="210"/>
      <x:c r="I7" s="210"/>
      <x:c r="J7" s="210"/>
      <x:c r="K7" s="210"/>
      <x:c r="L7" s="210"/>
      <x:c r="M7" s="210"/>
      <x:c r="N7" s="210"/>
      <x:c r="O7" s="210"/>
      <x:c r="P7" s="211"/>
    </x:row>
    <x:row r="8" ht="23" customHeight="1">
      <x:c r="A8" s="54"/>
      <x:c r="B8" s="54"/>
      <x:c r="C8" s="209" t="str">
        <x:v>INR million unless stated</x:v>
      </x:c>
      <x:c r="D8" s="225" t="str">
        <x:v>FY23A</x:v>
      </x:c>
      <x:c r="E8" s="225" t="str">
        <x:v>FY24A</x:v>
      </x:c>
      <x:c r="F8" s="225" t="str">
        <x:v>FY25A</x:v>
      </x:c>
      <x:c r="G8" s="225" t="str">
        <x:v>FY26A</x:v>
      </x:c>
      <x:c r="H8" s="226" t="str">
        <x:v>FY27E</x:v>
      </x:c>
      <x:c r="I8" s="224" t="str">
        <x:v>FY28E</x:v>
      </x:c>
      <x:c r="J8" s="224" t="str">
        <x:v>FY29E</x:v>
      </x:c>
      <x:c r="K8" s="224" t="str">
        <x:v>FY30E</x:v>
      </x:c>
      <x:c r="L8" s="224" t="str">
        <x:v>FY31E</x:v>
      </x:c>
      <x:c r="M8" s="224" t="str">
        <x:v>FY32E</x:v>
      </x:c>
      <x:c r="N8" s="224" t="str">
        <x:v>FY33E</x:v>
      </x:c>
      <x:c r="O8" s="224" t="str">
        <x:v>FY34E</x:v>
      </x:c>
      <x:c r="P8" s="224" t="str">
        <x:v>FY35E</x:v>
      </x:c>
    </x:row>
    <x:row r="9">
      <x:c r="A9" s="54"/>
      <x:c r="B9" s="54"/>
      <x:c r="C9" s="121" t="str">
        <x:v>Profit before tax</x:v>
      </x:c>
      <x:c r="D9" s="142" t="n">
        <x:f>'Schedules'!D96</x:f>
        <x:v>8240.100000000002</x:v>
      </x:c>
      <x:c r="E9" s="142" t="n">
        <x:f>'Schedules'!E96</x:f>
        <x:v>7460.699999999999</x:v>
      </x:c>
      <x:c r="F9" s="142" t="n">
        <x:f>'Schedules'!F96</x:f>
        <x:v>10160.900000000001</x:v>
      </x:c>
      <x:c r="G9" s="142" t="n">
        <x:f>'Schedules'!G96</x:f>
        <x:v>9756.699999999999</x:v>
      </x:c>
      <x:c r="H9" s="216" t="n">
        <x:f>'Schedules'!H96</x:f>
        <x:v>12209.232250698988</x:v>
      </x:c>
      <x:c r="I9" s="142" t="n">
        <x:f>'Schedules'!I96</x:f>
        <x:v>11997.816741724873</x:v>
      </x:c>
      <x:c r="J9" s="142" t="n">
        <x:f>'Schedules'!J96</x:f>
        <x:v>13453.643578380612</x:v>
      </x:c>
      <x:c r="K9" s="142" t="n">
        <x:f>'Schedules'!K96</x:f>
        <x:v>15186.104154968645</x:v>
      </x:c>
      <x:c r="L9" s="142" t="n">
        <x:f>'Schedules'!L96</x:f>
        <x:v>16451.822131684075</x:v>
      </x:c>
      <x:c r="M9" s="142" t="n">
        <x:f>'Schedules'!M96</x:f>
        <x:v>17774.08888409521</x:v>
      </x:c>
      <x:c r="N9" s="142" t="n">
        <x:f>'Schedules'!N96</x:f>
        <x:v>19169.175052401984</x:v>
      </x:c>
      <x:c r="O9" s="142" t="n">
        <x:f>'Schedules'!O96</x:f>
        <x:v>20725.098848717003</x:v>
      </x:c>
      <x:c r="P9" s="142" t="n">
        <x:f>'Schedules'!P96</x:f>
        <x:v>22278.697227567314</x:v>
      </x:c>
    </x:row>
    <x:row r="10">
      <x:c r="A10" s="54"/>
      <x:c r="B10" s="54"/>
      <x:c r="C10" s="121" t="str">
        <x:v>Non-cash and non-operating adjustments</x:v>
      </x:c>
      <x:c r="D10" s="142" t="n">
        <x:f>'Schedules'!D97</x:f>
        <x:v>-1312.6</x:v>
      </x:c>
      <x:c r="E10" s="142" t="n">
        <x:f>'Schedules'!E97</x:f>
        <x:v>-893.2</x:v>
      </x:c>
      <x:c r="F10" s="142" t="n">
        <x:f>'Schedules'!F97</x:f>
        <x:v>-2455.7</x:v>
      </x:c>
      <x:c r="G10" s="142" t="n">
        <x:f>'Schedules'!G97</x:f>
        <x:v>-628.2</x:v>
      </x:c>
      <x:c r="H10" s="216" t="n">
        <x:f>'Schedules'!H97</x:f>
        <x:v>-2523.1470013846347</x:v>
      </x:c>
      <x:c r="I10" s="142" t="n">
        <x:f>'Schedules'!I97</x:f>
        <x:v>-1544.1932097895</x:v>
      </x:c>
      <x:c r="J10" s="142" t="n">
        <x:f>'Schedules'!J97</x:f>
        <x:v>-1762.5836339152343</x:v>
      </x:c>
      <x:c r="K10" s="142" t="n">
        <x:f>'Schedules'!K97</x:f>
        <x:v>-2021.7276224620273</x:v>
      </x:c>
      <x:c r="L10" s="142" t="n">
        <x:f>'Schedules'!L97</x:f>
        <x:v>-2346.579318385225</x:v>
      </x:c>
      <x:c r="M10" s="142" t="n">
        <x:f>'Schedules'!M97</x:f>
        <x:v>-2694.8610347561385</x:v>
      </x:c>
      <x:c r="N10" s="142" t="n">
        <x:f>'Schedules'!N97</x:f>
        <x:v>-3055.3240333325048</x:v>
      </x:c>
      <x:c r="O10" s="142" t="n">
        <x:f>'Schedules'!O97</x:f>
        <x:v>-3461.84816204268</x:v>
      </x:c>
      <x:c r="P10" s="142" t="n">
        <x:f>'Schedules'!P97</x:f>
        <x:v>-3882.2904351618</x:v>
      </x:c>
    </x:row>
    <x:row r="11">
      <x:c r="A11" s="54"/>
      <x:c r="B11" s="54"/>
      <x:c r="C11" s="121" t="str">
        <x:v>Operating cash before working capital</x:v>
      </x:c>
      <x:c r="D11" s="142" t="n">
        <x:f>'Schedules'!D98</x:f>
        <x:v>6927.500000000002</x:v>
      </x:c>
      <x:c r="E11" s="142" t="n">
        <x:f>'Schedules'!E98</x:f>
        <x:v>6567.499999999999</x:v>
      </x:c>
      <x:c r="F11" s="142" t="n">
        <x:f>'Schedules'!F98</x:f>
        <x:v>7705.200000000002</x:v>
      </x:c>
      <x:c r="G11" s="142" t="n">
        <x:f>'Schedules'!G98</x:f>
        <x:v>9128.499999999998</x:v>
      </x:c>
      <x:c r="H11" s="216" t="n">
        <x:f>'Schedules'!H98</x:f>
        <x:v>9686.085249314354</x:v>
      </x:c>
      <x:c r="I11" s="142" t="n">
        <x:f>'Schedules'!I98</x:f>
        <x:v>10453.623531935373</x:v>
      </x:c>
      <x:c r="J11" s="142" t="n">
        <x:f>'Schedules'!J98</x:f>
        <x:v>11691.059944465378</x:v>
      </x:c>
      <x:c r="K11" s="142" t="n">
        <x:f>'Schedules'!K98</x:f>
        <x:v>13164.376532506618</x:v>
      </x:c>
      <x:c r="L11" s="142" t="n">
        <x:f>'Schedules'!L98</x:f>
        <x:v>14105.24281329885</x:v>
      </x:c>
      <x:c r="M11" s="142" t="n">
        <x:f>'Schedules'!M98</x:f>
        <x:v>15079.227849339071</x:v>
      </x:c>
      <x:c r="N11" s="142" t="n">
        <x:f>'Schedules'!N98</x:f>
        <x:v>16113.85101906948</x:v>
      </x:c>
      <x:c r="O11" s="142" t="n">
        <x:f>'Schedules'!O98</x:f>
        <x:v>17263.250686674324</x:v>
      </x:c>
      <x:c r="P11" s="142" t="n">
        <x:f>'Schedules'!P98</x:f>
        <x:v>18396.406792405513</x:v>
      </x:c>
    </x:row>
    <x:row r="12">
      <x:c r="A12" s="54"/>
      <x:c r="B12" s="54"/>
      <x:c r="C12" s="121" t="str">
        <x:v>Working capital change</x:v>
      </x:c>
      <x:c r="D12" s="142" t="n">
        <x:f>'Schedules'!D99</x:f>
        <x:v>-344.9</x:v>
      </x:c>
      <x:c r="E12" s="142" t="n">
        <x:f>'Schedules'!E99</x:f>
        <x:v>-2460.9</x:v>
      </x:c>
      <x:c r="F12" s="142" t="n">
        <x:f>'Schedules'!F99</x:f>
        <x:v>454.5</x:v>
      </x:c>
      <x:c r="G12" s="142" t="n">
        <x:f>'Schedules'!G99</x:f>
        <x:v>401.9</x:v>
      </x:c>
      <x:c r="H12" s="216" t="n">
        <x:f>'Schedules'!H99</x:f>
        <x:v>-355.9834395075427</x:v>
      </x:c>
      <x:c r="I12" s="142" t="n">
        <x:f>'Schedules'!I99</x:f>
        <x:v>-129.6016416587064</x:v>
      </x:c>
      <x:c r="J12" s="142" t="n">
        <x:f>'Schedules'!J99</x:f>
        <x:v>-368.53885389457344</x:v>
      </x:c>
      <x:c r="K12" s="142" t="n">
        <x:f>'Schedules'!K99</x:f>
        <x:v>-457.01184040486123</x:v>
      </x:c>
      <x:c r="L12" s="142" t="n">
        <x:f>'Schedules'!L99</x:f>
        <x:v>-317.94992871409215</x:v>
      </x:c>
      <x:c r="M12" s="142" t="n">
        <x:f>'Schedules'!M99</x:f>
        <x:v>-257.09919317756385</x:v>
      </x:c>
      <x:c r="N12" s="142" t="n">
        <x:f>'Schedules'!N99</x:f>
        <x:v>-358.75886293017084</x:v>
      </x:c>
      <x:c r="O12" s="142" t="n">
        <x:f>'Schedules'!O99</x:f>
        <x:v>-317.2871825380066</x:v>
      </x:c>
      <x:c r="P12" s="142" t="n">
        <x:f>'Schedules'!P99</x:f>
        <x:v>-468.6372935639761</x:v>
      </x:c>
    </x:row>
    <x:row r="13">
      <x:c r="A13" s="54"/>
      <x:c r="B13" s="54"/>
      <x:c r="C13" s="121" t="str">
        <x:v>Cash taxes paid / (refund)</x:v>
      </x:c>
      <x:c r="D13" s="142" t="n">
        <x:f>'Schedules'!D100</x:f>
        <x:v>-3025.8</x:v>
      </x:c>
      <x:c r="E13" s="142" t="n">
        <x:f>'Schedules'!E100</x:f>
        <x:v>-1538.2</x:v>
      </x:c>
      <x:c r="F13" s="142" t="n">
        <x:f>'Schedules'!F100</x:f>
        <x:v>-1562.2</x:v>
      </x:c>
      <x:c r="G13" s="142" t="n">
        <x:f>'Schedules'!G100</x:f>
        <x:v>145.3</x:v>
      </x:c>
      <x:c r="H13" s="216" t="n">
        <x:f>'Schedules'!H100</x:f>
        <x:v>-3046.6542239282417</x:v>
      </x:c>
      <x:c r="I13" s="142" t="n">
        <x:f>'Schedules'!I100</x:f>
        <x:v>-3059.443269139843</x:v>
      </x:c>
      <x:c r="J13" s="142" t="n">
        <x:f>'Schedules'!J100</x:f>
        <x:v>-3430.679112487056</x:v>
      </x:c>
      <x:c r="K13" s="142" t="n">
        <x:f>'Schedules'!K100</x:f>
        <x:v>-3872.4565595170043</x:v>
      </x:c>
      <x:c r="L13" s="142" t="n">
        <x:f>'Schedules'!L100</x:f>
        <x:v>-4195.214643579438</x:v>
      </x:c>
      <x:c r="M13" s="142" t="n">
        <x:f>'Schedules'!M100</x:f>
        <x:v>-4532.3926654442785</x:v>
      </x:c>
      <x:c r="N13" s="142" t="n">
        <x:f>'Schedules'!N100</x:f>
        <x:v>-4888.139638362506</x:v>
      </x:c>
      <x:c r="O13" s="142" t="n">
        <x:f>'Schedules'!O100</x:f>
        <x:v>-5284.900206422836</x:v>
      </x:c>
      <x:c r="P13" s="142" t="n">
        <x:f>'Schedules'!P100</x:f>
        <x:v>-5681.067793029665</x:v>
      </x:c>
    </x:row>
    <x:row r="14">
      <x:c r="A14" s="54"/>
      <x:c r="B14" s="54"/>
      <x:c r="C14" s="127" t="str">
        <x:v>Cash flow from operations</x:v>
      </x:c>
      <x:c r="D14" s="162" t="n">
        <x:f>'Schedules'!D101</x:f>
        <x:v>3556.800000000002</x:v>
      </x:c>
      <x:c r="E14" s="162" t="n">
        <x:f>'Schedules'!E101</x:f>
        <x:v>2568.3999999999987</x:v>
      </x:c>
      <x:c r="F14" s="162" t="n">
        <x:f>'Schedules'!F101</x:f>
        <x:v>6597.500000000002</x:v>
      </x:c>
      <x:c r="G14" s="162" t="n">
        <x:f>'Schedules'!G101</x:f>
        <x:v>9675.699999999997</x:v>
      </x:c>
      <x:c r="H14" s="220" t="n">
        <x:f>'Schedules'!H101</x:f>
        <x:v>6283.447585878569</x:v>
      </x:c>
      <x:c r="I14" s="162" t="n">
        <x:f>'Schedules'!I101</x:f>
        <x:v>7264.578621136823</x:v>
      </x:c>
      <x:c r="J14" s="162" t="n">
        <x:f>'Schedules'!J101</x:f>
        <x:v>7891.8419780837485</x:v>
      </x:c>
      <x:c r="K14" s="162" t="n">
        <x:f>'Schedules'!K101</x:f>
        <x:v>8834.908132584753</x:v>
      </x:c>
      <x:c r="L14" s="162" t="n">
        <x:f>'Schedules'!L101</x:f>
        <x:v>9592.07824100532</x:v>
      </x:c>
      <x:c r="M14" s="162" t="n">
        <x:f>'Schedules'!M101</x:f>
        <x:v>10289.735990717229</x:v>
      </x:c>
      <x:c r="N14" s="162" t="n">
        <x:f>'Schedules'!N101</x:f>
        <x:v>10866.952517776801</x:v>
      </x:c>
      <x:c r="O14" s="162" t="n">
        <x:f>'Schedules'!O101</x:f>
        <x:v>11661.063297713481</x:v>
      </x:c>
      <x:c r="P14" s="162" t="n">
        <x:f>'Schedules'!P101</x:f>
        <x:v>12246.701705811869</x:v>
      </x:c>
    </x:row>
    <x:row r="15">
      <x:c r="A15" s="54"/>
      <x:c r="B15" s="54"/>
      <x:c r="C15" s="121" t="str">
        <x:v>Cash capital expenditure</x:v>
      </x:c>
      <x:c r="D15" s="142" t="n">
        <x:f>'Schedules'!D102</x:f>
        <x:v>-649.8</x:v>
      </x:c>
      <x:c r="E15" s="142" t="n">
        <x:f>'Schedules'!E102</x:f>
        <x:v>-189.3</x:v>
      </x:c>
      <x:c r="F15" s="142" t="n">
        <x:f>'Schedules'!F102</x:f>
        <x:v>-281.5</x:v>
      </x:c>
      <x:c r="G15" s="142" t="n">
        <x:f>'Schedules'!G102</x:f>
        <x:v>-252.3</x:v>
      </x:c>
      <x:c r="H15" s="216" t="n">
        <x:f>'Schedules'!H102</x:f>
        <x:v>-468.6815443216623</x:v>
      </x:c>
      <x:c r="I15" s="142" t="n">
        <x:f>'Schedules'!I102</x:f>
        <x:v>-495.17164098641246</x:v>
      </x:c>
      <x:c r="J15" s="142" t="n">
        <x:f>'Schedules'!J102</x:f>
        <x:v>-546.595010390589</x:v>
      </x:c>
      <x:c r="K15" s="142" t="n">
        <x:f>'Schedules'!K102</x:f>
        <x:v>-609.1485284964501</x:v>
      </x:c>
      <x:c r="L15" s="142" t="n">
        <x:f>'Schedules'!L102</x:f>
        <x:v>-647.6897210188247</x:v>
      </x:c>
      <x:c r="M15" s="142" t="n">
        <x:f>'Schedules'!M102</x:f>
        <x:v>-688.8987342337647</x:v>
      </x:c>
      <x:c r="N15" s="142" t="n">
        <x:f>'Schedules'!N102</x:f>
        <x:v>-712.1020021053432</x:v>
      </x:c>
      <x:c r="O15" s="142" t="n">
        <x:f>'Schedules'!O102</x:f>
        <x:v>-757.1601178365931</x:v>
      </x:c>
      <x:c r="P15" s="142" t="n">
        <x:f>'Schedules'!P102</x:f>
        <x:v>-806.8599470353295</x:v>
      </x:c>
    </x:row>
    <x:row r="16">
      <x:c r="A16" s="54"/>
      <x:c r="B16" s="54"/>
      <x:c r="C16" s="121" t="str">
        <x:v>Interest and other income received</x:v>
      </x:c>
      <x:c r="D16" s="142" t="n">
        <x:f>'Schedules'!D103</x:f>
        <x:v>765.2</x:v>
      </x:c>
      <x:c r="E16" s="142" t="n">
        <x:f>'Schedules'!E103</x:f>
        <x:v>1289.8</x:v>
      </x:c>
      <x:c r="F16" s="142" t="n">
        <x:f>'Schedules'!F103</x:f>
        <x:v>1592</x:v>
      </x:c>
      <x:c r="G16" s="142" t="n">
        <x:f>'Schedules'!G103</x:f>
        <x:v>1769.9</x:v>
      </x:c>
      <x:c r="H16" s="216" t="n">
        <x:f>'Schedules'!H103</x:f>
        <x:v>1866.456</x:v>
      </x:c>
      <x:c r="I16" s="142" t="n">
        <x:f>'Schedules'!I103</x:f>
        <x:v>2174.9050884934145</x:v>
      </x:c>
      <x:c r="J16" s="142" t="n">
        <x:f>'Schedules'!J103</x:f>
        <x:v>2423.0038662341276</x:v>
      </x:c>
      <x:c r="K16" s="142" t="n">
        <x:f>'Schedules'!K103</x:f>
        <x:v>2729.9458451307005</x:v>
      </x:c>
      <x:c r="L16" s="142" t="n">
        <x:f>'Schedules'!L103</x:f>
        <x:v>3077.6194155618564</x:v>
      </x:c>
      <x:c r="M16" s="142" t="n">
        <x:f>'Schedules'!M103</x:f>
        <x:v>3451.173831681941</x:v>
      </x:c>
      <x:c r="N16" s="142" t="n">
        <x:f>'Schedules'!N103</x:f>
        <x:v>3858.3122799837765</x:v>
      </x:c>
      <x:c r="O16" s="142" t="n">
        <x:f>'Schedules'!O103</x:f>
        <x:v>4293.347992838838</x:v>
      </x:c>
      <x:c r="P16" s="142" t="n">
        <x:f>'Schedules'!P103</x:f>
        <x:v>4767.869240421952</x:v>
      </x:c>
    </x:row>
    <x:row r="17">
      <x:c r="A17" s="54"/>
      <x:c r="B17" s="54"/>
      <x:c r="C17" s="121" t="str">
        <x:v>Exceptional / disposal cash receipts</x:v>
      </x:c>
      <x:c r="D17" s="142" t="n">
        <x:f>'Schedules'!D104</x:f>
        <x:v>1817</x:v>
      </x:c>
      <x:c r="E17" s="142" t="n">
        <x:f>'Schedules'!E104</x:f>
        <x:v>529</x:v>
      </x:c>
      <x:c r="F17" s="142" t="n">
        <x:f>'Schedules'!F104</x:f>
        <x:v>1518.8</x:v>
      </x:c>
      <x:c r="G17" s="142" t="n">
        <x:f>'Schedules'!G104</x:f>
        <x:v>11.6</x:v>
      </x:c>
      <x:c r="H17" s="216" t="n">
        <x:f>'Schedules'!H104</x:f>
        <x:v>1313.8</x:v>
      </x:c>
      <x:c r="I17" s="142" t="n">
        <x:f>'Schedules'!I104</x:f>
        <x:v>0</x:v>
      </x:c>
      <x:c r="J17" s="142" t="n">
        <x:f>'Schedules'!J104</x:f>
        <x:v>0</x:v>
      </x:c>
      <x:c r="K17" s="142" t="n">
        <x:f>'Schedules'!K104</x:f>
        <x:v>0</x:v>
      </x:c>
      <x:c r="L17" s="142" t="n">
        <x:f>'Schedules'!L104</x:f>
        <x:v>0</x:v>
      </x:c>
      <x:c r="M17" s="142" t="n">
        <x:f>'Schedules'!M104</x:f>
        <x:v>0</x:v>
      </x:c>
      <x:c r="N17" s="142" t="n">
        <x:f>'Schedules'!N104</x:f>
        <x:v>0</x:v>
      </x:c>
      <x:c r="O17" s="142" t="n">
        <x:f>'Schedules'!O104</x:f>
        <x:v>0</x:v>
      </x:c>
      <x:c r="P17" s="142" t="n">
        <x:f>'Schedules'!P104</x:f>
        <x:v>0</x:v>
      </x:c>
    </x:row>
    <x:row r="18">
      <x:c r="A18" s="54"/>
      <x:c r="B18" s="54"/>
      <x:c r="C18" s="121" t="str">
        <x:v>Other investing cash flow</x:v>
      </x:c>
      <x:c r="D18" s="142" t="n">
        <x:f>'Schedules'!D105</x:f>
        <x:v>0</x:v>
      </x:c>
      <x:c r="E18" s="142" t="n">
        <x:f>'Schedules'!E105</x:f>
        <x:v>0</x:v>
      </x:c>
      <x:c r="F18" s="142" t="n">
        <x:f>'Schedules'!F105</x:f>
        <x:v>0</x:v>
      </x:c>
      <x:c r="G18" s="142" t="n">
        <x:f>'Schedules'!G105</x:f>
        <x:v>0</x:v>
      </x:c>
      <x:c r="H18" s="216" t="n">
        <x:f>'Schedules'!H105</x:f>
        <x:v>0</x:v>
      </x:c>
      <x:c r="I18" s="142" t="n">
        <x:f>'Schedules'!I105</x:f>
        <x:v>0</x:v>
      </x:c>
      <x:c r="J18" s="142" t="n">
        <x:f>'Schedules'!J105</x:f>
        <x:v>0</x:v>
      </x:c>
      <x:c r="K18" s="142" t="n">
        <x:f>'Schedules'!K105</x:f>
        <x:v>0</x:v>
      </x:c>
      <x:c r="L18" s="142" t="n">
        <x:f>'Schedules'!L105</x:f>
        <x:v>0</x:v>
      </x:c>
      <x:c r="M18" s="142" t="n">
        <x:f>'Schedules'!M105</x:f>
        <x:v>0</x:v>
      </x:c>
      <x:c r="N18" s="142" t="n">
        <x:f>'Schedules'!N105</x:f>
        <x:v>0</x:v>
      </x:c>
      <x:c r="O18" s="142" t="n">
        <x:f>'Schedules'!O105</x:f>
        <x:v>0</x:v>
      </x:c>
      <x:c r="P18" s="142" t="n">
        <x:f>'Schedules'!P105</x:f>
        <x:v>0</x:v>
      </x:c>
    </x:row>
    <x:row r="19">
      <x:c r="A19" s="54"/>
      <x:c r="B19" s="54"/>
      <x:c r="C19" s="121" t="str">
        <x:v>Term deposits placed / (redeemed)</x:v>
      </x:c>
      <x:c r="D19" s="142" t="n">
        <x:f>'Schedules'!D106</x:f>
        <x:v>-2292.9</x:v>
      </x:c>
      <x:c r="E19" s="142" t="n">
        <x:f>'Schedules'!E106</x:f>
        <x:v>-1092.5</x:v>
      </x:c>
      <x:c r="F19" s="142" t="n">
        <x:f>'Schedules'!F106</x:f>
        <x:v>-3542.7</x:v>
      </x:c>
      <x:c r="G19" s="142" t="n">
        <x:f>'Schedules'!G106</x:f>
        <x:v>-7145.9</x:v>
      </x:c>
      <x:c r="H19" s="216" t="n">
        <x:f>'Schedules'!H106</x:f>
        <x:v>-5646.660870088392</x:v>
      </x:c>
      <x:c r="I19" s="142" t="n">
        <x:f>'Schedules'!I106</x:f>
        <x:v>-4105.546188273269</x:v>
      </x:c>
      <x:c r="J19" s="142" t="n">
        <x:f>'Schedules'!J106</x:f>
        <x:v>-5058.562571160473</x:v>
      </x:c>
      <x:c r="K19" s="142" t="n">
        <x:f>'Schedules'!K106</x:f>
        <x:v>-5725.0555981794105</x:v>
      </x:c>
      <x:c r="L19" s="142" t="n">
        <x:f>'Schedules'!L106</x:f>
        <x:v>-6183.083388087665</x:v>
      </x:c>
      <x:c r="M19" s="142" t="n">
        <x:f>'Schedules'!M106</x:f>
        <x:v>-6739.853012569537</x:v>
      </x:c>
      <x:c r="N19" s="142" t="n">
        <x:f>'Schedules'!N106</x:f>
        <x:v>-7202.20739273958</x:v>
      </x:c>
      <x:c r="O19" s="142" t="n">
        <x:f>'Schedules'!O106</x:f>
        <x:v>-7857.192470311418</x:v>
      </x:c>
      <x:c r="P19" s="142" t="n">
        <x:f>'Schedules'!P106</x:f>
        <x:v>-8274.81356631122</x:v>
      </x:c>
    </x:row>
    <x:row r="20">
      <x:c r="A20" s="54"/>
      <x:c r="B20" s="54"/>
      <x:c r="C20" s="127" t="str">
        <x:v>Cash flow from investing</x:v>
      </x:c>
      <x:c r="D20" s="162" t="n">
        <x:f>'Schedules'!D107</x:f>
        <x:v>-360.5</x:v>
      </x:c>
      <x:c r="E20" s="162" t="n">
        <x:f>'Schedules'!E107</x:f>
        <x:v>537</x:v>
      </x:c>
      <x:c r="F20" s="162" t="n">
        <x:f>'Schedules'!F107</x:f>
        <x:v>-713.3999999999996</x:v>
      </x:c>
      <x:c r="G20" s="162" t="n">
        <x:f>'Schedules'!G107</x:f>
        <x:v>-5616.7</x:v>
      </x:c>
      <x:c r="H20" s="220" t="n">
        <x:f>'Schedules'!H107</x:f>
        <x:v>-2935.086414410054</x:v>
      </x:c>
      <x:c r="I20" s="162" t="n">
        <x:f>'Schedules'!I107</x:f>
        <x:v>-2425.812740766267</x:v>
      </x:c>
      <x:c r="J20" s="162" t="n">
        <x:f>'Schedules'!J107</x:f>
        <x:v>-3182.1537153169347</x:v>
      </x:c>
      <x:c r="K20" s="162" t="n">
        <x:f>'Schedules'!K107</x:f>
        <x:v>-3604.25828154516</x:v>
      </x:c>
      <x:c r="L20" s="162" t="n">
        <x:f>'Schedules'!L107</x:f>
        <x:v>-3753.153693544634</x:v>
      </x:c>
      <x:c r="M20" s="162" t="n">
        <x:f>'Schedules'!M107</x:f>
        <x:v>-3977.5779151213605</x:v>
      </x:c>
      <x:c r="N20" s="162" t="n">
        <x:f>'Schedules'!N107</x:f>
        <x:v>-4055.997114861147</x:v>
      </x:c>
      <x:c r="O20" s="162" t="n">
        <x:f>'Schedules'!O107</x:f>
        <x:v>-4321.004595309174</x:v>
      </x:c>
      <x:c r="P20" s="162" t="n">
        <x:f>'Schedules'!P107</x:f>
        <x:v>-4313.804272924598</x:v>
      </x:c>
    </x:row>
    <x:row r="21">
      <x:c r="A21" s="54"/>
      <x:c r="B21" s="54"/>
      <x:c r="C21" s="121" t="str">
        <x:v>Dividends paid</x:v>
      </x:c>
      <x:c r="D21" s="142" t="n">
        <x:f>'Schedules'!D108</x:f>
        <x:v>-2972.1</x:v>
      </x:c>
      <x:c r="E21" s="142" t="n">
        <x:f>'Schedules'!E108</x:f>
        <x:v>-1834.3</x:v>
      </x:c>
      <x:c r="F21" s="142" t="n">
        <x:f>'Schedules'!F108</x:f>
        <x:v>-1602.5</x:v>
      </x:c>
      <x:c r="G21" s="142" t="n">
        <x:f>'Schedules'!G108</x:f>
        <x:v>-7516.4</x:v>
      </x:c>
      <x:c r="H21" s="216" t="n">
        <x:f>'Schedules'!H108</x:f>
        <x:v>-3431.2779</x:v>
      </x:c>
      <x:c r="I21" s="142" t="n">
        <x:f>'Schedules'!I108</x:f>
        <x:v>-4547.939013385373</x:v>
      </x:c>
      <x:c r="J21" s="142" t="n">
        <x:f>'Schedules'!J108</x:f>
        <x:v>-4469.186736292515</x:v>
      </x:c>
      <x:c r="K21" s="142" t="n">
        <x:f>'Schedules'!K108</x:f>
        <x:v>-5011.482232946778</x:v>
      </x:c>
      <x:c r="L21" s="142" t="n">
        <x:f>'Schedules'!L108</x:f>
        <x:v>-5656.82379772582</x:v>
      </x:c>
      <x:c r="M21" s="142" t="n">
        <x:f>'Schedules'!M108</x:f>
        <x:v>-6128.3037440523185</x:v>
      </x:c>
      <x:c r="N21" s="142" t="n">
        <x:f>'Schedules'!N108</x:f>
        <x:v>-6620.848109325466</x:v>
      </x:c>
      <x:c r="O21" s="142" t="n">
        <x:f>'Schedules'!O108</x:f>
        <x:v>-7140.517707019739</x:v>
      </x:c>
      <x:c r="P21" s="142" t="n">
        <x:f>'Schedules'!P108</x:f>
        <x:v>-7720.099321147083</x:v>
      </x:c>
    </x:row>
    <x:row r="22">
      <x:c r="A22" s="54"/>
      <x:c r="B22" s="54"/>
      <x:c r="C22" s="121" t="str">
        <x:v>Lease principal and finance costs</x:v>
      </x:c>
      <x:c r="D22" s="142" t="n">
        <x:f>'Schedules'!D109</x:f>
        <x:v>-485.8</x:v>
      </x:c>
      <x:c r="E22" s="142" t="n">
        <x:f>'Schedules'!E109</x:f>
        <x:v>-517.1</x:v>
      </x:c>
      <x:c r="F22" s="142" t="n">
        <x:f>'Schedules'!F109</x:f>
        <x:v>-450.9</x:v>
      </x:c>
      <x:c r="G22" s="142" t="n">
        <x:f>'Schedules'!G109</x:f>
        <x:v>-466.7</x:v>
      </x:c>
      <x:c r="H22" s="216" t="n">
        <x:f>'Schedules'!H109</x:f>
        <x:v>-422.926</x:v>
      </x:c>
      <x:c r="I22" s="142" t="n">
        <x:f>'Schedules'!I109</x:f>
        <x:v>-261.3934262465717</x:v>
      </x:c>
      <x:c r="J22" s="142" t="n">
        <x:f>'Schedules'!J109</x:f>
        <x:v>-183.36444935854846</x:v>
      </x:c>
      <x:c r="K22" s="142" t="n">
        <x:f>'Schedules'!K109</x:f>
        <x:v>-149.66370908630176</x:v>
      </x:c>
      <x:c r="L22" s="142" t="n">
        <x:f>'Schedules'!L109</x:f>
        <x:v>-139.27720248778405</x:v>
      </x:c>
      <x:c r="M22" s="142" t="n">
        <x:f>'Schedules'!M109</x:f>
        <x:v>-138.06653908250394</x:v>
      </x:c>
      <x:c r="N22" s="142" t="n">
        <x:f>'Schedules'!N109</x:f>
        <x:v>-141.71947207874098</x:v>
      </x:c>
      <x:c r="O22" s="142" t="n">
        <x:f>'Schedules'!O109</x:f>
        <x:v>-148.04600597742413</x:v>
      </x:c>
      <x:c r="P22" s="142" t="n">
        <x:f>'Schedules'!P109</x:f>
        <x:v>-155.99830694162995</x:v>
      </x:c>
    </x:row>
    <x:row r="23">
      <x:c r="A23" s="54"/>
      <x:c r="B23" s="54"/>
      <x:c r="C23" s="121" t="str">
        <x:v>Other financing cash flow</x:v>
      </x:c>
      <x:c r="D23" s="142" t="n">
        <x:f>'Schedules'!D110</x:f>
        <x:v>0</x:v>
      </x:c>
      <x:c r="E23" s="142" t="n">
        <x:f>'Schedules'!E110</x:f>
        <x:v>0</x:v>
      </x:c>
      <x:c r="F23" s="142" t="n">
        <x:f>'Schedules'!F110</x:f>
        <x:v>0</x:v>
      </x:c>
      <x:c r="G23" s="142" t="n">
        <x:f>'Schedules'!G110</x:f>
        <x:v>0</x:v>
      </x:c>
      <x:c r="H23" s="216" t="n">
        <x:f>'Schedules'!H110</x:f>
        <x:v>0</x:v>
      </x:c>
      <x:c r="I23" s="142" t="n">
        <x:f>'Schedules'!I110</x:f>
        <x:v>0</x:v>
      </x:c>
      <x:c r="J23" s="142" t="n">
        <x:f>'Schedules'!J110</x:f>
        <x:v>0</x:v>
      </x:c>
      <x:c r="K23" s="142" t="n">
        <x:f>'Schedules'!K110</x:f>
        <x:v>0</x:v>
      </x:c>
      <x:c r="L23" s="142" t="n">
        <x:f>'Schedules'!L110</x:f>
        <x:v>0</x:v>
      </x:c>
      <x:c r="M23" s="142" t="n">
        <x:f>'Schedules'!M110</x:f>
        <x:v>0</x:v>
      </x:c>
      <x:c r="N23" s="142" t="n">
        <x:f>'Schedules'!N110</x:f>
        <x:v>0</x:v>
      </x:c>
      <x:c r="O23" s="142" t="n">
        <x:f>'Schedules'!O110</x:f>
        <x:v>0</x:v>
      </x:c>
      <x:c r="P23" s="142" t="n">
        <x:f>'Schedules'!P110</x:f>
        <x:v>0</x:v>
      </x:c>
    </x:row>
    <x:row r="24">
      <x:c r="A24" s="54"/>
      <x:c r="B24" s="54"/>
      <x:c r="C24" s="127" t="str">
        <x:v>Cash flow from financing</x:v>
      </x:c>
      <x:c r="D24" s="162" t="n">
        <x:f>'Schedules'!D111</x:f>
        <x:v>-3457.9</x:v>
      </x:c>
      <x:c r="E24" s="162" t="n">
        <x:f>'Schedules'!E111</x:f>
        <x:v>-2351.4</x:v>
      </x:c>
      <x:c r="F24" s="162" t="n">
        <x:f>'Schedules'!F111</x:f>
        <x:v>-2053.4</x:v>
      </x:c>
      <x:c r="G24" s="162" t="n">
        <x:f>'Schedules'!G111</x:f>
        <x:v>-7983.099999999999</x:v>
      </x:c>
      <x:c r="H24" s="220" t="n">
        <x:f>'Schedules'!H111</x:f>
        <x:v>-3854.2039</x:v>
      </x:c>
      <x:c r="I24" s="162" t="n">
        <x:f>'Schedules'!I111</x:f>
        <x:v>-4809.332439631945</x:v>
      </x:c>
      <x:c r="J24" s="162" t="n">
        <x:f>'Schedules'!J111</x:f>
        <x:v>-4652.551185651064</x:v>
      </x:c>
      <x:c r="K24" s="162" t="n">
        <x:f>'Schedules'!K111</x:f>
        <x:v>-5161.145942033079</x:v>
      </x:c>
      <x:c r="L24" s="162" t="n">
        <x:f>'Schedules'!L111</x:f>
        <x:v>-5796.1010002136045</x:v>
      </x:c>
      <x:c r="M24" s="162" t="n">
        <x:f>'Schedules'!M111</x:f>
        <x:v>-6266.370283134823</x:v>
      </x:c>
      <x:c r="N24" s="162" t="n">
        <x:f>'Schedules'!N111</x:f>
        <x:v>-6762.567581404207</x:v>
      </x:c>
      <x:c r="O24" s="162" t="n">
        <x:f>'Schedules'!O111</x:f>
        <x:v>-7288.563712997163</x:v>
      </x:c>
      <x:c r="P24" s="162" t="n">
        <x:f>'Schedules'!P111</x:f>
        <x:v>-7876.0976280887135</x:v>
      </x:c>
    </x:row>
    <x:row r="25">
      <x:c r="A25" s="54"/>
      <x:c r="B25" s="54"/>
      <x:c r="C25" s="121" t="str">
        <x:v>Net change in cash</x:v>
      </x:c>
      <x:c r="D25" s="142" t="n">
        <x:f>'Schedules'!D112</x:f>
        <x:v>-261.5999999999981</x:v>
      </x:c>
      <x:c r="E25" s="142" t="n">
        <x:f>'Schedules'!E112</x:f>
        <x:v>753.9999999999986</x:v>
      </x:c>
      <x:c r="F25" s="142" t="n">
        <x:f>'Schedules'!F112</x:f>
        <x:v>3830.700000000002</x:v>
      </x:c>
      <x:c r="G25" s="142" t="n">
        <x:f>'Schedules'!G112</x:f>
        <x:v>-3924.100000000002</x:v>
      </x:c>
      <x:c r="H25" s="216" t="n">
        <x:f>'Schedules'!H112</x:f>
        <x:v>-505.84272853148514</x:v>
      </x:c>
      <x:c r="I25" s="142" t="n">
        <x:f>'Schedules'!I112</x:f>
        <x:v>29.433440738611353</x:v>
      </x:c>
      <x:c r="J25" s="142" t="n">
        <x:f>'Schedules'!J112</x:f>
        <x:v>57.13707711574989</x:v>
      </x:c>
      <x:c r="K25" s="142" t="n">
        <x:f>'Schedules'!K112</x:f>
        <x:v>69.50390900651291</x:v>
      </x:c>
      <x:c r="L25" s="142" t="n">
        <x:f>'Schedules'!L112</x:f>
        <x:v>42.82354724708148</x:v>
      </x:c>
      <x:c r="M25" s="142" t="n">
        <x:f>'Schedules'!M112</x:f>
        <x:v>45.78779246104477</x:v>
      </x:c>
      <x:c r="N25" s="142" t="n">
        <x:f>'Schedules'!N112</x:f>
        <x:v>48.38782151144642</x:v>
      </x:c>
      <x:c r="O25" s="142" t="n">
        <x:f>'Schedules'!O112</x:f>
        <x:v>51.4949894071442</x:v>
      </x:c>
      <x:c r="P25" s="142" t="n">
        <x:f>'Schedules'!P112</x:f>
        <x:v>56.79980479855749</x:v>
      </x:c>
    </x:row>
    <x:row r="26">
      <x:c r="A26" s="54"/>
      <x:c r="B26" s="54"/>
      <x:c r="C26" s="121" t="str">
        <x:v>Opening cash and cash equivalents</x:v>
      </x:c>
      <x:c r="D26" s="142" t="n">
        <x:f>'Schedules'!D113</x:f>
        <x:v>627.6</x:v>
      </x:c>
      <x:c r="E26" s="142" t="n">
        <x:f>'Schedules'!E113</x:f>
        <x:v>366</x:v>
      </x:c>
      <x:c r="F26" s="142" t="n">
        <x:f>'Schedules'!F113</x:f>
        <x:v>1120</x:v>
      </x:c>
      <x:c r="G26" s="142" t="n">
        <x:f>'Schedules'!G113</x:f>
        <x:v>4950.7</x:v>
      </x:c>
      <x:c r="H26" s="216" t="n">
        <x:f>'Schedules'!H113</x:f>
        <x:v>1026.6</x:v>
      </x:c>
      <x:c r="I26" s="142" t="n">
        <x:f>'Schedules'!I113</x:f>
        <x:v>520.7572714685148</x:v>
      </x:c>
      <x:c r="J26" s="142" t="n">
        <x:f>'Schedules'!J113</x:f>
        <x:v>550.1907122071261</x:v>
      </x:c>
      <x:c r="K26" s="142" t="n">
        <x:f>'Schedules'!K113</x:f>
        <x:v>607.327789322876</x:v>
      </x:c>
      <x:c r="L26" s="142" t="n">
        <x:f>'Schedules'!L113</x:f>
        <x:v>676.8316983293889</x:v>
      </x:c>
      <x:c r="M26" s="142" t="n">
        <x:f>'Schedules'!M113</x:f>
        <x:v>719.6552455764704</x:v>
      </x:c>
      <x:c r="N26" s="142" t="n">
        <x:f>'Schedules'!N113</x:f>
        <x:v>765.4430380375152</x:v>
      </x:c>
      <x:c r="O26" s="142" t="n">
        <x:f>'Schedules'!O113</x:f>
        <x:v>813.8308595489616</x:v>
      </x:c>
      <x:c r="P26" s="142" t="n">
        <x:f>'Schedules'!P113</x:f>
        <x:v>865.3258489561058</x:v>
      </x:c>
    </x:row>
    <x:row r="27">
      <x:c r="A27" s="54"/>
      <x:c r="B27" s="54"/>
      <x:c r="C27" s="128" t="str">
        <x:v>Closing cash and cash equivalents</x:v>
      </x:c>
      <x:c r="D27" s="164" t="n">
        <x:f>'Schedules'!D114</x:f>
        <x:v>366</x:v>
      </x:c>
      <x:c r="E27" s="164" t="n">
        <x:f>'Schedules'!E114</x:f>
        <x:v>1120</x:v>
      </x:c>
      <x:c r="F27" s="164" t="n">
        <x:f>'Schedules'!F114</x:f>
        <x:v>4950.7</x:v>
      </x:c>
      <x:c r="G27" s="164" t="n">
        <x:f>'Schedules'!G114</x:f>
        <x:v>1026.6</x:v>
      </x:c>
      <x:c r="H27" s="221" t="n">
        <x:f>'Schedules'!H114</x:f>
        <x:v>520.7572714685148</x:v>
      </x:c>
      <x:c r="I27" s="164" t="n">
        <x:f>'Schedules'!I114</x:f>
        <x:v>550.1907122071261</x:v>
      </x:c>
      <x:c r="J27" s="164" t="n">
        <x:f>'Schedules'!J114</x:f>
        <x:v>607.327789322876</x:v>
      </x:c>
      <x:c r="K27" s="164" t="n">
        <x:f>'Schedules'!K114</x:f>
        <x:v>676.8316983293889</x:v>
      </x:c>
      <x:c r="L27" s="164" t="n">
        <x:f>'Schedules'!L114</x:f>
        <x:v>719.6552455764704</x:v>
      </x:c>
      <x:c r="M27" s="164" t="n">
        <x:f>'Schedules'!M114</x:f>
        <x:v>765.4430380375152</x:v>
      </x:c>
      <x:c r="N27" s="164" t="n">
        <x:f>'Schedules'!N114</x:f>
        <x:v>813.8308595489616</x:v>
      </x:c>
      <x:c r="O27" s="164" t="n">
        <x:f>'Schedules'!O114</x:f>
        <x:v>865.3258489561058</x:v>
      </x:c>
      <x:c r="P27" s="164" t="n">
        <x:f>'Schedules'!P114</x:f>
        <x:v>922.1256537546633</x:v>
      </x:c>
    </x:row>
    <x:row r="28">
      <x:c r="A28" s="54"/>
      <x:c r="B28" s="54"/>
      <x:c r="C28" s="121" t="str">
        <x:v>Free cash flow before term deposits</x:v>
      </x:c>
      <x:c r="D28" s="160" t="n">
        <x:f>D14+D15</x:f>
        <x:v>2907.000000000002</x:v>
      </x:c>
      <x:c r="E28" s="160" t="n">
        <x:f>E14+E15</x:f>
        <x:v>2379.0999999999985</x:v>
      </x:c>
      <x:c r="F28" s="160" t="n">
        <x:f>F14+F15</x:f>
        <x:v>6316.000000000002</x:v>
      </x:c>
      <x:c r="G28" s="160" t="n">
        <x:f>G14+G15</x:f>
        <x:v>9423.399999999998</x:v>
      </x:c>
      <x:c r="H28" s="219" t="n">
        <x:f>H14+H15</x:f>
        <x:v>5814.766041556907</x:v>
      </x:c>
      <x:c r="I28" s="160" t="n">
        <x:f>I14+I15</x:f>
        <x:v>6769.406980150411</x:v>
      </x:c>
      <x:c r="J28" s="160" t="n">
        <x:f>J14+J15</x:f>
        <x:v>7345.24696769316</x:v>
      </x:c>
      <x:c r="K28" s="160" t="n">
        <x:f>K14+K15</x:f>
        <x:v>8225.759604088304</x:v>
      </x:c>
      <x:c r="L28" s="160" t="n">
        <x:f>L14+L15</x:f>
        <x:v>8944.388519986494</x:v>
      </x:c>
      <x:c r="M28" s="160" t="n">
        <x:f>M14+M15</x:f>
        <x:v>9600.837256483464</x:v>
      </x:c>
      <x:c r="N28" s="160" t="n">
        <x:f>N14+N15</x:f>
        <x:v>10154.850515671458</x:v>
      </x:c>
      <x:c r="O28" s="160" t="n">
        <x:f>O14+O15</x:f>
        <x:v>10903.903179876888</x:v>
      </x:c>
      <x:c r="P28" s="160" t="n">
        <x:f>P14+P15</x:f>
        <x:v>11439.84175877654</x:v>
      </x:c>
    </x:row>
    <x:row r="29">
      <x:c r="A29" s="54"/>
      <x:c r="B29" s="54"/>
      <x:c r="C29" s="121" t="str">
        <x:v>Cash conversion</x:v>
      </x:c>
      <x:c r="D29" s="173" t="n">
        <x:f>D14/'P&amp;L'!D26</x:f>
        <x:v>0.5700639494815125</x:v>
      </x:c>
      <x:c r="E29" s="173" t="n">
        <x:f>E14/'P&amp;L'!E26</x:f>
        <x:v>0.4658552953766345</x:v>
      </x:c>
      <x:c r="F29" s="173" t="n">
        <x:f>F14/'P&amp;L'!F26</x:f>
        <x:v>0.8594971339239187</x:v>
      </x:c>
      <x:c r="G29" s="173" t="n">
        <x:f>G14/'P&amp;L'!G26</x:f>
        <x:v>1.3393269936187586</x:v>
      </x:c>
      <x:c r="H29" s="227" t="n">
        <x:f>H14/'P&amp;L'!L26</x:f>
        <x:v>0.6908016540443147</x:v>
      </x:c>
      <x:c r="I29" s="173" t="n">
        <x:f>I14/'P&amp;L'!Q26</x:f>
        <x:v>0.8127405554733287</x:v>
      </x:c>
      <x:c r="J29" s="173" t="n">
        <x:f>J14/'P&amp;L'!R26</x:f>
        <x:v>0.7873760308078858</x:v>
      </x:c>
      <x:c r="K29" s="173" t="n">
        <x:f>K14/'P&amp;L'!S26</x:f>
        <x:v>0.7809071352139869</x:v>
      </x:c>
      <x:c r="L29" s="173" t="n">
        <x:f>L14/'P&amp;L'!T26</x:f>
        <x:v>0.7826046685687443</x:v>
      </x:c>
      <x:c r="M29" s="173" t="n">
        <x:f>M14/'P&amp;L'!U26</x:f>
        <x:v>0.777070839023186</x:v>
      </x:c>
      <x:c r="N29" s="173" t="n">
        <x:f>N14/'P&amp;L'!V26</x:f>
        <x:v>0.7609358987439845</x:v>
      </x:c>
      <x:c r="O29" s="173" t="n">
        <x:f>O14/'P&amp;L'!W26</x:f>
        <x:v>0.7552404970860422</x:v>
      </x:c>
      <x:c r="P29" s="173" t="n">
        <x:f>P14/'P&amp;L'!X26</x:f>
        <x:v>0.7378584847983154</x:v>
      </x:c>
    </x:row>
    <x:row r="30">
      <x:c r="A30" s="54"/>
      <x:c r="B30" s="54"/>
      <x:c r="C30" s="121"/>
      <x:c r="D30" s="130"/>
      <x:c r="E30" s="130"/>
      <x:c r="F30" s="130"/>
      <x:c r="G30" s="130"/>
      <x:c r="H30" s="228"/>
      <x:c r="I30" s="130"/>
      <x:c r="J30" s="130"/>
      <x:c r="K30" s="130"/>
      <x:c r="L30" s="130"/>
      <x:c r="M30" s="130"/>
      <x:c r="N30" s="130"/>
      <x:c r="O30" s="130"/>
      <x:c r="P30" s="130"/>
    </x:row>
    <x:row r="31">
      <x:c r="A31" s="54"/>
      <x:c r="B31" s="54"/>
      <x:c r="C31" s="121"/>
      <x:c r="D31" s="130"/>
      <x:c r="E31" s="130"/>
      <x:c r="F31" s="130"/>
      <x:c r="G31" s="130"/>
      <x:c r="H31" s="228"/>
      <x:c r="I31" s="130"/>
      <x:c r="J31" s="130"/>
      <x:c r="K31" s="130"/>
      <x:c r="L31" s="130"/>
      <x:c r="M31" s="130"/>
      <x:c r="N31" s="130"/>
      <x:c r="O31" s="130"/>
      <x:c r="P31" s="130"/>
    </x:row>
    <x:row r="32" ht="18" customHeight="1">
      <x:c r="A32" s="54"/>
      <x:c r="B32" s="54"/>
      <x:c r="C32" s="207" t="str">
        <x:v>Checks and source note</x:v>
      </x:c>
      <x:c r="D32" s="210"/>
      <x:c r="E32" s="210"/>
      <x:c r="F32" s="210"/>
      <x:c r="G32" s="210"/>
      <x:c r="H32" s="229"/>
      <x:c r="I32" s="210"/>
      <x:c r="J32" s="210"/>
      <x:c r="K32" s="210"/>
      <x:c r="L32" s="210"/>
      <x:c r="M32" s="210"/>
      <x:c r="N32" s="210"/>
      <x:c r="O32" s="210"/>
      <x:c r="P32" s="211"/>
    </x:row>
    <x:row r="33">
      <x:c r="A33" s="54"/>
      <x:c r="B33" s="54"/>
      <x:c r="C33" s="121" t="str">
        <x:v>Closing cash check</x:v>
      </x:c>
      <x:c r="D33" s="152" t="n">
        <x:f>D27-'Schedules'!D83</x:f>
        <x:v>0</x:v>
      </x:c>
      <x:c r="E33" s="152" t="n">
        <x:f>E27-'Schedules'!E83</x:f>
        <x:v>0</x:v>
      </x:c>
      <x:c r="F33" s="152" t="n">
        <x:f>F27-'Schedules'!F83</x:f>
        <x:v>0</x:v>
      </x:c>
      <x:c r="G33" s="152" t="n">
        <x:f>G27-'Schedules'!G83</x:f>
        <x:v>0</x:v>
      </x:c>
      <x:c r="H33" s="222" t="n">
        <x:f>H27-'Schedules'!H83</x:f>
        <x:v>1.1368683772161603e-12</x:v>
      </x:c>
      <x:c r="I33" s="152" t="n">
        <x:f>I27-'Schedules'!I83</x:f>
        <x:v>1.1368683772161603e-12</x:v>
      </x:c>
      <x:c r="J33" s="152" t="n">
        <x:f>J27-'Schedules'!J83</x:f>
        <x:v>-6.821210263296962e-13</x:v>
      </x:c>
      <x:c r="K33" s="152" t="n">
        <x:f>K27-'Schedules'!K83</x:f>
        <x:v>-1.1368683772161603e-13</x:v>
      </x:c>
      <x:c r="L33" s="152" t="n">
        <x:f>L27-'Schedules'!L83</x:f>
        <x:v>-1.5916157281026244e-12</x:v>
      </x:c>
      <x:c r="M33" s="152" t="n">
        <x:f>M27-'Schedules'!M83</x:f>
        <x:v>-1.2505552149377763e-12</x:v>
      </x:c>
      <x:c r="N33" s="152" t="n">
        <x:f>N27-'Schedules'!N83</x:f>
        <x:v>-2.0463630789890885e-12</x:v>
      </x:c>
      <x:c r="O33" s="152" t="n">
        <x:f>O27-'Schedules'!O83</x:f>
        <x:v>-5.684341886080801e-13</x:v>
      </x:c>
      <x:c r="P33" s="152" t="n">
        <x:f>P27-'Schedules'!P83</x:f>
        <x:v>1.0231815394945443e-12</x:v>
      </x:c>
    </x:row>
    <x:row r="34" ht="26" customHeight="1">
      <x:c r="A34" s="54"/>
      <x:c r="B34" s="54"/>
      <x:c r="C34" s="121" t="str">
        <x:v>Free cash flow definition</x:v>
      </x:c>
      <x:c r="D34" s="233" t="str">
        <x:v>CFO less cash capital expenditure, before movements in term deposits.</x:v>
      </x:c>
      <x:c r="E34" s="233"/>
      <x:c r="F34" s="233"/>
      <x:c r="G34" s="233"/>
      <x:c r="H34" s="234"/>
      <x:c r="I34" s="233"/>
      <x:c r="J34" s="233"/>
      <x:c r="K34" s="233"/>
      <x:c r="L34" s="233"/>
      <x:c r="M34" s="233"/>
      <x:c r="N34" s="233"/>
      <x:c r="O34" s="233"/>
      <x:c r="P34" s="233"/>
    </x:row>
    <x:row r="35" ht="26" customHeight="1">
      <x:c r="A35" s="54"/>
      <x:c r="B35" s="54"/>
      <x:c r="C35" s="121" t="str">
        <x:v>Source</x:v>
      </x:c>
      <x:c r="D35" s="233" t="str">
        <x:v>Schedules tab; FY23-FY26 based on audited cash flow statements and FY27-FY35 formula-driven estimates.</x:v>
      </x:c>
      <x:c r="E35" s="233"/>
      <x:c r="F35" s="233"/>
      <x:c r="G35" s="233"/>
      <x:c r="H35" s="234"/>
      <x:c r="I35" s="233"/>
      <x:c r="J35" s="233"/>
      <x:c r="K35" s="233"/>
      <x:c r="L35" s="233"/>
      <x:c r="M35" s="233"/>
      <x:c r="N35" s="233"/>
      <x:c r="O35" s="233"/>
      <x:c r="P35" s="233"/>
    </x:row>
    <x:row r="36">
      <x:c r="A36" s="54"/>
      <x:c r="B36" s="54"/>
      <x:c r="C36" s="121"/>
      <x:c r="D36" s="130"/>
      <x:c r="E36" s="130"/>
      <x:c r="F36" s="130"/>
      <x:c r="G36" s="130"/>
      <x:c r="H36" s="228"/>
      <x:c r="I36" s="130"/>
      <x:c r="J36" s="130"/>
      <x:c r="K36" s="130"/>
      <x:c r="L36" s="130"/>
      <x:c r="M36" s="130"/>
      <x:c r="N36" s="130"/>
      <x:c r="O36" s="130"/>
      <x:c r="P36" s="130"/>
    </x:row>
    <x:row r="37">
      <x:c r="A37" s="54"/>
      <x:c r="B37" s="54"/>
      <x:c r="C37" s="121"/>
      <x:c r="D37" s="130"/>
      <x:c r="E37" s="130"/>
      <x:c r="F37" s="130"/>
      <x:c r="G37" s="130"/>
      <x:c r="H37" s="228"/>
      <x:c r="I37" s="130"/>
      <x:c r="J37" s="130"/>
      <x:c r="K37" s="130"/>
      <x:c r="L37" s="130"/>
      <x:c r="M37" s="130"/>
      <x:c r="N37" s="130"/>
      <x:c r="O37" s="130"/>
      <x:c r="P37" s="130"/>
    </x:row>
    <x:row r="38">
      <x:c r="A38" s="54"/>
      <x:c r="B38" s="54"/>
      <x:c r="C38" s="121"/>
      <x:c r="D38" s="130"/>
      <x:c r="E38" s="130"/>
      <x:c r="F38" s="130"/>
      <x:c r="G38" s="130"/>
      <x:c r="H38" s="228"/>
      <x:c r="I38" s="130"/>
      <x:c r="J38" s="130"/>
      <x:c r="K38" s="130"/>
      <x:c r="L38" s="130"/>
      <x:c r="M38" s="130"/>
      <x:c r="N38" s="130"/>
      <x:c r="O38" s="130"/>
      <x:c r="P38" s="130"/>
    </x:row>
  </x:sheetData>
  <x:mergeCells>
    <x:mergeCell ref="D34:P34"/>
    <x:mergeCell ref="D35:P35"/>
  </x:mergeCells>
  <x:conditionalFormatting sqref="D33:P33">
    <x:cfRule type="cellIs" dxfId="13" priority="1" operator="greaterThan">
      <x:formula>0.1</x:formula>
    </x:cfRule>
    <x:cfRule type="cellIs" dxfId="14" priority="2" operator="lessThan">
      <x:formula>-0.1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34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</x:cols>
  <x:sheetData>
    <x:row r="1">
      <x:c r="A1" s="54"/>
      <x:c r="B1" s="54"/>
      <x:c r="C1" s="121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</x:row>
    <x:row r="2" ht="22" customHeight="1">
      <x:c r="A2" s="54"/>
      <x:c r="B2" s="54"/>
      <x:c r="C2" s="122" t="str">
        <x:v>Pfizer Limited balance sheet</x:v>
      </x:c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</x:row>
    <x:row r="3">
      <x:c r="A3" s="54"/>
      <x:c r="B3" s="54"/>
      <x:c r="C3" s="123" t="str">
        <x:v>INR million. FY23-FY26 audited actuals; FY27-FY35 analyst estimates. Forecast balance sheet is formula-driven and fully reconciled.</x:v>
      </x:c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</x:row>
    <x:row r="4">
      <x:c r="A4" s="54"/>
      <x:c r="B4" s="54"/>
      <x:c r="C4" s="121"/>
      <x:c r="D4" s="130"/>
      <x:c r="E4" s="130"/>
      <x:c r="F4" s="130"/>
      <x:c r="G4" s="130"/>
      <x:c r="H4" s="130"/>
      <x:c r="I4" s="130"/>
      <x:c r="J4" s="130"/>
      <x:c r="K4" s="130"/>
      <x:c r="L4" s="130"/>
      <x:c r="M4" s="130"/>
      <x:c r="N4" s="130"/>
      <x:c r="O4" s="130"/>
      <x:c r="P4" s="130"/>
    </x:row>
    <x:row r="5">
      <x:c r="A5" s="54"/>
      <x:c r="B5" s="54"/>
      <x:c r="C5" s="121" t="str">
        <x:v>Legend</x:v>
      </x:c>
      <x:c r="D5" s="133" t="str">
        <x:v>Reported hardcode</x:v>
      </x:c>
      <x:c r="E5" s="134" t="str">
        <x:v>Formula</x:v>
      </x:c>
      <x:c r="F5" s="135" t="str">
        <x:v>Cross-sheet link</x:v>
      </x:c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</x:row>
    <x:row r="6">
      <x:c r="A6" s="54"/>
      <x:c r="B6" s="54"/>
      <x:c r="C6" s="121"/>
      <x:c r="D6" s="130"/>
      <x:c r="E6" s="130"/>
      <x:c r="F6" s="130"/>
      <x:c r="G6" s="130"/>
      <x:c r="H6" s="130"/>
      <x:c r="I6" s="130"/>
      <x:c r="J6" s="130"/>
      <x:c r="K6" s="130"/>
      <x:c r="L6" s="130"/>
      <x:c r="M6" s="130"/>
      <x:c r="N6" s="130"/>
      <x:c r="O6" s="130"/>
      <x:c r="P6" s="130"/>
    </x:row>
    <x:row r="7" ht="18" customHeight="1">
      <x:c r="A7" s="54"/>
      <x:c r="B7" s="54"/>
      <x:c r="C7" s="207" t="str">
        <x:v>balance sheet</x:v>
      </x:c>
      <x:c r="D7" s="210"/>
      <x:c r="E7" s="210"/>
      <x:c r="F7" s="210"/>
      <x:c r="G7" s="210"/>
      <x:c r="H7" s="210"/>
      <x:c r="I7" s="210"/>
      <x:c r="J7" s="210"/>
      <x:c r="K7" s="210"/>
      <x:c r="L7" s="210"/>
      <x:c r="M7" s="210"/>
      <x:c r="N7" s="210"/>
      <x:c r="O7" s="210"/>
      <x:c r="P7" s="211"/>
    </x:row>
    <x:row r="8" ht="23" customHeight="1">
      <x:c r="A8" s="54"/>
      <x:c r="B8" s="54"/>
      <x:c r="C8" s="209" t="str">
        <x:v>INR million unless stated</x:v>
      </x:c>
      <x:c r="D8" s="225" t="str">
        <x:v>FY23A</x:v>
      </x:c>
      <x:c r="E8" s="225" t="str">
        <x:v>FY24A</x:v>
      </x:c>
      <x:c r="F8" s="225" t="str">
        <x:v>FY25A</x:v>
      </x:c>
      <x:c r="G8" s="225" t="str">
        <x:v>FY26A</x:v>
      </x:c>
      <x:c r="H8" s="226" t="str">
        <x:v>FY27E</x:v>
      </x:c>
      <x:c r="I8" s="224" t="str">
        <x:v>FY28E</x:v>
      </x:c>
      <x:c r="J8" s="224" t="str">
        <x:v>FY29E</x:v>
      </x:c>
      <x:c r="K8" s="224" t="str">
        <x:v>FY30E</x:v>
      </x:c>
      <x:c r="L8" s="224" t="str">
        <x:v>FY31E</x:v>
      </x:c>
      <x:c r="M8" s="224" t="str">
        <x:v>FY32E</x:v>
      </x:c>
      <x:c r="N8" s="224" t="str">
        <x:v>FY33E</x:v>
      </x:c>
      <x:c r="O8" s="224" t="str">
        <x:v>FY34E</x:v>
      </x:c>
      <x:c r="P8" s="224" t="str">
        <x:v>FY35E</x:v>
      </x:c>
    </x:row>
    <x:row r="9">
      <x:c r="A9" s="54"/>
      <x:c r="B9" s="54"/>
      <x:c r="C9" s="121" t="str">
        <x:v>Net fixed assets</x:v>
      </x:c>
      <x:c r="D9" s="142" t="n">
        <x:f>'Schedules'!D64</x:f>
        <x:v>2296.9</x:v>
      </x:c>
      <x:c r="E9" s="142" t="n">
        <x:f>'Schedules'!E64</x:f>
        <x:v>1856.2</x:v>
      </x:c>
      <x:c r="F9" s="142" t="n">
        <x:f>'Schedules'!F64</x:f>
        <x:v>2037.7</x:v>
      </x:c>
      <x:c r="G9" s="142" t="n">
        <x:f>'Schedules'!G64</x:f>
        <x:v>1704.8</x:v>
      </x:c>
      <x:c r="H9" s="216" t="n">
        <x:f>'Schedules'!H64</x:f>
        <x:v>1678.7621364265742</x:v>
      </x:c>
      <x:c r="I9" s="142" t="n">
        <x:f>'Schedules'!I64</x:f>
        <x:v>1678.7621364265742</x:v>
      </x:c>
      <x:c r="J9" s="142" t="n">
        <x:f>'Schedules'!J64</x:f>
        <x:v>1693.9453311596462</x:v>
      </x:c>
      <x:c r="K9" s="142" t="n">
        <x:f>'Schedules'!K64</x:f>
        <x:v>1727.7869160761156</x:v>
      </x:c>
      <x:c r="L9" s="142" t="n">
        <x:f>'Schedules'!L64</x:f>
        <x:v>1781.7610594943508</x:v>
      </x:c>
      <x:c r="M9" s="142" t="n">
        <x:f>'Schedules'!M64</x:f>
        <x:v>1858.3053632981023</x:v>
      </x:c>
      <x:c r="N9" s="142" t="n">
        <x:f>'Schedules'!N64</x:f>
        <x:v>1919.3426777642749</x:v>
      </x:c>
      <x:c r="O9" s="142" t="n">
        <x:f>'Schedules'!O64</x:f>
        <x:v>2005.8752626598855</x:v>
      </x:c>
      <x:c r="P9" s="142" t="n">
        <x:f>'Schedules'!P64</x:f>
        <x:v>2098.087828035352</x:v>
      </x:c>
    </x:row>
    <x:row r="10">
      <x:c r="A10" s="54"/>
      <x:c r="B10" s="54"/>
      <x:c r="C10" s="121" t="str">
        <x:v>Goodwill</x:v>
      </x:c>
      <x:c r="D10" s="142" t="n">
        <x:f>'Schedules'!D34</x:f>
        <x:v>5274.9</x:v>
      </x:c>
      <x:c r="E10" s="142" t="n">
        <x:f>'Schedules'!E34</x:f>
        <x:v>5274.9</x:v>
      </x:c>
      <x:c r="F10" s="142" t="n">
        <x:f>'Schedules'!F34</x:f>
        <x:v>5274.9</x:v>
      </x:c>
      <x:c r="G10" s="142" t="n">
        <x:f>'Schedules'!G34</x:f>
        <x:v>5274.9</x:v>
      </x:c>
      <x:c r="H10" s="216" t="n">
        <x:f>'Schedules'!H34</x:f>
        <x:v>5274.9</x:v>
      </x:c>
      <x:c r="I10" s="142" t="n">
        <x:f>'Schedules'!I34</x:f>
        <x:v>5274.9</x:v>
      </x:c>
      <x:c r="J10" s="142" t="n">
        <x:f>'Schedules'!J34</x:f>
        <x:v>5274.9</x:v>
      </x:c>
      <x:c r="K10" s="142" t="n">
        <x:f>'Schedules'!K34</x:f>
        <x:v>5274.9</x:v>
      </x:c>
      <x:c r="L10" s="142" t="n">
        <x:f>'Schedules'!L34</x:f>
        <x:v>5274.9</x:v>
      </x:c>
      <x:c r="M10" s="142" t="n">
        <x:f>'Schedules'!M34</x:f>
        <x:v>5274.9</x:v>
      </x:c>
      <x:c r="N10" s="142" t="n">
        <x:f>'Schedules'!N34</x:f>
        <x:v>5274.9</x:v>
      </x:c>
      <x:c r="O10" s="142" t="n">
        <x:f>'Schedules'!O34</x:f>
        <x:v>5274.9</x:v>
      </x:c>
      <x:c r="P10" s="142" t="n">
        <x:f>'Schedules'!P34</x:f>
        <x:v>5274.9</x:v>
      </x:c>
    </x:row>
    <x:row r="11">
      <x:c r="A11" s="54"/>
      <x:c r="B11" s="54"/>
      <x:c r="C11" s="121" t="str">
        <x:v>Tax assets</x:v>
      </x:c>
      <x:c r="D11" s="142" t="n">
        <x:f>'Schedules'!D75</x:f>
        <x:v>5225.3</x:v>
      </x:c>
      <x:c r="E11" s="142" t="n">
        <x:f>'Schedules'!E75</x:f>
        <x:v>5181.8</x:v>
      </x:c>
      <x:c r="F11" s="142" t="n">
        <x:f>'Schedules'!F75</x:f>
        <x:v>4865.9</x:v>
      </x:c>
      <x:c r="G11" s="142" t="n">
        <x:f>'Schedules'!G75</x:f>
        <x:v>2386.4</x:v>
      </x:c>
      <x:c r="H11" s="216" t="n">
        <x:f>'Schedules'!H75</x:f>
        <x:v>2802.018801535418</x:v>
      </x:c>
      <x:c r="I11" s="142" t="n">
        <x:f>'Schedules'!I75</x:f>
        <x:v>2753.4989422258586</x:v>
      </x:c>
      <x:c r="J11" s="142" t="n">
        <x:f>'Schedules'!J75</x:f>
        <x:v>3087.6112012383505</x:v>
      </x:c>
      <x:c r="K11" s="142" t="n">
        <x:f>'Schedules'!K75</x:f>
        <x:v>3485.2109035653043</x:v>
      </x:c>
      <x:c r="L11" s="142" t="n">
        <x:f>'Schedules'!L75</x:f>
        <x:v>3775.6931792214955</x:v>
      </x:c>
      <x:c r="M11" s="142" t="n">
        <x:f>'Schedules'!M75</x:f>
        <x:v>4079.153398899851</x:v>
      </x:c>
      <x:c r="N11" s="142" t="n">
        <x:f>'Schedules'!N75</x:f>
        <x:v>4399.325674526255</x:v>
      </x:c>
      <x:c r="O11" s="142" t="n">
        <x:f>'Schedules'!O75</x:f>
        <x:v>4756.410185780553</x:v>
      </x:c>
      <x:c r="P11" s="142" t="n">
        <x:f>'Schedules'!P75</x:f>
        <x:v>5112.961013726699</x:v>
      </x:c>
    </x:row>
    <x:row r="12">
      <x:c r="A12" s="54"/>
      <x:c r="B12" s="54"/>
      <x:c r="C12" s="121" t="str">
        <x:v>Inventories</x:v>
      </x:c>
      <x:c r="D12" s="142" t="n">
        <x:f>'Schedules'!D72</x:f>
        <x:v>4177</x:v>
      </x:c>
      <x:c r="E12" s="142" t="n">
        <x:f>'Schedules'!E72</x:f>
        <x:v>4336.9</x:v>
      </x:c>
      <x:c r="F12" s="142" t="n">
        <x:f>'Schedules'!F72</x:f>
        <x:v>4759.2</x:v>
      </x:c>
      <x:c r="G12" s="142" t="n">
        <x:f>'Schedules'!G72</x:f>
        <x:v>4726.6</x:v>
      </x:c>
      <x:c r="H12" s="216" t="n">
        <x:f>'Schedules'!H72</x:f>
        <x:v>5007.830199601323</x:v>
      </x:c>
      <x:c r="I12" s="142" t="n">
        <x:f>'Schedules'!I72</x:f>
        <x:v>5137.1231430188545</x:v>
      </x:c>
      <x:c r="J12" s="142" t="n">
        <x:f>'Schedules'!J72</x:f>
        <x:v>5564.120897248492</x:v>
      </x:c>
      <x:c r="K12" s="142" t="n">
        <x:f>'Schedules'!K72</x:f>
        <x:v>6100.756952064903</x:v>
      </x:c>
      <x:c r="L12" s="142" t="n">
        <x:f>'Schedules'!L72</x:f>
        <x:v>6415.381474128012</x:v>
      </x:c>
      <x:c r="M12" s="142" t="n">
        <x:f>'Schedules'!M72</x:f>
        <x:v>6767.565008358545</x:v>
      </x:c>
      <x:c r="N12" s="142" t="n">
        <x:f>'Schedules'!N72</x:f>
        <x:v>7136.0703177711175</x:v>
      </x:c>
      <x:c r="O12" s="142" t="n">
        <x:f>'Schedules'!O72</x:f>
        <x:v>7565.674288989518</x:v>
      </x:c>
      <x:c r="P12" s="142" t="n">
        <x:f>'Schedules'!P72</x:f>
        <x:v>8062.283541217988</x:v>
      </x:c>
    </x:row>
    <x:row r="13">
      <x:c r="A13" s="54"/>
      <x:c r="B13" s="54"/>
      <x:c r="C13" s="121" t="str">
        <x:v>Trade receivables</x:v>
      </x:c>
      <x:c r="D13" s="142" t="n">
        <x:f>'Schedules'!D73</x:f>
        <x:v>1517.3</x:v>
      </x:c>
      <x:c r="E13" s="142" t="n">
        <x:f>'Schedules'!E73</x:f>
        <x:v>1876.1</x:v>
      </x:c>
      <x:c r="F13" s="142" t="n">
        <x:f>'Schedules'!F73</x:f>
        <x:v>1930.9</x:v>
      </x:c>
      <x:c r="G13" s="142" t="n">
        <x:f>'Schedules'!G73</x:f>
        <x:v>1818</x:v>
      </x:c>
      <x:c r="H13" s="216" t="n">
        <x:f>'Schedules'!H73</x:f>
        <x:v>1926.0885383082011</x:v>
      </x:c>
      <x:c r="I13" s="142" t="n">
        <x:f>'Schedules'!I73</x:f>
        <x:v>2034.9519492592292</x:v>
      </x:c>
      <x:c r="J13" s="142" t="n">
        <x:f>'Schedules'!J73</x:f>
        <x:v>2204.683070829621</x:v>
      </x:c>
      <x:c r="K13" s="142" t="n">
        <x:f>'Schedules'!K73</x:f>
        <x:v>2410.6334461046736</x:v>
      </x:c>
      <x:c r="L13" s="142" t="n">
        <x:f>'Schedules'!L73</x:f>
        <x:v>2563.1556691764754</x:v>
      </x:c>
      <x:c r="M13" s="142" t="n">
        <x:f>'Schedules'!M73</x:f>
        <x:v>2673.807872596804</x:v>
      </x:c>
      <x:c r="N13" s="142" t="n">
        <x:f>'Schedules'!N73</x:f>
        <x:v>2842.8338244518595</x:v>
      </x:c>
      <x:c r="O13" s="142" t="n">
        <x:f>'Schedules'!O73</x:f>
        <x:v>2963.4446882058437</x:v>
      </x:c>
      <x:c r="P13" s="142" t="n">
        <x:f>'Schedules'!P73</x:f>
        <x:v>3157.9645676529526</x:v>
      </x:c>
    </x:row>
    <x:row r="14">
      <x:c r="A14" s="54"/>
      <x:c r="B14" s="54"/>
      <x:c r="C14" s="121" t="str">
        <x:v>Cash and cash equivalents</x:v>
      </x:c>
      <x:c r="D14" s="142" t="n">
        <x:f>'Schedules'!D83</x:f>
        <x:v>366</x:v>
      </x:c>
      <x:c r="E14" s="142" t="n">
        <x:f>'Schedules'!E83</x:f>
        <x:v>1120</x:v>
      </x:c>
      <x:c r="F14" s="142" t="n">
        <x:f>'Schedules'!F83</x:f>
        <x:v>4950.7</x:v>
      </x:c>
      <x:c r="G14" s="142" t="n">
        <x:f>'Schedules'!G83</x:f>
        <x:v>1026.6</x:v>
      </x:c>
      <x:c r="H14" s="216" t="n">
        <x:f>'Schedules'!H83</x:f>
        <x:v>520.7572714685136</x:v>
      </x:c>
      <x:c r="I14" s="142" t="n">
        <x:f>'Schedules'!I83</x:f>
        <x:v>550.190712207125</x:v>
      </x:c>
      <x:c r="J14" s="142" t="n">
        <x:f>'Schedules'!J83</x:f>
        <x:v>607.3277893228767</x:v>
      </x:c>
      <x:c r="K14" s="142" t="n">
        <x:f>'Schedules'!K83</x:f>
        <x:v>676.831698329389</x:v>
      </x:c>
      <x:c r="L14" s="142" t="n">
        <x:f>'Schedules'!L83</x:f>
        <x:v>719.655245576472</x:v>
      </x:c>
      <x:c r="M14" s="142" t="n">
        <x:f>'Schedules'!M83</x:f>
        <x:v>765.4430380375164</x:v>
      </x:c>
      <x:c r="N14" s="142" t="n">
        <x:f>'Schedules'!N83</x:f>
        <x:v>813.8308595489636</x:v>
      </x:c>
      <x:c r="O14" s="142" t="n">
        <x:f>'Schedules'!O83</x:f>
        <x:v>865.3258489561064</x:v>
      </x:c>
      <x:c r="P14" s="142" t="n">
        <x:f>'Schedules'!P83</x:f>
        <x:v>922.1256537546623</x:v>
      </x:c>
    </x:row>
    <x:row r="15">
      <x:c r="A15" s="54"/>
      <x:c r="B15" s="54"/>
      <x:c r="C15" s="121" t="str">
        <x:v>Term deposits and other bank balances</x:v>
      </x:c>
      <x:c r="D15" s="142" t="n">
        <x:f>'Schedules'!D84</x:f>
        <x:v>18229.2</x:v>
      </x:c>
      <x:c r="E15" s="142" t="n">
        <x:f>'Schedules'!E84</x:f>
        <x:v>19347.1</x:v>
      </x:c>
      <x:c r="F15" s="142" t="n">
        <x:f>'Schedules'!F84</x:f>
        <x:v>23059.1</x:v>
      </x:c>
      <x:c r="G15" s="142" t="n">
        <x:f>'Schedules'!G84</x:f>
        <x:v>30081</x:v>
      </x:c>
      <x:c r="H15" s="216" t="n">
        <x:f>'Schedules'!H84</x:f>
        <x:v>35727.660870088395</x:v>
      </x:c>
      <x:c r="I15" s="142" t="n">
        <x:f>'Schedules'!I84</x:f>
        <x:v>39833.207058361666</x:v>
      </x:c>
      <x:c r="J15" s="142" t="n">
        <x:f>'Schedules'!J84</x:f>
        <x:v>44891.76962952214</x:v>
      </x:c>
      <x:c r="K15" s="142" t="n">
        <x:f>'Schedules'!K84</x:f>
        <x:v>50616.82522770155</x:v>
      </x:c>
      <x:c r="L15" s="142" t="n">
        <x:f>'Schedules'!L84</x:f>
        <x:v>56799.908615789216</x:v>
      </x:c>
      <x:c r="M15" s="142" t="n">
        <x:f>'Schedules'!M84</x:f>
        <x:v>63539.761628358756</x:v>
      </x:c>
      <x:c r="N15" s="142" t="n">
        <x:f>'Schedules'!N84</x:f>
        <x:v>70741.96902109834</x:v>
      </x:c>
      <x:c r="O15" s="142" t="n">
        <x:f>'Schedules'!O84</x:f>
        <x:v>78599.16149140976</x:v>
      </x:c>
      <x:c r="P15" s="142" t="n">
        <x:f>'Schedules'!P84</x:f>
        <x:v>86873.97505772098</x:v>
      </x:c>
    </x:row>
    <x:row r="16">
      <x:c r="A16" s="54"/>
      <x:c r="B16" s="54"/>
      <x:c r="C16" s="121" t="str">
        <x:v>Other assets</x:v>
      </x:c>
      <x:c r="D16" s="142" t="n">
        <x:f>'Schedules'!D74</x:f>
        <x:v>2920.7</x:v>
      </x:c>
      <x:c r="E16" s="142" t="n">
        <x:f>'Schedules'!E74</x:f>
        <x:v>3294.8</x:v>
      </x:c>
      <x:c r="F16" s="142" t="n">
        <x:f>'Schedules'!F74</x:f>
        <x:v>2232.7</x:v>
      </x:c>
      <x:c r="G16" s="142" t="n">
        <x:f>'Schedules'!G74</x:f>
        <x:v>2200.5</x:v>
      </x:c>
      <x:c r="H16" s="216" t="n">
        <x:f>'Schedules'!H74</x:f>
        <x:v>2213.218403741183</x:v>
      </x:c>
      <x:c r="I16" s="142" t="n">
        <x:f>'Schedules'!I74</x:f>
        <x:v>2310.800991269925</x:v>
      </x:c>
      <x:c r="J16" s="142" t="n">
        <x:f>'Schedules'!J74</x:f>
        <x:v>2520.4103256899384</x:v>
      </x:c>
      <x:c r="K16" s="142" t="n">
        <x:f>'Schedules'!K74</x:f>
        <x:v>2775.009963150495</x:v>
      </x:c>
      <x:c r="L16" s="142" t="n">
        <x:f>'Schedules'!L74</x:f>
        <x:v>2950.586506863535</x:v>
      </x:c>
      <x:c r="M16" s="142" t="n">
        <x:f>'Schedules'!M74</x:f>
        <x:v>3100.0443040519413</x:v>
      </x:c>
      <x:c r="N16" s="142" t="n">
        <x:f>'Schedules'!N74</x:f>
        <x:v>3296.0149811733027</x:v>
      </x:c>
      <x:c r="O16" s="142" t="n">
        <x:f>'Schedules'!O74</x:f>
        <x:v>3461.3033958244255</x:v>
      </x:c>
      <x:c r="P16" s="142" t="n">
        <x:f>'Schedules'!P74</x:f>
        <x:v>3688.502615018649</x:v>
      </x:c>
    </x:row>
    <x:row r="17">
      <x:c r="A17" s="54"/>
      <x:c r="B17" s="54"/>
      <x:c r="C17" s="128" t="str">
        <x:v>Total assets</x:v>
      </x:c>
      <x:c r="D17" s="164" t="n">
        <x:f>'Schedules'!D89</x:f>
        <x:v>40007.299999999996</x:v>
      </x:c>
      <x:c r="E17" s="164" t="n">
        <x:f>'Schedules'!E89</x:f>
        <x:v>42287.8</x:v>
      </x:c>
      <x:c r="F17" s="164" t="n">
        <x:f>'Schedules'!F89</x:f>
        <x:v>49111.1</x:v>
      </x:c>
      <x:c r="G17" s="164" t="n">
        <x:f>'Schedules'!G89</x:f>
        <x:v>49218.8</x:v>
      </x:c>
      <x:c r="H17" s="221" t="n">
        <x:f>'Schedules'!H89</x:f>
        <x:v>55151.23622116961</x:v>
      </x:c>
      <x:c r="I17" s="164" t="n">
        <x:f>'Schedules'!I89</x:f>
        <x:v>59573.43493276923</x:v>
      </x:c>
      <x:c r="J17" s="164" t="n">
        <x:f>'Schedules'!J89</x:f>
        <x:v>65844.76824501106</x:v>
      </x:c>
      <x:c r="K17" s="164" t="n">
        <x:f>'Schedules'!K89</x:f>
        <x:v>73067.95510699243</x:v>
      </x:c>
      <x:c r="L17" s="164" t="n">
        <x:f>'Schedules'!L89</x:f>
        <x:v>80281.04175024955</x:v>
      </x:c>
      <x:c r="M17" s="164" t="n">
        <x:f>'Schedules'!M89</x:f>
        <x:v>88058.98061360152</x:v>
      </x:c>
      <x:c r="N17" s="164" t="n">
        <x:f>'Schedules'!N89</x:f>
        <x:v>96424.28735633411</x:v>
      </x:c>
      <x:c r="O17" s="164" t="n">
        <x:f>'Schedules'!O89</x:f>
        <x:v>105492.09516182609</x:v>
      </x:c>
      <x:c r="P17" s="164" t="n">
        <x:f>'Schedules'!P89</x:f>
        <x:v>115190.80027712727</x:v>
      </x:c>
    </x:row>
    <x:row r="18">
      <x:c r="A18" s="54"/>
      <x:c r="B18" s="54"/>
      <x:c r="C18" s="121"/>
      <x:c r="D18" s="160"/>
      <x:c r="E18" s="160"/>
      <x:c r="F18" s="160"/>
      <x:c r="G18" s="160"/>
      <x:c r="H18" s="219"/>
      <x:c r="I18" s="160"/>
      <x:c r="J18" s="160"/>
      <x:c r="K18" s="160"/>
      <x:c r="L18" s="160"/>
      <x:c r="M18" s="160"/>
      <x:c r="N18" s="160"/>
      <x:c r="O18" s="160"/>
      <x:c r="P18" s="160"/>
    </x:row>
    <x:row r="19">
      <x:c r="A19" s="54"/>
      <x:c r="B19" s="54"/>
      <x:c r="C19" s="121" t="str">
        <x:v>Equity share capital</x:v>
      </x:c>
      <x:c r="D19" s="142" t="n">
        <x:f>'Schedules'!D36</x:f>
        <x:v>457.5</x:v>
      </x:c>
      <x:c r="E19" s="142" t="n">
        <x:f>'Schedules'!E36</x:f>
        <x:v>457.5</x:v>
      </x:c>
      <x:c r="F19" s="142" t="n">
        <x:f>'Schedules'!F36</x:f>
        <x:v>457.5</x:v>
      </x:c>
      <x:c r="G19" s="142" t="n">
        <x:f>'Schedules'!G36</x:f>
        <x:v>457.5</x:v>
      </x:c>
      <x:c r="H19" s="216" t="n">
        <x:f>'Schedules'!H36</x:f>
        <x:v>457.5</x:v>
      </x:c>
      <x:c r="I19" s="142" t="n">
        <x:f>'Schedules'!I36</x:f>
        <x:v>457.5</x:v>
      </x:c>
      <x:c r="J19" s="142" t="n">
        <x:f>'Schedules'!J36</x:f>
        <x:v>457.5</x:v>
      </x:c>
      <x:c r="K19" s="142" t="n">
        <x:f>'Schedules'!K36</x:f>
        <x:v>457.5</x:v>
      </x:c>
      <x:c r="L19" s="142" t="n">
        <x:f>'Schedules'!L36</x:f>
        <x:v>457.5</x:v>
      </x:c>
      <x:c r="M19" s="142" t="n">
        <x:f>'Schedules'!M36</x:f>
        <x:v>457.5</x:v>
      </x:c>
      <x:c r="N19" s="142" t="n">
        <x:f>'Schedules'!N36</x:f>
        <x:v>457.5</x:v>
      </x:c>
      <x:c r="O19" s="142" t="n">
        <x:f>'Schedules'!O36</x:f>
        <x:v>457.5</x:v>
      </x:c>
      <x:c r="P19" s="142" t="n">
        <x:f>'Schedules'!P36</x:f>
        <x:v>457.5</x:v>
      </x:c>
    </x:row>
    <x:row r="20">
      <x:c r="A20" s="54"/>
      <x:c r="B20" s="54"/>
      <x:c r="C20" s="121" t="str">
        <x:v>Other equity</x:v>
      </x:c>
      <x:c r="D20" s="142" t="n">
        <x:f>'Schedules'!D86</x:f>
        <x:v>31615.5</x:v>
      </x:c>
      <x:c r="E20" s="142" t="n">
        <x:f>'Schedules'!E86</x:f>
        <x:v>35497.9</x:v>
      </x:c>
      <x:c r="F20" s="142" t="n">
        <x:f>'Schedules'!F86</x:f>
        <x:v>41716.6</x:v>
      </x:c>
      <x:c r="G20" s="142" t="n">
        <x:f>'Schedules'!G86</x:f>
        <x:v>41571.5</x:v>
      </x:c>
      <x:c r="H20" s="216" t="n">
        <x:f>'Schedules'!H86</x:f>
        <x:v>47236.10012677075</x:v>
      </x:c>
      <x:c r="I20" s="142" t="n">
        <x:f>'Schedules'!I86</x:f>
        <x:v>51626.5345859704</x:v>
      </x:c>
      <x:c r="J20" s="142" t="n">
        <x:f>'Schedules'!J86</x:f>
        <x:v>57180.31231557144</x:v>
      </x:c>
      <x:c r="K20" s="142" t="n">
        <x:f>'Schedules'!K86</x:f>
        <x:v>63482.4776780763</x:v>
      </x:c>
      <x:c r="L20" s="142" t="n">
        <x:f>'Schedules'!L86</x:f>
        <x:v>70082.26136845512</x:v>
      </x:c>
      <x:c r="M20" s="142" t="n">
        <x:f>'Schedules'!M86</x:f>
        <x:v>77195.65384305373</x:v>
      </x:c>
      <x:c r="N20" s="142" t="n">
        <x:f>'Schedules'!N86</x:f>
        <x:v>84855.84114776774</x:v>
      </x:c>
      <x:c r="O20" s="142" t="n">
        <x:f>'Schedules'!O86</x:f>
        <x:v>93155.52208304217</x:v>
      </x:c>
      <x:c r="P20" s="142" t="n">
        <x:f>'Schedules'!P86</x:f>
        <x:v>102033.05219643275</x:v>
      </x:c>
    </x:row>
    <x:row r="21">
      <x:c r="A21" s="54"/>
      <x:c r="B21" s="54"/>
      <x:c r="C21" s="127" t="str">
        <x:v>Total equity</x:v>
      </x:c>
      <x:c r="D21" s="162" t="n">
        <x:f>'Schedules'!D87</x:f>
        <x:v>32073</x:v>
      </x:c>
      <x:c r="E21" s="162" t="n">
        <x:f>'Schedules'!E87</x:f>
        <x:v>35955.4</x:v>
      </x:c>
      <x:c r="F21" s="162" t="n">
        <x:f>'Schedules'!F87</x:f>
        <x:v>42174.1</x:v>
      </x:c>
      <x:c r="G21" s="162" t="n">
        <x:f>'Schedules'!G87</x:f>
        <x:v>42029</x:v>
      </x:c>
      <x:c r="H21" s="220" t="n">
        <x:f>'Schedules'!H87</x:f>
        <x:v>47693.60012677075</x:v>
      </x:c>
      <x:c r="I21" s="162" t="n">
        <x:f>'Schedules'!I87</x:f>
        <x:v>52084.0345859704</x:v>
      </x:c>
      <x:c r="J21" s="162" t="n">
        <x:f>'Schedules'!J87</x:f>
        <x:v>57637.81231557144</x:v>
      </x:c>
      <x:c r="K21" s="162" t="n">
        <x:f>'Schedules'!K87</x:f>
        <x:v>63939.9776780763</x:v>
      </x:c>
      <x:c r="L21" s="162" t="n">
        <x:f>'Schedules'!L87</x:f>
        <x:v>70539.76136845512</x:v>
      </x:c>
      <x:c r="M21" s="162" t="n">
        <x:f>'Schedules'!M87</x:f>
        <x:v>77653.15384305373</x:v>
      </x:c>
      <x:c r="N21" s="162" t="n">
        <x:f>'Schedules'!N87</x:f>
        <x:v>85313.34114776774</x:v>
      </x:c>
      <x:c r="O21" s="162" t="n">
        <x:f>'Schedules'!O87</x:f>
        <x:v>93613.02208304217</x:v>
      </x:c>
      <x:c r="P21" s="162" t="n">
        <x:f>'Schedules'!P87</x:f>
        <x:v>102490.55219643275</x:v>
      </x:c>
    </x:row>
    <x:row r="22">
      <x:c r="A22" s="54"/>
      <x:c r="B22" s="54"/>
      <x:c r="C22" s="121" t="str">
        <x:v>Lease liabilities and borrowings</x:v>
      </x:c>
      <x:c r="D22" s="142" t="n">
        <x:f>'Schedules'!D68+'Schedules'!D35</x:f>
        <x:v>1344.7</x:v>
      </x:c>
      <x:c r="E22" s="142" t="n">
        <x:f>'Schedules'!E68+'Schedules'!E35</x:f>
        <x:v>945.4</x:v>
      </x:c>
      <x:c r="F22" s="142" t="n">
        <x:f>'Schedules'!F68+'Schedules'!F35</x:f>
        <x:v>1084</x:v>
      </x:c>
      <x:c r="G22" s="142" t="n">
        <x:f>'Schedules'!G68+'Schedules'!G35</x:f>
        <x:v>702.3</x:v>
      </x:c>
      <x:c r="H22" s="216" t="n">
        <x:f>'Schedules'!H68+'Schedules'!H35</x:f>
        <x:v>441.76359072027697</x:v>
      </x:c>
      <x:c r="I22" s="142" t="n">
        <x:f>'Schedules'!I68+'Schedules'!I35</x:f>
        <x:v>315.9104021912072</x:v>
      </x:c>
      <x:c r="J22" s="142" t="n">
        <x:f>'Schedules'!J68+'Schedules'!J35</x:f>
        <x:v>261.5543694940351</x:v>
      </x:c>
      <x:c r="K22" s="142" t="n">
        <x:f>'Schedules'!K68+'Schedules'!K35</x:f>
        <x:v>244.80193949642592</x:v>
      </x:c>
      <x:c r="L22" s="142" t="n">
        <x:f>'Schedules'!L68+'Schedules'!L35</x:f>
        <x:v>242.84925658468376</x:v>
      </x:c>
      <x:c r="M22" s="142" t="n">
        <x:f>'Schedules'!M68+'Schedules'!M35</x:f>
        <x:v>248.74108399796933</x:v>
      </x:c>
      <x:c r="N22" s="142" t="n">
        <x:f>'Schedules'!N68+'Schedules'!N35</x:f>
        <x:v>258.94517093132924</x:v>
      </x:c>
      <x:c r="O22" s="142" t="n">
        <x:f>'Schedules'!O68+'Schedules'!O35</x:f>
        <x:v>271.77146280908056</x:v>
      </x:c>
      <x:c r="P22" s="142" t="n">
        <x:f>'Schedules'!P68+'Schedules'!P35</x:f>
        <x:v>286.7045794677397</x:v>
      </x:c>
    </x:row>
    <x:row r="23">
      <x:c r="A23" s="54"/>
      <x:c r="B23" s="54"/>
      <x:c r="C23" s="121" t="str">
        <x:v>Trade payables</x:v>
      </x:c>
      <x:c r="D23" s="142" t="n">
        <x:f>'Schedules'!D76</x:f>
        <x:v>2170.6</x:v>
      </x:c>
      <x:c r="E23" s="142" t="n">
        <x:f>'Schedules'!E76</x:f>
        <x:v>1662.3</x:v>
      </x:c>
      <x:c r="F23" s="142" t="n">
        <x:f>'Schedules'!F76</x:f>
        <x:v>1516</x:v>
      </x:c>
      <x:c r="G23" s="142" t="n">
        <x:f>'Schedules'!G76</x:f>
        <x:v>2159.4</x:v>
      </x:c>
      <x:c r="H23" s="216" t="n">
        <x:f>'Schedules'!H76</x:f>
        <x:v>2182.9003434159613</x:v>
      </x:c>
      <x:c r="I23" s="142" t="n">
        <x:f>'Schedules'!I76</x:f>
        <x:v>2274.247224773972</x:v>
      </x:c>
      <x:c r="J23" s="142" t="n">
        <x:f>'Schedules'!J76</x:f>
        <x:v>2489.2119803480095</x:v>
      </x:c>
      <x:c r="K23" s="142" t="n">
        <x:f>'Schedules'!K76</x:f>
        <x:v>2758.3209623697703</x:v>
      </x:c>
      <x:c r="L23" s="142" t="n">
        <x:f>'Schedules'!L76</x:f>
        <x:v>2916.0824882400057</x:v>
      </x:c>
      <x:c r="M23" s="142" t="n">
        <x:f>'Schedules'!M76</x:f>
        <x:v>3092.7044393036363</x:v>
      </x:c>
      <x:c r="N23" s="142" t="n">
        <x:f>'Schedules'!N76</x:f>
        <x:v>3278.7350108678106</x:v>
      </x:c>
      <x:c r="O23" s="142" t="n">
        <x:f>'Schedules'!O76</x:f>
        <x:v>3476.1206192654545</x:v>
      </x:c>
      <x:c r="P23" s="142" t="n">
        <x:f>'Schedules'!P76</x:f>
        <x:v>3704.2924378569137</x:v>
      </x:c>
    </x:row>
    <x:row r="24">
      <x:c r="A24" s="54"/>
      <x:c r="B24" s="54"/>
      <x:c r="C24" s="121" t="str">
        <x:v>Tax liabilities</x:v>
      </x:c>
      <x:c r="D24" s="142" t="n">
        <x:f>'Schedules'!D79</x:f>
        <x:v>1607.8</x:v>
      </x:c>
      <x:c r="E24" s="142" t="n">
        <x:f>'Schedules'!E79</x:f>
        <x:v>1600.5</x:v>
      </x:c>
      <x:c r="F24" s="142" t="n">
        <x:f>'Schedules'!F79</x:f>
        <x:v>2209.6</x:v>
      </x:c>
      <x:c r="G24" s="142" t="n">
        <x:f>'Schedules'!G79</x:f>
        <x:v>2319.7</x:v>
      </x:c>
      <x:c r="H24" s="216" t="n">
        <x:f>'Schedules'!H79</x:f>
        <x:v>2802.018801535418</x:v>
      </x:c>
      <x:c r="I24" s="142" t="n">
        <x:f>'Schedules'!I79</x:f>
        <x:v>2753.4989422258586</x:v>
      </x:c>
      <x:c r="J24" s="142" t="n">
        <x:f>'Schedules'!J79</x:f>
        <x:v>3087.6112012383505</x:v>
      </x:c>
      <x:c r="K24" s="142" t="n">
        <x:f>'Schedules'!K79</x:f>
        <x:v>3485.2109035653043</x:v>
      </x:c>
      <x:c r="L24" s="142" t="n">
        <x:f>'Schedules'!L79</x:f>
        <x:v>3775.6931792214955</x:v>
      </x:c>
      <x:c r="M24" s="142" t="n">
        <x:f>'Schedules'!M79</x:f>
        <x:v>4079.153398899851</x:v>
      </x:c>
      <x:c r="N24" s="142" t="n">
        <x:f>'Schedules'!N79</x:f>
        <x:v>4399.325674526255</x:v>
      </x:c>
      <x:c r="O24" s="142" t="n">
        <x:f>'Schedules'!O79</x:f>
        <x:v>4756.410185780553</x:v>
      </x:c>
      <x:c r="P24" s="142" t="n">
        <x:f>'Schedules'!P79</x:f>
        <x:v>5112.961013726699</x:v>
      </x:c>
    </x:row>
    <x:row r="25">
      <x:c r="A25" s="54"/>
      <x:c r="B25" s="54"/>
      <x:c r="C25" s="121" t="str">
        <x:v>Provisions</x:v>
      </x:c>
      <x:c r="D25" s="142" t="n">
        <x:f>'Schedules'!D78</x:f>
        <x:v>1432.8</x:v>
      </x:c>
      <x:c r="E25" s="142" t="n">
        <x:f>'Schedules'!E78</x:f>
        <x:v>773.1</x:v>
      </x:c>
      <x:c r="F25" s="142" t="n">
        <x:f>'Schedules'!F78</x:f>
        <x:v>1079.1</x:v>
      </x:c>
      <x:c r="G25" s="142" t="n">
        <x:f>'Schedules'!G78</x:f>
        <x:v>783.6</x:v>
      </x:c>
      <x:c r="H25" s="216" t="n">
        <x:f>'Schedules'!H78</x:f>
        <x:v>781.1359072027705</x:v>
      </x:c>
      <x:c r="I25" s="142" t="n">
        <x:f>'Schedules'!I78</x:f>
        <x:v>825.2860683106874</x:v>
      </x:c>
      <x:c r="J25" s="142" t="n">
        <x:f>'Schedules'!J78</x:f>
        <x:v>910.991683984315</x:v>
      </x:c>
      <x:c r="K25" s="142" t="n">
        <x:f>'Schedules'!K78</x:f>
        <x:v>1015.2475474940835</x:v>
      </x:c>
      <x:c r="L25" s="142" t="n">
        <x:f>'Schedules'!L78</x:f>
        <x:v>1079.4828683647079</x:v>
      </x:c>
      <x:c r="M25" s="142" t="n">
        <x:f>'Schedules'!M78</x:f>
        <x:v>1148.1645570562746</x:v>
      </x:c>
      <x:c r="N25" s="142" t="n">
        <x:f>'Schedules'!N78</x:f>
        <x:v>1220.7462893234454</x:v>
      </x:c>
      <x:c r="O25" s="142" t="n">
        <x:f>'Schedules'!O78</x:f>
        <x:v>1297.9887734341594</x:v>
      </x:c>
      <x:c r="P25" s="142" t="n">
        <x:f>'Schedules'!P78</x:f>
        <x:v>1383.1884806319933</x:v>
      </x:c>
    </x:row>
    <x:row r="26">
      <x:c r="A26" s="54"/>
      <x:c r="B26" s="54"/>
      <x:c r="C26" s="121" t="str">
        <x:v>Other liabilities</x:v>
      </x:c>
      <x:c r="D26" s="142" t="n">
        <x:f>'Schedules'!D77</x:f>
        <x:v>1378.4</x:v>
      </x:c>
      <x:c r="E26" s="142" t="n">
        <x:f>'Schedules'!E77</x:f>
        <x:v>1351.1</x:v>
      </x:c>
      <x:c r="F26" s="142" t="n">
        <x:f>'Schedules'!F77</x:f>
        <x:v>1048.3</x:v>
      </x:c>
      <x:c r="G26" s="142" t="n">
        <x:f>'Schedules'!G77</x:f>
        <x:v>1224.8</x:v>
      </x:c>
      <x:c r="H26" s="216" t="n">
        <x:f>'Schedules'!H77</x:f>
        <x:v>1249.8174515244327</x:v>
      </x:c>
      <x:c r="I26" s="142" t="n">
        <x:f>'Schedules'!I77</x:f>
        <x:v>1320.4577092970999</x:v>
      </x:c>
      <x:c r="J26" s="142" t="n">
        <x:f>'Schedules'!J77</x:f>
        <x:v>1457.586694374904</x:v>
      </x:c>
      <x:c r="K26" s="142" t="n">
        <x:f>'Schedules'!K77</x:f>
        <x:v>1624.3960759905337</x:v>
      </x:c>
      <x:c r="L26" s="142" t="n">
        <x:f>'Schedules'!L77</x:f>
        <x:v>1727.1725893835326</x:v>
      </x:c>
      <x:c r="M26" s="142" t="n">
        <x:f>'Schedules'!M77</x:f>
        <x:v>1837.0632912900394</x:v>
      </x:c>
      <x:c r="N26" s="142" t="n">
        <x:f>'Schedules'!N77</x:f>
        <x:v>1953.1940629175128</x:v>
      </x:c>
      <x:c r="O26" s="142" t="n">
        <x:f>'Schedules'!O77</x:f>
        <x:v>2076.7820374946555</x:v>
      </x:c>
      <x:c r="P26" s="142" t="n">
        <x:f>'Schedules'!P77</x:f>
        <x:v>2213.1015690111894</x:v>
      </x:c>
    </x:row>
    <x:row r="27">
      <x:c r="A27" s="54"/>
      <x:c r="B27" s="54"/>
      <x:c r="C27" s="128" t="str">
        <x:v>Total liabilities and equity</x:v>
      </x:c>
      <x:c r="D27" s="164" t="n">
        <x:f>'Schedules'!D90</x:f>
        <x:v>40007.3</x:v>
      </x:c>
      <x:c r="E27" s="164" t="n">
        <x:f>'Schedules'!E90</x:f>
        <x:v>42287.8</x:v>
      </x:c>
      <x:c r="F27" s="164" t="n">
        <x:f>'Schedules'!F90</x:f>
        <x:v>49111.1</x:v>
      </x:c>
      <x:c r="G27" s="164" t="n">
        <x:f>'Schedules'!G90</x:f>
        <x:v>49218.8</x:v>
      </x:c>
      <x:c r="H27" s="221" t="n">
        <x:f>'Schedules'!H90</x:f>
        <x:v>55151.2362211696</x:v>
      </x:c>
      <x:c r="I27" s="164" t="n">
        <x:f>'Schedules'!I90</x:f>
        <x:v>59573.434932769225</x:v>
      </x:c>
      <x:c r="J27" s="164" t="n">
        <x:f>'Schedules'!J90</x:f>
        <x:v>65844.76824501106</x:v>
      </x:c>
      <x:c r="K27" s="164" t="n">
        <x:f>'Schedules'!K90</x:f>
        <x:v>73067.95510699242</x:v>
      </x:c>
      <x:c r="L27" s="164" t="n">
        <x:f>'Schedules'!L90</x:f>
        <x:v>80281.04175024954</x:v>
      </x:c>
      <x:c r="M27" s="164" t="n">
        <x:f>'Schedules'!M90</x:f>
        <x:v>88058.9806136015</x:v>
      </x:c>
      <x:c r="N27" s="164" t="n">
        <x:f>'Schedules'!N90</x:f>
        <x:v>96424.2873563341</x:v>
      </x:c>
      <x:c r="O27" s="164" t="n">
        <x:f>'Schedules'!O90</x:f>
        <x:v>105492.09516182607</x:v>
      </x:c>
      <x:c r="P27" s="164" t="n">
        <x:f>'Schedules'!P90</x:f>
        <x:v>115190.80027712729</x:v>
      </x:c>
    </x:row>
    <x:row r="28">
      <x:c r="A28" s="54"/>
      <x:c r="B28" s="54"/>
      <x:c r="C28" s="121"/>
      <x:c r="D28" s="160"/>
      <x:c r="E28" s="160"/>
      <x:c r="F28" s="160"/>
      <x:c r="G28" s="160"/>
      <x:c r="H28" s="219"/>
      <x:c r="I28" s="160"/>
      <x:c r="J28" s="160"/>
      <x:c r="K28" s="160"/>
      <x:c r="L28" s="160"/>
      <x:c r="M28" s="160"/>
      <x:c r="N28" s="160"/>
      <x:c r="O28" s="160"/>
      <x:c r="P28" s="160"/>
    </x:row>
    <x:row r="29">
      <x:c r="A29" s="54"/>
      <x:c r="B29" s="54"/>
      <x:c r="C29" s="121" t="str">
        <x:v>Balance sheet check</x:v>
      </x:c>
      <x:c r="D29" s="171" t="n">
        <x:f>'Schedules'!D91</x:f>
        <x:v>-7.275957614183426e-12</x:v>
      </x:c>
      <x:c r="E29" s="171" t="n">
        <x:f>'Schedules'!E91</x:f>
        <x:v>0</x:v>
      </x:c>
      <x:c r="F29" s="171" t="n">
        <x:f>'Schedules'!F91</x:f>
        <x:v>0</x:v>
      </x:c>
      <x:c r="G29" s="171" t="n">
        <x:f>'Schedules'!G91</x:f>
        <x:v>0</x:v>
      </x:c>
      <x:c r="H29" s="223" t="n">
        <x:f>'Schedules'!H91</x:f>
        <x:v>7.275957614183426e-12</x:v>
      </x:c>
      <x:c r="I29" s="171" t="n">
        <x:f>'Schedules'!I91</x:f>
        <x:v>7.275957614183426e-12</x:v>
      </x:c>
      <x:c r="J29" s="171" t="n">
        <x:f>'Schedules'!J91</x:f>
        <x:v>0</x:v>
      </x:c>
      <x:c r="K29" s="171" t="n">
        <x:f>'Schedules'!K91</x:f>
        <x:v>1.4551915228366852e-11</x:v>
      </x:c>
      <x:c r="L29" s="171" t="n">
        <x:f>'Schedules'!L91</x:f>
        <x:v>1.4551915228366852e-11</x:v>
      </x:c>
      <x:c r="M29" s="171" t="n">
        <x:f>'Schedules'!M91</x:f>
        <x:v>2.9103830456733704e-11</x:v>
      </x:c>
      <x:c r="N29" s="171" t="n">
        <x:f>'Schedules'!N91</x:f>
        <x:v>1.4551915228366852e-11</x:v>
      </x:c>
      <x:c r="O29" s="171" t="n">
        <x:f>'Schedules'!O91</x:f>
        <x:v>1.4551915228366852e-11</x:v>
      </x:c>
      <x:c r="P29" s="171" t="n">
        <x:f>'Schedules'!P91</x:f>
        <x:v>-1.4551915228366852e-11</x:v>
      </x:c>
    </x:row>
    <x:row r="30">
      <x:c r="A30" s="54"/>
      <x:c r="B30" s="54"/>
      <x:c r="C30" s="121" t="str">
        <x:v>Cash flow closing cash check</x:v>
      </x:c>
      <x:c r="D30" s="171" t="n">
        <x:f>'Schedules'!D92</x:f>
        <x:v>0</x:v>
      </x:c>
      <x:c r="E30" s="171" t="n">
        <x:f>'Schedules'!E92</x:f>
        <x:v>0</x:v>
      </x:c>
      <x:c r="F30" s="171" t="n">
        <x:f>'Schedules'!F92</x:f>
        <x:v>0</x:v>
      </x:c>
      <x:c r="G30" s="171" t="n">
        <x:f>'Schedules'!G92</x:f>
        <x:v>0</x:v>
      </x:c>
      <x:c r="H30" s="223" t="n">
        <x:f>'Schedules'!H92</x:f>
        <x:v>1.1368683772161603e-12</x:v>
      </x:c>
      <x:c r="I30" s="171" t="n">
        <x:f>'Schedules'!I92</x:f>
        <x:v>1.1368683772161603e-12</x:v>
      </x:c>
      <x:c r="J30" s="171" t="n">
        <x:f>'Schedules'!J92</x:f>
        <x:v>-6.821210263296962e-13</x:v>
      </x:c>
      <x:c r="K30" s="171" t="n">
        <x:f>'Schedules'!K92</x:f>
        <x:v>-1.1368683772161603e-13</x:v>
      </x:c>
      <x:c r="L30" s="171" t="n">
        <x:f>'Schedules'!L92</x:f>
        <x:v>-1.5916157281026244e-12</x:v>
      </x:c>
      <x:c r="M30" s="171" t="n">
        <x:f>'Schedules'!M92</x:f>
        <x:v>-1.2505552149377763e-12</x:v>
      </x:c>
      <x:c r="N30" s="171" t="n">
        <x:f>'Schedules'!N92</x:f>
        <x:v>-2.0463630789890885e-12</x:v>
      </x:c>
      <x:c r="O30" s="171" t="n">
        <x:f>'Schedules'!O92</x:f>
        <x:v>-5.684341886080801e-13</x:v>
      </x:c>
      <x:c r="P30" s="171" t="n">
        <x:f>'Schedules'!P92</x:f>
        <x:v>1.0231815394945443e-12</x:v>
      </x:c>
    </x:row>
    <x:row r="31">
      <x:c r="A31" s="54"/>
      <x:c r="B31" s="54"/>
      <x:c r="C31" s="121" t="str">
        <x:v>Net cash</x:v>
      </x:c>
      <x:c r="D31" s="160" t="n">
        <x:f>D14+D15-'Schedules'!D35</x:f>
        <x:v>18570.2</x:v>
      </x:c>
      <x:c r="E31" s="160" t="n">
        <x:f>E14+E15-'Schedules'!E35</x:f>
        <x:v>20442.1</x:v>
      </x:c>
      <x:c r="F31" s="160" t="n">
        <x:f>F14+F15-'Schedules'!F35</x:f>
        <x:v>27984.8</x:v>
      </x:c>
      <x:c r="G31" s="160" t="n">
        <x:f>G14+G15-'Schedules'!G35</x:f>
        <x:v>31082.6</x:v>
      </x:c>
      <x:c r="H31" s="219" t="n">
        <x:f>H14+H15-'Schedules'!H35</x:f>
        <x:v>36223.41814155691</x:v>
      </x:c>
      <x:c r="I31" s="160" t="n">
        <x:f>I14+I15-'Schedules'!I35</x:f>
        <x:v>40358.397770568794</x:v>
      </x:c>
      <x:c r="J31" s="160" t="n">
        <x:f>J14+J15-'Schedules'!J35</x:f>
        <x:v>45474.09741884501</x:v>
      </x:c>
      <x:c r="K31" s="160" t="n">
        <x:f>K14+K15-'Schedules'!K35</x:f>
        <x:v>51268.65692603094</x:v>
      </x:c>
      <x:c r="L31" s="160" t="n">
        <x:f>L14+L15-'Schedules'!L35</x:f>
        <x:v>57494.563861365685</x:v>
      </x:c>
      <x:c r="M31" s="160" t="n">
        <x:f>M14+M15-'Schedules'!M35</x:f>
        <x:v>64280.204666396276</x:v>
      </x:c>
      <x:c r="N31" s="160" t="n">
        <x:f>N14+N15-'Schedules'!N35</x:f>
        <x:v>71530.7998806473</x:v>
      </x:c>
      <x:c r="O31" s="160" t="n">
        <x:f>O14+O15-'Schedules'!O35</x:f>
        <x:v>79439.48734036587</x:v>
      </x:c>
      <x:c r="P31" s="160" t="n">
        <x:f>P14+P15-'Schedules'!P35</x:f>
        <x:v>87771.10071147564</x:v>
      </x:c>
    </x:row>
    <x:row r="32">
      <x:c r="A32" s="54"/>
      <x:c r="B32" s="54"/>
      <x:c r="C32" s="121" t="str">
        <x:v>Return on equity</x:v>
      </x:c>
      <x:c r="D32" s="173" t="n">
        <x:f>'P&amp;L'!D26/D21</x:f>
        <x:v>0.19453434352882493</x:v>
      </x:c>
      <x:c r="E32" s="173" t="n">
        <x:f>'P&amp;L'!E26/AVERAGE(D21,E21)</x:f>
        <x:v>0.1620881866984965</x:v>
      </x:c>
      <x:c r="F32" s="173" t="n">
        <x:f>'P&amp;L'!F26/AVERAGE(E21,F21)</x:f>
        <x:v>0.19649428192936091</x:v>
      </x:c>
      <x:c r="G32" s="173" t="n">
        <x:f>'P&amp;L'!G26/AVERAGE(F21,G21)</x:f>
        <x:v>0.17159225729218994</x:v>
      </x:c>
      <x:c r="H32" s="227" t="n">
        <x:f>'P&amp;L'!L26/AVERAGE(G21,H21)</x:f>
        <x:v>0.20275556022493796</x:v>
      </x:c>
      <x:c r="I32" s="173" t="n">
        <x:f>'P&amp;L'!Q26/AVERAGE(H21,I21)</x:f>
        <x:v>0.17916587215799454</x:v>
      </x:c>
      <x:c r="J32" s="173" t="n">
        <x:f>'P&amp;L'!R26/AVERAGE(I21,J21)</x:f>
        <x:v>0.1826976987525118</x:v>
      </x:c>
      <x:c r="K32" s="173" t="n">
        <x:f>'P&amp;L'!S26/AVERAGE(J21,K21)</x:f>
        <x:v>0.18611372350233973</x:v>
      </x:c>
      <x:c r="L32" s="173" t="n">
        <x:f>'P&amp;L'!T26/AVERAGE(K21,L21)</x:f>
        <x:v>0.1822818452058971</x:v>
      </x:c>
      <x:c r="M32" s="173" t="n">
        <x:f>'P&amp;L'!U26/AVERAGE(L21,M21)</x:f>
        <x:v>0.17870889711227658</x:v>
      </x:c>
      <x:c r="N32" s="173" t="n">
        <x:f>'P&amp;L'!V26/AVERAGE(M21,N21)</x:f>
        <x:v>0.17526345418233127</x:v>
      </x:c>
      <x:c r="O32" s="173" t="n">
        <x:f>'P&amp;L'!W26/AVERAGE(N21,O21)</x:f>
        <x:v>0.17258718462160602</x:v>
      </x:c>
      <x:c r="P32" s="173" t="n">
        <x:f>'P&amp;L'!X26/AVERAGE(O21,P21)</x:f>
        <x:v>0.1692741144114356</x:v>
      </x:c>
    </x:row>
    <x:row r="33">
      <x:c r="A33" s="54"/>
      <x:c r="B33" s="54"/>
      <x:c r="C33" s="121"/>
      <x:c r="D33" s="130"/>
      <x:c r="E33" s="130"/>
      <x:c r="F33" s="130"/>
      <x:c r="G33" s="130"/>
      <x:c r="H33" s="228"/>
      <x:c r="I33" s="130"/>
      <x:c r="J33" s="130"/>
      <x:c r="K33" s="130"/>
      <x:c r="L33" s="130"/>
      <x:c r="M33" s="130"/>
      <x:c r="N33" s="130"/>
      <x:c r="O33" s="130"/>
      <x:c r="P33" s="130"/>
    </x:row>
    <x:row r="34">
      <x:c r="A34" s="54"/>
      <x:c r="B34" s="54"/>
      <x:c r="C34" s="121"/>
      <x:c r="D34" s="130"/>
      <x:c r="E34" s="130"/>
      <x:c r="F34" s="130"/>
      <x:c r="G34" s="130"/>
      <x:c r="H34" s="228"/>
      <x:c r="I34" s="130"/>
      <x:c r="J34" s="130"/>
      <x:c r="K34" s="130"/>
      <x:c r="L34" s="130"/>
      <x:c r="M34" s="130"/>
      <x:c r="N34" s="130"/>
      <x:c r="O34" s="130"/>
      <x:c r="P34" s="130"/>
    </x:row>
    <x:row r="35" ht="18" customHeight="1">
      <x:c r="A35" s="54"/>
      <x:c r="B35" s="54"/>
      <x:c r="C35" s="207" t="str">
        <x:v>Source note</x:v>
      </x:c>
      <x:c r="D35" s="210"/>
      <x:c r="E35" s="210"/>
      <x:c r="F35" s="210"/>
      <x:c r="G35" s="210"/>
      <x:c r="H35" s="229"/>
      <x:c r="I35" s="210"/>
      <x:c r="J35" s="210"/>
      <x:c r="K35" s="210"/>
      <x:c r="L35" s="210"/>
      <x:c r="M35" s="210"/>
      <x:c r="N35" s="210"/>
      <x:c r="O35" s="210"/>
      <x:c r="P35" s="211"/>
    </x:row>
    <x:row r="36" ht="26" customHeight="1">
      <x:c r="A36" s="54"/>
      <x:c r="B36" s="54"/>
      <x:c r="C36" s="129" t="str">
        <x:v>Source</x:v>
      </x:c>
      <x:c r="D36" s="232" t="str">
        <x:v>Schedules tab; FY23-FY26 based on audited balance sheets and FY27-FY35 formula-driven estimates.</x:v>
      </x:c>
      <x:c r="E36" s="233"/>
      <x:c r="F36" s="233"/>
      <x:c r="G36" s="233"/>
      <x:c r="H36" s="234"/>
      <x:c r="I36" s="233"/>
      <x:c r="J36" s="233"/>
      <x:c r="K36" s="233"/>
      <x:c r="L36" s="233"/>
      <x:c r="M36" s="233"/>
      <x:c r="N36" s="233"/>
      <x:c r="O36" s="233"/>
      <x:c r="P36" s="233"/>
    </x:row>
    <x:row r="37" ht="26" customHeight="1">
      <x:c r="A37" s="54"/>
      <x:c r="B37" s="54"/>
      <x:c r="C37" s="129" t="str">
        <x:v>Liquidity</x:v>
      </x:c>
      <x:c r="D37" s="232" t="str">
        <x:v>Cash and cash equivalents are separated from term deposits and other bank balances; net cash includes both, less borrowings.</x:v>
      </x:c>
      <x:c r="E37" s="233"/>
      <x:c r="F37" s="233"/>
      <x:c r="G37" s="233"/>
      <x:c r="H37" s="234"/>
      <x:c r="I37" s="233"/>
      <x:c r="J37" s="233"/>
      <x:c r="K37" s="233"/>
      <x:c r="L37" s="233"/>
      <x:c r="M37" s="233"/>
      <x:c r="N37" s="233"/>
      <x:c r="O37" s="233"/>
      <x:c r="P37" s="233"/>
    </x:row>
    <x:row r="38">
      <x:c r="A38" s="54"/>
      <x:c r="B38" s="54"/>
      <x:c r="C38" s="121"/>
      <x:c r="D38" s="130"/>
      <x:c r="E38" s="130"/>
      <x:c r="F38" s="130"/>
      <x:c r="G38" s="130"/>
      <x:c r="H38" s="228"/>
      <x:c r="I38" s="130"/>
      <x:c r="J38" s="130"/>
      <x:c r="K38" s="130"/>
      <x:c r="L38" s="130"/>
      <x:c r="M38" s="130"/>
      <x:c r="N38" s="130"/>
      <x:c r="O38" s="130"/>
      <x:c r="P38" s="130"/>
    </x:row>
    <x:row r="39">
      <x:c r="A39" s="54"/>
      <x:c r="B39" s="54"/>
      <x:c r="C39" s="121"/>
      <x:c r="D39" s="130"/>
      <x:c r="E39" s="130"/>
      <x:c r="F39" s="130"/>
      <x:c r="G39" s="130"/>
      <x:c r="H39" s="228"/>
      <x:c r="I39" s="130"/>
      <x:c r="J39" s="130"/>
      <x:c r="K39" s="130"/>
      <x:c r="L39" s="130"/>
      <x:c r="M39" s="130"/>
      <x:c r="N39" s="130"/>
      <x:c r="O39" s="130"/>
      <x:c r="P39" s="130"/>
    </x:row>
  </x:sheetData>
  <x:mergeCells>
    <x:mergeCell ref="D36:P36"/>
    <x:mergeCell ref="D37:P37"/>
  </x:mergeCells>
  <x:conditionalFormatting sqref="D29:P30">
    <x:cfRule type="cellIs" dxfId="15" priority="1" operator="greaterThan">
      <x:formula>0.1</x:formula>
    </x:cfRule>
    <x:cfRule type="cellIs" dxfId="16" priority="2" operator="lessThan">
      <x:formula>-0.1</x:formula>
    </x:cfRule>
  </x:conditionalFormatting>
  <x:pageMargins left="0.7" right="0.7" top="0.75" bottom="0.75" header="0.3" footer="0.3"/>
</x:worksheet>
</file>